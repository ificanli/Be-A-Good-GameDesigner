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3"/>
  </bookViews>
  <sheets>
    <sheet name="人物经验" sheetId="1" r:id="rId1"/>
    <sheet name="经验产出" sheetId="2" r:id="rId2"/>
    <sheet name="金币产出" sheetId="4" r:id="rId3"/>
    <sheet name="关卡" sheetId="3" r:id="rId4"/>
  </sheets>
  <externalReferences>
    <externalReference r:id="rId5"/>
    <externalReference r:id="rId6"/>
    <externalReference r:id="rId7"/>
    <externalReference r:id="rId8"/>
  </externalReferences>
  <calcPr calcId="152511"/>
</workbook>
</file>

<file path=xl/calcChain.xml><?xml version="1.0" encoding="utf-8"?>
<calcChain xmlns="http://schemas.openxmlformats.org/spreadsheetml/2006/main">
  <c r="U15" i="3" l="1"/>
  <c r="S15" i="3"/>
  <c r="O20" i="3" l="1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J38" i="3" l="1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Q2017" i="3" l="1"/>
  <c r="R2017" i="3" s="1"/>
  <c r="Q2013" i="3"/>
  <c r="R2013" i="3" s="1"/>
  <c r="Q2009" i="3"/>
  <c r="R2009" i="3" s="1"/>
  <c r="Q2005" i="3"/>
  <c r="R2005" i="3" s="1"/>
  <c r="Q2001" i="3"/>
  <c r="R2001" i="3" s="1"/>
  <c r="Q1997" i="3"/>
  <c r="R1997" i="3" s="1"/>
  <c r="Q1993" i="3"/>
  <c r="R1993" i="3" s="1"/>
  <c r="Q1989" i="3"/>
  <c r="R1989" i="3" s="1"/>
  <c r="Q1985" i="3"/>
  <c r="R1985" i="3" s="1"/>
  <c r="Q1981" i="3"/>
  <c r="R1981" i="3" s="1"/>
  <c r="Q1977" i="3"/>
  <c r="R1977" i="3" s="1"/>
  <c r="Q1973" i="3"/>
  <c r="R1973" i="3" s="1"/>
  <c r="Q1969" i="3"/>
  <c r="R1969" i="3" s="1"/>
  <c r="Q1965" i="3"/>
  <c r="R1965" i="3" s="1"/>
  <c r="Q1961" i="3"/>
  <c r="R1961" i="3" s="1"/>
  <c r="Q1957" i="3"/>
  <c r="R1957" i="3" s="1"/>
  <c r="Q1953" i="3"/>
  <c r="R1953" i="3" s="1"/>
  <c r="Q1949" i="3"/>
  <c r="R1949" i="3" s="1"/>
  <c r="Q1945" i="3"/>
  <c r="R1945" i="3" s="1"/>
  <c r="Q1941" i="3"/>
  <c r="R1941" i="3" s="1"/>
  <c r="Q1937" i="3"/>
  <c r="R1937" i="3" s="1"/>
  <c r="Q1933" i="3"/>
  <c r="R1933" i="3" s="1"/>
  <c r="Q1929" i="3"/>
  <c r="R1929" i="3" s="1"/>
  <c r="Q1925" i="3"/>
  <c r="R1925" i="3" s="1"/>
  <c r="Q1921" i="3"/>
  <c r="R1921" i="3" s="1"/>
  <c r="Q1917" i="3"/>
  <c r="R1917" i="3" s="1"/>
  <c r="Q1913" i="3"/>
  <c r="R1913" i="3" s="1"/>
  <c r="Q1909" i="3"/>
  <c r="R1909" i="3" s="1"/>
  <c r="Q1905" i="3"/>
  <c r="R1905" i="3" s="1"/>
  <c r="Q1901" i="3"/>
  <c r="R1901" i="3" s="1"/>
  <c r="Q1897" i="3"/>
  <c r="R1897" i="3" s="1"/>
  <c r="Q1893" i="3"/>
  <c r="R1893" i="3" s="1"/>
  <c r="Q1889" i="3"/>
  <c r="R1889" i="3" s="1"/>
  <c r="Q1885" i="3"/>
  <c r="R1885" i="3" s="1"/>
  <c r="Q1881" i="3"/>
  <c r="R1881" i="3" s="1"/>
  <c r="Q1877" i="3"/>
  <c r="R1877" i="3" s="1"/>
  <c r="Q1873" i="3"/>
  <c r="R1873" i="3" s="1"/>
  <c r="Q1869" i="3"/>
  <c r="R1869" i="3" s="1"/>
  <c r="Q1865" i="3"/>
  <c r="R1865" i="3" s="1"/>
  <c r="Q1861" i="3"/>
  <c r="R1861" i="3" s="1"/>
  <c r="Q1857" i="3"/>
  <c r="R1857" i="3" s="1"/>
  <c r="Q1853" i="3"/>
  <c r="R1853" i="3" s="1"/>
  <c r="Q1849" i="3"/>
  <c r="R1849" i="3" s="1"/>
  <c r="Q1845" i="3"/>
  <c r="R1845" i="3" s="1"/>
  <c r="Q1841" i="3"/>
  <c r="R1841" i="3" s="1"/>
  <c r="Q1837" i="3"/>
  <c r="R1837" i="3" s="1"/>
  <c r="Q1833" i="3"/>
  <c r="R1833" i="3" s="1"/>
  <c r="Q1829" i="3"/>
  <c r="R1829" i="3" s="1"/>
  <c r="Q1825" i="3"/>
  <c r="R1825" i="3" s="1"/>
  <c r="Q1821" i="3"/>
  <c r="R1821" i="3" s="1"/>
  <c r="Q1817" i="3"/>
  <c r="R1817" i="3" s="1"/>
  <c r="Q1813" i="3"/>
  <c r="R1813" i="3" s="1"/>
  <c r="Q1809" i="3"/>
  <c r="R1809" i="3" s="1"/>
  <c r="Q1805" i="3"/>
  <c r="R1805" i="3" s="1"/>
  <c r="Q1801" i="3"/>
  <c r="R1801" i="3" s="1"/>
  <c r="Q1797" i="3"/>
  <c r="R1797" i="3" s="1"/>
  <c r="Q1793" i="3"/>
  <c r="R1793" i="3" s="1"/>
  <c r="Q1789" i="3"/>
  <c r="R1789" i="3" s="1"/>
  <c r="Q1785" i="3"/>
  <c r="R1785" i="3" s="1"/>
  <c r="Q1781" i="3"/>
  <c r="R1781" i="3" s="1"/>
  <c r="Q1777" i="3"/>
  <c r="R1777" i="3" s="1"/>
  <c r="Q1773" i="3"/>
  <c r="R1773" i="3" s="1"/>
  <c r="Q1769" i="3"/>
  <c r="R1769" i="3" s="1"/>
  <c r="Q1765" i="3"/>
  <c r="R1765" i="3" s="1"/>
  <c r="Q1761" i="3"/>
  <c r="R1761" i="3" s="1"/>
  <c r="Q1757" i="3"/>
  <c r="R1757" i="3" s="1"/>
  <c r="Q1753" i="3"/>
  <c r="R1753" i="3" s="1"/>
  <c r="Q1749" i="3"/>
  <c r="R1749" i="3" s="1"/>
  <c r="Q1745" i="3"/>
  <c r="R1745" i="3" s="1"/>
  <c r="Q1741" i="3"/>
  <c r="R1741" i="3" s="1"/>
  <c r="Q1737" i="3"/>
  <c r="R1737" i="3" s="1"/>
  <c r="Q1733" i="3"/>
  <c r="R1733" i="3" s="1"/>
  <c r="Q1729" i="3"/>
  <c r="R1729" i="3" s="1"/>
  <c r="Q1725" i="3"/>
  <c r="R1725" i="3" s="1"/>
  <c r="Q1721" i="3"/>
  <c r="R1721" i="3" s="1"/>
  <c r="Q1717" i="3"/>
  <c r="R1717" i="3" s="1"/>
  <c r="Q1713" i="3"/>
  <c r="R1713" i="3" s="1"/>
  <c r="Q1709" i="3"/>
  <c r="R1709" i="3" s="1"/>
  <c r="Q1705" i="3"/>
  <c r="R1705" i="3" s="1"/>
  <c r="Q1701" i="3"/>
  <c r="R1701" i="3" s="1"/>
  <c r="Q1697" i="3"/>
  <c r="R1697" i="3" s="1"/>
  <c r="Q1693" i="3"/>
  <c r="R1693" i="3" s="1"/>
  <c r="Q1689" i="3"/>
  <c r="R1689" i="3" s="1"/>
  <c r="Q1685" i="3"/>
  <c r="R1685" i="3" s="1"/>
  <c r="Q1681" i="3"/>
  <c r="R1681" i="3" s="1"/>
  <c r="Q1677" i="3"/>
  <c r="R1677" i="3" s="1"/>
  <c r="Q1673" i="3"/>
  <c r="R1673" i="3" s="1"/>
  <c r="Q1669" i="3"/>
  <c r="R1669" i="3" s="1"/>
  <c r="Q1665" i="3"/>
  <c r="R1665" i="3" s="1"/>
  <c r="Q1661" i="3"/>
  <c r="R1661" i="3" s="1"/>
  <c r="Q1657" i="3"/>
  <c r="R1657" i="3" s="1"/>
  <c r="Q1653" i="3"/>
  <c r="R1653" i="3" s="1"/>
  <c r="Q1649" i="3"/>
  <c r="R1649" i="3" s="1"/>
  <c r="Q1645" i="3"/>
  <c r="R1645" i="3" s="1"/>
  <c r="Q1641" i="3"/>
  <c r="R1641" i="3" s="1"/>
  <c r="Q1637" i="3"/>
  <c r="R1637" i="3" s="1"/>
  <c r="Q1633" i="3"/>
  <c r="R1633" i="3" s="1"/>
  <c r="Q1629" i="3"/>
  <c r="R1629" i="3" s="1"/>
  <c r="Q1625" i="3"/>
  <c r="R1625" i="3" s="1"/>
  <c r="Q1621" i="3"/>
  <c r="R1621" i="3" s="1"/>
  <c r="Q1617" i="3"/>
  <c r="R1617" i="3" s="1"/>
  <c r="Q1613" i="3"/>
  <c r="R1613" i="3" s="1"/>
  <c r="Q1609" i="3"/>
  <c r="R1609" i="3" s="1"/>
  <c r="Q1605" i="3"/>
  <c r="R1605" i="3" s="1"/>
  <c r="Q1601" i="3"/>
  <c r="R1601" i="3" s="1"/>
  <c r="Q1597" i="3"/>
  <c r="R1597" i="3" s="1"/>
  <c r="Q1593" i="3"/>
  <c r="R1593" i="3" s="1"/>
  <c r="Q1589" i="3"/>
  <c r="R1589" i="3" s="1"/>
  <c r="Q1585" i="3"/>
  <c r="R1585" i="3" s="1"/>
  <c r="Q1581" i="3"/>
  <c r="R1581" i="3" s="1"/>
  <c r="Q1577" i="3"/>
  <c r="R1577" i="3" s="1"/>
  <c r="Q1573" i="3"/>
  <c r="R1573" i="3" s="1"/>
  <c r="Q1569" i="3"/>
  <c r="R1569" i="3" s="1"/>
  <c r="Q1565" i="3"/>
  <c r="R1565" i="3" s="1"/>
  <c r="Q1561" i="3"/>
  <c r="R1561" i="3" s="1"/>
  <c r="Q1557" i="3"/>
  <c r="R1557" i="3" s="1"/>
  <c r="Q1553" i="3"/>
  <c r="R1553" i="3" s="1"/>
  <c r="Q1549" i="3"/>
  <c r="R1549" i="3" s="1"/>
  <c r="Q1545" i="3"/>
  <c r="R1545" i="3" s="1"/>
  <c r="Q1541" i="3"/>
  <c r="R1541" i="3" s="1"/>
  <c r="Q1537" i="3"/>
  <c r="R1537" i="3" s="1"/>
  <c r="Q1533" i="3"/>
  <c r="R1533" i="3" s="1"/>
  <c r="Q1529" i="3"/>
  <c r="R1529" i="3" s="1"/>
  <c r="Q1525" i="3"/>
  <c r="R1525" i="3" s="1"/>
  <c r="Q1521" i="3"/>
  <c r="R1521" i="3" s="1"/>
  <c r="Q1517" i="3"/>
  <c r="R1517" i="3" s="1"/>
  <c r="Q1513" i="3"/>
  <c r="R1513" i="3" s="1"/>
  <c r="Q1509" i="3"/>
  <c r="R1509" i="3" s="1"/>
  <c r="Q1505" i="3"/>
  <c r="R1505" i="3" s="1"/>
  <c r="Q1501" i="3"/>
  <c r="R1501" i="3" s="1"/>
  <c r="Q1497" i="3"/>
  <c r="R1497" i="3" s="1"/>
  <c r="Q1493" i="3"/>
  <c r="R1493" i="3" s="1"/>
  <c r="Q1489" i="3"/>
  <c r="R1489" i="3" s="1"/>
  <c r="Q1485" i="3"/>
  <c r="R1485" i="3" s="1"/>
  <c r="Q1481" i="3"/>
  <c r="R1481" i="3" s="1"/>
  <c r="Q1477" i="3"/>
  <c r="R1477" i="3" s="1"/>
  <c r="Q1473" i="3"/>
  <c r="R1473" i="3" s="1"/>
  <c r="Q1469" i="3"/>
  <c r="R1469" i="3" s="1"/>
  <c r="Q1465" i="3"/>
  <c r="R1465" i="3" s="1"/>
  <c r="Q1461" i="3"/>
  <c r="R1461" i="3" s="1"/>
  <c r="Q1457" i="3"/>
  <c r="R1457" i="3" s="1"/>
  <c r="Q1453" i="3"/>
  <c r="R1453" i="3" s="1"/>
  <c r="Q1449" i="3"/>
  <c r="R1449" i="3" s="1"/>
  <c r="Q1445" i="3"/>
  <c r="R1445" i="3" s="1"/>
  <c r="Q1441" i="3"/>
  <c r="R1441" i="3" s="1"/>
  <c r="Q1437" i="3"/>
  <c r="R1437" i="3" s="1"/>
  <c r="Q1433" i="3"/>
  <c r="R1433" i="3" s="1"/>
  <c r="Q1429" i="3"/>
  <c r="R1429" i="3" s="1"/>
  <c r="Q1425" i="3"/>
  <c r="R1425" i="3" s="1"/>
  <c r="Q1421" i="3"/>
  <c r="R1421" i="3" s="1"/>
  <c r="Q1417" i="3"/>
  <c r="R1417" i="3" s="1"/>
  <c r="Q1413" i="3"/>
  <c r="R1413" i="3" s="1"/>
  <c r="Q1409" i="3"/>
  <c r="R1409" i="3" s="1"/>
  <c r="Q1405" i="3"/>
  <c r="R1405" i="3" s="1"/>
  <c r="Q1401" i="3"/>
  <c r="R1401" i="3" s="1"/>
  <c r="Q1397" i="3"/>
  <c r="R1397" i="3" s="1"/>
  <c r="Q1393" i="3"/>
  <c r="R1393" i="3" s="1"/>
  <c r="Q1389" i="3"/>
  <c r="R1389" i="3" s="1"/>
  <c r="Q1385" i="3"/>
  <c r="R1385" i="3" s="1"/>
  <c r="Q1381" i="3"/>
  <c r="R1381" i="3" s="1"/>
  <c r="Q1377" i="3"/>
  <c r="R1377" i="3" s="1"/>
  <c r="Q1373" i="3"/>
  <c r="R1373" i="3" s="1"/>
  <c r="Q1369" i="3"/>
  <c r="R1369" i="3" s="1"/>
  <c r="Q1365" i="3"/>
  <c r="R1365" i="3" s="1"/>
  <c r="Q1361" i="3"/>
  <c r="R1361" i="3" s="1"/>
  <c r="Q1357" i="3"/>
  <c r="R1357" i="3" s="1"/>
  <c r="Q1353" i="3"/>
  <c r="R1353" i="3" s="1"/>
  <c r="Q1349" i="3"/>
  <c r="R1349" i="3" s="1"/>
  <c r="Q1345" i="3"/>
  <c r="R1345" i="3" s="1"/>
  <c r="Q1341" i="3"/>
  <c r="R1341" i="3" s="1"/>
  <c r="Q1337" i="3"/>
  <c r="R1337" i="3" s="1"/>
  <c r="Q1333" i="3"/>
  <c r="R1333" i="3" s="1"/>
  <c r="Q1329" i="3"/>
  <c r="R1329" i="3" s="1"/>
  <c r="Q1325" i="3"/>
  <c r="R1325" i="3" s="1"/>
  <c r="Q1321" i="3"/>
  <c r="R1321" i="3" s="1"/>
  <c r="Q1317" i="3"/>
  <c r="R1317" i="3" s="1"/>
  <c r="Q1313" i="3"/>
  <c r="R1313" i="3" s="1"/>
  <c r="Q1309" i="3"/>
  <c r="R1309" i="3" s="1"/>
  <c r="Q1305" i="3"/>
  <c r="R1305" i="3" s="1"/>
  <c r="Q1301" i="3"/>
  <c r="R1301" i="3" s="1"/>
  <c r="Q1297" i="3"/>
  <c r="R1297" i="3" s="1"/>
  <c r="Q1293" i="3"/>
  <c r="R1293" i="3" s="1"/>
  <c r="Q1289" i="3"/>
  <c r="R1289" i="3" s="1"/>
  <c r="Q1285" i="3"/>
  <c r="R1285" i="3" s="1"/>
  <c r="Q1281" i="3"/>
  <c r="R1281" i="3" s="1"/>
  <c r="Q1277" i="3"/>
  <c r="R1277" i="3" s="1"/>
  <c r="Q1273" i="3"/>
  <c r="R1273" i="3" s="1"/>
  <c r="Q1269" i="3"/>
  <c r="R1269" i="3" s="1"/>
  <c r="Q1265" i="3"/>
  <c r="R1265" i="3" s="1"/>
  <c r="Q1261" i="3"/>
  <c r="R1261" i="3" s="1"/>
  <c r="Q1257" i="3"/>
  <c r="R1257" i="3" s="1"/>
  <c r="Q1253" i="3"/>
  <c r="R1253" i="3" s="1"/>
  <c r="Q1249" i="3"/>
  <c r="R1249" i="3" s="1"/>
  <c r="Q1245" i="3"/>
  <c r="R1245" i="3" s="1"/>
  <c r="Q1241" i="3"/>
  <c r="R1241" i="3" s="1"/>
  <c r="Q1237" i="3"/>
  <c r="R1237" i="3" s="1"/>
  <c r="Q1233" i="3"/>
  <c r="R1233" i="3" s="1"/>
  <c r="Q1229" i="3"/>
  <c r="R1229" i="3" s="1"/>
  <c r="Q1225" i="3"/>
  <c r="R1225" i="3" s="1"/>
  <c r="Q1221" i="3"/>
  <c r="R1221" i="3" s="1"/>
  <c r="Q1217" i="3"/>
  <c r="R1217" i="3" s="1"/>
  <c r="Q1213" i="3"/>
  <c r="R1213" i="3" s="1"/>
  <c r="Q1209" i="3"/>
  <c r="R1209" i="3" s="1"/>
  <c r="Q1205" i="3"/>
  <c r="R1205" i="3" s="1"/>
  <c r="Q1201" i="3"/>
  <c r="R1201" i="3" s="1"/>
  <c r="Q1197" i="3"/>
  <c r="R1197" i="3" s="1"/>
  <c r="Q1193" i="3"/>
  <c r="R1193" i="3" s="1"/>
  <c r="Q1189" i="3"/>
  <c r="R1189" i="3" s="1"/>
  <c r="Q1185" i="3"/>
  <c r="R1185" i="3" s="1"/>
  <c r="Q1181" i="3"/>
  <c r="R1181" i="3" s="1"/>
  <c r="Q1177" i="3"/>
  <c r="R1177" i="3" s="1"/>
  <c r="Q1173" i="3"/>
  <c r="R1173" i="3" s="1"/>
  <c r="Q1169" i="3"/>
  <c r="R1169" i="3" s="1"/>
  <c r="Q1165" i="3"/>
  <c r="R1165" i="3" s="1"/>
  <c r="Q1161" i="3"/>
  <c r="R1161" i="3" s="1"/>
  <c r="Q1157" i="3"/>
  <c r="R1157" i="3" s="1"/>
  <c r="Q1153" i="3"/>
  <c r="R1153" i="3" s="1"/>
  <c r="Q1149" i="3"/>
  <c r="R1149" i="3" s="1"/>
  <c r="Q1145" i="3"/>
  <c r="R1145" i="3" s="1"/>
  <c r="Q1141" i="3"/>
  <c r="R1141" i="3" s="1"/>
  <c r="Q1137" i="3"/>
  <c r="R1137" i="3" s="1"/>
  <c r="Q1133" i="3"/>
  <c r="R1133" i="3" s="1"/>
  <c r="Q1129" i="3"/>
  <c r="R1129" i="3" s="1"/>
  <c r="Q1125" i="3"/>
  <c r="R1125" i="3" s="1"/>
  <c r="Q1121" i="3"/>
  <c r="R1121" i="3" s="1"/>
  <c r="Q1117" i="3"/>
  <c r="R1117" i="3" s="1"/>
  <c r="Q1113" i="3"/>
  <c r="R1113" i="3" s="1"/>
  <c r="Q1109" i="3"/>
  <c r="R1109" i="3" s="1"/>
  <c r="Q1105" i="3"/>
  <c r="R1105" i="3" s="1"/>
  <c r="Q1101" i="3"/>
  <c r="R1101" i="3" s="1"/>
  <c r="Q1097" i="3"/>
  <c r="R1097" i="3" s="1"/>
  <c r="Q1093" i="3"/>
  <c r="R1093" i="3" s="1"/>
  <c r="Q1089" i="3"/>
  <c r="R1089" i="3" s="1"/>
  <c r="Q1085" i="3"/>
  <c r="R1085" i="3" s="1"/>
  <c r="Q1081" i="3"/>
  <c r="R1081" i="3" s="1"/>
  <c r="Q1077" i="3"/>
  <c r="R1077" i="3" s="1"/>
  <c r="Q1073" i="3"/>
  <c r="R1073" i="3" s="1"/>
  <c r="Q1069" i="3"/>
  <c r="R1069" i="3" s="1"/>
  <c r="Q1065" i="3"/>
  <c r="R1065" i="3" s="1"/>
  <c r="Q1061" i="3"/>
  <c r="R1061" i="3" s="1"/>
  <c r="Q1057" i="3"/>
  <c r="R1057" i="3" s="1"/>
  <c r="Q1053" i="3"/>
  <c r="R1053" i="3" s="1"/>
  <c r="Q1049" i="3"/>
  <c r="R1049" i="3" s="1"/>
  <c r="Q1045" i="3"/>
  <c r="R1045" i="3" s="1"/>
  <c r="Q1041" i="3"/>
  <c r="R1041" i="3" s="1"/>
  <c r="Q1037" i="3"/>
  <c r="R1037" i="3" s="1"/>
  <c r="Q1033" i="3"/>
  <c r="R1033" i="3" s="1"/>
  <c r="Q1029" i="3"/>
  <c r="R1029" i="3" s="1"/>
  <c r="Q1025" i="3"/>
  <c r="R1025" i="3" s="1"/>
  <c r="Q1021" i="3"/>
  <c r="R1021" i="3" s="1"/>
  <c r="Q1017" i="3"/>
  <c r="R1017" i="3" s="1"/>
  <c r="Q1013" i="3"/>
  <c r="R1013" i="3" s="1"/>
  <c r="Q1009" i="3"/>
  <c r="R1009" i="3" s="1"/>
  <c r="Q1005" i="3"/>
  <c r="R1005" i="3" s="1"/>
  <c r="Q1001" i="3"/>
  <c r="R1001" i="3" s="1"/>
  <c r="Q997" i="3"/>
  <c r="R997" i="3" s="1"/>
  <c r="Q993" i="3"/>
  <c r="R993" i="3" s="1"/>
  <c r="Q989" i="3"/>
  <c r="R989" i="3" s="1"/>
  <c r="Q985" i="3"/>
  <c r="R985" i="3" s="1"/>
  <c r="Q981" i="3"/>
  <c r="R981" i="3" s="1"/>
  <c r="Q977" i="3"/>
  <c r="R977" i="3" s="1"/>
  <c r="Q973" i="3"/>
  <c r="R973" i="3" s="1"/>
  <c r="Q969" i="3"/>
  <c r="R969" i="3" s="1"/>
  <c r="Q965" i="3"/>
  <c r="R965" i="3" s="1"/>
  <c r="Q961" i="3"/>
  <c r="R961" i="3" s="1"/>
  <c r="Q957" i="3"/>
  <c r="R957" i="3" s="1"/>
  <c r="Q953" i="3"/>
  <c r="R953" i="3" s="1"/>
  <c r="Q949" i="3"/>
  <c r="R949" i="3" s="1"/>
  <c r="Q945" i="3"/>
  <c r="R945" i="3" s="1"/>
  <c r="Q941" i="3"/>
  <c r="R941" i="3" s="1"/>
  <c r="Q937" i="3"/>
  <c r="R937" i="3" s="1"/>
  <c r="Q933" i="3"/>
  <c r="R933" i="3" s="1"/>
  <c r="Q929" i="3"/>
  <c r="R929" i="3" s="1"/>
  <c r="Q925" i="3"/>
  <c r="R925" i="3" s="1"/>
  <c r="Q921" i="3"/>
  <c r="R921" i="3" s="1"/>
  <c r="Q917" i="3"/>
  <c r="R917" i="3" s="1"/>
  <c r="Q913" i="3"/>
  <c r="R913" i="3" s="1"/>
  <c r="Q909" i="3"/>
  <c r="R909" i="3" s="1"/>
  <c r="Q905" i="3"/>
  <c r="R905" i="3" s="1"/>
  <c r="Q901" i="3"/>
  <c r="R901" i="3" s="1"/>
  <c r="Q897" i="3"/>
  <c r="R897" i="3" s="1"/>
  <c r="Q893" i="3"/>
  <c r="R893" i="3" s="1"/>
  <c r="Q889" i="3"/>
  <c r="R889" i="3" s="1"/>
  <c r="Q885" i="3"/>
  <c r="R885" i="3" s="1"/>
  <c r="Q881" i="3"/>
  <c r="R881" i="3" s="1"/>
  <c r="Q877" i="3"/>
  <c r="R877" i="3" s="1"/>
  <c r="Q873" i="3"/>
  <c r="R873" i="3" s="1"/>
  <c r="Q869" i="3"/>
  <c r="R869" i="3" s="1"/>
  <c r="Q865" i="3"/>
  <c r="R865" i="3" s="1"/>
  <c r="Q861" i="3"/>
  <c r="R861" i="3" s="1"/>
  <c r="Q857" i="3"/>
  <c r="R857" i="3" s="1"/>
  <c r="Q853" i="3"/>
  <c r="R853" i="3" s="1"/>
  <c r="Q849" i="3"/>
  <c r="R849" i="3" s="1"/>
  <c r="Q845" i="3"/>
  <c r="R845" i="3" s="1"/>
  <c r="Q841" i="3"/>
  <c r="R841" i="3" s="1"/>
  <c r="Q837" i="3"/>
  <c r="R837" i="3" s="1"/>
  <c r="Q833" i="3"/>
  <c r="R833" i="3" s="1"/>
  <c r="Q829" i="3"/>
  <c r="R829" i="3" s="1"/>
  <c r="Q825" i="3"/>
  <c r="R825" i="3" s="1"/>
  <c r="Q821" i="3"/>
  <c r="R821" i="3" s="1"/>
  <c r="Q817" i="3"/>
  <c r="R817" i="3" s="1"/>
  <c r="Q813" i="3"/>
  <c r="R813" i="3" s="1"/>
  <c r="Q809" i="3"/>
  <c r="R809" i="3" s="1"/>
  <c r="Q805" i="3"/>
  <c r="R805" i="3" s="1"/>
  <c r="Q801" i="3"/>
  <c r="R801" i="3" s="1"/>
  <c r="Q797" i="3"/>
  <c r="R797" i="3" s="1"/>
  <c r="Q793" i="3"/>
  <c r="R793" i="3" s="1"/>
  <c r="Q789" i="3"/>
  <c r="R789" i="3" s="1"/>
  <c r="Q785" i="3"/>
  <c r="R785" i="3" s="1"/>
  <c r="Q781" i="3"/>
  <c r="R781" i="3" s="1"/>
  <c r="Q777" i="3"/>
  <c r="R777" i="3" s="1"/>
  <c r="Q773" i="3"/>
  <c r="R773" i="3" s="1"/>
  <c r="Q769" i="3"/>
  <c r="R769" i="3" s="1"/>
  <c r="Q765" i="3"/>
  <c r="R765" i="3" s="1"/>
  <c r="Q761" i="3"/>
  <c r="R761" i="3" s="1"/>
  <c r="Q757" i="3"/>
  <c r="R757" i="3" s="1"/>
  <c r="Q753" i="3"/>
  <c r="R753" i="3" s="1"/>
  <c r="Q749" i="3"/>
  <c r="R749" i="3" s="1"/>
  <c r="Q745" i="3"/>
  <c r="R745" i="3" s="1"/>
  <c r="Q741" i="3"/>
  <c r="R741" i="3" s="1"/>
  <c r="Q737" i="3"/>
  <c r="R737" i="3" s="1"/>
  <c r="Q733" i="3"/>
  <c r="R733" i="3" s="1"/>
  <c r="Q729" i="3"/>
  <c r="R729" i="3" s="1"/>
  <c r="Q725" i="3"/>
  <c r="R725" i="3" s="1"/>
  <c r="Q721" i="3"/>
  <c r="R721" i="3" s="1"/>
  <c r="Q717" i="3"/>
  <c r="R717" i="3" s="1"/>
  <c r="Q713" i="3"/>
  <c r="R713" i="3" s="1"/>
  <c r="Q709" i="3"/>
  <c r="R709" i="3" s="1"/>
  <c r="Q705" i="3"/>
  <c r="R705" i="3" s="1"/>
  <c r="Q701" i="3"/>
  <c r="R701" i="3" s="1"/>
  <c r="Q697" i="3"/>
  <c r="R697" i="3" s="1"/>
  <c r="Q693" i="3"/>
  <c r="R693" i="3" s="1"/>
  <c r="Q689" i="3"/>
  <c r="R689" i="3" s="1"/>
  <c r="Q685" i="3"/>
  <c r="R685" i="3" s="1"/>
  <c r="Q681" i="3"/>
  <c r="R681" i="3" s="1"/>
  <c r="Q677" i="3"/>
  <c r="R677" i="3" s="1"/>
  <c r="Q673" i="3"/>
  <c r="R673" i="3" s="1"/>
  <c r="Q669" i="3"/>
  <c r="R669" i="3" s="1"/>
  <c r="Q665" i="3"/>
  <c r="R665" i="3" s="1"/>
  <c r="Q661" i="3"/>
  <c r="R661" i="3" s="1"/>
  <c r="Q657" i="3"/>
  <c r="R657" i="3" s="1"/>
  <c r="Q653" i="3"/>
  <c r="R653" i="3" s="1"/>
  <c r="Q649" i="3"/>
  <c r="R649" i="3" s="1"/>
  <c r="Q645" i="3"/>
  <c r="R645" i="3" s="1"/>
  <c r="Q641" i="3"/>
  <c r="R641" i="3" s="1"/>
  <c r="Q637" i="3"/>
  <c r="R637" i="3" s="1"/>
  <c r="Q633" i="3"/>
  <c r="R633" i="3" s="1"/>
  <c r="Q629" i="3"/>
  <c r="R629" i="3" s="1"/>
  <c r="Q625" i="3"/>
  <c r="R625" i="3" s="1"/>
  <c r="Q621" i="3"/>
  <c r="R621" i="3" s="1"/>
  <c r="Q617" i="3"/>
  <c r="R617" i="3" s="1"/>
  <c r="Q613" i="3"/>
  <c r="R613" i="3" s="1"/>
  <c r="Q609" i="3"/>
  <c r="R609" i="3" s="1"/>
  <c r="Q605" i="3"/>
  <c r="R605" i="3" s="1"/>
  <c r="Q601" i="3"/>
  <c r="R601" i="3" s="1"/>
  <c r="Q597" i="3"/>
  <c r="R597" i="3" s="1"/>
  <c r="Q593" i="3"/>
  <c r="R593" i="3" s="1"/>
  <c r="Q589" i="3"/>
  <c r="R589" i="3" s="1"/>
  <c r="Q585" i="3"/>
  <c r="R585" i="3" s="1"/>
  <c r="Q581" i="3"/>
  <c r="R581" i="3" s="1"/>
  <c r="Q577" i="3"/>
  <c r="R577" i="3" s="1"/>
  <c r="Q573" i="3"/>
  <c r="R573" i="3" s="1"/>
  <c r="Q569" i="3"/>
  <c r="R569" i="3" s="1"/>
  <c r="Q565" i="3"/>
  <c r="R565" i="3" s="1"/>
  <c r="Q561" i="3"/>
  <c r="R561" i="3" s="1"/>
  <c r="Q557" i="3"/>
  <c r="R557" i="3" s="1"/>
  <c r="Q553" i="3"/>
  <c r="R553" i="3" s="1"/>
  <c r="Q549" i="3"/>
  <c r="R549" i="3" s="1"/>
  <c r="Q545" i="3"/>
  <c r="R545" i="3" s="1"/>
  <c r="Q541" i="3"/>
  <c r="R541" i="3" s="1"/>
  <c r="Q537" i="3"/>
  <c r="R537" i="3" s="1"/>
  <c r="Q533" i="3"/>
  <c r="R533" i="3" s="1"/>
  <c r="Q529" i="3"/>
  <c r="R529" i="3" s="1"/>
  <c r="Q525" i="3"/>
  <c r="R525" i="3" s="1"/>
  <c r="Q521" i="3"/>
  <c r="R521" i="3" s="1"/>
  <c r="Q517" i="3"/>
  <c r="R517" i="3" s="1"/>
  <c r="Q513" i="3"/>
  <c r="R513" i="3" s="1"/>
  <c r="Q509" i="3"/>
  <c r="R509" i="3" s="1"/>
  <c r="Q505" i="3"/>
  <c r="R505" i="3" s="1"/>
  <c r="Q501" i="3"/>
  <c r="R501" i="3" s="1"/>
  <c r="Q497" i="3"/>
  <c r="R497" i="3" s="1"/>
  <c r="Q493" i="3"/>
  <c r="R493" i="3" s="1"/>
  <c r="Q489" i="3"/>
  <c r="R489" i="3" s="1"/>
  <c r="Q485" i="3"/>
  <c r="R485" i="3" s="1"/>
  <c r="Q481" i="3"/>
  <c r="R481" i="3" s="1"/>
  <c r="Q477" i="3"/>
  <c r="R477" i="3" s="1"/>
  <c r="Q473" i="3"/>
  <c r="R473" i="3" s="1"/>
  <c r="Q469" i="3"/>
  <c r="R469" i="3" s="1"/>
  <c r="Q465" i="3"/>
  <c r="R465" i="3" s="1"/>
  <c r="Q461" i="3"/>
  <c r="R461" i="3" s="1"/>
  <c r="Q457" i="3"/>
  <c r="R457" i="3" s="1"/>
  <c r="Q453" i="3"/>
  <c r="R453" i="3" s="1"/>
  <c r="Q449" i="3"/>
  <c r="R449" i="3" s="1"/>
  <c r="Q445" i="3"/>
  <c r="R445" i="3" s="1"/>
  <c r="Q441" i="3"/>
  <c r="R441" i="3" s="1"/>
  <c r="Q437" i="3"/>
  <c r="R437" i="3" s="1"/>
  <c r="Q433" i="3"/>
  <c r="R433" i="3" s="1"/>
  <c r="Q429" i="3"/>
  <c r="R429" i="3" s="1"/>
  <c r="Q425" i="3"/>
  <c r="R425" i="3" s="1"/>
  <c r="Q421" i="3"/>
  <c r="R421" i="3" s="1"/>
  <c r="Q417" i="3"/>
  <c r="R417" i="3" s="1"/>
  <c r="Q413" i="3"/>
  <c r="R413" i="3" s="1"/>
  <c r="Q409" i="3"/>
  <c r="R409" i="3" s="1"/>
  <c r="Q405" i="3"/>
  <c r="R405" i="3" s="1"/>
  <c r="Q401" i="3"/>
  <c r="R401" i="3" s="1"/>
  <c r="Q397" i="3"/>
  <c r="R397" i="3" s="1"/>
  <c r="Q393" i="3"/>
  <c r="R393" i="3" s="1"/>
  <c r="Q389" i="3"/>
  <c r="R389" i="3" s="1"/>
  <c r="Q385" i="3"/>
  <c r="R385" i="3" s="1"/>
  <c r="Q381" i="3"/>
  <c r="R381" i="3" s="1"/>
  <c r="Q377" i="3"/>
  <c r="R377" i="3" s="1"/>
  <c r="Q373" i="3"/>
  <c r="R373" i="3" s="1"/>
  <c r="Q369" i="3"/>
  <c r="R369" i="3" s="1"/>
  <c r="Q365" i="3"/>
  <c r="R365" i="3" s="1"/>
  <c r="Q361" i="3"/>
  <c r="R361" i="3" s="1"/>
  <c r="Q357" i="3"/>
  <c r="R357" i="3" s="1"/>
  <c r="Q353" i="3"/>
  <c r="R353" i="3" s="1"/>
  <c r="Q349" i="3"/>
  <c r="R349" i="3" s="1"/>
  <c r="Q345" i="3"/>
  <c r="R345" i="3" s="1"/>
  <c r="Q341" i="3"/>
  <c r="R341" i="3" s="1"/>
  <c r="Q337" i="3"/>
  <c r="R337" i="3" s="1"/>
  <c r="Q333" i="3"/>
  <c r="R333" i="3" s="1"/>
  <c r="Q329" i="3"/>
  <c r="R329" i="3" s="1"/>
  <c r="Q325" i="3"/>
  <c r="R325" i="3" s="1"/>
  <c r="Q321" i="3"/>
  <c r="R321" i="3" s="1"/>
  <c r="Q317" i="3"/>
  <c r="R317" i="3" s="1"/>
  <c r="Q313" i="3"/>
  <c r="R313" i="3" s="1"/>
  <c r="Q309" i="3"/>
  <c r="R309" i="3" s="1"/>
  <c r="Q305" i="3"/>
  <c r="R305" i="3" s="1"/>
  <c r="Q301" i="3"/>
  <c r="R301" i="3" s="1"/>
  <c r="Q297" i="3"/>
  <c r="R297" i="3" s="1"/>
  <c r="Q293" i="3"/>
  <c r="R293" i="3" s="1"/>
  <c r="Q289" i="3"/>
  <c r="R289" i="3" s="1"/>
  <c r="Q285" i="3"/>
  <c r="R285" i="3" s="1"/>
  <c r="Q281" i="3"/>
  <c r="R281" i="3" s="1"/>
  <c r="Q277" i="3"/>
  <c r="R277" i="3" s="1"/>
  <c r="Q273" i="3"/>
  <c r="R273" i="3" s="1"/>
  <c r="Q269" i="3"/>
  <c r="R269" i="3" s="1"/>
  <c r="Q265" i="3"/>
  <c r="R265" i="3" s="1"/>
  <c r="Q261" i="3"/>
  <c r="R261" i="3" s="1"/>
  <c r="Q257" i="3"/>
  <c r="R257" i="3" s="1"/>
  <c r="Q253" i="3"/>
  <c r="R253" i="3" s="1"/>
  <c r="Q249" i="3"/>
  <c r="R249" i="3" s="1"/>
  <c r="Q245" i="3"/>
  <c r="R245" i="3" s="1"/>
  <c r="Q241" i="3"/>
  <c r="R241" i="3" s="1"/>
  <c r="Q237" i="3"/>
  <c r="R237" i="3" s="1"/>
  <c r="Q233" i="3"/>
  <c r="R233" i="3" s="1"/>
  <c r="Q229" i="3"/>
  <c r="R229" i="3" s="1"/>
  <c r="Q225" i="3"/>
  <c r="R225" i="3" s="1"/>
  <c r="Q221" i="3"/>
  <c r="R221" i="3" s="1"/>
  <c r="Q217" i="3"/>
  <c r="R217" i="3" s="1"/>
  <c r="Q213" i="3"/>
  <c r="R213" i="3" s="1"/>
  <c r="Q209" i="3"/>
  <c r="R209" i="3" s="1"/>
  <c r="Q205" i="3"/>
  <c r="R205" i="3" s="1"/>
  <c r="Q201" i="3"/>
  <c r="R201" i="3" s="1"/>
  <c r="Q197" i="3"/>
  <c r="R197" i="3" s="1"/>
  <c r="Q193" i="3"/>
  <c r="R193" i="3" s="1"/>
  <c r="Q189" i="3"/>
  <c r="R189" i="3" s="1"/>
  <c r="Q185" i="3"/>
  <c r="R185" i="3" s="1"/>
  <c r="Q181" i="3"/>
  <c r="R181" i="3" s="1"/>
  <c r="Q177" i="3"/>
  <c r="R177" i="3" s="1"/>
  <c r="Q173" i="3"/>
  <c r="R173" i="3" s="1"/>
  <c r="Q169" i="3"/>
  <c r="R169" i="3" s="1"/>
  <c r="Q165" i="3"/>
  <c r="R165" i="3" s="1"/>
  <c r="Q161" i="3"/>
  <c r="R161" i="3" s="1"/>
  <c r="Q157" i="3"/>
  <c r="R157" i="3" s="1"/>
  <c r="Q153" i="3"/>
  <c r="R153" i="3" s="1"/>
  <c r="Q149" i="3"/>
  <c r="R149" i="3" s="1"/>
  <c r="Q145" i="3"/>
  <c r="R145" i="3" s="1"/>
  <c r="Q141" i="3"/>
  <c r="R141" i="3" s="1"/>
  <c r="Q137" i="3"/>
  <c r="R137" i="3" s="1"/>
  <c r="Q133" i="3"/>
  <c r="R133" i="3" s="1"/>
  <c r="Q129" i="3"/>
  <c r="R129" i="3" s="1"/>
  <c r="Q125" i="3"/>
  <c r="R125" i="3" s="1"/>
  <c r="Q121" i="3"/>
  <c r="R121" i="3" s="1"/>
  <c r="Q117" i="3"/>
  <c r="R117" i="3" s="1"/>
  <c r="Q113" i="3"/>
  <c r="R113" i="3" s="1"/>
  <c r="Q109" i="3"/>
  <c r="R109" i="3" s="1"/>
  <c r="Q105" i="3"/>
  <c r="R105" i="3" s="1"/>
  <c r="Q101" i="3"/>
  <c r="R101" i="3" s="1"/>
  <c r="Q97" i="3"/>
  <c r="R97" i="3" s="1"/>
  <c r="Q93" i="3"/>
  <c r="R93" i="3" s="1"/>
  <c r="Q89" i="3"/>
  <c r="R89" i="3" s="1"/>
  <c r="Q85" i="3"/>
  <c r="R85" i="3" s="1"/>
  <c r="Q81" i="3"/>
  <c r="R81" i="3" s="1"/>
  <c r="Q77" i="3"/>
  <c r="R77" i="3" s="1"/>
  <c r="Q73" i="3"/>
  <c r="R73" i="3" s="1"/>
  <c r="Q69" i="3"/>
  <c r="R69" i="3" s="1"/>
  <c r="Q65" i="3"/>
  <c r="R65" i="3" s="1"/>
  <c r="Q61" i="3"/>
  <c r="R61" i="3" s="1"/>
  <c r="Q57" i="3"/>
  <c r="R57" i="3" s="1"/>
  <c r="Q53" i="3"/>
  <c r="R53" i="3" s="1"/>
  <c r="Q49" i="3"/>
  <c r="R49" i="3" s="1"/>
  <c r="Q45" i="3"/>
  <c r="R45" i="3" s="1"/>
  <c r="Q41" i="3"/>
  <c r="R41" i="3" s="1"/>
  <c r="Q2016" i="3"/>
  <c r="R2016" i="3" s="1"/>
  <c r="Q2012" i="3"/>
  <c r="R2012" i="3" s="1"/>
  <c r="Q2008" i="3"/>
  <c r="R2008" i="3" s="1"/>
  <c r="Q2004" i="3"/>
  <c r="R2004" i="3" s="1"/>
  <c r="Q2000" i="3"/>
  <c r="R2000" i="3" s="1"/>
  <c r="Q1996" i="3"/>
  <c r="R1996" i="3" s="1"/>
  <c r="Q1992" i="3"/>
  <c r="R1992" i="3" s="1"/>
  <c r="Q1988" i="3"/>
  <c r="R1988" i="3" s="1"/>
  <c r="Q1984" i="3"/>
  <c r="R1984" i="3" s="1"/>
  <c r="Q1980" i="3"/>
  <c r="R1980" i="3" s="1"/>
  <c r="Q1976" i="3"/>
  <c r="R1976" i="3" s="1"/>
  <c r="Q1972" i="3"/>
  <c r="R1972" i="3" s="1"/>
  <c r="Q1968" i="3"/>
  <c r="R1968" i="3" s="1"/>
  <c r="Q1964" i="3"/>
  <c r="R1964" i="3" s="1"/>
  <c r="Q1960" i="3"/>
  <c r="R1960" i="3" s="1"/>
  <c r="Q1956" i="3"/>
  <c r="R1956" i="3" s="1"/>
  <c r="Q1952" i="3"/>
  <c r="R1952" i="3" s="1"/>
  <c r="Q1948" i="3"/>
  <c r="R1948" i="3" s="1"/>
  <c r="Q1944" i="3"/>
  <c r="R1944" i="3" s="1"/>
  <c r="Q1940" i="3"/>
  <c r="R1940" i="3" s="1"/>
  <c r="Q1936" i="3"/>
  <c r="R1936" i="3" s="1"/>
  <c r="Q1932" i="3"/>
  <c r="R1932" i="3" s="1"/>
  <c r="Q1928" i="3"/>
  <c r="R1928" i="3" s="1"/>
  <c r="Q1924" i="3"/>
  <c r="R1924" i="3" s="1"/>
  <c r="Q1920" i="3"/>
  <c r="R1920" i="3" s="1"/>
  <c r="Q1916" i="3"/>
  <c r="R1916" i="3" s="1"/>
  <c r="Q1912" i="3"/>
  <c r="R1912" i="3" s="1"/>
  <c r="Q1908" i="3"/>
  <c r="R1908" i="3" s="1"/>
  <c r="Q1904" i="3"/>
  <c r="R1904" i="3" s="1"/>
  <c r="Q1900" i="3"/>
  <c r="R1900" i="3" s="1"/>
  <c r="Q1896" i="3"/>
  <c r="R1896" i="3" s="1"/>
  <c r="Q1892" i="3"/>
  <c r="R1892" i="3" s="1"/>
  <c r="Q1888" i="3"/>
  <c r="R1888" i="3" s="1"/>
  <c r="Q1884" i="3"/>
  <c r="R1884" i="3" s="1"/>
  <c r="Q1880" i="3"/>
  <c r="R1880" i="3" s="1"/>
  <c r="Q1876" i="3"/>
  <c r="R1876" i="3" s="1"/>
  <c r="Q1872" i="3"/>
  <c r="R1872" i="3" s="1"/>
  <c r="Q1868" i="3"/>
  <c r="R1868" i="3" s="1"/>
  <c r="Q1864" i="3"/>
  <c r="R1864" i="3" s="1"/>
  <c r="Q1860" i="3"/>
  <c r="R1860" i="3" s="1"/>
  <c r="Q1856" i="3"/>
  <c r="R1856" i="3" s="1"/>
  <c r="Q1852" i="3"/>
  <c r="R1852" i="3" s="1"/>
  <c r="Q1848" i="3"/>
  <c r="R1848" i="3" s="1"/>
  <c r="Q1844" i="3"/>
  <c r="R1844" i="3" s="1"/>
  <c r="Q1840" i="3"/>
  <c r="R1840" i="3" s="1"/>
  <c r="Q1836" i="3"/>
  <c r="R1836" i="3" s="1"/>
  <c r="Q1832" i="3"/>
  <c r="R1832" i="3" s="1"/>
  <c r="Q1828" i="3"/>
  <c r="R1828" i="3" s="1"/>
  <c r="Q1824" i="3"/>
  <c r="R1824" i="3" s="1"/>
  <c r="Q1820" i="3"/>
  <c r="R1820" i="3" s="1"/>
  <c r="Q1816" i="3"/>
  <c r="R1816" i="3" s="1"/>
  <c r="Q1812" i="3"/>
  <c r="R1812" i="3" s="1"/>
  <c r="Q1808" i="3"/>
  <c r="R1808" i="3" s="1"/>
  <c r="Q1804" i="3"/>
  <c r="R1804" i="3" s="1"/>
  <c r="Q1800" i="3"/>
  <c r="R1800" i="3" s="1"/>
  <c r="Q1796" i="3"/>
  <c r="R1796" i="3" s="1"/>
  <c r="Q1792" i="3"/>
  <c r="R1792" i="3" s="1"/>
  <c r="Q1788" i="3"/>
  <c r="R1788" i="3" s="1"/>
  <c r="Q1784" i="3"/>
  <c r="R1784" i="3" s="1"/>
  <c r="Q1780" i="3"/>
  <c r="R1780" i="3" s="1"/>
  <c r="Q1776" i="3"/>
  <c r="R1776" i="3" s="1"/>
  <c r="Q1772" i="3"/>
  <c r="R1772" i="3" s="1"/>
  <c r="Q1768" i="3"/>
  <c r="R1768" i="3" s="1"/>
  <c r="Q1764" i="3"/>
  <c r="R1764" i="3" s="1"/>
  <c r="Q1760" i="3"/>
  <c r="R1760" i="3" s="1"/>
  <c r="Q1756" i="3"/>
  <c r="R1756" i="3" s="1"/>
  <c r="Q1752" i="3"/>
  <c r="R1752" i="3" s="1"/>
  <c r="Q1748" i="3"/>
  <c r="R1748" i="3" s="1"/>
  <c r="Q1744" i="3"/>
  <c r="R1744" i="3" s="1"/>
  <c r="Q1740" i="3"/>
  <c r="R1740" i="3" s="1"/>
  <c r="Q1736" i="3"/>
  <c r="R1736" i="3" s="1"/>
  <c r="Q1732" i="3"/>
  <c r="R1732" i="3" s="1"/>
  <c r="Q1728" i="3"/>
  <c r="R1728" i="3" s="1"/>
  <c r="Q1724" i="3"/>
  <c r="R1724" i="3" s="1"/>
  <c r="Q1720" i="3"/>
  <c r="R1720" i="3" s="1"/>
  <c r="Q1716" i="3"/>
  <c r="R1716" i="3" s="1"/>
  <c r="Q1712" i="3"/>
  <c r="R1712" i="3" s="1"/>
  <c r="Q1708" i="3"/>
  <c r="R1708" i="3" s="1"/>
  <c r="Q1704" i="3"/>
  <c r="R1704" i="3" s="1"/>
  <c r="Q1700" i="3"/>
  <c r="R1700" i="3" s="1"/>
  <c r="Q1696" i="3"/>
  <c r="R1696" i="3" s="1"/>
  <c r="Q1692" i="3"/>
  <c r="R1692" i="3" s="1"/>
  <c r="Q1688" i="3"/>
  <c r="R1688" i="3" s="1"/>
  <c r="Q1684" i="3"/>
  <c r="R1684" i="3" s="1"/>
  <c r="Q1680" i="3"/>
  <c r="R1680" i="3" s="1"/>
  <c r="Q1676" i="3"/>
  <c r="R1676" i="3" s="1"/>
  <c r="Q1672" i="3"/>
  <c r="R1672" i="3" s="1"/>
  <c r="Q1668" i="3"/>
  <c r="R1668" i="3" s="1"/>
  <c r="Q1664" i="3"/>
  <c r="R1664" i="3" s="1"/>
  <c r="Q1660" i="3"/>
  <c r="R1660" i="3" s="1"/>
  <c r="Q1656" i="3"/>
  <c r="R1656" i="3" s="1"/>
  <c r="Q1652" i="3"/>
  <c r="R1652" i="3" s="1"/>
  <c r="Q1648" i="3"/>
  <c r="R1648" i="3" s="1"/>
  <c r="Q1644" i="3"/>
  <c r="R1644" i="3" s="1"/>
  <c r="Q1640" i="3"/>
  <c r="R1640" i="3" s="1"/>
  <c r="Q1636" i="3"/>
  <c r="R1636" i="3" s="1"/>
  <c r="Q1632" i="3"/>
  <c r="R1632" i="3" s="1"/>
  <c r="Q1628" i="3"/>
  <c r="R1628" i="3" s="1"/>
  <c r="Q1624" i="3"/>
  <c r="R1624" i="3" s="1"/>
  <c r="Q1620" i="3"/>
  <c r="R1620" i="3" s="1"/>
  <c r="Q1616" i="3"/>
  <c r="R1616" i="3" s="1"/>
  <c r="Q1612" i="3"/>
  <c r="R1612" i="3" s="1"/>
  <c r="Q1608" i="3"/>
  <c r="R1608" i="3" s="1"/>
  <c r="Q1604" i="3"/>
  <c r="R1604" i="3" s="1"/>
  <c r="Q1600" i="3"/>
  <c r="R1600" i="3" s="1"/>
  <c r="Q1596" i="3"/>
  <c r="R1596" i="3" s="1"/>
  <c r="Q1592" i="3"/>
  <c r="R1592" i="3" s="1"/>
  <c r="Q1588" i="3"/>
  <c r="R1588" i="3" s="1"/>
  <c r="Q1584" i="3"/>
  <c r="R1584" i="3" s="1"/>
  <c r="Q1580" i="3"/>
  <c r="R1580" i="3" s="1"/>
  <c r="Q1576" i="3"/>
  <c r="R1576" i="3" s="1"/>
  <c r="Q1572" i="3"/>
  <c r="R1572" i="3" s="1"/>
  <c r="Q1568" i="3"/>
  <c r="R1568" i="3" s="1"/>
  <c r="Q1564" i="3"/>
  <c r="R1564" i="3" s="1"/>
  <c r="Q1560" i="3"/>
  <c r="R1560" i="3" s="1"/>
  <c r="Q1556" i="3"/>
  <c r="R1556" i="3" s="1"/>
  <c r="Q1552" i="3"/>
  <c r="R1552" i="3" s="1"/>
  <c r="Q1548" i="3"/>
  <c r="R1548" i="3" s="1"/>
  <c r="Q1544" i="3"/>
  <c r="R1544" i="3" s="1"/>
  <c r="Q1540" i="3"/>
  <c r="R1540" i="3" s="1"/>
  <c r="Q1536" i="3"/>
  <c r="R1536" i="3" s="1"/>
  <c r="Q1532" i="3"/>
  <c r="R1532" i="3" s="1"/>
  <c r="Q1528" i="3"/>
  <c r="R1528" i="3" s="1"/>
  <c r="Q1524" i="3"/>
  <c r="R1524" i="3" s="1"/>
  <c r="Q1520" i="3"/>
  <c r="R1520" i="3" s="1"/>
  <c r="Q1516" i="3"/>
  <c r="R1516" i="3" s="1"/>
  <c r="Q1512" i="3"/>
  <c r="R1512" i="3" s="1"/>
  <c r="Q1508" i="3"/>
  <c r="R1508" i="3" s="1"/>
  <c r="Q1504" i="3"/>
  <c r="R1504" i="3" s="1"/>
  <c r="Q1500" i="3"/>
  <c r="R1500" i="3" s="1"/>
  <c r="Q1496" i="3"/>
  <c r="R1496" i="3" s="1"/>
  <c r="Q1492" i="3"/>
  <c r="R1492" i="3" s="1"/>
  <c r="Q1488" i="3"/>
  <c r="R1488" i="3" s="1"/>
  <c r="Q1484" i="3"/>
  <c r="R1484" i="3" s="1"/>
  <c r="Q1480" i="3"/>
  <c r="R1480" i="3" s="1"/>
  <c r="Q1476" i="3"/>
  <c r="R1476" i="3" s="1"/>
  <c r="Q1472" i="3"/>
  <c r="R1472" i="3" s="1"/>
  <c r="Q1468" i="3"/>
  <c r="R1468" i="3" s="1"/>
  <c r="Q1464" i="3"/>
  <c r="R1464" i="3" s="1"/>
  <c r="Q1460" i="3"/>
  <c r="R1460" i="3" s="1"/>
  <c r="Q1456" i="3"/>
  <c r="R1456" i="3" s="1"/>
  <c r="Q1452" i="3"/>
  <c r="R1452" i="3" s="1"/>
  <c r="Q1448" i="3"/>
  <c r="R1448" i="3" s="1"/>
  <c r="Q1444" i="3"/>
  <c r="R1444" i="3" s="1"/>
  <c r="Q1440" i="3"/>
  <c r="R1440" i="3" s="1"/>
  <c r="Q1436" i="3"/>
  <c r="R1436" i="3" s="1"/>
  <c r="Q1432" i="3"/>
  <c r="R1432" i="3" s="1"/>
  <c r="Q1428" i="3"/>
  <c r="R1428" i="3" s="1"/>
  <c r="Q1424" i="3"/>
  <c r="R1424" i="3" s="1"/>
  <c r="Q1420" i="3"/>
  <c r="R1420" i="3" s="1"/>
  <c r="Q1416" i="3"/>
  <c r="R1416" i="3" s="1"/>
  <c r="Q1412" i="3"/>
  <c r="R1412" i="3" s="1"/>
  <c r="Q1408" i="3"/>
  <c r="R1408" i="3" s="1"/>
  <c r="Q1404" i="3"/>
  <c r="R1404" i="3" s="1"/>
  <c r="Q1400" i="3"/>
  <c r="R1400" i="3" s="1"/>
  <c r="Q1396" i="3"/>
  <c r="R1396" i="3" s="1"/>
  <c r="Q1392" i="3"/>
  <c r="R1392" i="3" s="1"/>
  <c r="Q1388" i="3"/>
  <c r="R1388" i="3" s="1"/>
  <c r="Q1384" i="3"/>
  <c r="R1384" i="3" s="1"/>
  <c r="Q1380" i="3"/>
  <c r="R1380" i="3" s="1"/>
  <c r="Q1376" i="3"/>
  <c r="R1376" i="3" s="1"/>
  <c r="Q1372" i="3"/>
  <c r="R1372" i="3" s="1"/>
  <c r="Q1368" i="3"/>
  <c r="R1368" i="3" s="1"/>
  <c r="Q1364" i="3"/>
  <c r="R1364" i="3" s="1"/>
  <c r="Q1360" i="3"/>
  <c r="R1360" i="3" s="1"/>
  <c r="Q1356" i="3"/>
  <c r="R1356" i="3" s="1"/>
  <c r="Q1352" i="3"/>
  <c r="R1352" i="3" s="1"/>
  <c r="Q1348" i="3"/>
  <c r="R1348" i="3" s="1"/>
  <c r="Q1344" i="3"/>
  <c r="R1344" i="3" s="1"/>
  <c r="Q1340" i="3"/>
  <c r="R1340" i="3" s="1"/>
  <c r="Q1336" i="3"/>
  <c r="R1336" i="3" s="1"/>
  <c r="Q1332" i="3"/>
  <c r="R1332" i="3" s="1"/>
  <c r="Q1328" i="3"/>
  <c r="R1328" i="3" s="1"/>
  <c r="Q1324" i="3"/>
  <c r="R1324" i="3" s="1"/>
  <c r="Q1320" i="3"/>
  <c r="R1320" i="3" s="1"/>
  <c r="Q1316" i="3"/>
  <c r="R1316" i="3" s="1"/>
  <c r="Q1312" i="3"/>
  <c r="R1312" i="3" s="1"/>
  <c r="Q1308" i="3"/>
  <c r="R1308" i="3" s="1"/>
  <c r="Q1304" i="3"/>
  <c r="R1304" i="3" s="1"/>
  <c r="Q1300" i="3"/>
  <c r="R1300" i="3" s="1"/>
  <c r="Q1296" i="3"/>
  <c r="R1296" i="3" s="1"/>
  <c r="Q1292" i="3"/>
  <c r="R1292" i="3" s="1"/>
  <c r="Q1288" i="3"/>
  <c r="R1288" i="3" s="1"/>
  <c r="Q1284" i="3"/>
  <c r="R1284" i="3" s="1"/>
  <c r="Q1280" i="3"/>
  <c r="R1280" i="3" s="1"/>
  <c r="Q1276" i="3"/>
  <c r="R1276" i="3" s="1"/>
  <c r="Q1272" i="3"/>
  <c r="R1272" i="3" s="1"/>
  <c r="Q1268" i="3"/>
  <c r="R1268" i="3" s="1"/>
  <c r="Q1264" i="3"/>
  <c r="R1264" i="3" s="1"/>
  <c r="Q1260" i="3"/>
  <c r="R1260" i="3" s="1"/>
  <c r="Q1256" i="3"/>
  <c r="R1256" i="3" s="1"/>
  <c r="Q1252" i="3"/>
  <c r="R1252" i="3" s="1"/>
  <c r="Q1248" i="3"/>
  <c r="R1248" i="3" s="1"/>
  <c r="Q1244" i="3"/>
  <c r="R1244" i="3" s="1"/>
  <c r="Q1240" i="3"/>
  <c r="R1240" i="3" s="1"/>
  <c r="Q1236" i="3"/>
  <c r="R1236" i="3" s="1"/>
  <c r="Q1232" i="3"/>
  <c r="R1232" i="3" s="1"/>
  <c r="Q1228" i="3"/>
  <c r="R1228" i="3" s="1"/>
  <c r="Q1224" i="3"/>
  <c r="R1224" i="3" s="1"/>
  <c r="Q1220" i="3"/>
  <c r="R1220" i="3" s="1"/>
  <c r="Q1216" i="3"/>
  <c r="R1216" i="3" s="1"/>
  <c r="Q1212" i="3"/>
  <c r="R1212" i="3" s="1"/>
  <c r="Q1208" i="3"/>
  <c r="R1208" i="3" s="1"/>
  <c r="Q1204" i="3"/>
  <c r="R1204" i="3" s="1"/>
  <c r="Q1200" i="3"/>
  <c r="R1200" i="3" s="1"/>
  <c r="Q1196" i="3"/>
  <c r="R1196" i="3" s="1"/>
  <c r="Q1192" i="3"/>
  <c r="R1192" i="3" s="1"/>
  <c r="Q1188" i="3"/>
  <c r="R1188" i="3" s="1"/>
  <c r="Q1184" i="3"/>
  <c r="R1184" i="3" s="1"/>
  <c r="Q1180" i="3"/>
  <c r="R1180" i="3" s="1"/>
  <c r="Q1176" i="3"/>
  <c r="R1176" i="3" s="1"/>
  <c r="Q1172" i="3"/>
  <c r="R1172" i="3" s="1"/>
  <c r="Q1168" i="3"/>
  <c r="R1168" i="3" s="1"/>
  <c r="Q1164" i="3"/>
  <c r="R1164" i="3" s="1"/>
  <c r="Q1160" i="3"/>
  <c r="R1160" i="3" s="1"/>
  <c r="Q1156" i="3"/>
  <c r="R1156" i="3" s="1"/>
  <c r="Q1152" i="3"/>
  <c r="R1152" i="3" s="1"/>
  <c r="Q1148" i="3"/>
  <c r="R1148" i="3" s="1"/>
  <c r="Q1144" i="3"/>
  <c r="R1144" i="3" s="1"/>
  <c r="Q1140" i="3"/>
  <c r="R1140" i="3" s="1"/>
  <c r="Q1136" i="3"/>
  <c r="R1136" i="3" s="1"/>
  <c r="Q1132" i="3"/>
  <c r="R1132" i="3" s="1"/>
  <c r="Q1128" i="3"/>
  <c r="R1128" i="3" s="1"/>
  <c r="Q1124" i="3"/>
  <c r="R1124" i="3" s="1"/>
  <c r="Q1120" i="3"/>
  <c r="R1120" i="3" s="1"/>
  <c r="Q1116" i="3"/>
  <c r="R1116" i="3" s="1"/>
  <c r="Q1112" i="3"/>
  <c r="R1112" i="3" s="1"/>
  <c r="Q1108" i="3"/>
  <c r="R1108" i="3" s="1"/>
  <c r="Q1104" i="3"/>
  <c r="R1104" i="3" s="1"/>
  <c r="Q1100" i="3"/>
  <c r="R1100" i="3" s="1"/>
  <c r="Q1096" i="3"/>
  <c r="R1096" i="3" s="1"/>
  <c r="Q1092" i="3"/>
  <c r="R1092" i="3" s="1"/>
  <c r="Q1088" i="3"/>
  <c r="R1088" i="3" s="1"/>
  <c r="Q1084" i="3"/>
  <c r="R1084" i="3" s="1"/>
  <c r="Q1080" i="3"/>
  <c r="R1080" i="3" s="1"/>
  <c r="Q1076" i="3"/>
  <c r="R1076" i="3" s="1"/>
  <c r="Q1072" i="3"/>
  <c r="R1072" i="3" s="1"/>
  <c r="Q1068" i="3"/>
  <c r="R1068" i="3" s="1"/>
  <c r="Q1064" i="3"/>
  <c r="R1064" i="3" s="1"/>
  <c r="Q1060" i="3"/>
  <c r="R1060" i="3" s="1"/>
  <c r="Q1056" i="3"/>
  <c r="R1056" i="3" s="1"/>
  <c r="Q1052" i="3"/>
  <c r="R1052" i="3" s="1"/>
  <c r="Q1048" i="3"/>
  <c r="R1048" i="3" s="1"/>
  <c r="Q1044" i="3"/>
  <c r="R1044" i="3" s="1"/>
  <c r="Q1040" i="3"/>
  <c r="R1040" i="3" s="1"/>
  <c r="Q1036" i="3"/>
  <c r="R1036" i="3" s="1"/>
  <c r="Q1032" i="3"/>
  <c r="R1032" i="3" s="1"/>
  <c r="Q1028" i="3"/>
  <c r="R1028" i="3" s="1"/>
  <c r="Q1024" i="3"/>
  <c r="R1024" i="3" s="1"/>
  <c r="Q1020" i="3"/>
  <c r="R1020" i="3" s="1"/>
  <c r="Q1016" i="3"/>
  <c r="R1016" i="3" s="1"/>
  <c r="Q1012" i="3"/>
  <c r="R1012" i="3" s="1"/>
  <c r="Q1008" i="3"/>
  <c r="R1008" i="3" s="1"/>
  <c r="Q1004" i="3"/>
  <c r="R1004" i="3" s="1"/>
  <c r="Q1000" i="3"/>
  <c r="R1000" i="3" s="1"/>
  <c r="Q996" i="3"/>
  <c r="R996" i="3" s="1"/>
  <c r="Q992" i="3"/>
  <c r="R992" i="3" s="1"/>
  <c r="Q988" i="3"/>
  <c r="R988" i="3" s="1"/>
  <c r="Q984" i="3"/>
  <c r="R984" i="3" s="1"/>
  <c r="Q980" i="3"/>
  <c r="R980" i="3" s="1"/>
  <c r="Q976" i="3"/>
  <c r="R976" i="3" s="1"/>
  <c r="Q972" i="3"/>
  <c r="R972" i="3" s="1"/>
  <c r="Q968" i="3"/>
  <c r="R968" i="3" s="1"/>
  <c r="Q964" i="3"/>
  <c r="R964" i="3" s="1"/>
  <c r="Q960" i="3"/>
  <c r="R960" i="3" s="1"/>
  <c r="Q956" i="3"/>
  <c r="R956" i="3" s="1"/>
  <c r="Q952" i="3"/>
  <c r="R952" i="3" s="1"/>
  <c r="Q948" i="3"/>
  <c r="R948" i="3" s="1"/>
  <c r="Q944" i="3"/>
  <c r="R944" i="3" s="1"/>
  <c r="Q940" i="3"/>
  <c r="R940" i="3" s="1"/>
  <c r="Q936" i="3"/>
  <c r="R936" i="3" s="1"/>
  <c r="Q932" i="3"/>
  <c r="R932" i="3" s="1"/>
  <c r="Q928" i="3"/>
  <c r="R928" i="3" s="1"/>
  <c r="Q924" i="3"/>
  <c r="R924" i="3" s="1"/>
  <c r="Q920" i="3"/>
  <c r="R920" i="3" s="1"/>
  <c r="Q916" i="3"/>
  <c r="R916" i="3" s="1"/>
  <c r="Q912" i="3"/>
  <c r="R912" i="3" s="1"/>
  <c r="Q908" i="3"/>
  <c r="R908" i="3" s="1"/>
  <c r="Q904" i="3"/>
  <c r="R904" i="3" s="1"/>
  <c r="Q900" i="3"/>
  <c r="R900" i="3" s="1"/>
  <c r="Q896" i="3"/>
  <c r="R896" i="3" s="1"/>
  <c r="Q892" i="3"/>
  <c r="R892" i="3" s="1"/>
  <c r="Q888" i="3"/>
  <c r="R888" i="3" s="1"/>
  <c r="Q884" i="3"/>
  <c r="R884" i="3" s="1"/>
  <c r="Q880" i="3"/>
  <c r="R880" i="3" s="1"/>
  <c r="Q876" i="3"/>
  <c r="R876" i="3" s="1"/>
  <c r="Q872" i="3"/>
  <c r="R872" i="3" s="1"/>
  <c r="Q868" i="3"/>
  <c r="R868" i="3" s="1"/>
  <c r="Q864" i="3"/>
  <c r="R864" i="3" s="1"/>
  <c r="Q860" i="3"/>
  <c r="R860" i="3" s="1"/>
  <c r="Q856" i="3"/>
  <c r="R856" i="3" s="1"/>
  <c r="Q852" i="3"/>
  <c r="R852" i="3" s="1"/>
  <c r="Q848" i="3"/>
  <c r="R848" i="3" s="1"/>
  <c r="Q844" i="3"/>
  <c r="R844" i="3" s="1"/>
  <c r="Q840" i="3"/>
  <c r="R840" i="3" s="1"/>
  <c r="Q836" i="3"/>
  <c r="R836" i="3" s="1"/>
  <c r="Q832" i="3"/>
  <c r="R832" i="3" s="1"/>
  <c r="Q828" i="3"/>
  <c r="R828" i="3" s="1"/>
  <c r="Q824" i="3"/>
  <c r="R824" i="3" s="1"/>
  <c r="Q820" i="3"/>
  <c r="R820" i="3" s="1"/>
  <c r="Q816" i="3"/>
  <c r="R816" i="3" s="1"/>
  <c r="Q812" i="3"/>
  <c r="R812" i="3" s="1"/>
  <c r="Q808" i="3"/>
  <c r="R808" i="3" s="1"/>
  <c r="Q804" i="3"/>
  <c r="R804" i="3" s="1"/>
  <c r="Q800" i="3"/>
  <c r="R800" i="3" s="1"/>
  <c r="Q796" i="3"/>
  <c r="R796" i="3" s="1"/>
  <c r="Q792" i="3"/>
  <c r="R792" i="3" s="1"/>
  <c r="Q788" i="3"/>
  <c r="R788" i="3" s="1"/>
  <c r="Q784" i="3"/>
  <c r="R784" i="3" s="1"/>
  <c r="Q780" i="3"/>
  <c r="R780" i="3" s="1"/>
  <c r="Q776" i="3"/>
  <c r="R776" i="3" s="1"/>
  <c r="Q772" i="3"/>
  <c r="R772" i="3" s="1"/>
  <c r="Q768" i="3"/>
  <c r="R768" i="3" s="1"/>
  <c r="Q764" i="3"/>
  <c r="R764" i="3" s="1"/>
  <c r="Q760" i="3"/>
  <c r="R760" i="3" s="1"/>
  <c r="Q756" i="3"/>
  <c r="R756" i="3" s="1"/>
  <c r="Q752" i="3"/>
  <c r="R752" i="3" s="1"/>
  <c r="Q748" i="3"/>
  <c r="R748" i="3" s="1"/>
  <c r="Q744" i="3"/>
  <c r="R744" i="3" s="1"/>
  <c r="Q740" i="3"/>
  <c r="R740" i="3" s="1"/>
  <c r="Q736" i="3"/>
  <c r="R736" i="3" s="1"/>
  <c r="Q732" i="3"/>
  <c r="R732" i="3" s="1"/>
  <c r="Q728" i="3"/>
  <c r="R728" i="3" s="1"/>
  <c r="Q724" i="3"/>
  <c r="R724" i="3" s="1"/>
  <c r="Q720" i="3"/>
  <c r="R720" i="3" s="1"/>
  <c r="Q716" i="3"/>
  <c r="R716" i="3" s="1"/>
  <c r="Q712" i="3"/>
  <c r="R712" i="3" s="1"/>
  <c r="Q708" i="3"/>
  <c r="R708" i="3" s="1"/>
  <c r="Q704" i="3"/>
  <c r="R704" i="3" s="1"/>
  <c r="Q700" i="3"/>
  <c r="R700" i="3" s="1"/>
  <c r="Q696" i="3"/>
  <c r="R696" i="3" s="1"/>
  <c r="Q692" i="3"/>
  <c r="R692" i="3" s="1"/>
  <c r="Q688" i="3"/>
  <c r="R688" i="3" s="1"/>
  <c r="Q684" i="3"/>
  <c r="R684" i="3" s="1"/>
  <c r="Q680" i="3"/>
  <c r="R680" i="3" s="1"/>
  <c r="Q676" i="3"/>
  <c r="R676" i="3" s="1"/>
  <c r="Q672" i="3"/>
  <c r="R672" i="3" s="1"/>
  <c r="Q668" i="3"/>
  <c r="R668" i="3" s="1"/>
  <c r="Q664" i="3"/>
  <c r="R664" i="3" s="1"/>
  <c r="Q660" i="3"/>
  <c r="R660" i="3" s="1"/>
  <c r="Q656" i="3"/>
  <c r="R656" i="3" s="1"/>
  <c r="Q652" i="3"/>
  <c r="R652" i="3" s="1"/>
  <c r="Q648" i="3"/>
  <c r="R648" i="3" s="1"/>
  <c r="Q644" i="3"/>
  <c r="R644" i="3" s="1"/>
  <c r="Q640" i="3"/>
  <c r="R640" i="3" s="1"/>
  <c r="Q636" i="3"/>
  <c r="R636" i="3" s="1"/>
  <c r="Q632" i="3"/>
  <c r="R632" i="3" s="1"/>
  <c r="Q628" i="3"/>
  <c r="R628" i="3" s="1"/>
  <c r="Q624" i="3"/>
  <c r="R624" i="3" s="1"/>
  <c r="Q620" i="3"/>
  <c r="R620" i="3" s="1"/>
  <c r="Q616" i="3"/>
  <c r="R616" i="3" s="1"/>
  <c r="Q612" i="3"/>
  <c r="R612" i="3" s="1"/>
  <c r="Q608" i="3"/>
  <c r="R608" i="3" s="1"/>
  <c r="Q604" i="3"/>
  <c r="R604" i="3" s="1"/>
  <c r="Q600" i="3"/>
  <c r="R600" i="3" s="1"/>
  <c r="Q596" i="3"/>
  <c r="R596" i="3" s="1"/>
  <c r="Q592" i="3"/>
  <c r="R592" i="3" s="1"/>
  <c r="Q588" i="3"/>
  <c r="R588" i="3" s="1"/>
  <c r="Q584" i="3"/>
  <c r="R584" i="3" s="1"/>
  <c r="Q580" i="3"/>
  <c r="R580" i="3" s="1"/>
  <c r="Q576" i="3"/>
  <c r="R576" i="3" s="1"/>
  <c r="Q572" i="3"/>
  <c r="R572" i="3" s="1"/>
  <c r="Q568" i="3"/>
  <c r="R568" i="3" s="1"/>
  <c r="Q564" i="3"/>
  <c r="R564" i="3" s="1"/>
  <c r="Q560" i="3"/>
  <c r="R560" i="3" s="1"/>
  <c r="Q556" i="3"/>
  <c r="R556" i="3" s="1"/>
  <c r="Q552" i="3"/>
  <c r="R552" i="3" s="1"/>
  <c r="Q548" i="3"/>
  <c r="R548" i="3" s="1"/>
  <c r="Q544" i="3"/>
  <c r="R544" i="3" s="1"/>
  <c r="Q540" i="3"/>
  <c r="R540" i="3" s="1"/>
  <c r="Q536" i="3"/>
  <c r="R536" i="3" s="1"/>
  <c r="Q532" i="3"/>
  <c r="R532" i="3" s="1"/>
  <c r="Q528" i="3"/>
  <c r="R528" i="3" s="1"/>
  <c r="Q524" i="3"/>
  <c r="R524" i="3" s="1"/>
  <c r="Q520" i="3"/>
  <c r="R520" i="3" s="1"/>
  <c r="Q516" i="3"/>
  <c r="R516" i="3" s="1"/>
  <c r="Q512" i="3"/>
  <c r="R512" i="3" s="1"/>
  <c r="Q508" i="3"/>
  <c r="R508" i="3" s="1"/>
  <c r="Q504" i="3"/>
  <c r="R504" i="3" s="1"/>
  <c r="Q500" i="3"/>
  <c r="R500" i="3" s="1"/>
  <c r="Q496" i="3"/>
  <c r="R496" i="3" s="1"/>
  <c r="Q492" i="3"/>
  <c r="R492" i="3" s="1"/>
  <c r="Q488" i="3"/>
  <c r="R488" i="3" s="1"/>
  <c r="Q484" i="3"/>
  <c r="R484" i="3" s="1"/>
  <c r="Q480" i="3"/>
  <c r="R480" i="3" s="1"/>
  <c r="Q476" i="3"/>
  <c r="R476" i="3" s="1"/>
  <c r="Q472" i="3"/>
  <c r="R472" i="3" s="1"/>
  <c r="Q468" i="3"/>
  <c r="R468" i="3" s="1"/>
  <c r="Q464" i="3"/>
  <c r="R464" i="3" s="1"/>
  <c r="Q460" i="3"/>
  <c r="R460" i="3" s="1"/>
  <c r="Q456" i="3"/>
  <c r="R456" i="3" s="1"/>
  <c r="Q452" i="3"/>
  <c r="R452" i="3" s="1"/>
  <c r="Q448" i="3"/>
  <c r="R448" i="3" s="1"/>
  <c r="Q444" i="3"/>
  <c r="R444" i="3" s="1"/>
  <c r="Q440" i="3"/>
  <c r="R440" i="3" s="1"/>
  <c r="Q436" i="3"/>
  <c r="R436" i="3" s="1"/>
  <c r="Q432" i="3"/>
  <c r="R432" i="3" s="1"/>
  <c r="Q428" i="3"/>
  <c r="R428" i="3" s="1"/>
  <c r="Q424" i="3"/>
  <c r="R424" i="3" s="1"/>
  <c r="Q420" i="3"/>
  <c r="R420" i="3" s="1"/>
  <c r="Q416" i="3"/>
  <c r="R416" i="3" s="1"/>
  <c r="Q412" i="3"/>
  <c r="R412" i="3" s="1"/>
  <c r="Q408" i="3"/>
  <c r="R408" i="3" s="1"/>
  <c r="Q404" i="3"/>
  <c r="R404" i="3" s="1"/>
  <c r="Q400" i="3"/>
  <c r="R400" i="3" s="1"/>
  <c r="Q396" i="3"/>
  <c r="R396" i="3" s="1"/>
  <c r="Q392" i="3"/>
  <c r="R392" i="3" s="1"/>
  <c r="Q388" i="3"/>
  <c r="R388" i="3" s="1"/>
  <c r="Q384" i="3"/>
  <c r="R384" i="3" s="1"/>
  <c r="Q380" i="3"/>
  <c r="R380" i="3" s="1"/>
  <c r="Q376" i="3"/>
  <c r="R376" i="3" s="1"/>
  <c r="Q372" i="3"/>
  <c r="R372" i="3" s="1"/>
  <c r="Q368" i="3"/>
  <c r="R368" i="3" s="1"/>
  <c r="Q364" i="3"/>
  <c r="R364" i="3" s="1"/>
  <c r="Q360" i="3"/>
  <c r="R360" i="3" s="1"/>
  <c r="Q356" i="3"/>
  <c r="R356" i="3" s="1"/>
  <c r="Q352" i="3"/>
  <c r="R352" i="3" s="1"/>
  <c r="Q348" i="3"/>
  <c r="R348" i="3" s="1"/>
  <c r="Q344" i="3"/>
  <c r="R344" i="3" s="1"/>
  <c r="Q340" i="3"/>
  <c r="R340" i="3" s="1"/>
  <c r="Q336" i="3"/>
  <c r="R336" i="3" s="1"/>
  <c r="Q332" i="3"/>
  <c r="R332" i="3" s="1"/>
  <c r="Q328" i="3"/>
  <c r="R328" i="3" s="1"/>
  <c r="Q324" i="3"/>
  <c r="R324" i="3" s="1"/>
  <c r="Q320" i="3"/>
  <c r="R320" i="3" s="1"/>
  <c r="Q316" i="3"/>
  <c r="R316" i="3" s="1"/>
  <c r="Q312" i="3"/>
  <c r="R312" i="3" s="1"/>
  <c r="Q308" i="3"/>
  <c r="R308" i="3" s="1"/>
  <c r="Q304" i="3"/>
  <c r="R304" i="3" s="1"/>
  <c r="Q300" i="3"/>
  <c r="R300" i="3" s="1"/>
  <c r="Q296" i="3"/>
  <c r="R296" i="3" s="1"/>
  <c r="Q292" i="3"/>
  <c r="R292" i="3" s="1"/>
  <c r="Q288" i="3"/>
  <c r="R288" i="3" s="1"/>
  <c r="Q284" i="3"/>
  <c r="R284" i="3" s="1"/>
  <c r="Q280" i="3"/>
  <c r="R280" i="3" s="1"/>
  <c r="Q276" i="3"/>
  <c r="R276" i="3" s="1"/>
  <c r="Q272" i="3"/>
  <c r="R272" i="3" s="1"/>
  <c r="Q268" i="3"/>
  <c r="R268" i="3" s="1"/>
  <c r="Q264" i="3"/>
  <c r="R264" i="3" s="1"/>
  <c r="Q260" i="3"/>
  <c r="R260" i="3" s="1"/>
  <c r="Q256" i="3"/>
  <c r="R256" i="3" s="1"/>
  <c r="Q252" i="3"/>
  <c r="R252" i="3" s="1"/>
  <c r="Q248" i="3"/>
  <c r="R248" i="3" s="1"/>
  <c r="Q244" i="3"/>
  <c r="R244" i="3" s="1"/>
  <c r="Q240" i="3"/>
  <c r="R240" i="3" s="1"/>
  <c r="Q236" i="3"/>
  <c r="R236" i="3" s="1"/>
  <c r="Q232" i="3"/>
  <c r="R232" i="3" s="1"/>
  <c r="Q228" i="3"/>
  <c r="R228" i="3" s="1"/>
  <c r="Q224" i="3"/>
  <c r="R224" i="3" s="1"/>
  <c r="Q220" i="3"/>
  <c r="R220" i="3" s="1"/>
  <c r="Q216" i="3"/>
  <c r="R216" i="3" s="1"/>
  <c r="Q212" i="3"/>
  <c r="R212" i="3" s="1"/>
  <c r="Q208" i="3"/>
  <c r="R208" i="3" s="1"/>
  <c r="Q204" i="3"/>
  <c r="R204" i="3" s="1"/>
  <c r="Q200" i="3"/>
  <c r="R200" i="3" s="1"/>
  <c r="Q196" i="3"/>
  <c r="R196" i="3" s="1"/>
  <c r="Q192" i="3"/>
  <c r="R192" i="3" s="1"/>
  <c r="Q188" i="3"/>
  <c r="R188" i="3" s="1"/>
  <c r="Q184" i="3"/>
  <c r="R184" i="3" s="1"/>
  <c r="Q180" i="3"/>
  <c r="R180" i="3" s="1"/>
  <c r="Q176" i="3"/>
  <c r="R176" i="3" s="1"/>
  <c r="Q172" i="3"/>
  <c r="R172" i="3" s="1"/>
  <c r="Q168" i="3"/>
  <c r="R168" i="3" s="1"/>
  <c r="Q164" i="3"/>
  <c r="R164" i="3" s="1"/>
  <c r="Q160" i="3"/>
  <c r="R160" i="3" s="1"/>
  <c r="Q156" i="3"/>
  <c r="R156" i="3" s="1"/>
  <c r="Q152" i="3"/>
  <c r="R152" i="3" s="1"/>
  <c r="Q148" i="3"/>
  <c r="R148" i="3" s="1"/>
  <c r="Q144" i="3"/>
  <c r="R144" i="3" s="1"/>
  <c r="Q140" i="3"/>
  <c r="R140" i="3" s="1"/>
  <c r="Q136" i="3"/>
  <c r="R136" i="3" s="1"/>
  <c r="Q132" i="3"/>
  <c r="R132" i="3" s="1"/>
  <c r="Q128" i="3"/>
  <c r="R128" i="3" s="1"/>
  <c r="Q124" i="3"/>
  <c r="R124" i="3" s="1"/>
  <c r="Q120" i="3"/>
  <c r="R120" i="3" s="1"/>
  <c r="Q116" i="3"/>
  <c r="R116" i="3" s="1"/>
  <c r="Q112" i="3"/>
  <c r="R112" i="3" s="1"/>
  <c r="Q108" i="3"/>
  <c r="R108" i="3" s="1"/>
  <c r="Q104" i="3"/>
  <c r="R104" i="3" s="1"/>
  <c r="Q100" i="3"/>
  <c r="R100" i="3" s="1"/>
  <c r="Q96" i="3"/>
  <c r="R96" i="3" s="1"/>
  <c r="Q92" i="3"/>
  <c r="R92" i="3" s="1"/>
  <c r="Q88" i="3"/>
  <c r="R88" i="3" s="1"/>
  <c r="Q84" i="3"/>
  <c r="R84" i="3" s="1"/>
  <c r="Q80" i="3"/>
  <c r="R80" i="3" s="1"/>
  <c r="Q76" i="3"/>
  <c r="R76" i="3" s="1"/>
  <c r="Q72" i="3"/>
  <c r="R72" i="3" s="1"/>
  <c r="Q68" i="3"/>
  <c r="R68" i="3" s="1"/>
  <c r="Q64" i="3"/>
  <c r="R64" i="3" s="1"/>
  <c r="Q60" i="3"/>
  <c r="R60" i="3" s="1"/>
  <c r="Q56" i="3"/>
  <c r="R56" i="3" s="1"/>
  <c r="Q52" i="3"/>
  <c r="R52" i="3" s="1"/>
  <c r="Q48" i="3"/>
  <c r="R48" i="3" s="1"/>
  <c r="Q44" i="3"/>
  <c r="R44" i="3" s="1"/>
  <c r="Q40" i="3"/>
  <c r="R40" i="3" s="1"/>
  <c r="Q2015" i="3"/>
  <c r="R2015" i="3" s="1"/>
  <c r="Q2011" i="3"/>
  <c r="R2011" i="3" s="1"/>
  <c r="Q2007" i="3"/>
  <c r="R2007" i="3" s="1"/>
  <c r="Q2003" i="3"/>
  <c r="R2003" i="3" s="1"/>
  <c r="Q1999" i="3"/>
  <c r="R1999" i="3" s="1"/>
  <c r="Q1995" i="3"/>
  <c r="R1995" i="3" s="1"/>
  <c r="Q1991" i="3"/>
  <c r="R1991" i="3" s="1"/>
  <c r="Q1987" i="3"/>
  <c r="R1987" i="3" s="1"/>
  <c r="Q1983" i="3"/>
  <c r="R1983" i="3" s="1"/>
  <c r="Q1979" i="3"/>
  <c r="R1979" i="3" s="1"/>
  <c r="Q1975" i="3"/>
  <c r="R1975" i="3" s="1"/>
  <c r="Q1971" i="3"/>
  <c r="R1971" i="3" s="1"/>
  <c r="Q1967" i="3"/>
  <c r="R1967" i="3" s="1"/>
  <c r="Q1963" i="3"/>
  <c r="R1963" i="3" s="1"/>
  <c r="Q1959" i="3"/>
  <c r="R1959" i="3" s="1"/>
  <c r="Q1955" i="3"/>
  <c r="R1955" i="3" s="1"/>
  <c r="Q1951" i="3"/>
  <c r="R1951" i="3" s="1"/>
  <c r="Q1947" i="3"/>
  <c r="R1947" i="3" s="1"/>
  <c r="Q1943" i="3"/>
  <c r="R1943" i="3" s="1"/>
  <c r="Q1939" i="3"/>
  <c r="R1939" i="3" s="1"/>
  <c r="Q1935" i="3"/>
  <c r="R1935" i="3" s="1"/>
  <c r="Q1931" i="3"/>
  <c r="R1931" i="3" s="1"/>
  <c r="Q1927" i="3"/>
  <c r="R1927" i="3" s="1"/>
  <c r="Q1923" i="3"/>
  <c r="R1923" i="3" s="1"/>
  <c r="Q1919" i="3"/>
  <c r="R1919" i="3" s="1"/>
  <c r="Q1915" i="3"/>
  <c r="R1915" i="3" s="1"/>
  <c r="Q1911" i="3"/>
  <c r="R1911" i="3" s="1"/>
  <c r="Q1907" i="3"/>
  <c r="R1907" i="3" s="1"/>
  <c r="Q1903" i="3"/>
  <c r="R1903" i="3" s="1"/>
  <c r="Q1899" i="3"/>
  <c r="R1899" i="3" s="1"/>
  <c r="Q1895" i="3"/>
  <c r="R1895" i="3" s="1"/>
  <c r="Q1891" i="3"/>
  <c r="R1891" i="3" s="1"/>
  <c r="Q1887" i="3"/>
  <c r="R1887" i="3" s="1"/>
  <c r="Q1883" i="3"/>
  <c r="R1883" i="3" s="1"/>
  <c r="Q1879" i="3"/>
  <c r="R1879" i="3" s="1"/>
  <c r="Q1875" i="3"/>
  <c r="R1875" i="3" s="1"/>
  <c r="Q1871" i="3"/>
  <c r="R1871" i="3" s="1"/>
  <c r="Q1867" i="3"/>
  <c r="R1867" i="3" s="1"/>
  <c r="Q1863" i="3"/>
  <c r="R1863" i="3" s="1"/>
  <c r="Q1859" i="3"/>
  <c r="R1859" i="3" s="1"/>
  <c r="Q1855" i="3"/>
  <c r="R1855" i="3" s="1"/>
  <c r="Q1851" i="3"/>
  <c r="R1851" i="3" s="1"/>
  <c r="Q1847" i="3"/>
  <c r="R1847" i="3" s="1"/>
  <c r="Q1843" i="3"/>
  <c r="R1843" i="3" s="1"/>
  <c r="Q1839" i="3"/>
  <c r="R1839" i="3" s="1"/>
  <c r="Q1835" i="3"/>
  <c r="R1835" i="3" s="1"/>
  <c r="Q1831" i="3"/>
  <c r="R1831" i="3" s="1"/>
  <c r="Q1827" i="3"/>
  <c r="R1827" i="3" s="1"/>
  <c r="Q1823" i="3"/>
  <c r="R1823" i="3" s="1"/>
  <c r="Q1819" i="3"/>
  <c r="R1819" i="3" s="1"/>
  <c r="Q1815" i="3"/>
  <c r="R1815" i="3" s="1"/>
  <c r="Q1811" i="3"/>
  <c r="R1811" i="3" s="1"/>
  <c r="Q1807" i="3"/>
  <c r="R1807" i="3" s="1"/>
  <c r="Q1803" i="3"/>
  <c r="R1803" i="3" s="1"/>
  <c r="Q1799" i="3"/>
  <c r="R1799" i="3" s="1"/>
  <c r="Q1795" i="3"/>
  <c r="R1795" i="3" s="1"/>
  <c r="Q1791" i="3"/>
  <c r="R1791" i="3" s="1"/>
  <c r="Q1787" i="3"/>
  <c r="R1787" i="3" s="1"/>
  <c r="Q1783" i="3"/>
  <c r="R1783" i="3" s="1"/>
  <c r="Q1779" i="3"/>
  <c r="R1779" i="3" s="1"/>
  <c r="Q1775" i="3"/>
  <c r="R1775" i="3" s="1"/>
  <c r="Q1771" i="3"/>
  <c r="R1771" i="3" s="1"/>
  <c r="Q1767" i="3"/>
  <c r="R1767" i="3" s="1"/>
  <c r="Q1763" i="3"/>
  <c r="R1763" i="3" s="1"/>
  <c r="Q1759" i="3"/>
  <c r="R1759" i="3" s="1"/>
  <c r="Q1755" i="3"/>
  <c r="R1755" i="3" s="1"/>
  <c r="Q1751" i="3"/>
  <c r="R1751" i="3" s="1"/>
  <c r="Q1747" i="3"/>
  <c r="R1747" i="3" s="1"/>
  <c r="Q1743" i="3"/>
  <c r="R1743" i="3" s="1"/>
  <c r="Q1739" i="3"/>
  <c r="R1739" i="3" s="1"/>
  <c r="Q1735" i="3"/>
  <c r="R1735" i="3" s="1"/>
  <c r="Q1731" i="3"/>
  <c r="R1731" i="3" s="1"/>
  <c r="Q1727" i="3"/>
  <c r="R1727" i="3" s="1"/>
  <c r="Q1723" i="3"/>
  <c r="R1723" i="3" s="1"/>
  <c r="Q1719" i="3"/>
  <c r="R1719" i="3" s="1"/>
  <c r="Q1715" i="3"/>
  <c r="R1715" i="3" s="1"/>
  <c r="Q1711" i="3"/>
  <c r="R1711" i="3" s="1"/>
  <c r="Q1707" i="3"/>
  <c r="R1707" i="3" s="1"/>
  <c r="Q1703" i="3"/>
  <c r="R1703" i="3" s="1"/>
  <c r="Q1699" i="3"/>
  <c r="R1699" i="3" s="1"/>
  <c r="Q1695" i="3"/>
  <c r="R1695" i="3" s="1"/>
  <c r="Q1691" i="3"/>
  <c r="R1691" i="3" s="1"/>
  <c r="Q1687" i="3"/>
  <c r="R1687" i="3" s="1"/>
  <c r="Q1683" i="3"/>
  <c r="R1683" i="3" s="1"/>
  <c r="Q1679" i="3"/>
  <c r="R1679" i="3" s="1"/>
  <c r="Q1675" i="3"/>
  <c r="R1675" i="3" s="1"/>
  <c r="Q1671" i="3"/>
  <c r="R1671" i="3" s="1"/>
  <c r="Q1667" i="3"/>
  <c r="R1667" i="3" s="1"/>
  <c r="Q1663" i="3"/>
  <c r="R1663" i="3" s="1"/>
  <c r="Q1659" i="3"/>
  <c r="R1659" i="3" s="1"/>
  <c r="Q1655" i="3"/>
  <c r="R1655" i="3" s="1"/>
  <c r="Q1651" i="3"/>
  <c r="R1651" i="3" s="1"/>
  <c r="Q1647" i="3"/>
  <c r="R1647" i="3" s="1"/>
  <c r="Q1643" i="3"/>
  <c r="R1643" i="3" s="1"/>
  <c r="Q1639" i="3"/>
  <c r="R1639" i="3" s="1"/>
  <c r="Q1635" i="3"/>
  <c r="R1635" i="3" s="1"/>
  <c r="Q1631" i="3"/>
  <c r="R1631" i="3" s="1"/>
  <c r="Q1627" i="3"/>
  <c r="R1627" i="3" s="1"/>
  <c r="Q1623" i="3"/>
  <c r="R1623" i="3" s="1"/>
  <c r="Q1619" i="3"/>
  <c r="R1619" i="3" s="1"/>
  <c r="Q1615" i="3"/>
  <c r="R1615" i="3" s="1"/>
  <c r="Q1611" i="3"/>
  <c r="R1611" i="3" s="1"/>
  <c r="Q1607" i="3"/>
  <c r="R1607" i="3" s="1"/>
  <c r="Q1603" i="3"/>
  <c r="R1603" i="3" s="1"/>
  <c r="Q1599" i="3"/>
  <c r="R1599" i="3" s="1"/>
  <c r="Q1595" i="3"/>
  <c r="R1595" i="3" s="1"/>
  <c r="Q1591" i="3"/>
  <c r="R1591" i="3" s="1"/>
  <c r="Q1587" i="3"/>
  <c r="R1587" i="3" s="1"/>
  <c r="Q1583" i="3"/>
  <c r="R1583" i="3" s="1"/>
  <c r="Q1579" i="3"/>
  <c r="R1579" i="3" s="1"/>
  <c r="Q1575" i="3"/>
  <c r="R1575" i="3" s="1"/>
  <c r="Q1571" i="3"/>
  <c r="R1571" i="3" s="1"/>
  <c r="Q1567" i="3"/>
  <c r="R1567" i="3" s="1"/>
  <c r="Q1563" i="3"/>
  <c r="R1563" i="3" s="1"/>
  <c r="Q1559" i="3"/>
  <c r="R1559" i="3" s="1"/>
  <c r="Q1555" i="3"/>
  <c r="R1555" i="3" s="1"/>
  <c r="Q1551" i="3"/>
  <c r="R1551" i="3" s="1"/>
  <c r="Q1547" i="3"/>
  <c r="R1547" i="3" s="1"/>
  <c r="Q1543" i="3"/>
  <c r="R1543" i="3" s="1"/>
  <c r="Q1539" i="3"/>
  <c r="R1539" i="3" s="1"/>
  <c r="Q1535" i="3"/>
  <c r="R1535" i="3" s="1"/>
  <c r="Q1531" i="3"/>
  <c r="R1531" i="3" s="1"/>
  <c r="Q1527" i="3"/>
  <c r="R1527" i="3" s="1"/>
  <c r="Q1523" i="3"/>
  <c r="R1523" i="3" s="1"/>
  <c r="Q1519" i="3"/>
  <c r="R1519" i="3" s="1"/>
  <c r="Q1515" i="3"/>
  <c r="R1515" i="3" s="1"/>
  <c r="Q1511" i="3"/>
  <c r="R1511" i="3" s="1"/>
  <c r="Q1507" i="3"/>
  <c r="R1507" i="3" s="1"/>
  <c r="Q1503" i="3"/>
  <c r="R1503" i="3" s="1"/>
  <c r="Q1499" i="3"/>
  <c r="R1499" i="3" s="1"/>
  <c r="Q1495" i="3"/>
  <c r="R1495" i="3" s="1"/>
  <c r="Q1491" i="3"/>
  <c r="R1491" i="3" s="1"/>
  <c r="Q1487" i="3"/>
  <c r="R1487" i="3" s="1"/>
  <c r="Q1483" i="3"/>
  <c r="R1483" i="3" s="1"/>
  <c r="Q1479" i="3"/>
  <c r="R1479" i="3" s="1"/>
  <c r="Q1475" i="3"/>
  <c r="R1475" i="3" s="1"/>
  <c r="Q1471" i="3"/>
  <c r="R1471" i="3" s="1"/>
  <c r="Q1467" i="3"/>
  <c r="R1467" i="3" s="1"/>
  <c r="Q1463" i="3"/>
  <c r="R1463" i="3" s="1"/>
  <c r="Q1459" i="3"/>
  <c r="R1459" i="3" s="1"/>
  <c r="Q1455" i="3"/>
  <c r="R1455" i="3" s="1"/>
  <c r="Q1451" i="3"/>
  <c r="R1451" i="3" s="1"/>
  <c r="Q1447" i="3"/>
  <c r="R1447" i="3" s="1"/>
  <c r="Q1443" i="3"/>
  <c r="R1443" i="3" s="1"/>
  <c r="Q1439" i="3"/>
  <c r="R1439" i="3" s="1"/>
  <c r="Q1435" i="3"/>
  <c r="R1435" i="3" s="1"/>
  <c r="Q1431" i="3"/>
  <c r="R1431" i="3" s="1"/>
  <c r="Q1427" i="3"/>
  <c r="R1427" i="3" s="1"/>
  <c r="Q1423" i="3"/>
  <c r="R1423" i="3" s="1"/>
  <c r="Q1419" i="3"/>
  <c r="R1419" i="3" s="1"/>
  <c r="Q1415" i="3"/>
  <c r="R1415" i="3" s="1"/>
  <c r="Q1411" i="3"/>
  <c r="R1411" i="3" s="1"/>
  <c r="Q1407" i="3"/>
  <c r="R1407" i="3" s="1"/>
  <c r="Q1403" i="3"/>
  <c r="R1403" i="3" s="1"/>
  <c r="Q1399" i="3"/>
  <c r="R1399" i="3" s="1"/>
  <c r="Q1395" i="3"/>
  <c r="R1395" i="3" s="1"/>
  <c r="Q1391" i="3"/>
  <c r="R1391" i="3" s="1"/>
  <c r="Q1387" i="3"/>
  <c r="R1387" i="3" s="1"/>
  <c r="Q1383" i="3"/>
  <c r="R1383" i="3" s="1"/>
  <c r="Q1379" i="3"/>
  <c r="R1379" i="3" s="1"/>
  <c r="Q1375" i="3"/>
  <c r="R1375" i="3" s="1"/>
  <c r="Q1371" i="3"/>
  <c r="R1371" i="3" s="1"/>
  <c r="Q1367" i="3"/>
  <c r="R1367" i="3" s="1"/>
  <c r="Q1363" i="3"/>
  <c r="R1363" i="3" s="1"/>
  <c r="Q1359" i="3"/>
  <c r="R1359" i="3" s="1"/>
  <c r="Q1355" i="3"/>
  <c r="R1355" i="3" s="1"/>
  <c r="Q1351" i="3"/>
  <c r="R1351" i="3" s="1"/>
  <c r="Q1347" i="3"/>
  <c r="R1347" i="3" s="1"/>
  <c r="Q1343" i="3"/>
  <c r="R1343" i="3" s="1"/>
  <c r="Q1339" i="3"/>
  <c r="R1339" i="3" s="1"/>
  <c r="Q1335" i="3"/>
  <c r="R1335" i="3" s="1"/>
  <c r="Q1331" i="3"/>
  <c r="R1331" i="3" s="1"/>
  <c r="Q1327" i="3"/>
  <c r="R1327" i="3" s="1"/>
  <c r="Q1323" i="3"/>
  <c r="R1323" i="3" s="1"/>
  <c r="Q1319" i="3"/>
  <c r="R1319" i="3" s="1"/>
  <c r="Q1315" i="3"/>
  <c r="R1315" i="3" s="1"/>
  <c r="Q1311" i="3"/>
  <c r="R1311" i="3" s="1"/>
  <c r="Q1307" i="3"/>
  <c r="R1307" i="3" s="1"/>
  <c r="Q1303" i="3"/>
  <c r="R1303" i="3" s="1"/>
  <c r="Q1299" i="3"/>
  <c r="R1299" i="3" s="1"/>
  <c r="Q1295" i="3"/>
  <c r="R1295" i="3" s="1"/>
  <c r="Q1291" i="3"/>
  <c r="R1291" i="3" s="1"/>
  <c r="Q1287" i="3"/>
  <c r="R1287" i="3" s="1"/>
  <c r="Q1283" i="3"/>
  <c r="R1283" i="3" s="1"/>
  <c r="Q1279" i="3"/>
  <c r="R1279" i="3" s="1"/>
  <c r="Q1275" i="3"/>
  <c r="R1275" i="3" s="1"/>
  <c r="Q1271" i="3"/>
  <c r="R1271" i="3" s="1"/>
  <c r="Q1267" i="3"/>
  <c r="R1267" i="3" s="1"/>
  <c r="Q1263" i="3"/>
  <c r="R1263" i="3" s="1"/>
  <c r="Q1259" i="3"/>
  <c r="R1259" i="3" s="1"/>
  <c r="Q1255" i="3"/>
  <c r="R1255" i="3" s="1"/>
  <c r="Q1251" i="3"/>
  <c r="R1251" i="3" s="1"/>
  <c r="Q1247" i="3"/>
  <c r="R1247" i="3" s="1"/>
  <c r="Q1243" i="3"/>
  <c r="R1243" i="3" s="1"/>
  <c r="Q1239" i="3"/>
  <c r="R1239" i="3" s="1"/>
  <c r="Q1235" i="3"/>
  <c r="R1235" i="3" s="1"/>
  <c r="Q1231" i="3"/>
  <c r="R1231" i="3" s="1"/>
  <c r="Q1227" i="3"/>
  <c r="R1227" i="3" s="1"/>
  <c r="Q1223" i="3"/>
  <c r="R1223" i="3" s="1"/>
  <c r="Q1219" i="3"/>
  <c r="R1219" i="3" s="1"/>
  <c r="Q1215" i="3"/>
  <c r="R1215" i="3" s="1"/>
  <c r="Q1211" i="3"/>
  <c r="R1211" i="3" s="1"/>
  <c r="Q1207" i="3"/>
  <c r="R1207" i="3" s="1"/>
  <c r="Q1203" i="3"/>
  <c r="R1203" i="3" s="1"/>
  <c r="Q1199" i="3"/>
  <c r="R1199" i="3" s="1"/>
  <c r="Q1195" i="3"/>
  <c r="R1195" i="3" s="1"/>
  <c r="Q1191" i="3"/>
  <c r="R1191" i="3" s="1"/>
  <c r="Q1187" i="3"/>
  <c r="R1187" i="3" s="1"/>
  <c r="Q1183" i="3"/>
  <c r="R1183" i="3" s="1"/>
  <c r="Q1179" i="3"/>
  <c r="R1179" i="3" s="1"/>
  <c r="Q1175" i="3"/>
  <c r="R1175" i="3" s="1"/>
  <c r="Q1171" i="3"/>
  <c r="R1171" i="3" s="1"/>
  <c r="Q1167" i="3"/>
  <c r="R1167" i="3" s="1"/>
  <c r="Q1163" i="3"/>
  <c r="R1163" i="3" s="1"/>
  <c r="Q1159" i="3"/>
  <c r="R1159" i="3" s="1"/>
  <c r="Q1155" i="3"/>
  <c r="R1155" i="3" s="1"/>
  <c r="Q1151" i="3"/>
  <c r="R1151" i="3" s="1"/>
  <c r="Q1147" i="3"/>
  <c r="R1147" i="3" s="1"/>
  <c r="Q1143" i="3"/>
  <c r="R1143" i="3" s="1"/>
  <c r="Q1139" i="3"/>
  <c r="R1139" i="3" s="1"/>
  <c r="Q1135" i="3"/>
  <c r="R1135" i="3" s="1"/>
  <c r="Q1131" i="3"/>
  <c r="R1131" i="3" s="1"/>
  <c r="Q1127" i="3"/>
  <c r="R1127" i="3" s="1"/>
  <c r="Q1123" i="3"/>
  <c r="R1123" i="3" s="1"/>
  <c r="Q1119" i="3"/>
  <c r="R1119" i="3" s="1"/>
  <c r="Q1115" i="3"/>
  <c r="R1115" i="3" s="1"/>
  <c r="Q1111" i="3"/>
  <c r="R1111" i="3" s="1"/>
  <c r="Q1107" i="3"/>
  <c r="R1107" i="3" s="1"/>
  <c r="Q1103" i="3"/>
  <c r="R1103" i="3" s="1"/>
  <c r="Q1099" i="3"/>
  <c r="R1099" i="3" s="1"/>
  <c r="Q1095" i="3"/>
  <c r="R1095" i="3" s="1"/>
  <c r="Q1091" i="3"/>
  <c r="R1091" i="3" s="1"/>
  <c r="Q1087" i="3"/>
  <c r="R1087" i="3" s="1"/>
  <c r="Q1083" i="3"/>
  <c r="R1083" i="3" s="1"/>
  <c r="Q1079" i="3"/>
  <c r="R1079" i="3" s="1"/>
  <c r="Q1075" i="3"/>
  <c r="R1075" i="3" s="1"/>
  <c r="Q1071" i="3"/>
  <c r="R1071" i="3" s="1"/>
  <c r="Q1067" i="3"/>
  <c r="R1067" i="3" s="1"/>
  <c r="Q1063" i="3"/>
  <c r="R1063" i="3" s="1"/>
  <c r="Q1059" i="3"/>
  <c r="R1059" i="3" s="1"/>
  <c r="Q1055" i="3"/>
  <c r="R1055" i="3" s="1"/>
  <c r="Q1051" i="3"/>
  <c r="R1051" i="3" s="1"/>
  <c r="Q1047" i="3"/>
  <c r="R1047" i="3" s="1"/>
  <c r="Q1043" i="3"/>
  <c r="R1043" i="3" s="1"/>
  <c r="Q1039" i="3"/>
  <c r="R1039" i="3" s="1"/>
  <c r="Q1035" i="3"/>
  <c r="R1035" i="3" s="1"/>
  <c r="Q1031" i="3"/>
  <c r="R1031" i="3" s="1"/>
  <c r="Q1027" i="3"/>
  <c r="R1027" i="3" s="1"/>
  <c r="Q1023" i="3"/>
  <c r="R1023" i="3" s="1"/>
  <c r="Q1019" i="3"/>
  <c r="R1019" i="3" s="1"/>
  <c r="Q1015" i="3"/>
  <c r="R1015" i="3" s="1"/>
  <c r="Q1011" i="3"/>
  <c r="R1011" i="3" s="1"/>
  <c r="Q1007" i="3"/>
  <c r="R1007" i="3" s="1"/>
  <c r="Q1003" i="3"/>
  <c r="R1003" i="3" s="1"/>
  <c r="Q999" i="3"/>
  <c r="R999" i="3" s="1"/>
  <c r="Q995" i="3"/>
  <c r="R995" i="3" s="1"/>
  <c r="Q991" i="3"/>
  <c r="R991" i="3" s="1"/>
  <c r="Q987" i="3"/>
  <c r="R987" i="3" s="1"/>
  <c r="Q983" i="3"/>
  <c r="R983" i="3" s="1"/>
  <c r="Q979" i="3"/>
  <c r="R979" i="3" s="1"/>
  <c r="Q975" i="3"/>
  <c r="R975" i="3" s="1"/>
  <c r="Q971" i="3"/>
  <c r="R971" i="3" s="1"/>
  <c r="Q967" i="3"/>
  <c r="R967" i="3" s="1"/>
  <c r="Q963" i="3"/>
  <c r="R963" i="3" s="1"/>
  <c r="Q959" i="3"/>
  <c r="R959" i="3" s="1"/>
  <c r="Q955" i="3"/>
  <c r="R955" i="3" s="1"/>
  <c r="Q951" i="3"/>
  <c r="R951" i="3" s="1"/>
  <c r="Q947" i="3"/>
  <c r="R947" i="3" s="1"/>
  <c r="Q943" i="3"/>
  <c r="R943" i="3" s="1"/>
  <c r="Q939" i="3"/>
  <c r="R939" i="3" s="1"/>
  <c r="Q935" i="3"/>
  <c r="R935" i="3" s="1"/>
  <c r="Q931" i="3"/>
  <c r="R931" i="3" s="1"/>
  <c r="Q927" i="3"/>
  <c r="R927" i="3" s="1"/>
  <c r="Q923" i="3"/>
  <c r="R923" i="3" s="1"/>
  <c r="Q919" i="3"/>
  <c r="R919" i="3" s="1"/>
  <c r="Q915" i="3"/>
  <c r="R915" i="3" s="1"/>
  <c r="Q911" i="3"/>
  <c r="R911" i="3" s="1"/>
  <c r="Q907" i="3"/>
  <c r="R907" i="3" s="1"/>
  <c r="Q903" i="3"/>
  <c r="R903" i="3" s="1"/>
  <c r="Q899" i="3"/>
  <c r="R899" i="3" s="1"/>
  <c r="Q895" i="3"/>
  <c r="R895" i="3" s="1"/>
  <c r="Q891" i="3"/>
  <c r="R891" i="3" s="1"/>
  <c r="Q887" i="3"/>
  <c r="R887" i="3" s="1"/>
  <c r="Q883" i="3"/>
  <c r="R883" i="3" s="1"/>
  <c r="Q879" i="3"/>
  <c r="R879" i="3" s="1"/>
  <c r="Q875" i="3"/>
  <c r="R875" i="3" s="1"/>
  <c r="Q871" i="3"/>
  <c r="R871" i="3" s="1"/>
  <c r="Q867" i="3"/>
  <c r="R867" i="3" s="1"/>
  <c r="Q863" i="3"/>
  <c r="R863" i="3" s="1"/>
  <c r="Q859" i="3"/>
  <c r="R859" i="3" s="1"/>
  <c r="Q855" i="3"/>
  <c r="R855" i="3" s="1"/>
  <c r="Q851" i="3"/>
  <c r="R851" i="3" s="1"/>
  <c r="Q847" i="3"/>
  <c r="R847" i="3" s="1"/>
  <c r="Q843" i="3"/>
  <c r="R843" i="3" s="1"/>
  <c r="Q839" i="3"/>
  <c r="R839" i="3" s="1"/>
  <c r="Q835" i="3"/>
  <c r="R835" i="3" s="1"/>
  <c r="Q831" i="3"/>
  <c r="R831" i="3" s="1"/>
  <c r="Q827" i="3"/>
  <c r="R827" i="3" s="1"/>
  <c r="Q823" i="3"/>
  <c r="R823" i="3" s="1"/>
  <c r="Q819" i="3"/>
  <c r="R819" i="3" s="1"/>
  <c r="Q815" i="3"/>
  <c r="R815" i="3" s="1"/>
  <c r="Q811" i="3"/>
  <c r="R811" i="3" s="1"/>
  <c r="Q807" i="3"/>
  <c r="R807" i="3" s="1"/>
  <c r="Q803" i="3"/>
  <c r="R803" i="3" s="1"/>
  <c r="Q799" i="3"/>
  <c r="R799" i="3" s="1"/>
  <c r="Q795" i="3"/>
  <c r="R795" i="3" s="1"/>
  <c r="Q791" i="3"/>
  <c r="R791" i="3" s="1"/>
  <c r="Q787" i="3"/>
  <c r="R787" i="3" s="1"/>
  <c r="Q783" i="3"/>
  <c r="R783" i="3" s="1"/>
  <c r="Q779" i="3"/>
  <c r="R779" i="3" s="1"/>
  <c r="Q775" i="3"/>
  <c r="R775" i="3" s="1"/>
  <c r="Q771" i="3"/>
  <c r="R771" i="3" s="1"/>
  <c r="Q767" i="3"/>
  <c r="R767" i="3" s="1"/>
  <c r="Q763" i="3"/>
  <c r="R763" i="3" s="1"/>
  <c r="Q759" i="3"/>
  <c r="R759" i="3" s="1"/>
  <c r="Q755" i="3"/>
  <c r="R755" i="3" s="1"/>
  <c r="Q751" i="3"/>
  <c r="R751" i="3" s="1"/>
  <c r="Q747" i="3"/>
  <c r="R747" i="3" s="1"/>
  <c r="Q743" i="3"/>
  <c r="R743" i="3" s="1"/>
  <c r="Q739" i="3"/>
  <c r="R739" i="3" s="1"/>
  <c r="Q735" i="3"/>
  <c r="R735" i="3" s="1"/>
  <c r="Q731" i="3"/>
  <c r="R731" i="3" s="1"/>
  <c r="Q727" i="3"/>
  <c r="R727" i="3" s="1"/>
  <c r="Q723" i="3"/>
  <c r="R723" i="3" s="1"/>
  <c r="Q719" i="3"/>
  <c r="R719" i="3" s="1"/>
  <c r="Q715" i="3"/>
  <c r="R715" i="3" s="1"/>
  <c r="Q711" i="3"/>
  <c r="R711" i="3" s="1"/>
  <c r="Q707" i="3"/>
  <c r="R707" i="3" s="1"/>
  <c r="Q703" i="3"/>
  <c r="R703" i="3" s="1"/>
  <c r="Q699" i="3"/>
  <c r="R699" i="3" s="1"/>
  <c r="Q695" i="3"/>
  <c r="R695" i="3" s="1"/>
  <c r="Q691" i="3"/>
  <c r="R691" i="3" s="1"/>
  <c r="Q687" i="3"/>
  <c r="R687" i="3" s="1"/>
  <c r="Q683" i="3"/>
  <c r="R683" i="3" s="1"/>
  <c r="Q679" i="3"/>
  <c r="R679" i="3" s="1"/>
  <c r="Q675" i="3"/>
  <c r="R675" i="3" s="1"/>
  <c r="Q671" i="3"/>
  <c r="R671" i="3" s="1"/>
  <c r="Q667" i="3"/>
  <c r="R667" i="3" s="1"/>
  <c r="Q663" i="3"/>
  <c r="R663" i="3" s="1"/>
  <c r="Q659" i="3"/>
  <c r="R659" i="3" s="1"/>
  <c r="Q655" i="3"/>
  <c r="R655" i="3" s="1"/>
  <c r="Q651" i="3"/>
  <c r="R651" i="3" s="1"/>
  <c r="Q647" i="3"/>
  <c r="R647" i="3" s="1"/>
  <c r="Q643" i="3"/>
  <c r="R643" i="3" s="1"/>
  <c r="Q639" i="3"/>
  <c r="R639" i="3" s="1"/>
  <c r="Q635" i="3"/>
  <c r="R635" i="3" s="1"/>
  <c r="Q631" i="3"/>
  <c r="R631" i="3" s="1"/>
  <c r="Q627" i="3"/>
  <c r="R627" i="3" s="1"/>
  <c r="Q623" i="3"/>
  <c r="R623" i="3" s="1"/>
  <c r="Q619" i="3"/>
  <c r="R619" i="3" s="1"/>
  <c r="Q615" i="3"/>
  <c r="R615" i="3" s="1"/>
  <c r="Q611" i="3"/>
  <c r="R611" i="3" s="1"/>
  <c r="Q607" i="3"/>
  <c r="R607" i="3" s="1"/>
  <c r="Q603" i="3"/>
  <c r="R603" i="3" s="1"/>
  <c r="Q599" i="3"/>
  <c r="R599" i="3" s="1"/>
  <c r="Q595" i="3"/>
  <c r="R595" i="3" s="1"/>
  <c r="Q591" i="3"/>
  <c r="R591" i="3" s="1"/>
  <c r="Q587" i="3"/>
  <c r="R587" i="3" s="1"/>
  <c r="Q583" i="3"/>
  <c r="R583" i="3" s="1"/>
  <c r="Q579" i="3"/>
  <c r="R579" i="3" s="1"/>
  <c r="Q575" i="3"/>
  <c r="R575" i="3" s="1"/>
  <c r="Q571" i="3"/>
  <c r="R571" i="3" s="1"/>
  <c r="Q567" i="3"/>
  <c r="R567" i="3" s="1"/>
  <c r="Q563" i="3"/>
  <c r="R563" i="3" s="1"/>
  <c r="Q559" i="3"/>
  <c r="R559" i="3" s="1"/>
  <c r="Q555" i="3"/>
  <c r="R555" i="3" s="1"/>
  <c r="Q551" i="3"/>
  <c r="R551" i="3" s="1"/>
  <c r="Q547" i="3"/>
  <c r="R547" i="3" s="1"/>
  <c r="Q543" i="3"/>
  <c r="R543" i="3" s="1"/>
  <c r="Q539" i="3"/>
  <c r="R539" i="3" s="1"/>
  <c r="Q535" i="3"/>
  <c r="R535" i="3" s="1"/>
  <c r="Q531" i="3"/>
  <c r="R531" i="3" s="1"/>
  <c r="Q527" i="3"/>
  <c r="R527" i="3" s="1"/>
  <c r="Q523" i="3"/>
  <c r="R523" i="3" s="1"/>
  <c r="Q519" i="3"/>
  <c r="R519" i="3" s="1"/>
  <c r="Q515" i="3"/>
  <c r="R515" i="3" s="1"/>
  <c r="Q511" i="3"/>
  <c r="R511" i="3" s="1"/>
  <c r="Q507" i="3"/>
  <c r="R507" i="3" s="1"/>
  <c r="Q503" i="3"/>
  <c r="R503" i="3" s="1"/>
  <c r="Q499" i="3"/>
  <c r="R499" i="3" s="1"/>
  <c r="Q495" i="3"/>
  <c r="R495" i="3" s="1"/>
  <c r="Q491" i="3"/>
  <c r="R491" i="3" s="1"/>
  <c r="Q487" i="3"/>
  <c r="R487" i="3" s="1"/>
  <c r="Q483" i="3"/>
  <c r="R483" i="3" s="1"/>
  <c r="Q479" i="3"/>
  <c r="R479" i="3" s="1"/>
  <c r="Q475" i="3"/>
  <c r="R475" i="3" s="1"/>
  <c r="Q471" i="3"/>
  <c r="R471" i="3" s="1"/>
  <c r="Q467" i="3"/>
  <c r="R467" i="3" s="1"/>
  <c r="Q463" i="3"/>
  <c r="R463" i="3" s="1"/>
  <c r="Q459" i="3"/>
  <c r="R459" i="3" s="1"/>
  <c r="Q455" i="3"/>
  <c r="R455" i="3" s="1"/>
  <c r="Q451" i="3"/>
  <c r="R451" i="3" s="1"/>
  <c r="Q447" i="3"/>
  <c r="R447" i="3" s="1"/>
  <c r="Q443" i="3"/>
  <c r="R443" i="3" s="1"/>
  <c r="Q439" i="3"/>
  <c r="R439" i="3" s="1"/>
  <c r="Q435" i="3"/>
  <c r="R435" i="3" s="1"/>
  <c r="Q431" i="3"/>
  <c r="R431" i="3" s="1"/>
  <c r="Q427" i="3"/>
  <c r="R427" i="3" s="1"/>
  <c r="Q423" i="3"/>
  <c r="R423" i="3" s="1"/>
  <c r="Q419" i="3"/>
  <c r="R419" i="3" s="1"/>
  <c r="Q415" i="3"/>
  <c r="R415" i="3" s="1"/>
  <c r="Q411" i="3"/>
  <c r="R411" i="3" s="1"/>
  <c r="Q407" i="3"/>
  <c r="R407" i="3" s="1"/>
  <c r="Q403" i="3"/>
  <c r="R403" i="3" s="1"/>
  <c r="Q399" i="3"/>
  <c r="R399" i="3" s="1"/>
  <c r="Q395" i="3"/>
  <c r="R395" i="3" s="1"/>
  <c r="Q391" i="3"/>
  <c r="R391" i="3" s="1"/>
  <c r="Q387" i="3"/>
  <c r="R387" i="3" s="1"/>
  <c r="Q383" i="3"/>
  <c r="R383" i="3" s="1"/>
  <c r="Q379" i="3"/>
  <c r="R379" i="3" s="1"/>
  <c r="Q375" i="3"/>
  <c r="R375" i="3" s="1"/>
  <c r="Q371" i="3"/>
  <c r="R371" i="3" s="1"/>
  <c r="Q367" i="3"/>
  <c r="R367" i="3" s="1"/>
  <c r="Q363" i="3"/>
  <c r="R363" i="3" s="1"/>
  <c r="Q359" i="3"/>
  <c r="R359" i="3" s="1"/>
  <c r="Q355" i="3"/>
  <c r="R355" i="3" s="1"/>
  <c r="Q351" i="3"/>
  <c r="R351" i="3" s="1"/>
  <c r="Q347" i="3"/>
  <c r="R347" i="3" s="1"/>
  <c r="Q343" i="3"/>
  <c r="R343" i="3" s="1"/>
  <c r="Q339" i="3"/>
  <c r="R339" i="3" s="1"/>
  <c r="Q335" i="3"/>
  <c r="R335" i="3" s="1"/>
  <c r="Q331" i="3"/>
  <c r="R331" i="3" s="1"/>
  <c r="Q327" i="3"/>
  <c r="R327" i="3" s="1"/>
  <c r="Q323" i="3"/>
  <c r="R323" i="3" s="1"/>
  <c r="Q319" i="3"/>
  <c r="R319" i="3" s="1"/>
  <c r="Q315" i="3"/>
  <c r="R315" i="3" s="1"/>
  <c r="Q311" i="3"/>
  <c r="R311" i="3" s="1"/>
  <c r="Q307" i="3"/>
  <c r="R307" i="3" s="1"/>
  <c r="Q303" i="3"/>
  <c r="R303" i="3" s="1"/>
  <c r="Q299" i="3"/>
  <c r="R299" i="3" s="1"/>
  <c r="Q295" i="3"/>
  <c r="R295" i="3" s="1"/>
  <c r="Q291" i="3"/>
  <c r="R291" i="3" s="1"/>
  <c r="Q287" i="3"/>
  <c r="R287" i="3" s="1"/>
  <c r="Q283" i="3"/>
  <c r="R283" i="3" s="1"/>
  <c r="Q279" i="3"/>
  <c r="R279" i="3" s="1"/>
  <c r="Q275" i="3"/>
  <c r="R275" i="3" s="1"/>
  <c r="Q271" i="3"/>
  <c r="R271" i="3" s="1"/>
  <c r="Q267" i="3"/>
  <c r="R267" i="3" s="1"/>
  <c r="Q263" i="3"/>
  <c r="R263" i="3" s="1"/>
  <c r="Q259" i="3"/>
  <c r="R259" i="3" s="1"/>
  <c r="Q255" i="3"/>
  <c r="R255" i="3" s="1"/>
  <c r="Q251" i="3"/>
  <c r="R251" i="3" s="1"/>
  <c r="Q247" i="3"/>
  <c r="R247" i="3" s="1"/>
  <c r="Q243" i="3"/>
  <c r="R243" i="3" s="1"/>
  <c r="Q239" i="3"/>
  <c r="R239" i="3" s="1"/>
  <c r="Q235" i="3"/>
  <c r="R235" i="3" s="1"/>
  <c r="Q231" i="3"/>
  <c r="R231" i="3" s="1"/>
  <c r="Q227" i="3"/>
  <c r="R227" i="3" s="1"/>
  <c r="Q223" i="3"/>
  <c r="R223" i="3" s="1"/>
  <c r="Q219" i="3"/>
  <c r="R219" i="3" s="1"/>
  <c r="Q215" i="3"/>
  <c r="R215" i="3" s="1"/>
  <c r="Q211" i="3"/>
  <c r="R211" i="3" s="1"/>
  <c r="Q207" i="3"/>
  <c r="R207" i="3" s="1"/>
  <c r="Q203" i="3"/>
  <c r="R203" i="3" s="1"/>
  <c r="Q199" i="3"/>
  <c r="R199" i="3" s="1"/>
  <c r="Q195" i="3"/>
  <c r="R195" i="3" s="1"/>
  <c r="Q191" i="3"/>
  <c r="R191" i="3" s="1"/>
  <c r="Q187" i="3"/>
  <c r="R187" i="3" s="1"/>
  <c r="Q183" i="3"/>
  <c r="R183" i="3" s="1"/>
  <c r="Q179" i="3"/>
  <c r="R179" i="3" s="1"/>
  <c r="Q175" i="3"/>
  <c r="R175" i="3" s="1"/>
  <c r="Q171" i="3"/>
  <c r="R171" i="3" s="1"/>
  <c r="Q167" i="3"/>
  <c r="R167" i="3" s="1"/>
  <c r="Q163" i="3"/>
  <c r="R163" i="3" s="1"/>
  <c r="Q159" i="3"/>
  <c r="R159" i="3" s="1"/>
  <c r="Q155" i="3"/>
  <c r="R155" i="3" s="1"/>
  <c r="Q151" i="3"/>
  <c r="R151" i="3" s="1"/>
  <c r="Q147" i="3"/>
  <c r="R147" i="3" s="1"/>
  <c r="Q143" i="3"/>
  <c r="R143" i="3" s="1"/>
  <c r="Q139" i="3"/>
  <c r="R139" i="3" s="1"/>
  <c r="Q135" i="3"/>
  <c r="R135" i="3" s="1"/>
  <c r="Q131" i="3"/>
  <c r="R131" i="3" s="1"/>
  <c r="Q127" i="3"/>
  <c r="R127" i="3" s="1"/>
  <c r="Q123" i="3"/>
  <c r="R123" i="3" s="1"/>
  <c r="Q119" i="3"/>
  <c r="R119" i="3" s="1"/>
  <c r="Q115" i="3"/>
  <c r="R115" i="3" s="1"/>
  <c r="Q111" i="3"/>
  <c r="R111" i="3" s="1"/>
  <c r="Q107" i="3"/>
  <c r="R107" i="3" s="1"/>
  <c r="Q103" i="3"/>
  <c r="R103" i="3" s="1"/>
  <c r="Q99" i="3"/>
  <c r="R99" i="3" s="1"/>
  <c r="Q95" i="3"/>
  <c r="R95" i="3" s="1"/>
  <c r="Q91" i="3"/>
  <c r="R91" i="3" s="1"/>
  <c r="Q87" i="3"/>
  <c r="R87" i="3" s="1"/>
  <c r="Q83" i="3"/>
  <c r="R83" i="3" s="1"/>
  <c r="Q79" i="3"/>
  <c r="R79" i="3" s="1"/>
  <c r="Q75" i="3"/>
  <c r="R75" i="3" s="1"/>
  <c r="Q71" i="3"/>
  <c r="R71" i="3" s="1"/>
  <c r="Q67" i="3"/>
  <c r="R67" i="3" s="1"/>
  <c r="Q63" i="3"/>
  <c r="R63" i="3" s="1"/>
  <c r="Q59" i="3"/>
  <c r="R59" i="3" s="1"/>
  <c r="Q55" i="3"/>
  <c r="R55" i="3" s="1"/>
  <c r="Q51" i="3"/>
  <c r="R51" i="3" s="1"/>
  <c r="Q47" i="3"/>
  <c r="R47" i="3" s="1"/>
  <c r="Q43" i="3"/>
  <c r="R43" i="3" s="1"/>
  <c r="Q39" i="3"/>
  <c r="R39" i="3" s="1"/>
  <c r="Q2018" i="3"/>
  <c r="R2018" i="3" s="1"/>
  <c r="Q2014" i="3"/>
  <c r="R2014" i="3" s="1"/>
  <c r="Q2010" i="3"/>
  <c r="R2010" i="3" s="1"/>
  <c r="Q2006" i="3"/>
  <c r="R2006" i="3" s="1"/>
  <c r="Q2002" i="3"/>
  <c r="R2002" i="3" s="1"/>
  <c r="Q1998" i="3"/>
  <c r="R1998" i="3" s="1"/>
  <c r="Q1994" i="3"/>
  <c r="R1994" i="3" s="1"/>
  <c r="Q1990" i="3"/>
  <c r="R1990" i="3" s="1"/>
  <c r="Q1986" i="3"/>
  <c r="R1986" i="3" s="1"/>
  <c r="Q1982" i="3"/>
  <c r="R1982" i="3" s="1"/>
  <c r="Q1978" i="3"/>
  <c r="R1978" i="3" s="1"/>
  <c r="Q1974" i="3"/>
  <c r="R1974" i="3" s="1"/>
  <c r="Q1970" i="3"/>
  <c r="R1970" i="3" s="1"/>
  <c r="Q1966" i="3"/>
  <c r="R1966" i="3" s="1"/>
  <c r="Q1962" i="3"/>
  <c r="R1962" i="3" s="1"/>
  <c r="Q1958" i="3"/>
  <c r="R1958" i="3" s="1"/>
  <c r="Q1954" i="3"/>
  <c r="R1954" i="3" s="1"/>
  <c r="Q1950" i="3"/>
  <c r="R1950" i="3" s="1"/>
  <c r="Q1946" i="3"/>
  <c r="R1946" i="3" s="1"/>
  <c r="Q1942" i="3"/>
  <c r="R1942" i="3" s="1"/>
  <c r="Q1938" i="3"/>
  <c r="R1938" i="3" s="1"/>
  <c r="Q1934" i="3"/>
  <c r="R1934" i="3" s="1"/>
  <c r="Q1930" i="3"/>
  <c r="R1930" i="3" s="1"/>
  <c r="Q1926" i="3"/>
  <c r="R1926" i="3" s="1"/>
  <c r="Q1922" i="3"/>
  <c r="R1922" i="3" s="1"/>
  <c r="Q1918" i="3"/>
  <c r="R1918" i="3" s="1"/>
  <c r="Q1914" i="3"/>
  <c r="R1914" i="3" s="1"/>
  <c r="Q1910" i="3"/>
  <c r="R1910" i="3" s="1"/>
  <c r="Q1906" i="3"/>
  <c r="R1906" i="3" s="1"/>
  <c r="Q1902" i="3"/>
  <c r="R1902" i="3" s="1"/>
  <c r="Q1898" i="3"/>
  <c r="R1898" i="3" s="1"/>
  <c r="Q1894" i="3"/>
  <c r="R1894" i="3" s="1"/>
  <c r="Q1890" i="3"/>
  <c r="R1890" i="3" s="1"/>
  <c r="Q1886" i="3"/>
  <c r="R1886" i="3" s="1"/>
  <c r="Q1882" i="3"/>
  <c r="R1882" i="3" s="1"/>
  <c r="Q1878" i="3"/>
  <c r="R1878" i="3" s="1"/>
  <c r="Q1874" i="3"/>
  <c r="R1874" i="3" s="1"/>
  <c r="Q1870" i="3"/>
  <c r="R1870" i="3" s="1"/>
  <c r="Q1866" i="3"/>
  <c r="R1866" i="3" s="1"/>
  <c r="Q1862" i="3"/>
  <c r="R1862" i="3" s="1"/>
  <c r="Q1858" i="3"/>
  <c r="R1858" i="3" s="1"/>
  <c r="Q1854" i="3"/>
  <c r="R1854" i="3" s="1"/>
  <c r="Q1850" i="3"/>
  <c r="R1850" i="3" s="1"/>
  <c r="Q1846" i="3"/>
  <c r="R1846" i="3" s="1"/>
  <c r="Q1842" i="3"/>
  <c r="R1842" i="3" s="1"/>
  <c r="Q1838" i="3"/>
  <c r="R1838" i="3" s="1"/>
  <c r="Q1834" i="3"/>
  <c r="R1834" i="3" s="1"/>
  <c r="Q1830" i="3"/>
  <c r="R1830" i="3" s="1"/>
  <c r="Q1826" i="3"/>
  <c r="R1826" i="3" s="1"/>
  <c r="Q1822" i="3"/>
  <c r="R1822" i="3" s="1"/>
  <c r="Q1818" i="3"/>
  <c r="R1818" i="3" s="1"/>
  <c r="Q1814" i="3"/>
  <c r="R1814" i="3" s="1"/>
  <c r="Q1810" i="3"/>
  <c r="R1810" i="3" s="1"/>
  <c r="Q1806" i="3"/>
  <c r="R1806" i="3" s="1"/>
  <c r="Q1802" i="3"/>
  <c r="R1802" i="3" s="1"/>
  <c r="Q1798" i="3"/>
  <c r="R1798" i="3" s="1"/>
  <c r="Q1794" i="3"/>
  <c r="R1794" i="3" s="1"/>
  <c r="Q1790" i="3"/>
  <c r="R1790" i="3" s="1"/>
  <c r="Q1786" i="3"/>
  <c r="R1786" i="3" s="1"/>
  <c r="Q1782" i="3"/>
  <c r="R1782" i="3" s="1"/>
  <c r="Q1778" i="3"/>
  <c r="R1778" i="3" s="1"/>
  <c r="Q1774" i="3"/>
  <c r="R1774" i="3" s="1"/>
  <c r="Q1770" i="3"/>
  <c r="R1770" i="3" s="1"/>
  <c r="Q1766" i="3"/>
  <c r="R1766" i="3" s="1"/>
  <c r="Q1762" i="3"/>
  <c r="R1762" i="3" s="1"/>
  <c r="Q1758" i="3"/>
  <c r="R1758" i="3" s="1"/>
  <c r="Q1754" i="3"/>
  <c r="R1754" i="3" s="1"/>
  <c r="Q1750" i="3"/>
  <c r="R1750" i="3" s="1"/>
  <c r="Q1746" i="3"/>
  <c r="R1746" i="3" s="1"/>
  <c r="Q1742" i="3"/>
  <c r="R1742" i="3" s="1"/>
  <c r="Q1738" i="3"/>
  <c r="R1738" i="3" s="1"/>
  <c r="Q1734" i="3"/>
  <c r="R1734" i="3" s="1"/>
  <c r="Q1730" i="3"/>
  <c r="R1730" i="3" s="1"/>
  <c r="Q1726" i="3"/>
  <c r="R1726" i="3" s="1"/>
  <c r="Q1722" i="3"/>
  <c r="R1722" i="3" s="1"/>
  <c r="Q1718" i="3"/>
  <c r="R1718" i="3" s="1"/>
  <c r="Q1714" i="3"/>
  <c r="R1714" i="3" s="1"/>
  <c r="Q1710" i="3"/>
  <c r="R1710" i="3" s="1"/>
  <c r="Q1706" i="3"/>
  <c r="R1706" i="3" s="1"/>
  <c r="Q1702" i="3"/>
  <c r="R1702" i="3" s="1"/>
  <c r="Q1698" i="3"/>
  <c r="R1698" i="3" s="1"/>
  <c r="Q1694" i="3"/>
  <c r="R1694" i="3" s="1"/>
  <c r="Q1690" i="3"/>
  <c r="R1690" i="3" s="1"/>
  <c r="Q1686" i="3"/>
  <c r="R1686" i="3" s="1"/>
  <c r="Q1682" i="3"/>
  <c r="R1682" i="3" s="1"/>
  <c r="Q1678" i="3"/>
  <c r="R1678" i="3" s="1"/>
  <c r="Q1674" i="3"/>
  <c r="R1674" i="3" s="1"/>
  <c r="Q1670" i="3"/>
  <c r="R1670" i="3" s="1"/>
  <c r="Q1666" i="3"/>
  <c r="R1666" i="3" s="1"/>
  <c r="Q1662" i="3"/>
  <c r="R1662" i="3" s="1"/>
  <c r="Q1658" i="3"/>
  <c r="R1658" i="3" s="1"/>
  <c r="Q1654" i="3"/>
  <c r="R1654" i="3" s="1"/>
  <c r="Q1650" i="3"/>
  <c r="R1650" i="3" s="1"/>
  <c r="Q1646" i="3"/>
  <c r="R1646" i="3" s="1"/>
  <c r="Q1642" i="3"/>
  <c r="R1642" i="3" s="1"/>
  <c r="Q1638" i="3"/>
  <c r="R1638" i="3" s="1"/>
  <c r="Q1634" i="3"/>
  <c r="R1634" i="3" s="1"/>
  <c r="Q1630" i="3"/>
  <c r="R1630" i="3" s="1"/>
  <c r="Q1626" i="3"/>
  <c r="R1626" i="3" s="1"/>
  <c r="Q1622" i="3"/>
  <c r="R1622" i="3" s="1"/>
  <c r="Q1618" i="3"/>
  <c r="R1618" i="3" s="1"/>
  <c r="Q1614" i="3"/>
  <c r="R1614" i="3" s="1"/>
  <c r="Q1610" i="3"/>
  <c r="R1610" i="3" s="1"/>
  <c r="Q1606" i="3"/>
  <c r="R1606" i="3" s="1"/>
  <c r="Q1602" i="3"/>
  <c r="R1602" i="3" s="1"/>
  <c r="Q1598" i="3"/>
  <c r="R1598" i="3" s="1"/>
  <c r="Q1594" i="3"/>
  <c r="R1594" i="3" s="1"/>
  <c r="Q1590" i="3"/>
  <c r="R1590" i="3" s="1"/>
  <c r="Q1586" i="3"/>
  <c r="R1586" i="3" s="1"/>
  <c r="Q1582" i="3"/>
  <c r="R1582" i="3" s="1"/>
  <c r="Q1578" i="3"/>
  <c r="R1578" i="3" s="1"/>
  <c r="Q1574" i="3"/>
  <c r="R1574" i="3" s="1"/>
  <c r="Q1570" i="3"/>
  <c r="R1570" i="3" s="1"/>
  <c r="Q1566" i="3"/>
  <c r="R1566" i="3" s="1"/>
  <c r="Q1562" i="3"/>
  <c r="R1562" i="3" s="1"/>
  <c r="Q1558" i="3"/>
  <c r="R1558" i="3" s="1"/>
  <c r="Q1554" i="3"/>
  <c r="R1554" i="3" s="1"/>
  <c r="Q1550" i="3"/>
  <c r="R1550" i="3" s="1"/>
  <c r="Q1546" i="3"/>
  <c r="R1546" i="3" s="1"/>
  <c r="Q1542" i="3"/>
  <c r="R1542" i="3" s="1"/>
  <c r="Q1538" i="3"/>
  <c r="R1538" i="3" s="1"/>
  <c r="Q1534" i="3"/>
  <c r="R1534" i="3" s="1"/>
  <c r="Q1530" i="3"/>
  <c r="R1530" i="3" s="1"/>
  <c r="Q1526" i="3"/>
  <c r="R1526" i="3" s="1"/>
  <c r="Q1522" i="3"/>
  <c r="R1522" i="3" s="1"/>
  <c r="Q1518" i="3"/>
  <c r="R1518" i="3" s="1"/>
  <c r="Q1514" i="3"/>
  <c r="R1514" i="3" s="1"/>
  <c r="Q1510" i="3"/>
  <c r="R1510" i="3" s="1"/>
  <c r="Q1506" i="3"/>
  <c r="R1506" i="3" s="1"/>
  <c r="Q1502" i="3"/>
  <c r="R1502" i="3" s="1"/>
  <c r="Q1498" i="3"/>
  <c r="R1498" i="3" s="1"/>
  <c r="Q1494" i="3"/>
  <c r="R1494" i="3" s="1"/>
  <c r="Q1490" i="3"/>
  <c r="R1490" i="3" s="1"/>
  <c r="Q1486" i="3"/>
  <c r="R1486" i="3" s="1"/>
  <c r="Q1482" i="3"/>
  <c r="R1482" i="3" s="1"/>
  <c r="Q1478" i="3"/>
  <c r="R1478" i="3" s="1"/>
  <c r="Q1474" i="3"/>
  <c r="R1474" i="3" s="1"/>
  <c r="Q1470" i="3"/>
  <c r="R1470" i="3" s="1"/>
  <c r="Q1466" i="3"/>
  <c r="R1466" i="3" s="1"/>
  <c r="Q1462" i="3"/>
  <c r="R1462" i="3" s="1"/>
  <c r="Q1458" i="3"/>
  <c r="R1458" i="3" s="1"/>
  <c r="Q1454" i="3"/>
  <c r="R1454" i="3" s="1"/>
  <c r="Q1450" i="3"/>
  <c r="R1450" i="3" s="1"/>
  <c r="Q1446" i="3"/>
  <c r="R1446" i="3" s="1"/>
  <c r="Q1442" i="3"/>
  <c r="R1442" i="3" s="1"/>
  <c r="Q1438" i="3"/>
  <c r="R1438" i="3" s="1"/>
  <c r="Q1434" i="3"/>
  <c r="R1434" i="3" s="1"/>
  <c r="Q1430" i="3"/>
  <c r="R1430" i="3" s="1"/>
  <c r="Q1426" i="3"/>
  <c r="R1426" i="3" s="1"/>
  <c r="Q1422" i="3"/>
  <c r="R1422" i="3" s="1"/>
  <c r="Q1418" i="3"/>
  <c r="R1418" i="3" s="1"/>
  <c r="Q1414" i="3"/>
  <c r="R1414" i="3" s="1"/>
  <c r="Q1410" i="3"/>
  <c r="R1410" i="3" s="1"/>
  <c r="Q1406" i="3"/>
  <c r="R1406" i="3" s="1"/>
  <c r="Q1402" i="3"/>
  <c r="R1402" i="3" s="1"/>
  <c r="Q1398" i="3"/>
  <c r="R1398" i="3" s="1"/>
  <c r="Q1394" i="3"/>
  <c r="R1394" i="3" s="1"/>
  <c r="Q1390" i="3"/>
  <c r="R1390" i="3" s="1"/>
  <c r="Q1386" i="3"/>
  <c r="R1386" i="3" s="1"/>
  <c r="Q1382" i="3"/>
  <c r="R1382" i="3" s="1"/>
  <c r="Q1378" i="3"/>
  <c r="R1378" i="3" s="1"/>
  <c r="Q1374" i="3"/>
  <c r="R1374" i="3" s="1"/>
  <c r="Q1370" i="3"/>
  <c r="R1370" i="3" s="1"/>
  <c r="Q1366" i="3"/>
  <c r="R1366" i="3" s="1"/>
  <c r="Q1362" i="3"/>
  <c r="R1362" i="3" s="1"/>
  <c r="Q1358" i="3"/>
  <c r="R1358" i="3" s="1"/>
  <c r="Q1354" i="3"/>
  <c r="R1354" i="3" s="1"/>
  <c r="Q1350" i="3"/>
  <c r="R1350" i="3" s="1"/>
  <c r="Q1346" i="3"/>
  <c r="R1346" i="3" s="1"/>
  <c r="Q1342" i="3"/>
  <c r="R1342" i="3" s="1"/>
  <c r="Q1338" i="3"/>
  <c r="R1338" i="3" s="1"/>
  <c r="Q1334" i="3"/>
  <c r="R1334" i="3" s="1"/>
  <c r="Q1330" i="3"/>
  <c r="R1330" i="3" s="1"/>
  <c r="Q1326" i="3"/>
  <c r="R1326" i="3" s="1"/>
  <c r="Q1322" i="3"/>
  <c r="R1322" i="3" s="1"/>
  <c r="Q1318" i="3"/>
  <c r="R1318" i="3" s="1"/>
  <c r="Q1314" i="3"/>
  <c r="R1314" i="3" s="1"/>
  <c r="Q1310" i="3"/>
  <c r="R1310" i="3" s="1"/>
  <c r="Q1306" i="3"/>
  <c r="R1306" i="3" s="1"/>
  <c r="Q1302" i="3"/>
  <c r="R1302" i="3" s="1"/>
  <c r="Q1298" i="3"/>
  <c r="R1298" i="3" s="1"/>
  <c r="Q1294" i="3"/>
  <c r="R1294" i="3" s="1"/>
  <c r="Q1290" i="3"/>
  <c r="R1290" i="3" s="1"/>
  <c r="Q1286" i="3"/>
  <c r="R1286" i="3" s="1"/>
  <c r="Q1282" i="3"/>
  <c r="R1282" i="3" s="1"/>
  <c r="Q1278" i="3"/>
  <c r="R1278" i="3" s="1"/>
  <c r="Q1274" i="3"/>
  <c r="R1274" i="3" s="1"/>
  <c r="Q1270" i="3"/>
  <c r="R1270" i="3" s="1"/>
  <c r="Q1266" i="3"/>
  <c r="R1266" i="3" s="1"/>
  <c r="Q1262" i="3"/>
  <c r="R1262" i="3" s="1"/>
  <c r="Q1258" i="3"/>
  <c r="R1258" i="3" s="1"/>
  <c r="Q1254" i="3"/>
  <c r="R1254" i="3" s="1"/>
  <c r="Q1250" i="3"/>
  <c r="R1250" i="3" s="1"/>
  <c r="Q1246" i="3"/>
  <c r="R1246" i="3" s="1"/>
  <c r="Q1242" i="3"/>
  <c r="R1242" i="3" s="1"/>
  <c r="Q1238" i="3"/>
  <c r="R1238" i="3" s="1"/>
  <c r="Q1234" i="3"/>
  <c r="R1234" i="3" s="1"/>
  <c r="Q1230" i="3"/>
  <c r="R1230" i="3" s="1"/>
  <c r="Q1226" i="3"/>
  <c r="R1226" i="3" s="1"/>
  <c r="Q1222" i="3"/>
  <c r="R1222" i="3" s="1"/>
  <c r="Q1218" i="3"/>
  <c r="R1218" i="3" s="1"/>
  <c r="Q1214" i="3"/>
  <c r="R1214" i="3" s="1"/>
  <c r="Q1210" i="3"/>
  <c r="R1210" i="3" s="1"/>
  <c r="Q1206" i="3"/>
  <c r="R1206" i="3" s="1"/>
  <c r="Q1202" i="3"/>
  <c r="R1202" i="3" s="1"/>
  <c r="Q1198" i="3"/>
  <c r="R1198" i="3" s="1"/>
  <c r="Q1194" i="3"/>
  <c r="R1194" i="3" s="1"/>
  <c r="Q1190" i="3"/>
  <c r="R1190" i="3" s="1"/>
  <c r="Q1186" i="3"/>
  <c r="R1186" i="3" s="1"/>
  <c r="Q1182" i="3"/>
  <c r="R1182" i="3" s="1"/>
  <c r="Q1178" i="3"/>
  <c r="R1178" i="3" s="1"/>
  <c r="Q1174" i="3"/>
  <c r="R1174" i="3" s="1"/>
  <c r="Q1170" i="3"/>
  <c r="R1170" i="3" s="1"/>
  <c r="Q1166" i="3"/>
  <c r="R1166" i="3" s="1"/>
  <c r="Q1162" i="3"/>
  <c r="R1162" i="3" s="1"/>
  <c r="Q1158" i="3"/>
  <c r="R1158" i="3" s="1"/>
  <c r="Q1154" i="3"/>
  <c r="R1154" i="3" s="1"/>
  <c r="Q1150" i="3"/>
  <c r="R1150" i="3" s="1"/>
  <c r="Q1146" i="3"/>
  <c r="R1146" i="3" s="1"/>
  <c r="Q1142" i="3"/>
  <c r="R1142" i="3" s="1"/>
  <c r="Q1138" i="3"/>
  <c r="R1138" i="3" s="1"/>
  <c r="Q1134" i="3"/>
  <c r="R1134" i="3" s="1"/>
  <c r="Q1130" i="3"/>
  <c r="R1130" i="3" s="1"/>
  <c r="Q1126" i="3"/>
  <c r="R1126" i="3" s="1"/>
  <c r="Q1122" i="3"/>
  <c r="R1122" i="3" s="1"/>
  <c r="Q1118" i="3"/>
  <c r="R1118" i="3" s="1"/>
  <c r="Q1114" i="3"/>
  <c r="R1114" i="3" s="1"/>
  <c r="Q1110" i="3"/>
  <c r="R1110" i="3" s="1"/>
  <c r="Q1106" i="3"/>
  <c r="R1106" i="3" s="1"/>
  <c r="Q1102" i="3"/>
  <c r="R1102" i="3" s="1"/>
  <c r="Q1098" i="3"/>
  <c r="R1098" i="3" s="1"/>
  <c r="Q1094" i="3"/>
  <c r="R1094" i="3" s="1"/>
  <c r="Q1090" i="3"/>
  <c r="R1090" i="3" s="1"/>
  <c r="Q1086" i="3"/>
  <c r="R1086" i="3" s="1"/>
  <c r="Q1082" i="3"/>
  <c r="R1082" i="3" s="1"/>
  <c r="Q1078" i="3"/>
  <c r="R1078" i="3" s="1"/>
  <c r="Q1074" i="3"/>
  <c r="R1074" i="3" s="1"/>
  <c r="Q1070" i="3"/>
  <c r="R1070" i="3" s="1"/>
  <c r="Q1066" i="3"/>
  <c r="R1066" i="3" s="1"/>
  <c r="Q1062" i="3"/>
  <c r="R1062" i="3" s="1"/>
  <c r="Q1058" i="3"/>
  <c r="R1058" i="3" s="1"/>
  <c r="Q1054" i="3"/>
  <c r="R1054" i="3" s="1"/>
  <c r="Q1050" i="3"/>
  <c r="R1050" i="3" s="1"/>
  <c r="Q1046" i="3"/>
  <c r="R1046" i="3" s="1"/>
  <c r="Q1042" i="3"/>
  <c r="R1042" i="3" s="1"/>
  <c r="Q1038" i="3"/>
  <c r="R1038" i="3" s="1"/>
  <c r="Q1034" i="3"/>
  <c r="R1034" i="3" s="1"/>
  <c r="Q1030" i="3"/>
  <c r="R1030" i="3" s="1"/>
  <c r="Q1026" i="3"/>
  <c r="R1026" i="3" s="1"/>
  <c r="Q1022" i="3"/>
  <c r="R1022" i="3" s="1"/>
  <c r="Q1018" i="3"/>
  <c r="R1018" i="3" s="1"/>
  <c r="Q1014" i="3"/>
  <c r="R1014" i="3" s="1"/>
  <c r="Q1010" i="3"/>
  <c r="R1010" i="3" s="1"/>
  <c r="Q1006" i="3"/>
  <c r="R1006" i="3" s="1"/>
  <c r="Q1002" i="3"/>
  <c r="R1002" i="3" s="1"/>
  <c r="Q998" i="3"/>
  <c r="R998" i="3" s="1"/>
  <c r="Q994" i="3"/>
  <c r="R994" i="3" s="1"/>
  <c r="Q990" i="3"/>
  <c r="R990" i="3" s="1"/>
  <c r="Q986" i="3"/>
  <c r="R986" i="3" s="1"/>
  <c r="Q982" i="3"/>
  <c r="R982" i="3" s="1"/>
  <c r="Q978" i="3"/>
  <c r="R978" i="3" s="1"/>
  <c r="Q974" i="3"/>
  <c r="R974" i="3" s="1"/>
  <c r="Q970" i="3"/>
  <c r="R970" i="3" s="1"/>
  <c r="Q966" i="3"/>
  <c r="R966" i="3" s="1"/>
  <c r="Q962" i="3"/>
  <c r="R962" i="3" s="1"/>
  <c r="Q958" i="3"/>
  <c r="R958" i="3" s="1"/>
  <c r="Q954" i="3"/>
  <c r="R954" i="3" s="1"/>
  <c r="Q950" i="3"/>
  <c r="R950" i="3" s="1"/>
  <c r="Q946" i="3"/>
  <c r="R946" i="3" s="1"/>
  <c r="Q942" i="3"/>
  <c r="R942" i="3" s="1"/>
  <c r="Q938" i="3"/>
  <c r="R938" i="3" s="1"/>
  <c r="Q934" i="3"/>
  <c r="R934" i="3" s="1"/>
  <c r="Q930" i="3"/>
  <c r="R930" i="3" s="1"/>
  <c r="Q926" i="3"/>
  <c r="R926" i="3" s="1"/>
  <c r="Q922" i="3"/>
  <c r="R922" i="3" s="1"/>
  <c r="Q918" i="3"/>
  <c r="R918" i="3" s="1"/>
  <c r="Q914" i="3"/>
  <c r="R914" i="3" s="1"/>
  <c r="Q910" i="3"/>
  <c r="R910" i="3" s="1"/>
  <c r="Q906" i="3"/>
  <c r="R906" i="3" s="1"/>
  <c r="Q902" i="3"/>
  <c r="R902" i="3" s="1"/>
  <c r="Q898" i="3"/>
  <c r="R898" i="3" s="1"/>
  <c r="Q894" i="3"/>
  <c r="R894" i="3" s="1"/>
  <c r="Q890" i="3"/>
  <c r="R890" i="3" s="1"/>
  <c r="Q886" i="3"/>
  <c r="R886" i="3" s="1"/>
  <c r="Q882" i="3"/>
  <c r="R882" i="3" s="1"/>
  <c r="Q878" i="3"/>
  <c r="R878" i="3" s="1"/>
  <c r="Q874" i="3"/>
  <c r="R874" i="3" s="1"/>
  <c r="Q870" i="3"/>
  <c r="R870" i="3" s="1"/>
  <c r="Q866" i="3"/>
  <c r="R866" i="3" s="1"/>
  <c r="Q862" i="3"/>
  <c r="R862" i="3" s="1"/>
  <c r="Q858" i="3"/>
  <c r="R858" i="3" s="1"/>
  <c r="Q854" i="3"/>
  <c r="R854" i="3" s="1"/>
  <c r="Q850" i="3"/>
  <c r="R850" i="3" s="1"/>
  <c r="Q846" i="3"/>
  <c r="R846" i="3" s="1"/>
  <c r="Q842" i="3"/>
  <c r="R842" i="3" s="1"/>
  <c r="Q838" i="3"/>
  <c r="R838" i="3" s="1"/>
  <c r="Q834" i="3"/>
  <c r="R834" i="3" s="1"/>
  <c r="Q830" i="3"/>
  <c r="R830" i="3" s="1"/>
  <c r="Q826" i="3"/>
  <c r="R826" i="3" s="1"/>
  <c r="Q822" i="3"/>
  <c r="R822" i="3" s="1"/>
  <c r="Q818" i="3"/>
  <c r="R818" i="3" s="1"/>
  <c r="Q814" i="3"/>
  <c r="R814" i="3" s="1"/>
  <c r="Q810" i="3"/>
  <c r="R810" i="3" s="1"/>
  <c r="Q806" i="3"/>
  <c r="R806" i="3" s="1"/>
  <c r="Q802" i="3"/>
  <c r="R802" i="3" s="1"/>
  <c r="Q798" i="3"/>
  <c r="R798" i="3" s="1"/>
  <c r="Q794" i="3"/>
  <c r="R794" i="3" s="1"/>
  <c r="Q790" i="3"/>
  <c r="R790" i="3" s="1"/>
  <c r="Q786" i="3"/>
  <c r="R786" i="3" s="1"/>
  <c r="Q782" i="3"/>
  <c r="R782" i="3" s="1"/>
  <c r="Q778" i="3"/>
  <c r="R778" i="3" s="1"/>
  <c r="Q774" i="3"/>
  <c r="R774" i="3" s="1"/>
  <c r="Q770" i="3"/>
  <c r="R770" i="3" s="1"/>
  <c r="Q766" i="3"/>
  <c r="R766" i="3" s="1"/>
  <c r="Q762" i="3"/>
  <c r="R762" i="3" s="1"/>
  <c r="Q758" i="3"/>
  <c r="R758" i="3" s="1"/>
  <c r="Q754" i="3"/>
  <c r="R754" i="3" s="1"/>
  <c r="Q750" i="3"/>
  <c r="R750" i="3" s="1"/>
  <c r="Q746" i="3"/>
  <c r="R746" i="3" s="1"/>
  <c r="Q742" i="3"/>
  <c r="R742" i="3" s="1"/>
  <c r="Q738" i="3"/>
  <c r="R738" i="3" s="1"/>
  <c r="Q734" i="3"/>
  <c r="R734" i="3" s="1"/>
  <c r="Q730" i="3"/>
  <c r="R730" i="3" s="1"/>
  <c r="Q726" i="3"/>
  <c r="R726" i="3" s="1"/>
  <c r="Q722" i="3"/>
  <c r="R722" i="3" s="1"/>
  <c r="Q718" i="3"/>
  <c r="R718" i="3" s="1"/>
  <c r="Q714" i="3"/>
  <c r="R714" i="3" s="1"/>
  <c r="Q710" i="3"/>
  <c r="R710" i="3" s="1"/>
  <c r="Q706" i="3"/>
  <c r="R706" i="3" s="1"/>
  <c r="Q702" i="3"/>
  <c r="R702" i="3" s="1"/>
  <c r="Q698" i="3"/>
  <c r="R698" i="3" s="1"/>
  <c r="Q694" i="3"/>
  <c r="R694" i="3" s="1"/>
  <c r="Q690" i="3"/>
  <c r="R690" i="3" s="1"/>
  <c r="Q686" i="3"/>
  <c r="R686" i="3" s="1"/>
  <c r="Q682" i="3"/>
  <c r="R682" i="3" s="1"/>
  <c r="Q678" i="3"/>
  <c r="R678" i="3" s="1"/>
  <c r="Q674" i="3"/>
  <c r="R674" i="3" s="1"/>
  <c r="Q670" i="3"/>
  <c r="R670" i="3" s="1"/>
  <c r="Q666" i="3"/>
  <c r="R666" i="3" s="1"/>
  <c r="Q662" i="3"/>
  <c r="R662" i="3" s="1"/>
  <c r="Q658" i="3"/>
  <c r="R658" i="3" s="1"/>
  <c r="Q654" i="3"/>
  <c r="R654" i="3" s="1"/>
  <c r="Q650" i="3"/>
  <c r="R650" i="3" s="1"/>
  <c r="Q646" i="3"/>
  <c r="R646" i="3" s="1"/>
  <c r="Q642" i="3"/>
  <c r="R642" i="3" s="1"/>
  <c r="Q638" i="3"/>
  <c r="R638" i="3" s="1"/>
  <c r="Q634" i="3"/>
  <c r="R634" i="3" s="1"/>
  <c r="Q630" i="3"/>
  <c r="R630" i="3" s="1"/>
  <c r="Q626" i="3"/>
  <c r="R626" i="3" s="1"/>
  <c r="Q622" i="3"/>
  <c r="R622" i="3" s="1"/>
  <c r="Q618" i="3"/>
  <c r="R618" i="3" s="1"/>
  <c r="Q614" i="3"/>
  <c r="R614" i="3" s="1"/>
  <c r="Q610" i="3"/>
  <c r="R610" i="3" s="1"/>
  <c r="Q606" i="3"/>
  <c r="R606" i="3" s="1"/>
  <c r="Q602" i="3"/>
  <c r="R602" i="3" s="1"/>
  <c r="Q598" i="3"/>
  <c r="R598" i="3" s="1"/>
  <c r="Q594" i="3"/>
  <c r="R594" i="3" s="1"/>
  <c r="Q590" i="3"/>
  <c r="R590" i="3" s="1"/>
  <c r="Q586" i="3"/>
  <c r="R586" i="3" s="1"/>
  <c r="Q582" i="3"/>
  <c r="R582" i="3" s="1"/>
  <c r="Q578" i="3"/>
  <c r="R578" i="3" s="1"/>
  <c r="Q574" i="3"/>
  <c r="R574" i="3" s="1"/>
  <c r="Q570" i="3"/>
  <c r="R570" i="3" s="1"/>
  <c r="Q566" i="3"/>
  <c r="R566" i="3" s="1"/>
  <c r="Q562" i="3"/>
  <c r="R562" i="3" s="1"/>
  <c r="Q558" i="3"/>
  <c r="R558" i="3" s="1"/>
  <c r="Q554" i="3"/>
  <c r="R554" i="3" s="1"/>
  <c r="Q550" i="3"/>
  <c r="R550" i="3" s="1"/>
  <c r="Q546" i="3"/>
  <c r="R546" i="3" s="1"/>
  <c r="Q542" i="3"/>
  <c r="R542" i="3" s="1"/>
  <c r="Q538" i="3"/>
  <c r="R538" i="3" s="1"/>
  <c r="Q534" i="3"/>
  <c r="R534" i="3" s="1"/>
  <c r="Q530" i="3"/>
  <c r="R530" i="3" s="1"/>
  <c r="Q526" i="3"/>
  <c r="R526" i="3" s="1"/>
  <c r="Q522" i="3"/>
  <c r="R522" i="3" s="1"/>
  <c r="Q518" i="3"/>
  <c r="R518" i="3" s="1"/>
  <c r="Q514" i="3"/>
  <c r="R514" i="3" s="1"/>
  <c r="Q510" i="3"/>
  <c r="R510" i="3" s="1"/>
  <c r="Q506" i="3"/>
  <c r="R506" i="3" s="1"/>
  <c r="Q502" i="3"/>
  <c r="R502" i="3" s="1"/>
  <c r="Q498" i="3"/>
  <c r="R498" i="3" s="1"/>
  <c r="Q494" i="3"/>
  <c r="R494" i="3" s="1"/>
  <c r="Q490" i="3"/>
  <c r="R490" i="3" s="1"/>
  <c r="Q486" i="3"/>
  <c r="R486" i="3" s="1"/>
  <c r="Q482" i="3"/>
  <c r="R482" i="3" s="1"/>
  <c r="Q478" i="3"/>
  <c r="R478" i="3" s="1"/>
  <c r="Q474" i="3"/>
  <c r="R474" i="3" s="1"/>
  <c r="Q470" i="3"/>
  <c r="R470" i="3" s="1"/>
  <c r="Q466" i="3"/>
  <c r="R466" i="3" s="1"/>
  <c r="Q462" i="3"/>
  <c r="R462" i="3" s="1"/>
  <c r="Q458" i="3"/>
  <c r="R458" i="3" s="1"/>
  <c r="Q454" i="3"/>
  <c r="R454" i="3" s="1"/>
  <c r="Q450" i="3"/>
  <c r="R450" i="3" s="1"/>
  <c r="Q446" i="3"/>
  <c r="R446" i="3" s="1"/>
  <c r="Q442" i="3"/>
  <c r="R442" i="3" s="1"/>
  <c r="Q438" i="3"/>
  <c r="R438" i="3" s="1"/>
  <c r="Q434" i="3"/>
  <c r="R434" i="3" s="1"/>
  <c r="Q430" i="3"/>
  <c r="R430" i="3" s="1"/>
  <c r="Q426" i="3"/>
  <c r="R426" i="3" s="1"/>
  <c r="Q422" i="3"/>
  <c r="R422" i="3" s="1"/>
  <c r="Q418" i="3"/>
  <c r="R418" i="3" s="1"/>
  <c r="Q414" i="3"/>
  <c r="R414" i="3" s="1"/>
  <c r="Q410" i="3"/>
  <c r="R410" i="3" s="1"/>
  <c r="Q406" i="3"/>
  <c r="R406" i="3" s="1"/>
  <c r="Q402" i="3"/>
  <c r="R402" i="3" s="1"/>
  <c r="Q398" i="3"/>
  <c r="R398" i="3" s="1"/>
  <c r="Q394" i="3"/>
  <c r="R394" i="3" s="1"/>
  <c r="Q390" i="3"/>
  <c r="R390" i="3" s="1"/>
  <c r="Q386" i="3"/>
  <c r="R386" i="3" s="1"/>
  <c r="Q382" i="3"/>
  <c r="R382" i="3" s="1"/>
  <c r="Q378" i="3"/>
  <c r="R378" i="3" s="1"/>
  <c r="Q374" i="3"/>
  <c r="R374" i="3" s="1"/>
  <c r="Q370" i="3"/>
  <c r="R370" i="3" s="1"/>
  <c r="Q366" i="3"/>
  <c r="R366" i="3" s="1"/>
  <c r="Q362" i="3"/>
  <c r="R362" i="3" s="1"/>
  <c r="Q358" i="3"/>
  <c r="R358" i="3" s="1"/>
  <c r="Q354" i="3"/>
  <c r="R354" i="3" s="1"/>
  <c r="Q350" i="3"/>
  <c r="R350" i="3" s="1"/>
  <c r="Q346" i="3"/>
  <c r="R346" i="3" s="1"/>
  <c r="Q342" i="3"/>
  <c r="R342" i="3" s="1"/>
  <c r="Q338" i="3"/>
  <c r="R338" i="3" s="1"/>
  <c r="Q334" i="3"/>
  <c r="R334" i="3" s="1"/>
  <c r="Q330" i="3"/>
  <c r="R330" i="3" s="1"/>
  <c r="Q326" i="3"/>
  <c r="R326" i="3" s="1"/>
  <c r="Q322" i="3"/>
  <c r="R322" i="3" s="1"/>
  <c r="Q318" i="3"/>
  <c r="R318" i="3" s="1"/>
  <c r="Q314" i="3"/>
  <c r="R314" i="3" s="1"/>
  <c r="Q310" i="3"/>
  <c r="R310" i="3" s="1"/>
  <c r="Q306" i="3"/>
  <c r="R306" i="3" s="1"/>
  <c r="Q302" i="3"/>
  <c r="R302" i="3" s="1"/>
  <c r="Q298" i="3"/>
  <c r="R298" i="3" s="1"/>
  <c r="Q294" i="3"/>
  <c r="R294" i="3" s="1"/>
  <c r="Q290" i="3"/>
  <c r="R290" i="3" s="1"/>
  <c r="Q286" i="3"/>
  <c r="R286" i="3" s="1"/>
  <c r="Q282" i="3"/>
  <c r="R282" i="3" s="1"/>
  <c r="Q278" i="3"/>
  <c r="R278" i="3" s="1"/>
  <c r="Q274" i="3"/>
  <c r="R274" i="3" s="1"/>
  <c r="Q270" i="3"/>
  <c r="R270" i="3" s="1"/>
  <c r="Q266" i="3"/>
  <c r="R266" i="3" s="1"/>
  <c r="Q262" i="3"/>
  <c r="R262" i="3" s="1"/>
  <c r="Q258" i="3"/>
  <c r="R258" i="3" s="1"/>
  <c r="Q254" i="3"/>
  <c r="R254" i="3" s="1"/>
  <c r="Q250" i="3"/>
  <c r="R250" i="3" s="1"/>
  <c r="Q246" i="3"/>
  <c r="R246" i="3" s="1"/>
  <c r="Q242" i="3"/>
  <c r="R242" i="3" s="1"/>
  <c r="Q238" i="3"/>
  <c r="R238" i="3" s="1"/>
  <c r="Q234" i="3"/>
  <c r="R234" i="3" s="1"/>
  <c r="Q230" i="3"/>
  <c r="R230" i="3" s="1"/>
  <c r="Q226" i="3"/>
  <c r="R226" i="3" s="1"/>
  <c r="Q222" i="3"/>
  <c r="R222" i="3" s="1"/>
  <c r="Q218" i="3"/>
  <c r="R218" i="3" s="1"/>
  <c r="Q214" i="3"/>
  <c r="R214" i="3" s="1"/>
  <c r="Q210" i="3"/>
  <c r="R210" i="3" s="1"/>
  <c r="Q206" i="3"/>
  <c r="R206" i="3" s="1"/>
  <c r="Q202" i="3"/>
  <c r="R202" i="3" s="1"/>
  <c r="Q198" i="3"/>
  <c r="R198" i="3" s="1"/>
  <c r="Q194" i="3"/>
  <c r="R194" i="3" s="1"/>
  <c r="Q190" i="3"/>
  <c r="R190" i="3" s="1"/>
  <c r="Q186" i="3"/>
  <c r="R186" i="3" s="1"/>
  <c r="Q182" i="3"/>
  <c r="R182" i="3" s="1"/>
  <c r="Q178" i="3"/>
  <c r="R178" i="3" s="1"/>
  <c r="Q174" i="3"/>
  <c r="R174" i="3" s="1"/>
  <c r="Q170" i="3"/>
  <c r="R170" i="3" s="1"/>
  <c r="Q166" i="3"/>
  <c r="R166" i="3" s="1"/>
  <c r="Q162" i="3"/>
  <c r="R162" i="3" s="1"/>
  <c r="Q158" i="3"/>
  <c r="R158" i="3" s="1"/>
  <c r="Q154" i="3"/>
  <c r="R154" i="3" s="1"/>
  <c r="Q150" i="3"/>
  <c r="R150" i="3" s="1"/>
  <c r="Q146" i="3"/>
  <c r="R146" i="3" s="1"/>
  <c r="Q142" i="3"/>
  <c r="R142" i="3" s="1"/>
  <c r="Q138" i="3"/>
  <c r="R138" i="3" s="1"/>
  <c r="Q134" i="3"/>
  <c r="R134" i="3" s="1"/>
  <c r="Q130" i="3"/>
  <c r="R130" i="3" s="1"/>
  <c r="Q126" i="3"/>
  <c r="R126" i="3" s="1"/>
  <c r="Q122" i="3"/>
  <c r="R122" i="3" s="1"/>
  <c r="Q118" i="3"/>
  <c r="R118" i="3" s="1"/>
  <c r="Q114" i="3"/>
  <c r="R114" i="3" s="1"/>
  <c r="Q110" i="3"/>
  <c r="R110" i="3" s="1"/>
  <c r="Q106" i="3"/>
  <c r="R106" i="3" s="1"/>
  <c r="Q102" i="3"/>
  <c r="R102" i="3" s="1"/>
  <c r="Q98" i="3"/>
  <c r="R98" i="3" s="1"/>
  <c r="Q94" i="3"/>
  <c r="R94" i="3" s="1"/>
  <c r="Q90" i="3"/>
  <c r="R90" i="3" s="1"/>
  <c r="Q86" i="3"/>
  <c r="R86" i="3" s="1"/>
  <c r="Q82" i="3"/>
  <c r="R82" i="3" s="1"/>
  <c r="Q78" i="3"/>
  <c r="R78" i="3" s="1"/>
  <c r="Q74" i="3"/>
  <c r="R74" i="3" s="1"/>
  <c r="Q70" i="3"/>
  <c r="R70" i="3" s="1"/>
  <c r="Q66" i="3"/>
  <c r="R66" i="3" s="1"/>
  <c r="Q62" i="3"/>
  <c r="R62" i="3" s="1"/>
  <c r="Q58" i="3"/>
  <c r="R58" i="3" s="1"/>
  <c r="Q54" i="3"/>
  <c r="R54" i="3" s="1"/>
  <c r="Q50" i="3"/>
  <c r="R50" i="3" s="1"/>
  <c r="Q46" i="3"/>
  <c r="R46" i="3" s="1"/>
  <c r="Q42" i="3"/>
  <c r="R42" i="3" s="1"/>
  <c r="Q38" i="3"/>
  <c r="R38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8" i="3"/>
  <c r="M128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L212" i="3"/>
  <c r="M212" i="3" s="1"/>
  <c r="L213" i="3"/>
  <c r="M213" i="3" s="1"/>
  <c r="L214" i="3"/>
  <c r="M214" i="3" s="1"/>
  <c r="L215" i="3"/>
  <c r="M215" i="3" s="1"/>
  <c r="L216" i="3"/>
  <c r="M216" i="3" s="1"/>
  <c r="L217" i="3"/>
  <c r="M217" i="3" s="1"/>
  <c r="L218" i="3"/>
  <c r="M218" i="3" s="1"/>
  <c r="L219" i="3"/>
  <c r="M219" i="3" s="1"/>
  <c r="L220" i="3"/>
  <c r="M220" i="3" s="1"/>
  <c r="L221" i="3"/>
  <c r="M221" i="3" s="1"/>
  <c r="L222" i="3"/>
  <c r="M222" i="3" s="1"/>
  <c r="L223" i="3"/>
  <c r="M223" i="3" s="1"/>
  <c r="L224" i="3"/>
  <c r="M224" i="3" s="1"/>
  <c r="L225" i="3"/>
  <c r="M225" i="3" s="1"/>
  <c r="L226" i="3"/>
  <c r="M226" i="3" s="1"/>
  <c r="L227" i="3"/>
  <c r="M227" i="3" s="1"/>
  <c r="L228" i="3"/>
  <c r="M228" i="3" s="1"/>
  <c r="L229" i="3"/>
  <c r="M229" i="3" s="1"/>
  <c r="L230" i="3"/>
  <c r="M230" i="3" s="1"/>
  <c r="L231" i="3"/>
  <c r="M231" i="3" s="1"/>
  <c r="L232" i="3"/>
  <c r="M232" i="3" s="1"/>
  <c r="L233" i="3"/>
  <c r="M233" i="3" s="1"/>
  <c r="L234" i="3"/>
  <c r="M234" i="3" s="1"/>
  <c r="L235" i="3"/>
  <c r="M235" i="3" s="1"/>
  <c r="L236" i="3"/>
  <c r="M236" i="3" s="1"/>
  <c r="L237" i="3"/>
  <c r="M237" i="3" s="1"/>
  <c r="L238" i="3"/>
  <c r="M238" i="3" s="1"/>
  <c r="L239" i="3"/>
  <c r="M239" i="3" s="1"/>
  <c r="L240" i="3"/>
  <c r="M240" i="3" s="1"/>
  <c r="L241" i="3"/>
  <c r="M241" i="3" s="1"/>
  <c r="L242" i="3"/>
  <c r="M242" i="3" s="1"/>
  <c r="L243" i="3"/>
  <c r="M243" i="3" s="1"/>
  <c r="L244" i="3"/>
  <c r="M244" i="3" s="1"/>
  <c r="L245" i="3"/>
  <c r="M245" i="3" s="1"/>
  <c r="L246" i="3"/>
  <c r="M246" i="3" s="1"/>
  <c r="L247" i="3"/>
  <c r="M247" i="3" s="1"/>
  <c r="L248" i="3"/>
  <c r="M248" i="3" s="1"/>
  <c r="L249" i="3"/>
  <c r="M249" i="3" s="1"/>
  <c r="L250" i="3"/>
  <c r="M250" i="3" s="1"/>
  <c r="L251" i="3"/>
  <c r="M251" i="3" s="1"/>
  <c r="L252" i="3"/>
  <c r="M252" i="3" s="1"/>
  <c r="L253" i="3"/>
  <c r="M253" i="3" s="1"/>
  <c r="L254" i="3"/>
  <c r="M254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7" i="3"/>
  <c r="M267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6" i="3"/>
  <c r="M276" i="3" s="1"/>
  <c r="L277" i="3"/>
  <c r="M277" i="3" s="1"/>
  <c r="L278" i="3"/>
  <c r="M278" i="3" s="1"/>
  <c r="L279" i="3"/>
  <c r="M279" i="3" s="1"/>
  <c r="L280" i="3"/>
  <c r="M280" i="3" s="1"/>
  <c r="L281" i="3"/>
  <c r="M281" i="3" s="1"/>
  <c r="L282" i="3"/>
  <c r="M282" i="3" s="1"/>
  <c r="L283" i="3"/>
  <c r="M283" i="3" s="1"/>
  <c r="L284" i="3"/>
  <c r="M284" i="3" s="1"/>
  <c r="L285" i="3"/>
  <c r="M285" i="3" s="1"/>
  <c r="L286" i="3"/>
  <c r="M286" i="3" s="1"/>
  <c r="L287" i="3"/>
  <c r="M287" i="3" s="1"/>
  <c r="L288" i="3"/>
  <c r="M288" i="3" s="1"/>
  <c r="L289" i="3"/>
  <c r="M289" i="3" s="1"/>
  <c r="L290" i="3"/>
  <c r="M290" i="3" s="1"/>
  <c r="L291" i="3"/>
  <c r="M291" i="3" s="1"/>
  <c r="L292" i="3"/>
  <c r="M292" i="3" s="1"/>
  <c r="L293" i="3"/>
  <c r="M293" i="3" s="1"/>
  <c r="L294" i="3"/>
  <c r="M294" i="3" s="1"/>
  <c r="L295" i="3"/>
  <c r="M295" i="3" s="1"/>
  <c r="L296" i="3"/>
  <c r="M296" i="3" s="1"/>
  <c r="L297" i="3"/>
  <c r="M297" i="3" s="1"/>
  <c r="L298" i="3"/>
  <c r="M298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19" i="3"/>
  <c r="M319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339" i="3"/>
  <c r="M339" i="3" s="1"/>
  <c r="L340" i="3"/>
  <c r="M340" i="3" s="1"/>
  <c r="L341" i="3"/>
  <c r="M341" i="3" s="1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M356" i="3" s="1"/>
  <c r="L357" i="3"/>
  <c r="M357" i="3" s="1"/>
  <c r="L358" i="3"/>
  <c r="M358" i="3" s="1"/>
  <c r="L359" i="3"/>
  <c r="M359" i="3" s="1"/>
  <c r="L360" i="3"/>
  <c r="M360" i="3" s="1"/>
  <c r="L361" i="3"/>
  <c r="M361" i="3" s="1"/>
  <c r="L362" i="3"/>
  <c r="M362" i="3" s="1"/>
  <c r="L363" i="3"/>
  <c r="M363" i="3" s="1"/>
  <c r="L364" i="3"/>
  <c r="M364" i="3" s="1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M372" i="3" s="1"/>
  <c r="L373" i="3"/>
  <c r="M373" i="3" s="1"/>
  <c r="L374" i="3"/>
  <c r="M374" i="3" s="1"/>
  <c r="L375" i="3"/>
  <c r="M375" i="3" s="1"/>
  <c r="L376" i="3"/>
  <c r="M376" i="3" s="1"/>
  <c r="L377" i="3"/>
  <c r="M377" i="3" s="1"/>
  <c r="L378" i="3"/>
  <c r="M378" i="3" s="1"/>
  <c r="L379" i="3"/>
  <c r="M379" i="3" s="1"/>
  <c r="L380" i="3"/>
  <c r="M380" i="3" s="1"/>
  <c r="L381" i="3"/>
  <c r="M381" i="3" s="1"/>
  <c r="L382" i="3"/>
  <c r="M382" i="3" s="1"/>
  <c r="L383" i="3"/>
  <c r="M383" i="3" s="1"/>
  <c r="L384" i="3"/>
  <c r="M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M394" i="3" s="1"/>
  <c r="L395" i="3"/>
  <c r="M395" i="3" s="1"/>
  <c r="L396" i="3"/>
  <c r="M396" i="3" s="1"/>
  <c r="L397" i="3"/>
  <c r="M397" i="3" s="1"/>
  <c r="L398" i="3"/>
  <c r="M398" i="3" s="1"/>
  <c r="L399" i="3"/>
  <c r="M399" i="3" s="1"/>
  <c r="L400" i="3"/>
  <c r="M400" i="3" s="1"/>
  <c r="L401" i="3"/>
  <c r="M401" i="3" s="1"/>
  <c r="L402" i="3"/>
  <c r="M402" i="3" s="1"/>
  <c r="L403" i="3"/>
  <c r="M403" i="3" s="1"/>
  <c r="L404" i="3"/>
  <c r="M404" i="3" s="1"/>
  <c r="L405" i="3"/>
  <c r="M405" i="3" s="1"/>
  <c r="L406" i="3"/>
  <c r="M406" i="3" s="1"/>
  <c r="L407" i="3"/>
  <c r="M407" i="3" s="1"/>
  <c r="L408" i="3"/>
  <c r="M408" i="3" s="1"/>
  <c r="L409" i="3"/>
  <c r="M409" i="3" s="1"/>
  <c r="L410" i="3"/>
  <c r="M410" i="3" s="1"/>
  <c r="L411" i="3"/>
  <c r="M411" i="3" s="1"/>
  <c r="L412" i="3"/>
  <c r="M412" i="3" s="1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M418" i="3" s="1"/>
  <c r="L419" i="3"/>
  <c r="M419" i="3" s="1"/>
  <c r="L420" i="3"/>
  <c r="M420" i="3" s="1"/>
  <c r="L421" i="3"/>
  <c r="M421" i="3" s="1"/>
  <c r="L422" i="3"/>
  <c r="M422" i="3" s="1"/>
  <c r="L423" i="3"/>
  <c r="M423" i="3" s="1"/>
  <c r="L424" i="3"/>
  <c r="M424" i="3" s="1"/>
  <c r="L425" i="3"/>
  <c r="M425" i="3" s="1"/>
  <c r="L426" i="3"/>
  <c r="M426" i="3" s="1"/>
  <c r="L427" i="3"/>
  <c r="M427" i="3" s="1"/>
  <c r="L428" i="3"/>
  <c r="M428" i="3" s="1"/>
  <c r="L429" i="3"/>
  <c r="M429" i="3" s="1"/>
  <c r="L430" i="3"/>
  <c r="M430" i="3" s="1"/>
  <c r="L431" i="3"/>
  <c r="M431" i="3" s="1"/>
  <c r="L432" i="3"/>
  <c r="M432" i="3" s="1"/>
  <c r="L433" i="3"/>
  <c r="M433" i="3" s="1"/>
  <c r="L434" i="3"/>
  <c r="M434" i="3" s="1"/>
  <c r="L435" i="3"/>
  <c r="M435" i="3" s="1"/>
  <c r="L436" i="3"/>
  <c r="M436" i="3" s="1"/>
  <c r="L437" i="3"/>
  <c r="M437" i="3" s="1"/>
  <c r="L438" i="3"/>
  <c r="M438" i="3" s="1"/>
  <c r="L439" i="3"/>
  <c r="M439" i="3" s="1"/>
  <c r="L440" i="3"/>
  <c r="M440" i="3" s="1"/>
  <c r="L441" i="3"/>
  <c r="M441" i="3" s="1"/>
  <c r="L442" i="3"/>
  <c r="M442" i="3" s="1"/>
  <c r="L443" i="3"/>
  <c r="M443" i="3" s="1"/>
  <c r="L444" i="3"/>
  <c r="M444" i="3" s="1"/>
  <c r="L445" i="3"/>
  <c r="M445" i="3" s="1"/>
  <c r="L446" i="3"/>
  <c r="M446" i="3" s="1"/>
  <c r="L447" i="3"/>
  <c r="M447" i="3" s="1"/>
  <c r="L448" i="3"/>
  <c r="M448" i="3" s="1"/>
  <c r="L449" i="3"/>
  <c r="M449" i="3" s="1"/>
  <c r="L450" i="3"/>
  <c r="M450" i="3" s="1"/>
  <c r="L451" i="3"/>
  <c r="M451" i="3" s="1"/>
  <c r="L452" i="3"/>
  <c r="M452" i="3" s="1"/>
  <c r="L453" i="3"/>
  <c r="M453" i="3" s="1"/>
  <c r="L454" i="3"/>
  <c r="M454" i="3" s="1"/>
  <c r="L455" i="3"/>
  <c r="M455" i="3" s="1"/>
  <c r="L456" i="3"/>
  <c r="M456" i="3" s="1"/>
  <c r="L457" i="3"/>
  <c r="M457" i="3" s="1"/>
  <c r="L458" i="3"/>
  <c r="M458" i="3" s="1"/>
  <c r="L459" i="3"/>
  <c r="M459" i="3" s="1"/>
  <c r="L460" i="3"/>
  <c r="M460" i="3" s="1"/>
  <c r="L461" i="3"/>
  <c r="M461" i="3" s="1"/>
  <c r="L462" i="3"/>
  <c r="M462" i="3" s="1"/>
  <c r="L463" i="3"/>
  <c r="M463" i="3" s="1"/>
  <c r="L464" i="3"/>
  <c r="M464" i="3" s="1"/>
  <c r="L465" i="3"/>
  <c r="M465" i="3" s="1"/>
  <c r="L466" i="3"/>
  <c r="M466" i="3" s="1"/>
  <c r="L467" i="3"/>
  <c r="M467" i="3" s="1"/>
  <c r="L468" i="3"/>
  <c r="M468" i="3" s="1"/>
  <c r="L469" i="3"/>
  <c r="M469" i="3" s="1"/>
  <c r="L470" i="3"/>
  <c r="M470" i="3" s="1"/>
  <c r="L471" i="3"/>
  <c r="M471" i="3" s="1"/>
  <c r="L472" i="3"/>
  <c r="M472" i="3" s="1"/>
  <c r="L473" i="3"/>
  <c r="M473" i="3" s="1"/>
  <c r="L474" i="3"/>
  <c r="M474" i="3" s="1"/>
  <c r="L475" i="3"/>
  <c r="M475" i="3" s="1"/>
  <c r="L476" i="3"/>
  <c r="M476" i="3" s="1"/>
  <c r="L477" i="3"/>
  <c r="M477" i="3" s="1"/>
  <c r="L478" i="3"/>
  <c r="M478" i="3" s="1"/>
  <c r="L479" i="3"/>
  <c r="M479" i="3" s="1"/>
  <c r="L480" i="3"/>
  <c r="M480" i="3" s="1"/>
  <c r="L481" i="3"/>
  <c r="M481" i="3" s="1"/>
  <c r="L482" i="3"/>
  <c r="M482" i="3" s="1"/>
  <c r="L483" i="3"/>
  <c r="M483" i="3" s="1"/>
  <c r="L484" i="3"/>
  <c r="M484" i="3" s="1"/>
  <c r="L485" i="3"/>
  <c r="M485" i="3" s="1"/>
  <c r="L486" i="3"/>
  <c r="M486" i="3" s="1"/>
  <c r="L487" i="3"/>
  <c r="M487" i="3" s="1"/>
  <c r="L488" i="3"/>
  <c r="M488" i="3" s="1"/>
  <c r="L489" i="3"/>
  <c r="M489" i="3" s="1"/>
  <c r="L490" i="3"/>
  <c r="M490" i="3" s="1"/>
  <c r="L491" i="3"/>
  <c r="M491" i="3" s="1"/>
  <c r="L492" i="3"/>
  <c r="M492" i="3" s="1"/>
  <c r="L493" i="3"/>
  <c r="M493" i="3" s="1"/>
  <c r="L494" i="3"/>
  <c r="M494" i="3" s="1"/>
  <c r="L495" i="3"/>
  <c r="M495" i="3" s="1"/>
  <c r="L496" i="3"/>
  <c r="M496" i="3" s="1"/>
  <c r="L497" i="3"/>
  <c r="M497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L510" i="3"/>
  <c r="M510" i="3" s="1"/>
  <c r="L511" i="3"/>
  <c r="M511" i="3" s="1"/>
  <c r="L512" i="3"/>
  <c r="M512" i="3" s="1"/>
  <c r="L513" i="3"/>
  <c r="M513" i="3" s="1"/>
  <c r="L514" i="3"/>
  <c r="M514" i="3" s="1"/>
  <c r="L515" i="3"/>
  <c r="M515" i="3" s="1"/>
  <c r="L516" i="3"/>
  <c r="M516" i="3" s="1"/>
  <c r="L517" i="3"/>
  <c r="M517" i="3" s="1"/>
  <c r="L518" i="3"/>
  <c r="M518" i="3" s="1"/>
  <c r="L519" i="3"/>
  <c r="M519" i="3" s="1"/>
  <c r="L520" i="3"/>
  <c r="M520" i="3" s="1"/>
  <c r="L521" i="3"/>
  <c r="M521" i="3" s="1"/>
  <c r="L522" i="3"/>
  <c r="M522" i="3" s="1"/>
  <c r="L523" i="3"/>
  <c r="M523" i="3" s="1"/>
  <c r="L524" i="3"/>
  <c r="M524" i="3" s="1"/>
  <c r="L525" i="3"/>
  <c r="M525" i="3" s="1"/>
  <c r="L526" i="3"/>
  <c r="M526" i="3" s="1"/>
  <c r="L527" i="3"/>
  <c r="M527" i="3" s="1"/>
  <c r="L528" i="3"/>
  <c r="M528" i="3" s="1"/>
  <c r="L529" i="3"/>
  <c r="M529" i="3" s="1"/>
  <c r="L530" i="3"/>
  <c r="M530" i="3" s="1"/>
  <c r="L531" i="3"/>
  <c r="M531" i="3" s="1"/>
  <c r="L532" i="3"/>
  <c r="M532" i="3" s="1"/>
  <c r="L533" i="3"/>
  <c r="M533" i="3" s="1"/>
  <c r="L534" i="3"/>
  <c r="M534" i="3" s="1"/>
  <c r="L535" i="3"/>
  <c r="M535" i="3" s="1"/>
  <c r="L536" i="3"/>
  <c r="M536" i="3" s="1"/>
  <c r="L537" i="3"/>
  <c r="M537" i="3" s="1"/>
  <c r="L538" i="3"/>
  <c r="M538" i="3" s="1"/>
  <c r="L539" i="3"/>
  <c r="M539" i="3" s="1"/>
  <c r="L540" i="3"/>
  <c r="M540" i="3" s="1"/>
  <c r="L541" i="3"/>
  <c r="M541" i="3" s="1"/>
  <c r="L542" i="3"/>
  <c r="M542" i="3" s="1"/>
  <c r="L543" i="3"/>
  <c r="M543" i="3" s="1"/>
  <c r="L544" i="3"/>
  <c r="M544" i="3" s="1"/>
  <c r="L545" i="3"/>
  <c r="M545" i="3" s="1"/>
  <c r="L546" i="3"/>
  <c r="M546" i="3" s="1"/>
  <c r="L547" i="3"/>
  <c r="M547" i="3" s="1"/>
  <c r="L548" i="3"/>
  <c r="M548" i="3" s="1"/>
  <c r="L549" i="3"/>
  <c r="M549" i="3" s="1"/>
  <c r="L550" i="3"/>
  <c r="M550" i="3" s="1"/>
  <c r="L551" i="3"/>
  <c r="M551" i="3" s="1"/>
  <c r="L552" i="3"/>
  <c r="M552" i="3" s="1"/>
  <c r="L553" i="3"/>
  <c r="M553" i="3" s="1"/>
  <c r="L554" i="3"/>
  <c r="M554" i="3" s="1"/>
  <c r="L555" i="3"/>
  <c r="M555" i="3" s="1"/>
  <c r="L556" i="3"/>
  <c r="M556" i="3" s="1"/>
  <c r="L557" i="3"/>
  <c r="M557" i="3" s="1"/>
  <c r="L558" i="3"/>
  <c r="M558" i="3" s="1"/>
  <c r="L559" i="3"/>
  <c r="M559" i="3" s="1"/>
  <c r="L560" i="3"/>
  <c r="M560" i="3" s="1"/>
  <c r="L561" i="3"/>
  <c r="M561" i="3" s="1"/>
  <c r="L562" i="3"/>
  <c r="M562" i="3" s="1"/>
  <c r="L563" i="3"/>
  <c r="M563" i="3" s="1"/>
  <c r="L564" i="3"/>
  <c r="M564" i="3" s="1"/>
  <c r="L565" i="3"/>
  <c r="M565" i="3" s="1"/>
  <c r="L566" i="3"/>
  <c r="M566" i="3" s="1"/>
  <c r="L567" i="3"/>
  <c r="M567" i="3" s="1"/>
  <c r="L568" i="3"/>
  <c r="M568" i="3" s="1"/>
  <c r="L569" i="3"/>
  <c r="M569" i="3" s="1"/>
  <c r="L570" i="3"/>
  <c r="M570" i="3" s="1"/>
  <c r="L571" i="3"/>
  <c r="M571" i="3" s="1"/>
  <c r="L572" i="3"/>
  <c r="M572" i="3" s="1"/>
  <c r="L573" i="3"/>
  <c r="M573" i="3" s="1"/>
  <c r="L574" i="3"/>
  <c r="M574" i="3" s="1"/>
  <c r="L575" i="3"/>
  <c r="M575" i="3" s="1"/>
  <c r="L576" i="3"/>
  <c r="M576" i="3" s="1"/>
  <c r="L577" i="3"/>
  <c r="M577" i="3" s="1"/>
  <c r="L578" i="3"/>
  <c r="M578" i="3" s="1"/>
  <c r="L579" i="3"/>
  <c r="M579" i="3" s="1"/>
  <c r="L580" i="3"/>
  <c r="M580" i="3" s="1"/>
  <c r="L581" i="3"/>
  <c r="M581" i="3" s="1"/>
  <c r="L582" i="3"/>
  <c r="M582" i="3" s="1"/>
  <c r="L583" i="3"/>
  <c r="M583" i="3" s="1"/>
  <c r="L584" i="3"/>
  <c r="M584" i="3" s="1"/>
  <c r="L585" i="3"/>
  <c r="M585" i="3" s="1"/>
  <c r="L586" i="3"/>
  <c r="M586" i="3" s="1"/>
  <c r="L587" i="3"/>
  <c r="M587" i="3" s="1"/>
  <c r="L588" i="3"/>
  <c r="M588" i="3" s="1"/>
  <c r="L589" i="3"/>
  <c r="M589" i="3" s="1"/>
  <c r="L590" i="3"/>
  <c r="M590" i="3" s="1"/>
  <c r="L591" i="3"/>
  <c r="M591" i="3" s="1"/>
  <c r="L592" i="3"/>
  <c r="M592" i="3" s="1"/>
  <c r="L593" i="3"/>
  <c r="M593" i="3" s="1"/>
  <c r="L594" i="3"/>
  <c r="M594" i="3" s="1"/>
  <c r="L595" i="3"/>
  <c r="M595" i="3" s="1"/>
  <c r="L596" i="3"/>
  <c r="M596" i="3" s="1"/>
  <c r="L597" i="3"/>
  <c r="M597" i="3" s="1"/>
  <c r="L598" i="3"/>
  <c r="M598" i="3" s="1"/>
  <c r="L599" i="3"/>
  <c r="M599" i="3" s="1"/>
  <c r="L600" i="3"/>
  <c r="M600" i="3" s="1"/>
  <c r="L601" i="3"/>
  <c r="M601" i="3" s="1"/>
  <c r="L602" i="3"/>
  <c r="M602" i="3" s="1"/>
  <c r="L603" i="3"/>
  <c r="M603" i="3" s="1"/>
  <c r="L604" i="3"/>
  <c r="M604" i="3" s="1"/>
  <c r="L605" i="3"/>
  <c r="M605" i="3" s="1"/>
  <c r="L606" i="3"/>
  <c r="M606" i="3" s="1"/>
  <c r="L607" i="3"/>
  <c r="M607" i="3" s="1"/>
  <c r="L608" i="3"/>
  <c r="M608" i="3" s="1"/>
  <c r="L609" i="3"/>
  <c r="M609" i="3" s="1"/>
  <c r="L610" i="3"/>
  <c r="M610" i="3" s="1"/>
  <c r="L611" i="3"/>
  <c r="M611" i="3" s="1"/>
  <c r="L612" i="3"/>
  <c r="M612" i="3" s="1"/>
  <c r="L613" i="3"/>
  <c r="M613" i="3" s="1"/>
  <c r="L614" i="3"/>
  <c r="M614" i="3" s="1"/>
  <c r="L615" i="3"/>
  <c r="M615" i="3" s="1"/>
  <c r="L616" i="3"/>
  <c r="M616" i="3" s="1"/>
  <c r="L617" i="3"/>
  <c r="M617" i="3" s="1"/>
  <c r="L618" i="3"/>
  <c r="M618" i="3" s="1"/>
  <c r="L619" i="3"/>
  <c r="M619" i="3" s="1"/>
  <c r="L620" i="3"/>
  <c r="M620" i="3" s="1"/>
  <c r="L621" i="3"/>
  <c r="M621" i="3" s="1"/>
  <c r="L622" i="3"/>
  <c r="M622" i="3" s="1"/>
  <c r="L623" i="3"/>
  <c r="M623" i="3" s="1"/>
  <c r="L624" i="3"/>
  <c r="M624" i="3" s="1"/>
  <c r="L625" i="3"/>
  <c r="M625" i="3" s="1"/>
  <c r="L626" i="3"/>
  <c r="M626" i="3" s="1"/>
  <c r="L627" i="3"/>
  <c r="M627" i="3" s="1"/>
  <c r="L628" i="3"/>
  <c r="M628" i="3" s="1"/>
  <c r="L629" i="3"/>
  <c r="M629" i="3" s="1"/>
  <c r="L630" i="3"/>
  <c r="M630" i="3" s="1"/>
  <c r="L631" i="3"/>
  <c r="M631" i="3" s="1"/>
  <c r="L632" i="3"/>
  <c r="M632" i="3" s="1"/>
  <c r="L633" i="3"/>
  <c r="M633" i="3" s="1"/>
  <c r="L634" i="3"/>
  <c r="M634" i="3" s="1"/>
  <c r="L635" i="3"/>
  <c r="M635" i="3" s="1"/>
  <c r="L636" i="3"/>
  <c r="M636" i="3" s="1"/>
  <c r="L637" i="3"/>
  <c r="M637" i="3" s="1"/>
  <c r="L638" i="3"/>
  <c r="M638" i="3" s="1"/>
  <c r="L639" i="3"/>
  <c r="M639" i="3" s="1"/>
  <c r="L640" i="3"/>
  <c r="M640" i="3" s="1"/>
  <c r="L641" i="3"/>
  <c r="M641" i="3" s="1"/>
  <c r="L642" i="3"/>
  <c r="M642" i="3" s="1"/>
  <c r="L643" i="3"/>
  <c r="M643" i="3" s="1"/>
  <c r="L644" i="3"/>
  <c r="M644" i="3" s="1"/>
  <c r="L645" i="3"/>
  <c r="M645" i="3" s="1"/>
  <c r="L646" i="3"/>
  <c r="M646" i="3" s="1"/>
  <c r="L647" i="3"/>
  <c r="M647" i="3" s="1"/>
  <c r="L648" i="3"/>
  <c r="M648" i="3" s="1"/>
  <c r="L649" i="3"/>
  <c r="M649" i="3" s="1"/>
  <c r="L650" i="3"/>
  <c r="M650" i="3" s="1"/>
  <c r="L651" i="3"/>
  <c r="M651" i="3" s="1"/>
  <c r="L652" i="3"/>
  <c r="M652" i="3" s="1"/>
  <c r="L653" i="3"/>
  <c r="M653" i="3" s="1"/>
  <c r="L654" i="3"/>
  <c r="M654" i="3" s="1"/>
  <c r="L655" i="3"/>
  <c r="M655" i="3" s="1"/>
  <c r="L656" i="3"/>
  <c r="M656" i="3" s="1"/>
  <c r="L657" i="3"/>
  <c r="M657" i="3" s="1"/>
  <c r="L658" i="3"/>
  <c r="M658" i="3" s="1"/>
  <c r="L659" i="3"/>
  <c r="M659" i="3" s="1"/>
  <c r="L660" i="3"/>
  <c r="M660" i="3" s="1"/>
  <c r="L661" i="3"/>
  <c r="M661" i="3" s="1"/>
  <c r="L662" i="3"/>
  <c r="M662" i="3" s="1"/>
  <c r="L663" i="3"/>
  <c r="M663" i="3" s="1"/>
  <c r="L664" i="3"/>
  <c r="M664" i="3" s="1"/>
  <c r="L665" i="3"/>
  <c r="M665" i="3" s="1"/>
  <c r="L666" i="3"/>
  <c r="M666" i="3" s="1"/>
  <c r="L667" i="3"/>
  <c r="M667" i="3" s="1"/>
  <c r="L668" i="3"/>
  <c r="M668" i="3" s="1"/>
  <c r="L669" i="3"/>
  <c r="M669" i="3" s="1"/>
  <c r="L670" i="3"/>
  <c r="M670" i="3" s="1"/>
  <c r="L671" i="3"/>
  <c r="M671" i="3" s="1"/>
  <c r="L672" i="3"/>
  <c r="M672" i="3" s="1"/>
  <c r="L673" i="3"/>
  <c r="M673" i="3" s="1"/>
  <c r="L674" i="3"/>
  <c r="M674" i="3" s="1"/>
  <c r="L675" i="3"/>
  <c r="M675" i="3" s="1"/>
  <c r="L676" i="3"/>
  <c r="M676" i="3" s="1"/>
  <c r="L677" i="3"/>
  <c r="M677" i="3" s="1"/>
  <c r="L678" i="3"/>
  <c r="M678" i="3" s="1"/>
  <c r="L679" i="3"/>
  <c r="M679" i="3" s="1"/>
  <c r="L680" i="3"/>
  <c r="M680" i="3" s="1"/>
  <c r="L681" i="3"/>
  <c r="M681" i="3" s="1"/>
  <c r="L682" i="3"/>
  <c r="M682" i="3" s="1"/>
  <c r="L683" i="3"/>
  <c r="M683" i="3" s="1"/>
  <c r="L684" i="3"/>
  <c r="M684" i="3" s="1"/>
  <c r="L685" i="3"/>
  <c r="M685" i="3" s="1"/>
  <c r="L686" i="3"/>
  <c r="M686" i="3" s="1"/>
  <c r="L687" i="3"/>
  <c r="M687" i="3" s="1"/>
  <c r="L688" i="3"/>
  <c r="M688" i="3" s="1"/>
  <c r="L689" i="3"/>
  <c r="M689" i="3" s="1"/>
  <c r="L690" i="3"/>
  <c r="M690" i="3" s="1"/>
  <c r="L691" i="3"/>
  <c r="M691" i="3" s="1"/>
  <c r="L692" i="3"/>
  <c r="M692" i="3" s="1"/>
  <c r="L693" i="3"/>
  <c r="M693" i="3" s="1"/>
  <c r="L694" i="3"/>
  <c r="M694" i="3" s="1"/>
  <c r="L695" i="3"/>
  <c r="M695" i="3" s="1"/>
  <c r="L696" i="3"/>
  <c r="M696" i="3" s="1"/>
  <c r="L697" i="3"/>
  <c r="M697" i="3" s="1"/>
  <c r="L698" i="3"/>
  <c r="M698" i="3" s="1"/>
  <c r="L699" i="3"/>
  <c r="M699" i="3" s="1"/>
  <c r="L700" i="3"/>
  <c r="M700" i="3" s="1"/>
  <c r="L701" i="3"/>
  <c r="M701" i="3" s="1"/>
  <c r="L702" i="3"/>
  <c r="M702" i="3" s="1"/>
  <c r="L703" i="3"/>
  <c r="M703" i="3" s="1"/>
  <c r="L704" i="3"/>
  <c r="M704" i="3" s="1"/>
  <c r="L705" i="3"/>
  <c r="M705" i="3" s="1"/>
  <c r="L706" i="3"/>
  <c r="M706" i="3" s="1"/>
  <c r="L707" i="3"/>
  <c r="M707" i="3" s="1"/>
  <c r="L708" i="3"/>
  <c r="M708" i="3" s="1"/>
  <c r="L709" i="3"/>
  <c r="M709" i="3" s="1"/>
  <c r="L710" i="3"/>
  <c r="M710" i="3" s="1"/>
  <c r="L711" i="3"/>
  <c r="M711" i="3" s="1"/>
  <c r="L712" i="3"/>
  <c r="M712" i="3" s="1"/>
  <c r="L713" i="3"/>
  <c r="M713" i="3" s="1"/>
  <c r="L714" i="3"/>
  <c r="M714" i="3" s="1"/>
  <c r="L715" i="3"/>
  <c r="M715" i="3" s="1"/>
  <c r="L716" i="3"/>
  <c r="M716" i="3" s="1"/>
  <c r="L717" i="3"/>
  <c r="M717" i="3" s="1"/>
  <c r="L718" i="3"/>
  <c r="M718" i="3" s="1"/>
  <c r="L719" i="3"/>
  <c r="M719" i="3" s="1"/>
  <c r="L720" i="3"/>
  <c r="M720" i="3" s="1"/>
  <c r="L721" i="3"/>
  <c r="M721" i="3" s="1"/>
  <c r="L722" i="3"/>
  <c r="M722" i="3" s="1"/>
  <c r="L723" i="3"/>
  <c r="M723" i="3" s="1"/>
  <c r="L724" i="3"/>
  <c r="M724" i="3" s="1"/>
  <c r="L725" i="3"/>
  <c r="M725" i="3" s="1"/>
  <c r="L726" i="3"/>
  <c r="M726" i="3" s="1"/>
  <c r="L727" i="3"/>
  <c r="M727" i="3" s="1"/>
  <c r="L728" i="3"/>
  <c r="M728" i="3" s="1"/>
  <c r="L729" i="3"/>
  <c r="M729" i="3" s="1"/>
  <c r="L730" i="3"/>
  <c r="M730" i="3" s="1"/>
  <c r="L731" i="3"/>
  <c r="M731" i="3" s="1"/>
  <c r="L732" i="3"/>
  <c r="M732" i="3" s="1"/>
  <c r="L733" i="3"/>
  <c r="M733" i="3" s="1"/>
  <c r="L734" i="3"/>
  <c r="M734" i="3" s="1"/>
  <c r="L735" i="3"/>
  <c r="M735" i="3" s="1"/>
  <c r="L736" i="3"/>
  <c r="M736" i="3" s="1"/>
  <c r="L737" i="3"/>
  <c r="M737" i="3" s="1"/>
  <c r="L738" i="3"/>
  <c r="M738" i="3" s="1"/>
  <c r="L739" i="3"/>
  <c r="M739" i="3" s="1"/>
  <c r="L740" i="3"/>
  <c r="M740" i="3" s="1"/>
  <c r="L741" i="3"/>
  <c r="M741" i="3" s="1"/>
  <c r="L742" i="3"/>
  <c r="M742" i="3" s="1"/>
  <c r="L743" i="3"/>
  <c r="M743" i="3" s="1"/>
  <c r="L744" i="3"/>
  <c r="M744" i="3" s="1"/>
  <c r="L745" i="3"/>
  <c r="M745" i="3" s="1"/>
  <c r="L746" i="3"/>
  <c r="M746" i="3" s="1"/>
  <c r="L747" i="3"/>
  <c r="M747" i="3" s="1"/>
  <c r="L748" i="3"/>
  <c r="M748" i="3" s="1"/>
  <c r="L749" i="3"/>
  <c r="M749" i="3" s="1"/>
  <c r="L750" i="3"/>
  <c r="M750" i="3" s="1"/>
  <c r="L751" i="3"/>
  <c r="M751" i="3" s="1"/>
  <c r="L752" i="3"/>
  <c r="M752" i="3" s="1"/>
  <c r="L753" i="3"/>
  <c r="M753" i="3" s="1"/>
  <c r="L754" i="3"/>
  <c r="M754" i="3" s="1"/>
  <c r="L755" i="3"/>
  <c r="M755" i="3" s="1"/>
  <c r="L756" i="3"/>
  <c r="M756" i="3" s="1"/>
  <c r="L757" i="3"/>
  <c r="M757" i="3" s="1"/>
  <c r="L758" i="3"/>
  <c r="M758" i="3" s="1"/>
  <c r="L759" i="3"/>
  <c r="M759" i="3" s="1"/>
  <c r="L760" i="3"/>
  <c r="M760" i="3" s="1"/>
  <c r="L761" i="3"/>
  <c r="M761" i="3" s="1"/>
  <c r="L762" i="3"/>
  <c r="M762" i="3" s="1"/>
  <c r="L763" i="3"/>
  <c r="M763" i="3" s="1"/>
  <c r="L764" i="3"/>
  <c r="M764" i="3" s="1"/>
  <c r="L765" i="3"/>
  <c r="M765" i="3" s="1"/>
  <c r="L766" i="3"/>
  <c r="M766" i="3" s="1"/>
  <c r="L767" i="3"/>
  <c r="M767" i="3" s="1"/>
  <c r="L768" i="3"/>
  <c r="M768" i="3" s="1"/>
  <c r="L769" i="3"/>
  <c r="M769" i="3" s="1"/>
  <c r="L770" i="3"/>
  <c r="M770" i="3" s="1"/>
  <c r="L771" i="3"/>
  <c r="M771" i="3" s="1"/>
  <c r="L772" i="3"/>
  <c r="M772" i="3" s="1"/>
  <c r="L773" i="3"/>
  <c r="M773" i="3" s="1"/>
  <c r="L774" i="3"/>
  <c r="M774" i="3" s="1"/>
  <c r="L775" i="3"/>
  <c r="M775" i="3" s="1"/>
  <c r="L776" i="3"/>
  <c r="M776" i="3" s="1"/>
  <c r="L777" i="3"/>
  <c r="M777" i="3" s="1"/>
  <c r="L778" i="3"/>
  <c r="M778" i="3" s="1"/>
  <c r="L779" i="3"/>
  <c r="M779" i="3" s="1"/>
  <c r="L780" i="3"/>
  <c r="M780" i="3" s="1"/>
  <c r="L781" i="3"/>
  <c r="M781" i="3" s="1"/>
  <c r="L782" i="3"/>
  <c r="M782" i="3" s="1"/>
  <c r="L783" i="3"/>
  <c r="M783" i="3" s="1"/>
  <c r="L784" i="3"/>
  <c r="M784" i="3" s="1"/>
  <c r="L785" i="3"/>
  <c r="M785" i="3" s="1"/>
  <c r="L786" i="3"/>
  <c r="M786" i="3" s="1"/>
  <c r="L787" i="3"/>
  <c r="M787" i="3" s="1"/>
  <c r="L788" i="3"/>
  <c r="M788" i="3" s="1"/>
  <c r="L789" i="3"/>
  <c r="M789" i="3" s="1"/>
  <c r="L790" i="3"/>
  <c r="M790" i="3" s="1"/>
  <c r="L791" i="3"/>
  <c r="M791" i="3" s="1"/>
  <c r="L792" i="3"/>
  <c r="M792" i="3" s="1"/>
  <c r="L793" i="3"/>
  <c r="M793" i="3" s="1"/>
  <c r="L794" i="3"/>
  <c r="M794" i="3" s="1"/>
  <c r="L795" i="3"/>
  <c r="M795" i="3" s="1"/>
  <c r="L796" i="3"/>
  <c r="M796" i="3" s="1"/>
  <c r="L797" i="3"/>
  <c r="M797" i="3" s="1"/>
  <c r="L798" i="3"/>
  <c r="M798" i="3" s="1"/>
  <c r="L799" i="3"/>
  <c r="M799" i="3" s="1"/>
  <c r="L800" i="3"/>
  <c r="M800" i="3" s="1"/>
  <c r="L801" i="3"/>
  <c r="M801" i="3" s="1"/>
  <c r="L802" i="3"/>
  <c r="M802" i="3" s="1"/>
  <c r="L803" i="3"/>
  <c r="M803" i="3" s="1"/>
  <c r="L804" i="3"/>
  <c r="M804" i="3" s="1"/>
  <c r="L805" i="3"/>
  <c r="M805" i="3" s="1"/>
  <c r="L806" i="3"/>
  <c r="M806" i="3" s="1"/>
  <c r="L807" i="3"/>
  <c r="M807" i="3" s="1"/>
  <c r="L808" i="3"/>
  <c r="M808" i="3" s="1"/>
  <c r="L809" i="3"/>
  <c r="M809" i="3" s="1"/>
  <c r="L810" i="3"/>
  <c r="M810" i="3" s="1"/>
  <c r="L811" i="3"/>
  <c r="M811" i="3" s="1"/>
  <c r="L812" i="3"/>
  <c r="M812" i="3" s="1"/>
  <c r="L813" i="3"/>
  <c r="M813" i="3" s="1"/>
  <c r="L814" i="3"/>
  <c r="M814" i="3" s="1"/>
  <c r="L815" i="3"/>
  <c r="M815" i="3" s="1"/>
  <c r="L816" i="3"/>
  <c r="M816" i="3" s="1"/>
  <c r="L817" i="3"/>
  <c r="M817" i="3" s="1"/>
  <c r="L818" i="3"/>
  <c r="M818" i="3" s="1"/>
  <c r="L819" i="3"/>
  <c r="M819" i="3" s="1"/>
  <c r="L820" i="3"/>
  <c r="M820" i="3" s="1"/>
  <c r="L821" i="3"/>
  <c r="M821" i="3" s="1"/>
  <c r="L822" i="3"/>
  <c r="M822" i="3" s="1"/>
  <c r="L823" i="3"/>
  <c r="M823" i="3" s="1"/>
  <c r="L824" i="3"/>
  <c r="M824" i="3" s="1"/>
  <c r="L825" i="3"/>
  <c r="M825" i="3" s="1"/>
  <c r="L826" i="3"/>
  <c r="M826" i="3" s="1"/>
  <c r="L827" i="3"/>
  <c r="M827" i="3" s="1"/>
  <c r="L828" i="3"/>
  <c r="M828" i="3" s="1"/>
  <c r="L829" i="3"/>
  <c r="M829" i="3" s="1"/>
  <c r="L830" i="3"/>
  <c r="M830" i="3" s="1"/>
  <c r="L831" i="3"/>
  <c r="M831" i="3" s="1"/>
  <c r="L832" i="3"/>
  <c r="M832" i="3" s="1"/>
  <c r="L833" i="3"/>
  <c r="M833" i="3" s="1"/>
  <c r="L834" i="3"/>
  <c r="M834" i="3" s="1"/>
  <c r="L835" i="3"/>
  <c r="M835" i="3" s="1"/>
  <c r="L836" i="3"/>
  <c r="M836" i="3" s="1"/>
  <c r="L837" i="3"/>
  <c r="M837" i="3" s="1"/>
  <c r="L838" i="3"/>
  <c r="M838" i="3" s="1"/>
  <c r="L839" i="3"/>
  <c r="M839" i="3" s="1"/>
  <c r="L840" i="3"/>
  <c r="M840" i="3" s="1"/>
  <c r="L841" i="3"/>
  <c r="M841" i="3" s="1"/>
  <c r="L842" i="3"/>
  <c r="M842" i="3" s="1"/>
  <c r="L843" i="3"/>
  <c r="M843" i="3" s="1"/>
  <c r="L844" i="3"/>
  <c r="M844" i="3" s="1"/>
  <c r="L845" i="3"/>
  <c r="M845" i="3" s="1"/>
  <c r="L846" i="3"/>
  <c r="M846" i="3" s="1"/>
  <c r="L847" i="3"/>
  <c r="M847" i="3" s="1"/>
  <c r="L848" i="3"/>
  <c r="M848" i="3" s="1"/>
  <c r="L849" i="3"/>
  <c r="M849" i="3" s="1"/>
  <c r="L850" i="3"/>
  <c r="M850" i="3" s="1"/>
  <c r="L851" i="3"/>
  <c r="M851" i="3" s="1"/>
  <c r="L852" i="3"/>
  <c r="M852" i="3" s="1"/>
  <c r="L853" i="3"/>
  <c r="M853" i="3" s="1"/>
  <c r="L854" i="3"/>
  <c r="M854" i="3" s="1"/>
  <c r="L855" i="3"/>
  <c r="M855" i="3" s="1"/>
  <c r="L856" i="3"/>
  <c r="M856" i="3" s="1"/>
  <c r="L857" i="3"/>
  <c r="M857" i="3" s="1"/>
  <c r="L858" i="3"/>
  <c r="M858" i="3" s="1"/>
  <c r="L859" i="3"/>
  <c r="M859" i="3" s="1"/>
  <c r="L860" i="3"/>
  <c r="M860" i="3" s="1"/>
  <c r="L861" i="3"/>
  <c r="M861" i="3" s="1"/>
  <c r="L862" i="3"/>
  <c r="M862" i="3" s="1"/>
  <c r="L863" i="3"/>
  <c r="M863" i="3" s="1"/>
  <c r="L864" i="3"/>
  <c r="M864" i="3" s="1"/>
  <c r="L865" i="3"/>
  <c r="M865" i="3" s="1"/>
  <c r="L866" i="3"/>
  <c r="M866" i="3" s="1"/>
  <c r="L867" i="3"/>
  <c r="M867" i="3" s="1"/>
  <c r="L868" i="3"/>
  <c r="M868" i="3" s="1"/>
  <c r="L869" i="3"/>
  <c r="M869" i="3" s="1"/>
  <c r="L870" i="3"/>
  <c r="M870" i="3" s="1"/>
  <c r="L871" i="3"/>
  <c r="M871" i="3" s="1"/>
  <c r="L872" i="3"/>
  <c r="M872" i="3" s="1"/>
  <c r="L873" i="3"/>
  <c r="M873" i="3" s="1"/>
  <c r="L874" i="3"/>
  <c r="M874" i="3" s="1"/>
  <c r="L875" i="3"/>
  <c r="M875" i="3" s="1"/>
  <c r="L876" i="3"/>
  <c r="M876" i="3" s="1"/>
  <c r="L877" i="3"/>
  <c r="M877" i="3" s="1"/>
  <c r="L878" i="3"/>
  <c r="M878" i="3" s="1"/>
  <c r="L879" i="3"/>
  <c r="M879" i="3" s="1"/>
  <c r="L880" i="3"/>
  <c r="M880" i="3" s="1"/>
  <c r="L881" i="3"/>
  <c r="M881" i="3" s="1"/>
  <c r="L882" i="3"/>
  <c r="M882" i="3" s="1"/>
  <c r="L883" i="3"/>
  <c r="M883" i="3" s="1"/>
  <c r="L884" i="3"/>
  <c r="M884" i="3" s="1"/>
  <c r="L885" i="3"/>
  <c r="M885" i="3" s="1"/>
  <c r="L886" i="3"/>
  <c r="M886" i="3" s="1"/>
  <c r="L887" i="3"/>
  <c r="M887" i="3" s="1"/>
  <c r="L888" i="3"/>
  <c r="M888" i="3" s="1"/>
  <c r="L889" i="3"/>
  <c r="M889" i="3" s="1"/>
  <c r="L890" i="3"/>
  <c r="M890" i="3" s="1"/>
  <c r="L891" i="3"/>
  <c r="M891" i="3" s="1"/>
  <c r="L892" i="3"/>
  <c r="M892" i="3" s="1"/>
  <c r="L893" i="3"/>
  <c r="M893" i="3" s="1"/>
  <c r="L894" i="3"/>
  <c r="M894" i="3" s="1"/>
  <c r="L895" i="3"/>
  <c r="M895" i="3" s="1"/>
  <c r="L896" i="3"/>
  <c r="M896" i="3" s="1"/>
  <c r="L897" i="3"/>
  <c r="M897" i="3" s="1"/>
  <c r="L898" i="3"/>
  <c r="M898" i="3" s="1"/>
  <c r="L899" i="3"/>
  <c r="M899" i="3" s="1"/>
  <c r="L900" i="3"/>
  <c r="M900" i="3" s="1"/>
  <c r="L901" i="3"/>
  <c r="M901" i="3" s="1"/>
  <c r="L902" i="3"/>
  <c r="M902" i="3" s="1"/>
  <c r="L903" i="3"/>
  <c r="M903" i="3" s="1"/>
  <c r="L904" i="3"/>
  <c r="M904" i="3" s="1"/>
  <c r="L905" i="3"/>
  <c r="M905" i="3" s="1"/>
  <c r="L906" i="3"/>
  <c r="M906" i="3" s="1"/>
  <c r="L907" i="3"/>
  <c r="M907" i="3" s="1"/>
  <c r="L908" i="3"/>
  <c r="M908" i="3" s="1"/>
  <c r="L909" i="3"/>
  <c r="M909" i="3" s="1"/>
  <c r="L910" i="3"/>
  <c r="M910" i="3" s="1"/>
  <c r="L911" i="3"/>
  <c r="M911" i="3" s="1"/>
  <c r="L912" i="3"/>
  <c r="M912" i="3" s="1"/>
  <c r="L913" i="3"/>
  <c r="M913" i="3" s="1"/>
  <c r="L914" i="3"/>
  <c r="M914" i="3" s="1"/>
  <c r="L915" i="3"/>
  <c r="M915" i="3" s="1"/>
  <c r="L916" i="3"/>
  <c r="M916" i="3" s="1"/>
  <c r="L917" i="3"/>
  <c r="M917" i="3" s="1"/>
  <c r="L918" i="3"/>
  <c r="M918" i="3" s="1"/>
  <c r="L919" i="3"/>
  <c r="M919" i="3" s="1"/>
  <c r="L920" i="3"/>
  <c r="M920" i="3" s="1"/>
  <c r="L921" i="3"/>
  <c r="M921" i="3" s="1"/>
  <c r="L922" i="3"/>
  <c r="M922" i="3" s="1"/>
  <c r="L923" i="3"/>
  <c r="M923" i="3" s="1"/>
  <c r="L924" i="3"/>
  <c r="M924" i="3" s="1"/>
  <c r="L925" i="3"/>
  <c r="M925" i="3" s="1"/>
  <c r="L926" i="3"/>
  <c r="M926" i="3" s="1"/>
  <c r="L927" i="3"/>
  <c r="M927" i="3" s="1"/>
  <c r="L928" i="3"/>
  <c r="M928" i="3" s="1"/>
  <c r="L929" i="3"/>
  <c r="M929" i="3" s="1"/>
  <c r="L930" i="3"/>
  <c r="M930" i="3" s="1"/>
  <c r="L931" i="3"/>
  <c r="M931" i="3" s="1"/>
  <c r="L932" i="3"/>
  <c r="M932" i="3" s="1"/>
  <c r="L933" i="3"/>
  <c r="M933" i="3" s="1"/>
  <c r="L934" i="3"/>
  <c r="M934" i="3" s="1"/>
  <c r="L935" i="3"/>
  <c r="M935" i="3" s="1"/>
  <c r="L936" i="3"/>
  <c r="M936" i="3" s="1"/>
  <c r="L937" i="3"/>
  <c r="M937" i="3" s="1"/>
  <c r="L938" i="3"/>
  <c r="M938" i="3" s="1"/>
  <c r="L939" i="3"/>
  <c r="M939" i="3" s="1"/>
  <c r="L940" i="3"/>
  <c r="M940" i="3" s="1"/>
  <c r="L941" i="3"/>
  <c r="M941" i="3" s="1"/>
  <c r="L942" i="3"/>
  <c r="M942" i="3" s="1"/>
  <c r="L943" i="3"/>
  <c r="M943" i="3" s="1"/>
  <c r="L944" i="3"/>
  <c r="M944" i="3" s="1"/>
  <c r="L945" i="3"/>
  <c r="M945" i="3" s="1"/>
  <c r="L946" i="3"/>
  <c r="M946" i="3" s="1"/>
  <c r="L947" i="3"/>
  <c r="M947" i="3" s="1"/>
  <c r="L948" i="3"/>
  <c r="M948" i="3" s="1"/>
  <c r="L949" i="3"/>
  <c r="M949" i="3" s="1"/>
  <c r="L950" i="3"/>
  <c r="M950" i="3" s="1"/>
  <c r="L951" i="3"/>
  <c r="M951" i="3" s="1"/>
  <c r="L952" i="3"/>
  <c r="M952" i="3" s="1"/>
  <c r="L953" i="3"/>
  <c r="M953" i="3" s="1"/>
  <c r="L954" i="3"/>
  <c r="M954" i="3" s="1"/>
  <c r="L955" i="3"/>
  <c r="M955" i="3" s="1"/>
  <c r="L956" i="3"/>
  <c r="M956" i="3" s="1"/>
  <c r="L957" i="3"/>
  <c r="M957" i="3" s="1"/>
  <c r="L958" i="3"/>
  <c r="M958" i="3" s="1"/>
  <c r="L959" i="3"/>
  <c r="M959" i="3" s="1"/>
  <c r="L960" i="3"/>
  <c r="M960" i="3" s="1"/>
  <c r="L961" i="3"/>
  <c r="M961" i="3" s="1"/>
  <c r="L962" i="3"/>
  <c r="M962" i="3" s="1"/>
  <c r="L963" i="3"/>
  <c r="M963" i="3" s="1"/>
  <c r="L964" i="3"/>
  <c r="M964" i="3" s="1"/>
  <c r="L965" i="3"/>
  <c r="M965" i="3" s="1"/>
  <c r="L966" i="3"/>
  <c r="M966" i="3" s="1"/>
  <c r="L967" i="3"/>
  <c r="M967" i="3" s="1"/>
  <c r="L968" i="3"/>
  <c r="M968" i="3" s="1"/>
  <c r="L969" i="3"/>
  <c r="M969" i="3" s="1"/>
  <c r="L970" i="3"/>
  <c r="M970" i="3" s="1"/>
  <c r="L971" i="3"/>
  <c r="M971" i="3" s="1"/>
  <c r="L972" i="3"/>
  <c r="M972" i="3" s="1"/>
  <c r="L973" i="3"/>
  <c r="M973" i="3" s="1"/>
  <c r="L974" i="3"/>
  <c r="M974" i="3" s="1"/>
  <c r="L975" i="3"/>
  <c r="M975" i="3" s="1"/>
  <c r="L976" i="3"/>
  <c r="M976" i="3" s="1"/>
  <c r="L977" i="3"/>
  <c r="M977" i="3" s="1"/>
  <c r="L978" i="3"/>
  <c r="M978" i="3" s="1"/>
  <c r="L979" i="3"/>
  <c r="M979" i="3" s="1"/>
  <c r="L980" i="3"/>
  <c r="M980" i="3" s="1"/>
  <c r="L981" i="3"/>
  <c r="M981" i="3" s="1"/>
  <c r="L982" i="3"/>
  <c r="M982" i="3" s="1"/>
  <c r="L983" i="3"/>
  <c r="M983" i="3" s="1"/>
  <c r="L984" i="3"/>
  <c r="M984" i="3" s="1"/>
  <c r="L985" i="3"/>
  <c r="M985" i="3" s="1"/>
  <c r="L986" i="3"/>
  <c r="M986" i="3" s="1"/>
  <c r="L987" i="3"/>
  <c r="M987" i="3" s="1"/>
  <c r="L988" i="3"/>
  <c r="M988" i="3" s="1"/>
  <c r="L989" i="3"/>
  <c r="M989" i="3" s="1"/>
  <c r="L990" i="3"/>
  <c r="M990" i="3" s="1"/>
  <c r="L991" i="3"/>
  <c r="M991" i="3" s="1"/>
  <c r="L992" i="3"/>
  <c r="M992" i="3" s="1"/>
  <c r="L993" i="3"/>
  <c r="M993" i="3" s="1"/>
  <c r="L994" i="3"/>
  <c r="M994" i="3" s="1"/>
  <c r="L995" i="3"/>
  <c r="M995" i="3" s="1"/>
  <c r="L996" i="3"/>
  <c r="M996" i="3" s="1"/>
  <c r="L997" i="3"/>
  <c r="M997" i="3" s="1"/>
  <c r="L998" i="3"/>
  <c r="M998" i="3" s="1"/>
  <c r="L999" i="3"/>
  <c r="M999" i="3" s="1"/>
  <c r="L1000" i="3"/>
  <c r="M1000" i="3" s="1"/>
  <c r="L1001" i="3"/>
  <c r="M1001" i="3" s="1"/>
  <c r="L1002" i="3"/>
  <c r="M1002" i="3" s="1"/>
  <c r="L1003" i="3"/>
  <c r="M1003" i="3" s="1"/>
  <c r="L1004" i="3"/>
  <c r="M1004" i="3" s="1"/>
  <c r="L1005" i="3"/>
  <c r="M1005" i="3" s="1"/>
  <c r="L1006" i="3"/>
  <c r="M1006" i="3" s="1"/>
  <c r="L1007" i="3"/>
  <c r="M1007" i="3" s="1"/>
  <c r="L1008" i="3"/>
  <c r="M1008" i="3" s="1"/>
  <c r="L1009" i="3"/>
  <c r="M1009" i="3" s="1"/>
  <c r="L1010" i="3"/>
  <c r="M1010" i="3" s="1"/>
  <c r="L1011" i="3"/>
  <c r="M1011" i="3" s="1"/>
  <c r="L1012" i="3"/>
  <c r="M1012" i="3" s="1"/>
  <c r="L1013" i="3"/>
  <c r="M1013" i="3" s="1"/>
  <c r="L1014" i="3"/>
  <c r="M1014" i="3" s="1"/>
  <c r="L1015" i="3"/>
  <c r="M1015" i="3" s="1"/>
  <c r="L1016" i="3"/>
  <c r="M1016" i="3" s="1"/>
  <c r="L1017" i="3"/>
  <c r="M1017" i="3" s="1"/>
  <c r="L1018" i="3"/>
  <c r="M1018" i="3" s="1"/>
  <c r="L1019" i="3"/>
  <c r="M1019" i="3" s="1"/>
  <c r="L1020" i="3"/>
  <c r="M1020" i="3" s="1"/>
  <c r="L1021" i="3"/>
  <c r="M1021" i="3" s="1"/>
  <c r="L1022" i="3"/>
  <c r="M1022" i="3" s="1"/>
  <c r="L1023" i="3"/>
  <c r="M1023" i="3" s="1"/>
  <c r="L1024" i="3"/>
  <c r="M1024" i="3" s="1"/>
  <c r="L1025" i="3"/>
  <c r="M1025" i="3" s="1"/>
  <c r="L1026" i="3"/>
  <c r="M1026" i="3" s="1"/>
  <c r="L1027" i="3"/>
  <c r="M1027" i="3" s="1"/>
  <c r="L1028" i="3"/>
  <c r="M1028" i="3" s="1"/>
  <c r="L1029" i="3"/>
  <c r="M1029" i="3" s="1"/>
  <c r="L1030" i="3"/>
  <c r="M1030" i="3" s="1"/>
  <c r="L1031" i="3"/>
  <c r="M1031" i="3" s="1"/>
  <c r="L1032" i="3"/>
  <c r="M1032" i="3" s="1"/>
  <c r="L1033" i="3"/>
  <c r="M1033" i="3" s="1"/>
  <c r="L1034" i="3"/>
  <c r="M1034" i="3" s="1"/>
  <c r="L1035" i="3"/>
  <c r="M1035" i="3" s="1"/>
  <c r="L1036" i="3"/>
  <c r="M1036" i="3" s="1"/>
  <c r="L1037" i="3"/>
  <c r="M1037" i="3" s="1"/>
  <c r="L1038" i="3"/>
  <c r="M1038" i="3" s="1"/>
  <c r="L1039" i="3"/>
  <c r="M1039" i="3" s="1"/>
  <c r="L1040" i="3"/>
  <c r="M1040" i="3" s="1"/>
  <c r="L1041" i="3"/>
  <c r="M1041" i="3" s="1"/>
  <c r="L1042" i="3"/>
  <c r="M1042" i="3" s="1"/>
  <c r="L1043" i="3"/>
  <c r="M1043" i="3" s="1"/>
  <c r="L1044" i="3"/>
  <c r="M1044" i="3" s="1"/>
  <c r="L1045" i="3"/>
  <c r="M1045" i="3" s="1"/>
  <c r="L1046" i="3"/>
  <c r="M1046" i="3" s="1"/>
  <c r="L1047" i="3"/>
  <c r="M1047" i="3" s="1"/>
  <c r="L1048" i="3"/>
  <c r="M1048" i="3" s="1"/>
  <c r="L1049" i="3"/>
  <c r="M1049" i="3" s="1"/>
  <c r="L1050" i="3"/>
  <c r="M1050" i="3" s="1"/>
  <c r="L1051" i="3"/>
  <c r="M1051" i="3" s="1"/>
  <c r="L1052" i="3"/>
  <c r="M1052" i="3" s="1"/>
  <c r="L1053" i="3"/>
  <c r="M1053" i="3" s="1"/>
  <c r="L1054" i="3"/>
  <c r="M1054" i="3" s="1"/>
  <c r="L1055" i="3"/>
  <c r="M1055" i="3" s="1"/>
  <c r="L1056" i="3"/>
  <c r="M1056" i="3" s="1"/>
  <c r="L1057" i="3"/>
  <c r="M1057" i="3" s="1"/>
  <c r="L1058" i="3"/>
  <c r="M1058" i="3" s="1"/>
  <c r="L1059" i="3"/>
  <c r="M1059" i="3" s="1"/>
  <c r="L1060" i="3"/>
  <c r="M1060" i="3" s="1"/>
  <c r="L1061" i="3"/>
  <c r="M1061" i="3" s="1"/>
  <c r="L1062" i="3"/>
  <c r="M1062" i="3" s="1"/>
  <c r="L1063" i="3"/>
  <c r="M1063" i="3" s="1"/>
  <c r="L1064" i="3"/>
  <c r="M1064" i="3" s="1"/>
  <c r="L1065" i="3"/>
  <c r="M1065" i="3" s="1"/>
  <c r="L1066" i="3"/>
  <c r="M1066" i="3" s="1"/>
  <c r="L1067" i="3"/>
  <c r="M1067" i="3" s="1"/>
  <c r="L1068" i="3"/>
  <c r="M1068" i="3" s="1"/>
  <c r="L1069" i="3"/>
  <c r="M1069" i="3" s="1"/>
  <c r="L1070" i="3"/>
  <c r="M1070" i="3" s="1"/>
  <c r="L1071" i="3"/>
  <c r="M1071" i="3" s="1"/>
  <c r="L1072" i="3"/>
  <c r="M1072" i="3" s="1"/>
  <c r="L1073" i="3"/>
  <c r="M1073" i="3" s="1"/>
  <c r="L1074" i="3"/>
  <c r="M1074" i="3" s="1"/>
  <c r="L1075" i="3"/>
  <c r="M1075" i="3" s="1"/>
  <c r="L1076" i="3"/>
  <c r="M1076" i="3" s="1"/>
  <c r="L1077" i="3"/>
  <c r="M1077" i="3" s="1"/>
  <c r="L1078" i="3"/>
  <c r="M1078" i="3" s="1"/>
  <c r="L1079" i="3"/>
  <c r="M1079" i="3" s="1"/>
  <c r="L1080" i="3"/>
  <c r="M1080" i="3" s="1"/>
  <c r="L1081" i="3"/>
  <c r="M1081" i="3" s="1"/>
  <c r="L1082" i="3"/>
  <c r="M1082" i="3" s="1"/>
  <c r="L1083" i="3"/>
  <c r="M1083" i="3" s="1"/>
  <c r="L1084" i="3"/>
  <c r="M1084" i="3" s="1"/>
  <c r="L1085" i="3"/>
  <c r="M1085" i="3" s="1"/>
  <c r="L1086" i="3"/>
  <c r="M1086" i="3" s="1"/>
  <c r="L1087" i="3"/>
  <c r="M1087" i="3" s="1"/>
  <c r="L1088" i="3"/>
  <c r="M1088" i="3" s="1"/>
  <c r="L1089" i="3"/>
  <c r="M1089" i="3" s="1"/>
  <c r="L1090" i="3"/>
  <c r="M1090" i="3" s="1"/>
  <c r="L1091" i="3"/>
  <c r="M1091" i="3" s="1"/>
  <c r="L1092" i="3"/>
  <c r="M1092" i="3" s="1"/>
  <c r="L1093" i="3"/>
  <c r="M1093" i="3" s="1"/>
  <c r="L1094" i="3"/>
  <c r="M1094" i="3" s="1"/>
  <c r="L1095" i="3"/>
  <c r="M1095" i="3" s="1"/>
  <c r="L1096" i="3"/>
  <c r="M1096" i="3" s="1"/>
  <c r="L1097" i="3"/>
  <c r="M1097" i="3" s="1"/>
  <c r="L1098" i="3"/>
  <c r="M1098" i="3" s="1"/>
  <c r="L1099" i="3"/>
  <c r="M1099" i="3" s="1"/>
  <c r="L1100" i="3"/>
  <c r="M1100" i="3" s="1"/>
  <c r="L1101" i="3"/>
  <c r="M1101" i="3" s="1"/>
  <c r="L1102" i="3"/>
  <c r="M1102" i="3" s="1"/>
  <c r="L1103" i="3"/>
  <c r="M1103" i="3" s="1"/>
  <c r="L1104" i="3"/>
  <c r="M1104" i="3" s="1"/>
  <c r="L1105" i="3"/>
  <c r="M1105" i="3" s="1"/>
  <c r="L1106" i="3"/>
  <c r="M1106" i="3" s="1"/>
  <c r="L1107" i="3"/>
  <c r="M1107" i="3" s="1"/>
  <c r="L1108" i="3"/>
  <c r="M1108" i="3" s="1"/>
  <c r="L1109" i="3"/>
  <c r="M1109" i="3" s="1"/>
  <c r="L1110" i="3"/>
  <c r="M1110" i="3" s="1"/>
  <c r="L1111" i="3"/>
  <c r="M1111" i="3" s="1"/>
  <c r="L1112" i="3"/>
  <c r="M1112" i="3" s="1"/>
  <c r="L1113" i="3"/>
  <c r="M1113" i="3" s="1"/>
  <c r="L1114" i="3"/>
  <c r="M1114" i="3" s="1"/>
  <c r="L1115" i="3"/>
  <c r="M1115" i="3" s="1"/>
  <c r="L1116" i="3"/>
  <c r="M1116" i="3" s="1"/>
  <c r="L1117" i="3"/>
  <c r="M1117" i="3" s="1"/>
  <c r="L1118" i="3"/>
  <c r="M1118" i="3" s="1"/>
  <c r="L1119" i="3"/>
  <c r="M1119" i="3" s="1"/>
  <c r="L1120" i="3"/>
  <c r="M1120" i="3" s="1"/>
  <c r="L1121" i="3"/>
  <c r="M1121" i="3" s="1"/>
  <c r="L1122" i="3"/>
  <c r="M1122" i="3" s="1"/>
  <c r="L1123" i="3"/>
  <c r="M1123" i="3" s="1"/>
  <c r="L1124" i="3"/>
  <c r="M1124" i="3" s="1"/>
  <c r="L1125" i="3"/>
  <c r="M1125" i="3" s="1"/>
  <c r="L1126" i="3"/>
  <c r="M1126" i="3" s="1"/>
  <c r="L1127" i="3"/>
  <c r="M1127" i="3" s="1"/>
  <c r="L1128" i="3"/>
  <c r="M1128" i="3" s="1"/>
  <c r="L1129" i="3"/>
  <c r="M1129" i="3" s="1"/>
  <c r="L1130" i="3"/>
  <c r="M1130" i="3" s="1"/>
  <c r="L1131" i="3"/>
  <c r="M1131" i="3" s="1"/>
  <c r="L1132" i="3"/>
  <c r="M1132" i="3" s="1"/>
  <c r="L1133" i="3"/>
  <c r="M1133" i="3" s="1"/>
  <c r="L1134" i="3"/>
  <c r="M1134" i="3" s="1"/>
  <c r="L1135" i="3"/>
  <c r="M1135" i="3" s="1"/>
  <c r="L1136" i="3"/>
  <c r="M1136" i="3" s="1"/>
  <c r="L1137" i="3"/>
  <c r="M1137" i="3" s="1"/>
  <c r="L1138" i="3"/>
  <c r="M1138" i="3" s="1"/>
  <c r="L1139" i="3"/>
  <c r="M1139" i="3" s="1"/>
  <c r="L1140" i="3"/>
  <c r="M1140" i="3" s="1"/>
  <c r="L1141" i="3"/>
  <c r="M1141" i="3" s="1"/>
  <c r="L1142" i="3"/>
  <c r="M1142" i="3" s="1"/>
  <c r="L1143" i="3"/>
  <c r="M1143" i="3" s="1"/>
  <c r="L1144" i="3"/>
  <c r="M1144" i="3" s="1"/>
  <c r="L1145" i="3"/>
  <c r="M1145" i="3" s="1"/>
  <c r="L1146" i="3"/>
  <c r="M1146" i="3" s="1"/>
  <c r="L1147" i="3"/>
  <c r="M1147" i="3" s="1"/>
  <c r="L1148" i="3"/>
  <c r="M1148" i="3" s="1"/>
  <c r="L1149" i="3"/>
  <c r="M1149" i="3" s="1"/>
  <c r="L1150" i="3"/>
  <c r="M1150" i="3" s="1"/>
  <c r="L1151" i="3"/>
  <c r="M1151" i="3" s="1"/>
  <c r="L1152" i="3"/>
  <c r="M1152" i="3" s="1"/>
  <c r="L1153" i="3"/>
  <c r="M1153" i="3" s="1"/>
  <c r="L1154" i="3"/>
  <c r="M1154" i="3" s="1"/>
  <c r="L1155" i="3"/>
  <c r="M1155" i="3" s="1"/>
  <c r="L1156" i="3"/>
  <c r="M1156" i="3" s="1"/>
  <c r="L1157" i="3"/>
  <c r="M1157" i="3" s="1"/>
  <c r="L1158" i="3"/>
  <c r="M1158" i="3" s="1"/>
  <c r="L1159" i="3"/>
  <c r="M1159" i="3" s="1"/>
  <c r="L1160" i="3"/>
  <c r="M1160" i="3" s="1"/>
  <c r="L1161" i="3"/>
  <c r="M1161" i="3" s="1"/>
  <c r="L1162" i="3"/>
  <c r="M1162" i="3" s="1"/>
  <c r="L1163" i="3"/>
  <c r="M1163" i="3" s="1"/>
  <c r="L1164" i="3"/>
  <c r="M1164" i="3" s="1"/>
  <c r="L1165" i="3"/>
  <c r="M1165" i="3" s="1"/>
  <c r="L1166" i="3"/>
  <c r="M1166" i="3" s="1"/>
  <c r="L1167" i="3"/>
  <c r="M1167" i="3" s="1"/>
  <c r="L1168" i="3"/>
  <c r="M1168" i="3" s="1"/>
  <c r="L1169" i="3"/>
  <c r="M1169" i="3" s="1"/>
  <c r="L1170" i="3"/>
  <c r="M1170" i="3" s="1"/>
  <c r="L1171" i="3"/>
  <c r="M1171" i="3" s="1"/>
  <c r="L1172" i="3"/>
  <c r="M1172" i="3" s="1"/>
  <c r="L1173" i="3"/>
  <c r="M1173" i="3" s="1"/>
  <c r="L1174" i="3"/>
  <c r="M1174" i="3" s="1"/>
  <c r="L1175" i="3"/>
  <c r="M1175" i="3" s="1"/>
  <c r="L1176" i="3"/>
  <c r="M1176" i="3" s="1"/>
  <c r="L1177" i="3"/>
  <c r="M1177" i="3" s="1"/>
  <c r="L1178" i="3"/>
  <c r="M1178" i="3" s="1"/>
  <c r="L1179" i="3"/>
  <c r="M1179" i="3" s="1"/>
  <c r="L1180" i="3"/>
  <c r="M1180" i="3" s="1"/>
  <c r="L1181" i="3"/>
  <c r="M1181" i="3" s="1"/>
  <c r="L1182" i="3"/>
  <c r="M1182" i="3" s="1"/>
  <c r="L1183" i="3"/>
  <c r="M1183" i="3" s="1"/>
  <c r="L1184" i="3"/>
  <c r="M1184" i="3" s="1"/>
  <c r="L1185" i="3"/>
  <c r="M1185" i="3" s="1"/>
  <c r="L1186" i="3"/>
  <c r="M1186" i="3" s="1"/>
  <c r="L1187" i="3"/>
  <c r="M1187" i="3" s="1"/>
  <c r="L1188" i="3"/>
  <c r="M1188" i="3" s="1"/>
  <c r="L1189" i="3"/>
  <c r="M1189" i="3" s="1"/>
  <c r="L1190" i="3"/>
  <c r="M1190" i="3" s="1"/>
  <c r="L1191" i="3"/>
  <c r="M1191" i="3" s="1"/>
  <c r="L1192" i="3"/>
  <c r="M1192" i="3" s="1"/>
  <c r="L1193" i="3"/>
  <c r="M1193" i="3" s="1"/>
  <c r="L1194" i="3"/>
  <c r="M1194" i="3" s="1"/>
  <c r="L1195" i="3"/>
  <c r="M1195" i="3" s="1"/>
  <c r="L1196" i="3"/>
  <c r="M1196" i="3" s="1"/>
  <c r="L1197" i="3"/>
  <c r="M1197" i="3" s="1"/>
  <c r="L1198" i="3"/>
  <c r="M1198" i="3" s="1"/>
  <c r="L1199" i="3"/>
  <c r="M1199" i="3" s="1"/>
  <c r="L1200" i="3"/>
  <c r="M1200" i="3" s="1"/>
  <c r="L1201" i="3"/>
  <c r="M1201" i="3" s="1"/>
  <c r="L1202" i="3"/>
  <c r="M1202" i="3" s="1"/>
  <c r="L1203" i="3"/>
  <c r="M1203" i="3" s="1"/>
  <c r="L1204" i="3"/>
  <c r="M1204" i="3" s="1"/>
  <c r="L1205" i="3"/>
  <c r="M1205" i="3" s="1"/>
  <c r="L1206" i="3"/>
  <c r="M1206" i="3" s="1"/>
  <c r="L1207" i="3"/>
  <c r="M1207" i="3" s="1"/>
  <c r="L1208" i="3"/>
  <c r="M1208" i="3" s="1"/>
  <c r="L1209" i="3"/>
  <c r="M1209" i="3" s="1"/>
  <c r="L1210" i="3"/>
  <c r="M1210" i="3" s="1"/>
  <c r="L1211" i="3"/>
  <c r="M1211" i="3" s="1"/>
  <c r="L1212" i="3"/>
  <c r="M1212" i="3" s="1"/>
  <c r="L1213" i="3"/>
  <c r="M1213" i="3" s="1"/>
  <c r="L1214" i="3"/>
  <c r="M1214" i="3" s="1"/>
  <c r="L1215" i="3"/>
  <c r="M1215" i="3" s="1"/>
  <c r="L1216" i="3"/>
  <c r="M1216" i="3" s="1"/>
  <c r="L1217" i="3"/>
  <c r="M1217" i="3" s="1"/>
  <c r="L1218" i="3"/>
  <c r="M1218" i="3" s="1"/>
  <c r="L1219" i="3"/>
  <c r="M1219" i="3" s="1"/>
  <c r="L1220" i="3"/>
  <c r="M1220" i="3" s="1"/>
  <c r="L1221" i="3"/>
  <c r="M1221" i="3" s="1"/>
  <c r="L1222" i="3"/>
  <c r="M1222" i="3" s="1"/>
  <c r="L1223" i="3"/>
  <c r="M1223" i="3" s="1"/>
  <c r="L1224" i="3"/>
  <c r="M1224" i="3" s="1"/>
  <c r="L1225" i="3"/>
  <c r="M1225" i="3" s="1"/>
  <c r="L1226" i="3"/>
  <c r="M1226" i="3" s="1"/>
  <c r="L1227" i="3"/>
  <c r="M1227" i="3" s="1"/>
  <c r="L1228" i="3"/>
  <c r="M1228" i="3" s="1"/>
  <c r="L1229" i="3"/>
  <c r="M1229" i="3" s="1"/>
  <c r="L1230" i="3"/>
  <c r="M1230" i="3" s="1"/>
  <c r="L1231" i="3"/>
  <c r="M1231" i="3" s="1"/>
  <c r="L1232" i="3"/>
  <c r="M1232" i="3" s="1"/>
  <c r="L1233" i="3"/>
  <c r="M1233" i="3" s="1"/>
  <c r="L1234" i="3"/>
  <c r="M1234" i="3" s="1"/>
  <c r="L1235" i="3"/>
  <c r="M1235" i="3" s="1"/>
  <c r="L1236" i="3"/>
  <c r="M1236" i="3" s="1"/>
  <c r="L1237" i="3"/>
  <c r="M1237" i="3" s="1"/>
  <c r="L1238" i="3"/>
  <c r="M1238" i="3" s="1"/>
  <c r="L1239" i="3"/>
  <c r="M1239" i="3" s="1"/>
  <c r="L1240" i="3"/>
  <c r="M1240" i="3" s="1"/>
  <c r="L1241" i="3"/>
  <c r="M1241" i="3" s="1"/>
  <c r="L1242" i="3"/>
  <c r="M1242" i="3" s="1"/>
  <c r="L1243" i="3"/>
  <c r="M1243" i="3" s="1"/>
  <c r="L1244" i="3"/>
  <c r="M1244" i="3" s="1"/>
  <c r="L1245" i="3"/>
  <c r="M1245" i="3" s="1"/>
  <c r="L1246" i="3"/>
  <c r="M1246" i="3" s="1"/>
  <c r="L1247" i="3"/>
  <c r="M1247" i="3" s="1"/>
  <c r="L1248" i="3"/>
  <c r="M1248" i="3" s="1"/>
  <c r="L1249" i="3"/>
  <c r="M1249" i="3" s="1"/>
  <c r="L1250" i="3"/>
  <c r="M1250" i="3" s="1"/>
  <c r="L1251" i="3"/>
  <c r="M1251" i="3" s="1"/>
  <c r="L1252" i="3"/>
  <c r="M1252" i="3" s="1"/>
  <c r="L1253" i="3"/>
  <c r="M1253" i="3" s="1"/>
  <c r="L1254" i="3"/>
  <c r="M1254" i="3" s="1"/>
  <c r="L1255" i="3"/>
  <c r="M1255" i="3" s="1"/>
  <c r="L1256" i="3"/>
  <c r="M1256" i="3" s="1"/>
  <c r="L1257" i="3"/>
  <c r="M1257" i="3" s="1"/>
  <c r="L1258" i="3"/>
  <c r="M1258" i="3" s="1"/>
  <c r="L1259" i="3"/>
  <c r="M1259" i="3" s="1"/>
  <c r="L1260" i="3"/>
  <c r="M1260" i="3" s="1"/>
  <c r="L1261" i="3"/>
  <c r="M1261" i="3" s="1"/>
  <c r="L1262" i="3"/>
  <c r="M1262" i="3" s="1"/>
  <c r="L1263" i="3"/>
  <c r="M1263" i="3" s="1"/>
  <c r="L1264" i="3"/>
  <c r="M1264" i="3" s="1"/>
  <c r="L1265" i="3"/>
  <c r="M1265" i="3" s="1"/>
  <c r="L1266" i="3"/>
  <c r="M1266" i="3" s="1"/>
  <c r="L1267" i="3"/>
  <c r="M1267" i="3" s="1"/>
  <c r="L1268" i="3"/>
  <c r="M1268" i="3" s="1"/>
  <c r="L1269" i="3"/>
  <c r="M1269" i="3" s="1"/>
  <c r="L1270" i="3"/>
  <c r="M1270" i="3" s="1"/>
  <c r="L1271" i="3"/>
  <c r="M1271" i="3" s="1"/>
  <c r="L1272" i="3"/>
  <c r="M1272" i="3" s="1"/>
  <c r="L1273" i="3"/>
  <c r="M1273" i="3" s="1"/>
  <c r="L1274" i="3"/>
  <c r="M1274" i="3" s="1"/>
  <c r="L1275" i="3"/>
  <c r="M1275" i="3" s="1"/>
  <c r="L1276" i="3"/>
  <c r="M1276" i="3" s="1"/>
  <c r="L1277" i="3"/>
  <c r="M1277" i="3" s="1"/>
  <c r="L1278" i="3"/>
  <c r="M1278" i="3" s="1"/>
  <c r="L1279" i="3"/>
  <c r="M1279" i="3" s="1"/>
  <c r="L1280" i="3"/>
  <c r="M1280" i="3" s="1"/>
  <c r="L1281" i="3"/>
  <c r="M1281" i="3" s="1"/>
  <c r="L1282" i="3"/>
  <c r="M1282" i="3" s="1"/>
  <c r="L1283" i="3"/>
  <c r="M1283" i="3" s="1"/>
  <c r="L1284" i="3"/>
  <c r="M1284" i="3" s="1"/>
  <c r="L1285" i="3"/>
  <c r="M1285" i="3" s="1"/>
  <c r="L1286" i="3"/>
  <c r="M1286" i="3" s="1"/>
  <c r="L1287" i="3"/>
  <c r="M1287" i="3" s="1"/>
  <c r="L1288" i="3"/>
  <c r="M1288" i="3" s="1"/>
  <c r="L1289" i="3"/>
  <c r="M1289" i="3" s="1"/>
  <c r="L1290" i="3"/>
  <c r="M1290" i="3" s="1"/>
  <c r="L1291" i="3"/>
  <c r="M1291" i="3" s="1"/>
  <c r="L1292" i="3"/>
  <c r="M1292" i="3" s="1"/>
  <c r="L1293" i="3"/>
  <c r="M1293" i="3" s="1"/>
  <c r="L1294" i="3"/>
  <c r="M1294" i="3" s="1"/>
  <c r="L1295" i="3"/>
  <c r="M1295" i="3" s="1"/>
  <c r="L1296" i="3"/>
  <c r="M1296" i="3" s="1"/>
  <c r="L1297" i="3"/>
  <c r="M1297" i="3" s="1"/>
  <c r="L1298" i="3"/>
  <c r="M1298" i="3" s="1"/>
  <c r="L1299" i="3"/>
  <c r="M1299" i="3" s="1"/>
  <c r="L1300" i="3"/>
  <c r="M1300" i="3" s="1"/>
  <c r="L1301" i="3"/>
  <c r="M1301" i="3" s="1"/>
  <c r="L1302" i="3"/>
  <c r="M1302" i="3" s="1"/>
  <c r="L1303" i="3"/>
  <c r="M1303" i="3" s="1"/>
  <c r="L1304" i="3"/>
  <c r="M1304" i="3" s="1"/>
  <c r="L1305" i="3"/>
  <c r="M1305" i="3" s="1"/>
  <c r="L1306" i="3"/>
  <c r="M1306" i="3" s="1"/>
  <c r="L1307" i="3"/>
  <c r="M1307" i="3" s="1"/>
  <c r="L1308" i="3"/>
  <c r="M1308" i="3" s="1"/>
  <c r="L1309" i="3"/>
  <c r="M1309" i="3" s="1"/>
  <c r="L1310" i="3"/>
  <c r="M1310" i="3" s="1"/>
  <c r="L1311" i="3"/>
  <c r="M1311" i="3" s="1"/>
  <c r="L1312" i="3"/>
  <c r="M1312" i="3" s="1"/>
  <c r="L1313" i="3"/>
  <c r="M1313" i="3" s="1"/>
  <c r="L1314" i="3"/>
  <c r="M1314" i="3" s="1"/>
  <c r="L1315" i="3"/>
  <c r="M1315" i="3" s="1"/>
  <c r="L1316" i="3"/>
  <c r="M1316" i="3" s="1"/>
  <c r="L1317" i="3"/>
  <c r="M1317" i="3" s="1"/>
  <c r="L1318" i="3"/>
  <c r="M1318" i="3" s="1"/>
  <c r="L1319" i="3"/>
  <c r="M1319" i="3" s="1"/>
  <c r="L1320" i="3"/>
  <c r="M1320" i="3" s="1"/>
  <c r="L1321" i="3"/>
  <c r="M1321" i="3" s="1"/>
  <c r="L1322" i="3"/>
  <c r="M1322" i="3" s="1"/>
  <c r="L1323" i="3"/>
  <c r="M1323" i="3" s="1"/>
  <c r="L1324" i="3"/>
  <c r="M1324" i="3" s="1"/>
  <c r="L1325" i="3"/>
  <c r="M1325" i="3" s="1"/>
  <c r="L1326" i="3"/>
  <c r="M1326" i="3" s="1"/>
  <c r="L1327" i="3"/>
  <c r="M1327" i="3" s="1"/>
  <c r="L1328" i="3"/>
  <c r="M1328" i="3" s="1"/>
  <c r="L1329" i="3"/>
  <c r="M1329" i="3" s="1"/>
  <c r="L1330" i="3"/>
  <c r="M1330" i="3" s="1"/>
  <c r="L1331" i="3"/>
  <c r="M1331" i="3" s="1"/>
  <c r="L1332" i="3"/>
  <c r="M1332" i="3" s="1"/>
  <c r="L1333" i="3"/>
  <c r="M1333" i="3" s="1"/>
  <c r="L1334" i="3"/>
  <c r="M1334" i="3" s="1"/>
  <c r="L1335" i="3"/>
  <c r="M1335" i="3" s="1"/>
  <c r="L1336" i="3"/>
  <c r="M1336" i="3" s="1"/>
  <c r="L1337" i="3"/>
  <c r="M1337" i="3" s="1"/>
  <c r="L1338" i="3"/>
  <c r="M1338" i="3" s="1"/>
  <c r="L1339" i="3"/>
  <c r="M1339" i="3" s="1"/>
  <c r="L1340" i="3"/>
  <c r="M1340" i="3" s="1"/>
  <c r="L1341" i="3"/>
  <c r="M1341" i="3" s="1"/>
  <c r="L1342" i="3"/>
  <c r="M1342" i="3" s="1"/>
  <c r="L1343" i="3"/>
  <c r="M1343" i="3" s="1"/>
  <c r="L1344" i="3"/>
  <c r="M1344" i="3" s="1"/>
  <c r="L1345" i="3"/>
  <c r="M1345" i="3" s="1"/>
  <c r="L1346" i="3"/>
  <c r="M1346" i="3" s="1"/>
  <c r="L1347" i="3"/>
  <c r="M1347" i="3" s="1"/>
  <c r="L1348" i="3"/>
  <c r="M1348" i="3" s="1"/>
  <c r="L1349" i="3"/>
  <c r="M1349" i="3" s="1"/>
  <c r="L1350" i="3"/>
  <c r="M1350" i="3" s="1"/>
  <c r="L1351" i="3"/>
  <c r="M1351" i="3" s="1"/>
  <c r="L1352" i="3"/>
  <c r="M1352" i="3" s="1"/>
  <c r="L1353" i="3"/>
  <c r="M1353" i="3" s="1"/>
  <c r="L1354" i="3"/>
  <c r="M1354" i="3" s="1"/>
  <c r="L1355" i="3"/>
  <c r="M1355" i="3" s="1"/>
  <c r="L1356" i="3"/>
  <c r="M1356" i="3" s="1"/>
  <c r="L1357" i="3"/>
  <c r="M1357" i="3" s="1"/>
  <c r="L1358" i="3"/>
  <c r="M1358" i="3" s="1"/>
  <c r="L1359" i="3"/>
  <c r="M1359" i="3" s="1"/>
  <c r="L1360" i="3"/>
  <c r="M1360" i="3" s="1"/>
  <c r="L1361" i="3"/>
  <c r="M1361" i="3" s="1"/>
  <c r="L1362" i="3"/>
  <c r="M1362" i="3" s="1"/>
  <c r="L1363" i="3"/>
  <c r="M1363" i="3" s="1"/>
  <c r="L1364" i="3"/>
  <c r="M1364" i="3" s="1"/>
  <c r="L1365" i="3"/>
  <c r="M1365" i="3" s="1"/>
  <c r="L1366" i="3"/>
  <c r="M1366" i="3" s="1"/>
  <c r="L1367" i="3"/>
  <c r="M1367" i="3" s="1"/>
  <c r="L1368" i="3"/>
  <c r="M1368" i="3" s="1"/>
  <c r="L1369" i="3"/>
  <c r="M1369" i="3" s="1"/>
  <c r="L1370" i="3"/>
  <c r="M1370" i="3" s="1"/>
  <c r="L1371" i="3"/>
  <c r="M1371" i="3" s="1"/>
  <c r="L1372" i="3"/>
  <c r="M1372" i="3" s="1"/>
  <c r="L1373" i="3"/>
  <c r="M1373" i="3" s="1"/>
  <c r="L1374" i="3"/>
  <c r="M1374" i="3" s="1"/>
  <c r="L1375" i="3"/>
  <c r="M1375" i="3" s="1"/>
  <c r="L1376" i="3"/>
  <c r="M1376" i="3" s="1"/>
  <c r="L1377" i="3"/>
  <c r="M1377" i="3" s="1"/>
  <c r="L1378" i="3"/>
  <c r="M1378" i="3" s="1"/>
  <c r="L1379" i="3"/>
  <c r="M1379" i="3" s="1"/>
  <c r="L1380" i="3"/>
  <c r="M1380" i="3" s="1"/>
  <c r="L1381" i="3"/>
  <c r="M1381" i="3" s="1"/>
  <c r="L1382" i="3"/>
  <c r="M1382" i="3" s="1"/>
  <c r="L1383" i="3"/>
  <c r="M1383" i="3" s="1"/>
  <c r="L1384" i="3"/>
  <c r="M1384" i="3" s="1"/>
  <c r="L1385" i="3"/>
  <c r="M1385" i="3" s="1"/>
  <c r="L1386" i="3"/>
  <c r="M1386" i="3" s="1"/>
  <c r="L1387" i="3"/>
  <c r="M1387" i="3" s="1"/>
  <c r="L1388" i="3"/>
  <c r="M1388" i="3" s="1"/>
  <c r="L1389" i="3"/>
  <c r="M1389" i="3" s="1"/>
  <c r="L1390" i="3"/>
  <c r="M1390" i="3" s="1"/>
  <c r="L1391" i="3"/>
  <c r="M1391" i="3" s="1"/>
  <c r="L1392" i="3"/>
  <c r="M1392" i="3" s="1"/>
  <c r="L1393" i="3"/>
  <c r="M1393" i="3" s="1"/>
  <c r="L1394" i="3"/>
  <c r="M1394" i="3" s="1"/>
  <c r="L1395" i="3"/>
  <c r="M1395" i="3" s="1"/>
  <c r="L1396" i="3"/>
  <c r="M1396" i="3" s="1"/>
  <c r="L1397" i="3"/>
  <c r="M1397" i="3" s="1"/>
  <c r="L1398" i="3"/>
  <c r="M1398" i="3" s="1"/>
  <c r="L1399" i="3"/>
  <c r="M1399" i="3" s="1"/>
  <c r="L1400" i="3"/>
  <c r="M1400" i="3" s="1"/>
  <c r="L1401" i="3"/>
  <c r="M1401" i="3" s="1"/>
  <c r="L1402" i="3"/>
  <c r="M1402" i="3" s="1"/>
  <c r="L1403" i="3"/>
  <c r="M1403" i="3" s="1"/>
  <c r="L1404" i="3"/>
  <c r="M1404" i="3" s="1"/>
  <c r="L1405" i="3"/>
  <c r="M1405" i="3" s="1"/>
  <c r="L1406" i="3"/>
  <c r="M1406" i="3" s="1"/>
  <c r="L1407" i="3"/>
  <c r="M1407" i="3" s="1"/>
  <c r="L1408" i="3"/>
  <c r="M1408" i="3" s="1"/>
  <c r="L1409" i="3"/>
  <c r="M1409" i="3" s="1"/>
  <c r="L1410" i="3"/>
  <c r="M1410" i="3" s="1"/>
  <c r="L1411" i="3"/>
  <c r="M1411" i="3" s="1"/>
  <c r="L1412" i="3"/>
  <c r="M1412" i="3" s="1"/>
  <c r="L1413" i="3"/>
  <c r="M1413" i="3" s="1"/>
  <c r="L1414" i="3"/>
  <c r="M1414" i="3" s="1"/>
  <c r="L1415" i="3"/>
  <c r="M1415" i="3" s="1"/>
  <c r="L1416" i="3"/>
  <c r="M1416" i="3" s="1"/>
  <c r="L1417" i="3"/>
  <c r="M1417" i="3" s="1"/>
  <c r="L1418" i="3"/>
  <c r="M1418" i="3" s="1"/>
  <c r="L1419" i="3"/>
  <c r="M1419" i="3" s="1"/>
  <c r="L1420" i="3"/>
  <c r="M1420" i="3" s="1"/>
  <c r="L1421" i="3"/>
  <c r="M1421" i="3" s="1"/>
  <c r="L1422" i="3"/>
  <c r="M1422" i="3" s="1"/>
  <c r="L1423" i="3"/>
  <c r="M1423" i="3" s="1"/>
  <c r="L1424" i="3"/>
  <c r="M1424" i="3" s="1"/>
  <c r="L1425" i="3"/>
  <c r="M1425" i="3" s="1"/>
  <c r="L1426" i="3"/>
  <c r="M1426" i="3" s="1"/>
  <c r="L1427" i="3"/>
  <c r="M1427" i="3" s="1"/>
  <c r="L1428" i="3"/>
  <c r="M1428" i="3" s="1"/>
  <c r="L1429" i="3"/>
  <c r="M1429" i="3" s="1"/>
  <c r="L1430" i="3"/>
  <c r="M1430" i="3" s="1"/>
  <c r="L1431" i="3"/>
  <c r="M1431" i="3" s="1"/>
  <c r="L1432" i="3"/>
  <c r="M1432" i="3" s="1"/>
  <c r="L1433" i="3"/>
  <c r="M1433" i="3" s="1"/>
  <c r="L1434" i="3"/>
  <c r="M1434" i="3" s="1"/>
  <c r="L1435" i="3"/>
  <c r="M1435" i="3" s="1"/>
  <c r="L1436" i="3"/>
  <c r="M1436" i="3" s="1"/>
  <c r="L1437" i="3"/>
  <c r="M1437" i="3" s="1"/>
  <c r="L1438" i="3"/>
  <c r="M1438" i="3" s="1"/>
  <c r="L1439" i="3"/>
  <c r="M1439" i="3" s="1"/>
  <c r="L1440" i="3"/>
  <c r="M1440" i="3" s="1"/>
  <c r="L1441" i="3"/>
  <c r="M1441" i="3" s="1"/>
  <c r="L1442" i="3"/>
  <c r="M1442" i="3" s="1"/>
  <c r="L1443" i="3"/>
  <c r="M1443" i="3" s="1"/>
  <c r="L1444" i="3"/>
  <c r="M1444" i="3" s="1"/>
  <c r="L1445" i="3"/>
  <c r="M1445" i="3" s="1"/>
  <c r="L1446" i="3"/>
  <c r="M1446" i="3" s="1"/>
  <c r="L1447" i="3"/>
  <c r="M1447" i="3" s="1"/>
  <c r="L1448" i="3"/>
  <c r="M1448" i="3" s="1"/>
  <c r="L1449" i="3"/>
  <c r="M1449" i="3" s="1"/>
  <c r="L1450" i="3"/>
  <c r="M1450" i="3" s="1"/>
  <c r="L1451" i="3"/>
  <c r="M1451" i="3" s="1"/>
  <c r="L1452" i="3"/>
  <c r="M1452" i="3" s="1"/>
  <c r="L1453" i="3"/>
  <c r="M1453" i="3" s="1"/>
  <c r="L1454" i="3"/>
  <c r="M1454" i="3" s="1"/>
  <c r="L1455" i="3"/>
  <c r="M1455" i="3" s="1"/>
  <c r="L1456" i="3"/>
  <c r="M1456" i="3" s="1"/>
  <c r="L1457" i="3"/>
  <c r="M1457" i="3" s="1"/>
  <c r="L1458" i="3"/>
  <c r="M1458" i="3" s="1"/>
  <c r="L1459" i="3"/>
  <c r="M1459" i="3" s="1"/>
  <c r="L1460" i="3"/>
  <c r="M1460" i="3" s="1"/>
  <c r="L1461" i="3"/>
  <c r="M1461" i="3" s="1"/>
  <c r="L1462" i="3"/>
  <c r="M1462" i="3" s="1"/>
  <c r="L1463" i="3"/>
  <c r="M1463" i="3" s="1"/>
  <c r="L1464" i="3"/>
  <c r="M1464" i="3" s="1"/>
  <c r="L1465" i="3"/>
  <c r="M1465" i="3" s="1"/>
  <c r="L1466" i="3"/>
  <c r="M1466" i="3" s="1"/>
  <c r="L1467" i="3"/>
  <c r="M1467" i="3" s="1"/>
  <c r="L1468" i="3"/>
  <c r="M1468" i="3" s="1"/>
  <c r="L1469" i="3"/>
  <c r="M1469" i="3" s="1"/>
  <c r="L1470" i="3"/>
  <c r="M1470" i="3" s="1"/>
  <c r="L1471" i="3"/>
  <c r="M1471" i="3" s="1"/>
  <c r="L1472" i="3"/>
  <c r="M1472" i="3" s="1"/>
  <c r="L1473" i="3"/>
  <c r="M1473" i="3" s="1"/>
  <c r="L1474" i="3"/>
  <c r="M1474" i="3" s="1"/>
  <c r="L1475" i="3"/>
  <c r="M1475" i="3" s="1"/>
  <c r="L1476" i="3"/>
  <c r="M1476" i="3" s="1"/>
  <c r="L1477" i="3"/>
  <c r="M1477" i="3" s="1"/>
  <c r="L1478" i="3"/>
  <c r="M1478" i="3" s="1"/>
  <c r="L1479" i="3"/>
  <c r="M1479" i="3" s="1"/>
  <c r="L1480" i="3"/>
  <c r="M1480" i="3" s="1"/>
  <c r="L1481" i="3"/>
  <c r="M1481" i="3" s="1"/>
  <c r="L1482" i="3"/>
  <c r="M1482" i="3" s="1"/>
  <c r="L1483" i="3"/>
  <c r="M1483" i="3" s="1"/>
  <c r="L1484" i="3"/>
  <c r="M1484" i="3" s="1"/>
  <c r="L1485" i="3"/>
  <c r="M1485" i="3" s="1"/>
  <c r="L1486" i="3"/>
  <c r="M1486" i="3" s="1"/>
  <c r="L1487" i="3"/>
  <c r="M1487" i="3" s="1"/>
  <c r="L1488" i="3"/>
  <c r="M1488" i="3" s="1"/>
  <c r="L1489" i="3"/>
  <c r="M1489" i="3" s="1"/>
  <c r="L1490" i="3"/>
  <c r="M1490" i="3" s="1"/>
  <c r="L1491" i="3"/>
  <c r="M1491" i="3" s="1"/>
  <c r="L1492" i="3"/>
  <c r="M1492" i="3" s="1"/>
  <c r="L1493" i="3"/>
  <c r="M1493" i="3" s="1"/>
  <c r="L1494" i="3"/>
  <c r="M1494" i="3" s="1"/>
  <c r="L1495" i="3"/>
  <c r="M1495" i="3" s="1"/>
  <c r="L1496" i="3"/>
  <c r="M1496" i="3" s="1"/>
  <c r="L1497" i="3"/>
  <c r="M1497" i="3" s="1"/>
  <c r="L1498" i="3"/>
  <c r="M1498" i="3" s="1"/>
  <c r="L1499" i="3"/>
  <c r="M1499" i="3" s="1"/>
  <c r="L1500" i="3"/>
  <c r="M1500" i="3" s="1"/>
  <c r="L1501" i="3"/>
  <c r="M1501" i="3" s="1"/>
  <c r="L1502" i="3"/>
  <c r="M1502" i="3" s="1"/>
  <c r="L1503" i="3"/>
  <c r="M1503" i="3" s="1"/>
  <c r="L1504" i="3"/>
  <c r="M1504" i="3" s="1"/>
  <c r="L1505" i="3"/>
  <c r="M1505" i="3" s="1"/>
  <c r="L1506" i="3"/>
  <c r="M1506" i="3" s="1"/>
  <c r="L1507" i="3"/>
  <c r="M1507" i="3" s="1"/>
  <c r="L1508" i="3"/>
  <c r="M1508" i="3" s="1"/>
  <c r="L1509" i="3"/>
  <c r="M1509" i="3" s="1"/>
  <c r="L1510" i="3"/>
  <c r="M1510" i="3" s="1"/>
  <c r="L1511" i="3"/>
  <c r="M1511" i="3" s="1"/>
  <c r="L1512" i="3"/>
  <c r="M1512" i="3" s="1"/>
  <c r="L1513" i="3"/>
  <c r="M1513" i="3" s="1"/>
  <c r="L1514" i="3"/>
  <c r="M1514" i="3" s="1"/>
  <c r="L1515" i="3"/>
  <c r="M1515" i="3" s="1"/>
  <c r="L1516" i="3"/>
  <c r="M1516" i="3" s="1"/>
  <c r="L1517" i="3"/>
  <c r="M1517" i="3" s="1"/>
  <c r="L1518" i="3"/>
  <c r="M1518" i="3" s="1"/>
  <c r="L1519" i="3"/>
  <c r="M1519" i="3" s="1"/>
  <c r="L1520" i="3"/>
  <c r="M1520" i="3" s="1"/>
  <c r="L1521" i="3"/>
  <c r="M1521" i="3" s="1"/>
  <c r="L1522" i="3"/>
  <c r="M1522" i="3" s="1"/>
  <c r="L1523" i="3"/>
  <c r="M1523" i="3" s="1"/>
  <c r="L1524" i="3"/>
  <c r="M1524" i="3" s="1"/>
  <c r="L1525" i="3"/>
  <c r="M1525" i="3" s="1"/>
  <c r="L1526" i="3"/>
  <c r="M1526" i="3" s="1"/>
  <c r="L1527" i="3"/>
  <c r="M1527" i="3" s="1"/>
  <c r="L1528" i="3"/>
  <c r="M1528" i="3" s="1"/>
  <c r="L1529" i="3"/>
  <c r="M1529" i="3" s="1"/>
  <c r="L1530" i="3"/>
  <c r="M1530" i="3" s="1"/>
  <c r="L1531" i="3"/>
  <c r="M1531" i="3" s="1"/>
  <c r="L1532" i="3"/>
  <c r="M1532" i="3" s="1"/>
  <c r="L1533" i="3"/>
  <c r="M1533" i="3" s="1"/>
  <c r="L1534" i="3"/>
  <c r="M1534" i="3" s="1"/>
  <c r="L1535" i="3"/>
  <c r="M1535" i="3" s="1"/>
  <c r="L1536" i="3"/>
  <c r="M1536" i="3" s="1"/>
  <c r="L1537" i="3"/>
  <c r="M1537" i="3" s="1"/>
  <c r="L1538" i="3"/>
  <c r="M1538" i="3" s="1"/>
  <c r="L1539" i="3"/>
  <c r="M1539" i="3" s="1"/>
  <c r="L1540" i="3"/>
  <c r="M1540" i="3" s="1"/>
  <c r="L1541" i="3"/>
  <c r="M1541" i="3" s="1"/>
  <c r="L1542" i="3"/>
  <c r="M1542" i="3" s="1"/>
  <c r="L1543" i="3"/>
  <c r="M1543" i="3" s="1"/>
  <c r="L1544" i="3"/>
  <c r="M1544" i="3" s="1"/>
  <c r="L1545" i="3"/>
  <c r="M1545" i="3" s="1"/>
  <c r="L1546" i="3"/>
  <c r="M1546" i="3" s="1"/>
  <c r="L1547" i="3"/>
  <c r="M1547" i="3" s="1"/>
  <c r="L1548" i="3"/>
  <c r="M1548" i="3" s="1"/>
  <c r="L1549" i="3"/>
  <c r="M1549" i="3" s="1"/>
  <c r="L1550" i="3"/>
  <c r="M1550" i="3" s="1"/>
  <c r="L1551" i="3"/>
  <c r="M1551" i="3" s="1"/>
  <c r="L1552" i="3"/>
  <c r="M1552" i="3" s="1"/>
  <c r="L1553" i="3"/>
  <c r="M1553" i="3" s="1"/>
  <c r="L1554" i="3"/>
  <c r="M1554" i="3" s="1"/>
  <c r="L1555" i="3"/>
  <c r="M1555" i="3" s="1"/>
  <c r="L1556" i="3"/>
  <c r="M1556" i="3" s="1"/>
  <c r="L1557" i="3"/>
  <c r="M1557" i="3" s="1"/>
  <c r="L1558" i="3"/>
  <c r="M1558" i="3" s="1"/>
  <c r="L1559" i="3"/>
  <c r="M1559" i="3" s="1"/>
  <c r="L1560" i="3"/>
  <c r="M1560" i="3" s="1"/>
  <c r="L1561" i="3"/>
  <c r="M1561" i="3" s="1"/>
  <c r="L1562" i="3"/>
  <c r="M1562" i="3" s="1"/>
  <c r="L1563" i="3"/>
  <c r="M1563" i="3" s="1"/>
  <c r="L1564" i="3"/>
  <c r="M1564" i="3" s="1"/>
  <c r="L1565" i="3"/>
  <c r="M1565" i="3" s="1"/>
  <c r="L1566" i="3"/>
  <c r="M1566" i="3" s="1"/>
  <c r="L1567" i="3"/>
  <c r="M1567" i="3" s="1"/>
  <c r="L1568" i="3"/>
  <c r="M1568" i="3" s="1"/>
  <c r="L1569" i="3"/>
  <c r="M1569" i="3" s="1"/>
  <c r="L1570" i="3"/>
  <c r="M1570" i="3" s="1"/>
  <c r="L1571" i="3"/>
  <c r="M1571" i="3" s="1"/>
  <c r="L1572" i="3"/>
  <c r="M1572" i="3" s="1"/>
  <c r="L1573" i="3"/>
  <c r="M1573" i="3" s="1"/>
  <c r="L1574" i="3"/>
  <c r="M1574" i="3" s="1"/>
  <c r="L1575" i="3"/>
  <c r="M1575" i="3" s="1"/>
  <c r="L1576" i="3"/>
  <c r="M1576" i="3" s="1"/>
  <c r="L1577" i="3"/>
  <c r="M1577" i="3" s="1"/>
  <c r="L1578" i="3"/>
  <c r="M1578" i="3" s="1"/>
  <c r="L1579" i="3"/>
  <c r="M1579" i="3" s="1"/>
  <c r="L1580" i="3"/>
  <c r="M1580" i="3" s="1"/>
  <c r="L1581" i="3"/>
  <c r="M1581" i="3" s="1"/>
  <c r="L1582" i="3"/>
  <c r="M1582" i="3" s="1"/>
  <c r="L1583" i="3"/>
  <c r="M1583" i="3" s="1"/>
  <c r="L1584" i="3"/>
  <c r="M1584" i="3" s="1"/>
  <c r="L1585" i="3"/>
  <c r="M1585" i="3" s="1"/>
  <c r="L1586" i="3"/>
  <c r="M1586" i="3" s="1"/>
  <c r="L1587" i="3"/>
  <c r="M1587" i="3" s="1"/>
  <c r="L1588" i="3"/>
  <c r="M1588" i="3" s="1"/>
  <c r="L1589" i="3"/>
  <c r="M1589" i="3" s="1"/>
  <c r="L1590" i="3"/>
  <c r="M1590" i="3" s="1"/>
  <c r="L1591" i="3"/>
  <c r="M1591" i="3" s="1"/>
  <c r="L1592" i="3"/>
  <c r="M1592" i="3" s="1"/>
  <c r="L1593" i="3"/>
  <c r="M1593" i="3" s="1"/>
  <c r="L1594" i="3"/>
  <c r="M1594" i="3" s="1"/>
  <c r="L1595" i="3"/>
  <c r="M1595" i="3" s="1"/>
  <c r="L1596" i="3"/>
  <c r="M1596" i="3" s="1"/>
  <c r="L1597" i="3"/>
  <c r="M1597" i="3" s="1"/>
  <c r="L1598" i="3"/>
  <c r="M1598" i="3" s="1"/>
  <c r="L1599" i="3"/>
  <c r="M1599" i="3" s="1"/>
  <c r="L1600" i="3"/>
  <c r="M1600" i="3" s="1"/>
  <c r="L1601" i="3"/>
  <c r="M1601" i="3" s="1"/>
  <c r="L1602" i="3"/>
  <c r="M1602" i="3" s="1"/>
  <c r="L1603" i="3"/>
  <c r="M1603" i="3" s="1"/>
  <c r="L1604" i="3"/>
  <c r="M1604" i="3" s="1"/>
  <c r="L1605" i="3"/>
  <c r="M1605" i="3" s="1"/>
  <c r="L1606" i="3"/>
  <c r="M1606" i="3" s="1"/>
  <c r="L1607" i="3"/>
  <c r="M1607" i="3" s="1"/>
  <c r="L1608" i="3"/>
  <c r="M1608" i="3" s="1"/>
  <c r="L1609" i="3"/>
  <c r="M1609" i="3" s="1"/>
  <c r="L1610" i="3"/>
  <c r="M1610" i="3" s="1"/>
  <c r="L1611" i="3"/>
  <c r="M1611" i="3" s="1"/>
  <c r="L1612" i="3"/>
  <c r="M1612" i="3" s="1"/>
  <c r="L1613" i="3"/>
  <c r="M1613" i="3" s="1"/>
  <c r="L1614" i="3"/>
  <c r="M1614" i="3" s="1"/>
  <c r="L1615" i="3"/>
  <c r="M1615" i="3" s="1"/>
  <c r="L1616" i="3"/>
  <c r="M1616" i="3" s="1"/>
  <c r="L1617" i="3"/>
  <c r="M1617" i="3" s="1"/>
  <c r="L1618" i="3"/>
  <c r="M1618" i="3" s="1"/>
  <c r="L1619" i="3"/>
  <c r="M1619" i="3" s="1"/>
  <c r="L1620" i="3"/>
  <c r="M1620" i="3" s="1"/>
  <c r="L1621" i="3"/>
  <c r="M1621" i="3" s="1"/>
  <c r="L1622" i="3"/>
  <c r="M1622" i="3" s="1"/>
  <c r="L1623" i="3"/>
  <c r="M1623" i="3" s="1"/>
  <c r="L1624" i="3"/>
  <c r="M1624" i="3" s="1"/>
  <c r="L1625" i="3"/>
  <c r="M1625" i="3" s="1"/>
  <c r="L1626" i="3"/>
  <c r="M1626" i="3" s="1"/>
  <c r="L1627" i="3"/>
  <c r="M1627" i="3" s="1"/>
  <c r="L1628" i="3"/>
  <c r="M1628" i="3" s="1"/>
  <c r="L1629" i="3"/>
  <c r="M1629" i="3" s="1"/>
  <c r="L1630" i="3"/>
  <c r="M1630" i="3" s="1"/>
  <c r="L1631" i="3"/>
  <c r="M1631" i="3" s="1"/>
  <c r="L1632" i="3"/>
  <c r="M1632" i="3" s="1"/>
  <c r="L1633" i="3"/>
  <c r="M1633" i="3" s="1"/>
  <c r="L1634" i="3"/>
  <c r="M1634" i="3" s="1"/>
  <c r="L1635" i="3"/>
  <c r="M1635" i="3" s="1"/>
  <c r="L1636" i="3"/>
  <c r="M1636" i="3" s="1"/>
  <c r="L1637" i="3"/>
  <c r="M1637" i="3" s="1"/>
  <c r="L1638" i="3"/>
  <c r="M1638" i="3" s="1"/>
  <c r="L1639" i="3"/>
  <c r="M1639" i="3" s="1"/>
  <c r="L1640" i="3"/>
  <c r="M1640" i="3" s="1"/>
  <c r="L1641" i="3"/>
  <c r="M1641" i="3" s="1"/>
  <c r="L1642" i="3"/>
  <c r="M1642" i="3" s="1"/>
  <c r="L1643" i="3"/>
  <c r="M1643" i="3" s="1"/>
  <c r="L1644" i="3"/>
  <c r="M1644" i="3" s="1"/>
  <c r="L1645" i="3"/>
  <c r="M1645" i="3" s="1"/>
  <c r="L1646" i="3"/>
  <c r="M1646" i="3" s="1"/>
  <c r="L1647" i="3"/>
  <c r="M1647" i="3" s="1"/>
  <c r="L1648" i="3"/>
  <c r="M1648" i="3" s="1"/>
  <c r="L1649" i="3"/>
  <c r="M1649" i="3" s="1"/>
  <c r="L1650" i="3"/>
  <c r="M1650" i="3" s="1"/>
  <c r="L1651" i="3"/>
  <c r="M1651" i="3" s="1"/>
  <c r="L1652" i="3"/>
  <c r="M1652" i="3" s="1"/>
  <c r="L1653" i="3"/>
  <c r="M1653" i="3" s="1"/>
  <c r="L1654" i="3"/>
  <c r="M1654" i="3" s="1"/>
  <c r="L1655" i="3"/>
  <c r="M1655" i="3" s="1"/>
  <c r="L1656" i="3"/>
  <c r="M1656" i="3" s="1"/>
  <c r="L1657" i="3"/>
  <c r="M1657" i="3" s="1"/>
  <c r="L1658" i="3"/>
  <c r="M1658" i="3" s="1"/>
  <c r="L1659" i="3"/>
  <c r="M1659" i="3" s="1"/>
  <c r="L1660" i="3"/>
  <c r="M1660" i="3" s="1"/>
  <c r="L1661" i="3"/>
  <c r="M1661" i="3" s="1"/>
  <c r="L1662" i="3"/>
  <c r="M1662" i="3" s="1"/>
  <c r="L1663" i="3"/>
  <c r="M1663" i="3" s="1"/>
  <c r="L1664" i="3"/>
  <c r="M1664" i="3" s="1"/>
  <c r="L1665" i="3"/>
  <c r="M1665" i="3" s="1"/>
  <c r="L1666" i="3"/>
  <c r="M1666" i="3" s="1"/>
  <c r="L1667" i="3"/>
  <c r="M1667" i="3" s="1"/>
  <c r="L1668" i="3"/>
  <c r="M1668" i="3" s="1"/>
  <c r="L1669" i="3"/>
  <c r="M1669" i="3" s="1"/>
  <c r="L1670" i="3"/>
  <c r="M1670" i="3" s="1"/>
  <c r="L1671" i="3"/>
  <c r="M1671" i="3" s="1"/>
  <c r="L1672" i="3"/>
  <c r="M1672" i="3" s="1"/>
  <c r="L1673" i="3"/>
  <c r="M1673" i="3" s="1"/>
  <c r="L1674" i="3"/>
  <c r="M1674" i="3" s="1"/>
  <c r="L1675" i="3"/>
  <c r="M1675" i="3" s="1"/>
  <c r="L1676" i="3"/>
  <c r="M1676" i="3" s="1"/>
  <c r="L1677" i="3"/>
  <c r="M1677" i="3" s="1"/>
  <c r="L1678" i="3"/>
  <c r="M1678" i="3" s="1"/>
  <c r="L1679" i="3"/>
  <c r="M1679" i="3" s="1"/>
  <c r="L1680" i="3"/>
  <c r="M1680" i="3" s="1"/>
  <c r="L1681" i="3"/>
  <c r="M1681" i="3" s="1"/>
  <c r="L1682" i="3"/>
  <c r="M1682" i="3" s="1"/>
  <c r="L1683" i="3"/>
  <c r="M1683" i="3" s="1"/>
  <c r="L1684" i="3"/>
  <c r="M1684" i="3" s="1"/>
  <c r="L1685" i="3"/>
  <c r="M1685" i="3" s="1"/>
  <c r="L1686" i="3"/>
  <c r="M1686" i="3" s="1"/>
  <c r="L1687" i="3"/>
  <c r="M1687" i="3" s="1"/>
  <c r="L1688" i="3"/>
  <c r="M1688" i="3" s="1"/>
  <c r="L1689" i="3"/>
  <c r="M1689" i="3" s="1"/>
  <c r="L1690" i="3"/>
  <c r="M1690" i="3" s="1"/>
  <c r="L1691" i="3"/>
  <c r="M1691" i="3" s="1"/>
  <c r="L1692" i="3"/>
  <c r="M1692" i="3" s="1"/>
  <c r="L1693" i="3"/>
  <c r="M1693" i="3" s="1"/>
  <c r="L1694" i="3"/>
  <c r="M1694" i="3" s="1"/>
  <c r="L1695" i="3"/>
  <c r="M1695" i="3" s="1"/>
  <c r="L1696" i="3"/>
  <c r="M1696" i="3" s="1"/>
  <c r="L1697" i="3"/>
  <c r="M1697" i="3" s="1"/>
  <c r="L1698" i="3"/>
  <c r="M1698" i="3" s="1"/>
  <c r="L1699" i="3"/>
  <c r="M1699" i="3" s="1"/>
  <c r="L1700" i="3"/>
  <c r="M1700" i="3" s="1"/>
  <c r="L1701" i="3"/>
  <c r="M1701" i="3" s="1"/>
  <c r="L1702" i="3"/>
  <c r="M1702" i="3" s="1"/>
  <c r="L1703" i="3"/>
  <c r="M1703" i="3" s="1"/>
  <c r="L1704" i="3"/>
  <c r="M1704" i="3" s="1"/>
  <c r="L1705" i="3"/>
  <c r="M1705" i="3" s="1"/>
  <c r="L1706" i="3"/>
  <c r="M1706" i="3" s="1"/>
  <c r="L1707" i="3"/>
  <c r="M1707" i="3" s="1"/>
  <c r="L1708" i="3"/>
  <c r="M1708" i="3" s="1"/>
  <c r="L1709" i="3"/>
  <c r="M1709" i="3" s="1"/>
  <c r="L1710" i="3"/>
  <c r="M1710" i="3" s="1"/>
  <c r="L1711" i="3"/>
  <c r="M1711" i="3" s="1"/>
  <c r="L1712" i="3"/>
  <c r="M1712" i="3" s="1"/>
  <c r="L1713" i="3"/>
  <c r="M1713" i="3" s="1"/>
  <c r="L1714" i="3"/>
  <c r="M1714" i="3" s="1"/>
  <c r="L1715" i="3"/>
  <c r="M1715" i="3" s="1"/>
  <c r="L1716" i="3"/>
  <c r="M1716" i="3" s="1"/>
  <c r="L1717" i="3"/>
  <c r="M1717" i="3" s="1"/>
  <c r="L1718" i="3"/>
  <c r="M1718" i="3" s="1"/>
  <c r="L1719" i="3"/>
  <c r="M1719" i="3" s="1"/>
  <c r="L1720" i="3"/>
  <c r="M1720" i="3" s="1"/>
  <c r="L1721" i="3"/>
  <c r="M1721" i="3" s="1"/>
  <c r="L1722" i="3"/>
  <c r="M1722" i="3" s="1"/>
  <c r="L1723" i="3"/>
  <c r="M1723" i="3" s="1"/>
  <c r="L1724" i="3"/>
  <c r="M1724" i="3" s="1"/>
  <c r="L1725" i="3"/>
  <c r="M1725" i="3" s="1"/>
  <c r="L1726" i="3"/>
  <c r="M1726" i="3" s="1"/>
  <c r="L1727" i="3"/>
  <c r="M1727" i="3" s="1"/>
  <c r="L1728" i="3"/>
  <c r="M1728" i="3" s="1"/>
  <c r="L1729" i="3"/>
  <c r="M1729" i="3" s="1"/>
  <c r="L1730" i="3"/>
  <c r="M1730" i="3" s="1"/>
  <c r="L1731" i="3"/>
  <c r="M1731" i="3" s="1"/>
  <c r="L1732" i="3"/>
  <c r="M1732" i="3" s="1"/>
  <c r="L1733" i="3"/>
  <c r="M1733" i="3" s="1"/>
  <c r="L1734" i="3"/>
  <c r="M1734" i="3" s="1"/>
  <c r="L1735" i="3"/>
  <c r="M1735" i="3" s="1"/>
  <c r="L1736" i="3"/>
  <c r="M1736" i="3" s="1"/>
  <c r="L1737" i="3"/>
  <c r="M1737" i="3" s="1"/>
  <c r="L1738" i="3"/>
  <c r="M1738" i="3" s="1"/>
  <c r="L1739" i="3"/>
  <c r="M1739" i="3" s="1"/>
  <c r="L1740" i="3"/>
  <c r="M1740" i="3" s="1"/>
  <c r="L1741" i="3"/>
  <c r="M1741" i="3" s="1"/>
  <c r="L1742" i="3"/>
  <c r="M1742" i="3" s="1"/>
  <c r="L1743" i="3"/>
  <c r="M1743" i="3" s="1"/>
  <c r="L1744" i="3"/>
  <c r="M1744" i="3" s="1"/>
  <c r="L1745" i="3"/>
  <c r="M1745" i="3" s="1"/>
  <c r="L1746" i="3"/>
  <c r="M1746" i="3" s="1"/>
  <c r="L1747" i="3"/>
  <c r="M1747" i="3" s="1"/>
  <c r="L1748" i="3"/>
  <c r="M1748" i="3" s="1"/>
  <c r="L1749" i="3"/>
  <c r="M1749" i="3" s="1"/>
  <c r="L1750" i="3"/>
  <c r="M1750" i="3" s="1"/>
  <c r="L1751" i="3"/>
  <c r="M1751" i="3" s="1"/>
  <c r="L1752" i="3"/>
  <c r="M1752" i="3" s="1"/>
  <c r="L1753" i="3"/>
  <c r="M1753" i="3" s="1"/>
  <c r="L1754" i="3"/>
  <c r="M1754" i="3" s="1"/>
  <c r="L1755" i="3"/>
  <c r="M1755" i="3" s="1"/>
  <c r="L1756" i="3"/>
  <c r="M1756" i="3" s="1"/>
  <c r="L1757" i="3"/>
  <c r="M1757" i="3" s="1"/>
  <c r="L1758" i="3"/>
  <c r="M1758" i="3" s="1"/>
  <c r="L1759" i="3"/>
  <c r="M1759" i="3" s="1"/>
  <c r="L1760" i="3"/>
  <c r="M1760" i="3" s="1"/>
  <c r="L1761" i="3"/>
  <c r="M1761" i="3" s="1"/>
  <c r="L1762" i="3"/>
  <c r="M1762" i="3" s="1"/>
  <c r="L1763" i="3"/>
  <c r="M1763" i="3" s="1"/>
  <c r="L1764" i="3"/>
  <c r="M1764" i="3" s="1"/>
  <c r="L1765" i="3"/>
  <c r="M1765" i="3" s="1"/>
  <c r="L1766" i="3"/>
  <c r="M1766" i="3" s="1"/>
  <c r="L1767" i="3"/>
  <c r="M1767" i="3" s="1"/>
  <c r="L1768" i="3"/>
  <c r="M1768" i="3" s="1"/>
  <c r="L1769" i="3"/>
  <c r="M1769" i="3" s="1"/>
  <c r="L1770" i="3"/>
  <c r="M1770" i="3" s="1"/>
  <c r="L1771" i="3"/>
  <c r="M1771" i="3" s="1"/>
  <c r="L1772" i="3"/>
  <c r="M1772" i="3" s="1"/>
  <c r="L1773" i="3"/>
  <c r="M1773" i="3" s="1"/>
  <c r="L1774" i="3"/>
  <c r="M1774" i="3" s="1"/>
  <c r="L1775" i="3"/>
  <c r="M1775" i="3" s="1"/>
  <c r="L1776" i="3"/>
  <c r="M1776" i="3" s="1"/>
  <c r="L1777" i="3"/>
  <c r="M1777" i="3" s="1"/>
  <c r="L1778" i="3"/>
  <c r="M1778" i="3" s="1"/>
  <c r="L1779" i="3"/>
  <c r="M1779" i="3" s="1"/>
  <c r="L1780" i="3"/>
  <c r="M1780" i="3" s="1"/>
  <c r="L1781" i="3"/>
  <c r="M1781" i="3" s="1"/>
  <c r="L1782" i="3"/>
  <c r="M1782" i="3" s="1"/>
  <c r="L1783" i="3"/>
  <c r="M1783" i="3" s="1"/>
  <c r="L1784" i="3"/>
  <c r="M1784" i="3" s="1"/>
  <c r="L1785" i="3"/>
  <c r="M1785" i="3" s="1"/>
  <c r="L1786" i="3"/>
  <c r="M1786" i="3" s="1"/>
  <c r="L1787" i="3"/>
  <c r="M1787" i="3" s="1"/>
  <c r="L1788" i="3"/>
  <c r="M1788" i="3" s="1"/>
  <c r="L1789" i="3"/>
  <c r="M1789" i="3" s="1"/>
  <c r="L1790" i="3"/>
  <c r="M1790" i="3" s="1"/>
  <c r="L1791" i="3"/>
  <c r="M1791" i="3" s="1"/>
  <c r="L1792" i="3"/>
  <c r="M1792" i="3" s="1"/>
  <c r="L1793" i="3"/>
  <c r="M1793" i="3" s="1"/>
  <c r="L1794" i="3"/>
  <c r="M1794" i="3" s="1"/>
  <c r="L1795" i="3"/>
  <c r="M1795" i="3" s="1"/>
  <c r="L1796" i="3"/>
  <c r="M1796" i="3" s="1"/>
  <c r="L1797" i="3"/>
  <c r="M1797" i="3" s="1"/>
  <c r="L1798" i="3"/>
  <c r="M1798" i="3" s="1"/>
  <c r="L1799" i="3"/>
  <c r="M1799" i="3" s="1"/>
  <c r="L1800" i="3"/>
  <c r="M1800" i="3" s="1"/>
  <c r="L1801" i="3"/>
  <c r="M1801" i="3" s="1"/>
  <c r="L1802" i="3"/>
  <c r="M1802" i="3" s="1"/>
  <c r="L1803" i="3"/>
  <c r="M1803" i="3" s="1"/>
  <c r="L1804" i="3"/>
  <c r="M1804" i="3" s="1"/>
  <c r="L1805" i="3"/>
  <c r="M1805" i="3" s="1"/>
  <c r="L1806" i="3"/>
  <c r="M1806" i="3" s="1"/>
  <c r="L1807" i="3"/>
  <c r="M1807" i="3" s="1"/>
  <c r="L1808" i="3"/>
  <c r="M1808" i="3" s="1"/>
  <c r="L1809" i="3"/>
  <c r="M1809" i="3" s="1"/>
  <c r="L1810" i="3"/>
  <c r="M1810" i="3" s="1"/>
  <c r="L1811" i="3"/>
  <c r="M1811" i="3" s="1"/>
  <c r="L1812" i="3"/>
  <c r="M1812" i="3" s="1"/>
  <c r="L1813" i="3"/>
  <c r="M1813" i="3" s="1"/>
  <c r="L1814" i="3"/>
  <c r="M1814" i="3" s="1"/>
  <c r="L1815" i="3"/>
  <c r="M1815" i="3" s="1"/>
  <c r="L1816" i="3"/>
  <c r="M1816" i="3" s="1"/>
  <c r="L1817" i="3"/>
  <c r="M1817" i="3" s="1"/>
  <c r="L1818" i="3"/>
  <c r="M1818" i="3" s="1"/>
  <c r="L1819" i="3"/>
  <c r="M1819" i="3" s="1"/>
  <c r="L1820" i="3"/>
  <c r="M1820" i="3" s="1"/>
  <c r="L1821" i="3"/>
  <c r="M1821" i="3" s="1"/>
  <c r="L1822" i="3"/>
  <c r="M1822" i="3" s="1"/>
  <c r="L1823" i="3"/>
  <c r="M1823" i="3" s="1"/>
  <c r="L1824" i="3"/>
  <c r="M1824" i="3" s="1"/>
  <c r="L1825" i="3"/>
  <c r="M1825" i="3" s="1"/>
  <c r="L1826" i="3"/>
  <c r="M1826" i="3" s="1"/>
  <c r="L1827" i="3"/>
  <c r="M1827" i="3" s="1"/>
  <c r="L1828" i="3"/>
  <c r="M1828" i="3" s="1"/>
  <c r="L1829" i="3"/>
  <c r="M1829" i="3" s="1"/>
  <c r="L1830" i="3"/>
  <c r="M1830" i="3" s="1"/>
  <c r="L1831" i="3"/>
  <c r="M1831" i="3" s="1"/>
  <c r="L1832" i="3"/>
  <c r="M1832" i="3" s="1"/>
  <c r="L1833" i="3"/>
  <c r="M1833" i="3" s="1"/>
  <c r="L1834" i="3"/>
  <c r="M1834" i="3" s="1"/>
  <c r="L1835" i="3"/>
  <c r="M1835" i="3" s="1"/>
  <c r="L1836" i="3"/>
  <c r="M1836" i="3" s="1"/>
  <c r="L1837" i="3"/>
  <c r="M1837" i="3" s="1"/>
  <c r="L1838" i="3"/>
  <c r="M1838" i="3" s="1"/>
  <c r="L1839" i="3"/>
  <c r="M1839" i="3" s="1"/>
  <c r="L1840" i="3"/>
  <c r="M1840" i="3" s="1"/>
  <c r="L1841" i="3"/>
  <c r="M1841" i="3" s="1"/>
  <c r="L1842" i="3"/>
  <c r="M1842" i="3" s="1"/>
  <c r="L1843" i="3"/>
  <c r="M1843" i="3" s="1"/>
  <c r="L1844" i="3"/>
  <c r="M1844" i="3" s="1"/>
  <c r="L1845" i="3"/>
  <c r="M1845" i="3" s="1"/>
  <c r="L1846" i="3"/>
  <c r="M1846" i="3" s="1"/>
  <c r="L1847" i="3"/>
  <c r="M1847" i="3" s="1"/>
  <c r="L1848" i="3"/>
  <c r="M1848" i="3" s="1"/>
  <c r="L1849" i="3"/>
  <c r="M1849" i="3" s="1"/>
  <c r="L1850" i="3"/>
  <c r="M1850" i="3" s="1"/>
  <c r="L1851" i="3"/>
  <c r="M1851" i="3" s="1"/>
  <c r="L1852" i="3"/>
  <c r="M1852" i="3" s="1"/>
  <c r="L1853" i="3"/>
  <c r="M1853" i="3" s="1"/>
  <c r="L1854" i="3"/>
  <c r="M1854" i="3" s="1"/>
  <c r="L1855" i="3"/>
  <c r="M1855" i="3" s="1"/>
  <c r="L1856" i="3"/>
  <c r="M1856" i="3" s="1"/>
  <c r="L1857" i="3"/>
  <c r="M1857" i="3" s="1"/>
  <c r="L1858" i="3"/>
  <c r="M1858" i="3" s="1"/>
  <c r="L1859" i="3"/>
  <c r="M1859" i="3" s="1"/>
  <c r="L1860" i="3"/>
  <c r="M1860" i="3" s="1"/>
  <c r="L1861" i="3"/>
  <c r="M1861" i="3" s="1"/>
  <c r="L1862" i="3"/>
  <c r="M1862" i="3" s="1"/>
  <c r="L1863" i="3"/>
  <c r="M1863" i="3" s="1"/>
  <c r="L1864" i="3"/>
  <c r="M1864" i="3" s="1"/>
  <c r="L1865" i="3"/>
  <c r="M1865" i="3" s="1"/>
  <c r="L1866" i="3"/>
  <c r="M1866" i="3" s="1"/>
  <c r="L1867" i="3"/>
  <c r="M1867" i="3" s="1"/>
  <c r="L1868" i="3"/>
  <c r="M1868" i="3" s="1"/>
  <c r="L1869" i="3"/>
  <c r="M1869" i="3" s="1"/>
  <c r="L1870" i="3"/>
  <c r="M1870" i="3" s="1"/>
  <c r="L1871" i="3"/>
  <c r="M1871" i="3" s="1"/>
  <c r="L1872" i="3"/>
  <c r="M1872" i="3" s="1"/>
  <c r="L1873" i="3"/>
  <c r="M1873" i="3" s="1"/>
  <c r="L1874" i="3"/>
  <c r="M1874" i="3" s="1"/>
  <c r="L1875" i="3"/>
  <c r="M1875" i="3" s="1"/>
  <c r="L1876" i="3"/>
  <c r="M1876" i="3" s="1"/>
  <c r="L1877" i="3"/>
  <c r="M1877" i="3" s="1"/>
  <c r="L1878" i="3"/>
  <c r="M1878" i="3" s="1"/>
  <c r="L1879" i="3"/>
  <c r="M1879" i="3" s="1"/>
  <c r="L1880" i="3"/>
  <c r="M1880" i="3" s="1"/>
  <c r="L1881" i="3"/>
  <c r="M1881" i="3" s="1"/>
  <c r="L1882" i="3"/>
  <c r="M1882" i="3" s="1"/>
  <c r="L1883" i="3"/>
  <c r="M1883" i="3" s="1"/>
  <c r="L1884" i="3"/>
  <c r="M1884" i="3" s="1"/>
  <c r="L1885" i="3"/>
  <c r="M1885" i="3" s="1"/>
  <c r="L1886" i="3"/>
  <c r="M1886" i="3" s="1"/>
  <c r="L1887" i="3"/>
  <c r="M1887" i="3" s="1"/>
  <c r="L1888" i="3"/>
  <c r="M1888" i="3" s="1"/>
  <c r="L1889" i="3"/>
  <c r="M1889" i="3" s="1"/>
  <c r="L1890" i="3"/>
  <c r="M1890" i="3" s="1"/>
  <c r="L1891" i="3"/>
  <c r="M1891" i="3" s="1"/>
  <c r="L1892" i="3"/>
  <c r="M1892" i="3" s="1"/>
  <c r="L1893" i="3"/>
  <c r="M1893" i="3" s="1"/>
  <c r="L1894" i="3"/>
  <c r="M1894" i="3" s="1"/>
  <c r="L1895" i="3"/>
  <c r="M1895" i="3" s="1"/>
  <c r="L1896" i="3"/>
  <c r="M1896" i="3" s="1"/>
  <c r="L1897" i="3"/>
  <c r="M1897" i="3" s="1"/>
  <c r="L1898" i="3"/>
  <c r="M1898" i="3" s="1"/>
  <c r="L1899" i="3"/>
  <c r="M1899" i="3" s="1"/>
  <c r="L1900" i="3"/>
  <c r="M1900" i="3" s="1"/>
  <c r="L1901" i="3"/>
  <c r="M1901" i="3" s="1"/>
  <c r="L1902" i="3"/>
  <c r="M1902" i="3" s="1"/>
  <c r="L1903" i="3"/>
  <c r="M1903" i="3" s="1"/>
  <c r="L1904" i="3"/>
  <c r="M1904" i="3" s="1"/>
  <c r="L1905" i="3"/>
  <c r="M1905" i="3" s="1"/>
  <c r="L1906" i="3"/>
  <c r="M1906" i="3" s="1"/>
  <c r="L1907" i="3"/>
  <c r="M1907" i="3" s="1"/>
  <c r="L1908" i="3"/>
  <c r="M1908" i="3" s="1"/>
  <c r="L1909" i="3"/>
  <c r="M1909" i="3" s="1"/>
  <c r="L1910" i="3"/>
  <c r="M1910" i="3" s="1"/>
  <c r="L1911" i="3"/>
  <c r="M1911" i="3" s="1"/>
  <c r="L1912" i="3"/>
  <c r="M1912" i="3" s="1"/>
  <c r="L1913" i="3"/>
  <c r="M1913" i="3" s="1"/>
  <c r="L1914" i="3"/>
  <c r="M1914" i="3" s="1"/>
  <c r="L1915" i="3"/>
  <c r="M1915" i="3" s="1"/>
  <c r="L1916" i="3"/>
  <c r="M1916" i="3" s="1"/>
  <c r="L1917" i="3"/>
  <c r="M1917" i="3" s="1"/>
  <c r="L1918" i="3"/>
  <c r="M1918" i="3" s="1"/>
  <c r="L1919" i="3"/>
  <c r="M1919" i="3" s="1"/>
  <c r="L1920" i="3"/>
  <c r="M1920" i="3" s="1"/>
  <c r="L1921" i="3"/>
  <c r="M1921" i="3" s="1"/>
  <c r="L1922" i="3"/>
  <c r="M1922" i="3" s="1"/>
  <c r="L1923" i="3"/>
  <c r="M1923" i="3" s="1"/>
  <c r="L1924" i="3"/>
  <c r="M1924" i="3" s="1"/>
  <c r="L1925" i="3"/>
  <c r="M1925" i="3" s="1"/>
  <c r="L1926" i="3"/>
  <c r="M1926" i="3" s="1"/>
  <c r="L1927" i="3"/>
  <c r="M1927" i="3" s="1"/>
  <c r="L1928" i="3"/>
  <c r="M1928" i="3" s="1"/>
  <c r="L1929" i="3"/>
  <c r="M1929" i="3" s="1"/>
  <c r="L1930" i="3"/>
  <c r="M1930" i="3" s="1"/>
  <c r="L1931" i="3"/>
  <c r="M1931" i="3" s="1"/>
  <c r="L1932" i="3"/>
  <c r="M1932" i="3" s="1"/>
  <c r="L1933" i="3"/>
  <c r="M1933" i="3" s="1"/>
  <c r="L1934" i="3"/>
  <c r="M1934" i="3" s="1"/>
  <c r="L1935" i="3"/>
  <c r="M1935" i="3" s="1"/>
  <c r="L1936" i="3"/>
  <c r="M1936" i="3" s="1"/>
  <c r="L1937" i="3"/>
  <c r="M1937" i="3" s="1"/>
  <c r="L1938" i="3"/>
  <c r="M1938" i="3" s="1"/>
  <c r="L1939" i="3"/>
  <c r="M1939" i="3" s="1"/>
  <c r="L1940" i="3"/>
  <c r="M1940" i="3" s="1"/>
  <c r="L1941" i="3"/>
  <c r="M1941" i="3" s="1"/>
  <c r="L1942" i="3"/>
  <c r="M1942" i="3" s="1"/>
  <c r="L1943" i="3"/>
  <c r="M1943" i="3" s="1"/>
  <c r="L1944" i="3"/>
  <c r="M1944" i="3" s="1"/>
  <c r="L1945" i="3"/>
  <c r="M1945" i="3" s="1"/>
  <c r="L1946" i="3"/>
  <c r="M1946" i="3" s="1"/>
  <c r="L1947" i="3"/>
  <c r="M1947" i="3" s="1"/>
  <c r="L1948" i="3"/>
  <c r="M1948" i="3" s="1"/>
  <c r="L1949" i="3"/>
  <c r="M1949" i="3" s="1"/>
  <c r="L1950" i="3"/>
  <c r="M1950" i="3" s="1"/>
  <c r="L1951" i="3"/>
  <c r="M1951" i="3" s="1"/>
  <c r="L1952" i="3"/>
  <c r="M1952" i="3" s="1"/>
  <c r="L1953" i="3"/>
  <c r="M1953" i="3" s="1"/>
  <c r="L1954" i="3"/>
  <c r="M1954" i="3" s="1"/>
  <c r="L1955" i="3"/>
  <c r="M1955" i="3" s="1"/>
  <c r="L1956" i="3"/>
  <c r="M1956" i="3" s="1"/>
  <c r="L1957" i="3"/>
  <c r="M1957" i="3" s="1"/>
  <c r="L1958" i="3"/>
  <c r="M1958" i="3" s="1"/>
  <c r="L1959" i="3"/>
  <c r="M1959" i="3" s="1"/>
  <c r="L1960" i="3"/>
  <c r="M1960" i="3" s="1"/>
  <c r="L1961" i="3"/>
  <c r="M1961" i="3" s="1"/>
  <c r="L1962" i="3"/>
  <c r="M1962" i="3" s="1"/>
  <c r="L1963" i="3"/>
  <c r="M1963" i="3" s="1"/>
  <c r="L1964" i="3"/>
  <c r="M1964" i="3" s="1"/>
  <c r="L1965" i="3"/>
  <c r="M1965" i="3" s="1"/>
  <c r="L1966" i="3"/>
  <c r="M1966" i="3" s="1"/>
  <c r="L1967" i="3"/>
  <c r="M1967" i="3" s="1"/>
  <c r="L1968" i="3"/>
  <c r="M1968" i="3" s="1"/>
  <c r="L1969" i="3"/>
  <c r="M1969" i="3" s="1"/>
  <c r="L1970" i="3"/>
  <c r="M1970" i="3" s="1"/>
  <c r="L1971" i="3"/>
  <c r="M1971" i="3" s="1"/>
  <c r="L1972" i="3"/>
  <c r="M1972" i="3" s="1"/>
  <c r="L1973" i="3"/>
  <c r="M1973" i="3" s="1"/>
  <c r="L1974" i="3"/>
  <c r="M1974" i="3" s="1"/>
  <c r="L1975" i="3"/>
  <c r="M1975" i="3" s="1"/>
  <c r="L1976" i="3"/>
  <c r="M1976" i="3" s="1"/>
  <c r="L1977" i="3"/>
  <c r="M1977" i="3" s="1"/>
  <c r="L1978" i="3"/>
  <c r="M1978" i="3" s="1"/>
  <c r="L1979" i="3"/>
  <c r="M1979" i="3" s="1"/>
  <c r="L1980" i="3"/>
  <c r="M1980" i="3" s="1"/>
  <c r="L1981" i="3"/>
  <c r="M1981" i="3" s="1"/>
  <c r="L1982" i="3"/>
  <c r="M1982" i="3" s="1"/>
  <c r="L1983" i="3"/>
  <c r="M1983" i="3" s="1"/>
  <c r="L1984" i="3"/>
  <c r="M1984" i="3" s="1"/>
  <c r="L1985" i="3"/>
  <c r="M1985" i="3" s="1"/>
  <c r="L1986" i="3"/>
  <c r="M1986" i="3" s="1"/>
  <c r="L1987" i="3"/>
  <c r="M1987" i="3" s="1"/>
  <c r="L1988" i="3"/>
  <c r="M1988" i="3" s="1"/>
  <c r="L1989" i="3"/>
  <c r="M1989" i="3" s="1"/>
  <c r="L1990" i="3"/>
  <c r="M1990" i="3" s="1"/>
  <c r="L1991" i="3"/>
  <c r="M1991" i="3" s="1"/>
  <c r="L1992" i="3"/>
  <c r="M1992" i="3" s="1"/>
  <c r="L1993" i="3"/>
  <c r="M1993" i="3" s="1"/>
  <c r="L1994" i="3"/>
  <c r="M1994" i="3" s="1"/>
  <c r="L1995" i="3"/>
  <c r="M1995" i="3" s="1"/>
  <c r="L1996" i="3"/>
  <c r="M1996" i="3" s="1"/>
  <c r="L1997" i="3"/>
  <c r="M1997" i="3" s="1"/>
  <c r="L1998" i="3"/>
  <c r="M1998" i="3" s="1"/>
  <c r="L1999" i="3"/>
  <c r="M1999" i="3" s="1"/>
  <c r="L2000" i="3"/>
  <c r="M2000" i="3" s="1"/>
  <c r="L2001" i="3"/>
  <c r="M2001" i="3" s="1"/>
  <c r="L2002" i="3"/>
  <c r="M2002" i="3" s="1"/>
  <c r="L2003" i="3"/>
  <c r="M2003" i="3" s="1"/>
  <c r="L2004" i="3"/>
  <c r="M2004" i="3" s="1"/>
  <c r="L2005" i="3"/>
  <c r="M2005" i="3" s="1"/>
  <c r="L2006" i="3"/>
  <c r="M2006" i="3" s="1"/>
  <c r="L2007" i="3"/>
  <c r="M2007" i="3" s="1"/>
  <c r="L2008" i="3"/>
  <c r="M2008" i="3" s="1"/>
  <c r="L2009" i="3"/>
  <c r="M2009" i="3" s="1"/>
  <c r="L2010" i="3"/>
  <c r="M2010" i="3" s="1"/>
  <c r="L2011" i="3"/>
  <c r="M2011" i="3" s="1"/>
  <c r="L2012" i="3"/>
  <c r="M2012" i="3" s="1"/>
  <c r="L2013" i="3"/>
  <c r="M2013" i="3" s="1"/>
  <c r="L2014" i="3"/>
  <c r="M2014" i="3" s="1"/>
  <c r="L2015" i="3"/>
  <c r="M2015" i="3" s="1"/>
  <c r="L2016" i="3"/>
  <c r="M2016" i="3" s="1"/>
  <c r="L2017" i="3"/>
  <c r="M2017" i="3" s="1"/>
  <c r="L2018" i="3"/>
  <c r="M2018" i="3" s="1"/>
  <c r="L19" i="3"/>
  <c r="X8" i="3" l="1"/>
  <c r="X12" i="3"/>
  <c r="X9" i="3"/>
  <c r="X7" i="3"/>
  <c r="X11" i="3"/>
  <c r="X10" i="3"/>
  <c r="M19" i="3"/>
  <c r="U7" i="3"/>
  <c r="S5" i="2" l="1"/>
  <c r="S4" i="2"/>
  <c r="R5" i="2"/>
  <c r="R4" i="2"/>
  <c r="G4" i="4" l="1"/>
  <c r="C13" i="1" l="1"/>
  <c r="C12" i="1"/>
  <c r="C11" i="1"/>
  <c r="C14" i="1"/>
  <c r="C9" i="1"/>
  <c r="C8" i="1"/>
  <c r="C10" i="1"/>
  <c r="B1019" i="3"/>
  <c r="C1019" i="3" s="1"/>
  <c r="D1019" i="3" s="1"/>
  <c r="B1020" i="3"/>
  <c r="C1020" i="3" s="1"/>
  <c r="D1020" i="3" s="1"/>
  <c r="B1021" i="3"/>
  <c r="C1021" i="3" s="1"/>
  <c r="B1022" i="3"/>
  <c r="C1022" i="3" s="1"/>
  <c r="D1022" i="3" s="1"/>
  <c r="B1023" i="3"/>
  <c r="C1023" i="3" s="1"/>
  <c r="D1023" i="3" s="1"/>
  <c r="B1024" i="3"/>
  <c r="C1024" i="3" s="1"/>
  <c r="D1024" i="3" s="1"/>
  <c r="B1025" i="3"/>
  <c r="C1025" i="3" s="1"/>
  <c r="B1026" i="3"/>
  <c r="C1026" i="3" s="1"/>
  <c r="D1026" i="3" s="1"/>
  <c r="B1027" i="3"/>
  <c r="C1027" i="3" s="1"/>
  <c r="B1028" i="3"/>
  <c r="C1028" i="3" s="1"/>
  <c r="B1029" i="3"/>
  <c r="C1029" i="3" s="1"/>
  <c r="B1030" i="3"/>
  <c r="C1030" i="3" s="1"/>
  <c r="D1030" i="3" s="1"/>
  <c r="B1031" i="3"/>
  <c r="C1031" i="3" s="1"/>
  <c r="B1032" i="3"/>
  <c r="C1032" i="3" s="1"/>
  <c r="D1032" i="3" s="1"/>
  <c r="B1033" i="3"/>
  <c r="C1033" i="3" s="1"/>
  <c r="B1034" i="3"/>
  <c r="C1034" i="3" s="1"/>
  <c r="D1034" i="3" s="1"/>
  <c r="B1035" i="3"/>
  <c r="C1035" i="3" s="1"/>
  <c r="B1036" i="3"/>
  <c r="C1036" i="3" s="1"/>
  <c r="D1036" i="3" s="1"/>
  <c r="B1037" i="3"/>
  <c r="C1037" i="3" s="1"/>
  <c r="B1038" i="3"/>
  <c r="C1038" i="3" s="1"/>
  <c r="D1038" i="3" s="1"/>
  <c r="B1039" i="3"/>
  <c r="C1039" i="3" s="1"/>
  <c r="B1040" i="3"/>
  <c r="C1040" i="3" s="1"/>
  <c r="D1040" i="3" s="1"/>
  <c r="B1041" i="3"/>
  <c r="C1041" i="3" s="1"/>
  <c r="B1042" i="3"/>
  <c r="C1042" i="3" s="1"/>
  <c r="D1042" i="3" s="1"/>
  <c r="B1043" i="3"/>
  <c r="C1043" i="3" s="1"/>
  <c r="B1044" i="3"/>
  <c r="C1044" i="3" s="1"/>
  <c r="D1044" i="3" s="1"/>
  <c r="B1045" i="3"/>
  <c r="C1045" i="3" s="1"/>
  <c r="B1046" i="3"/>
  <c r="C1046" i="3" s="1"/>
  <c r="D1046" i="3" s="1"/>
  <c r="B1047" i="3"/>
  <c r="C1047" i="3" s="1"/>
  <c r="B1048" i="3"/>
  <c r="C1048" i="3" s="1"/>
  <c r="D1048" i="3" s="1"/>
  <c r="B1049" i="3"/>
  <c r="C1049" i="3" s="1"/>
  <c r="B1050" i="3"/>
  <c r="C1050" i="3" s="1"/>
  <c r="D1050" i="3" s="1"/>
  <c r="B1051" i="3"/>
  <c r="C1051" i="3" s="1"/>
  <c r="B1052" i="3"/>
  <c r="C1052" i="3" s="1"/>
  <c r="B1053" i="3"/>
  <c r="C1053" i="3" s="1"/>
  <c r="B1054" i="3"/>
  <c r="C1054" i="3" s="1"/>
  <c r="B1055" i="3"/>
  <c r="C1055" i="3" s="1"/>
  <c r="B1056" i="3"/>
  <c r="C1056" i="3" s="1"/>
  <c r="B1057" i="3"/>
  <c r="C1057" i="3" s="1"/>
  <c r="B1058" i="3"/>
  <c r="C1058" i="3" s="1"/>
  <c r="B1059" i="3"/>
  <c r="C1059" i="3" s="1"/>
  <c r="B1060" i="3"/>
  <c r="C1060" i="3" s="1"/>
  <c r="B1061" i="3"/>
  <c r="C1061" i="3" s="1"/>
  <c r="B1062" i="3"/>
  <c r="C1062" i="3" s="1"/>
  <c r="B1063" i="3"/>
  <c r="C1063" i="3" s="1"/>
  <c r="B1064" i="3"/>
  <c r="C1064" i="3" s="1"/>
  <c r="B1065" i="3"/>
  <c r="C1065" i="3"/>
  <c r="B1066" i="3"/>
  <c r="C1066" i="3"/>
  <c r="B1067" i="3"/>
  <c r="C1067" i="3"/>
  <c r="B1068" i="3"/>
  <c r="C1068" i="3"/>
  <c r="B1069" i="3"/>
  <c r="C1069" i="3"/>
  <c r="B1070" i="3"/>
  <c r="C1070" i="3"/>
  <c r="B1071" i="3"/>
  <c r="C1071" i="3"/>
  <c r="B1072" i="3"/>
  <c r="C1072" i="3"/>
  <c r="B1073" i="3"/>
  <c r="C1073" i="3"/>
  <c r="B1074" i="3"/>
  <c r="C1074" i="3"/>
  <c r="B1075" i="3"/>
  <c r="C1075" i="3"/>
  <c r="B1076" i="3"/>
  <c r="C1076" i="3"/>
  <c r="B1077" i="3"/>
  <c r="C1077" i="3"/>
  <c r="D1077" i="3" s="1"/>
  <c r="B1078" i="3"/>
  <c r="C1078" i="3"/>
  <c r="B1079" i="3"/>
  <c r="C1079" i="3"/>
  <c r="D1079" i="3" s="1"/>
  <c r="B1080" i="3"/>
  <c r="C1080" i="3" s="1"/>
  <c r="B1081" i="3"/>
  <c r="C1081" i="3"/>
  <c r="B1082" i="3"/>
  <c r="C1082" i="3" s="1"/>
  <c r="B1083" i="3"/>
  <c r="C1083" i="3" s="1"/>
  <c r="B1084" i="3"/>
  <c r="C1084" i="3" s="1"/>
  <c r="B1085" i="3"/>
  <c r="C1085" i="3" s="1"/>
  <c r="B1086" i="3"/>
  <c r="C1086" i="3" s="1"/>
  <c r="B1087" i="3"/>
  <c r="C1087" i="3" s="1"/>
  <c r="B1088" i="3"/>
  <c r="C1088" i="3" s="1"/>
  <c r="B1089" i="3"/>
  <c r="C1089" i="3" s="1"/>
  <c r="B1090" i="3"/>
  <c r="C1090" i="3" s="1"/>
  <c r="B1091" i="3"/>
  <c r="C1091" i="3" s="1"/>
  <c r="B1092" i="3"/>
  <c r="C1092" i="3" s="1"/>
  <c r="B1093" i="3"/>
  <c r="C1093" i="3" s="1"/>
  <c r="B1094" i="3"/>
  <c r="C1094" i="3" s="1"/>
  <c r="B1095" i="3"/>
  <c r="C1095" i="3" s="1"/>
  <c r="B1096" i="3"/>
  <c r="C1096" i="3"/>
  <c r="D1096" i="3" s="1"/>
  <c r="B1097" i="3"/>
  <c r="C1097" i="3"/>
  <c r="D1097" i="3" s="1"/>
  <c r="B1098" i="3"/>
  <c r="C1098" i="3"/>
  <c r="D1098" i="3" s="1"/>
  <c r="B1099" i="3"/>
  <c r="C1099" i="3"/>
  <c r="D1099" i="3" s="1"/>
  <c r="B1100" i="3"/>
  <c r="C1100" i="3"/>
  <c r="D1100" i="3" s="1"/>
  <c r="B1101" i="3"/>
  <c r="C1101" i="3"/>
  <c r="D1101" i="3" s="1"/>
  <c r="B1102" i="3"/>
  <c r="C1102" i="3"/>
  <c r="D1102" i="3" s="1"/>
  <c r="B1103" i="3"/>
  <c r="C1103" i="3"/>
  <c r="D1103" i="3" s="1"/>
  <c r="B1104" i="3"/>
  <c r="C1104" i="3"/>
  <c r="D1104" i="3" s="1"/>
  <c r="B1105" i="3"/>
  <c r="C1105" i="3"/>
  <c r="D1105" i="3" s="1"/>
  <c r="B1106" i="3"/>
  <c r="C1106" i="3"/>
  <c r="B1107" i="3"/>
  <c r="C1107" i="3" s="1"/>
  <c r="B1108" i="3"/>
  <c r="C1108" i="3"/>
  <c r="D1108" i="3" s="1"/>
  <c r="B1109" i="3"/>
  <c r="C1109" i="3" s="1"/>
  <c r="D1109" i="3" s="1"/>
  <c r="B1110" i="3"/>
  <c r="C1110" i="3"/>
  <c r="D1110" i="3" s="1"/>
  <c r="B1111" i="3"/>
  <c r="C1111" i="3" s="1"/>
  <c r="D1111" i="3" s="1"/>
  <c r="B1112" i="3"/>
  <c r="C1112" i="3"/>
  <c r="D1112" i="3" s="1"/>
  <c r="B1113" i="3"/>
  <c r="C1113" i="3" s="1"/>
  <c r="D1113" i="3" s="1"/>
  <c r="B1114" i="3"/>
  <c r="C1114" i="3"/>
  <c r="D1114" i="3" s="1"/>
  <c r="B1115" i="3"/>
  <c r="C1115" i="3" s="1"/>
  <c r="D1115" i="3" s="1"/>
  <c r="B1116" i="3"/>
  <c r="C1116" i="3"/>
  <c r="D1116" i="3" s="1"/>
  <c r="B1117" i="3"/>
  <c r="C1117" i="3" s="1"/>
  <c r="D1117" i="3" s="1"/>
  <c r="B1118" i="3"/>
  <c r="C1118" i="3"/>
  <c r="D1118" i="3" s="1"/>
  <c r="B1119" i="3"/>
  <c r="C1119" i="3" s="1"/>
  <c r="D1119" i="3" s="1"/>
  <c r="B1120" i="3"/>
  <c r="C1120" i="3"/>
  <c r="D1120" i="3" s="1"/>
  <c r="B1121" i="3"/>
  <c r="C1121" i="3" s="1"/>
  <c r="D1121" i="3" s="1"/>
  <c r="B1122" i="3"/>
  <c r="C1122" i="3"/>
  <c r="D1122" i="3" s="1"/>
  <c r="B1123" i="3"/>
  <c r="C1123" i="3" s="1"/>
  <c r="D1123" i="3" s="1"/>
  <c r="B1124" i="3"/>
  <c r="C1124" i="3"/>
  <c r="D1124" i="3" s="1"/>
  <c r="B1125" i="3"/>
  <c r="C1125" i="3" s="1"/>
  <c r="D1125" i="3" s="1"/>
  <c r="B1126" i="3"/>
  <c r="C1126" i="3"/>
  <c r="D1126" i="3" s="1"/>
  <c r="B1127" i="3"/>
  <c r="C1127" i="3" s="1"/>
  <c r="D1127" i="3" s="1"/>
  <c r="B1128" i="3"/>
  <c r="C1128" i="3"/>
  <c r="D1128" i="3" s="1"/>
  <c r="B1129" i="3"/>
  <c r="C1129" i="3" s="1"/>
  <c r="D1129" i="3" s="1"/>
  <c r="B1130" i="3"/>
  <c r="C1130" i="3"/>
  <c r="D1130" i="3" s="1"/>
  <c r="B1131" i="3"/>
  <c r="C1131" i="3" s="1"/>
  <c r="D1131" i="3" s="1"/>
  <c r="B1132" i="3"/>
  <c r="C1132" i="3"/>
  <c r="D1132" i="3" s="1"/>
  <c r="B1133" i="3"/>
  <c r="C1133" i="3" s="1"/>
  <c r="D1133" i="3" s="1"/>
  <c r="B1134" i="3"/>
  <c r="C1134" i="3"/>
  <c r="D1134" i="3" s="1"/>
  <c r="B1135" i="3"/>
  <c r="C1135" i="3" s="1"/>
  <c r="D1135" i="3" s="1"/>
  <c r="B1136" i="3"/>
  <c r="C1136" i="3"/>
  <c r="D1136" i="3" s="1"/>
  <c r="B1137" i="3"/>
  <c r="C1137" i="3" s="1"/>
  <c r="B1138" i="3"/>
  <c r="C1138" i="3"/>
  <c r="D1138" i="3" s="1"/>
  <c r="B1139" i="3"/>
  <c r="C1139" i="3" s="1"/>
  <c r="B1140" i="3"/>
  <c r="C1140" i="3"/>
  <c r="D1140" i="3" s="1"/>
  <c r="B1141" i="3"/>
  <c r="C1141" i="3" s="1"/>
  <c r="B1142" i="3"/>
  <c r="C1142" i="3"/>
  <c r="D1142" i="3" s="1"/>
  <c r="B1143" i="3"/>
  <c r="C1143" i="3" s="1"/>
  <c r="B1144" i="3"/>
  <c r="C1144" i="3"/>
  <c r="D1144" i="3" s="1"/>
  <c r="B1145" i="3"/>
  <c r="C1145" i="3" s="1"/>
  <c r="B1146" i="3"/>
  <c r="C1146" i="3"/>
  <c r="D1146" i="3" s="1"/>
  <c r="B1147" i="3"/>
  <c r="C1147" i="3" s="1"/>
  <c r="B1148" i="3"/>
  <c r="C1148" i="3"/>
  <c r="D1148" i="3" s="1"/>
  <c r="B1149" i="3"/>
  <c r="C1149" i="3" s="1"/>
  <c r="B1150" i="3"/>
  <c r="C1150" i="3"/>
  <c r="D1150" i="3" s="1"/>
  <c r="B1151" i="3"/>
  <c r="C1151" i="3" s="1"/>
  <c r="B1152" i="3"/>
  <c r="C1152" i="3"/>
  <c r="D1152" i="3" s="1"/>
  <c r="B1153" i="3"/>
  <c r="C1153" i="3" s="1"/>
  <c r="B1154" i="3"/>
  <c r="C1154" i="3"/>
  <c r="D1154" i="3" s="1"/>
  <c r="B1155" i="3"/>
  <c r="C1155" i="3" s="1"/>
  <c r="B1156" i="3"/>
  <c r="C1156" i="3"/>
  <c r="D1156" i="3" s="1"/>
  <c r="B1157" i="3"/>
  <c r="C1157" i="3" s="1"/>
  <c r="B1158" i="3"/>
  <c r="C1158" i="3"/>
  <c r="B1159" i="3"/>
  <c r="C1159" i="3" s="1"/>
  <c r="B1160" i="3"/>
  <c r="C1160" i="3"/>
  <c r="D1160" i="3" s="1"/>
  <c r="B1161" i="3"/>
  <c r="C1161" i="3" s="1"/>
  <c r="B1162" i="3"/>
  <c r="C1162" i="3"/>
  <c r="B1163" i="3"/>
  <c r="C1163" i="3" s="1"/>
  <c r="B1164" i="3"/>
  <c r="C1164" i="3"/>
  <c r="D1164" i="3" s="1"/>
  <c r="B1165" i="3"/>
  <c r="C1165" i="3" s="1"/>
  <c r="B1166" i="3"/>
  <c r="C1166" i="3"/>
  <c r="D1166" i="3" s="1"/>
  <c r="B1167" i="3"/>
  <c r="C1167" i="3" s="1"/>
  <c r="B1168" i="3"/>
  <c r="C1168" i="3"/>
  <c r="D1168" i="3" s="1"/>
  <c r="B1169" i="3"/>
  <c r="C1169" i="3" s="1"/>
  <c r="B1170" i="3"/>
  <c r="C1170" i="3"/>
  <c r="B1171" i="3"/>
  <c r="C1171" i="3" s="1"/>
  <c r="B1172" i="3"/>
  <c r="C1172" i="3"/>
  <c r="B1173" i="3"/>
  <c r="C1173" i="3"/>
  <c r="B1174" i="3"/>
  <c r="C1174" i="3"/>
  <c r="B1175" i="3"/>
  <c r="C1175" i="3"/>
  <c r="B1176" i="3"/>
  <c r="C1176" i="3"/>
  <c r="D1176" i="3" s="1"/>
  <c r="B1177" i="3"/>
  <c r="C1177" i="3"/>
  <c r="B1178" i="3"/>
  <c r="C1178" i="3"/>
  <c r="B1179" i="3"/>
  <c r="C1179" i="3"/>
  <c r="B1180" i="3"/>
  <c r="C1180" i="3"/>
  <c r="B1181" i="3"/>
  <c r="C1181" i="3"/>
  <c r="B1182" i="3"/>
  <c r="C1182" i="3"/>
  <c r="B1183" i="3"/>
  <c r="C1183" i="3"/>
  <c r="B1184" i="3"/>
  <c r="C1184" i="3"/>
  <c r="B1185" i="3"/>
  <c r="C1185" i="3"/>
  <c r="B1186" i="3"/>
  <c r="C1186" i="3"/>
  <c r="B1187" i="3"/>
  <c r="C1187" i="3"/>
  <c r="B1188" i="3"/>
  <c r="C1188" i="3"/>
  <c r="B1189" i="3"/>
  <c r="C1189" i="3"/>
  <c r="B1190" i="3"/>
  <c r="C1190" i="3"/>
  <c r="B1191" i="3"/>
  <c r="C1191" i="3"/>
  <c r="B1192" i="3"/>
  <c r="C1192" i="3"/>
  <c r="D1192" i="3" s="1"/>
  <c r="B1193" i="3"/>
  <c r="C1193" i="3"/>
  <c r="B1194" i="3"/>
  <c r="C1194" i="3"/>
  <c r="B1195" i="3"/>
  <c r="C1195" i="3"/>
  <c r="B1196" i="3"/>
  <c r="C1196" i="3"/>
  <c r="D1196" i="3" s="1"/>
  <c r="B1197" i="3"/>
  <c r="C1197" i="3"/>
  <c r="B1198" i="3"/>
  <c r="C1198" i="3"/>
  <c r="B1199" i="3"/>
  <c r="C1199" i="3"/>
  <c r="B1200" i="3"/>
  <c r="C1200" i="3"/>
  <c r="B1201" i="3"/>
  <c r="C1201" i="3"/>
  <c r="B1202" i="3"/>
  <c r="C1202" i="3"/>
  <c r="B1203" i="3"/>
  <c r="C1203" i="3"/>
  <c r="B1204" i="3"/>
  <c r="C1204" i="3"/>
  <c r="B1205" i="3"/>
  <c r="C1205" i="3"/>
  <c r="B1206" i="3"/>
  <c r="C1206" i="3"/>
  <c r="B1207" i="3"/>
  <c r="C1207" i="3"/>
  <c r="B1208" i="3"/>
  <c r="C1208" i="3"/>
  <c r="D1208" i="3" s="1"/>
  <c r="B1209" i="3"/>
  <c r="C1209" i="3"/>
  <c r="B1210" i="3"/>
  <c r="C1210" i="3"/>
  <c r="B1211" i="3"/>
  <c r="C1211" i="3"/>
  <c r="B1212" i="3"/>
  <c r="C1212" i="3"/>
  <c r="D1212" i="3" s="1"/>
  <c r="B1213" i="3"/>
  <c r="C1213" i="3"/>
  <c r="B1214" i="3"/>
  <c r="C1214" i="3"/>
  <c r="B1215" i="3"/>
  <c r="C1215" i="3"/>
  <c r="B1216" i="3"/>
  <c r="C1216" i="3"/>
  <c r="D1216" i="3" s="1"/>
  <c r="B1217" i="3"/>
  <c r="C1217" i="3"/>
  <c r="B1218" i="3"/>
  <c r="C1218" i="3"/>
  <c r="B1219" i="3"/>
  <c r="C1219" i="3"/>
  <c r="D1219" i="3" s="1"/>
  <c r="B1220" i="3"/>
  <c r="C1220" i="3"/>
  <c r="B1221" i="3"/>
  <c r="C1221" i="3"/>
  <c r="B1222" i="3"/>
  <c r="C1222" i="3"/>
  <c r="B1223" i="3"/>
  <c r="C1223" i="3"/>
  <c r="B1224" i="3"/>
  <c r="C1224" i="3"/>
  <c r="D1224" i="3" s="1"/>
  <c r="B1225" i="3"/>
  <c r="C1225" i="3"/>
  <c r="B1226" i="3"/>
  <c r="C1226" i="3"/>
  <c r="B1227" i="3"/>
  <c r="C1227" i="3"/>
  <c r="B1228" i="3"/>
  <c r="C1228" i="3"/>
  <c r="D1228" i="3" s="1"/>
  <c r="B1229" i="3"/>
  <c r="C1229" i="3"/>
  <c r="B1230" i="3"/>
  <c r="C1230" i="3"/>
  <c r="B1231" i="3"/>
  <c r="C1231" i="3"/>
  <c r="B1232" i="3"/>
  <c r="C1232" i="3"/>
  <c r="D1232" i="3" s="1"/>
  <c r="B1233" i="3"/>
  <c r="C1233" i="3"/>
  <c r="B1234" i="3"/>
  <c r="C1234" i="3"/>
  <c r="B1235" i="3"/>
  <c r="C1235" i="3"/>
  <c r="B1236" i="3"/>
  <c r="C1236" i="3"/>
  <c r="D1236" i="3" s="1"/>
  <c r="B1237" i="3"/>
  <c r="C1237" i="3"/>
  <c r="B1238" i="3"/>
  <c r="C1238" i="3"/>
  <c r="B1239" i="3"/>
  <c r="C1239" i="3"/>
  <c r="B1240" i="3"/>
  <c r="C1240" i="3"/>
  <c r="D1240" i="3" s="1"/>
  <c r="B1241" i="3"/>
  <c r="C1241" i="3"/>
  <c r="B1242" i="3"/>
  <c r="C1242" i="3"/>
  <c r="B1243" i="3"/>
  <c r="C1243" i="3"/>
  <c r="B1244" i="3"/>
  <c r="C1244" i="3"/>
  <c r="D1244" i="3" s="1"/>
  <c r="B1245" i="3"/>
  <c r="C1245" i="3"/>
  <c r="B1246" i="3"/>
  <c r="C1246" i="3"/>
  <c r="B1247" i="3"/>
  <c r="C1247" i="3"/>
  <c r="B1248" i="3"/>
  <c r="C1248" i="3"/>
  <c r="B1249" i="3"/>
  <c r="C1249" i="3"/>
  <c r="B1250" i="3"/>
  <c r="C1250" i="3"/>
  <c r="B1251" i="3"/>
  <c r="C1251" i="3"/>
  <c r="B1252" i="3"/>
  <c r="C1252" i="3"/>
  <c r="D1252" i="3" s="1"/>
  <c r="B1253" i="3"/>
  <c r="C1253" i="3"/>
  <c r="B1254" i="3"/>
  <c r="C1254" i="3"/>
  <c r="B1255" i="3"/>
  <c r="C1255" i="3"/>
  <c r="B1256" i="3"/>
  <c r="C1256" i="3"/>
  <c r="B1257" i="3"/>
  <c r="C1257" i="3"/>
  <c r="B1258" i="3"/>
  <c r="C1258" i="3"/>
  <c r="B1259" i="3"/>
  <c r="C1259" i="3"/>
  <c r="B1260" i="3"/>
  <c r="C1260" i="3"/>
  <c r="D1260" i="3" s="1"/>
  <c r="B1261" i="3"/>
  <c r="C1261" i="3"/>
  <c r="B1262" i="3"/>
  <c r="C1262" i="3"/>
  <c r="B1263" i="3"/>
  <c r="C1263" i="3"/>
  <c r="B1264" i="3"/>
  <c r="C1264" i="3"/>
  <c r="B1265" i="3"/>
  <c r="C1265" i="3"/>
  <c r="B1266" i="3"/>
  <c r="C1266" i="3"/>
  <c r="B1267" i="3"/>
  <c r="C1267" i="3"/>
  <c r="B1268" i="3"/>
  <c r="C1268" i="3"/>
  <c r="D1268" i="3" s="1"/>
  <c r="B1269" i="3"/>
  <c r="C1269" i="3"/>
  <c r="B1270" i="3"/>
  <c r="C1270" i="3"/>
  <c r="B1271" i="3"/>
  <c r="C1271" i="3"/>
  <c r="B1272" i="3"/>
  <c r="C1272" i="3"/>
  <c r="B1273" i="3"/>
  <c r="C1273" i="3"/>
  <c r="B1274" i="3"/>
  <c r="C1274" i="3"/>
  <c r="B1275" i="3"/>
  <c r="C1275" i="3"/>
  <c r="B1276" i="3"/>
  <c r="C1276" i="3"/>
  <c r="D1276" i="3" s="1"/>
  <c r="B1277" i="3"/>
  <c r="C1277" i="3"/>
  <c r="B1278" i="3"/>
  <c r="C1278" i="3"/>
  <c r="B1279" i="3"/>
  <c r="C1279" i="3"/>
  <c r="B1280" i="3"/>
  <c r="C1280" i="3"/>
  <c r="B1281" i="3"/>
  <c r="C1281" i="3"/>
  <c r="B1282" i="3"/>
  <c r="C1282" i="3"/>
  <c r="B1283" i="3"/>
  <c r="C1283" i="3"/>
  <c r="B1284" i="3"/>
  <c r="C1284" i="3"/>
  <c r="B1285" i="3"/>
  <c r="C1285" i="3"/>
  <c r="B1286" i="3"/>
  <c r="C1286" i="3"/>
  <c r="B1287" i="3"/>
  <c r="C1287" i="3"/>
  <c r="B1288" i="3"/>
  <c r="C1288" i="3"/>
  <c r="B1289" i="3"/>
  <c r="C1289" i="3"/>
  <c r="B1290" i="3"/>
  <c r="C1290" i="3"/>
  <c r="B1291" i="3"/>
  <c r="C1291" i="3"/>
  <c r="B1292" i="3"/>
  <c r="C1292" i="3"/>
  <c r="B1293" i="3"/>
  <c r="C1293" i="3"/>
  <c r="B1294" i="3"/>
  <c r="C1294" i="3"/>
  <c r="B1295" i="3"/>
  <c r="C1295" i="3"/>
  <c r="D1295" i="3" s="1"/>
  <c r="B1296" i="3"/>
  <c r="C1296" i="3"/>
  <c r="B1297" i="3"/>
  <c r="C1297" i="3"/>
  <c r="B1298" i="3"/>
  <c r="C1298" i="3"/>
  <c r="B1299" i="3"/>
  <c r="C1299" i="3"/>
  <c r="D1299" i="3" s="1"/>
  <c r="B1300" i="3"/>
  <c r="C1300" i="3"/>
  <c r="B1301" i="3"/>
  <c r="C1301" i="3"/>
  <c r="B1302" i="3"/>
  <c r="C1302" i="3"/>
  <c r="B1303" i="3"/>
  <c r="C1303" i="3"/>
  <c r="B1304" i="3"/>
  <c r="C1304" i="3"/>
  <c r="B1305" i="3"/>
  <c r="C1305" i="3"/>
  <c r="B1306" i="3"/>
  <c r="C1306" i="3"/>
  <c r="B1307" i="3"/>
  <c r="C1307" i="3"/>
  <c r="B1308" i="3"/>
  <c r="C1308" i="3"/>
  <c r="D1308" i="3" s="1"/>
  <c r="B1309" i="3"/>
  <c r="C1309" i="3"/>
  <c r="B1310" i="3"/>
  <c r="C1310" i="3"/>
  <c r="B1311" i="3"/>
  <c r="C1311" i="3"/>
  <c r="B1312" i="3"/>
  <c r="C1312" i="3"/>
  <c r="B1313" i="3"/>
  <c r="C1313" i="3"/>
  <c r="B1314" i="3"/>
  <c r="C1314" i="3"/>
  <c r="B1315" i="3"/>
  <c r="C1315" i="3"/>
  <c r="B1316" i="3"/>
  <c r="C1316" i="3"/>
  <c r="B1317" i="3"/>
  <c r="C1317" i="3"/>
  <c r="B1318" i="3"/>
  <c r="C1318" i="3"/>
  <c r="B1319" i="3"/>
  <c r="C1319" i="3"/>
  <c r="D1319" i="3" s="1"/>
  <c r="B1320" i="3"/>
  <c r="C1320" i="3"/>
  <c r="B1321" i="3"/>
  <c r="C1321" i="3"/>
  <c r="B1322" i="3"/>
  <c r="C1322" i="3"/>
  <c r="B1323" i="3"/>
  <c r="C1323" i="3"/>
  <c r="D1323" i="3" s="1"/>
  <c r="B1324" i="3"/>
  <c r="C1324" i="3"/>
  <c r="B1325" i="3"/>
  <c r="C1325" i="3"/>
  <c r="B1326" i="3"/>
  <c r="C1326" i="3"/>
  <c r="B1327" i="3"/>
  <c r="C1327" i="3"/>
  <c r="B1328" i="3"/>
  <c r="C1328" i="3"/>
  <c r="B1329" i="3"/>
  <c r="C1329" i="3"/>
  <c r="B1330" i="3"/>
  <c r="C1330" i="3"/>
  <c r="B1331" i="3"/>
  <c r="C1331" i="3"/>
  <c r="B1332" i="3"/>
  <c r="C1332" i="3"/>
  <c r="B1333" i="3"/>
  <c r="C1333" i="3"/>
  <c r="B1334" i="3"/>
  <c r="C1334" i="3"/>
  <c r="B1335" i="3"/>
  <c r="C1335" i="3"/>
  <c r="B1336" i="3"/>
  <c r="C1336" i="3"/>
  <c r="B1337" i="3"/>
  <c r="C1337" i="3"/>
  <c r="B1338" i="3"/>
  <c r="C1338" i="3"/>
  <c r="B1339" i="3"/>
  <c r="C1339" i="3"/>
  <c r="B1340" i="3"/>
  <c r="C1340" i="3"/>
  <c r="B1341" i="3"/>
  <c r="C1341" i="3"/>
  <c r="B1342" i="3"/>
  <c r="C1342" i="3"/>
  <c r="B1343" i="3"/>
  <c r="C1343" i="3"/>
  <c r="B1344" i="3"/>
  <c r="C1344" i="3"/>
  <c r="B1345" i="3"/>
  <c r="C1345" i="3"/>
  <c r="B1346" i="3"/>
  <c r="C1346" i="3"/>
  <c r="B1347" i="3"/>
  <c r="C1347" i="3"/>
  <c r="B1348" i="3"/>
  <c r="C1348" i="3"/>
  <c r="B1349" i="3"/>
  <c r="C1349" i="3"/>
  <c r="D1349" i="3" s="1"/>
  <c r="B1350" i="3"/>
  <c r="C1350" i="3"/>
  <c r="B1351" i="3"/>
  <c r="C1351" i="3"/>
  <c r="B1352" i="3"/>
  <c r="C1352" i="3"/>
  <c r="B1353" i="3"/>
  <c r="C1353" i="3"/>
  <c r="B1354" i="3"/>
  <c r="C1354" i="3"/>
  <c r="B1355" i="3"/>
  <c r="C1355" i="3"/>
  <c r="B1356" i="3"/>
  <c r="C1356" i="3"/>
  <c r="B1357" i="3"/>
  <c r="C1357" i="3"/>
  <c r="D1357" i="3" s="1"/>
  <c r="B1358" i="3"/>
  <c r="C1358" i="3"/>
  <c r="B1359" i="3"/>
  <c r="C1359" i="3"/>
  <c r="B1360" i="3"/>
  <c r="C1360" i="3"/>
  <c r="B1361" i="3"/>
  <c r="C1361" i="3"/>
  <c r="B1362" i="3"/>
  <c r="C1362" i="3"/>
  <c r="B1363" i="3"/>
  <c r="C1363" i="3"/>
  <c r="B1364" i="3"/>
  <c r="C1364" i="3"/>
  <c r="B1365" i="3"/>
  <c r="C1365" i="3"/>
  <c r="D1365" i="3" s="1"/>
  <c r="B1366" i="3"/>
  <c r="C1366" i="3"/>
  <c r="B1367" i="3"/>
  <c r="C1367" i="3"/>
  <c r="B1368" i="3"/>
  <c r="C1368" i="3"/>
  <c r="B1369" i="3"/>
  <c r="C1369" i="3"/>
  <c r="B1370" i="3"/>
  <c r="C1370" i="3"/>
  <c r="B1371" i="3"/>
  <c r="C1371" i="3"/>
  <c r="B1372" i="3"/>
  <c r="C1372" i="3"/>
  <c r="B1373" i="3"/>
  <c r="C1373" i="3"/>
  <c r="D1373" i="3" s="1"/>
  <c r="B1374" i="3"/>
  <c r="C1374" i="3"/>
  <c r="B1375" i="3"/>
  <c r="C1375" i="3"/>
  <c r="B1376" i="3"/>
  <c r="C1376" i="3"/>
  <c r="B1377" i="3"/>
  <c r="C1377" i="3"/>
  <c r="B1378" i="3"/>
  <c r="C1378" i="3"/>
  <c r="B1379" i="3"/>
  <c r="C1379" i="3"/>
  <c r="B1380" i="3"/>
  <c r="C1380" i="3"/>
  <c r="B1381" i="3"/>
  <c r="C1381" i="3"/>
  <c r="D1381" i="3" s="1"/>
  <c r="B1382" i="3"/>
  <c r="C1382" i="3"/>
  <c r="B1383" i="3"/>
  <c r="C1383" i="3"/>
  <c r="B1384" i="3"/>
  <c r="C1384" i="3"/>
  <c r="B1385" i="3"/>
  <c r="C1385" i="3"/>
  <c r="B1386" i="3"/>
  <c r="C1386" i="3"/>
  <c r="B1387" i="3"/>
  <c r="C1387" i="3"/>
  <c r="B1388" i="3"/>
  <c r="C1388" i="3"/>
  <c r="B1389" i="3"/>
  <c r="C1389" i="3"/>
  <c r="B1390" i="3"/>
  <c r="C1390" i="3"/>
  <c r="B1391" i="3"/>
  <c r="C1391" i="3"/>
  <c r="B1392" i="3"/>
  <c r="C1392" i="3"/>
  <c r="B1393" i="3"/>
  <c r="C1393" i="3"/>
  <c r="B1394" i="3"/>
  <c r="C1394" i="3"/>
  <c r="B1395" i="3"/>
  <c r="C1395" i="3"/>
  <c r="B1396" i="3"/>
  <c r="C1396" i="3"/>
  <c r="B1397" i="3"/>
  <c r="C1397" i="3"/>
  <c r="D1397" i="3" s="1"/>
  <c r="B1398" i="3"/>
  <c r="C1398" i="3"/>
  <c r="B1399" i="3"/>
  <c r="C1399" i="3"/>
  <c r="B1400" i="3"/>
  <c r="C1400" i="3"/>
  <c r="B1401" i="3"/>
  <c r="C1401" i="3"/>
  <c r="B1402" i="3"/>
  <c r="C1402" i="3"/>
  <c r="B1403" i="3"/>
  <c r="C1403" i="3"/>
  <c r="B1404" i="3"/>
  <c r="C1404" i="3"/>
  <c r="B1405" i="3"/>
  <c r="C1405" i="3"/>
  <c r="B1406" i="3"/>
  <c r="C1406" i="3"/>
  <c r="B1407" i="3"/>
  <c r="C1407" i="3"/>
  <c r="B1408" i="3"/>
  <c r="C1408" i="3"/>
  <c r="B1409" i="3"/>
  <c r="C1409" i="3"/>
  <c r="B1410" i="3"/>
  <c r="C1410" i="3"/>
  <c r="B1411" i="3"/>
  <c r="C1411" i="3"/>
  <c r="B1412" i="3"/>
  <c r="C1412" i="3"/>
  <c r="B1413" i="3"/>
  <c r="C1413" i="3"/>
  <c r="D1413" i="3" s="1"/>
  <c r="B1414" i="3"/>
  <c r="C1414" i="3"/>
  <c r="B1415" i="3"/>
  <c r="C1415" i="3"/>
  <c r="B1416" i="3"/>
  <c r="C1416" i="3"/>
  <c r="B1417" i="3"/>
  <c r="C1417" i="3"/>
  <c r="B1418" i="3"/>
  <c r="C1418" i="3"/>
  <c r="B1419" i="3"/>
  <c r="C1419" i="3"/>
  <c r="D1419" i="3" s="1"/>
  <c r="B1420" i="3"/>
  <c r="C1420" i="3"/>
  <c r="B1421" i="3"/>
  <c r="C1421" i="3"/>
  <c r="B1422" i="3"/>
  <c r="C1422" i="3"/>
  <c r="B1423" i="3"/>
  <c r="C1423" i="3"/>
  <c r="B1424" i="3"/>
  <c r="C1424" i="3"/>
  <c r="B1425" i="3"/>
  <c r="C1425" i="3"/>
  <c r="B1426" i="3"/>
  <c r="C1426" i="3"/>
  <c r="B1427" i="3"/>
  <c r="C1427" i="3"/>
  <c r="B1428" i="3"/>
  <c r="C1428" i="3"/>
  <c r="B1429" i="3"/>
  <c r="C1429" i="3"/>
  <c r="B1430" i="3"/>
  <c r="C1430" i="3"/>
  <c r="B1431" i="3"/>
  <c r="C1431" i="3"/>
  <c r="D1431" i="3" s="1"/>
  <c r="B1432" i="3"/>
  <c r="C1432" i="3"/>
  <c r="B1433" i="3"/>
  <c r="C1433" i="3"/>
  <c r="D1433" i="3" s="1"/>
  <c r="B1434" i="3"/>
  <c r="C1434" i="3"/>
  <c r="B1435" i="3"/>
  <c r="C1435" i="3"/>
  <c r="B1436" i="3"/>
  <c r="C1436" i="3"/>
  <c r="B1437" i="3"/>
  <c r="C1437" i="3"/>
  <c r="B1438" i="3"/>
  <c r="C1438" i="3"/>
  <c r="B1439" i="3"/>
  <c r="C1439" i="3"/>
  <c r="D1439" i="3" s="1"/>
  <c r="B1440" i="3"/>
  <c r="C1440" i="3"/>
  <c r="B1441" i="3"/>
  <c r="C1441" i="3"/>
  <c r="D1441" i="3" s="1"/>
  <c r="B1442" i="3"/>
  <c r="C1442" i="3"/>
  <c r="B1443" i="3"/>
  <c r="C1443" i="3"/>
  <c r="B1444" i="3"/>
  <c r="C1444" i="3"/>
  <c r="B1445" i="3"/>
  <c r="C1445" i="3"/>
  <c r="B1446" i="3"/>
  <c r="C1446" i="3"/>
  <c r="B1447" i="3"/>
  <c r="C1447" i="3"/>
  <c r="B1448" i="3"/>
  <c r="C1448" i="3"/>
  <c r="B1449" i="3"/>
  <c r="C1449" i="3"/>
  <c r="B1450" i="3"/>
  <c r="C1450" i="3"/>
  <c r="B1451" i="3"/>
  <c r="C1451" i="3"/>
  <c r="B1452" i="3"/>
  <c r="C1452" i="3"/>
  <c r="B1453" i="3"/>
  <c r="C1453" i="3"/>
  <c r="D1453" i="3" s="1"/>
  <c r="B1454" i="3"/>
  <c r="C1454" i="3"/>
  <c r="B1455" i="3"/>
  <c r="C1455" i="3"/>
  <c r="B1456" i="3"/>
  <c r="C1456" i="3"/>
  <c r="B1457" i="3"/>
  <c r="C1457" i="3"/>
  <c r="B1458" i="3"/>
  <c r="C1458" i="3"/>
  <c r="B1459" i="3"/>
  <c r="C1459" i="3"/>
  <c r="B1460" i="3"/>
  <c r="C1460" i="3"/>
  <c r="B1461" i="3"/>
  <c r="C1461" i="3"/>
  <c r="D1461" i="3" s="1"/>
  <c r="B1462" i="3"/>
  <c r="C1462" i="3"/>
  <c r="B1463" i="3"/>
  <c r="C1463" i="3"/>
  <c r="B1464" i="3"/>
  <c r="C1464" i="3"/>
  <c r="B1465" i="3"/>
  <c r="C1465" i="3"/>
  <c r="B1466" i="3"/>
  <c r="C1466" i="3"/>
  <c r="D1466" i="3" s="1"/>
  <c r="B1467" i="3"/>
  <c r="C1467" i="3"/>
  <c r="B1468" i="3"/>
  <c r="C1468" i="3"/>
  <c r="B1469" i="3"/>
  <c r="C1469" i="3"/>
  <c r="D1469" i="3" s="1"/>
  <c r="B1470" i="3"/>
  <c r="C1470" i="3"/>
  <c r="B1471" i="3"/>
  <c r="C1471" i="3"/>
  <c r="B1472" i="3"/>
  <c r="C1472" i="3"/>
  <c r="B1473" i="3"/>
  <c r="C1473" i="3"/>
  <c r="B1474" i="3"/>
  <c r="C1474" i="3"/>
  <c r="D1474" i="3" s="1"/>
  <c r="B1475" i="3"/>
  <c r="C1475" i="3"/>
  <c r="B1476" i="3"/>
  <c r="C1476" i="3"/>
  <c r="B1477" i="3"/>
  <c r="C1477" i="3"/>
  <c r="D1477" i="3" s="1"/>
  <c r="B1478" i="3"/>
  <c r="C1478" i="3"/>
  <c r="D1478" i="3" s="1"/>
  <c r="B1479" i="3"/>
  <c r="C1479" i="3"/>
  <c r="B1480" i="3"/>
  <c r="C1480" i="3"/>
  <c r="D1480" i="3" s="1"/>
  <c r="B1481" i="3"/>
  <c r="C1481" i="3"/>
  <c r="B1482" i="3"/>
  <c r="C1482" i="3"/>
  <c r="D1482" i="3" s="1"/>
  <c r="B1483" i="3"/>
  <c r="C1483" i="3"/>
  <c r="B1484" i="3"/>
  <c r="C1484" i="3"/>
  <c r="B1485" i="3"/>
  <c r="C1485" i="3"/>
  <c r="B1486" i="3"/>
  <c r="C1486" i="3"/>
  <c r="D1486" i="3" s="1"/>
  <c r="B1487" i="3"/>
  <c r="C1487" i="3"/>
  <c r="B1488" i="3"/>
  <c r="C1488" i="3"/>
  <c r="B1489" i="3"/>
  <c r="C1489" i="3"/>
  <c r="B1490" i="3"/>
  <c r="C1490" i="3"/>
  <c r="B1491" i="3"/>
  <c r="C1491" i="3"/>
  <c r="B1492" i="3"/>
  <c r="C1492" i="3"/>
  <c r="B1493" i="3"/>
  <c r="C1493" i="3"/>
  <c r="D1493" i="3" s="1"/>
  <c r="B1494" i="3"/>
  <c r="C1494" i="3"/>
  <c r="D1494" i="3" s="1"/>
  <c r="B1495" i="3"/>
  <c r="C1495" i="3"/>
  <c r="B1496" i="3"/>
  <c r="C1496" i="3"/>
  <c r="D1496" i="3" s="1"/>
  <c r="B1497" i="3"/>
  <c r="C1497" i="3"/>
  <c r="B1498" i="3"/>
  <c r="C1498" i="3"/>
  <c r="B1499" i="3"/>
  <c r="C1499" i="3"/>
  <c r="B1500" i="3"/>
  <c r="C1500" i="3"/>
  <c r="B1501" i="3"/>
  <c r="C1501" i="3"/>
  <c r="B1502" i="3"/>
  <c r="C1502" i="3"/>
  <c r="D1502" i="3" s="1"/>
  <c r="B1503" i="3"/>
  <c r="C1503" i="3"/>
  <c r="B1504" i="3"/>
  <c r="C1504" i="3"/>
  <c r="B1505" i="3"/>
  <c r="C1505" i="3"/>
  <c r="B1506" i="3"/>
  <c r="C1506" i="3"/>
  <c r="D1506" i="3" s="1"/>
  <c r="B1507" i="3"/>
  <c r="C1507" i="3"/>
  <c r="B1508" i="3"/>
  <c r="C1508" i="3"/>
  <c r="B1509" i="3"/>
  <c r="C1509" i="3"/>
  <c r="B1510" i="3"/>
  <c r="C1510" i="3"/>
  <c r="B1511" i="3"/>
  <c r="C1511" i="3"/>
  <c r="B1512" i="3"/>
  <c r="C1512" i="3"/>
  <c r="B1513" i="3"/>
  <c r="C1513" i="3"/>
  <c r="B1514" i="3"/>
  <c r="C1514" i="3"/>
  <c r="B1515" i="3"/>
  <c r="C1515" i="3"/>
  <c r="B1516" i="3"/>
  <c r="C1516" i="3"/>
  <c r="B1517" i="3"/>
  <c r="C1517" i="3"/>
  <c r="B1518" i="3"/>
  <c r="C1518" i="3"/>
  <c r="B1519" i="3"/>
  <c r="C1519" i="3"/>
  <c r="B1520" i="3"/>
  <c r="C1520" i="3"/>
  <c r="B1521" i="3"/>
  <c r="C1521" i="3"/>
  <c r="B1522" i="3"/>
  <c r="C1522" i="3"/>
  <c r="B1523" i="3"/>
  <c r="C1523" i="3"/>
  <c r="B1524" i="3"/>
  <c r="C1524" i="3"/>
  <c r="B1525" i="3"/>
  <c r="C1525" i="3"/>
  <c r="B1526" i="3"/>
  <c r="C1526" i="3"/>
  <c r="B1527" i="3"/>
  <c r="C1527" i="3"/>
  <c r="B1528" i="3"/>
  <c r="C1528" i="3"/>
  <c r="B1529" i="3"/>
  <c r="C1529" i="3"/>
  <c r="B1530" i="3"/>
  <c r="C1530" i="3"/>
  <c r="B1531" i="3"/>
  <c r="C1531" i="3"/>
  <c r="B1532" i="3"/>
  <c r="C1532" i="3"/>
  <c r="B1533" i="3"/>
  <c r="C1533" i="3"/>
  <c r="B1534" i="3"/>
  <c r="C1534" i="3"/>
  <c r="B1535" i="3"/>
  <c r="C1535" i="3"/>
  <c r="B1536" i="3"/>
  <c r="C1536" i="3"/>
  <c r="B1537" i="3"/>
  <c r="C1537" i="3"/>
  <c r="B1538" i="3"/>
  <c r="C1538" i="3"/>
  <c r="B1539" i="3"/>
  <c r="C1539" i="3"/>
  <c r="B1540" i="3"/>
  <c r="C1540" i="3"/>
  <c r="B1541" i="3"/>
  <c r="C1541" i="3"/>
  <c r="B1542" i="3"/>
  <c r="C1542" i="3"/>
  <c r="B1543" i="3"/>
  <c r="C1543" i="3"/>
  <c r="B1544" i="3"/>
  <c r="C1544" i="3"/>
  <c r="D1544" i="3" s="1"/>
  <c r="B1545" i="3"/>
  <c r="C1545" i="3"/>
  <c r="B1546" i="3"/>
  <c r="C1546" i="3"/>
  <c r="B1547" i="3"/>
  <c r="C1547" i="3"/>
  <c r="B1548" i="3"/>
  <c r="C1548" i="3"/>
  <c r="B1549" i="3"/>
  <c r="C1549" i="3"/>
  <c r="B1550" i="3"/>
  <c r="C1550" i="3"/>
  <c r="B1551" i="3"/>
  <c r="C1551" i="3"/>
  <c r="B1552" i="3"/>
  <c r="C1552" i="3"/>
  <c r="B1553" i="3"/>
  <c r="C1553" i="3"/>
  <c r="B1554" i="3"/>
  <c r="C1554" i="3"/>
  <c r="B1555" i="3"/>
  <c r="C1555" i="3"/>
  <c r="B1556" i="3"/>
  <c r="C1556" i="3"/>
  <c r="B1557" i="3"/>
  <c r="C1557" i="3"/>
  <c r="B1558" i="3"/>
  <c r="C1558" i="3"/>
  <c r="B1559" i="3"/>
  <c r="C1559" i="3"/>
  <c r="B1560" i="3"/>
  <c r="C1560" i="3"/>
  <c r="D1560" i="3" s="1"/>
  <c r="B1561" i="3"/>
  <c r="C1561" i="3"/>
  <c r="B1562" i="3"/>
  <c r="C1562" i="3"/>
  <c r="B1563" i="3"/>
  <c r="C1563" i="3"/>
  <c r="B1564" i="3"/>
  <c r="C1564" i="3"/>
  <c r="B1565" i="3"/>
  <c r="C1565" i="3"/>
  <c r="B1566" i="3"/>
  <c r="C1566" i="3"/>
  <c r="B1567" i="3"/>
  <c r="C1567" i="3"/>
  <c r="B1568" i="3"/>
  <c r="C1568" i="3"/>
  <c r="D1568" i="3" s="1"/>
  <c r="B1569" i="3"/>
  <c r="C1569" i="3"/>
  <c r="B1570" i="3"/>
  <c r="C1570" i="3"/>
  <c r="B1571" i="3"/>
  <c r="C1571" i="3"/>
  <c r="B1572" i="3"/>
  <c r="C1572" i="3"/>
  <c r="B1573" i="3"/>
  <c r="C1573" i="3"/>
  <c r="B1574" i="3"/>
  <c r="C1574" i="3"/>
  <c r="B1575" i="3"/>
  <c r="C1575" i="3"/>
  <c r="B1576" i="3"/>
  <c r="C1576" i="3"/>
  <c r="D1576" i="3" s="1"/>
  <c r="B1577" i="3"/>
  <c r="C1577" i="3"/>
  <c r="B1578" i="3"/>
  <c r="C1578" i="3"/>
  <c r="B1579" i="3"/>
  <c r="C1579" i="3"/>
  <c r="B1580" i="3"/>
  <c r="C1580" i="3"/>
  <c r="B1581" i="3"/>
  <c r="C1581" i="3"/>
  <c r="B1582" i="3"/>
  <c r="C1582" i="3"/>
  <c r="B1583" i="3"/>
  <c r="C1583" i="3"/>
  <c r="B1584" i="3"/>
  <c r="C1584" i="3"/>
  <c r="D1584" i="3" s="1"/>
  <c r="B1585" i="3"/>
  <c r="C1585" i="3"/>
  <c r="B1586" i="3"/>
  <c r="C1586" i="3"/>
  <c r="B1587" i="3"/>
  <c r="C1587" i="3"/>
  <c r="B1588" i="3"/>
  <c r="C1588" i="3"/>
  <c r="B1589" i="3"/>
  <c r="C1589" i="3"/>
  <c r="B1590" i="3"/>
  <c r="C1590" i="3"/>
  <c r="B1591" i="3"/>
  <c r="C1591" i="3"/>
  <c r="B1592" i="3"/>
  <c r="C1592" i="3"/>
  <c r="D1592" i="3" s="1"/>
  <c r="B1593" i="3"/>
  <c r="C1593" i="3"/>
  <c r="B1594" i="3"/>
  <c r="C1594" i="3"/>
  <c r="B1595" i="3"/>
  <c r="C1595" i="3"/>
  <c r="B1596" i="3"/>
  <c r="C1596" i="3"/>
  <c r="B1597" i="3"/>
  <c r="C1597" i="3"/>
  <c r="B1598" i="3"/>
  <c r="C1598" i="3"/>
  <c r="B1599" i="3"/>
  <c r="C1599" i="3"/>
  <c r="B1600" i="3"/>
  <c r="C1600" i="3"/>
  <c r="D1600" i="3" s="1"/>
  <c r="B1601" i="3"/>
  <c r="C1601" i="3"/>
  <c r="B1602" i="3"/>
  <c r="C1602" i="3"/>
  <c r="B1603" i="3"/>
  <c r="C1603" i="3"/>
  <c r="B1604" i="3"/>
  <c r="C1604" i="3"/>
  <c r="B1605" i="3"/>
  <c r="C1605" i="3"/>
  <c r="B1606" i="3"/>
  <c r="C1606" i="3"/>
  <c r="B1607" i="3"/>
  <c r="C1607" i="3"/>
  <c r="B1608" i="3"/>
  <c r="C1608" i="3"/>
  <c r="D1608" i="3" s="1"/>
  <c r="B1609" i="3"/>
  <c r="C1609" i="3"/>
  <c r="B1610" i="3"/>
  <c r="C1610" i="3"/>
  <c r="B1611" i="3"/>
  <c r="C1611" i="3"/>
  <c r="B1612" i="3"/>
  <c r="C1612" i="3"/>
  <c r="B1613" i="3"/>
  <c r="C1613" i="3"/>
  <c r="B1614" i="3"/>
  <c r="C1614" i="3"/>
  <c r="B1615" i="3"/>
  <c r="C1615" i="3"/>
  <c r="B1616" i="3"/>
  <c r="C1616" i="3"/>
  <c r="D1616" i="3" s="1"/>
  <c r="B1617" i="3"/>
  <c r="C1617" i="3"/>
  <c r="B1618" i="3"/>
  <c r="C1618" i="3"/>
  <c r="B1619" i="3"/>
  <c r="C1619" i="3"/>
  <c r="D1619" i="3" s="1"/>
  <c r="B1620" i="3"/>
  <c r="C1620" i="3"/>
  <c r="B1621" i="3"/>
  <c r="C1621" i="3"/>
  <c r="B1622" i="3"/>
  <c r="C1622" i="3"/>
  <c r="B1623" i="3"/>
  <c r="C1623" i="3"/>
  <c r="B1624" i="3"/>
  <c r="C1624" i="3"/>
  <c r="D1624" i="3" s="1"/>
  <c r="B1625" i="3"/>
  <c r="C1625" i="3"/>
  <c r="B1626" i="3"/>
  <c r="C1626" i="3"/>
  <c r="B1627" i="3"/>
  <c r="C1627" i="3"/>
  <c r="B1628" i="3"/>
  <c r="C1628" i="3"/>
  <c r="B1629" i="3"/>
  <c r="C1629" i="3"/>
  <c r="B1630" i="3"/>
  <c r="C1630" i="3"/>
  <c r="B1631" i="3"/>
  <c r="C1631" i="3"/>
  <c r="B1632" i="3"/>
  <c r="C1632" i="3"/>
  <c r="B1633" i="3"/>
  <c r="C1633" i="3"/>
  <c r="B1634" i="3"/>
  <c r="C1634" i="3"/>
  <c r="B1635" i="3"/>
  <c r="C1635" i="3"/>
  <c r="B1636" i="3"/>
  <c r="C1636" i="3"/>
  <c r="B1637" i="3"/>
  <c r="C1637" i="3"/>
  <c r="B1638" i="3"/>
  <c r="C1638" i="3"/>
  <c r="B1639" i="3"/>
  <c r="C1639" i="3"/>
  <c r="B1640" i="3"/>
  <c r="C1640" i="3"/>
  <c r="B1641" i="3"/>
  <c r="C1641" i="3"/>
  <c r="B1642" i="3"/>
  <c r="C1642" i="3"/>
  <c r="B1643" i="3"/>
  <c r="C1643" i="3"/>
  <c r="B1644" i="3"/>
  <c r="C1644" i="3"/>
  <c r="B1645" i="3"/>
  <c r="C1645" i="3"/>
  <c r="B1646" i="3"/>
  <c r="C1646" i="3"/>
  <c r="B1647" i="3"/>
  <c r="C1647" i="3"/>
  <c r="B1648" i="3"/>
  <c r="C1648" i="3"/>
  <c r="D1648" i="3" s="1"/>
  <c r="B1649" i="3"/>
  <c r="C1649" i="3"/>
  <c r="B1650" i="3"/>
  <c r="C1650" i="3"/>
  <c r="B1651" i="3"/>
  <c r="C1651" i="3"/>
  <c r="B1652" i="3"/>
  <c r="C1652" i="3"/>
  <c r="B1653" i="3"/>
  <c r="C1653" i="3"/>
  <c r="B1654" i="3"/>
  <c r="C1654" i="3"/>
  <c r="B1655" i="3"/>
  <c r="C1655" i="3"/>
  <c r="B1656" i="3"/>
  <c r="C1656" i="3"/>
  <c r="B1657" i="3"/>
  <c r="C1657" i="3"/>
  <c r="B1658" i="3"/>
  <c r="C1658" i="3"/>
  <c r="B1659" i="3"/>
  <c r="C1659" i="3"/>
  <c r="B1660" i="3"/>
  <c r="C1660" i="3"/>
  <c r="B1661" i="3"/>
  <c r="C1661" i="3"/>
  <c r="D1661" i="3" s="1"/>
  <c r="B1662" i="3"/>
  <c r="C1662" i="3"/>
  <c r="B1663" i="3"/>
  <c r="C1663" i="3"/>
  <c r="B1664" i="3"/>
  <c r="C1664" i="3"/>
  <c r="D1664" i="3" s="1"/>
  <c r="B1665" i="3"/>
  <c r="C1665" i="3"/>
  <c r="B1666" i="3"/>
  <c r="C1666" i="3"/>
  <c r="B1667" i="3"/>
  <c r="C1667" i="3"/>
  <c r="B1668" i="3"/>
  <c r="C1668" i="3"/>
  <c r="B1669" i="3"/>
  <c r="C1669" i="3"/>
  <c r="D1669" i="3" s="1"/>
  <c r="B1670" i="3"/>
  <c r="C1670" i="3"/>
  <c r="B1671" i="3"/>
  <c r="C1671" i="3"/>
  <c r="B1672" i="3"/>
  <c r="C1672" i="3"/>
  <c r="D1672" i="3" s="1"/>
  <c r="B1673" i="3"/>
  <c r="C1673" i="3"/>
  <c r="B1674" i="3"/>
  <c r="C1674" i="3"/>
  <c r="B1675" i="3"/>
  <c r="C1675" i="3"/>
  <c r="B1676" i="3"/>
  <c r="C1676" i="3"/>
  <c r="B1677" i="3"/>
  <c r="C1677" i="3"/>
  <c r="D1677" i="3" s="1"/>
  <c r="B1678" i="3"/>
  <c r="C1678" i="3"/>
  <c r="B1679" i="3"/>
  <c r="C1679" i="3"/>
  <c r="B1680" i="3"/>
  <c r="C1680" i="3"/>
  <c r="D1680" i="3" s="1"/>
  <c r="B1681" i="3"/>
  <c r="C1681" i="3"/>
  <c r="B1682" i="3"/>
  <c r="C1682" i="3"/>
  <c r="B1683" i="3"/>
  <c r="C1683" i="3"/>
  <c r="B1684" i="3"/>
  <c r="C1684" i="3"/>
  <c r="B1685" i="3"/>
  <c r="C1685" i="3"/>
  <c r="D1685" i="3" s="1"/>
  <c r="B1686" i="3"/>
  <c r="C1686" i="3"/>
  <c r="B1687" i="3"/>
  <c r="C1687" i="3"/>
  <c r="B1688" i="3"/>
  <c r="C1688" i="3"/>
  <c r="D1688" i="3" s="1"/>
  <c r="B1689" i="3"/>
  <c r="C1689" i="3"/>
  <c r="B1690" i="3"/>
  <c r="C1690" i="3"/>
  <c r="B1691" i="3"/>
  <c r="C1691" i="3"/>
  <c r="B1692" i="3"/>
  <c r="C1692" i="3"/>
  <c r="B1693" i="3"/>
  <c r="C1693" i="3"/>
  <c r="B1694" i="3"/>
  <c r="C1694" i="3"/>
  <c r="B1695" i="3"/>
  <c r="C1695" i="3"/>
  <c r="B1696" i="3"/>
  <c r="C1696" i="3"/>
  <c r="D1696" i="3" s="1"/>
  <c r="B1697" i="3"/>
  <c r="C1697" i="3"/>
  <c r="B1698" i="3"/>
  <c r="C1698" i="3"/>
  <c r="B1699" i="3"/>
  <c r="C1699" i="3"/>
  <c r="B1700" i="3"/>
  <c r="C1700" i="3"/>
  <c r="B1701" i="3"/>
  <c r="C1701" i="3"/>
  <c r="D1701" i="3" s="1"/>
  <c r="B1702" i="3"/>
  <c r="C1702" i="3"/>
  <c r="B1703" i="3"/>
  <c r="C1703" i="3"/>
  <c r="B1704" i="3"/>
  <c r="C1704" i="3"/>
  <c r="D1704" i="3" s="1"/>
  <c r="B1705" i="3"/>
  <c r="C1705" i="3"/>
  <c r="B1706" i="3"/>
  <c r="C1706" i="3"/>
  <c r="B1707" i="3"/>
  <c r="C1707" i="3"/>
  <c r="B1708" i="3"/>
  <c r="C1708" i="3"/>
  <c r="B1709" i="3"/>
  <c r="C1709" i="3"/>
  <c r="D1709" i="3" s="1"/>
  <c r="B1710" i="3"/>
  <c r="C1710" i="3"/>
  <c r="B1711" i="3"/>
  <c r="C1711" i="3"/>
  <c r="B1712" i="3"/>
  <c r="C1712" i="3"/>
  <c r="D1712" i="3" s="1"/>
  <c r="B1713" i="3"/>
  <c r="C1713" i="3"/>
  <c r="B1714" i="3"/>
  <c r="C1714" i="3"/>
  <c r="B1715" i="3"/>
  <c r="C1715" i="3"/>
  <c r="B1716" i="3"/>
  <c r="C1716" i="3"/>
  <c r="B1717" i="3"/>
  <c r="C1717" i="3"/>
  <c r="D1717" i="3" s="1"/>
  <c r="B1718" i="3"/>
  <c r="C1718" i="3"/>
  <c r="B1719" i="3"/>
  <c r="C1719" i="3"/>
  <c r="B1720" i="3"/>
  <c r="C1720" i="3"/>
  <c r="D1720" i="3" s="1"/>
  <c r="B1721" i="3"/>
  <c r="C1721" i="3"/>
  <c r="B1722" i="3"/>
  <c r="C1722" i="3"/>
  <c r="B1723" i="3"/>
  <c r="C1723" i="3"/>
  <c r="B1724" i="3"/>
  <c r="C1724" i="3"/>
  <c r="B1725" i="3"/>
  <c r="C1725" i="3"/>
  <c r="B1726" i="3"/>
  <c r="C1726" i="3"/>
  <c r="B1727" i="3"/>
  <c r="C1727" i="3"/>
  <c r="B1728" i="3"/>
  <c r="C1728" i="3"/>
  <c r="D1728" i="3" s="1"/>
  <c r="B1729" i="3"/>
  <c r="C1729" i="3"/>
  <c r="B1730" i="3"/>
  <c r="C1730" i="3"/>
  <c r="B1731" i="3"/>
  <c r="C1731" i="3"/>
  <c r="B1732" i="3"/>
  <c r="C1732" i="3"/>
  <c r="B1733" i="3"/>
  <c r="C1733" i="3"/>
  <c r="D1733" i="3" s="1"/>
  <c r="B1734" i="3"/>
  <c r="C1734" i="3"/>
  <c r="B1735" i="3"/>
  <c r="C1735" i="3"/>
  <c r="B1736" i="3"/>
  <c r="C1736" i="3"/>
  <c r="D1736" i="3" s="1"/>
  <c r="B1737" i="3"/>
  <c r="C1737" i="3"/>
  <c r="B1738" i="3"/>
  <c r="C1738" i="3"/>
  <c r="B1739" i="3"/>
  <c r="C1739" i="3"/>
  <c r="B1740" i="3"/>
  <c r="C1740" i="3"/>
  <c r="B1741" i="3"/>
  <c r="C1741" i="3"/>
  <c r="D1741" i="3" s="1"/>
  <c r="B1742" i="3"/>
  <c r="C1742" i="3"/>
  <c r="B1743" i="3"/>
  <c r="C1743" i="3"/>
  <c r="B1744" i="3"/>
  <c r="C1744" i="3"/>
  <c r="D1744" i="3" s="1"/>
  <c r="B1745" i="3"/>
  <c r="C1745" i="3"/>
  <c r="B1746" i="3"/>
  <c r="C1746" i="3"/>
  <c r="B1747" i="3"/>
  <c r="C1747" i="3"/>
  <c r="B1748" i="3"/>
  <c r="C1748" i="3"/>
  <c r="B1749" i="3"/>
  <c r="C1749" i="3"/>
  <c r="B1750" i="3"/>
  <c r="C1750" i="3"/>
  <c r="D1750" i="3" s="1"/>
  <c r="B1751" i="3"/>
  <c r="C1751" i="3"/>
  <c r="B1752" i="3"/>
  <c r="C1752" i="3"/>
  <c r="D1752" i="3" s="1"/>
  <c r="B1753" i="3"/>
  <c r="C1753" i="3"/>
  <c r="B1754" i="3"/>
  <c r="C1754" i="3"/>
  <c r="B1755" i="3"/>
  <c r="C1755" i="3"/>
  <c r="B1756" i="3"/>
  <c r="C1756" i="3"/>
  <c r="B1757" i="3"/>
  <c r="C1757" i="3"/>
  <c r="B1758" i="3"/>
  <c r="C1758" i="3"/>
  <c r="B1759" i="3"/>
  <c r="C1759" i="3"/>
  <c r="B1760" i="3"/>
  <c r="C1760" i="3"/>
  <c r="D1760" i="3" s="1"/>
  <c r="B1761" i="3"/>
  <c r="C1761" i="3"/>
  <c r="B1762" i="3"/>
  <c r="C1762" i="3"/>
  <c r="B1763" i="3"/>
  <c r="C1763" i="3"/>
  <c r="B1764" i="3"/>
  <c r="C1764" i="3"/>
  <c r="B1765" i="3"/>
  <c r="C1765" i="3"/>
  <c r="B1766" i="3"/>
  <c r="C1766" i="3"/>
  <c r="B1767" i="3"/>
  <c r="C1767" i="3"/>
  <c r="B1768" i="3"/>
  <c r="C1768" i="3"/>
  <c r="D1768" i="3" s="1"/>
  <c r="B1769" i="3"/>
  <c r="C1769" i="3"/>
  <c r="B1770" i="3"/>
  <c r="C1770" i="3"/>
  <c r="B1771" i="3"/>
  <c r="C1771" i="3"/>
  <c r="B1772" i="3"/>
  <c r="C1772" i="3"/>
  <c r="B1773" i="3"/>
  <c r="C1773" i="3"/>
  <c r="B1774" i="3"/>
  <c r="C1774" i="3"/>
  <c r="B1775" i="3"/>
  <c r="C1775" i="3"/>
  <c r="B1776" i="3"/>
  <c r="C1776" i="3"/>
  <c r="D1776" i="3" s="1"/>
  <c r="B1777" i="3"/>
  <c r="C1777" i="3"/>
  <c r="B1778" i="3"/>
  <c r="C1778" i="3"/>
  <c r="B1779" i="3"/>
  <c r="C1779" i="3"/>
  <c r="B1780" i="3"/>
  <c r="C1780" i="3"/>
  <c r="B1781" i="3"/>
  <c r="C1781" i="3"/>
  <c r="B1782" i="3"/>
  <c r="C1782" i="3"/>
  <c r="B1783" i="3"/>
  <c r="C1783" i="3"/>
  <c r="B1784" i="3"/>
  <c r="C1784" i="3"/>
  <c r="D1784" i="3" s="1"/>
  <c r="B1785" i="3"/>
  <c r="C1785" i="3"/>
  <c r="B1786" i="3"/>
  <c r="C1786" i="3"/>
  <c r="B1787" i="3"/>
  <c r="C1787" i="3"/>
  <c r="B1788" i="3"/>
  <c r="C1788" i="3"/>
  <c r="B1789" i="3"/>
  <c r="C1789" i="3"/>
  <c r="B1790" i="3"/>
  <c r="C1790" i="3"/>
  <c r="B1791" i="3"/>
  <c r="C1791" i="3"/>
  <c r="B1792" i="3"/>
  <c r="C1792" i="3"/>
  <c r="D1792" i="3" s="1"/>
  <c r="B1793" i="3"/>
  <c r="C1793" i="3"/>
  <c r="B1794" i="3"/>
  <c r="C1794" i="3"/>
  <c r="B1795" i="3"/>
  <c r="C1795" i="3"/>
  <c r="B1796" i="3"/>
  <c r="C1796" i="3"/>
  <c r="B1797" i="3"/>
  <c r="C1797" i="3"/>
  <c r="B1798" i="3"/>
  <c r="C1798" i="3"/>
  <c r="B1799" i="3"/>
  <c r="C1799" i="3"/>
  <c r="B1800" i="3"/>
  <c r="C1800" i="3"/>
  <c r="D1800" i="3" s="1"/>
  <c r="B1801" i="3"/>
  <c r="C1801" i="3"/>
  <c r="B1802" i="3"/>
  <c r="C1802" i="3"/>
  <c r="B1803" i="3"/>
  <c r="C1803" i="3"/>
  <c r="B1804" i="3"/>
  <c r="C1804" i="3"/>
  <c r="D1804" i="3" s="1"/>
  <c r="B1805" i="3"/>
  <c r="C1805" i="3"/>
  <c r="B1806" i="3"/>
  <c r="C1806" i="3"/>
  <c r="B1807" i="3"/>
  <c r="C1807" i="3"/>
  <c r="B1808" i="3"/>
  <c r="C1808" i="3"/>
  <c r="D1808" i="3" s="1"/>
  <c r="B1809" i="3"/>
  <c r="C1809" i="3"/>
  <c r="B1810" i="3"/>
  <c r="C1810" i="3"/>
  <c r="B1811" i="3"/>
  <c r="C1811" i="3"/>
  <c r="B1812" i="3"/>
  <c r="C1812" i="3"/>
  <c r="D1812" i="3" s="1"/>
  <c r="B1813" i="3"/>
  <c r="C1813" i="3"/>
  <c r="B1814" i="3"/>
  <c r="C1814" i="3"/>
  <c r="B1815" i="3"/>
  <c r="C1815" i="3"/>
  <c r="B1816" i="3"/>
  <c r="C1816" i="3"/>
  <c r="D1816" i="3" s="1"/>
  <c r="B1817" i="3"/>
  <c r="C1817" i="3"/>
  <c r="B1818" i="3"/>
  <c r="C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15" i="3"/>
  <c r="B8" i="3"/>
  <c r="B9" i="3" s="1"/>
  <c r="B10" i="3" s="1"/>
  <c r="B11" i="3" s="1"/>
  <c r="B12" i="3" s="1"/>
  <c r="B13" i="3" s="1"/>
  <c r="B14" i="3" s="1"/>
  <c r="B7" i="3"/>
  <c r="D1170" i="3" l="1"/>
  <c r="D1632" i="3"/>
  <c r="D1291" i="3"/>
  <c r="D1067" i="3"/>
  <c r="D1485" i="3"/>
  <c r="D1180" i="3"/>
  <c r="D1552" i="3"/>
  <c r="D1389" i="3"/>
  <c r="D1106" i="3"/>
  <c r="D1162" i="3"/>
  <c r="D1028" i="3"/>
  <c r="D1503" i="3"/>
  <c r="D1640" i="3"/>
  <c r="D1405" i="3"/>
  <c r="D1809" i="3"/>
  <c r="D1158" i="3"/>
  <c r="D1725" i="3"/>
  <c r="D1653" i="3"/>
  <c r="D1421" i="3"/>
  <c r="D1174" i="3"/>
  <c r="D1314" i="3"/>
  <c r="D1264" i="3"/>
  <c r="D1167" i="3"/>
  <c r="D1159" i="3"/>
  <c r="D1151" i="3"/>
  <c r="D1143" i="3"/>
  <c r="D1310" i="3"/>
  <c r="D1265" i="3"/>
  <c r="D1249" i="3"/>
  <c r="D1218" i="3"/>
  <c r="D1214" i="3"/>
  <c r="D1693" i="3"/>
  <c r="D1656" i="3"/>
  <c r="D1317" i="3"/>
  <c r="D1271" i="3"/>
  <c r="D1255" i="3"/>
  <c r="D1318" i="3"/>
  <c r="D1313" i="3"/>
  <c r="D1296" i="3"/>
  <c r="D1281" i="3"/>
  <c r="D1540" i="3"/>
  <c r="D1531" i="3"/>
  <c r="D1527" i="3"/>
  <c r="D1523" i="3"/>
  <c r="D1519" i="3"/>
  <c r="D1515" i="3"/>
  <c r="D1511" i="3"/>
  <c r="D1507" i="3"/>
  <c r="D1500" i="3"/>
  <c r="D1488" i="3"/>
  <c r="D1465" i="3"/>
  <c r="D1460" i="3"/>
  <c r="D1455" i="3"/>
  <c r="D1445" i="3"/>
  <c r="D1435" i="3"/>
  <c r="D1415" i="3"/>
  <c r="D1409" i="3"/>
  <c r="D1399" i="3"/>
  <c r="D1393" i="3"/>
  <c r="D1383" i="3"/>
  <c r="D1458" i="3"/>
  <c r="D1814" i="3"/>
  <c r="D1377" i="3"/>
  <c r="D1367" i="3"/>
  <c r="D1361" i="3"/>
  <c r="D1351" i="3"/>
  <c r="D1330" i="3"/>
  <c r="D1326" i="3"/>
  <c r="D1309" i="3"/>
  <c r="D1294" i="3"/>
  <c r="D1272" i="3"/>
  <c r="D1256" i="3"/>
  <c r="D1225" i="3"/>
  <c r="D1206" i="3"/>
  <c r="D1202" i="3"/>
  <c r="D1286" i="3"/>
  <c r="D1274" i="3"/>
  <c r="D1258" i="3"/>
  <c r="D1248" i="3"/>
  <c r="D1213" i="3"/>
  <c r="D1075" i="3"/>
  <c r="D1069" i="3"/>
  <c r="D1107" i="3"/>
  <c r="D1293" i="3"/>
  <c r="D1288" i="3"/>
  <c r="D1223" i="3"/>
  <c r="D1092" i="3"/>
  <c r="D1084" i="3"/>
  <c r="D1062" i="3"/>
  <c r="D1058" i="3"/>
  <c r="D1054" i="3"/>
  <c r="D1815" i="3"/>
  <c r="D1805" i="3"/>
  <c r="D1312" i="3"/>
  <c r="D1304" i="3"/>
  <c r="D1301" i="3"/>
  <c r="D1290" i="3"/>
  <c r="D1263" i="3"/>
  <c r="D1257" i="3"/>
  <c r="D1250" i="3"/>
  <c r="D1241" i="3"/>
  <c r="D1233" i="3"/>
  <c r="D1189" i="3"/>
  <c r="D1185" i="3"/>
  <c r="D1457" i="3"/>
  <c r="D1447" i="3"/>
  <c r="D1302" i="3"/>
  <c r="D1297" i="3"/>
  <c r="D1190" i="3"/>
  <c r="D1186" i="3"/>
  <c r="D1796" i="3"/>
  <c r="D1780" i="3"/>
  <c r="D1764" i="3"/>
  <c r="D1748" i="3"/>
  <c r="D1732" i="3"/>
  <c r="D1716" i="3"/>
  <c r="D1700" i="3"/>
  <c r="D1684" i="3"/>
  <c r="D1668" i="3"/>
  <c r="D1652" i="3"/>
  <c r="D1636" i="3"/>
  <c r="D1620" i="3"/>
  <c r="D1604" i="3"/>
  <c r="D1588" i="3"/>
  <c r="D1572" i="3"/>
  <c r="D1556" i="3"/>
  <c r="D1536" i="3"/>
  <c r="D1532" i="3"/>
  <c r="D1528" i="3"/>
  <c r="D1524" i="3"/>
  <c r="D1520" i="3"/>
  <c r="D1451" i="3"/>
  <c r="D1427" i="3"/>
  <c r="D1411" i="3"/>
  <c r="D1395" i="3"/>
  <c r="D1379" i="3"/>
  <c r="D1363" i="3"/>
  <c r="D1347" i="3"/>
  <c r="D1343" i="3"/>
  <c r="D1339" i="3"/>
  <c r="D1335" i="3"/>
  <c r="D1331" i="3"/>
  <c r="D1327" i="3"/>
  <c r="D1325" i="3"/>
  <c r="D1305" i="3"/>
  <c r="D1282" i="3"/>
  <c r="D1280" i="3"/>
  <c r="D1278" i="3"/>
  <c r="D1273" i="3"/>
  <c r="D1266" i="3"/>
  <c r="D1247" i="3"/>
  <c r="D1242" i="3"/>
  <c r="D1239" i="3"/>
  <c r="D1234" i="3"/>
  <c r="D1231" i="3"/>
  <c r="D1220" i="3"/>
  <c r="D1205" i="3"/>
  <c r="D1201" i="3"/>
  <c r="D1064" i="3"/>
  <c r="D1060" i="3"/>
  <c r="D1056" i="3"/>
  <c r="D1052" i="3"/>
  <c r="D1818" i="3"/>
  <c r="D1813" i="3"/>
  <c r="D1803" i="3"/>
  <c r="D1745" i="3"/>
  <c r="D1729" i="3"/>
  <c r="D1713" i="3"/>
  <c r="D1697" i="3"/>
  <c r="D1681" i="3"/>
  <c r="D1665" i="3"/>
  <c r="D1533" i="3"/>
  <c r="D1529" i="3"/>
  <c r="D1525" i="3"/>
  <c r="D1521" i="3"/>
  <c r="D1517" i="3"/>
  <c r="D1513" i="3"/>
  <c r="D1509" i="3"/>
  <c r="D1504" i="3"/>
  <c r="D1498" i="3"/>
  <c r="D1490" i="3"/>
  <c r="D1473" i="3"/>
  <c r="D1468" i="3"/>
  <c r="D1443" i="3"/>
  <c r="D1437" i="3"/>
  <c r="D1423" i="3"/>
  <c r="D1417" i="3"/>
  <c r="D1407" i="3"/>
  <c r="D1401" i="3"/>
  <c r="D1391" i="3"/>
  <c r="D1385" i="3"/>
  <c r="D1375" i="3"/>
  <c r="D1369" i="3"/>
  <c r="D1359" i="3"/>
  <c r="D1353" i="3"/>
  <c r="D1348" i="3"/>
  <c r="D1344" i="3"/>
  <c r="D1340" i="3"/>
  <c r="D1336" i="3"/>
  <c r="D1332" i="3"/>
  <c r="D1287" i="3"/>
  <c r="D1285" i="3"/>
  <c r="D1270" i="3"/>
  <c r="D1262" i="3"/>
  <c r="D1254" i="3"/>
  <c r="D1246" i="3"/>
  <c r="D1238" i="3"/>
  <c r="D1230" i="3"/>
  <c r="D1222" i="3"/>
  <c r="D1200" i="3"/>
  <c r="D1184" i="3"/>
  <c r="D1811" i="3"/>
  <c r="D1810" i="3"/>
  <c r="D1689" i="3"/>
  <c r="D1673" i="3"/>
  <c r="D1657" i="3"/>
  <c r="D1346" i="3"/>
  <c r="D1342" i="3"/>
  <c r="D1338" i="3"/>
  <c r="D1334" i="3"/>
  <c r="D1322" i="3"/>
  <c r="D1320" i="3"/>
  <c r="D1306" i="3"/>
  <c r="D1283" i="3"/>
  <c r="D1226" i="3"/>
  <c r="D1217" i="3"/>
  <c r="D1215" i="3"/>
  <c r="D1198" i="3"/>
  <c r="D1197" i="3"/>
  <c r="D1182" i="3"/>
  <c r="D1181" i="3"/>
  <c r="D1817" i="3"/>
  <c r="D1807" i="3"/>
  <c r="D1806" i="3"/>
  <c r="D1315" i="3"/>
  <c r="D1300" i="3"/>
  <c r="D1298" i="3"/>
  <c r="D1277" i="3"/>
  <c r="D1269" i="3"/>
  <c r="D1261" i="3"/>
  <c r="D1253" i="3"/>
  <c r="D1245" i="3"/>
  <c r="D1243" i="3"/>
  <c r="D1237" i="3"/>
  <c r="D1235" i="3"/>
  <c r="D1229" i="3"/>
  <c r="D1227" i="3"/>
  <c r="D1221" i="3"/>
  <c r="D1210" i="3"/>
  <c r="D1209" i="3"/>
  <c r="D1204" i="3"/>
  <c r="D1194" i="3"/>
  <c r="D1193" i="3"/>
  <c r="D1188" i="3"/>
  <c r="D1178" i="3"/>
  <c r="D1177" i="3"/>
  <c r="D1788" i="3"/>
  <c r="D1772" i="3"/>
  <c r="D1756" i="3"/>
  <c r="D1740" i="3"/>
  <c r="D1753" i="3"/>
  <c r="D1329" i="3"/>
  <c r="D1328" i="3"/>
  <c r="D1737" i="3"/>
  <c r="D1721" i="3"/>
  <c r="D1705" i="3"/>
  <c r="D1476" i="3"/>
  <c r="D1449" i="3"/>
  <c r="D1425" i="3"/>
  <c r="D1316" i="3"/>
  <c r="D1307" i="3"/>
  <c r="D1303" i="3"/>
  <c r="D1284" i="3"/>
  <c r="D1275" i="3"/>
  <c r="D1267" i="3"/>
  <c r="D1259" i="3"/>
  <c r="D1251" i="3"/>
  <c r="D1211" i="3"/>
  <c r="D1207" i="3"/>
  <c r="D1203" i="3"/>
  <c r="D1199" i="3"/>
  <c r="D1195" i="3"/>
  <c r="D1191" i="3"/>
  <c r="D1187" i="3"/>
  <c r="D1183" i="3"/>
  <c r="D1179" i="3"/>
  <c r="D1175" i="3"/>
  <c r="D1169" i="3"/>
  <c r="D1161" i="3"/>
  <c r="D1153" i="3"/>
  <c r="D1145" i="3"/>
  <c r="D1137" i="3"/>
  <c r="D1724" i="3"/>
  <c r="D1708" i="3"/>
  <c r="D1692" i="3"/>
  <c r="D1676" i="3"/>
  <c r="D1660" i="3"/>
  <c r="D1644" i="3"/>
  <c r="D1628" i="3"/>
  <c r="D1612" i="3"/>
  <c r="D1596" i="3"/>
  <c r="D1580" i="3"/>
  <c r="D1564" i="3"/>
  <c r="D1548" i="3"/>
  <c r="D1538" i="3"/>
  <c r="D1534" i="3"/>
  <c r="D1530" i="3"/>
  <c r="D1526" i="3"/>
  <c r="D1522" i="3"/>
  <c r="D1518" i="3"/>
  <c r="D1514" i="3"/>
  <c r="D1510" i="3"/>
  <c r="D1505" i="3"/>
  <c r="D1492" i="3"/>
  <c r="D1481" i="3"/>
  <c r="D1470" i="3"/>
  <c r="D1464" i="3"/>
  <c r="D1429" i="3"/>
  <c r="D1403" i="3"/>
  <c r="D1387" i="3"/>
  <c r="D1371" i="3"/>
  <c r="D1355" i="3"/>
  <c r="D1345" i="3"/>
  <c r="D1341" i="3"/>
  <c r="D1337" i="3"/>
  <c r="D1333" i="3"/>
  <c r="D1324" i="3"/>
  <c r="D1321" i="3"/>
  <c r="D1311" i="3"/>
  <c r="D1292" i="3"/>
  <c r="D1289" i="3"/>
  <c r="D1279" i="3"/>
  <c r="D1171" i="3"/>
  <c r="D1163" i="3"/>
  <c r="D1155" i="3"/>
  <c r="D1147" i="3"/>
  <c r="D1139" i="3"/>
  <c r="D1093" i="3"/>
  <c r="D1089" i="3"/>
  <c r="D1080" i="3"/>
  <c r="D1071" i="3"/>
  <c r="D1063" i="3"/>
  <c r="D1059" i="3"/>
  <c r="D1055" i="3"/>
  <c r="D1025" i="3"/>
  <c r="D1021" i="3"/>
  <c r="D1165" i="3"/>
  <c r="D1157" i="3"/>
  <c r="D1149" i="3"/>
  <c r="D1141" i="3"/>
  <c r="D1090" i="3"/>
  <c r="D1082" i="3"/>
  <c r="D1516" i="3"/>
  <c r="D1512" i="3"/>
  <c r="D1508" i="3"/>
  <c r="D1501" i="3"/>
  <c r="D1497" i="3"/>
  <c r="D1489" i="3"/>
  <c r="D1484" i="3"/>
  <c r="D1472" i="3"/>
  <c r="D1462" i="3"/>
  <c r="D1095" i="3"/>
  <c r="D1091" i="3"/>
  <c r="D1087" i="3"/>
  <c r="D1083" i="3"/>
  <c r="D1073" i="3"/>
  <c r="D1061" i="3"/>
  <c r="D1057" i="3"/>
  <c r="D1053" i="3"/>
  <c r="D1801" i="3"/>
  <c r="D1797" i="3"/>
  <c r="D1785" i="3"/>
  <c r="D1765" i="3"/>
  <c r="D1761" i="3"/>
  <c r="D1781" i="3"/>
  <c r="D1769" i="3"/>
  <c r="D1802" i="3"/>
  <c r="D1794" i="3"/>
  <c r="D1786" i="3"/>
  <c r="D1778" i="3"/>
  <c r="D1762" i="3"/>
  <c r="D1758" i="3"/>
  <c r="D1754" i="3"/>
  <c r="D1746" i="3"/>
  <c r="D1793" i="3"/>
  <c r="D1789" i="3"/>
  <c r="D1777" i="3"/>
  <c r="D1773" i="3"/>
  <c r="D1757" i="3"/>
  <c r="D1798" i="3"/>
  <c r="D1790" i="3"/>
  <c r="D1782" i="3"/>
  <c r="D1774" i="3"/>
  <c r="D1770" i="3"/>
  <c r="D1766" i="3"/>
  <c r="D1799" i="3"/>
  <c r="D1795" i="3"/>
  <c r="D1791" i="3"/>
  <c r="D1787" i="3"/>
  <c r="D1783" i="3"/>
  <c r="D1779" i="3"/>
  <c r="D1775" i="3"/>
  <c r="D1771" i="3"/>
  <c r="D1767" i="3"/>
  <c r="D1763" i="3"/>
  <c r="D1759" i="3"/>
  <c r="D1749" i="3"/>
  <c r="D1742" i="3"/>
  <c r="D1738" i="3"/>
  <c r="D1734" i="3"/>
  <c r="D1730" i="3"/>
  <c r="D1726" i="3"/>
  <c r="D1722" i="3"/>
  <c r="D1718" i="3"/>
  <c r="D1714" i="3"/>
  <c r="D1710" i="3"/>
  <c r="D1706" i="3"/>
  <c r="D1702" i="3"/>
  <c r="D1698" i="3"/>
  <c r="D1694" i="3"/>
  <c r="D1690" i="3"/>
  <c r="D1686" i="3"/>
  <c r="D1682" i="3"/>
  <c r="D1678" i="3"/>
  <c r="D1674" i="3"/>
  <c r="D1670" i="3"/>
  <c r="D1666" i="3"/>
  <c r="D1662" i="3"/>
  <c r="D1658" i="3"/>
  <c r="D1654" i="3"/>
  <c r="D1650" i="3"/>
  <c r="D1646" i="3"/>
  <c r="D1642" i="3"/>
  <c r="D1638" i="3"/>
  <c r="D1634" i="3"/>
  <c r="D1630" i="3"/>
  <c r="D1626" i="3"/>
  <c r="D1622" i="3"/>
  <c r="D1618" i="3"/>
  <c r="D1614" i="3"/>
  <c r="D1610" i="3"/>
  <c r="D1606" i="3"/>
  <c r="D1602" i="3"/>
  <c r="D1598" i="3"/>
  <c r="D1594" i="3"/>
  <c r="D1590" i="3"/>
  <c r="D1586" i="3"/>
  <c r="D1582" i="3"/>
  <c r="D1578" i="3"/>
  <c r="D1574" i="3"/>
  <c r="D1570" i="3"/>
  <c r="D1566" i="3"/>
  <c r="D1562" i="3"/>
  <c r="D1558" i="3"/>
  <c r="D1554" i="3"/>
  <c r="D1550" i="3"/>
  <c r="D1546" i="3"/>
  <c r="D1542" i="3"/>
  <c r="D1755" i="3"/>
  <c r="D1751" i="3"/>
  <c r="D1747" i="3"/>
  <c r="D1743" i="3"/>
  <c r="D1739" i="3"/>
  <c r="D1735" i="3"/>
  <c r="D1731" i="3"/>
  <c r="D1727" i="3"/>
  <c r="D1723" i="3"/>
  <c r="D1719" i="3"/>
  <c r="D1715" i="3"/>
  <c r="D1711" i="3"/>
  <c r="D1707" i="3"/>
  <c r="D1703" i="3"/>
  <c r="D1699" i="3"/>
  <c r="D1695" i="3"/>
  <c r="D1691" i="3"/>
  <c r="D1687" i="3"/>
  <c r="D1683" i="3"/>
  <c r="D1679" i="3"/>
  <c r="D1675" i="3"/>
  <c r="D1671" i="3"/>
  <c r="D1667" i="3"/>
  <c r="D1663" i="3"/>
  <c r="D1659" i="3"/>
  <c r="D1655" i="3"/>
  <c r="D1651" i="3"/>
  <c r="D1647" i="3"/>
  <c r="D1643" i="3"/>
  <c r="D1639" i="3"/>
  <c r="D1635" i="3"/>
  <c r="D1631" i="3"/>
  <c r="D1627" i="3"/>
  <c r="D1623" i="3"/>
  <c r="D1615" i="3"/>
  <c r="D1611" i="3"/>
  <c r="D1607" i="3"/>
  <c r="D1603" i="3"/>
  <c r="D1599" i="3"/>
  <c r="D1595" i="3"/>
  <c r="D1591" i="3"/>
  <c r="D1587" i="3"/>
  <c r="D1583" i="3"/>
  <c r="D1579" i="3"/>
  <c r="D1575" i="3"/>
  <c r="D1571" i="3"/>
  <c r="D1567" i="3"/>
  <c r="D1563" i="3"/>
  <c r="D1559" i="3"/>
  <c r="D1555" i="3"/>
  <c r="D1551" i="3"/>
  <c r="D1547" i="3"/>
  <c r="D1543" i="3"/>
  <c r="D1539" i="3"/>
  <c r="D1535" i="3"/>
  <c r="D1649" i="3"/>
  <c r="D1645" i="3"/>
  <c r="D1641" i="3"/>
  <c r="D1637" i="3"/>
  <c r="D1633" i="3"/>
  <c r="D1629" i="3"/>
  <c r="D1625" i="3"/>
  <c r="D1621" i="3"/>
  <c r="D1617" i="3"/>
  <c r="D1613" i="3"/>
  <c r="D1609" i="3"/>
  <c r="D1605" i="3"/>
  <c r="D1601" i="3"/>
  <c r="D1597" i="3"/>
  <c r="D1593" i="3"/>
  <c r="D1589" i="3"/>
  <c r="D1585" i="3"/>
  <c r="D1581" i="3"/>
  <c r="D1577" i="3"/>
  <c r="D1573" i="3"/>
  <c r="D1569" i="3"/>
  <c r="D1565" i="3"/>
  <c r="D1561" i="3"/>
  <c r="D1557" i="3"/>
  <c r="D1553" i="3"/>
  <c r="D1549" i="3"/>
  <c r="D1545" i="3"/>
  <c r="D1541" i="3"/>
  <c r="D1537" i="3"/>
  <c r="D1499" i="3"/>
  <c r="D1495" i="3"/>
  <c r="D1491" i="3"/>
  <c r="D1487" i="3"/>
  <c r="D1483" i="3"/>
  <c r="D1479" i="3"/>
  <c r="D1475" i="3"/>
  <c r="D1471" i="3"/>
  <c r="D1467" i="3"/>
  <c r="D1463" i="3"/>
  <c r="D1459" i="3"/>
  <c r="D1456" i="3"/>
  <c r="D1452" i="3"/>
  <c r="D1448" i="3"/>
  <c r="D1444" i="3"/>
  <c r="D1440" i="3"/>
  <c r="D1436" i="3"/>
  <c r="D1432" i="3"/>
  <c r="D1428" i="3"/>
  <c r="D1424" i="3"/>
  <c r="D1420" i="3"/>
  <c r="D1416" i="3"/>
  <c r="D1412" i="3"/>
  <c r="D1408" i="3"/>
  <c r="D1404" i="3"/>
  <c r="D1400" i="3"/>
  <c r="D1396" i="3"/>
  <c r="D1392" i="3"/>
  <c r="D1388" i="3"/>
  <c r="D1384" i="3"/>
  <c r="D1380" i="3"/>
  <c r="D1376" i="3"/>
  <c r="D1372" i="3"/>
  <c r="D1368" i="3"/>
  <c r="D1364" i="3"/>
  <c r="D1360" i="3"/>
  <c r="D1356" i="3"/>
  <c r="D1352" i="3"/>
  <c r="D1454" i="3"/>
  <c r="D1450" i="3"/>
  <c r="D1446" i="3"/>
  <c r="D1442" i="3"/>
  <c r="D1438" i="3"/>
  <c r="D1434" i="3"/>
  <c r="D1430" i="3"/>
  <c r="D1426" i="3"/>
  <c r="D1422" i="3"/>
  <c r="D1418" i="3"/>
  <c r="D1414" i="3"/>
  <c r="D1410" i="3"/>
  <c r="D1406" i="3"/>
  <c r="D1402" i="3"/>
  <c r="D1398" i="3"/>
  <c r="D1394" i="3"/>
  <c r="D1390" i="3"/>
  <c r="D1386" i="3"/>
  <c r="D1382" i="3"/>
  <c r="D1378" i="3"/>
  <c r="D1374" i="3"/>
  <c r="D1370" i="3"/>
  <c r="D1366" i="3"/>
  <c r="D1362" i="3"/>
  <c r="D1358" i="3"/>
  <c r="D1354" i="3"/>
  <c r="D1350" i="3"/>
  <c r="D1172" i="3"/>
  <c r="D1173" i="3"/>
  <c r="D1085" i="3"/>
  <c r="D1094" i="3"/>
  <c r="D1086" i="3"/>
  <c r="D1088" i="3"/>
  <c r="D1051" i="3"/>
  <c r="D1078" i="3"/>
  <c r="D1076" i="3"/>
  <c r="D1074" i="3"/>
  <c r="D1072" i="3"/>
  <c r="D1070" i="3"/>
  <c r="D1068" i="3"/>
  <c r="D1065" i="3"/>
  <c r="D1066" i="3"/>
  <c r="D1081" i="3"/>
  <c r="D1049" i="3"/>
  <c r="D1045" i="3"/>
  <c r="D1041" i="3"/>
  <c r="D1037" i="3"/>
  <c r="D1033" i="3"/>
  <c r="D1029" i="3"/>
  <c r="D1047" i="3"/>
  <c r="D1043" i="3"/>
  <c r="D1039" i="3"/>
  <c r="D1035" i="3"/>
  <c r="D1031" i="3"/>
  <c r="D1027" i="3"/>
  <c r="D6" i="4"/>
  <c r="E7" i="4"/>
  <c r="D7" i="4"/>
  <c r="D8" i="2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E6" i="4"/>
  <c r="D5" i="4"/>
  <c r="E5" i="4" s="1"/>
  <c r="O4" i="4"/>
  <c r="D4" i="4"/>
  <c r="E4" i="4" s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8" i="2"/>
  <c r="O4" i="2"/>
  <c r="D10" i="2"/>
  <c r="E10" i="2" s="1"/>
  <c r="D9" i="2"/>
  <c r="E9" i="2" s="1"/>
  <c r="D11" i="2"/>
  <c r="E11" i="2" s="1"/>
  <c r="E5" i="2"/>
  <c r="E6" i="2"/>
  <c r="E7" i="2"/>
  <c r="E8" i="2"/>
  <c r="D7" i="2"/>
  <c r="D5" i="2"/>
  <c r="F6" i="4" l="1"/>
  <c r="F7" i="4"/>
  <c r="F4" i="4"/>
  <c r="F5" i="4"/>
  <c r="F5" i="2"/>
  <c r="F4" i="2"/>
  <c r="F8" i="2"/>
  <c r="F7" i="2"/>
  <c r="F10" i="2"/>
  <c r="F6" i="2"/>
  <c r="F11" i="2"/>
  <c r="F9" i="2"/>
  <c r="J557" i="4" l="1"/>
  <c r="J553" i="4"/>
  <c r="J549" i="4"/>
  <c r="J545" i="4"/>
  <c r="J541" i="4"/>
  <c r="J537" i="4"/>
  <c r="J533" i="4"/>
  <c r="J529" i="4"/>
  <c r="J525" i="4"/>
  <c r="J521" i="4"/>
  <c r="J517" i="4"/>
  <c r="J513" i="4"/>
  <c r="J509" i="4"/>
  <c r="J505" i="4"/>
  <c r="J501" i="4"/>
  <c r="J497" i="4"/>
  <c r="J493" i="4"/>
  <c r="J489" i="4"/>
  <c r="J485" i="4"/>
  <c r="J481" i="4"/>
  <c r="J477" i="4"/>
  <c r="J473" i="4"/>
  <c r="J469" i="4"/>
  <c r="J465" i="4"/>
  <c r="J461" i="4"/>
  <c r="J457" i="4"/>
  <c r="J453" i="4"/>
  <c r="J449" i="4"/>
  <c r="J445" i="4"/>
  <c r="J441" i="4"/>
  <c r="J437" i="4"/>
  <c r="J433" i="4"/>
  <c r="J429" i="4"/>
  <c r="J425" i="4"/>
  <c r="J421" i="4"/>
  <c r="J417" i="4"/>
  <c r="J413" i="4"/>
  <c r="J409" i="4"/>
  <c r="J405" i="4"/>
  <c r="J401" i="4"/>
  <c r="J397" i="4"/>
  <c r="J393" i="4"/>
  <c r="J389" i="4"/>
  <c r="J385" i="4"/>
  <c r="J381" i="4"/>
  <c r="J377" i="4"/>
  <c r="J373" i="4"/>
  <c r="J369" i="4"/>
  <c r="J365" i="4"/>
  <c r="J361" i="4"/>
  <c r="J357" i="4"/>
  <c r="J353" i="4"/>
  <c r="J349" i="4"/>
  <c r="J345" i="4"/>
  <c r="J341" i="4"/>
  <c r="J337" i="4"/>
  <c r="J333" i="4"/>
  <c r="J329" i="4"/>
  <c r="J325" i="4"/>
  <c r="J321" i="4"/>
  <c r="J317" i="4"/>
  <c r="J313" i="4"/>
  <c r="J309" i="4"/>
  <c r="J305" i="4"/>
  <c r="J301" i="4"/>
  <c r="J297" i="4"/>
  <c r="J293" i="4"/>
  <c r="J289" i="4"/>
  <c r="J285" i="4"/>
  <c r="J281" i="4"/>
  <c r="J277" i="4"/>
  <c r="J273" i="4"/>
  <c r="J269" i="4"/>
  <c r="J265" i="4"/>
  <c r="J261" i="4"/>
  <c r="J257" i="4"/>
  <c r="J253" i="4"/>
  <c r="J249" i="4"/>
  <c r="J245" i="4"/>
  <c r="J241" i="4"/>
  <c r="J237" i="4"/>
  <c r="J233" i="4"/>
  <c r="J229" i="4"/>
  <c r="J225" i="4"/>
  <c r="J221" i="4"/>
  <c r="J556" i="4"/>
  <c r="J552" i="4"/>
  <c r="J548" i="4"/>
  <c r="J544" i="4"/>
  <c r="J540" i="4"/>
  <c r="J536" i="4"/>
  <c r="J532" i="4"/>
  <c r="J528" i="4"/>
  <c r="J524" i="4"/>
  <c r="J520" i="4"/>
  <c r="J516" i="4"/>
  <c r="J512" i="4"/>
  <c r="J508" i="4"/>
  <c r="J504" i="4"/>
  <c r="J500" i="4"/>
  <c r="J496" i="4"/>
  <c r="J492" i="4"/>
  <c r="J488" i="4"/>
  <c r="J484" i="4"/>
  <c r="J480" i="4"/>
  <c r="J476" i="4"/>
  <c r="J472" i="4"/>
  <c r="J468" i="4"/>
  <c r="J464" i="4"/>
  <c r="J460" i="4"/>
  <c r="J456" i="4"/>
  <c r="J452" i="4"/>
  <c r="J448" i="4"/>
  <c r="J444" i="4"/>
  <c r="J440" i="4"/>
  <c r="J436" i="4"/>
  <c r="J432" i="4"/>
  <c r="J428" i="4"/>
  <c r="J424" i="4"/>
  <c r="J420" i="4"/>
  <c r="J416" i="4"/>
  <c r="J412" i="4"/>
  <c r="J408" i="4"/>
  <c r="J404" i="4"/>
  <c r="J400" i="4"/>
  <c r="J396" i="4"/>
  <c r="J392" i="4"/>
  <c r="J388" i="4"/>
  <c r="J384" i="4"/>
  <c r="J380" i="4"/>
  <c r="J376" i="4"/>
  <c r="J372" i="4"/>
  <c r="J368" i="4"/>
  <c r="J364" i="4"/>
  <c r="J360" i="4"/>
  <c r="J356" i="4"/>
  <c r="J352" i="4"/>
  <c r="J348" i="4"/>
  <c r="J344" i="4"/>
  <c r="J340" i="4"/>
  <c r="J336" i="4"/>
  <c r="J332" i="4"/>
  <c r="J328" i="4"/>
  <c r="J324" i="4"/>
  <c r="J320" i="4"/>
  <c r="J316" i="4"/>
  <c r="J312" i="4"/>
  <c r="J308" i="4"/>
  <c r="J304" i="4"/>
  <c r="J300" i="4"/>
  <c r="J296" i="4"/>
  <c r="J292" i="4"/>
  <c r="J288" i="4"/>
  <c r="J284" i="4"/>
  <c r="J280" i="4"/>
  <c r="J276" i="4"/>
  <c r="J272" i="4"/>
  <c r="J268" i="4"/>
  <c r="J264" i="4"/>
  <c r="J260" i="4"/>
  <c r="J256" i="4"/>
  <c r="J252" i="4"/>
  <c r="J248" i="4"/>
  <c r="J244" i="4"/>
  <c r="J240" i="4"/>
  <c r="J236" i="4"/>
  <c r="J232" i="4"/>
  <c r="J228" i="4"/>
  <c r="J224" i="4"/>
  <c r="J220" i="4"/>
  <c r="J554" i="4"/>
  <c r="J550" i="4"/>
  <c r="J546" i="4"/>
  <c r="J542" i="4"/>
  <c r="J538" i="4"/>
  <c r="J534" i="4"/>
  <c r="J530" i="4"/>
  <c r="J526" i="4"/>
  <c r="J522" i="4"/>
  <c r="J518" i="4"/>
  <c r="J514" i="4"/>
  <c r="J510" i="4"/>
  <c r="J506" i="4"/>
  <c r="J502" i="4"/>
  <c r="J498" i="4"/>
  <c r="J494" i="4"/>
  <c r="J490" i="4"/>
  <c r="J486" i="4"/>
  <c r="J482" i="4"/>
  <c r="J478" i="4"/>
  <c r="J474" i="4"/>
  <c r="J470" i="4"/>
  <c r="J466" i="4"/>
  <c r="J462" i="4"/>
  <c r="J458" i="4"/>
  <c r="J454" i="4"/>
  <c r="J450" i="4"/>
  <c r="J446" i="4"/>
  <c r="J442" i="4"/>
  <c r="J438" i="4"/>
  <c r="J434" i="4"/>
  <c r="J430" i="4"/>
  <c r="J426" i="4"/>
  <c r="J422" i="4"/>
  <c r="J418" i="4"/>
  <c r="J414" i="4"/>
  <c r="J410" i="4"/>
  <c r="J406" i="4"/>
  <c r="J402" i="4"/>
  <c r="J398" i="4"/>
  <c r="J394" i="4"/>
  <c r="J390" i="4"/>
  <c r="J386" i="4"/>
  <c r="J382" i="4"/>
  <c r="J378" i="4"/>
  <c r="J374" i="4"/>
  <c r="J370" i="4"/>
  <c r="J366" i="4"/>
  <c r="J362" i="4"/>
  <c r="J358" i="4"/>
  <c r="J354" i="4"/>
  <c r="J350" i="4"/>
  <c r="J346" i="4"/>
  <c r="J342" i="4"/>
  <c r="J338" i="4"/>
  <c r="J334" i="4"/>
  <c r="J330" i="4"/>
  <c r="J326" i="4"/>
  <c r="J322" i="4"/>
  <c r="J318" i="4"/>
  <c r="J314" i="4"/>
  <c r="J310" i="4"/>
  <c r="J306" i="4"/>
  <c r="J302" i="4"/>
  <c r="J298" i="4"/>
  <c r="J294" i="4"/>
  <c r="J290" i="4"/>
  <c r="J286" i="4"/>
  <c r="J282" i="4"/>
  <c r="J278" i="4"/>
  <c r="J274" i="4"/>
  <c r="J270" i="4"/>
  <c r="J266" i="4"/>
  <c r="J262" i="4"/>
  <c r="J258" i="4"/>
  <c r="J254" i="4"/>
  <c r="J250" i="4"/>
  <c r="J246" i="4"/>
  <c r="J242" i="4"/>
  <c r="J238" i="4"/>
  <c r="J234" i="4"/>
  <c r="J230" i="4"/>
  <c r="J226" i="4"/>
  <c r="J222" i="4"/>
  <c r="J218" i="4"/>
  <c r="J555" i="4"/>
  <c r="J539" i="4"/>
  <c r="J523" i="4"/>
  <c r="J507" i="4"/>
  <c r="J491" i="4"/>
  <c r="J475" i="4"/>
  <c r="J459" i="4"/>
  <c r="J443" i="4"/>
  <c r="J427" i="4"/>
  <c r="J411" i="4"/>
  <c r="J395" i="4"/>
  <c r="J379" i="4"/>
  <c r="J363" i="4"/>
  <c r="J347" i="4"/>
  <c r="J331" i="4"/>
  <c r="J315" i="4"/>
  <c r="J299" i="4"/>
  <c r="J283" i="4"/>
  <c r="J267" i="4"/>
  <c r="J251" i="4"/>
  <c r="J235" i="4"/>
  <c r="J219" i="4"/>
  <c r="J214" i="4"/>
  <c r="J210" i="4"/>
  <c r="J206" i="4"/>
  <c r="J202" i="4"/>
  <c r="J198" i="4"/>
  <c r="J194" i="4"/>
  <c r="J190" i="4"/>
  <c r="J186" i="4"/>
  <c r="J182" i="4"/>
  <c r="J178" i="4"/>
  <c r="J174" i="4"/>
  <c r="J170" i="4"/>
  <c r="J166" i="4"/>
  <c r="J162" i="4"/>
  <c r="J158" i="4"/>
  <c r="J154" i="4"/>
  <c r="J150" i="4"/>
  <c r="J146" i="4"/>
  <c r="J142" i="4"/>
  <c r="J138" i="4"/>
  <c r="J134" i="4"/>
  <c r="J130" i="4"/>
  <c r="J126" i="4"/>
  <c r="J122" i="4"/>
  <c r="J118" i="4"/>
  <c r="J114" i="4"/>
  <c r="J110" i="4"/>
  <c r="J106" i="4"/>
  <c r="J102" i="4"/>
  <c r="J98" i="4"/>
  <c r="J94" i="4"/>
  <c r="J90" i="4"/>
  <c r="J86" i="4"/>
  <c r="J82" i="4"/>
  <c r="J78" i="4"/>
  <c r="J74" i="4"/>
  <c r="J70" i="4"/>
  <c r="J66" i="4"/>
  <c r="J62" i="4"/>
  <c r="J58" i="4"/>
  <c r="J54" i="4"/>
  <c r="J50" i="4"/>
  <c r="J46" i="4"/>
  <c r="J42" i="4"/>
  <c r="J38" i="4"/>
  <c r="J34" i="4"/>
  <c r="J30" i="4"/>
  <c r="J551" i="4"/>
  <c r="J535" i="4"/>
  <c r="J519" i="4"/>
  <c r="J503" i="4"/>
  <c r="J487" i="4"/>
  <c r="J471" i="4"/>
  <c r="J455" i="4"/>
  <c r="J439" i="4"/>
  <c r="J423" i="4"/>
  <c r="J407" i="4"/>
  <c r="J391" i="4"/>
  <c r="J375" i="4"/>
  <c r="J359" i="4"/>
  <c r="J343" i="4"/>
  <c r="J327" i="4"/>
  <c r="J311" i="4"/>
  <c r="J295" i="4"/>
  <c r="J279" i="4"/>
  <c r="J263" i="4"/>
  <c r="J247" i="4"/>
  <c r="J231" i="4"/>
  <c r="J217" i="4"/>
  <c r="J213" i="4"/>
  <c r="J209" i="4"/>
  <c r="J205" i="4"/>
  <c r="J201" i="4"/>
  <c r="J197" i="4"/>
  <c r="J193" i="4"/>
  <c r="J189" i="4"/>
  <c r="J185" i="4"/>
  <c r="J181" i="4"/>
  <c r="J177" i="4"/>
  <c r="J173" i="4"/>
  <c r="J169" i="4"/>
  <c r="J165" i="4"/>
  <c r="J161" i="4"/>
  <c r="J157" i="4"/>
  <c r="J153" i="4"/>
  <c r="J149" i="4"/>
  <c r="J145" i="4"/>
  <c r="J141" i="4"/>
  <c r="J137" i="4"/>
  <c r="J133" i="4"/>
  <c r="J129" i="4"/>
  <c r="J125" i="4"/>
  <c r="J121" i="4"/>
  <c r="J117" i="4"/>
  <c r="J113" i="4"/>
  <c r="J109" i="4"/>
  <c r="J105" i="4"/>
  <c r="J101" i="4"/>
  <c r="J97" i="4"/>
  <c r="J93" i="4"/>
  <c r="J89" i="4"/>
  <c r="J85" i="4"/>
  <c r="J81" i="4"/>
  <c r="J77" i="4"/>
  <c r="J73" i="4"/>
  <c r="J69" i="4"/>
  <c r="J65" i="4"/>
  <c r="J61" i="4"/>
  <c r="J57" i="4"/>
  <c r="J53" i="4"/>
  <c r="J49" i="4"/>
  <c r="J45" i="4"/>
  <c r="J41" i="4"/>
  <c r="J37" i="4"/>
  <c r="J33" i="4"/>
  <c r="J29" i="4"/>
  <c r="J547" i="4"/>
  <c r="J531" i="4"/>
  <c r="J515" i="4"/>
  <c r="J499" i="4"/>
  <c r="J483" i="4"/>
  <c r="J467" i="4"/>
  <c r="J451" i="4"/>
  <c r="J435" i="4"/>
  <c r="J419" i="4"/>
  <c r="J403" i="4"/>
  <c r="J387" i="4"/>
  <c r="J371" i="4"/>
  <c r="J355" i="4"/>
  <c r="J339" i="4"/>
  <c r="J323" i="4"/>
  <c r="J307" i="4"/>
  <c r="J291" i="4"/>
  <c r="J275" i="4"/>
  <c r="J259" i="4"/>
  <c r="J243" i="4"/>
  <c r="J227" i="4"/>
  <c r="J216" i="4"/>
  <c r="J212" i="4"/>
  <c r="J208" i="4"/>
  <c r="J204" i="4"/>
  <c r="J200" i="4"/>
  <c r="J196" i="4"/>
  <c r="J192" i="4"/>
  <c r="J188" i="4"/>
  <c r="J184" i="4"/>
  <c r="J180" i="4"/>
  <c r="J176" i="4"/>
  <c r="J172" i="4"/>
  <c r="J168" i="4"/>
  <c r="J164" i="4"/>
  <c r="J160" i="4"/>
  <c r="J156" i="4"/>
  <c r="J152" i="4"/>
  <c r="J148" i="4"/>
  <c r="J144" i="4"/>
  <c r="J140" i="4"/>
  <c r="J136" i="4"/>
  <c r="J132" i="4"/>
  <c r="J128" i="4"/>
  <c r="J124" i="4"/>
  <c r="J120" i="4"/>
  <c r="J116" i="4"/>
  <c r="J112" i="4"/>
  <c r="J108" i="4"/>
  <c r="J104" i="4"/>
  <c r="J100" i="4"/>
  <c r="J96" i="4"/>
  <c r="J92" i="4"/>
  <c r="J88" i="4"/>
  <c r="J84" i="4"/>
  <c r="J80" i="4"/>
  <c r="J76" i="4"/>
  <c r="J72" i="4"/>
  <c r="J68" i="4"/>
  <c r="J64" i="4"/>
  <c r="J60" i="4"/>
  <c r="J56" i="4"/>
  <c r="J52" i="4"/>
  <c r="J48" i="4"/>
  <c r="J44" i="4"/>
  <c r="J40" i="4"/>
  <c r="J36" i="4"/>
  <c r="J32" i="4"/>
  <c r="J28" i="4"/>
  <c r="J543" i="4"/>
  <c r="J527" i="4"/>
  <c r="J511" i="4"/>
  <c r="J495" i="4"/>
  <c r="J479" i="4"/>
  <c r="J463" i="4"/>
  <c r="J447" i="4"/>
  <c r="J431" i="4"/>
  <c r="J415" i="4"/>
  <c r="J399" i="4"/>
  <c r="J383" i="4"/>
  <c r="J367" i="4"/>
  <c r="J351" i="4"/>
  <c r="J335" i="4"/>
  <c r="J319" i="4"/>
  <c r="J303" i="4"/>
  <c r="J287" i="4"/>
  <c r="J271" i="4"/>
  <c r="J255" i="4"/>
  <c r="J239" i="4"/>
  <c r="J223" i="4"/>
  <c r="J215" i="4"/>
  <c r="J211" i="4"/>
  <c r="J207" i="4"/>
  <c r="J203" i="4"/>
  <c r="J199" i="4"/>
  <c r="J195" i="4"/>
  <c r="J191" i="4"/>
  <c r="J187" i="4"/>
  <c r="J183" i="4"/>
  <c r="J179" i="4"/>
  <c r="J175" i="4"/>
  <c r="J171" i="4"/>
  <c r="J167" i="4"/>
  <c r="J163" i="4"/>
  <c r="J159" i="4"/>
  <c r="J155" i="4"/>
  <c r="J151" i="4"/>
  <c r="J147" i="4"/>
  <c r="J143" i="4"/>
  <c r="J139" i="4"/>
  <c r="J135" i="4"/>
  <c r="J131" i="4"/>
  <c r="J127" i="4"/>
  <c r="J123" i="4"/>
  <c r="J119" i="4"/>
  <c r="J115" i="4"/>
  <c r="J111" i="4"/>
  <c r="J107" i="4"/>
  <c r="J103" i="4"/>
  <c r="J99" i="4"/>
  <c r="J95" i="4"/>
  <c r="J91" i="4"/>
  <c r="J87" i="4"/>
  <c r="J83" i="4"/>
  <c r="J79" i="4"/>
  <c r="J75" i="4"/>
  <c r="J71" i="4"/>
  <c r="J67" i="4"/>
  <c r="J63" i="4"/>
  <c r="J59" i="4"/>
  <c r="J55" i="4"/>
  <c r="J51" i="4"/>
  <c r="J47" i="4"/>
  <c r="J43" i="4"/>
  <c r="J39" i="4"/>
  <c r="J35" i="4"/>
  <c r="J31" i="4"/>
  <c r="J27" i="4"/>
  <c r="D4" i="2" l="1"/>
  <c r="Q7" i="3" l="1"/>
  <c r="F164" i="3" l="1"/>
  <c r="H164" i="3" s="1"/>
  <c r="F1053" i="3"/>
  <c r="H1053" i="3" s="1"/>
  <c r="F1057" i="3"/>
  <c r="H1057" i="3" s="1"/>
  <c r="F1061" i="3"/>
  <c r="H1061" i="3" s="1"/>
  <c r="F1068" i="3"/>
  <c r="H1068" i="3" s="1"/>
  <c r="F1073" i="3"/>
  <c r="H1073" i="3" s="1"/>
  <c r="F1074" i="3"/>
  <c r="H1074" i="3" s="1"/>
  <c r="F1083" i="3"/>
  <c r="H1083" i="3" s="1"/>
  <c r="F1087" i="3"/>
  <c r="H1087" i="3" s="1"/>
  <c r="F1091" i="3"/>
  <c r="H1091" i="3" s="1"/>
  <c r="F1095" i="3"/>
  <c r="H1095" i="3" s="1"/>
  <c r="F1096" i="3"/>
  <c r="H1096" i="3" s="1"/>
  <c r="F1097" i="3"/>
  <c r="H1097" i="3" s="1"/>
  <c r="F1098" i="3"/>
  <c r="H1098" i="3" s="1"/>
  <c r="F1099" i="3"/>
  <c r="H1099" i="3" s="1"/>
  <c r="F1100" i="3"/>
  <c r="H1100" i="3" s="1"/>
  <c r="F1101" i="3"/>
  <c r="H1101" i="3" s="1"/>
  <c r="F1102" i="3"/>
  <c r="H1102" i="3" s="1"/>
  <c r="F1103" i="3"/>
  <c r="H1103" i="3" s="1"/>
  <c r="F1104" i="3"/>
  <c r="H1104" i="3" s="1"/>
  <c r="F1105" i="3"/>
  <c r="H1105" i="3" s="1"/>
  <c r="F1106" i="3"/>
  <c r="H1106" i="3" s="1"/>
  <c r="F1107" i="3"/>
  <c r="H1107" i="3" s="1"/>
  <c r="F1108" i="3"/>
  <c r="H1108" i="3" s="1"/>
  <c r="F1109" i="3"/>
  <c r="H1109" i="3" s="1"/>
  <c r="F1110" i="3"/>
  <c r="H1110" i="3" s="1"/>
  <c r="F1111" i="3"/>
  <c r="H1111" i="3" s="1"/>
  <c r="F1112" i="3"/>
  <c r="H1112" i="3" s="1"/>
  <c r="F1113" i="3"/>
  <c r="H1113" i="3" s="1"/>
  <c r="F1114" i="3"/>
  <c r="H1114" i="3" s="1"/>
  <c r="F1115" i="3"/>
  <c r="H1115" i="3" s="1"/>
  <c r="F1052" i="3"/>
  <c r="H1052" i="3" s="1"/>
  <c r="F1056" i="3"/>
  <c r="H1056" i="3" s="1"/>
  <c r="F1060" i="3"/>
  <c r="H1060" i="3" s="1"/>
  <c r="F1064" i="3"/>
  <c r="H1064" i="3" s="1"/>
  <c r="F1069" i="3"/>
  <c r="H1069" i="3" s="1"/>
  <c r="F1070" i="3"/>
  <c r="H1070" i="3" s="1"/>
  <c r="F1075" i="3"/>
  <c r="H1075" i="3" s="1"/>
  <c r="F1082" i="3"/>
  <c r="H1082" i="3" s="1"/>
  <c r="F1086" i="3"/>
  <c r="H1086" i="3" s="1"/>
  <c r="F1090" i="3"/>
  <c r="H1090" i="3" s="1"/>
  <c r="F1094" i="3"/>
  <c r="H1094" i="3" s="1"/>
  <c r="F1051" i="3"/>
  <c r="H1051" i="3" s="1"/>
  <c r="F1055" i="3"/>
  <c r="H1055" i="3" s="1"/>
  <c r="F1059" i="3"/>
  <c r="H1059" i="3" s="1"/>
  <c r="F1063" i="3"/>
  <c r="H1063" i="3" s="1"/>
  <c r="F1065" i="3"/>
  <c r="H1065" i="3" s="1"/>
  <c r="F1071" i="3"/>
  <c r="H1071" i="3" s="1"/>
  <c r="F1076" i="3"/>
  <c r="H1076" i="3" s="1"/>
  <c r="F1077" i="3"/>
  <c r="H1077" i="3" s="1"/>
  <c r="F1080" i="3"/>
  <c r="H1080" i="3" s="1"/>
  <c r="F1081" i="3"/>
  <c r="H1081" i="3" s="1"/>
  <c r="F1085" i="3"/>
  <c r="H1085" i="3" s="1"/>
  <c r="F1089" i="3"/>
  <c r="H1089" i="3" s="1"/>
  <c r="F1093" i="3"/>
  <c r="H1093" i="3" s="1"/>
  <c r="F1139" i="3"/>
  <c r="H1139" i="3" s="1"/>
  <c r="F1140" i="3"/>
  <c r="H1140" i="3" s="1"/>
  <c r="F1147" i="3"/>
  <c r="H1147" i="3" s="1"/>
  <c r="F1148" i="3"/>
  <c r="H1148" i="3" s="1"/>
  <c r="F1155" i="3"/>
  <c r="H1155" i="3" s="1"/>
  <c r="F1156" i="3"/>
  <c r="H1156" i="3" s="1"/>
  <c r="F1019" i="3"/>
  <c r="H1019" i="3" s="1"/>
  <c r="F1021" i="3"/>
  <c r="H1021" i="3" s="1"/>
  <c r="F1023" i="3"/>
  <c r="H1023" i="3" s="1"/>
  <c r="F1025" i="3"/>
  <c r="H1025" i="3" s="1"/>
  <c r="F1027" i="3"/>
  <c r="H1027" i="3" s="1"/>
  <c r="F1029" i="3"/>
  <c r="H1029" i="3" s="1"/>
  <c r="F1031" i="3"/>
  <c r="H1031" i="3" s="1"/>
  <c r="F1033" i="3"/>
  <c r="H1033" i="3" s="1"/>
  <c r="F1035" i="3"/>
  <c r="H1035" i="3" s="1"/>
  <c r="F1037" i="3"/>
  <c r="H1037" i="3" s="1"/>
  <c r="F1039" i="3"/>
  <c r="H1039" i="3" s="1"/>
  <c r="F1041" i="3"/>
  <c r="H1041" i="3" s="1"/>
  <c r="F1043" i="3"/>
  <c r="H1043" i="3" s="1"/>
  <c r="F1045" i="3"/>
  <c r="H1045" i="3" s="1"/>
  <c r="F1047" i="3"/>
  <c r="H1047" i="3" s="1"/>
  <c r="F1049" i="3"/>
  <c r="H1049" i="3" s="1"/>
  <c r="F1054" i="3"/>
  <c r="H1054" i="3" s="1"/>
  <c r="F1062" i="3"/>
  <c r="H1062" i="3" s="1"/>
  <c r="F1088" i="3"/>
  <c r="H1088" i="3" s="1"/>
  <c r="F1116" i="3"/>
  <c r="H1116" i="3" s="1"/>
  <c r="F1121" i="3"/>
  <c r="H1121" i="3" s="1"/>
  <c r="F1124" i="3"/>
  <c r="H1124" i="3" s="1"/>
  <c r="F1133" i="3"/>
  <c r="H1133" i="3" s="1"/>
  <c r="F1134" i="3"/>
  <c r="H1134" i="3" s="1"/>
  <c r="F1165" i="3"/>
  <c r="H1165" i="3" s="1"/>
  <c r="F1166" i="3"/>
  <c r="H1166" i="3" s="1"/>
  <c r="F1175" i="3"/>
  <c r="H1175" i="3" s="1"/>
  <c r="F1176" i="3"/>
  <c r="H1176" i="3" s="1"/>
  <c r="F1179" i="3"/>
  <c r="H1179" i="3" s="1"/>
  <c r="F1180" i="3"/>
  <c r="H1180" i="3" s="1"/>
  <c r="F1183" i="3"/>
  <c r="H1183" i="3" s="1"/>
  <c r="F1067" i="3"/>
  <c r="H1067" i="3" s="1"/>
  <c r="F1079" i="3"/>
  <c r="H1079" i="3" s="1"/>
  <c r="F1118" i="3"/>
  <c r="H1118" i="3" s="1"/>
  <c r="F1123" i="3"/>
  <c r="H1123" i="3" s="1"/>
  <c r="F1126" i="3"/>
  <c r="H1126" i="3" s="1"/>
  <c r="F1131" i="3"/>
  <c r="H1131" i="3" s="1"/>
  <c r="F1132" i="3"/>
  <c r="H1132" i="3" s="1"/>
  <c r="F1142" i="3"/>
  <c r="H1142" i="3" s="1"/>
  <c r="F1150" i="3"/>
  <c r="H1150" i="3" s="1"/>
  <c r="F1158" i="3"/>
  <c r="H1158" i="3" s="1"/>
  <c r="F1163" i="3"/>
  <c r="H1163" i="3" s="1"/>
  <c r="F1164" i="3"/>
  <c r="H1164" i="3" s="1"/>
  <c r="F1171" i="3"/>
  <c r="H1171" i="3" s="1"/>
  <c r="F1172" i="3"/>
  <c r="H1172" i="3" s="1"/>
  <c r="F1173" i="3"/>
  <c r="H1173" i="3" s="1"/>
  <c r="F1177" i="3"/>
  <c r="H1177" i="3" s="1"/>
  <c r="F1181" i="3"/>
  <c r="H1181" i="3" s="1"/>
  <c r="F1185" i="3"/>
  <c r="H1185" i="3" s="1"/>
  <c r="F1189" i="3"/>
  <c r="H1189" i="3" s="1"/>
  <c r="F1193" i="3"/>
  <c r="H1193" i="3" s="1"/>
  <c r="F1197" i="3"/>
  <c r="H1197" i="3" s="1"/>
  <c r="F1201" i="3"/>
  <c r="H1201" i="3" s="1"/>
  <c r="F1205" i="3"/>
  <c r="H1205" i="3" s="1"/>
  <c r="F1209" i="3"/>
  <c r="H1209" i="3" s="1"/>
  <c r="F1213" i="3"/>
  <c r="H1213" i="3" s="1"/>
  <c r="F1217" i="3"/>
  <c r="H1217" i="3" s="1"/>
  <c r="F1221" i="3"/>
  <c r="H1221" i="3" s="1"/>
  <c r="F1225" i="3"/>
  <c r="H1225" i="3" s="1"/>
  <c r="F1229" i="3"/>
  <c r="H1229" i="3" s="1"/>
  <c r="F1233" i="3"/>
  <c r="H1233" i="3" s="1"/>
  <c r="F1020" i="3"/>
  <c r="H1020" i="3" s="1"/>
  <c r="F1022" i="3"/>
  <c r="H1022" i="3" s="1"/>
  <c r="F1024" i="3"/>
  <c r="H1024" i="3" s="1"/>
  <c r="F1026" i="3"/>
  <c r="H1026" i="3" s="1"/>
  <c r="F1028" i="3"/>
  <c r="H1028" i="3" s="1"/>
  <c r="F1030" i="3"/>
  <c r="H1030" i="3" s="1"/>
  <c r="F1032" i="3"/>
  <c r="H1032" i="3" s="1"/>
  <c r="F1034" i="3"/>
  <c r="H1034" i="3" s="1"/>
  <c r="F1036" i="3"/>
  <c r="H1036" i="3" s="1"/>
  <c r="F1038" i="3"/>
  <c r="H1038" i="3" s="1"/>
  <c r="F1040" i="3"/>
  <c r="H1040" i="3" s="1"/>
  <c r="F1042" i="3"/>
  <c r="H1042" i="3" s="1"/>
  <c r="F1044" i="3"/>
  <c r="H1044" i="3" s="1"/>
  <c r="F1046" i="3"/>
  <c r="H1046" i="3" s="1"/>
  <c r="F1048" i="3"/>
  <c r="H1048" i="3" s="1"/>
  <c r="F1050" i="3"/>
  <c r="H1050" i="3" s="1"/>
  <c r="F1058" i="3"/>
  <c r="H1058" i="3" s="1"/>
  <c r="F1066" i="3"/>
  <c r="H1066" i="3" s="1"/>
  <c r="F1072" i="3"/>
  <c r="H1072" i="3" s="1"/>
  <c r="F1078" i="3"/>
  <c r="H1078" i="3" s="1"/>
  <c r="F1084" i="3"/>
  <c r="H1084" i="3" s="1"/>
  <c r="F1092" i="3"/>
  <c r="H1092" i="3" s="1"/>
  <c r="F1117" i="3"/>
  <c r="H1117" i="3" s="1"/>
  <c r="F1120" i="3"/>
  <c r="H1120" i="3" s="1"/>
  <c r="F1125" i="3"/>
  <c r="H1125" i="3" s="1"/>
  <c r="F1129" i="3"/>
  <c r="H1129" i="3" s="1"/>
  <c r="F1130" i="3"/>
  <c r="H1130" i="3" s="1"/>
  <c r="F1137" i="3"/>
  <c r="H1137" i="3" s="1"/>
  <c r="F1138" i="3"/>
  <c r="H1138" i="3" s="1"/>
  <c r="F1141" i="3"/>
  <c r="H1141" i="3" s="1"/>
  <c r="F1145" i="3"/>
  <c r="H1145" i="3" s="1"/>
  <c r="F1146" i="3"/>
  <c r="H1146" i="3" s="1"/>
  <c r="F1149" i="3"/>
  <c r="H1149" i="3" s="1"/>
  <c r="F1153" i="3"/>
  <c r="H1153" i="3" s="1"/>
  <c r="F1154" i="3"/>
  <c r="H1154" i="3" s="1"/>
  <c r="F1157" i="3"/>
  <c r="H1157" i="3" s="1"/>
  <c r="F1161" i="3"/>
  <c r="H1161" i="3" s="1"/>
  <c r="F1162" i="3"/>
  <c r="H1162" i="3" s="1"/>
  <c r="F1169" i="3"/>
  <c r="H1169" i="3" s="1"/>
  <c r="F1170" i="3"/>
  <c r="H1170" i="3" s="1"/>
  <c r="F1119" i="3"/>
  <c r="H1119" i="3" s="1"/>
  <c r="F1122" i="3"/>
  <c r="H1122" i="3" s="1"/>
  <c r="F1127" i="3"/>
  <c r="H1127" i="3" s="1"/>
  <c r="F1128" i="3"/>
  <c r="H1128" i="3" s="1"/>
  <c r="F1135" i="3"/>
  <c r="H1135" i="3" s="1"/>
  <c r="F1136" i="3"/>
  <c r="H1136" i="3" s="1"/>
  <c r="F1143" i="3"/>
  <c r="H1143" i="3" s="1"/>
  <c r="F1144" i="3"/>
  <c r="H1144" i="3" s="1"/>
  <c r="F1151" i="3"/>
  <c r="H1151" i="3" s="1"/>
  <c r="F1152" i="3"/>
  <c r="H1152" i="3" s="1"/>
  <c r="F1159" i="3"/>
  <c r="H1159" i="3" s="1"/>
  <c r="F1160" i="3"/>
  <c r="H1160" i="3" s="1"/>
  <c r="F1167" i="3"/>
  <c r="H1167" i="3" s="1"/>
  <c r="F1168" i="3"/>
  <c r="H1168" i="3" s="1"/>
  <c r="F1174" i="3"/>
  <c r="H1174" i="3" s="1"/>
  <c r="F1178" i="3"/>
  <c r="H1178" i="3" s="1"/>
  <c r="F1182" i="3"/>
  <c r="H1182" i="3" s="1"/>
  <c r="F1186" i="3"/>
  <c r="H1186" i="3" s="1"/>
  <c r="F1190" i="3"/>
  <c r="H1190" i="3" s="1"/>
  <c r="F1194" i="3"/>
  <c r="H1194" i="3" s="1"/>
  <c r="F1198" i="3"/>
  <c r="H1198" i="3" s="1"/>
  <c r="F1202" i="3"/>
  <c r="H1202" i="3" s="1"/>
  <c r="F1206" i="3"/>
  <c r="H1206" i="3" s="1"/>
  <c r="F1210" i="3"/>
  <c r="H1210" i="3" s="1"/>
  <c r="F1214" i="3"/>
  <c r="H1214" i="3" s="1"/>
  <c r="F1218" i="3"/>
  <c r="H1218" i="3" s="1"/>
  <c r="F1222" i="3"/>
  <c r="H1222" i="3" s="1"/>
  <c r="F1226" i="3"/>
  <c r="H1226" i="3" s="1"/>
  <c r="F1230" i="3"/>
  <c r="H1230" i="3" s="1"/>
  <c r="F1234" i="3"/>
  <c r="H1234" i="3" s="1"/>
  <c r="F1238" i="3"/>
  <c r="H1238" i="3" s="1"/>
  <c r="F1242" i="3"/>
  <c r="H1242" i="3" s="1"/>
  <c r="F1246" i="3"/>
  <c r="H1246" i="3" s="1"/>
  <c r="F1249" i="3"/>
  <c r="H1249" i="3" s="1"/>
  <c r="F1254" i="3"/>
  <c r="H1254" i="3" s="1"/>
  <c r="F1257" i="3"/>
  <c r="H1257" i="3" s="1"/>
  <c r="F1262" i="3"/>
  <c r="H1262" i="3" s="1"/>
  <c r="F1265" i="3"/>
  <c r="H1265" i="3" s="1"/>
  <c r="F1270" i="3"/>
  <c r="H1270" i="3" s="1"/>
  <c r="F1273" i="3"/>
  <c r="H1273" i="3" s="1"/>
  <c r="F1261" i="3"/>
  <c r="H1261" i="3" s="1"/>
  <c r="F1269" i="3"/>
  <c r="H1269" i="3" s="1"/>
  <c r="F1277" i="3"/>
  <c r="H1277" i="3" s="1"/>
  <c r="F1281" i="3"/>
  <c r="H1281" i="3" s="1"/>
  <c r="F1286" i="3"/>
  <c r="H1286" i="3" s="1"/>
  <c r="F1287" i="3"/>
  <c r="H1287" i="3" s="1"/>
  <c r="F1290" i="3"/>
  <c r="H1290" i="3" s="1"/>
  <c r="F1291" i="3"/>
  <c r="H1291" i="3" s="1"/>
  <c r="F1292" i="3"/>
  <c r="H1292" i="3" s="1"/>
  <c r="F1296" i="3"/>
  <c r="H1296" i="3" s="1"/>
  <c r="F1301" i="3"/>
  <c r="H1301" i="3" s="1"/>
  <c r="F1313" i="3"/>
  <c r="H1313" i="3" s="1"/>
  <c r="F1318" i="3"/>
  <c r="H1318" i="3" s="1"/>
  <c r="F1319" i="3"/>
  <c r="H1319" i="3" s="1"/>
  <c r="F1322" i="3"/>
  <c r="H1322" i="3" s="1"/>
  <c r="F1323" i="3"/>
  <c r="H1323" i="3" s="1"/>
  <c r="F1324" i="3"/>
  <c r="H1324" i="3" s="1"/>
  <c r="F1184" i="3"/>
  <c r="H1184" i="3" s="1"/>
  <c r="F1188" i="3"/>
  <c r="H1188" i="3" s="1"/>
  <c r="F1192" i="3"/>
  <c r="H1192" i="3" s="1"/>
  <c r="F1196" i="3"/>
  <c r="H1196" i="3" s="1"/>
  <c r="F1200" i="3"/>
  <c r="H1200" i="3" s="1"/>
  <c r="F1204" i="3"/>
  <c r="H1204" i="3" s="1"/>
  <c r="F1208" i="3"/>
  <c r="H1208" i="3" s="1"/>
  <c r="F1212" i="3"/>
  <c r="H1212" i="3" s="1"/>
  <c r="F1216" i="3"/>
  <c r="H1216" i="3" s="1"/>
  <c r="F1220" i="3"/>
  <c r="H1220" i="3" s="1"/>
  <c r="F1224" i="3"/>
  <c r="H1224" i="3" s="1"/>
  <c r="F1228" i="3"/>
  <c r="H1228" i="3" s="1"/>
  <c r="F1232" i="3"/>
  <c r="H1232" i="3" s="1"/>
  <c r="F1236" i="3"/>
  <c r="H1236" i="3" s="1"/>
  <c r="F1237" i="3"/>
  <c r="H1237" i="3" s="1"/>
  <c r="F1239" i="3"/>
  <c r="H1239" i="3" s="1"/>
  <c r="F1240" i="3"/>
  <c r="H1240" i="3" s="1"/>
  <c r="F1241" i="3"/>
  <c r="H1241" i="3" s="1"/>
  <c r="F1243" i="3"/>
  <c r="H1243" i="3" s="1"/>
  <c r="F1244" i="3"/>
  <c r="H1244" i="3" s="1"/>
  <c r="F1245" i="3"/>
  <c r="H1245" i="3" s="1"/>
  <c r="F1247" i="3"/>
  <c r="H1247" i="3" s="1"/>
  <c r="F1248" i="3"/>
  <c r="H1248" i="3" s="1"/>
  <c r="F1250" i="3"/>
  <c r="H1250" i="3" s="1"/>
  <c r="F1251" i="3"/>
  <c r="H1251" i="3" s="1"/>
  <c r="F1252" i="3"/>
  <c r="H1252" i="3" s="1"/>
  <c r="F1253" i="3"/>
  <c r="H1253" i="3" s="1"/>
  <c r="F1255" i="3"/>
  <c r="H1255" i="3" s="1"/>
  <c r="F1263" i="3"/>
  <c r="H1263" i="3" s="1"/>
  <c r="F1271" i="3"/>
  <c r="H1271" i="3" s="1"/>
  <c r="F1278" i="3"/>
  <c r="H1278" i="3" s="1"/>
  <c r="F1279" i="3"/>
  <c r="H1279" i="3" s="1"/>
  <c r="F1282" i="3"/>
  <c r="H1282" i="3" s="1"/>
  <c r="F1283" i="3"/>
  <c r="H1283" i="3" s="1"/>
  <c r="F1284" i="3"/>
  <c r="H1284" i="3" s="1"/>
  <c r="F1288" i="3"/>
  <c r="H1288" i="3" s="1"/>
  <c r="F1293" i="3"/>
  <c r="H1293" i="3" s="1"/>
  <c r="F1305" i="3"/>
  <c r="H1305" i="3" s="1"/>
  <c r="F1310" i="3"/>
  <c r="H1310" i="3" s="1"/>
  <c r="F1311" i="3"/>
  <c r="H1311" i="3" s="1"/>
  <c r="F1314" i="3"/>
  <c r="H1314" i="3" s="1"/>
  <c r="F1315" i="3"/>
  <c r="H1315" i="3" s="1"/>
  <c r="F1316" i="3"/>
  <c r="H1316" i="3" s="1"/>
  <c r="F1320" i="3"/>
  <c r="H1320" i="3" s="1"/>
  <c r="F1187" i="3"/>
  <c r="H1187" i="3" s="1"/>
  <c r="F1191" i="3"/>
  <c r="H1191" i="3" s="1"/>
  <c r="F1195" i="3"/>
  <c r="H1195" i="3" s="1"/>
  <c r="F1199" i="3"/>
  <c r="H1199" i="3" s="1"/>
  <c r="F1203" i="3"/>
  <c r="H1203" i="3" s="1"/>
  <c r="F1207" i="3"/>
  <c r="H1207" i="3" s="1"/>
  <c r="F1211" i="3"/>
  <c r="H1211" i="3" s="1"/>
  <c r="F1215" i="3"/>
  <c r="H1215" i="3" s="1"/>
  <c r="F1219" i="3"/>
  <c r="H1219" i="3" s="1"/>
  <c r="F1223" i="3"/>
  <c r="H1223" i="3" s="1"/>
  <c r="F1227" i="3"/>
  <c r="H1227" i="3" s="1"/>
  <c r="F1231" i="3"/>
  <c r="H1231" i="3" s="1"/>
  <c r="F1235" i="3"/>
  <c r="H1235" i="3" s="1"/>
  <c r="F1256" i="3"/>
  <c r="H1256" i="3" s="1"/>
  <c r="F1264" i="3"/>
  <c r="H1264" i="3" s="1"/>
  <c r="F1272" i="3"/>
  <c r="H1272" i="3" s="1"/>
  <c r="F1280" i="3"/>
  <c r="H1280" i="3" s="1"/>
  <c r="F1285" i="3"/>
  <c r="H1285" i="3" s="1"/>
  <c r="F1297" i="3"/>
  <c r="H1297" i="3" s="1"/>
  <c r="F1302" i="3"/>
  <c r="H1302" i="3" s="1"/>
  <c r="F1303" i="3"/>
  <c r="H1303" i="3" s="1"/>
  <c r="F1306" i="3"/>
  <c r="H1306" i="3" s="1"/>
  <c r="F1307" i="3"/>
  <c r="H1307" i="3" s="1"/>
  <c r="F1308" i="3"/>
  <c r="H1308" i="3" s="1"/>
  <c r="F1312" i="3"/>
  <c r="H1312" i="3" s="1"/>
  <c r="F1317" i="3"/>
  <c r="H1317" i="3" s="1"/>
  <c r="F1333" i="3"/>
  <c r="H1333" i="3" s="1"/>
  <c r="F1337" i="3"/>
  <c r="H1337" i="3" s="1"/>
  <c r="F1258" i="3"/>
  <c r="H1258" i="3" s="1"/>
  <c r="F1259" i="3"/>
  <c r="H1259" i="3" s="1"/>
  <c r="F1260" i="3"/>
  <c r="H1260" i="3" s="1"/>
  <c r="F1266" i="3"/>
  <c r="H1266" i="3" s="1"/>
  <c r="F1267" i="3"/>
  <c r="H1267" i="3" s="1"/>
  <c r="F1268" i="3"/>
  <c r="H1268" i="3" s="1"/>
  <c r="F1274" i="3"/>
  <c r="H1274" i="3" s="1"/>
  <c r="F1275" i="3"/>
  <c r="H1275" i="3" s="1"/>
  <c r="F1276" i="3"/>
  <c r="H1276" i="3" s="1"/>
  <c r="F1289" i="3"/>
  <c r="H1289" i="3" s="1"/>
  <c r="F1294" i="3"/>
  <c r="H1294" i="3" s="1"/>
  <c r="F1295" i="3"/>
  <c r="H1295" i="3" s="1"/>
  <c r="F1298" i="3"/>
  <c r="H1298" i="3" s="1"/>
  <c r="F1299" i="3"/>
  <c r="H1299" i="3" s="1"/>
  <c r="F1300" i="3"/>
  <c r="H1300" i="3" s="1"/>
  <c r="F1304" i="3"/>
  <c r="H1304" i="3" s="1"/>
  <c r="F1309" i="3"/>
  <c r="H1309" i="3" s="1"/>
  <c r="F1321" i="3"/>
  <c r="H1321" i="3" s="1"/>
  <c r="F1326" i="3"/>
  <c r="H1326" i="3" s="1"/>
  <c r="F1330" i="3"/>
  <c r="H1330" i="3" s="1"/>
  <c r="F1334" i="3"/>
  <c r="H1334" i="3" s="1"/>
  <c r="F1338" i="3"/>
  <c r="H1338" i="3" s="1"/>
  <c r="F1342" i="3"/>
  <c r="H1342" i="3" s="1"/>
  <c r="F1346" i="3"/>
  <c r="H1346" i="3" s="1"/>
  <c r="F1351" i="3"/>
  <c r="H1351" i="3" s="1"/>
  <c r="F1356" i="3"/>
  <c r="H1356" i="3" s="1"/>
  <c r="F1357" i="3"/>
  <c r="H1357" i="3" s="1"/>
  <c r="F1348" i="3"/>
  <c r="H1348" i="3" s="1"/>
  <c r="F1349" i="3"/>
  <c r="H1349" i="3" s="1"/>
  <c r="F1350" i="3"/>
  <c r="H1350" i="3" s="1"/>
  <c r="F1352" i="3"/>
  <c r="H1352" i="3" s="1"/>
  <c r="F1358" i="3"/>
  <c r="H1358" i="3" s="1"/>
  <c r="F1366" i="3"/>
  <c r="H1366" i="3" s="1"/>
  <c r="F1371" i="3"/>
  <c r="H1371" i="3" s="1"/>
  <c r="F1376" i="3"/>
  <c r="H1376" i="3" s="1"/>
  <c r="F1382" i="3"/>
  <c r="H1382" i="3" s="1"/>
  <c r="F1387" i="3"/>
  <c r="H1387" i="3" s="1"/>
  <c r="F1392" i="3"/>
  <c r="H1392" i="3" s="1"/>
  <c r="F1398" i="3"/>
  <c r="H1398" i="3" s="1"/>
  <c r="F1403" i="3"/>
  <c r="H1403" i="3" s="1"/>
  <c r="F1408" i="3"/>
  <c r="H1408" i="3" s="1"/>
  <c r="F1414" i="3"/>
  <c r="H1414" i="3" s="1"/>
  <c r="F1419" i="3"/>
  <c r="H1419" i="3" s="1"/>
  <c r="F1429" i="3"/>
  <c r="H1429" i="3" s="1"/>
  <c r="F1434" i="3"/>
  <c r="H1434" i="3" s="1"/>
  <c r="F1444" i="3"/>
  <c r="H1444" i="3" s="1"/>
  <c r="F1335" i="3"/>
  <c r="H1335" i="3" s="1"/>
  <c r="F1336" i="3"/>
  <c r="H1336" i="3" s="1"/>
  <c r="F1353" i="3"/>
  <c r="H1353" i="3" s="1"/>
  <c r="F1354" i="3"/>
  <c r="H1354" i="3" s="1"/>
  <c r="F1355" i="3"/>
  <c r="H1355" i="3" s="1"/>
  <c r="F1359" i="3"/>
  <c r="H1359" i="3" s="1"/>
  <c r="F1360" i="3"/>
  <c r="H1360" i="3" s="1"/>
  <c r="F1361" i="3"/>
  <c r="H1361" i="3" s="1"/>
  <c r="F1362" i="3"/>
  <c r="H1362" i="3" s="1"/>
  <c r="F1367" i="3"/>
  <c r="H1367" i="3" s="1"/>
  <c r="F1372" i="3"/>
  <c r="H1372" i="3" s="1"/>
  <c r="F1373" i="3"/>
  <c r="H1373" i="3" s="1"/>
  <c r="F1377" i="3"/>
  <c r="H1377" i="3" s="1"/>
  <c r="F1378" i="3"/>
  <c r="H1378" i="3" s="1"/>
  <c r="F1383" i="3"/>
  <c r="H1383" i="3" s="1"/>
  <c r="F1388" i="3"/>
  <c r="H1388" i="3" s="1"/>
  <c r="F1389" i="3"/>
  <c r="H1389" i="3" s="1"/>
  <c r="F1393" i="3"/>
  <c r="H1393" i="3" s="1"/>
  <c r="F1394" i="3"/>
  <c r="H1394" i="3" s="1"/>
  <c r="F1399" i="3"/>
  <c r="H1399" i="3" s="1"/>
  <c r="F1404" i="3"/>
  <c r="H1404" i="3" s="1"/>
  <c r="F1405" i="3"/>
  <c r="H1405" i="3" s="1"/>
  <c r="F1409" i="3"/>
  <c r="H1409" i="3" s="1"/>
  <c r="F1410" i="3"/>
  <c r="H1410" i="3" s="1"/>
  <c r="F1415" i="3"/>
  <c r="H1415" i="3" s="1"/>
  <c r="F1420" i="3"/>
  <c r="H1420" i="3" s="1"/>
  <c r="F1421" i="3"/>
  <c r="H1421" i="3" s="1"/>
  <c r="F1425" i="3"/>
  <c r="H1425" i="3" s="1"/>
  <c r="F1426" i="3"/>
  <c r="H1426" i="3" s="1"/>
  <c r="F1430" i="3"/>
  <c r="H1430" i="3" s="1"/>
  <c r="F1431" i="3"/>
  <c r="H1431" i="3" s="1"/>
  <c r="F1435" i="3"/>
  <c r="H1435" i="3" s="1"/>
  <c r="F1440" i="3"/>
  <c r="H1440" i="3" s="1"/>
  <c r="F1441" i="3"/>
  <c r="H1441" i="3" s="1"/>
  <c r="F1445" i="3"/>
  <c r="H1445" i="3" s="1"/>
  <c r="F1446" i="3"/>
  <c r="H1446" i="3" s="1"/>
  <c r="F1449" i="3"/>
  <c r="H1449" i="3" s="1"/>
  <c r="F1450" i="3"/>
  <c r="H1450" i="3" s="1"/>
  <c r="F1341" i="3"/>
  <c r="H1341" i="3" s="1"/>
  <c r="F1325" i="3"/>
  <c r="H1325" i="3" s="1"/>
  <c r="F1327" i="3"/>
  <c r="H1327" i="3" s="1"/>
  <c r="F1328" i="3"/>
  <c r="H1328" i="3" s="1"/>
  <c r="F1329" i="3"/>
  <c r="H1329" i="3" s="1"/>
  <c r="F1331" i="3"/>
  <c r="H1331" i="3" s="1"/>
  <c r="F1332" i="3"/>
  <c r="H1332" i="3" s="1"/>
  <c r="F1339" i="3"/>
  <c r="H1339" i="3" s="1"/>
  <c r="F1340" i="3"/>
  <c r="H1340" i="3" s="1"/>
  <c r="F1344" i="3"/>
  <c r="H1344" i="3" s="1"/>
  <c r="F1345" i="3"/>
  <c r="H1345" i="3" s="1"/>
  <c r="F1347" i="3"/>
  <c r="H1347" i="3" s="1"/>
  <c r="F1364" i="3"/>
  <c r="H1364" i="3" s="1"/>
  <c r="F1365" i="3"/>
  <c r="H1365" i="3" s="1"/>
  <c r="F1369" i="3"/>
  <c r="H1369" i="3" s="1"/>
  <c r="F1370" i="3"/>
  <c r="H1370" i="3" s="1"/>
  <c r="F1375" i="3"/>
  <c r="H1375" i="3" s="1"/>
  <c r="F1380" i="3"/>
  <c r="H1380" i="3" s="1"/>
  <c r="F1381" i="3"/>
  <c r="H1381" i="3" s="1"/>
  <c r="F1385" i="3"/>
  <c r="H1385" i="3" s="1"/>
  <c r="F1386" i="3"/>
  <c r="H1386" i="3" s="1"/>
  <c r="F1391" i="3"/>
  <c r="H1391" i="3" s="1"/>
  <c r="F1396" i="3"/>
  <c r="H1396" i="3" s="1"/>
  <c r="F1397" i="3"/>
  <c r="H1397" i="3" s="1"/>
  <c r="F1401" i="3"/>
  <c r="H1401" i="3" s="1"/>
  <c r="F1402" i="3"/>
  <c r="H1402" i="3" s="1"/>
  <c r="F1407" i="3"/>
  <c r="H1407" i="3" s="1"/>
  <c r="F1412" i="3"/>
  <c r="H1412" i="3" s="1"/>
  <c r="F1413" i="3"/>
  <c r="H1413" i="3" s="1"/>
  <c r="F1417" i="3"/>
  <c r="H1417" i="3" s="1"/>
  <c r="F1418" i="3"/>
  <c r="H1418" i="3" s="1"/>
  <c r="F1423" i="3"/>
  <c r="H1423" i="3" s="1"/>
  <c r="F1424" i="3"/>
  <c r="H1424" i="3" s="1"/>
  <c r="F1428" i="3"/>
  <c r="H1428" i="3" s="1"/>
  <c r="F1432" i="3"/>
  <c r="H1432" i="3" s="1"/>
  <c r="F1433" i="3"/>
  <c r="H1433" i="3" s="1"/>
  <c r="F1437" i="3"/>
  <c r="H1437" i="3" s="1"/>
  <c r="F1438" i="3"/>
  <c r="H1438" i="3" s="1"/>
  <c r="F1439" i="3"/>
  <c r="H1439" i="3" s="1"/>
  <c r="F1443" i="3"/>
  <c r="H1443" i="3" s="1"/>
  <c r="F1447" i="3"/>
  <c r="H1447" i="3" s="1"/>
  <c r="F1448" i="3"/>
  <c r="H1448" i="3" s="1"/>
  <c r="F1452" i="3"/>
  <c r="H1452" i="3" s="1"/>
  <c r="F1379" i="3"/>
  <c r="H1379" i="3" s="1"/>
  <c r="F1400" i="3"/>
  <c r="H1400" i="3" s="1"/>
  <c r="F1406" i="3"/>
  <c r="H1406" i="3" s="1"/>
  <c r="F1453" i="3"/>
  <c r="H1453" i="3" s="1"/>
  <c r="F1457" i="3"/>
  <c r="H1457" i="3" s="1"/>
  <c r="F1458" i="3"/>
  <c r="H1458" i="3" s="1"/>
  <c r="F1463" i="3"/>
  <c r="H1463" i="3" s="1"/>
  <c r="F1468" i="3"/>
  <c r="H1468" i="3" s="1"/>
  <c r="F1469" i="3"/>
  <c r="H1469" i="3" s="1"/>
  <c r="F1473" i="3"/>
  <c r="H1473" i="3" s="1"/>
  <c r="F1474" i="3"/>
  <c r="H1474" i="3" s="1"/>
  <c r="F1475" i="3"/>
  <c r="H1475" i="3" s="1"/>
  <c r="F1479" i="3"/>
  <c r="H1479" i="3" s="1"/>
  <c r="F1480" i="3"/>
  <c r="H1480" i="3" s="1"/>
  <c r="F1490" i="3"/>
  <c r="H1490" i="3" s="1"/>
  <c r="F1491" i="3"/>
  <c r="H1491" i="3" s="1"/>
  <c r="F1498" i="3"/>
  <c r="H1498" i="3" s="1"/>
  <c r="F1504" i="3"/>
  <c r="H1504" i="3" s="1"/>
  <c r="F1509" i="3"/>
  <c r="H1509" i="3" s="1"/>
  <c r="F1513" i="3"/>
  <c r="H1513" i="3" s="1"/>
  <c r="F1517" i="3"/>
  <c r="H1517" i="3" s="1"/>
  <c r="F1521" i="3"/>
  <c r="H1521" i="3" s="1"/>
  <c r="F1525" i="3"/>
  <c r="H1525" i="3" s="1"/>
  <c r="F1529" i="3"/>
  <c r="H1529" i="3" s="1"/>
  <c r="F1533" i="3"/>
  <c r="H1533" i="3" s="1"/>
  <c r="F1542" i="3"/>
  <c r="H1542" i="3" s="1"/>
  <c r="F1547" i="3"/>
  <c r="H1547" i="3" s="1"/>
  <c r="F1553" i="3"/>
  <c r="H1553" i="3" s="1"/>
  <c r="F1558" i="3"/>
  <c r="H1558" i="3" s="1"/>
  <c r="F1563" i="3"/>
  <c r="H1563" i="3" s="1"/>
  <c r="F1569" i="3"/>
  <c r="H1569" i="3" s="1"/>
  <c r="F1574" i="3"/>
  <c r="H1574" i="3" s="1"/>
  <c r="F1579" i="3"/>
  <c r="H1579" i="3" s="1"/>
  <c r="F1585" i="3"/>
  <c r="H1585" i="3" s="1"/>
  <c r="F1590" i="3"/>
  <c r="H1590" i="3" s="1"/>
  <c r="F1595" i="3"/>
  <c r="H1595" i="3" s="1"/>
  <c r="F1601" i="3"/>
  <c r="H1601" i="3" s="1"/>
  <c r="F1606" i="3"/>
  <c r="H1606" i="3" s="1"/>
  <c r="F1611" i="3"/>
  <c r="H1611" i="3" s="1"/>
  <c r="F1617" i="3"/>
  <c r="H1617" i="3" s="1"/>
  <c r="F1622" i="3"/>
  <c r="H1622" i="3" s="1"/>
  <c r="F1627" i="3"/>
  <c r="H1627" i="3" s="1"/>
  <c r="F1633" i="3"/>
  <c r="H1633" i="3" s="1"/>
  <c r="F1638" i="3"/>
  <c r="H1638" i="3" s="1"/>
  <c r="F1643" i="3"/>
  <c r="H1643" i="3" s="1"/>
  <c r="F1649" i="3"/>
  <c r="H1649" i="3" s="1"/>
  <c r="F1654" i="3"/>
  <c r="H1654" i="3" s="1"/>
  <c r="F1659" i="3"/>
  <c r="H1659" i="3" s="1"/>
  <c r="F1665" i="3"/>
  <c r="H1665" i="3" s="1"/>
  <c r="F1363" i="3"/>
  <c r="H1363" i="3" s="1"/>
  <c r="F1384" i="3"/>
  <c r="H1384" i="3" s="1"/>
  <c r="F1390" i="3"/>
  <c r="H1390" i="3" s="1"/>
  <c r="F1427" i="3"/>
  <c r="H1427" i="3" s="1"/>
  <c r="F1436" i="3"/>
  <c r="H1436" i="3" s="1"/>
  <c r="F1442" i="3"/>
  <c r="H1442" i="3" s="1"/>
  <c r="F1454" i="3"/>
  <c r="H1454" i="3" s="1"/>
  <c r="F1459" i="3"/>
  <c r="H1459" i="3" s="1"/>
  <c r="F1464" i="3"/>
  <c r="H1464" i="3" s="1"/>
  <c r="F1470" i="3"/>
  <c r="H1470" i="3" s="1"/>
  <c r="F1481" i="3"/>
  <c r="H1481" i="3" s="1"/>
  <c r="F1482" i="3"/>
  <c r="H1482" i="3" s="1"/>
  <c r="F1487" i="3"/>
  <c r="H1487" i="3" s="1"/>
  <c r="F1492" i="3"/>
  <c r="H1492" i="3" s="1"/>
  <c r="F1493" i="3"/>
  <c r="H1493" i="3" s="1"/>
  <c r="F1494" i="3"/>
  <c r="H1494" i="3" s="1"/>
  <c r="F1499" i="3"/>
  <c r="H1499" i="3" s="1"/>
  <c r="F1505" i="3"/>
  <c r="H1505" i="3" s="1"/>
  <c r="F1506" i="3"/>
  <c r="H1506" i="3" s="1"/>
  <c r="F1510" i="3"/>
  <c r="H1510" i="3" s="1"/>
  <c r="F1514" i="3"/>
  <c r="H1514" i="3" s="1"/>
  <c r="F1518" i="3"/>
  <c r="H1518" i="3" s="1"/>
  <c r="F1522" i="3"/>
  <c r="H1522" i="3" s="1"/>
  <c r="F1526" i="3"/>
  <c r="H1526" i="3" s="1"/>
  <c r="F1530" i="3"/>
  <c r="H1530" i="3" s="1"/>
  <c r="F1534" i="3"/>
  <c r="H1534" i="3" s="1"/>
  <c r="F1538" i="3"/>
  <c r="H1538" i="3" s="1"/>
  <c r="F1539" i="3"/>
  <c r="H1539" i="3" s="1"/>
  <c r="F1543" i="3"/>
  <c r="H1543" i="3" s="1"/>
  <c r="F1544" i="3"/>
  <c r="H1544" i="3" s="1"/>
  <c r="F1548" i="3"/>
  <c r="H1548" i="3" s="1"/>
  <c r="F1549" i="3"/>
  <c r="H1549" i="3" s="1"/>
  <c r="F1554" i="3"/>
  <c r="H1554" i="3" s="1"/>
  <c r="F1559" i="3"/>
  <c r="H1559" i="3" s="1"/>
  <c r="F1560" i="3"/>
  <c r="H1560" i="3" s="1"/>
  <c r="F1564" i="3"/>
  <c r="H1564" i="3" s="1"/>
  <c r="F1565" i="3"/>
  <c r="H1565" i="3" s="1"/>
  <c r="F1570" i="3"/>
  <c r="H1570" i="3" s="1"/>
  <c r="F1575" i="3"/>
  <c r="H1575" i="3" s="1"/>
  <c r="F1576" i="3"/>
  <c r="H1576" i="3" s="1"/>
  <c r="F1580" i="3"/>
  <c r="H1580" i="3" s="1"/>
  <c r="F1581" i="3"/>
  <c r="H1581" i="3" s="1"/>
  <c r="F1586" i="3"/>
  <c r="H1586" i="3" s="1"/>
  <c r="F1591" i="3"/>
  <c r="H1591" i="3" s="1"/>
  <c r="F1592" i="3"/>
  <c r="H1592" i="3" s="1"/>
  <c r="F1596" i="3"/>
  <c r="H1596" i="3" s="1"/>
  <c r="F1597" i="3"/>
  <c r="H1597" i="3" s="1"/>
  <c r="F1602" i="3"/>
  <c r="H1602" i="3" s="1"/>
  <c r="F1607" i="3"/>
  <c r="H1607" i="3" s="1"/>
  <c r="F1608" i="3"/>
  <c r="H1608" i="3" s="1"/>
  <c r="F1612" i="3"/>
  <c r="H1612" i="3" s="1"/>
  <c r="F1613" i="3"/>
  <c r="H1613" i="3" s="1"/>
  <c r="F1618" i="3"/>
  <c r="H1618" i="3" s="1"/>
  <c r="F1623" i="3"/>
  <c r="H1623" i="3" s="1"/>
  <c r="F1624" i="3"/>
  <c r="H1624" i="3" s="1"/>
  <c r="F1628" i="3"/>
  <c r="H1628" i="3" s="1"/>
  <c r="F1629" i="3"/>
  <c r="H1629" i="3" s="1"/>
  <c r="F1634" i="3"/>
  <c r="H1634" i="3" s="1"/>
  <c r="F1639" i="3"/>
  <c r="H1639" i="3" s="1"/>
  <c r="F1640" i="3"/>
  <c r="H1640" i="3" s="1"/>
  <c r="F1644" i="3"/>
  <c r="H1644" i="3" s="1"/>
  <c r="F1645" i="3"/>
  <c r="H1645" i="3" s="1"/>
  <c r="F1650" i="3"/>
  <c r="H1650" i="3" s="1"/>
  <c r="F1655" i="3"/>
  <c r="H1655" i="3" s="1"/>
  <c r="F1656" i="3"/>
  <c r="H1656" i="3" s="1"/>
  <c r="F1368" i="3"/>
  <c r="H1368" i="3" s="1"/>
  <c r="F1374" i="3"/>
  <c r="H1374" i="3" s="1"/>
  <c r="F1411" i="3"/>
  <c r="H1411" i="3" s="1"/>
  <c r="F1451" i="3"/>
  <c r="H1451" i="3" s="1"/>
  <c r="F1455" i="3"/>
  <c r="H1455" i="3" s="1"/>
  <c r="F1456" i="3"/>
  <c r="H1456" i="3" s="1"/>
  <c r="F1460" i="3"/>
  <c r="H1460" i="3" s="1"/>
  <c r="F1461" i="3"/>
  <c r="H1461" i="3" s="1"/>
  <c r="F1465" i="3"/>
  <c r="H1465" i="3" s="1"/>
  <c r="F1466" i="3"/>
  <c r="H1466" i="3" s="1"/>
  <c r="F1471" i="3"/>
  <c r="H1471" i="3" s="1"/>
  <c r="F1476" i="3"/>
  <c r="H1476" i="3" s="1"/>
  <c r="F1477" i="3"/>
  <c r="H1477" i="3" s="1"/>
  <c r="F1478" i="3"/>
  <c r="H1478" i="3" s="1"/>
  <c r="F1483" i="3"/>
  <c r="H1483" i="3" s="1"/>
  <c r="F1488" i="3"/>
  <c r="H1488" i="3" s="1"/>
  <c r="F1495" i="3"/>
  <c r="H1495" i="3" s="1"/>
  <c r="F1496" i="3"/>
  <c r="H1496" i="3" s="1"/>
  <c r="F1500" i="3"/>
  <c r="H1500" i="3" s="1"/>
  <c r="F1507" i="3"/>
  <c r="H1507" i="3" s="1"/>
  <c r="F1511" i="3"/>
  <c r="H1511" i="3" s="1"/>
  <c r="F1515" i="3"/>
  <c r="H1515" i="3" s="1"/>
  <c r="F1519" i="3"/>
  <c r="H1519" i="3" s="1"/>
  <c r="F1523" i="3"/>
  <c r="H1523" i="3" s="1"/>
  <c r="F1527" i="3"/>
  <c r="H1527" i="3" s="1"/>
  <c r="F1531" i="3"/>
  <c r="H1531" i="3" s="1"/>
  <c r="F1535" i="3"/>
  <c r="H1535" i="3" s="1"/>
  <c r="F1540" i="3"/>
  <c r="H1540" i="3" s="1"/>
  <c r="F1545" i="3"/>
  <c r="H1545" i="3" s="1"/>
  <c r="F1550" i="3"/>
  <c r="H1550" i="3" s="1"/>
  <c r="F1555" i="3"/>
  <c r="H1555" i="3" s="1"/>
  <c r="F1561" i="3"/>
  <c r="H1561" i="3" s="1"/>
  <c r="F1566" i="3"/>
  <c r="H1566" i="3" s="1"/>
  <c r="F1571" i="3"/>
  <c r="H1571" i="3" s="1"/>
  <c r="F1577" i="3"/>
  <c r="H1577" i="3" s="1"/>
  <c r="F1582" i="3"/>
  <c r="H1582" i="3" s="1"/>
  <c r="F1587" i="3"/>
  <c r="H1587" i="3" s="1"/>
  <c r="F1593" i="3"/>
  <c r="H1593" i="3" s="1"/>
  <c r="F1598" i="3"/>
  <c r="H1598" i="3" s="1"/>
  <c r="F1603" i="3"/>
  <c r="H1603" i="3" s="1"/>
  <c r="F1609" i="3"/>
  <c r="H1609" i="3" s="1"/>
  <c r="F1614" i="3"/>
  <c r="H1614" i="3" s="1"/>
  <c r="F1619" i="3"/>
  <c r="H1619" i="3" s="1"/>
  <c r="F1625" i="3"/>
  <c r="H1625" i="3" s="1"/>
  <c r="F1630" i="3"/>
  <c r="H1630" i="3" s="1"/>
  <c r="F1635" i="3"/>
  <c r="H1635" i="3" s="1"/>
  <c r="F1641" i="3"/>
  <c r="H1641" i="3" s="1"/>
  <c r="F1646" i="3"/>
  <c r="H1646" i="3" s="1"/>
  <c r="F1651" i="3"/>
  <c r="H1651" i="3" s="1"/>
  <c r="F1657" i="3"/>
  <c r="H1657" i="3" s="1"/>
  <c r="F1662" i="3"/>
  <c r="H1662" i="3" s="1"/>
  <c r="F1343" i="3"/>
  <c r="H1343" i="3" s="1"/>
  <c r="F1395" i="3"/>
  <c r="H1395" i="3" s="1"/>
  <c r="F1416" i="3"/>
  <c r="H1416" i="3" s="1"/>
  <c r="F1422" i="3"/>
  <c r="H1422" i="3" s="1"/>
  <c r="F1462" i="3"/>
  <c r="H1462" i="3" s="1"/>
  <c r="F1467" i="3"/>
  <c r="H1467" i="3" s="1"/>
  <c r="F1472" i="3"/>
  <c r="H1472" i="3" s="1"/>
  <c r="F1484" i="3"/>
  <c r="H1484" i="3" s="1"/>
  <c r="F1485" i="3"/>
  <c r="H1485" i="3" s="1"/>
  <c r="F1486" i="3"/>
  <c r="H1486" i="3" s="1"/>
  <c r="F1489" i="3"/>
  <c r="H1489" i="3" s="1"/>
  <c r="F1497" i="3"/>
  <c r="H1497" i="3" s="1"/>
  <c r="F1501" i="3"/>
  <c r="H1501" i="3" s="1"/>
  <c r="F1502" i="3"/>
  <c r="H1502" i="3" s="1"/>
  <c r="F1503" i="3"/>
  <c r="H1503" i="3" s="1"/>
  <c r="F1508" i="3"/>
  <c r="H1508" i="3" s="1"/>
  <c r="F1512" i="3"/>
  <c r="H1512" i="3" s="1"/>
  <c r="F1516" i="3"/>
  <c r="H1516" i="3" s="1"/>
  <c r="F1520" i="3"/>
  <c r="H1520" i="3" s="1"/>
  <c r="F1524" i="3"/>
  <c r="H1524" i="3" s="1"/>
  <c r="F1528" i="3"/>
  <c r="H1528" i="3" s="1"/>
  <c r="F1532" i="3"/>
  <c r="H1532" i="3" s="1"/>
  <c r="F1536" i="3"/>
  <c r="H1536" i="3" s="1"/>
  <c r="F1537" i="3"/>
  <c r="H1537" i="3" s="1"/>
  <c r="F1541" i="3"/>
  <c r="H1541" i="3" s="1"/>
  <c r="F1546" i="3"/>
  <c r="H1546" i="3" s="1"/>
  <c r="F1551" i="3"/>
  <c r="H1551" i="3" s="1"/>
  <c r="F1552" i="3"/>
  <c r="H1552" i="3" s="1"/>
  <c r="F1556" i="3"/>
  <c r="H1556" i="3" s="1"/>
  <c r="F1557" i="3"/>
  <c r="H1557" i="3" s="1"/>
  <c r="F1562" i="3"/>
  <c r="H1562" i="3" s="1"/>
  <c r="F1567" i="3"/>
  <c r="H1567" i="3" s="1"/>
  <c r="F1568" i="3"/>
  <c r="H1568" i="3" s="1"/>
  <c r="F1572" i="3"/>
  <c r="H1572" i="3" s="1"/>
  <c r="F1573" i="3"/>
  <c r="H1573" i="3" s="1"/>
  <c r="F1578" i="3"/>
  <c r="H1578" i="3" s="1"/>
  <c r="F1583" i="3"/>
  <c r="H1583" i="3" s="1"/>
  <c r="F1584" i="3"/>
  <c r="H1584" i="3" s="1"/>
  <c r="F1588" i="3"/>
  <c r="H1588" i="3" s="1"/>
  <c r="F1589" i="3"/>
  <c r="H1589" i="3" s="1"/>
  <c r="F1594" i="3"/>
  <c r="H1594" i="3" s="1"/>
  <c r="F1599" i="3"/>
  <c r="H1599" i="3" s="1"/>
  <c r="F1600" i="3"/>
  <c r="H1600" i="3" s="1"/>
  <c r="F1604" i="3"/>
  <c r="H1604" i="3" s="1"/>
  <c r="F1605" i="3"/>
  <c r="H1605" i="3" s="1"/>
  <c r="F1610" i="3"/>
  <c r="H1610" i="3" s="1"/>
  <c r="F1615" i="3"/>
  <c r="H1615" i="3" s="1"/>
  <c r="F1616" i="3"/>
  <c r="H1616" i="3" s="1"/>
  <c r="F1620" i="3"/>
  <c r="H1620" i="3" s="1"/>
  <c r="F1621" i="3"/>
  <c r="H1621" i="3" s="1"/>
  <c r="F1626" i="3"/>
  <c r="H1626" i="3" s="1"/>
  <c r="F1631" i="3"/>
  <c r="H1631" i="3" s="1"/>
  <c r="F1632" i="3"/>
  <c r="H1632" i="3" s="1"/>
  <c r="F1636" i="3"/>
  <c r="H1636" i="3" s="1"/>
  <c r="F1637" i="3"/>
  <c r="H1637" i="3" s="1"/>
  <c r="F1642" i="3"/>
  <c r="H1642" i="3" s="1"/>
  <c r="F1647" i="3"/>
  <c r="H1647" i="3" s="1"/>
  <c r="F1648" i="3"/>
  <c r="H1648" i="3" s="1"/>
  <c r="F1652" i="3"/>
  <c r="H1652" i="3" s="1"/>
  <c r="F1653" i="3"/>
  <c r="H1653" i="3" s="1"/>
  <c r="F1658" i="3"/>
  <c r="H1658" i="3" s="1"/>
  <c r="F1663" i="3"/>
  <c r="H1663" i="3" s="1"/>
  <c r="F1664" i="3"/>
  <c r="H1664" i="3" s="1"/>
  <c r="F1668" i="3"/>
  <c r="H1668" i="3" s="1"/>
  <c r="F1669" i="3"/>
  <c r="H1669" i="3" s="1"/>
  <c r="F1674" i="3"/>
  <c r="H1674" i="3" s="1"/>
  <c r="F1679" i="3"/>
  <c r="H1679" i="3" s="1"/>
  <c r="F1680" i="3"/>
  <c r="H1680" i="3" s="1"/>
  <c r="F1684" i="3"/>
  <c r="H1684" i="3" s="1"/>
  <c r="F1685" i="3"/>
  <c r="H1685" i="3" s="1"/>
  <c r="F1690" i="3"/>
  <c r="H1690" i="3" s="1"/>
  <c r="F1695" i="3"/>
  <c r="H1695" i="3" s="1"/>
  <c r="F1696" i="3"/>
  <c r="H1696" i="3" s="1"/>
  <c r="F1700" i="3"/>
  <c r="H1700" i="3" s="1"/>
  <c r="F1701" i="3"/>
  <c r="H1701" i="3" s="1"/>
  <c r="F1706" i="3"/>
  <c r="H1706" i="3" s="1"/>
  <c r="F1711" i="3"/>
  <c r="H1711" i="3" s="1"/>
  <c r="F1712" i="3"/>
  <c r="H1712" i="3" s="1"/>
  <c r="F1716" i="3"/>
  <c r="H1716" i="3" s="1"/>
  <c r="F1717" i="3"/>
  <c r="H1717" i="3" s="1"/>
  <c r="F1722" i="3"/>
  <c r="H1722" i="3" s="1"/>
  <c r="F1727" i="3"/>
  <c r="H1727" i="3" s="1"/>
  <c r="F1728" i="3"/>
  <c r="H1728" i="3" s="1"/>
  <c r="F1732" i="3"/>
  <c r="H1732" i="3" s="1"/>
  <c r="F1733" i="3"/>
  <c r="H1733" i="3" s="1"/>
  <c r="F1738" i="3"/>
  <c r="H1738" i="3" s="1"/>
  <c r="F1743" i="3"/>
  <c r="H1743" i="3" s="1"/>
  <c r="F1744" i="3"/>
  <c r="H1744" i="3" s="1"/>
  <c r="F1748" i="3"/>
  <c r="H1748" i="3" s="1"/>
  <c r="F1749" i="3"/>
  <c r="H1749" i="3" s="1"/>
  <c r="F1750" i="3"/>
  <c r="H1750" i="3" s="1"/>
  <c r="F1754" i="3"/>
  <c r="H1754" i="3" s="1"/>
  <c r="F1759" i="3"/>
  <c r="H1759" i="3" s="1"/>
  <c r="F1760" i="3"/>
  <c r="H1760" i="3" s="1"/>
  <c r="F1764" i="3"/>
  <c r="H1764" i="3" s="1"/>
  <c r="F1765" i="3"/>
  <c r="H1765" i="3" s="1"/>
  <c r="F1770" i="3"/>
  <c r="H1770" i="3" s="1"/>
  <c r="F1775" i="3"/>
  <c r="H1775" i="3" s="1"/>
  <c r="F1776" i="3"/>
  <c r="H1776" i="3" s="1"/>
  <c r="F1780" i="3"/>
  <c r="H1780" i="3" s="1"/>
  <c r="F1781" i="3"/>
  <c r="H1781" i="3" s="1"/>
  <c r="F1786" i="3"/>
  <c r="H1786" i="3" s="1"/>
  <c r="F1791" i="3"/>
  <c r="H1791" i="3" s="1"/>
  <c r="F1792" i="3"/>
  <c r="H1792" i="3" s="1"/>
  <c r="F1796" i="3"/>
  <c r="H1796" i="3" s="1"/>
  <c r="F1797" i="3"/>
  <c r="H1797" i="3" s="1"/>
  <c r="F1802" i="3"/>
  <c r="H1802" i="3" s="1"/>
  <c r="F1806" i="3"/>
  <c r="H1806" i="3" s="1"/>
  <c r="F1810" i="3"/>
  <c r="H1810" i="3" s="1"/>
  <c r="F1814" i="3"/>
  <c r="H1814" i="3" s="1"/>
  <c r="F1818" i="3"/>
  <c r="H1818" i="3" s="1"/>
  <c r="F1819" i="3"/>
  <c r="H1819" i="3" s="1"/>
  <c r="F1822" i="3"/>
  <c r="H1822" i="3" s="1"/>
  <c r="F1823" i="3"/>
  <c r="H1823" i="3" s="1"/>
  <c r="F1826" i="3"/>
  <c r="H1826" i="3" s="1"/>
  <c r="F1827" i="3"/>
  <c r="H1827" i="3" s="1"/>
  <c r="F1830" i="3"/>
  <c r="H1830" i="3" s="1"/>
  <c r="F1831" i="3"/>
  <c r="H1831" i="3" s="1"/>
  <c r="F1833" i="3"/>
  <c r="H1833" i="3" s="1"/>
  <c r="F1834" i="3"/>
  <c r="H1834" i="3" s="1"/>
  <c r="F1835" i="3"/>
  <c r="H1835" i="3" s="1"/>
  <c r="F1836" i="3"/>
  <c r="H1836" i="3" s="1"/>
  <c r="F1837" i="3"/>
  <c r="H1837" i="3" s="1"/>
  <c r="F1840" i="3"/>
  <c r="H1840" i="3" s="1"/>
  <c r="F1862" i="3"/>
  <c r="H1862" i="3" s="1"/>
  <c r="F1863" i="3"/>
  <c r="H1863" i="3" s="1"/>
  <c r="F1865" i="3"/>
  <c r="H1865" i="3" s="1"/>
  <c r="F1866" i="3"/>
  <c r="H1866" i="3" s="1"/>
  <c r="F1867" i="3"/>
  <c r="H1867" i="3" s="1"/>
  <c r="F1868" i="3"/>
  <c r="H1868" i="3" s="1"/>
  <c r="F1869" i="3"/>
  <c r="H1869" i="3" s="1"/>
  <c r="F1872" i="3"/>
  <c r="H1872" i="3" s="1"/>
  <c r="F1894" i="3"/>
  <c r="H1894" i="3" s="1"/>
  <c r="F1895" i="3"/>
  <c r="H1895" i="3" s="1"/>
  <c r="F1897" i="3"/>
  <c r="H1897" i="3" s="1"/>
  <c r="F1898" i="3"/>
  <c r="H1898" i="3" s="1"/>
  <c r="F1661" i="3"/>
  <c r="H1661" i="3" s="1"/>
  <c r="F1667" i="3"/>
  <c r="H1667" i="3" s="1"/>
  <c r="F1670" i="3"/>
  <c r="H1670" i="3" s="1"/>
  <c r="F1675" i="3"/>
  <c r="H1675" i="3" s="1"/>
  <c r="F1681" i="3"/>
  <c r="H1681" i="3" s="1"/>
  <c r="F1686" i="3"/>
  <c r="H1686" i="3" s="1"/>
  <c r="F1691" i="3"/>
  <c r="H1691" i="3" s="1"/>
  <c r="F1697" i="3"/>
  <c r="H1697" i="3" s="1"/>
  <c r="F1702" i="3"/>
  <c r="H1702" i="3" s="1"/>
  <c r="F1707" i="3"/>
  <c r="H1707" i="3" s="1"/>
  <c r="F1713" i="3"/>
  <c r="H1713" i="3" s="1"/>
  <c r="F1718" i="3"/>
  <c r="H1718" i="3" s="1"/>
  <c r="F1723" i="3"/>
  <c r="H1723" i="3" s="1"/>
  <c r="F1729" i="3"/>
  <c r="H1729" i="3" s="1"/>
  <c r="F1734" i="3"/>
  <c r="H1734" i="3" s="1"/>
  <c r="F1739" i="3"/>
  <c r="H1739" i="3" s="1"/>
  <c r="F1745" i="3"/>
  <c r="H1745" i="3" s="1"/>
  <c r="F1755" i="3"/>
  <c r="H1755" i="3" s="1"/>
  <c r="F1761" i="3"/>
  <c r="H1761" i="3" s="1"/>
  <c r="F1766" i="3"/>
  <c r="H1766" i="3" s="1"/>
  <c r="F1771" i="3"/>
  <c r="H1771" i="3" s="1"/>
  <c r="F1777" i="3"/>
  <c r="H1777" i="3" s="1"/>
  <c r="F1782" i="3"/>
  <c r="H1782" i="3" s="1"/>
  <c r="F1787" i="3"/>
  <c r="H1787" i="3" s="1"/>
  <c r="F1793" i="3"/>
  <c r="H1793" i="3" s="1"/>
  <c r="F1798" i="3"/>
  <c r="H1798" i="3" s="1"/>
  <c r="F1803" i="3"/>
  <c r="H1803" i="3" s="1"/>
  <c r="F1804" i="3"/>
  <c r="H1804" i="3" s="1"/>
  <c r="F1807" i="3"/>
  <c r="H1807" i="3" s="1"/>
  <c r="F1808" i="3"/>
  <c r="H1808" i="3" s="1"/>
  <c r="F1811" i="3"/>
  <c r="H1811" i="3" s="1"/>
  <c r="F1812" i="3"/>
  <c r="H1812" i="3" s="1"/>
  <c r="F1815" i="3"/>
  <c r="H1815" i="3" s="1"/>
  <c r="F1816" i="3"/>
  <c r="H1816" i="3" s="1"/>
  <c r="F1838" i="3"/>
  <c r="H1838" i="3" s="1"/>
  <c r="F1839" i="3"/>
  <c r="H1839" i="3" s="1"/>
  <c r="F1841" i="3"/>
  <c r="H1841" i="3" s="1"/>
  <c r="F1842" i="3"/>
  <c r="H1842" i="3" s="1"/>
  <c r="F1843" i="3"/>
  <c r="H1843" i="3" s="1"/>
  <c r="F1844" i="3"/>
  <c r="H1844" i="3" s="1"/>
  <c r="F1845" i="3"/>
  <c r="H1845" i="3" s="1"/>
  <c r="F1848" i="3"/>
  <c r="H1848" i="3" s="1"/>
  <c r="F1870" i="3"/>
  <c r="H1870" i="3" s="1"/>
  <c r="F1871" i="3"/>
  <c r="H1871" i="3" s="1"/>
  <c r="F1873" i="3"/>
  <c r="H1873" i="3" s="1"/>
  <c r="F1874" i="3"/>
  <c r="H1874" i="3" s="1"/>
  <c r="F1875" i="3"/>
  <c r="H1875" i="3" s="1"/>
  <c r="F1660" i="3"/>
  <c r="H1660" i="3" s="1"/>
  <c r="F1666" i="3"/>
  <c r="H1666" i="3" s="1"/>
  <c r="F1671" i="3"/>
  <c r="H1671" i="3" s="1"/>
  <c r="F1672" i="3"/>
  <c r="H1672" i="3" s="1"/>
  <c r="F1676" i="3"/>
  <c r="H1676" i="3" s="1"/>
  <c r="F1677" i="3"/>
  <c r="H1677" i="3" s="1"/>
  <c r="F1682" i="3"/>
  <c r="H1682" i="3" s="1"/>
  <c r="F1687" i="3"/>
  <c r="H1687" i="3" s="1"/>
  <c r="F1688" i="3"/>
  <c r="H1688" i="3" s="1"/>
  <c r="F1692" i="3"/>
  <c r="H1692" i="3" s="1"/>
  <c r="F1693" i="3"/>
  <c r="H1693" i="3" s="1"/>
  <c r="F1698" i="3"/>
  <c r="H1698" i="3" s="1"/>
  <c r="F1703" i="3"/>
  <c r="H1703" i="3" s="1"/>
  <c r="F1704" i="3"/>
  <c r="H1704" i="3" s="1"/>
  <c r="F1708" i="3"/>
  <c r="H1708" i="3" s="1"/>
  <c r="F1709" i="3"/>
  <c r="H1709" i="3" s="1"/>
  <c r="F1714" i="3"/>
  <c r="H1714" i="3" s="1"/>
  <c r="F1719" i="3"/>
  <c r="H1719" i="3" s="1"/>
  <c r="F1720" i="3"/>
  <c r="H1720" i="3" s="1"/>
  <c r="F1724" i="3"/>
  <c r="H1724" i="3" s="1"/>
  <c r="F1725" i="3"/>
  <c r="H1725" i="3" s="1"/>
  <c r="F1730" i="3"/>
  <c r="H1730" i="3" s="1"/>
  <c r="F1735" i="3"/>
  <c r="H1735" i="3" s="1"/>
  <c r="F1736" i="3"/>
  <c r="H1736" i="3" s="1"/>
  <c r="F1740" i="3"/>
  <c r="H1740" i="3" s="1"/>
  <c r="F1741" i="3"/>
  <c r="H1741" i="3" s="1"/>
  <c r="F1746" i="3"/>
  <c r="H1746" i="3" s="1"/>
  <c r="F1751" i="3"/>
  <c r="H1751" i="3" s="1"/>
  <c r="F1752" i="3"/>
  <c r="H1752" i="3" s="1"/>
  <c r="F1756" i="3"/>
  <c r="H1756" i="3" s="1"/>
  <c r="F1757" i="3"/>
  <c r="H1757" i="3" s="1"/>
  <c r="F1762" i="3"/>
  <c r="H1762" i="3" s="1"/>
  <c r="F1767" i="3"/>
  <c r="H1767" i="3" s="1"/>
  <c r="F1768" i="3"/>
  <c r="H1768" i="3" s="1"/>
  <c r="F1772" i="3"/>
  <c r="H1772" i="3" s="1"/>
  <c r="F1773" i="3"/>
  <c r="H1773" i="3" s="1"/>
  <c r="F1778" i="3"/>
  <c r="H1778" i="3" s="1"/>
  <c r="F1783" i="3"/>
  <c r="H1783" i="3" s="1"/>
  <c r="F1784" i="3"/>
  <c r="H1784" i="3" s="1"/>
  <c r="F1788" i="3"/>
  <c r="H1788" i="3" s="1"/>
  <c r="F1789" i="3"/>
  <c r="H1789" i="3" s="1"/>
  <c r="F1794" i="3"/>
  <c r="H1794" i="3" s="1"/>
  <c r="F1799" i="3"/>
  <c r="H1799" i="3" s="1"/>
  <c r="F1800" i="3"/>
  <c r="H1800" i="3" s="1"/>
  <c r="F1805" i="3"/>
  <c r="H1805" i="3" s="1"/>
  <c r="F1809" i="3"/>
  <c r="H1809" i="3" s="1"/>
  <c r="F1813" i="3"/>
  <c r="H1813" i="3" s="1"/>
  <c r="F1817" i="3"/>
  <c r="H1817" i="3" s="1"/>
  <c r="F1846" i="3"/>
  <c r="H1846" i="3" s="1"/>
  <c r="F1847" i="3"/>
  <c r="H1847" i="3" s="1"/>
  <c r="F1849" i="3"/>
  <c r="H1849" i="3" s="1"/>
  <c r="F1850" i="3"/>
  <c r="H1850" i="3" s="1"/>
  <c r="F1851" i="3"/>
  <c r="H1851" i="3" s="1"/>
  <c r="F1852" i="3"/>
  <c r="H1852" i="3" s="1"/>
  <c r="F1853" i="3"/>
  <c r="H1853" i="3" s="1"/>
  <c r="F1856" i="3"/>
  <c r="H1856" i="3" s="1"/>
  <c r="F1878" i="3"/>
  <c r="H1878" i="3" s="1"/>
  <c r="F1879" i="3"/>
  <c r="H1879" i="3" s="1"/>
  <c r="F1881" i="3"/>
  <c r="H1881" i="3" s="1"/>
  <c r="F1882" i="3"/>
  <c r="H1882" i="3" s="1"/>
  <c r="F1883" i="3"/>
  <c r="H1883" i="3" s="1"/>
  <c r="F1884" i="3"/>
  <c r="H1884" i="3" s="1"/>
  <c r="F1885" i="3"/>
  <c r="H1885" i="3" s="1"/>
  <c r="F1888" i="3"/>
  <c r="H1888" i="3" s="1"/>
  <c r="F1673" i="3"/>
  <c r="H1673" i="3" s="1"/>
  <c r="F1678" i="3"/>
  <c r="H1678" i="3" s="1"/>
  <c r="F1683" i="3"/>
  <c r="H1683" i="3" s="1"/>
  <c r="F1689" i="3"/>
  <c r="H1689" i="3" s="1"/>
  <c r="F1694" i="3"/>
  <c r="H1694" i="3" s="1"/>
  <c r="F1699" i="3"/>
  <c r="H1699" i="3" s="1"/>
  <c r="F1705" i="3"/>
  <c r="H1705" i="3" s="1"/>
  <c r="F1710" i="3"/>
  <c r="H1710" i="3" s="1"/>
  <c r="F1715" i="3"/>
  <c r="H1715" i="3" s="1"/>
  <c r="F1721" i="3"/>
  <c r="H1721" i="3" s="1"/>
  <c r="F1726" i="3"/>
  <c r="H1726" i="3" s="1"/>
  <c r="F1731" i="3"/>
  <c r="H1731" i="3" s="1"/>
  <c r="F1737" i="3"/>
  <c r="H1737" i="3" s="1"/>
  <c r="F1742" i="3"/>
  <c r="H1742" i="3" s="1"/>
  <c r="F1747" i="3"/>
  <c r="H1747" i="3" s="1"/>
  <c r="F1753" i="3"/>
  <c r="H1753" i="3" s="1"/>
  <c r="F1758" i="3"/>
  <c r="H1758" i="3" s="1"/>
  <c r="F1763" i="3"/>
  <c r="H1763" i="3" s="1"/>
  <c r="F1769" i="3"/>
  <c r="H1769" i="3" s="1"/>
  <c r="F1774" i="3"/>
  <c r="H1774" i="3" s="1"/>
  <c r="F1779" i="3"/>
  <c r="H1779" i="3" s="1"/>
  <c r="F1785" i="3"/>
  <c r="H1785" i="3" s="1"/>
  <c r="F1790" i="3"/>
  <c r="H1790" i="3" s="1"/>
  <c r="F1795" i="3"/>
  <c r="H1795" i="3" s="1"/>
  <c r="F1801" i="3"/>
  <c r="H1801" i="3" s="1"/>
  <c r="F1820" i="3"/>
  <c r="H1820" i="3" s="1"/>
  <c r="F1821" i="3"/>
  <c r="H1821" i="3" s="1"/>
  <c r="F1824" i="3"/>
  <c r="H1824" i="3" s="1"/>
  <c r="F1825" i="3"/>
  <c r="H1825" i="3" s="1"/>
  <c r="F1828" i="3"/>
  <c r="H1828" i="3" s="1"/>
  <c r="F1829" i="3"/>
  <c r="H1829" i="3" s="1"/>
  <c r="F1832" i="3"/>
  <c r="H1832" i="3" s="1"/>
  <c r="F1854" i="3"/>
  <c r="H1854" i="3" s="1"/>
  <c r="F1855" i="3"/>
  <c r="H1855" i="3" s="1"/>
  <c r="F1857" i="3"/>
  <c r="H1857" i="3" s="1"/>
  <c r="F1858" i="3"/>
  <c r="H1858" i="3" s="1"/>
  <c r="F1859" i="3"/>
  <c r="H1859" i="3" s="1"/>
  <c r="F1860" i="3"/>
  <c r="H1860" i="3" s="1"/>
  <c r="F1861" i="3"/>
  <c r="H1861" i="3" s="1"/>
  <c r="F1864" i="3"/>
  <c r="H1864" i="3" s="1"/>
  <c r="F1886" i="3"/>
  <c r="H1886" i="3" s="1"/>
  <c r="F1887" i="3"/>
  <c r="H1887" i="3" s="1"/>
  <c r="F1889" i="3"/>
  <c r="H1889" i="3" s="1"/>
  <c r="F1890" i="3"/>
  <c r="H1890" i="3" s="1"/>
  <c r="F1891" i="3"/>
  <c r="H1891" i="3" s="1"/>
  <c r="F1892" i="3"/>
  <c r="H1892" i="3" s="1"/>
  <c r="F1893" i="3"/>
  <c r="H1893" i="3" s="1"/>
  <c r="F1896" i="3"/>
  <c r="H1896" i="3" s="1"/>
  <c r="F1899" i="3"/>
  <c r="H1899" i="3" s="1"/>
  <c r="F1900" i="3"/>
  <c r="H1900" i="3" s="1"/>
  <c r="F1903" i="3"/>
  <c r="H1903" i="3" s="1"/>
  <c r="F1904" i="3"/>
  <c r="H1904" i="3" s="1"/>
  <c r="F1907" i="3"/>
  <c r="H1907" i="3" s="1"/>
  <c r="F1908" i="3"/>
  <c r="H1908" i="3" s="1"/>
  <c r="F1911" i="3"/>
  <c r="H1911" i="3" s="1"/>
  <c r="F1912" i="3"/>
  <c r="H1912" i="3" s="1"/>
  <c r="F1913" i="3"/>
  <c r="H1913" i="3" s="1"/>
  <c r="F1919" i="3"/>
  <c r="H1919" i="3" s="1"/>
  <c r="F1920" i="3"/>
  <c r="H1920" i="3" s="1"/>
  <c r="F1921" i="3"/>
  <c r="H1921" i="3" s="1"/>
  <c r="F1877" i="3"/>
  <c r="H1877" i="3" s="1"/>
  <c r="F1880" i="3"/>
  <c r="H1880" i="3" s="1"/>
  <c r="F1918" i="3"/>
  <c r="H1918" i="3" s="1"/>
  <c r="F1992" i="3"/>
  <c r="H1992" i="3" s="1"/>
  <c r="F1995" i="3"/>
  <c r="H1995" i="3" s="1"/>
  <c r="F1999" i="3"/>
  <c r="H1999" i="3" s="1"/>
  <c r="F2003" i="3"/>
  <c r="H2003" i="3" s="1"/>
  <c r="F2007" i="3"/>
  <c r="H2007" i="3" s="1"/>
  <c r="F2011" i="3"/>
  <c r="H2011" i="3" s="1"/>
  <c r="F2015" i="3"/>
  <c r="H2015" i="3" s="1"/>
  <c r="F1990" i="3"/>
  <c r="H1990" i="3" s="1"/>
  <c r="F1993" i="3"/>
  <c r="H1993" i="3" s="1"/>
  <c r="F1998" i="3"/>
  <c r="H1998" i="3" s="1"/>
  <c r="F2001" i="3"/>
  <c r="H2001" i="3" s="1"/>
  <c r="F2010" i="3"/>
  <c r="H2010" i="3" s="1"/>
  <c r="F2013" i="3"/>
  <c r="H2013" i="3" s="1"/>
  <c r="F1902" i="3"/>
  <c r="H1902" i="3" s="1"/>
  <c r="F1906" i="3"/>
  <c r="H1906" i="3" s="1"/>
  <c r="F1910" i="3"/>
  <c r="H1910" i="3" s="1"/>
  <c r="F1915" i="3"/>
  <c r="H1915" i="3" s="1"/>
  <c r="F1916" i="3"/>
  <c r="H1916" i="3" s="1"/>
  <c r="F1917" i="3"/>
  <c r="H1917" i="3" s="1"/>
  <c r="F1923" i="3"/>
  <c r="H1923" i="3" s="1"/>
  <c r="F1924" i="3"/>
  <c r="H1924" i="3" s="1"/>
  <c r="F1927" i="3"/>
  <c r="H1927" i="3" s="1"/>
  <c r="F1928" i="3"/>
  <c r="H1928" i="3" s="1"/>
  <c r="F1931" i="3"/>
  <c r="H1931" i="3" s="1"/>
  <c r="F1932" i="3"/>
  <c r="H1932" i="3" s="1"/>
  <c r="F1935" i="3"/>
  <c r="H1935" i="3" s="1"/>
  <c r="F1936" i="3"/>
  <c r="H1936" i="3" s="1"/>
  <c r="F1939" i="3"/>
  <c r="H1939" i="3" s="1"/>
  <c r="F1940" i="3"/>
  <c r="H1940" i="3" s="1"/>
  <c r="F1943" i="3"/>
  <c r="H1943" i="3" s="1"/>
  <c r="F1944" i="3"/>
  <c r="H1944" i="3" s="1"/>
  <c r="F1947" i="3"/>
  <c r="H1947" i="3" s="1"/>
  <c r="F1948" i="3"/>
  <c r="H1948" i="3" s="1"/>
  <c r="F1951" i="3"/>
  <c r="H1951" i="3" s="1"/>
  <c r="F1952" i="3"/>
  <c r="H1952" i="3" s="1"/>
  <c r="F1955" i="3"/>
  <c r="H1955" i="3" s="1"/>
  <c r="F1956" i="3"/>
  <c r="H1956" i="3" s="1"/>
  <c r="F1959" i="3"/>
  <c r="H1959" i="3" s="1"/>
  <c r="F1960" i="3"/>
  <c r="H1960" i="3" s="1"/>
  <c r="F1963" i="3"/>
  <c r="H1963" i="3" s="1"/>
  <c r="F1964" i="3"/>
  <c r="H1964" i="3" s="1"/>
  <c r="F1967" i="3"/>
  <c r="H1967" i="3" s="1"/>
  <c r="F1968" i="3"/>
  <c r="H1968" i="3" s="1"/>
  <c r="F1971" i="3"/>
  <c r="H1971" i="3" s="1"/>
  <c r="F1972" i="3"/>
  <c r="H1972" i="3" s="1"/>
  <c r="F1975" i="3"/>
  <c r="H1975" i="3" s="1"/>
  <c r="F1976" i="3"/>
  <c r="H1976" i="3" s="1"/>
  <c r="F1979" i="3"/>
  <c r="H1979" i="3" s="1"/>
  <c r="F1980" i="3"/>
  <c r="H1980" i="3" s="1"/>
  <c r="F1983" i="3"/>
  <c r="H1983" i="3" s="1"/>
  <c r="F1984" i="3"/>
  <c r="H1984" i="3" s="1"/>
  <c r="F1987" i="3"/>
  <c r="H1987" i="3" s="1"/>
  <c r="F1988" i="3"/>
  <c r="H1988" i="3" s="1"/>
  <c r="F1991" i="3"/>
  <c r="H1991" i="3" s="1"/>
  <c r="F1996" i="3"/>
  <c r="H1996" i="3" s="1"/>
  <c r="F2000" i="3"/>
  <c r="H2000" i="3" s="1"/>
  <c r="F2004" i="3"/>
  <c r="H2004" i="3" s="1"/>
  <c r="F2008" i="3"/>
  <c r="H2008" i="3" s="1"/>
  <c r="F2012" i="3"/>
  <c r="H2012" i="3" s="1"/>
  <c r="F2016" i="3"/>
  <c r="H2016" i="3" s="1"/>
  <c r="F1985" i="3"/>
  <c r="H1985" i="3" s="1"/>
  <c r="F1989" i="3"/>
  <c r="H1989" i="3" s="1"/>
  <c r="F1994" i="3"/>
  <c r="H1994" i="3" s="1"/>
  <c r="F1997" i="3"/>
  <c r="H1997" i="3" s="1"/>
  <c r="F2005" i="3"/>
  <c r="H2005" i="3" s="1"/>
  <c r="F2014" i="3"/>
  <c r="H2014" i="3" s="1"/>
  <c r="F2017" i="3"/>
  <c r="H2017" i="3" s="1"/>
  <c r="F1876" i="3"/>
  <c r="H1876" i="3" s="1"/>
  <c r="F1901" i="3"/>
  <c r="H1901" i="3" s="1"/>
  <c r="F1905" i="3"/>
  <c r="H1905" i="3" s="1"/>
  <c r="F1909" i="3"/>
  <c r="H1909" i="3" s="1"/>
  <c r="F1914" i="3"/>
  <c r="H1914" i="3" s="1"/>
  <c r="F1922" i="3"/>
  <c r="H1922" i="3" s="1"/>
  <c r="F1925" i="3"/>
  <c r="H1925" i="3" s="1"/>
  <c r="F1926" i="3"/>
  <c r="H1926" i="3" s="1"/>
  <c r="F1929" i="3"/>
  <c r="H1929" i="3" s="1"/>
  <c r="F1930" i="3"/>
  <c r="H1930" i="3" s="1"/>
  <c r="F1933" i="3"/>
  <c r="H1933" i="3" s="1"/>
  <c r="F1934" i="3"/>
  <c r="H1934" i="3" s="1"/>
  <c r="F1937" i="3"/>
  <c r="H1937" i="3" s="1"/>
  <c r="F1938" i="3"/>
  <c r="H1938" i="3" s="1"/>
  <c r="F1941" i="3"/>
  <c r="H1941" i="3" s="1"/>
  <c r="F1942" i="3"/>
  <c r="H1942" i="3" s="1"/>
  <c r="F1945" i="3"/>
  <c r="H1945" i="3" s="1"/>
  <c r="F1946" i="3"/>
  <c r="H1946" i="3" s="1"/>
  <c r="F1949" i="3"/>
  <c r="H1949" i="3" s="1"/>
  <c r="F1950" i="3"/>
  <c r="H1950" i="3" s="1"/>
  <c r="F1953" i="3"/>
  <c r="H1953" i="3" s="1"/>
  <c r="F1954" i="3"/>
  <c r="H1954" i="3" s="1"/>
  <c r="F1957" i="3"/>
  <c r="H1957" i="3" s="1"/>
  <c r="F1958" i="3"/>
  <c r="H1958" i="3" s="1"/>
  <c r="F1961" i="3"/>
  <c r="H1961" i="3" s="1"/>
  <c r="F1962" i="3"/>
  <c r="H1962" i="3" s="1"/>
  <c r="F1965" i="3"/>
  <c r="H1965" i="3" s="1"/>
  <c r="F1966" i="3"/>
  <c r="H1966" i="3" s="1"/>
  <c r="F1969" i="3"/>
  <c r="H1969" i="3" s="1"/>
  <c r="F1970" i="3"/>
  <c r="H1970" i="3" s="1"/>
  <c r="F1973" i="3"/>
  <c r="H1973" i="3" s="1"/>
  <c r="F1974" i="3"/>
  <c r="H1974" i="3" s="1"/>
  <c r="F1977" i="3"/>
  <c r="H1977" i="3" s="1"/>
  <c r="F1978" i="3"/>
  <c r="H1978" i="3" s="1"/>
  <c r="F1981" i="3"/>
  <c r="H1981" i="3" s="1"/>
  <c r="F1982" i="3"/>
  <c r="H1982" i="3" s="1"/>
  <c r="F1986" i="3"/>
  <c r="H1986" i="3" s="1"/>
  <c r="F2002" i="3"/>
  <c r="H2002" i="3" s="1"/>
  <c r="F2006" i="3"/>
  <c r="H2006" i="3" s="1"/>
  <c r="F2009" i="3"/>
  <c r="H2009" i="3" s="1"/>
  <c r="F2018" i="3"/>
  <c r="H2018" i="3" s="1"/>
  <c r="F976" i="3"/>
  <c r="H976" i="3" s="1"/>
  <c r="F880" i="3"/>
  <c r="H880" i="3" s="1"/>
  <c r="F752" i="3"/>
  <c r="H752" i="3" s="1"/>
  <c r="F624" i="3"/>
  <c r="H624" i="3" s="1"/>
  <c r="F309" i="3"/>
  <c r="H309" i="3" s="1"/>
  <c r="F992" i="3"/>
  <c r="H992" i="3" s="1"/>
  <c r="F912" i="3"/>
  <c r="H912" i="3" s="1"/>
  <c r="F784" i="3"/>
  <c r="H784" i="3" s="1"/>
  <c r="F656" i="3"/>
  <c r="H656" i="3" s="1"/>
  <c r="F522" i="3"/>
  <c r="H522" i="3" s="1"/>
  <c r="F352" i="3"/>
  <c r="H352" i="3" s="1"/>
  <c r="F960" i="3"/>
  <c r="H960" i="3" s="1"/>
  <c r="F848" i="3"/>
  <c r="H848" i="3" s="1"/>
  <c r="F720" i="3"/>
  <c r="H720" i="3" s="1"/>
  <c r="F592" i="3"/>
  <c r="H592" i="3" s="1"/>
  <c r="F437" i="3"/>
  <c r="H437" i="3" s="1"/>
  <c r="F260" i="3"/>
  <c r="H260" i="3" s="1"/>
  <c r="F480" i="3"/>
  <c r="H480" i="3" s="1"/>
  <c r="F1008" i="3"/>
  <c r="H1008" i="3" s="1"/>
  <c r="F944" i="3"/>
  <c r="H944" i="3" s="1"/>
  <c r="F816" i="3"/>
  <c r="H816" i="3" s="1"/>
  <c r="F688" i="3"/>
  <c r="H688" i="3" s="1"/>
  <c r="F560" i="3"/>
  <c r="H560" i="3" s="1"/>
  <c r="F394" i="3"/>
  <c r="H394" i="3" s="1"/>
  <c r="F123" i="3"/>
  <c r="H123" i="3" s="1"/>
  <c r="F1000" i="3"/>
  <c r="H1000" i="3" s="1"/>
  <c r="F984" i="3"/>
  <c r="H984" i="3" s="1"/>
  <c r="F952" i="3"/>
  <c r="H952" i="3" s="1"/>
  <c r="F896" i="3"/>
  <c r="H896" i="3" s="1"/>
  <c r="F832" i="3"/>
  <c r="H832" i="3" s="1"/>
  <c r="F1015" i="3"/>
  <c r="H1015" i="3" s="1"/>
  <c r="F999" i="3"/>
  <c r="H999" i="3" s="1"/>
  <c r="F983" i="3"/>
  <c r="H983" i="3" s="1"/>
  <c r="F967" i="3"/>
  <c r="H967" i="3" s="1"/>
  <c r="F951" i="3"/>
  <c r="H951" i="3" s="1"/>
  <c r="F924" i="3"/>
  <c r="H924" i="3" s="1"/>
  <c r="F892" i="3"/>
  <c r="H892" i="3" s="1"/>
  <c r="F860" i="3"/>
  <c r="H860" i="3" s="1"/>
  <c r="F828" i="3"/>
  <c r="H828" i="3" s="1"/>
  <c r="F796" i="3"/>
  <c r="H796" i="3" s="1"/>
  <c r="F764" i="3"/>
  <c r="H764" i="3" s="1"/>
  <c r="F732" i="3"/>
  <c r="H732" i="3" s="1"/>
  <c r="F700" i="3"/>
  <c r="H700" i="3" s="1"/>
  <c r="F668" i="3"/>
  <c r="H668" i="3" s="1"/>
  <c r="F636" i="3"/>
  <c r="H636" i="3" s="1"/>
  <c r="F604" i="3"/>
  <c r="H604" i="3" s="1"/>
  <c r="F572" i="3"/>
  <c r="H572" i="3" s="1"/>
  <c r="F538" i="3"/>
  <c r="H538" i="3" s="1"/>
  <c r="F496" i="3"/>
  <c r="H496" i="3" s="1"/>
  <c r="F453" i="3"/>
  <c r="H453" i="3" s="1"/>
  <c r="F410" i="3"/>
  <c r="H410" i="3" s="1"/>
  <c r="F368" i="3"/>
  <c r="H368" i="3" s="1"/>
  <c r="F325" i="3"/>
  <c r="H325" i="3" s="1"/>
  <c r="F282" i="3"/>
  <c r="H282" i="3" s="1"/>
  <c r="F220" i="3"/>
  <c r="H220" i="3" s="1"/>
  <c r="F155" i="3"/>
  <c r="H155" i="3" s="1"/>
  <c r="F1007" i="3"/>
  <c r="H1007" i="3" s="1"/>
  <c r="F991" i="3"/>
  <c r="H991" i="3" s="1"/>
  <c r="F975" i="3"/>
  <c r="H975" i="3" s="1"/>
  <c r="F959" i="3"/>
  <c r="H959" i="3" s="1"/>
  <c r="F940" i="3"/>
  <c r="H940" i="3" s="1"/>
  <c r="F908" i="3"/>
  <c r="H908" i="3" s="1"/>
  <c r="F876" i="3"/>
  <c r="H876" i="3" s="1"/>
  <c r="F844" i="3"/>
  <c r="H844" i="3" s="1"/>
  <c r="F812" i="3"/>
  <c r="H812" i="3" s="1"/>
  <c r="F780" i="3"/>
  <c r="H780" i="3" s="1"/>
  <c r="F748" i="3"/>
  <c r="H748" i="3" s="1"/>
  <c r="F716" i="3"/>
  <c r="H716" i="3" s="1"/>
  <c r="F684" i="3"/>
  <c r="H684" i="3" s="1"/>
  <c r="F652" i="3"/>
  <c r="H652" i="3" s="1"/>
  <c r="F620" i="3"/>
  <c r="H620" i="3" s="1"/>
  <c r="F588" i="3"/>
  <c r="H588" i="3" s="1"/>
  <c r="F556" i="3"/>
  <c r="H556" i="3" s="1"/>
  <c r="F517" i="3"/>
  <c r="H517" i="3" s="1"/>
  <c r="F474" i="3"/>
  <c r="H474" i="3" s="1"/>
  <c r="F432" i="3"/>
  <c r="H432" i="3" s="1"/>
  <c r="F389" i="3"/>
  <c r="H389" i="3" s="1"/>
  <c r="F346" i="3"/>
  <c r="H346" i="3" s="1"/>
  <c r="F304" i="3"/>
  <c r="H304" i="3" s="1"/>
  <c r="F252" i="3"/>
  <c r="H252" i="3" s="1"/>
  <c r="F188" i="3"/>
  <c r="H188" i="3" s="1"/>
  <c r="F91" i="3"/>
  <c r="H91" i="3" s="1"/>
  <c r="F196" i="3"/>
  <c r="H196" i="3" s="1"/>
  <c r="F1016" i="3"/>
  <c r="H1016" i="3" s="1"/>
  <c r="F968" i="3"/>
  <c r="H968" i="3" s="1"/>
  <c r="F928" i="3"/>
  <c r="H928" i="3" s="1"/>
  <c r="F864" i="3"/>
  <c r="H864" i="3" s="1"/>
  <c r="F800" i="3"/>
  <c r="H800" i="3" s="1"/>
  <c r="F768" i="3"/>
  <c r="H768" i="3" s="1"/>
  <c r="F736" i="3"/>
  <c r="H736" i="3" s="1"/>
  <c r="F704" i="3"/>
  <c r="H704" i="3" s="1"/>
  <c r="F672" i="3"/>
  <c r="H672" i="3" s="1"/>
  <c r="F640" i="3"/>
  <c r="H640" i="3" s="1"/>
  <c r="F608" i="3"/>
  <c r="H608" i="3" s="1"/>
  <c r="F576" i="3"/>
  <c r="H576" i="3" s="1"/>
  <c r="F544" i="3"/>
  <c r="H544" i="3" s="1"/>
  <c r="F501" i="3"/>
  <c r="H501" i="3" s="1"/>
  <c r="F458" i="3"/>
  <c r="H458" i="3" s="1"/>
  <c r="F416" i="3"/>
  <c r="H416" i="3" s="1"/>
  <c r="F373" i="3"/>
  <c r="H373" i="3" s="1"/>
  <c r="F330" i="3"/>
  <c r="H330" i="3" s="1"/>
  <c r="F288" i="3"/>
  <c r="H288" i="3" s="1"/>
  <c r="F228" i="3"/>
  <c r="H228" i="3" s="1"/>
  <c r="F22" i="3"/>
  <c r="H22" i="3" s="1"/>
  <c r="F26" i="3"/>
  <c r="H26" i="3" s="1"/>
  <c r="F30" i="3"/>
  <c r="H30" i="3" s="1"/>
  <c r="F34" i="3"/>
  <c r="H34" i="3" s="1"/>
  <c r="F38" i="3"/>
  <c r="H38" i="3" s="1"/>
  <c r="F42" i="3"/>
  <c r="H42" i="3" s="1"/>
  <c r="F46" i="3"/>
  <c r="H46" i="3" s="1"/>
  <c r="F50" i="3"/>
  <c r="H50" i="3" s="1"/>
  <c r="F54" i="3"/>
  <c r="H54" i="3" s="1"/>
  <c r="F58" i="3"/>
  <c r="H58" i="3" s="1"/>
  <c r="F62" i="3"/>
  <c r="H62" i="3" s="1"/>
  <c r="F66" i="3"/>
  <c r="H66" i="3" s="1"/>
  <c r="F70" i="3"/>
  <c r="H70" i="3" s="1"/>
  <c r="F74" i="3"/>
  <c r="H74" i="3" s="1"/>
  <c r="F78" i="3"/>
  <c r="H78" i="3" s="1"/>
  <c r="F82" i="3"/>
  <c r="H82" i="3" s="1"/>
  <c r="F86" i="3"/>
  <c r="H86" i="3" s="1"/>
  <c r="F90" i="3"/>
  <c r="H90" i="3" s="1"/>
  <c r="F94" i="3"/>
  <c r="H94" i="3" s="1"/>
  <c r="F98" i="3"/>
  <c r="H98" i="3" s="1"/>
  <c r="F102" i="3"/>
  <c r="H102" i="3" s="1"/>
  <c r="F106" i="3"/>
  <c r="H106" i="3" s="1"/>
  <c r="F110" i="3"/>
  <c r="H110" i="3" s="1"/>
  <c r="F114" i="3"/>
  <c r="H114" i="3" s="1"/>
  <c r="F118" i="3"/>
  <c r="H118" i="3" s="1"/>
  <c r="F122" i="3"/>
  <c r="H122" i="3" s="1"/>
  <c r="F21" i="3"/>
  <c r="H21" i="3" s="1"/>
  <c r="F25" i="3"/>
  <c r="H25" i="3" s="1"/>
  <c r="F29" i="3"/>
  <c r="H29" i="3" s="1"/>
  <c r="F33" i="3"/>
  <c r="H33" i="3" s="1"/>
  <c r="F37" i="3"/>
  <c r="H37" i="3" s="1"/>
  <c r="F41" i="3"/>
  <c r="H41" i="3" s="1"/>
  <c r="F45" i="3"/>
  <c r="H45" i="3" s="1"/>
  <c r="F49" i="3"/>
  <c r="H49" i="3" s="1"/>
  <c r="F53" i="3"/>
  <c r="H53" i="3" s="1"/>
  <c r="F57" i="3"/>
  <c r="H57" i="3" s="1"/>
  <c r="F61" i="3"/>
  <c r="H61" i="3" s="1"/>
  <c r="F65" i="3"/>
  <c r="H65" i="3" s="1"/>
  <c r="F69" i="3"/>
  <c r="H69" i="3" s="1"/>
  <c r="F73" i="3"/>
  <c r="H73" i="3" s="1"/>
  <c r="F77" i="3"/>
  <c r="H77" i="3" s="1"/>
  <c r="F81" i="3"/>
  <c r="H81" i="3" s="1"/>
  <c r="F85" i="3"/>
  <c r="H85" i="3" s="1"/>
  <c r="F89" i="3"/>
  <c r="H89" i="3" s="1"/>
  <c r="F93" i="3"/>
  <c r="H93" i="3" s="1"/>
  <c r="F97" i="3"/>
  <c r="H97" i="3" s="1"/>
  <c r="F101" i="3"/>
  <c r="H101" i="3" s="1"/>
  <c r="F105" i="3"/>
  <c r="H105" i="3" s="1"/>
  <c r="F109" i="3"/>
  <c r="H109" i="3" s="1"/>
  <c r="F113" i="3"/>
  <c r="H113" i="3" s="1"/>
  <c r="F117" i="3"/>
  <c r="H117" i="3" s="1"/>
  <c r="F121" i="3"/>
  <c r="H121" i="3" s="1"/>
  <c r="F125" i="3"/>
  <c r="H125" i="3" s="1"/>
  <c r="F129" i="3"/>
  <c r="H129" i="3" s="1"/>
  <c r="F133" i="3"/>
  <c r="H133" i="3" s="1"/>
  <c r="F137" i="3"/>
  <c r="H137" i="3" s="1"/>
  <c r="F141" i="3"/>
  <c r="H141" i="3" s="1"/>
  <c r="F145" i="3"/>
  <c r="H145" i="3" s="1"/>
  <c r="F149" i="3"/>
  <c r="H149" i="3" s="1"/>
  <c r="F153" i="3"/>
  <c r="H153" i="3" s="1"/>
  <c r="F157" i="3"/>
  <c r="H157" i="3" s="1"/>
  <c r="F24" i="3"/>
  <c r="H24" i="3" s="1"/>
  <c r="F32" i="3"/>
  <c r="H32" i="3" s="1"/>
  <c r="F40" i="3"/>
  <c r="H40" i="3" s="1"/>
  <c r="F48" i="3"/>
  <c r="H48" i="3" s="1"/>
  <c r="F56" i="3"/>
  <c r="H56" i="3" s="1"/>
  <c r="F64" i="3"/>
  <c r="H64" i="3" s="1"/>
  <c r="F72" i="3"/>
  <c r="H72" i="3" s="1"/>
  <c r="F80" i="3"/>
  <c r="H80" i="3" s="1"/>
  <c r="F88" i="3"/>
  <c r="H88" i="3" s="1"/>
  <c r="F96" i="3"/>
  <c r="H96" i="3" s="1"/>
  <c r="F104" i="3"/>
  <c r="H104" i="3" s="1"/>
  <c r="F112" i="3"/>
  <c r="H112" i="3" s="1"/>
  <c r="F120" i="3"/>
  <c r="H120" i="3" s="1"/>
  <c r="F127" i="3"/>
  <c r="H127" i="3" s="1"/>
  <c r="F132" i="3"/>
  <c r="H132" i="3" s="1"/>
  <c r="F138" i="3"/>
  <c r="H138" i="3" s="1"/>
  <c r="F143" i="3"/>
  <c r="H143" i="3" s="1"/>
  <c r="F148" i="3"/>
  <c r="H148" i="3" s="1"/>
  <c r="F154" i="3"/>
  <c r="H154" i="3" s="1"/>
  <c r="F159" i="3"/>
  <c r="H159" i="3" s="1"/>
  <c r="F163" i="3"/>
  <c r="H163" i="3" s="1"/>
  <c r="F167" i="3"/>
  <c r="H167" i="3" s="1"/>
  <c r="F171" i="3"/>
  <c r="H171" i="3" s="1"/>
  <c r="F175" i="3"/>
  <c r="H175" i="3" s="1"/>
  <c r="F179" i="3"/>
  <c r="H179" i="3" s="1"/>
  <c r="F183" i="3"/>
  <c r="H183" i="3" s="1"/>
  <c r="F187" i="3"/>
  <c r="H187" i="3" s="1"/>
  <c r="F191" i="3"/>
  <c r="H191" i="3" s="1"/>
  <c r="F195" i="3"/>
  <c r="H195" i="3" s="1"/>
  <c r="F199" i="3"/>
  <c r="H199" i="3" s="1"/>
  <c r="F203" i="3"/>
  <c r="H203" i="3" s="1"/>
  <c r="F207" i="3"/>
  <c r="H207" i="3" s="1"/>
  <c r="F211" i="3"/>
  <c r="H211" i="3" s="1"/>
  <c r="F215" i="3"/>
  <c r="H215" i="3" s="1"/>
  <c r="F219" i="3"/>
  <c r="H219" i="3" s="1"/>
  <c r="F223" i="3"/>
  <c r="H223" i="3" s="1"/>
  <c r="F227" i="3"/>
  <c r="H227" i="3" s="1"/>
  <c r="F231" i="3"/>
  <c r="H231" i="3" s="1"/>
  <c r="F235" i="3"/>
  <c r="H235" i="3" s="1"/>
  <c r="F239" i="3"/>
  <c r="H239" i="3" s="1"/>
  <c r="F243" i="3"/>
  <c r="H243" i="3" s="1"/>
  <c r="F247" i="3"/>
  <c r="H247" i="3" s="1"/>
  <c r="F251" i="3"/>
  <c r="H251" i="3" s="1"/>
  <c r="F255" i="3"/>
  <c r="H255" i="3" s="1"/>
  <c r="F259" i="3"/>
  <c r="H259" i="3" s="1"/>
  <c r="F263" i="3"/>
  <c r="H263" i="3" s="1"/>
  <c r="F267" i="3"/>
  <c r="H267" i="3" s="1"/>
  <c r="F271" i="3"/>
  <c r="H271" i="3" s="1"/>
  <c r="F275" i="3"/>
  <c r="H275" i="3" s="1"/>
  <c r="F279" i="3"/>
  <c r="H279" i="3" s="1"/>
  <c r="F283" i="3"/>
  <c r="H283" i="3" s="1"/>
  <c r="F287" i="3"/>
  <c r="H287" i="3" s="1"/>
  <c r="F291" i="3"/>
  <c r="H291" i="3" s="1"/>
  <c r="F295" i="3"/>
  <c r="H295" i="3" s="1"/>
  <c r="F299" i="3"/>
  <c r="H299" i="3" s="1"/>
  <c r="F303" i="3"/>
  <c r="H303" i="3" s="1"/>
  <c r="F307" i="3"/>
  <c r="H307" i="3" s="1"/>
  <c r="F311" i="3"/>
  <c r="H311" i="3" s="1"/>
  <c r="F315" i="3"/>
  <c r="H315" i="3" s="1"/>
  <c r="F319" i="3"/>
  <c r="H319" i="3" s="1"/>
  <c r="F323" i="3"/>
  <c r="H323" i="3" s="1"/>
  <c r="F327" i="3"/>
  <c r="H327" i="3" s="1"/>
  <c r="F331" i="3"/>
  <c r="H331" i="3" s="1"/>
  <c r="F335" i="3"/>
  <c r="H335" i="3" s="1"/>
  <c r="F339" i="3"/>
  <c r="H339" i="3" s="1"/>
  <c r="F343" i="3"/>
  <c r="H343" i="3" s="1"/>
  <c r="F347" i="3"/>
  <c r="H347" i="3" s="1"/>
  <c r="F351" i="3"/>
  <c r="H351" i="3" s="1"/>
  <c r="F355" i="3"/>
  <c r="H355" i="3" s="1"/>
  <c r="F359" i="3"/>
  <c r="H359" i="3" s="1"/>
  <c r="F363" i="3"/>
  <c r="H363" i="3" s="1"/>
  <c r="F367" i="3"/>
  <c r="H367" i="3" s="1"/>
  <c r="F371" i="3"/>
  <c r="H371" i="3" s="1"/>
  <c r="F375" i="3"/>
  <c r="H375" i="3" s="1"/>
  <c r="F379" i="3"/>
  <c r="H379" i="3" s="1"/>
  <c r="F383" i="3"/>
  <c r="H383" i="3" s="1"/>
  <c r="F387" i="3"/>
  <c r="H387" i="3" s="1"/>
  <c r="F391" i="3"/>
  <c r="H391" i="3" s="1"/>
  <c r="F395" i="3"/>
  <c r="H395" i="3" s="1"/>
  <c r="F399" i="3"/>
  <c r="H399" i="3" s="1"/>
  <c r="F403" i="3"/>
  <c r="H403" i="3" s="1"/>
  <c r="F407" i="3"/>
  <c r="H407" i="3" s="1"/>
  <c r="F411" i="3"/>
  <c r="H411" i="3" s="1"/>
  <c r="F415" i="3"/>
  <c r="H415" i="3" s="1"/>
  <c r="F419" i="3"/>
  <c r="H419" i="3" s="1"/>
  <c r="F423" i="3"/>
  <c r="H423" i="3" s="1"/>
  <c r="F427" i="3"/>
  <c r="H427" i="3" s="1"/>
  <c r="F431" i="3"/>
  <c r="H431" i="3" s="1"/>
  <c r="F435" i="3"/>
  <c r="H435" i="3" s="1"/>
  <c r="F439" i="3"/>
  <c r="H439" i="3" s="1"/>
  <c r="F443" i="3"/>
  <c r="H443" i="3" s="1"/>
  <c r="F447" i="3"/>
  <c r="H447" i="3" s="1"/>
  <c r="F451" i="3"/>
  <c r="H451" i="3" s="1"/>
  <c r="F455" i="3"/>
  <c r="H455" i="3" s="1"/>
  <c r="F459" i="3"/>
  <c r="H459" i="3" s="1"/>
  <c r="F463" i="3"/>
  <c r="H463" i="3" s="1"/>
  <c r="F467" i="3"/>
  <c r="H467" i="3" s="1"/>
  <c r="F471" i="3"/>
  <c r="H471" i="3" s="1"/>
  <c r="F475" i="3"/>
  <c r="H475" i="3" s="1"/>
  <c r="F479" i="3"/>
  <c r="H479" i="3" s="1"/>
  <c r="F483" i="3"/>
  <c r="H483" i="3" s="1"/>
  <c r="F487" i="3"/>
  <c r="H487" i="3" s="1"/>
  <c r="F491" i="3"/>
  <c r="H491" i="3" s="1"/>
  <c r="F495" i="3"/>
  <c r="H495" i="3" s="1"/>
  <c r="F499" i="3"/>
  <c r="H499" i="3" s="1"/>
  <c r="F503" i="3"/>
  <c r="H503" i="3" s="1"/>
  <c r="F507" i="3"/>
  <c r="H507" i="3" s="1"/>
  <c r="F511" i="3"/>
  <c r="H511" i="3" s="1"/>
  <c r="F515" i="3"/>
  <c r="H515" i="3" s="1"/>
  <c r="F519" i="3"/>
  <c r="H519" i="3" s="1"/>
  <c r="F523" i="3"/>
  <c r="H523" i="3" s="1"/>
  <c r="F527" i="3"/>
  <c r="H527" i="3" s="1"/>
  <c r="F531" i="3"/>
  <c r="H531" i="3" s="1"/>
  <c r="F535" i="3"/>
  <c r="H535" i="3" s="1"/>
  <c r="F539" i="3"/>
  <c r="H539" i="3" s="1"/>
  <c r="F543" i="3"/>
  <c r="H543" i="3" s="1"/>
  <c r="F27" i="3"/>
  <c r="H27" i="3" s="1"/>
  <c r="F35" i="3"/>
  <c r="H35" i="3" s="1"/>
  <c r="F43" i="3"/>
  <c r="H43" i="3" s="1"/>
  <c r="F20" i="3"/>
  <c r="H20" i="3" s="1"/>
  <c r="F28" i="3"/>
  <c r="H28" i="3" s="1"/>
  <c r="F36" i="3"/>
  <c r="H36" i="3" s="1"/>
  <c r="F44" i="3"/>
  <c r="H44" i="3" s="1"/>
  <c r="F52" i="3"/>
  <c r="H52" i="3" s="1"/>
  <c r="F60" i="3"/>
  <c r="H60" i="3" s="1"/>
  <c r="F68" i="3"/>
  <c r="H68" i="3" s="1"/>
  <c r="F76" i="3"/>
  <c r="H76" i="3" s="1"/>
  <c r="F84" i="3"/>
  <c r="H84" i="3" s="1"/>
  <c r="F92" i="3"/>
  <c r="H92" i="3" s="1"/>
  <c r="F100" i="3"/>
  <c r="H100" i="3" s="1"/>
  <c r="F108" i="3"/>
  <c r="H108" i="3" s="1"/>
  <c r="F116" i="3"/>
  <c r="H116" i="3" s="1"/>
  <c r="F23" i="3"/>
  <c r="H23" i="3" s="1"/>
  <c r="F31" i="3"/>
  <c r="H31" i="3" s="1"/>
  <c r="F39" i="3"/>
  <c r="H39" i="3" s="1"/>
  <c r="F47" i="3"/>
  <c r="H47" i="3" s="1"/>
  <c r="F55" i="3"/>
  <c r="H55" i="3" s="1"/>
  <c r="F63" i="3"/>
  <c r="H63" i="3" s="1"/>
  <c r="F71" i="3"/>
  <c r="H71" i="3" s="1"/>
  <c r="F79" i="3"/>
  <c r="H79" i="3" s="1"/>
  <c r="F87" i="3"/>
  <c r="H87" i="3" s="1"/>
  <c r="F95" i="3"/>
  <c r="H95" i="3" s="1"/>
  <c r="F103" i="3"/>
  <c r="H103" i="3" s="1"/>
  <c r="F111" i="3"/>
  <c r="H111" i="3" s="1"/>
  <c r="F119" i="3"/>
  <c r="H119" i="3" s="1"/>
  <c r="F126" i="3"/>
  <c r="H126" i="3" s="1"/>
  <c r="F131" i="3"/>
  <c r="H131" i="3" s="1"/>
  <c r="F136" i="3"/>
  <c r="H136" i="3" s="1"/>
  <c r="F142" i="3"/>
  <c r="H142" i="3" s="1"/>
  <c r="F147" i="3"/>
  <c r="H147" i="3" s="1"/>
  <c r="F152" i="3"/>
  <c r="H152" i="3" s="1"/>
  <c r="F158" i="3"/>
  <c r="H158" i="3" s="1"/>
  <c r="F162" i="3"/>
  <c r="H162" i="3" s="1"/>
  <c r="F166" i="3"/>
  <c r="H166" i="3" s="1"/>
  <c r="F170" i="3"/>
  <c r="H170" i="3" s="1"/>
  <c r="F174" i="3"/>
  <c r="H174" i="3" s="1"/>
  <c r="F178" i="3"/>
  <c r="H178" i="3" s="1"/>
  <c r="F182" i="3"/>
  <c r="H182" i="3" s="1"/>
  <c r="F186" i="3"/>
  <c r="H186" i="3" s="1"/>
  <c r="F190" i="3"/>
  <c r="H190" i="3" s="1"/>
  <c r="F194" i="3"/>
  <c r="H194" i="3" s="1"/>
  <c r="F198" i="3"/>
  <c r="H198" i="3" s="1"/>
  <c r="F202" i="3"/>
  <c r="H202" i="3" s="1"/>
  <c r="F206" i="3"/>
  <c r="H206" i="3" s="1"/>
  <c r="F210" i="3"/>
  <c r="H210" i="3" s="1"/>
  <c r="F214" i="3"/>
  <c r="H214" i="3" s="1"/>
  <c r="F218" i="3"/>
  <c r="H218" i="3" s="1"/>
  <c r="F222" i="3"/>
  <c r="H222" i="3" s="1"/>
  <c r="F226" i="3"/>
  <c r="H226" i="3" s="1"/>
  <c r="F230" i="3"/>
  <c r="H230" i="3" s="1"/>
  <c r="F234" i="3"/>
  <c r="H234" i="3" s="1"/>
  <c r="F238" i="3"/>
  <c r="H238" i="3" s="1"/>
  <c r="F242" i="3"/>
  <c r="H242" i="3" s="1"/>
  <c r="F246" i="3"/>
  <c r="H246" i="3" s="1"/>
  <c r="F250" i="3"/>
  <c r="H250" i="3" s="1"/>
  <c r="F254" i="3"/>
  <c r="H254" i="3" s="1"/>
  <c r="F258" i="3"/>
  <c r="H258" i="3" s="1"/>
  <c r="F262" i="3"/>
  <c r="H262" i="3" s="1"/>
  <c r="F266" i="3"/>
  <c r="H266" i="3" s="1"/>
  <c r="F270" i="3"/>
  <c r="H270" i="3" s="1"/>
  <c r="F274" i="3"/>
  <c r="H274" i="3" s="1"/>
  <c r="F278" i="3"/>
  <c r="H278" i="3" s="1"/>
  <c r="F75" i="3"/>
  <c r="H75" i="3" s="1"/>
  <c r="F107" i="3"/>
  <c r="H107" i="3" s="1"/>
  <c r="F128" i="3"/>
  <c r="H128" i="3" s="1"/>
  <c r="F139" i="3"/>
  <c r="H139" i="3" s="1"/>
  <c r="F150" i="3"/>
  <c r="H150" i="3" s="1"/>
  <c r="F160" i="3"/>
  <c r="H160" i="3" s="1"/>
  <c r="F168" i="3"/>
  <c r="H168" i="3" s="1"/>
  <c r="F176" i="3"/>
  <c r="H176" i="3" s="1"/>
  <c r="F184" i="3"/>
  <c r="H184" i="3" s="1"/>
  <c r="F192" i="3"/>
  <c r="H192" i="3" s="1"/>
  <c r="F200" i="3"/>
  <c r="H200" i="3" s="1"/>
  <c r="F208" i="3"/>
  <c r="H208" i="3" s="1"/>
  <c r="F216" i="3"/>
  <c r="H216" i="3" s="1"/>
  <c r="F224" i="3"/>
  <c r="H224" i="3" s="1"/>
  <c r="F232" i="3"/>
  <c r="H232" i="3" s="1"/>
  <c r="F240" i="3"/>
  <c r="H240" i="3" s="1"/>
  <c r="F248" i="3"/>
  <c r="H248" i="3" s="1"/>
  <c r="F256" i="3"/>
  <c r="H256" i="3" s="1"/>
  <c r="F264" i="3"/>
  <c r="H264" i="3" s="1"/>
  <c r="F272" i="3"/>
  <c r="H272" i="3" s="1"/>
  <c r="F280" i="3"/>
  <c r="H280" i="3" s="1"/>
  <c r="F285" i="3"/>
  <c r="H285" i="3" s="1"/>
  <c r="F290" i="3"/>
  <c r="H290" i="3" s="1"/>
  <c r="F296" i="3"/>
  <c r="H296" i="3" s="1"/>
  <c r="F301" i="3"/>
  <c r="H301" i="3" s="1"/>
  <c r="F306" i="3"/>
  <c r="H306" i="3" s="1"/>
  <c r="F312" i="3"/>
  <c r="H312" i="3" s="1"/>
  <c r="F317" i="3"/>
  <c r="H317" i="3" s="1"/>
  <c r="F322" i="3"/>
  <c r="H322" i="3" s="1"/>
  <c r="F328" i="3"/>
  <c r="H328" i="3" s="1"/>
  <c r="F333" i="3"/>
  <c r="H333" i="3" s="1"/>
  <c r="F338" i="3"/>
  <c r="H338" i="3" s="1"/>
  <c r="F344" i="3"/>
  <c r="H344" i="3" s="1"/>
  <c r="F349" i="3"/>
  <c r="H349" i="3" s="1"/>
  <c r="F354" i="3"/>
  <c r="H354" i="3" s="1"/>
  <c r="F360" i="3"/>
  <c r="H360" i="3" s="1"/>
  <c r="F365" i="3"/>
  <c r="H365" i="3" s="1"/>
  <c r="F370" i="3"/>
  <c r="H370" i="3" s="1"/>
  <c r="F376" i="3"/>
  <c r="H376" i="3" s="1"/>
  <c r="F381" i="3"/>
  <c r="H381" i="3" s="1"/>
  <c r="F386" i="3"/>
  <c r="H386" i="3" s="1"/>
  <c r="F392" i="3"/>
  <c r="H392" i="3" s="1"/>
  <c r="F397" i="3"/>
  <c r="H397" i="3" s="1"/>
  <c r="F402" i="3"/>
  <c r="H402" i="3" s="1"/>
  <c r="F408" i="3"/>
  <c r="H408" i="3" s="1"/>
  <c r="F413" i="3"/>
  <c r="H413" i="3" s="1"/>
  <c r="F418" i="3"/>
  <c r="H418" i="3" s="1"/>
  <c r="F424" i="3"/>
  <c r="H424" i="3" s="1"/>
  <c r="F429" i="3"/>
  <c r="H429" i="3" s="1"/>
  <c r="F434" i="3"/>
  <c r="H434" i="3" s="1"/>
  <c r="F440" i="3"/>
  <c r="H440" i="3" s="1"/>
  <c r="F445" i="3"/>
  <c r="H445" i="3" s="1"/>
  <c r="F450" i="3"/>
  <c r="H450" i="3" s="1"/>
  <c r="F456" i="3"/>
  <c r="H456" i="3" s="1"/>
  <c r="F461" i="3"/>
  <c r="H461" i="3" s="1"/>
  <c r="F466" i="3"/>
  <c r="H466" i="3" s="1"/>
  <c r="F472" i="3"/>
  <c r="H472" i="3" s="1"/>
  <c r="F477" i="3"/>
  <c r="H477" i="3" s="1"/>
  <c r="F482" i="3"/>
  <c r="H482" i="3" s="1"/>
  <c r="F488" i="3"/>
  <c r="H488" i="3" s="1"/>
  <c r="F493" i="3"/>
  <c r="H493" i="3" s="1"/>
  <c r="F498" i="3"/>
  <c r="H498" i="3" s="1"/>
  <c r="F504" i="3"/>
  <c r="H504" i="3" s="1"/>
  <c r="F509" i="3"/>
  <c r="H509" i="3" s="1"/>
  <c r="F514" i="3"/>
  <c r="H514" i="3" s="1"/>
  <c r="F520" i="3"/>
  <c r="H520" i="3" s="1"/>
  <c r="F525" i="3"/>
  <c r="H525" i="3" s="1"/>
  <c r="F530" i="3"/>
  <c r="H530" i="3" s="1"/>
  <c r="F536" i="3"/>
  <c r="H536" i="3" s="1"/>
  <c r="F541" i="3"/>
  <c r="H541" i="3" s="1"/>
  <c r="F546" i="3"/>
  <c r="H546" i="3" s="1"/>
  <c r="F550" i="3"/>
  <c r="H550" i="3" s="1"/>
  <c r="F554" i="3"/>
  <c r="H554" i="3" s="1"/>
  <c r="F558" i="3"/>
  <c r="H558" i="3" s="1"/>
  <c r="F562" i="3"/>
  <c r="H562" i="3" s="1"/>
  <c r="F566" i="3"/>
  <c r="H566" i="3" s="1"/>
  <c r="F570" i="3"/>
  <c r="H570" i="3" s="1"/>
  <c r="F574" i="3"/>
  <c r="H574" i="3" s="1"/>
  <c r="F578" i="3"/>
  <c r="H578" i="3" s="1"/>
  <c r="F582" i="3"/>
  <c r="H582" i="3" s="1"/>
  <c r="F586" i="3"/>
  <c r="H586" i="3" s="1"/>
  <c r="F590" i="3"/>
  <c r="H590" i="3" s="1"/>
  <c r="F594" i="3"/>
  <c r="H594" i="3" s="1"/>
  <c r="F598" i="3"/>
  <c r="H598" i="3" s="1"/>
  <c r="F602" i="3"/>
  <c r="H602" i="3" s="1"/>
  <c r="F606" i="3"/>
  <c r="H606" i="3" s="1"/>
  <c r="F610" i="3"/>
  <c r="H610" i="3" s="1"/>
  <c r="F614" i="3"/>
  <c r="H614" i="3" s="1"/>
  <c r="F618" i="3"/>
  <c r="H618" i="3" s="1"/>
  <c r="F622" i="3"/>
  <c r="H622" i="3" s="1"/>
  <c r="F626" i="3"/>
  <c r="H626" i="3" s="1"/>
  <c r="F630" i="3"/>
  <c r="H630" i="3" s="1"/>
  <c r="F634" i="3"/>
  <c r="H634" i="3" s="1"/>
  <c r="F638" i="3"/>
  <c r="H638" i="3" s="1"/>
  <c r="F642" i="3"/>
  <c r="H642" i="3" s="1"/>
  <c r="F646" i="3"/>
  <c r="H646" i="3" s="1"/>
  <c r="F650" i="3"/>
  <c r="H650" i="3" s="1"/>
  <c r="F654" i="3"/>
  <c r="H654" i="3" s="1"/>
  <c r="F658" i="3"/>
  <c r="H658" i="3" s="1"/>
  <c r="F662" i="3"/>
  <c r="H662" i="3" s="1"/>
  <c r="F666" i="3"/>
  <c r="H666" i="3" s="1"/>
  <c r="F670" i="3"/>
  <c r="H670" i="3" s="1"/>
  <c r="F674" i="3"/>
  <c r="H674" i="3" s="1"/>
  <c r="F678" i="3"/>
  <c r="H678" i="3" s="1"/>
  <c r="F682" i="3"/>
  <c r="H682" i="3" s="1"/>
  <c r="F686" i="3"/>
  <c r="H686" i="3" s="1"/>
  <c r="F690" i="3"/>
  <c r="H690" i="3" s="1"/>
  <c r="F694" i="3"/>
  <c r="H694" i="3" s="1"/>
  <c r="F698" i="3"/>
  <c r="H698" i="3" s="1"/>
  <c r="F702" i="3"/>
  <c r="H702" i="3" s="1"/>
  <c r="F706" i="3"/>
  <c r="H706" i="3" s="1"/>
  <c r="F710" i="3"/>
  <c r="H710" i="3" s="1"/>
  <c r="F714" i="3"/>
  <c r="H714" i="3" s="1"/>
  <c r="F718" i="3"/>
  <c r="H718" i="3" s="1"/>
  <c r="F722" i="3"/>
  <c r="H722" i="3" s="1"/>
  <c r="F726" i="3"/>
  <c r="H726" i="3" s="1"/>
  <c r="F730" i="3"/>
  <c r="H730" i="3" s="1"/>
  <c r="F734" i="3"/>
  <c r="H734" i="3" s="1"/>
  <c r="F738" i="3"/>
  <c r="H738" i="3" s="1"/>
  <c r="F742" i="3"/>
  <c r="H742" i="3" s="1"/>
  <c r="F746" i="3"/>
  <c r="H746" i="3" s="1"/>
  <c r="F750" i="3"/>
  <c r="H750" i="3" s="1"/>
  <c r="F754" i="3"/>
  <c r="H754" i="3" s="1"/>
  <c r="F758" i="3"/>
  <c r="H758" i="3" s="1"/>
  <c r="F762" i="3"/>
  <c r="H762" i="3" s="1"/>
  <c r="F766" i="3"/>
  <c r="H766" i="3" s="1"/>
  <c r="F770" i="3"/>
  <c r="H770" i="3" s="1"/>
  <c r="F774" i="3"/>
  <c r="H774" i="3" s="1"/>
  <c r="F778" i="3"/>
  <c r="H778" i="3" s="1"/>
  <c r="F782" i="3"/>
  <c r="H782" i="3" s="1"/>
  <c r="F786" i="3"/>
  <c r="H786" i="3" s="1"/>
  <c r="F790" i="3"/>
  <c r="H790" i="3" s="1"/>
  <c r="F794" i="3"/>
  <c r="H794" i="3" s="1"/>
  <c r="F798" i="3"/>
  <c r="H798" i="3" s="1"/>
  <c r="F802" i="3"/>
  <c r="H802" i="3" s="1"/>
  <c r="F806" i="3"/>
  <c r="H806" i="3" s="1"/>
  <c r="F810" i="3"/>
  <c r="H810" i="3" s="1"/>
  <c r="F814" i="3"/>
  <c r="H814" i="3" s="1"/>
  <c r="F818" i="3"/>
  <c r="H818" i="3" s="1"/>
  <c r="F822" i="3"/>
  <c r="H822" i="3" s="1"/>
  <c r="F826" i="3"/>
  <c r="H826" i="3" s="1"/>
  <c r="F830" i="3"/>
  <c r="H830" i="3" s="1"/>
  <c r="F834" i="3"/>
  <c r="H834" i="3" s="1"/>
  <c r="F838" i="3"/>
  <c r="H838" i="3" s="1"/>
  <c r="F842" i="3"/>
  <c r="H842" i="3" s="1"/>
  <c r="F846" i="3"/>
  <c r="H846" i="3" s="1"/>
  <c r="F850" i="3"/>
  <c r="H850" i="3" s="1"/>
  <c r="F854" i="3"/>
  <c r="H854" i="3" s="1"/>
  <c r="F858" i="3"/>
  <c r="H858" i="3" s="1"/>
  <c r="F862" i="3"/>
  <c r="H862" i="3" s="1"/>
  <c r="F866" i="3"/>
  <c r="H866" i="3" s="1"/>
  <c r="F870" i="3"/>
  <c r="H870" i="3" s="1"/>
  <c r="F874" i="3"/>
  <c r="H874" i="3" s="1"/>
  <c r="F878" i="3"/>
  <c r="H878" i="3" s="1"/>
  <c r="F882" i="3"/>
  <c r="H882" i="3" s="1"/>
  <c r="F886" i="3"/>
  <c r="H886" i="3" s="1"/>
  <c r="F890" i="3"/>
  <c r="H890" i="3" s="1"/>
  <c r="F894" i="3"/>
  <c r="H894" i="3" s="1"/>
  <c r="F898" i="3"/>
  <c r="H898" i="3" s="1"/>
  <c r="F902" i="3"/>
  <c r="H902" i="3" s="1"/>
  <c r="F906" i="3"/>
  <c r="H906" i="3" s="1"/>
  <c r="F910" i="3"/>
  <c r="H910" i="3" s="1"/>
  <c r="F914" i="3"/>
  <c r="H914" i="3" s="1"/>
  <c r="F918" i="3"/>
  <c r="H918" i="3" s="1"/>
  <c r="F922" i="3"/>
  <c r="H922" i="3" s="1"/>
  <c r="F926" i="3"/>
  <c r="H926" i="3" s="1"/>
  <c r="F930" i="3"/>
  <c r="H930" i="3" s="1"/>
  <c r="F934" i="3"/>
  <c r="H934" i="3" s="1"/>
  <c r="F938" i="3"/>
  <c r="H938" i="3" s="1"/>
  <c r="F942" i="3"/>
  <c r="H942" i="3" s="1"/>
  <c r="F946" i="3"/>
  <c r="H946" i="3" s="1"/>
  <c r="F950" i="3"/>
  <c r="H950" i="3" s="1"/>
  <c r="F954" i="3"/>
  <c r="H954" i="3" s="1"/>
  <c r="F958" i="3"/>
  <c r="H958" i="3" s="1"/>
  <c r="F966" i="3"/>
  <c r="H966" i="3" s="1"/>
  <c r="F978" i="3"/>
  <c r="H978" i="3" s="1"/>
  <c r="F986" i="3"/>
  <c r="H986" i="3" s="1"/>
  <c r="F994" i="3"/>
  <c r="H994" i="3" s="1"/>
  <c r="F1002" i="3"/>
  <c r="H1002" i="3" s="1"/>
  <c r="F1010" i="3"/>
  <c r="H1010" i="3" s="1"/>
  <c r="F943" i="3"/>
  <c r="H943" i="3" s="1"/>
  <c r="F51" i="3"/>
  <c r="H51" i="3" s="1"/>
  <c r="F83" i="3"/>
  <c r="H83" i="3" s="1"/>
  <c r="F115" i="3"/>
  <c r="H115" i="3" s="1"/>
  <c r="F130" i="3"/>
  <c r="H130" i="3" s="1"/>
  <c r="F140" i="3"/>
  <c r="H140" i="3" s="1"/>
  <c r="F151" i="3"/>
  <c r="H151" i="3" s="1"/>
  <c r="F161" i="3"/>
  <c r="H161" i="3" s="1"/>
  <c r="F169" i="3"/>
  <c r="H169" i="3" s="1"/>
  <c r="F177" i="3"/>
  <c r="H177" i="3" s="1"/>
  <c r="F185" i="3"/>
  <c r="H185" i="3" s="1"/>
  <c r="F193" i="3"/>
  <c r="H193" i="3" s="1"/>
  <c r="F201" i="3"/>
  <c r="H201" i="3" s="1"/>
  <c r="F209" i="3"/>
  <c r="H209" i="3" s="1"/>
  <c r="F217" i="3"/>
  <c r="H217" i="3" s="1"/>
  <c r="F225" i="3"/>
  <c r="H225" i="3" s="1"/>
  <c r="F233" i="3"/>
  <c r="H233" i="3" s="1"/>
  <c r="F241" i="3"/>
  <c r="H241" i="3" s="1"/>
  <c r="F249" i="3"/>
  <c r="H249" i="3" s="1"/>
  <c r="F257" i="3"/>
  <c r="H257" i="3" s="1"/>
  <c r="F265" i="3"/>
  <c r="H265" i="3" s="1"/>
  <c r="F273" i="3"/>
  <c r="H273" i="3" s="1"/>
  <c r="F281" i="3"/>
  <c r="H281" i="3" s="1"/>
  <c r="F286" i="3"/>
  <c r="H286" i="3" s="1"/>
  <c r="F292" i="3"/>
  <c r="H292" i="3" s="1"/>
  <c r="F297" i="3"/>
  <c r="H297" i="3" s="1"/>
  <c r="F302" i="3"/>
  <c r="H302" i="3" s="1"/>
  <c r="F308" i="3"/>
  <c r="H308" i="3" s="1"/>
  <c r="F313" i="3"/>
  <c r="H313" i="3" s="1"/>
  <c r="F318" i="3"/>
  <c r="H318" i="3" s="1"/>
  <c r="F324" i="3"/>
  <c r="H324" i="3" s="1"/>
  <c r="F329" i="3"/>
  <c r="H329" i="3" s="1"/>
  <c r="F334" i="3"/>
  <c r="H334" i="3" s="1"/>
  <c r="F340" i="3"/>
  <c r="H340" i="3" s="1"/>
  <c r="F345" i="3"/>
  <c r="H345" i="3" s="1"/>
  <c r="F350" i="3"/>
  <c r="H350" i="3" s="1"/>
  <c r="F356" i="3"/>
  <c r="H356" i="3" s="1"/>
  <c r="F361" i="3"/>
  <c r="H361" i="3" s="1"/>
  <c r="F366" i="3"/>
  <c r="H366" i="3" s="1"/>
  <c r="F372" i="3"/>
  <c r="H372" i="3" s="1"/>
  <c r="F377" i="3"/>
  <c r="H377" i="3" s="1"/>
  <c r="F382" i="3"/>
  <c r="H382" i="3" s="1"/>
  <c r="F388" i="3"/>
  <c r="H388" i="3" s="1"/>
  <c r="F393" i="3"/>
  <c r="H393" i="3" s="1"/>
  <c r="F398" i="3"/>
  <c r="H398" i="3" s="1"/>
  <c r="F404" i="3"/>
  <c r="H404" i="3" s="1"/>
  <c r="F409" i="3"/>
  <c r="H409" i="3" s="1"/>
  <c r="F414" i="3"/>
  <c r="H414" i="3" s="1"/>
  <c r="F420" i="3"/>
  <c r="H420" i="3" s="1"/>
  <c r="F425" i="3"/>
  <c r="H425" i="3" s="1"/>
  <c r="F430" i="3"/>
  <c r="H430" i="3" s="1"/>
  <c r="F436" i="3"/>
  <c r="H436" i="3" s="1"/>
  <c r="F441" i="3"/>
  <c r="H441" i="3" s="1"/>
  <c r="F446" i="3"/>
  <c r="H446" i="3" s="1"/>
  <c r="F452" i="3"/>
  <c r="H452" i="3" s="1"/>
  <c r="F457" i="3"/>
  <c r="H457" i="3" s="1"/>
  <c r="F462" i="3"/>
  <c r="H462" i="3" s="1"/>
  <c r="F468" i="3"/>
  <c r="H468" i="3" s="1"/>
  <c r="F473" i="3"/>
  <c r="H473" i="3" s="1"/>
  <c r="F478" i="3"/>
  <c r="H478" i="3" s="1"/>
  <c r="F484" i="3"/>
  <c r="H484" i="3" s="1"/>
  <c r="F489" i="3"/>
  <c r="H489" i="3" s="1"/>
  <c r="F494" i="3"/>
  <c r="H494" i="3" s="1"/>
  <c r="F500" i="3"/>
  <c r="H500" i="3" s="1"/>
  <c r="F505" i="3"/>
  <c r="H505" i="3" s="1"/>
  <c r="F510" i="3"/>
  <c r="H510" i="3" s="1"/>
  <c r="F516" i="3"/>
  <c r="H516" i="3" s="1"/>
  <c r="F521" i="3"/>
  <c r="H521" i="3" s="1"/>
  <c r="F526" i="3"/>
  <c r="H526" i="3" s="1"/>
  <c r="F532" i="3"/>
  <c r="H532" i="3" s="1"/>
  <c r="F537" i="3"/>
  <c r="H537" i="3" s="1"/>
  <c r="F542" i="3"/>
  <c r="H542" i="3" s="1"/>
  <c r="F547" i="3"/>
  <c r="H547" i="3" s="1"/>
  <c r="F551" i="3"/>
  <c r="H551" i="3" s="1"/>
  <c r="F555" i="3"/>
  <c r="H555" i="3" s="1"/>
  <c r="F559" i="3"/>
  <c r="H559" i="3" s="1"/>
  <c r="F563" i="3"/>
  <c r="H563" i="3" s="1"/>
  <c r="F567" i="3"/>
  <c r="H567" i="3" s="1"/>
  <c r="F571" i="3"/>
  <c r="H571" i="3" s="1"/>
  <c r="F575" i="3"/>
  <c r="H575" i="3" s="1"/>
  <c r="F579" i="3"/>
  <c r="H579" i="3" s="1"/>
  <c r="F583" i="3"/>
  <c r="H583" i="3" s="1"/>
  <c r="F587" i="3"/>
  <c r="H587" i="3" s="1"/>
  <c r="F591" i="3"/>
  <c r="H591" i="3" s="1"/>
  <c r="F595" i="3"/>
  <c r="H595" i="3" s="1"/>
  <c r="F599" i="3"/>
  <c r="H599" i="3" s="1"/>
  <c r="F603" i="3"/>
  <c r="H603" i="3" s="1"/>
  <c r="F607" i="3"/>
  <c r="H607" i="3" s="1"/>
  <c r="F611" i="3"/>
  <c r="H611" i="3" s="1"/>
  <c r="F615" i="3"/>
  <c r="H615" i="3" s="1"/>
  <c r="F619" i="3"/>
  <c r="H619" i="3" s="1"/>
  <c r="F623" i="3"/>
  <c r="H623" i="3" s="1"/>
  <c r="F627" i="3"/>
  <c r="H627" i="3" s="1"/>
  <c r="F631" i="3"/>
  <c r="H631" i="3" s="1"/>
  <c r="F635" i="3"/>
  <c r="H635" i="3" s="1"/>
  <c r="F639" i="3"/>
  <c r="H639" i="3" s="1"/>
  <c r="F643" i="3"/>
  <c r="H643" i="3" s="1"/>
  <c r="F647" i="3"/>
  <c r="H647" i="3" s="1"/>
  <c r="F651" i="3"/>
  <c r="H651" i="3" s="1"/>
  <c r="F655" i="3"/>
  <c r="H655" i="3" s="1"/>
  <c r="F659" i="3"/>
  <c r="H659" i="3" s="1"/>
  <c r="F663" i="3"/>
  <c r="H663" i="3" s="1"/>
  <c r="F667" i="3"/>
  <c r="H667" i="3" s="1"/>
  <c r="F671" i="3"/>
  <c r="H671" i="3" s="1"/>
  <c r="F675" i="3"/>
  <c r="H675" i="3" s="1"/>
  <c r="F679" i="3"/>
  <c r="H679" i="3" s="1"/>
  <c r="F683" i="3"/>
  <c r="H683" i="3" s="1"/>
  <c r="F687" i="3"/>
  <c r="H687" i="3" s="1"/>
  <c r="F691" i="3"/>
  <c r="H691" i="3" s="1"/>
  <c r="F695" i="3"/>
  <c r="H695" i="3" s="1"/>
  <c r="F699" i="3"/>
  <c r="H699" i="3" s="1"/>
  <c r="F703" i="3"/>
  <c r="H703" i="3" s="1"/>
  <c r="F707" i="3"/>
  <c r="H707" i="3" s="1"/>
  <c r="F711" i="3"/>
  <c r="H711" i="3" s="1"/>
  <c r="F715" i="3"/>
  <c r="H715" i="3" s="1"/>
  <c r="F719" i="3"/>
  <c r="H719" i="3" s="1"/>
  <c r="F723" i="3"/>
  <c r="H723" i="3" s="1"/>
  <c r="F727" i="3"/>
  <c r="H727" i="3" s="1"/>
  <c r="F731" i="3"/>
  <c r="H731" i="3" s="1"/>
  <c r="F735" i="3"/>
  <c r="H735" i="3" s="1"/>
  <c r="F739" i="3"/>
  <c r="H739" i="3" s="1"/>
  <c r="F743" i="3"/>
  <c r="H743" i="3" s="1"/>
  <c r="F747" i="3"/>
  <c r="H747" i="3" s="1"/>
  <c r="F751" i="3"/>
  <c r="H751" i="3" s="1"/>
  <c r="F755" i="3"/>
  <c r="H755" i="3" s="1"/>
  <c r="F759" i="3"/>
  <c r="H759" i="3" s="1"/>
  <c r="F763" i="3"/>
  <c r="H763" i="3" s="1"/>
  <c r="F767" i="3"/>
  <c r="H767" i="3" s="1"/>
  <c r="F771" i="3"/>
  <c r="H771" i="3" s="1"/>
  <c r="F775" i="3"/>
  <c r="H775" i="3" s="1"/>
  <c r="F779" i="3"/>
  <c r="H779" i="3" s="1"/>
  <c r="F783" i="3"/>
  <c r="H783" i="3" s="1"/>
  <c r="F787" i="3"/>
  <c r="H787" i="3" s="1"/>
  <c r="F791" i="3"/>
  <c r="H791" i="3" s="1"/>
  <c r="F795" i="3"/>
  <c r="H795" i="3" s="1"/>
  <c r="F799" i="3"/>
  <c r="H799" i="3" s="1"/>
  <c r="F803" i="3"/>
  <c r="H803" i="3" s="1"/>
  <c r="F807" i="3"/>
  <c r="H807" i="3" s="1"/>
  <c r="F811" i="3"/>
  <c r="H811" i="3" s="1"/>
  <c r="F815" i="3"/>
  <c r="H815" i="3" s="1"/>
  <c r="F819" i="3"/>
  <c r="H819" i="3" s="1"/>
  <c r="F823" i="3"/>
  <c r="H823" i="3" s="1"/>
  <c r="F827" i="3"/>
  <c r="H827" i="3" s="1"/>
  <c r="F831" i="3"/>
  <c r="H831" i="3" s="1"/>
  <c r="F835" i="3"/>
  <c r="H835" i="3" s="1"/>
  <c r="F839" i="3"/>
  <c r="H839" i="3" s="1"/>
  <c r="F843" i="3"/>
  <c r="H843" i="3" s="1"/>
  <c r="F847" i="3"/>
  <c r="H847" i="3" s="1"/>
  <c r="F851" i="3"/>
  <c r="H851" i="3" s="1"/>
  <c r="F855" i="3"/>
  <c r="H855" i="3" s="1"/>
  <c r="F859" i="3"/>
  <c r="H859" i="3" s="1"/>
  <c r="F863" i="3"/>
  <c r="H863" i="3" s="1"/>
  <c r="F867" i="3"/>
  <c r="H867" i="3" s="1"/>
  <c r="F871" i="3"/>
  <c r="H871" i="3" s="1"/>
  <c r="F875" i="3"/>
  <c r="H875" i="3" s="1"/>
  <c r="F879" i="3"/>
  <c r="H879" i="3" s="1"/>
  <c r="F883" i="3"/>
  <c r="H883" i="3" s="1"/>
  <c r="F887" i="3"/>
  <c r="H887" i="3" s="1"/>
  <c r="F891" i="3"/>
  <c r="H891" i="3" s="1"/>
  <c r="F895" i="3"/>
  <c r="H895" i="3" s="1"/>
  <c r="F899" i="3"/>
  <c r="H899" i="3" s="1"/>
  <c r="F903" i="3"/>
  <c r="H903" i="3" s="1"/>
  <c r="F907" i="3"/>
  <c r="H907" i="3" s="1"/>
  <c r="F911" i="3"/>
  <c r="H911" i="3" s="1"/>
  <c r="F915" i="3"/>
  <c r="H915" i="3" s="1"/>
  <c r="F919" i="3"/>
  <c r="H919" i="3" s="1"/>
  <c r="F923" i="3"/>
  <c r="H923" i="3" s="1"/>
  <c r="F927" i="3"/>
  <c r="H927" i="3" s="1"/>
  <c r="F931" i="3"/>
  <c r="H931" i="3" s="1"/>
  <c r="F935" i="3"/>
  <c r="H935" i="3" s="1"/>
  <c r="F939" i="3"/>
  <c r="H939" i="3" s="1"/>
  <c r="F67" i="3"/>
  <c r="H67" i="3" s="1"/>
  <c r="F99" i="3"/>
  <c r="H99" i="3" s="1"/>
  <c r="F124" i="3"/>
  <c r="H124" i="3" s="1"/>
  <c r="F135" i="3"/>
  <c r="H135" i="3" s="1"/>
  <c r="F146" i="3"/>
  <c r="H146" i="3" s="1"/>
  <c r="F156" i="3"/>
  <c r="H156" i="3" s="1"/>
  <c r="F165" i="3"/>
  <c r="H165" i="3" s="1"/>
  <c r="F173" i="3"/>
  <c r="H173" i="3" s="1"/>
  <c r="F181" i="3"/>
  <c r="H181" i="3" s="1"/>
  <c r="F189" i="3"/>
  <c r="H189" i="3" s="1"/>
  <c r="F197" i="3"/>
  <c r="H197" i="3" s="1"/>
  <c r="F205" i="3"/>
  <c r="H205" i="3" s="1"/>
  <c r="F213" i="3"/>
  <c r="H213" i="3" s="1"/>
  <c r="F221" i="3"/>
  <c r="H221" i="3" s="1"/>
  <c r="F229" i="3"/>
  <c r="H229" i="3" s="1"/>
  <c r="F237" i="3"/>
  <c r="H237" i="3" s="1"/>
  <c r="F245" i="3"/>
  <c r="H245" i="3" s="1"/>
  <c r="F253" i="3"/>
  <c r="H253" i="3" s="1"/>
  <c r="F261" i="3"/>
  <c r="H261" i="3" s="1"/>
  <c r="F269" i="3"/>
  <c r="H269" i="3" s="1"/>
  <c r="F277" i="3"/>
  <c r="H277" i="3" s="1"/>
  <c r="F284" i="3"/>
  <c r="H284" i="3" s="1"/>
  <c r="F289" i="3"/>
  <c r="H289" i="3" s="1"/>
  <c r="F294" i="3"/>
  <c r="H294" i="3" s="1"/>
  <c r="F300" i="3"/>
  <c r="H300" i="3" s="1"/>
  <c r="F305" i="3"/>
  <c r="H305" i="3" s="1"/>
  <c r="F310" i="3"/>
  <c r="H310" i="3" s="1"/>
  <c r="F316" i="3"/>
  <c r="H316" i="3" s="1"/>
  <c r="F321" i="3"/>
  <c r="H321" i="3" s="1"/>
  <c r="F326" i="3"/>
  <c r="H326" i="3" s="1"/>
  <c r="F332" i="3"/>
  <c r="H332" i="3" s="1"/>
  <c r="F337" i="3"/>
  <c r="H337" i="3" s="1"/>
  <c r="F342" i="3"/>
  <c r="H342" i="3" s="1"/>
  <c r="F348" i="3"/>
  <c r="H348" i="3" s="1"/>
  <c r="F353" i="3"/>
  <c r="H353" i="3" s="1"/>
  <c r="F358" i="3"/>
  <c r="H358" i="3" s="1"/>
  <c r="F364" i="3"/>
  <c r="H364" i="3" s="1"/>
  <c r="F369" i="3"/>
  <c r="H369" i="3" s="1"/>
  <c r="F374" i="3"/>
  <c r="H374" i="3" s="1"/>
  <c r="F380" i="3"/>
  <c r="H380" i="3" s="1"/>
  <c r="F385" i="3"/>
  <c r="H385" i="3" s="1"/>
  <c r="F390" i="3"/>
  <c r="H390" i="3" s="1"/>
  <c r="F396" i="3"/>
  <c r="H396" i="3" s="1"/>
  <c r="F401" i="3"/>
  <c r="H401" i="3" s="1"/>
  <c r="F406" i="3"/>
  <c r="H406" i="3" s="1"/>
  <c r="F412" i="3"/>
  <c r="H412" i="3" s="1"/>
  <c r="F417" i="3"/>
  <c r="H417" i="3" s="1"/>
  <c r="F422" i="3"/>
  <c r="H422" i="3" s="1"/>
  <c r="F428" i="3"/>
  <c r="H428" i="3" s="1"/>
  <c r="F433" i="3"/>
  <c r="H433" i="3" s="1"/>
  <c r="F438" i="3"/>
  <c r="H438" i="3" s="1"/>
  <c r="F444" i="3"/>
  <c r="H444" i="3" s="1"/>
  <c r="F449" i="3"/>
  <c r="H449" i="3" s="1"/>
  <c r="F454" i="3"/>
  <c r="H454" i="3" s="1"/>
  <c r="F460" i="3"/>
  <c r="H460" i="3" s="1"/>
  <c r="F465" i="3"/>
  <c r="H465" i="3" s="1"/>
  <c r="F470" i="3"/>
  <c r="H470" i="3" s="1"/>
  <c r="F476" i="3"/>
  <c r="H476" i="3" s="1"/>
  <c r="F481" i="3"/>
  <c r="H481" i="3" s="1"/>
  <c r="F486" i="3"/>
  <c r="H486" i="3" s="1"/>
  <c r="F492" i="3"/>
  <c r="H492" i="3" s="1"/>
  <c r="F497" i="3"/>
  <c r="H497" i="3" s="1"/>
  <c r="F502" i="3"/>
  <c r="H502" i="3" s="1"/>
  <c r="F508" i="3"/>
  <c r="H508" i="3" s="1"/>
  <c r="F513" i="3"/>
  <c r="H513" i="3" s="1"/>
  <c r="F518" i="3"/>
  <c r="H518" i="3" s="1"/>
  <c r="F524" i="3"/>
  <c r="H524" i="3" s="1"/>
  <c r="F529" i="3"/>
  <c r="H529" i="3" s="1"/>
  <c r="F534" i="3"/>
  <c r="H534" i="3" s="1"/>
  <c r="F540" i="3"/>
  <c r="H540" i="3" s="1"/>
  <c r="F545" i="3"/>
  <c r="H545" i="3" s="1"/>
  <c r="F549" i="3"/>
  <c r="H549" i="3" s="1"/>
  <c r="F553" i="3"/>
  <c r="H553" i="3" s="1"/>
  <c r="F557" i="3"/>
  <c r="H557" i="3" s="1"/>
  <c r="F561" i="3"/>
  <c r="H561" i="3" s="1"/>
  <c r="F565" i="3"/>
  <c r="H565" i="3" s="1"/>
  <c r="F569" i="3"/>
  <c r="H569" i="3" s="1"/>
  <c r="F573" i="3"/>
  <c r="H573" i="3" s="1"/>
  <c r="F577" i="3"/>
  <c r="H577" i="3" s="1"/>
  <c r="F581" i="3"/>
  <c r="H581" i="3" s="1"/>
  <c r="F585" i="3"/>
  <c r="H585" i="3" s="1"/>
  <c r="F589" i="3"/>
  <c r="H589" i="3" s="1"/>
  <c r="F593" i="3"/>
  <c r="H593" i="3" s="1"/>
  <c r="F597" i="3"/>
  <c r="H597" i="3" s="1"/>
  <c r="F601" i="3"/>
  <c r="H601" i="3" s="1"/>
  <c r="F605" i="3"/>
  <c r="H605" i="3" s="1"/>
  <c r="F609" i="3"/>
  <c r="H609" i="3" s="1"/>
  <c r="F613" i="3"/>
  <c r="H613" i="3" s="1"/>
  <c r="F617" i="3"/>
  <c r="H617" i="3" s="1"/>
  <c r="F621" i="3"/>
  <c r="H621" i="3" s="1"/>
  <c r="F625" i="3"/>
  <c r="H625" i="3" s="1"/>
  <c r="F629" i="3"/>
  <c r="H629" i="3" s="1"/>
  <c r="F633" i="3"/>
  <c r="H633" i="3" s="1"/>
  <c r="F637" i="3"/>
  <c r="H637" i="3" s="1"/>
  <c r="F641" i="3"/>
  <c r="H641" i="3" s="1"/>
  <c r="F645" i="3"/>
  <c r="H645" i="3" s="1"/>
  <c r="F649" i="3"/>
  <c r="H649" i="3" s="1"/>
  <c r="F653" i="3"/>
  <c r="H653" i="3" s="1"/>
  <c r="F657" i="3"/>
  <c r="H657" i="3" s="1"/>
  <c r="F661" i="3"/>
  <c r="H661" i="3" s="1"/>
  <c r="F665" i="3"/>
  <c r="H665" i="3" s="1"/>
  <c r="F669" i="3"/>
  <c r="H669" i="3" s="1"/>
  <c r="F673" i="3"/>
  <c r="H673" i="3" s="1"/>
  <c r="F677" i="3"/>
  <c r="H677" i="3" s="1"/>
  <c r="F681" i="3"/>
  <c r="H681" i="3" s="1"/>
  <c r="F685" i="3"/>
  <c r="H685" i="3" s="1"/>
  <c r="F689" i="3"/>
  <c r="H689" i="3" s="1"/>
  <c r="F693" i="3"/>
  <c r="H693" i="3" s="1"/>
  <c r="F697" i="3"/>
  <c r="H697" i="3" s="1"/>
  <c r="F701" i="3"/>
  <c r="H701" i="3" s="1"/>
  <c r="F705" i="3"/>
  <c r="H705" i="3" s="1"/>
  <c r="F709" i="3"/>
  <c r="H709" i="3" s="1"/>
  <c r="F713" i="3"/>
  <c r="H713" i="3" s="1"/>
  <c r="F717" i="3"/>
  <c r="H717" i="3" s="1"/>
  <c r="F721" i="3"/>
  <c r="H721" i="3" s="1"/>
  <c r="F725" i="3"/>
  <c r="H725" i="3" s="1"/>
  <c r="F729" i="3"/>
  <c r="H729" i="3" s="1"/>
  <c r="F733" i="3"/>
  <c r="H733" i="3" s="1"/>
  <c r="F737" i="3"/>
  <c r="H737" i="3" s="1"/>
  <c r="F741" i="3"/>
  <c r="H741" i="3" s="1"/>
  <c r="F745" i="3"/>
  <c r="H745" i="3" s="1"/>
  <c r="F749" i="3"/>
  <c r="H749" i="3" s="1"/>
  <c r="F753" i="3"/>
  <c r="H753" i="3" s="1"/>
  <c r="F757" i="3"/>
  <c r="H757" i="3" s="1"/>
  <c r="F761" i="3"/>
  <c r="H761" i="3" s="1"/>
  <c r="F765" i="3"/>
  <c r="H765" i="3" s="1"/>
  <c r="F769" i="3"/>
  <c r="H769" i="3" s="1"/>
  <c r="F773" i="3"/>
  <c r="H773" i="3" s="1"/>
  <c r="F777" i="3"/>
  <c r="H777" i="3" s="1"/>
  <c r="F781" i="3"/>
  <c r="H781" i="3" s="1"/>
  <c r="F785" i="3"/>
  <c r="H785" i="3" s="1"/>
  <c r="F789" i="3"/>
  <c r="H789" i="3" s="1"/>
  <c r="F793" i="3"/>
  <c r="H793" i="3" s="1"/>
  <c r="F797" i="3"/>
  <c r="H797" i="3" s="1"/>
  <c r="F801" i="3"/>
  <c r="H801" i="3" s="1"/>
  <c r="F805" i="3"/>
  <c r="H805" i="3" s="1"/>
  <c r="F809" i="3"/>
  <c r="H809" i="3" s="1"/>
  <c r="F813" i="3"/>
  <c r="H813" i="3" s="1"/>
  <c r="F817" i="3"/>
  <c r="H817" i="3" s="1"/>
  <c r="F821" i="3"/>
  <c r="H821" i="3" s="1"/>
  <c r="F825" i="3"/>
  <c r="H825" i="3" s="1"/>
  <c r="F829" i="3"/>
  <c r="H829" i="3" s="1"/>
  <c r="F833" i="3"/>
  <c r="H833" i="3" s="1"/>
  <c r="F837" i="3"/>
  <c r="H837" i="3" s="1"/>
  <c r="F841" i="3"/>
  <c r="H841" i="3" s="1"/>
  <c r="F845" i="3"/>
  <c r="H845" i="3" s="1"/>
  <c r="F849" i="3"/>
  <c r="H849" i="3" s="1"/>
  <c r="F853" i="3"/>
  <c r="H853" i="3" s="1"/>
  <c r="F857" i="3"/>
  <c r="H857" i="3" s="1"/>
  <c r="F861" i="3"/>
  <c r="H861" i="3" s="1"/>
  <c r="F865" i="3"/>
  <c r="H865" i="3" s="1"/>
  <c r="F869" i="3"/>
  <c r="H869" i="3" s="1"/>
  <c r="F873" i="3"/>
  <c r="H873" i="3" s="1"/>
  <c r="F877" i="3"/>
  <c r="H877" i="3" s="1"/>
  <c r="F881" i="3"/>
  <c r="H881" i="3" s="1"/>
  <c r="F885" i="3"/>
  <c r="H885" i="3" s="1"/>
  <c r="F889" i="3"/>
  <c r="H889" i="3" s="1"/>
  <c r="F893" i="3"/>
  <c r="H893" i="3" s="1"/>
  <c r="F897" i="3"/>
  <c r="H897" i="3" s="1"/>
  <c r="F901" i="3"/>
  <c r="H901" i="3" s="1"/>
  <c r="F905" i="3"/>
  <c r="H905" i="3" s="1"/>
  <c r="F909" i="3"/>
  <c r="H909" i="3" s="1"/>
  <c r="F913" i="3"/>
  <c r="H913" i="3" s="1"/>
  <c r="F917" i="3"/>
  <c r="H917" i="3" s="1"/>
  <c r="F921" i="3"/>
  <c r="H921" i="3" s="1"/>
  <c r="F925" i="3"/>
  <c r="H925" i="3" s="1"/>
  <c r="F929" i="3"/>
  <c r="H929" i="3" s="1"/>
  <c r="F933" i="3"/>
  <c r="H933" i="3" s="1"/>
  <c r="F937" i="3"/>
  <c r="H937" i="3" s="1"/>
  <c r="F941" i="3"/>
  <c r="H941" i="3" s="1"/>
  <c r="F945" i="3"/>
  <c r="H945" i="3" s="1"/>
  <c r="F949" i="3"/>
  <c r="H949" i="3" s="1"/>
  <c r="F953" i="3"/>
  <c r="H953" i="3" s="1"/>
  <c r="F957" i="3"/>
  <c r="H957" i="3" s="1"/>
  <c r="F961" i="3"/>
  <c r="H961" i="3" s="1"/>
  <c r="F965" i="3"/>
  <c r="H965" i="3" s="1"/>
  <c r="F969" i="3"/>
  <c r="H969" i="3" s="1"/>
  <c r="F973" i="3"/>
  <c r="H973" i="3" s="1"/>
  <c r="F977" i="3"/>
  <c r="H977" i="3" s="1"/>
  <c r="F981" i="3"/>
  <c r="H981" i="3" s="1"/>
  <c r="F985" i="3"/>
  <c r="H985" i="3" s="1"/>
  <c r="F989" i="3"/>
  <c r="H989" i="3" s="1"/>
  <c r="F993" i="3"/>
  <c r="H993" i="3" s="1"/>
  <c r="F997" i="3"/>
  <c r="H997" i="3" s="1"/>
  <c r="F1001" i="3"/>
  <c r="H1001" i="3" s="1"/>
  <c r="F1005" i="3"/>
  <c r="H1005" i="3" s="1"/>
  <c r="F1009" i="3"/>
  <c r="H1009" i="3" s="1"/>
  <c r="F1013" i="3"/>
  <c r="H1013" i="3" s="1"/>
  <c r="F1017" i="3"/>
  <c r="H1017" i="3" s="1"/>
  <c r="F962" i="3"/>
  <c r="H962" i="3" s="1"/>
  <c r="F970" i="3"/>
  <c r="H970" i="3" s="1"/>
  <c r="F974" i="3"/>
  <c r="H974" i="3" s="1"/>
  <c r="F982" i="3"/>
  <c r="H982" i="3" s="1"/>
  <c r="F990" i="3"/>
  <c r="H990" i="3" s="1"/>
  <c r="F998" i="3"/>
  <c r="H998" i="3" s="1"/>
  <c r="F1006" i="3"/>
  <c r="H1006" i="3" s="1"/>
  <c r="F1014" i="3"/>
  <c r="H1014" i="3" s="1"/>
  <c r="F1018" i="3"/>
  <c r="H1018" i="3" s="1"/>
  <c r="F1012" i="3"/>
  <c r="H1012" i="3" s="1"/>
  <c r="F1004" i="3"/>
  <c r="H1004" i="3" s="1"/>
  <c r="F996" i="3"/>
  <c r="H996" i="3" s="1"/>
  <c r="F988" i="3"/>
  <c r="H988" i="3" s="1"/>
  <c r="F980" i="3"/>
  <c r="H980" i="3" s="1"/>
  <c r="F972" i="3"/>
  <c r="H972" i="3" s="1"/>
  <c r="F964" i="3"/>
  <c r="H964" i="3" s="1"/>
  <c r="F956" i="3"/>
  <c r="H956" i="3" s="1"/>
  <c r="F948" i="3"/>
  <c r="H948" i="3" s="1"/>
  <c r="F936" i="3"/>
  <c r="H936" i="3" s="1"/>
  <c r="F920" i="3"/>
  <c r="H920" i="3" s="1"/>
  <c r="F904" i="3"/>
  <c r="H904" i="3" s="1"/>
  <c r="F888" i="3"/>
  <c r="H888" i="3" s="1"/>
  <c r="F872" i="3"/>
  <c r="H872" i="3" s="1"/>
  <c r="F856" i="3"/>
  <c r="H856" i="3" s="1"/>
  <c r="F840" i="3"/>
  <c r="H840" i="3" s="1"/>
  <c r="F824" i="3"/>
  <c r="H824" i="3" s="1"/>
  <c r="F808" i="3"/>
  <c r="H808" i="3" s="1"/>
  <c r="F792" i="3"/>
  <c r="H792" i="3" s="1"/>
  <c r="F776" i="3"/>
  <c r="H776" i="3" s="1"/>
  <c r="F760" i="3"/>
  <c r="H760" i="3" s="1"/>
  <c r="F744" i="3"/>
  <c r="H744" i="3" s="1"/>
  <c r="F728" i="3"/>
  <c r="H728" i="3" s="1"/>
  <c r="F712" i="3"/>
  <c r="H712" i="3" s="1"/>
  <c r="F696" i="3"/>
  <c r="H696" i="3" s="1"/>
  <c r="F680" i="3"/>
  <c r="H680" i="3" s="1"/>
  <c r="F664" i="3"/>
  <c r="H664" i="3" s="1"/>
  <c r="F648" i="3"/>
  <c r="H648" i="3" s="1"/>
  <c r="F632" i="3"/>
  <c r="H632" i="3" s="1"/>
  <c r="F616" i="3"/>
  <c r="H616" i="3" s="1"/>
  <c r="F600" i="3"/>
  <c r="H600" i="3" s="1"/>
  <c r="F584" i="3"/>
  <c r="H584" i="3" s="1"/>
  <c r="F568" i="3"/>
  <c r="H568" i="3" s="1"/>
  <c r="F552" i="3"/>
  <c r="H552" i="3" s="1"/>
  <c r="F533" i="3"/>
  <c r="H533" i="3" s="1"/>
  <c r="F512" i="3"/>
  <c r="H512" i="3" s="1"/>
  <c r="F490" i="3"/>
  <c r="H490" i="3" s="1"/>
  <c r="F469" i="3"/>
  <c r="H469" i="3" s="1"/>
  <c r="F448" i="3"/>
  <c r="H448" i="3" s="1"/>
  <c r="F426" i="3"/>
  <c r="H426" i="3" s="1"/>
  <c r="F405" i="3"/>
  <c r="H405" i="3" s="1"/>
  <c r="F384" i="3"/>
  <c r="H384" i="3" s="1"/>
  <c r="F362" i="3"/>
  <c r="H362" i="3" s="1"/>
  <c r="F341" i="3"/>
  <c r="H341" i="3" s="1"/>
  <c r="F320" i="3"/>
  <c r="H320" i="3" s="1"/>
  <c r="F298" i="3"/>
  <c r="H298" i="3" s="1"/>
  <c r="F276" i="3"/>
  <c r="H276" i="3" s="1"/>
  <c r="F244" i="3"/>
  <c r="H244" i="3" s="1"/>
  <c r="F212" i="3"/>
  <c r="H212" i="3" s="1"/>
  <c r="F180" i="3"/>
  <c r="H180" i="3" s="1"/>
  <c r="F144" i="3"/>
  <c r="H144" i="3" s="1"/>
  <c r="F59" i="3"/>
  <c r="H59" i="3" s="1"/>
  <c r="F19" i="3"/>
  <c r="F1011" i="3"/>
  <c r="H1011" i="3" s="1"/>
  <c r="F1003" i="3"/>
  <c r="H1003" i="3" s="1"/>
  <c r="F995" i="3"/>
  <c r="H995" i="3" s="1"/>
  <c r="F987" i="3"/>
  <c r="H987" i="3" s="1"/>
  <c r="F979" i="3"/>
  <c r="H979" i="3" s="1"/>
  <c r="F971" i="3"/>
  <c r="H971" i="3" s="1"/>
  <c r="F963" i="3"/>
  <c r="H963" i="3" s="1"/>
  <c r="F955" i="3"/>
  <c r="H955" i="3" s="1"/>
  <c r="F947" i="3"/>
  <c r="H947" i="3" s="1"/>
  <c r="F932" i="3"/>
  <c r="H932" i="3" s="1"/>
  <c r="F916" i="3"/>
  <c r="H916" i="3" s="1"/>
  <c r="F900" i="3"/>
  <c r="H900" i="3" s="1"/>
  <c r="F884" i="3"/>
  <c r="H884" i="3" s="1"/>
  <c r="F868" i="3"/>
  <c r="H868" i="3" s="1"/>
  <c r="F852" i="3"/>
  <c r="H852" i="3" s="1"/>
  <c r="F836" i="3"/>
  <c r="H836" i="3" s="1"/>
  <c r="F820" i="3"/>
  <c r="H820" i="3" s="1"/>
  <c r="F804" i="3"/>
  <c r="H804" i="3" s="1"/>
  <c r="F788" i="3"/>
  <c r="H788" i="3" s="1"/>
  <c r="F772" i="3"/>
  <c r="H772" i="3" s="1"/>
  <c r="F756" i="3"/>
  <c r="H756" i="3" s="1"/>
  <c r="F740" i="3"/>
  <c r="H740" i="3" s="1"/>
  <c r="F724" i="3"/>
  <c r="H724" i="3" s="1"/>
  <c r="F708" i="3"/>
  <c r="H708" i="3" s="1"/>
  <c r="F692" i="3"/>
  <c r="H692" i="3" s="1"/>
  <c r="F676" i="3"/>
  <c r="H676" i="3" s="1"/>
  <c r="F660" i="3"/>
  <c r="H660" i="3" s="1"/>
  <c r="F644" i="3"/>
  <c r="H644" i="3" s="1"/>
  <c r="F628" i="3"/>
  <c r="H628" i="3" s="1"/>
  <c r="F612" i="3"/>
  <c r="H612" i="3" s="1"/>
  <c r="F596" i="3"/>
  <c r="H596" i="3" s="1"/>
  <c r="F580" i="3"/>
  <c r="H580" i="3" s="1"/>
  <c r="F564" i="3"/>
  <c r="H564" i="3" s="1"/>
  <c r="F548" i="3"/>
  <c r="H548" i="3" s="1"/>
  <c r="F528" i="3"/>
  <c r="H528" i="3" s="1"/>
  <c r="F506" i="3"/>
  <c r="H506" i="3" s="1"/>
  <c r="F485" i="3"/>
  <c r="H485" i="3" s="1"/>
  <c r="F464" i="3"/>
  <c r="H464" i="3" s="1"/>
  <c r="F442" i="3"/>
  <c r="H442" i="3" s="1"/>
  <c r="F421" i="3"/>
  <c r="H421" i="3" s="1"/>
  <c r="F400" i="3"/>
  <c r="H400" i="3" s="1"/>
  <c r="F378" i="3"/>
  <c r="H378" i="3" s="1"/>
  <c r="F357" i="3"/>
  <c r="H357" i="3" s="1"/>
  <c r="F336" i="3"/>
  <c r="H336" i="3" s="1"/>
  <c r="F314" i="3"/>
  <c r="H314" i="3" s="1"/>
  <c r="F293" i="3"/>
  <c r="H293" i="3" s="1"/>
  <c r="F268" i="3"/>
  <c r="H268" i="3" s="1"/>
  <c r="F236" i="3"/>
  <c r="H236" i="3" s="1"/>
  <c r="F204" i="3"/>
  <c r="H204" i="3" s="1"/>
  <c r="F172" i="3"/>
  <c r="H172" i="3" s="1"/>
  <c r="F134" i="3"/>
  <c r="H134" i="3" s="1"/>
  <c r="Q11" i="3"/>
  <c r="A8" i="3"/>
  <c r="I7" i="3"/>
  <c r="I8" i="3"/>
  <c r="I9" i="3"/>
  <c r="I10" i="3"/>
  <c r="I11" i="3"/>
  <c r="I12" i="3"/>
  <c r="I13" i="3"/>
  <c r="I14" i="3"/>
  <c r="I15" i="3"/>
  <c r="I6" i="3"/>
  <c r="D7" i="3"/>
  <c r="D8" i="3"/>
  <c r="D9" i="3"/>
  <c r="D10" i="3"/>
  <c r="D11" i="3"/>
  <c r="D12" i="3"/>
  <c r="D13" i="3"/>
  <c r="D14" i="3"/>
  <c r="D6" i="3"/>
  <c r="A7" i="3"/>
  <c r="G1019" i="3" l="1"/>
  <c r="I1019" i="3" s="1"/>
  <c r="G1020" i="3"/>
  <c r="I1020" i="3" s="1"/>
  <c r="G1021" i="3"/>
  <c r="I1021" i="3" s="1"/>
  <c r="G1022" i="3"/>
  <c r="I1022" i="3" s="1"/>
  <c r="G1023" i="3"/>
  <c r="I1023" i="3" s="1"/>
  <c r="G1024" i="3"/>
  <c r="I1024" i="3" s="1"/>
  <c r="G1025" i="3"/>
  <c r="I1025" i="3" s="1"/>
  <c r="G1026" i="3"/>
  <c r="I1026" i="3" s="1"/>
  <c r="G1027" i="3"/>
  <c r="I1027" i="3" s="1"/>
  <c r="G1028" i="3"/>
  <c r="I1028" i="3" s="1"/>
  <c r="G1029" i="3"/>
  <c r="I1029" i="3" s="1"/>
  <c r="G1030" i="3"/>
  <c r="I1030" i="3" s="1"/>
  <c r="G1031" i="3"/>
  <c r="I1031" i="3" s="1"/>
  <c r="G1032" i="3"/>
  <c r="I1032" i="3" s="1"/>
  <c r="G1033" i="3"/>
  <c r="I1033" i="3" s="1"/>
  <c r="G1034" i="3"/>
  <c r="I1034" i="3" s="1"/>
  <c r="G1035" i="3"/>
  <c r="I1035" i="3" s="1"/>
  <c r="G1036" i="3"/>
  <c r="I1036" i="3" s="1"/>
  <c r="G1037" i="3"/>
  <c r="I1037" i="3" s="1"/>
  <c r="G1038" i="3"/>
  <c r="I1038" i="3" s="1"/>
  <c r="G1039" i="3"/>
  <c r="I1039" i="3" s="1"/>
  <c r="G1040" i="3"/>
  <c r="I1040" i="3" s="1"/>
  <c r="G1041" i="3"/>
  <c r="I1041" i="3" s="1"/>
  <c r="G1042" i="3"/>
  <c r="I1042" i="3" s="1"/>
  <c r="G1043" i="3"/>
  <c r="I1043" i="3" s="1"/>
  <c r="G1044" i="3"/>
  <c r="I1044" i="3" s="1"/>
  <c r="G1045" i="3"/>
  <c r="I1045" i="3" s="1"/>
  <c r="G1046" i="3"/>
  <c r="I1046" i="3" s="1"/>
  <c r="G1047" i="3"/>
  <c r="I1047" i="3" s="1"/>
  <c r="G1048" i="3"/>
  <c r="I1048" i="3" s="1"/>
  <c r="G1049" i="3"/>
  <c r="I1049" i="3" s="1"/>
  <c r="G1050" i="3"/>
  <c r="I1050" i="3" s="1"/>
  <c r="G1054" i="3"/>
  <c r="I1054" i="3" s="1"/>
  <c r="G1058" i="3"/>
  <c r="I1058" i="3" s="1"/>
  <c r="G1062" i="3"/>
  <c r="I1062" i="3" s="1"/>
  <c r="G1066" i="3"/>
  <c r="I1066" i="3" s="1"/>
  <c r="G1067" i="3"/>
  <c r="I1067" i="3" s="1"/>
  <c r="G1072" i="3"/>
  <c r="I1072" i="3" s="1"/>
  <c r="G1078" i="3"/>
  <c r="I1078" i="3" s="1"/>
  <c r="G1079" i="3"/>
  <c r="I1079" i="3" s="1"/>
  <c r="G1084" i="3"/>
  <c r="I1084" i="3" s="1"/>
  <c r="G1088" i="3"/>
  <c r="I1088" i="3" s="1"/>
  <c r="G1092" i="3"/>
  <c r="I1092" i="3" s="1"/>
  <c r="G1053" i="3"/>
  <c r="I1053" i="3" s="1"/>
  <c r="G1057" i="3"/>
  <c r="I1057" i="3" s="1"/>
  <c r="G1061" i="3"/>
  <c r="I1061" i="3" s="1"/>
  <c r="G1068" i="3"/>
  <c r="I1068" i="3" s="1"/>
  <c r="G1073" i="3"/>
  <c r="I1073" i="3" s="1"/>
  <c r="G1074" i="3"/>
  <c r="I1074" i="3" s="1"/>
  <c r="G1083" i="3"/>
  <c r="I1083" i="3" s="1"/>
  <c r="G1087" i="3"/>
  <c r="I1087" i="3" s="1"/>
  <c r="G1091" i="3"/>
  <c r="I1091" i="3" s="1"/>
  <c r="G1095" i="3"/>
  <c r="I1095" i="3" s="1"/>
  <c r="G1096" i="3"/>
  <c r="I1096" i="3" s="1"/>
  <c r="G1097" i="3"/>
  <c r="I1097" i="3" s="1"/>
  <c r="G1098" i="3"/>
  <c r="I1098" i="3" s="1"/>
  <c r="G1099" i="3"/>
  <c r="I1099" i="3" s="1"/>
  <c r="G1100" i="3"/>
  <c r="I1100" i="3" s="1"/>
  <c r="G1101" i="3"/>
  <c r="I1101" i="3" s="1"/>
  <c r="G1102" i="3"/>
  <c r="I1102" i="3" s="1"/>
  <c r="G1103" i="3"/>
  <c r="I1103" i="3" s="1"/>
  <c r="G1104" i="3"/>
  <c r="I1104" i="3" s="1"/>
  <c r="G1105" i="3"/>
  <c r="I1105" i="3" s="1"/>
  <c r="G1106" i="3"/>
  <c r="I1106" i="3" s="1"/>
  <c r="G1107" i="3"/>
  <c r="I1107" i="3" s="1"/>
  <c r="G1108" i="3"/>
  <c r="I1108" i="3" s="1"/>
  <c r="G1109" i="3"/>
  <c r="I1109" i="3" s="1"/>
  <c r="G1110" i="3"/>
  <c r="I1110" i="3" s="1"/>
  <c r="G1111" i="3"/>
  <c r="I1111" i="3" s="1"/>
  <c r="G1112" i="3"/>
  <c r="I1112" i="3" s="1"/>
  <c r="G1113" i="3"/>
  <c r="I1113" i="3" s="1"/>
  <c r="G1114" i="3"/>
  <c r="I1114" i="3" s="1"/>
  <c r="G1115" i="3"/>
  <c r="I1115" i="3" s="1"/>
  <c r="G1116" i="3"/>
  <c r="I1116" i="3" s="1"/>
  <c r="G1117" i="3"/>
  <c r="I1117" i="3" s="1"/>
  <c r="G1118" i="3"/>
  <c r="I1118" i="3" s="1"/>
  <c r="G1119" i="3"/>
  <c r="I1119" i="3" s="1"/>
  <c r="G1120" i="3"/>
  <c r="I1120" i="3" s="1"/>
  <c r="G1121" i="3"/>
  <c r="I1121" i="3" s="1"/>
  <c r="G1122" i="3"/>
  <c r="I1122" i="3" s="1"/>
  <c r="G1123" i="3"/>
  <c r="I1123" i="3" s="1"/>
  <c r="G1124" i="3"/>
  <c r="I1124" i="3" s="1"/>
  <c r="G1125" i="3"/>
  <c r="I1125" i="3" s="1"/>
  <c r="G1126" i="3"/>
  <c r="I1126" i="3" s="1"/>
  <c r="G1052" i="3"/>
  <c r="I1052" i="3" s="1"/>
  <c r="G1056" i="3"/>
  <c r="I1056" i="3" s="1"/>
  <c r="G1060" i="3"/>
  <c r="I1060" i="3" s="1"/>
  <c r="G1064" i="3"/>
  <c r="I1064" i="3" s="1"/>
  <c r="G1069" i="3"/>
  <c r="I1069" i="3" s="1"/>
  <c r="G1070" i="3"/>
  <c r="I1070" i="3" s="1"/>
  <c r="G1075" i="3"/>
  <c r="I1075" i="3" s="1"/>
  <c r="G1082" i="3"/>
  <c r="I1082" i="3" s="1"/>
  <c r="G1086" i="3"/>
  <c r="I1086" i="3" s="1"/>
  <c r="G1090" i="3"/>
  <c r="I1090" i="3" s="1"/>
  <c r="G1094" i="3"/>
  <c r="I1094" i="3" s="1"/>
  <c r="G1141" i="3"/>
  <c r="I1141" i="3" s="1"/>
  <c r="G1142" i="3"/>
  <c r="I1142" i="3" s="1"/>
  <c r="G1149" i="3"/>
  <c r="I1149" i="3" s="1"/>
  <c r="G1150" i="3"/>
  <c r="I1150" i="3" s="1"/>
  <c r="G1157" i="3"/>
  <c r="I1157" i="3" s="1"/>
  <c r="G1158" i="3"/>
  <c r="I1158" i="3" s="1"/>
  <c r="G1051" i="3"/>
  <c r="I1051" i="3" s="1"/>
  <c r="G1059" i="3"/>
  <c r="I1059" i="3" s="1"/>
  <c r="G1076" i="3"/>
  <c r="I1076" i="3" s="1"/>
  <c r="G1085" i="3"/>
  <c r="I1085" i="3" s="1"/>
  <c r="G1093" i="3"/>
  <c r="I1093" i="3" s="1"/>
  <c r="G1127" i="3"/>
  <c r="I1127" i="3" s="1"/>
  <c r="G1128" i="3"/>
  <c r="I1128" i="3" s="1"/>
  <c r="G1135" i="3"/>
  <c r="I1135" i="3" s="1"/>
  <c r="G1136" i="3"/>
  <c r="I1136" i="3" s="1"/>
  <c r="G1140" i="3"/>
  <c r="I1140" i="3" s="1"/>
  <c r="G1143" i="3"/>
  <c r="I1143" i="3" s="1"/>
  <c r="G1144" i="3"/>
  <c r="I1144" i="3" s="1"/>
  <c r="G1148" i="3"/>
  <c r="I1148" i="3" s="1"/>
  <c r="G1151" i="3"/>
  <c r="I1151" i="3" s="1"/>
  <c r="G1152" i="3"/>
  <c r="I1152" i="3" s="1"/>
  <c r="G1156" i="3"/>
  <c r="I1156" i="3" s="1"/>
  <c r="G1159" i="3"/>
  <c r="I1159" i="3" s="1"/>
  <c r="G1160" i="3"/>
  <c r="I1160" i="3" s="1"/>
  <c r="G1167" i="3"/>
  <c r="I1167" i="3" s="1"/>
  <c r="G1168" i="3"/>
  <c r="I1168" i="3" s="1"/>
  <c r="G1174" i="3"/>
  <c r="I1174" i="3" s="1"/>
  <c r="G1178" i="3"/>
  <c r="I1178" i="3" s="1"/>
  <c r="G1182" i="3"/>
  <c r="I1182" i="3" s="1"/>
  <c r="G1133" i="3"/>
  <c r="I1133" i="3" s="1"/>
  <c r="G1134" i="3"/>
  <c r="I1134" i="3" s="1"/>
  <c r="G1139" i="3"/>
  <c r="I1139" i="3" s="1"/>
  <c r="G1147" i="3"/>
  <c r="I1147" i="3" s="1"/>
  <c r="G1155" i="3"/>
  <c r="I1155" i="3" s="1"/>
  <c r="G1165" i="3"/>
  <c r="I1165" i="3" s="1"/>
  <c r="G1166" i="3"/>
  <c r="I1166" i="3" s="1"/>
  <c r="G1175" i="3"/>
  <c r="I1175" i="3" s="1"/>
  <c r="G1176" i="3"/>
  <c r="I1176" i="3" s="1"/>
  <c r="G1179" i="3"/>
  <c r="I1179" i="3" s="1"/>
  <c r="G1180" i="3"/>
  <c r="I1180" i="3" s="1"/>
  <c r="G1183" i="3"/>
  <c r="I1183" i="3" s="1"/>
  <c r="G1184" i="3"/>
  <c r="I1184" i="3" s="1"/>
  <c r="G1187" i="3"/>
  <c r="I1187" i="3" s="1"/>
  <c r="G1188" i="3"/>
  <c r="I1188" i="3" s="1"/>
  <c r="G1191" i="3"/>
  <c r="I1191" i="3" s="1"/>
  <c r="G1192" i="3"/>
  <c r="I1192" i="3" s="1"/>
  <c r="G1195" i="3"/>
  <c r="I1195" i="3" s="1"/>
  <c r="G1196" i="3"/>
  <c r="I1196" i="3" s="1"/>
  <c r="G1199" i="3"/>
  <c r="I1199" i="3" s="1"/>
  <c r="G1200" i="3"/>
  <c r="I1200" i="3" s="1"/>
  <c r="G1203" i="3"/>
  <c r="I1203" i="3" s="1"/>
  <c r="G1204" i="3"/>
  <c r="I1204" i="3" s="1"/>
  <c r="G1207" i="3"/>
  <c r="I1207" i="3" s="1"/>
  <c r="G1208" i="3"/>
  <c r="I1208" i="3" s="1"/>
  <c r="G1211" i="3"/>
  <c r="I1211" i="3" s="1"/>
  <c r="G1212" i="3"/>
  <c r="I1212" i="3" s="1"/>
  <c r="G1215" i="3"/>
  <c r="I1215" i="3" s="1"/>
  <c r="G1216" i="3"/>
  <c r="I1216" i="3" s="1"/>
  <c r="G1219" i="3"/>
  <c r="I1219" i="3" s="1"/>
  <c r="G1220" i="3"/>
  <c r="I1220" i="3" s="1"/>
  <c r="G1223" i="3"/>
  <c r="I1223" i="3" s="1"/>
  <c r="G1224" i="3"/>
  <c r="I1224" i="3" s="1"/>
  <c r="G1227" i="3"/>
  <c r="I1227" i="3" s="1"/>
  <c r="G1228" i="3"/>
  <c r="I1228" i="3" s="1"/>
  <c r="G1231" i="3"/>
  <c r="I1231" i="3" s="1"/>
  <c r="G1232" i="3"/>
  <c r="I1232" i="3" s="1"/>
  <c r="G1235" i="3"/>
  <c r="I1235" i="3" s="1"/>
  <c r="G1055" i="3"/>
  <c r="I1055" i="3" s="1"/>
  <c r="G1063" i="3"/>
  <c r="I1063" i="3" s="1"/>
  <c r="G1081" i="3"/>
  <c r="I1081" i="3" s="1"/>
  <c r="G1089" i="3"/>
  <c r="I1089" i="3" s="1"/>
  <c r="G1131" i="3"/>
  <c r="I1131" i="3" s="1"/>
  <c r="G1132" i="3"/>
  <c r="I1132" i="3" s="1"/>
  <c r="G1163" i="3"/>
  <c r="I1163" i="3" s="1"/>
  <c r="G1164" i="3"/>
  <c r="I1164" i="3" s="1"/>
  <c r="G1171" i="3"/>
  <c r="I1171" i="3" s="1"/>
  <c r="G1172" i="3"/>
  <c r="I1172" i="3" s="1"/>
  <c r="G1173" i="3"/>
  <c r="I1173" i="3" s="1"/>
  <c r="G1177" i="3"/>
  <c r="I1177" i="3" s="1"/>
  <c r="G1181" i="3"/>
  <c r="I1181" i="3" s="1"/>
  <c r="G1185" i="3"/>
  <c r="I1185" i="3" s="1"/>
  <c r="G1189" i="3"/>
  <c r="I1189" i="3" s="1"/>
  <c r="G1193" i="3"/>
  <c r="I1193" i="3" s="1"/>
  <c r="G1197" i="3"/>
  <c r="I1197" i="3" s="1"/>
  <c r="G1201" i="3"/>
  <c r="I1201" i="3" s="1"/>
  <c r="G1205" i="3"/>
  <c r="I1205" i="3" s="1"/>
  <c r="G1209" i="3"/>
  <c r="I1209" i="3" s="1"/>
  <c r="G1213" i="3"/>
  <c r="I1213" i="3" s="1"/>
  <c r="G1217" i="3"/>
  <c r="I1217" i="3" s="1"/>
  <c r="G1221" i="3"/>
  <c r="I1221" i="3" s="1"/>
  <c r="G1225" i="3"/>
  <c r="I1225" i="3" s="1"/>
  <c r="G1229" i="3"/>
  <c r="I1229" i="3" s="1"/>
  <c r="G1233" i="3"/>
  <c r="I1233" i="3" s="1"/>
  <c r="G1237" i="3"/>
  <c r="I1237" i="3" s="1"/>
  <c r="G1241" i="3"/>
  <c r="I1241" i="3" s="1"/>
  <c r="G1245" i="3"/>
  <c r="I1245" i="3" s="1"/>
  <c r="G1248" i="3"/>
  <c r="I1248" i="3" s="1"/>
  <c r="G1253" i="3"/>
  <c r="I1253" i="3" s="1"/>
  <c r="G1065" i="3"/>
  <c r="I1065" i="3" s="1"/>
  <c r="G1071" i="3"/>
  <c r="I1071" i="3" s="1"/>
  <c r="G1077" i="3"/>
  <c r="I1077" i="3" s="1"/>
  <c r="G1080" i="3"/>
  <c r="I1080" i="3" s="1"/>
  <c r="G1129" i="3"/>
  <c r="I1129" i="3" s="1"/>
  <c r="G1130" i="3"/>
  <c r="I1130" i="3" s="1"/>
  <c r="G1137" i="3"/>
  <c r="I1137" i="3" s="1"/>
  <c r="G1138" i="3"/>
  <c r="I1138" i="3" s="1"/>
  <c r="G1145" i="3"/>
  <c r="I1145" i="3" s="1"/>
  <c r="G1146" i="3"/>
  <c r="I1146" i="3" s="1"/>
  <c r="G1153" i="3"/>
  <c r="I1153" i="3" s="1"/>
  <c r="G1154" i="3"/>
  <c r="I1154" i="3" s="1"/>
  <c r="G1161" i="3"/>
  <c r="I1161" i="3" s="1"/>
  <c r="G1162" i="3"/>
  <c r="I1162" i="3" s="1"/>
  <c r="G1169" i="3"/>
  <c r="I1169" i="3" s="1"/>
  <c r="G1170" i="3"/>
  <c r="I1170" i="3" s="1"/>
  <c r="G1258" i="3"/>
  <c r="I1258" i="3" s="1"/>
  <c r="G1259" i="3"/>
  <c r="I1259" i="3" s="1"/>
  <c r="G1260" i="3"/>
  <c r="I1260" i="3" s="1"/>
  <c r="G1266" i="3"/>
  <c r="I1266" i="3" s="1"/>
  <c r="G1267" i="3"/>
  <c r="I1267" i="3" s="1"/>
  <c r="G1268" i="3"/>
  <c r="I1268" i="3" s="1"/>
  <c r="G1274" i="3"/>
  <c r="I1274" i="3" s="1"/>
  <c r="G1275" i="3"/>
  <c r="I1275" i="3" s="1"/>
  <c r="G1276" i="3"/>
  <c r="I1276" i="3" s="1"/>
  <c r="G1289" i="3"/>
  <c r="I1289" i="3" s="1"/>
  <c r="G1294" i="3"/>
  <c r="I1294" i="3" s="1"/>
  <c r="G1295" i="3"/>
  <c r="I1295" i="3" s="1"/>
  <c r="G1298" i="3"/>
  <c r="I1298" i="3" s="1"/>
  <c r="G1299" i="3"/>
  <c r="I1299" i="3" s="1"/>
  <c r="G1300" i="3"/>
  <c r="I1300" i="3" s="1"/>
  <c r="G1304" i="3"/>
  <c r="I1304" i="3" s="1"/>
  <c r="G1309" i="3"/>
  <c r="I1309" i="3" s="1"/>
  <c r="G1321" i="3"/>
  <c r="I1321" i="3" s="1"/>
  <c r="G1238" i="3"/>
  <c r="I1238" i="3" s="1"/>
  <c r="G1242" i="3"/>
  <c r="I1242" i="3" s="1"/>
  <c r="G1246" i="3"/>
  <c r="I1246" i="3" s="1"/>
  <c r="G1249" i="3"/>
  <c r="I1249" i="3" s="1"/>
  <c r="G1254" i="3"/>
  <c r="I1254" i="3" s="1"/>
  <c r="G1261" i="3"/>
  <c r="I1261" i="3" s="1"/>
  <c r="G1262" i="3"/>
  <c r="I1262" i="3" s="1"/>
  <c r="G1269" i="3"/>
  <c r="I1269" i="3" s="1"/>
  <c r="G1270" i="3"/>
  <c r="I1270" i="3" s="1"/>
  <c r="G1277" i="3"/>
  <c r="I1277" i="3" s="1"/>
  <c r="G1281" i="3"/>
  <c r="I1281" i="3" s="1"/>
  <c r="G1286" i="3"/>
  <c r="I1286" i="3" s="1"/>
  <c r="G1287" i="3"/>
  <c r="I1287" i="3" s="1"/>
  <c r="G1290" i="3"/>
  <c r="I1290" i="3" s="1"/>
  <c r="G1291" i="3"/>
  <c r="I1291" i="3" s="1"/>
  <c r="G1292" i="3"/>
  <c r="I1292" i="3" s="1"/>
  <c r="G1296" i="3"/>
  <c r="I1296" i="3" s="1"/>
  <c r="G1301" i="3"/>
  <c r="I1301" i="3" s="1"/>
  <c r="G1313" i="3"/>
  <c r="I1313" i="3" s="1"/>
  <c r="G1318" i="3"/>
  <c r="I1318" i="3" s="1"/>
  <c r="G1319" i="3"/>
  <c r="I1319" i="3" s="1"/>
  <c r="G1236" i="3"/>
  <c r="I1236" i="3" s="1"/>
  <c r="G1239" i="3"/>
  <c r="I1239" i="3" s="1"/>
  <c r="G1240" i="3"/>
  <c r="I1240" i="3" s="1"/>
  <c r="G1243" i="3"/>
  <c r="I1243" i="3" s="1"/>
  <c r="G1244" i="3"/>
  <c r="I1244" i="3" s="1"/>
  <c r="G1247" i="3"/>
  <c r="I1247" i="3" s="1"/>
  <c r="G1250" i="3"/>
  <c r="I1250" i="3" s="1"/>
  <c r="G1251" i="3"/>
  <c r="I1251" i="3" s="1"/>
  <c r="G1252" i="3"/>
  <c r="I1252" i="3" s="1"/>
  <c r="G1255" i="3"/>
  <c r="I1255" i="3" s="1"/>
  <c r="G1263" i="3"/>
  <c r="I1263" i="3" s="1"/>
  <c r="G1271" i="3"/>
  <c r="I1271" i="3" s="1"/>
  <c r="G1278" i="3"/>
  <c r="I1278" i="3" s="1"/>
  <c r="G1279" i="3"/>
  <c r="I1279" i="3" s="1"/>
  <c r="G1282" i="3"/>
  <c r="I1282" i="3" s="1"/>
  <c r="G1283" i="3"/>
  <c r="I1283" i="3" s="1"/>
  <c r="G1284" i="3"/>
  <c r="I1284" i="3" s="1"/>
  <c r="G1288" i="3"/>
  <c r="I1288" i="3" s="1"/>
  <c r="G1293" i="3"/>
  <c r="I1293" i="3" s="1"/>
  <c r="G1305" i="3"/>
  <c r="I1305" i="3" s="1"/>
  <c r="G1310" i="3"/>
  <c r="I1310" i="3" s="1"/>
  <c r="G1311" i="3"/>
  <c r="I1311" i="3" s="1"/>
  <c r="G1314" i="3"/>
  <c r="I1314" i="3" s="1"/>
  <c r="G1315" i="3"/>
  <c r="I1315" i="3" s="1"/>
  <c r="G1316" i="3"/>
  <c r="I1316" i="3" s="1"/>
  <c r="G1320" i="3"/>
  <c r="I1320" i="3" s="1"/>
  <c r="G1325" i="3"/>
  <c r="I1325" i="3" s="1"/>
  <c r="G1329" i="3"/>
  <c r="I1329" i="3" s="1"/>
  <c r="G1332" i="3"/>
  <c r="I1332" i="3" s="1"/>
  <c r="G1336" i="3"/>
  <c r="I1336" i="3" s="1"/>
  <c r="G1340" i="3"/>
  <c r="I1340" i="3" s="1"/>
  <c r="G1186" i="3"/>
  <c r="I1186" i="3" s="1"/>
  <c r="G1190" i="3"/>
  <c r="I1190" i="3" s="1"/>
  <c r="G1194" i="3"/>
  <c r="I1194" i="3" s="1"/>
  <c r="G1198" i="3"/>
  <c r="I1198" i="3" s="1"/>
  <c r="G1202" i="3"/>
  <c r="I1202" i="3" s="1"/>
  <c r="G1206" i="3"/>
  <c r="I1206" i="3" s="1"/>
  <c r="G1210" i="3"/>
  <c r="I1210" i="3" s="1"/>
  <c r="G1214" i="3"/>
  <c r="I1214" i="3" s="1"/>
  <c r="G1218" i="3"/>
  <c r="I1218" i="3" s="1"/>
  <c r="G1222" i="3"/>
  <c r="I1222" i="3" s="1"/>
  <c r="G1226" i="3"/>
  <c r="I1226" i="3" s="1"/>
  <c r="G1230" i="3"/>
  <c r="I1230" i="3" s="1"/>
  <c r="G1234" i="3"/>
  <c r="I1234" i="3" s="1"/>
  <c r="G1256" i="3"/>
  <c r="I1256" i="3" s="1"/>
  <c r="G1257" i="3"/>
  <c r="I1257" i="3" s="1"/>
  <c r="G1264" i="3"/>
  <c r="I1264" i="3" s="1"/>
  <c r="G1265" i="3"/>
  <c r="I1265" i="3" s="1"/>
  <c r="G1272" i="3"/>
  <c r="I1272" i="3" s="1"/>
  <c r="G1273" i="3"/>
  <c r="I1273" i="3" s="1"/>
  <c r="G1280" i="3"/>
  <c r="I1280" i="3" s="1"/>
  <c r="G1285" i="3"/>
  <c r="I1285" i="3" s="1"/>
  <c r="G1297" i="3"/>
  <c r="I1297" i="3" s="1"/>
  <c r="G1302" i="3"/>
  <c r="I1302" i="3" s="1"/>
  <c r="G1303" i="3"/>
  <c r="I1303" i="3" s="1"/>
  <c r="G1306" i="3"/>
  <c r="I1306" i="3" s="1"/>
  <c r="G1307" i="3"/>
  <c r="I1307" i="3" s="1"/>
  <c r="G1308" i="3"/>
  <c r="I1308" i="3" s="1"/>
  <c r="G1312" i="3"/>
  <c r="I1312" i="3" s="1"/>
  <c r="G1317" i="3"/>
  <c r="I1317" i="3" s="1"/>
  <c r="G1333" i="3"/>
  <c r="I1333" i="3" s="1"/>
  <c r="G1337" i="3"/>
  <c r="I1337" i="3" s="1"/>
  <c r="G1341" i="3"/>
  <c r="I1341" i="3" s="1"/>
  <c r="G1345" i="3"/>
  <c r="I1345" i="3" s="1"/>
  <c r="G1350" i="3"/>
  <c r="I1350" i="3" s="1"/>
  <c r="G1355" i="3"/>
  <c r="I1355" i="3" s="1"/>
  <c r="G1360" i="3"/>
  <c r="I1360" i="3" s="1"/>
  <c r="G1324" i="3"/>
  <c r="I1324" i="3" s="1"/>
  <c r="G1327" i="3"/>
  <c r="I1327" i="3" s="1"/>
  <c r="G1328" i="3"/>
  <c r="I1328" i="3" s="1"/>
  <c r="G1331" i="3"/>
  <c r="I1331" i="3" s="1"/>
  <c r="G1339" i="3"/>
  <c r="I1339" i="3" s="1"/>
  <c r="G1344" i="3"/>
  <c r="I1344" i="3" s="1"/>
  <c r="G1347" i="3"/>
  <c r="I1347" i="3" s="1"/>
  <c r="G1351" i="3"/>
  <c r="I1351" i="3" s="1"/>
  <c r="G1357" i="3"/>
  <c r="I1357" i="3" s="1"/>
  <c r="G1364" i="3"/>
  <c r="I1364" i="3" s="1"/>
  <c r="G1365" i="3"/>
  <c r="I1365" i="3" s="1"/>
  <c r="G1369" i="3"/>
  <c r="I1369" i="3" s="1"/>
  <c r="G1370" i="3"/>
  <c r="I1370" i="3" s="1"/>
  <c r="G1375" i="3"/>
  <c r="I1375" i="3" s="1"/>
  <c r="G1380" i="3"/>
  <c r="I1380" i="3" s="1"/>
  <c r="G1381" i="3"/>
  <c r="I1381" i="3" s="1"/>
  <c r="G1385" i="3"/>
  <c r="I1385" i="3" s="1"/>
  <c r="G1386" i="3"/>
  <c r="I1386" i="3" s="1"/>
  <c r="G1391" i="3"/>
  <c r="I1391" i="3" s="1"/>
  <c r="G1396" i="3"/>
  <c r="I1396" i="3" s="1"/>
  <c r="G1397" i="3"/>
  <c r="I1397" i="3" s="1"/>
  <c r="G1401" i="3"/>
  <c r="I1401" i="3" s="1"/>
  <c r="G1402" i="3"/>
  <c r="I1402" i="3" s="1"/>
  <c r="G1407" i="3"/>
  <c r="I1407" i="3" s="1"/>
  <c r="G1412" i="3"/>
  <c r="I1412" i="3" s="1"/>
  <c r="G1413" i="3"/>
  <c r="I1413" i="3" s="1"/>
  <c r="G1417" i="3"/>
  <c r="I1417" i="3" s="1"/>
  <c r="G1418" i="3"/>
  <c r="I1418" i="3" s="1"/>
  <c r="G1423" i="3"/>
  <c r="I1423" i="3" s="1"/>
  <c r="G1424" i="3"/>
  <c r="I1424" i="3" s="1"/>
  <c r="G1428" i="3"/>
  <c r="I1428" i="3" s="1"/>
  <c r="G1432" i="3"/>
  <c r="I1432" i="3" s="1"/>
  <c r="G1433" i="3"/>
  <c r="I1433" i="3" s="1"/>
  <c r="G1437" i="3"/>
  <c r="I1437" i="3" s="1"/>
  <c r="G1438" i="3"/>
  <c r="I1438" i="3" s="1"/>
  <c r="G1439" i="3"/>
  <c r="I1439" i="3" s="1"/>
  <c r="G1443" i="3"/>
  <c r="I1443" i="3" s="1"/>
  <c r="G1447" i="3"/>
  <c r="I1447" i="3" s="1"/>
  <c r="G1448" i="3"/>
  <c r="I1448" i="3" s="1"/>
  <c r="G1323" i="3"/>
  <c r="I1323" i="3" s="1"/>
  <c r="G1334" i="3"/>
  <c r="I1334" i="3" s="1"/>
  <c r="G1348" i="3"/>
  <c r="I1348" i="3" s="1"/>
  <c r="G1349" i="3"/>
  <c r="I1349" i="3" s="1"/>
  <c r="G1352" i="3"/>
  <c r="I1352" i="3" s="1"/>
  <c r="G1356" i="3"/>
  <c r="I1356" i="3" s="1"/>
  <c r="G1358" i="3"/>
  <c r="I1358" i="3" s="1"/>
  <c r="G1366" i="3"/>
  <c r="I1366" i="3" s="1"/>
  <c r="G1371" i="3"/>
  <c r="I1371" i="3" s="1"/>
  <c r="G1376" i="3"/>
  <c r="I1376" i="3" s="1"/>
  <c r="G1382" i="3"/>
  <c r="I1382" i="3" s="1"/>
  <c r="G1387" i="3"/>
  <c r="I1387" i="3" s="1"/>
  <c r="G1392" i="3"/>
  <c r="I1392" i="3" s="1"/>
  <c r="G1398" i="3"/>
  <c r="I1398" i="3" s="1"/>
  <c r="G1403" i="3"/>
  <c r="I1403" i="3" s="1"/>
  <c r="G1408" i="3"/>
  <c r="I1408" i="3" s="1"/>
  <c r="G1414" i="3"/>
  <c r="I1414" i="3" s="1"/>
  <c r="G1419" i="3"/>
  <c r="I1419" i="3" s="1"/>
  <c r="G1429" i="3"/>
  <c r="I1429" i="3" s="1"/>
  <c r="G1434" i="3"/>
  <c r="I1434" i="3" s="1"/>
  <c r="G1444" i="3"/>
  <c r="I1444" i="3" s="1"/>
  <c r="G1322" i="3"/>
  <c r="I1322" i="3" s="1"/>
  <c r="G1335" i="3"/>
  <c r="I1335" i="3" s="1"/>
  <c r="G1342" i="3"/>
  <c r="I1342" i="3" s="1"/>
  <c r="G1326" i="3"/>
  <c r="I1326" i="3" s="1"/>
  <c r="G1330" i="3"/>
  <c r="I1330" i="3" s="1"/>
  <c r="G1338" i="3"/>
  <c r="I1338" i="3" s="1"/>
  <c r="G1343" i="3"/>
  <c r="I1343" i="3" s="1"/>
  <c r="G1346" i="3"/>
  <c r="I1346" i="3" s="1"/>
  <c r="G1363" i="3"/>
  <c r="I1363" i="3" s="1"/>
  <c r="G1368" i="3"/>
  <c r="I1368" i="3" s="1"/>
  <c r="G1374" i="3"/>
  <c r="I1374" i="3" s="1"/>
  <c r="G1379" i="3"/>
  <c r="I1379" i="3" s="1"/>
  <c r="G1384" i="3"/>
  <c r="I1384" i="3" s="1"/>
  <c r="G1390" i="3"/>
  <c r="I1390" i="3" s="1"/>
  <c r="G1395" i="3"/>
  <c r="I1395" i="3" s="1"/>
  <c r="G1400" i="3"/>
  <c r="I1400" i="3" s="1"/>
  <c r="G1406" i="3"/>
  <c r="I1406" i="3" s="1"/>
  <c r="G1411" i="3"/>
  <c r="I1411" i="3" s="1"/>
  <c r="G1416" i="3"/>
  <c r="I1416" i="3" s="1"/>
  <c r="G1422" i="3"/>
  <c r="I1422" i="3" s="1"/>
  <c r="G1427" i="3"/>
  <c r="I1427" i="3" s="1"/>
  <c r="G1436" i="3"/>
  <c r="I1436" i="3" s="1"/>
  <c r="G1442" i="3"/>
  <c r="I1442" i="3" s="1"/>
  <c r="G1451" i="3"/>
  <c r="I1451" i="3" s="1"/>
  <c r="G1354" i="3"/>
  <c r="I1354" i="3" s="1"/>
  <c r="G1372" i="3"/>
  <c r="I1372" i="3" s="1"/>
  <c r="G1394" i="3"/>
  <c r="I1394" i="3" s="1"/>
  <c r="G1409" i="3"/>
  <c r="I1409" i="3" s="1"/>
  <c r="G1415" i="3"/>
  <c r="I1415" i="3" s="1"/>
  <c r="G1421" i="3"/>
  <c r="I1421" i="3" s="1"/>
  <c r="G1431" i="3"/>
  <c r="I1431" i="3" s="1"/>
  <c r="G1446" i="3"/>
  <c r="I1446" i="3" s="1"/>
  <c r="G1449" i="3"/>
  <c r="I1449" i="3" s="1"/>
  <c r="G1462" i="3"/>
  <c r="I1462" i="3" s="1"/>
  <c r="G1467" i="3"/>
  <c r="I1467" i="3" s="1"/>
  <c r="G1472" i="3"/>
  <c r="I1472" i="3" s="1"/>
  <c r="G1484" i="3"/>
  <c r="I1484" i="3" s="1"/>
  <c r="G1485" i="3"/>
  <c r="I1485" i="3" s="1"/>
  <c r="G1486" i="3"/>
  <c r="I1486" i="3" s="1"/>
  <c r="G1489" i="3"/>
  <c r="I1489" i="3" s="1"/>
  <c r="G1497" i="3"/>
  <c r="I1497" i="3" s="1"/>
  <c r="G1501" i="3"/>
  <c r="I1501" i="3" s="1"/>
  <c r="G1502" i="3"/>
  <c r="I1502" i="3" s="1"/>
  <c r="G1503" i="3"/>
  <c r="I1503" i="3" s="1"/>
  <c r="G1508" i="3"/>
  <c r="I1508" i="3" s="1"/>
  <c r="G1512" i="3"/>
  <c r="I1512" i="3" s="1"/>
  <c r="G1516" i="3"/>
  <c r="I1516" i="3" s="1"/>
  <c r="G1520" i="3"/>
  <c r="I1520" i="3" s="1"/>
  <c r="G1524" i="3"/>
  <c r="I1524" i="3" s="1"/>
  <c r="G1528" i="3"/>
  <c r="I1528" i="3" s="1"/>
  <c r="G1532" i="3"/>
  <c r="I1532" i="3" s="1"/>
  <c r="G1536" i="3"/>
  <c r="I1536" i="3" s="1"/>
  <c r="G1537" i="3"/>
  <c r="I1537" i="3" s="1"/>
  <c r="G1541" i="3"/>
  <c r="I1541" i="3" s="1"/>
  <c r="G1546" i="3"/>
  <c r="I1546" i="3" s="1"/>
  <c r="G1551" i="3"/>
  <c r="I1551" i="3" s="1"/>
  <c r="G1552" i="3"/>
  <c r="I1552" i="3" s="1"/>
  <c r="G1556" i="3"/>
  <c r="I1556" i="3" s="1"/>
  <c r="G1557" i="3"/>
  <c r="I1557" i="3" s="1"/>
  <c r="G1562" i="3"/>
  <c r="I1562" i="3" s="1"/>
  <c r="G1567" i="3"/>
  <c r="I1567" i="3" s="1"/>
  <c r="G1568" i="3"/>
  <c r="I1568" i="3" s="1"/>
  <c r="G1572" i="3"/>
  <c r="I1572" i="3" s="1"/>
  <c r="G1573" i="3"/>
  <c r="I1573" i="3" s="1"/>
  <c r="G1578" i="3"/>
  <c r="I1578" i="3" s="1"/>
  <c r="G1583" i="3"/>
  <c r="I1583" i="3" s="1"/>
  <c r="G1584" i="3"/>
  <c r="I1584" i="3" s="1"/>
  <c r="G1588" i="3"/>
  <c r="I1588" i="3" s="1"/>
  <c r="G1589" i="3"/>
  <c r="I1589" i="3" s="1"/>
  <c r="G1594" i="3"/>
  <c r="I1594" i="3" s="1"/>
  <c r="G1599" i="3"/>
  <c r="I1599" i="3" s="1"/>
  <c r="G1600" i="3"/>
  <c r="I1600" i="3" s="1"/>
  <c r="G1604" i="3"/>
  <c r="I1604" i="3" s="1"/>
  <c r="G1605" i="3"/>
  <c r="I1605" i="3" s="1"/>
  <c r="G1610" i="3"/>
  <c r="I1610" i="3" s="1"/>
  <c r="G1615" i="3"/>
  <c r="I1615" i="3" s="1"/>
  <c r="G1616" i="3"/>
  <c r="I1616" i="3" s="1"/>
  <c r="G1620" i="3"/>
  <c r="I1620" i="3" s="1"/>
  <c r="G1621" i="3"/>
  <c r="I1621" i="3" s="1"/>
  <c r="G1626" i="3"/>
  <c r="I1626" i="3" s="1"/>
  <c r="G1631" i="3"/>
  <c r="I1631" i="3" s="1"/>
  <c r="G1632" i="3"/>
  <c r="I1632" i="3" s="1"/>
  <c r="G1636" i="3"/>
  <c r="I1636" i="3" s="1"/>
  <c r="G1637" i="3"/>
  <c r="I1637" i="3" s="1"/>
  <c r="G1642" i="3"/>
  <c r="I1642" i="3" s="1"/>
  <c r="G1647" i="3"/>
  <c r="I1647" i="3" s="1"/>
  <c r="G1648" i="3"/>
  <c r="I1648" i="3" s="1"/>
  <c r="G1652" i="3"/>
  <c r="I1652" i="3" s="1"/>
  <c r="G1653" i="3"/>
  <c r="I1653" i="3" s="1"/>
  <c r="G1658" i="3"/>
  <c r="I1658" i="3" s="1"/>
  <c r="G1663" i="3"/>
  <c r="I1663" i="3" s="1"/>
  <c r="G1664" i="3"/>
  <c r="I1664" i="3" s="1"/>
  <c r="G1353" i="3"/>
  <c r="I1353" i="3" s="1"/>
  <c r="G1359" i="3"/>
  <c r="I1359" i="3" s="1"/>
  <c r="G1378" i="3"/>
  <c r="I1378" i="3" s="1"/>
  <c r="G1393" i="3"/>
  <c r="I1393" i="3" s="1"/>
  <c r="G1399" i="3"/>
  <c r="I1399" i="3" s="1"/>
  <c r="G1405" i="3"/>
  <c r="I1405" i="3" s="1"/>
  <c r="G1420" i="3"/>
  <c r="I1420" i="3" s="1"/>
  <c r="G1430" i="3"/>
  <c r="I1430" i="3" s="1"/>
  <c r="G1445" i="3"/>
  <c r="I1445" i="3" s="1"/>
  <c r="G1452" i="3"/>
  <c r="I1452" i="3" s="1"/>
  <c r="G1453" i="3"/>
  <c r="I1453" i="3" s="1"/>
  <c r="G1457" i="3"/>
  <c r="I1457" i="3" s="1"/>
  <c r="G1458" i="3"/>
  <c r="I1458" i="3" s="1"/>
  <c r="G1463" i="3"/>
  <c r="I1463" i="3" s="1"/>
  <c r="G1468" i="3"/>
  <c r="I1468" i="3" s="1"/>
  <c r="G1469" i="3"/>
  <c r="I1469" i="3" s="1"/>
  <c r="G1473" i="3"/>
  <c r="I1473" i="3" s="1"/>
  <c r="G1474" i="3"/>
  <c r="I1474" i="3" s="1"/>
  <c r="G1475" i="3"/>
  <c r="I1475" i="3" s="1"/>
  <c r="G1479" i="3"/>
  <c r="I1479" i="3" s="1"/>
  <c r="G1480" i="3"/>
  <c r="I1480" i="3" s="1"/>
  <c r="G1490" i="3"/>
  <c r="I1490" i="3" s="1"/>
  <c r="G1491" i="3"/>
  <c r="I1491" i="3" s="1"/>
  <c r="G1498" i="3"/>
  <c r="I1498" i="3" s="1"/>
  <c r="G1504" i="3"/>
  <c r="I1504" i="3" s="1"/>
  <c r="G1509" i="3"/>
  <c r="I1509" i="3" s="1"/>
  <c r="G1513" i="3"/>
  <c r="I1513" i="3" s="1"/>
  <c r="G1517" i="3"/>
  <c r="I1517" i="3" s="1"/>
  <c r="G1521" i="3"/>
  <c r="I1521" i="3" s="1"/>
  <c r="G1525" i="3"/>
  <c r="I1525" i="3" s="1"/>
  <c r="G1529" i="3"/>
  <c r="I1529" i="3" s="1"/>
  <c r="G1533" i="3"/>
  <c r="I1533" i="3" s="1"/>
  <c r="G1542" i="3"/>
  <c r="I1542" i="3" s="1"/>
  <c r="G1547" i="3"/>
  <c r="I1547" i="3" s="1"/>
  <c r="G1553" i="3"/>
  <c r="I1553" i="3" s="1"/>
  <c r="G1558" i="3"/>
  <c r="I1558" i="3" s="1"/>
  <c r="G1563" i="3"/>
  <c r="I1563" i="3" s="1"/>
  <c r="G1569" i="3"/>
  <c r="I1569" i="3" s="1"/>
  <c r="G1574" i="3"/>
  <c r="I1574" i="3" s="1"/>
  <c r="G1579" i="3"/>
  <c r="I1579" i="3" s="1"/>
  <c r="G1585" i="3"/>
  <c r="I1585" i="3" s="1"/>
  <c r="G1590" i="3"/>
  <c r="I1590" i="3" s="1"/>
  <c r="G1595" i="3"/>
  <c r="I1595" i="3" s="1"/>
  <c r="G1601" i="3"/>
  <c r="I1601" i="3" s="1"/>
  <c r="G1606" i="3"/>
  <c r="I1606" i="3" s="1"/>
  <c r="G1611" i="3"/>
  <c r="I1611" i="3" s="1"/>
  <c r="G1617" i="3"/>
  <c r="I1617" i="3" s="1"/>
  <c r="G1622" i="3"/>
  <c r="I1622" i="3" s="1"/>
  <c r="G1627" i="3"/>
  <c r="I1627" i="3" s="1"/>
  <c r="G1633" i="3"/>
  <c r="I1633" i="3" s="1"/>
  <c r="G1638" i="3"/>
  <c r="I1638" i="3" s="1"/>
  <c r="G1643" i="3"/>
  <c r="I1643" i="3" s="1"/>
  <c r="G1649" i="3"/>
  <c r="I1649" i="3" s="1"/>
  <c r="G1654" i="3"/>
  <c r="I1654" i="3" s="1"/>
  <c r="G1362" i="3"/>
  <c r="I1362" i="3" s="1"/>
  <c r="G1377" i="3"/>
  <c r="I1377" i="3" s="1"/>
  <c r="G1383" i="3"/>
  <c r="I1383" i="3" s="1"/>
  <c r="G1389" i="3"/>
  <c r="I1389" i="3" s="1"/>
  <c r="G1404" i="3"/>
  <c r="I1404" i="3" s="1"/>
  <c r="G1426" i="3"/>
  <c r="I1426" i="3" s="1"/>
  <c r="G1435" i="3"/>
  <c r="I1435" i="3" s="1"/>
  <c r="G1441" i="3"/>
  <c r="I1441" i="3" s="1"/>
  <c r="G1454" i="3"/>
  <c r="I1454" i="3" s="1"/>
  <c r="G1459" i="3"/>
  <c r="I1459" i="3" s="1"/>
  <c r="G1464" i="3"/>
  <c r="I1464" i="3" s="1"/>
  <c r="G1470" i="3"/>
  <c r="I1470" i="3" s="1"/>
  <c r="G1481" i="3"/>
  <c r="I1481" i="3" s="1"/>
  <c r="G1482" i="3"/>
  <c r="I1482" i="3" s="1"/>
  <c r="G1487" i="3"/>
  <c r="I1487" i="3" s="1"/>
  <c r="G1492" i="3"/>
  <c r="I1492" i="3" s="1"/>
  <c r="G1493" i="3"/>
  <c r="I1493" i="3" s="1"/>
  <c r="G1494" i="3"/>
  <c r="I1494" i="3" s="1"/>
  <c r="G1499" i="3"/>
  <c r="I1499" i="3" s="1"/>
  <c r="G1505" i="3"/>
  <c r="I1505" i="3" s="1"/>
  <c r="G1506" i="3"/>
  <c r="I1506" i="3" s="1"/>
  <c r="G1510" i="3"/>
  <c r="I1510" i="3" s="1"/>
  <c r="G1514" i="3"/>
  <c r="I1514" i="3" s="1"/>
  <c r="G1518" i="3"/>
  <c r="I1518" i="3" s="1"/>
  <c r="G1522" i="3"/>
  <c r="I1522" i="3" s="1"/>
  <c r="G1526" i="3"/>
  <c r="I1526" i="3" s="1"/>
  <c r="G1530" i="3"/>
  <c r="I1530" i="3" s="1"/>
  <c r="G1534" i="3"/>
  <c r="I1534" i="3" s="1"/>
  <c r="G1538" i="3"/>
  <c r="I1538" i="3" s="1"/>
  <c r="G1539" i="3"/>
  <c r="I1539" i="3" s="1"/>
  <c r="G1543" i="3"/>
  <c r="I1543" i="3" s="1"/>
  <c r="G1544" i="3"/>
  <c r="I1544" i="3" s="1"/>
  <c r="G1548" i="3"/>
  <c r="I1548" i="3" s="1"/>
  <c r="G1549" i="3"/>
  <c r="I1549" i="3" s="1"/>
  <c r="G1554" i="3"/>
  <c r="I1554" i="3" s="1"/>
  <c r="G1559" i="3"/>
  <c r="I1559" i="3" s="1"/>
  <c r="G1560" i="3"/>
  <c r="I1560" i="3" s="1"/>
  <c r="G1564" i="3"/>
  <c r="I1564" i="3" s="1"/>
  <c r="G1565" i="3"/>
  <c r="I1565" i="3" s="1"/>
  <c r="G1570" i="3"/>
  <c r="I1570" i="3" s="1"/>
  <c r="G1575" i="3"/>
  <c r="I1575" i="3" s="1"/>
  <c r="G1576" i="3"/>
  <c r="I1576" i="3" s="1"/>
  <c r="G1580" i="3"/>
  <c r="I1580" i="3" s="1"/>
  <c r="G1581" i="3"/>
  <c r="I1581" i="3" s="1"/>
  <c r="G1586" i="3"/>
  <c r="I1586" i="3" s="1"/>
  <c r="G1591" i="3"/>
  <c r="I1591" i="3" s="1"/>
  <c r="G1592" i="3"/>
  <c r="I1592" i="3" s="1"/>
  <c r="G1596" i="3"/>
  <c r="I1596" i="3" s="1"/>
  <c r="G1597" i="3"/>
  <c r="I1597" i="3" s="1"/>
  <c r="G1602" i="3"/>
  <c r="I1602" i="3" s="1"/>
  <c r="G1607" i="3"/>
  <c r="I1607" i="3" s="1"/>
  <c r="G1608" i="3"/>
  <c r="I1608" i="3" s="1"/>
  <c r="G1612" i="3"/>
  <c r="I1612" i="3" s="1"/>
  <c r="G1613" i="3"/>
  <c r="I1613" i="3" s="1"/>
  <c r="G1618" i="3"/>
  <c r="I1618" i="3" s="1"/>
  <c r="G1623" i="3"/>
  <c r="I1623" i="3" s="1"/>
  <c r="G1624" i="3"/>
  <c r="I1624" i="3" s="1"/>
  <c r="G1628" i="3"/>
  <c r="I1628" i="3" s="1"/>
  <c r="G1629" i="3"/>
  <c r="I1629" i="3" s="1"/>
  <c r="G1634" i="3"/>
  <c r="I1634" i="3" s="1"/>
  <c r="G1639" i="3"/>
  <c r="I1639" i="3" s="1"/>
  <c r="G1640" i="3"/>
  <c r="I1640" i="3" s="1"/>
  <c r="G1644" i="3"/>
  <c r="I1644" i="3" s="1"/>
  <c r="G1645" i="3"/>
  <c r="I1645" i="3" s="1"/>
  <c r="G1650" i="3"/>
  <c r="I1650" i="3" s="1"/>
  <c r="G1655" i="3"/>
  <c r="I1655" i="3" s="1"/>
  <c r="G1656" i="3"/>
  <c r="I1656" i="3" s="1"/>
  <c r="G1660" i="3"/>
  <c r="I1660" i="3" s="1"/>
  <c r="G1661" i="3"/>
  <c r="I1661" i="3" s="1"/>
  <c r="G1666" i="3"/>
  <c r="I1666" i="3" s="1"/>
  <c r="G1361" i="3"/>
  <c r="I1361" i="3" s="1"/>
  <c r="G1367" i="3"/>
  <c r="I1367" i="3" s="1"/>
  <c r="G1373" i="3"/>
  <c r="I1373" i="3" s="1"/>
  <c r="G1388" i="3"/>
  <c r="I1388" i="3" s="1"/>
  <c r="G1410" i="3"/>
  <c r="I1410" i="3" s="1"/>
  <c r="G1425" i="3"/>
  <c r="I1425" i="3" s="1"/>
  <c r="G1440" i="3"/>
  <c r="I1440" i="3" s="1"/>
  <c r="G1450" i="3"/>
  <c r="I1450" i="3" s="1"/>
  <c r="G1455" i="3"/>
  <c r="I1455" i="3" s="1"/>
  <c r="G1456" i="3"/>
  <c r="I1456" i="3" s="1"/>
  <c r="G1460" i="3"/>
  <c r="I1460" i="3" s="1"/>
  <c r="G1461" i="3"/>
  <c r="I1461" i="3" s="1"/>
  <c r="G1465" i="3"/>
  <c r="I1465" i="3" s="1"/>
  <c r="G1466" i="3"/>
  <c r="I1466" i="3" s="1"/>
  <c r="G1471" i="3"/>
  <c r="I1471" i="3" s="1"/>
  <c r="G1476" i="3"/>
  <c r="I1476" i="3" s="1"/>
  <c r="G1477" i="3"/>
  <c r="I1477" i="3" s="1"/>
  <c r="G1478" i="3"/>
  <c r="I1478" i="3" s="1"/>
  <c r="G1483" i="3"/>
  <c r="I1483" i="3" s="1"/>
  <c r="G1488" i="3"/>
  <c r="I1488" i="3" s="1"/>
  <c r="G1495" i="3"/>
  <c r="I1495" i="3" s="1"/>
  <c r="G1496" i="3"/>
  <c r="I1496" i="3" s="1"/>
  <c r="G1500" i="3"/>
  <c r="I1500" i="3" s="1"/>
  <c r="G1507" i="3"/>
  <c r="I1507" i="3" s="1"/>
  <c r="G1511" i="3"/>
  <c r="I1511" i="3" s="1"/>
  <c r="G1515" i="3"/>
  <c r="I1515" i="3" s="1"/>
  <c r="G1519" i="3"/>
  <c r="I1519" i="3" s="1"/>
  <c r="G1523" i="3"/>
  <c r="I1523" i="3" s="1"/>
  <c r="G1527" i="3"/>
  <c r="I1527" i="3" s="1"/>
  <c r="G1531" i="3"/>
  <c r="I1531" i="3" s="1"/>
  <c r="G1535" i="3"/>
  <c r="I1535" i="3" s="1"/>
  <c r="G1540" i="3"/>
  <c r="I1540" i="3" s="1"/>
  <c r="G1545" i="3"/>
  <c r="I1545" i="3" s="1"/>
  <c r="G1550" i="3"/>
  <c r="I1550" i="3" s="1"/>
  <c r="G1555" i="3"/>
  <c r="I1555" i="3" s="1"/>
  <c r="G1561" i="3"/>
  <c r="I1561" i="3" s="1"/>
  <c r="G1566" i="3"/>
  <c r="I1566" i="3" s="1"/>
  <c r="G1571" i="3"/>
  <c r="I1571" i="3" s="1"/>
  <c r="G1577" i="3"/>
  <c r="I1577" i="3" s="1"/>
  <c r="G1582" i="3"/>
  <c r="I1582" i="3" s="1"/>
  <c r="G1587" i="3"/>
  <c r="I1587" i="3" s="1"/>
  <c r="G1593" i="3"/>
  <c r="I1593" i="3" s="1"/>
  <c r="G1598" i="3"/>
  <c r="I1598" i="3" s="1"/>
  <c r="G1603" i="3"/>
  <c r="I1603" i="3" s="1"/>
  <c r="G1609" i="3"/>
  <c r="I1609" i="3" s="1"/>
  <c r="G1614" i="3"/>
  <c r="I1614" i="3" s="1"/>
  <c r="G1619" i="3"/>
  <c r="I1619" i="3" s="1"/>
  <c r="G1625" i="3"/>
  <c r="I1625" i="3" s="1"/>
  <c r="G1630" i="3"/>
  <c r="I1630" i="3" s="1"/>
  <c r="G1635" i="3"/>
  <c r="I1635" i="3" s="1"/>
  <c r="G1641" i="3"/>
  <c r="I1641" i="3" s="1"/>
  <c r="G1646" i="3"/>
  <c r="I1646" i="3" s="1"/>
  <c r="G1651" i="3"/>
  <c r="I1651" i="3" s="1"/>
  <c r="G1657" i="3"/>
  <c r="I1657" i="3" s="1"/>
  <c r="G1662" i="3"/>
  <c r="I1662" i="3" s="1"/>
  <c r="G1667" i="3"/>
  <c r="I1667" i="3" s="1"/>
  <c r="G1673" i="3"/>
  <c r="I1673" i="3" s="1"/>
  <c r="G1678" i="3"/>
  <c r="I1678" i="3" s="1"/>
  <c r="G1683" i="3"/>
  <c r="I1683" i="3" s="1"/>
  <c r="G1689" i="3"/>
  <c r="I1689" i="3" s="1"/>
  <c r="G1694" i="3"/>
  <c r="I1694" i="3" s="1"/>
  <c r="G1699" i="3"/>
  <c r="I1699" i="3" s="1"/>
  <c r="G1705" i="3"/>
  <c r="I1705" i="3" s="1"/>
  <c r="G1710" i="3"/>
  <c r="I1710" i="3" s="1"/>
  <c r="G1715" i="3"/>
  <c r="I1715" i="3" s="1"/>
  <c r="G1721" i="3"/>
  <c r="I1721" i="3" s="1"/>
  <c r="G1726" i="3"/>
  <c r="I1726" i="3" s="1"/>
  <c r="G1731" i="3"/>
  <c r="I1731" i="3" s="1"/>
  <c r="G1737" i="3"/>
  <c r="I1737" i="3" s="1"/>
  <c r="G1742" i="3"/>
  <c r="I1742" i="3" s="1"/>
  <c r="G1747" i="3"/>
  <c r="I1747" i="3" s="1"/>
  <c r="G1753" i="3"/>
  <c r="I1753" i="3" s="1"/>
  <c r="G1758" i="3"/>
  <c r="I1758" i="3" s="1"/>
  <c r="G1763" i="3"/>
  <c r="I1763" i="3" s="1"/>
  <c r="G1769" i="3"/>
  <c r="I1769" i="3" s="1"/>
  <c r="G1774" i="3"/>
  <c r="I1774" i="3" s="1"/>
  <c r="G1779" i="3"/>
  <c r="I1779" i="3" s="1"/>
  <c r="G1785" i="3"/>
  <c r="I1785" i="3" s="1"/>
  <c r="G1790" i="3"/>
  <c r="I1790" i="3" s="1"/>
  <c r="G1795" i="3"/>
  <c r="I1795" i="3" s="1"/>
  <c r="G1801" i="3"/>
  <c r="I1801" i="3" s="1"/>
  <c r="G1820" i="3"/>
  <c r="I1820" i="3" s="1"/>
  <c r="G1821" i="3"/>
  <c r="I1821" i="3" s="1"/>
  <c r="G1824" i="3"/>
  <c r="I1824" i="3" s="1"/>
  <c r="G1825" i="3"/>
  <c r="I1825" i="3" s="1"/>
  <c r="G1828" i="3"/>
  <c r="I1828" i="3" s="1"/>
  <c r="G1829" i="3"/>
  <c r="I1829" i="3" s="1"/>
  <c r="G1832" i="3"/>
  <c r="I1832" i="3" s="1"/>
  <c r="G1854" i="3"/>
  <c r="I1854" i="3" s="1"/>
  <c r="G1855" i="3"/>
  <c r="I1855" i="3" s="1"/>
  <c r="G1857" i="3"/>
  <c r="I1857" i="3" s="1"/>
  <c r="G1858" i="3"/>
  <c r="I1858" i="3" s="1"/>
  <c r="G1859" i="3"/>
  <c r="I1859" i="3" s="1"/>
  <c r="G1860" i="3"/>
  <c r="I1860" i="3" s="1"/>
  <c r="G1861" i="3"/>
  <c r="I1861" i="3" s="1"/>
  <c r="G1864" i="3"/>
  <c r="I1864" i="3" s="1"/>
  <c r="G1886" i="3"/>
  <c r="I1886" i="3" s="1"/>
  <c r="G1887" i="3"/>
  <c r="I1887" i="3" s="1"/>
  <c r="G1889" i="3"/>
  <c r="I1889" i="3" s="1"/>
  <c r="G1890" i="3"/>
  <c r="I1890" i="3" s="1"/>
  <c r="G1891" i="3"/>
  <c r="I1891" i="3" s="1"/>
  <c r="G1892" i="3"/>
  <c r="I1892" i="3" s="1"/>
  <c r="G1893" i="3"/>
  <c r="I1893" i="3" s="1"/>
  <c r="G1896" i="3"/>
  <c r="I1896" i="3" s="1"/>
  <c r="G1899" i="3"/>
  <c r="I1899" i="3" s="1"/>
  <c r="G1668" i="3"/>
  <c r="I1668" i="3" s="1"/>
  <c r="G1669" i="3"/>
  <c r="I1669" i="3" s="1"/>
  <c r="G1674" i="3"/>
  <c r="I1674" i="3" s="1"/>
  <c r="G1679" i="3"/>
  <c r="I1679" i="3" s="1"/>
  <c r="G1680" i="3"/>
  <c r="I1680" i="3" s="1"/>
  <c r="G1684" i="3"/>
  <c r="I1684" i="3" s="1"/>
  <c r="G1685" i="3"/>
  <c r="I1685" i="3" s="1"/>
  <c r="G1690" i="3"/>
  <c r="I1690" i="3" s="1"/>
  <c r="G1695" i="3"/>
  <c r="I1695" i="3" s="1"/>
  <c r="G1696" i="3"/>
  <c r="I1696" i="3" s="1"/>
  <c r="G1700" i="3"/>
  <c r="I1700" i="3" s="1"/>
  <c r="G1701" i="3"/>
  <c r="I1701" i="3" s="1"/>
  <c r="G1706" i="3"/>
  <c r="I1706" i="3" s="1"/>
  <c r="G1711" i="3"/>
  <c r="I1711" i="3" s="1"/>
  <c r="G1712" i="3"/>
  <c r="I1712" i="3" s="1"/>
  <c r="G1716" i="3"/>
  <c r="I1716" i="3" s="1"/>
  <c r="G1717" i="3"/>
  <c r="I1717" i="3" s="1"/>
  <c r="G1722" i="3"/>
  <c r="I1722" i="3" s="1"/>
  <c r="G1727" i="3"/>
  <c r="I1727" i="3" s="1"/>
  <c r="G1728" i="3"/>
  <c r="I1728" i="3" s="1"/>
  <c r="G1732" i="3"/>
  <c r="I1732" i="3" s="1"/>
  <c r="G1733" i="3"/>
  <c r="I1733" i="3" s="1"/>
  <c r="G1738" i="3"/>
  <c r="I1738" i="3" s="1"/>
  <c r="G1743" i="3"/>
  <c r="I1743" i="3" s="1"/>
  <c r="G1744" i="3"/>
  <c r="I1744" i="3" s="1"/>
  <c r="G1748" i="3"/>
  <c r="I1748" i="3" s="1"/>
  <c r="G1749" i="3"/>
  <c r="I1749" i="3" s="1"/>
  <c r="G1750" i="3"/>
  <c r="I1750" i="3" s="1"/>
  <c r="G1754" i="3"/>
  <c r="I1754" i="3" s="1"/>
  <c r="G1759" i="3"/>
  <c r="I1759" i="3" s="1"/>
  <c r="G1760" i="3"/>
  <c r="I1760" i="3" s="1"/>
  <c r="G1764" i="3"/>
  <c r="I1764" i="3" s="1"/>
  <c r="G1765" i="3"/>
  <c r="I1765" i="3" s="1"/>
  <c r="G1770" i="3"/>
  <c r="I1770" i="3" s="1"/>
  <c r="G1775" i="3"/>
  <c r="I1775" i="3" s="1"/>
  <c r="G1776" i="3"/>
  <c r="I1776" i="3" s="1"/>
  <c r="G1780" i="3"/>
  <c r="I1780" i="3" s="1"/>
  <c r="G1781" i="3"/>
  <c r="I1781" i="3" s="1"/>
  <c r="G1786" i="3"/>
  <c r="I1786" i="3" s="1"/>
  <c r="G1791" i="3"/>
  <c r="I1791" i="3" s="1"/>
  <c r="G1792" i="3"/>
  <c r="I1792" i="3" s="1"/>
  <c r="G1796" i="3"/>
  <c r="I1796" i="3" s="1"/>
  <c r="G1797" i="3"/>
  <c r="I1797" i="3" s="1"/>
  <c r="G1802" i="3"/>
  <c r="I1802" i="3" s="1"/>
  <c r="G1806" i="3"/>
  <c r="I1806" i="3" s="1"/>
  <c r="G1810" i="3"/>
  <c r="I1810" i="3" s="1"/>
  <c r="G1814" i="3"/>
  <c r="I1814" i="3" s="1"/>
  <c r="G1818" i="3"/>
  <c r="I1818" i="3" s="1"/>
  <c r="G1819" i="3"/>
  <c r="I1819" i="3" s="1"/>
  <c r="G1822" i="3"/>
  <c r="I1822" i="3" s="1"/>
  <c r="G1823" i="3"/>
  <c r="I1823" i="3" s="1"/>
  <c r="G1826" i="3"/>
  <c r="I1826" i="3" s="1"/>
  <c r="G1827" i="3"/>
  <c r="I1827" i="3" s="1"/>
  <c r="G1830" i="3"/>
  <c r="I1830" i="3" s="1"/>
  <c r="G1831" i="3"/>
  <c r="I1831" i="3" s="1"/>
  <c r="G1833" i="3"/>
  <c r="I1833" i="3" s="1"/>
  <c r="G1834" i="3"/>
  <c r="I1834" i="3" s="1"/>
  <c r="G1835" i="3"/>
  <c r="I1835" i="3" s="1"/>
  <c r="G1836" i="3"/>
  <c r="I1836" i="3" s="1"/>
  <c r="G1837" i="3"/>
  <c r="I1837" i="3" s="1"/>
  <c r="G1840" i="3"/>
  <c r="I1840" i="3" s="1"/>
  <c r="G1862" i="3"/>
  <c r="I1862" i="3" s="1"/>
  <c r="G1863" i="3"/>
  <c r="I1863" i="3" s="1"/>
  <c r="G1865" i="3"/>
  <c r="I1865" i="3" s="1"/>
  <c r="G1866" i="3"/>
  <c r="I1866" i="3" s="1"/>
  <c r="G1867" i="3"/>
  <c r="I1867" i="3" s="1"/>
  <c r="G1868" i="3"/>
  <c r="I1868" i="3" s="1"/>
  <c r="G1869" i="3"/>
  <c r="I1869" i="3" s="1"/>
  <c r="G1872" i="3"/>
  <c r="I1872" i="3" s="1"/>
  <c r="G1670" i="3"/>
  <c r="I1670" i="3" s="1"/>
  <c r="G1675" i="3"/>
  <c r="I1675" i="3" s="1"/>
  <c r="G1681" i="3"/>
  <c r="I1681" i="3" s="1"/>
  <c r="G1686" i="3"/>
  <c r="I1686" i="3" s="1"/>
  <c r="G1691" i="3"/>
  <c r="I1691" i="3" s="1"/>
  <c r="G1697" i="3"/>
  <c r="I1697" i="3" s="1"/>
  <c r="G1702" i="3"/>
  <c r="I1702" i="3" s="1"/>
  <c r="G1707" i="3"/>
  <c r="I1707" i="3" s="1"/>
  <c r="G1713" i="3"/>
  <c r="I1713" i="3" s="1"/>
  <c r="G1718" i="3"/>
  <c r="I1718" i="3" s="1"/>
  <c r="G1723" i="3"/>
  <c r="I1723" i="3" s="1"/>
  <c r="G1729" i="3"/>
  <c r="I1729" i="3" s="1"/>
  <c r="G1734" i="3"/>
  <c r="I1734" i="3" s="1"/>
  <c r="G1739" i="3"/>
  <c r="I1739" i="3" s="1"/>
  <c r="G1745" i="3"/>
  <c r="I1745" i="3" s="1"/>
  <c r="G1755" i="3"/>
  <c r="I1755" i="3" s="1"/>
  <c r="G1761" i="3"/>
  <c r="I1761" i="3" s="1"/>
  <c r="G1766" i="3"/>
  <c r="I1766" i="3" s="1"/>
  <c r="G1771" i="3"/>
  <c r="I1771" i="3" s="1"/>
  <c r="G1777" i="3"/>
  <c r="I1777" i="3" s="1"/>
  <c r="G1782" i="3"/>
  <c r="I1782" i="3" s="1"/>
  <c r="G1787" i="3"/>
  <c r="I1787" i="3" s="1"/>
  <c r="G1793" i="3"/>
  <c r="I1793" i="3" s="1"/>
  <c r="G1798" i="3"/>
  <c r="I1798" i="3" s="1"/>
  <c r="G1803" i="3"/>
  <c r="I1803" i="3" s="1"/>
  <c r="G1804" i="3"/>
  <c r="I1804" i="3" s="1"/>
  <c r="G1807" i="3"/>
  <c r="I1807" i="3" s="1"/>
  <c r="G1808" i="3"/>
  <c r="I1808" i="3" s="1"/>
  <c r="G1811" i="3"/>
  <c r="I1811" i="3" s="1"/>
  <c r="G1812" i="3"/>
  <c r="I1812" i="3" s="1"/>
  <c r="G1815" i="3"/>
  <c r="I1815" i="3" s="1"/>
  <c r="G1816" i="3"/>
  <c r="I1816" i="3" s="1"/>
  <c r="G1838" i="3"/>
  <c r="I1838" i="3" s="1"/>
  <c r="G1839" i="3"/>
  <c r="I1839" i="3" s="1"/>
  <c r="G1841" i="3"/>
  <c r="I1841" i="3" s="1"/>
  <c r="G1842" i="3"/>
  <c r="I1842" i="3" s="1"/>
  <c r="G1843" i="3"/>
  <c r="I1843" i="3" s="1"/>
  <c r="G1844" i="3"/>
  <c r="I1844" i="3" s="1"/>
  <c r="G1845" i="3"/>
  <c r="I1845" i="3" s="1"/>
  <c r="G1848" i="3"/>
  <c r="I1848" i="3" s="1"/>
  <c r="G1870" i="3"/>
  <c r="I1870" i="3" s="1"/>
  <c r="G1871" i="3"/>
  <c r="I1871" i="3" s="1"/>
  <c r="G1873" i="3"/>
  <c r="I1873" i="3" s="1"/>
  <c r="G1874" i="3"/>
  <c r="I1874" i="3" s="1"/>
  <c r="G1875" i="3"/>
  <c r="I1875" i="3" s="1"/>
  <c r="G1876" i="3"/>
  <c r="I1876" i="3" s="1"/>
  <c r="G1877" i="3"/>
  <c r="I1877" i="3" s="1"/>
  <c r="G1880" i="3"/>
  <c r="I1880" i="3" s="1"/>
  <c r="G1659" i="3"/>
  <c r="I1659" i="3" s="1"/>
  <c r="G1665" i="3"/>
  <c r="I1665" i="3" s="1"/>
  <c r="G1671" i="3"/>
  <c r="I1671" i="3" s="1"/>
  <c r="G1672" i="3"/>
  <c r="I1672" i="3" s="1"/>
  <c r="G1676" i="3"/>
  <c r="I1676" i="3" s="1"/>
  <c r="G1677" i="3"/>
  <c r="I1677" i="3" s="1"/>
  <c r="G1682" i="3"/>
  <c r="I1682" i="3" s="1"/>
  <c r="G1687" i="3"/>
  <c r="I1687" i="3" s="1"/>
  <c r="G1688" i="3"/>
  <c r="I1688" i="3" s="1"/>
  <c r="G1692" i="3"/>
  <c r="I1692" i="3" s="1"/>
  <c r="G1693" i="3"/>
  <c r="I1693" i="3" s="1"/>
  <c r="G1698" i="3"/>
  <c r="I1698" i="3" s="1"/>
  <c r="G1703" i="3"/>
  <c r="I1703" i="3" s="1"/>
  <c r="G1704" i="3"/>
  <c r="I1704" i="3" s="1"/>
  <c r="G1708" i="3"/>
  <c r="I1708" i="3" s="1"/>
  <c r="G1709" i="3"/>
  <c r="I1709" i="3" s="1"/>
  <c r="G1714" i="3"/>
  <c r="I1714" i="3" s="1"/>
  <c r="G1719" i="3"/>
  <c r="I1719" i="3" s="1"/>
  <c r="G1720" i="3"/>
  <c r="I1720" i="3" s="1"/>
  <c r="G1724" i="3"/>
  <c r="I1724" i="3" s="1"/>
  <c r="G1725" i="3"/>
  <c r="I1725" i="3" s="1"/>
  <c r="G1730" i="3"/>
  <c r="I1730" i="3" s="1"/>
  <c r="G1735" i="3"/>
  <c r="I1735" i="3" s="1"/>
  <c r="G1736" i="3"/>
  <c r="I1736" i="3" s="1"/>
  <c r="G1740" i="3"/>
  <c r="I1740" i="3" s="1"/>
  <c r="G1741" i="3"/>
  <c r="I1741" i="3" s="1"/>
  <c r="G1746" i="3"/>
  <c r="I1746" i="3" s="1"/>
  <c r="G1751" i="3"/>
  <c r="I1751" i="3" s="1"/>
  <c r="G1752" i="3"/>
  <c r="I1752" i="3" s="1"/>
  <c r="G1756" i="3"/>
  <c r="I1756" i="3" s="1"/>
  <c r="G1757" i="3"/>
  <c r="I1757" i="3" s="1"/>
  <c r="G1762" i="3"/>
  <c r="I1762" i="3" s="1"/>
  <c r="G1767" i="3"/>
  <c r="I1767" i="3" s="1"/>
  <c r="G1768" i="3"/>
  <c r="I1768" i="3" s="1"/>
  <c r="G1772" i="3"/>
  <c r="I1772" i="3" s="1"/>
  <c r="G1773" i="3"/>
  <c r="I1773" i="3" s="1"/>
  <c r="G1778" i="3"/>
  <c r="I1778" i="3" s="1"/>
  <c r="G1783" i="3"/>
  <c r="I1783" i="3" s="1"/>
  <c r="G1784" i="3"/>
  <c r="I1784" i="3" s="1"/>
  <c r="G1788" i="3"/>
  <c r="I1788" i="3" s="1"/>
  <c r="G1789" i="3"/>
  <c r="I1789" i="3" s="1"/>
  <c r="G1794" i="3"/>
  <c r="I1794" i="3" s="1"/>
  <c r="G1799" i="3"/>
  <c r="I1799" i="3" s="1"/>
  <c r="G1800" i="3"/>
  <c r="I1800" i="3" s="1"/>
  <c r="G1805" i="3"/>
  <c r="I1805" i="3" s="1"/>
  <c r="G1809" i="3"/>
  <c r="I1809" i="3" s="1"/>
  <c r="G1813" i="3"/>
  <c r="I1813" i="3" s="1"/>
  <c r="G1817" i="3"/>
  <c r="I1817" i="3" s="1"/>
  <c r="G1846" i="3"/>
  <c r="I1846" i="3" s="1"/>
  <c r="G1847" i="3"/>
  <c r="I1847" i="3" s="1"/>
  <c r="G1849" i="3"/>
  <c r="I1849" i="3" s="1"/>
  <c r="G1850" i="3"/>
  <c r="I1850" i="3" s="1"/>
  <c r="G1851" i="3"/>
  <c r="I1851" i="3" s="1"/>
  <c r="G1852" i="3"/>
  <c r="I1852" i="3" s="1"/>
  <c r="G1853" i="3"/>
  <c r="I1853" i="3" s="1"/>
  <c r="G1856" i="3"/>
  <c r="I1856" i="3" s="1"/>
  <c r="G1878" i="3"/>
  <c r="I1878" i="3" s="1"/>
  <c r="G1879" i="3"/>
  <c r="I1879" i="3" s="1"/>
  <c r="G1881" i="3"/>
  <c r="I1881" i="3" s="1"/>
  <c r="G1882" i="3"/>
  <c r="I1882" i="3" s="1"/>
  <c r="G1883" i="3"/>
  <c r="I1883" i="3" s="1"/>
  <c r="G1884" i="3"/>
  <c r="I1884" i="3" s="1"/>
  <c r="G1885" i="3"/>
  <c r="I1885" i="3" s="1"/>
  <c r="G1888" i="3"/>
  <c r="I1888" i="3" s="1"/>
  <c r="G1894" i="3"/>
  <c r="I1894" i="3" s="1"/>
  <c r="G1898" i="3"/>
  <c r="I1898" i="3" s="1"/>
  <c r="G1900" i="3"/>
  <c r="I1900" i="3" s="1"/>
  <c r="G1901" i="3"/>
  <c r="I1901" i="3" s="1"/>
  <c r="G1904" i="3"/>
  <c r="I1904" i="3" s="1"/>
  <c r="G1905" i="3"/>
  <c r="I1905" i="3" s="1"/>
  <c r="G1908" i="3"/>
  <c r="I1908" i="3" s="1"/>
  <c r="G1909" i="3"/>
  <c r="I1909" i="3" s="1"/>
  <c r="G1914" i="3"/>
  <c r="I1914" i="3" s="1"/>
  <c r="G1922" i="3"/>
  <c r="I1922" i="3" s="1"/>
  <c r="G1925" i="3"/>
  <c r="I1925" i="3" s="1"/>
  <c r="G1926" i="3"/>
  <c r="I1926" i="3" s="1"/>
  <c r="G1929" i="3"/>
  <c r="I1929" i="3" s="1"/>
  <c r="G1930" i="3"/>
  <c r="I1930" i="3" s="1"/>
  <c r="G1933" i="3"/>
  <c r="I1933" i="3" s="1"/>
  <c r="G1934" i="3"/>
  <c r="I1934" i="3" s="1"/>
  <c r="G1937" i="3"/>
  <c r="I1937" i="3" s="1"/>
  <c r="G1938" i="3"/>
  <c r="I1938" i="3" s="1"/>
  <c r="G1941" i="3"/>
  <c r="I1941" i="3" s="1"/>
  <c r="G1942" i="3"/>
  <c r="I1942" i="3" s="1"/>
  <c r="G1945" i="3"/>
  <c r="I1945" i="3" s="1"/>
  <c r="G1946" i="3"/>
  <c r="I1946" i="3" s="1"/>
  <c r="G1949" i="3"/>
  <c r="I1949" i="3" s="1"/>
  <c r="G1950" i="3"/>
  <c r="I1950" i="3" s="1"/>
  <c r="G1953" i="3"/>
  <c r="I1953" i="3" s="1"/>
  <c r="G1954" i="3"/>
  <c r="I1954" i="3" s="1"/>
  <c r="G1957" i="3"/>
  <c r="I1957" i="3" s="1"/>
  <c r="G1958" i="3"/>
  <c r="I1958" i="3" s="1"/>
  <c r="G1961" i="3"/>
  <c r="I1961" i="3" s="1"/>
  <c r="G1962" i="3"/>
  <c r="I1962" i="3" s="1"/>
  <c r="G1965" i="3"/>
  <c r="I1965" i="3" s="1"/>
  <c r="G1966" i="3"/>
  <c r="I1966" i="3" s="1"/>
  <c r="G1969" i="3"/>
  <c r="I1969" i="3" s="1"/>
  <c r="G1970" i="3"/>
  <c r="I1970" i="3" s="1"/>
  <c r="G1973" i="3"/>
  <c r="I1973" i="3" s="1"/>
  <c r="G1974" i="3"/>
  <c r="I1974" i="3" s="1"/>
  <c r="G1977" i="3"/>
  <c r="I1977" i="3" s="1"/>
  <c r="G1978" i="3"/>
  <c r="I1978" i="3" s="1"/>
  <c r="G1981" i="3"/>
  <c r="I1981" i="3" s="1"/>
  <c r="G1982" i="3"/>
  <c r="I1982" i="3" s="1"/>
  <c r="G1985" i="3"/>
  <c r="I1985" i="3" s="1"/>
  <c r="G1986" i="3"/>
  <c r="I1986" i="3" s="1"/>
  <c r="G1989" i="3"/>
  <c r="I1989" i="3" s="1"/>
  <c r="G1990" i="3"/>
  <c r="I1990" i="3" s="1"/>
  <c r="G1993" i="3"/>
  <c r="I1993" i="3" s="1"/>
  <c r="G1994" i="3"/>
  <c r="I1994" i="3" s="1"/>
  <c r="G1997" i="3"/>
  <c r="I1997" i="3" s="1"/>
  <c r="G1998" i="3"/>
  <c r="I1998" i="3" s="1"/>
  <c r="G2001" i="3"/>
  <c r="I2001" i="3" s="1"/>
  <c r="G2002" i="3"/>
  <c r="I2002" i="3" s="1"/>
  <c r="G2005" i="3"/>
  <c r="I2005" i="3" s="1"/>
  <c r="G2006" i="3"/>
  <c r="I2006" i="3" s="1"/>
  <c r="G2009" i="3"/>
  <c r="I2009" i="3" s="1"/>
  <c r="G2010" i="3"/>
  <c r="I2010" i="3" s="1"/>
  <c r="G2013" i="3"/>
  <c r="I2013" i="3" s="1"/>
  <c r="G1903" i="3"/>
  <c r="I1903" i="3" s="1"/>
  <c r="G1907" i="3"/>
  <c r="I1907" i="3" s="1"/>
  <c r="G1911" i="3"/>
  <c r="I1911" i="3" s="1"/>
  <c r="G1912" i="3"/>
  <c r="I1912" i="3" s="1"/>
  <c r="G1913" i="3"/>
  <c r="I1913" i="3" s="1"/>
  <c r="G1919" i="3"/>
  <c r="I1919" i="3" s="1"/>
  <c r="G1920" i="3"/>
  <c r="I1920" i="3" s="1"/>
  <c r="G1921" i="3"/>
  <c r="I1921" i="3" s="1"/>
  <c r="G1983" i="3"/>
  <c r="I1983" i="3" s="1"/>
  <c r="G1987" i="3"/>
  <c r="I1987" i="3" s="1"/>
  <c r="G1995" i="3"/>
  <c r="I1995" i="3" s="1"/>
  <c r="G2004" i="3"/>
  <c r="I2004" i="3" s="1"/>
  <c r="G2007" i="3"/>
  <c r="I2007" i="3" s="1"/>
  <c r="G2016" i="3"/>
  <c r="I2016" i="3" s="1"/>
  <c r="G2014" i="3"/>
  <c r="I2014" i="3" s="1"/>
  <c r="G2018" i="3"/>
  <c r="I2018" i="3" s="1"/>
  <c r="G1895" i="3"/>
  <c r="I1895" i="3" s="1"/>
  <c r="G1897" i="3"/>
  <c r="I1897" i="3" s="1"/>
  <c r="G1918" i="3"/>
  <c r="I1918" i="3" s="1"/>
  <c r="G1991" i="3"/>
  <c r="I1991" i="3" s="1"/>
  <c r="G2000" i="3"/>
  <c r="I2000" i="3" s="1"/>
  <c r="G2003" i="3"/>
  <c r="I2003" i="3" s="1"/>
  <c r="G2008" i="3"/>
  <c r="I2008" i="3" s="1"/>
  <c r="G2011" i="3"/>
  <c r="I2011" i="3" s="1"/>
  <c r="G1902" i="3"/>
  <c r="I1902" i="3" s="1"/>
  <c r="G1906" i="3"/>
  <c r="I1906" i="3" s="1"/>
  <c r="G1910" i="3"/>
  <c r="I1910" i="3" s="1"/>
  <c r="G1915" i="3"/>
  <c r="I1915" i="3" s="1"/>
  <c r="G1916" i="3"/>
  <c r="I1916" i="3" s="1"/>
  <c r="G1917" i="3"/>
  <c r="I1917" i="3" s="1"/>
  <c r="G1923" i="3"/>
  <c r="I1923" i="3" s="1"/>
  <c r="G1924" i="3"/>
  <c r="I1924" i="3" s="1"/>
  <c r="G1927" i="3"/>
  <c r="I1927" i="3" s="1"/>
  <c r="G1928" i="3"/>
  <c r="I1928" i="3" s="1"/>
  <c r="G1931" i="3"/>
  <c r="I1931" i="3" s="1"/>
  <c r="G1932" i="3"/>
  <c r="I1932" i="3" s="1"/>
  <c r="G1935" i="3"/>
  <c r="I1935" i="3" s="1"/>
  <c r="G1936" i="3"/>
  <c r="I1936" i="3" s="1"/>
  <c r="G1939" i="3"/>
  <c r="I1939" i="3" s="1"/>
  <c r="G1940" i="3"/>
  <c r="I1940" i="3" s="1"/>
  <c r="G1943" i="3"/>
  <c r="I1943" i="3" s="1"/>
  <c r="G1944" i="3"/>
  <c r="I1944" i="3" s="1"/>
  <c r="G1947" i="3"/>
  <c r="I1947" i="3" s="1"/>
  <c r="G1948" i="3"/>
  <c r="I1948" i="3" s="1"/>
  <c r="G1951" i="3"/>
  <c r="I1951" i="3" s="1"/>
  <c r="G1952" i="3"/>
  <c r="I1952" i="3" s="1"/>
  <c r="G1955" i="3"/>
  <c r="I1955" i="3" s="1"/>
  <c r="G1956" i="3"/>
  <c r="I1956" i="3" s="1"/>
  <c r="G1959" i="3"/>
  <c r="I1959" i="3" s="1"/>
  <c r="G1960" i="3"/>
  <c r="I1960" i="3" s="1"/>
  <c r="G1963" i="3"/>
  <c r="I1963" i="3" s="1"/>
  <c r="G1964" i="3"/>
  <c r="I1964" i="3" s="1"/>
  <c r="G1967" i="3"/>
  <c r="I1967" i="3" s="1"/>
  <c r="G1968" i="3"/>
  <c r="I1968" i="3" s="1"/>
  <c r="G1971" i="3"/>
  <c r="I1971" i="3" s="1"/>
  <c r="G1972" i="3"/>
  <c r="I1972" i="3" s="1"/>
  <c r="G1975" i="3"/>
  <c r="I1975" i="3" s="1"/>
  <c r="G1976" i="3"/>
  <c r="I1976" i="3" s="1"/>
  <c r="G1979" i="3"/>
  <c r="I1979" i="3" s="1"/>
  <c r="G1980" i="3"/>
  <c r="I1980" i="3" s="1"/>
  <c r="G1984" i="3"/>
  <c r="I1984" i="3" s="1"/>
  <c r="G1988" i="3"/>
  <c r="I1988" i="3" s="1"/>
  <c r="G1992" i="3"/>
  <c r="I1992" i="3" s="1"/>
  <c r="G1996" i="3"/>
  <c r="I1996" i="3" s="1"/>
  <c r="G1999" i="3"/>
  <c r="I1999" i="3" s="1"/>
  <c r="G2012" i="3"/>
  <c r="I2012" i="3" s="1"/>
  <c r="G2015" i="3"/>
  <c r="I2015" i="3" s="1"/>
  <c r="G2017" i="3"/>
  <c r="I2017" i="3" s="1"/>
  <c r="F18" i="3"/>
  <c r="H19" i="3"/>
  <c r="G20" i="3"/>
  <c r="I20" i="3" s="1"/>
  <c r="G24" i="3"/>
  <c r="I24" i="3" s="1"/>
  <c r="G28" i="3"/>
  <c r="I28" i="3" s="1"/>
  <c r="G32" i="3"/>
  <c r="I32" i="3" s="1"/>
  <c r="G36" i="3"/>
  <c r="I36" i="3" s="1"/>
  <c r="G40" i="3"/>
  <c r="I40" i="3" s="1"/>
  <c r="G44" i="3"/>
  <c r="I44" i="3" s="1"/>
  <c r="G48" i="3"/>
  <c r="I48" i="3" s="1"/>
  <c r="G52" i="3"/>
  <c r="I52" i="3" s="1"/>
  <c r="G56" i="3"/>
  <c r="I56" i="3" s="1"/>
  <c r="G60" i="3"/>
  <c r="I60" i="3" s="1"/>
  <c r="G64" i="3"/>
  <c r="I64" i="3" s="1"/>
  <c r="G68" i="3"/>
  <c r="I68" i="3" s="1"/>
  <c r="G72" i="3"/>
  <c r="I72" i="3" s="1"/>
  <c r="G76" i="3"/>
  <c r="I76" i="3" s="1"/>
  <c r="G80" i="3"/>
  <c r="I80" i="3" s="1"/>
  <c r="G84" i="3"/>
  <c r="I84" i="3" s="1"/>
  <c r="G88" i="3"/>
  <c r="I88" i="3" s="1"/>
  <c r="G92" i="3"/>
  <c r="I92" i="3" s="1"/>
  <c r="G96" i="3"/>
  <c r="I96" i="3" s="1"/>
  <c r="G100" i="3"/>
  <c r="I100" i="3" s="1"/>
  <c r="G104" i="3"/>
  <c r="I104" i="3" s="1"/>
  <c r="G108" i="3"/>
  <c r="I108" i="3" s="1"/>
  <c r="G112" i="3"/>
  <c r="I112" i="3" s="1"/>
  <c r="G116" i="3"/>
  <c r="I116" i="3" s="1"/>
  <c r="G120" i="3"/>
  <c r="I120" i="3" s="1"/>
  <c r="G124" i="3"/>
  <c r="I124" i="3" s="1"/>
  <c r="G128" i="3"/>
  <c r="I128" i="3" s="1"/>
  <c r="G132" i="3"/>
  <c r="I132" i="3" s="1"/>
  <c r="G136" i="3"/>
  <c r="I136" i="3" s="1"/>
  <c r="G140" i="3"/>
  <c r="I140" i="3" s="1"/>
  <c r="G144" i="3"/>
  <c r="I144" i="3" s="1"/>
  <c r="G148" i="3"/>
  <c r="I148" i="3" s="1"/>
  <c r="G152" i="3"/>
  <c r="I152" i="3" s="1"/>
  <c r="G156" i="3"/>
  <c r="I156" i="3" s="1"/>
  <c r="G160" i="3"/>
  <c r="I160" i="3" s="1"/>
  <c r="G164" i="3"/>
  <c r="I164" i="3" s="1"/>
  <c r="G168" i="3"/>
  <c r="I168" i="3" s="1"/>
  <c r="G172" i="3"/>
  <c r="I172" i="3" s="1"/>
  <c r="G176" i="3"/>
  <c r="I176" i="3" s="1"/>
  <c r="G180" i="3"/>
  <c r="I180" i="3" s="1"/>
  <c r="G184" i="3"/>
  <c r="I184" i="3" s="1"/>
  <c r="G188" i="3"/>
  <c r="I188" i="3" s="1"/>
  <c r="G192" i="3"/>
  <c r="I192" i="3" s="1"/>
  <c r="G196" i="3"/>
  <c r="I196" i="3" s="1"/>
  <c r="G200" i="3"/>
  <c r="I200" i="3" s="1"/>
  <c r="G204" i="3"/>
  <c r="I204" i="3" s="1"/>
  <c r="G208" i="3"/>
  <c r="I208" i="3" s="1"/>
  <c r="G212" i="3"/>
  <c r="I212" i="3" s="1"/>
  <c r="G216" i="3"/>
  <c r="I216" i="3" s="1"/>
  <c r="G220" i="3"/>
  <c r="I220" i="3" s="1"/>
  <c r="G224" i="3"/>
  <c r="I224" i="3" s="1"/>
  <c r="G228" i="3"/>
  <c r="I228" i="3" s="1"/>
  <c r="G232" i="3"/>
  <c r="I232" i="3" s="1"/>
  <c r="G236" i="3"/>
  <c r="I236" i="3" s="1"/>
  <c r="G240" i="3"/>
  <c r="I240" i="3" s="1"/>
  <c r="G244" i="3"/>
  <c r="I244" i="3" s="1"/>
  <c r="G248" i="3"/>
  <c r="I248" i="3" s="1"/>
  <c r="G252" i="3"/>
  <c r="I252" i="3" s="1"/>
  <c r="G256" i="3"/>
  <c r="I256" i="3" s="1"/>
  <c r="G260" i="3"/>
  <c r="I260" i="3" s="1"/>
  <c r="G264" i="3"/>
  <c r="I264" i="3" s="1"/>
  <c r="G268" i="3"/>
  <c r="I268" i="3" s="1"/>
  <c r="G272" i="3"/>
  <c r="I272" i="3" s="1"/>
  <c r="G276" i="3"/>
  <c r="I276" i="3" s="1"/>
  <c r="G280" i="3"/>
  <c r="I280" i="3" s="1"/>
  <c r="G284" i="3"/>
  <c r="I284" i="3" s="1"/>
  <c r="G288" i="3"/>
  <c r="I288" i="3" s="1"/>
  <c r="G292" i="3"/>
  <c r="I292" i="3" s="1"/>
  <c r="G296" i="3"/>
  <c r="I296" i="3" s="1"/>
  <c r="G300" i="3"/>
  <c r="I300" i="3" s="1"/>
  <c r="G304" i="3"/>
  <c r="I304" i="3" s="1"/>
  <c r="G308" i="3"/>
  <c r="I308" i="3" s="1"/>
  <c r="G312" i="3"/>
  <c r="I312" i="3" s="1"/>
  <c r="G316" i="3"/>
  <c r="I316" i="3" s="1"/>
  <c r="G320" i="3"/>
  <c r="I320" i="3" s="1"/>
  <c r="G324" i="3"/>
  <c r="I324" i="3" s="1"/>
  <c r="G328" i="3"/>
  <c r="I328" i="3" s="1"/>
  <c r="G332" i="3"/>
  <c r="I332" i="3" s="1"/>
  <c r="G21" i="3"/>
  <c r="I21" i="3" s="1"/>
  <c r="G25" i="3"/>
  <c r="I25" i="3" s="1"/>
  <c r="G29" i="3"/>
  <c r="I29" i="3" s="1"/>
  <c r="G33" i="3"/>
  <c r="I33" i="3" s="1"/>
  <c r="G37" i="3"/>
  <c r="I37" i="3" s="1"/>
  <c r="G41" i="3"/>
  <c r="I41" i="3" s="1"/>
  <c r="G45" i="3"/>
  <c r="I45" i="3" s="1"/>
  <c r="G49" i="3"/>
  <c r="I49" i="3" s="1"/>
  <c r="G53" i="3"/>
  <c r="I53" i="3" s="1"/>
  <c r="G57" i="3"/>
  <c r="I57" i="3" s="1"/>
  <c r="G61" i="3"/>
  <c r="I61" i="3" s="1"/>
  <c r="G65" i="3"/>
  <c r="I65" i="3" s="1"/>
  <c r="G69" i="3"/>
  <c r="I69" i="3" s="1"/>
  <c r="G73" i="3"/>
  <c r="I73" i="3" s="1"/>
  <c r="G77" i="3"/>
  <c r="I77" i="3" s="1"/>
  <c r="G81" i="3"/>
  <c r="I81" i="3" s="1"/>
  <c r="G85" i="3"/>
  <c r="I85" i="3" s="1"/>
  <c r="G89" i="3"/>
  <c r="I89" i="3" s="1"/>
  <c r="G93" i="3"/>
  <c r="I93" i="3" s="1"/>
  <c r="G97" i="3"/>
  <c r="I97" i="3" s="1"/>
  <c r="G101" i="3"/>
  <c r="I101" i="3" s="1"/>
  <c r="G105" i="3"/>
  <c r="I105" i="3" s="1"/>
  <c r="G109" i="3"/>
  <c r="I109" i="3" s="1"/>
  <c r="G113" i="3"/>
  <c r="I113" i="3" s="1"/>
  <c r="G117" i="3"/>
  <c r="I117" i="3" s="1"/>
  <c r="G121" i="3"/>
  <c r="I121" i="3" s="1"/>
  <c r="G125" i="3"/>
  <c r="I125" i="3" s="1"/>
  <c r="G129" i="3"/>
  <c r="I129" i="3" s="1"/>
  <c r="G133" i="3"/>
  <c r="I133" i="3" s="1"/>
  <c r="G137" i="3"/>
  <c r="I137" i="3" s="1"/>
  <c r="G141" i="3"/>
  <c r="I141" i="3" s="1"/>
  <c r="G145" i="3"/>
  <c r="I145" i="3" s="1"/>
  <c r="G149" i="3"/>
  <c r="I149" i="3" s="1"/>
  <c r="G153" i="3"/>
  <c r="I153" i="3" s="1"/>
  <c r="G157" i="3"/>
  <c r="I157" i="3" s="1"/>
  <c r="G161" i="3"/>
  <c r="I161" i="3" s="1"/>
  <c r="G165" i="3"/>
  <c r="I165" i="3" s="1"/>
  <c r="G169" i="3"/>
  <c r="I169" i="3" s="1"/>
  <c r="G173" i="3"/>
  <c r="I173" i="3" s="1"/>
  <c r="G177" i="3"/>
  <c r="I177" i="3" s="1"/>
  <c r="G181" i="3"/>
  <c r="I181" i="3" s="1"/>
  <c r="G185" i="3"/>
  <c r="I185" i="3" s="1"/>
  <c r="G189" i="3"/>
  <c r="I189" i="3" s="1"/>
  <c r="G193" i="3"/>
  <c r="I193" i="3" s="1"/>
  <c r="G197" i="3"/>
  <c r="I197" i="3" s="1"/>
  <c r="G201" i="3"/>
  <c r="I201" i="3" s="1"/>
  <c r="G205" i="3"/>
  <c r="I205" i="3" s="1"/>
  <c r="G209" i="3"/>
  <c r="I209" i="3" s="1"/>
  <c r="G213" i="3"/>
  <c r="I213" i="3" s="1"/>
  <c r="G217" i="3"/>
  <c r="I217" i="3" s="1"/>
  <c r="G221" i="3"/>
  <c r="I221" i="3" s="1"/>
  <c r="G225" i="3"/>
  <c r="I225" i="3" s="1"/>
  <c r="G229" i="3"/>
  <c r="I229" i="3" s="1"/>
  <c r="G233" i="3"/>
  <c r="I233" i="3" s="1"/>
  <c r="G237" i="3"/>
  <c r="I237" i="3" s="1"/>
  <c r="G241" i="3"/>
  <c r="I241" i="3" s="1"/>
  <c r="G245" i="3"/>
  <c r="I245" i="3" s="1"/>
  <c r="G249" i="3"/>
  <c r="I249" i="3" s="1"/>
  <c r="G253" i="3"/>
  <c r="I253" i="3" s="1"/>
  <c r="G257" i="3"/>
  <c r="I257" i="3" s="1"/>
  <c r="G261" i="3"/>
  <c r="I261" i="3" s="1"/>
  <c r="G265" i="3"/>
  <c r="I265" i="3" s="1"/>
  <c r="G269" i="3"/>
  <c r="I269" i="3" s="1"/>
  <c r="G273" i="3"/>
  <c r="I273" i="3" s="1"/>
  <c r="G277" i="3"/>
  <c r="I277" i="3" s="1"/>
  <c r="G281" i="3"/>
  <c r="I281" i="3" s="1"/>
  <c r="G285" i="3"/>
  <c r="I285" i="3" s="1"/>
  <c r="G289" i="3"/>
  <c r="I289" i="3" s="1"/>
  <c r="G293" i="3"/>
  <c r="I293" i="3" s="1"/>
  <c r="G297" i="3"/>
  <c r="I297" i="3" s="1"/>
  <c r="G301" i="3"/>
  <c r="I301" i="3" s="1"/>
  <c r="G305" i="3"/>
  <c r="I305" i="3" s="1"/>
  <c r="G309" i="3"/>
  <c r="I309" i="3" s="1"/>
  <c r="G313" i="3"/>
  <c r="I313" i="3" s="1"/>
  <c r="G317" i="3"/>
  <c r="I317" i="3" s="1"/>
  <c r="G321" i="3"/>
  <c r="I321" i="3" s="1"/>
  <c r="G325" i="3"/>
  <c r="I325" i="3" s="1"/>
  <c r="G329" i="3"/>
  <c r="I329" i="3" s="1"/>
  <c r="G333" i="3"/>
  <c r="I333" i="3" s="1"/>
  <c r="G22" i="3"/>
  <c r="I22" i="3" s="1"/>
  <c r="G30" i="3"/>
  <c r="I30" i="3" s="1"/>
  <c r="G38" i="3"/>
  <c r="I38" i="3" s="1"/>
  <c r="G46" i="3"/>
  <c r="I46" i="3" s="1"/>
  <c r="G54" i="3"/>
  <c r="I54" i="3" s="1"/>
  <c r="G62" i="3"/>
  <c r="I62" i="3" s="1"/>
  <c r="G70" i="3"/>
  <c r="I70" i="3" s="1"/>
  <c r="G78" i="3"/>
  <c r="I78" i="3" s="1"/>
  <c r="G86" i="3"/>
  <c r="I86" i="3" s="1"/>
  <c r="G94" i="3"/>
  <c r="I94" i="3" s="1"/>
  <c r="G102" i="3"/>
  <c r="I102" i="3" s="1"/>
  <c r="G110" i="3"/>
  <c r="I110" i="3" s="1"/>
  <c r="G118" i="3"/>
  <c r="I118" i="3" s="1"/>
  <c r="G126" i="3"/>
  <c r="I126" i="3" s="1"/>
  <c r="G134" i="3"/>
  <c r="I134" i="3" s="1"/>
  <c r="G142" i="3"/>
  <c r="I142" i="3" s="1"/>
  <c r="G150" i="3"/>
  <c r="I150" i="3" s="1"/>
  <c r="G158" i="3"/>
  <c r="I158" i="3" s="1"/>
  <c r="G166" i="3"/>
  <c r="I166" i="3" s="1"/>
  <c r="G174" i="3"/>
  <c r="I174" i="3" s="1"/>
  <c r="G182" i="3"/>
  <c r="I182" i="3" s="1"/>
  <c r="G190" i="3"/>
  <c r="I190" i="3" s="1"/>
  <c r="G198" i="3"/>
  <c r="I198" i="3" s="1"/>
  <c r="G206" i="3"/>
  <c r="I206" i="3" s="1"/>
  <c r="G214" i="3"/>
  <c r="I214" i="3" s="1"/>
  <c r="G222" i="3"/>
  <c r="I222" i="3" s="1"/>
  <c r="G230" i="3"/>
  <c r="I230" i="3" s="1"/>
  <c r="G238" i="3"/>
  <c r="I238" i="3" s="1"/>
  <c r="G246" i="3"/>
  <c r="I246" i="3" s="1"/>
  <c r="G254" i="3"/>
  <c r="I254" i="3" s="1"/>
  <c r="G262" i="3"/>
  <c r="I262" i="3" s="1"/>
  <c r="G270" i="3"/>
  <c r="I270" i="3" s="1"/>
  <c r="G278" i="3"/>
  <c r="I278" i="3" s="1"/>
  <c r="G286" i="3"/>
  <c r="I286" i="3" s="1"/>
  <c r="G294" i="3"/>
  <c r="I294" i="3" s="1"/>
  <c r="G302" i="3"/>
  <c r="I302" i="3" s="1"/>
  <c r="G310" i="3"/>
  <c r="I310" i="3" s="1"/>
  <c r="G318" i="3"/>
  <c r="I318" i="3" s="1"/>
  <c r="G326" i="3"/>
  <c r="I326" i="3" s="1"/>
  <c r="G334" i="3"/>
  <c r="I334" i="3" s="1"/>
  <c r="G338" i="3"/>
  <c r="I338" i="3" s="1"/>
  <c r="G342" i="3"/>
  <c r="I342" i="3" s="1"/>
  <c r="G346" i="3"/>
  <c r="I346" i="3" s="1"/>
  <c r="G350" i="3"/>
  <c r="I350" i="3" s="1"/>
  <c r="G354" i="3"/>
  <c r="I354" i="3" s="1"/>
  <c r="G358" i="3"/>
  <c r="I358" i="3" s="1"/>
  <c r="G362" i="3"/>
  <c r="I362" i="3" s="1"/>
  <c r="G366" i="3"/>
  <c r="I366" i="3" s="1"/>
  <c r="G370" i="3"/>
  <c r="I370" i="3" s="1"/>
  <c r="G374" i="3"/>
  <c r="I374" i="3" s="1"/>
  <c r="G378" i="3"/>
  <c r="I378" i="3" s="1"/>
  <c r="G382" i="3"/>
  <c r="I382" i="3" s="1"/>
  <c r="G386" i="3"/>
  <c r="I386" i="3" s="1"/>
  <c r="G390" i="3"/>
  <c r="I390" i="3" s="1"/>
  <c r="G394" i="3"/>
  <c r="I394" i="3" s="1"/>
  <c r="G398" i="3"/>
  <c r="I398" i="3" s="1"/>
  <c r="G402" i="3"/>
  <c r="I402" i="3" s="1"/>
  <c r="G406" i="3"/>
  <c r="I406" i="3" s="1"/>
  <c r="G410" i="3"/>
  <c r="I410" i="3" s="1"/>
  <c r="G414" i="3"/>
  <c r="I414" i="3" s="1"/>
  <c r="G418" i="3"/>
  <c r="I418" i="3" s="1"/>
  <c r="G422" i="3"/>
  <c r="I422" i="3" s="1"/>
  <c r="G426" i="3"/>
  <c r="I426" i="3" s="1"/>
  <c r="G430" i="3"/>
  <c r="I430" i="3" s="1"/>
  <c r="G434" i="3"/>
  <c r="I434" i="3" s="1"/>
  <c r="G438" i="3"/>
  <c r="I438" i="3" s="1"/>
  <c r="G442" i="3"/>
  <c r="I442" i="3" s="1"/>
  <c r="G446" i="3"/>
  <c r="I446" i="3" s="1"/>
  <c r="G450" i="3"/>
  <c r="I450" i="3" s="1"/>
  <c r="G454" i="3"/>
  <c r="I454" i="3" s="1"/>
  <c r="G458" i="3"/>
  <c r="I458" i="3" s="1"/>
  <c r="G462" i="3"/>
  <c r="I462" i="3" s="1"/>
  <c r="G466" i="3"/>
  <c r="I466" i="3" s="1"/>
  <c r="G470" i="3"/>
  <c r="I470" i="3" s="1"/>
  <c r="G474" i="3"/>
  <c r="I474" i="3" s="1"/>
  <c r="G478" i="3"/>
  <c r="I478" i="3" s="1"/>
  <c r="G482" i="3"/>
  <c r="I482" i="3" s="1"/>
  <c r="G486" i="3"/>
  <c r="I486" i="3" s="1"/>
  <c r="G490" i="3"/>
  <c r="I490" i="3" s="1"/>
  <c r="G494" i="3"/>
  <c r="I494" i="3" s="1"/>
  <c r="G498" i="3"/>
  <c r="I498" i="3" s="1"/>
  <c r="G502" i="3"/>
  <c r="I502" i="3" s="1"/>
  <c r="G506" i="3"/>
  <c r="I506" i="3" s="1"/>
  <c r="G510" i="3"/>
  <c r="I510" i="3" s="1"/>
  <c r="G514" i="3"/>
  <c r="I514" i="3" s="1"/>
  <c r="G518" i="3"/>
  <c r="I518" i="3" s="1"/>
  <c r="G522" i="3"/>
  <c r="I522" i="3" s="1"/>
  <c r="G526" i="3"/>
  <c r="I526" i="3" s="1"/>
  <c r="G530" i="3"/>
  <c r="I530" i="3" s="1"/>
  <c r="G534" i="3"/>
  <c r="I534" i="3" s="1"/>
  <c r="G538" i="3"/>
  <c r="I538" i="3" s="1"/>
  <c r="G542" i="3"/>
  <c r="I542" i="3" s="1"/>
  <c r="G546" i="3"/>
  <c r="I546" i="3" s="1"/>
  <c r="G550" i="3"/>
  <c r="I550" i="3" s="1"/>
  <c r="G554" i="3"/>
  <c r="I554" i="3" s="1"/>
  <c r="G558" i="3"/>
  <c r="I558" i="3" s="1"/>
  <c r="G562" i="3"/>
  <c r="I562" i="3" s="1"/>
  <c r="G566" i="3"/>
  <c r="I566" i="3" s="1"/>
  <c r="G570" i="3"/>
  <c r="I570" i="3" s="1"/>
  <c r="G574" i="3"/>
  <c r="I574" i="3" s="1"/>
  <c r="G578" i="3"/>
  <c r="I578" i="3" s="1"/>
  <c r="G582" i="3"/>
  <c r="I582" i="3" s="1"/>
  <c r="G586" i="3"/>
  <c r="I586" i="3" s="1"/>
  <c r="G590" i="3"/>
  <c r="I590" i="3" s="1"/>
  <c r="G594" i="3"/>
  <c r="I594" i="3" s="1"/>
  <c r="G598" i="3"/>
  <c r="I598" i="3" s="1"/>
  <c r="G602" i="3"/>
  <c r="I602" i="3" s="1"/>
  <c r="G606" i="3"/>
  <c r="I606" i="3" s="1"/>
  <c r="G610" i="3"/>
  <c r="I610" i="3" s="1"/>
  <c r="G614" i="3"/>
  <c r="I614" i="3" s="1"/>
  <c r="G618" i="3"/>
  <c r="I618" i="3" s="1"/>
  <c r="G622" i="3"/>
  <c r="I622" i="3" s="1"/>
  <c r="G626" i="3"/>
  <c r="I626" i="3" s="1"/>
  <c r="G630" i="3"/>
  <c r="I630" i="3" s="1"/>
  <c r="G634" i="3"/>
  <c r="I634" i="3" s="1"/>
  <c r="G638" i="3"/>
  <c r="I638" i="3" s="1"/>
  <c r="G642" i="3"/>
  <c r="I642" i="3" s="1"/>
  <c r="G646" i="3"/>
  <c r="I646" i="3" s="1"/>
  <c r="G650" i="3"/>
  <c r="I650" i="3" s="1"/>
  <c r="G654" i="3"/>
  <c r="I654" i="3" s="1"/>
  <c r="G658" i="3"/>
  <c r="I658" i="3" s="1"/>
  <c r="G662" i="3"/>
  <c r="I662" i="3" s="1"/>
  <c r="G666" i="3"/>
  <c r="I666" i="3" s="1"/>
  <c r="G670" i="3"/>
  <c r="I670" i="3" s="1"/>
  <c r="G674" i="3"/>
  <c r="I674" i="3" s="1"/>
  <c r="G678" i="3"/>
  <c r="I678" i="3" s="1"/>
  <c r="G682" i="3"/>
  <c r="I682" i="3" s="1"/>
  <c r="G686" i="3"/>
  <c r="I686" i="3" s="1"/>
  <c r="G690" i="3"/>
  <c r="I690" i="3" s="1"/>
  <c r="G694" i="3"/>
  <c r="I694" i="3" s="1"/>
  <c r="G698" i="3"/>
  <c r="I698" i="3" s="1"/>
  <c r="G702" i="3"/>
  <c r="I702" i="3" s="1"/>
  <c r="G706" i="3"/>
  <c r="I706" i="3" s="1"/>
  <c r="G710" i="3"/>
  <c r="I710" i="3" s="1"/>
  <c r="G714" i="3"/>
  <c r="I714" i="3" s="1"/>
  <c r="G718" i="3"/>
  <c r="I718" i="3" s="1"/>
  <c r="G722" i="3"/>
  <c r="I722" i="3" s="1"/>
  <c r="G726" i="3"/>
  <c r="I726" i="3" s="1"/>
  <c r="G730" i="3"/>
  <c r="I730" i="3" s="1"/>
  <c r="G734" i="3"/>
  <c r="I734" i="3" s="1"/>
  <c r="G738" i="3"/>
  <c r="I738" i="3" s="1"/>
  <c r="G742" i="3"/>
  <c r="I742" i="3" s="1"/>
  <c r="G746" i="3"/>
  <c r="I746" i="3" s="1"/>
  <c r="G750" i="3"/>
  <c r="I750" i="3" s="1"/>
  <c r="G754" i="3"/>
  <c r="I754" i="3" s="1"/>
  <c r="G758" i="3"/>
  <c r="I758" i="3" s="1"/>
  <c r="G762" i="3"/>
  <c r="I762" i="3" s="1"/>
  <c r="G766" i="3"/>
  <c r="I766" i="3" s="1"/>
  <c r="G770" i="3"/>
  <c r="I770" i="3" s="1"/>
  <c r="G774" i="3"/>
  <c r="I774" i="3" s="1"/>
  <c r="G778" i="3"/>
  <c r="I778" i="3" s="1"/>
  <c r="G782" i="3"/>
  <c r="I782" i="3" s="1"/>
  <c r="G786" i="3"/>
  <c r="I786" i="3" s="1"/>
  <c r="G790" i="3"/>
  <c r="I790" i="3" s="1"/>
  <c r="G794" i="3"/>
  <c r="I794" i="3" s="1"/>
  <c r="G798" i="3"/>
  <c r="I798" i="3" s="1"/>
  <c r="G802" i="3"/>
  <c r="I802" i="3" s="1"/>
  <c r="G806" i="3"/>
  <c r="I806" i="3" s="1"/>
  <c r="G810" i="3"/>
  <c r="I810" i="3" s="1"/>
  <c r="G814" i="3"/>
  <c r="I814" i="3" s="1"/>
  <c r="G818" i="3"/>
  <c r="I818" i="3" s="1"/>
  <c r="G822" i="3"/>
  <c r="I822" i="3" s="1"/>
  <c r="G826" i="3"/>
  <c r="I826" i="3" s="1"/>
  <c r="G830" i="3"/>
  <c r="I830" i="3" s="1"/>
  <c r="G834" i="3"/>
  <c r="I834" i="3" s="1"/>
  <c r="G838" i="3"/>
  <c r="I838" i="3" s="1"/>
  <c r="G842" i="3"/>
  <c r="I842" i="3" s="1"/>
  <c r="G23" i="3"/>
  <c r="I23" i="3" s="1"/>
  <c r="G31" i="3"/>
  <c r="I31" i="3" s="1"/>
  <c r="G39" i="3"/>
  <c r="I39" i="3" s="1"/>
  <c r="G47" i="3"/>
  <c r="I47" i="3" s="1"/>
  <c r="G55" i="3"/>
  <c r="I55" i="3" s="1"/>
  <c r="G63" i="3"/>
  <c r="I63" i="3" s="1"/>
  <c r="G71" i="3"/>
  <c r="I71" i="3" s="1"/>
  <c r="G79" i="3"/>
  <c r="I79" i="3" s="1"/>
  <c r="G87" i="3"/>
  <c r="I87" i="3" s="1"/>
  <c r="G95" i="3"/>
  <c r="I95" i="3" s="1"/>
  <c r="G103" i="3"/>
  <c r="I103" i="3" s="1"/>
  <c r="G111" i="3"/>
  <c r="I111" i="3" s="1"/>
  <c r="G119" i="3"/>
  <c r="I119" i="3" s="1"/>
  <c r="G127" i="3"/>
  <c r="I127" i="3" s="1"/>
  <c r="G135" i="3"/>
  <c r="I135" i="3" s="1"/>
  <c r="G143" i="3"/>
  <c r="I143" i="3" s="1"/>
  <c r="G151" i="3"/>
  <c r="I151" i="3" s="1"/>
  <c r="G159" i="3"/>
  <c r="I159" i="3" s="1"/>
  <c r="G167" i="3"/>
  <c r="I167" i="3" s="1"/>
  <c r="G175" i="3"/>
  <c r="I175" i="3" s="1"/>
  <c r="G183" i="3"/>
  <c r="I183" i="3" s="1"/>
  <c r="G191" i="3"/>
  <c r="I191" i="3" s="1"/>
  <c r="G199" i="3"/>
  <c r="I199" i="3" s="1"/>
  <c r="G207" i="3"/>
  <c r="I207" i="3" s="1"/>
  <c r="G215" i="3"/>
  <c r="I215" i="3" s="1"/>
  <c r="G223" i="3"/>
  <c r="I223" i="3" s="1"/>
  <c r="G231" i="3"/>
  <c r="I231" i="3" s="1"/>
  <c r="G239" i="3"/>
  <c r="I239" i="3" s="1"/>
  <c r="G247" i="3"/>
  <c r="I247" i="3" s="1"/>
  <c r="G255" i="3"/>
  <c r="I255" i="3" s="1"/>
  <c r="G263" i="3"/>
  <c r="I263" i="3" s="1"/>
  <c r="G271" i="3"/>
  <c r="I271" i="3" s="1"/>
  <c r="G279" i="3"/>
  <c r="I279" i="3" s="1"/>
  <c r="G287" i="3"/>
  <c r="I287" i="3" s="1"/>
  <c r="G295" i="3"/>
  <c r="I295" i="3" s="1"/>
  <c r="G303" i="3"/>
  <c r="I303" i="3" s="1"/>
  <c r="G311" i="3"/>
  <c r="I311" i="3" s="1"/>
  <c r="G319" i="3"/>
  <c r="I319" i="3" s="1"/>
  <c r="G327" i="3"/>
  <c r="I327" i="3" s="1"/>
  <c r="G335" i="3"/>
  <c r="I335" i="3" s="1"/>
  <c r="G339" i="3"/>
  <c r="I339" i="3" s="1"/>
  <c r="G343" i="3"/>
  <c r="I343" i="3" s="1"/>
  <c r="G347" i="3"/>
  <c r="I347" i="3" s="1"/>
  <c r="G351" i="3"/>
  <c r="I351" i="3" s="1"/>
  <c r="G355" i="3"/>
  <c r="I355" i="3" s="1"/>
  <c r="G359" i="3"/>
  <c r="I359" i="3" s="1"/>
  <c r="G363" i="3"/>
  <c r="I363" i="3" s="1"/>
  <c r="G367" i="3"/>
  <c r="I367" i="3" s="1"/>
  <c r="G371" i="3"/>
  <c r="I371" i="3" s="1"/>
  <c r="G375" i="3"/>
  <c r="I375" i="3" s="1"/>
  <c r="G379" i="3"/>
  <c r="I379" i="3" s="1"/>
  <c r="G383" i="3"/>
  <c r="I383" i="3" s="1"/>
  <c r="G387" i="3"/>
  <c r="I387" i="3" s="1"/>
  <c r="G391" i="3"/>
  <c r="I391" i="3" s="1"/>
  <c r="G395" i="3"/>
  <c r="I395" i="3" s="1"/>
  <c r="G399" i="3"/>
  <c r="I399" i="3" s="1"/>
  <c r="G403" i="3"/>
  <c r="I403" i="3" s="1"/>
  <c r="G407" i="3"/>
  <c r="I407" i="3" s="1"/>
  <c r="G411" i="3"/>
  <c r="I411" i="3" s="1"/>
  <c r="G415" i="3"/>
  <c r="I415" i="3" s="1"/>
  <c r="G419" i="3"/>
  <c r="I419" i="3" s="1"/>
  <c r="G423" i="3"/>
  <c r="I423" i="3" s="1"/>
  <c r="G427" i="3"/>
  <c r="I427" i="3" s="1"/>
  <c r="G431" i="3"/>
  <c r="I431" i="3" s="1"/>
  <c r="G435" i="3"/>
  <c r="I435" i="3" s="1"/>
  <c r="G439" i="3"/>
  <c r="I439" i="3" s="1"/>
  <c r="G443" i="3"/>
  <c r="I443" i="3" s="1"/>
  <c r="G447" i="3"/>
  <c r="I447" i="3" s="1"/>
  <c r="G451" i="3"/>
  <c r="I451" i="3" s="1"/>
  <c r="G455" i="3"/>
  <c r="I455" i="3" s="1"/>
  <c r="G459" i="3"/>
  <c r="I459" i="3" s="1"/>
  <c r="G463" i="3"/>
  <c r="I463" i="3" s="1"/>
  <c r="G467" i="3"/>
  <c r="I467" i="3" s="1"/>
  <c r="G471" i="3"/>
  <c r="I471" i="3" s="1"/>
  <c r="G475" i="3"/>
  <c r="I475" i="3" s="1"/>
  <c r="G479" i="3"/>
  <c r="I479" i="3" s="1"/>
  <c r="G483" i="3"/>
  <c r="I483" i="3" s="1"/>
  <c r="G487" i="3"/>
  <c r="I487" i="3" s="1"/>
  <c r="G491" i="3"/>
  <c r="I491" i="3" s="1"/>
  <c r="G495" i="3"/>
  <c r="I495" i="3" s="1"/>
  <c r="G499" i="3"/>
  <c r="I499" i="3" s="1"/>
  <c r="G503" i="3"/>
  <c r="I503" i="3" s="1"/>
  <c r="G507" i="3"/>
  <c r="I507" i="3" s="1"/>
  <c r="G511" i="3"/>
  <c r="I511" i="3" s="1"/>
  <c r="G515" i="3"/>
  <c r="I515" i="3" s="1"/>
  <c r="G519" i="3"/>
  <c r="I519" i="3" s="1"/>
  <c r="G523" i="3"/>
  <c r="I523" i="3" s="1"/>
  <c r="G527" i="3"/>
  <c r="I527" i="3" s="1"/>
  <c r="G531" i="3"/>
  <c r="I531" i="3" s="1"/>
  <c r="G535" i="3"/>
  <c r="I535" i="3" s="1"/>
  <c r="G539" i="3"/>
  <c r="I539" i="3" s="1"/>
  <c r="G543" i="3"/>
  <c r="I543" i="3" s="1"/>
  <c r="G547" i="3"/>
  <c r="I547" i="3" s="1"/>
  <c r="G551" i="3"/>
  <c r="I551" i="3" s="1"/>
  <c r="G555" i="3"/>
  <c r="I555" i="3" s="1"/>
  <c r="G559" i="3"/>
  <c r="I559" i="3" s="1"/>
  <c r="G563" i="3"/>
  <c r="I563" i="3" s="1"/>
  <c r="G567" i="3"/>
  <c r="I567" i="3" s="1"/>
  <c r="G571" i="3"/>
  <c r="I571" i="3" s="1"/>
  <c r="G575" i="3"/>
  <c r="I575" i="3" s="1"/>
  <c r="G579" i="3"/>
  <c r="I579" i="3" s="1"/>
  <c r="G583" i="3"/>
  <c r="I583" i="3" s="1"/>
  <c r="G587" i="3"/>
  <c r="I587" i="3" s="1"/>
  <c r="G591" i="3"/>
  <c r="I591" i="3" s="1"/>
  <c r="G595" i="3"/>
  <c r="I595" i="3" s="1"/>
  <c r="G599" i="3"/>
  <c r="I599" i="3" s="1"/>
  <c r="G603" i="3"/>
  <c r="I603" i="3" s="1"/>
  <c r="G607" i="3"/>
  <c r="I607" i="3" s="1"/>
  <c r="G611" i="3"/>
  <c r="I611" i="3" s="1"/>
  <c r="G615" i="3"/>
  <c r="I615" i="3" s="1"/>
  <c r="G619" i="3"/>
  <c r="I619" i="3" s="1"/>
  <c r="G623" i="3"/>
  <c r="I623" i="3" s="1"/>
  <c r="G627" i="3"/>
  <c r="I627" i="3" s="1"/>
  <c r="G631" i="3"/>
  <c r="I631" i="3" s="1"/>
  <c r="G635" i="3"/>
  <c r="I635" i="3" s="1"/>
  <c r="G639" i="3"/>
  <c r="I639" i="3" s="1"/>
  <c r="G643" i="3"/>
  <c r="I643" i="3" s="1"/>
  <c r="G647" i="3"/>
  <c r="I647" i="3" s="1"/>
  <c r="G651" i="3"/>
  <c r="I651" i="3" s="1"/>
  <c r="G655" i="3"/>
  <c r="I655" i="3" s="1"/>
  <c r="G659" i="3"/>
  <c r="I659" i="3" s="1"/>
  <c r="G663" i="3"/>
  <c r="I663" i="3" s="1"/>
  <c r="G667" i="3"/>
  <c r="I667" i="3" s="1"/>
  <c r="G671" i="3"/>
  <c r="I671" i="3" s="1"/>
  <c r="G675" i="3"/>
  <c r="I675" i="3" s="1"/>
  <c r="G679" i="3"/>
  <c r="I679" i="3" s="1"/>
  <c r="G683" i="3"/>
  <c r="I683" i="3" s="1"/>
  <c r="G687" i="3"/>
  <c r="I687" i="3" s="1"/>
  <c r="G691" i="3"/>
  <c r="I691" i="3" s="1"/>
  <c r="G695" i="3"/>
  <c r="I695" i="3" s="1"/>
  <c r="G699" i="3"/>
  <c r="I699" i="3" s="1"/>
  <c r="G703" i="3"/>
  <c r="I703" i="3" s="1"/>
  <c r="G707" i="3"/>
  <c r="I707" i="3" s="1"/>
  <c r="G711" i="3"/>
  <c r="I711" i="3" s="1"/>
  <c r="G715" i="3"/>
  <c r="I715" i="3" s="1"/>
  <c r="G719" i="3"/>
  <c r="I719" i="3" s="1"/>
  <c r="G723" i="3"/>
  <c r="I723" i="3" s="1"/>
  <c r="G727" i="3"/>
  <c r="I727" i="3" s="1"/>
  <c r="G731" i="3"/>
  <c r="I731" i="3" s="1"/>
  <c r="G735" i="3"/>
  <c r="I735" i="3" s="1"/>
  <c r="G739" i="3"/>
  <c r="I739" i="3" s="1"/>
  <c r="G743" i="3"/>
  <c r="I743" i="3" s="1"/>
  <c r="G747" i="3"/>
  <c r="I747" i="3" s="1"/>
  <c r="G751" i="3"/>
  <c r="I751" i="3" s="1"/>
  <c r="G755" i="3"/>
  <c r="I755" i="3" s="1"/>
  <c r="G759" i="3"/>
  <c r="I759" i="3" s="1"/>
  <c r="G763" i="3"/>
  <c r="I763" i="3" s="1"/>
  <c r="G767" i="3"/>
  <c r="I767" i="3" s="1"/>
  <c r="G771" i="3"/>
  <c r="I771" i="3" s="1"/>
  <c r="G775" i="3"/>
  <c r="I775" i="3" s="1"/>
  <c r="G779" i="3"/>
  <c r="I779" i="3" s="1"/>
  <c r="G783" i="3"/>
  <c r="I783" i="3" s="1"/>
  <c r="G787" i="3"/>
  <c r="I787" i="3" s="1"/>
  <c r="G791" i="3"/>
  <c r="I791" i="3" s="1"/>
  <c r="G795" i="3"/>
  <c r="I795" i="3" s="1"/>
  <c r="G799" i="3"/>
  <c r="I799" i="3" s="1"/>
  <c r="G803" i="3"/>
  <c r="I803" i="3" s="1"/>
  <c r="G807" i="3"/>
  <c r="I807" i="3" s="1"/>
  <c r="G811" i="3"/>
  <c r="I811" i="3" s="1"/>
  <c r="G815" i="3"/>
  <c r="I815" i="3" s="1"/>
  <c r="G819" i="3"/>
  <c r="I819" i="3" s="1"/>
  <c r="G823" i="3"/>
  <c r="I823" i="3" s="1"/>
  <c r="G827" i="3"/>
  <c r="I827" i="3" s="1"/>
  <c r="G831" i="3"/>
  <c r="I831" i="3" s="1"/>
  <c r="G835" i="3"/>
  <c r="I835" i="3" s="1"/>
  <c r="G839" i="3"/>
  <c r="I839" i="3" s="1"/>
  <c r="G843" i="3"/>
  <c r="I843" i="3" s="1"/>
  <c r="G35" i="3"/>
  <c r="I35" i="3" s="1"/>
  <c r="G51" i="3"/>
  <c r="I51" i="3" s="1"/>
  <c r="G67" i="3"/>
  <c r="I67" i="3" s="1"/>
  <c r="G83" i="3"/>
  <c r="I83" i="3" s="1"/>
  <c r="G99" i="3"/>
  <c r="I99" i="3" s="1"/>
  <c r="G115" i="3"/>
  <c r="I115" i="3" s="1"/>
  <c r="G131" i="3"/>
  <c r="I131" i="3" s="1"/>
  <c r="G147" i="3"/>
  <c r="I147" i="3" s="1"/>
  <c r="G163" i="3"/>
  <c r="I163" i="3" s="1"/>
  <c r="G179" i="3"/>
  <c r="I179" i="3" s="1"/>
  <c r="G195" i="3"/>
  <c r="I195" i="3" s="1"/>
  <c r="G211" i="3"/>
  <c r="I211" i="3" s="1"/>
  <c r="G227" i="3"/>
  <c r="I227" i="3" s="1"/>
  <c r="G243" i="3"/>
  <c r="I243" i="3" s="1"/>
  <c r="G259" i="3"/>
  <c r="I259" i="3" s="1"/>
  <c r="G275" i="3"/>
  <c r="I275" i="3" s="1"/>
  <c r="G291" i="3"/>
  <c r="I291" i="3" s="1"/>
  <c r="G307" i="3"/>
  <c r="I307" i="3" s="1"/>
  <c r="G323" i="3"/>
  <c r="I323" i="3" s="1"/>
  <c r="G337" i="3"/>
  <c r="I337" i="3" s="1"/>
  <c r="G345" i="3"/>
  <c r="I345" i="3" s="1"/>
  <c r="G353" i="3"/>
  <c r="I353" i="3" s="1"/>
  <c r="G361" i="3"/>
  <c r="I361" i="3" s="1"/>
  <c r="G369" i="3"/>
  <c r="I369" i="3" s="1"/>
  <c r="G377" i="3"/>
  <c r="I377" i="3" s="1"/>
  <c r="G385" i="3"/>
  <c r="I385" i="3" s="1"/>
  <c r="G393" i="3"/>
  <c r="I393" i="3" s="1"/>
  <c r="G401" i="3"/>
  <c r="I401" i="3" s="1"/>
  <c r="G409" i="3"/>
  <c r="I409" i="3" s="1"/>
  <c r="G417" i="3"/>
  <c r="I417" i="3" s="1"/>
  <c r="G425" i="3"/>
  <c r="I425" i="3" s="1"/>
  <c r="G433" i="3"/>
  <c r="I433" i="3" s="1"/>
  <c r="G441" i="3"/>
  <c r="I441" i="3" s="1"/>
  <c r="G449" i="3"/>
  <c r="I449" i="3" s="1"/>
  <c r="G457" i="3"/>
  <c r="I457" i="3" s="1"/>
  <c r="G465" i="3"/>
  <c r="I465" i="3" s="1"/>
  <c r="G473" i="3"/>
  <c r="I473" i="3" s="1"/>
  <c r="G481" i="3"/>
  <c r="I481" i="3" s="1"/>
  <c r="G489" i="3"/>
  <c r="I489" i="3" s="1"/>
  <c r="G497" i="3"/>
  <c r="I497" i="3" s="1"/>
  <c r="G505" i="3"/>
  <c r="I505" i="3" s="1"/>
  <c r="G513" i="3"/>
  <c r="I513" i="3" s="1"/>
  <c r="G521" i="3"/>
  <c r="I521" i="3" s="1"/>
  <c r="G529" i="3"/>
  <c r="I529" i="3" s="1"/>
  <c r="G537" i="3"/>
  <c r="I537" i="3" s="1"/>
  <c r="G545" i="3"/>
  <c r="I545" i="3" s="1"/>
  <c r="G553" i="3"/>
  <c r="I553" i="3" s="1"/>
  <c r="G561" i="3"/>
  <c r="I561" i="3" s="1"/>
  <c r="G569" i="3"/>
  <c r="I569" i="3" s="1"/>
  <c r="G577" i="3"/>
  <c r="I577" i="3" s="1"/>
  <c r="G585" i="3"/>
  <c r="I585" i="3" s="1"/>
  <c r="G593" i="3"/>
  <c r="I593" i="3" s="1"/>
  <c r="G601" i="3"/>
  <c r="I601" i="3" s="1"/>
  <c r="G609" i="3"/>
  <c r="I609" i="3" s="1"/>
  <c r="G617" i="3"/>
  <c r="I617" i="3" s="1"/>
  <c r="G625" i="3"/>
  <c r="I625" i="3" s="1"/>
  <c r="G633" i="3"/>
  <c r="I633" i="3" s="1"/>
  <c r="G641" i="3"/>
  <c r="I641" i="3" s="1"/>
  <c r="G649" i="3"/>
  <c r="I649" i="3" s="1"/>
  <c r="G657" i="3"/>
  <c r="I657" i="3" s="1"/>
  <c r="G665" i="3"/>
  <c r="I665" i="3" s="1"/>
  <c r="G673" i="3"/>
  <c r="I673" i="3" s="1"/>
  <c r="G681" i="3"/>
  <c r="I681" i="3" s="1"/>
  <c r="G689" i="3"/>
  <c r="I689" i="3" s="1"/>
  <c r="G697" i="3"/>
  <c r="I697" i="3" s="1"/>
  <c r="G705" i="3"/>
  <c r="I705" i="3" s="1"/>
  <c r="G713" i="3"/>
  <c r="I713" i="3" s="1"/>
  <c r="G721" i="3"/>
  <c r="I721" i="3" s="1"/>
  <c r="G729" i="3"/>
  <c r="I729" i="3" s="1"/>
  <c r="G737" i="3"/>
  <c r="I737" i="3" s="1"/>
  <c r="G745" i="3"/>
  <c r="I745" i="3" s="1"/>
  <c r="G753" i="3"/>
  <c r="I753" i="3" s="1"/>
  <c r="G761" i="3"/>
  <c r="I761" i="3" s="1"/>
  <c r="G769" i="3"/>
  <c r="I769" i="3" s="1"/>
  <c r="G777" i="3"/>
  <c r="I777" i="3" s="1"/>
  <c r="G785" i="3"/>
  <c r="I785" i="3" s="1"/>
  <c r="G793" i="3"/>
  <c r="I793" i="3" s="1"/>
  <c r="G801" i="3"/>
  <c r="I801" i="3" s="1"/>
  <c r="G809" i="3"/>
  <c r="I809" i="3" s="1"/>
  <c r="G817" i="3"/>
  <c r="I817" i="3" s="1"/>
  <c r="G825" i="3"/>
  <c r="I825" i="3" s="1"/>
  <c r="G833" i="3"/>
  <c r="I833" i="3" s="1"/>
  <c r="G841" i="3"/>
  <c r="I841" i="3" s="1"/>
  <c r="G847" i="3"/>
  <c r="I847" i="3" s="1"/>
  <c r="G851" i="3"/>
  <c r="I851" i="3" s="1"/>
  <c r="G855" i="3"/>
  <c r="I855" i="3" s="1"/>
  <c r="G859" i="3"/>
  <c r="I859" i="3" s="1"/>
  <c r="G863" i="3"/>
  <c r="I863" i="3" s="1"/>
  <c r="G867" i="3"/>
  <c r="I867" i="3" s="1"/>
  <c r="G871" i="3"/>
  <c r="I871" i="3" s="1"/>
  <c r="G875" i="3"/>
  <c r="I875" i="3" s="1"/>
  <c r="G879" i="3"/>
  <c r="I879" i="3" s="1"/>
  <c r="G883" i="3"/>
  <c r="I883" i="3" s="1"/>
  <c r="G887" i="3"/>
  <c r="I887" i="3" s="1"/>
  <c r="G891" i="3"/>
  <c r="I891" i="3" s="1"/>
  <c r="G895" i="3"/>
  <c r="I895" i="3" s="1"/>
  <c r="G899" i="3"/>
  <c r="I899" i="3" s="1"/>
  <c r="G903" i="3"/>
  <c r="I903" i="3" s="1"/>
  <c r="G907" i="3"/>
  <c r="I907" i="3" s="1"/>
  <c r="G911" i="3"/>
  <c r="I911" i="3" s="1"/>
  <c r="G915" i="3"/>
  <c r="I915" i="3" s="1"/>
  <c r="G919" i="3"/>
  <c r="I919" i="3" s="1"/>
  <c r="G923" i="3"/>
  <c r="I923" i="3" s="1"/>
  <c r="G927" i="3"/>
  <c r="I927" i="3" s="1"/>
  <c r="G931" i="3"/>
  <c r="I931" i="3" s="1"/>
  <c r="G935" i="3"/>
  <c r="I935" i="3" s="1"/>
  <c r="G939" i="3"/>
  <c r="I939" i="3" s="1"/>
  <c r="G943" i="3"/>
  <c r="I943" i="3" s="1"/>
  <c r="G947" i="3"/>
  <c r="I947" i="3" s="1"/>
  <c r="G951" i="3"/>
  <c r="I951" i="3" s="1"/>
  <c r="G955" i="3"/>
  <c r="I955" i="3" s="1"/>
  <c r="G959" i="3"/>
  <c r="I959" i="3" s="1"/>
  <c r="G963" i="3"/>
  <c r="I963" i="3" s="1"/>
  <c r="G967" i="3"/>
  <c r="I967" i="3" s="1"/>
  <c r="G971" i="3"/>
  <c r="I971" i="3" s="1"/>
  <c r="G975" i="3"/>
  <c r="I975" i="3" s="1"/>
  <c r="G979" i="3"/>
  <c r="I979" i="3" s="1"/>
  <c r="G983" i="3"/>
  <c r="I983" i="3" s="1"/>
  <c r="G987" i="3"/>
  <c r="I987" i="3" s="1"/>
  <c r="G991" i="3"/>
  <c r="I991" i="3" s="1"/>
  <c r="G995" i="3"/>
  <c r="I995" i="3" s="1"/>
  <c r="G999" i="3"/>
  <c r="I999" i="3" s="1"/>
  <c r="G1003" i="3"/>
  <c r="I1003" i="3" s="1"/>
  <c r="G1007" i="3"/>
  <c r="I1007" i="3" s="1"/>
  <c r="G1011" i="3"/>
  <c r="I1011" i="3" s="1"/>
  <c r="G1015" i="3"/>
  <c r="I1015" i="3" s="1"/>
  <c r="G19" i="3"/>
  <c r="G26" i="3"/>
  <c r="I26" i="3" s="1"/>
  <c r="G42" i="3"/>
  <c r="I42" i="3" s="1"/>
  <c r="G58" i="3"/>
  <c r="I58" i="3" s="1"/>
  <c r="G74" i="3"/>
  <c r="I74" i="3" s="1"/>
  <c r="G90" i="3"/>
  <c r="I90" i="3" s="1"/>
  <c r="G106" i="3"/>
  <c r="I106" i="3" s="1"/>
  <c r="G122" i="3"/>
  <c r="I122" i="3" s="1"/>
  <c r="G138" i="3"/>
  <c r="I138" i="3" s="1"/>
  <c r="G154" i="3"/>
  <c r="I154" i="3" s="1"/>
  <c r="G170" i="3"/>
  <c r="I170" i="3" s="1"/>
  <c r="G186" i="3"/>
  <c r="I186" i="3" s="1"/>
  <c r="G202" i="3"/>
  <c r="I202" i="3" s="1"/>
  <c r="G218" i="3"/>
  <c r="I218" i="3" s="1"/>
  <c r="G234" i="3"/>
  <c r="I234" i="3" s="1"/>
  <c r="G250" i="3"/>
  <c r="I250" i="3" s="1"/>
  <c r="G266" i="3"/>
  <c r="I266" i="3" s="1"/>
  <c r="G282" i="3"/>
  <c r="I282" i="3" s="1"/>
  <c r="G298" i="3"/>
  <c r="I298" i="3" s="1"/>
  <c r="G314" i="3"/>
  <c r="I314" i="3" s="1"/>
  <c r="G330" i="3"/>
  <c r="I330" i="3" s="1"/>
  <c r="G340" i="3"/>
  <c r="I340" i="3" s="1"/>
  <c r="G348" i="3"/>
  <c r="I348" i="3" s="1"/>
  <c r="G356" i="3"/>
  <c r="I356" i="3" s="1"/>
  <c r="G364" i="3"/>
  <c r="I364" i="3" s="1"/>
  <c r="G372" i="3"/>
  <c r="I372" i="3" s="1"/>
  <c r="G380" i="3"/>
  <c r="I380" i="3" s="1"/>
  <c r="G388" i="3"/>
  <c r="I388" i="3" s="1"/>
  <c r="G396" i="3"/>
  <c r="I396" i="3" s="1"/>
  <c r="G404" i="3"/>
  <c r="I404" i="3" s="1"/>
  <c r="G412" i="3"/>
  <c r="I412" i="3" s="1"/>
  <c r="G420" i="3"/>
  <c r="I420" i="3" s="1"/>
  <c r="G428" i="3"/>
  <c r="I428" i="3" s="1"/>
  <c r="G436" i="3"/>
  <c r="I436" i="3" s="1"/>
  <c r="G444" i="3"/>
  <c r="I444" i="3" s="1"/>
  <c r="G452" i="3"/>
  <c r="I452" i="3" s="1"/>
  <c r="G460" i="3"/>
  <c r="I460" i="3" s="1"/>
  <c r="G468" i="3"/>
  <c r="I468" i="3" s="1"/>
  <c r="G476" i="3"/>
  <c r="I476" i="3" s="1"/>
  <c r="G484" i="3"/>
  <c r="I484" i="3" s="1"/>
  <c r="G492" i="3"/>
  <c r="I492" i="3" s="1"/>
  <c r="G43" i="3"/>
  <c r="I43" i="3" s="1"/>
  <c r="G75" i="3"/>
  <c r="I75" i="3" s="1"/>
  <c r="G107" i="3"/>
  <c r="I107" i="3" s="1"/>
  <c r="G139" i="3"/>
  <c r="I139" i="3" s="1"/>
  <c r="G171" i="3"/>
  <c r="I171" i="3" s="1"/>
  <c r="G203" i="3"/>
  <c r="I203" i="3" s="1"/>
  <c r="G235" i="3"/>
  <c r="I235" i="3" s="1"/>
  <c r="G267" i="3"/>
  <c r="I267" i="3" s="1"/>
  <c r="G299" i="3"/>
  <c r="I299" i="3" s="1"/>
  <c r="G331" i="3"/>
  <c r="I331" i="3" s="1"/>
  <c r="G349" i="3"/>
  <c r="I349" i="3" s="1"/>
  <c r="G365" i="3"/>
  <c r="I365" i="3" s="1"/>
  <c r="G381" i="3"/>
  <c r="I381" i="3" s="1"/>
  <c r="G397" i="3"/>
  <c r="I397" i="3" s="1"/>
  <c r="G413" i="3"/>
  <c r="I413" i="3" s="1"/>
  <c r="G429" i="3"/>
  <c r="I429" i="3" s="1"/>
  <c r="G445" i="3"/>
  <c r="I445" i="3" s="1"/>
  <c r="G461" i="3"/>
  <c r="I461" i="3" s="1"/>
  <c r="G477" i="3"/>
  <c r="I477" i="3" s="1"/>
  <c r="G493" i="3"/>
  <c r="I493" i="3" s="1"/>
  <c r="G504" i="3"/>
  <c r="I504" i="3" s="1"/>
  <c r="G516" i="3"/>
  <c r="I516" i="3" s="1"/>
  <c r="G525" i="3"/>
  <c r="I525" i="3" s="1"/>
  <c r="G536" i="3"/>
  <c r="I536" i="3" s="1"/>
  <c r="G548" i="3"/>
  <c r="I548" i="3" s="1"/>
  <c r="G557" i="3"/>
  <c r="I557" i="3" s="1"/>
  <c r="G568" i="3"/>
  <c r="I568" i="3" s="1"/>
  <c r="G580" i="3"/>
  <c r="I580" i="3" s="1"/>
  <c r="G589" i="3"/>
  <c r="I589" i="3" s="1"/>
  <c r="G600" i="3"/>
  <c r="I600" i="3" s="1"/>
  <c r="G612" i="3"/>
  <c r="I612" i="3" s="1"/>
  <c r="G621" i="3"/>
  <c r="I621" i="3" s="1"/>
  <c r="G632" i="3"/>
  <c r="I632" i="3" s="1"/>
  <c r="G644" i="3"/>
  <c r="I644" i="3" s="1"/>
  <c r="G653" i="3"/>
  <c r="I653" i="3" s="1"/>
  <c r="G664" i="3"/>
  <c r="I664" i="3" s="1"/>
  <c r="G676" i="3"/>
  <c r="I676" i="3" s="1"/>
  <c r="G685" i="3"/>
  <c r="I685" i="3" s="1"/>
  <c r="G696" i="3"/>
  <c r="I696" i="3" s="1"/>
  <c r="G708" i="3"/>
  <c r="I708" i="3" s="1"/>
  <c r="G717" i="3"/>
  <c r="I717" i="3" s="1"/>
  <c r="G728" i="3"/>
  <c r="I728" i="3" s="1"/>
  <c r="G740" i="3"/>
  <c r="I740" i="3" s="1"/>
  <c r="G749" i="3"/>
  <c r="I749" i="3" s="1"/>
  <c r="G760" i="3"/>
  <c r="I760" i="3" s="1"/>
  <c r="G772" i="3"/>
  <c r="I772" i="3" s="1"/>
  <c r="G781" i="3"/>
  <c r="I781" i="3" s="1"/>
  <c r="G792" i="3"/>
  <c r="I792" i="3" s="1"/>
  <c r="G804" i="3"/>
  <c r="I804" i="3" s="1"/>
  <c r="G813" i="3"/>
  <c r="I813" i="3" s="1"/>
  <c r="G824" i="3"/>
  <c r="I824" i="3" s="1"/>
  <c r="G836" i="3"/>
  <c r="I836" i="3" s="1"/>
  <c r="G845" i="3"/>
  <c r="I845" i="3" s="1"/>
  <c r="G850" i="3"/>
  <c r="I850" i="3" s="1"/>
  <c r="G856" i="3"/>
  <c r="I856" i="3" s="1"/>
  <c r="G861" i="3"/>
  <c r="I861" i="3" s="1"/>
  <c r="G866" i="3"/>
  <c r="I866" i="3" s="1"/>
  <c r="G872" i="3"/>
  <c r="I872" i="3" s="1"/>
  <c r="G877" i="3"/>
  <c r="I877" i="3" s="1"/>
  <c r="G882" i="3"/>
  <c r="I882" i="3" s="1"/>
  <c r="G888" i="3"/>
  <c r="I888" i="3" s="1"/>
  <c r="G893" i="3"/>
  <c r="I893" i="3" s="1"/>
  <c r="G898" i="3"/>
  <c r="I898" i="3" s="1"/>
  <c r="G904" i="3"/>
  <c r="I904" i="3" s="1"/>
  <c r="G909" i="3"/>
  <c r="I909" i="3" s="1"/>
  <c r="G914" i="3"/>
  <c r="I914" i="3" s="1"/>
  <c r="G920" i="3"/>
  <c r="I920" i="3" s="1"/>
  <c r="G925" i="3"/>
  <c r="I925" i="3" s="1"/>
  <c r="G930" i="3"/>
  <c r="I930" i="3" s="1"/>
  <c r="G936" i="3"/>
  <c r="I936" i="3" s="1"/>
  <c r="G941" i="3"/>
  <c r="I941" i="3" s="1"/>
  <c r="G946" i="3"/>
  <c r="I946" i="3" s="1"/>
  <c r="G952" i="3"/>
  <c r="I952" i="3" s="1"/>
  <c r="G957" i="3"/>
  <c r="I957" i="3" s="1"/>
  <c r="G962" i="3"/>
  <c r="I962" i="3" s="1"/>
  <c r="G968" i="3"/>
  <c r="I968" i="3" s="1"/>
  <c r="G973" i="3"/>
  <c r="I973" i="3" s="1"/>
  <c r="G978" i="3"/>
  <c r="I978" i="3" s="1"/>
  <c r="G984" i="3"/>
  <c r="I984" i="3" s="1"/>
  <c r="G989" i="3"/>
  <c r="I989" i="3" s="1"/>
  <c r="G994" i="3"/>
  <c r="I994" i="3" s="1"/>
  <c r="G1000" i="3"/>
  <c r="I1000" i="3" s="1"/>
  <c r="G1005" i="3"/>
  <c r="I1005" i="3" s="1"/>
  <c r="G1010" i="3"/>
  <c r="I1010" i="3" s="1"/>
  <c r="G1016" i="3"/>
  <c r="I1016" i="3" s="1"/>
  <c r="G50" i="3"/>
  <c r="I50" i="3" s="1"/>
  <c r="G82" i="3"/>
  <c r="I82" i="3" s="1"/>
  <c r="G114" i="3"/>
  <c r="I114" i="3" s="1"/>
  <c r="G146" i="3"/>
  <c r="I146" i="3" s="1"/>
  <c r="G178" i="3"/>
  <c r="I178" i="3" s="1"/>
  <c r="G210" i="3"/>
  <c r="I210" i="3" s="1"/>
  <c r="G242" i="3"/>
  <c r="I242" i="3" s="1"/>
  <c r="G274" i="3"/>
  <c r="I274" i="3" s="1"/>
  <c r="G306" i="3"/>
  <c r="I306" i="3" s="1"/>
  <c r="G336" i="3"/>
  <c r="I336" i="3" s="1"/>
  <c r="G352" i="3"/>
  <c r="I352" i="3" s="1"/>
  <c r="G368" i="3"/>
  <c r="I368" i="3" s="1"/>
  <c r="G384" i="3"/>
  <c r="I384" i="3" s="1"/>
  <c r="G400" i="3"/>
  <c r="I400" i="3" s="1"/>
  <c r="G416" i="3"/>
  <c r="I416" i="3" s="1"/>
  <c r="G432" i="3"/>
  <c r="I432" i="3" s="1"/>
  <c r="G448" i="3"/>
  <c r="I448" i="3" s="1"/>
  <c r="G464" i="3"/>
  <c r="I464" i="3" s="1"/>
  <c r="G480" i="3"/>
  <c r="I480" i="3" s="1"/>
  <c r="G496" i="3"/>
  <c r="I496" i="3" s="1"/>
  <c r="G508" i="3"/>
  <c r="I508" i="3" s="1"/>
  <c r="G517" i="3"/>
  <c r="I517" i="3" s="1"/>
  <c r="G528" i="3"/>
  <c r="I528" i="3" s="1"/>
  <c r="G540" i="3"/>
  <c r="I540" i="3" s="1"/>
  <c r="G549" i="3"/>
  <c r="I549" i="3" s="1"/>
  <c r="G560" i="3"/>
  <c r="I560" i="3" s="1"/>
  <c r="G572" i="3"/>
  <c r="I572" i="3" s="1"/>
  <c r="G581" i="3"/>
  <c r="I581" i="3" s="1"/>
  <c r="G592" i="3"/>
  <c r="I592" i="3" s="1"/>
  <c r="G604" i="3"/>
  <c r="I604" i="3" s="1"/>
  <c r="G613" i="3"/>
  <c r="I613" i="3" s="1"/>
  <c r="G624" i="3"/>
  <c r="I624" i="3" s="1"/>
  <c r="G636" i="3"/>
  <c r="I636" i="3" s="1"/>
  <c r="G645" i="3"/>
  <c r="I645" i="3" s="1"/>
  <c r="G656" i="3"/>
  <c r="I656" i="3" s="1"/>
  <c r="G668" i="3"/>
  <c r="I668" i="3" s="1"/>
  <c r="G677" i="3"/>
  <c r="I677" i="3" s="1"/>
  <c r="G688" i="3"/>
  <c r="I688" i="3" s="1"/>
  <c r="G700" i="3"/>
  <c r="I700" i="3" s="1"/>
  <c r="G709" i="3"/>
  <c r="I709" i="3" s="1"/>
  <c r="G720" i="3"/>
  <c r="I720" i="3" s="1"/>
  <c r="G732" i="3"/>
  <c r="I732" i="3" s="1"/>
  <c r="G741" i="3"/>
  <c r="I741" i="3" s="1"/>
  <c r="G752" i="3"/>
  <c r="I752" i="3" s="1"/>
  <c r="G764" i="3"/>
  <c r="I764" i="3" s="1"/>
  <c r="G773" i="3"/>
  <c r="I773" i="3" s="1"/>
  <c r="G784" i="3"/>
  <c r="I784" i="3" s="1"/>
  <c r="G796" i="3"/>
  <c r="I796" i="3" s="1"/>
  <c r="G805" i="3"/>
  <c r="I805" i="3" s="1"/>
  <c r="G816" i="3"/>
  <c r="I816" i="3" s="1"/>
  <c r="G828" i="3"/>
  <c r="I828" i="3" s="1"/>
  <c r="G837" i="3"/>
  <c r="I837" i="3" s="1"/>
  <c r="G846" i="3"/>
  <c r="I846" i="3" s="1"/>
  <c r="G852" i="3"/>
  <c r="I852" i="3" s="1"/>
  <c r="G857" i="3"/>
  <c r="I857" i="3" s="1"/>
  <c r="G862" i="3"/>
  <c r="I862" i="3" s="1"/>
  <c r="G868" i="3"/>
  <c r="I868" i="3" s="1"/>
  <c r="G873" i="3"/>
  <c r="I873" i="3" s="1"/>
  <c r="G878" i="3"/>
  <c r="I878" i="3" s="1"/>
  <c r="G884" i="3"/>
  <c r="I884" i="3" s="1"/>
  <c r="G889" i="3"/>
  <c r="I889" i="3" s="1"/>
  <c r="G894" i="3"/>
  <c r="I894" i="3" s="1"/>
  <c r="G900" i="3"/>
  <c r="I900" i="3" s="1"/>
  <c r="G905" i="3"/>
  <c r="I905" i="3" s="1"/>
  <c r="G910" i="3"/>
  <c r="I910" i="3" s="1"/>
  <c r="G916" i="3"/>
  <c r="I916" i="3" s="1"/>
  <c r="G921" i="3"/>
  <c r="I921" i="3" s="1"/>
  <c r="G926" i="3"/>
  <c r="I926" i="3" s="1"/>
  <c r="G932" i="3"/>
  <c r="I932" i="3" s="1"/>
  <c r="G937" i="3"/>
  <c r="I937" i="3" s="1"/>
  <c r="G942" i="3"/>
  <c r="I942" i="3" s="1"/>
  <c r="G948" i="3"/>
  <c r="I948" i="3" s="1"/>
  <c r="G953" i="3"/>
  <c r="I953" i="3" s="1"/>
  <c r="G958" i="3"/>
  <c r="I958" i="3" s="1"/>
  <c r="G964" i="3"/>
  <c r="I964" i="3" s="1"/>
  <c r="G969" i="3"/>
  <c r="I969" i="3" s="1"/>
  <c r="G974" i="3"/>
  <c r="I974" i="3" s="1"/>
  <c r="G980" i="3"/>
  <c r="I980" i="3" s="1"/>
  <c r="G985" i="3"/>
  <c r="I985" i="3" s="1"/>
  <c r="G990" i="3"/>
  <c r="I990" i="3" s="1"/>
  <c r="G996" i="3"/>
  <c r="I996" i="3" s="1"/>
  <c r="G1001" i="3"/>
  <c r="I1001" i="3" s="1"/>
  <c r="G1006" i="3"/>
  <c r="I1006" i="3" s="1"/>
  <c r="G1012" i="3"/>
  <c r="I1012" i="3" s="1"/>
  <c r="G27" i="3"/>
  <c r="I27" i="3" s="1"/>
  <c r="G59" i="3"/>
  <c r="I59" i="3" s="1"/>
  <c r="G91" i="3"/>
  <c r="I91" i="3" s="1"/>
  <c r="G123" i="3"/>
  <c r="I123" i="3" s="1"/>
  <c r="G155" i="3"/>
  <c r="I155" i="3" s="1"/>
  <c r="G187" i="3"/>
  <c r="I187" i="3" s="1"/>
  <c r="G219" i="3"/>
  <c r="I219" i="3" s="1"/>
  <c r="G251" i="3"/>
  <c r="I251" i="3" s="1"/>
  <c r="G283" i="3"/>
  <c r="I283" i="3" s="1"/>
  <c r="G315" i="3"/>
  <c r="I315" i="3" s="1"/>
  <c r="G34" i="3"/>
  <c r="I34" i="3" s="1"/>
  <c r="G162" i="3"/>
  <c r="I162" i="3" s="1"/>
  <c r="G290" i="3"/>
  <c r="I290" i="3" s="1"/>
  <c r="G357" i="3"/>
  <c r="I357" i="3" s="1"/>
  <c r="G389" i="3"/>
  <c r="I389" i="3" s="1"/>
  <c r="G421" i="3"/>
  <c r="I421" i="3" s="1"/>
  <c r="G453" i="3"/>
  <c r="I453" i="3" s="1"/>
  <c r="G485" i="3"/>
  <c r="I485" i="3" s="1"/>
  <c r="G509" i="3"/>
  <c r="I509" i="3" s="1"/>
  <c r="G532" i="3"/>
  <c r="I532" i="3" s="1"/>
  <c r="G552" i="3"/>
  <c r="I552" i="3" s="1"/>
  <c r="G573" i="3"/>
  <c r="I573" i="3" s="1"/>
  <c r="G596" i="3"/>
  <c r="I596" i="3" s="1"/>
  <c r="G616" i="3"/>
  <c r="I616" i="3" s="1"/>
  <c r="G637" i="3"/>
  <c r="I637" i="3" s="1"/>
  <c r="G660" i="3"/>
  <c r="I660" i="3" s="1"/>
  <c r="G680" i="3"/>
  <c r="I680" i="3" s="1"/>
  <c r="G701" i="3"/>
  <c r="I701" i="3" s="1"/>
  <c r="G724" i="3"/>
  <c r="I724" i="3" s="1"/>
  <c r="G744" i="3"/>
  <c r="I744" i="3" s="1"/>
  <c r="G765" i="3"/>
  <c r="I765" i="3" s="1"/>
  <c r="G788" i="3"/>
  <c r="I788" i="3" s="1"/>
  <c r="G808" i="3"/>
  <c r="I808" i="3" s="1"/>
  <c r="G829" i="3"/>
  <c r="I829" i="3" s="1"/>
  <c r="G848" i="3"/>
  <c r="I848" i="3" s="1"/>
  <c r="G858" i="3"/>
  <c r="I858" i="3" s="1"/>
  <c r="G869" i="3"/>
  <c r="I869" i="3" s="1"/>
  <c r="G880" i="3"/>
  <c r="I880" i="3" s="1"/>
  <c r="G890" i="3"/>
  <c r="I890" i="3" s="1"/>
  <c r="G901" i="3"/>
  <c r="I901" i="3" s="1"/>
  <c r="G912" i="3"/>
  <c r="I912" i="3" s="1"/>
  <c r="G922" i="3"/>
  <c r="I922" i="3" s="1"/>
  <c r="G933" i="3"/>
  <c r="I933" i="3" s="1"/>
  <c r="G944" i="3"/>
  <c r="I944" i="3" s="1"/>
  <c r="G954" i="3"/>
  <c r="I954" i="3" s="1"/>
  <c r="G965" i="3"/>
  <c r="I965" i="3" s="1"/>
  <c r="G976" i="3"/>
  <c r="I976" i="3" s="1"/>
  <c r="G986" i="3"/>
  <c r="I986" i="3" s="1"/>
  <c r="G997" i="3"/>
  <c r="I997" i="3" s="1"/>
  <c r="G1008" i="3"/>
  <c r="I1008" i="3" s="1"/>
  <c r="G1017" i="3"/>
  <c r="I1017" i="3" s="1"/>
  <c r="G789" i="3"/>
  <c r="I789" i="3" s="1"/>
  <c r="G870" i="3"/>
  <c r="I870" i="3" s="1"/>
  <c r="G892" i="3"/>
  <c r="I892" i="3" s="1"/>
  <c r="G913" i="3"/>
  <c r="I913" i="3" s="1"/>
  <c r="G934" i="3"/>
  <c r="I934" i="3" s="1"/>
  <c r="G956" i="3"/>
  <c r="I956" i="3" s="1"/>
  <c r="G977" i="3"/>
  <c r="I977" i="3" s="1"/>
  <c r="G998" i="3"/>
  <c r="I998" i="3" s="1"/>
  <c r="G1009" i="3"/>
  <c r="I1009" i="3" s="1"/>
  <c r="G98" i="3"/>
  <c r="I98" i="3" s="1"/>
  <c r="G341" i="3"/>
  <c r="I341" i="3" s="1"/>
  <c r="G405" i="3"/>
  <c r="I405" i="3" s="1"/>
  <c r="G469" i="3"/>
  <c r="I469" i="3" s="1"/>
  <c r="G520" i="3"/>
  <c r="I520" i="3" s="1"/>
  <c r="G564" i="3"/>
  <c r="I564" i="3" s="1"/>
  <c r="G605" i="3"/>
  <c r="I605" i="3" s="1"/>
  <c r="G648" i="3"/>
  <c r="I648" i="3" s="1"/>
  <c r="G692" i="3"/>
  <c r="I692" i="3" s="1"/>
  <c r="G733" i="3"/>
  <c r="I733" i="3" s="1"/>
  <c r="G797" i="3"/>
  <c r="I797" i="3" s="1"/>
  <c r="G840" i="3"/>
  <c r="I840" i="3" s="1"/>
  <c r="G864" i="3"/>
  <c r="I864" i="3" s="1"/>
  <c r="G896" i="3"/>
  <c r="I896" i="3" s="1"/>
  <c r="G917" i="3"/>
  <c r="I917" i="3" s="1"/>
  <c r="G938" i="3"/>
  <c r="I938" i="3" s="1"/>
  <c r="G960" i="3"/>
  <c r="I960" i="3" s="1"/>
  <c r="G981" i="3"/>
  <c r="I981" i="3" s="1"/>
  <c r="G1002" i="3"/>
  <c r="I1002" i="3" s="1"/>
  <c r="G258" i="3"/>
  <c r="I258" i="3" s="1"/>
  <c r="G376" i="3"/>
  <c r="I376" i="3" s="1"/>
  <c r="G440" i="3"/>
  <c r="I440" i="3" s="1"/>
  <c r="G501" i="3"/>
  <c r="I501" i="3" s="1"/>
  <c r="G544" i="3"/>
  <c r="I544" i="3" s="1"/>
  <c r="G565" i="3"/>
  <c r="I565" i="3" s="1"/>
  <c r="G608" i="3"/>
  <c r="I608" i="3" s="1"/>
  <c r="G652" i="3"/>
  <c r="I652" i="3" s="1"/>
  <c r="G693" i="3"/>
  <c r="I693" i="3" s="1"/>
  <c r="G736" i="3"/>
  <c r="I736" i="3" s="1"/>
  <c r="G780" i="3"/>
  <c r="I780" i="3" s="1"/>
  <c r="G844" i="3"/>
  <c r="I844" i="3" s="1"/>
  <c r="G865" i="3"/>
  <c r="I865" i="3" s="1"/>
  <c r="G886" i="3"/>
  <c r="I886" i="3" s="1"/>
  <c r="G908" i="3"/>
  <c r="I908" i="3" s="1"/>
  <c r="G929" i="3"/>
  <c r="I929" i="3" s="1"/>
  <c r="G950" i="3"/>
  <c r="I950" i="3" s="1"/>
  <c r="G972" i="3"/>
  <c r="I972" i="3" s="1"/>
  <c r="G993" i="3"/>
  <c r="I993" i="3" s="1"/>
  <c r="G1014" i="3"/>
  <c r="I1014" i="3" s="1"/>
  <c r="G66" i="3"/>
  <c r="I66" i="3" s="1"/>
  <c r="G194" i="3"/>
  <c r="I194" i="3" s="1"/>
  <c r="G322" i="3"/>
  <c r="I322" i="3" s="1"/>
  <c r="G360" i="3"/>
  <c r="I360" i="3" s="1"/>
  <c r="G392" i="3"/>
  <c r="I392" i="3" s="1"/>
  <c r="G424" i="3"/>
  <c r="I424" i="3" s="1"/>
  <c r="G456" i="3"/>
  <c r="I456" i="3" s="1"/>
  <c r="G488" i="3"/>
  <c r="I488" i="3" s="1"/>
  <c r="G512" i="3"/>
  <c r="I512" i="3" s="1"/>
  <c r="G533" i="3"/>
  <c r="I533" i="3" s="1"/>
  <c r="G556" i="3"/>
  <c r="I556" i="3" s="1"/>
  <c r="G576" i="3"/>
  <c r="I576" i="3" s="1"/>
  <c r="G597" i="3"/>
  <c r="I597" i="3" s="1"/>
  <c r="G620" i="3"/>
  <c r="I620" i="3" s="1"/>
  <c r="G640" i="3"/>
  <c r="I640" i="3" s="1"/>
  <c r="G661" i="3"/>
  <c r="I661" i="3" s="1"/>
  <c r="G684" i="3"/>
  <c r="I684" i="3" s="1"/>
  <c r="G704" i="3"/>
  <c r="I704" i="3" s="1"/>
  <c r="G725" i="3"/>
  <c r="I725" i="3" s="1"/>
  <c r="G748" i="3"/>
  <c r="I748" i="3" s="1"/>
  <c r="G768" i="3"/>
  <c r="I768" i="3" s="1"/>
  <c r="G812" i="3"/>
  <c r="I812" i="3" s="1"/>
  <c r="G832" i="3"/>
  <c r="I832" i="3" s="1"/>
  <c r="G849" i="3"/>
  <c r="I849" i="3" s="1"/>
  <c r="G860" i="3"/>
  <c r="I860" i="3" s="1"/>
  <c r="G881" i="3"/>
  <c r="I881" i="3" s="1"/>
  <c r="G902" i="3"/>
  <c r="I902" i="3" s="1"/>
  <c r="G924" i="3"/>
  <c r="I924" i="3" s="1"/>
  <c r="G945" i="3"/>
  <c r="I945" i="3" s="1"/>
  <c r="G966" i="3"/>
  <c r="I966" i="3" s="1"/>
  <c r="G988" i="3"/>
  <c r="I988" i="3" s="1"/>
  <c r="G1018" i="3"/>
  <c r="I1018" i="3" s="1"/>
  <c r="G226" i="3"/>
  <c r="I226" i="3" s="1"/>
  <c r="G373" i="3"/>
  <c r="I373" i="3" s="1"/>
  <c r="G437" i="3"/>
  <c r="I437" i="3" s="1"/>
  <c r="G500" i="3"/>
  <c r="I500" i="3" s="1"/>
  <c r="G541" i="3"/>
  <c r="I541" i="3" s="1"/>
  <c r="G584" i="3"/>
  <c r="I584" i="3" s="1"/>
  <c r="G628" i="3"/>
  <c r="I628" i="3" s="1"/>
  <c r="G669" i="3"/>
  <c r="I669" i="3" s="1"/>
  <c r="G712" i="3"/>
  <c r="I712" i="3" s="1"/>
  <c r="G756" i="3"/>
  <c r="I756" i="3" s="1"/>
  <c r="G776" i="3"/>
  <c r="I776" i="3" s="1"/>
  <c r="G820" i="3"/>
  <c r="I820" i="3" s="1"/>
  <c r="G853" i="3"/>
  <c r="I853" i="3" s="1"/>
  <c r="G874" i="3"/>
  <c r="I874" i="3" s="1"/>
  <c r="G885" i="3"/>
  <c r="I885" i="3" s="1"/>
  <c r="G906" i="3"/>
  <c r="I906" i="3" s="1"/>
  <c r="G928" i="3"/>
  <c r="I928" i="3" s="1"/>
  <c r="G949" i="3"/>
  <c r="I949" i="3" s="1"/>
  <c r="G970" i="3"/>
  <c r="I970" i="3" s="1"/>
  <c r="G992" i="3"/>
  <c r="I992" i="3" s="1"/>
  <c r="G1013" i="3"/>
  <c r="I1013" i="3" s="1"/>
  <c r="G130" i="3"/>
  <c r="I130" i="3" s="1"/>
  <c r="G344" i="3"/>
  <c r="I344" i="3" s="1"/>
  <c r="G408" i="3"/>
  <c r="I408" i="3" s="1"/>
  <c r="G472" i="3"/>
  <c r="I472" i="3" s="1"/>
  <c r="G524" i="3"/>
  <c r="I524" i="3" s="1"/>
  <c r="G588" i="3"/>
  <c r="I588" i="3" s="1"/>
  <c r="G629" i="3"/>
  <c r="I629" i="3" s="1"/>
  <c r="G672" i="3"/>
  <c r="I672" i="3" s="1"/>
  <c r="G716" i="3"/>
  <c r="I716" i="3" s="1"/>
  <c r="G757" i="3"/>
  <c r="I757" i="3" s="1"/>
  <c r="G800" i="3"/>
  <c r="I800" i="3" s="1"/>
  <c r="G821" i="3"/>
  <c r="I821" i="3" s="1"/>
  <c r="G854" i="3"/>
  <c r="I854" i="3" s="1"/>
  <c r="G876" i="3"/>
  <c r="I876" i="3" s="1"/>
  <c r="G897" i="3"/>
  <c r="I897" i="3" s="1"/>
  <c r="G918" i="3"/>
  <c r="I918" i="3" s="1"/>
  <c r="G940" i="3"/>
  <c r="I940" i="3" s="1"/>
  <c r="G961" i="3"/>
  <c r="I961" i="3" s="1"/>
  <c r="G982" i="3"/>
  <c r="I982" i="3" s="1"/>
  <c r="G1004" i="3"/>
  <c r="I1004" i="3" s="1"/>
  <c r="H18" i="3"/>
  <c r="C15" i="1"/>
  <c r="I19" i="3" l="1"/>
  <c r="G18" i="3"/>
  <c r="I18" i="3"/>
  <c r="A10" i="3"/>
  <c r="B21" i="3" s="1"/>
  <c r="C21" i="3" s="1"/>
  <c r="A9" i="3"/>
  <c r="B128" i="3"/>
  <c r="C128" i="3" s="1"/>
  <c r="B103" i="3"/>
  <c r="C103" i="3" s="1"/>
  <c r="B149" i="3"/>
  <c r="C149" i="3" s="1"/>
  <c r="A11" i="3"/>
  <c r="E4" i="2"/>
  <c r="H17" i="1"/>
  <c r="H16" i="1"/>
  <c r="H15" i="1"/>
  <c r="H14" i="1"/>
  <c r="H13" i="1"/>
  <c r="H12" i="1"/>
  <c r="H6" i="1"/>
  <c r="H5" i="1"/>
  <c r="H7" i="1"/>
  <c r="H8" i="1"/>
  <c r="H9" i="1"/>
  <c r="H10" i="1"/>
  <c r="H11" i="1"/>
  <c r="H18" i="1"/>
  <c r="H19" i="1"/>
  <c r="H20" i="1"/>
  <c r="H4" i="1"/>
  <c r="C4" i="1"/>
  <c r="B182" i="3" l="1"/>
  <c r="C182" i="3" s="1"/>
  <c r="B94" i="3"/>
  <c r="C94" i="3" s="1"/>
  <c r="B125" i="3"/>
  <c r="C125" i="3" s="1"/>
  <c r="B186" i="3"/>
  <c r="C186" i="3" s="1"/>
  <c r="B75" i="3"/>
  <c r="C75" i="3" s="1"/>
  <c r="B192" i="3"/>
  <c r="C192" i="3" s="1"/>
  <c r="B202" i="3"/>
  <c r="C202" i="3" s="1"/>
  <c r="B194" i="3"/>
  <c r="C194" i="3" s="1"/>
  <c r="B64" i="3"/>
  <c r="C64" i="3" s="1"/>
  <c r="B26" i="3"/>
  <c r="C26" i="3" s="1"/>
  <c r="B154" i="3"/>
  <c r="C154" i="3" s="1"/>
  <c r="B43" i="3"/>
  <c r="C43" i="3" s="1"/>
  <c r="B173" i="3"/>
  <c r="C173" i="3" s="1"/>
  <c r="B176" i="3"/>
  <c r="C176" i="3" s="1"/>
  <c r="B48" i="3"/>
  <c r="C48" i="3" s="1"/>
  <c r="B50" i="3"/>
  <c r="C50" i="3" s="1"/>
  <c r="B185" i="3"/>
  <c r="C185" i="3" s="1"/>
  <c r="B34" i="3"/>
  <c r="C34" i="3" s="1"/>
  <c r="B139" i="3"/>
  <c r="C139" i="3" s="1"/>
  <c r="B158" i="3"/>
  <c r="C158" i="3" s="1"/>
  <c r="B39" i="3"/>
  <c r="C39" i="3" s="1"/>
  <c r="B151" i="3"/>
  <c r="C151" i="3" s="1"/>
  <c r="B30" i="3"/>
  <c r="C30" i="3" s="1"/>
  <c r="B160" i="3"/>
  <c r="C160" i="3" s="1"/>
  <c r="B96" i="3"/>
  <c r="C96" i="3" s="1"/>
  <c r="B32" i="3"/>
  <c r="C32" i="3" s="1"/>
  <c r="B77" i="3"/>
  <c r="C77" i="3" s="1"/>
  <c r="B82" i="3"/>
  <c r="C82" i="3" s="1"/>
  <c r="B161" i="3"/>
  <c r="C161" i="3" s="1"/>
  <c r="B71" i="3"/>
  <c r="C71" i="3" s="1"/>
  <c r="B62" i="3"/>
  <c r="C62" i="3" s="1"/>
  <c r="B112" i="3"/>
  <c r="C112" i="3" s="1"/>
  <c r="B109" i="3"/>
  <c r="C109" i="3" s="1"/>
  <c r="B201" i="3"/>
  <c r="C201" i="3" s="1"/>
  <c r="B106" i="3"/>
  <c r="C106" i="3" s="1"/>
  <c r="B203" i="3"/>
  <c r="C203" i="3" s="1"/>
  <c r="B107" i="3"/>
  <c r="C107" i="3" s="1"/>
  <c r="B135" i="3"/>
  <c r="C135" i="3" s="1"/>
  <c r="B215" i="3"/>
  <c r="C215" i="3" s="1"/>
  <c r="B126" i="3"/>
  <c r="C126" i="3" s="1"/>
  <c r="B208" i="3"/>
  <c r="C208" i="3" s="1"/>
  <c r="B144" i="3"/>
  <c r="C144" i="3" s="1"/>
  <c r="B80" i="3"/>
  <c r="C80" i="3" s="1"/>
  <c r="B22" i="3"/>
  <c r="C22" i="3" s="1"/>
  <c r="B19" i="3"/>
  <c r="C19" i="3" s="1"/>
  <c r="D19" i="3" s="1"/>
  <c r="B122" i="3"/>
  <c r="C122" i="3" s="1"/>
  <c r="B174" i="3"/>
  <c r="C174" i="3" s="1"/>
  <c r="B191" i="3"/>
  <c r="C191" i="3" s="1"/>
  <c r="B130" i="3"/>
  <c r="C130" i="3" s="1"/>
  <c r="B198" i="3"/>
  <c r="C198" i="3" s="1"/>
  <c r="B131" i="3"/>
  <c r="C131" i="3" s="1"/>
  <c r="B67" i="3"/>
  <c r="C67" i="3" s="1"/>
  <c r="B127" i="3"/>
  <c r="C127" i="3" s="1"/>
  <c r="B63" i="3"/>
  <c r="C63" i="3" s="1"/>
  <c r="B189" i="3"/>
  <c r="C189" i="3" s="1"/>
  <c r="B167" i="3"/>
  <c r="C167" i="3" s="1"/>
  <c r="B118" i="3"/>
  <c r="C118" i="3" s="1"/>
  <c r="B260" i="3"/>
  <c r="C260" i="3" s="1"/>
  <c r="B188" i="3"/>
  <c r="C188" i="3" s="1"/>
  <c r="B156" i="3"/>
  <c r="C156" i="3" s="1"/>
  <c r="B108" i="3"/>
  <c r="C108" i="3" s="1"/>
  <c r="B76" i="3"/>
  <c r="C76" i="3" s="1"/>
  <c r="B44" i="3"/>
  <c r="C44" i="3" s="1"/>
  <c r="B137" i="3"/>
  <c r="C137" i="3" s="1"/>
  <c r="B65" i="3"/>
  <c r="C65" i="3" s="1"/>
  <c r="B218" i="3"/>
  <c r="C218" i="3" s="1"/>
  <c r="B197" i="3"/>
  <c r="C197" i="3" s="1"/>
  <c r="B307" i="3"/>
  <c r="C307" i="3" s="1"/>
  <c r="B179" i="3"/>
  <c r="C179" i="3" s="1"/>
  <c r="B90" i="3"/>
  <c r="C90" i="3" s="1"/>
  <c r="B206" i="3"/>
  <c r="C206" i="3" s="1"/>
  <c r="B159" i="3"/>
  <c r="C159" i="3" s="1"/>
  <c r="B42" i="3"/>
  <c r="C42" i="3" s="1"/>
  <c r="B181" i="3"/>
  <c r="C181" i="3" s="1"/>
  <c r="B98" i="3"/>
  <c r="C98" i="3" s="1"/>
  <c r="B214" i="3"/>
  <c r="C214" i="3" s="1"/>
  <c r="B193" i="3"/>
  <c r="C193" i="3" s="1"/>
  <c r="B171" i="3"/>
  <c r="C171" i="3" s="1"/>
  <c r="B150" i="3"/>
  <c r="C150" i="3" s="1"/>
  <c r="B123" i="3"/>
  <c r="C123" i="3" s="1"/>
  <c r="B91" i="3"/>
  <c r="C91" i="3" s="1"/>
  <c r="B59" i="3"/>
  <c r="C59" i="3" s="1"/>
  <c r="B27" i="3"/>
  <c r="C27" i="3" s="1"/>
  <c r="B147" i="3"/>
  <c r="C147" i="3" s="1"/>
  <c r="B119" i="3"/>
  <c r="C119" i="3" s="1"/>
  <c r="B87" i="3"/>
  <c r="C87" i="3" s="1"/>
  <c r="B55" i="3"/>
  <c r="C55" i="3" s="1"/>
  <c r="B23" i="3"/>
  <c r="C23" i="3" s="1"/>
  <c r="B205" i="3"/>
  <c r="C205" i="3" s="1"/>
  <c r="B183" i="3"/>
  <c r="C183" i="3" s="1"/>
  <c r="B162" i="3"/>
  <c r="C162" i="3" s="1"/>
  <c r="B141" i="3"/>
  <c r="C141" i="3" s="1"/>
  <c r="B110" i="3"/>
  <c r="C110" i="3" s="1"/>
  <c r="B78" i="3"/>
  <c r="C78" i="3" s="1"/>
  <c r="B46" i="3"/>
  <c r="C46" i="3" s="1"/>
  <c r="B216" i="3"/>
  <c r="C216" i="3" s="1"/>
  <c r="B200" i="3"/>
  <c r="C200" i="3" s="1"/>
  <c r="B184" i="3"/>
  <c r="C184" i="3" s="1"/>
  <c r="B168" i="3"/>
  <c r="C168" i="3" s="1"/>
  <c r="B152" i="3"/>
  <c r="C152" i="3" s="1"/>
  <c r="B136" i="3"/>
  <c r="C136" i="3" s="1"/>
  <c r="B120" i="3"/>
  <c r="C120" i="3" s="1"/>
  <c r="B104" i="3"/>
  <c r="C104" i="3" s="1"/>
  <c r="B88" i="3"/>
  <c r="C88" i="3" s="1"/>
  <c r="B72" i="3"/>
  <c r="C72" i="3" s="1"/>
  <c r="B56" i="3"/>
  <c r="C56" i="3" s="1"/>
  <c r="B40" i="3"/>
  <c r="C40" i="3" s="1"/>
  <c r="B24" i="3"/>
  <c r="C24" i="3" s="1"/>
  <c r="B133" i="3"/>
  <c r="C133" i="3" s="1"/>
  <c r="B117" i="3"/>
  <c r="C117" i="3" s="1"/>
  <c r="B93" i="3"/>
  <c r="C93" i="3" s="1"/>
  <c r="B61" i="3"/>
  <c r="C61" i="3" s="1"/>
  <c r="B29" i="3"/>
  <c r="C29" i="3" s="1"/>
  <c r="B45" i="3"/>
  <c r="C45" i="3" s="1"/>
  <c r="B114" i="3"/>
  <c r="C114" i="3" s="1"/>
  <c r="B207" i="3"/>
  <c r="C207" i="3" s="1"/>
  <c r="B190" i="3"/>
  <c r="C190" i="3" s="1"/>
  <c r="B217" i="3"/>
  <c r="C217" i="3" s="1"/>
  <c r="B74" i="3"/>
  <c r="C74" i="3" s="1"/>
  <c r="B241" i="3"/>
  <c r="C241" i="3" s="1"/>
  <c r="B177" i="3"/>
  <c r="C177" i="3" s="1"/>
  <c r="B155" i="3"/>
  <c r="C155" i="3" s="1"/>
  <c r="B99" i="3"/>
  <c r="C99" i="3" s="1"/>
  <c r="B35" i="3"/>
  <c r="C35" i="3" s="1"/>
  <c r="B153" i="3"/>
  <c r="C153" i="3" s="1"/>
  <c r="B95" i="3"/>
  <c r="C95" i="3" s="1"/>
  <c r="B31" i="3"/>
  <c r="C31" i="3" s="1"/>
  <c r="B210" i="3"/>
  <c r="C210" i="3" s="1"/>
  <c r="B146" i="3"/>
  <c r="C146" i="3" s="1"/>
  <c r="B86" i="3"/>
  <c r="C86" i="3" s="1"/>
  <c r="B54" i="3"/>
  <c r="C54" i="3" s="1"/>
  <c r="B204" i="3"/>
  <c r="C204" i="3" s="1"/>
  <c r="B172" i="3"/>
  <c r="C172" i="3" s="1"/>
  <c r="B140" i="3"/>
  <c r="C140" i="3" s="1"/>
  <c r="B124" i="3"/>
  <c r="C124" i="3" s="1"/>
  <c r="B92" i="3"/>
  <c r="C92" i="3" s="1"/>
  <c r="B60" i="3"/>
  <c r="C60" i="3" s="1"/>
  <c r="B28" i="3"/>
  <c r="C28" i="3" s="1"/>
  <c r="B121" i="3"/>
  <c r="C121" i="3" s="1"/>
  <c r="B97" i="3"/>
  <c r="C97" i="3" s="1"/>
  <c r="B33" i="3"/>
  <c r="C33" i="3" s="1"/>
  <c r="B165" i="3"/>
  <c r="C165" i="3" s="1"/>
  <c r="B175" i="3"/>
  <c r="C175" i="3" s="1"/>
  <c r="B143" i="3"/>
  <c r="C143" i="3" s="1"/>
  <c r="B211" i="3"/>
  <c r="C211" i="3" s="1"/>
  <c r="B169" i="3"/>
  <c r="C169" i="3" s="1"/>
  <c r="B58" i="3"/>
  <c r="C58" i="3" s="1"/>
  <c r="B195" i="3"/>
  <c r="C195" i="3" s="1"/>
  <c r="B138" i="3"/>
  <c r="C138" i="3" s="1"/>
  <c r="B213" i="3"/>
  <c r="C213" i="3" s="1"/>
  <c r="B170" i="3"/>
  <c r="C170" i="3" s="1"/>
  <c r="B66" i="3"/>
  <c r="C66" i="3" s="1"/>
  <c r="B209" i="3"/>
  <c r="C209" i="3" s="1"/>
  <c r="B187" i="3"/>
  <c r="C187" i="3" s="1"/>
  <c r="B166" i="3"/>
  <c r="C166" i="3" s="1"/>
  <c r="B145" i="3"/>
  <c r="C145" i="3" s="1"/>
  <c r="B115" i="3"/>
  <c r="C115" i="3" s="1"/>
  <c r="B83" i="3"/>
  <c r="C83" i="3" s="1"/>
  <c r="B51" i="3"/>
  <c r="C51" i="3" s="1"/>
  <c r="B163" i="3"/>
  <c r="C163" i="3" s="1"/>
  <c r="B142" i="3"/>
  <c r="C142" i="3" s="1"/>
  <c r="B111" i="3"/>
  <c r="C111" i="3" s="1"/>
  <c r="B79" i="3"/>
  <c r="C79" i="3" s="1"/>
  <c r="B47" i="3"/>
  <c r="C47" i="3" s="1"/>
  <c r="B285" i="3"/>
  <c r="C285" i="3" s="1"/>
  <c r="B199" i="3"/>
  <c r="C199" i="3" s="1"/>
  <c r="B178" i="3"/>
  <c r="C178" i="3" s="1"/>
  <c r="B157" i="3"/>
  <c r="C157" i="3" s="1"/>
  <c r="B134" i="3"/>
  <c r="C134" i="3" s="1"/>
  <c r="B102" i="3"/>
  <c r="C102" i="3" s="1"/>
  <c r="B70" i="3"/>
  <c r="C70" i="3" s="1"/>
  <c r="B38" i="3"/>
  <c r="C38" i="3" s="1"/>
  <c r="B212" i="3"/>
  <c r="C212" i="3" s="1"/>
  <c r="B196" i="3"/>
  <c r="C196" i="3" s="1"/>
  <c r="B180" i="3"/>
  <c r="C180" i="3" s="1"/>
  <c r="B164" i="3"/>
  <c r="C164" i="3" s="1"/>
  <c r="B148" i="3"/>
  <c r="C148" i="3" s="1"/>
  <c r="B132" i="3"/>
  <c r="C132" i="3" s="1"/>
  <c r="B116" i="3"/>
  <c r="C116" i="3" s="1"/>
  <c r="B100" i="3"/>
  <c r="C100" i="3" s="1"/>
  <c r="B84" i="3"/>
  <c r="C84" i="3" s="1"/>
  <c r="B68" i="3"/>
  <c r="C68" i="3" s="1"/>
  <c r="B52" i="3"/>
  <c r="C52" i="3" s="1"/>
  <c r="B36" i="3"/>
  <c r="C36" i="3" s="1"/>
  <c r="B20" i="3"/>
  <c r="C20" i="3" s="1"/>
  <c r="B129" i="3"/>
  <c r="C129" i="3" s="1"/>
  <c r="B113" i="3"/>
  <c r="C113" i="3" s="1"/>
  <c r="B81" i="3"/>
  <c r="C81" i="3" s="1"/>
  <c r="B49" i="3"/>
  <c r="C49" i="3" s="1"/>
  <c r="B224" i="3"/>
  <c r="C224" i="3" s="1"/>
  <c r="G4" i="2"/>
  <c r="B222" i="3"/>
  <c r="C222" i="3" s="1"/>
  <c r="B259" i="3"/>
  <c r="C259" i="3" s="1"/>
  <c r="B255" i="3"/>
  <c r="C255" i="3" s="1"/>
  <c r="B283" i="3"/>
  <c r="C283" i="3" s="1"/>
  <c r="B242" i="3"/>
  <c r="C242" i="3" s="1"/>
  <c r="B292" i="3"/>
  <c r="C292" i="3" s="1"/>
  <c r="B228" i="3"/>
  <c r="C228" i="3" s="1"/>
  <c r="B105" i="3"/>
  <c r="C105" i="3" s="1"/>
  <c r="B89" i="3"/>
  <c r="C89" i="3" s="1"/>
  <c r="B73" i="3"/>
  <c r="C73" i="3" s="1"/>
  <c r="B57" i="3"/>
  <c r="C57" i="3" s="1"/>
  <c r="B41" i="3"/>
  <c r="C41" i="3" s="1"/>
  <c r="B25" i="3"/>
  <c r="C25" i="3" s="1"/>
  <c r="B262" i="3"/>
  <c r="C262" i="3" s="1"/>
  <c r="B306" i="3"/>
  <c r="C306" i="3" s="1"/>
  <c r="B221" i="3"/>
  <c r="C221" i="3" s="1"/>
  <c r="B276" i="3"/>
  <c r="C276" i="3" s="1"/>
  <c r="B101" i="3"/>
  <c r="C101" i="3" s="1"/>
  <c r="B85" i="3"/>
  <c r="C85" i="3" s="1"/>
  <c r="B69" i="3"/>
  <c r="C69" i="3" s="1"/>
  <c r="B53" i="3"/>
  <c r="C53" i="3" s="1"/>
  <c r="B37" i="3"/>
  <c r="C37" i="3" s="1"/>
  <c r="B265" i="3"/>
  <c r="C265" i="3" s="1"/>
  <c r="B302" i="3"/>
  <c r="C302" i="3" s="1"/>
  <c r="B298" i="3"/>
  <c r="C298" i="3" s="1"/>
  <c r="B305" i="3"/>
  <c r="C305" i="3" s="1"/>
  <c r="B219" i="3"/>
  <c r="C219" i="3" s="1"/>
  <c r="B263" i="3"/>
  <c r="C263" i="3" s="1"/>
  <c r="B308" i="3"/>
  <c r="C308" i="3" s="1"/>
  <c r="B244" i="3"/>
  <c r="C244" i="3" s="1"/>
  <c r="B303" i="3"/>
  <c r="C303" i="3" s="1"/>
  <c r="B286" i="3"/>
  <c r="C286" i="3" s="1"/>
  <c r="B243" i="3"/>
  <c r="C243" i="3" s="1"/>
  <c r="B281" i="3"/>
  <c r="C281" i="3" s="1"/>
  <c r="B319" i="3"/>
  <c r="C319" i="3" s="1"/>
  <c r="B315" i="3"/>
  <c r="C315" i="3" s="1"/>
  <c r="B273" i="3"/>
  <c r="C273" i="3" s="1"/>
  <c r="B251" i="3"/>
  <c r="C251" i="3" s="1"/>
  <c r="B230" i="3"/>
  <c r="C230" i="3" s="1"/>
  <c r="B317" i="3"/>
  <c r="C317" i="3" s="1"/>
  <c r="B295" i="3"/>
  <c r="C295" i="3" s="1"/>
  <c r="B274" i="3"/>
  <c r="C274" i="3" s="1"/>
  <c r="B253" i="3"/>
  <c r="C253" i="3" s="1"/>
  <c r="B231" i="3"/>
  <c r="C231" i="3" s="1"/>
  <c r="B316" i="3"/>
  <c r="C316" i="3" s="1"/>
  <c r="B300" i="3"/>
  <c r="C300" i="3" s="1"/>
  <c r="B284" i="3"/>
  <c r="C284" i="3" s="1"/>
  <c r="B268" i="3"/>
  <c r="C268" i="3" s="1"/>
  <c r="B252" i="3"/>
  <c r="C252" i="3" s="1"/>
  <c r="B236" i="3"/>
  <c r="C236" i="3" s="1"/>
  <c r="B220" i="3"/>
  <c r="C220" i="3" s="1"/>
  <c r="B271" i="3"/>
  <c r="C271" i="3" s="1"/>
  <c r="B239" i="3"/>
  <c r="C239" i="3" s="1"/>
  <c r="B238" i="3"/>
  <c r="C238" i="3" s="1"/>
  <c r="B277" i="3"/>
  <c r="C277" i="3" s="1"/>
  <c r="B234" i="3"/>
  <c r="C234" i="3" s="1"/>
  <c r="B294" i="3"/>
  <c r="C294" i="3" s="1"/>
  <c r="B250" i="3"/>
  <c r="C250" i="3" s="1"/>
  <c r="B229" i="3"/>
  <c r="C229" i="3" s="1"/>
  <c r="B261" i="3"/>
  <c r="C261" i="3" s="1"/>
  <c r="B293" i="3"/>
  <c r="C293" i="3" s="1"/>
  <c r="B318" i="3"/>
  <c r="C318" i="3" s="1"/>
  <c r="B275" i="3"/>
  <c r="C275" i="3" s="1"/>
  <c r="B233" i="3"/>
  <c r="C233" i="3" s="1"/>
  <c r="B313" i="3"/>
  <c r="C313" i="3" s="1"/>
  <c r="B270" i="3"/>
  <c r="C270" i="3" s="1"/>
  <c r="B227" i="3"/>
  <c r="C227" i="3" s="1"/>
  <c r="B309" i="3"/>
  <c r="C309" i="3" s="1"/>
  <c r="B266" i="3"/>
  <c r="C266" i="3" s="1"/>
  <c r="B223" i="3"/>
  <c r="C223" i="3" s="1"/>
  <c r="B310" i="3"/>
  <c r="C310" i="3" s="1"/>
  <c r="B289" i="3"/>
  <c r="C289" i="3" s="1"/>
  <c r="B267" i="3"/>
  <c r="C267" i="3" s="1"/>
  <c r="B246" i="3"/>
  <c r="C246" i="3" s="1"/>
  <c r="B225" i="3"/>
  <c r="C225" i="3" s="1"/>
  <c r="B311" i="3"/>
  <c r="C311" i="3" s="1"/>
  <c r="B290" i="3"/>
  <c r="C290" i="3" s="1"/>
  <c r="B269" i="3"/>
  <c r="C269" i="3" s="1"/>
  <c r="B247" i="3"/>
  <c r="C247" i="3" s="1"/>
  <c r="B226" i="3"/>
  <c r="C226" i="3" s="1"/>
  <c r="B312" i="3"/>
  <c r="C312" i="3" s="1"/>
  <c r="B296" i="3"/>
  <c r="C296" i="3" s="1"/>
  <c r="B280" i="3"/>
  <c r="C280" i="3" s="1"/>
  <c r="B264" i="3"/>
  <c r="C264" i="3" s="1"/>
  <c r="B248" i="3"/>
  <c r="C248" i="3" s="1"/>
  <c r="B232" i="3"/>
  <c r="C232" i="3" s="1"/>
  <c r="B314" i="3"/>
  <c r="C314" i="3" s="1"/>
  <c r="B282" i="3"/>
  <c r="C282" i="3" s="1"/>
  <c r="B297" i="3"/>
  <c r="C297" i="3" s="1"/>
  <c r="B254" i="3"/>
  <c r="C254" i="3" s="1"/>
  <c r="B291" i="3"/>
  <c r="C291" i="3" s="1"/>
  <c r="B249" i="3"/>
  <c r="C249" i="3" s="1"/>
  <c r="B287" i="3"/>
  <c r="C287" i="3" s="1"/>
  <c r="B245" i="3"/>
  <c r="C245" i="3" s="1"/>
  <c r="B299" i="3"/>
  <c r="C299" i="3" s="1"/>
  <c r="B278" i="3"/>
  <c r="C278" i="3" s="1"/>
  <c r="B257" i="3"/>
  <c r="C257" i="3" s="1"/>
  <c r="B235" i="3"/>
  <c r="C235" i="3" s="1"/>
  <c r="B301" i="3"/>
  <c r="C301" i="3" s="1"/>
  <c r="B279" i="3"/>
  <c r="C279" i="3" s="1"/>
  <c r="B258" i="3"/>
  <c r="C258" i="3" s="1"/>
  <c r="B237" i="3"/>
  <c r="C237" i="3" s="1"/>
  <c r="B304" i="3"/>
  <c r="C304" i="3" s="1"/>
  <c r="B288" i="3"/>
  <c r="C288" i="3" s="1"/>
  <c r="B272" i="3"/>
  <c r="C272" i="3" s="1"/>
  <c r="B256" i="3"/>
  <c r="C256" i="3" s="1"/>
  <c r="B240" i="3"/>
  <c r="C240" i="3" s="1"/>
  <c r="A12" i="3"/>
  <c r="C20" i="1"/>
  <c r="C19" i="1"/>
  <c r="C18" i="1"/>
  <c r="C17" i="1"/>
  <c r="C16" i="1"/>
  <c r="C7" i="1"/>
  <c r="C6" i="1"/>
  <c r="C5" i="1"/>
  <c r="C15" i="3" s="1"/>
  <c r="A13" i="1"/>
  <c r="A14" i="1"/>
  <c r="A15" i="1"/>
  <c r="A16" i="1"/>
  <c r="A17" i="1"/>
  <c r="A18" i="1"/>
  <c r="A19" i="1"/>
  <c r="A20" i="1"/>
  <c r="A6" i="1"/>
  <c r="A7" i="1"/>
  <c r="A8" i="1"/>
  <c r="A9" i="1"/>
  <c r="A10" i="1"/>
  <c r="A11" i="1"/>
  <c r="A12" i="1"/>
  <c r="A5" i="1"/>
  <c r="D15" i="3" l="1"/>
  <c r="C1822" i="3"/>
  <c r="C1826" i="3"/>
  <c r="C1830" i="3"/>
  <c r="C1834" i="3"/>
  <c r="C1836" i="3"/>
  <c r="C1840" i="3"/>
  <c r="C1847" i="3"/>
  <c r="C1849" i="3"/>
  <c r="C1851" i="3"/>
  <c r="C1853" i="3"/>
  <c r="C1862" i="3"/>
  <c r="C1866" i="3"/>
  <c r="C1868" i="3"/>
  <c r="C1872" i="3"/>
  <c r="C1879" i="3"/>
  <c r="C1881" i="3"/>
  <c r="C1883" i="3"/>
  <c r="C1885" i="3"/>
  <c r="C1894" i="3"/>
  <c r="C1898" i="3"/>
  <c r="C1902" i="3"/>
  <c r="C1906" i="3"/>
  <c r="C1910" i="3"/>
  <c r="C1914" i="3"/>
  <c r="C1918" i="3"/>
  <c r="C1922" i="3"/>
  <c r="C1926" i="3"/>
  <c r="C1930" i="3"/>
  <c r="C1934" i="3"/>
  <c r="C1938" i="3"/>
  <c r="C1942" i="3"/>
  <c r="C1946" i="3"/>
  <c r="C1950" i="3"/>
  <c r="C1954" i="3"/>
  <c r="C1958" i="3"/>
  <c r="C1962" i="3"/>
  <c r="C1966" i="3"/>
  <c r="C1970" i="3"/>
  <c r="C1974" i="3"/>
  <c r="C1978" i="3"/>
  <c r="C1982" i="3"/>
  <c r="C1986" i="3"/>
  <c r="C1990" i="3"/>
  <c r="C1994" i="3"/>
  <c r="C1998" i="3"/>
  <c r="C2002" i="3"/>
  <c r="C2006" i="3"/>
  <c r="C2010" i="3"/>
  <c r="C2014" i="3"/>
  <c r="C2018" i="3"/>
  <c r="C1838" i="3"/>
  <c r="C1857" i="3"/>
  <c r="C1861" i="3"/>
  <c r="C1880" i="3"/>
  <c r="C1887" i="3"/>
  <c r="C1891" i="3"/>
  <c r="C1899" i="3"/>
  <c r="C1907" i="3"/>
  <c r="D1907" i="3" s="1"/>
  <c r="C1911" i="3"/>
  <c r="D1911" i="3" s="1"/>
  <c r="C1915" i="3"/>
  <c r="D1915" i="3" s="1"/>
  <c r="C1971" i="3"/>
  <c r="C2015" i="3"/>
  <c r="C1833" i="3"/>
  <c r="C1846" i="3"/>
  <c r="C1856" i="3"/>
  <c r="C1869" i="3"/>
  <c r="C1878" i="3"/>
  <c r="C1884" i="3"/>
  <c r="C1895" i="3"/>
  <c r="C1901" i="3"/>
  <c r="C1909" i="3"/>
  <c r="C1821" i="3"/>
  <c r="C1825" i="3"/>
  <c r="C1829" i="3"/>
  <c r="C1844" i="3"/>
  <c r="C1874" i="3"/>
  <c r="C1889" i="3"/>
  <c r="C1943" i="3"/>
  <c r="C1979" i="3"/>
  <c r="C1991" i="3"/>
  <c r="C1850" i="3"/>
  <c r="C1867" i="3"/>
  <c r="C1888" i="3"/>
  <c r="D1888" i="3" s="1"/>
  <c r="C1897" i="3"/>
  <c r="C1837" i="3"/>
  <c r="D1837" i="3" s="1"/>
  <c r="C1865" i="3"/>
  <c r="C1882" i="3"/>
  <c r="C1921" i="3"/>
  <c r="C1820" i="3"/>
  <c r="C1824" i="3"/>
  <c r="C1828" i="3"/>
  <c r="C1832" i="3"/>
  <c r="C1839" i="3"/>
  <c r="C1841" i="3"/>
  <c r="D1841" i="3" s="1"/>
  <c r="C1843" i="3"/>
  <c r="C1845" i="3"/>
  <c r="C1854" i="3"/>
  <c r="C1858" i="3"/>
  <c r="C1860" i="3"/>
  <c r="C1864" i="3"/>
  <c r="C1871" i="3"/>
  <c r="C1873" i="3"/>
  <c r="D1873" i="3" s="1"/>
  <c r="C1875" i="3"/>
  <c r="C1877" i="3"/>
  <c r="C1886" i="3"/>
  <c r="C1890" i="3"/>
  <c r="C1892" i="3"/>
  <c r="C1896" i="3"/>
  <c r="C1900" i="3"/>
  <c r="D1900" i="3" s="1"/>
  <c r="C1904" i="3"/>
  <c r="C1908" i="3"/>
  <c r="C1912" i="3"/>
  <c r="C1916" i="3"/>
  <c r="C1920" i="3"/>
  <c r="C1924" i="3"/>
  <c r="C1928" i="3"/>
  <c r="C1932" i="3"/>
  <c r="C1936" i="3"/>
  <c r="C1940" i="3"/>
  <c r="C1944" i="3"/>
  <c r="C1948" i="3"/>
  <c r="C1952" i="3"/>
  <c r="C1956" i="3"/>
  <c r="C1960" i="3"/>
  <c r="C1964" i="3"/>
  <c r="C1968" i="3"/>
  <c r="C1972" i="3"/>
  <c r="C1976" i="3"/>
  <c r="C1980" i="3"/>
  <c r="C1984" i="3"/>
  <c r="C1988" i="3"/>
  <c r="C1992" i="3"/>
  <c r="D1992" i="3" s="1"/>
  <c r="C1996" i="3"/>
  <c r="C2000" i="3"/>
  <c r="C2004" i="3"/>
  <c r="C2008" i="3"/>
  <c r="C2012" i="3"/>
  <c r="C2016" i="3"/>
  <c r="C1842" i="3"/>
  <c r="C1848" i="3"/>
  <c r="C1855" i="3"/>
  <c r="D1855" i="3" s="1"/>
  <c r="C1859" i="3"/>
  <c r="D1859" i="3" s="1"/>
  <c r="C1870" i="3"/>
  <c r="C1876" i="3"/>
  <c r="C1893" i="3"/>
  <c r="C1903" i="3"/>
  <c r="C1919" i="3"/>
  <c r="C1923" i="3"/>
  <c r="C1927" i="3"/>
  <c r="C1931" i="3"/>
  <c r="C1935" i="3"/>
  <c r="C1939" i="3"/>
  <c r="C1947" i="3"/>
  <c r="C1951" i="3"/>
  <c r="C1955" i="3"/>
  <c r="C1959" i="3"/>
  <c r="C1963" i="3"/>
  <c r="C1967" i="3"/>
  <c r="C1975" i="3"/>
  <c r="D1975" i="3" s="1"/>
  <c r="C1983" i="3"/>
  <c r="C1987" i="3"/>
  <c r="C1995" i="3"/>
  <c r="C1999" i="3"/>
  <c r="C2003" i="3"/>
  <c r="C2007" i="3"/>
  <c r="C2011" i="3"/>
  <c r="C1819" i="3"/>
  <c r="D1819" i="3" s="1"/>
  <c r="C1823" i="3"/>
  <c r="C1827" i="3"/>
  <c r="C1831" i="3"/>
  <c r="C1835" i="3"/>
  <c r="C1852" i="3"/>
  <c r="C1863" i="3"/>
  <c r="C1905" i="3"/>
  <c r="D1905" i="3" s="1"/>
  <c r="C1913" i="3"/>
  <c r="C1917" i="3"/>
  <c r="C1953" i="3"/>
  <c r="C1961" i="3"/>
  <c r="C2009" i="3"/>
  <c r="C2017" i="3"/>
  <c r="C1929" i="3"/>
  <c r="C1937" i="3"/>
  <c r="D1937" i="3" s="1"/>
  <c r="C1945" i="3"/>
  <c r="C1969" i="3"/>
  <c r="C1977" i="3"/>
  <c r="C1985" i="3"/>
  <c r="D1985" i="3" s="1"/>
  <c r="C1993" i="3"/>
  <c r="C2001" i="3"/>
  <c r="C1925" i="3"/>
  <c r="C1933" i="3"/>
  <c r="C1941" i="3"/>
  <c r="D1941" i="3" s="1"/>
  <c r="C1949" i="3"/>
  <c r="C1957" i="3"/>
  <c r="C1965" i="3"/>
  <c r="C1973" i="3"/>
  <c r="D1973" i="3" s="1"/>
  <c r="C1981" i="3"/>
  <c r="C1989" i="3"/>
  <c r="C1997" i="3"/>
  <c r="C2005" i="3"/>
  <c r="D2005" i="3" s="1"/>
  <c r="C2013" i="3"/>
  <c r="E19" i="3"/>
  <c r="B31" i="1"/>
  <c r="C31" i="1" s="1"/>
  <c r="B35" i="1"/>
  <c r="C35" i="1" s="1"/>
  <c r="B39" i="1"/>
  <c r="C39" i="1" s="1"/>
  <c r="B43" i="1"/>
  <c r="C43" i="1" s="1"/>
  <c r="B47" i="1"/>
  <c r="C47" i="1" s="1"/>
  <c r="B51" i="1"/>
  <c r="C51" i="1" s="1"/>
  <c r="B55" i="1"/>
  <c r="C55" i="1" s="1"/>
  <c r="B59" i="1"/>
  <c r="C59" i="1" s="1"/>
  <c r="B63" i="1"/>
  <c r="C63" i="1" s="1"/>
  <c r="B67" i="1"/>
  <c r="C67" i="1" s="1"/>
  <c r="B71" i="1"/>
  <c r="C71" i="1" s="1"/>
  <c r="B75" i="1"/>
  <c r="C75" i="1" s="1"/>
  <c r="B79" i="1"/>
  <c r="C79" i="1" s="1"/>
  <c r="B83" i="1"/>
  <c r="C83" i="1" s="1"/>
  <c r="B87" i="1"/>
  <c r="C87" i="1" s="1"/>
  <c r="B91" i="1"/>
  <c r="C91" i="1" s="1"/>
  <c r="B95" i="1"/>
  <c r="C95" i="1" s="1"/>
  <c r="B99" i="1"/>
  <c r="C99" i="1" s="1"/>
  <c r="B103" i="1"/>
  <c r="C103" i="1" s="1"/>
  <c r="B107" i="1"/>
  <c r="C107" i="1" s="1"/>
  <c r="B111" i="1"/>
  <c r="C111" i="1" s="1"/>
  <c r="B28" i="1"/>
  <c r="C28" i="1" s="1"/>
  <c r="B32" i="1"/>
  <c r="C32" i="1" s="1"/>
  <c r="B36" i="1"/>
  <c r="C36" i="1" s="1"/>
  <c r="B40" i="1"/>
  <c r="C40" i="1" s="1"/>
  <c r="B44" i="1"/>
  <c r="C44" i="1" s="1"/>
  <c r="D44" i="1" s="1"/>
  <c r="B48" i="1"/>
  <c r="C48" i="1" s="1"/>
  <c r="B52" i="1"/>
  <c r="C52" i="1" s="1"/>
  <c r="B56" i="1"/>
  <c r="C56" i="1" s="1"/>
  <c r="B60" i="1"/>
  <c r="C60" i="1" s="1"/>
  <c r="B64" i="1"/>
  <c r="C64" i="1" s="1"/>
  <c r="D64" i="1" s="1"/>
  <c r="B68" i="1"/>
  <c r="C68" i="1" s="1"/>
  <c r="B72" i="1"/>
  <c r="C72" i="1" s="1"/>
  <c r="B76" i="1"/>
  <c r="C76" i="1" s="1"/>
  <c r="B80" i="1"/>
  <c r="C80" i="1" s="1"/>
  <c r="B84" i="1"/>
  <c r="C84" i="1" s="1"/>
  <c r="D84" i="1" s="1"/>
  <c r="B88" i="1"/>
  <c r="C88" i="1" s="1"/>
  <c r="B92" i="1"/>
  <c r="C92" i="1" s="1"/>
  <c r="B96" i="1"/>
  <c r="C96" i="1" s="1"/>
  <c r="B100" i="1"/>
  <c r="C100" i="1" s="1"/>
  <c r="B104" i="1"/>
  <c r="C104" i="1" s="1"/>
  <c r="B108" i="1"/>
  <c r="C108" i="1" s="1"/>
  <c r="B112" i="1"/>
  <c r="C112" i="1" s="1"/>
  <c r="B30" i="1"/>
  <c r="C30" i="1" s="1"/>
  <c r="B38" i="1"/>
  <c r="C38" i="1" s="1"/>
  <c r="B46" i="1"/>
  <c r="C46" i="1" s="1"/>
  <c r="B54" i="1"/>
  <c r="C54" i="1" s="1"/>
  <c r="B62" i="1"/>
  <c r="C62" i="1" s="1"/>
  <c r="B70" i="1"/>
  <c r="C70" i="1" s="1"/>
  <c r="B78" i="1"/>
  <c r="C78" i="1" s="1"/>
  <c r="B86" i="1"/>
  <c r="C86" i="1" s="1"/>
  <c r="B94" i="1"/>
  <c r="C94" i="1" s="1"/>
  <c r="B102" i="1"/>
  <c r="C102" i="1" s="1"/>
  <c r="B110" i="1"/>
  <c r="C110" i="1" s="1"/>
  <c r="B116" i="1"/>
  <c r="C116" i="1" s="1"/>
  <c r="B120" i="1"/>
  <c r="C120" i="1" s="1"/>
  <c r="B124" i="1"/>
  <c r="C124" i="1" s="1"/>
  <c r="D124" i="1" s="1"/>
  <c r="B128" i="1"/>
  <c r="C128" i="1" s="1"/>
  <c r="B132" i="1"/>
  <c r="C132" i="1" s="1"/>
  <c r="B136" i="1"/>
  <c r="C136" i="1" s="1"/>
  <c r="B140" i="1"/>
  <c r="C140" i="1" s="1"/>
  <c r="B144" i="1"/>
  <c r="C144" i="1" s="1"/>
  <c r="B148" i="1"/>
  <c r="C148" i="1" s="1"/>
  <c r="B152" i="1"/>
  <c r="C152" i="1" s="1"/>
  <c r="B156" i="1"/>
  <c r="C156" i="1" s="1"/>
  <c r="B33" i="1"/>
  <c r="C33" i="1" s="1"/>
  <c r="B41" i="1"/>
  <c r="C41" i="1" s="1"/>
  <c r="B49" i="1"/>
  <c r="C49" i="1" s="1"/>
  <c r="B57" i="1"/>
  <c r="C57" i="1" s="1"/>
  <c r="B65" i="1"/>
  <c r="C65" i="1" s="1"/>
  <c r="B73" i="1"/>
  <c r="C73" i="1" s="1"/>
  <c r="B81" i="1"/>
  <c r="C81" i="1" s="1"/>
  <c r="B89" i="1"/>
  <c r="C89" i="1" s="1"/>
  <c r="D89" i="1" s="1"/>
  <c r="B97" i="1"/>
  <c r="C97" i="1" s="1"/>
  <c r="B105" i="1"/>
  <c r="C105" i="1" s="1"/>
  <c r="B113" i="1"/>
  <c r="C113" i="1" s="1"/>
  <c r="B117" i="1"/>
  <c r="C117" i="1" s="1"/>
  <c r="B121" i="1"/>
  <c r="C121" i="1" s="1"/>
  <c r="B125" i="1"/>
  <c r="C125" i="1" s="1"/>
  <c r="B129" i="1"/>
  <c r="C129" i="1" s="1"/>
  <c r="B133" i="1"/>
  <c r="C133" i="1" s="1"/>
  <c r="B137" i="1"/>
  <c r="C137" i="1" s="1"/>
  <c r="B141" i="1"/>
  <c r="C141" i="1" s="1"/>
  <c r="B145" i="1"/>
  <c r="C145" i="1" s="1"/>
  <c r="B149" i="1"/>
  <c r="C149" i="1" s="1"/>
  <c r="B153" i="1"/>
  <c r="C153" i="1" s="1"/>
  <c r="B157" i="1"/>
  <c r="C157" i="1" s="1"/>
  <c r="B161" i="1"/>
  <c r="C161" i="1" s="1"/>
  <c r="B165" i="1"/>
  <c r="C165" i="1" s="1"/>
  <c r="B169" i="1"/>
  <c r="C169" i="1" s="1"/>
  <c r="B173" i="1"/>
  <c r="C173" i="1" s="1"/>
  <c r="B177" i="1"/>
  <c r="C177" i="1" s="1"/>
  <c r="B181" i="1"/>
  <c r="C181" i="1" s="1"/>
  <c r="B185" i="1"/>
  <c r="C185" i="1" s="1"/>
  <c r="B189" i="1"/>
  <c r="C189" i="1" s="1"/>
  <c r="B193" i="1"/>
  <c r="C193" i="1" s="1"/>
  <c r="B197" i="1"/>
  <c r="C197" i="1" s="1"/>
  <c r="B201" i="1"/>
  <c r="C201" i="1" s="1"/>
  <c r="B205" i="1"/>
  <c r="C205" i="1" s="1"/>
  <c r="B209" i="1"/>
  <c r="C209" i="1" s="1"/>
  <c r="B213" i="1"/>
  <c r="C213" i="1" s="1"/>
  <c r="B217" i="1"/>
  <c r="C217" i="1" s="1"/>
  <c r="B221" i="1"/>
  <c r="C221" i="1" s="1"/>
  <c r="B225" i="1"/>
  <c r="C225" i="1" s="1"/>
  <c r="B229" i="1"/>
  <c r="C229" i="1" s="1"/>
  <c r="B233" i="1"/>
  <c r="C233" i="1" s="1"/>
  <c r="B237" i="1"/>
  <c r="C237" i="1" s="1"/>
  <c r="B241" i="1"/>
  <c r="C241" i="1" s="1"/>
  <c r="B245" i="1"/>
  <c r="C245" i="1" s="1"/>
  <c r="B249" i="1"/>
  <c r="C249" i="1" s="1"/>
  <c r="B253" i="1"/>
  <c r="C253" i="1" s="1"/>
  <c r="B257" i="1"/>
  <c r="C257" i="1" s="1"/>
  <c r="B261" i="1"/>
  <c r="C261" i="1" s="1"/>
  <c r="B265" i="1"/>
  <c r="C265" i="1" s="1"/>
  <c r="B269" i="1"/>
  <c r="C269" i="1" s="1"/>
  <c r="B273" i="1"/>
  <c r="C273" i="1" s="1"/>
  <c r="B277" i="1"/>
  <c r="C277" i="1" s="1"/>
  <c r="B281" i="1"/>
  <c r="C281" i="1" s="1"/>
  <c r="B285" i="1"/>
  <c r="C285" i="1" s="1"/>
  <c r="B289" i="1"/>
  <c r="C289" i="1" s="1"/>
  <c r="B293" i="1"/>
  <c r="C293" i="1" s="1"/>
  <c r="B297" i="1"/>
  <c r="C297" i="1" s="1"/>
  <c r="B301" i="1"/>
  <c r="C301" i="1" s="1"/>
  <c r="B305" i="1"/>
  <c r="C305" i="1" s="1"/>
  <c r="B309" i="1"/>
  <c r="C309" i="1" s="1"/>
  <c r="B313" i="1"/>
  <c r="C313" i="1" s="1"/>
  <c r="B317" i="1"/>
  <c r="C317" i="1" s="1"/>
  <c r="B321" i="1"/>
  <c r="C321" i="1" s="1"/>
  <c r="B325" i="1"/>
  <c r="C325" i="1" s="1"/>
  <c r="B329" i="1"/>
  <c r="C329" i="1" s="1"/>
  <c r="B333" i="1"/>
  <c r="C333" i="1" s="1"/>
  <c r="B337" i="1"/>
  <c r="C337" i="1" s="1"/>
  <c r="B341" i="1"/>
  <c r="C341" i="1" s="1"/>
  <c r="B345" i="1"/>
  <c r="C345" i="1" s="1"/>
  <c r="B349" i="1"/>
  <c r="C349" i="1" s="1"/>
  <c r="B353" i="1"/>
  <c r="C353" i="1" s="1"/>
  <c r="B34" i="1"/>
  <c r="C34" i="1" s="1"/>
  <c r="B42" i="1"/>
  <c r="C42" i="1" s="1"/>
  <c r="B50" i="1"/>
  <c r="C50" i="1" s="1"/>
  <c r="B58" i="1"/>
  <c r="C58" i="1" s="1"/>
  <c r="B66" i="1"/>
  <c r="C66" i="1" s="1"/>
  <c r="B74" i="1"/>
  <c r="C74" i="1" s="1"/>
  <c r="B82" i="1"/>
  <c r="C82" i="1" s="1"/>
  <c r="B90" i="1"/>
  <c r="C90" i="1" s="1"/>
  <c r="B98" i="1"/>
  <c r="C98" i="1" s="1"/>
  <c r="B106" i="1"/>
  <c r="C106" i="1" s="1"/>
  <c r="B114" i="1"/>
  <c r="C114" i="1" s="1"/>
  <c r="B118" i="1"/>
  <c r="C118" i="1" s="1"/>
  <c r="B122" i="1"/>
  <c r="C122" i="1" s="1"/>
  <c r="B126" i="1"/>
  <c r="C126" i="1" s="1"/>
  <c r="B130" i="1"/>
  <c r="C130" i="1" s="1"/>
  <c r="B134" i="1"/>
  <c r="C134" i="1" s="1"/>
  <c r="B138" i="1"/>
  <c r="C138" i="1" s="1"/>
  <c r="B142" i="1"/>
  <c r="C142" i="1" s="1"/>
  <c r="B146" i="1"/>
  <c r="C146" i="1" s="1"/>
  <c r="B150" i="1"/>
  <c r="C150" i="1" s="1"/>
  <c r="B154" i="1"/>
  <c r="C154" i="1" s="1"/>
  <c r="B158" i="1"/>
  <c r="C158" i="1" s="1"/>
  <c r="B162" i="1"/>
  <c r="C162" i="1" s="1"/>
  <c r="B166" i="1"/>
  <c r="C166" i="1" s="1"/>
  <c r="B170" i="1"/>
  <c r="C170" i="1" s="1"/>
  <c r="B174" i="1"/>
  <c r="C174" i="1" s="1"/>
  <c r="B178" i="1"/>
  <c r="C178" i="1" s="1"/>
  <c r="B182" i="1"/>
  <c r="C182" i="1" s="1"/>
  <c r="B186" i="1"/>
  <c r="C186" i="1" s="1"/>
  <c r="B190" i="1"/>
  <c r="C190" i="1" s="1"/>
  <c r="B194" i="1"/>
  <c r="C194" i="1" s="1"/>
  <c r="B198" i="1"/>
  <c r="C198" i="1" s="1"/>
  <c r="B202" i="1"/>
  <c r="C202" i="1" s="1"/>
  <c r="B206" i="1"/>
  <c r="C206" i="1" s="1"/>
  <c r="B210" i="1"/>
  <c r="C210" i="1" s="1"/>
  <c r="B214" i="1"/>
  <c r="C214" i="1" s="1"/>
  <c r="B218" i="1"/>
  <c r="C218" i="1" s="1"/>
  <c r="B222" i="1"/>
  <c r="C222" i="1" s="1"/>
  <c r="B226" i="1"/>
  <c r="C226" i="1" s="1"/>
  <c r="B230" i="1"/>
  <c r="C230" i="1" s="1"/>
  <c r="B234" i="1"/>
  <c r="C234" i="1" s="1"/>
  <c r="B238" i="1"/>
  <c r="C238" i="1" s="1"/>
  <c r="B242" i="1"/>
  <c r="C242" i="1" s="1"/>
  <c r="B246" i="1"/>
  <c r="C246" i="1" s="1"/>
  <c r="B250" i="1"/>
  <c r="C250" i="1" s="1"/>
  <c r="B254" i="1"/>
  <c r="C254" i="1" s="1"/>
  <c r="B258" i="1"/>
  <c r="C258" i="1" s="1"/>
  <c r="B262" i="1"/>
  <c r="C262" i="1" s="1"/>
  <c r="B266" i="1"/>
  <c r="C266" i="1" s="1"/>
  <c r="B270" i="1"/>
  <c r="C270" i="1" s="1"/>
  <c r="B274" i="1"/>
  <c r="C274" i="1" s="1"/>
  <c r="D274" i="1" s="1"/>
  <c r="B278" i="1"/>
  <c r="C278" i="1" s="1"/>
  <c r="B37" i="1"/>
  <c r="C37" i="1" s="1"/>
  <c r="B69" i="1"/>
  <c r="C69" i="1" s="1"/>
  <c r="B101" i="1"/>
  <c r="C101" i="1" s="1"/>
  <c r="B123" i="1"/>
  <c r="C123" i="1" s="1"/>
  <c r="B139" i="1"/>
  <c r="C139" i="1" s="1"/>
  <c r="D139" i="1" s="1"/>
  <c r="B155" i="1"/>
  <c r="C155" i="1" s="1"/>
  <c r="B164" i="1"/>
  <c r="C164" i="1" s="1"/>
  <c r="D164" i="1" s="1"/>
  <c r="B172" i="1"/>
  <c r="C172" i="1" s="1"/>
  <c r="B180" i="1"/>
  <c r="C180" i="1" s="1"/>
  <c r="B188" i="1"/>
  <c r="C188" i="1" s="1"/>
  <c r="B196" i="1"/>
  <c r="C196" i="1" s="1"/>
  <c r="B204" i="1"/>
  <c r="C204" i="1" s="1"/>
  <c r="D204" i="1" s="1"/>
  <c r="B212" i="1"/>
  <c r="C212" i="1" s="1"/>
  <c r="B220" i="1"/>
  <c r="C220" i="1" s="1"/>
  <c r="B228" i="1"/>
  <c r="C228" i="1" s="1"/>
  <c r="B236" i="1"/>
  <c r="C236" i="1" s="1"/>
  <c r="B244" i="1"/>
  <c r="C244" i="1" s="1"/>
  <c r="B252" i="1"/>
  <c r="C252" i="1" s="1"/>
  <c r="B260" i="1"/>
  <c r="C260" i="1" s="1"/>
  <c r="B268" i="1"/>
  <c r="C268" i="1" s="1"/>
  <c r="B276" i="1"/>
  <c r="C276" i="1" s="1"/>
  <c r="B283" i="1"/>
  <c r="C283" i="1" s="1"/>
  <c r="B288" i="1"/>
  <c r="C288" i="1" s="1"/>
  <c r="B294" i="1"/>
  <c r="C294" i="1" s="1"/>
  <c r="B299" i="1"/>
  <c r="C299" i="1" s="1"/>
  <c r="B304" i="1"/>
  <c r="C304" i="1" s="1"/>
  <c r="B310" i="1"/>
  <c r="C310" i="1" s="1"/>
  <c r="B315" i="1"/>
  <c r="C315" i="1" s="1"/>
  <c r="B320" i="1"/>
  <c r="C320" i="1" s="1"/>
  <c r="B326" i="1"/>
  <c r="C326" i="1" s="1"/>
  <c r="B331" i="1"/>
  <c r="C331" i="1" s="1"/>
  <c r="B336" i="1"/>
  <c r="C336" i="1" s="1"/>
  <c r="B342" i="1"/>
  <c r="C342" i="1" s="1"/>
  <c r="D342" i="1" s="1"/>
  <c r="B347" i="1"/>
  <c r="C347" i="1" s="1"/>
  <c r="B352" i="1"/>
  <c r="C352" i="1" s="1"/>
  <c r="B357" i="1"/>
  <c r="C357" i="1" s="1"/>
  <c r="B361" i="1"/>
  <c r="C361" i="1" s="1"/>
  <c r="B365" i="1"/>
  <c r="C365" i="1" s="1"/>
  <c r="B369" i="1"/>
  <c r="C369" i="1" s="1"/>
  <c r="B373" i="1"/>
  <c r="C373" i="1" s="1"/>
  <c r="B377" i="1"/>
  <c r="C377" i="1" s="1"/>
  <c r="B381" i="1"/>
  <c r="C381" i="1" s="1"/>
  <c r="B385" i="1"/>
  <c r="C385" i="1" s="1"/>
  <c r="B389" i="1"/>
  <c r="C389" i="1" s="1"/>
  <c r="B393" i="1"/>
  <c r="C393" i="1" s="1"/>
  <c r="B397" i="1"/>
  <c r="C397" i="1" s="1"/>
  <c r="B401" i="1"/>
  <c r="C401" i="1" s="1"/>
  <c r="B405" i="1"/>
  <c r="C405" i="1" s="1"/>
  <c r="B409" i="1"/>
  <c r="C409" i="1" s="1"/>
  <c r="B413" i="1"/>
  <c r="C413" i="1" s="1"/>
  <c r="B417" i="1"/>
  <c r="C417" i="1" s="1"/>
  <c r="B421" i="1"/>
  <c r="C421" i="1" s="1"/>
  <c r="B425" i="1"/>
  <c r="C425" i="1" s="1"/>
  <c r="B429" i="1"/>
  <c r="C429" i="1" s="1"/>
  <c r="B433" i="1"/>
  <c r="C433" i="1" s="1"/>
  <c r="B437" i="1"/>
  <c r="C437" i="1" s="1"/>
  <c r="B441" i="1"/>
  <c r="C441" i="1" s="1"/>
  <c r="B445" i="1"/>
  <c r="C445" i="1" s="1"/>
  <c r="B449" i="1"/>
  <c r="C449" i="1" s="1"/>
  <c r="B453" i="1"/>
  <c r="C453" i="1" s="1"/>
  <c r="B457" i="1"/>
  <c r="C457" i="1" s="1"/>
  <c r="B461" i="1"/>
  <c r="C461" i="1" s="1"/>
  <c r="B465" i="1"/>
  <c r="C465" i="1" s="1"/>
  <c r="B469" i="1"/>
  <c r="C469" i="1" s="1"/>
  <c r="B473" i="1"/>
  <c r="C473" i="1" s="1"/>
  <c r="B477" i="1"/>
  <c r="C477" i="1" s="1"/>
  <c r="B481" i="1"/>
  <c r="C481" i="1" s="1"/>
  <c r="B485" i="1"/>
  <c r="C485" i="1" s="1"/>
  <c r="B489" i="1"/>
  <c r="C489" i="1" s="1"/>
  <c r="B493" i="1"/>
  <c r="C493" i="1" s="1"/>
  <c r="B497" i="1"/>
  <c r="C497" i="1" s="1"/>
  <c r="B501" i="1"/>
  <c r="C501" i="1" s="1"/>
  <c r="B505" i="1"/>
  <c r="C505" i="1" s="1"/>
  <c r="B509" i="1"/>
  <c r="C509" i="1" s="1"/>
  <c r="B513" i="1"/>
  <c r="C513" i="1" s="1"/>
  <c r="B517" i="1"/>
  <c r="C517" i="1" s="1"/>
  <c r="B521" i="1"/>
  <c r="C521" i="1" s="1"/>
  <c r="B525" i="1"/>
  <c r="C525" i="1" s="1"/>
  <c r="B529" i="1"/>
  <c r="C529" i="1" s="1"/>
  <c r="B533" i="1"/>
  <c r="C533" i="1" s="1"/>
  <c r="B537" i="1"/>
  <c r="C537" i="1" s="1"/>
  <c r="B541" i="1"/>
  <c r="C541" i="1" s="1"/>
  <c r="B545" i="1"/>
  <c r="C545" i="1" s="1"/>
  <c r="B549" i="1"/>
  <c r="C549" i="1" s="1"/>
  <c r="B553" i="1"/>
  <c r="C553" i="1" s="1"/>
  <c r="B557" i="1"/>
  <c r="C557" i="1" s="1"/>
  <c r="B561" i="1"/>
  <c r="C561" i="1" s="1"/>
  <c r="B565" i="1"/>
  <c r="C565" i="1" s="1"/>
  <c r="B569" i="1"/>
  <c r="C569" i="1" s="1"/>
  <c r="B573" i="1"/>
  <c r="C573" i="1" s="1"/>
  <c r="B24" i="1"/>
  <c r="C24" i="1" s="1"/>
  <c r="D24" i="1" s="1"/>
  <c r="B29" i="1"/>
  <c r="C29" i="1" s="1"/>
  <c r="B119" i="1"/>
  <c r="C119" i="1" s="1"/>
  <c r="B163" i="1"/>
  <c r="C163" i="1" s="1"/>
  <c r="B187" i="1"/>
  <c r="C187" i="1" s="1"/>
  <c r="B211" i="1"/>
  <c r="C211" i="1" s="1"/>
  <c r="B243" i="1"/>
  <c r="C243" i="1" s="1"/>
  <c r="B275" i="1"/>
  <c r="C275" i="1" s="1"/>
  <c r="B292" i="1"/>
  <c r="C292" i="1" s="1"/>
  <c r="B308" i="1"/>
  <c r="C308" i="1" s="1"/>
  <c r="B319" i="1"/>
  <c r="C319" i="1" s="1"/>
  <c r="B335" i="1"/>
  <c r="C335" i="1" s="1"/>
  <c r="B351" i="1"/>
  <c r="C351" i="1" s="1"/>
  <c r="B364" i="1"/>
  <c r="C364" i="1" s="1"/>
  <c r="B372" i="1"/>
  <c r="C372" i="1" s="1"/>
  <c r="B380" i="1"/>
  <c r="C380" i="1" s="1"/>
  <c r="B392" i="1"/>
  <c r="C392" i="1" s="1"/>
  <c r="B404" i="1"/>
  <c r="C404" i="1" s="1"/>
  <c r="B412" i="1"/>
  <c r="C412" i="1" s="1"/>
  <c r="B424" i="1"/>
  <c r="C424" i="1" s="1"/>
  <c r="D424" i="1" s="1"/>
  <c r="B436" i="1"/>
  <c r="C436" i="1" s="1"/>
  <c r="B448" i="1"/>
  <c r="C448" i="1" s="1"/>
  <c r="B460" i="1"/>
  <c r="C460" i="1" s="1"/>
  <c r="B472" i="1"/>
  <c r="C472" i="1" s="1"/>
  <c r="B484" i="1"/>
  <c r="C484" i="1" s="1"/>
  <c r="B492" i="1"/>
  <c r="C492" i="1" s="1"/>
  <c r="B504" i="1"/>
  <c r="C504" i="1" s="1"/>
  <c r="B512" i="1"/>
  <c r="C512" i="1" s="1"/>
  <c r="B520" i="1"/>
  <c r="C520" i="1" s="1"/>
  <c r="B532" i="1"/>
  <c r="C532" i="1" s="1"/>
  <c r="B544" i="1"/>
  <c r="C544" i="1" s="1"/>
  <c r="B552" i="1"/>
  <c r="C552" i="1" s="1"/>
  <c r="B564" i="1"/>
  <c r="C564" i="1" s="1"/>
  <c r="B572" i="1"/>
  <c r="C572" i="1" s="1"/>
  <c r="B45" i="1"/>
  <c r="C45" i="1" s="1"/>
  <c r="B77" i="1"/>
  <c r="C77" i="1" s="1"/>
  <c r="D77" i="1" s="1"/>
  <c r="B109" i="1"/>
  <c r="C109" i="1" s="1"/>
  <c r="B127" i="1"/>
  <c r="C127" i="1" s="1"/>
  <c r="B143" i="1"/>
  <c r="C143" i="1" s="1"/>
  <c r="B159" i="1"/>
  <c r="C159" i="1" s="1"/>
  <c r="B167" i="1"/>
  <c r="C167" i="1" s="1"/>
  <c r="B175" i="1"/>
  <c r="C175" i="1" s="1"/>
  <c r="B183" i="1"/>
  <c r="C183" i="1" s="1"/>
  <c r="B191" i="1"/>
  <c r="C191" i="1" s="1"/>
  <c r="B199" i="1"/>
  <c r="C199" i="1" s="1"/>
  <c r="B207" i="1"/>
  <c r="C207" i="1" s="1"/>
  <c r="B215" i="1"/>
  <c r="C215" i="1" s="1"/>
  <c r="B223" i="1"/>
  <c r="C223" i="1" s="1"/>
  <c r="D223" i="1" s="1"/>
  <c r="B231" i="1"/>
  <c r="C231" i="1" s="1"/>
  <c r="B239" i="1"/>
  <c r="C239" i="1" s="1"/>
  <c r="B247" i="1"/>
  <c r="C247" i="1" s="1"/>
  <c r="B255" i="1"/>
  <c r="C255" i="1" s="1"/>
  <c r="B263" i="1"/>
  <c r="C263" i="1" s="1"/>
  <c r="B271" i="1"/>
  <c r="C271" i="1" s="1"/>
  <c r="B279" i="1"/>
  <c r="C279" i="1" s="1"/>
  <c r="B284" i="1"/>
  <c r="C284" i="1" s="1"/>
  <c r="B290" i="1"/>
  <c r="C290" i="1" s="1"/>
  <c r="B295" i="1"/>
  <c r="C295" i="1" s="1"/>
  <c r="D295" i="1" s="1"/>
  <c r="B300" i="1"/>
  <c r="C300" i="1" s="1"/>
  <c r="B306" i="1"/>
  <c r="C306" i="1" s="1"/>
  <c r="B311" i="1"/>
  <c r="C311" i="1" s="1"/>
  <c r="D311" i="1" s="1"/>
  <c r="B316" i="1"/>
  <c r="C316" i="1" s="1"/>
  <c r="D316" i="1" s="1"/>
  <c r="B322" i="1"/>
  <c r="C322" i="1" s="1"/>
  <c r="B327" i="1"/>
  <c r="C327" i="1" s="1"/>
  <c r="B332" i="1"/>
  <c r="C332" i="1" s="1"/>
  <c r="D333" i="1" s="1"/>
  <c r="B338" i="1"/>
  <c r="C338" i="1" s="1"/>
  <c r="D338" i="1" s="1"/>
  <c r="B343" i="1"/>
  <c r="C343" i="1" s="1"/>
  <c r="D343" i="1" s="1"/>
  <c r="B348" i="1"/>
  <c r="C348" i="1" s="1"/>
  <c r="B354" i="1"/>
  <c r="C354" i="1" s="1"/>
  <c r="B358" i="1"/>
  <c r="C358" i="1" s="1"/>
  <c r="D358" i="1" s="1"/>
  <c r="B362" i="1"/>
  <c r="C362" i="1" s="1"/>
  <c r="B366" i="1"/>
  <c r="C366" i="1" s="1"/>
  <c r="D366" i="1" s="1"/>
  <c r="B370" i="1"/>
  <c r="C370" i="1" s="1"/>
  <c r="D370" i="1" s="1"/>
  <c r="B374" i="1"/>
  <c r="C374" i="1" s="1"/>
  <c r="D374" i="1" s="1"/>
  <c r="B378" i="1"/>
  <c r="C378" i="1" s="1"/>
  <c r="D378" i="1" s="1"/>
  <c r="B382" i="1"/>
  <c r="C382" i="1" s="1"/>
  <c r="D382" i="1" s="1"/>
  <c r="B386" i="1"/>
  <c r="C386" i="1" s="1"/>
  <c r="B390" i="1"/>
  <c r="C390" i="1" s="1"/>
  <c r="D390" i="1" s="1"/>
  <c r="B394" i="1"/>
  <c r="C394" i="1" s="1"/>
  <c r="D394" i="1" s="1"/>
  <c r="B398" i="1"/>
  <c r="C398" i="1" s="1"/>
  <c r="B402" i="1"/>
  <c r="C402" i="1" s="1"/>
  <c r="D402" i="1" s="1"/>
  <c r="B406" i="1"/>
  <c r="C406" i="1" s="1"/>
  <c r="D406" i="1" s="1"/>
  <c r="B410" i="1"/>
  <c r="C410" i="1" s="1"/>
  <c r="D410" i="1" s="1"/>
  <c r="B414" i="1"/>
  <c r="C414" i="1" s="1"/>
  <c r="B418" i="1"/>
  <c r="C418" i="1" s="1"/>
  <c r="D418" i="1" s="1"/>
  <c r="B422" i="1"/>
  <c r="C422" i="1" s="1"/>
  <c r="D422" i="1" s="1"/>
  <c r="B426" i="1"/>
  <c r="C426" i="1" s="1"/>
  <c r="B430" i="1"/>
  <c r="C430" i="1" s="1"/>
  <c r="B434" i="1"/>
  <c r="C434" i="1" s="1"/>
  <c r="D434" i="1" s="1"/>
  <c r="B438" i="1"/>
  <c r="C438" i="1" s="1"/>
  <c r="D438" i="1" s="1"/>
  <c r="B442" i="1"/>
  <c r="C442" i="1" s="1"/>
  <c r="D442" i="1" s="1"/>
  <c r="B446" i="1"/>
  <c r="C446" i="1" s="1"/>
  <c r="D446" i="1" s="1"/>
  <c r="B450" i="1"/>
  <c r="C450" i="1" s="1"/>
  <c r="D450" i="1" s="1"/>
  <c r="B454" i="1"/>
  <c r="C454" i="1" s="1"/>
  <c r="D454" i="1" s="1"/>
  <c r="B458" i="1"/>
  <c r="C458" i="1" s="1"/>
  <c r="B462" i="1"/>
  <c r="C462" i="1" s="1"/>
  <c r="D462" i="1" s="1"/>
  <c r="B466" i="1"/>
  <c r="C466" i="1" s="1"/>
  <c r="D466" i="1" s="1"/>
  <c r="B470" i="1"/>
  <c r="C470" i="1" s="1"/>
  <c r="D470" i="1" s="1"/>
  <c r="B474" i="1"/>
  <c r="C474" i="1" s="1"/>
  <c r="D474" i="1" s="1"/>
  <c r="B478" i="1"/>
  <c r="C478" i="1" s="1"/>
  <c r="B482" i="1"/>
  <c r="C482" i="1" s="1"/>
  <c r="B486" i="1"/>
  <c r="C486" i="1" s="1"/>
  <c r="B490" i="1"/>
  <c r="C490" i="1" s="1"/>
  <c r="B494" i="1"/>
  <c r="C494" i="1" s="1"/>
  <c r="B498" i="1"/>
  <c r="C498" i="1" s="1"/>
  <c r="B502" i="1"/>
  <c r="C502" i="1" s="1"/>
  <c r="B506" i="1"/>
  <c r="C506" i="1" s="1"/>
  <c r="B510" i="1"/>
  <c r="C510" i="1" s="1"/>
  <c r="B514" i="1"/>
  <c r="C514" i="1" s="1"/>
  <c r="D514" i="1" s="1"/>
  <c r="B518" i="1"/>
  <c r="C518" i="1" s="1"/>
  <c r="B522" i="1"/>
  <c r="C522" i="1" s="1"/>
  <c r="B526" i="1"/>
  <c r="C526" i="1" s="1"/>
  <c r="D526" i="1" s="1"/>
  <c r="B530" i="1"/>
  <c r="C530" i="1" s="1"/>
  <c r="D530" i="1" s="1"/>
  <c r="B534" i="1"/>
  <c r="C534" i="1" s="1"/>
  <c r="D534" i="1" s="1"/>
  <c r="B538" i="1"/>
  <c r="C538" i="1" s="1"/>
  <c r="B542" i="1"/>
  <c r="C542" i="1" s="1"/>
  <c r="B546" i="1"/>
  <c r="C546" i="1" s="1"/>
  <c r="B550" i="1"/>
  <c r="C550" i="1" s="1"/>
  <c r="D550" i="1" s="1"/>
  <c r="B554" i="1"/>
  <c r="C554" i="1" s="1"/>
  <c r="D554" i="1" s="1"/>
  <c r="B558" i="1"/>
  <c r="C558" i="1" s="1"/>
  <c r="D558" i="1" s="1"/>
  <c r="B562" i="1"/>
  <c r="C562" i="1" s="1"/>
  <c r="D562" i="1" s="1"/>
  <c r="B566" i="1"/>
  <c r="C566" i="1" s="1"/>
  <c r="D566" i="1" s="1"/>
  <c r="B570" i="1"/>
  <c r="C570" i="1" s="1"/>
  <c r="D570" i="1" s="1"/>
  <c r="B25" i="1"/>
  <c r="C25" i="1" s="1"/>
  <c r="B61" i="1"/>
  <c r="C61" i="1" s="1"/>
  <c r="B135" i="1"/>
  <c r="C135" i="1" s="1"/>
  <c r="D135" i="1" s="1"/>
  <c r="B171" i="1"/>
  <c r="C171" i="1" s="1"/>
  <c r="B195" i="1"/>
  <c r="C195" i="1" s="1"/>
  <c r="B219" i="1"/>
  <c r="C219" i="1" s="1"/>
  <c r="B235" i="1"/>
  <c r="C235" i="1" s="1"/>
  <c r="B259" i="1"/>
  <c r="C259" i="1" s="1"/>
  <c r="B282" i="1"/>
  <c r="C282" i="1" s="1"/>
  <c r="B298" i="1"/>
  <c r="C298" i="1" s="1"/>
  <c r="B314" i="1"/>
  <c r="C314" i="1" s="1"/>
  <c r="B330" i="1"/>
  <c r="C330" i="1" s="1"/>
  <c r="B346" i="1"/>
  <c r="C346" i="1" s="1"/>
  <c r="D346" i="1" s="1"/>
  <c r="B360" i="1"/>
  <c r="C360" i="1" s="1"/>
  <c r="B376" i="1"/>
  <c r="C376" i="1" s="1"/>
  <c r="B388" i="1"/>
  <c r="C388" i="1" s="1"/>
  <c r="B400" i="1"/>
  <c r="C400" i="1" s="1"/>
  <c r="B416" i="1"/>
  <c r="C416" i="1" s="1"/>
  <c r="B428" i="1"/>
  <c r="C428" i="1" s="1"/>
  <c r="B440" i="1"/>
  <c r="C440" i="1" s="1"/>
  <c r="B452" i="1"/>
  <c r="C452" i="1" s="1"/>
  <c r="B464" i="1"/>
  <c r="C464" i="1" s="1"/>
  <c r="B476" i="1"/>
  <c r="C476" i="1" s="1"/>
  <c r="B488" i="1"/>
  <c r="C488" i="1" s="1"/>
  <c r="B500" i="1"/>
  <c r="C500" i="1" s="1"/>
  <c r="B516" i="1"/>
  <c r="C516" i="1" s="1"/>
  <c r="B528" i="1"/>
  <c r="C528" i="1" s="1"/>
  <c r="B540" i="1"/>
  <c r="C540" i="1" s="1"/>
  <c r="B556" i="1"/>
  <c r="C556" i="1" s="1"/>
  <c r="B568" i="1"/>
  <c r="C568" i="1" s="1"/>
  <c r="B53" i="1"/>
  <c r="C53" i="1" s="1"/>
  <c r="D53" i="1" s="1"/>
  <c r="B85" i="1"/>
  <c r="C85" i="1" s="1"/>
  <c r="B115" i="1"/>
  <c r="C115" i="1" s="1"/>
  <c r="B131" i="1"/>
  <c r="C131" i="1" s="1"/>
  <c r="D131" i="1" s="1"/>
  <c r="B147" i="1"/>
  <c r="C147" i="1" s="1"/>
  <c r="B160" i="1"/>
  <c r="C160" i="1" s="1"/>
  <c r="B168" i="1"/>
  <c r="C168" i="1" s="1"/>
  <c r="B176" i="1"/>
  <c r="C176" i="1" s="1"/>
  <c r="B184" i="1"/>
  <c r="C184" i="1" s="1"/>
  <c r="D184" i="1" s="1"/>
  <c r="B192" i="1"/>
  <c r="C192" i="1" s="1"/>
  <c r="B200" i="1"/>
  <c r="C200" i="1" s="1"/>
  <c r="B208" i="1"/>
  <c r="C208" i="1" s="1"/>
  <c r="B216" i="1"/>
  <c r="C216" i="1" s="1"/>
  <c r="B224" i="1"/>
  <c r="C224" i="1" s="1"/>
  <c r="B232" i="1"/>
  <c r="C232" i="1" s="1"/>
  <c r="B240" i="1"/>
  <c r="C240" i="1" s="1"/>
  <c r="B248" i="1"/>
  <c r="C248" i="1" s="1"/>
  <c r="B256" i="1"/>
  <c r="C256" i="1" s="1"/>
  <c r="B264" i="1"/>
  <c r="C264" i="1" s="1"/>
  <c r="B272" i="1"/>
  <c r="C272" i="1" s="1"/>
  <c r="B280" i="1"/>
  <c r="C280" i="1" s="1"/>
  <c r="B286" i="1"/>
  <c r="C286" i="1" s="1"/>
  <c r="B291" i="1"/>
  <c r="C291" i="1" s="1"/>
  <c r="B296" i="1"/>
  <c r="C296" i="1" s="1"/>
  <c r="B302" i="1"/>
  <c r="C302" i="1" s="1"/>
  <c r="B307" i="1"/>
  <c r="C307" i="1" s="1"/>
  <c r="B312" i="1"/>
  <c r="C312" i="1" s="1"/>
  <c r="B318" i="1"/>
  <c r="C318" i="1" s="1"/>
  <c r="B323" i="1"/>
  <c r="C323" i="1" s="1"/>
  <c r="B328" i="1"/>
  <c r="C328" i="1" s="1"/>
  <c r="B334" i="1"/>
  <c r="C334" i="1" s="1"/>
  <c r="B339" i="1"/>
  <c r="C339" i="1" s="1"/>
  <c r="B344" i="1"/>
  <c r="C344" i="1" s="1"/>
  <c r="B350" i="1"/>
  <c r="C350" i="1" s="1"/>
  <c r="B355" i="1"/>
  <c r="C355" i="1" s="1"/>
  <c r="B359" i="1"/>
  <c r="C359" i="1" s="1"/>
  <c r="D360" i="1" s="1"/>
  <c r="B363" i="1"/>
  <c r="C363" i="1" s="1"/>
  <c r="B367" i="1"/>
  <c r="C367" i="1" s="1"/>
  <c r="B371" i="1"/>
  <c r="C371" i="1" s="1"/>
  <c r="B375" i="1"/>
  <c r="C375" i="1" s="1"/>
  <c r="B379" i="1"/>
  <c r="C379" i="1" s="1"/>
  <c r="B383" i="1"/>
  <c r="C383" i="1" s="1"/>
  <c r="B387" i="1"/>
  <c r="C387" i="1" s="1"/>
  <c r="B391" i="1"/>
  <c r="C391" i="1" s="1"/>
  <c r="B395" i="1"/>
  <c r="C395" i="1" s="1"/>
  <c r="B399" i="1"/>
  <c r="C399" i="1" s="1"/>
  <c r="B403" i="1"/>
  <c r="C403" i="1" s="1"/>
  <c r="B407" i="1"/>
  <c r="C407" i="1" s="1"/>
  <c r="B411" i="1"/>
  <c r="C411" i="1" s="1"/>
  <c r="B415" i="1"/>
  <c r="C415" i="1" s="1"/>
  <c r="B419" i="1"/>
  <c r="C419" i="1" s="1"/>
  <c r="B423" i="1"/>
  <c r="C423" i="1" s="1"/>
  <c r="B427" i="1"/>
  <c r="C427" i="1" s="1"/>
  <c r="D428" i="1" s="1"/>
  <c r="B431" i="1"/>
  <c r="C431" i="1" s="1"/>
  <c r="B435" i="1"/>
  <c r="C435" i="1" s="1"/>
  <c r="B439" i="1"/>
  <c r="C439" i="1" s="1"/>
  <c r="B443" i="1"/>
  <c r="C443" i="1" s="1"/>
  <c r="B447" i="1"/>
  <c r="C447" i="1" s="1"/>
  <c r="B451" i="1"/>
  <c r="C451" i="1" s="1"/>
  <c r="B455" i="1"/>
  <c r="C455" i="1" s="1"/>
  <c r="B459" i="1"/>
  <c r="C459" i="1" s="1"/>
  <c r="B463" i="1"/>
  <c r="C463" i="1" s="1"/>
  <c r="B467" i="1"/>
  <c r="C467" i="1" s="1"/>
  <c r="B471" i="1"/>
  <c r="C471" i="1" s="1"/>
  <c r="B475" i="1"/>
  <c r="C475" i="1" s="1"/>
  <c r="D476" i="1" s="1"/>
  <c r="B479" i="1"/>
  <c r="C479" i="1" s="1"/>
  <c r="B483" i="1"/>
  <c r="C483" i="1" s="1"/>
  <c r="B487" i="1"/>
  <c r="C487" i="1" s="1"/>
  <c r="B491" i="1"/>
  <c r="C491" i="1" s="1"/>
  <c r="B495" i="1"/>
  <c r="C495" i="1" s="1"/>
  <c r="B499" i="1"/>
  <c r="C499" i="1" s="1"/>
  <c r="B503" i="1"/>
  <c r="C503" i="1" s="1"/>
  <c r="B507" i="1"/>
  <c r="C507" i="1" s="1"/>
  <c r="B511" i="1"/>
  <c r="C511" i="1" s="1"/>
  <c r="B515" i="1"/>
  <c r="C515" i="1" s="1"/>
  <c r="B519" i="1"/>
  <c r="C519" i="1" s="1"/>
  <c r="B523" i="1"/>
  <c r="C523" i="1" s="1"/>
  <c r="B527" i="1"/>
  <c r="C527" i="1" s="1"/>
  <c r="B531" i="1"/>
  <c r="C531" i="1" s="1"/>
  <c r="B535" i="1"/>
  <c r="C535" i="1" s="1"/>
  <c r="B539" i="1"/>
  <c r="C539" i="1" s="1"/>
  <c r="B543" i="1"/>
  <c r="C543" i="1" s="1"/>
  <c r="B547" i="1"/>
  <c r="C547" i="1" s="1"/>
  <c r="B551" i="1"/>
  <c r="C551" i="1" s="1"/>
  <c r="B555" i="1"/>
  <c r="C555" i="1" s="1"/>
  <c r="B559" i="1"/>
  <c r="C559" i="1" s="1"/>
  <c r="B563" i="1"/>
  <c r="C563" i="1" s="1"/>
  <c r="B567" i="1"/>
  <c r="C567" i="1" s="1"/>
  <c r="B571" i="1"/>
  <c r="C571" i="1" s="1"/>
  <c r="B26" i="1"/>
  <c r="C26" i="1" s="1"/>
  <c r="B93" i="1"/>
  <c r="C93" i="1" s="1"/>
  <c r="B151" i="1"/>
  <c r="C151" i="1" s="1"/>
  <c r="B179" i="1"/>
  <c r="C179" i="1" s="1"/>
  <c r="B203" i="1"/>
  <c r="C203" i="1" s="1"/>
  <c r="D203" i="1" s="1"/>
  <c r="B227" i="1"/>
  <c r="C227" i="1" s="1"/>
  <c r="B251" i="1"/>
  <c r="C251" i="1" s="1"/>
  <c r="B267" i="1"/>
  <c r="C267" i="1" s="1"/>
  <c r="B287" i="1"/>
  <c r="C287" i="1" s="1"/>
  <c r="D287" i="1" s="1"/>
  <c r="B303" i="1"/>
  <c r="C303" i="1" s="1"/>
  <c r="B324" i="1"/>
  <c r="C324" i="1" s="1"/>
  <c r="D324" i="1" s="1"/>
  <c r="B340" i="1"/>
  <c r="C340" i="1" s="1"/>
  <c r="B356" i="1"/>
  <c r="C356" i="1" s="1"/>
  <c r="B368" i="1"/>
  <c r="C368" i="1" s="1"/>
  <c r="B384" i="1"/>
  <c r="C384" i="1" s="1"/>
  <c r="B396" i="1"/>
  <c r="C396" i="1" s="1"/>
  <c r="D396" i="1" s="1"/>
  <c r="B408" i="1"/>
  <c r="C408" i="1" s="1"/>
  <c r="B420" i="1"/>
  <c r="C420" i="1" s="1"/>
  <c r="D420" i="1" s="1"/>
  <c r="B432" i="1"/>
  <c r="C432" i="1" s="1"/>
  <c r="B444" i="1"/>
  <c r="C444" i="1" s="1"/>
  <c r="D444" i="1" s="1"/>
  <c r="B456" i="1"/>
  <c r="C456" i="1" s="1"/>
  <c r="B468" i="1"/>
  <c r="C468" i="1" s="1"/>
  <c r="B480" i="1"/>
  <c r="C480" i="1" s="1"/>
  <c r="D481" i="1" s="1"/>
  <c r="B496" i="1"/>
  <c r="C496" i="1" s="1"/>
  <c r="B508" i="1"/>
  <c r="C508" i="1" s="1"/>
  <c r="B524" i="1"/>
  <c r="C524" i="1" s="1"/>
  <c r="D524" i="1" s="1"/>
  <c r="B536" i="1"/>
  <c r="C536" i="1" s="1"/>
  <c r="D536" i="1" s="1"/>
  <c r="B548" i="1"/>
  <c r="C548" i="1" s="1"/>
  <c r="B560" i="1"/>
  <c r="C560" i="1" s="1"/>
  <c r="B27" i="1"/>
  <c r="C27" i="1" s="1"/>
  <c r="D386" i="1"/>
  <c r="D546" i="1"/>
  <c r="J28" i="2"/>
  <c r="J32" i="2"/>
  <c r="J36" i="2"/>
  <c r="J40" i="2"/>
  <c r="J44" i="2"/>
  <c r="J48" i="2"/>
  <c r="J52" i="2"/>
  <c r="J56" i="2"/>
  <c r="J60" i="2"/>
  <c r="J64" i="2"/>
  <c r="J68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31" i="2"/>
  <c r="J39" i="2"/>
  <c r="J47" i="2"/>
  <c r="J55" i="2"/>
  <c r="J63" i="2"/>
  <c r="J71" i="2"/>
  <c r="J76" i="2"/>
  <c r="J82" i="2"/>
  <c r="J87" i="2"/>
  <c r="J92" i="2"/>
  <c r="J98" i="2"/>
  <c r="J103" i="2"/>
  <c r="J108" i="2"/>
  <c r="J114" i="2"/>
  <c r="J119" i="2"/>
  <c r="J124" i="2"/>
  <c r="J130" i="2"/>
  <c r="J135" i="2"/>
  <c r="J140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J258" i="2"/>
  <c r="J262" i="2"/>
  <c r="J266" i="2"/>
  <c r="J270" i="2"/>
  <c r="J274" i="2"/>
  <c r="J278" i="2"/>
  <c r="J282" i="2"/>
  <c r="J286" i="2"/>
  <c r="J290" i="2"/>
  <c r="J294" i="2"/>
  <c r="J298" i="2"/>
  <c r="J302" i="2"/>
  <c r="J306" i="2"/>
  <c r="J310" i="2"/>
  <c r="J314" i="2"/>
  <c r="J318" i="2"/>
  <c r="J322" i="2"/>
  <c r="J326" i="2"/>
  <c r="J330" i="2"/>
  <c r="J334" i="2"/>
  <c r="J338" i="2"/>
  <c r="J342" i="2"/>
  <c r="J346" i="2"/>
  <c r="J350" i="2"/>
  <c r="J354" i="2"/>
  <c r="J358" i="2"/>
  <c r="J362" i="2"/>
  <c r="J366" i="2"/>
  <c r="J370" i="2"/>
  <c r="J374" i="2"/>
  <c r="J378" i="2"/>
  <c r="J382" i="2"/>
  <c r="J386" i="2"/>
  <c r="J390" i="2"/>
  <c r="J394" i="2"/>
  <c r="J398" i="2"/>
  <c r="J402" i="2"/>
  <c r="J406" i="2"/>
  <c r="J410" i="2"/>
  <c r="J414" i="2"/>
  <c r="J34" i="2"/>
  <c r="J42" i="2"/>
  <c r="J50" i="2"/>
  <c r="J58" i="2"/>
  <c r="J66" i="2"/>
  <c r="J72" i="2"/>
  <c r="J78" i="2"/>
  <c r="J83" i="2"/>
  <c r="J88" i="2"/>
  <c r="J94" i="2"/>
  <c r="J99" i="2"/>
  <c r="J104" i="2"/>
  <c r="J110" i="2"/>
  <c r="J115" i="2"/>
  <c r="J120" i="2"/>
  <c r="J126" i="2"/>
  <c r="J131" i="2"/>
  <c r="J136" i="2"/>
  <c r="J142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J319" i="2"/>
  <c r="J323" i="2"/>
  <c r="J327" i="2"/>
  <c r="J27" i="2"/>
  <c r="J35" i="2"/>
  <c r="J43" i="2"/>
  <c r="J51" i="2"/>
  <c r="J59" i="2"/>
  <c r="J67" i="2"/>
  <c r="J74" i="2"/>
  <c r="J79" i="2"/>
  <c r="J84" i="2"/>
  <c r="J90" i="2"/>
  <c r="J95" i="2"/>
  <c r="J100" i="2"/>
  <c r="J106" i="2"/>
  <c r="J111" i="2"/>
  <c r="J116" i="2"/>
  <c r="J122" i="2"/>
  <c r="J127" i="2"/>
  <c r="J132" i="2"/>
  <c r="J138" i="2"/>
  <c r="J143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8" i="2"/>
  <c r="J70" i="2"/>
  <c r="J91" i="2"/>
  <c r="J112" i="2"/>
  <c r="J134" i="2"/>
  <c r="J153" i="2"/>
  <c r="J169" i="2"/>
  <c r="J185" i="2"/>
  <c r="J201" i="2"/>
  <c r="J217" i="2"/>
  <c r="J233" i="2"/>
  <c r="J249" i="2"/>
  <c r="J265" i="2"/>
  <c r="J281" i="2"/>
  <c r="J297" i="2"/>
  <c r="J313" i="2"/>
  <c r="J328" i="2"/>
  <c r="J333" i="2"/>
  <c r="J339" i="2"/>
  <c r="J344" i="2"/>
  <c r="J349" i="2"/>
  <c r="J355" i="2"/>
  <c r="J360" i="2"/>
  <c r="J365" i="2"/>
  <c r="J371" i="2"/>
  <c r="J376" i="2"/>
  <c r="J381" i="2"/>
  <c r="J387" i="2"/>
  <c r="J392" i="2"/>
  <c r="J397" i="2"/>
  <c r="J403" i="2"/>
  <c r="J408" i="2"/>
  <c r="J413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494" i="2"/>
  <c r="J498" i="2"/>
  <c r="J502" i="2"/>
  <c r="J506" i="2"/>
  <c r="J510" i="2"/>
  <c r="J514" i="2"/>
  <c r="J518" i="2"/>
  <c r="J522" i="2"/>
  <c r="J526" i="2"/>
  <c r="J530" i="2"/>
  <c r="J534" i="2"/>
  <c r="J538" i="2"/>
  <c r="J542" i="2"/>
  <c r="J546" i="2"/>
  <c r="J550" i="2"/>
  <c r="J554" i="2"/>
  <c r="J551" i="2"/>
  <c r="J62" i="2"/>
  <c r="J107" i="2"/>
  <c r="J149" i="2"/>
  <c r="J181" i="2"/>
  <c r="J213" i="2"/>
  <c r="J245" i="2"/>
  <c r="J277" i="2"/>
  <c r="J309" i="2"/>
  <c r="J332" i="2"/>
  <c r="J353" i="2"/>
  <c r="J364" i="2"/>
  <c r="J375" i="2"/>
  <c r="J391" i="2"/>
  <c r="J407" i="2"/>
  <c r="J421" i="2"/>
  <c r="J433" i="2"/>
  <c r="J441" i="2"/>
  <c r="J453" i="2"/>
  <c r="J465" i="2"/>
  <c r="J473" i="2"/>
  <c r="J485" i="2"/>
  <c r="J497" i="2"/>
  <c r="J509" i="2"/>
  <c r="J517" i="2"/>
  <c r="J46" i="2"/>
  <c r="J75" i="2"/>
  <c r="J96" i="2"/>
  <c r="J118" i="2"/>
  <c r="J139" i="2"/>
  <c r="J157" i="2"/>
  <c r="J173" i="2"/>
  <c r="J189" i="2"/>
  <c r="J205" i="2"/>
  <c r="J221" i="2"/>
  <c r="J237" i="2"/>
  <c r="J253" i="2"/>
  <c r="J269" i="2"/>
  <c r="J285" i="2"/>
  <c r="J301" i="2"/>
  <c r="J317" i="2"/>
  <c r="J329" i="2"/>
  <c r="J335" i="2"/>
  <c r="J340" i="2"/>
  <c r="J345" i="2"/>
  <c r="J351" i="2"/>
  <c r="J356" i="2"/>
  <c r="J361" i="2"/>
  <c r="J367" i="2"/>
  <c r="J372" i="2"/>
  <c r="J377" i="2"/>
  <c r="J383" i="2"/>
  <c r="J388" i="2"/>
  <c r="J393" i="2"/>
  <c r="J399" i="2"/>
  <c r="J404" i="2"/>
  <c r="J409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5" i="2"/>
  <c r="J343" i="2"/>
  <c r="J380" i="2"/>
  <c r="J401" i="2"/>
  <c r="J417" i="2"/>
  <c r="J429" i="2"/>
  <c r="J445" i="2"/>
  <c r="J457" i="2"/>
  <c r="J469" i="2"/>
  <c r="J481" i="2"/>
  <c r="J493" i="2"/>
  <c r="J505" i="2"/>
  <c r="J521" i="2"/>
  <c r="J529" i="2"/>
  <c r="J537" i="2"/>
  <c r="J545" i="2"/>
  <c r="J549" i="2"/>
  <c r="J557" i="2"/>
  <c r="J54" i="2"/>
  <c r="J80" i="2"/>
  <c r="J102" i="2"/>
  <c r="J123" i="2"/>
  <c r="J144" i="2"/>
  <c r="J161" i="2"/>
  <c r="J177" i="2"/>
  <c r="J193" i="2"/>
  <c r="J209" i="2"/>
  <c r="J225" i="2"/>
  <c r="J241" i="2"/>
  <c r="J257" i="2"/>
  <c r="J273" i="2"/>
  <c r="J289" i="2"/>
  <c r="J305" i="2"/>
  <c r="J321" i="2"/>
  <c r="J331" i="2"/>
  <c r="J336" i="2"/>
  <c r="J341" i="2"/>
  <c r="J347" i="2"/>
  <c r="J352" i="2"/>
  <c r="J357" i="2"/>
  <c r="J363" i="2"/>
  <c r="J368" i="2"/>
  <c r="J373" i="2"/>
  <c r="J379" i="2"/>
  <c r="J384" i="2"/>
  <c r="J389" i="2"/>
  <c r="J395" i="2"/>
  <c r="J400" i="2"/>
  <c r="J405" i="2"/>
  <c r="J411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96" i="2"/>
  <c r="J500" i="2"/>
  <c r="J504" i="2"/>
  <c r="J508" i="2"/>
  <c r="J512" i="2"/>
  <c r="J516" i="2"/>
  <c r="J520" i="2"/>
  <c r="J524" i="2"/>
  <c r="J528" i="2"/>
  <c r="J532" i="2"/>
  <c r="J536" i="2"/>
  <c r="J540" i="2"/>
  <c r="J544" i="2"/>
  <c r="J548" i="2"/>
  <c r="J552" i="2"/>
  <c r="J556" i="2"/>
  <c r="J30" i="2"/>
  <c r="J86" i="2"/>
  <c r="J128" i="2"/>
  <c r="J165" i="2"/>
  <c r="J197" i="2"/>
  <c r="J229" i="2"/>
  <c r="J261" i="2"/>
  <c r="J293" i="2"/>
  <c r="J325" i="2"/>
  <c r="J337" i="2"/>
  <c r="J348" i="2"/>
  <c r="J359" i="2"/>
  <c r="J369" i="2"/>
  <c r="J385" i="2"/>
  <c r="J396" i="2"/>
  <c r="J412" i="2"/>
  <c r="J425" i="2"/>
  <c r="J437" i="2"/>
  <c r="J449" i="2"/>
  <c r="J461" i="2"/>
  <c r="J477" i="2"/>
  <c r="J489" i="2"/>
  <c r="J501" i="2"/>
  <c r="J513" i="2"/>
  <c r="J525" i="2"/>
  <c r="J533" i="2"/>
  <c r="J541" i="2"/>
  <c r="J553" i="2"/>
  <c r="A13" i="3"/>
  <c r="D482" i="1"/>
  <c r="D318" i="1"/>
  <c r="D2016" i="3" l="1"/>
  <c r="D1993" i="3"/>
  <c r="D1945" i="3"/>
  <c r="D1913" i="3"/>
  <c r="D1835" i="3"/>
  <c r="D1882" i="3"/>
  <c r="D1961" i="3"/>
  <c r="D2011" i="3"/>
  <c r="D1995" i="3"/>
  <c r="D1931" i="3"/>
  <c r="D1867" i="3"/>
  <c r="D1977" i="3"/>
  <c r="D1929" i="3"/>
  <c r="D1963" i="3"/>
  <c r="D1947" i="3"/>
  <c r="D1850" i="3"/>
  <c r="D1899" i="3"/>
  <c r="D1831" i="3"/>
  <c r="D1863" i="3"/>
  <c r="D2007" i="3"/>
  <c r="D1927" i="3"/>
  <c r="D1980" i="3"/>
  <c r="D1839" i="3"/>
  <c r="D1895" i="3"/>
  <c r="D1989" i="3"/>
  <c r="D1957" i="3"/>
  <c r="D1925" i="3"/>
  <c r="D2009" i="3"/>
  <c r="D1892" i="3"/>
  <c r="D1979" i="3"/>
  <c r="D1858" i="3"/>
  <c r="D211" i="1"/>
  <c r="D81" i="1"/>
  <c r="D49" i="1"/>
  <c r="D1916" i="3"/>
  <c r="D99" i="1"/>
  <c r="D129" i="1"/>
  <c r="D1875" i="3"/>
  <c r="D364" i="1"/>
  <c r="D242" i="1"/>
  <c r="D389" i="1"/>
  <c r="D293" i="1"/>
  <c r="D229" i="1"/>
  <c r="D1955" i="3"/>
  <c r="D1870" i="3"/>
  <c r="D1842" i="3"/>
  <c r="D1908" i="3"/>
  <c r="D1953" i="3"/>
  <c r="D1827" i="3"/>
  <c r="D1987" i="3"/>
  <c r="D1893" i="3"/>
  <c r="D1886" i="3"/>
  <c r="D1854" i="3"/>
  <c r="D1971" i="3"/>
  <c r="D102" i="1"/>
  <c r="D112" i="1"/>
  <c r="D2003" i="3"/>
  <c r="D1939" i="3"/>
  <c r="D1923" i="3"/>
  <c r="D1944" i="3"/>
  <c r="D572" i="1"/>
  <c r="D492" i="1"/>
  <c r="D268" i="1"/>
  <c r="D236" i="1"/>
  <c r="D278" i="1"/>
  <c r="D118" i="1"/>
  <c r="D337" i="1"/>
  <c r="D241" i="1"/>
  <c r="D194" i="1"/>
  <c r="D178" i="1"/>
  <c r="D136" i="1"/>
  <c r="D30" i="1"/>
  <c r="D101" i="1"/>
  <c r="D91" i="1"/>
  <c r="D1889" i="3"/>
  <c r="D303" i="1"/>
  <c r="D94" i="1"/>
  <c r="D501" i="1"/>
  <c r="D453" i="1"/>
  <c r="D305" i="1"/>
  <c r="D69" i="1"/>
  <c r="D92" i="1"/>
  <c r="D76" i="1"/>
  <c r="D60" i="1"/>
  <c r="D508" i="1"/>
  <c r="D357" i="1"/>
  <c r="D528" i="1"/>
  <c r="D448" i="1"/>
  <c r="D308" i="1"/>
  <c r="D257" i="1"/>
  <c r="D193" i="1"/>
  <c r="D161" i="1"/>
  <c r="D85" i="1"/>
  <c r="D172" i="1"/>
  <c r="D279" i="1"/>
  <c r="D247" i="1"/>
  <c r="D183" i="1"/>
  <c r="D373" i="1"/>
  <c r="D119" i="1"/>
  <c r="D151" i="1"/>
  <c r="D567" i="1"/>
  <c r="D551" i="1"/>
  <c r="D535" i="1"/>
  <c r="D519" i="1"/>
  <c r="D503" i="1"/>
  <c r="D487" i="1"/>
  <c r="D471" i="1"/>
  <c r="D455" i="1"/>
  <c r="D439" i="1"/>
  <c r="D423" i="1"/>
  <c r="D407" i="1"/>
  <c r="D391" i="1"/>
  <c r="D375" i="1"/>
  <c r="D359" i="1"/>
  <c r="D296" i="1"/>
  <c r="D272" i="1"/>
  <c r="D240" i="1"/>
  <c r="D209" i="1"/>
  <c r="D177" i="1"/>
  <c r="D517" i="1"/>
  <c r="D354" i="1"/>
  <c r="D263" i="1"/>
  <c r="D167" i="1"/>
  <c r="D485" i="1"/>
  <c r="D289" i="1"/>
  <c r="D258" i="1"/>
  <c r="D226" i="1"/>
  <c r="D162" i="1"/>
  <c r="D130" i="1"/>
  <c r="D114" i="1"/>
  <c r="D50" i="1"/>
  <c r="D340" i="1"/>
  <c r="D392" i="1"/>
  <c r="D497" i="1"/>
  <c r="D352" i="1"/>
  <c r="D196" i="1"/>
  <c r="D179" i="1"/>
  <c r="D317" i="1"/>
  <c r="D302" i="1"/>
  <c r="D269" i="1"/>
  <c r="D237" i="1"/>
  <c r="D205" i="1"/>
  <c r="D173" i="1"/>
  <c r="D132" i="1"/>
  <c r="D103" i="1"/>
  <c r="D55" i="1"/>
  <c r="D332" i="1"/>
  <c r="D339" i="1"/>
  <c r="D228" i="1"/>
  <c r="D563" i="1"/>
  <c r="D531" i="1"/>
  <c r="D515" i="1"/>
  <c r="D499" i="1"/>
  <c r="D467" i="1"/>
  <c r="D451" i="1"/>
  <c r="D435" i="1"/>
  <c r="D419" i="1"/>
  <c r="D403" i="1"/>
  <c r="D334" i="1"/>
  <c r="D312" i="1"/>
  <c r="D232" i="1"/>
  <c r="D168" i="1"/>
  <c r="D115" i="1"/>
  <c r="D25" i="1"/>
  <c r="D285" i="1"/>
  <c r="D513" i="1"/>
  <c r="D189" i="1"/>
  <c r="D254" i="1"/>
  <c r="D222" i="1"/>
  <c r="D142" i="1"/>
  <c r="D106" i="1"/>
  <c r="D42" i="1"/>
  <c r="D97" i="1"/>
  <c r="D33" i="1"/>
  <c r="D176" i="1"/>
  <c r="D353" i="1"/>
  <c r="D273" i="1"/>
  <c r="D561" i="1"/>
  <c r="D408" i="1"/>
  <c r="D464" i="1"/>
  <c r="D286" i="1"/>
  <c r="D331" i="1"/>
  <c r="D259" i="1"/>
  <c r="D301" i="1"/>
  <c r="D133" i="1"/>
  <c r="D117" i="1"/>
  <c r="D71" i="1"/>
  <c r="D165" i="1"/>
  <c r="D208" i="1"/>
  <c r="D147" i="1"/>
  <c r="D113" i="1"/>
  <c r="D452" i="1"/>
  <c r="D496" i="1"/>
  <c r="D480" i="1"/>
  <c r="D432" i="1"/>
  <c r="D540" i="1"/>
  <c r="D488" i="1"/>
  <c r="D523" i="1"/>
  <c r="D507" i="1"/>
  <c r="D491" i="1"/>
  <c r="D363" i="1"/>
  <c r="D504" i="1"/>
  <c r="D412" i="1"/>
  <c r="D569" i="1"/>
  <c r="D537" i="1"/>
  <c r="D521" i="1"/>
  <c r="D425" i="1"/>
  <c r="D393" i="1"/>
  <c r="D377" i="1"/>
  <c r="D361" i="1"/>
  <c r="D299" i="1"/>
  <c r="D244" i="1"/>
  <c r="D212" i="1"/>
  <c r="D180" i="1"/>
  <c r="D267" i="1"/>
  <c r="D251" i="1"/>
  <c r="D235" i="1"/>
  <c r="D219" i="1"/>
  <c r="D123" i="1"/>
  <c r="D325" i="1"/>
  <c r="D309" i="1"/>
  <c r="D294" i="1"/>
  <c r="D246" i="1"/>
  <c r="D230" i="1"/>
  <c r="D198" i="1"/>
  <c r="D182" i="1"/>
  <c r="D166" i="1"/>
  <c r="D150" i="1"/>
  <c r="D90" i="1"/>
  <c r="D58" i="1"/>
  <c r="D157" i="1"/>
  <c r="D38" i="1"/>
  <c r="D73" i="1"/>
  <c r="D41" i="1"/>
  <c r="D95" i="1"/>
  <c r="D63" i="1"/>
  <c r="D48" i="1"/>
  <c r="D2012" i="3"/>
  <c r="D1996" i="3"/>
  <c r="D1932" i="3"/>
  <c r="D1871" i="3"/>
  <c r="D1820" i="3"/>
  <c r="D1825" i="3"/>
  <c r="D1861" i="3"/>
  <c r="D2014" i="3"/>
  <c r="D1998" i="3"/>
  <c r="D1982" i="3"/>
  <c r="D1966" i="3"/>
  <c r="D1950" i="3"/>
  <c r="D1934" i="3"/>
  <c r="D1918" i="3"/>
  <c r="D1902" i="3"/>
  <c r="D1883" i="3"/>
  <c r="D1868" i="3"/>
  <c r="D1836" i="3"/>
  <c r="D1822" i="3"/>
  <c r="D224" i="1"/>
  <c r="D225" i="1"/>
  <c r="D458" i="1"/>
  <c r="D459" i="1"/>
  <c r="D426" i="1"/>
  <c r="D427" i="1"/>
  <c r="D125" i="1"/>
  <c r="D57" i="1"/>
  <c r="D350" i="1"/>
  <c r="D351" i="1"/>
  <c r="D215" i="1"/>
  <c r="D216" i="1"/>
  <c r="D505" i="1"/>
  <c r="D441" i="1"/>
  <c r="D262" i="1"/>
  <c r="D261" i="1"/>
  <c r="D214" i="1"/>
  <c r="D213" i="1"/>
  <c r="D141" i="1"/>
  <c r="D140" i="1"/>
  <c r="D104" i="1"/>
  <c r="D105" i="1"/>
  <c r="D32" i="1"/>
  <c r="D31" i="1"/>
  <c r="D538" i="1"/>
  <c r="D539" i="1"/>
  <c r="D544" i="1"/>
  <c r="D545" i="1"/>
  <c r="D489" i="1"/>
  <c r="D320" i="1"/>
  <c r="D321" i="1"/>
  <c r="D288" i="1"/>
  <c r="D181" i="1"/>
  <c r="D362" i="1"/>
  <c r="D149" i="1"/>
  <c r="D416" i="1"/>
  <c r="D187" i="1"/>
  <c r="D529" i="1"/>
  <c r="D449" i="1"/>
  <c r="D197" i="1"/>
  <c r="D96" i="1"/>
  <c r="D39" i="1"/>
  <c r="D2004" i="3"/>
  <c r="D1940" i="3"/>
  <c r="D1924" i="3"/>
  <c r="D1878" i="3"/>
  <c r="D1833" i="3"/>
  <c r="D1847" i="3"/>
  <c r="D1830" i="3"/>
  <c r="D376" i="1"/>
  <c r="D27" i="1"/>
  <c r="D368" i="1"/>
  <c r="D372" i="1"/>
  <c r="D356" i="1"/>
  <c r="D556" i="1"/>
  <c r="D400" i="1"/>
  <c r="D543" i="1"/>
  <c r="D511" i="1"/>
  <c r="D495" i="1"/>
  <c r="D479" i="1"/>
  <c r="D328" i="1"/>
  <c r="D307" i="1"/>
  <c r="D192" i="1"/>
  <c r="D473" i="1"/>
  <c r="D380" i="1"/>
  <c r="D276" i="1"/>
  <c r="D573" i="1"/>
  <c r="D541" i="1"/>
  <c r="D461" i="1"/>
  <c r="D445" i="1"/>
  <c r="D429" i="1"/>
  <c r="D413" i="1"/>
  <c r="D397" i="1"/>
  <c r="D326" i="1"/>
  <c r="D252" i="1"/>
  <c r="D220" i="1"/>
  <c r="D207" i="1"/>
  <c r="D175" i="1"/>
  <c r="D127" i="1"/>
  <c r="D345" i="1"/>
  <c r="D329" i="1"/>
  <c r="D314" i="1"/>
  <c r="D266" i="1"/>
  <c r="D217" i="1"/>
  <c r="D185" i="1"/>
  <c r="D138" i="1"/>
  <c r="D128" i="1"/>
  <c r="D110" i="1"/>
  <c r="D83" i="1"/>
  <c r="D35" i="1"/>
  <c r="D2000" i="3"/>
  <c r="D1984" i="3"/>
  <c r="D1936" i="3"/>
  <c r="D1920" i="3"/>
  <c r="D520" i="1"/>
  <c r="D568" i="1"/>
  <c r="D341" i="1"/>
  <c r="D565" i="1"/>
  <c r="D405" i="1"/>
  <c r="D62" i="1"/>
  <c r="D37" i="1"/>
  <c r="D483" i="1"/>
  <c r="D484" i="1"/>
  <c r="D347" i="1"/>
  <c r="D154" i="1"/>
  <c r="D153" i="1"/>
  <c r="D78" i="1"/>
  <c r="D79" i="1"/>
  <c r="D67" i="1"/>
  <c r="D68" i="1"/>
  <c r="D137" i="1"/>
  <c r="D330" i="1"/>
  <c r="D291" i="1"/>
  <c r="D292" i="1"/>
  <c r="D348" i="1"/>
  <c r="D349" i="1"/>
  <c r="D335" i="1"/>
  <c r="D283" i="1"/>
  <c r="D239" i="1"/>
  <c r="D238" i="1"/>
  <c r="D298" i="1"/>
  <c r="D297" i="1"/>
  <c r="D249" i="1"/>
  <c r="D250" i="1"/>
  <c r="D169" i="1"/>
  <c r="D144" i="1"/>
  <c r="D145" i="1"/>
  <c r="D265" i="1"/>
  <c r="D221" i="1"/>
  <c r="D1964" i="3"/>
  <c r="D457" i="1"/>
  <c r="D409" i="1"/>
  <c r="D300" i="1"/>
  <c r="D171" i="1"/>
  <c r="D344" i="1"/>
  <c r="D571" i="1"/>
  <c r="D555" i="1"/>
  <c r="D460" i="1"/>
  <c r="D395" i="1"/>
  <c r="D379" i="1"/>
  <c r="D323" i="1"/>
  <c r="D549" i="1"/>
  <c r="D533" i="1"/>
  <c r="D437" i="1"/>
  <c r="D120" i="1"/>
  <c r="D59" i="1"/>
  <c r="D1999" i="3"/>
  <c r="D1935" i="3"/>
  <c r="D1919" i="3"/>
  <c r="D1988" i="3"/>
  <c r="D1972" i="3"/>
  <c r="D1956" i="3"/>
  <c r="D1860" i="3"/>
  <c r="D1843" i="3"/>
  <c r="D1828" i="3"/>
  <c r="D1844" i="3"/>
  <c r="D1909" i="3"/>
  <c r="D1887" i="3"/>
  <c r="D1838" i="3"/>
  <c r="D2006" i="3"/>
  <c r="D1990" i="3"/>
  <c r="D1974" i="3"/>
  <c r="D1958" i="3"/>
  <c r="D1942" i="3"/>
  <c r="D1926" i="3"/>
  <c r="D1910" i="3"/>
  <c r="D1894" i="3"/>
  <c r="D1879" i="3"/>
  <c r="D1862" i="3"/>
  <c r="D1948" i="3"/>
  <c r="D1856" i="3"/>
  <c r="D1851" i="3"/>
  <c r="D86" i="1"/>
  <c r="D280" i="1"/>
  <c r="D443" i="1"/>
  <c r="D260" i="1"/>
  <c r="D411" i="1"/>
  <c r="D384" i="1"/>
  <c r="D440" i="1"/>
  <c r="D465" i="1"/>
  <c r="D433" i="1"/>
  <c r="D417" i="1"/>
  <c r="D385" i="1"/>
  <c r="D54" i="1"/>
  <c r="D1997" i="3"/>
  <c r="D1965" i="3"/>
  <c r="D1933" i="3"/>
  <c r="D1967" i="3"/>
  <c r="D1951" i="3"/>
  <c r="D1903" i="3"/>
  <c r="D1968" i="3"/>
  <c r="D1952" i="3"/>
  <c r="D1904" i="3"/>
  <c r="D1890" i="3"/>
  <c r="D1824" i="3"/>
  <c r="D1865" i="3"/>
  <c r="D1943" i="3"/>
  <c r="D1829" i="3"/>
  <c r="D1901" i="3"/>
  <c r="D1869" i="3"/>
  <c r="D2015" i="3"/>
  <c r="D1880" i="3"/>
  <c r="D2018" i="3"/>
  <c r="D2002" i="3"/>
  <c r="D1986" i="3"/>
  <c r="D1970" i="3"/>
  <c r="D1954" i="3"/>
  <c r="D1938" i="3"/>
  <c r="D1922" i="3"/>
  <c r="D1906" i="3"/>
  <c r="D1885" i="3"/>
  <c r="D1872" i="3"/>
  <c r="D1853" i="3"/>
  <c r="D1840" i="3"/>
  <c r="D1826" i="3"/>
  <c r="D88" i="1"/>
  <c r="D56" i="1"/>
  <c r="D40" i="1"/>
  <c r="D2013" i="3"/>
  <c r="D1981" i="3"/>
  <c r="D1949" i="3"/>
  <c r="D2001" i="3"/>
  <c r="D1969" i="3"/>
  <c r="D2017" i="3"/>
  <c r="D1917" i="3"/>
  <c r="D1852" i="3"/>
  <c r="D1823" i="3"/>
  <c r="D1983" i="3"/>
  <c r="D1959" i="3"/>
  <c r="D1876" i="3"/>
  <c r="D1848" i="3"/>
  <c r="D2008" i="3"/>
  <c r="D1976" i="3"/>
  <c r="D1960" i="3"/>
  <c r="D1928" i="3"/>
  <c r="D1912" i="3"/>
  <c r="D1896" i="3"/>
  <c r="D1877" i="3"/>
  <c r="D1864" i="3"/>
  <c r="D1845" i="3"/>
  <c r="D1832" i="3"/>
  <c r="D1921" i="3"/>
  <c r="D1897" i="3"/>
  <c r="D1991" i="3"/>
  <c r="D1874" i="3"/>
  <c r="D1821" i="3"/>
  <c r="D1884" i="3"/>
  <c r="D1846" i="3"/>
  <c r="D1891" i="3"/>
  <c r="D1857" i="3"/>
  <c r="D2010" i="3"/>
  <c r="D1994" i="3"/>
  <c r="D1978" i="3"/>
  <c r="D1962" i="3"/>
  <c r="D1946" i="3"/>
  <c r="D1930" i="3"/>
  <c r="D1914" i="3"/>
  <c r="D1898" i="3"/>
  <c r="D1881" i="3"/>
  <c r="D1866" i="3"/>
  <c r="D1849" i="3"/>
  <c r="D1834" i="3"/>
  <c r="D469" i="1"/>
  <c r="D468" i="1"/>
  <c r="D387" i="1"/>
  <c r="D388" i="1"/>
  <c r="D430" i="1"/>
  <c r="D431" i="1"/>
  <c r="D398" i="1"/>
  <c r="D399" i="1"/>
  <c r="D255" i="1"/>
  <c r="D256" i="1"/>
  <c r="D510" i="1"/>
  <c r="D478" i="1"/>
  <c r="D381" i="1"/>
  <c r="D191" i="1"/>
  <c r="D159" i="1"/>
  <c r="D282" i="1"/>
  <c r="D121" i="1"/>
  <c r="D122" i="1"/>
  <c r="D65" i="1"/>
  <c r="D66" i="1"/>
  <c r="D108" i="1"/>
  <c r="D109" i="1"/>
  <c r="D28" i="1"/>
  <c r="D52" i="1"/>
  <c r="D51" i="1"/>
  <c r="D93" i="1"/>
  <c r="D477" i="1"/>
  <c r="D512" i="1"/>
  <c r="D284" i="1"/>
  <c r="D304" i="1"/>
  <c r="D281" i="1"/>
  <c r="D98" i="1"/>
  <c r="D70" i="1"/>
  <c r="D126" i="1"/>
  <c r="D158" i="1"/>
  <c r="D369" i="1"/>
  <c r="D371" i="1"/>
  <c r="D336" i="1"/>
  <c r="D463" i="1"/>
  <c r="D436" i="1"/>
  <c r="D218" i="1"/>
  <c r="D111" i="1"/>
  <c r="D107" i="1"/>
  <c r="D275" i="1"/>
  <c r="D509" i="1"/>
  <c r="D516" i="1"/>
  <c r="D188" i="1"/>
  <c r="D367" i="1"/>
  <c r="D447" i="1"/>
  <c r="D527" i="1"/>
  <c r="D560" i="1"/>
  <c r="D421" i="1"/>
  <c r="D43" i="1"/>
  <c r="D34" i="1"/>
  <c r="D547" i="1"/>
  <c r="D548" i="1"/>
  <c r="D201" i="1"/>
  <c r="D200" i="1"/>
  <c r="D415" i="1"/>
  <c r="D414" i="1"/>
  <c r="D552" i="1"/>
  <c r="D553" i="1"/>
  <c r="D557" i="1"/>
  <c r="D525" i="1"/>
  <c r="D494" i="1"/>
  <c r="D271" i="1"/>
  <c r="D270" i="1"/>
  <c r="D234" i="1"/>
  <c r="D233" i="1"/>
  <c r="D46" i="1"/>
  <c r="D47" i="1"/>
  <c r="D493" i="1"/>
  <c r="D170" i="1"/>
  <c r="D500" i="1"/>
  <c r="D313" i="1"/>
  <c r="D174" i="1"/>
  <c r="D190" i="1"/>
  <c r="D327" i="1"/>
  <c r="D253" i="1"/>
  <c r="D206" i="1"/>
  <c r="D542" i="1"/>
  <c r="D26" i="1"/>
  <c r="D559" i="1"/>
  <c r="D383" i="1"/>
  <c r="D45" i="1"/>
  <c r="D186" i="1"/>
  <c r="D532" i="1"/>
  <c r="D404" i="1"/>
  <c r="D29" i="1"/>
  <c r="D36" i="1"/>
  <c r="D61" i="1"/>
  <c r="D564" i="1"/>
  <c r="D401" i="1"/>
  <c r="D116" i="1"/>
  <c r="D160" i="1"/>
  <c r="D248" i="1"/>
  <c r="D143" i="1"/>
  <c r="D319" i="1"/>
  <c r="D522" i="1"/>
  <c r="D506" i="1"/>
  <c r="D490" i="1"/>
  <c r="D202" i="1"/>
  <c r="D155" i="1"/>
  <c r="D310" i="1"/>
  <c r="D277" i="1"/>
  <c r="D245" i="1"/>
  <c r="D134" i="1"/>
  <c r="D156" i="1"/>
  <c r="D80" i="1"/>
  <c r="D365" i="1"/>
  <c r="D518" i="1"/>
  <c r="D502" i="1"/>
  <c r="D486" i="1"/>
  <c r="D315" i="1"/>
  <c r="D231" i="1"/>
  <c r="D199" i="1"/>
  <c r="D322" i="1"/>
  <c r="D306" i="1"/>
  <c r="D290" i="1"/>
  <c r="D210" i="1"/>
  <c r="D146" i="1"/>
  <c r="D82" i="1"/>
  <c r="D152" i="1"/>
  <c r="D100" i="1"/>
  <c r="D75" i="1"/>
  <c r="D475" i="1"/>
  <c r="D472" i="1"/>
  <c r="D456" i="1"/>
  <c r="D355" i="1"/>
  <c r="D264" i="1"/>
  <c r="E24" i="1"/>
  <c r="F24" i="1" s="1"/>
  <c r="G24" i="1" s="1"/>
  <c r="H24" i="1" s="1"/>
  <c r="D498" i="1"/>
  <c r="D243" i="1"/>
  <c r="D227" i="1"/>
  <c r="D195" i="1"/>
  <c r="D163" i="1"/>
  <c r="D74" i="1"/>
  <c r="D148" i="1"/>
  <c r="D87" i="1"/>
  <c r="D72" i="1"/>
  <c r="B328" i="3"/>
  <c r="C328" i="3" s="1"/>
  <c r="B327" i="3"/>
  <c r="C327" i="3" s="1"/>
  <c r="B326" i="3"/>
  <c r="C326" i="3" s="1"/>
  <c r="B334" i="3"/>
  <c r="C334" i="3" s="1"/>
  <c r="B335" i="3"/>
  <c r="C335" i="3" s="1"/>
  <c r="B337" i="3"/>
  <c r="C337" i="3" s="1"/>
  <c r="B332" i="3"/>
  <c r="C332" i="3" s="1"/>
  <c r="B333" i="3"/>
  <c r="C333" i="3" s="1"/>
  <c r="B331" i="3"/>
  <c r="C331" i="3" s="1"/>
  <c r="B329" i="3"/>
  <c r="C329" i="3" s="1"/>
  <c r="B325" i="3"/>
  <c r="C325" i="3" s="1"/>
  <c r="B320" i="3"/>
  <c r="C320" i="3" s="1"/>
  <c r="B336" i="3"/>
  <c r="C336" i="3" s="1"/>
  <c r="B338" i="3"/>
  <c r="C338" i="3" s="1"/>
  <c r="B324" i="3"/>
  <c r="C324" i="3" s="1"/>
  <c r="B322" i="3"/>
  <c r="C322" i="3" s="1"/>
  <c r="B321" i="3"/>
  <c r="C321" i="3" s="1"/>
  <c r="B330" i="3"/>
  <c r="C330" i="3" s="1"/>
  <c r="B323" i="3"/>
  <c r="C323" i="3" s="1"/>
  <c r="B339" i="3"/>
  <c r="C339" i="3" s="1"/>
  <c r="B341" i="3"/>
  <c r="C341" i="3" s="1"/>
  <c r="B357" i="3"/>
  <c r="C357" i="3" s="1"/>
  <c r="B373" i="3"/>
  <c r="C373" i="3" s="1"/>
  <c r="B389" i="3"/>
  <c r="C389" i="3" s="1"/>
  <c r="B405" i="3"/>
  <c r="C405" i="3" s="1"/>
  <c r="B421" i="3"/>
  <c r="C421" i="3" s="1"/>
  <c r="B437" i="3"/>
  <c r="C437" i="3" s="1"/>
  <c r="B453" i="3"/>
  <c r="C453" i="3" s="1"/>
  <c r="B469" i="3"/>
  <c r="C469" i="3" s="1"/>
  <c r="B485" i="3"/>
  <c r="C485" i="3" s="1"/>
  <c r="B501" i="3"/>
  <c r="C501" i="3" s="1"/>
  <c r="B517" i="3"/>
  <c r="C517" i="3" s="1"/>
  <c r="B533" i="3"/>
  <c r="C533" i="3" s="1"/>
  <c r="B549" i="3"/>
  <c r="C549" i="3" s="1"/>
  <c r="B565" i="3"/>
  <c r="C565" i="3" s="1"/>
  <c r="B581" i="3"/>
  <c r="C581" i="3" s="1"/>
  <c r="B597" i="3"/>
  <c r="C597" i="3" s="1"/>
  <c r="B613" i="3"/>
  <c r="C613" i="3" s="1"/>
  <c r="B346" i="3"/>
  <c r="C346" i="3" s="1"/>
  <c r="B367" i="3"/>
  <c r="C367" i="3" s="1"/>
  <c r="B388" i="3"/>
  <c r="C388" i="3" s="1"/>
  <c r="B410" i="3"/>
  <c r="C410" i="3" s="1"/>
  <c r="B431" i="3"/>
  <c r="C431" i="3" s="1"/>
  <c r="B452" i="3"/>
  <c r="C452" i="3" s="1"/>
  <c r="B474" i="3"/>
  <c r="C474" i="3" s="1"/>
  <c r="B495" i="3"/>
  <c r="C495" i="3" s="1"/>
  <c r="B516" i="3"/>
  <c r="C516" i="3" s="1"/>
  <c r="B538" i="3"/>
  <c r="C538" i="3" s="1"/>
  <c r="B559" i="3"/>
  <c r="C559" i="3" s="1"/>
  <c r="B580" i="3"/>
  <c r="C580" i="3" s="1"/>
  <c r="B602" i="3"/>
  <c r="C602" i="3" s="1"/>
  <c r="B623" i="3"/>
  <c r="C623" i="3" s="1"/>
  <c r="B347" i="3"/>
  <c r="C347" i="3" s="1"/>
  <c r="B368" i="3"/>
  <c r="C368" i="3" s="1"/>
  <c r="B390" i="3"/>
  <c r="C390" i="3" s="1"/>
  <c r="B411" i="3"/>
  <c r="C411" i="3" s="1"/>
  <c r="B432" i="3"/>
  <c r="C432" i="3" s="1"/>
  <c r="B454" i="3"/>
  <c r="C454" i="3" s="1"/>
  <c r="B475" i="3"/>
  <c r="C475" i="3" s="1"/>
  <c r="B496" i="3"/>
  <c r="C496" i="3" s="1"/>
  <c r="B355" i="3"/>
  <c r="C355" i="3" s="1"/>
  <c r="B376" i="3"/>
  <c r="C376" i="3" s="1"/>
  <c r="B398" i="3"/>
  <c r="C398" i="3" s="1"/>
  <c r="B419" i="3"/>
  <c r="C419" i="3" s="1"/>
  <c r="B440" i="3"/>
  <c r="C440" i="3" s="1"/>
  <c r="B462" i="3"/>
  <c r="C462" i="3" s="1"/>
  <c r="B483" i="3"/>
  <c r="C483" i="3" s="1"/>
  <c r="B504" i="3"/>
  <c r="C504" i="3" s="1"/>
  <c r="B526" i="3"/>
  <c r="C526" i="3" s="1"/>
  <c r="B547" i="3"/>
  <c r="C547" i="3" s="1"/>
  <c r="B568" i="3"/>
  <c r="C568" i="3" s="1"/>
  <c r="B590" i="3"/>
  <c r="C590" i="3" s="1"/>
  <c r="B611" i="3"/>
  <c r="C611" i="3" s="1"/>
  <c r="B572" i="3"/>
  <c r="C572" i="3" s="1"/>
  <c r="B418" i="3"/>
  <c r="C418" i="3" s="1"/>
  <c r="B594" i="3"/>
  <c r="C594" i="3" s="1"/>
  <c r="B444" i="3"/>
  <c r="C444" i="3" s="1"/>
  <c r="B386" i="3"/>
  <c r="C386" i="3" s="1"/>
  <c r="B471" i="3"/>
  <c r="C471" i="3" s="1"/>
  <c r="B535" i="3"/>
  <c r="C535" i="3" s="1"/>
  <c r="B578" i="3"/>
  <c r="C578" i="3" s="1"/>
  <c r="B370" i="3"/>
  <c r="C370" i="3" s="1"/>
  <c r="B455" i="3"/>
  <c r="C455" i="3" s="1"/>
  <c r="B528" i="3"/>
  <c r="C528" i="3" s="1"/>
  <c r="B571" i="3"/>
  <c r="C571" i="3" s="1"/>
  <c r="B614" i="3"/>
  <c r="C614" i="3" s="1"/>
  <c r="B460" i="3"/>
  <c r="C460" i="3" s="1"/>
  <c r="B583" i="3"/>
  <c r="C583" i="3" s="1"/>
  <c r="B359" i="3"/>
  <c r="C359" i="3" s="1"/>
  <c r="B523" i="3"/>
  <c r="C523" i="3" s="1"/>
  <c r="B566" i="3"/>
  <c r="C566" i="3" s="1"/>
  <c r="B608" i="3"/>
  <c r="C608" i="3" s="1"/>
  <c r="B345" i="3"/>
  <c r="C345" i="3" s="1"/>
  <c r="B361" i="3"/>
  <c r="C361" i="3" s="1"/>
  <c r="B377" i="3"/>
  <c r="C377" i="3" s="1"/>
  <c r="B393" i="3"/>
  <c r="C393" i="3" s="1"/>
  <c r="B409" i="3"/>
  <c r="C409" i="3" s="1"/>
  <c r="B425" i="3"/>
  <c r="C425" i="3" s="1"/>
  <c r="B441" i="3"/>
  <c r="C441" i="3" s="1"/>
  <c r="B457" i="3"/>
  <c r="C457" i="3" s="1"/>
  <c r="B473" i="3"/>
  <c r="C473" i="3" s="1"/>
  <c r="B489" i="3"/>
  <c r="C489" i="3" s="1"/>
  <c r="B505" i="3"/>
  <c r="C505" i="3" s="1"/>
  <c r="B521" i="3"/>
  <c r="C521" i="3" s="1"/>
  <c r="B537" i="3"/>
  <c r="C537" i="3" s="1"/>
  <c r="B553" i="3"/>
  <c r="C553" i="3" s="1"/>
  <c r="B569" i="3"/>
  <c r="C569" i="3" s="1"/>
  <c r="B585" i="3"/>
  <c r="C585" i="3" s="1"/>
  <c r="B601" i="3"/>
  <c r="C601" i="3" s="1"/>
  <c r="B617" i="3"/>
  <c r="C617" i="3" s="1"/>
  <c r="B351" i="3"/>
  <c r="C351" i="3" s="1"/>
  <c r="B372" i="3"/>
  <c r="C372" i="3" s="1"/>
  <c r="B394" i="3"/>
  <c r="C394" i="3" s="1"/>
  <c r="B415" i="3"/>
  <c r="C415" i="3" s="1"/>
  <c r="B436" i="3"/>
  <c r="C436" i="3" s="1"/>
  <c r="B458" i="3"/>
  <c r="C458" i="3" s="1"/>
  <c r="B479" i="3"/>
  <c r="C479" i="3" s="1"/>
  <c r="B500" i="3"/>
  <c r="C500" i="3" s="1"/>
  <c r="B522" i="3"/>
  <c r="C522" i="3" s="1"/>
  <c r="B543" i="3"/>
  <c r="C543" i="3" s="1"/>
  <c r="B564" i="3"/>
  <c r="C564" i="3" s="1"/>
  <c r="B586" i="3"/>
  <c r="C586" i="3" s="1"/>
  <c r="B607" i="3"/>
  <c r="C607" i="3" s="1"/>
  <c r="B352" i="3"/>
  <c r="C352" i="3" s="1"/>
  <c r="B374" i="3"/>
  <c r="C374" i="3" s="1"/>
  <c r="B395" i="3"/>
  <c r="C395" i="3" s="1"/>
  <c r="B416" i="3"/>
  <c r="C416" i="3" s="1"/>
  <c r="B438" i="3"/>
  <c r="C438" i="3" s="1"/>
  <c r="B459" i="3"/>
  <c r="C459" i="3" s="1"/>
  <c r="B480" i="3"/>
  <c r="C480" i="3" s="1"/>
  <c r="B502" i="3"/>
  <c r="C502" i="3" s="1"/>
  <c r="B360" i="3"/>
  <c r="C360" i="3" s="1"/>
  <c r="B382" i="3"/>
  <c r="C382" i="3" s="1"/>
  <c r="B403" i="3"/>
  <c r="C403" i="3" s="1"/>
  <c r="B424" i="3"/>
  <c r="C424" i="3" s="1"/>
  <c r="B446" i="3"/>
  <c r="C446" i="3" s="1"/>
  <c r="B467" i="3"/>
  <c r="C467" i="3" s="1"/>
  <c r="B488" i="3"/>
  <c r="C488" i="3" s="1"/>
  <c r="B510" i="3"/>
  <c r="C510" i="3" s="1"/>
  <c r="B531" i="3"/>
  <c r="C531" i="3" s="1"/>
  <c r="B552" i="3"/>
  <c r="C552" i="3" s="1"/>
  <c r="B574" i="3"/>
  <c r="C574" i="3" s="1"/>
  <c r="B595" i="3"/>
  <c r="C595" i="3" s="1"/>
  <c r="B616" i="3"/>
  <c r="C616" i="3" s="1"/>
  <c r="B396" i="3"/>
  <c r="C396" i="3" s="1"/>
  <c r="B604" i="3"/>
  <c r="C604" i="3" s="1"/>
  <c r="B439" i="3"/>
  <c r="C439" i="3" s="1"/>
  <c r="B407" i="3"/>
  <c r="C407" i="3" s="1"/>
  <c r="B492" i="3"/>
  <c r="C492" i="3" s="1"/>
  <c r="B546" i="3"/>
  <c r="C546" i="3" s="1"/>
  <c r="B588" i="3"/>
  <c r="C588" i="3" s="1"/>
  <c r="B353" i="3"/>
  <c r="C353" i="3" s="1"/>
  <c r="B369" i="3"/>
  <c r="C369" i="3" s="1"/>
  <c r="B385" i="3"/>
  <c r="C385" i="3" s="1"/>
  <c r="B401" i="3"/>
  <c r="C401" i="3" s="1"/>
  <c r="B417" i="3"/>
  <c r="C417" i="3" s="1"/>
  <c r="B433" i="3"/>
  <c r="C433" i="3" s="1"/>
  <c r="B449" i="3"/>
  <c r="C449" i="3" s="1"/>
  <c r="B465" i="3"/>
  <c r="C465" i="3" s="1"/>
  <c r="B481" i="3"/>
  <c r="C481" i="3" s="1"/>
  <c r="B497" i="3"/>
  <c r="C497" i="3" s="1"/>
  <c r="B513" i="3"/>
  <c r="C513" i="3" s="1"/>
  <c r="B529" i="3"/>
  <c r="C529" i="3" s="1"/>
  <c r="B545" i="3"/>
  <c r="C545" i="3" s="1"/>
  <c r="B561" i="3"/>
  <c r="C561" i="3" s="1"/>
  <c r="B577" i="3"/>
  <c r="C577" i="3" s="1"/>
  <c r="B593" i="3"/>
  <c r="C593" i="3" s="1"/>
  <c r="B609" i="3"/>
  <c r="C609" i="3" s="1"/>
  <c r="B625" i="3"/>
  <c r="C625" i="3" s="1"/>
  <c r="B340" i="3"/>
  <c r="C340" i="3" s="1"/>
  <c r="B362" i="3"/>
  <c r="C362" i="3" s="1"/>
  <c r="B383" i="3"/>
  <c r="C383" i="3" s="1"/>
  <c r="B404" i="3"/>
  <c r="C404" i="3" s="1"/>
  <c r="B426" i="3"/>
  <c r="C426" i="3" s="1"/>
  <c r="B447" i="3"/>
  <c r="C447" i="3" s="1"/>
  <c r="B468" i="3"/>
  <c r="C468" i="3" s="1"/>
  <c r="B490" i="3"/>
  <c r="C490" i="3" s="1"/>
  <c r="B511" i="3"/>
  <c r="C511" i="3" s="1"/>
  <c r="B532" i="3"/>
  <c r="C532" i="3" s="1"/>
  <c r="B554" i="3"/>
  <c r="C554" i="3" s="1"/>
  <c r="B575" i="3"/>
  <c r="C575" i="3" s="1"/>
  <c r="B596" i="3"/>
  <c r="C596" i="3" s="1"/>
  <c r="B618" i="3"/>
  <c r="C618" i="3" s="1"/>
  <c r="B342" i="3"/>
  <c r="C342" i="3" s="1"/>
  <c r="B363" i="3"/>
  <c r="C363" i="3" s="1"/>
  <c r="B384" i="3"/>
  <c r="C384" i="3" s="1"/>
  <c r="B406" i="3"/>
  <c r="C406" i="3" s="1"/>
  <c r="B427" i="3"/>
  <c r="C427" i="3" s="1"/>
  <c r="B448" i="3"/>
  <c r="C448" i="3" s="1"/>
  <c r="B470" i="3"/>
  <c r="C470" i="3" s="1"/>
  <c r="B491" i="3"/>
  <c r="C491" i="3" s="1"/>
  <c r="B512" i="3"/>
  <c r="C512" i="3" s="1"/>
  <c r="B350" i="3"/>
  <c r="C350" i="3" s="1"/>
  <c r="B371" i="3"/>
  <c r="C371" i="3" s="1"/>
  <c r="B392" i="3"/>
  <c r="C392" i="3" s="1"/>
  <c r="B414" i="3"/>
  <c r="C414" i="3" s="1"/>
  <c r="B435" i="3"/>
  <c r="C435" i="3" s="1"/>
  <c r="B456" i="3"/>
  <c r="C456" i="3" s="1"/>
  <c r="B478" i="3"/>
  <c r="C478" i="3" s="1"/>
  <c r="B499" i="3"/>
  <c r="C499" i="3" s="1"/>
  <c r="B520" i="3"/>
  <c r="C520" i="3" s="1"/>
  <c r="B542" i="3"/>
  <c r="C542" i="3" s="1"/>
  <c r="B563" i="3"/>
  <c r="C563" i="3" s="1"/>
  <c r="B584" i="3"/>
  <c r="C584" i="3" s="1"/>
  <c r="B606" i="3"/>
  <c r="C606" i="3" s="1"/>
  <c r="B551" i="3"/>
  <c r="C551" i="3" s="1"/>
  <c r="B466" i="3"/>
  <c r="C466" i="3" s="1"/>
  <c r="B354" i="3"/>
  <c r="C354" i="3" s="1"/>
  <c r="B530" i="3"/>
  <c r="C530" i="3" s="1"/>
  <c r="B380" i="3"/>
  <c r="C380" i="3" s="1"/>
  <c r="B364" i="3"/>
  <c r="C364" i="3" s="1"/>
  <c r="B450" i="3"/>
  <c r="C450" i="3" s="1"/>
  <c r="B524" i="3"/>
  <c r="C524" i="3" s="1"/>
  <c r="B567" i="3"/>
  <c r="C567" i="3" s="1"/>
  <c r="B610" i="3"/>
  <c r="C610" i="3" s="1"/>
  <c r="B348" i="3"/>
  <c r="C348" i="3" s="1"/>
  <c r="B434" i="3"/>
  <c r="C434" i="3" s="1"/>
  <c r="B518" i="3"/>
  <c r="C518" i="3" s="1"/>
  <c r="B560" i="3"/>
  <c r="C560" i="3" s="1"/>
  <c r="B603" i="3"/>
  <c r="C603" i="3" s="1"/>
  <c r="B375" i="3"/>
  <c r="C375" i="3" s="1"/>
  <c r="B562" i="3"/>
  <c r="C562" i="3" s="1"/>
  <c r="B508" i="3"/>
  <c r="C508" i="3" s="1"/>
  <c r="B555" i="3"/>
  <c r="C555" i="3" s="1"/>
  <c r="B598" i="3"/>
  <c r="C598" i="3" s="1"/>
  <c r="B365" i="3"/>
  <c r="C365" i="3" s="1"/>
  <c r="B429" i="3"/>
  <c r="C429" i="3" s="1"/>
  <c r="B493" i="3"/>
  <c r="C493" i="3" s="1"/>
  <c r="B557" i="3"/>
  <c r="C557" i="3" s="1"/>
  <c r="B420" i="3"/>
  <c r="C420" i="3" s="1"/>
  <c r="B506" i="3"/>
  <c r="C506" i="3" s="1"/>
  <c r="B591" i="3"/>
  <c r="C591" i="3" s="1"/>
  <c r="B422" i="3"/>
  <c r="C422" i="3" s="1"/>
  <c r="B507" i="3"/>
  <c r="C507" i="3" s="1"/>
  <c r="B387" i="3"/>
  <c r="C387" i="3" s="1"/>
  <c r="B472" i="3"/>
  <c r="C472" i="3" s="1"/>
  <c r="B558" i="3"/>
  <c r="C558" i="3" s="1"/>
  <c r="B503" i="3"/>
  <c r="C503" i="3" s="1"/>
  <c r="B482" i="3"/>
  <c r="C482" i="3" s="1"/>
  <c r="B343" i="3"/>
  <c r="C343" i="3" s="1"/>
  <c r="B599" i="3"/>
  <c r="C599" i="3" s="1"/>
  <c r="B476" i="3"/>
  <c r="C476" i="3" s="1"/>
  <c r="B582" i="3"/>
  <c r="C582" i="3" s="1"/>
  <c r="B519" i="3"/>
  <c r="C519" i="3" s="1"/>
  <c r="B544" i="3"/>
  <c r="C544" i="3" s="1"/>
  <c r="B408" i="3"/>
  <c r="C408" i="3" s="1"/>
  <c r="B576" i="3"/>
  <c r="C576" i="3" s="1"/>
  <c r="B442" i="3"/>
  <c r="C442" i="3" s="1"/>
  <c r="B358" i="3"/>
  <c r="C358" i="3" s="1"/>
  <c r="B579" i="3"/>
  <c r="C579" i="3" s="1"/>
  <c r="B428" i="3"/>
  <c r="C428" i="3" s="1"/>
  <c r="B349" i="3"/>
  <c r="C349" i="3" s="1"/>
  <c r="B413" i="3"/>
  <c r="C413" i="3" s="1"/>
  <c r="B477" i="3"/>
  <c r="C477" i="3" s="1"/>
  <c r="B541" i="3"/>
  <c r="C541" i="3" s="1"/>
  <c r="B605" i="3"/>
  <c r="C605" i="3" s="1"/>
  <c r="B399" i="3"/>
  <c r="C399" i="3" s="1"/>
  <c r="B484" i="3"/>
  <c r="C484" i="3" s="1"/>
  <c r="B570" i="3"/>
  <c r="C570" i="3" s="1"/>
  <c r="B400" i="3"/>
  <c r="C400" i="3" s="1"/>
  <c r="B486" i="3"/>
  <c r="C486" i="3" s="1"/>
  <c r="B366" i="3"/>
  <c r="C366" i="3" s="1"/>
  <c r="B451" i="3"/>
  <c r="C451" i="3" s="1"/>
  <c r="B536" i="3"/>
  <c r="C536" i="3" s="1"/>
  <c r="B556" i="3"/>
  <c r="C556" i="3" s="1"/>
  <c r="B412" i="3"/>
  <c r="C412" i="3" s="1"/>
  <c r="B550" i="3"/>
  <c r="C550" i="3" s="1"/>
  <c r="B636" i="3"/>
  <c r="C636" i="3" s="1"/>
  <c r="B534" i="3"/>
  <c r="C534" i="3" s="1"/>
  <c r="B381" i="3"/>
  <c r="C381" i="3" s="1"/>
  <c r="B445" i="3"/>
  <c r="C445" i="3" s="1"/>
  <c r="B509" i="3"/>
  <c r="C509" i="3" s="1"/>
  <c r="B573" i="3"/>
  <c r="C573" i="3" s="1"/>
  <c r="B356" i="3"/>
  <c r="C356" i="3" s="1"/>
  <c r="B527" i="3"/>
  <c r="C527" i="3" s="1"/>
  <c r="B612" i="3"/>
  <c r="C612" i="3" s="1"/>
  <c r="B443" i="3"/>
  <c r="C443" i="3" s="1"/>
  <c r="B494" i="3"/>
  <c r="C494" i="3" s="1"/>
  <c r="B498" i="3"/>
  <c r="C498" i="3" s="1"/>
  <c r="B592" i="3"/>
  <c r="C592" i="3" s="1"/>
  <c r="B540" i="3"/>
  <c r="C540" i="3" s="1"/>
  <c r="B423" i="3"/>
  <c r="C423" i="3" s="1"/>
  <c r="B461" i="3"/>
  <c r="C461" i="3" s="1"/>
  <c r="B463" i="3"/>
  <c r="C463" i="3" s="1"/>
  <c r="B379" i="3"/>
  <c r="C379" i="3" s="1"/>
  <c r="B430" i="3"/>
  <c r="C430" i="3" s="1"/>
  <c r="B615" i="3"/>
  <c r="C615" i="3" s="1"/>
  <c r="B525" i="3"/>
  <c r="C525" i="3" s="1"/>
  <c r="B548" i="3"/>
  <c r="C548" i="3" s="1"/>
  <c r="B464" i="3"/>
  <c r="C464" i="3" s="1"/>
  <c r="B515" i="3"/>
  <c r="C515" i="3" s="1"/>
  <c r="B514" i="3"/>
  <c r="C514" i="3" s="1"/>
  <c r="B589" i="3"/>
  <c r="C589" i="3" s="1"/>
  <c r="B600" i="3"/>
  <c r="C600" i="3" s="1"/>
  <c r="B402" i="3"/>
  <c r="C402" i="3" s="1"/>
  <c r="B391" i="3"/>
  <c r="C391" i="3" s="1"/>
  <c r="B487" i="3"/>
  <c r="C487" i="3" s="1"/>
  <c r="B397" i="3"/>
  <c r="C397" i="3" s="1"/>
  <c r="B378" i="3"/>
  <c r="C378" i="3" s="1"/>
  <c r="B344" i="3"/>
  <c r="C344" i="3" s="1"/>
  <c r="B539" i="3"/>
  <c r="C539" i="3" s="1"/>
  <c r="B587" i="3"/>
  <c r="C587" i="3" s="1"/>
  <c r="A14" i="3"/>
  <c r="E434" i="1" l="1"/>
  <c r="F434" i="1" s="1"/>
  <c r="G434" i="1" s="1"/>
  <c r="H434" i="1" s="1"/>
  <c r="E222" i="1"/>
  <c r="F222" i="1" s="1"/>
  <c r="G222" i="1" s="1"/>
  <c r="H222" i="1" s="1"/>
  <c r="E420" i="1"/>
  <c r="F420" i="1" s="1"/>
  <c r="G420" i="1" s="1"/>
  <c r="H420" i="1" s="1"/>
  <c r="E275" i="1"/>
  <c r="F275" i="1" s="1"/>
  <c r="G275" i="1" s="1"/>
  <c r="H275" i="1" s="1"/>
  <c r="E404" i="1"/>
  <c r="F404" i="1" s="1"/>
  <c r="G404" i="1" s="1"/>
  <c r="H404" i="1" s="1"/>
  <c r="E295" i="1"/>
  <c r="F295" i="1" s="1"/>
  <c r="G295" i="1" s="1"/>
  <c r="H295" i="1" s="1"/>
  <c r="E274" i="1"/>
  <c r="F274" i="1" s="1"/>
  <c r="G274" i="1" s="1"/>
  <c r="H274" i="1" s="1"/>
  <c r="E96" i="1"/>
  <c r="F96" i="1" s="1"/>
  <c r="G96" i="1" s="1"/>
  <c r="H96" i="1" s="1"/>
  <c r="E389" i="1"/>
  <c r="F389" i="1" s="1"/>
  <c r="G389" i="1" s="1"/>
  <c r="H389" i="1" s="1"/>
  <c r="E169" i="1"/>
  <c r="F169" i="1" s="1"/>
  <c r="G169" i="1" s="1"/>
  <c r="H169" i="1" s="1"/>
  <c r="E396" i="1"/>
  <c r="F396" i="1" s="1"/>
  <c r="G396" i="1" s="1"/>
  <c r="H396" i="1" s="1"/>
  <c r="E316" i="1"/>
  <c r="F316" i="1" s="1"/>
  <c r="G316" i="1" s="1"/>
  <c r="H316" i="1" s="1"/>
  <c r="E383" i="1"/>
  <c r="F383" i="1" s="1"/>
  <c r="G383" i="1" s="1"/>
  <c r="H383" i="1" s="1"/>
  <c r="E271" i="1"/>
  <c r="F271" i="1" s="1"/>
  <c r="G271" i="1" s="1"/>
  <c r="H271" i="1" s="1"/>
  <c r="E130" i="1"/>
  <c r="F130" i="1" s="1"/>
  <c r="G130" i="1" s="1"/>
  <c r="H130" i="1" s="1"/>
  <c r="E562" i="1"/>
  <c r="F562" i="1" s="1"/>
  <c r="G562" i="1" s="1"/>
  <c r="H562" i="1" s="1"/>
  <c r="E306" i="1"/>
  <c r="F306" i="1" s="1"/>
  <c r="G306" i="1" s="1"/>
  <c r="H306" i="1" s="1"/>
  <c r="E25" i="1"/>
  <c r="F25" i="1" s="1"/>
  <c r="G25" i="1" s="1"/>
  <c r="H25" i="1" s="1"/>
  <c r="E319" i="1"/>
  <c r="F319" i="1" s="1"/>
  <c r="G319" i="1" s="1"/>
  <c r="H319" i="1" s="1"/>
  <c r="E468" i="1"/>
  <c r="F468" i="1" s="1"/>
  <c r="G468" i="1" s="1"/>
  <c r="H468" i="1" s="1"/>
  <c r="E135" i="1"/>
  <c r="F135" i="1" s="1"/>
  <c r="G135" i="1" s="1"/>
  <c r="H135" i="1" s="1"/>
  <c r="E413" i="1"/>
  <c r="F413" i="1" s="1"/>
  <c r="G413" i="1" s="1"/>
  <c r="H413" i="1" s="1"/>
  <c r="E429" i="1"/>
  <c r="F429" i="1" s="1"/>
  <c r="G429" i="1" s="1"/>
  <c r="H429" i="1" s="1"/>
  <c r="E304" i="1"/>
  <c r="F304" i="1" s="1"/>
  <c r="G304" i="1" s="1"/>
  <c r="H304" i="1" s="1"/>
  <c r="E134" i="1"/>
  <c r="F134" i="1" s="1"/>
  <c r="G134" i="1" s="1"/>
  <c r="H134" i="1" s="1"/>
  <c r="E317" i="1"/>
  <c r="F317" i="1" s="1"/>
  <c r="G317" i="1" s="1"/>
  <c r="H317" i="1" s="1"/>
  <c r="E291" i="1"/>
  <c r="F291" i="1" s="1"/>
  <c r="G291" i="1" s="1"/>
  <c r="H291" i="1" s="1"/>
  <c r="E182" i="1"/>
  <c r="F182" i="1" s="1"/>
  <c r="G182" i="1" s="1"/>
  <c r="H182" i="1" s="1"/>
  <c r="E496" i="1"/>
  <c r="F496" i="1" s="1"/>
  <c r="G496" i="1" s="1"/>
  <c r="H496" i="1" s="1"/>
  <c r="E478" i="1"/>
  <c r="F478" i="1" s="1"/>
  <c r="G478" i="1" s="1"/>
  <c r="H478" i="1" s="1"/>
  <c r="E133" i="1"/>
  <c r="F133" i="1" s="1"/>
  <c r="G133" i="1" s="1"/>
  <c r="H133" i="1" s="1"/>
  <c r="E384" i="1"/>
  <c r="F384" i="1" s="1"/>
  <c r="G384" i="1" s="1"/>
  <c r="H384" i="1" s="1"/>
  <c r="E392" i="1"/>
  <c r="F392" i="1" s="1"/>
  <c r="G392" i="1" s="1"/>
  <c r="H392" i="1" s="1"/>
  <c r="E418" i="1"/>
  <c r="F418" i="1" s="1"/>
  <c r="G418" i="1" s="1"/>
  <c r="H418" i="1" s="1"/>
  <c r="E91" i="1"/>
  <c r="F91" i="1" s="1"/>
  <c r="G91" i="1" s="1"/>
  <c r="H91" i="1" s="1"/>
  <c r="E186" i="1"/>
  <c r="F186" i="1" s="1"/>
  <c r="G186" i="1" s="1"/>
  <c r="H186" i="1" s="1"/>
  <c r="E439" i="1"/>
  <c r="F439" i="1" s="1"/>
  <c r="G439" i="1" s="1"/>
  <c r="H439" i="1" s="1"/>
  <c r="E351" i="1"/>
  <c r="F351" i="1" s="1"/>
  <c r="G351" i="1" s="1"/>
  <c r="H351" i="1" s="1"/>
  <c r="E125" i="1"/>
  <c r="F125" i="1" s="1"/>
  <c r="G125" i="1" s="1"/>
  <c r="H125" i="1" s="1"/>
  <c r="E302" i="1"/>
  <c r="F302" i="1" s="1"/>
  <c r="G302" i="1" s="1"/>
  <c r="H302" i="1" s="1"/>
  <c r="E322" i="1"/>
  <c r="F322" i="1" s="1"/>
  <c r="G322" i="1" s="1"/>
  <c r="H322" i="1" s="1"/>
  <c r="E311" i="1"/>
  <c r="F311" i="1" s="1"/>
  <c r="G311" i="1" s="1"/>
  <c r="H311" i="1" s="1"/>
  <c r="E263" i="1"/>
  <c r="F263" i="1" s="1"/>
  <c r="G263" i="1" s="1"/>
  <c r="H263" i="1" s="1"/>
  <c r="E36" i="1"/>
  <c r="F36" i="1" s="1"/>
  <c r="G36" i="1" s="1"/>
  <c r="H36" i="1" s="1"/>
  <c r="E70" i="1"/>
  <c r="F70" i="1" s="1"/>
  <c r="G70" i="1" s="1"/>
  <c r="H70" i="1" s="1"/>
  <c r="E210" i="1"/>
  <c r="F210" i="1" s="1"/>
  <c r="G210" i="1" s="1"/>
  <c r="H210" i="1" s="1"/>
  <c r="E238" i="1"/>
  <c r="F238" i="1" s="1"/>
  <c r="G238" i="1" s="1"/>
  <c r="H238" i="1" s="1"/>
  <c r="E462" i="1"/>
  <c r="F462" i="1" s="1"/>
  <c r="G462" i="1" s="1"/>
  <c r="H462" i="1" s="1"/>
  <c r="E504" i="1"/>
  <c r="F504" i="1" s="1"/>
  <c r="G504" i="1" s="1"/>
  <c r="H504" i="1" s="1"/>
  <c r="E118" i="1"/>
  <c r="F118" i="1" s="1"/>
  <c r="G118" i="1" s="1"/>
  <c r="H118" i="1" s="1"/>
  <c r="E534" i="1"/>
  <c r="F534" i="1" s="1"/>
  <c r="G534" i="1" s="1"/>
  <c r="H534" i="1" s="1"/>
  <c r="E506" i="1"/>
  <c r="F506" i="1" s="1"/>
  <c r="G506" i="1" s="1"/>
  <c r="H506" i="1" s="1"/>
  <c r="E158" i="1"/>
  <c r="F158" i="1" s="1"/>
  <c r="G158" i="1" s="1"/>
  <c r="H158" i="1" s="1"/>
  <c r="E412" i="1"/>
  <c r="F412" i="1" s="1"/>
  <c r="G412" i="1" s="1"/>
  <c r="H412" i="1" s="1"/>
  <c r="E297" i="1"/>
  <c r="F297" i="1" s="1"/>
  <c r="G297" i="1" s="1"/>
  <c r="H297" i="1" s="1"/>
  <c r="E261" i="1"/>
  <c r="F261" i="1" s="1"/>
  <c r="G261" i="1" s="1"/>
  <c r="H261" i="1" s="1"/>
  <c r="E387" i="1"/>
  <c r="F387" i="1" s="1"/>
  <c r="G387" i="1" s="1"/>
  <c r="H387" i="1" s="1"/>
  <c r="E320" i="1"/>
  <c r="F320" i="1" s="1"/>
  <c r="G320" i="1" s="1"/>
  <c r="H320" i="1" s="1"/>
  <c r="E407" i="1"/>
  <c r="F407" i="1" s="1"/>
  <c r="G407" i="1" s="1"/>
  <c r="H407" i="1" s="1"/>
  <c r="E332" i="1"/>
  <c r="F332" i="1" s="1"/>
  <c r="G332" i="1" s="1"/>
  <c r="H332" i="1" s="1"/>
  <c r="E328" i="1"/>
  <c r="F328" i="1" s="1"/>
  <c r="G328" i="1" s="1"/>
  <c r="H328" i="1" s="1"/>
  <c r="E397" i="1"/>
  <c r="F397" i="1" s="1"/>
  <c r="G397" i="1" s="1"/>
  <c r="H397" i="1" s="1"/>
  <c r="E340" i="1"/>
  <c r="F340" i="1" s="1"/>
  <c r="G340" i="1" s="1"/>
  <c r="H340" i="1" s="1"/>
  <c r="E381" i="1"/>
  <c r="F381" i="1" s="1"/>
  <c r="G381" i="1" s="1"/>
  <c r="H381" i="1" s="1"/>
  <c r="E240" i="1"/>
  <c r="F240" i="1" s="1"/>
  <c r="G240" i="1" s="1"/>
  <c r="H240" i="1" s="1"/>
  <c r="E500" i="1"/>
  <c r="F500" i="1" s="1"/>
  <c r="G500" i="1" s="1"/>
  <c r="H500" i="1" s="1"/>
  <c r="E252" i="1"/>
  <c r="F252" i="1" s="1"/>
  <c r="G252" i="1" s="1"/>
  <c r="H252" i="1" s="1"/>
  <c r="E488" i="1"/>
  <c r="F488" i="1" s="1"/>
  <c r="G488" i="1" s="1"/>
  <c r="H488" i="1" s="1"/>
  <c r="E401" i="1"/>
  <c r="F401" i="1" s="1"/>
  <c r="G401" i="1" s="1"/>
  <c r="H401" i="1" s="1"/>
  <c r="E324" i="1"/>
  <c r="F324" i="1" s="1"/>
  <c r="G324" i="1" s="1"/>
  <c r="H324" i="1" s="1"/>
  <c r="E217" i="1"/>
  <c r="F217" i="1" s="1"/>
  <c r="G217" i="1" s="1"/>
  <c r="H217" i="1" s="1"/>
  <c r="E416" i="1"/>
  <c r="F416" i="1" s="1"/>
  <c r="G416" i="1" s="1"/>
  <c r="H416" i="1" s="1"/>
  <c r="E245" i="1"/>
  <c r="F245" i="1" s="1"/>
  <c r="G245" i="1" s="1"/>
  <c r="H245" i="1" s="1"/>
  <c r="E289" i="1"/>
  <c r="F289" i="1" s="1"/>
  <c r="G289" i="1" s="1"/>
  <c r="H289" i="1" s="1"/>
  <c r="E300" i="1"/>
  <c r="F300" i="1" s="1"/>
  <c r="G300" i="1" s="1"/>
  <c r="H300" i="1" s="1"/>
  <c r="E417" i="1"/>
  <c r="F417" i="1" s="1"/>
  <c r="G417" i="1" s="1"/>
  <c r="H417" i="1" s="1"/>
  <c r="E361" i="1"/>
  <c r="F361" i="1" s="1"/>
  <c r="G361" i="1" s="1"/>
  <c r="H361" i="1" s="1"/>
  <c r="E296" i="1"/>
  <c r="F296" i="1" s="1"/>
  <c r="G296" i="1" s="1"/>
  <c r="H296" i="1" s="1"/>
  <c r="E422" i="1"/>
  <c r="F422" i="1" s="1"/>
  <c r="G422" i="1" s="1"/>
  <c r="H422" i="1" s="1"/>
  <c r="E366" i="1"/>
  <c r="F366" i="1" s="1"/>
  <c r="G366" i="1" s="1"/>
  <c r="H366" i="1" s="1"/>
  <c r="E244" i="1"/>
  <c r="F244" i="1" s="1"/>
  <c r="G244" i="1" s="1"/>
  <c r="H244" i="1" s="1"/>
  <c r="E483" i="1"/>
  <c r="F483" i="1" s="1"/>
  <c r="G483" i="1" s="1"/>
  <c r="H483" i="1" s="1"/>
  <c r="E435" i="1"/>
  <c r="F435" i="1" s="1"/>
  <c r="G435" i="1" s="1"/>
  <c r="H435" i="1" s="1"/>
  <c r="E272" i="1"/>
  <c r="F272" i="1" s="1"/>
  <c r="G272" i="1" s="1"/>
  <c r="H272" i="1" s="1"/>
  <c r="E369" i="1"/>
  <c r="F369" i="1" s="1"/>
  <c r="G369" i="1" s="1"/>
  <c r="H369" i="1" s="1"/>
  <c r="E477" i="1"/>
  <c r="F477" i="1" s="1"/>
  <c r="G477" i="1" s="1"/>
  <c r="H477" i="1" s="1"/>
  <c r="E156" i="1"/>
  <c r="F156" i="1" s="1"/>
  <c r="G156" i="1" s="1"/>
  <c r="H156" i="1" s="1"/>
  <c r="E571" i="1"/>
  <c r="F571" i="1" s="1"/>
  <c r="G571" i="1" s="1"/>
  <c r="H571" i="1" s="1"/>
  <c r="E107" i="1"/>
  <c r="F107" i="1" s="1"/>
  <c r="G107" i="1" s="1"/>
  <c r="H107" i="1" s="1"/>
  <c r="E88" i="1"/>
  <c r="F88" i="1" s="1"/>
  <c r="G88" i="1" s="1"/>
  <c r="H88" i="1" s="1"/>
  <c r="E159" i="1"/>
  <c r="F159" i="1" s="1"/>
  <c r="G159" i="1" s="1"/>
  <c r="H159" i="1" s="1"/>
  <c r="E211" i="1"/>
  <c r="F211" i="1" s="1"/>
  <c r="G211" i="1" s="1"/>
  <c r="H211" i="1" s="1"/>
  <c r="E178" i="1"/>
  <c r="F178" i="1" s="1"/>
  <c r="G178" i="1" s="1"/>
  <c r="H178" i="1" s="1"/>
  <c r="E457" i="1"/>
  <c r="F457" i="1" s="1"/>
  <c r="G457" i="1" s="1"/>
  <c r="H457" i="1" s="1"/>
  <c r="E78" i="1"/>
  <c r="F78" i="1" s="1"/>
  <c r="G78" i="1" s="1"/>
  <c r="H78" i="1" s="1"/>
  <c r="E493" i="1"/>
  <c r="F493" i="1" s="1"/>
  <c r="G493" i="1" s="1"/>
  <c r="H493" i="1" s="1"/>
  <c r="E154" i="1"/>
  <c r="F154" i="1" s="1"/>
  <c r="G154" i="1" s="1"/>
  <c r="H154" i="1" s="1"/>
  <c r="E481" i="1"/>
  <c r="F481" i="1" s="1"/>
  <c r="G481" i="1" s="1"/>
  <c r="H481" i="1" s="1"/>
  <c r="E150" i="1"/>
  <c r="F150" i="1" s="1"/>
  <c r="G150" i="1" s="1"/>
  <c r="H150" i="1" s="1"/>
  <c r="E485" i="1"/>
  <c r="F485" i="1" s="1"/>
  <c r="G485" i="1" s="1"/>
  <c r="H485" i="1" s="1"/>
  <c r="E162" i="1"/>
  <c r="F162" i="1" s="1"/>
  <c r="G162" i="1" s="1"/>
  <c r="H162" i="1" s="1"/>
  <c r="E537" i="1"/>
  <c r="F537" i="1" s="1"/>
  <c r="G537" i="1" s="1"/>
  <c r="H537" i="1" s="1"/>
  <c r="E213" i="1"/>
  <c r="F213" i="1" s="1"/>
  <c r="G213" i="1" s="1"/>
  <c r="H213" i="1" s="1"/>
  <c r="E573" i="1"/>
  <c r="F573" i="1" s="1"/>
  <c r="G573" i="1" s="1"/>
  <c r="H573" i="1" s="1"/>
  <c r="E189" i="1"/>
  <c r="F189" i="1" s="1"/>
  <c r="G189" i="1" s="1"/>
  <c r="H189" i="1" s="1"/>
  <c r="E561" i="1"/>
  <c r="F561" i="1" s="1"/>
  <c r="G561" i="1" s="1"/>
  <c r="H561" i="1" s="1"/>
  <c r="E530" i="1"/>
  <c r="F530" i="1" s="1"/>
  <c r="G530" i="1" s="1"/>
  <c r="H530" i="1" s="1"/>
  <c r="E453" i="1"/>
  <c r="F453" i="1" s="1"/>
  <c r="G453" i="1" s="1"/>
  <c r="H453" i="1" s="1"/>
  <c r="E330" i="1"/>
  <c r="F330" i="1" s="1"/>
  <c r="G330" i="1" s="1"/>
  <c r="H330" i="1" s="1"/>
  <c r="E365" i="1"/>
  <c r="F365" i="1" s="1"/>
  <c r="G365" i="1" s="1"/>
  <c r="H365" i="1" s="1"/>
  <c r="E482" i="1"/>
  <c r="F482" i="1" s="1"/>
  <c r="G482" i="1" s="1"/>
  <c r="H482" i="1" s="1"/>
  <c r="E508" i="1"/>
  <c r="F508" i="1" s="1"/>
  <c r="G508" i="1" s="1"/>
  <c r="H508" i="1" s="1"/>
  <c r="E560" i="1"/>
  <c r="F560" i="1" s="1"/>
  <c r="G560" i="1" s="1"/>
  <c r="H560" i="1" s="1"/>
  <c r="E532" i="1"/>
  <c r="F532" i="1" s="1"/>
  <c r="G532" i="1" s="1"/>
  <c r="H532" i="1" s="1"/>
  <c r="E253" i="1"/>
  <c r="F253" i="1" s="1"/>
  <c r="G253" i="1" s="1"/>
  <c r="H253" i="1" s="1"/>
  <c r="E344" i="1"/>
  <c r="F344" i="1" s="1"/>
  <c r="G344" i="1" s="1"/>
  <c r="H344" i="1" s="1"/>
  <c r="E292" i="1"/>
  <c r="F292" i="1" s="1"/>
  <c r="G292" i="1" s="1"/>
  <c r="H292" i="1" s="1"/>
  <c r="E391" i="1"/>
  <c r="F391" i="1" s="1"/>
  <c r="G391" i="1" s="1"/>
  <c r="H391" i="1" s="1"/>
  <c r="E248" i="1"/>
  <c r="F248" i="1" s="1"/>
  <c r="G248" i="1" s="1"/>
  <c r="H248" i="1" s="1"/>
  <c r="E345" i="1"/>
  <c r="F345" i="1" s="1"/>
  <c r="G345" i="1" s="1"/>
  <c r="H345" i="1" s="1"/>
  <c r="E299" i="1"/>
  <c r="F299" i="1" s="1"/>
  <c r="G299" i="1" s="1"/>
  <c r="H299" i="1" s="1"/>
  <c r="E184" i="1"/>
  <c r="F184" i="1" s="1"/>
  <c r="G184" i="1" s="1"/>
  <c r="H184" i="1" s="1"/>
  <c r="E543" i="1"/>
  <c r="F543" i="1" s="1"/>
  <c r="G543" i="1" s="1"/>
  <c r="H543" i="1" s="1"/>
  <c r="E430" i="1"/>
  <c r="F430" i="1" s="1"/>
  <c r="G430" i="1" s="1"/>
  <c r="H430" i="1" s="1"/>
  <c r="E260" i="1"/>
  <c r="F260" i="1" s="1"/>
  <c r="G260" i="1" s="1"/>
  <c r="H260" i="1" s="1"/>
  <c r="E467" i="1"/>
  <c r="F467" i="1" s="1"/>
  <c r="G467" i="1" s="1"/>
  <c r="H467" i="1" s="1"/>
  <c r="E329" i="1"/>
  <c r="F329" i="1" s="1"/>
  <c r="G329" i="1" s="1"/>
  <c r="H329" i="1" s="1"/>
  <c r="E352" i="1"/>
  <c r="F352" i="1" s="1"/>
  <c r="G352" i="1" s="1"/>
  <c r="H352" i="1" s="1"/>
  <c r="E433" i="1"/>
  <c r="F433" i="1" s="1"/>
  <c r="G433" i="1" s="1"/>
  <c r="H433" i="1" s="1"/>
  <c r="E377" i="1"/>
  <c r="F377" i="1" s="1"/>
  <c r="G377" i="1" s="1"/>
  <c r="H377" i="1" s="1"/>
  <c r="E236" i="1"/>
  <c r="F236" i="1" s="1"/>
  <c r="G236" i="1" s="1"/>
  <c r="H236" i="1" s="1"/>
  <c r="E555" i="1"/>
  <c r="F555" i="1" s="1"/>
  <c r="G555" i="1" s="1"/>
  <c r="H555" i="1" s="1"/>
  <c r="E446" i="1"/>
  <c r="F446" i="1" s="1"/>
  <c r="G446" i="1" s="1"/>
  <c r="H446" i="1" s="1"/>
  <c r="E232" i="1"/>
  <c r="F232" i="1" s="1"/>
  <c r="G232" i="1" s="1"/>
  <c r="H232" i="1" s="1"/>
  <c r="E559" i="1"/>
  <c r="F559" i="1" s="1"/>
  <c r="G559" i="1" s="1"/>
  <c r="H559" i="1" s="1"/>
  <c r="E451" i="1"/>
  <c r="F451" i="1" s="1"/>
  <c r="G451" i="1" s="1"/>
  <c r="H451" i="1" s="1"/>
  <c r="E180" i="1"/>
  <c r="F180" i="1" s="1"/>
  <c r="G180" i="1" s="1"/>
  <c r="H180" i="1" s="1"/>
  <c r="E103" i="1"/>
  <c r="F103" i="1" s="1"/>
  <c r="G103" i="1" s="1"/>
  <c r="H103" i="1" s="1"/>
  <c r="E505" i="1"/>
  <c r="F505" i="1" s="1"/>
  <c r="G505" i="1" s="1"/>
  <c r="H505" i="1" s="1"/>
  <c r="E208" i="1"/>
  <c r="F208" i="1" s="1"/>
  <c r="G208" i="1" s="1"/>
  <c r="H208" i="1" s="1"/>
  <c r="E519" i="1"/>
  <c r="F519" i="1" s="1"/>
  <c r="G519" i="1" s="1"/>
  <c r="H519" i="1" s="1"/>
  <c r="E541" i="1"/>
  <c r="F541" i="1" s="1"/>
  <c r="G541" i="1" s="1"/>
  <c r="H541" i="1" s="1"/>
  <c r="E92" i="1"/>
  <c r="F92" i="1" s="1"/>
  <c r="G92" i="1" s="1"/>
  <c r="H92" i="1" s="1"/>
  <c r="E279" i="1"/>
  <c r="F279" i="1" s="1"/>
  <c r="G279" i="1" s="1"/>
  <c r="H279" i="1" s="1"/>
  <c r="E235" i="1"/>
  <c r="F235" i="1" s="1"/>
  <c r="G235" i="1" s="1"/>
  <c r="H235" i="1" s="1"/>
  <c r="E294" i="1"/>
  <c r="F294" i="1" s="1"/>
  <c r="G294" i="1" s="1"/>
  <c r="H294" i="1" s="1"/>
  <c r="E375" i="1"/>
  <c r="F375" i="1" s="1"/>
  <c r="G375" i="1" s="1"/>
  <c r="H375" i="1" s="1"/>
  <c r="E325" i="1"/>
  <c r="F325" i="1" s="1"/>
  <c r="G325" i="1" s="1"/>
  <c r="H325" i="1" s="1"/>
  <c r="E114" i="1"/>
  <c r="F114" i="1" s="1"/>
  <c r="G114" i="1" s="1"/>
  <c r="H114" i="1" s="1"/>
  <c r="E521" i="1"/>
  <c r="F521" i="1" s="1"/>
  <c r="G521" i="1" s="1"/>
  <c r="H521" i="1" s="1"/>
  <c r="E181" i="1"/>
  <c r="F181" i="1" s="1"/>
  <c r="G181" i="1" s="1"/>
  <c r="H181" i="1" s="1"/>
  <c r="E557" i="1"/>
  <c r="F557" i="1" s="1"/>
  <c r="G557" i="1" s="1"/>
  <c r="H557" i="1" s="1"/>
  <c r="E90" i="1"/>
  <c r="F90" i="1" s="1"/>
  <c r="G90" i="1" s="1"/>
  <c r="H90" i="1" s="1"/>
  <c r="E545" i="1"/>
  <c r="F545" i="1" s="1"/>
  <c r="G545" i="1" s="1"/>
  <c r="H545" i="1" s="1"/>
  <c r="E86" i="1"/>
  <c r="F86" i="1" s="1"/>
  <c r="G86" i="1" s="1"/>
  <c r="H86" i="1" s="1"/>
  <c r="E549" i="1"/>
  <c r="F549" i="1" s="1"/>
  <c r="G549" i="1" s="1"/>
  <c r="H549" i="1" s="1"/>
  <c r="E98" i="1"/>
  <c r="F98" i="1" s="1"/>
  <c r="G98" i="1" s="1"/>
  <c r="H98" i="1" s="1"/>
  <c r="E187" i="1"/>
  <c r="F187" i="1" s="1"/>
  <c r="G187" i="1" s="1"/>
  <c r="H187" i="1" s="1"/>
  <c r="E326" i="1"/>
  <c r="F326" i="1" s="1"/>
  <c r="G326" i="1" s="1"/>
  <c r="H326" i="1" s="1"/>
  <c r="E131" i="1"/>
  <c r="F131" i="1" s="1"/>
  <c r="G131" i="1" s="1"/>
  <c r="H131" i="1" s="1"/>
  <c r="E310" i="1"/>
  <c r="F310" i="1" s="1"/>
  <c r="G310" i="1" s="1"/>
  <c r="H310" i="1" s="1"/>
  <c r="E171" i="1"/>
  <c r="F171" i="1" s="1"/>
  <c r="G171" i="1" s="1"/>
  <c r="H171" i="1" s="1"/>
  <c r="E492" i="1"/>
  <c r="F492" i="1" s="1"/>
  <c r="G492" i="1" s="1"/>
  <c r="H492" i="1" s="1"/>
  <c r="E402" i="1"/>
  <c r="F402" i="1" s="1"/>
  <c r="G402" i="1" s="1"/>
  <c r="H402" i="1" s="1"/>
  <c r="E122" i="1"/>
  <c r="F122" i="1" s="1"/>
  <c r="G122" i="1" s="1"/>
  <c r="H122" i="1" s="1"/>
  <c r="E77" i="1"/>
  <c r="F77" i="1" s="1"/>
  <c r="G77" i="1" s="1"/>
  <c r="H77" i="1" s="1"/>
  <c r="E47" i="1"/>
  <c r="F47" i="1" s="1"/>
  <c r="G47" i="1" s="1"/>
  <c r="H47" i="1" s="1"/>
  <c r="E48" i="1"/>
  <c r="F48" i="1" s="1"/>
  <c r="G48" i="1" s="1"/>
  <c r="H48" i="1" s="1"/>
  <c r="E440" i="1"/>
  <c r="F440" i="1" s="1"/>
  <c r="G440" i="1" s="1"/>
  <c r="H440" i="1" s="1"/>
  <c r="E120" i="1"/>
  <c r="F120" i="1" s="1"/>
  <c r="G120" i="1" s="1"/>
  <c r="H120" i="1" s="1"/>
  <c r="E197" i="1"/>
  <c r="F197" i="1" s="1"/>
  <c r="G197" i="1" s="1"/>
  <c r="H197" i="1" s="1"/>
  <c r="E95" i="1"/>
  <c r="F95" i="1" s="1"/>
  <c r="G95" i="1" s="1"/>
  <c r="H95" i="1" s="1"/>
  <c r="E556" i="1"/>
  <c r="F556" i="1" s="1"/>
  <c r="G556" i="1" s="1"/>
  <c r="H556" i="1" s="1"/>
  <c r="E565" i="1"/>
  <c r="F565" i="1" s="1"/>
  <c r="G565" i="1" s="1"/>
  <c r="H565" i="1" s="1"/>
  <c r="E518" i="1"/>
  <c r="F518" i="1" s="1"/>
  <c r="G518" i="1" s="1"/>
  <c r="H518" i="1" s="1"/>
  <c r="E196" i="1"/>
  <c r="F196" i="1" s="1"/>
  <c r="G196" i="1" s="1"/>
  <c r="H196" i="1" s="1"/>
  <c r="E82" i="1"/>
  <c r="F82" i="1" s="1"/>
  <c r="G82" i="1" s="1"/>
  <c r="H82" i="1" s="1"/>
  <c r="E531" i="1"/>
  <c r="F531" i="1" s="1"/>
  <c r="G531" i="1" s="1"/>
  <c r="H531" i="1" s="1"/>
  <c r="E480" i="1"/>
  <c r="F480" i="1" s="1"/>
  <c r="G480" i="1" s="1"/>
  <c r="H480" i="1" s="1"/>
  <c r="E489" i="1"/>
  <c r="F489" i="1" s="1"/>
  <c r="G489" i="1" s="1"/>
  <c r="H489" i="1" s="1"/>
  <c r="E415" i="1"/>
  <c r="F415" i="1" s="1"/>
  <c r="G415" i="1" s="1"/>
  <c r="H415" i="1" s="1"/>
  <c r="E288" i="1"/>
  <c r="F288" i="1" s="1"/>
  <c r="G288" i="1" s="1"/>
  <c r="H288" i="1" s="1"/>
  <c r="E110" i="1"/>
  <c r="F110" i="1" s="1"/>
  <c r="G110" i="1" s="1"/>
  <c r="H110" i="1" s="1"/>
  <c r="E503" i="1"/>
  <c r="F503" i="1" s="1"/>
  <c r="G503" i="1" s="1"/>
  <c r="H503" i="1" s="1"/>
  <c r="E450" i="1"/>
  <c r="F450" i="1" s="1"/>
  <c r="G450" i="1" s="1"/>
  <c r="H450" i="1" s="1"/>
  <c r="E525" i="1"/>
  <c r="F525" i="1" s="1"/>
  <c r="G525" i="1" s="1"/>
  <c r="H525" i="1" s="1"/>
  <c r="E526" i="1"/>
  <c r="F526" i="1" s="1"/>
  <c r="G526" i="1" s="1"/>
  <c r="H526" i="1" s="1"/>
  <c r="E172" i="1"/>
  <c r="F172" i="1" s="1"/>
  <c r="G172" i="1" s="1"/>
  <c r="H172" i="1" s="1"/>
  <c r="E221" i="1"/>
  <c r="F221" i="1" s="1"/>
  <c r="G221" i="1" s="1"/>
  <c r="H221" i="1" s="1"/>
  <c r="E119" i="1"/>
  <c r="F119" i="1" s="1"/>
  <c r="G119" i="1" s="1"/>
  <c r="H119" i="1" s="1"/>
  <c r="E568" i="1"/>
  <c r="F568" i="1" s="1"/>
  <c r="G568" i="1" s="1"/>
  <c r="H568" i="1" s="1"/>
  <c r="E75" i="1"/>
  <c r="F75" i="1" s="1"/>
  <c r="G75" i="1" s="1"/>
  <c r="H75" i="1" s="1"/>
  <c r="E546" i="1"/>
  <c r="F546" i="1" s="1"/>
  <c r="G546" i="1" s="1"/>
  <c r="H546" i="1" s="1"/>
  <c r="E168" i="1"/>
  <c r="F168" i="1" s="1"/>
  <c r="G168" i="1" s="1"/>
  <c r="H168" i="1" s="1"/>
  <c r="E229" i="1"/>
  <c r="F229" i="1" s="1"/>
  <c r="G229" i="1" s="1"/>
  <c r="H229" i="1" s="1"/>
  <c r="E127" i="1"/>
  <c r="F127" i="1" s="1"/>
  <c r="G127" i="1" s="1"/>
  <c r="H127" i="1" s="1"/>
  <c r="E572" i="1"/>
  <c r="F572" i="1" s="1"/>
  <c r="G572" i="1" s="1"/>
  <c r="H572" i="1" s="1"/>
  <c r="E179" i="1"/>
  <c r="F179" i="1" s="1"/>
  <c r="G179" i="1" s="1"/>
  <c r="H179" i="1" s="1"/>
  <c r="E436" i="1"/>
  <c r="F436" i="1" s="1"/>
  <c r="G436" i="1" s="1"/>
  <c r="H436" i="1" s="1"/>
  <c r="E116" i="1"/>
  <c r="F116" i="1" s="1"/>
  <c r="G116" i="1" s="1"/>
  <c r="H116" i="1" s="1"/>
  <c r="E321" i="1"/>
  <c r="F321" i="1" s="1"/>
  <c r="G321" i="1" s="1"/>
  <c r="H321" i="1" s="1"/>
  <c r="E231" i="1"/>
  <c r="F231" i="1" s="1"/>
  <c r="G231" i="1" s="1"/>
  <c r="H231" i="1" s="1"/>
  <c r="E121" i="1"/>
  <c r="F121" i="1" s="1"/>
  <c r="G121" i="1" s="1"/>
  <c r="H121" i="1" s="1"/>
  <c r="E123" i="1"/>
  <c r="F123" i="1" s="1"/>
  <c r="G123" i="1" s="1"/>
  <c r="H123" i="1" s="1"/>
  <c r="E570" i="1"/>
  <c r="F570" i="1" s="1"/>
  <c r="G570" i="1" s="1"/>
  <c r="H570" i="1" s="1"/>
  <c r="E144" i="1"/>
  <c r="F144" i="1" s="1"/>
  <c r="G144" i="1" s="1"/>
  <c r="H144" i="1" s="1"/>
  <c r="E149" i="1"/>
  <c r="F149" i="1" s="1"/>
  <c r="G149" i="1" s="1"/>
  <c r="H149" i="1" s="1"/>
  <c r="E175" i="1"/>
  <c r="F175" i="1" s="1"/>
  <c r="G175" i="1" s="1"/>
  <c r="H175" i="1" s="1"/>
  <c r="E193" i="1"/>
  <c r="F193" i="1" s="1"/>
  <c r="G193" i="1" s="1"/>
  <c r="H193" i="1" s="1"/>
  <c r="E314" i="1"/>
  <c r="F314" i="1" s="1"/>
  <c r="G314" i="1" s="1"/>
  <c r="H314" i="1" s="1"/>
  <c r="E348" i="1"/>
  <c r="F348" i="1" s="1"/>
  <c r="G348" i="1" s="1"/>
  <c r="H348" i="1" s="1"/>
  <c r="E234" i="1"/>
  <c r="F234" i="1" s="1"/>
  <c r="G234" i="1" s="1"/>
  <c r="H234" i="1" s="1"/>
  <c r="E438" i="1"/>
  <c r="F438" i="1" s="1"/>
  <c r="G438" i="1" s="1"/>
  <c r="H438" i="1" s="1"/>
  <c r="E370" i="1"/>
  <c r="F370" i="1" s="1"/>
  <c r="G370" i="1" s="1"/>
  <c r="H370" i="1" s="1"/>
  <c r="E382" i="1"/>
  <c r="F382" i="1" s="1"/>
  <c r="G382" i="1" s="1"/>
  <c r="H382" i="1" s="1"/>
  <c r="E426" i="1"/>
  <c r="F426" i="1" s="1"/>
  <c r="G426" i="1" s="1"/>
  <c r="H426" i="1" s="1"/>
  <c r="E280" i="1"/>
  <c r="F280" i="1" s="1"/>
  <c r="G280" i="1" s="1"/>
  <c r="H280" i="1" s="1"/>
  <c r="E230" i="1"/>
  <c r="F230" i="1" s="1"/>
  <c r="G230" i="1" s="1"/>
  <c r="H230" i="1" s="1"/>
  <c r="E443" i="1"/>
  <c r="F443" i="1" s="1"/>
  <c r="G443" i="1" s="1"/>
  <c r="H443" i="1" s="1"/>
  <c r="E460" i="1"/>
  <c r="F460" i="1" s="1"/>
  <c r="G460" i="1" s="1"/>
  <c r="H460" i="1" s="1"/>
  <c r="E469" i="1"/>
  <c r="F469" i="1" s="1"/>
  <c r="G469" i="1" s="1"/>
  <c r="H469" i="1" s="1"/>
  <c r="E486" i="1"/>
  <c r="F486" i="1" s="1"/>
  <c r="G486" i="1" s="1"/>
  <c r="H486" i="1" s="1"/>
  <c r="E228" i="1"/>
  <c r="F228" i="1" s="1"/>
  <c r="G228" i="1" s="1"/>
  <c r="H228" i="1" s="1"/>
  <c r="E342" i="1"/>
  <c r="F342" i="1" s="1"/>
  <c r="G342" i="1" s="1"/>
  <c r="H342" i="1" s="1"/>
  <c r="E512" i="1"/>
  <c r="F512" i="1" s="1"/>
  <c r="G512" i="1" s="1"/>
  <c r="H512" i="1" s="1"/>
  <c r="E373" i="1"/>
  <c r="F373" i="1" s="1"/>
  <c r="G373" i="1" s="1"/>
  <c r="H373" i="1" s="1"/>
  <c r="E128" i="1"/>
  <c r="F128" i="1" s="1"/>
  <c r="G128" i="1" s="1"/>
  <c r="H128" i="1" s="1"/>
  <c r="E471" i="1"/>
  <c r="F471" i="1" s="1"/>
  <c r="G471" i="1" s="1"/>
  <c r="H471" i="1" s="1"/>
  <c r="E97" i="1"/>
  <c r="F97" i="1" s="1"/>
  <c r="G97" i="1" s="1"/>
  <c r="H97" i="1" s="1"/>
  <c r="E335" i="1"/>
  <c r="F335" i="1" s="1"/>
  <c r="G335" i="1" s="1"/>
  <c r="H335" i="1" s="1"/>
  <c r="E140" i="1"/>
  <c r="F140" i="1" s="1"/>
  <c r="G140" i="1" s="1"/>
  <c r="H140" i="1" s="1"/>
  <c r="E374" i="1"/>
  <c r="F374" i="1" s="1"/>
  <c r="G374" i="1" s="1"/>
  <c r="H374" i="1" s="1"/>
  <c r="E73" i="1"/>
  <c r="F73" i="1" s="1"/>
  <c r="G73" i="1" s="1"/>
  <c r="H73" i="1" s="1"/>
  <c r="E362" i="1"/>
  <c r="F362" i="1" s="1"/>
  <c r="G362" i="1" s="1"/>
  <c r="H362" i="1" s="1"/>
  <c r="E136" i="1"/>
  <c r="F136" i="1" s="1"/>
  <c r="G136" i="1" s="1"/>
  <c r="H136" i="1" s="1"/>
  <c r="E379" i="1"/>
  <c r="F379" i="1" s="1"/>
  <c r="G379" i="1" s="1"/>
  <c r="H379" i="1" s="1"/>
  <c r="E81" i="1"/>
  <c r="F81" i="1" s="1"/>
  <c r="G81" i="1" s="1"/>
  <c r="H81" i="1" s="1"/>
  <c r="E346" i="1"/>
  <c r="F346" i="1" s="1"/>
  <c r="G346" i="1" s="1"/>
  <c r="H346" i="1" s="1"/>
  <c r="E148" i="1"/>
  <c r="F148" i="1" s="1"/>
  <c r="G148" i="1" s="1"/>
  <c r="H148" i="1" s="1"/>
  <c r="E363" i="1"/>
  <c r="F363" i="1" s="1"/>
  <c r="G363" i="1" s="1"/>
  <c r="H363" i="1" s="1"/>
  <c r="E185" i="1"/>
  <c r="F185" i="1" s="1"/>
  <c r="G185" i="1" s="1"/>
  <c r="H185" i="1" s="1"/>
  <c r="E474" i="1"/>
  <c r="F474" i="1" s="1"/>
  <c r="G474" i="1" s="1"/>
  <c r="H474" i="1" s="1"/>
  <c r="E254" i="1"/>
  <c r="F254" i="1" s="1"/>
  <c r="G254" i="1" s="1"/>
  <c r="H254" i="1" s="1"/>
  <c r="E551" i="1"/>
  <c r="F551" i="1" s="1"/>
  <c r="G551" i="1" s="1"/>
  <c r="H551" i="1" s="1"/>
  <c r="E257" i="1"/>
  <c r="F257" i="1" s="1"/>
  <c r="G257" i="1" s="1"/>
  <c r="H257" i="1" s="1"/>
  <c r="E442" i="1"/>
  <c r="F442" i="1" s="1"/>
  <c r="G442" i="1" s="1"/>
  <c r="H442" i="1" s="1"/>
  <c r="E266" i="1"/>
  <c r="F266" i="1" s="1"/>
  <c r="G266" i="1" s="1"/>
  <c r="H266" i="1" s="1"/>
  <c r="E539" i="1"/>
  <c r="F539" i="1" s="1"/>
  <c r="G539" i="1" s="1"/>
  <c r="H539" i="1" s="1"/>
  <c r="E233" i="1"/>
  <c r="F233" i="1" s="1"/>
  <c r="G233" i="1" s="1"/>
  <c r="H233" i="1" s="1"/>
  <c r="E60" i="1"/>
  <c r="F60" i="1" s="1"/>
  <c r="G60" i="1" s="1"/>
  <c r="H60" i="1" s="1"/>
  <c r="E66" i="1"/>
  <c r="F66" i="1" s="1"/>
  <c r="G66" i="1" s="1"/>
  <c r="H66" i="1" s="1"/>
  <c r="E298" i="1"/>
  <c r="F298" i="1" s="1"/>
  <c r="G298" i="1" s="1"/>
  <c r="H298" i="1" s="1"/>
  <c r="E376" i="1"/>
  <c r="F376" i="1" s="1"/>
  <c r="G376" i="1" s="1"/>
  <c r="H376" i="1" s="1"/>
  <c r="E198" i="1"/>
  <c r="F198" i="1" s="1"/>
  <c r="G198" i="1" s="1"/>
  <c r="H198" i="1" s="1"/>
  <c r="E315" i="1"/>
  <c r="F315" i="1" s="1"/>
  <c r="G315" i="1" s="1"/>
  <c r="H315" i="1" s="1"/>
  <c r="E223" i="1"/>
  <c r="F223" i="1" s="1"/>
  <c r="G223" i="1" s="1"/>
  <c r="H223" i="1" s="1"/>
  <c r="E241" i="1"/>
  <c r="F241" i="1" s="1"/>
  <c r="G241" i="1" s="1"/>
  <c r="H241" i="1" s="1"/>
  <c r="E147" i="1"/>
  <c r="F147" i="1" s="1"/>
  <c r="G147" i="1" s="1"/>
  <c r="H147" i="1" s="1"/>
  <c r="E452" i="1"/>
  <c r="F452" i="1" s="1"/>
  <c r="G452" i="1" s="1"/>
  <c r="H452" i="1" s="1"/>
  <c r="E68" i="1"/>
  <c r="F68" i="1" s="1"/>
  <c r="G68" i="1" s="1"/>
  <c r="H68" i="1" s="1"/>
  <c r="E173" i="1"/>
  <c r="F173" i="1" s="1"/>
  <c r="G173" i="1" s="1"/>
  <c r="H173" i="1" s="1"/>
  <c r="E71" i="1"/>
  <c r="F71" i="1" s="1"/>
  <c r="G71" i="1" s="1"/>
  <c r="H71" i="1" s="1"/>
  <c r="E89" i="1"/>
  <c r="F89" i="1" s="1"/>
  <c r="G89" i="1" s="1"/>
  <c r="H89" i="1" s="1"/>
  <c r="E553" i="1"/>
  <c r="F553" i="1" s="1"/>
  <c r="G553" i="1" s="1"/>
  <c r="H553" i="1" s="1"/>
  <c r="E490" i="1"/>
  <c r="F490" i="1" s="1"/>
  <c r="G490" i="1" s="1"/>
  <c r="H490" i="1" s="1"/>
  <c r="E160" i="1"/>
  <c r="F160" i="1" s="1"/>
  <c r="G160" i="1" s="1"/>
  <c r="H160" i="1" s="1"/>
  <c r="E117" i="1"/>
  <c r="F117" i="1" s="1"/>
  <c r="G117" i="1" s="1"/>
  <c r="H117" i="1" s="1"/>
  <c r="E567" i="1"/>
  <c r="F567" i="1" s="1"/>
  <c r="G567" i="1" s="1"/>
  <c r="H567" i="1" s="1"/>
  <c r="E161" i="1"/>
  <c r="F161" i="1" s="1"/>
  <c r="G161" i="1" s="1"/>
  <c r="H161" i="1" s="1"/>
  <c r="E163" i="1"/>
  <c r="F163" i="1" s="1"/>
  <c r="G163" i="1" s="1"/>
  <c r="H163" i="1" s="1"/>
  <c r="E428" i="1"/>
  <c r="F428" i="1" s="1"/>
  <c r="G428" i="1" s="1"/>
  <c r="H428" i="1" s="1"/>
  <c r="E250" i="1"/>
  <c r="F250" i="1" s="1"/>
  <c r="G250" i="1" s="1"/>
  <c r="H250" i="1" s="1"/>
  <c r="E331" i="1"/>
  <c r="F331" i="1" s="1"/>
  <c r="G331" i="1" s="1"/>
  <c r="H331" i="1" s="1"/>
  <c r="E247" i="1"/>
  <c r="F247" i="1" s="1"/>
  <c r="G247" i="1" s="1"/>
  <c r="H247" i="1" s="1"/>
  <c r="E265" i="1"/>
  <c r="F265" i="1" s="1"/>
  <c r="G265" i="1" s="1"/>
  <c r="H265" i="1" s="1"/>
  <c r="E203" i="1"/>
  <c r="F203" i="1" s="1"/>
  <c r="G203" i="1" s="1"/>
  <c r="H203" i="1" s="1"/>
  <c r="E424" i="1"/>
  <c r="F424" i="1" s="1"/>
  <c r="G424" i="1" s="1"/>
  <c r="H424" i="1" s="1"/>
  <c r="E246" i="1"/>
  <c r="F246" i="1" s="1"/>
  <c r="G246" i="1" s="1"/>
  <c r="H246" i="1" s="1"/>
  <c r="E337" i="1"/>
  <c r="F337" i="1" s="1"/>
  <c r="G337" i="1" s="1"/>
  <c r="H337" i="1" s="1"/>
  <c r="E255" i="1"/>
  <c r="F255" i="1" s="1"/>
  <c r="G255" i="1" s="1"/>
  <c r="H255" i="1" s="1"/>
  <c r="E273" i="1"/>
  <c r="F273" i="1" s="1"/>
  <c r="G273" i="1" s="1"/>
  <c r="H273" i="1" s="1"/>
  <c r="E303" i="1"/>
  <c r="F303" i="1" s="1"/>
  <c r="G303" i="1" s="1"/>
  <c r="H303" i="1" s="1"/>
  <c r="E372" i="1"/>
  <c r="F372" i="1" s="1"/>
  <c r="G372" i="1" s="1"/>
  <c r="H372" i="1" s="1"/>
  <c r="E194" i="1"/>
  <c r="F194" i="1" s="1"/>
  <c r="G194" i="1" s="1"/>
  <c r="H194" i="1" s="1"/>
  <c r="E406" i="1"/>
  <c r="F406" i="1" s="1"/>
  <c r="G406" i="1" s="1"/>
  <c r="H406" i="1" s="1"/>
  <c r="E338" i="1"/>
  <c r="F338" i="1" s="1"/>
  <c r="G338" i="1" s="1"/>
  <c r="H338" i="1" s="1"/>
  <c r="E350" i="1"/>
  <c r="F350" i="1" s="1"/>
  <c r="G350" i="1" s="1"/>
  <c r="H350" i="1" s="1"/>
  <c r="E251" i="1"/>
  <c r="F251" i="1" s="1"/>
  <c r="G251" i="1" s="1"/>
  <c r="H251" i="1" s="1"/>
  <c r="E400" i="1"/>
  <c r="F400" i="1" s="1"/>
  <c r="G400" i="1" s="1"/>
  <c r="H400" i="1" s="1"/>
  <c r="E286" i="1"/>
  <c r="F286" i="1" s="1"/>
  <c r="G286" i="1" s="1"/>
  <c r="H286" i="1" s="1"/>
  <c r="E277" i="1"/>
  <c r="F277" i="1" s="1"/>
  <c r="G277" i="1" s="1"/>
  <c r="H277" i="1" s="1"/>
  <c r="E301" i="1"/>
  <c r="F301" i="1" s="1"/>
  <c r="G301" i="1" s="1"/>
  <c r="H301" i="1" s="1"/>
  <c r="E398" i="1"/>
  <c r="F398" i="1" s="1"/>
  <c r="G398" i="1" s="1"/>
  <c r="H398" i="1" s="1"/>
  <c r="E399" i="1"/>
  <c r="F399" i="1" s="1"/>
  <c r="G399" i="1" s="1"/>
  <c r="H399" i="1" s="1"/>
  <c r="E284" i="1"/>
  <c r="F284" i="1" s="1"/>
  <c r="G284" i="1" s="1"/>
  <c r="H284" i="1" s="1"/>
  <c r="E106" i="1"/>
  <c r="F106" i="1" s="1"/>
  <c r="G106" i="1" s="1"/>
  <c r="H106" i="1" s="1"/>
  <c r="E507" i="1"/>
  <c r="F507" i="1" s="1"/>
  <c r="G507" i="1" s="1"/>
  <c r="H507" i="1" s="1"/>
  <c r="E455" i="1"/>
  <c r="F455" i="1" s="1"/>
  <c r="G455" i="1" s="1"/>
  <c r="H455" i="1" s="1"/>
  <c r="E529" i="1"/>
  <c r="F529" i="1" s="1"/>
  <c r="G529" i="1" s="1"/>
  <c r="H529" i="1" s="1"/>
  <c r="E498" i="1"/>
  <c r="F498" i="1" s="1"/>
  <c r="G498" i="1" s="1"/>
  <c r="H498" i="1" s="1"/>
  <c r="E216" i="1"/>
  <c r="F216" i="1" s="1"/>
  <c r="G216" i="1" s="1"/>
  <c r="H216" i="1" s="1"/>
  <c r="E102" i="1"/>
  <c r="F102" i="1" s="1"/>
  <c r="G102" i="1" s="1"/>
  <c r="H102" i="1" s="1"/>
  <c r="E511" i="1"/>
  <c r="F511" i="1" s="1"/>
  <c r="G511" i="1" s="1"/>
  <c r="H511" i="1" s="1"/>
  <c r="E524" i="1"/>
  <c r="F524" i="1" s="1"/>
  <c r="G524" i="1" s="1"/>
  <c r="H524" i="1" s="1"/>
  <c r="E83" i="1"/>
  <c r="F83" i="1" s="1"/>
  <c r="G83" i="1" s="1"/>
  <c r="H83" i="1" s="1"/>
  <c r="E550" i="1"/>
  <c r="F550" i="1" s="1"/>
  <c r="G550" i="1" s="1"/>
  <c r="H550" i="1" s="1"/>
  <c r="E164" i="1"/>
  <c r="F164" i="1" s="1"/>
  <c r="G164" i="1" s="1"/>
  <c r="H164" i="1" s="1"/>
  <c r="E427" i="1"/>
  <c r="F427" i="1" s="1"/>
  <c r="G427" i="1" s="1"/>
  <c r="H427" i="1" s="1"/>
  <c r="E153" i="1"/>
  <c r="F153" i="1" s="1"/>
  <c r="G153" i="1" s="1"/>
  <c r="H153" i="1" s="1"/>
  <c r="E458" i="1"/>
  <c r="F458" i="1" s="1"/>
  <c r="G458" i="1" s="1"/>
  <c r="H458" i="1" s="1"/>
  <c r="E270" i="1"/>
  <c r="F270" i="1" s="1"/>
  <c r="G270" i="1" s="1"/>
  <c r="H270" i="1" s="1"/>
  <c r="E535" i="1"/>
  <c r="F535" i="1" s="1"/>
  <c r="G535" i="1" s="1"/>
  <c r="H535" i="1" s="1"/>
  <c r="E225" i="1"/>
  <c r="F225" i="1" s="1"/>
  <c r="G225" i="1" s="1"/>
  <c r="H225" i="1" s="1"/>
  <c r="E421" i="1"/>
  <c r="F421" i="1" s="1"/>
  <c r="G421" i="1" s="1"/>
  <c r="H421" i="1" s="1"/>
  <c r="E76" i="1"/>
  <c r="F76" i="1" s="1"/>
  <c r="G76" i="1" s="1"/>
  <c r="H76" i="1" s="1"/>
  <c r="E459" i="1"/>
  <c r="F459" i="1" s="1"/>
  <c r="G459" i="1" s="1"/>
  <c r="H459" i="1" s="1"/>
  <c r="E201" i="1"/>
  <c r="F201" i="1" s="1"/>
  <c r="G201" i="1" s="1"/>
  <c r="H201" i="1" s="1"/>
  <c r="E447" i="1"/>
  <c r="F447" i="1" s="1"/>
  <c r="G447" i="1" s="1"/>
  <c r="H447" i="1" s="1"/>
  <c r="E72" i="1"/>
  <c r="F72" i="1" s="1"/>
  <c r="G72" i="1" s="1"/>
  <c r="H72" i="1" s="1"/>
  <c r="E463" i="1"/>
  <c r="F463" i="1" s="1"/>
  <c r="G463" i="1" s="1"/>
  <c r="H463" i="1" s="1"/>
  <c r="E209" i="1"/>
  <c r="F209" i="1" s="1"/>
  <c r="G209" i="1" s="1"/>
  <c r="H209" i="1" s="1"/>
  <c r="E431" i="1"/>
  <c r="F431" i="1" s="1"/>
  <c r="G431" i="1" s="1"/>
  <c r="H431" i="1" s="1"/>
  <c r="E84" i="1"/>
  <c r="F84" i="1" s="1"/>
  <c r="G84" i="1" s="1"/>
  <c r="H84" i="1" s="1"/>
  <c r="E449" i="1"/>
  <c r="F449" i="1" s="1"/>
  <c r="G449" i="1" s="1"/>
  <c r="H449" i="1" s="1"/>
  <c r="E307" i="1"/>
  <c r="F307" i="1" s="1"/>
  <c r="G307" i="1" s="1"/>
  <c r="H307" i="1" s="1"/>
  <c r="E538" i="1"/>
  <c r="F538" i="1" s="1"/>
  <c r="G538" i="1" s="1"/>
  <c r="H538" i="1" s="1"/>
  <c r="E190" i="1"/>
  <c r="F190" i="1" s="1"/>
  <c r="G190" i="1" s="1"/>
  <c r="H190" i="1" s="1"/>
  <c r="E111" i="1"/>
  <c r="F111" i="1" s="1"/>
  <c r="G111" i="1" s="1"/>
  <c r="H111" i="1" s="1"/>
  <c r="E355" i="1"/>
  <c r="F355" i="1" s="1"/>
  <c r="G355" i="1" s="1"/>
  <c r="H355" i="1" s="1"/>
  <c r="E510" i="1"/>
  <c r="F510" i="1" s="1"/>
  <c r="G510" i="1" s="1"/>
  <c r="H510" i="1" s="1"/>
  <c r="E202" i="1"/>
  <c r="F202" i="1" s="1"/>
  <c r="G202" i="1" s="1"/>
  <c r="H202" i="1" s="1"/>
  <c r="E87" i="1"/>
  <c r="F87" i="1" s="1"/>
  <c r="G87" i="1" s="1"/>
  <c r="H87" i="1" s="1"/>
  <c r="E339" i="1"/>
  <c r="F339" i="1" s="1"/>
  <c r="G339" i="1" s="1"/>
  <c r="H339" i="1" s="1"/>
  <c r="E390" i="1"/>
  <c r="F390" i="1" s="1"/>
  <c r="G390" i="1" s="1"/>
  <c r="H390" i="1" s="1"/>
  <c r="E142" i="1"/>
  <c r="F142" i="1" s="1"/>
  <c r="G142" i="1" s="1"/>
  <c r="H142" i="1" s="1"/>
  <c r="E192" i="1"/>
  <c r="F192" i="1" s="1"/>
  <c r="G192" i="1" s="1"/>
  <c r="H192" i="1" s="1"/>
  <c r="E448" i="1"/>
  <c r="F448" i="1" s="1"/>
  <c r="G448" i="1" s="1"/>
  <c r="H448" i="1" s="1"/>
  <c r="E283" i="1"/>
  <c r="F283" i="1" s="1"/>
  <c r="G283" i="1" s="1"/>
  <c r="H283" i="1" s="1"/>
  <c r="E371" i="1"/>
  <c r="F371" i="1" s="1"/>
  <c r="G371" i="1" s="1"/>
  <c r="H371" i="1" s="1"/>
  <c r="E445" i="1"/>
  <c r="F445" i="1" s="1"/>
  <c r="G445" i="1" s="1"/>
  <c r="H445" i="1" s="1"/>
  <c r="E563" i="1"/>
  <c r="F563" i="1" s="1"/>
  <c r="G563" i="1" s="1"/>
  <c r="H563" i="1" s="1"/>
  <c r="E237" i="1"/>
  <c r="F237" i="1" s="1"/>
  <c r="G237" i="1" s="1"/>
  <c r="H237" i="1" s="1"/>
  <c r="E242" i="1"/>
  <c r="F242" i="1" s="1"/>
  <c r="G242" i="1" s="1"/>
  <c r="H242" i="1" s="1"/>
  <c r="E52" i="1"/>
  <c r="F52" i="1" s="1"/>
  <c r="G52" i="1" s="1"/>
  <c r="H52" i="1" s="1"/>
  <c r="E56" i="1"/>
  <c r="F56" i="1" s="1"/>
  <c r="G56" i="1" s="1"/>
  <c r="H56" i="1" s="1"/>
  <c r="E63" i="1"/>
  <c r="F63" i="1" s="1"/>
  <c r="G63" i="1" s="1"/>
  <c r="H63" i="1" s="1"/>
  <c r="E35" i="1"/>
  <c r="F35" i="1" s="1"/>
  <c r="G35" i="1" s="1"/>
  <c r="H35" i="1" s="1"/>
  <c r="E29" i="1"/>
  <c r="F29" i="1" s="1"/>
  <c r="G29" i="1" s="1"/>
  <c r="H29" i="1" s="1"/>
  <c r="E45" i="1"/>
  <c r="F45" i="1" s="1"/>
  <c r="G45" i="1" s="1"/>
  <c r="H45" i="1" s="1"/>
  <c r="E32" i="1"/>
  <c r="F32" i="1" s="1"/>
  <c r="G32" i="1" s="1"/>
  <c r="H32" i="1" s="1"/>
  <c r="E61" i="1"/>
  <c r="F61" i="1" s="1"/>
  <c r="G61" i="1" s="1"/>
  <c r="H61" i="1" s="1"/>
  <c r="E57" i="1"/>
  <c r="F57" i="1" s="1"/>
  <c r="G57" i="1" s="1"/>
  <c r="H57" i="1" s="1"/>
  <c r="E33" i="1"/>
  <c r="F33" i="1" s="1"/>
  <c r="G33" i="1" s="1"/>
  <c r="H33" i="1" s="1"/>
  <c r="E50" i="1"/>
  <c r="F50" i="1" s="1"/>
  <c r="G50" i="1" s="1"/>
  <c r="H50" i="1" s="1"/>
  <c r="E55" i="1"/>
  <c r="F55" i="1" s="1"/>
  <c r="G55" i="1" s="1"/>
  <c r="H55" i="1" s="1"/>
  <c r="E62" i="1"/>
  <c r="F62" i="1" s="1"/>
  <c r="G62" i="1" s="1"/>
  <c r="H62" i="1" s="1"/>
  <c r="E49" i="1"/>
  <c r="F49" i="1" s="1"/>
  <c r="G49" i="1" s="1"/>
  <c r="H49" i="1" s="1"/>
  <c r="E27" i="1"/>
  <c r="F27" i="1" s="1"/>
  <c r="G27" i="1" s="1"/>
  <c r="H27" i="1" s="1"/>
  <c r="E65" i="1"/>
  <c r="F65" i="1" s="1"/>
  <c r="G65" i="1" s="1"/>
  <c r="H65" i="1" s="1"/>
  <c r="E466" i="1"/>
  <c r="F466" i="1" s="1"/>
  <c r="G466" i="1" s="1"/>
  <c r="H466" i="1" s="1"/>
  <c r="E312" i="1"/>
  <c r="F312" i="1" s="1"/>
  <c r="G312" i="1" s="1"/>
  <c r="H312" i="1" s="1"/>
  <c r="E262" i="1"/>
  <c r="F262" i="1" s="1"/>
  <c r="G262" i="1" s="1"/>
  <c r="H262" i="1" s="1"/>
  <c r="E69" i="1"/>
  <c r="F69" i="1" s="1"/>
  <c r="G69" i="1" s="1"/>
  <c r="H69" i="1" s="1"/>
  <c r="E479" i="1"/>
  <c r="F479" i="1" s="1"/>
  <c r="G479" i="1" s="1"/>
  <c r="H479" i="1" s="1"/>
  <c r="E333" i="1"/>
  <c r="F333" i="1" s="1"/>
  <c r="G333" i="1" s="1"/>
  <c r="H333" i="1" s="1"/>
  <c r="E113" i="1"/>
  <c r="F113" i="1" s="1"/>
  <c r="G113" i="1" s="1"/>
  <c r="H113" i="1" s="1"/>
  <c r="E501" i="1"/>
  <c r="F501" i="1" s="1"/>
  <c r="G501" i="1" s="1"/>
  <c r="H501" i="1" s="1"/>
  <c r="E367" i="1"/>
  <c r="F367" i="1" s="1"/>
  <c r="G367" i="1" s="1"/>
  <c r="H367" i="1" s="1"/>
  <c r="E388" i="1"/>
  <c r="F388" i="1" s="1"/>
  <c r="G388" i="1" s="1"/>
  <c r="H388" i="1" s="1"/>
  <c r="E132" i="1"/>
  <c r="F132" i="1" s="1"/>
  <c r="G132" i="1" s="1"/>
  <c r="H132" i="1" s="1"/>
  <c r="E146" i="1"/>
  <c r="F146" i="1" s="1"/>
  <c r="G146" i="1" s="1"/>
  <c r="H146" i="1" s="1"/>
  <c r="E385" i="1"/>
  <c r="F385" i="1" s="1"/>
  <c r="G385" i="1" s="1"/>
  <c r="H385" i="1" s="1"/>
  <c r="E199" i="1"/>
  <c r="F199" i="1" s="1"/>
  <c r="G199" i="1" s="1"/>
  <c r="H199" i="1" s="1"/>
  <c r="E544" i="1"/>
  <c r="F544" i="1" s="1"/>
  <c r="G544" i="1" s="1"/>
  <c r="H544" i="1" s="1"/>
  <c r="E414" i="1"/>
  <c r="F414" i="1" s="1"/>
  <c r="G414" i="1" s="1"/>
  <c r="H414" i="1" s="1"/>
  <c r="E219" i="1"/>
  <c r="F219" i="1" s="1"/>
  <c r="G219" i="1" s="1"/>
  <c r="H219" i="1" s="1"/>
  <c r="E554" i="1"/>
  <c r="F554" i="1" s="1"/>
  <c r="G554" i="1" s="1"/>
  <c r="H554" i="1" s="1"/>
  <c r="E224" i="1"/>
  <c r="F224" i="1" s="1"/>
  <c r="G224" i="1" s="1"/>
  <c r="H224" i="1" s="1"/>
  <c r="E174" i="1"/>
  <c r="F174" i="1" s="1"/>
  <c r="G174" i="1" s="1"/>
  <c r="H174" i="1" s="1"/>
  <c r="E347" i="1"/>
  <c r="F347" i="1" s="1"/>
  <c r="G347" i="1" s="1"/>
  <c r="H347" i="1" s="1"/>
  <c r="E143" i="1"/>
  <c r="F143" i="1" s="1"/>
  <c r="G143" i="1" s="1"/>
  <c r="H143" i="1" s="1"/>
  <c r="E516" i="1"/>
  <c r="F516" i="1" s="1"/>
  <c r="G516" i="1" s="1"/>
  <c r="H516" i="1" s="1"/>
  <c r="E461" i="1"/>
  <c r="F461" i="1" s="1"/>
  <c r="G461" i="1" s="1"/>
  <c r="H461" i="1" s="1"/>
  <c r="E378" i="1"/>
  <c r="F378" i="1" s="1"/>
  <c r="G378" i="1" s="1"/>
  <c r="H378" i="1" s="1"/>
  <c r="E364" i="1"/>
  <c r="F364" i="1" s="1"/>
  <c r="G364" i="1" s="1"/>
  <c r="H364" i="1" s="1"/>
  <c r="E108" i="1"/>
  <c r="F108" i="1" s="1"/>
  <c r="G108" i="1" s="1"/>
  <c r="H108" i="1" s="1"/>
  <c r="E93" i="1"/>
  <c r="F93" i="1" s="1"/>
  <c r="G93" i="1" s="1"/>
  <c r="H93" i="1" s="1"/>
  <c r="E491" i="1"/>
  <c r="F491" i="1" s="1"/>
  <c r="G491" i="1" s="1"/>
  <c r="H491" i="1" s="1"/>
  <c r="E349" i="1"/>
  <c r="F349" i="1" s="1"/>
  <c r="G349" i="1" s="1"/>
  <c r="H349" i="1" s="1"/>
  <c r="E137" i="1"/>
  <c r="F137" i="1" s="1"/>
  <c r="G137" i="1" s="1"/>
  <c r="H137" i="1" s="1"/>
  <c r="E513" i="1"/>
  <c r="F513" i="1" s="1"/>
  <c r="G513" i="1" s="1"/>
  <c r="H513" i="1" s="1"/>
  <c r="E405" i="1"/>
  <c r="F405" i="1" s="1"/>
  <c r="G405" i="1" s="1"/>
  <c r="H405" i="1" s="1"/>
  <c r="E360" i="1"/>
  <c r="F360" i="1" s="1"/>
  <c r="G360" i="1" s="1"/>
  <c r="H360" i="1" s="1"/>
  <c r="E104" i="1"/>
  <c r="F104" i="1" s="1"/>
  <c r="G104" i="1" s="1"/>
  <c r="H104" i="1" s="1"/>
  <c r="E101" i="1"/>
  <c r="F101" i="1" s="1"/>
  <c r="G101" i="1" s="1"/>
  <c r="H101" i="1" s="1"/>
  <c r="E495" i="1"/>
  <c r="F495" i="1" s="1"/>
  <c r="G495" i="1" s="1"/>
  <c r="H495" i="1" s="1"/>
  <c r="E354" i="1"/>
  <c r="F354" i="1" s="1"/>
  <c r="G354" i="1" s="1"/>
  <c r="H354" i="1" s="1"/>
  <c r="E145" i="1"/>
  <c r="F145" i="1" s="1"/>
  <c r="G145" i="1" s="1"/>
  <c r="H145" i="1" s="1"/>
  <c r="E517" i="1"/>
  <c r="F517" i="1" s="1"/>
  <c r="G517" i="1" s="1"/>
  <c r="H517" i="1" s="1"/>
  <c r="E470" i="1"/>
  <c r="F470" i="1" s="1"/>
  <c r="G470" i="1" s="1"/>
  <c r="H470" i="1" s="1"/>
  <c r="E308" i="1"/>
  <c r="F308" i="1" s="1"/>
  <c r="G308" i="1" s="1"/>
  <c r="H308" i="1" s="1"/>
  <c r="E258" i="1"/>
  <c r="F258" i="1" s="1"/>
  <c r="G258" i="1" s="1"/>
  <c r="H258" i="1" s="1"/>
  <c r="E205" i="1"/>
  <c r="F205" i="1" s="1"/>
  <c r="G205" i="1" s="1"/>
  <c r="H205" i="1" s="1"/>
  <c r="E547" i="1"/>
  <c r="F547" i="1" s="1"/>
  <c r="G547" i="1" s="1"/>
  <c r="H547" i="1" s="1"/>
  <c r="E423" i="1"/>
  <c r="F423" i="1" s="1"/>
  <c r="G423" i="1" s="1"/>
  <c r="H423" i="1" s="1"/>
  <c r="E249" i="1"/>
  <c r="F249" i="1" s="1"/>
  <c r="G249" i="1" s="1"/>
  <c r="H249" i="1" s="1"/>
  <c r="E569" i="1"/>
  <c r="F569" i="1" s="1"/>
  <c r="G569" i="1" s="1"/>
  <c r="H569" i="1" s="1"/>
  <c r="E437" i="1"/>
  <c r="F437" i="1" s="1"/>
  <c r="G437" i="1" s="1"/>
  <c r="H437" i="1" s="1"/>
  <c r="E336" i="1"/>
  <c r="F336" i="1" s="1"/>
  <c r="G336" i="1" s="1"/>
  <c r="H336" i="1" s="1"/>
  <c r="E80" i="1"/>
  <c r="F80" i="1" s="1"/>
  <c r="G80" i="1" s="1"/>
  <c r="H80" i="1" s="1"/>
  <c r="E94" i="1"/>
  <c r="F94" i="1" s="1"/>
  <c r="G94" i="1" s="1"/>
  <c r="H94" i="1" s="1"/>
  <c r="E454" i="1"/>
  <c r="F454" i="1" s="1"/>
  <c r="G454" i="1" s="1"/>
  <c r="H454" i="1" s="1"/>
  <c r="E386" i="1"/>
  <c r="F386" i="1" s="1"/>
  <c r="G386" i="1" s="1"/>
  <c r="H386" i="1" s="1"/>
  <c r="E313" i="1"/>
  <c r="F313" i="1" s="1"/>
  <c r="G313" i="1" s="1"/>
  <c r="H313" i="1" s="1"/>
  <c r="E195" i="1"/>
  <c r="F195" i="1" s="1"/>
  <c r="G195" i="1" s="1"/>
  <c r="H195" i="1" s="1"/>
  <c r="E542" i="1"/>
  <c r="F542" i="1" s="1"/>
  <c r="G542" i="1" s="1"/>
  <c r="H542" i="1" s="1"/>
  <c r="E220" i="1"/>
  <c r="F220" i="1" s="1"/>
  <c r="G220" i="1" s="1"/>
  <c r="H220" i="1" s="1"/>
  <c r="E170" i="1"/>
  <c r="F170" i="1" s="1"/>
  <c r="G170" i="1" s="1"/>
  <c r="H170" i="1" s="1"/>
  <c r="E353" i="1"/>
  <c r="F353" i="1" s="1"/>
  <c r="G353" i="1" s="1"/>
  <c r="H353" i="1" s="1"/>
  <c r="E151" i="1"/>
  <c r="F151" i="1" s="1"/>
  <c r="G151" i="1" s="1"/>
  <c r="H151" i="1" s="1"/>
  <c r="E520" i="1"/>
  <c r="F520" i="1" s="1"/>
  <c r="G520" i="1" s="1"/>
  <c r="H520" i="1" s="1"/>
  <c r="E465" i="1"/>
  <c r="F465" i="1" s="1"/>
  <c r="G465" i="1" s="1"/>
  <c r="H465" i="1" s="1"/>
  <c r="E341" i="1"/>
  <c r="F341" i="1" s="1"/>
  <c r="G341" i="1" s="1"/>
  <c r="H341" i="1" s="1"/>
  <c r="E408" i="1"/>
  <c r="F408" i="1" s="1"/>
  <c r="G408" i="1" s="1"/>
  <c r="H408" i="1" s="1"/>
  <c r="E152" i="1"/>
  <c r="F152" i="1" s="1"/>
  <c r="G152" i="1" s="1"/>
  <c r="H152" i="1" s="1"/>
  <c r="E166" i="1"/>
  <c r="F166" i="1" s="1"/>
  <c r="G166" i="1" s="1"/>
  <c r="H166" i="1" s="1"/>
  <c r="E358" i="1"/>
  <c r="F358" i="1" s="1"/>
  <c r="G358" i="1" s="1"/>
  <c r="H358" i="1" s="1"/>
  <c r="E287" i="1"/>
  <c r="F287" i="1" s="1"/>
  <c r="G287" i="1" s="1"/>
  <c r="H287" i="1" s="1"/>
  <c r="E177" i="1"/>
  <c r="F177" i="1" s="1"/>
  <c r="G177" i="1" s="1"/>
  <c r="H177" i="1" s="1"/>
  <c r="E533" i="1"/>
  <c r="F533" i="1" s="1"/>
  <c r="G533" i="1" s="1"/>
  <c r="H533" i="1" s="1"/>
  <c r="E410" i="1"/>
  <c r="F410" i="1" s="1"/>
  <c r="G410" i="1" s="1"/>
  <c r="H410" i="1" s="1"/>
  <c r="E356" i="1"/>
  <c r="F356" i="1" s="1"/>
  <c r="G356" i="1" s="1"/>
  <c r="H356" i="1" s="1"/>
  <c r="E100" i="1"/>
  <c r="F100" i="1" s="1"/>
  <c r="G100" i="1" s="1"/>
  <c r="H100" i="1" s="1"/>
  <c r="E109" i="1"/>
  <c r="F109" i="1" s="1"/>
  <c r="G109" i="1" s="1"/>
  <c r="H109" i="1" s="1"/>
  <c r="E499" i="1"/>
  <c r="F499" i="1" s="1"/>
  <c r="G499" i="1" s="1"/>
  <c r="H499" i="1" s="1"/>
  <c r="E359" i="1"/>
  <c r="F359" i="1" s="1"/>
  <c r="G359" i="1" s="1"/>
  <c r="H359" i="1" s="1"/>
  <c r="E281" i="1"/>
  <c r="F281" i="1" s="1"/>
  <c r="G281" i="1" s="1"/>
  <c r="H281" i="1" s="1"/>
  <c r="E155" i="1"/>
  <c r="F155" i="1" s="1"/>
  <c r="G155" i="1" s="1"/>
  <c r="H155" i="1" s="1"/>
  <c r="E522" i="1"/>
  <c r="F522" i="1" s="1"/>
  <c r="G522" i="1" s="1"/>
  <c r="H522" i="1" s="1"/>
  <c r="E256" i="1"/>
  <c r="F256" i="1" s="1"/>
  <c r="G256" i="1" s="1"/>
  <c r="H256" i="1" s="1"/>
  <c r="E206" i="1"/>
  <c r="F206" i="1" s="1"/>
  <c r="G206" i="1" s="1"/>
  <c r="H206" i="1" s="1"/>
  <c r="E305" i="1"/>
  <c r="F305" i="1" s="1"/>
  <c r="G305" i="1" s="1"/>
  <c r="H305" i="1" s="1"/>
  <c r="E79" i="1"/>
  <c r="F79" i="1" s="1"/>
  <c r="G79" i="1" s="1"/>
  <c r="H79" i="1" s="1"/>
  <c r="E484" i="1"/>
  <c r="F484" i="1" s="1"/>
  <c r="G484" i="1" s="1"/>
  <c r="H484" i="1" s="1"/>
  <c r="E334" i="1"/>
  <c r="F334" i="1" s="1"/>
  <c r="G334" i="1" s="1"/>
  <c r="H334" i="1" s="1"/>
  <c r="E99" i="1"/>
  <c r="F99" i="1" s="1"/>
  <c r="G99" i="1" s="1"/>
  <c r="H99" i="1" s="1"/>
  <c r="E494" i="1"/>
  <c r="F494" i="1" s="1"/>
  <c r="G494" i="1" s="1"/>
  <c r="H494" i="1" s="1"/>
  <c r="E268" i="1"/>
  <c r="F268" i="1" s="1"/>
  <c r="G268" i="1" s="1"/>
  <c r="H268" i="1" s="1"/>
  <c r="E282" i="1"/>
  <c r="F282" i="1" s="1"/>
  <c r="G282" i="1" s="1"/>
  <c r="H282" i="1" s="1"/>
  <c r="E157" i="1"/>
  <c r="F157" i="1" s="1"/>
  <c r="G157" i="1" s="1"/>
  <c r="H157" i="1" s="1"/>
  <c r="E523" i="1"/>
  <c r="F523" i="1" s="1"/>
  <c r="G523" i="1" s="1"/>
  <c r="H523" i="1" s="1"/>
  <c r="E472" i="1"/>
  <c r="F472" i="1" s="1"/>
  <c r="G472" i="1" s="1"/>
  <c r="H472" i="1" s="1"/>
  <c r="E318" i="1"/>
  <c r="F318" i="1" s="1"/>
  <c r="G318" i="1" s="1"/>
  <c r="H318" i="1" s="1"/>
  <c r="E139" i="1"/>
  <c r="F139" i="1" s="1"/>
  <c r="G139" i="1" s="1"/>
  <c r="H139" i="1" s="1"/>
  <c r="E514" i="1"/>
  <c r="F514" i="1" s="1"/>
  <c r="G514" i="1" s="1"/>
  <c r="H514" i="1" s="1"/>
  <c r="E264" i="1"/>
  <c r="F264" i="1" s="1"/>
  <c r="G264" i="1" s="1"/>
  <c r="H264" i="1" s="1"/>
  <c r="E278" i="1"/>
  <c r="F278" i="1" s="1"/>
  <c r="G278" i="1" s="1"/>
  <c r="H278" i="1" s="1"/>
  <c r="E165" i="1"/>
  <c r="F165" i="1" s="1"/>
  <c r="G165" i="1" s="1"/>
  <c r="H165" i="1" s="1"/>
  <c r="E527" i="1"/>
  <c r="F527" i="1" s="1"/>
  <c r="G527" i="1" s="1"/>
  <c r="H527" i="1" s="1"/>
  <c r="E476" i="1"/>
  <c r="F476" i="1" s="1"/>
  <c r="G476" i="1" s="1"/>
  <c r="H476" i="1" s="1"/>
  <c r="E323" i="1"/>
  <c r="F323" i="1" s="1"/>
  <c r="G323" i="1" s="1"/>
  <c r="H323" i="1" s="1"/>
  <c r="E115" i="1"/>
  <c r="F115" i="1" s="1"/>
  <c r="G115" i="1" s="1"/>
  <c r="H115" i="1" s="1"/>
  <c r="E502" i="1"/>
  <c r="F502" i="1" s="1"/>
  <c r="G502" i="1" s="1"/>
  <c r="H502" i="1" s="1"/>
  <c r="E276" i="1"/>
  <c r="F276" i="1" s="1"/>
  <c r="G276" i="1" s="1"/>
  <c r="H276" i="1" s="1"/>
  <c r="E290" i="1"/>
  <c r="F290" i="1" s="1"/>
  <c r="G290" i="1" s="1"/>
  <c r="H290" i="1" s="1"/>
  <c r="E141" i="1"/>
  <c r="F141" i="1" s="1"/>
  <c r="G141" i="1" s="1"/>
  <c r="H141" i="1" s="1"/>
  <c r="E515" i="1"/>
  <c r="F515" i="1" s="1"/>
  <c r="G515" i="1" s="1"/>
  <c r="H515" i="1" s="1"/>
  <c r="E464" i="1"/>
  <c r="F464" i="1" s="1"/>
  <c r="G464" i="1" s="1"/>
  <c r="H464" i="1" s="1"/>
  <c r="E393" i="1"/>
  <c r="F393" i="1" s="1"/>
  <c r="G393" i="1" s="1"/>
  <c r="H393" i="1" s="1"/>
  <c r="E309" i="1"/>
  <c r="F309" i="1" s="1"/>
  <c r="G309" i="1" s="1"/>
  <c r="H309" i="1" s="1"/>
  <c r="E432" i="1"/>
  <c r="F432" i="1" s="1"/>
  <c r="G432" i="1" s="1"/>
  <c r="H432" i="1" s="1"/>
  <c r="E176" i="1"/>
  <c r="F176" i="1" s="1"/>
  <c r="G176" i="1" s="1"/>
  <c r="H176" i="1" s="1"/>
  <c r="E126" i="1"/>
  <c r="F126" i="1" s="1"/>
  <c r="G126" i="1" s="1"/>
  <c r="H126" i="1" s="1"/>
  <c r="E411" i="1"/>
  <c r="F411" i="1" s="1"/>
  <c r="G411" i="1" s="1"/>
  <c r="H411" i="1" s="1"/>
  <c r="E239" i="1"/>
  <c r="F239" i="1" s="1"/>
  <c r="G239" i="1" s="1"/>
  <c r="H239" i="1" s="1"/>
  <c r="E564" i="1"/>
  <c r="F564" i="1" s="1"/>
  <c r="G564" i="1" s="1"/>
  <c r="H564" i="1" s="1"/>
  <c r="E441" i="1"/>
  <c r="F441" i="1" s="1"/>
  <c r="G441" i="1" s="1"/>
  <c r="H441" i="1" s="1"/>
  <c r="E259" i="1"/>
  <c r="F259" i="1" s="1"/>
  <c r="G259" i="1" s="1"/>
  <c r="H259" i="1" s="1"/>
  <c r="E444" i="1"/>
  <c r="F444" i="1" s="1"/>
  <c r="G444" i="1" s="1"/>
  <c r="H444" i="1" s="1"/>
  <c r="E188" i="1"/>
  <c r="F188" i="1" s="1"/>
  <c r="G188" i="1" s="1"/>
  <c r="H188" i="1" s="1"/>
  <c r="E138" i="1"/>
  <c r="F138" i="1" s="1"/>
  <c r="G138" i="1" s="1"/>
  <c r="H138" i="1" s="1"/>
  <c r="E395" i="1"/>
  <c r="F395" i="1" s="1"/>
  <c r="G395" i="1" s="1"/>
  <c r="H395" i="1" s="1"/>
  <c r="E215" i="1"/>
  <c r="F215" i="1" s="1"/>
  <c r="G215" i="1" s="1"/>
  <c r="H215" i="1" s="1"/>
  <c r="E552" i="1"/>
  <c r="F552" i="1" s="1"/>
  <c r="G552" i="1" s="1"/>
  <c r="H552" i="1" s="1"/>
  <c r="E425" i="1"/>
  <c r="F425" i="1" s="1"/>
  <c r="G425" i="1" s="1"/>
  <c r="H425" i="1" s="1"/>
  <c r="E30" i="1"/>
  <c r="F30" i="1" s="1"/>
  <c r="G30" i="1" s="1"/>
  <c r="H30" i="1" s="1"/>
  <c r="E41" i="1"/>
  <c r="F41" i="1" s="1"/>
  <c r="G41" i="1" s="1"/>
  <c r="H41" i="1" s="1"/>
  <c r="E46" i="1"/>
  <c r="F46" i="1" s="1"/>
  <c r="G46" i="1" s="1"/>
  <c r="H46" i="1" s="1"/>
  <c r="E51" i="1"/>
  <c r="F51" i="1" s="1"/>
  <c r="G51" i="1" s="1"/>
  <c r="H51" i="1" s="1"/>
  <c r="E58" i="1"/>
  <c r="F58" i="1" s="1"/>
  <c r="G58" i="1" s="1"/>
  <c r="H58" i="1" s="1"/>
  <c r="E59" i="1"/>
  <c r="F59" i="1" s="1"/>
  <c r="G59" i="1" s="1"/>
  <c r="H59" i="1" s="1"/>
  <c r="E38" i="1"/>
  <c r="F38" i="1" s="1"/>
  <c r="G38" i="1" s="1"/>
  <c r="H38" i="1" s="1"/>
  <c r="E53" i="1"/>
  <c r="F53" i="1" s="1"/>
  <c r="G53" i="1" s="1"/>
  <c r="H53" i="1" s="1"/>
  <c r="E31" i="1"/>
  <c r="F31" i="1" s="1"/>
  <c r="G31" i="1" s="1"/>
  <c r="H31" i="1" s="1"/>
  <c r="E26" i="1"/>
  <c r="F26" i="1" s="1"/>
  <c r="G26" i="1" s="1"/>
  <c r="H26" i="1" s="1"/>
  <c r="E54" i="1"/>
  <c r="F54" i="1" s="1"/>
  <c r="G54" i="1" s="1"/>
  <c r="H54" i="1" s="1"/>
  <c r="E207" i="1"/>
  <c r="F207" i="1" s="1"/>
  <c r="G207" i="1" s="1"/>
  <c r="H207" i="1" s="1"/>
  <c r="E548" i="1"/>
  <c r="F548" i="1" s="1"/>
  <c r="G548" i="1" s="1"/>
  <c r="H548" i="1" s="1"/>
  <c r="E419" i="1"/>
  <c r="F419" i="1" s="1"/>
  <c r="G419" i="1" s="1"/>
  <c r="H419" i="1" s="1"/>
  <c r="E227" i="1"/>
  <c r="F227" i="1" s="1"/>
  <c r="G227" i="1" s="1"/>
  <c r="H227" i="1" s="1"/>
  <c r="E558" i="1"/>
  <c r="F558" i="1" s="1"/>
  <c r="G558" i="1" s="1"/>
  <c r="H558" i="1" s="1"/>
  <c r="E204" i="1"/>
  <c r="F204" i="1" s="1"/>
  <c r="G204" i="1" s="1"/>
  <c r="H204" i="1" s="1"/>
  <c r="E218" i="1"/>
  <c r="F218" i="1" s="1"/>
  <c r="G218" i="1" s="1"/>
  <c r="H218" i="1" s="1"/>
  <c r="E285" i="1"/>
  <c r="F285" i="1" s="1"/>
  <c r="G285" i="1" s="1"/>
  <c r="H285" i="1" s="1"/>
  <c r="E183" i="1"/>
  <c r="F183" i="1" s="1"/>
  <c r="G183" i="1" s="1"/>
  <c r="H183" i="1" s="1"/>
  <c r="E536" i="1"/>
  <c r="F536" i="1" s="1"/>
  <c r="G536" i="1" s="1"/>
  <c r="H536" i="1" s="1"/>
  <c r="E403" i="1"/>
  <c r="F403" i="1" s="1"/>
  <c r="G403" i="1" s="1"/>
  <c r="H403" i="1" s="1"/>
  <c r="E267" i="1"/>
  <c r="F267" i="1" s="1"/>
  <c r="G267" i="1" s="1"/>
  <c r="H267" i="1" s="1"/>
  <c r="E456" i="1"/>
  <c r="F456" i="1" s="1"/>
  <c r="G456" i="1" s="1"/>
  <c r="H456" i="1" s="1"/>
  <c r="E200" i="1"/>
  <c r="F200" i="1" s="1"/>
  <c r="G200" i="1" s="1"/>
  <c r="H200" i="1" s="1"/>
  <c r="E214" i="1"/>
  <c r="F214" i="1" s="1"/>
  <c r="G214" i="1" s="1"/>
  <c r="H214" i="1" s="1"/>
  <c r="E293" i="1"/>
  <c r="F293" i="1" s="1"/>
  <c r="G293" i="1" s="1"/>
  <c r="H293" i="1" s="1"/>
  <c r="E191" i="1"/>
  <c r="F191" i="1" s="1"/>
  <c r="G191" i="1" s="1"/>
  <c r="H191" i="1" s="1"/>
  <c r="E540" i="1"/>
  <c r="F540" i="1" s="1"/>
  <c r="G540" i="1" s="1"/>
  <c r="H540" i="1" s="1"/>
  <c r="E409" i="1"/>
  <c r="F409" i="1" s="1"/>
  <c r="G409" i="1" s="1"/>
  <c r="H409" i="1" s="1"/>
  <c r="E243" i="1"/>
  <c r="F243" i="1" s="1"/>
  <c r="G243" i="1" s="1"/>
  <c r="H243" i="1" s="1"/>
  <c r="E566" i="1"/>
  <c r="F566" i="1" s="1"/>
  <c r="G566" i="1" s="1"/>
  <c r="H566" i="1" s="1"/>
  <c r="E212" i="1"/>
  <c r="F212" i="1" s="1"/>
  <c r="G212" i="1" s="1"/>
  <c r="H212" i="1" s="1"/>
  <c r="E226" i="1"/>
  <c r="F226" i="1" s="1"/>
  <c r="G226" i="1" s="1"/>
  <c r="H226" i="1" s="1"/>
  <c r="E269" i="1"/>
  <c r="F269" i="1" s="1"/>
  <c r="G269" i="1" s="1"/>
  <c r="H269" i="1" s="1"/>
  <c r="E167" i="1"/>
  <c r="F167" i="1" s="1"/>
  <c r="G167" i="1" s="1"/>
  <c r="H167" i="1" s="1"/>
  <c r="E528" i="1"/>
  <c r="F528" i="1" s="1"/>
  <c r="G528" i="1" s="1"/>
  <c r="H528" i="1" s="1"/>
  <c r="E473" i="1"/>
  <c r="F473" i="1" s="1"/>
  <c r="G473" i="1" s="1"/>
  <c r="H473" i="1" s="1"/>
  <c r="E394" i="1"/>
  <c r="F394" i="1" s="1"/>
  <c r="G394" i="1" s="1"/>
  <c r="H394" i="1" s="1"/>
  <c r="E368" i="1"/>
  <c r="F368" i="1" s="1"/>
  <c r="G368" i="1" s="1"/>
  <c r="H368" i="1" s="1"/>
  <c r="E112" i="1"/>
  <c r="F112" i="1" s="1"/>
  <c r="G112" i="1" s="1"/>
  <c r="H112" i="1" s="1"/>
  <c r="E85" i="1"/>
  <c r="F85" i="1" s="1"/>
  <c r="G85" i="1" s="1"/>
  <c r="H85" i="1" s="1"/>
  <c r="E487" i="1"/>
  <c r="F487" i="1" s="1"/>
  <c r="G487" i="1" s="1"/>
  <c r="H487" i="1" s="1"/>
  <c r="E343" i="1"/>
  <c r="F343" i="1" s="1"/>
  <c r="G343" i="1" s="1"/>
  <c r="H343" i="1" s="1"/>
  <c r="E129" i="1"/>
  <c r="F129" i="1" s="1"/>
  <c r="G129" i="1" s="1"/>
  <c r="H129" i="1" s="1"/>
  <c r="E509" i="1"/>
  <c r="F509" i="1" s="1"/>
  <c r="G509" i="1" s="1"/>
  <c r="H509" i="1" s="1"/>
  <c r="E357" i="1"/>
  <c r="F357" i="1" s="1"/>
  <c r="G357" i="1" s="1"/>
  <c r="H357" i="1" s="1"/>
  <c r="E380" i="1"/>
  <c r="F380" i="1" s="1"/>
  <c r="G380" i="1" s="1"/>
  <c r="H380" i="1" s="1"/>
  <c r="E124" i="1"/>
  <c r="F124" i="1" s="1"/>
  <c r="G124" i="1" s="1"/>
  <c r="H124" i="1" s="1"/>
  <c r="E74" i="1"/>
  <c r="F74" i="1" s="1"/>
  <c r="G74" i="1" s="1"/>
  <c r="H74" i="1" s="1"/>
  <c r="E475" i="1"/>
  <c r="F475" i="1" s="1"/>
  <c r="G475" i="1" s="1"/>
  <c r="H475" i="1" s="1"/>
  <c r="E327" i="1"/>
  <c r="F327" i="1" s="1"/>
  <c r="G327" i="1" s="1"/>
  <c r="H327" i="1" s="1"/>
  <c r="E105" i="1"/>
  <c r="F105" i="1" s="1"/>
  <c r="G105" i="1" s="1"/>
  <c r="H105" i="1" s="1"/>
  <c r="E497" i="1"/>
  <c r="F497" i="1" s="1"/>
  <c r="G497" i="1" s="1"/>
  <c r="H497" i="1" s="1"/>
  <c r="E40" i="1"/>
  <c r="F40" i="1" s="1"/>
  <c r="G40" i="1" s="1"/>
  <c r="H40" i="1" s="1"/>
  <c r="E44" i="1"/>
  <c r="F44" i="1" s="1"/>
  <c r="G44" i="1" s="1"/>
  <c r="H44" i="1" s="1"/>
  <c r="E42" i="1"/>
  <c r="F42" i="1" s="1"/>
  <c r="G42" i="1" s="1"/>
  <c r="H42" i="1" s="1"/>
  <c r="E64" i="1"/>
  <c r="F64" i="1" s="1"/>
  <c r="G64" i="1" s="1"/>
  <c r="H64" i="1" s="1"/>
  <c r="E37" i="1"/>
  <c r="F37" i="1" s="1"/>
  <c r="G37" i="1" s="1"/>
  <c r="H37" i="1" s="1"/>
  <c r="E67" i="1"/>
  <c r="F67" i="1" s="1"/>
  <c r="G67" i="1" s="1"/>
  <c r="H67" i="1" s="1"/>
  <c r="E39" i="1"/>
  <c r="F39" i="1" s="1"/>
  <c r="G39" i="1" s="1"/>
  <c r="H39" i="1" s="1"/>
  <c r="E43" i="1"/>
  <c r="F43" i="1" s="1"/>
  <c r="G43" i="1" s="1"/>
  <c r="H43" i="1" s="1"/>
  <c r="E28" i="1"/>
  <c r="F28" i="1" s="1"/>
  <c r="G28" i="1" s="1"/>
  <c r="H28" i="1" s="1"/>
  <c r="E34" i="1"/>
  <c r="F34" i="1" s="1"/>
  <c r="G34" i="1" s="1"/>
  <c r="H34" i="1" s="1"/>
  <c r="B629" i="3"/>
  <c r="C629" i="3" s="1"/>
  <c r="B637" i="3"/>
  <c r="C637" i="3" s="1"/>
  <c r="B628" i="3"/>
  <c r="C628" i="3" s="1"/>
  <c r="B619" i="3"/>
  <c r="C619" i="3" s="1"/>
  <c r="B621" i="3"/>
  <c r="C621" i="3" s="1"/>
  <c r="B631" i="3"/>
  <c r="C631" i="3" s="1"/>
  <c r="B632" i="3"/>
  <c r="C632" i="3" s="1"/>
  <c r="B702" i="3"/>
  <c r="C702" i="3" s="1"/>
  <c r="B635" i="3"/>
  <c r="C635" i="3" s="1"/>
  <c r="B622" i="3"/>
  <c r="C622" i="3" s="1"/>
  <c r="B630" i="3"/>
  <c r="C630" i="3" s="1"/>
  <c r="B620" i="3"/>
  <c r="C620" i="3" s="1"/>
  <c r="B634" i="3"/>
  <c r="C634" i="3" s="1"/>
  <c r="B624" i="3"/>
  <c r="C624" i="3" s="1"/>
  <c r="B627" i="3"/>
  <c r="C627" i="3" s="1"/>
  <c r="B626" i="3"/>
  <c r="C626" i="3" s="1"/>
  <c r="B638" i="3"/>
  <c r="C638" i="3" s="1"/>
  <c r="B633" i="3"/>
  <c r="C633" i="3" s="1"/>
  <c r="B653" i="3"/>
  <c r="C653" i="3" s="1"/>
  <c r="B717" i="3"/>
  <c r="C717" i="3" s="1"/>
  <c r="B647" i="3"/>
  <c r="C647" i="3" s="1"/>
  <c r="B660" i="3"/>
  <c r="C660" i="3" s="1"/>
  <c r="B639" i="3"/>
  <c r="C639" i="3" s="1"/>
  <c r="B652" i="3"/>
  <c r="C652" i="3" s="1"/>
  <c r="B721" i="3"/>
  <c r="C721" i="3" s="1"/>
  <c r="B657" i="3"/>
  <c r="C657" i="3" s="1"/>
  <c r="B715" i="3"/>
  <c r="C715" i="3" s="1"/>
  <c r="B658" i="3"/>
  <c r="C658" i="3" s="1"/>
  <c r="B646" i="3"/>
  <c r="C646" i="3" s="1"/>
  <c r="B712" i="3"/>
  <c r="C712" i="3" s="1"/>
  <c r="B644" i="3"/>
  <c r="C644" i="3" s="1"/>
  <c r="B697" i="3"/>
  <c r="C697" i="3" s="1"/>
  <c r="B651" i="3"/>
  <c r="C651" i="3" s="1"/>
  <c r="B736" i="3"/>
  <c r="C736" i="3" s="1"/>
  <c r="B700" i="3"/>
  <c r="C700" i="3" s="1"/>
  <c r="B676" i="3"/>
  <c r="C676" i="3" s="1"/>
  <c r="B675" i="3"/>
  <c r="C675" i="3" s="1"/>
  <c r="B687" i="3"/>
  <c r="C687" i="3" s="1"/>
  <c r="B677" i="3"/>
  <c r="C677" i="3" s="1"/>
  <c r="B686" i="3"/>
  <c r="C686" i="3" s="1"/>
  <c r="B678" i="3"/>
  <c r="C678" i="3" s="1"/>
  <c r="B704" i="3"/>
  <c r="C704" i="3" s="1"/>
  <c r="B716" i="3"/>
  <c r="C716" i="3" s="1"/>
  <c r="B707" i="3"/>
  <c r="C707" i="3" s="1"/>
  <c r="B643" i="3"/>
  <c r="C643" i="3" s="1"/>
  <c r="B703" i="3"/>
  <c r="C703" i="3" s="1"/>
  <c r="B691" i="3"/>
  <c r="C691" i="3" s="1"/>
  <c r="B705" i="3"/>
  <c r="C705" i="3" s="1"/>
  <c r="B641" i="3"/>
  <c r="C641" i="3" s="1"/>
  <c r="B674" i="3"/>
  <c r="C674" i="3" s="1"/>
  <c r="B682" i="3"/>
  <c r="C682" i="3" s="1"/>
  <c r="B680" i="3"/>
  <c r="C680" i="3" s="1"/>
  <c r="B681" i="3"/>
  <c r="C681" i="3" s="1"/>
  <c r="B699" i="3"/>
  <c r="C699" i="3" s="1"/>
  <c r="B654" i="3"/>
  <c r="C654" i="3" s="1"/>
  <c r="B661" i="3"/>
  <c r="C661" i="3" s="1"/>
  <c r="B684" i="3"/>
  <c r="C684" i="3" s="1"/>
  <c r="B642" i="3"/>
  <c r="C642" i="3" s="1"/>
  <c r="B669" i="3"/>
  <c r="C669" i="3" s="1"/>
  <c r="B679" i="3"/>
  <c r="C679" i="3" s="1"/>
  <c r="B664" i="3"/>
  <c r="C664" i="3" s="1"/>
  <c r="B714" i="3"/>
  <c r="C714" i="3" s="1"/>
  <c r="B683" i="3"/>
  <c r="C683" i="3" s="1"/>
  <c r="B668" i="3"/>
  <c r="C668" i="3" s="1"/>
  <c r="B666" i="3"/>
  <c r="C666" i="3" s="1"/>
  <c r="B670" i="3"/>
  <c r="C670" i="3" s="1"/>
  <c r="B689" i="3"/>
  <c r="C689" i="3" s="1"/>
  <c r="B710" i="3"/>
  <c r="C710" i="3" s="1"/>
  <c r="B672" i="3"/>
  <c r="C672" i="3" s="1"/>
  <c r="B662" i="3"/>
  <c r="C662" i="3" s="1"/>
  <c r="B701" i="3"/>
  <c r="C701" i="3" s="1"/>
  <c r="B720" i="3"/>
  <c r="C720" i="3" s="1"/>
  <c r="B698" i="3"/>
  <c r="C698" i="3" s="1"/>
  <c r="B706" i="3"/>
  <c r="C706" i="3" s="1"/>
  <c r="B650" i="3"/>
  <c r="C650" i="3" s="1"/>
  <c r="B659" i="3"/>
  <c r="C659" i="3" s="1"/>
  <c r="B655" i="3"/>
  <c r="C655" i="3" s="1"/>
  <c r="B729" i="3"/>
  <c r="C729" i="3" s="1"/>
  <c r="B665" i="3"/>
  <c r="C665" i="3" s="1"/>
  <c r="B690" i="3"/>
  <c r="C690" i="3" s="1"/>
  <c r="B656" i="3"/>
  <c r="C656" i="3" s="1"/>
  <c r="B663" i="3"/>
  <c r="C663" i="3" s="1"/>
  <c r="B718" i="3"/>
  <c r="C718" i="3" s="1"/>
  <c r="B709" i="3"/>
  <c r="C709" i="3" s="1"/>
  <c r="B645" i="3"/>
  <c r="C645" i="3" s="1"/>
  <c r="A15" i="3"/>
  <c r="D125" i="3" s="1"/>
  <c r="B692" i="3"/>
  <c r="C692" i="3" s="1"/>
  <c r="B802" i="3"/>
  <c r="C802" i="3" s="1"/>
  <c r="B711" i="3"/>
  <c r="C711" i="3" s="1"/>
  <c r="B667" i="3"/>
  <c r="C667" i="3" s="1"/>
  <c r="B685" i="3"/>
  <c r="C685" i="3" s="1"/>
  <c r="B640" i="3"/>
  <c r="C640" i="3" s="1"/>
  <c r="B688" i="3"/>
  <c r="C688" i="3" s="1"/>
  <c r="B695" i="3"/>
  <c r="C695" i="3" s="1"/>
  <c r="B648" i="3"/>
  <c r="C648" i="3" s="1"/>
  <c r="B671" i="3"/>
  <c r="C671" i="3" s="1"/>
  <c r="B673" i="3"/>
  <c r="C673" i="3" s="1"/>
  <c r="B808" i="3"/>
  <c r="C808" i="3" s="1"/>
  <c r="B713" i="3"/>
  <c r="C713" i="3" s="1"/>
  <c r="B649" i="3"/>
  <c r="C649" i="3" s="1"/>
  <c r="B694" i="3"/>
  <c r="C694" i="3" s="1"/>
  <c r="B708" i="3"/>
  <c r="C708" i="3" s="1"/>
  <c r="B696" i="3"/>
  <c r="C696" i="3" s="1"/>
  <c r="B693" i="3"/>
  <c r="C693" i="3" s="1"/>
  <c r="D74" i="3"/>
  <c r="D206" i="3"/>
  <c r="D460" i="3" l="1"/>
  <c r="D380" i="3"/>
  <c r="D631" i="3"/>
  <c r="D653" i="3"/>
  <c r="B862" i="3"/>
  <c r="D374" i="3"/>
  <c r="D39" i="3"/>
  <c r="D353" i="3"/>
  <c r="D32" i="3"/>
  <c r="B987" i="3"/>
  <c r="C987" i="3" s="1"/>
  <c r="D609" i="3"/>
  <c r="B984" i="3"/>
  <c r="C984" i="3" s="1"/>
  <c r="B813" i="3"/>
  <c r="C813" i="3" s="1"/>
  <c r="B939" i="3"/>
  <c r="C939" i="3" s="1"/>
  <c r="D442" i="3"/>
  <c r="D514" i="3"/>
  <c r="D106" i="3"/>
  <c r="B825" i="3"/>
  <c r="C825" i="3" s="1"/>
  <c r="B895" i="3"/>
  <c r="C895" i="3" s="1"/>
  <c r="B902" i="3"/>
  <c r="C902" i="3" s="1"/>
  <c r="D396" i="3"/>
  <c r="D446" i="3"/>
  <c r="D705" i="3"/>
  <c r="D230" i="3"/>
  <c r="D313" i="3"/>
  <c r="D510" i="3"/>
  <c r="B1008" i="3"/>
  <c r="C1008" i="3" s="1"/>
  <c r="D540" i="3"/>
  <c r="D177" i="3"/>
  <c r="D543" i="3"/>
  <c r="D276" i="3"/>
  <c r="D104" i="3"/>
  <c r="D554" i="3"/>
  <c r="B917" i="3"/>
  <c r="C917" i="3" s="1"/>
  <c r="D467" i="3"/>
  <c r="D486" i="3"/>
  <c r="D344" i="3"/>
  <c r="D546" i="3"/>
  <c r="D240" i="3"/>
  <c r="B757" i="3"/>
  <c r="C757" i="3" s="1"/>
  <c r="B945" i="3"/>
  <c r="C945" i="3" s="1"/>
  <c r="B966" i="3"/>
  <c r="C966" i="3" s="1"/>
  <c r="B827" i="3"/>
  <c r="C827" i="3" s="1"/>
  <c r="B767" i="3"/>
  <c r="C767" i="3" s="1"/>
  <c r="D635" i="3"/>
  <c r="D267" i="3"/>
  <c r="D31" i="3"/>
  <c r="B972" i="3"/>
  <c r="D25" i="3"/>
  <c r="B831" i="3"/>
  <c r="C831" i="3" s="1"/>
  <c r="D377" i="3"/>
  <c r="D217" i="3"/>
  <c r="B965" i="3"/>
  <c r="C965" i="3" s="1"/>
  <c r="B819" i="3"/>
  <c r="C819" i="3" s="1"/>
  <c r="D528" i="3"/>
  <c r="D144" i="3"/>
  <c r="D249" i="3"/>
  <c r="D207" i="3"/>
  <c r="D508" i="3"/>
  <c r="D271" i="3"/>
  <c r="D82" i="3"/>
  <c r="D612" i="3"/>
  <c r="B764" i="3"/>
  <c r="C764" i="3" s="1"/>
  <c r="D576" i="3"/>
  <c r="B1009" i="3"/>
  <c r="B940" i="3"/>
  <c r="C940" i="3" s="1"/>
  <c r="D940" i="3" s="1"/>
  <c r="D38" i="3"/>
  <c r="D465" i="3"/>
  <c r="D573" i="3"/>
  <c r="D61" i="3"/>
  <c r="D339" i="3"/>
  <c r="D239" i="3"/>
  <c r="D67" i="3"/>
  <c r="B727" i="3"/>
  <c r="C727" i="3" s="1"/>
  <c r="D312" i="3"/>
  <c r="D493" i="3"/>
  <c r="D285" i="3"/>
  <c r="B743" i="3"/>
  <c r="C743" i="3" s="1"/>
  <c r="B963" i="3"/>
  <c r="C963" i="3" s="1"/>
  <c r="B927" i="3"/>
  <c r="C927" i="3" s="1"/>
  <c r="B962" i="3"/>
  <c r="C962" i="3" s="1"/>
  <c r="D421" i="3"/>
  <c r="D397" i="3"/>
  <c r="D264" i="3"/>
  <c r="D254" i="3"/>
  <c r="D398" i="3"/>
  <c r="B796" i="3"/>
  <c r="C796" i="3" s="1"/>
  <c r="B733" i="3"/>
  <c r="C733" i="3" s="1"/>
  <c r="B996" i="3"/>
  <c r="C996" i="3" s="1"/>
  <c r="D584" i="3"/>
  <c r="D245" i="3"/>
  <c r="D375" i="3"/>
  <c r="D299" i="3"/>
  <c r="D388" i="3"/>
  <c r="D347" i="3"/>
  <c r="D427" i="3"/>
  <c r="B867" i="3"/>
  <c r="B868" i="3"/>
  <c r="C868" i="3" s="1"/>
  <c r="B880" i="3"/>
  <c r="C880" i="3" s="1"/>
  <c r="B724" i="3"/>
  <c r="C724" i="3" s="1"/>
  <c r="B955" i="3"/>
  <c r="C955" i="3" s="1"/>
  <c r="D362" i="3"/>
  <c r="D36" i="3"/>
  <c r="D357" i="3"/>
  <c r="D459" i="3"/>
  <c r="B852" i="3"/>
  <c r="C852" i="3" s="1"/>
  <c r="B1013" i="3"/>
  <c r="C1013" i="3" s="1"/>
  <c r="B1012" i="3"/>
  <c r="D462" i="3"/>
  <c r="D26" i="3"/>
  <c r="D259" i="3"/>
  <c r="D325" i="3"/>
  <c r="D425" i="3"/>
  <c r="D181" i="3"/>
  <c r="B818" i="3"/>
  <c r="C818" i="3" s="1"/>
  <c r="B1018" i="3"/>
  <c r="C1018" i="3" s="1"/>
  <c r="B861" i="3"/>
  <c r="C861" i="3" s="1"/>
  <c r="B884" i="3"/>
  <c r="C884" i="3" s="1"/>
  <c r="B740" i="3"/>
  <c r="C740" i="3" s="1"/>
  <c r="B734" i="3"/>
  <c r="C734" i="3" s="1"/>
  <c r="D734" i="3" s="1"/>
  <c r="B801" i="3"/>
  <c r="C801" i="3" s="1"/>
  <c r="D802" i="3" s="1"/>
  <c r="D545" i="3"/>
  <c r="B723" i="3"/>
  <c r="C723" i="3" s="1"/>
  <c r="B948" i="3"/>
  <c r="C948" i="3" s="1"/>
  <c r="B812" i="3"/>
  <c r="C812" i="3" s="1"/>
  <c r="B853" i="3"/>
  <c r="C853" i="3" s="1"/>
  <c r="D196" i="3"/>
  <c r="D504" i="3"/>
  <c r="D314" i="3"/>
  <c r="D699" i="3"/>
  <c r="D470" i="3"/>
  <c r="D579" i="3"/>
  <c r="D607" i="3"/>
  <c r="D605" i="3"/>
  <c r="D309" i="3"/>
  <c r="D98" i="3"/>
  <c r="B792" i="3"/>
  <c r="C792" i="3" s="1"/>
  <c r="B857" i="3"/>
  <c r="C857" i="3" s="1"/>
  <c r="D647" i="3"/>
  <c r="D327" i="3"/>
  <c r="D634" i="3"/>
  <c r="B964" i="3"/>
  <c r="C964" i="3" s="1"/>
  <c r="B798" i="3"/>
  <c r="C798" i="3" s="1"/>
  <c r="B741" i="3"/>
  <c r="C741" i="3" s="1"/>
  <c r="D30" i="3"/>
  <c r="D530" i="3"/>
  <c r="D320" i="3"/>
  <c r="D642" i="3"/>
  <c r="D146" i="3"/>
  <c r="B989" i="3"/>
  <c r="C989" i="3" s="1"/>
  <c r="B960" i="3"/>
  <c r="C960" i="3" s="1"/>
  <c r="B776" i="3"/>
  <c r="C776" i="3" s="1"/>
  <c r="B1014" i="3"/>
  <c r="D439" i="3"/>
  <c r="D539" i="3"/>
  <c r="D410" i="3"/>
  <c r="B728" i="3"/>
  <c r="C728" i="3" s="1"/>
  <c r="D729" i="3" s="1"/>
  <c r="D490" i="3"/>
  <c r="D59" i="3"/>
  <c r="D85" i="3"/>
  <c r="B838" i="3"/>
  <c r="C838" i="3" s="1"/>
  <c r="B761" i="3"/>
  <c r="C761" i="3" s="1"/>
  <c r="B731" i="3"/>
  <c r="C731" i="3" s="1"/>
  <c r="D513" i="3"/>
  <c r="D405" i="3"/>
  <c r="D418" i="3"/>
  <c r="D582" i="3"/>
  <c r="D120" i="3"/>
  <c r="B726" i="3"/>
  <c r="C726" i="3" s="1"/>
  <c r="B751" i="3"/>
  <c r="C751" i="3" s="1"/>
  <c r="B766" i="3"/>
  <c r="C766" i="3" s="1"/>
  <c r="B725" i="3"/>
  <c r="C725" i="3" s="1"/>
  <c r="D725" i="3" s="1"/>
  <c r="D46" i="3"/>
  <c r="D349" i="3"/>
  <c r="D402" i="3"/>
  <c r="D198" i="3"/>
  <c r="D22" i="3"/>
  <c r="D37" i="3"/>
  <c r="B967" i="3"/>
  <c r="C967" i="3" s="1"/>
  <c r="B946" i="3"/>
  <c r="C946" i="3" s="1"/>
  <c r="B925" i="3"/>
  <c r="B806" i="3"/>
  <c r="C806" i="3" s="1"/>
  <c r="B835" i="3"/>
  <c r="C835" i="3" s="1"/>
  <c r="B753" i="3"/>
  <c r="C753" i="3" s="1"/>
  <c r="D103" i="3"/>
  <c r="D638" i="3"/>
  <c r="D318" i="3"/>
  <c r="D229" i="3"/>
  <c r="B916" i="3"/>
  <c r="B758" i="3"/>
  <c r="C758" i="3" s="1"/>
  <c r="D617" i="3"/>
  <c r="B803" i="3"/>
  <c r="C803" i="3" s="1"/>
  <c r="D803" i="3" s="1"/>
  <c r="D93" i="3"/>
  <c r="D416" i="3"/>
  <c r="D35" i="3"/>
  <c r="D571" i="3"/>
  <c r="D69" i="3"/>
  <c r="D420" i="3"/>
  <c r="D174" i="3"/>
  <c r="D142" i="3"/>
  <c r="B820" i="3"/>
  <c r="C820" i="3" s="1"/>
  <c r="B839" i="3"/>
  <c r="C839" i="3" s="1"/>
  <c r="B826" i="3"/>
  <c r="C826" i="3" s="1"/>
  <c r="B936" i="3"/>
  <c r="C936" i="3" s="1"/>
  <c r="B914" i="3"/>
  <c r="B991" i="3"/>
  <c r="C991" i="3" s="1"/>
  <c r="B992" i="3"/>
  <c r="C992" i="3" s="1"/>
  <c r="B737" i="3"/>
  <c r="C737" i="3" s="1"/>
  <c r="D737" i="3" s="1"/>
  <c r="B870" i="3"/>
  <c r="B858" i="3"/>
  <c r="C858" i="3" s="1"/>
  <c r="B790" i="3"/>
  <c r="C790" i="3" s="1"/>
  <c r="D497" i="3"/>
  <c r="D151" i="3"/>
  <c r="D127" i="3"/>
  <c r="D188" i="3"/>
  <c r="D202" i="3"/>
  <c r="D281" i="3"/>
  <c r="D506" i="3"/>
  <c r="D491" i="3"/>
  <c r="D234" i="3"/>
  <c r="D559" i="3"/>
  <c r="D34" i="3"/>
  <c r="B926" i="3"/>
  <c r="C926" i="3" s="1"/>
  <c r="D657" i="3"/>
  <c r="B793" i="3"/>
  <c r="C793" i="3" s="1"/>
  <c r="D793" i="3" s="1"/>
  <c r="B923" i="3"/>
  <c r="C923" i="3" s="1"/>
  <c r="B999" i="3"/>
  <c r="C999" i="3" s="1"/>
  <c r="D436" i="3"/>
  <c r="D480" i="3"/>
  <c r="B719" i="3"/>
  <c r="C719" i="3" s="1"/>
  <c r="D719" i="3" s="1"/>
  <c r="B738" i="3"/>
  <c r="C738" i="3" s="1"/>
  <c r="B735" i="3"/>
  <c r="C735" i="3" s="1"/>
  <c r="D735" i="3" s="1"/>
  <c r="D158" i="3"/>
  <c r="D253" i="3"/>
  <c r="D606" i="3"/>
  <c r="D20" i="3"/>
  <c r="D47" i="3"/>
  <c r="D139" i="3"/>
  <c r="B1001" i="3"/>
  <c r="C1001" i="3" s="1"/>
  <c r="B778" i="3"/>
  <c r="C778" i="3" s="1"/>
  <c r="B722" i="3"/>
  <c r="C722" i="3" s="1"/>
  <c r="D722" i="3" s="1"/>
  <c r="B775" i="3"/>
  <c r="C775" i="3" s="1"/>
  <c r="D503" i="3"/>
  <c r="D701" i="3"/>
  <c r="D473" i="3"/>
  <c r="D645" i="3"/>
  <c r="B732" i="3"/>
  <c r="C732" i="3" s="1"/>
  <c r="D732" i="3" s="1"/>
  <c r="D424" i="3"/>
  <c r="D391" i="3"/>
  <c r="B897" i="3"/>
  <c r="C897" i="3" s="1"/>
  <c r="B730" i="3"/>
  <c r="C730" i="3" s="1"/>
  <c r="D730" i="3" s="1"/>
  <c r="B932" i="3"/>
  <c r="C932" i="3" s="1"/>
  <c r="D279" i="3"/>
  <c r="D141" i="3"/>
  <c r="D633" i="3"/>
  <c r="B739" i="3"/>
  <c r="C739" i="3" s="1"/>
  <c r="B941" i="3"/>
  <c r="C941" i="3" s="1"/>
  <c r="D328" i="3"/>
  <c r="D589" i="3"/>
  <c r="D648" i="3"/>
  <c r="D668" i="3"/>
  <c r="D690" i="3"/>
  <c r="D710" i="3"/>
  <c r="D639" i="3"/>
  <c r="C916" i="3"/>
  <c r="C925" i="3"/>
  <c r="C1009" i="3"/>
  <c r="C914" i="3"/>
  <c r="D114" i="3"/>
  <c r="D101" i="3"/>
  <c r="D78" i="3"/>
  <c r="D494" i="3"/>
  <c r="D713" i="3"/>
  <c r="B1003" i="3"/>
  <c r="C1003" i="3" s="1"/>
  <c r="B746" i="3"/>
  <c r="C746" i="3" s="1"/>
  <c r="B742" i="3"/>
  <c r="C742" i="3" s="1"/>
  <c r="B980" i="3"/>
  <c r="C980" i="3" s="1"/>
  <c r="B892" i="3"/>
  <c r="C892" i="3" s="1"/>
  <c r="D519" i="3"/>
  <c r="B871" i="3"/>
  <c r="C871" i="3" s="1"/>
  <c r="B1002" i="3"/>
  <c r="C1002" i="3" s="1"/>
  <c r="D529" i="3"/>
  <c r="B844" i="3"/>
  <c r="C844" i="3" s="1"/>
  <c r="B921" i="3"/>
  <c r="C921" i="3" s="1"/>
  <c r="D608" i="3"/>
  <c r="D189" i="3"/>
  <c r="D601" i="3"/>
  <c r="D126" i="3"/>
  <c r="D518" i="3"/>
  <c r="D176" i="3"/>
  <c r="D274" i="3"/>
  <c r="D124" i="3"/>
  <c r="D655" i="3"/>
  <c r="D461" i="3"/>
  <c r="D479" i="3"/>
  <c r="D49" i="3"/>
  <c r="D455" i="3"/>
  <c r="D716" i="3"/>
  <c r="D53" i="3"/>
  <c r="D393" i="3"/>
  <c r="D113" i="3"/>
  <c r="D243" i="3"/>
  <c r="D409" i="3"/>
  <c r="D595" i="3"/>
  <c r="D709" i="3"/>
  <c r="D269" i="3"/>
  <c r="D445" i="3"/>
  <c r="D161" i="3"/>
  <c r="D214" i="3"/>
  <c r="D688" i="3"/>
  <c r="D542" i="3"/>
  <c r="D233" i="3"/>
  <c r="D194" i="3"/>
  <c r="D428" i="3"/>
  <c r="D502" i="3"/>
  <c r="D431" i="3"/>
  <c r="D457" i="3"/>
  <c r="D308" i="3"/>
  <c r="D702" i="3"/>
  <c r="D440" i="3"/>
  <c r="D381" i="3"/>
  <c r="D367" i="3"/>
  <c r="D283" i="3"/>
  <c r="D422" i="3"/>
  <c r="D624" i="3"/>
  <c r="D116" i="3"/>
  <c r="D164" i="3"/>
  <c r="D598" i="3"/>
  <c r="D306" i="3"/>
  <c r="D199" i="3"/>
  <c r="D284" i="3"/>
  <c r="D434" i="3"/>
  <c r="D255" i="3"/>
  <c r="D152" i="3"/>
  <c r="D650" i="3"/>
  <c r="D351" i="3"/>
  <c r="B872" i="3"/>
  <c r="C872" i="3" s="1"/>
  <c r="B931" i="3"/>
  <c r="C931" i="3" s="1"/>
  <c r="D290" i="3"/>
  <c r="D686" i="3"/>
  <c r="D354" i="3"/>
  <c r="D87" i="3"/>
  <c r="B973" i="3"/>
  <c r="C973" i="3" s="1"/>
  <c r="B850" i="3"/>
  <c r="C850" i="3" s="1"/>
  <c r="B859" i="3"/>
  <c r="C859" i="3" s="1"/>
  <c r="B959" i="3"/>
  <c r="C959" i="3" s="1"/>
  <c r="B988" i="3"/>
  <c r="C988" i="3" s="1"/>
  <c r="B1005" i="3"/>
  <c r="C1005" i="3" s="1"/>
  <c r="B878" i="3"/>
  <c r="C878" i="3" s="1"/>
  <c r="B864" i="3"/>
  <c r="C864" i="3" s="1"/>
  <c r="B890" i="3"/>
  <c r="C890" i="3" s="1"/>
  <c r="B787" i="3"/>
  <c r="C787" i="3" s="1"/>
  <c r="D334" i="3"/>
  <c r="D618" i="3"/>
  <c r="D122" i="3"/>
  <c r="D511" i="3"/>
  <c r="D628" i="3"/>
  <c r="D603" i="3"/>
  <c r="D441" i="3"/>
  <c r="D251" i="3"/>
  <c r="D171" i="3"/>
  <c r="D170" i="3"/>
  <c r="D384" i="3"/>
  <c r="D149" i="3"/>
  <c r="D345" i="3"/>
  <c r="D169" i="3"/>
  <c r="D477" i="3"/>
  <c r="D58" i="3"/>
  <c r="D75" i="3"/>
  <c r="D54" i="3"/>
  <c r="D304" i="3"/>
  <c r="D611" i="3"/>
  <c r="D615" i="3"/>
  <c r="D629" i="3"/>
  <c r="D359" i="3"/>
  <c r="D587" i="3"/>
  <c r="D210" i="3"/>
  <c r="D352" i="3"/>
  <c r="D340" i="3"/>
  <c r="D60" i="3"/>
  <c r="D102" i="3"/>
  <c r="D63" i="3"/>
  <c r="D715" i="3"/>
  <c r="D591" i="3"/>
  <c r="D680" i="3"/>
  <c r="D386" i="3"/>
  <c r="D110" i="3"/>
  <c r="D321" i="3"/>
  <c r="D43" i="3"/>
  <c r="D168" i="3"/>
  <c r="D235" i="3"/>
  <c r="D717" i="3"/>
  <c r="D301" i="3"/>
  <c r="B816" i="3"/>
  <c r="C816" i="3" s="1"/>
  <c r="B763" i="3"/>
  <c r="C763" i="3" s="1"/>
  <c r="D499" i="3"/>
  <c r="D637" i="3"/>
  <c r="D663" i="3"/>
  <c r="D429" i="3"/>
  <c r="B771" i="3"/>
  <c r="C771" i="3" s="1"/>
  <c r="B938" i="3"/>
  <c r="C938" i="3" s="1"/>
  <c r="B924" i="3"/>
  <c r="C924" i="3" s="1"/>
  <c r="B774" i="3"/>
  <c r="C774" i="3" s="1"/>
  <c r="D580" i="3"/>
  <c r="B791" i="3"/>
  <c r="C791" i="3" s="1"/>
  <c r="B1015" i="3"/>
  <c r="C1015" i="3" s="1"/>
  <c r="B985" i="3"/>
  <c r="C985" i="3" s="1"/>
  <c r="D532" i="3"/>
  <c r="D555" i="3"/>
  <c r="D463" i="3"/>
  <c r="D417" i="3"/>
  <c r="D57" i="3"/>
  <c r="D228" i="3"/>
  <c r="D521" i="3"/>
  <c r="D350" i="3"/>
  <c r="D266" i="3"/>
  <c r="D482" i="3"/>
  <c r="D73" i="3"/>
  <c r="D406" i="3"/>
  <c r="D626" i="3"/>
  <c r="D387" i="3"/>
  <c r="D275" i="3"/>
  <c r="D256" i="3"/>
  <c r="D287" i="3"/>
  <c r="D147" i="3"/>
  <c r="D373" i="3"/>
  <c r="D547" i="3"/>
  <c r="D515" i="3"/>
  <c r="D117" i="3"/>
  <c r="D138" i="3"/>
  <c r="D652" i="3"/>
  <c r="D163" i="3"/>
  <c r="D258" i="3"/>
  <c r="D658" i="3"/>
  <c r="D358" i="3"/>
  <c r="D570" i="3"/>
  <c r="D294" i="3"/>
  <c r="D714" i="3"/>
  <c r="D48" i="3"/>
  <c r="D156" i="3"/>
  <c r="D708" i="3"/>
  <c r="D448" i="3"/>
  <c r="D372" i="3"/>
  <c r="D148" i="3"/>
  <c r="D323" i="3"/>
  <c r="D404" i="3"/>
  <c r="D469" i="3"/>
  <c r="D679" i="3"/>
  <c r="D226" i="3"/>
  <c r="D568" i="3"/>
  <c r="D500" i="3"/>
  <c r="D676" i="3"/>
  <c r="D692" i="3"/>
  <c r="D153" i="3"/>
  <c r="D718" i="3"/>
  <c r="D302" i="3"/>
  <c r="D414" i="3"/>
  <c r="D300" i="3"/>
  <c r="D247" i="3"/>
  <c r="D389" i="3"/>
  <c r="B773" i="3"/>
  <c r="C773" i="3" s="1"/>
  <c r="B869" i="3"/>
  <c r="C869" i="3" s="1"/>
  <c r="B854" i="3"/>
  <c r="C854" i="3" s="1"/>
  <c r="B794" i="3"/>
  <c r="C794" i="3" s="1"/>
  <c r="B788" i="3"/>
  <c r="C788" i="3" s="1"/>
  <c r="B944" i="3"/>
  <c r="C944" i="3" s="1"/>
  <c r="D577" i="3"/>
  <c r="B856" i="3"/>
  <c r="C856" i="3" s="1"/>
  <c r="B943" i="3"/>
  <c r="C943" i="3" s="1"/>
  <c r="B888" i="3"/>
  <c r="C888" i="3" s="1"/>
  <c r="B860" i="3"/>
  <c r="C860" i="3" s="1"/>
  <c r="B903" i="3"/>
  <c r="C903" i="3" s="1"/>
  <c r="D157" i="3"/>
  <c r="D697" i="3"/>
  <c r="D137" i="3"/>
  <c r="D412" i="3"/>
  <c r="D516" i="3"/>
  <c r="D72" i="3"/>
  <c r="D447" i="3"/>
  <c r="D501" i="3"/>
  <c r="D241" i="3"/>
  <c r="B951" i="3"/>
  <c r="C951" i="3" s="1"/>
  <c r="B922" i="3"/>
  <c r="C922" i="3" s="1"/>
  <c r="B956" i="3"/>
  <c r="C956" i="3" s="1"/>
  <c r="B846" i="3"/>
  <c r="C846" i="3" s="1"/>
  <c r="B843" i="3"/>
  <c r="C843" i="3" s="1"/>
  <c r="D51" i="3"/>
  <c r="D244" i="3"/>
  <c r="D329" i="3"/>
  <c r="D178" i="3"/>
  <c r="D509" i="3"/>
  <c r="D135" i="3"/>
  <c r="D523" i="3"/>
  <c r="D324" i="3"/>
  <c r="D667" i="3"/>
  <c r="D337" i="3"/>
  <c r="D703" i="3"/>
  <c r="D704" i="3"/>
  <c r="D485" i="3"/>
  <c r="D443" i="3"/>
  <c r="D86" i="3"/>
  <c r="D200" i="3"/>
  <c r="B762" i="3"/>
  <c r="C762" i="3" s="1"/>
  <c r="B745" i="3"/>
  <c r="C745" i="3" s="1"/>
  <c r="B841" i="3"/>
  <c r="C841" i="3" s="1"/>
  <c r="B783" i="3"/>
  <c r="C783" i="3" s="1"/>
  <c r="B769" i="3"/>
  <c r="C769" i="3" s="1"/>
  <c r="B849" i="3"/>
  <c r="C849" i="3" s="1"/>
  <c r="B768" i="3"/>
  <c r="C768" i="3" s="1"/>
  <c r="B898" i="3"/>
  <c r="C898" i="3" s="1"/>
  <c r="B756" i="3"/>
  <c r="C756" i="3" s="1"/>
  <c r="B799" i="3"/>
  <c r="C799" i="3" s="1"/>
  <c r="B891" i="3"/>
  <c r="C891" i="3" s="1"/>
  <c r="B995" i="3"/>
  <c r="C995" i="3" s="1"/>
  <c r="D526" i="3"/>
  <c r="D224" i="3"/>
  <c r="D326" i="3"/>
  <c r="D474" i="3"/>
  <c r="D133" i="3"/>
  <c r="D261" i="3"/>
  <c r="D84" i="3"/>
  <c r="D558" i="3"/>
  <c r="D563" i="3"/>
  <c r="D68" i="3"/>
  <c r="D315" i="3"/>
  <c r="B754" i="3"/>
  <c r="C754" i="3" s="1"/>
  <c r="B1011" i="3"/>
  <c r="C1011" i="3" s="1"/>
  <c r="B822" i="3"/>
  <c r="C822" i="3" s="1"/>
  <c r="D593" i="3"/>
  <c r="B865" i="3"/>
  <c r="C865" i="3" s="1"/>
  <c r="B866" i="3"/>
  <c r="C866" i="3" s="1"/>
  <c r="B851" i="3"/>
  <c r="C851" i="3" s="1"/>
  <c r="D278" i="3"/>
  <c r="D383" i="3"/>
  <c r="D286" i="3"/>
  <c r="D272" i="3"/>
  <c r="D250" i="3"/>
  <c r="D599" i="3"/>
  <c r="D88" i="3"/>
  <c r="D444" i="3"/>
  <c r="B804" i="3"/>
  <c r="C804" i="3" s="1"/>
  <c r="B785" i="3"/>
  <c r="C785" i="3" s="1"/>
  <c r="B842" i="3"/>
  <c r="C842" i="3" s="1"/>
  <c r="B918" i="3"/>
  <c r="C918" i="3" s="1"/>
  <c r="D105" i="3"/>
  <c r="D678" i="3"/>
  <c r="D682" i="3"/>
  <c r="D401" i="3"/>
  <c r="D231" i="3"/>
  <c r="D118" i="3"/>
  <c r="D400" i="3"/>
  <c r="D42" i="3"/>
  <c r="D263" i="3"/>
  <c r="D646" i="3"/>
  <c r="D180" i="3"/>
  <c r="D143" i="3"/>
  <c r="D437" i="3"/>
  <c r="D687" i="3"/>
  <c r="D371" i="3"/>
  <c r="D115" i="3"/>
  <c r="D330" i="3"/>
  <c r="D95" i="3"/>
  <c r="D277" i="3"/>
  <c r="D65" i="3"/>
  <c r="D99" i="3"/>
  <c r="D565" i="3"/>
  <c r="B981" i="3"/>
  <c r="C981" i="3" s="1"/>
  <c r="B1004" i="3"/>
  <c r="C1004" i="3" s="1"/>
  <c r="B947" i="3"/>
  <c r="C947" i="3" s="1"/>
  <c r="B886" i="3"/>
  <c r="C886" i="3" s="1"/>
  <c r="B777" i="3"/>
  <c r="C777" i="3" s="1"/>
  <c r="B873" i="3"/>
  <c r="C873" i="3" s="1"/>
  <c r="B887" i="3"/>
  <c r="C887" i="3" s="1"/>
  <c r="B817" i="3"/>
  <c r="C817" i="3" s="1"/>
  <c r="B896" i="3"/>
  <c r="C896" i="3" s="1"/>
  <c r="B814" i="3"/>
  <c r="C814" i="3" s="1"/>
  <c r="B810" i="3"/>
  <c r="C810" i="3" s="1"/>
  <c r="B982" i="3"/>
  <c r="C982" i="3" s="1"/>
  <c r="B800" i="3"/>
  <c r="C800" i="3" s="1"/>
  <c r="B1010" i="3"/>
  <c r="C1010" i="3" s="1"/>
  <c r="B784" i="3"/>
  <c r="C784" i="3" s="1"/>
  <c r="B986" i="3"/>
  <c r="C986" i="3" s="1"/>
  <c r="B863" i="3"/>
  <c r="C863" i="3" s="1"/>
  <c r="B770" i="3"/>
  <c r="C770" i="3" s="1"/>
  <c r="D64" i="3"/>
  <c r="D685" i="3"/>
  <c r="D79" i="3"/>
  <c r="D296" i="3"/>
  <c r="D212" i="3"/>
  <c r="D586" i="3"/>
  <c r="D288" i="3"/>
  <c r="D62" i="3"/>
  <c r="D556" i="3"/>
  <c r="D541" i="3"/>
  <c r="D696" i="3"/>
  <c r="D512" i="3"/>
  <c r="D80" i="3"/>
  <c r="D581" i="3"/>
  <c r="D548" i="3"/>
  <c r="B933" i="3"/>
  <c r="C933" i="3" s="1"/>
  <c r="B876" i="3"/>
  <c r="C876" i="3" s="1"/>
  <c r="B883" i="3"/>
  <c r="C883" i="3" s="1"/>
  <c r="B879" i="3"/>
  <c r="C879" i="3" s="1"/>
  <c r="B953" i="3"/>
  <c r="C953" i="3" s="1"/>
  <c r="D597" i="3"/>
  <c r="B919" i="3"/>
  <c r="C919" i="3" s="1"/>
  <c r="B990" i="3"/>
  <c r="C990" i="3" s="1"/>
  <c r="B969" i="3"/>
  <c r="C969" i="3" s="1"/>
  <c r="B994" i="3"/>
  <c r="C994" i="3" s="1"/>
  <c r="B942" i="3"/>
  <c r="C942" i="3" s="1"/>
  <c r="B807" i="3"/>
  <c r="C807" i="3" s="1"/>
  <c r="D672" i="3"/>
  <c r="B909" i="3"/>
  <c r="C909" i="3" s="1"/>
  <c r="D128" i="3"/>
  <c r="D331" i="3"/>
  <c r="D215" i="3"/>
  <c r="D71" i="3"/>
  <c r="D77" i="3"/>
  <c r="D192" i="3"/>
  <c r="D632" i="3"/>
  <c r="D182" i="3"/>
  <c r="D332" i="3"/>
  <c r="D123" i="3"/>
  <c r="D282" i="3"/>
  <c r="D476" i="3"/>
  <c r="D203" i="3"/>
  <c r="D450" i="3"/>
  <c r="D610" i="3"/>
  <c r="D280" i="3"/>
  <c r="D154" i="3"/>
  <c r="D173" i="3"/>
  <c r="D193" i="3"/>
  <c r="D625" i="3"/>
  <c r="D551" i="3"/>
  <c r="D488" i="3"/>
  <c r="D108" i="3"/>
  <c r="D451" i="3"/>
  <c r="D620" i="3"/>
  <c r="D630" i="3"/>
  <c r="D561" i="3"/>
  <c r="B755" i="3"/>
  <c r="C755" i="3" s="1"/>
  <c r="B1006" i="3"/>
  <c r="C1006" i="3" s="1"/>
  <c r="B811" i="3"/>
  <c r="C811" i="3" s="1"/>
  <c r="B749" i="3"/>
  <c r="C749" i="3" s="1"/>
  <c r="B1016" i="3"/>
  <c r="C1016" i="3" s="1"/>
  <c r="D413" i="3"/>
  <c r="B779" i="3"/>
  <c r="C779" i="3" s="1"/>
  <c r="D619" i="3"/>
  <c r="B781" i="3"/>
  <c r="C781" i="3" s="1"/>
  <c r="B1007" i="3"/>
  <c r="C1007" i="3" s="1"/>
  <c r="D1007" i="3" s="1"/>
  <c r="D472" i="3"/>
  <c r="D524" i="3"/>
  <c r="D232" i="3"/>
  <c r="D160" i="3"/>
  <c r="D675" i="3"/>
  <c r="D322" i="3"/>
  <c r="D640" i="3"/>
  <c r="D649" i="3"/>
  <c r="D478" i="3"/>
  <c r="D481" i="3"/>
  <c r="D265" i="3"/>
  <c r="D659" i="3"/>
  <c r="D21" i="3"/>
  <c r="D622" i="3"/>
  <c r="D536" i="3"/>
  <c r="D107" i="3"/>
  <c r="D464" i="3"/>
  <c r="D92" i="3"/>
  <c r="D430" i="3"/>
  <c r="D711" i="3"/>
  <c r="D66" i="3"/>
  <c r="D205" i="3"/>
  <c r="D55" i="3"/>
  <c r="D569" i="3"/>
  <c r="D119" i="3"/>
  <c r="D484" i="3"/>
  <c r="D162" i="3"/>
  <c r="D342" i="3"/>
  <c r="D643" i="3"/>
  <c r="D517" i="3"/>
  <c r="D145" i="3"/>
  <c r="D94" i="3"/>
  <c r="D165" i="3"/>
  <c r="D533" i="3"/>
  <c r="D560" i="3"/>
  <c r="B885" i="3"/>
  <c r="C885" i="3" s="1"/>
  <c r="B815" i="3"/>
  <c r="C815" i="3" s="1"/>
  <c r="B998" i="3"/>
  <c r="C998" i="3" s="1"/>
  <c r="B809" i="3"/>
  <c r="C809" i="3" s="1"/>
  <c r="D809" i="3" s="1"/>
  <c r="B905" i="3"/>
  <c r="C905" i="3" s="1"/>
  <c r="D520" i="3"/>
  <c r="B913" i="3"/>
  <c r="C913" i="3" s="1"/>
  <c r="B875" i="3"/>
  <c r="C875" i="3" s="1"/>
  <c r="B795" i="3"/>
  <c r="C795" i="3" s="1"/>
  <c r="B935" i="3"/>
  <c r="C935" i="3" s="1"/>
  <c r="B830" i="3"/>
  <c r="C830" i="3" s="1"/>
  <c r="B893" i="3"/>
  <c r="C893" i="3" s="1"/>
  <c r="D522" i="3"/>
  <c r="D538" i="3"/>
  <c r="D295" i="3"/>
  <c r="D136" i="3"/>
  <c r="D594" i="3"/>
  <c r="D452" i="3"/>
  <c r="D665" i="3"/>
  <c r="D575" i="3"/>
  <c r="D674" i="3"/>
  <c r="D435" i="3"/>
  <c r="D44" i="3"/>
  <c r="D403" i="3"/>
  <c r="D220" i="3"/>
  <c r="D585" i="3"/>
  <c r="D378" i="3"/>
  <c r="D423" i="3"/>
  <c r="D707" i="3"/>
  <c r="D496" i="3"/>
  <c r="D195" i="3"/>
  <c r="D197" i="3"/>
  <c r="D399" i="3"/>
  <c r="D223" i="3"/>
  <c r="D651" i="3"/>
  <c r="D613" i="3"/>
  <c r="B837" i="3"/>
  <c r="C837" i="3" s="1"/>
  <c r="D700" i="3"/>
  <c r="B929" i="3"/>
  <c r="C929" i="3" s="1"/>
  <c r="B907" i="3"/>
  <c r="C907" i="3" s="1"/>
  <c r="B780" i="3"/>
  <c r="C780" i="3" s="1"/>
  <c r="B928" i="3"/>
  <c r="C928" i="3" s="1"/>
  <c r="B797" i="3"/>
  <c r="C797" i="3" s="1"/>
  <c r="D172" i="3"/>
  <c r="D489" i="3"/>
  <c r="D390" i="3"/>
  <c r="D260" i="3"/>
  <c r="D310" i="3"/>
  <c r="D183" i="3"/>
  <c r="D112" i="3"/>
  <c r="D121" i="3"/>
  <c r="D449" i="3"/>
  <c r="D227" i="3"/>
  <c r="D292" i="3"/>
  <c r="D40" i="3"/>
  <c r="D602" i="3"/>
  <c r="D28" i="3"/>
  <c r="B911" i="3"/>
  <c r="C911" i="3" s="1"/>
  <c r="D109" i="3"/>
  <c r="D689" i="3"/>
  <c r="C1012" i="3"/>
  <c r="C972" i="3"/>
  <c r="D691" i="3"/>
  <c r="C867" i="3"/>
  <c r="C1014" i="3"/>
  <c r="C862" i="3"/>
  <c r="C870" i="3"/>
  <c r="D670" i="3"/>
  <c r="B889" i="3"/>
  <c r="C889" i="3" s="1"/>
  <c r="B930" i="3"/>
  <c r="C930" i="3" s="1"/>
  <c r="B912" i="3"/>
  <c r="C912" i="3" s="1"/>
  <c r="B904" i="3"/>
  <c r="C904" i="3" s="1"/>
  <c r="D317" i="3"/>
  <c r="D211" i="3"/>
  <c r="D346" i="3"/>
  <c r="D291" i="3"/>
  <c r="D343" i="3"/>
  <c r="D641" i="3"/>
  <c r="D190" i="3"/>
  <c r="D27" i="3"/>
  <c r="D270" i="3"/>
  <c r="D319" i="3"/>
  <c r="D262" i="3"/>
  <c r="D407" i="3"/>
  <c r="D191" i="3"/>
  <c r="D370" i="3"/>
  <c r="D644" i="3"/>
  <c r="D475" i="3"/>
  <c r="D426" i="3"/>
  <c r="B961" i="3"/>
  <c r="C961" i="3" s="1"/>
  <c r="B920" i="3"/>
  <c r="C920" i="3" s="1"/>
  <c r="B855" i="3"/>
  <c r="C855" i="3" s="1"/>
  <c r="D636" i="3"/>
  <c r="B750" i="3"/>
  <c r="C750" i="3" s="1"/>
  <c r="B824" i="3"/>
  <c r="C824" i="3" s="1"/>
  <c r="B772" i="3"/>
  <c r="C772" i="3" s="1"/>
  <c r="D656" i="3"/>
  <c r="D433" i="3"/>
  <c r="D394" i="3"/>
  <c r="D588" i="3"/>
  <c r="D90" i="3"/>
  <c r="D132" i="3"/>
  <c r="D338" i="3"/>
  <c r="D453" i="3"/>
  <c r="D505" i="3"/>
  <c r="D492" i="3"/>
  <c r="D583" i="3"/>
  <c r="D360" i="3"/>
  <c r="D498" i="3"/>
  <c r="D257" i="3"/>
  <c r="D24" i="3"/>
  <c r="D91" i="3"/>
  <c r="D695" i="3"/>
  <c r="B789" i="3"/>
  <c r="C789" i="3" s="1"/>
  <c r="B821" i="3"/>
  <c r="C821" i="3" s="1"/>
  <c r="D356" i="3"/>
  <c r="D150" i="3"/>
  <c r="D252" i="3"/>
  <c r="D706" i="3"/>
  <c r="D376" i="3"/>
  <c r="D129" i="3"/>
  <c r="D89" i="3"/>
  <c r="D616" i="3"/>
  <c r="D305" i="3"/>
  <c r="D552" i="3"/>
  <c r="D438" i="3"/>
  <c r="D364" i="3"/>
  <c r="D303" i="3"/>
  <c r="D549" i="3"/>
  <c r="B805" i="3"/>
  <c r="C805" i="3" s="1"/>
  <c r="B760" i="3"/>
  <c r="C760" i="3" s="1"/>
  <c r="D333" i="3"/>
  <c r="D97" i="3"/>
  <c r="D537" i="3"/>
  <c r="D458" i="3"/>
  <c r="D100" i="3"/>
  <c r="D694" i="3"/>
  <c r="D654" i="3"/>
  <c r="D289" i="3"/>
  <c r="D41" i="3"/>
  <c r="D155" i="3"/>
  <c r="D204" i="3"/>
  <c r="D454" i="3"/>
  <c r="D348" i="3"/>
  <c r="D627" i="3"/>
  <c r="D298" i="3"/>
  <c r="D495" i="3"/>
  <c r="D534" i="3"/>
  <c r="D293" i="3"/>
  <c r="D311" i="3"/>
  <c r="D698" i="3"/>
  <c r="D572" i="3"/>
  <c r="D411" i="3"/>
  <c r="D382" i="3"/>
  <c r="B782" i="3"/>
  <c r="C782" i="3" s="1"/>
  <c r="B848" i="3"/>
  <c r="C848" i="3" s="1"/>
  <c r="B759" i="3"/>
  <c r="C759" i="3" s="1"/>
  <c r="D544" i="3"/>
  <c r="B937" i="3"/>
  <c r="C937" i="3" s="1"/>
  <c r="B950" i="3"/>
  <c r="C950" i="3" s="1"/>
  <c r="D564" i="3"/>
  <c r="B881" i="3"/>
  <c r="C881" i="3" s="1"/>
  <c r="B908" i="3"/>
  <c r="C908" i="3" s="1"/>
  <c r="B899" i="3"/>
  <c r="C899" i="3" s="1"/>
  <c r="B900" i="3"/>
  <c r="C900" i="3" s="1"/>
  <c r="D592" i="3"/>
  <c r="B974" i="3"/>
  <c r="C974" i="3" s="1"/>
  <c r="B828" i="3"/>
  <c r="C828" i="3" s="1"/>
  <c r="B957" i="3"/>
  <c r="C957" i="3" s="1"/>
  <c r="B915" i="3"/>
  <c r="C915" i="3" s="1"/>
  <c r="B978" i="3"/>
  <c r="C978" i="3" s="1"/>
  <c r="B971" i="3"/>
  <c r="C971" i="3" s="1"/>
  <c r="D525" i="3"/>
  <c r="B983" i="3"/>
  <c r="C983" i="3" s="1"/>
  <c r="D379" i="3"/>
  <c r="D175" i="3"/>
  <c r="D186" i="3"/>
  <c r="D468" i="3"/>
  <c r="D466" i="3"/>
  <c r="D666" i="3"/>
  <c r="D623" i="3"/>
  <c r="D385" i="3"/>
  <c r="D23" i="3"/>
  <c r="D208" i="3"/>
  <c r="D50" i="3"/>
  <c r="D527" i="3"/>
  <c r="D222" i="3"/>
  <c r="D456" i="3"/>
  <c r="D45" i="3"/>
  <c r="D600" i="3"/>
  <c r="D96" i="3"/>
  <c r="B997" i="3"/>
  <c r="C997" i="3" s="1"/>
  <c r="B934" i="3"/>
  <c r="C934" i="3" s="1"/>
  <c r="B968" i="3"/>
  <c r="C968" i="3" s="1"/>
  <c r="B970" i="3"/>
  <c r="C970" i="3" s="1"/>
  <c r="B744" i="3"/>
  <c r="C744" i="3" s="1"/>
  <c r="B1017" i="3"/>
  <c r="C1017" i="3" s="1"/>
  <c r="D361" i="3"/>
  <c r="B832" i="3"/>
  <c r="C832" i="3" s="1"/>
  <c r="B752" i="3"/>
  <c r="C752" i="3" s="1"/>
  <c r="B834" i="3"/>
  <c r="C834" i="3" s="1"/>
  <c r="B1000" i="3"/>
  <c r="C1000" i="3" s="1"/>
  <c r="B894" i="3"/>
  <c r="C894" i="3" s="1"/>
  <c r="B747" i="3"/>
  <c r="C747" i="3" s="1"/>
  <c r="B910" i="3"/>
  <c r="C910" i="3" s="1"/>
  <c r="D671" i="3"/>
  <c r="D179" i="3"/>
  <c r="D363" i="3"/>
  <c r="D471" i="3"/>
  <c r="D535" i="3"/>
  <c r="D216" i="3"/>
  <c r="D307" i="3"/>
  <c r="D248" i="3"/>
  <c r="D677" i="3"/>
  <c r="D487" i="3"/>
  <c r="D590" i="3"/>
  <c r="D336" i="3"/>
  <c r="D209" i="3"/>
  <c r="D366" i="3"/>
  <c r="D664" i="3"/>
  <c r="D557" i="3"/>
  <c r="D574" i="3"/>
  <c r="D507" i="3"/>
  <c r="D368" i="3"/>
  <c r="D81" i="3"/>
  <c r="D721" i="3"/>
  <c r="D70" i="3"/>
  <c r="B833" i="3"/>
  <c r="C833" i="3" s="1"/>
  <c r="B877" i="3"/>
  <c r="C877" i="3" s="1"/>
  <c r="B882" i="3"/>
  <c r="C882" i="3" s="1"/>
  <c r="B958" i="3"/>
  <c r="C958" i="3" s="1"/>
  <c r="B823" i="3"/>
  <c r="C823" i="3" s="1"/>
  <c r="B847" i="3"/>
  <c r="C847" i="3" s="1"/>
  <c r="B845" i="3"/>
  <c r="C845" i="3" s="1"/>
  <c r="B954" i="3"/>
  <c r="C954" i="3" s="1"/>
  <c r="D432" i="3"/>
  <c r="D335" i="3"/>
  <c r="D341" i="3"/>
  <c r="D661" i="3"/>
  <c r="D52" i="3"/>
  <c r="D567" i="3"/>
  <c r="D131" i="3"/>
  <c r="D56" i="3"/>
  <c r="D316" i="3"/>
  <c r="D662" i="3"/>
  <c r="D219" i="3"/>
  <c r="D408" i="3"/>
  <c r="D187" i="3"/>
  <c r="D184" i="3"/>
  <c r="D140" i="3"/>
  <c r="D83" i="3"/>
  <c r="D531" i="3"/>
  <c r="D596" i="3"/>
  <c r="D221" i="3"/>
  <c r="D236" i="3"/>
  <c r="D604" i="3"/>
  <c r="D483" i="3"/>
  <c r="D673" i="3"/>
  <c r="D684" i="3"/>
  <c r="D134" i="3"/>
  <c r="D395" i="3"/>
  <c r="D237" i="3"/>
  <c r="B949" i="3"/>
  <c r="C949" i="3" s="1"/>
  <c r="B906" i="3"/>
  <c r="C906" i="3" s="1"/>
  <c r="D553" i="3"/>
  <c r="B977" i="3"/>
  <c r="C977" i="3" s="1"/>
  <c r="B975" i="3"/>
  <c r="C975" i="3" s="1"/>
  <c r="B829" i="3"/>
  <c r="C829" i="3" s="1"/>
  <c r="B952" i="3"/>
  <c r="C952" i="3" s="1"/>
  <c r="D562" i="3"/>
  <c r="D369" i="3"/>
  <c r="D683" i="3"/>
  <c r="D33" i="3"/>
  <c r="D185" i="3"/>
  <c r="D201" i="3"/>
  <c r="D355" i="3"/>
  <c r="D238" i="3"/>
  <c r="D578" i="3"/>
  <c r="D566" i="3"/>
  <c r="D392" i="3"/>
  <c r="D130" i="3"/>
  <c r="D159" i="3"/>
  <c r="D76" i="3"/>
  <c r="D167" i="3"/>
  <c r="D693" i="3"/>
  <c r="D365" i="3"/>
  <c r="D213" i="3"/>
  <c r="D29" i="3"/>
  <c r="D111" i="3"/>
  <c r="D273" i="3"/>
  <c r="D268" i="3"/>
  <c r="D419" i="3"/>
  <c r="B901" i="3"/>
  <c r="C901" i="3" s="1"/>
  <c r="B976" i="3"/>
  <c r="C976" i="3" s="1"/>
  <c r="B840" i="3"/>
  <c r="C840" i="3" s="1"/>
  <c r="B836" i="3"/>
  <c r="C836" i="3" s="1"/>
  <c r="D712" i="3"/>
  <c r="B993" i="3"/>
  <c r="C993" i="3" s="1"/>
  <c r="B786" i="3"/>
  <c r="C786" i="3" s="1"/>
  <c r="B874" i="3"/>
  <c r="C874" i="3" s="1"/>
  <c r="D621" i="3"/>
  <c r="B765" i="3"/>
  <c r="C765" i="3" s="1"/>
  <c r="D225" i="3"/>
  <c r="D681" i="3"/>
  <c r="D166" i="3"/>
  <c r="D614" i="3"/>
  <c r="D669" i="3"/>
  <c r="D218" i="3"/>
  <c r="D550" i="3"/>
  <c r="D415" i="3"/>
  <c r="D242" i="3"/>
  <c r="B748" i="3"/>
  <c r="C748" i="3" s="1"/>
  <c r="B979" i="3"/>
  <c r="C979" i="3" s="1"/>
  <c r="D246" i="3"/>
  <c r="D297" i="3"/>
  <c r="D660" i="3"/>
  <c r="D919" i="3" l="1"/>
  <c r="D757" i="3"/>
  <c r="D849" i="3"/>
  <c r="D772" i="3"/>
  <c r="D801" i="3"/>
  <c r="E20" i="3"/>
  <c r="D794" i="3"/>
  <c r="D840" i="3"/>
  <c r="D958" i="3"/>
  <c r="D906" i="3"/>
  <c r="D800" i="3"/>
  <c r="D939" i="3"/>
  <c r="D720" i="3"/>
  <c r="E722" i="3" s="1"/>
  <c r="D991" i="3"/>
  <c r="D879" i="3"/>
  <c r="D813" i="3"/>
  <c r="D985" i="3"/>
  <c r="D862" i="3"/>
  <c r="D1006" i="3"/>
  <c r="D814" i="3"/>
  <c r="D792" i="3"/>
  <c r="D867" i="3"/>
  <c r="D857" i="3"/>
  <c r="D922" i="3"/>
  <c r="D861" i="3"/>
  <c r="D821" i="3"/>
  <c r="D838" i="3"/>
  <c r="D812" i="3"/>
  <c r="D945" i="3"/>
  <c r="D727" i="3"/>
  <c r="D914" i="3"/>
  <c r="D744" i="3"/>
  <c r="D728" i="3"/>
  <c r="D762" i="3"/>
  <c r="D854" i="3"/>
  <c r="D775" i="3"/>
  <c r="D749" i="3"/>
  <c r="D761" i="3"/>
  <c r="D825" i="3"/>
  <c r="D853" i="3"/>
  <c r="D831" i="3"/>
  <c r="D807" i="3"/>
  <c r="D941" i="3"/>
  <c r="D992" i="3"/>
  <c r="D826" i="3"/>
  <c r="D759" i="3"/>
  <c r="D981" i="3"/>
  <c r="D743" i="3"/>
  <c r="D820" i="3"/>
  <c r="D839" i="3"/>
  <c r="D908" i="3"/>
  <c r="D754" i="3"/>
  <c r="D998" i="3"/>
  <c r="D817" i="3"/>
  <c r="D767" i="3"/>
  <c r="D758" i="3"/>
  <c r="D954" i="3"/>
  <c r="D934" i="3"/>
  <c r="D855" i="3"/>
  <c r="D738" i="3"/>
  <c r="D723" i="3"/>
  <c r="E723" i="3" s="1"/>
  <c r="D829" i="3"/>
  <c r="D970" i="3"/>
  <c r="D852" i="3"/>
  <c r="D768" i="3"/>
  <c r="D949" i="3"/>
  <c r="D984" i="3"/>
  <c r="D905" i="3"/>
  <c r="D823" i="3"/>
  <c r="D915" i="3"/>
  <c r="D805" i="3"/>
  <c r="D986" i="3"/>
  <c r="D982" i="3"/>
  <c r="D887" i="3"/>
  <c r="D842" i="3"/>
  <c r="D897" i="3"/>
  <c r="D1016" i="3"/>
  <c r="D790" i="3"/>
  <c r="D997" i="3"/>
  <c r="D816" i="3"/>
  <c r="D851" i="3"/>
  <c r="D891" i="3"/>
  <c r="D788" i="3"/>
  <c r="D987" i="3"/>
  <c r="D877" i="3"/>
  <c r="D894" i="3"/>
  <c r="D974" i="3"/>
  <c r="D920" i="3"/>
  <c r="D988" i="3"/>
  <c r="D1005" i="3"/>
  <c r="D850" i="3"/>
  <c r="D903" i="3"/>
  <c r="D923" i="3"/>
  <c r="D782" i="3"/>
  <c r="D760" i="3"/>
  <c r="D995" i="3"/>
  <c r="D783" i="3"/>
  <c r="D924" i="3"/>
  <c r="D739" i="3"/>
  <c r="D746" i="3"/>
  <c r="D1001" i="3"/>
  <c r="D967" i="3"/>
  <c r="D731" i="3"/>
  <c r="D818" i="3"/>
  <c r="D963" i="3"/>
  <c r="D827" i="3"/>
  <c r="D1008" i="3"/>
  <c r="D896" i="3"/>
  <c r="D808" i="3"/>
  <c r="D750" i="3"/>
  <c r="D769" i="3"/>
  <c r="D932" i="3"/>
  <c r="D901" i="3"/>
  <c r="D996" i="3"/>
  <c r="D881" i="3"/>
  <c r="D889" i="3"/>
  <c r="D964" i="3"/>
  <c r="D933" i="3"/>
  <c r="D784" i="3"/>
  <c r="D888" i="3"/>
  <c r="D865" i="3"/>
  <c r="D733" i="3"/>
  <c r="D779" i="3"/>
  <c r="D741" i="3"/>
  <c r="D927" i="3"/>
  <c r="D960" i="3"/>
  <c r="D952" i="3"/>
  <c r="D1002" i="3"/>
  <c r="D1000" i="3"/>
  <c r="D968" i="3"/>
  <c r="D828" i="3"/>
  <c r="D912" i="3"/>
  <c r="D966" i="3"/>
  <c r="D780" i="3"/>
  <c r="D943" i="3"/>
  <c r="D773" i="3"/>
  <c r="D764" i="3"/>
  <c r="D878" i="3"/>
  <c r="D860" i="3"/>
  <c r="D872" i="3"/>
  <c r="D892" i="3"/>
  <c r="D1003" i="3"/>
  <c r="D819" i="3"/>
  <c r="D959" i="3"/>
  <c r="D1014" i="3"/>
  <c r="D765" i="3"/>
  <c r="D993" i="3"/>
  <c r="D976" i="3"/>
  <c r="D931" i="3"/>
  <c r="D870" i="3"/>
  <c r="D886" i="3"/>
  <c r="D956" i="3"/>
  <c r="D1015" i="3"/>
  <c r="D791" i="3"/>
  <c r="D947" i="3"/>
  <c r="D946" i="3"/>
  <c r="D1013" i="3"/>
  <c r="D845" i="3"/>
  <c r="D724" i="3"/>
  <c r="D866" i="3"/>
  <c r="D836" i="3"/>
  <c r="D975" i="3"/>
  <c r="D751" i="3"/>
  <c r="D847" i="3"/>
  <c r="D778" i="3"/>
  <c r="D910" i="3"/>
  <c r="D1018" i="3"/>
  <c r="D957" i="3"/>
  <c r="D900" i="3"/>
  <c r="D904" i="3"/>
  <c r="D917" i="3"/>
  <c r="D798" i="3"/>
  <c r="D929" i="3"/>
  <c r="D935" i="3"/>
  <c r="D736" i="3"/>
  <c r="D755" i="3"/>
  <c r="D876" i="3"/>
  <c r="D770" i="3"/>
  <c r="D1010" i="3"/>
  <c r="D873" i="3"/>
  <c r="D756" i="3"/>
  <c r="D804" i="3"/>
  <c r="D884" i="3"/>
  <c r="D776" i="3"/>
  <c r="D937" i="3"/>
  <c r="D740" i="3"/>
  <c r="D907" i="3"/>
  <c r="D781" i="3"/>
  <c r="D942" i="3"/>
  <c r="D810" i="3"/>
  <c r="D979" i="3"/>
  <c r="D786" i="3"/>
  <c r="D921" i="3"/>
  <c r="D747" i="3"/>
  <c r="D753" i="3"/>
  <c r="D971" i="3"/>
  <c r="D899" i="3"/>
  <c r="D965" i="3"/>
  <c r="D795" i="3"/>
  <c r="D811" i="3"/>
  <c r="D969" i="3"/>
  <c r="D777" i="3"/>
  <c r="D799" i="3"/>
  <c r="D745" i="3"/>
  <c r="D844" i="3"/>
  <c r="D951" i="3"/>
  <c r="D944" i="3"/>
  <c r="D869" i="3"/>
  <c r="D742" i="3"/>
  <c r="D726" i="3"/>
  <c r="D1009" i="3"/>
  <c r="D930" i="3"/>
  <c r="D843" i="3"/>
  <c r="D874" i="3"/>
  <c r="D994" i="3"/>
  <c r="E476" i="3"/>
  <c r="E69" i="3"/>
  <c r="E306" i="3"/>
  <c r="E142" i="3"/>
  <c r="E221" i="3"/>
  <c r="E227" i="3"/>
  <c r="E559" i="3"/>
  <c r="E372" i="3"/>
  <c r="E650" i="3"/>
  <c r="E651" i="3"/>
  <c r="E251" i="3"/>
  <c r="E187" i="3"/>
  <c r="E693" i="3"/>
  <c r="E124" i="3"/>
  <c r="E129" i="3"/>
  <c r="E566" i="3"/>
  <c r="E567" i="3"/>
  <c r="E127" i="3"/>
  <c r="E68" i="3"/>
  <c r="E516" i="3"/>
  <c r="E330" i="3"/>
  <c r="D925" i="3"/>
  <c r="D815" i="3"/>
  <c r="D977" i="3"/>
  <c r="D902" i="3"/>
  <c r="D833" i="3"/>
  <c r="D950" i="3"/>
  <c r="D983" i="3"/>
  <c r="D868" i="3"/>
  <c r="D961" i="3"/>
  <c r="D955" i="3"/>
  <c r="D863" i="3"/>
  <c r="D953" i="3"/>
  <c r="D796" i="3"/>
  <c r="D893" i="3"/>
  <c r="D875" i="3"/>
  <c r="D990" i="3"/>
  <c r="D748" i="3"/>
  <c r="D1011" i="3"/>
  <c r="D938" i="3"/>
  <c r="D837" i="3"/>
  <c r="D771" i="3"/>
  <c r="D806" i="3"/>
  <c r="D926" i="3"/>
  <c r="D890" i="3"/>
  <c r="D973" i="3"/>
  <c r="E514" i="3"/>
  <c r="E185" i="3"/>
  <c r="E547" i="3"/>
  <c r="E152" i="3"/>
  <c r="E308" i="3"/>
  <c r="E652" i="3"/>
  <c r="E93" i="3"/>
  <c r="E320" i="3"/>
  <c r="E483" i="3"/>
  <c r="E88" i="3"/>
  <c r="E244" i="3"/>
  <c r="E182" i="3"/>
  <c r="E618" i="3"/>
  <c r="E569" i="3"/>
  <c r="E386" i="3"/>
  <c r="E471" i="3"/>
  <c r="E128" i="3"/>
  <c r="E373" i="3"/>
  <c r="E305" i="3"/>
  <c r="E29" i="3"/>
  <c r="E216" i="3"/>
  <c r="E326" i="3"/>
  <c r="E715" i="3"/>
  <c r="E215" i="3"/>
  <c r="E530" i="3"/>
  <c r="E521" i="3"/>
  <c r="E33" i="3"/>
  <c r="E31" i="3"/>
  <c r="E689" i="3"/>
  <c r="E633" i="3"/>
  <c r="E303" i="3"/>
  <c r="E581" i="3"/>
  <c r="E649" i="3"/>
  <c r="E336" i="3"/>
  <c r="E367" i="3"/>
  <c r="E234" i="3"/>
  <c r="E532" i="3"/>
  <c r="E460" i="3"/>
  <c r="E115" i="3"/>
  <c r="E687" i="3"/>
  <c r="E429" i="3"/>
  <c r="E498" i="3"/>
  <c r="E684" i="3"/>
  <c r="E118" i="3"/>
  <c r="E716" i="3"/>
  <c r="E598" i="3"/>
  <c r="E585" i="3"/>
  <c r="E412" i="3"/>
  <c r="E487" i="3"/>
  <c r="E144" i="3"/>
  <c r="E453" i="3"/>
  <c r="E419" i="3"/>
  <c r="E50" i="3"/>
  <c r="E280" i="3"/>
  <c r="E430" i="3"/>
  <c r="E279" i="3"/>
  <c r="E676" i="3"/>
  <c r="E677" i="3"/>
  <c r="E685" i="3"/>
  <c r="E578" i="3"/>
  <c r="E492" i="3"/>
  <c r="E224" i="3"/>
  <c r="E552" i="3"/>
  <c r="E284" i="3"/>
  <c r="E267" i="3"/>
  <c r="E509" i="3"/>
  <c r="E410" i="3"/>
  <c r="E21" i="3"/>
  <c r="E342" i="3"/>
  <c r="E341" i="3"/>
  <c r="E380" i="3"/>
  <c r="E299" i="3"/>
  <c r="E541" i="3"/>
  <c r="E443" i="3"/>
  <c r="E53" i="3"/>
  <c r="E254" i="3"/>
  <c r="E658" i="3"/>
  <c r="E616" i="3"/>
  <c r="E711" i="3"/>
  <c r="E211" i="3"/>
  <c r="E271" i="3"/>
  <c r="E393" i="3"/>
  <c r="E588" i="3"/>
  <c r="E480" i="3"/>
  <c r="E212" i="3"/>
  <c r="E538" i="3"/>
  <c r="D916" i="3"/>
  <c r="D766" i="3"/>
  <c r="E179" i="3"/>
  <c r="E517" i="3"/>
  <c r="E512" i="3"/>
  <c r="E634" i="3"/>
  <c r="E55" i="3"/>
  <c r="E246" i="3"/>
  <c r="E664" i="3"/>
  <c r="E111" i="3"/>
  <c r="E604" i="3"/>
  <c r="E497" i="3"/>
  <c r="E245" i="3"/>
  <c r="E350" i="3"/>
  <c r="E153" i="3"/>
  <c r="E257" i="3"/>
  <c r="E614" i="3"/>
  <c r="E78" i="3"/>
  <c r="E51" i="3"/>
  <c r="E154" i="3"/>
  <c r="E123" i="3"/>
  <c r="E661" i="3"/>
  <c r="E644" i="3"/>
  <c r="E67" i="3"/>
  <c r="E105" i="3"/>
  <c r="E636" i="3"/>
  <c r="E159" i="3"/>
  <c r="E606" i="3"/>
  <c r="E690" i="3"/>
  <c r="E189" i="3"/>
  <c r="D1017" i="3"/>
  <c r="D885" i="3"/>
  <c r="D859" i="3"/>
  <c r="D978" i="3"/>
  <c r="D882" i="3"/>
  <c r="D841" i="3"/>
  <c r="D1004" i="3"/>
  <c r="D1012" i="3"/>
  <c r="D848" i="3"/>
  <c r="D972" i="3"/>
  <c r="D928" i="3"/>
  <c r="D830" i="3"/>
  <c r="D913" i="3"/>
  <c r="E610" i="3"/>
  <c r="E110" i="3"/>
  <c r="E626" i="3"/>
  <c r="E150" i="3"/>
  <c r="E27" i="3"/>
  <c r="E247" i="3"/>
  <c r="E148" i="3"/>
  <c r="E65" i="3"/>
  <c r="E491" i="3"/>
  <c r="E416" i="3"/>
  <c r="E261" i="3"/>
  <c r="E589" i="3"/>
  <c r="E390" i="3"/>
  <c r="E654" i="3"/>
  <c r="E91" i="3"/>
  <c r="E347" i="3"/>
  <c r="E248" i="3"/>
  <c r="E265" i="3"/>
  <c r="E591" i="3"/>
  <c r="E114" i="3"/>
  <c r="E61" i="3"/>
  <c r="E207" i="3"/>
  <c r="E108" i="3"/>
  <c r="E364" i="3"/>
  <c r="E451" i="3"/>
  <c r="E707" i="3"/>
  <c r="E346" i="3"/>
  <c r="E181" i="3"/>
  <c r="E549" i="3"/>
  <c r="E147" i="3"/>
  <c r="E403" i="3"/>
  <c r="E304" i="3"/>
  <c r="E377" i="3"/>
  <c r="E647" i="3"/>
  <c r="E226" i="3"/>
  <c r="E59" i="3"/>
  <c r="E489" i="3"/>
  <c r="E620" i="3"/>
  <c r="E366" i="3"/>
  <c r="E500" i="3"/>
  <c r="E668" i="3"/>
  <c r="E398" i="3"/>
  <c r="E548" i="3"/>
  <c r="E697" i="3"/>
  <c r="E418" i="3"/>
  <c r="E109" i="3"/>
  <c r="E718" i="3"/>
  <c r="E434" i="3"/>
  <c r="E205" i="3"/>
  <c r="E135" i="3"/>
  <c r="E391" i="3"/>
  <c r="E292" i="3"/>
  <c r="E353" i="3"/>
  <c r="E635" i="3"/>
  <c r="E202" i="3"/>
  <c r="E560" i="3"/>
  <c r="E477" i="3"/>
  <c r="E166" i="3"/>
  <c r="E542" i="3"/>
  <c r="E46" i="3"/>
  <c r="E235" i="3"/>
  <c r="E136" i="3"/>
  <c r="E392" i="3"/>
  <c r="E479" i="3"/>
  <c r="E401" i="3"/>
  <c r="E95" i="3"/>
  <c r="E351" i="3"/>
  <c r="E316" i="3"/>
  <c r="E400" i="3"/>
  <c r="E659" i="3"/>
  <c r="E378" i="3"/>
  <c r="E213" i="3"/>
  <c r="E565" i="3"/>
  <c r="E163" i="3"/>
  <c r="E624" i="3"/>
  <c r="E458" i="3"/>
  <c r="E365" i="3"/>
  <c r="E608" i="3"/>
  <c r="E474" i="3"/>
  <c r="E433" i="3"/>
  <c r="E103" i="3"/>
  <c r="E359" i="3"/>
  <c r="E260" i="3"/>
  <c r="E289" i="3"/>
  <c r="E603" i="3"/>
  <c r="E138" i="3"/>
  <c r="E528" i="3"/>
  <c r="E445" i="3"/>
  <c r="E102" i="3"/>
  <c r="E510" i="3"/>
  <c r="E57" i="3"/>
  <c r="E203" i="3"/>
  <c r="E104" i="3"/>
  <c r="E360" i="3"/>
  <c r="E447" i="3"/>
  <c r="E703" i="3"/>
  <c r="E338" i="3"/>
  <c r="E63" i="3"/>
  <c r="E319" i="3"/>
  <c r="E220" i="3"/>
  <c r="E209" i="3"/>
  <c r="E563" i="3"/>
  <c r="E54" i="3"/>
  <c r="E488" i="3"/>
  <c r="E402" i="3"/>
  <c r="E39" i="3"/>
  <c r="E259" i="3"/>
  <c r="E160" i="3"/>
  <c r="E89" i="3"/>
  <c r="E503" i="3"/>
  <c r="E428" i="3"/>
  <c r="E285" i="3"/>
  <c r="E601" i="3"/>
  <c r="E438" i="3"/>
  <c r="E237" i="3"/>
  <c r="E454" i="3"/>
  <c r="E333" i="3"/>
  <c r="E119" i="3"/>
  <c r="E375" i="3"/>
  <c r="E276" i="3"/>
  <c r="E321" i="3"/>
  <c r="E619" i="3"/>
  <c r="E170" i="3"/>
  <c r="E544" i="3"/>
  <c r="E461" i="3"/>
  <c r="E134" i="3"/>
  <c r="E526" i="3"/>
  <c r="E30" i="3"/>
  <c r="E219" i="3"/>
  <c r="E120" i="3"/>
  <c r="E376" i="3"/>
  <c r="E463" i="3"/>
  <c r="E719" i="3"/>
  <c r="E370" i="3"/>
  <c r="E79" i="3"/>
  <c r="E335" i="3"/>
  <c r="E236" i="3"/>
  <c r="E241" i="3"/>
  <c r="E579" i="3"/>
  <c r="E90" i="3"/>
  <c r="E504" i="3"/>
  <c r="E421" i="3"/>
  <c r="E24" i="3"/>
  <c r="E275" i="3"/>
  <c r="E176" i="3"/>
  <c r="E121" i="3"/>
  <c r="E519" i="3"/>
  <c r="E444" i="3"/>
  <c r="E317" i="3"/>
  <c r="E617" i="3"/>
  <c r="E580" i="3"/>
  <c r="E554" i="3"/>
  <c r="E625" i="3"/>
  <c r="E628" i="3"/>
  <c r="E570" i="3"/>
  <c r="E645" i="3"/>
  <c r="E709" i="3"/>
  <c r="E586" i="3"/>
  <c r="E673" i="3"/>
  <c r="E701" i="3"/>
  <c r="E602" i="3"/>
  <c r="E86" i="3"/>
  <c r="E43" i="3"/>
  <c r="E263" i="3"/>
  <c r="E164" i="3"/>
  <c r="E97" i="3"/>
  <c r="E507" i="3"/>
  <c r="E432" i="3"/>
  <c r="E293" i="3"/>
  <c r="E605" i="3"/>
  <c r="E414" i="3"/>
  <c r="E670" i="3"/>
  <c r="E107" i="3"/>
  <c r="E363" i="3"/>
  <c r="E264" i="3"/>
  <c r="E297" i="3"/>
  <c r="E607" i="3"/>
  <c r="E146" i="3"/>
  <c r="E34" i="3"/>
  <c r="E223" i="3"/>
  <c r="E188" i="3"/>
  <c r="E145" i="3"/>
  <c r="E531" i="3"/>
  <c r="E122" i="3"/>
  <c r="E520" i="3"/>
  <c r="E437" i="3"/>
  <c r="E40" i="3"/>
  <c r="E600" i="3"/>
  <c r="E630" i="3"/>
  <c r="E174" i="3"/>
  <c r="E584" i="3"/>
  <c r="E646" i="3"/>
  <c r="E206" i="3"/>
  <c r="E42" i="3"/>
  <c r="E231" i="3"/>
  <c r="E132" i="3"/>
  <c r="E388" i="3"/>
  <c r="E475" i="3"/>
  <c r="E394" i="3"/>
  <c r="E229" i="3"/>
  <c r="E573" i="3"/>
  <c r="E358" i="3"/>
  <c r="E638" i="3"/>
  <c r="E75" i="3"/>
  <c r="E331" i="3"/>
  <c r="E232" i="3"/>
  <c r="E233" i="3"/>
  <c r="E575" i="3"/>
  <c r="E82" i="3"/>
  <c r="E45" i="3"/>
  <c r="E191" i="3"/>
  <c r="E92" i="3"/>
  <c r="E348" i="3"/>
  <c r="E435" i="3"/>
  <c r="E691" i="3"/>
  <c r="E314" i="3"/>
  <c r="E149" i="3"/>
  <c r="E533" i="3"/>
  <c r="E131" i="3"/>
  <c r="E387" i="3"/>
  <c r="E288" i="3"/>
  <c r="E345" i="3"/>
  <c r="E631" i="3"/>
  <c r="E194" i="3"/>
  <c r="E556" i="3"/>
  <c r="E473" i="3"/>
  <c r="E158" i="3"/>
  <c r="E681" i="3"/>
  <c r="E404" i="3"/>
  <c r="E564" i="3"/>
  <c r="E705" i="3"/>
  <c r="E422" i="3"/>
  <c r="E141" i="3"/>
  <c r="E694" i="3"/>
  <c r="E302" i="3"/>
  <c r="E710" i="3"/>
  <c r="E334" i="3"/>
  <c r="E37" i="3"/>
  <c r="E183" i="3"/>
  <c r="E84" i="3"/>
  <c r="E340" i="3"/>
  <c r="E427" i="3"/>
  <c r="E683" i="3"/>
  <c r="E298" i="3"/>
  <c r="E133" i="3"/>
  <c r="E525" i="3"/>
  <c r="E262" i="3"/>
  <c r="E590" i="3"/>
  <c r="E32" i="3"/>
  <c r="E283" i="3"/>
  <c r="E184" i="3"/>
  <c r="E137" i="3"/>
  <c r="E527" i="3"/>
  <c r="E452" i="3"/>
  <c r="E143" i="3"/>
  <c r="E399" i="3"/>
  <c r="E300" i="3"/>
  <c r="E369" i="3"/>
  <c r="E643" i="3"/>
  <c r="E218" i="3"/>
  <c r="E568" i="3"/>
  <c r="E485" i="3"/>
  <c r="E83" i="3"/>
  <c r="E339" i="3"/>
  <c r="E240" i="3"/>
  <c r="E249" i="3"/>
  <c r="E583" i="3"/>
  <c r="E98" i="3"/>
  <c r="E508" i="3"/>
  <c r="E425" i="3"/>
  <c r="E62" i="3"/>
  <c r="E592" i="3"/>
  <c r="E470" i="3"/>
  <c r="E417" i="3"/>
  <c r="E640" i="3"/>
  <c r="E486" i="3"/>
  <c r="E465" i="3"/>
  <c r="E714" i="3"/>
  <c r="E502" i="3"/>
  <c r="E513" i="3"/>
  <c r="E708" i="3"/>
  <c r="E518" i="3"/>
  <c r="E561" i="3"/>
  <c r="E71" i="3"/>
  <c r="E327" i="3"/>
  <c r="E228" i="3"/>
  <c r="E225" i="3"/>
  <c r="E571" i="3"/>
  <c r="E74" i="3"/>
  <c r="E496" i="3"/>
  <c r="E413" i="3"/>
  <c r="E669" i="3"/>
  <c r="E478" i="3"/>
  <c r="E25" i="3"/>
  <c r="E171" i="3"/>
  <c r="E72" i="3"/>
  <c r="E328" i="3"/>
  <c r="E415" i="3"/>
  <c r="E671" i="3"/>
  <c r="E274" i="3"/>
  <c r="E36" i="3"/>
  <c r="E287" i="3"/>
  <c r="E252" i="3"/>
  <c r="E273" i="3"/>
  <c r="E595" i="3"/>
  <c r="E250" i="3"/>
  <c r="E85" i="3"/>
  <c r="E501" i="3"/>
  <c r="E99" i="3"/>
  <c r="E612" i="3"/>
  <c r="E546" i="3"/>
  <c r="E609" i="3"/>
  <c r="E596" i="3"/>
  <c r="E562" i="3"/>
  <c r="E629" i="3"/>
  <c r="E44" i="3"/>
  <c r="E295" i="3"/>
  <c r="E196" i="3"/>
  <c r="E161" i="3"/>
  <c r="E539" i="3"/>
  <c r="E464" i="3"/>
  <c r="E357" i="3"/>
  <c r="E637" i="3"/>
  <c r="E446" i="3"/>
  <c r="E702" i="3"/>
  <c r="E139" i="3"/>
  <c r="E395" i="3"/>
  <c r="E296" i="3"/>
  <c r="E361" i="3"/>
  <c r="E639" i="3"/>
  <c r="E210" i="3"/>
  <c r="E35" i="3"/>
  <c r="E255" i="3"/>
  <c r="E156" i="3"/>
  <c r="E81" i="3"/>
  <c r="E499" i="3"/>
  <c r="E424" i="3"/>
  <c r="E277" i="3"/>
  <c r="E49" i="3"/>
  <c r="E195" i="3"/>
  <c r="E96" i="3"/>
  <c r="E352" i="3"/>
  <c r="E439" i="3"/>
  <c r="E695" i="3"/>
  <c r="E322" i="3"/>
  <c r="E157" i="3"/>
  <c r="E537" i="3"/>
  <c r="E632" i="3"/>
  <c r="E662" i="3"/>
  <c r="E238" i="3"/>
  <c r="E680" i="3"/>
  <c r="E678" i="3"/>
  <c r="E270" i="3"/>
  <c r="D785" i="3"/>
  <c r="D797" i="3"/>
  <c r="D774" i="3"/>
  <c r="D936" i="3"/>
  <c r="D864" i="3"/>
  <c r="D980" i="3"/>
  <c r="D871" i="3"/>
  <c r="D948" i="3"/>
  <c r="E310" i="3"/>
  <c r="E381" i="3"/>
  <c r="E80" i="3"/>
  <c r="E204" i="3"/>
  <c r="E558" i="3"/>
  <c r="E77" i="3"/>
  <c r="E318" i="3"/>
  <c r="E258" i="3"/>
  <c r="E291" i="3"/>
  <c r="E140" i="3"/>
  <c r="E41" i="3"/>
  <c r="E87" i="3"/>
  <c r="E482" i="3"/>
  <c r="E466" i="3"/>
  <c r="E576" i="3"/>
  <c r="E301" i="3"/>
  <c r="E441" i="3"/>
  <c r="E130" i="3"/>
  <c r="E281" i="3"/>
  <c r="E355" i="3"/>
  <c r="E472" i="3"/>
  <c r="E268" i="3"/>
  <c r="E315" i="3"/>
  <c r="E557" i="3"/>
  <c r="E459" i="3"/>
  <c r="E26" i="3"/>
  <c r="E214" i="3"/>
  <c r="E290" i="3"/>
  <c r="E493" i="3"/>
  <c r="E484" i="3"/>
  <c r="E534" i="3"/>
  <c r="E70" i="3"/>
  <c r="E698" i="3"/>
  <c r="E682" i="3"/>
  <c r="E125" i="3"/>
  <c r="E307" i="3"/>
  <c r="E407" i="3"/>
  <c r="E717" i="3"/>
  <c r="E535" i="3"/>
  <c r="E344" i="3"/>
  <c r="E106" i="3"/>
  <c r="E672" i="3"/>
  <c r="E442" i="3"/>
  <c r="E173" i="3"/>
  <c r="E713" i="3"/>
  <c r="E457" i="3"/>
  <c r="E162" i="3"/>
  <c r="E313" i="3"/>
  <c r="E371" i="3"/>
  <c r="E536" i="3"/>
  <c r="E332" i="3"/>
  <c r="E178" i="3"/>
  <c r="E379" i="3"/>
  <c r="E621" i="3"/>
  <c r="E523" i="3"/>
  <c r="E28" i="3"/>
  <c r="E641" i="3"/>
  <c r="E506" i="3"/>
  <c r="E692" i="3"/>
  <c r="E481" i="3"/>
  <c r="E66" i="3"/>
  <c r="E323" i="3"/>
  <c r="E186" i="3"/>
  <c r="E383" i="3"/>
  <c r="E511" i="3"/>
  <c r="E47" i="3"/>
  <c r="E101" i="3"/>
  <c r="E324" i="3"/>
  <c r="E374" i="3"/>
  <c r="E572" i="3"/>
  <c r="E456" i="3"/>
  <c r="E58" i="3"/>
  <c r="E543" i="3"/>
  <c r="E48" i="3"/>
  <c r="E165" i="3"/>
  <c r="E356" i="3"/>
  <c r="E286" i="3"/>
  <c r="E674" i="3"/>
  <c r="E704" i="3"/>
  <c r="E553" i="3"/>
  <c r="E455" i="3"/>
  <c r="E22" i="3"/>
  <c r="E515" i="3"/>
  <c r="E312" i="3"/>
  <c r="E462" i="3"/>
  <c r="E311" i="3"/>
  <c r="D834" i="3"/>
  <c r="D835" i="3"/>
  <c r="D911" i="3"/>
  <c r="E420" i="3"/>
  <c r="E613" i="3"/>
  <c r="E663" i="3"/>
  <c r="E384" i="3"/>
  <c r="E76" i="3"/>
  <c r="E197" i="3"/>
  <c r="E712" i="3"/>
  <c r="E551" i="3"/>
  <c r="E382" i="3"/>
  <c r="E192" i="3"/>
  <c r="E700" i="3"/>
  <c r="E409" i="3"/>
  <c r="E593" i="3"/>
  <c r="E396" i="3"/>
  <c r="E253" i="3"/>
  <c r="E243" i="3"/>
  <c r="E623" i="3"/>
  <c r="E325" i="3"/>
  <c r="E660" i="3"/>
  <c r="E594" i="3"/>
  <c r="E657" i="3"/>
  <c r="E665" i="3"/>
  <c r="E627" i="3"/>
  <c r="E574" i="3"/>
  <c r="E266" i="3"/>
  <c r="E169" i="3"/>
  <c r="E100" i="3"/>
  <c r="E696" i="3"/>
  <c r="E190" i="3"/>
  <c r="E368" i="3"/>
  <c r="E309" i="3"/>
  <c r="E113" i="3"/>
  <c r="E242" i="3"/>
  <c r="E411" i="3"/>
  <c r="E653" i="3"/>
  <c r="E555" i="3"/>
  <c r="E60" i="3"/>
  <c r="E577" i="3"/>
  <c r="D763" i="3"/>
  <c r="D789" i="3"/>
  <c r="D883" i="3"/>
  <c r="D918" i="3"/>
  <c r="D962" i="3"/>
  <c r="D909" i="3"/>
  <c r="D895" i="3"/>
  <c r="D822" i="3"/>
  <c r="D898" i="3"/>
  <c r="D846" i="3"/>
  <c r="D856" i="3"/>
  <c r="D752" i="3"/>
  <c r="D858" i="3"/>
  <c r="D824" i="3"/>
  <c r="D787" i="3"/>
  <c r="D832" i="3"/>
  <c r="E278" i="3"/>
  <c r="E688" i="3"/>
  <c r="E679" i="3"/>
  <c r="E406" i="3"/>
  <c r="E73" i="3"/>
  <c r="E385" i="3"/>
  <c r="E550" i="3"/>
  <c r="E505" i="3"/>
  <c r="E405" i="3"/>
  <c r="E282" i="3"/>
  <c r="E431" i="3"/>
  <c r="E587" i="3"/>
  <c r="E397" i="3"/>
  <c r="E450" i="3"/>
  <c r="E94" i="3"/>
  <c r="E524" i="3"/>
  <c r="E599" i="3"/>
  <c r="E256" i="3"/>
  <c r="E23" i="3"/>
  <c r="E611" i="3"/>
  <c r="E175" i="3"/>
  <c r="E201" i="3"/>
  <c r="E622" i="3"/>
  <c r="E362" i="3"/>
  <c r="E116" i="3"/>
  <c r="E666" i="3"/>
  <c r="E648" i="3"/>
  <c r="E545" i="3"/>
  <c r="E208" i="3"/>
  <c r="E495" i="3"/>
  <c r="E151" i="3"/>
  <c r="E117" i="3"/>
  <c r="E423" i="3"/>
  <c r="E177" i="3"/>
  <c r="E198" i="3"/>
  <c r="E706" i="3"/>
  <c r="E349" i="3"/>
  <c r="E64" i="3"/>
  <c r="E52" i="3"/>
  <c r="E494" i="3"/>
  <c r="E343" i="3"/>
  <c r="E449" i="3"/>
  <c r="E269" i="3"/>
  <c r="E426" i="3"/>
  <c r="E126" i="3"/>
  <c r="E540" i="3"/>
  <c r="E615" i="3"/>
  <c r="E272" i="3"/>
  <c r="E56" i="3"/>
  <c r="E675" i="3"/>
  <c r="E239" i="3"/>
  <c r="E329" i="3"/>
  <c r="E686" i="3"/>
  <c r="E448" i="3"/>
  <c r="E180" i="3"/>
  <c r="E582" i="3"/>
  <c r="E529" i="3"/>
  <c r="E490" i="3"/>
  <c r="E656" i="3"/>
  <c r="E408" i="3"/>
  <c r="E217" i="3"/>
  <c r="E469" i="3"/>
  <c r="E337" i="3"/>
  <c r="E436" i="3"/>
  <c r="E168" i="3"/>
  <c r="E230" i="3"/>
  <c r="E667" i="3"/>
  <c r="E167" i="3"/>
  <c r="E38" i="3"/>
  <c r="E467" i="3"/>
  <c r="E468" i="3"/>
  <c r="E200" i="3"/>
  <c r="E294" i="3"/>
  <c r="E699" i="3"/>
  <c r="E199" i="3"/>
  <c r="E222" i="3"/>
  <c r="E642" i="3"/>
  <c r="E354" i="3"/>
  <c r="E112" i="3"/>
  <c r="E440" i="3"/>
  <c r="E172" i="3"/>
  <c r="E655" i="3"/>
  <c r="E155" i="3"/>
  <c r="E389" i="3"/>
  <c r="E193" i="3"/>
  <c r="E597" i="3"/>
  <c r="E522" i="3"/>
  <c r="D880" i="3"/>
  <c r="D989" i="3"/>
  <c r="D999" i="3"/>
  <c r="E1911" i="3" l="1"/>
  <c r="E1326" i="3"/>
  <c r="E1790" i="3"/>
  <c r="E1754" i="3"/>
  <c r="E1349" i="3"/>
  <c r="E1403" i="3"/>
  <c r="E1444" i="3"/>
  <c r="E1773" i="3"/>
  <c r="E1892" i="3"/>
  <c r="E1196" i="3"/>
  <c r="E1299" i="3"/>
  <c r="E1956" i="3"/>
  <c r="E1628" i="3"/>
  <c r="E1077" i="3"/>
  <c r="E1476" i="3"/>
  <c r="E1278" i="3"/>
  <c r="E1767" i="3"/>
  <c r="E1591" i="3"/>
  <c r="E1120" i="3"/>
  <c r="E1829" i="3"/>
  <c r="E1558" i="3"/>
  <c r="E1789" i="3"/>
  <c r="E1907" i="3"/>
  <c r="E1333" i="3"/>
  <c r="E1564" i="3"/>
  <c r="E1385" i="3"/>
  <c r="E1054" i="3"/>
  <c r="E1562" i="3"/>
  <c r="E1837" i="3"/>
  <c r="E1600" i="3"/>
  <c r="E1888" i="3"/>
  <c r="E1960" i="3"/>
  <c r="E1235" i="3"/>
  <c r="E1538" i="3"/>
  <c r="E1161" i="3"/>
  <c r="E1588" i="3"/>
  <c r="E1980" i="3"/>
  <c r="E1893" i="3"/>
  <c r="E1770" i="3"/>
  <c r="E1092" i="3"/>
  <c r="E1482" i="3"/>
  <c r="E1519" i="3"/>
  <c r="E1524" i="3"/>
  <c r="E1897" i="3"/>
  <c r="E1786" i="3"/>
  <c r="E1835" i="3"/>
  <c r="E1574" i="3"/>
  <c r="E1104" i="3"/>
  <c r="E1935" i="3"/>
  <c r="E1405" i="3"/>
  <c r="E1816" i="3"/>
  <c r="E1631" i="3"/>
  <c r="E1160" i="3"/>
  <c r="E1602" i="3"/>
  <c r="E1232" i="3"/>
  <c r="E1643" i="3"/>
  <c r="E1245" i="3"/>
  <c r="E1345" i="3"/>
  <c r="E1193" i="3"/>
  <c r="E1904" i="3"/>
  <c r="E1979" i="3"/>
  <c r="E1849" i="3"/>
  <c r="E1974" i="3"/>
  <c r="E2014" i="3"/>
  <c r="E1885" i="3"/>
  <c r="E1753" i="3"/>
  <c r="E1518" i="3"/>
  <c r="E1833" i="3"/>
  <c r="E1766" i="3"/>
  <c r="E1811" i="3"/>
  <c r="E1964" i="3"/>
  <c r="E1718" i="3"/>
  <c r="E1664" i="3"/>
  <c r="E1463" i="3"/>
  <c r="E1436" i="3"/>
  <c r="E1147" i="3"/>
  <c r="E1418" i="3"/>
  <c r="E1801" i="3"/>
  <c r="E1865" i="3"/>
  <c r="E1951" i="3"/>
  <c r="E1662" i="3"/>
  <c r="E1910" i="3"/>
  <c r="E1649" i="3"/>
  <c r="E1487" i="3"/>
  <c r="E1276" i="3"/>
  <c r="E1341" i="3"/>
  <c r="E1208" i="3"/>
  <c r="E1239" i="3"/>
  <c r="E1984" i="3"/>
  <c r="E1793" i="3"/>
  <c r="E1875" i="3"/>
  <c r="E1669" i="3"/>
  <c r="E1836" i="3"/>
  <c r="E1567" i="3"/>
  <c r="E1297" i="3"/>
  <c r="E1506" i="3"/>
  <c r="E1360" i="3"/>
  <c r="E1078" i="3"/>
  <c r="E1715" i="3"/>
  <c r="E1724" i="3"/>
  <c r="E1491" i="3"/>
  <c r="E1570" i="3"/>
  <c r="E1263" i="3"/>
  <c r="E1342" i="3"/>
  <c r="E1415" i="3"/>
  <c r="E1224" i="3"/>
  <c r="E1195" i="3"/>
  <c r="E1072" i="3"/>
  <c r="E1654" i="3"/>
  <c r="E1611" i="3"/>
  <c r="E1620" i="3"/>
  <c r="E1308" i="3"/>
  <c r="E1462" i="3"/>
  <c r="E1517" i="3"/>
  <c r="E1441" i="3"/>
  <c r="E1404" i="3"/>
  <c r="E1125" i="3"/>
  <c r="E1166" i="3"/>
  <c r="E1073" i="3"/>
  <c r="E1140" i="3"/>
  <c r="E1055" i="3"/>
  <c r="E1023" i="3"/>
  <c r="E1372" i="3"/>
  <c r="E1177" i="3"/>
  <c r="E1060" i="3"/>
  <c r="E1074" i="3"/>
  <c r="E1029" i="3"/>
  <c r="E1858" i="3"/>
  <c r="E1928" i="3"/>
  <c r="E1825" i="3"/>
  <c r="E1926" i="3"/>
  <c r="E1940" i="3"/>
  <c r="E1860" i="3"/>
  <c r="E1997" i="3"/>
  <c r="E1426" i="3"/>
  <c r="E1697" i="3"/>
  <c r="E1783" i="3"/>
  <c r="E1794" i="3"/>
  <c r="E1953" i="3"/>
  <c r="E1674" i="3"/>
  <c r="E1632" i="3"/>
  <c r="E1474" i="3"/>
  <c r="E1453" i="3"/>
  <c r="E1131" i="3"/>
  <c r="E1413" i="3"/>
  <c r="E1745" i="3"/>
  <c r="E1854" i="3"/>
  <c r="E1937" i="3"/>
  <c r="E1787" i="3"/>
  <c r="E1898" i="3"/>
  <c r="E1735" i="3"/>
  <c r="E1541" i="3"/>
  <c r="E1268" i="3"/>
  <c r="E1435" i="3"/>
  <c r="E1200" i="3"/>
  <c r="E1223" i="3"/>
  <c r="E1972" i="3"/>
  <c r="E1757" i="3"/>
  <c r="E1864" i="3"/>
  <c r="E2016" i="3"/>
  <c r="E1824" i="3"/>
  <c r="E1535" i="3"/>
  <c r="E1646" i="3"/>
  <c r="E1492" i="3"/>
  <c r="E1094" i="3"/>
  <c r="E1096" i="3"/>
  <c r="E1699" i="3"/>
  <c r="E1708" i="3"/>
  <c r="E1330" i="3"/>
  <c r="E1554" i="3"/>
  <c r="E1259" i="3"/>
  <c r="E1485" i="3"/>
  <c r="E1399" i="3"/>
  <c r="E1169" i="3"/>
  <c r="E1191" i="3"/>
  <c r="E1105" i="3"/>
  <c r="E1561" i="3"/>
  <c r="E1595" i="3"/>
  <c r="E1604" i="3"/>
  <c r="E1304" i="3"/>
  <c r="E1434" i="3"/>
  <c r="E1513" i="3"/>
  <c r="E1425" i="3"/>
  <c r="E1388" i="3"/>
  <c r="E1117" i="3"/>
  <c r="E1158" i="3"/>
  <c r="E1064" i="3"/>
  <c r="E1132" i="3"/>
  <c r="E1051" i="3"/>
  <c r="E1022" i="3"/>
  <c r="E1317" i="3"/>
  <c r="E2012" i="3"/>
  <c r="E1955" i="3"/>
  <c r="E1551" i="3"/>
  <c r="E1913" i="3"/>
  <c r="E1992" i="3"/>
  <c r="E1743" i="3"/>
  <c r="E1952" i="3"/>
  <c r="E1869" i="3"/>
  <c r="E1301" i="3"/>
  <c r="E1755" i="3"/>
  <c r="E1880" i="3"/>
  <c r="E1687" i="3"/>
  <c r="E1327" i="3"/>
  <c r="E1256" i="3"/>
  <c r="E1387" i="3"/>
  <c r="E1188" i="3"/>
  <c r="E1231" i="3"/>
  <c r="E1977" i="3"/>
  <c r="E1765" i="3"/>
  <c r="E1866" i="3"/>
  <c r="E2018" i="3"/>
  <c r="E1827" i="3"/>
  <c r="E1543" i="3"/>
  <c r="E1291" i="3"/>
  <c r="E1500" i="3"/>
  <c r="E1336" i="3"/>
  <c r="E1100" i="3"/>
  <c r="E1112" i="3"/>
  <c r="E1899" i="3"/>
  <c r="E1981" i="3"/>
  <c r="E1762" i="3"/>
  <c r="E1945" i="3"/>
  <c r="E1593" i="3"/>
  <c r="E1608" i="3"/>
  <c r="E1448" i="3"/>
  <c r="E1429" i="3"/>
  <c r="E1119" i="3"/>
  <c r="E1625" i="3"/>
  <c r="E1603" i="3"/>
  <c r="E1612" i="3"/>
  <c r="E1306" i="3"/>
  <c r="E1450" i="3"/>
  <c r="E1515" i="3"/>
  <c r="E1433" i="3"/>
  <c r="E1396" i="3"/>
  <c r="E1121" i="3"/>
  <c r="E1162" i="3"/>
  <c r="E1069" i="3"/>
  <c r="E1601" i="3"/>
  <c r="E1430" i="3"/>
  <c r="E1346" i="3"/>
  <c r="E1610" i="3"/>
  <c r="E1273" i="3"/>
  <c r="E1456" i="3"/>
  <c r="E1455" i="3"/>
  <c r="E1234" i="3"/>
  <c r="E1205" i="3"/>
  <c r="E1110" i="3"/>
  <c r="E1046" i="3"/>
  <c r="E1065" i="3"/>
  <c r="E1032" i="3"/>
  <c r="E1868" i="3"/>
  <c r="E1799" i="3"/>
  <c r="E1842" i="3"/>
  <c r="E1143" i="3"/>
  <c r="E1460" i="3"/>
  <c r="E1679" i="3"/>
  <c r="E1771" i="3"/>
  <c r="E1988" i="3"/>
  <c r="E1368" i="3"/>
  <c r="E1640" i="3"/>
  <c r="E1470" i="3"/>
  <c r="E1483" i="3"/>
  <c r="E1993" i="3"/>
  <c r="E1920" i="3"/>
  <c r="E1262" i="3"/>
  <c r="E1303" i="3"/>
  <c r="E1218" i="3"/>
  <c r="E1983" i="3"/>
  <c r="E1489" i="3"/>
  <c r="E1862" i="3"/>
  <c r="E1617" i="3"/>
  <c r="E1206" i="3"/>
  <c r="E1294" i="3"/>
  <c r="E1348" i="3"/>
  <c r="E1707" i="3"/>
  <c r="E1261" i="3"/>
  <c r="E1709" i="3"/>
  <c r="E1421" i="3"/>
  <c r="E1394" i="3"/>
  <c r="E1851" i="3"/>
  <c r="E1067" i="3"/>
  <c r="E1255" i="3"/>
  <c r="E1187" i="3"/>
  <c r="E1300" i="3"/>
  <c r="E1565" i="3"/>
  <c r="E1525" i="3"/>
  <c r="E1677" i="3"/>
  <c r="E1135" i="3"/>
  <c r="E1412" i="3"/>
  <c r="E1277" i="3"/>
  <c r="E1747" i="3"/>
  <c r="E1466" i="3"/>
  <c r="E1989" i="3"/>
  <c r="E1350" i="3"/>
  <c r="E1891" i="3"/>
  <c r="E1749" i="3"/>
  <c r="E1107" i="3"/>
  <c r="E1900" i="3"/>
  <c r="E1313" i="3"/>
  <c r="E1569" i="3"/>
  <c r="E1271" i="3"/>
  <c r="E1203" i="3"/>
  <c r="E1652" i="3"/>
  <c r="E1509" i="3"/>
  <c r="E1343" i="3"/>
  <c r="E1150" i="3"/>
  <c r="E1818" i="3"/>
  <c r="E1856" i="3"/>
  <c r="E1657" i="3"/>
  <c r="E1730" i="3"/>
  <c r="E2001" i="3"/>
  <c r="E1781" i="3"/>
  <c r="E1853" i="3"/>
  <c r="E1894" i="3"/>
  <c r="E1941" i="3"/>
  <c r="E1720" i="3"/>
  <c r="E1678" i="3"/>
  <c r="E1916" i="3"/>
  <c r="E1764" i="3"/>
  <c r="E1536" i="3"/>
  <c r="E1280" i="3"/>
  <c r="E1357" i="3"/>
  <c r="E1212" i="3"/>
  <c r="E1379" i="3"/>
  <c r="E2011" i="3"/>
  <c r="E1819" i="3"/>
  <c r="E1902" i="3"/>
  <c r="E1797" i="3"/>
  <c r="E1863" i="3"/>
  <c r="E1639" i="3"/>
  <c r="E1315" i="3"/>
  <c r="E1244" i="3"/>
  <c r="E1339" i="3"/>
  <c r="E1168" i="3"/>
  <c r="E1210" i="3"/>
  <c r="E1936" i="3"/>
  <c r="E2017" i="3"/>
  <c r="E1826" i="3"/>
  <c r="E1978" i="3"/>
  <c r="E1746" i="3"/>
  <c r="E1704" i="3"/>
  <c r="E1550" i="3"/>
  <c r="E1481" i="3"/>
  <c r="E1167" i="3"/>
  <c r="E1037" i="3"/>
  <c r="E1651" i="3"/>
  <c r="E1660" i="3"/>
  <c r="E1318" i="3"/>
  <c r="E1378" i="3"/>
  <c r="E1247" i="3"/>
  <c r="E1422" i="3"/>
  <c r="E1351" i="3"/>
  <c r="E1145" i="3"/>
  <c r="E1179" i="3"/>
  <c r="E1093" i="3"/>
  <c r="E1784" i="3"/>
  <c r="E1547" i="3"/>
  <c r="E1556" i="3"/>
  <c r="E1292" i="3"/>
  <c r="E1285" i="3"/>
  <c r="E1501" i="3"/>
  <c r="E1377" i="3"/>
  <c r="E1340" i="3"/>
  <c r="E1217" i="3"/>
  <c r="E1134" i="3"/>
  <c r="E1052" i="3"/>
  <c r="E1108" i="3"/>
  <c r="E1042" i="3"/>
  <c r="E1472" i="3"/>
  <c r="E1222" i="3"/>
  <c r="E1118" i="3"/>
  <c r="E1180" i="3"/>
  <c r="E1066" i="3"/>
  <c r="E1028" i="3"/>
  <c r="E1647" i="3"/>
  <c r="E1810" i="3"/>
  <c r="E2002" i="3"/>
  <c r="E1788" i="3"/>
  <c r="E1930" i="3"/>
  <c r="E1713" i="3"/>
  <c r="E1806" i="3"/>
  <c r="E1822" i="3"/>
  <c r="E1917" i="3"/>
  <c r="E1592" i="3"/>
  <c r="E1577" i="3"/>
  <c r="E1905" i="3"/>
  <c r="E1585" i="3"/>
  <c r="E1557" i="3"/>
  <c r="E1272" i="3"/>
  <c r="E1451" i="3"/>
  <c r="E1204" i="3"/>
  <c r="E1408" i="3"/>
  <c r="E2000" i="3"/>
  <c r="E1807" i="3"/>
  <c r="E1889" i="3"/>
  <c r="E1737" i="3"/>
  <c r="E1850" i="3"/>
  <c r="E1607" i="3"/>
  <c r="E1307" i="3"/>
  <c r="E1516" i="3"/>
  <c r="E1400" i="3"/>
  <c r="E1136" i="3"/>
  <c r="E1194" i="3"/>
  <c r="E1922" i="3"/>
  <c r="E2007" i="3"/>
  <c r="E1814" i="3"/>
  <c r="E1966" i="3"/>
  <c r="E1722" i="3"/>
  <c r="E1672" i="3"/>
  <c r="E1495" i="3"/>
  <c r="E1452" i="3"/>
  <c r="E1151" i="3"/>
  <c r="E1706" i="3"/>
  <c r="E1635" i="3"/>
  <c r="E1644" i="3"/>
  <c r="E1314" i="3"/>
  <c r="E1486" i="3"/>
  <c r="E1243" i="3"/>
  <c r="E1370" i="3"/>
  <c r="E1335" i="3"/>
  <c r="E1137" i="3"/>
  <c r="E1175" i="3"/>
  <c r="E1085" i="3"/>
  <c r="E1768" i="3"/>
  <c r="E1531" i="3"/>
  <c r="E1540" i="3"/>
  <c r="E1642" i="3"/>
  <c r="E1281" i="3"/>
  <c r="E1488" i="3"/>
  <c r="E1361" i="3"/>
  <c r="E1086" i="3"/>
  <c r="E1213" i="3"/>
  <c r="E1126" i="3"/>
  <c r="E1040" i="3"/>
  <c r="E1082" i="3"/>
  <c r="E1045" i="3"/>
  <c r="E1991" i="3"/>
  <c r="E1681" i="3"/>
  <c r="E1970" i="3"/>
  <c r="E1861" i="3"/>
  <c r="E1293" i="3"/>
  <c r="E1777" i="3"/>
  <c r="E1896" i="3"/>
  <c r="E1549" i="3"/>
  <c r="E1867" i="3"/>
  <c r="E1693" i="3"/>
  <c r="E1510" i="3"/>
  <c r="E1661" i="3"/>
  <c r="E1834" i="3"/>
  <c r="E1559" i="3"/>
  <c r="E1295" i="3"/>
  <c r="E1504" i="3"/>
  <c r="E1352" i="3"/>
  <c r="E1070" i="3"/>
  <c r="E1202" i="3"/>
  <c r="E1925" i="3"/>
  <c r="E2010" i="3"/>
  <c r="E1817" i="3"/>
  <c r="E1969" i="3"/>
  <c r="E1726" i="3"/>
  <c r="E1680" i="3"/>
  <c r="E1526" i="3"/>
  <c r="E1457" i="3"/>
  <c r="E1155" i="3"/>
  <c r="E1445" i="3"/>
  <c r="E1733" i="3"/>
  <c r="E1852" i="3"/>
  <c r="E1934" i="3"/>
  <c r="E1779" i="3"/>
  <c r="E1895" i="3"/>
  <c r="E1727" i="3"/>
  <c r="E1533" i="3"/>
  <c r="E1266" i="3"/>
  <c r="E1427" i="3"/>
  <c r="E1198" i="3"/>
  <c r="E1776" i="3"/>
  <c r="E1539" i="3"/>
  <c r="E1548" i="3"/>
  <c r="E1650" i="3"/>
  <c r="E1283" i="3"/>
  <c r="E1496" i="3"/>
  <c r="E1369" i="3"/>
  <c r="E1332" i="3"/>
  <c r="E1215" i="3"/>
  <c r="E1130" i="3"/>
  <c r="E1048" i="3"/>
  <c r="E1691" i="3"/>
  <c r="E1700" i="3"/>
  <c r="E1328" i="3"/>
  <c r="E1546" i="3"/>
  <c r="E1257" i="3"/>
  <c r="E1477" i="3"/>
  <c r="E1391" i="3"/>
  <c r="E1165" i="3"/>
  <c r="E1189" i="3"/>
  <c r="E1103" i="3"/>
  <c r="E1176" i="3"/>
  <c r="E1087" i="3"/>
  <c r="E1026" i="3"/>
  <c r="E1949" i="3"/>
  <c r="E1432" i="3"/>
  <c r="E1763" i="3"/>
  <c r="E1721" i="3"/>
  <c r="E1692" i="3"/>
  <c r="E2015" i="3"/>
  <c r="E1719" i="3"/>
  <c r="E1879" i="3"/>
  <c r="E1174" i="3"/>
  <c r="E1354" i="3"/>
  <c r="E1449" i="3"/>
  <c r="E1626" i="3"/>
  <c r="E1883" i="3"/>
  <c r="E1624" i="3"/>
  <c r="E1705" i="3"/>
  <c r="E1512" i="3"/>
  <c r="E1938" i="3"/>
  <c r="E1758" i="3"/>
  <c r="E1171" i="3"/>
  <c r="E1947" i="3"/>
  <c r="E1410" i="3"/>
  <c r="E1792" i="3"/>
  <c r="E1287" i="3"/>
  <c r="E1219" i="3"/>
  <c r="E1716" i="3"/>
  <c r="E1906" i="3"/>
  <c r="E1711" i="3"/>
  <c r="E1701" i="3"/>
  <c r="E1260" i="3"/>
  <c r="E1812" i="3"/>
  <c r="E1683" i="3"/>
  <c r="E1469" i="3"/>
  <c r="E1775" i="3"/>
  <c r="E1374" i="3"/>
  <c r="E1658" i="3"/>
  <c r="E1419" i="3"/>
  <c r="E1575" i="3"/>
  <c r="E1802" i="3"/>
  <c r="E1619" i="3"/>
  <c r="E1170" i="3"/>
  <c r="E1741" i="3"/>
  <c r="E1254" i="3"/>
  <c r="E1246" i="3"/>
  <c r="E1782" i="3"/>
  <c r="E1225" i="3"/>
  <c r="E1973" i="3"/>
  <c r="E1584" i="3"/>
  <c r="E1347" i="3"/>
  <c r="E1785" i="3"/>
  <c r="E1242" i="3"/>
  <c r="E1362" i="3"/>
  <c r="E1440" i="3"/>
  <c r="E1106" i="3"/>
  <c r="E1316" i="3"/>
  <c r="E1493" i="3"/>
  <c r="E1238" i="3"/>
  <c r="E1043" i="3"/>
  <c r="E1630" i="3"/>
  <c r="E1717" i="3"/>
  <c r="E1932" i="3"/>
  <c r="E1688" i="3"/>
  <c r="E1710" i="3"/>
  <c r="E1968" i="3"/>
  <c r="E1615" i="3"/>
  <c r="E1881" i="3"/>
  <c r="E1832" i="3"/>
  <c r="E1566" i="3"/>
  <c r="E1581" i="3"/>
  <c r="E1870" i="3"/>
  <c r="E1655" i="3"/>
  <c r="E1319" i="3"/>
  <c r="E1248" i="3"/>
  <c r="E1355" i="3"/>
  <c r="E1178" i="3"/>
  <c r="E1159" i="3"/>
  <c r="E1963" i="3"/>
  <c r="E1729" i="3"/>
  <c r="E1855" i="3"/>
  <c r="E2006" i="3"/>
  <c r="E1815" i="3"/>
  <c r="E1467" i="3"/>
  <c r="E1622" i="3"/>
  <c r="E1468" i="3"/>
  <c r="E1237" i="3"/>
  <c r="E1075" i="3"/>
  <c r="E1083" i="3"/>
  <c r="E1887" i="3"/>
  <c r="E1971" i="3"/>
  <c r="E1714" i="3"/>
  <c r="E1931" i="3"/>
  <c r="E1597" i="3"/>
  <c r="E1576" i="3"/>
  <c r="E1290" i="3"/>
  <c r="E1397" i="3"/>
  <c r="E1090" i="3"/>
  <c r="E1791" i="3"/>
  <c r="E1587" i="3"/>
  <c r="E1596" i="3"/>
  <c r="E1302" i="3"/>
  <c r="E1406" i="3"/>
  <c r="E1511" i="3"/>
  <c r="E1417" i="3"/>
  <c r="E1380" i="3"/>
  <c r="E1113" i="3"/>
  <c r="E1154" i="3"/>
  <c r="E1062" i="3"/>
  <c r="E1739" i="3"/>
  <c r="E1748" i="3"/>
  <c r="E1545" i="3"/>
  <c r="E1594" i="3"/>
  <c r="E1269" i="3"/>
  <c r="E1424" i="3"/>
  <c r="E1439" i="3"/>
  <c r="E1230" i="3"/>
  <c r="E1201" i="3"/>
  <c r="E1084" i="3"/>
  <c r="E1049" i="3"/>
  <c r="E1102" i="3"/>
  <c r="E1019" i="3"/>
  <c r="E1409" i="3"/>
  <c r="E1109" i="3"/>
  <c r="E1068" i="3"/>
  <c r="E1156" i="3"/>
  <c r="E1063" i="3"/>
  <c r="E1024" i="3"/>
  <c r="E1498" i="3"/>
  <c r="E1573" i="3"/>
  <c r="E1908" i="3"/>
  <c r="E1560" i="3"/>
  <c r="E1499" i="3"/>
  <c r="E1944" i="3"/>
  <c r="E1752" i="3"/>
  <c r="E1808" i="3"/>
  <c r="E1738" i="3"/>
  <c r="E1390" i="3"/>
  <c r="E1769" i="3"/>
  <c r="E1857" i="3"/>
  <c r="E1623" i="3"/>
  <c r="E1311" i="3"/>
  <c r="E1520" i="3"/>
  <c r="E1416" i="3"/>
  <c r="E1152" i="3"/>
  <c r="E1127" i="3"/>
  <c r="E1950" i="3"/>
  <c r="E1685" i="3"/>
  <c r="E1841" i="3"/>
  <c r="E1994" i="3"/>
  <c r="E1804" i="3"/>
  <c r="E1744" i="3"/>
  <c r="E1590" i="3"/>
  <c r="E1414" i="3"/>
  <c r="E1229" i="3"/>
  <c r="E1053" i="3"/>
  <c r="E1057" i="3"/>
  <c r="E1876" i="3"/>
  <c r="E1957" i="3"/>
  <c r="E1686" i="3"/>
  <c r="E1919" i="3"/>
  <c r="E1772" i="3"/>
  <c r="E1544" i="3"/>
  <c r="E1282" i="3"/>
  <c r="E1365" i="3"/>
  <c r="E1214" i="3"/>
  <c r="E1629" i="3"/>
  <c r="E1571" i="3"/>
  <c r="E1580" i="3"/>
  <c r="E1298" i="3"/>
  <c r="E1334" i="3"/>
  <c r="E1507" i="3"/>
  <c r="E1401" i="3"/>
  <c r="E1364" i="3"/>
  <c r="E1088" i="3"/>
  <c r="E1146" i="3"/>
  <c r="E1058" i="3"/>
  <c r="E1723" i="3"/>
  <c r="E1732" i="3"/>
  <c r="E1529" i="3"/>
  <c r="E1578" i="3"/>
  <c r="E1265" i="3"/>
  <c r="E1366" i="3"/>
  <c r="E1423" i="3"/>
  <c r="E1226" i="3"/>
  <c r="E1197" i="3"/>
  <c r="E1076" i="3"/>
  <c r="E1033" i="3"/>
  <c r="E1098" i="3"/>
  <c r="E1027" i="3"/>
  <c r="E1975" i="3"/>
  <c r="E2004" i="3"/>
  <c r="E1873" i="3"/>
  <c r="E1605" i="3"/>
  <c r="E1502" i="3"/>
  <c r="E1909" i="3"/>
  <c r="E1795" i="3"/>
  <c r="E1270" i="3"/>
  <c r="E1954" i="3"/>
  <c r="E1843" i="3"/>
  <c r="E1823" i="3"/>
  <c r="E1976" i="3"/>
  <c r="E1742" i="3"/>
  <c r="E1696" i="3"/>
  <c r="E1542" i="3"/>
  <c r="E1473" i="3"/>
  <c r="E1163" i="3"/>
  <c r="E1497" i="3"/>
  <c r="E1031" i="3"/>
  <c r="E1878" i="3"/>
  <c r="E1962" i="3"/>
  <c r="E1694" i="3"/>
  <c r="E1924" i="3"/>
  <c r="E1780" i="3"/>
  <c r="E1552" i="3"/>
  <c r="E1284" i="3"/>
  <c r="E1373" i="3"/>
  <c r="E1216" i="3"/>
  <c r="E1376" i="3"/>
  <c r="E1998" i="3"/>
  <c r="E1803" i="3"/>
  <c r="E1886" i="3"/>
  <c r="E1725" i="3"/>
  <c r="E1848" i="3"/>
  <c r="E1599" i="3"/>
  <c r="E1305" i="3"/>
  <c r="E1514" i="3"/>
  <c r="E1392" i="3"/>
  <c r="E1128" i="3"/>
  <c r="E1731" i="3"/>
  <c r="E1740" i="3"/>
  <c r="E1537" i="3"/>
  <c r="E1586" i="3"/>
  <c r="E1267" i="3"/>
  <c r="E1398" i="3"/>
  <c r="E1431" i="3"/>
  <c r="E1228" i="3"/>
  <c r="E1199" i="3"/>
  <c r="E1080" i="3"/>
  <c r="E1041" i="3"/>
  <c r="E1627" i="3"/>
  <c r="E1636" i="3"/>
  <c r="E1312" i="3"/>
  <c r="E1478" i="3"/>
  <c r="E1521" i="3"/>
  <c r="E1338" i="3"/>
  <c r="E1420" i="3"/>
  <c r="E1133" i="3"/>
  <c r="E1173" i="3"/>
  <c r="E1081" i="3"/>
  <c r="E1148" i="3"/>
  <c r="E1059" i="3"/>
  <c r="E1020" i="3"/>
  <c r="E1670" i="3"/>
  <c r="E1987" i="3"/>
  <c r="E1115" i="3"/>
  <c r="E1703" i="3"/>
  <c r="E2003" i="3"/>
  <c r="E1101" i="3"/>
  <c r="E1637" i="3"/>
  <c r="E1264" i="3"/>
  <c r="E1838" i="3"/>
  <c r="E1995" i="3"/>
  <c r="E1666" i="3"/>
  <c r="E1129" i="3"/>
  <c r="E1030" i="3"/>
  <c r="E1325" i="3"/>
  <c r="E2008" i="3"/>
  <c r="E1846" i="3"/>
  <c r="E1384" i="3"/>
  <c r="E1589" i="3"/>
  <c r="E1712" i="3"/>
  <c r="E1034" i="3"/>
  <c r="E1609" i="3"/>
  <c r="E1274" i="3"/>
  <c r="E1555" i="3"/>
  <c r="E1503" i="3"/>
  <c r="E1138" i="3"/>
  <c r="E1459" i="3"/>
  <c r="E1877" i="3"/>
  <c r="E1942" i="3"/>
  <c r="E1927" i="3"/>
  <c r="E1192" i="3"/>
  <c r="E1614" i="3"/>
  <c r="E1383" i="3"/>
  <c r="E1579" i="3"/>
  <c r="E1656" i="3"/>
  <c r="E1475" i="3"/>
  <c r="E1344" i="3"/>
  <c r="E1508" i="3"/>
  <c r="E1682" i="3"/>
  <c r="E1310" i="3"/>
  <c r="E1750" i="3"/>
  <c r="E1673" i="3"/>
  <c r="E1933" i="3"/>
  <c r="E1890" i="3"/>
  <c r="E1728" i="3"/>
  <c r="E1047" i="3"/>
  <c r="E1734" i="3"/>
  <c r="E1358" i="3"/>
  <c r="E2009" i="3"/>
  <c r="E1859" i="3"/>
  <c r="E1331" i="3"/>
  <c r="E1553" i="3"/>
  <c r="E1447" i="3"/>
  <c r="E1038" i="3"/>
  <c r="E1494" i="3"/>
  <c r="E1402" i="3"/>
  <c r="E1141" i="3"/>
  <c r="E1918" i="3"/>
  <c r="E1982" i="3"/>
  <c r="E1943" i="3"/>
  <c r="E1820" i="3"/>
  <c r="E1534" i="3"/>
  <c r="E2005" i="3"/>
  <c r="E1872" i="3"/>
  <c r="E1309" i="3"/>
  <c r="E1756" i="3"/>
  <c r="E1986" i="3"/>
  <c r="E1465" i="3"/>
  <c r="E2013" i="3"/>
  <c r="E1821" i="3"/>
  <c r="E1527" i="3"/>
  <c r="E1638" i="3"/>
  <c r="E1484" i="3"/>
  <c r="E1241" i="3"/>
  <c r="E1091" i="3"/>
  <c r="E1186" i="3"/>
  <c r="E1914" i="3"/>
  <c r="E1996" i="3"/>
  <c r="E1805" i="3"/>
  <c r="E1958" i="3"/>
  <c r="E1690" i="3"/>
  <c r="E1648" i="3"/>
  <c r="E1490" i="3"/>
  <c r="E1386" i="3"/>
  <c r="E1139" i="3"/>
  <c r="E1381" i="3"/>
  <c r="E1689" i="3"/>
  <c r="E1839" i="3"/>
  <c r="E1923" i="3"/>
  <c r="E1759" i="3"/>
  <c r="E1884" i="3"/>
  <c r="E1695" i="3"/>
  <c r="E1329" i="3"/>
  <c r="E1258" i="3"/>
  <c r="E1395" i="3"/>
  <c r="E1190" i="3"/>
  <c r="E1760" i="3"/>
  <c r="E1523" i="3"/>
  <c r="E1532" i="3"/>
  <c r="E1634" i="3"/>
  <c r="E1279" i="3"/>
  <c r="E1480" i="3"/>
  <c r="E1353" i="3"/>
  <c r="E1240" i="3"/>
  <c r="E1211" i="3"/>
  <c r="E1122" i="3"/>
  <c r="E1050" i="3"/>
  <c r="E1675" i="3"/>
  <c r="E1684" i="3"/>
  <c r="E1324" i="3"/>
  <c r="E1530" i="3"/>
  <c r="E1253" i="3"/>
  <c r="E1461" i="3"/>
  <c r="E1375" i="3"/>
  <c r="E1157" i="3"/>
  <c r="E1185" i="3"/>
  <c r="E1099" i="3"/>
  <c r="E1172" i="3"/>
  <c r="E1079" i="3"/>
  <c r="E1025" i="3"/>
  <c r="E1407" i="3"/>
  <c r="E1209" i="3"/>
  <c r="E1089" i="3"/>
  <c r="E1124" i="3"/>
  <c r="E1036" i="3"/>
  <c r="E1845" i="3"/>
  <c r="E1761" i="3"/>
  <c r="E1921" i="3"/>
  <c r="E1698" i="3"/>
  <c r="E1286" i="3"/>
  <c r="E1959" i="3"/>
  <c r="E1844" i="3"/>
  <c r="E1598" i="3"/>
  <c r="E1528" i="3"/>
  <c r="E1939" i="3"/>
  <c r="E1847" i="3"/>
  <c r="E1999" i="3"/>
  <c r="E1809" i="3"/>
  <c r="E1428" i="3"/>
  <c r="E1606" i="3"/>
  <c r="E1442" i="3"/>
  <c r="E1233" i="3"/>
  <c r="E1061" i="3"/>
  <c r="E1144" i="3"/>
  <c r="E1903" i="3"/>
  <c r="E1985" i="3"/>
  <c r="E1774" i="3"/>
  <c r="E1948" i="3"/>
  <c r="E1641" i="3"/>
  <c r="E1616" i="3"/>
  <c r="E1458" i="3"/>
  <c r="E1437" i="3"/>
  <c r="E1123" i="3"/>
  <c r="E1443" i="3"/>
  <c r="E1621" i="3"/>
  <c r="E1828" i="3"/>
  <c r="E1912" i="3"/>
  <c r="E1613" i="3"/>
  <c r="E1871" i="3"/>
  <c r="E1663" i="3"/>
  <c r="E1321" i="3"/>
  <c r="E1250" i="3"/>
  <c r="E1363" i="3"/>
  <c r="E1182" i="3"/>
  <c r="E1633" i="3"/>
  <c r="E1446" i="3"/>
  <c r="E1471" i="3"/>
  <c r="E1618" i="3"/>
  <c r="E1275" i="3"/>
  <c r="E1464" i="3"/>
  <c r="E1337" i="3"/>
  <c r="E1236" i="3"/>
  <c r="E1207" i="3"/>
  <c r="E1114" i="3"/>
  <c r="E1035" i="3"/>
  <c r="E1659" i="3"/>
  <c r="E1668" i="3"/>
  <c r="E1320" i="3"/>
  <c r="E1479" i="3"/>
  <c r="E1249" i="3"/>
  <c r="E1438" i="3"/>
  <c r="E1359" i="3"/>
  <c r="E1149" i="3"/>
  <c r="E1181" i="3"/>
  <c r="E1095" i="3"/>
  <c r="E1164" i="3"/>
  <c r="E1071" i="3"/>
  <c r="E1021" i="3"/>
  <c r="E1961" i="3"/>
  <c r="E1882" i="3"/>
  <c r="E1751" i="3"/>
  <c r="E1831" i="3"/>
  <c r="E1778" i="3"/>
  <c r="E1813" i="3"/>
  <c r="E1901" i="3"/>
  <c r="E1967" i="3"/>
  <c r="E1965" i="3"/>
  <c r="E1583" i="3"/>
  <c r="E1702" i="3"/>
  <c r="E1929" i="3"/>
  <c r="E1796" i="3"/>
  <c r="E1568" i="3"/>
  <c r="E1288" i="3"/>
  <c r="E1389" i="3"/>
  <c r="E1220" i="3"/>
  <c r="E1411" i="3"/>
  <c r="E1653" i="3"/>
  <c r="E1830" i="3"/>
  <c r="E1915" i="3"/>
  <c r="E1645" i="3"/>
  <c r="E1874" i="3"/>
  <c r="E1671" i="3"/>
  <c r="E1323" i="3"/>
  <c r="E1252" i="3"/>
  <c r="E1371" i="3"/>
  <c r="E1184" i="3"/>
  <c r="E1111" i="3"/>
  <c r="E1946" i="3"/>
  <c r="E1665" i="3"/>
  <c r="E1840" i="3"/>
  <c r="E1990" i="3"/>
  <c r="E1798" i="3"/>
  <c r="E1736" i="3"/>
  <c r="E1582" i="3"/>
  <c r="E1382" i="3"/>
  <c r="E1227" i="3"/>
  <c r="E1044" i="3"/>
  <c r="E1667" i="3"/>
  <c r="E1676" i="3"/>
  <c r="E1322" i="3"/>
  <c r="E1522" i="3"/>
  <c r="E1251" i="3"/>
  <c r="E1454" i="3"/>
  <c r="E1367" i="3"/>
  <c r="E1153" i="3"/>
  <c r="E1183" i="3"/>
  <c r="E1097" i="3"/>
  <c r="E1800" i="3"/>
  <c r="E1563" i="3"/>
  <c r="E1572" i="3"/>
  <c r="E1296" i="3"/>
  <c r="E1289" i="3"/>
  <c r="E1505" i="3"/>
  <c r="E1393" i="3"/>
  <c r="E1356" i="3"/>
  <c r="E1221" i="3"/>
  <c r="E1142" i="3"/>
  <c r="E1056" i="3"/>
  <c r="E1116" i="3"/>
  <c r="E1039" i="3"/>
  <c r="E721" i="3"/>
  <c r="E720" i="3"/>
  <c r="E733" i="3"/>
  <c r="E738" i="3"/>
  <c r="E735" i="3"/>
  <c r="E743" i="3"/>
  <c r="E843" i="3"/>
  <c r="E750" i="3"/>
  <c r="E744" i="3"/>
  <c r="E739" i="3"/>
  <c r="E741" i="3"/>
  <c r="E728" i="3"/>
  <c r="E731" i="3"/>
  <c r="E737" i="3"/>
  <c r="E732" i="3"/>
  <c r="E748" i="3"/>
  <c r="E990" i="3"/>
  <c r="E745" i="3"/>
  <c r="E850" i="3"/>
  <c r="E765" i="3"/>
  <c r="E730" i="3"/>
  <c r="E736" i="3"/>
  <c r="E734" i="3"/>
  <c r="E746" i="3"/>
  <c r="E724" i="3"/>
  <c r="E747" i="3"/>
  <c r="E726" i="3"/>
  <c r="E878" i="3"/>
  <c r="E873" i="3"/>
  <c r="E982" i="3"/>
  <c r="E729" i="3"/>
  <c r="E986" i="3"/>
  <c r="E959" i="3"/>
  <c r="E952" i="3"/>
  <c r="E725" i="3"/>
  <c r="E742" i="3"/>
  <c r="E749" i="3"/>
  <c r="E751" i="3"/>
  <c r="E740" i="3"/>
  <c r="E727" i="3"/>
  <c r="E934" i="3"/>
  <c r="E911" i="3"/>
  <c r="E972" i="3"/>
  <c r="E869" i="3"/>
  <c r="E774" i="3"/>
  <c r="E931" i="3"/>
  <c r="E894" i="3"/>
  <c r="E925" i="3"/>
  <c r="E951" i="3"/>
  <c r="E778" i="3"/>
  <c r="E908" i="3"/>
  <c r="E836" i="3"/>
  <c r="E871" i="3"/>
  <c r="E964" i="3"/>
  <c r="E999" i="3"/>
  <c r="E837" i="3"/>
  <c r="E768" i="3"/>
  <c r="E985" i="3"/>
  <c r="E882" i="3"/>
  <c r="E785" i="3"/>
  <c r="E1008" i="3"/>
  <c r="E758" i="3"/>
  <c r="E900" i="3"/>
  <c r="E905" i="3"/>
  <c r="E973" i="3"/>
  <c r="E797" i="3"/>
  <c r="E912" i="3"/>
  <c r="E921" i="3"/>
  <c r="E806" i="3"/>
  <c r="E974" i="3"/>
  <c r="E1011" i="3"/>
  <c r="E867" i="3"/>
  <c r="E883" i="3"/>
  <c r="E823" i="3"/>
  <c r="E829" i="3"/>
  <c r="E777" i="3"/>
  <c r="E924" i="3"/>
  <c r="E1007" i="3"/>
  <c r="E801" i="3"/>
  <c r="E927" i="3"/>
  <c r="E978" i="3"/>
  <c r="E844" i="3"/>
  <c r="E795" i="3"/>
  <c r="E839" i="3"/>
  <c r="E890" i="3"/>
  <c r="E757" i="3"/>
  <c r="E804" i="3"/>
  <c r="E858" i="3"/>
  <c r="E968" i="3"/>
  <c r="E889" i="3"/>
  <c r="E783" i="3"/>
  <c r="E880" i="3"/>
  <c r="E817" i="3"/>
  <c r="E920" i="3"/>
  <c r="E841" i="3"/>
  <c r="E832" i="3"/>
  <c r="E753" i="3"/>
  <c r="E794" i="3"/>
  <c r="E965" i="3"/>
  <c r="E835" i="3"/>
  <c r="E886" i="3"/>
  <c r="E775" i="3"/>
  <c r="E877" i="3"/>
  <c r="E813" i="3"/>
  <c r="E960" i="3"/>
  <c r="E897" i="3"/>
  <c r="E928" i="3"/>
  <c r="E865" i="3"/>
  <c r="E754" i="3"/>
  <c r="E963" i="3"/>
  <c r="E1014" i="3"/>
  <c r="E1005" i="3"/>
  <c r="E875" i="3"/>
  <c r="E942" i="3"/>
  <c r="E923" i="3"/>
  <c r="E955" i="3"/>
  <c r="E803" i="3"/>
  <c r="E983" i="3"/>
  <c r="E950" i="3"/>
  <c r="E796" i="3"/>
  <c r="E896" i="3"/>
  <c r="E789" i="3"/>
  <c r="E879" i="3"/>
  <c r="E876" i="3"/>
  <c r="E770" i="3"/>
  <c r="E970" i="3"/>
  <c r="E946" i="3"/>
  <c r="E842" i="3"/>
  <c r="E831" i="3"/>
  <c r="E1000" i="3"/>
  <c r="E784" i="3"/>
  <c r="E872" i="3"/>
  <c r="E870" i="3"/>
  <c r="E814" i="3"/>
  <c r="E966" i="3"/>
  <c r="E827" i="3"/>
  <c r="E862" i="3"/>
  <c r="E1002" i="3"/>
  <c r="E991" i="3"/>
  <c r="E903" i="3"/>
  <c r="E800" i="3"/>
  <c r="E953" i="3"/>
  <c r="E881" i="3"/>
  <c r="E1009" i="3"/>
  <c r="E918" i="3"/>
  <c r="E1013" i="3"/>
  <c r="E799" i="3"/>
  <c r="E855" i="3"/>
  <c r="E852" i="3"/>
  <c r="E1010" i="3"/>
  <c r="E851" i="3"/>
  <c r="E807" i="3"/>
  <c r="E1012" i="3"/>
  <c r="E935" i="3"/>
  <c r="E984" i="3"/>
  <c r="E1018" i="3"/>
  <c r="E793" i="3"/>
  <c r="E857" i="3"/>
  <c r="E936" i="3"/>
  <c r="E933" i="3"/>
  <c r="E888" i="3"/>
  <c r="E907" i="3"/>
  <c r="E805" i="3"/>
  <c r="E824" i="3"/>
  <c r="E828" i="3"/>
  <c r="E977" i="3"/>
  <c r="E949" i="3"/>
  <c r="E845" i="3"/>
  <c r="E860" i="3"/>
  <c r="E848" i="3"/>
  <c r="E802" i="3"/>
  <c r="E885" i="3"/>
  <c r="E849" i="3"/>
  <c r="E856" i="3"/>
  <c r="E764" i="3"/>
  <c r="E752" i="3"/>
  <c r="E996" i="3"/>
  <c r="E901" i="3"/>
  <c r="E756" i="3"/>
  <c r="E822" i="3"/>
  <c r="E812" i="3"/>
  <c r="E853" i="3"/>
  <c r="E760" i="3"/>
  <c r="E993" i="3"/>
  <c r="E847" i="3"/>
  <c r="E898" i="3"/>
  <c r="E808" i="3"/>
  <c r="E1003" i="3"/>
  <c r="E902" i="3"/>
  <c r="E759" i="3"/>
  <c r="E893" i="3"/>
  <c r="E830" i="3"/>
  <c r="E861" i="3"/>
  <c r="E792" i="3"/>
  <c r="E975" i="3"/>
  <c r="E892" i="3"/>
  <c r="E887" i="3"/>
  <c r="E938" i="3"/>
  <c r="E820" i="3"/>
  <c r="E981" i="3"/>
  <c r="E809" i="3"/>
  <c r="E771" i="3"/>
  <c r="E899" i="3"/>
  <c r="E767" i="3"/>
  <c r="E914" i="3"/>
  <c r="E779" i="3"/>
  <c r="E1016" i="3"/>
  <c r="E798" i="3"/>
  <c r="E919" i="3"/>
  <c r="E1001" i="3"/>
  <c r="E998" i="3"/>
  <c r="E947" i="3"/>
  <c r="E821" i="3"/>
  <c r="E787" i="3"/>
  <c r="E769" i="3"/>
  <c r="E874" i="3"/>
  <c r="E773" i="3"/>
  <c r="E781" i="3"/>
  <c r="E915" i="3"/>
  <c r="E755" i="3"/>
  <c r="E957" i="3"/>
  <c r="E788" i="3"/>
  <c r="E956" i="3"/>
  <c r="E884" i="3"/>
  <c r="E954" i="3"/>
  <c r="E763" i="3"/>
  <c r="E922" i="3"/>
  <c r="E944" i="3"/>
  <c r="E932" i="3"/>
  <c r="E840" i="3"/>
  <c r="E819" i="3"/>
  <c r="E863" i="3"/>
  <c r="E994" i="3"/>
  <c r="E846" i="3"/>
  <c r="E945" i="3"/>
  <c r="E1017" i="3"/>
  <c r="E868" i="3"/>
  <c r="E967" i="3"/>
  <c r="E995" i="3"/>
  <c r="E766" i="3"/>
  <c r="E916" i="3"/>
  <c r="E854" i="3"/>
  <c r="E818" i="3"/>
  <c r="E976" i="3"/>
  <c r="E943" i="3"/>
  <c r="E909" i="3"/>
  <c r="E782" i="3"/>
  <c r="E988" i="3"/>
  <c r="E811" i="3"/>
  <c r="E962" i="3"/>
  <c r="E790" i="3"/>
  <c r="E838" i="3"/>
  <c r="E917" i="3"/>
  <c r="E913" i="3"/>
  <c r="E971" i="3"/>
  <c r="E791" i="3"/>
  <c r="E815" i="3"/>
  <c r="E940" i="3"/>
  <c r="E937" i="3"/>
  <c r="E780" i="3"/>
  <c r="E961" i="3"/>
  <c r="E992" i="3"/>
  <c r="E929" i="3"/>
  <c r="E772" i="3"/>
  <c r="E834" i="3"/>
  <c r="E939" i="3"/>
  <c r="E1006" i="3"/>
  <c r="E776" i="3"/>
  <c r="E979" i="3"/>
  <c r="E891" i="3"/>
  <c r="E958" i="3"/>
  <c r="E989" i="3"/>
  <c r="E859" i="3"/>
  <c r="E926" i="3"/>
  <c r="E762" i="3"/>
  <c r="E1015" i="3"/>
  <c r="E948" i="3"/>
  <c r="E761" i="3"/>
  <c r="E826" i="3"/>
  <c r="E786" i="3"/>
  <c r="E987" i="3"/>
  <c r="E904" i="3"/>
  <c r="E825" i="3"/>
  <c r="E816" i="3"/>
  <c r="E910" i="3"/>
  <c r="E866" i="3"/>
  <c r="E941" i="3"/>
  <c r="E864" i="3"/>
  <c r="E833" i="3"/>
  <c r="E969" i="3"/>
  <c r="E906" i="3"/>
  <c r="E930" i="3"/>
  <c r="E810" i="3"/>
  <c r="E895" i="3"/>
  <c r="E1004" i="3"/>
  <c r="E997" i="3"/>
  <c r="E980" i="3"/>
  <c r="I36" i="1" l="1"/>
  <c r="I291" i="1"/>
  <c r="I125" i="1"/>
  <c r="I413" i="1"/>
  <c r="I418" i="1"/>
  <c r="I130" i="1"/>
  <c r="I311" i="1"/>
  <c r="I271" i="1"/>
  <c r="I169" i="1"/>
  <c r="I304" i="1"/>
  <c r="I319" i="1"/>
  <c r="I306" i="1"/>
  <c r="I263" i="1"/>
  <c r="I439" i="1"/>
  <c r="I302" i="1"/>
  <c r="I25" i="1"/>
  <c r="I91" i="1"/>
  <c r="I478" i="1"/>
  <c r="I429" i="1"/>
  <c r="I186" i="1"/>
  <c r="I133" i="1"/>
  <c r="I134" i="1"/>
  <c r="I496" i="1"/>
  <c r="I295" i="1"/>
  <c r="I383" i="1"/>
  <c r="I351" i="1"/>
  <c r="I322" i="1"/>
  <c r="I434" i="1"/>
  <c r="I420" i="1"/>
  <c r="I24" i="1"/>
  <c r="I389" i="1"/>
  <c r="I135" i="1"/>
  <c r="I317" i="1"/>
  <c r="I562" i="1"/>
  <c r="I316" i="1"/>
  <c r="I274" i="1"/>
  <c r="I222" i="1"/>
  <c r="I404" i="1"/>
  <c r="I182" i="1"/>
  <c r="I396" i="1"/>
  <c r="I275" i="1"/>
  <c r="I468" i="1"/>
  <c r="I392" i="1"/>
  <c r="I96" i="1"/>
  <c r="I384" i="1"/>
  <c r="I43" i="1"/>
  <c r="I509" i="1"/>
  <c r="I409" i="1"/>
  <c r="I419" i="1"/>
  <c r="I215" i="1"/>
  <c r="I515" i="1"/>
  <c r="I523" i="1"/>
  <c r="I499" i="1"/>
  <c r="I353" i="1"/>
  <c r="I205" i="1"/>
  <c r="I93" i="1"/>
  <c r="I146" i="1"/>
  <c r="I55" i="1"/>
  <c r="I371" i="1"/>
  <c r="I84" i="1"/>
  <c r="I164" i="1"/>
  <c r="I277" i="1"/>
  <c r="I265" i="1"/>
  <c r="I452" i="1"/>
  <c r="I254" i="1"/>
  <c r="I128" i="1"/>
  <c r="I348" i="1"/>
  <c r="I229" i="1"/>
  <c r="I480" i="1"/>
  <c r="I492" i="1"/>
  <c r="I375" i="1"/>
  <c r="I236" i="1"/>
  <c r="I253" i="1"/>
  <c r="I537" i="1"/>
  <c r="I477" i="1"/>
  <c r="I324" i="1"/>
  <c r="I297" i="1"/>
  <c r="I42" i="1"/>
  <c r="I112" i="1"/>
  <c r="I200" i="1"/>
  <c r="I31" i="1"/>
  <c r="I259" i="1"/>
  <c r="I115" i="1"/>
  <c r="I99" i="1"/>
  <c r="I533" i="1"/>
  <c r="I313" i="1"/>
  <c r="I145" i="1"/>
  <c r="I516" i="1"/>
  <c r="I113" i="1"/>
  <c r="I32" i="1"/>
  <c r="I390" i="1"/>
  <c r="I447" i="1"/>
  <c r="I102" i="1"/>
  <c r="I338" i="1"/>
  <c r="I163" i="1"/>
  <c r="I198" i="1"/>
  <c r="I346" i="1"/>
  <c r="I486" i="1"/>
  <c r="I144" i="1"/>
  <c r="I119" i="1"/>
  <c r="I565" i="1"/>
  <c r="I187" i="1"/>
  <c r="I541" i="1"/>
  <c r="I467" i="1"/>
  <c r="I365" i="1"/>
  <c r="I178" i="1"/>
  <c r="I361" i="1"/>
  <c r="I397" i="1"/>
  <c r="I210" i="1"/>
  <c r="I327" i="1"/>
  <c r="I167" i="1"/>
  <c r="I183" i="1"/>
  <c r="I51" i="1"/>
  <c r="I126" i="1"/>
  <c r="I278" i="1"/>
  <c r="I206" i="1"/>
  <c r="I152" i="1"/>
  <c r="I336" i="1"/>
  <c r="I360" i="1"/>
  <c r="I554" i="1"/>
  <c r="I312" i="1"/>
  <c r="I56" i="1"/>
  <c r="I355" i="1"/>
  <c r="I225" i="1"/>
  <c r="I507" i="1"/>
  <c r="I273" i="1"/>
  <c r="I490" i="1"/>
  <c r="I233" i="1"/>
  <c r="I73" i="1"/>
  <c r="I280" i="1"/>
  <c r="I321" i="1"/>
  <c r="I450" i="1"/>
  <c r="I440" i="1"/>
  <c r="I90" i="1"/>
  <c r="I180" i="1"/>
  <c r="I299" i="1"/>
  <c r="I573" i="1"/>
  <c r="I571" i="1"/>
  <c r="I416" i="1"/>
  <c r="I158" i="1"/>
  <c r="I37" i="1"/>
  <c r="I487" i="1"/>
  <c r="I293" i="1"/>
  <c r="I54" i="1"/>
  <c r="I188" i="1"/>
  <c r="I276" i="1"/>
  <c r="I268" i="1"/>
  <c r="I356" i="1"/>
  <c r="I542" i="1"/>
  <c r="I470" i="1"/>
  <c r="I378" i="1"/>
  <c r="I367" i="1"/>
  <c r="I57" i="1"/>
  <c r="I192" i="1"/>
  <c r="I463" i="1"/>
  <c r="I524" i="1"/>
  <c r="I251" i="1"/>
  <c r="I250" i="1"/>
  <c r="I223" i="1"/>
  <c r="I363" i="1"/>
  <c r="I342" i="1"/>
  <c r="I175" i="1"/>
  <c r="I75" i="1"/>
  <c r="I196" i="1"/>
  <c r="I131" i="1"/>
  <c r="I279" i="1"/>
  <c r="I352" i="1"/>
  <c r="I508" i="1"/>
  <c r="I78" i="1"/>
  <c r="I422" i="1"/>
  <c r="I381" i="1"/>
  <c r="I462" i="1"/>
  <c r="I64" i="1"/>
  <c r="I85" i="1"/>
  <c r="I214" i="1"/>
  <c r="I26" i="1"/>
  <c r="I444" i="1"/>
  <c r="I502" i="1"/>
  <c r="I494" i="1"/>
  <c r="I410" i="1"/>
  <c r="I195" i="1"/>
  <c r="I517" i="1"/>
  <c r="I461" i="1"/>
  <c r="I501" i="1"/>
  <c r="I61" i="1"/>
  <c r="I142" i="1"/>
  <c r="I72" i="1"/>
  <c r="I511" i="1"/>
  <c r="I350" i="1"/>
  <c r="I428" i="1"/>
  <c r="I315" i="1"/>
  <c r="I148" i="1"/>
  <c r="I228" i="1"/>
  <c r="I149" i="1"/>
  <c r="I568" i="1"/>
  <c r="I518" i="1"/>
  <c r="I326" i="1"/>
  <c r="I92" i="1"/>
  <c r="I329" i="1"/>
  <c r="I482" i="1"/>
  <c r="I481" i="1"/>
  <c r="I483" i="1"/>
  <c r="I252" i="1"/>
  <c r="I534" i="1"/>
  <c r="I105" i="1"/>
  <c r="I528" i="1"/>
  <c r="I536" i="1"/>
  <c r="I58" i="1"/>
  <c r="I411" i="1"/>
  <c r="I165" i="1"/>
  <c r="I305" i="1"/>
  <c r="I166" i="1"/>
  <c r="I80" i="1"/>
  <c r="I104" i="1"/>
  <c r="I224" i="1"/>
  <c r="I262" i="1"/>
  <c r="I63" i="1"/>
  <c r="I510" i="1"/>
  <c r="I421" i="1"/>
  <c r="I455" i="1"/>
  <c r="I303" i="1"/>
  <c r="I160" i="1"/>
  <c r="I60" i="1"/>
  <c r="I362" i="1"/>
  <c r="I230" i="1"/>
  <c r="I231" i="1"/>
  <c r="I525" i="1"/>
  <c r="I120" i="1"/>
  <c r="I545" i="1"/>
  <c r="I103" i="1"/>
  <c r="I184" i="1"/>
  <c r="I189" i="1"/>
  <c r="I107" i="1"/>
  <c r="I245" i="1"/>
  <c r="I320" i="1"/>
  <c r="I34" i="1"/>
  <c r="I380" i="1"/>
  <c r="I566" i="1"/>
  <c r="I558" i="1"/>
  <c r="I425" i="1"/>
  <c r="I393" i="1"/>
  <c r="I318" i="1"/>
  <c r="I281" i="1"/>
  <c r="I520" i="1"/>
  <c r="I423" i="1"/>
  <c r="I349" i="1"/>
  <c r="I199" i="1"/>
  <c r="I49" i="1"/>
  <c r="I563" i="1"/>
  <c r="I307" i="1"/>
  <c r="I153" i="1"/>
  <c r="I398" i="1"/>
  <c r="I424" i="1"/>
  <c r="I173" i="1"/>
  <c r="I257" i="1"/>
  <c r="I97" i="1"/>
  <c r="I438" i="1"/>
  <c r="I572" i="1"/>
  <c r="I415" i="1"/>
  <c r="I122" i="1"/>
  <c r="I114" i="1"/>
  <c r="I446" i="1"/>
  <c r="I292" i="1"/>
  <c r="I485" i="1"/>
  <c r="I272" i="1"/>
  <c r="I240" i="1"/>
  <c r="I504" i="1"/>
  <c r="I40" i="1"/>
  <c r="I394" i="1"/>
  <c r="I267" i="1"/>
  <c r="I38" i="1"/>
  <c r="I564" i="1"/>
  <c r="I476" i="1"/>
  <c r="I484" i="1"/>
  <c r="I287" i="1"/>
  <c r="I454" i="1"/>
  <c r="I495" i="1"/>
  <c r="I347" i="1"/>
  <c r="I479" i="1"/>
  <c r="I29" i="1"/>
  <c r="I87" i="1"/>
  <c r="I459" i="1"/>
  <c r="I498" i="1"/>
  <c r="I194" i="1"/>
  <c r="I567" i="1"/>
  <c r="I298" i="1"/>
  <c r="I379" i="1"/>
  <c r="I460" i="1"/>
  <c r="I123" i="1"/>
  <c r="I172" i="1"/>
  <c r="I95" i="1"/>
  <c r="I549" i="1"/>
  <c r="I208" i="1"/>
  <c r="I430" i="1"/>
  <c r="I453" i="1"/>
  <c r="I159" i="1"/>
  <c r="I300" i="1"/>
  <c r="I332" i="1"/>
  <c r="I497" i="1"/>
  <c r="I473" i="1"/>
  <c r="I403" i="1"/>
  <c r="I59" i="1"/>
  <c r="I239" i="1"/>
  <c r="I527" i="1"/>
  <c r="I79" i="1"/>
  <c r="I358" i="1"/>
  <c r="I94" i="1"/>
  <c r="I101" i="1"/>
  <c r="I174" i="1"/>
  <c r="I69" i="1"/>
  <c r="I35" i="1"/>
  <c r="I202" i="1"/>
  <c r="I76" i="1"/>
  <c r="I529" i="1"/>
  <c r="I372" i="1"/>
  <c r="I117" i="1"/>
  <c r="I66" i="1"/>
  <c r="I136" i="1"/>
  <c r="I443" i="1"/>
  <c r="I121" i="1"/>
  <c r="I526" i="1"/>
  <c r="I197" i="1"/>
  <c r="I86" i="1"/>
  <c r="I505" i="1"/>
  <c r="I543" i="1"/>
  <c r="I530" i="1"/>
  <c r="I457" i="1"/>
  <c r="I296" i="1"/>
  <c r="I340" i="1"/>
  <c r="I238" i="1"/>
  <c r="I124" i="1"/>
  <c r="I212" i="1"/>
  <c r="I204" i="1"/>
  <c r="I30" i="1"/>
  <c r="I309" i="1"/>
  <c r="I139" i="1"/>
  <c r="I155" i="1"/>
  <c r="I465" i="1"/>
  <c r="I249" i="1"/>
  <c r="I137" i="1"/>
  <c r="I544" i="1"/>
  <c r="I27" i="1"/>
  <c r="I237" i="1"/>
  <c r="I538" i="1"/>
  <c r="I458" i="1"/>
  <c r="I399" i="1"/>
  <c r="I246" i="1"/>
  <c r="I71" i="1"/>
  <c r="I442" i="1"/>
  <c r="I335" i="1"/>
  <c r="I370" i="1"/>
  <c r="I179" i="1"/>
  <c r="I288" i="1"/>
  <c r="I77" i="1"/>
  <c r="I521" i="1"/>
  <c r="I232" i="1"/>
  <c r="I391" i="1"/>
  <c r="I162" i="1"/>
  <c r="I369" i="1"/>
  <c r="I401" i="1"/>
  <c r="I412" i="1"/>
  <c r="I67" i="1"/>
  <c r="I343" i="1"/>
  <c r="I191" i="1"/>
  <c r="I207" i="1"/>
  <c r="I138" i="1"/>
  <c r="I290" i="1"/>
  <c r="I282" i="1"/>
  <c r="I100" i="1"/>
  <c r="I220" i="1"/>
  <c r="I308" i="1"/>
  <c r="I364" i="1"/>
  <c r="I388" i="1"/>
  <c r="I33" i="1"/>
  <c r="I448" i="1"/>
  <c r="I209" i="1"/>
  <c r="I83" i="1"/>
  <c r="I400" i="1"/>
  <c r="I331" i="1"/>
  <c r="I241" i="1"/>
  <c r="I185" i="1"/>
  <c r="I512" i="1"/>
  <c r="I193" i="1"/>
  <c r="I546" i="1"/>
  <c r="I82" i="1"/>
  <c r="I310" i="1"/>
  <c r="I235" i="1"/>
  <c r="I433" i="1"/>
  <c r="I560" i="1"/>
  <c r="I493" i="1"/>
  <c r="I366" i="1"/>
  <c r="I328" i="1"/>
  <c r="I70" i="1"/>
  <c r="I475" i="1"/>
  <c r="I269" i="1"/>
  <c r="I285" i="1"/>
  <c r="I46" i="1"/>
  <c r="I176" i="1"/>
  <c r="I264" i="1"/>
  <c r="I256" i="1"/>
  <c r="I408" i="1"/>
  <c r="I437" i="1"/>
  <c r="I405" i="1"/>
  <c r="I219" i="1"/>
  <c r="I466" i="1"/>
  <c r="I52" i="1"/>
  <c r="I111" i="1"/>
  <c r="I535" i="1"/>
  <c r="I106" i="1"/>
  <c r="I255" i="1"/>
  <c r="I553" i="1"/>
  <c r="I539" i="1"/>
  <c r="I374" i="1"/>
  <c r="I426" i="1"/>
  <c r="I116" i="1"/>
  <c r="I503" i="1"/>
  <c r="I48" i="1"/>
  <c r="I557" i="1"/>
  <c r="I451" i="1"/>
  <c r="I345" i="1"/>
  <c r="I213" i="1"/>
  <c r="I156" i="1"/>
  <c r="I217" i="1"/>
  <c r="I261" i="1"/>
  <c r="I74" i="1"/>
  <c r="I226" i="1"/>
  <c r="I218" i="1"/>
  <c r="I41" i="1"/>
  <c r="I432" i="1"/>
  <c r="I514" i="1"/>
  <c r="I522" i="1"/>
  <c r="I341" i="1"/>
  <c r="I569" i="1"/>
  <c r="I513" i="1"/>
  <c r="I414" i="1"/>
  <c r="I65" i="1"/>
  <c r="I242" i="1"/>
  <c r="I190" i="1"/>
  <c r="I270" i="1"/>
  <c r="I284" i="1"/>
  <c r="I337" i="1"/>
  <c r="I89" i="1"/>
  <c r="I266" i="1"/>
  <c r="I140" i="1"/>
  <c r="I382" i="1"/>
  <c r="I436" i="1"/>
  <c r="I110" i="1"/>
  <c r="I47" i="1"/>
  <c r="I181" i="1"/>
  <c r="I559" i="1"/>
  <c r="I248" i="1"/>
  <c r="I561" i="1"/>
  <c r="I88" i="1"/>
  <c r="I289" i="1"/>
  <c r="I407" i="1"/>
  <c r="I39" i="1"/>
  <c r="I129" i="1"/>
  <c r="I540" i="1"/>
  <c r="I548" i="1"/>
  <c r="I395" i="1"/>
  <c r="I141" i="1"/>
  <c r="I157" i="1"/>
  <c r="I109" i="1"/>
  <c r="I170" i="1"/>
  <c r="I258" i="1"/>
  <c r="I108" i="1"/>
  <c r="I132" i="1"/>
  <c r="I50" i="1"/>
  <c r="I283" i="1"/>
  <c r="I431" i="1"/>
  <c r="I550" i="1"/>
  <c r="I286" i="1"/>
  <c r="I247" i="1"/>
  <c r="I147" i="1"/>
  <c r="I474" i="1"/>
  <c r="I373" i="1"/>
  <c r="I314" i="1"/>
  <c r="I168" i="1"/>
  <c r="I531" i="1"/>
  <c r="I171" i="1"/>
  <c r="I294" i="1"/>
  <c r="I377" i="1"/>
  <c r="I532" i="1"/>
  <c r="I154" i="1"/>
  <c r="I244" i="1"/>
  <c r="I500" i="1"/>
  <c r="I118" i="1"/>
  <c r="I44" i="1"/>
  <c r="I368" i="1"/>
  <c r="I456" i="1"/>
  <c r="I53" i="1"/>
  <c r="I441" i="1"/>
  <c r="I323" i="1"/>
  <c r="I334" i="1"/>
  <c r="I177" i="1"/>
  <c r="I386" i="1"/>
  <c r="I354" i="1"/>
  <c r="I143" i="1"/>
  <c r="I333" i="1"/>
  <c r="I45" i="1"/>
  <c r="I339" i="1"/>
  <c r="I201" i="1"/>
  <c r="I216" i="1"/>
  <c r="I406" i="1"/>
  <c r="I161" i="1"/>
  <c r="I376" i="1"/>
  <c r="I81" i="1"/>
  <c r="I469" i="1"/>
  <c r="I570" i="1"/>
  <c r="I221" i="1"/>
  <c r="I556" i="1"/>
  <c r="I98" i="1"/>
  <c r="I519" i="1"/>
  <c r="I260" i="1"/>
  <c r="I330" i="1"/>
  <c r="I211" i="1"/>
  <c r="I417" i="1"/>
  <c r="I387" i="1"/>
  <c r="I28" i="1"/>
  <c r="I357" i="1"/>
  <c r="I243" i="1"/>
  <c r="I227" i="1"/>
  <c r="I552" i="1"/>
  <c r="I464" i="1"/>
  <c r="I472" i="1"/>
  <c r="I359" i="1"/>
  <c r="I151" i="1"/>
  <c r="I547" i="1"/>
  <c r="I491" i="1"/>
  <c r="I385" i="1"/>
  <c r="I62" i="1"/>
  <c r="I445" i="1"/>
  <c r="I449" i="1"/>
  <c r="I427" i="1"/>
  <c r="I301" i="1"/>
  <c r="I203" i="1"/>
  <c r="I68" i="1"/>
  <c r="I551" i="1"/>
  <c r="I471" i="1"/>
  <c r="I234" i="1"/>
  <c r="I127" i="1"/>
  <c r="I489" i="1"/>
  <c r="I402" i="1"/>
  <c r="I325" i="1"/>
  <c r="I555" i="1"/>
  <c r="I344" i="1"/>
  <c r="I150" i="1"/>
  <c r="I435" i="1"/>
  <c r="I488" i="1"/>
  <c r="I506" i="1"/>
  <c r="J555" i="1" l="1"/>
  <c r="K555" i="1"/>
  <c r="J491" i="1"/>
  <c r="K491" i="1"/>
  <c r="J519" i="1"/>
  <c r="K519" i="1"/>
  <c r="J339" i="1"/>
  <c r="K339" i="1"/>
  <c r="P339" i="1" s="1"/>
  <c r="J368" i="1"/>
  <c r="K368" i="1"/>
  <c r="J314" i="1"/>
  <c r="K314" i="1"/>
  <c r="M314" i="1" s="1"/>
  <c r="J258" i="1"/>
  <c r="K258" i="1"/>
  <c r="J88" i="1"/>
  <c r="N88" i="1" s="1"/>
  <c r="K88" i="1"/>
  <c r="P88" i="1" s="1"/>
  <c r="J337" i="1"/>
  <c r="K337" i="1"/>
  <c r="P337" i="1" s="1"/>
  <c r="J432" i="1"/>
  <c r="K432" i="1"/>
  <c r="J374" i="1"/>
  <c r="K374" i="1"/>
  <c r="J408" i="1"/>
  <c r="K408" i="1"/>
  <c r="J185" i="1"/>
  <c r="N185" i="1" s="1"/>
  <c r="K185" i="1"/>
  <c r="P185" i="1" s="1"/>
  <c r="J83" i="1"/>
  <c r="N83" i="1" s="1"/>
  <c r="K83" i="1"/>
  <c r="J391" i="1"/>
  <c r="K391" i="1"/>
  <c r="J442" i="1"/>
  <c r="K442" i="1"/>
  <c r="J543" i="1"/>
  <c r="K543" i="1"/>
  <c r="J66" i="1"/>
  <c r="N66" i="1" s="1"/>
  <c r="K66" i="1"/>
  <c r="P66" i="1" s="1"/>
  <c r="J174" i="1"/>
  <c r="N174" i="1" s="1"/>
  <c r="K174" i="1"/>
  <c r="P174" i="1" s="1"/>
  <c r="J300" i="1"/>
  <c r="K300" i="1"/>
  <c r="M300" i="1" s="1"/>
  <c r="J567" i="1"/>
  <c r="K567" i="1"/>
  <c r="J476" i="1"/>
  <c r="K476" i="1"/>
  <c r="J114" i="1"/>
  <c r="N114" i="1" s="1"/>
  <c r="K114" i="1"/>
  <c r="P114" i="1" s="1"/>
  <c r="J438" i="1"/>
  <c r="K438" i="1"/>
  <c r="J423" i="1"/>
  <c r="K423" i="1"/>
  <c r="J107" i="1"/>
  <c r="N107" i="1" s="1"/>
  <c r="K107" i="1"/>
  <c r="J303" i="1"/>
  <c r="K303" i="1"/>
  <c r="P303" i="1" s="1"/>
  <c r="J411" i="1"/>
  <c r="K411" i="1"/>
  <c r="J326" i="1"/>
  <c r="K326" i="1"/>
  <c r="M326" i="1" s="1"/>
  <c r="J61" i="1"/>
  <c r="N61" i="1" s="1"/>
  <c r="K61" i="1"/>
  <c r="P61" i="1" s="1"/>
  <c r="J195" i="1"/>
  <c r="N195" i="1" s="1"/>
  <c r="K195" i="1"/>
  <c r="P195" i="1" s="1"/>
  <c r="K435" i="1"/>
  <c r="J435" i="1"/>
  <c r="J203" i="1"/>
  <c r="N203" i="1" s="1"/>
  <c r="K203" i="1"/>
  <c r="M203" i="1" s="1"/>
  <c r="J445" i="1"/>
  <c r="K445" i="1"/>
  <c r="J357" i="1"/>
  <c r="K357" i="1"/>
  <c r="M357" i="1" s="1"/>
  <c r="J211" i="1"/>
  <c r="K211" i="1"/>
  <c r="M211" i="1" s="1"/>
  <c r="J98" i="1"/>
  <c r="N98" i="1" s="1"/>
  <c r="K98" i="1"/>
  <c r="J469" i="1"/>
  <c r="K469" i="1"/>
  <c r="J406" i="1"/>
  <c r="K406" i="1"/>
  <c r="J45" i="1"/>
  <c r="N45" i="1" s="1"/>
  <c r="K45" i="1"/>
  <c r="P45" i="1" s="1"/>
  <c r="J386" i="1"/>
  <c r="K386" i="1"/>
  <c r="J441" i="1"/>
  <c r="K441" i="1"/>
  <c r="J44" i="1"/>
  <c r="N44" i="1" s="1"/>
  <c r="K44" i="1"/>
  <c r="M44" i="1" s="1"/>
  <c r="J154" i="1"/>
  <c r="N154" i="1" s="1"/>
  <c r="K154" i="1"/>
  <c r="P154" i="1" s="1"/>
  <c r="J171" i="1"/>
  <c r="N171" i="1" s="1"/>
  <c r="K171" i="1"/>
  <c r="P171" i="1" s="1"/>
  <c r="J373" i="1"/>
  <c r="K373" i="1"/>
  <c r="J286" i="1"/>
  <c r="K286" i="1"/>
  <c r="M286" i="1" s="1"/>
  <c r="J50" i="1"/>
  <c r="N50" i="1" s="1"/>
  <c r="K50" i="1"/>
  <c r="P50" i="1" s="1"/>
  <c r="J170" i="1"/>
  <c r="N170" i="1" s="1"/>
  <c r="K170" i="1"/>
  <c r="M170" i="1" s="1"/>
  <c r="J395" i="1"/>
  <c r="K395" i="1"/>
  <c r="J39" i="1"/>
  <c r="N39" i="1" s="1"/>
  <c r="K39" i="1"/>
  <c r="P39" i="1" s="1"/>
  <c r="J561" i="1"/>
  <c r="K561" i="1"/>
  <c r="J47" i="1"/>
  <c r="N47" i="1" s="1"/>
  <c r="K47" i="1"/>
  <c r="P47" i="1" s="1"/>
  <c r="J140" i="1"/>
  <c r="N140" i="1" s="1"/>
  <c r="K140" i="1"/>
  <c r="J284" i="1"/>
  <c r="K284" i="1"/>
  <c r="M284" i="1" s="1"/>
  <c r="J65" i="1"/>
  <c r="N65" i="1" s="1"/>
  <c r="K65" i="1"/>
  <c r="P65" i="1" s="1"/>
  <c r="J341" i="1"/>
  <c r="K341" i="1"/>
  <c r="P341" i="1" s="1"/>
  <c r="J41" i="1"/>
  <c r="N41" i="1" s="1"/>
  <c r="K41" i="1"/>
  <c r="J261" i="1"/>
  <c r="K261" i="1"/>
  <c r="M261" i="1" s="1"/>
  <c r="J345" i="1"/>
  <c r="K345" i="1"/>
  <c r="J503" i="1"/>
  <c r="K503" i="1"/>
  <c r="J539" i="1"/>
  <c r="K539" i="1"/>
  <c r="J535" i="1"/>
  <c r="K535" i="1"/>
  <c r="J219" i="1"/>
  <c r="K219" i="1"/>
  <c r="P219" i="1" s="1"/>
  <c r="J256" i="1"/>
  <c r="K256" i="1"/>
  <c r="M256" i="1" s="1"/>
  <c r="J285" i="1"/>
  <c r="K285" i="1"/>
  <c r="P285" i="1" s="1"/>
  <c r="J328" i="1"/>
  <c r="K328" i="1"/>
  <c r="P328" i="1" s="1"/>
  <c r="J433" i="1"/>
  <c r="K433" i="1"/>
  <c r="J546" i="1"/>
  <c r="K546" i="1"/>
  <c r="J241" i="1"/>
  <c r="K241" i="1"/>
  <c r="M241" i="1" s="1"/>
  <c r="J209" i="1"/>
  <c r="N209" i="1" s="1"/>
  <c r="K209" i="1"/>
  <c r="P209" i="1" s="1"/>
  <c r="J364" i="1"/>
  <c r="K364" i="1"/>
  <c r="J282" i="1"/>
  <c r="K282" i="1"/>
  <c r="M282" i="1" s="1"/>
  <c r="J191" i="1"/>
  <c r="N191" i="1" s="1"/>
  <c r="K191" i="1"/>
  <c r="J401" i="1"/>
  <c r="K401" i="1"/>
  <c r="J232" i="1"/>
  <c r="K232" i="1"/>
  <c r="P232" i="1" s="1"/>
  <c r="J179" i="1"/>
  <c r="N179" i="1" s="1"/>
  <c r="K179" i="1"/>
  <c r="P179" i="1" s="1"/>
  <c r="J71" i="1"/>
  <c r="N71" i="1" s="1"/>
  <c r="K71" i="1"/>
  <c r="P71" i="1" s="1"/>
  <c r="J538" i="1"/>
  <c r="K538" i="1"/>
  <c r="J137" i="1"/>
  <c r="N137" i="1" s="1"/>
  <c r="K137" i="1"/>
  <c r="P137" i="1" s="1"/>
  <c r="J139" i="1"/>
  <c r="N139" i="1" s="1"/>
  <c r="K139" i="1"/>
  <c r="M139" i="1" s="1"/>
  <c r="J212" i="1"/>
  <c r="K212" i="1"/>
  <c r="P212" i="1" s="1"/>
  <c r="J296" i="1"/>
  <c r="K296" i="1"/>
  <c r="M296" i="1" s="1"/>
  <c r="J505" i="1"/>
  <c r="K505" i="1"/>
  <c r="J121" i="1"/>
  <c r="N121" i="1" s="1"/>
  <c r="K121" i="1"/>
  <c r="P121" i="1" s="1"/>
  <c r="J117" i="1"/>
  <c r="N117" i="1" s="1"/>
  <c r="K117" i="1"/>
  <c r="M117" i="1" s="1"/>
  <c r="J202" i="1"/>
  <c r="N202" i="1" s="1"/>
  <c r="K202" i="1"/>
  <c r="M202" i="1" s="1"/>
  <c r="J101" i="1"/>
  <c r="N101" i="1" s="1"/>
  <c r="K101" i="1"/>
  <c r="M101" i="1" s="1"/>
  <c r="J527" i="1"/>
  <c r="K527" i="1"/>
  <c r="J473" i="1"/>
  <c r="K473" i="1"/>
  <c r="J159" i="1"/>
  <c r="N159" i="1" s="1"/>
  <c r="K159" i="1"/>
  <c r="M159" i="1" s="1"/>
  <c r="J549" i="1"/>
  <c r="K549" i="1"/>
  <c r="J460" i="1"/>
  <c r="K460" i="1"/>
  <c r="J194" i="1"/>
  <c r="N194" i="1" s="1"/>
  <c r="K194" i="1"/>
  <c r="M194" i="1" s="1"/>
  <c r="J29" i="1"/>
  <c r="N29" i="1" s="1"/>
  <c r="K29" i="1"/>
  <c r="M29" i="1" s="1"/>
  <c r="J454" i="1"/>
  <c r="K454" i="1"/>
  <c r="J564" i="1"/>
  <c r="K564" i="1"/>
  <c r="J40" i="1"/>
  <c r="N40" i="1" s="1"/>
  <c r="K40" i="1"/>
  <c r="P40" i="1" s="1"/>
  <c r="J485" i="1"/>
  <c r="K485" i="1"/>
  <c r="J122" i="1"/>
  <c r="N122" i="1" s="1"/>
  <c r="K122" i="1"/>
  <c r="M122" i="1" s="1"/>
  <c r="J97" i="1"/>
  <c r="N97" i="1" s="1"/>
  <c r="K97" i="1"/>
  <c r="P97" i="1" s="1"/>
  <c r="J398" i="1"/>
  <c r="K398" i="1"/>
  <c r="J49" i="1"/>
  <c r="N49" i="1" s="1"/>
  <c r="K49" i="1"/>
  <c r="M49" i="1" s="1"/>
  <c r="J520" i="1"/>
  <c r="K520" i="1"/>
  <c r="J425" i="1"/>
  <c r="K425" i="1"/>
  <c r="J34" i="1"/>
  <c r="N34" i="1" s="1"/>
  <c r="K34" i="1"/>
  <c r="J189" i="1"/>
  <c r="N189" i="1" s="1"/>
  <c r="K189" i="1"/>
  <c r="P189" i="1" s="1"/>
  <c r="J120" i="1"/>
  <c r="N120" i="1" s="1"/>
  <c r="K120" i="1"/>
  <c r="P120" i="1" s="1"/>
  <c r="J362" i="1"/>
  <c r="K362" i="1"/>
  <c r="J455" i="1"/>
  <c r="K455" i="1"/>
  <c r="J262" i="1"/>
  <c r="K262" i="1"/>
  <c r="M262" i="1" s="1"/>
  <c r="J166" i="1"/>
  <c r="N166" i="1" s="1"/>
  <c r="K166" i="1"/>
  <c r="J58" i="1"/>
  <c r="K58" i="1"/>
  <c r="M58" i="1" s="1"/>
  <c r="J534" i="1"/>
  <c r="K534" i="1"/>
  <c r="J482" i="1"/>
  <c r="K482" i="1"/>
  <c r="J518" i="1"/>
  <c r="K518" i="1"/>
  <c r="J148" i="1"/>
  <c r="K148" i="1"/>
  <c r="M148" i="1" s="1"/>
  <c r="J511" i="1"/>
  <c r="K511" i="1"/>
  <c r="J501" i="1"/>
  <c r="K501" i="1"/>
  <c r="J410" i="1"/>
  <c r="K410" i="1"/>
  <c r="J26" i="1"/>
  <c r="N26" i="1" s="1"/>
  <c r="K26" i="1"/>
  <c r="P26" i="1" s="1"/>
  <c r="J462" i="1"/>
  <c r="K462" i="1"/>
  <c r="J508" i="1"/>
  <c r="K508" i="1"/>
  <c r="J196" i="1"/>
  <c r="N196" i="1" s="1"/>
  <c r="K196" i="1"/>
  <c r="P196" i="1" s="1"/>
  <c r="J363" i="1"/>
  <c r="K363" i="1"/>
  <c r="P363" i="1" s="1"/>
  <c r="J524" i="1"/>
  <c r="K524" i="1"/>
  <c r="J367" i="1"/>
  <c r="K367" i="1"/>
  <c r="J356" i="1"/>
  <c r="K356" i="1"/>
  <c r="J54" i="1"/>
  <c r="N54" i="1" s="1"/>
  <c r="K54" i="1"/>
  <c r="M54" i="1" s="1"/>
  <c r="J158" i="1"/>
  <c r="N158" i="1" s="1"/>
  <c r="K158" i="1"/>
  <c r="M158" i="1" s="1"/>
  <c r="J299" i="1"/>
  <c r="K299" i="1"/>
  <c r="P299" i="1" s="1"/>
  <c r="J450" i="1"/>
  <c r="K450" i="1"/>
  <c r="J233" i="1"/>
  <c r="K233" i="1"/>
  <c r="M233" i="1" s="1"/>
  <c r="J225" i="1"/>
  <c r="K225" i="1"/>
  <c r="P225" i="1" s="1"/>
  <c r="J554" i="1"/>
  <c r="K554" i="1"/>
  <c r="J206" i="1"/>
  <c r="N206" i="1" s="1"/>
  <c r="K206" i="1"/>
  <c r="M206" i="1" s="1"/>
  <c r="J183" i="1"/>
  <c r="N183" i="1" s="1"/>
  <c r="K183" i="1"/>
  <c r="J397" i="1"/>
  <c r="K397" i="1"/>
  <c r="J467" i="1"/>
  <c r="K467" i="1"/>
  <c r="J119" i="1"/>
  <c r="N119" i="1" s="1"/>
  <c r="K119" i="1"/>
  <c r="J198" i="1"/>
  <c r="K198" i="1"/>
  <c r="P198" i="1" s="1"/>
  <c r="J447" i="1"/>
  <c r="K447" i="1"/>
  <c r="J516" i="1"/>
  <c r="K516" i="1"/>
  <c r="J99" i="1"/>
  <c r="N99" i="1" s="1"/>
  <c r="K99" i="1"/>
  <c r="J200" i="1"/>
  <c r="N200" i="1" s="1"/>
  <c r="K200" i="1"/>
  <c r="P200" i="1" s="1"/>
  <c r="J324" i="1"/>
  <c r="K324" i="1"/>
  <c r="P324" i="1" s="1"/>
  <c r="J236" i="1"/>
  <c r="K236" i="1"/>
  <c r="P236" i="1" s="1"/>
  <c r="J229" i="1"/>
  <c r="K229" i="1"/>
  <c r="M229" i="1" s="1"/>
  <c r="J452" i="1"/>
  <c r="K452" i="1"/>
  <c r="J84" i="1"/>
  <c r="N84" i="1" s="1"/>
  <c r="K84" i="1"/>
  <c r="P84" i="1" s="1"/>
  <c r="J93" i="1"/>
  <c r="N93" i="1" s="1"/>
  <c r="K93" i="1"/>
  <c r="J523" i="1"/>
  <c r="K523" i="1"/>
  <c r="J409" i="1"/>
  <c r="K409" i="1"/>
  <c r="J96" i="1"/>
  <c r="N96" i="1" s="1"/>
  <c r="K96" i="1"/>
  <c r="J396" i="1"/>
  <c r="K396" i="1"/>
  <c r="J274" i="1"/>
  <c r="K274" i="1"/>
  <c r="M274" i="1" s="1"/>
  <c r="J135" i="1"/>
  <c r="N135" i="1" s="1"/>
  <c r="K135" i="1"/>
  <c r="M135" i="1" s="1"/>
  <c r="J434" i="1"/>
  <c r="K434" i="1"/>
  <c r="J295" i="1"/>
  <c r="K295" i="1"/>
  <c r="P295" i="1" s="1"/>
  <c r="J186" i="1"/>
  <c r="N186" i="1" s="1"/>
  <c r="K186" i="1"/>
  <c r="J25" i="1"/>
  <c r="N25" i="1" s="1"/>
  <c r="K25" i="1"/>
  <c r="P25" i="1" s="1"/>
  <c r="J306" i="1"/>
  <c r="K306" i="1"/>
  <c r="P306" i="1" s="1"/>
  <c r="J271" i="1"/>
  <c r="K271" i="1"/>
  <c r="P271" i="1" s="1"/>
  <c r="J413" i="1"/>
  <c r="K413" i="1"/>
  <c r="J127" i="1"/>
  <c r="K127" i="1"/>
  <c r="M127" i="1" s="1"/>
  <c r="J68" i="1"/>
  <c r="N68" i="1" s="1"/>
  <c r="K68" i="1"/>
  <c r="J472" i="1"/>
  <c r="K472" i="1"/>
  <c r="J243" i="1"/>
  <c r="K243" i="1"/>
  <c r="J161" i="1"/>
  <c r="N161" i="1" s="1"/>
  <c r="K161" i="1"/>
  <c r="P161" i="1" s="1"/>
  <c r="J354" i="1"/>
  <c r="K354" i="1"/>
  <c r="M354" i="1" s="1"/>
  <c r="J244" i="1"/>
  <c r="K244" i="1"/>
  <c r="P244" i="1" s="1"/>
  <c r="J247" i="1"/>
  <c r="K247" i="1"/>
  <c r="P247" i="1" s="1"/>
  <c r="J129" i="1"/>
  <c r="N129" i="1" s="1"/>
  <c r="K129" i="1"/>
  <c r="P129" i="1" s="1"/>
  <c r="J181" i="1"/>
  <c r="N181" i="1" s="1"/>
  <c r="K181" i="1"/>
  <c r="M181" i="1" s="1"/>
  <c r="J242" i="1"/>
  <c r="K242" i="1"/>
  <c r="M242" i="1" s="1"/>
  <c r="J74" i="1"/>
  <c r="N74" i="1" s="1"/>
  <c r="K74" i="1"/>
  <c r="J466" i="1"/>
  <c r="K466" i="1"/>
  <c r="J560" i="1"/>
  <c r="K560" i="1"/>
  <c r="J388" i="1"/>
  <c r="K388" i="1"/>
  <c r="J207" i="1"/>
  <c r="N207" i="1" s="1"/>
  <c r="K207" i="1"/>
  <c r="M207" i="1" s="1"/>
  <c r="J288" i="1"/>
  <c r="K288" i="1"/>
  <c r="P288" i="1" s="1"/>
  <c r="J544" i="1"/>
  <c r="K544" i="1"/>
  <c r="J204" i="1"/>
  <c r="K204" i="1"/>
  <c r="P204" i="1" s="1"/>
  <c r="J526" i="1"/>
  <c r="K526" i="1"/>
  <c r="J79" i="1"/>
  <c r="N79" i="1" s="1"/>
  <c r="K79" i="1"/>
  <c r="P79" i="1" s="1"/>
  <c r="J208" i="1"/>
  <c r="N208" i="1" s="1"/>
  <c r="K208" i="1"/>
  <c r="M208" i="1" s="1"/>
  <c r="J495" i="1"/>
  <c r="K495" i="1"/>
  <c r="J272" i="1"/>
  <c r="K272" i="1"/>
  <c r="J424" i="1"/>
  <c r="K424" i="1"/>
  <c r="J393" i="1"/>
  <c r="K393" i="1"/>
  <c r="J545" i="1"/>
  <c r="K545" i="1"/>
  <c r="J63" i="1"/>
  <c r="N63" i="1" s="1"/>
  <c r="K63" i="1"/>
  <c r="J481" i="1"/>
  <c r="K481" i="1"/>
  <c r="J228" i="1"/>
  <c r="K228" i="1"/>
  <c r="J444" i="1"/>
  <c r="K444" i="1"/>
  <c r="J325" i="1"/>
  <c r="K325" i="1"/>
  <c r="J547" i="1"/>
  <c r="K547" i="1"/>
  <c r="J150" i="1"/>
  <c r="N150" i="1" s="1"/>
  <c r="K150" i="1"/>
  <c r="J402" i="1"/>
  <c r="K402" i="1"/>
  <c r="J471" i="1"/>
  <c r="K471" i="1"/>
  <c r="J301" i="1"/>
  <c r="K301" i="1"/>
  <c r="P301" i="1" s="1"/>
  <c r="J62" i="1"/>
  <c r="N62" i="1" s="1"/>
  <c r="K62" i="1"/>
  <c r="M62" i="1" s="1"/>
  <c r="J151" i="1"/>
  <c r="K151" i="1"/>
  <c r="M151" i="1" s="1"/>
  <c r="J552" i="1"/>
  <c r="K552" i="1"/>
  <c r="J28" i="1"/>
  <c r="K28" i="1"/>
  <c r="M28" i="1" s="1"/>
  <c r="J330" i="1"/>
  <c r="K330" i="1"/>
  <c r="J556" i="1"/>
  <c r="K556" i="1"/>
  <c r="J81" i="1"/>
  <c r="N81" i="1" s="1"/>
  <c r="K81" i="1"/>
  <c r="M81" i="1" s="1"/>
  <c r="J216" i="1"/>
  <c r="K162" i="3" s="1"/>
  <c r="K216" i="1"/>
  <c r="P216" i="1" s="1"/>
  <c r="J333" i="1"/>
  <c r="K333" i="1"/>
  <c r="M333" i="1" s="1"/>
  <c r="J177" i="1"/>
  <c r="K177" i="1"/>
  <c r="M177" i="1" s="1"/>
  <c r="J53" i="1"/>
  <c r="N53" i="1" s="1"/>
  <c r="K53" i="1"/>
  <c r="J118" i="1"/>
  <c r="K118" i="1"/>
  <c r="P118" i="1" s="1"/>
  <c r="J532" i="1"/>
  <c r="K532" i="1"/>
  <c r="J531" i="1"/>
  <c r="K531" i="1"/>
  <c r="J474" i="1"/>
  <c r="K474" i="1"/>
  <c r="J550" i="1"/>
  <c r="K550" i="1"/>
  <c r="J132" i="1"/>
  <c r="N132" i="1" s="1"/>
  <c r="K132" i="1"/>
  <c r="M132" i="1" s="1"/>
  <c r="J109" i="1"/>
  <c r="K109" i="1"/>
  <c r="P109" i="1" s="1"/>
  <c r="J548" i="1"/>
  <c r="K548" i="1"/>
  <c r="J407" i="1"/>
  <c r="K407" i="1"/>
  <c r="J248" i="1"/>
  <c r="K248" i="1"/>
  <c r="P248" i="1" s="1"/>
  <c r="J110" i="1"/>
  <c r="N110" i="1" s="1"/>
  <c r="K110" i="1"/>
  <c r="P110" i="1" s="1"/>
  <c r="J266" i="1"/>
  <c r="K266" i="1"/>
  <c r="P266" i="1" s="1"/>
  <c r="J270" i="1"/>
  <c r="K270" i="1"/>
  <c r="M270" i="1" s="1"/>
  <c r="J414" i="1"/>
  <c r="K414" i="1"/>
  <c r="J522" i="1"/>
  <c r="K522" i="1"/>
  <c r="J218" i="1"/>
  <c r="K218" i="1"/>
  <c r="M218" i="1" s="1"/>
  <c r="J217" i="1"/>
  <c r="K217" i="1"/>
  <c r="P217" i="1" s="1"/>
  <c r="J451" i="1"/>
  <c r="K451" i="1"/>
  <c r="J116" i="1"/>
  <c r="N116" i="1" s="1"/>
  <c r="K116" i="1"/>
  <c r="M116" i="1" s="1"/>
  <c r="J553" i="1"/>
  <c r="K553" i="1"/>
  <c r="J111" i="1"/>
  <c r="K111" i="1"/>
  <c r="P111" i="1" s="1"/>
  <c r="J405" i="1"/>
  <c r="K405" i="1"/>
  <c r="J264" i="1"/>
  <c r="K264" i="1"/>
  <c r="M264" i="1" s="1"/>
  <c r="J269" i="1"/>
  <c r="K269" i="1"/>
  <c r="J366" i="1"/>
  <c r="K366" i="1"/>
  <c r="J235" i="1"/>
  <c r="K235" i="1"/>
  <c r="M235" i="1" s="1"/>
  <c r="J193" i="1"/>
  <c r="K193" i="1"/>
  <c r="P193" i="1" s="1"/>
  <c r="J331" i="1"/>
  <c r="K331" i="1"/>
  <c r="P331" i="1" s="1"/>
  <c r="J448" i="1"/>
  <c r="K448" i="1"/>
  <c r="J308" i="1"/>
  <c r="K308" i="1"/>
  <c r="M308" i="1" s="1"/>
  <c r="J290" i="1"/>
  <c r="K290" i="1"/>
  <c r="P290" i="1" s="1"/>
  <c r="J343" i="1"/>
  <c r="K343" i="1"/>
  <c r="J369" i="1"/>
  <c r="K369" i="1"/>
  <c r="J521" i="1"/>
  <c r="K521" i="1"/>
  <c r="J370" i="1"/>
  <c r="K370" i="1"/>
  <c r="J246" i="1"/>
  <c r="K246" i="1"/>
  <c r="M246" i="1" s="1"/>
  <c r="J237" i="1"/>
  <c r="K237" i="1"/>
  <c r="P237" i="1" s="1"/>
  <c r="J249" i="1"/>
  <c r="K249" i="1"/>
  <c r="P249" i="1" s="1"/>
  <c r="J309" i="1"/>
  <c r="K309" i="1"/>
  <c r="P309" i="1" s="1"/>
  <c r="J124" i="1"/>
  <c r="N124" i="1" s="1"/>
  <c r="K124" i="1"/>
  <c r="J457" i="1"/>
  <c r="K457" i="1"/>
  <c r="J86" i="1"/>
  <c r="N86" i="1" s="1"/>
  <c r="K86" i="1"/>
  <c r="J443" i="1"/>
  <c r="K443" i="1"/>
  <c r="J372" i="1"/>
  <c r="K372" i="1"/>
  <c r="J35" i="1"/>
  <c r="N35" i="1" s="1"/>
  <c r="K35" i="1"/>
  <c r="M35" i="1" s="1"/>
  <c r="J94" i="1"/>
  <c r="N94" i="1" s="1"/>
  <c r="K94" i="1"/>
  <c r="J239" i="1"/>
  <c r="K239" i="1"/>
  <c r="M239" i="1" s="1"/>
  <c r="J497" i="1"/>
  <c r="K497" i="1"/>
  <c r="J453" i="1"/>
  <c r="K453" i="1"/>
  <c r="J95" i="1"/>
  <c r="N95" i="1" s="1"/>
  <c r="K95" i="1"/>
  <c r="J379" i="1"/>
  <c r="K379" i="1"/>
  <c r="J498" i="1"/>
  <c r="K498" i="1"/>
  <c r="J479" i="1"/>
  <c r="K479" i="1"/>
  <c r="J287" i="1"/>
  <c r="K287" i="1"/>
  <c r="M287" i="1" s="1"/>
  <c r="J38" i="1"/>
  <c r="K38" i="1"/>
  <c r="P38" i="1" s="1"/>
  <c r="J504" i="1"/>
  <c r="K504" i="1"/>
  <c r="J292" i="1"/>
  <c r="K292" i="1"/>
  <c r="M292" i="1" s="1"/>
  <c r="J415" i="1"/>
  <c r="K415" i="1"/>
  <c r="J257" i="1"/>
  <c r="K257" i="1"/>
  <c r="M257" i="1" s="1"/>
  <c r="J153" i="1"/>
  <c r="N153" i="1" s="1"/>
  <c r="K153" i="1"/>
  <c r="M153" i="1" s="1"/>
  <c r="J199" i="1"/>
  <c r="K199" i="1"/>
  <c r="M199" i="1" s="1"/>
  <c r="J281" i="1"/>
  <c r="K281" i="1"/>
  <c r="J558" i="1"/>
  <c r="K558" i="1"/>
  <c r="J320" i="1"/>
  <c r="K320" i="1"/>
  <c r="J184" i="1"/>
  <c r="N184" i="1" s="1"/>
  <c r="K184" i="1"/>
  <c r="M184" i="1" s="1"/>
  <c r="J525" i="1"/>
  <c r="K525" i="1"/>
  <c r="J60" i="1"/>
  <c r="K60" i="1"/>
  <c r="P60" i="1" s="1"/>
  <c r="J421" i="1"/>
  <c r="K421" i="1"/>
  <c r="J224" i="1"/>
  <c r="K224" i="1"/>
  <c r="P224" i="1" s="1"/>
  <c r="J305" i="1"/>
  <c r="K305" i="1"/>
  <c r="M305" i="1" s="1"/>
  <c r="J536" i="1"/>
  <c r="K536" i="1"/>
  <c r="J252" i="1"/>
  <c r="K252" i="1"/>
  <c r="M252" i="1" s="1"/>
  <c r="J329" i="1"/>
  <c r="K329" i="1"/>
  <c r="P329" i="1" s="1"/>
  <c r="J568" i="1"/>
  <c r="K568" i="1"/>
  <c r="J315" i="1"/>
  <c r="K315" i="1"/>
  <c r="P315" i="1" s="1"/>
  <c r="J72" i="1"/>
  <c r="N72" i="1" s="1"/>
  <c r="K72" i="1"/>
  <c r="P72" i="1" s="1"/>
  <c r="J461" i="1"/>
  <c r="K461" i="1"/>
  <c r="J494" i="1"/>
  <c r="K494" i="1"/>
  <c r="J214" i="1"/>
  <c r="K159" i="3" s="1"/>
  <c r="K214" i="1"/>
  <c r="P214" i="1" s="1"/>
  <c r="J381" i="1"/>
  <c r="K381" i="1"/>
  <c r="J352" i="1"/>
  <c r="K352" i="1"/>
  <c r="P352" i="1" s="1"/>
  <c r="J75" i="1"/>
  <c r="N75" i="1" s="1"/>
  <c r="K75" i="1"/>
  <c r="J223" i="1"/>
  <c r="K223" i="1"/>
  <c r="P223" i="1" s="1"/>
  <c r="J463" i="1"/>
  <c r="K463" i="1"/>
  <c r="J378" i="1"/>
  <c r="K378" i="1"/>
  <c r="J268" i="1"/>
  <c r="K268" i="1"/>
  <c r="P268" i="1" s="1"/>
  <c r="J293" i="1"/>
  <c r="K293" i="1"/>
  <c r="M293" i="1" s="1"/>
  <c r="J416" i="1"/>
  <c r="K416" i="1"/>
  <c r="J180" i="1"/>
  <c r="N180" i="1" s="1"/>
  <c r="K180" i="1"/>
  <c r="M180" i="1" s="1"/>
  <c r="J321" i="1"/>
  <c r="K321" i="1"/>
  <c r="J490" i="1"/>
  <c r="K490" i="1"/>
  <c r="J355" i="1"/>
  <c r="K355" i="1"/>
  <c r="M355" i="1" s="1"/>
  <c r="J360" i="1"/>
  <c r="K360" i="1"/>
  <c r="M360" i="1" s="1"/>
  <c r="J278" i="1"/>
  <c r="K278" i="1"/>
  <c r="P278" i="1" s="1"/>
  <c r="J167" i="1"/>
  <c r="K167" i="1"/>
  <c r="M167" i="1" s="1"/>
  <c r="J361" i="1"/>
  <c r="K361" i="1"/>
  <c r="P361" i="1" s="1"/>
  <c r="J541" i="1"/>
  <c r="K541" i="1"/>
  <c r="J144" i="1"/>
  <c r="N144" i="1" s="1"/>
  <c r="K144" i="1"/>
  <c r="J163" i="1"/>
  <c r="K163" i="1"/>
  <c r="J390" i="1"/>
  <c r="K390" i="1"/>
  <c r="J145" i="1"/>
  <c r="N145" i="1" s="1"/>
  <c r="K145" i="1"/>
  <c r="P145" i="1" s="1"/>
  <c r="J115" i="1"/>
  <c r="N115" i="1" s="1"/>
  <c r="K115" i="1"/>
  <c r="J112" i="1"/>
  <c r="K112" i="1"/>
  <c r="P112" i="1" s="1"/>
  <c r="J477" i="1"/>
  <c r="K477" i="1"/>
  <c r="J375" i="1"/>
  <c r="K375" i="1"/>
  <c r="J348" i="1"/>
  <c r="K348" i="1"/>
  <c r="P348" i="1" s="1"/>
  <c r="J265" i="1"/>
  <c r="K265" i="1"/>
  <c r="P265" i="1" s="1"/>
  <c r="J371" i="1"/>
  <c r="K371" i="1"/>
  <c r="J205" i="1"/>
  <c r="K205" i="1"/>
  <c r="P205" i="1" s="1"/>
  <c r="J515" i="1"/>
  <c r="K515" i="1"/>
  <c r="J509" i="1"/>
  <c r="K509" i="1"/>
  <c r="J392" i="1"/>
  <c r="K392" i="1"/>
  <c r="J182" i="1"/>
  <c r="N182" i="1" s="1"/>
  <c r="K182" i="1"/>
  <c r="P182" i="1" s="1"/>
  <c r="J316" i="1"/>
  <c r="K316" i="1"/>
  <c r="M316" i="1" s="1"/>
  <c r="J389" i="1"/>
  <c r="K389" i="1"/>
  <c r="J322" i="1"/>
  <c r="K322" i="1"/>
  <c r="M322" i="1" s="1"/>
  <c r="J496" i="1"/>
  <c r="K496" i="1"/>
  <c r="J429" i="1"/>
  <c r="K429" i="1"/>
  <c r="J302" i="1"/>
  <c r="K302" i="1"/>
  <c r="P302" i="1" s="1"/>
  <c r="J319" i="1"/>
  <c r="K319" i="1"/>
  <c r="P319" i="1" s="1"/>
  <c r="J311" i="1"/>
  <c r="K311" i="1"/>
  <c r="P311" i="1" s="1"/>
  <c r="J125" i="1"/>
  <c r="N125" i="1" s="1"/>
  <c r="K125" i="1"/>
  <c r="P125" i="1" s="1"/>
  <c r="J488" i="1"/>
  <c r="K488" i="1"/>
  <c r="J449" i="1"/>
  <c r="K449" i="1"/>
  <c r="J417" i="1"/>
  <c r="K417" i="1"/>
  <c r="J570" i="1"/>
  <c r="K570" i="1"/>
  <c r="J323" i="1"/>
  <c r="K323" i="1"/>
  <c r="J294" i="1"/>
  <c r="K294" i="1"/>
  <c r="J283" i="1"/>
  <c r="K283" i="1"/>
  <c r="M283" i="1" s="1"/>
  <c r="J141" i="1"/>
  <c r="N141" i="1" s="1"/>
  <c r="K141" i="1"/>
  <c r="J382" i="1"/>
  <c r="K382" i="1"/>
  <c r="J569" i="1"/>
  <c r="K569" i="1"/>
  <c r="J213" i="1"/>
  <c r="K213" i="1"/>
  <c r="M213" i="1" s="1"/>
  <c r="J48" i="1"/>
  <c r="N48" i="1" s="1"/>
  <c r="K48" i="1"/>
  <c r="J106" i="1"/>
  <c r="K106" i="1"/>
  <c r="P106" i="1" s="1"/>
  <c r="J46" i="1"/>
  <c r="N46" i="1" s="1"/>
  <c r="K46" i="1"/>
  <c r="J70" i="1"/>
  <c r="K70" i="1"/>
  <c r="P70" i="1" s="1"/>
  <c r="J82" i="1"/>
  <c r="N82" i="1" s="1"/>
  <c r="K82" i="1"/>
  <c r="J100" i="1"/>
  <c r="K100" i="1"/>
  <c r="J412" i="1"/>
  <c r="K412" i="1"/>
  <c r="J458" i="1"/>
  <c r="K458" i="1"/>
  <c r="J155" i="1"/>
  <c r="N155" i="1" s="1"/>
  <c r="K155" i="1"/>
  <c r="J340" i="1"/>
  <c r="K340" i="1"/>
  <c r="M340" i="1" s="1"/>
  <c r="J76" i="1"/>
  <c r="N76" i="1" s="1"/>
  <c r="K76" i="1"/>
  <c r="J403" i="1"/>
  <c r="K403" i="1"/>
  <c r="J123" i="1"/>
  <c r="N123" i="1" s="1"/>
  <c r="K123" i="1"/>
  <c r="J87" i="1"/>
  <c r="K87" i="1"/>
  <c r="M87" i="1" s="1"/>
  <c r="J394" i="1"/>
  <c r="K394" i="1"/>
  <c r="J563" i="1"/>
  <c r="K563" i="1"/>
  <c r="J380" i="1"/>
  <c r="K380" i="1"/>
  <c r="J230" i="1"/>
  <c r="K230" i="1"/>
  <c r="M230" i="1" s="1"/>
  <c r="J80" i="1"/>
  <c r="N80" i="1" s="1"/>
  <c r="K80" i="1"/>
  <c r="P80" i="1" s="1"/>
  <c r="J105" i="1"/>
  <c r="K105" i="1"/>
  <c r="J350" i="1"/>
  <c r="K350" i="1"/>
  <c r="M350" i="1" s="1"/>
  <c r="J64" i="1"/>
  <c r="K64" i="1"/>
  <c r="P64" i="1" s="1"/>
  <c r="J234" i="1"/>
  <c r="K234" i="1"/>
  <c r="J464" i="1"/>
  <c r="K464" i="1"/>
  <c r="J506" i="1"/>
  <c r="K506" i="1"/>
  <c r="J344" i="1"/>
  <c r="K344" i="1"/>
  <c r="P344" i="1" s="1"/>
  <c r="J489" i="1"/>
  <c r="K489" i="1"/>
  <c r="J551" i="1"/>
  <c r="K551" i="1"/>
  <c r="K427" i="1"/>
  <c r="J427" i="1"/>
  <c r="J385" i="1"/>
  <c r="K385" i="1"/>
  <c r="J359" i="1"/>
  <c r="K359" i="1"/>
  <c r="M359" i="1" s="1"/>
  <c r="J227" i="1"/>
  <c r="K227" i="1"/>
  <c r="M227" i="1" s="1"/>
  <c r="J387" i="1"/>
  <c r="K387" i="1"/>
  <c r="J260" i="1"/>
  <c r="K260" i="1"/>
  <c r="P260" i="1" s="1"/>
  <c r="J221" i="1"/>
  <c r="K221" i="1"/>
  <c r="J376" i="1"/>
  <c r="K376" i="1"/>
  <c r="J201" i="1"/>
  <c r="N201" i="1" s="1"/>
  <c r="K201" i="1"/>
  <c r="J143" i="1"/>
  <c r="K143" i="1"/>
  <c r="J334" i="1"/>
  <c r="K334" i="1"/>
  <c r="M334" i="1" s="1"/>
  <c r="J456" i="1"/>
  <c r="K456" i="1"/>
  <c r="J500" i="1"/>
  <c r="K500" i="1"/>
  <c r="J377" i="1"/>
  <c r="K377" i="1"/>
  <c r="J168" i="1"/>
  <c r="N168" i="1" s="1"/>
  <c r="K168" i="1"/>
  <c r="P168" i="1" s="1"/>
  <c r="J147" i="1"/>
  <c r="N147" i="1" s="1"/>
  <c r="K147" i="1"/>
  <c r="P147" i="1" s="1"/>
  <c r="K431" i="1"/>
  <c r="J431" i="1"/>
  <c r="J108" i="1"/>
  <c r="K108" i="1"/>
  <c r="M108" i="1" s="1"/>
  <c r="J157" i="1"/>
  <c r="N157" i="1" s="1"/>
  <c r="K157" i="1"/>
  <c r="J540" i="1"/>
  <c r="K540" i="1"/>
  <c r="J289" i="1"/>
  <c r="K289" i="1"/>
  <c r="P289" i="1" s="1"/>
  <c r="J559" i="1"/>
  <c r="K559" i="1"/>
  <c r="J436" i="1"/>
  <c r="K436" i="1"/>
  <c r="J89" i="1"/>
  <c r="K89" i="1"/>
  <c r="M89" i="1" s="1"/>
  <c r="J190" i="1"/>
  <c r="N190" i="1" s="1"/>
  <c r="K190" i="1"/>
  <c r="J513" i="1"/>
  <c r="K513" i="1"/>
  <c r="J514" i="1"/>
  <c r="K514" i="1"/>
  <c r="J226" i="1"/>
  <c r="K226" i="1"/>
  <c r="P226" i="1" s="1"/>
  <c r="J156" i="1"/>
  <c r="N156" i="1" s="1"/>
  <c r="K156" i="1"/>
  <c r="P156" i="1" s="1"/>
  <c r="J557" i="1"/>
  <c r="K557" i="1"/>
  <c r="J426" i="1"/>
  <c r="K426" i="1"/>
  <c r="J255" i="1"/>
  <c r="K255" i="1"/>
  <c r="M255" i="1" s="1"/>
  <c r="J52" i="1"/>
  <c r="N52" i="1" s="1"/>
  <c r="K52" i="1"/>
  <c r="J437" i="1"/>
  <c r="K437" i="1"/>
  <c r="J176" i="1"/>
  <c r="N176" i="1" s="1"/>
  <c r="K176" i="1"/>
  <c r="P176" i="1" s="1"/>
  <c r="J475" i="1"/>
  <c r="K475" i="1"/>
  <c r="J493" i="1"/>
  <c r="K493" i="1"/>
  <c r="J310" i="1"/>
  <c r="K310" i="1"/>
  <c r="P310" i="1" s="1"/>
  <c r="J512" i="1"/>
  <c r="K512" i="1"/>
  <c r="J400" i="1"/>
  <c r="K400" i="1"/>
  <c r="J33" i="1"/>
  <c r="N33" i="1" s="1"/>
  <c r="K33" i="1"/>
  <c r="J220" i="1"/>
  <c r="K220" i="1"/>
  <c r="P220" i="1" s="1"/>
  <c r="J138" i="1"/>
  <c r="N138" i="1" s="1"/>
  <c r="K138" i="1"/>
  <c r="P138" i="1" s="1"/>
  <c r="J67" i="1"/>
  <c r="K67" i="1"/>
  <c r="J162" i="1"/>
  <c r="N162" i="1" s="1"/>
  <c r="K162" i="1"/>
  <c r="J77" i="1"/>
  <c r="K77" i="1"/>
  <c r="M77" i="1" s="1"/>
  <c r="J335" i="1"/>
  <c r="K335" i="1"/>
  <c r="M335" i="1" s="1"/>
  <c r="J399" i="1"/>
  <c r="K399" i="1"/>
  <c r="J27" i="1"/>
  <c r="N27" i="1" s="1"/>
  <c r="K27" i="1"/>
  <c r="M27" i="1" s="1"/>
  <c r="J465" i="1"/>
  <c r="K465" i="1"/>
  <c r="J30" i="1"/>
  <c r="N30" i="1" s="1"/>
  <c r="K30" i="1"/>
  <c r="J238" i="1"/>
  <c r="K238" i="1"/>
  <c r="P238" i="1" s="1"/>
  <c r="J530" i="1"/>
  <c r="K530" i="1"/>
  <c r="J197" i="1"/>
  <c r="K197" i="1"/>
  <c r="M197" i="1" s="1"/>
  <c r="J136" i="1"/>
  <c r="N136" i="1" s="1"/>
  <c r="K136" i="1"/>
  <c r="J529" i="1"/>
  <c r="K529" i="1"/>
  <c r="J69" i="1"/>
  <c r="N69" i="1" s="1"/>
  <c r="K69" i="1"/>
  <c r="J358" i="1"/>
  <c r="K358" i="1"/>
  <c r="M358" i="1" s="1"/>
  <c r="J59" i="1"/>
  <c r="N59" i="1" s="1"/>
  <c r="K59" i="1"/>
  <c r="M59" i="1" s="1"/>
  <c r="J332" i="1"/>
  <c r="K332" i="1"/>
  <c r="P332" i="1" s="1"/>
  <c r="J430" i="1"/>
  <c r="K430" i="1"/>
  <c r="J172" i="1"/>
  <c r="K172" i="1"/>
  <c r="M172" i="1" s="1"/>
  <c r="J298" i="1"/>
  <c r="K298" i="1"/>
  <c r="J459" i="1"/>
  <c r="K459" i="1"/>
  <c r="J347" i="1"/>
  <c r="K347" i="1"/>
  <c r="P347" i="1" s="1"/>
  <c r="J484" i="1"/>
  <c r="K484" i="1"/>
  <c r="J267" i="1"/>
  <c r="K267" i="1"/>
  <c r="M267" i="1" s="1"/>
  <c r="J240" i="1"/>
  <c r="K240" i="1"/>
  <c r="M240" i="1" s="1"/>
  <c r="J446" i="1"/>
  <c r="K446" i="1"/>
  <c r="J572" i="1"/>
  <c r="K572" i="1"/>
  <c r="J173" i="1"/>
  <c r="N173" i="1" s="1"/>
  <c r="K173" i="1"/>
  <c r="M173" i="1" s="1"/>
  <c r="J307" i="1"/>
  <c r="K307" i="1"/>
  <c r="M307" i="1" s="1"/>
  <c r="J349" i="1"/>
  <c r="K349" i="1"/>
  <c r="J318" i="1"/>
  <c r="K318" i="1"/>
  <c r="P318" i="1" s="1"/>
  <c r="J566" i="1"/>
  <c r="K566" i="1"/>
  <c r="J245" i="1"/>
  <c r="K245" i="1"/>
  <c r="P245" i="1" s="1"/>
  <c r="J103" i="1"/>
  <c r="N103" i="1" s="1"/>
  <c r="K103" i="1"/>
  <c r="M103" i="1" s="1"/>
  <c r="J231" i="1"/>
  <c r="K231" i="1"/>
  <c r="M231" i="1" s="1"/>
  <c r="J160" i="1"/>
  <c r="N160" i="1" s="1"/>
  <c r="K160" i="1"/>
  <c r="M160" i="1" s="1"/>
  <c r="J510" i="1"/>
  <c r="K510" i="1"/>
  <c r="J104" i="1"/>
  <c r="N104" i="1" s="1"/>
  <c r="K104" i="1"/>
  <c r="J165" i="1"/>
  <c r="N165" i="1" s="1"/>
  <c r="K165" i="1"/>
  <c r="M165" i="1" s="1"/>
  <c r="J528" i="1"/>
  <c r="K528" i="1"/>
  <c r="J483" i="1"/>
  <c r="K483" i="1"/>
  <c r="J92" i="1"/>
  <c r="N92" i="1" s="1"/>
  <c r="K92" i="1"/>
  <c r="P92" i="1" s="1"/>
  <c r="J149" i="1"/>
  <c r="K149" i="1"/>
  <c r="P149" i="1" s="1"/>
  <c r="J428" i="1"/>
  <c r="K428" i="1"/>
  <c r="J142" i="1"/>
  <c r="K142" i="1"/>
  <c r="P142" i="1" s="1"/>
  <c r="J517" i="1"/>
  <c r="K517" i="1"/>
  <c r="J502" i="1"/>
  <c r="K502" i="1"/>
  <c r="J85" i="1"/>
  <c r="N85" i="1" s="1"/>
  <c r="K85" i="1"/>
  <c r="M85" i="1" s="1"/>
  <c r="J422" i="1"/>
  <c r="K422" i="1"/>
  <c r="J279" i="1"/>
  <c r="K279" i="1"/>
  <c r="M279" i="1" s="1"/>
  <c r="J175" i="1"/>
  <c r="N175" i="1" s="1"/>
  <c r="K175" i="1"/>
  <c r="M175" i="1" s="1"/>
  <c r="J250" i="1"/>
  <c r="K250" i="1"/>
  <c r="J192" i="1"/>
  <c r="N192" i="1" s="1"/>
  <c r="K192" i="1"/>
  <c r="P192" i="1" s="1"/>
  <c r="J470" i="1"/>
  <c r="K470" i="1"/>
  <c r="J276" i="1"/>
  <c r="K276" i="1"/>
  <c r="P276" i="1" s="1"/>
  <c r="J487" i="1"/>
  <c r="K487" i="1"/>
  <c r="J571" i="1"/>
  <c r="K571" i="1"/>
  <c r="J90" i="1"/>
  <c r="N90" i="1" s="1"/>
  <c r="K90" i="1"/>
  <c r="J280" i="1"/>
  <c r="K280" i="1"/>
  <c r="P280" i="1" s="1"/>
  <c r="J273" i="1"/>
  <c r="K273" i="1"/>
  <c r="J56" i="1"/>
  <c r="N56" i="1" s="1"/>
  <c r="K56" i="1"/>
  <c r="P56" i="1" s="1"/>
  <c r="J336" i="1"/>
  <c r="K336" i="1"/>
  <c r="M336" i="1" s="1"/>
  <c r="J126" i="1"/>
  <c r="K126" i="1"/>
  <c r="M126" i="1" s="1"/>
  <c r="J327" i="1"/>
  <c r="K327" i="1"/>
  <c r="M327" i="1" s="1"/>
  <c r="J178" i="1"/>
  <c r="K178" i="1"/>
  <c r="P178" i="1" s="1"/>
  <c r="J187" i="1"/>
  <c r="N187" i="1" s="1"/>
  <c r="K187" i="1"/>
  <c r="M187" i="1" s="1"/>
  <c r="J486" i="1"/>
  <c r="K486" i="1"/>
  <c r="J338" i="1"/>
  <c r="K338" i="1"/>
  <c r="J32" i="1"/>
  <c r="N32" i="1" s="1"/>
  <c r="K32" i="1"/>
  <c r="P32" i="1" s="1"/>
  <c r="J313" i="1"/>
  <c r="K313" i="1"/>
  <c r="M313" i="1" s="1"/>
  <c r="J259" i="1"/>
  <c r="K259" i="1"/>
  <c r="P259" i="1" s="1"/>
  <c r="J42" i="1"/>
  <c r="N42" i="1" s="1"/>
  <c r="K42" i="1"/>
  <c r="M42" i="1" s="1"/>
  <c r="J537" i="1"/>
  <c r="K537" i="1"/>
  <c r="J492" i="1"/>
  <c r="K492" i="1"/>
  <c r="J128" i="1"/>
  <c r="N128" i="1" s="1"/>
  <c r="K128" i="1"/>
  <c r="P128" i="1" s="1"/>
  <c r="J277" i="1"/>
  <c r="K277" i="1"/>
  <c r="P277" i="1" s="1"/>
  <c r="J55" i="1"/>
  <c r="N55" i="1" s="1"/>
  <c r="K55" i="1"/>
  <c r="M55" i="1" s="1"/>
  <c r="J353" i="1"/>
  <c r="K353" i="1"/>
  <c r="M353" i="1" s="1"/>
  <c r="J215" i="1"/>
  <c r="K215" i="1"/>
  <c r="M215" i="1" s="1"/>
  <c r="J43" i="1"/>
  <c r="N43" i="1" s="1"/>
  <c r="K43" i="1"/>
  <c r="M43" i="1" s="1"/>
  <c r="J468" i="1"/>
  <c r="K468" i="1"/>
  <c r="J404" i="1"/>
  <c r="K404" i="1"/>
  <c r="J562" i="1"/>
  <c r="K562" i="1"/>
  <c r="J24" i="1"/>
  <c r="N24" i="1" s="1"/>
  <c r="K24" i="1"/>
  <c r="J351" i="1"/>
  <c r="K351" i="1"/>
  <c r="P351" i="1" s="1"/>
  <c r="J134" i="1"/>
  <c r="N134" i="1" s="1"/>
  <c r="K134" i="1"/>
  <c r="M134" i="1" s="1"/>
  <c r="J478" i="1"/>
  <c r="K478" i="1"/>
  <c r="J439" i="1"/>
  <c r="K439" i="1"/>
  <c r="J304" i="1"/>
  <c r="K304" i="1"/>
  <c r="M304" i="1" s="1"/>
  <c r="J130" i="1"/>
  <c r="N130" i="1" s="1"/>
  <c r="K130" i="1"/>
  <c r="M130" i="1" s="1"/>
  <c r="J291" i="1"/>
  <c r="K291" i="1"/>
  <c r="M291" i="1" s="1"/>
  <c r="J78" i="1"/>
  <c r="N78" i="1" s="1"/>
  <c r="K78" i="1"/>
  <c r="J131" i="1"/>
  <c r="N131" i="1" s="1"/>
  <c r="K131" i="1"/>
  <c r="P131" i="1" s="1"/>
  <c r="J342" i="1"/>
  <c r="K342" i="1"/>
  <c r="P342" i="1" s="1"/>
  <c r="J251" i="1"/>
  <c r="K251" i="1"/>
  <c r="P251" i="1" s="1"/>
  <c r="J57" i="1"/>
  <c r="N57" i="1" s="1"/>
  <c r="K57" i="1"/>
  <c r="J542" i="1"/>
  <c r="K542" i="1"/>
  <c r="J188" i="1"/>
  <c r="N188" i="1" s="1"/>
  <c r="K188" i="1"/>
  <c r="J37" i="1"/>
  <c r="N37" i="1" s="1"/>
  <c r="K37" i="1"/>
  <c r="M37" i="1" s="1"/>
  <c r="J573" i="1"/>
  <c r="K573" i="1"/>
  <c r="J440" i="1"/>
  <c r="K440" i="1"/>
  <c r="J73" i="1"/>
  <c r="N73" i="1" s="1"/>
  <c r="K73" i="1"/>
  <c r="P73" i="1" s="1"/>
  <c r="J507" i="1"/>
  <c r="K507" i="1"/>
  <c r="J312" i="1"/>
  <c r="K312" i="1"/>
  <c r="M312" i="1" s="1"/>
  <c r="J152" i="1"/>
  <c r="N152" i="1" s="1"/>
  <c r="K152" i="1"/>
  <c r="M152" i="1" s="1"/>
  <c r="J51" i="1"/>
  <c r="N51" i="1" s="1"/>
  <c r="K51" i="1"/>
  <c r="P51" i="1" s="1"/>
  <c r="J210" i="1"/>
  <c r="N210" i="1" s="1"/>
  <c r="K210" i="1"/>
  <c r="P210" i="1" s="1"/>
  <c r="J365" i="1"/>
  <c r="K365" i="1"/>
  <c r="J565" i="1"/>
  <c r="K565" i="1"/>
  <c r="J346" i="1"/>
  <c r="K346" i="1"/>
  <c r="J102" i="1"/>
  <c r="N102" i="1" s="1"/>
  <c r="K102" i="1"/>
  <c r="P102" i="1" s="1"/>
  <c r="J113" i="1"/>
  <c r="N113" i="1" s="1"/>
  <c r="K113" i="1"/>
  <c r="J533" i="1"/>
  <c r="K533" i="1"/>
  <c r="J31" i="1"/>
  <c r="N31" i="1" s="1"/>
  <c r="K31" i="1"/>
  <c r="M31" i="1" s="1"/>
  <c r="J297" i="1"/>
  <c r="K297" i="1"/>
  <c r="M297" i="1" s="1"/>
  <c r="J253" i="1"/>
  <c r="K253" i="1"/>
  <c r="J480" i="1"/>
  <c r="K480" i="1"/>
  <c r="J254" i="1"/>
  <c r="K254" i="1"/>
  <c r="J164" i="1"/>
  <c r="K164" i="1"/>
  <c r="M164" i="1" s="1"/>
  <c r="J146" i="1"/>
  <c r="N146" i="1" s="1"/>
  <c r="K146" i="1"/>
  <c r="J499" i="1"/>
  <c r="K499" i="1"/>
  <c r="K419" i="1"/>
  <c r="J419" i="1"/>
  <c r="J384" i="1"/>
  <c r="K384" i="1"/>
  <c r="J275" i="1"/>
  <c r="K275" i="1"/>
  <c r="J222" i="1"/>
  <c r="K222" i="1"/>
  <c r="P222" i="1" s="1"/>
  <c r="J317" i="1"/>
  <c r="K317" i="1"/>
  <c r="P317" i="1" s="1"/>
  <c r="J420" i="1"/>
  <c r="K420" i="1"/>
  <c r="J383" i="1"/>
  <c r="K383" i="1"/>
  <c r="J133" i="1"/>
  <c r="N133" i="1" s="1"/>
  <c r="K133" i="1"/>
  <c r="M133" i="1" s="1"/>
  <c r="J91" i="1"/>
  <c r="N91" i="1" s="1"/>
  <c r="K91" i="1"/>
  <c r="J263" i="1"/>
  <c r="K263" i="1"/>
  <c r="M263" i="1" s="1"/>
  <c r="J169" i="1"/>
  <c r="N169" i="1" s="1"/>
  <c r="K169" i="1"/>
  <c r="J418" i="1"/>
  <c r="K418" i="1"/>
  <c r="J36" i="1"/>
  <c r="N36" i="1" s="1"/>
  <c r="K36" i="1"/>
  <c r="P36" i="1" s="1"/>
  <c r="M288" i="1"/>
  <c r="L139" i="1"/>
  <c r="L337" i="1"/>
  <c r="P298" i="1" l="1"/>
  <c r="P48" i="1"/>
  <c r="M99" i="1"/>
  <c r="M83" i="1"/>
  <c r="P67" i="1"/>
  <c r="M143" i="1"/>
  <c r="P105" i="1"/>
  <c r="M100" i="1"/>
  <c r="P323" i="1"/>
  <c r="M163" i="1"/>
  <c r="P93" i="1"/>
  <c r="M183" i="1"/>
  <c r="P98" i="1"/>
  <c r="P258" i="1"/>
  <c r="K196" i="3"/>
  <c r="K193" i="3"/>
  <c r="K213" i="3"/>
  <c r="K218" i="3"/>
  <c r="K225" i="3"/>
  <c r="K173" i="3"/>
  <c r="K215" i="3"/>
  <c r="K192" i="3"/>
  <c r="K191" i="3"/>
  <c r="N148" i="1"/>
  <c r="N419" i="1"/>
  <c r="K1100" i="3"/>
  <c r="K1101" i="3"/>
  <c r="K1099" i="3"/>
  <c r="K1098" i="3"/>
  <c r="N427" i="1"/>
  <c r="K1132" i="3"/>
  <c r="K1131" i="3"/>
  <c r="K1133" i="3"/>
  <c r="K1130" i="3"/>
  <c r="N435" i="1"/>
  <c r="K1163" i="3"/>
  <c r="K1164" i="3"/>
  <c r="K1161" i="3"/>
  <c r="K1162" i="3"/>
  <c r="N383" i="1"/>
  <c r="K928" i="3"/>
  <c r="K931" i="3"/>
  <c r="K930" i="3"/>
  <c r="K926" i="3"/>
  <c r="K927" i="3"/>
  <c r="K929" i="3"/>
  <c r="N317" i="1"/>
  <c r="K460" i="3"/>
  <c r="K459" i="3"/>
  <c r="K457" i="3"/>
  <c r="K461" i="3"/>
  <c r="K463" i="3"/>
  <c r="K462" i="3"/>
  <c r="K458" i="3"/>
  <c r="N275" i="1"/>
  <c r="K244" i="3"/>
  <c r="K242" i="3"/>
  <c r="K243" i="3"/>
  <c r="N254" i="1"/>
  <c r="K212" i="3"/>
  <c r="N253" i="1"/>
  <c r="K211" i="3"/>
  <c r="N346" i="1"/>
  <c r="K692" i="3"/>
  <c r="K699" i="3"/>
  <c r="K695" i="3"/>
  <c r="K697" i="3"/>
  <c r="K696" i="3"/>
  <c r="K693" i="3"/>
  <c r="K698" i="3"/>
  <c r="K694" i="3"/>
  <c r="N365" i="1"/>
  <c r="K823" i="3"/>
  <c r="K824" i="3"/>
  <c r="K820" i="3"/>
  <c r="K825" i="3"/>
  <c r="K821" i="3"/>
  <c r="K826" i="3"/>
  <c r="K822" i="3"/>
  <c r="N312" i="1"/>
  <c r="K428" i="3"/>
  <c r="K424" i="3"/>
  <c r="K427" i="3"/>
  <c r="K425" i="3"/>
  <c r="K429" i="3"/>
  <c r="K426" i="3"/>
  <c r="N573" i="1"/>
  <c r="K2004" i="3"/>
  <c r="K1940" i="3"/>
  <c r="K1880" i="3"/>
  <c r="K1820" i="3"/>
  <c r="K1760" i="3"/>
  <c r="K1700" i="3"/>
  <c r="K2016" i="3"/>
  <c r="K1952" i="3"/>
  <c r="K1892" i="3"/>
  <c r="K1836" i="3"/>
  <c r="K1772" i="3"/>
  <c r="K1712" i="3"/>
  <c r="K2008" i="3"/>
  <c r="K1944" i="3"/>
  <c r="K1884" i="3"/>
  <c r="K1824" i="3"/>
  <c r="K1764" i="3"/>
  <c r="K1704" i="3"/>
  <c r="K1964" i="3"/>
  <c r="K1888" i="3"/>
  <c r="K1808" i="3"/>
  <c r="K1728" i="3"/>
  <c r="K1987" i="3"/>
  <c r="K1943" i="3"/>
  <c r="K1895" i="3"/>
  <c r="K1847" i="3"/>
  <c r="K1803" i="3"/>
  <c r="K1755" i="3"/>
  <c r="K1707" i="3"/>
  <c r="K1995" i="3"/>
  <c r="K1947" i="3"/>
  <c r="K1899" i="3"/>
  <c r="K1851" i="3"/>
  <c r="K1795" i="3"/>
  <c r="K1747" i="3"/>
  <c r="K1699" i="3"/>
  <c r="K1984" i="3"/>
  <c r="K1924" i="3"/>
  <c r="K1864" i="3"/>
  <c r="K1804" i="3"/>
  <c r="K1744" i="3"/>
  <c r="K2000" i="3"/>
  <c r="K1936" i="3"/>
  <c r="K1876" i="3"/>
  <c r="K1816" i="3"/>
  <c r="K1756" i="3"/>
  <c r="K1696" i="3"/>
  <c r="K1992" i="3"/>
  <c r="K1928" i="3"/>
  <c r="K1868" i="3"/>
  <c r="K1812" i="3"/>
  <c r="K1752" i="3"/>
  <c r="K2012" i="3"/>
  <c r="K1948" i="3"/>
  <c r="K1872" i="3"/>
  <c r="K1792" i="3"/>
  <c r="K1708" i="3"/>
  <c r="K1975" i="3"/>
  <c r="K1931" i="3"/>
  <c r="K1883" i="3"/>
  <c r="K1835" i="3"/>
  <c r="K1791" i="3"/>
  <c r="K1743" i="3"/>
  <c r="K1983" i="3"/>
  <c r="K1935" i="3"/>
  <c r="K1887" i="3"/>
  <c r="K1839" i="3"/>
  <c r="K1783" i="3"/>
  <c r="K1735" i="3"/>
  <c r="K1972" i="3"/>
  <c r="K1912" i="3"/>
  <c r="K1848" i="3"/>
  <c r="K1788" i="3"/>
  <c r="K1732" i="3"/>
  <c r="K1988" i="3"/>
  <c r="K1920" i="3"/>
  <c r="K1860" i="3"/>
  <c r="K1800" i="3"/>
  <c r="K1740" i="3"/>
  <c r="K1976" i="3"/>
  <c r="K1916" i="3"/>
  <c r="K1856" i="3"/>
  <c r="K1796" i="3"/>
  <c r="K1736" i="3"/>
  <c r="K1996" i="3"/>
  <c r="K1932" i="3"/>
  <c r="K1852" i="3"/>
  <c r="K1776" i="3"/>
  <c r="K2011" i="3"/>
  <c r="K1967" i="3"/>
  <c r="K1919" i="3"/>
  <c r="K1871" i="3"/>
  <c r="K1823" i="3"/>
  <c r="K1779" i="3"/>
  <c r="K1731" i="3"/>
  <c r="K2015" i="3"/>
  <c r="K1971" i="3"/>
  <c r="K1923" i="3"/>
  <c r="K1875" i="3"/>
  <c r="K1827" i="3"/>
  <c r="K1771" i="3"/>
  <c r="K1723" i="3"/>
  <c r="K1956" i="3"/>
  <c r="K1896" i="3"/>
  <c r="K1832" i="3"/>
  <c r="K1768" i="3"/>
  <c r="K1716" i="3"/>
  <c r="K1968" i="3"/>
  <c r="K1904" i="3"/>
  <c r="K1844" i="3"/>
  <c r="K1784" i="3"/>
  <c r="K1724" i="3"/>
  <c r="K1960" i="3"/>
  <c r="K1900" i="3"/>
  <c r="K1840" i="3"/>
  <c r="K1780" i="3"/>
  <c r="K1720" i="3"/>
  <c r="K1980" i="3"/>
  <c r="K1908" i="3"/>
  <c r="K1828" i="3"/>
  <c r="K1748" i="3"/>
  <c r="K1999" i="3"/>
  <c r="K1955" i="3"/>
  <c r="K1907" i="3"/>
  <c r="K1859" i="3"/>
  <c r="K1815" i="3"/>
  <c r="K1767" i="3"/>
  <c r="K1719" i="3"/>
  <c r="K2003" i="3"/>
  <c r="K1959" i="3"/>
  <c r="K1911" i="3"/>
  <c r="K1863" i="3"/>
  <c r="K1811" i="3"/>
  <c r="K1759" i="3"/>
  <c r="K1711" i="3"/>
  <c r="K2018" i="3"/>
  <c r="K2006" i="3"/>
  <c r="K1990" i="3"/>
  <c r="K1974" i="3"/>
  <c r="K1958" i="3"/>
  <c r="K1942" i="3"/>
  <c r="K1926" i="3"/>
  <c r="K1910" i="3"/>
  <c r="K1894" i="3"/>
  <c r="K1878" i="3"/>
  <c r="K1862" i="3"/>
  <c r="K1846" i="3"/>
  <c r="K1830" i="3"/>
  <c r="K1814" i="3"/>
  <c r="K1798" i="3"/>
  <c r="K1782" i="3"/>
  <c r="K1766" i="3"/>
  <c r="K1750" i="3"/>
  <c r="K1734" i="3"/>
  <c r="K1718" i="3"/>
  <c r="K1702" i="3"/>
  <c r="K1979" i="3"/>
  <c r="K1927" i="3"/>
  <c r="K1879" i="3"/>
  <c r="K1831" i="3"/>
  <c r="K1787" i="3"/>
  <c r="K1739" i="3"/>
  <c r="K2009" i="3"/>
  <c r="K1993" i="3"/>
  <c r="K1977" i="3"/>
  <c r="K1961" i="3"/>
  <c r="K1945" i="3"/>
  <c r="K1929" i="3"/>
  <c r="K1913" i="3"/>
  <c r="K1897" i="3"/>
  <c r="K1881" i="3"/>
  <c r="K1865" i="3"/>
  <c r="K1849" i="3"/>
  <c r="K1833" i="3"/>
  <c r="K1817" i="3"/>
  <c r="K1801" i="3"/>
  <c r="K1785" i="3"/>
  <c r="K1769" i="3"/>
  <c r="K1753" i="3"/>
  <c r="K1737" i="3"/>
  <c r="K1721" i="3"/>
  <c r="K1705" i="3"/>
  <c r="K1965" i="3"/>
  <c r="K1901" i="3"/>
  <c r="K1837" i="3"/>
  <c r="K1773" i="3"/>
  <c r="K1725" i="3"/>
  <c r="K2002" i="3"/>
  <c r="K1986" i="3"/>
  <c r="K1970" i="3"/>
  <c r="K1954" i="3"/>
  <c r="K1938" i="3"/>
  <c r="K1922" i="3"/>
  <c r="K1906" i="3"/>
  <c r="K1890" i="3"/>
  <c r="K1874" i="3"/>
  <c r="K1858" i="3"/>
  <c r="K1842" i="3"/>
  <c r="K1826" i="3"/>
  <c r="K1810" i="3"/>
  <c r="K1794" i="3"/>
  <c r="K1778" i="3"/>
  <c r="K1762" i="3"/>
  <c r="K1746" i="3"/>
  <c r="K1730" i="3"/>
  <c r="K1714" i="3"/>
  <c r="K1698" i="3"/>
  <c r="K1963" i="3"/>
  <c r="K1915" i="3"/>
  <c r="K1867" i="3"/>
  <c r="K1819" i="3"/>
  <c r="K1775" i="3"/>
  <c r="K1727" i="3"/>
  <c r="K2005" i="3"/>
  <c r="K1989" i="3"/>
  <c r="K1973" i="3"/>
  <c r="K1957" i="3"/>
  <c r="K1941" i="3"/>
  <c r="K1925" i="3"/>
  <c r="K1909" i="3"/>
  <c r="K1893" i="3"/>
  <c r="K1877" i="3"/>
  <c r="K1861" i="3"/>
  <c r="K1845" i="3"/>
  <c r="K1829" i="3"/>
  <c r="K1813" i="3"/>
  <c r="K1797" i="3"/>
  <c r="K1781" i="3"/>
  <c r="K1765" i="3"/>
  <c r="K1749" i="3"/>
  <c r="K1733" i="3"/>
  <c r="K1717" i="3"/>
  <c r="K1701" i="3"/>
  <c r="K1981" i="3"/>
  <c r="K1933" i="3"/>
  <c r="K1869" i="3"/>
  <c r="K1821" i="3"/>
  <c r="K1757" i="3"/>
  <c r="K1709" i="3"/>
  <c r="K2014" i="3"/>
  <c r="K1998" i="3"/>
  <c r="K1982" i="3"/>
  <c r="K1966" i="3"/>
  <c r="K1950" i="3"/>
  <c r="K1934" i="3"/>
  <c r="K1918" i="3"/>
  <c r="K1902" i="3"/>
  <c r="K1886" i="3"/>
  <c r="K1870" i="3"/>
  <c r="K1854" i="3"/>
  <c r="K1838" i="3"/>
  <c r="K1822" i="3"/>
  <c r="K1806" i="3"/>
  <c r="K1790" i="3"/>
  <c r="K1774" i="3"/>
  <c r="K1758" i="3"/>
  <c r="K1742" i="3"/>
  <c r="K1726" i="3"/>
  <c r="K1710" i="3"/>
  <c r="K2007" i="3"/>
  <c r="K1951" i="3"/>
  <c r="K1903" i="3"/>
  <c r="K1855" i="3"/>
  <c r="K1807" i="3"/>
  <c r="K1763" i="3"/>
  <c r="K1715" i="3"/>
  <c r="K2017" i="3"/>
  <c r="K2001" i="3"/>
  <c r="K1985" i="3"/>
  <c r="K1969" i="3"/>
  <c r="K1953" i="3"/>
  <c r="K1937" i="3"/>
  <c r="K1921" i="3"/>
  <c r="K1905" i="3"/>
  <c r="K1889" i="3"/>
  <c r="K1873" i="3"/>
  <c r="K1857" i="3"/>
  <c r="K1841" i="3"/>
  <c r="K1825" i="3"/>
  <c r="K1809" i="3"/>
  <c r="K1793" i="3"/>
  <c r="K1777" i="3"/>
  <c r="K1761" i="3"/>
  <c r="K1745" i="3"/>
  <c r="K1729" i="3"/>
  <c r="K1713" i="3"/>
  <c r="K1697" i="3"/>
  <c r="K2013" i="3"/>
  <c r="K1949" i="3"/>
  <c r="K1917" i="3"/>
  <c r="K1853" i="3"/>
  <c r="K1789" i="3"/>
  <c r="K1741" i="3"/>
  <c r="K2010" i="3"/>
  <c r="K1994" i="3"/>
  <c r="K1978" i="3"/>
  <c r="K1962" i="3"/>
  <c r="K1946" i="3"/>
  <c r="K1930" i="3"/>
  <c r="K1914" i="3"/>
  <c r="K1898" i="3"/>
  <c r="K1882" i="3"/>
  <c r="K1866" i="3"/>
  <c r="K1850" i="3"/>
  <c r="K1834" i="3"/>
  <c r="K1818" i="3"/>
  <c r="K1802" i="3"/>
  <c r="K1786" i="3"/>
  <c r="K1770" i="3"/>
  <c r="K1754" i="3"/>
  <c r="K1738" i="3"/>
  <c r="K1722" i="3"/>
  <c r="K1706" i="3"/>
  <c r="K1991" i="3"/>
  <c r="K1939" i="3"/>
  <c r="K1891" i="3"/>
  <c r="K1843" i="3"/>
  <c r="K1799" i="3"/>
  <c r="K1751" i="3"/>
  <c r="K1703" i="3"/>
  <c r="K1997" i="3"/>
  <c r="K1885" i="3"/>
  <c r="K1805" i="3"/>
  <c r="N342" i="1"/>
  <c r="K664" i="3"/>
  <c r="K663" i="3"/>
  <c r="K667" i="3"/>
  <c r="K665" i="3"/>
  <c r="K670" i="3"/>
  <c r="K669" i="3"/>
  <c r="K666" i="3"/>
  <c r="K668" i="3"/>
  <c r="N439" i="1"/>
  <c r="K1176" i="3"/>
  <c r="K1177" i="3"/>
  <c r="K1178" i="3"/>
  <c r="K1179" i="3"/>
  <c r="N404" i="1"/>
  <c r="K1035" i="3"/>
  <c r="K1036" i="3"/>
  <c r="K1038" i="3"/>
  <c r="K1037" i="3"/>
  <c r="K1034" i="3"/>
  <c r="N353" i="1"/>
  <c r="K744" i="3"/>
  <c r="K747" i="3"/>
  <c r="K743" i="3"/>
  <c r="K745" i="3"/>
  <c r="K741" i="3"/>
  <c r="K746" i="3"/>
  <c r="K742" i="3"/>
  <c r="N277" i="1"/>
  <c r="K249" i="3"/>
  <c r="K250" i="3"/>
  <c r="K248" i="3"/>
  <c r="N492" i="1"/>
  <c r="K1391" i="3"/>
  <c r="K1392" i="3"/>
  <c r="K1394" i="3"/>
  <c r="K1395" i="3"/>
  <c r="K1393" i="3"/>
  <c r="N313" i="1"/>
  <c r="K431" i="3"/>
  <c r="K432" i="3"/>
  <c r="K434" i="3"/>
  <c r="K433" i="3"/>
  <c r="K430" i="3"/>
  <c r="K436" i="3"/>
  <c r="K435" i="3"/>
  <c r="N338" i="1"/>
  <c r="K639" i="3"/>
  <c r="K640" i="3"/>
  <c r="K633" i="3"/>
  <c r="K637" i="3"/>
  <c r="K638" i="3"/>
  <c r="K636" i="3"/>
  <c r="K635" i="3"/>
  <c r="K634" i="3"/>
  <c r="N327" i="1"/>
  <c r="K544" i="3"/>
  <c r="K539" i="3"/>
  <c r="K546" i="3"/>
  <c r="K542" i="3"/>
  <c r="K543" i="3"/>
  <c r="K545" i="3"/>
  <c r="K538" i="3"/>
  <c r="K540" i="3"/>
  <c r="K541" i="3"/>
  <c r="N336" i="1"/>
  <c r="K624" i="3"/>
  <c r="K619" i="3"/>
  <c r="K622" i="3"/>
  <c r="K618" i="3"/>
  <c r="K620" i="3"/>
  <c r="K623" i="3"/>
  <c r="K621" i="3"/>
  <c r="N273" i="1"/>
  <c r="K237" i="3"/>
  <c r="K238" i="3"/>
  <c r="N487" i="1"/>
  <c r="K1367" i="3"/>
  <c r="K1364" i="3"/>
  <c r="K1366" i="3"/>
  <c r="K1365" i="3"/>
  <c r="K1368" i="3"/>
  <c r="N470" i="1"/>
  <c r="K1279" i="3"/>
  <c r="K1278" i="3"/>
  <c r="N250" i="1"/>
  <c r="K207" i="3"/>
  <c r="N279" i="1"/>
  <c r="K256" i="3"/>
  <c r="K254" i="3"/>
  <c r="K255" i="3"/>
  <c r="N517" i="1"/>
  <c r="K1503" i="3"/>
  <c r="K1504" i="3"/>
  <c r="K1502" i="3"/>
  <c r="K1505" i="3"/>
  <c r="N428" i="1"/>
  <c r="K1136" i="3"/>
  <c r="K1134" i="3"/>
  <c r="K1137" i="3"/>
  <c r="K1135" i="3"/>
  <c r="N528" i="1"/>
  <c r="K1547" i="3"/>
  <c r="K1548" i="3"/>
  <c r="K1545" i="3"/>
  <c r="K1546" i="3"/>
  <c r="N566" i="1"/>
  <c r="K1675" i="3"/>
  <c r="K1676" i="3"/>
  <c r="K1677" i="3"/>
  <c r="N349" i="1"/>
  <c r="K716" i="3"/>
  <c r="K720" i="3"/>
  <c r="K715" i="3"/>
  <c r="K718" i="3"/>
  <c r="K714" i="3"/>
  <c r="K719" i="3"/>
  <c r="K717" i="3"/>
  <c r="N446" i="1"/>
  <c r="K1203" i="3"/>
  <c r="K1204" i="3"/>
  <c r="K1202" i="3"/>
  <c r="K1205" i="3"/>
  <c r="N267" i="1"/>
  <c r="K228" i="3"/>
  <c r="N347" i="1"/>
  <c r="K703" i="3"/>
  <c r="K700" i="3"/>
  <c r="K704" i="3"/>
  <c r="K706" i="3"/>
  <c r="K702" i="3"/>
  <c r="K705" i="3"/>
  <c r="K701" i="3"/>
  <c r="N298" i="1"/>
  <c r="K336" i="3"/>
  <c r="K335" i="3"/>
  <c r="K338" i="3"/>
  <c r="K334" i="3"/>
  <c r="K337" i="3"/>
  <c r="N430" i="1"/>
  <c r="K1143" i="3"/>
  <c r="K1144" i="3"/>
  <c r="K1142" i="3"/>
  <c r="K1145" i="3"/>
  <c r="N530" i="1"/>
  <c r="K1555" i="3"/>
  <c r="K1556" i="3"/>
  <c r="K1554" i="3"/>
  <c r="K1553" i="3"/>
  <c r="N335" i="1"/>
  <c r="K612" i="3"/>
  <c r="K616" i="3"/>
  <c r="K615" i="3"/>
  <c r="K610" i="3"/>
  <c r="K617" i="3"/>
  <c r="K609" i="3"/>
  <c r="K613" i="3"/>
  <c r="K614" i="3"/>
  <c r="K611" i="3"/>
  <c r="N512" i="1"/>
  <c r="K1484" i="3"/>
  <c r="K1483" i="3"/>
  <c r="K1481" i="3"/>
  <c r="K1482" i="3"/>
  <c r="N493" i="1"/>
  <c r="K1400" i="3"/>
  <c r="K1399" i="3"/>
  <c r="K1398" i="3"/>
  <c r="K1396" i="3"/>
  <c r="K1397" i="3"/>
  <c r="N426" i="1"/>
  <c r="K1128" i="3"/>
  <c r="K1127" i="3"/>
  <c r="K1126" i="3"/>
  <c r="K1129" i="3"/>
  <c r="N514" i="1"/>
  <c r="K1490" i="3"/>
  <c r="K1491" i="3"/>
  <c r="K1493" i="3"/>
  <c r="K1492" i="3"/>
  <c r="K1489" i="3"/>
  <c r="N436" i="1"/>
  <c r="K1168" i="3"/>
  <c r="K1167" i="3"/>
  <c r="K1165" i="3"/>
  <c r="K1166" i="3"/>
  <c r="N289" i="1"/>
  <c r="K292" i="3"/>
  <c r="K290" i="3"/>
  <c r="K293" i="3"/>
  <c r="K291" i="3"/>
  <c r="N500" i="1"/>
  <c r="K1432" i="3"/>
  <c r="K1430" i="3"/>
  <c r="K1433" i="3"/>
  <c r="K1431" i="3"/>
  <c r="N334" i="1"/>
  <c r="K607" i="3"/>
  <c r="K608" i="3"/>
  <c r="K600" i="3"/>
  <c r="K603" i="3"/>
  <c r="K601" i="3"/>
  <c r="K606" i="3"/>
  <c r="K605" i="3"/>
  <c r="K602" i="3"/>
  <c r="K604" i="3"/>
  <c r="N221" i="1"/>
  <c r="K170" i="3"/>
  <c r="N387" i="1"/>
  <c r="K948" i="3"/>
  <c r="K952" i="3"/>
  <c r="K949" i="3"/>
  <c r="K950" i="3"/>
  <c r="K951" i="3"/>
  <c r="N359" i="1"/>
  <c r="K787" i="3"/>
  <c r="K784" i="3"/>
  <c r="K783" i="3"/>
  <c r="K786" i="3"/>
  <c r="K785" i="3"/>
  <c r="K782" i="3"/>
  <c r="N489" i="1"/>
  <c r="K1376" i="3"/>
  <c r="K1375" i="3"/>
  <c r="K1379" i="3"/>
  <c r="K1378" i="3"/>
  <c r="K1377" i="3"/>
  <c r="N506" i="1"/>
  <c r="K1459" i="3"/>
  <c r="K1456" i="3"/>
  <c r="K1458" i="3"/>
  <c r="K1457" i="3"/>
  <c r="N234" i="1"/>
  <c r="K188" i="3"/>
  <c r="N350" i="1"/>
  <c r="K723" i="3"/>
  <c r="K727" i="3"/>
  <c r="K722" i="3"/>
  <c r="K725" i="3"/>
  <c r="K721" i="3"/>
  <c r="K726" i="3"/>
  <c r="K724" i="3"/>
  <c r="N380" i="1"/>
  <c r="K912" i="3"/>
  <c r="K911" i="3"/>
  <c r="K914" i="3"/>
  <c r="K910" i="3"/>
  <c r="K913" i="3"/>
  <c r="K909" i="3"/>
  <c r="N394" i="1"/>
  <c r="K988" i="3"/>
  <c r="K987" i="3"/>
  <c r="K985" i="3"/>
  <c r="K989" i="3"/>
  <c r="K990" i="3"/>
  <c r="K986" i="3"/>
  <c r="N412" i="1"/>
  <c r="K1072" i="3"/>
  <c r="K1071" i="3"/>
  <c r="K1070" i="3"/>
  <c r="K1069" i="3"/>
  <c r="N569" i="1"/>
  <c r="K1684" i="3"/>
  <c r="K1686" i="3"/>
  <c r="K1685" i="3"/>
  <c r="N294" i="1"/>
  <c r="K316" i="3"/>
  <c r="K315" i="3"/>
  <c r="K313" i="3"/>
  <c r="K314" i="3"/>
  <c r="K317" i="3"/>
  <c r="N570" i="1"/>
  <c r="K1688" i="3"/>
  <c r="K1687" i="3"/>
  <c r="K1689" i="3"/>
  <c r="N449" i="1"/>
  <c r="K1215" i="3"/>
  <c r="K1216" i="3"/>
  <c r="K1214" i="3"/>
  <c r="K1213" i="3"/>
  <c r="N319" i="1"/>
  <c r="K476" i="3"/>
  <c r="K472" i="3"/>
  <c r="K475" i="3"/>
  <c r="K473" i="3"/>
  <c r="K474" i="3"/>
  <c r="K477" i="3"/>
  <c r="K471" i="3"/>
  <c r="N429" i="1"/>
  <c r="K1139" i="3"/>
  <c r="K1140" i="3"/>
  <c r="K1138" i="3"/>
  <c r="K1141" i="3"/>
  <c r="N322" i="1"/>
  <c r="K496" i="3"/>
  <c r="K498" i="3"/>
  <c r="K494" i="3"/>
  <c r="K495" i="3"/>
  <c r="K497" i="3"/>
  <c r="K493" i="3"/>
  <c r="K500" i="3"/>
  <c r="K499" i="3"/>
  <c r="N316" i="1"/>
  <c r="K455" i="3"/>
  <c r="K456" i="3"/>
  <c r="K450" i="3"/>
  <c r="K452" i="3"/>
  <c r="K453" i="3"/>
  <c r="K451" i="3"/>
  <c r="K454" i="3"/>
  <c r="N392" i="1"/>
  <c r="K976" i="3"/>
  <c r="K979" i="3"/>
  <c r="K978" i="3"/>
  <c r="K975" i="3"/>
  <c r="K977" i="3"/>
  <c r="N515" i="1"/>
  <c r="K1495" i="3"/>
  <c r="K1496" i="3"/>
  <c r="K1494" i="3"/>
  <c r="K1497" i="3"/>
  <c r="N371" i="1"/>
  <c r="K859" i="3"/>
  <c r="K860" i="3"/>
  <c r="K857" i="3"/>
  <c r="K862" i="3"/>
  <c r="K861" i="3"/>
  <c r="K858" i="3"/>
  <c r="N348" i="1"/>
  <c r="K711" i="3"/>
  <c r="K712" i="3"/>
  <c r="K708" i="3"/>
  <c r="K713" i="3"/>
  <c r="K709" i="3"/>
  <c r="K710" i="3"/>
  <c r="K707" i="3"/>
  <c r="N477" i="1"/>
  <c r="K1312" i="3"/>
  <c r="K1311" i="3"/>
  <c r="K1314" i="3"/>
  <c r="K1310" i="3"/>
  <c r="K1313" i="3"/>
  <c r="K1309" i="3"/>
  <c r="N390" i="1"/>
  <c r="K964" i="3"/>
  <c r="K967" i="3"/>
  <c r="K969" i="3"/>
  <c r="K965" i="3"/>
  <c r="K966" i="3"/>
  <c r="K968" i="3"/>
  <c r="N361" i="1"/>
  <c r="K795" i="3"/>
  <c r="K800" i="3"/>
  <c r="K799" i="3"/>
  <c r="K797" i="3"/>
  <c r="K798" i="3"/>
  <c r="K796" i="3"/>
  <c r="N278" i="1"/>
  <c r="K252" i="3"/>
  <c r="K253" i="3"/>
  <c r="K251" i="3"/>
  <c r="N355" i="1"/>
  <c r="K760" i="3"/>
  <c r="K759" i="3"/>
  <c r="K761" i="3"/>
  <c r="K756" i="3"/>
  <c r="K757" i="3"/>
  <c r="K758" i="3"/>
  <c r="K755" i="3"/>
  <c r="N321" i="1"/>
  <c r="K492" i="3"/>
  <c r="K488" i="3"/>
  <c r="K491" i="3"/>
  <c r="K487" i="3"/>
  <c r="K489" i="3"/>
  <c r="K490" i="3"/>
  <c r="K486" i="3"/>
  <c r="N416" i="1"/>
  <c r="K1088" i="3"/>
  <c r="K1087" i="3"/>
  <c r="K1085" i="3"/>
  <c r="K1086" i="3"/>
  <c r="N268" i="1"/>
  <c r="K229" i="3"/>
  <c r="K230" i="3"/>
  <c r="N463" i="1"/>
  <c r="K1259" i="3"/>
  <c r="K1257" i="3"/>
  <c r="K1258" i="3"/>
  <c r="N381" i="1"/>
  <c r="K919" i="3"/>
  <c r="K917" i="3"/>
  <c r="K916" i="3"/>
  <c r="K915" i="3"/>
  <c r="K918" i="3"/>
  <c r="N494" i="1"/>
  <c r="K1403" i="3"/>
  <c r="K1404" i="3"/>
  <c r="K1401" i="3"/>
  <c r="K1405" i="3"/>
  <c r="K1402" i="3"/>
  <c r="N568" i="1"/>
  <c r="K1682" i="3"/>
  <c r="K1683" i="3"/>
  <c r="K1681" i="3"/>
  <c r="N252" i="1"/>
  <c r="K210" i="3"/>
  <c r="K209" i="3"/>
  <c r="N305" i="1"/>
  <c r="K376" i="3"/>
  <c r="K380" i="3"/>
  <c r="K379" i="3"/>
  <c r="K377" i="3"/>
  <c r="K378" i="3"/>
  <c r="K381" i="3"/>
  <c r="N421" i="1"/>
  <c r="K1107" i="3"/>
  <c r="K1106" i="3"/>
  <c r="K1109" i="3"/>
  <c r="K1108" i="3"/>
  <c r="N525" i="1"/>
  <c r="K1535" i="3"/>
  <c r="K1534" i="3"/>
  <c r="K1537" i="3"/>
  <c r="K1536" i="3"/>
  <c r="N320" i="1"/>
  <c r="K480" i="3"/>
  <c r="K479" i="3"/>
  <c r="K482" i="3"/>
  <c r="K481" i="3"/>
  <c r="K478" i="3"/>
  <c r="K485" i="3"/>
  <c r="K483" i="3"/>
  <c r="K484" i="3"/>
  <c r="N281" i="1"/>
  <c r="K260" i="3"/>
  <c r="K261" i="3"/>
  <c r="K262" i="3"/>
  <c r="N415" i="1"/>
  <c r="K1083" i="3"/>
  <c r="K1084" i="3"/>
  <c r="K1081" i="3"/>
  <c r="K1082" i="3"/>
  <c r="N504" i="1"/>
  <c r="K1451" i="3"/>
  <c r="K1448" i="3"/>
  <c r="K1447" i="3"/>
  <c r="K1449" i="3"/>
  <c r="K1450" i="3"/>
  <c r="N287" i="1"/>
  <c r="K283" i="3"/>
  <c r="K284" i="3"/>
  <c r="K285" i="3"/>
  <c r="K282" i="3"/>
  <c r="N498" i="1"/>
  <c r="K1424" i="3"/>
  <c r="K1423" i="3"/>
  <c r="K1422" i="3"/>
  <c r="K1425" i="3"/>
  <c r="K1421" i="3"/>
  <c r="N497" i="1"/>
  <c r="K1420" i="3"/>
  <c r="K1416" i="3"/>
  <c r="K1417" i="3"/>
  <c r="K1418" i="3"/>
  <c r="K1419" i="3"/>
  <c r="N372" i="1"/>
  <c r="K864" i="3"/>
  <c r="K863" i="3"/>
  <c r="K866" i="3"/>
  <c r="K868" i="3"/>
  <c r="K865" i="3"/>
  <c r="K867" i="3"/>
  <c r="N249" i="1"/>
  <c r="K206" i="3"/>
  <c r="N246" i="1"/>
  <c r="K203" i="3"/>
  <c r="N521" i="1"/>
  <c r="K1519" i="3"/>
  <c r="K1520" i="3"/>
  <c r="K1518" i="3"/>
  <c r="K1521" i="3"/>
  <c r="N343" i="1"/>
  <c r="K675" i="3"/>
  <c r="K676" i="3"/>
  <c r="K672" i="3"/>
  <c r="K674" i="3"/>
  <c r="K677" i="3"/>
  <c r="K673" i="3"/>
  <c r="K671" i="3"/>
  <c r="N308" i="1"/>
  <c r="K400" i="3"/>
  <c r="K396" i="3"/>
  <c r="K402" i="3"/>
  <c r="K401" i="3"/>
  <c r="K398" i="3"/>
  <c r="K399" i="3"/>
  <c r="K397" i="3"/>
  <c r="N331" i="1"/>
  <c r="K579" i="3"/>
  <c r="K580" i="3"/>
  <c r="K576" i="3"/>
  <c r="K575" i="3"/>
  <c r="K578" i="3"/>
  <c r="K574" i="3"/>
  <c r="K581" i="3"/>
  <c r="K577" i="3"/>
  <c r="K582" i="3"/>
  <c r="N235" i="1"/>
  <c r="K189" i="3"/>
  <c r="K190" i="3"/>
  <c r="N269" i="1"/>
  <c r="K231" i="3"/>
  <c r="N405" i="1"/>
  <c r="K1039" i="3"/>
  <c r="K1040" i="3"/>
  <c r="K1042" i="3"/>
  <c r="K1041" i="3"/>
  <c r="N553" i="1"/>
  <c r="K1636" i="3"/>
  <c r="K1638" i="3"/>
  <c r="K1637" i="3"/>
  <c r="N451" i="1"/>
  <c r="K1222" i="3"/>
  <c r="K1221" i="3"/>
  <c r="K1220" i="3"/>
  <c r="N218" i="1"/>
  <c r="K165" i="3"/>
  <c r="K166" i="3"/>
  <c r="N414" i="1"/>
  <c r="K1080" i="3"/>
  <c r="K1079" i="3"/>
  <c r="K1078" i="3"/>
  <c r="K1077" i="3"/>
  <c r="N266" i="1"/>
  <c r="K226" i="3"/>
  <c r="K227" i="3"/>
  <c r="N248" i="1"/>
  <c r="K205" i="3"/>
  <c r="N548" i="1"/>
  <c r="K1620" i="3"/>
  <c r="K1622" i="3"/>
  <c r="K1621" i="3"/>
  <c r="N474" i="1"/>
  <c r="K1292" i="3"/>
  <c r="K1296" i="3"/>
  <c r="K1295" i="3"/>
  <c r="K1294" i="3"/>
  <c r="K1297" i="3"/>
  <c r="K1293" i="3"/>
  <c r="N532" i="1"/>
  <c r="K1564" i="3"/>
  <c r="K1561" i="3"/>
  <c r="K1562" i="3"/>
  <c r="K1563" i="3"/>
  <c r="N333" i="1"/>
  <c r="K596" i="3"/>
  <c r="K592" i="3"/>
  <c r="K594" i="3"/>
  <c r="K595" i="3"/>
  <c r="K597" i="3"/>
  <c r="K599" i="3"/>
  <c r="K593" i="3"/>
  <c r="K598" i="3"/>
  <c r="N330" i="1"/>
  <c r="K568" i="3"/>
  <c r="K567" i="3"/>
  <c r="K569" i="3"/>
  <c r="K573" i="3"/>
  <c r="K572" i="3"/>
  <c r="K565" i="3"/>
  <c r="K570" i="3"/>
  <c r="K571" i="3"/>
  <c r="K566" i="3"/>
  <c r="N552" i="1"/>
  <c r="K1634" i="3"/>
  <c r="K1635" i="3"/>
  <c r="K1633" i="3"/>
  <c r="N471" i="1"/>
  <c r="K1282" i="3"/>
  <c r="K1281" i="3"/>
  <c r="K1280" i="3"/>
  <c r="N325" i="1"/>
  <c r="K527" i="3"/>
  <c r="K524" i="3"/>
  <c r="K520" i="3"/>
  <c r="K523" i="3"/>
  <c r="K528" i="3"/>
  <c r="K521" i="3"/>
  <c r="K526" i="3"/>
  <c r="K522" i="3"/>
  <c r="K525" i="3"/>
  <c r="N228" i="1"/>
  <c r="K180" i="3"/>
  <c r="N393" i="1"/>
  <c r="K983" i="3"/>
  <c r="K980" i="3"/>
  <c r="K981" i="3"/>
  <c r="K984" i="3"/>
  <c r="K982" i="3"/>
  <c r="N272" i="1"/>
  <c r="K235" i="3"/>
  <c r="K236" i="3"/>
  <c r="N526" i="1"/>
  <c r="K1540" i="3"/>
  <c r="K1538" i="3"/>
  <c r="K1539" i="3"/>
  <c r="K1541" i="3"/>
  <c r="N544" i="1"/>
  <c r="K1607" i="3"/>
  <c r="K1608" i="3"/>
  <c r="K1606" i="3"/>
  <c r="K1609" i="3"/>
  <c r="N560" i="1"/>
  <c r="K1657" i="3"/>
  <c r="K1658" i="3"/>
  <c r="K1659" i="3"/>
  <c r="N247" i="1"/>
  <c r="K204" i="3"/>
  <c r="N354" i="1"/>
  <c r="K752" i="3"/>
  <c r="K748" i="3"/>
  <c r="K751" i="3"/>
  <c r="K754" i="3"/>
  <c r="K749" i="3"/>
  <c r="K750" i="3"/>
  <c r="K753" i="3"/>
  <c r="N243" i="1"/>
  <c r="K199" i="3"/>
  <c r="N413" i="1"/>
  <c r="K1076" i="3"/>
  <c r="K1075" i="3"/>
  <c r="K1074" i="3"/>
  <c r="K1073" i="3"/>
  <c r="N306" i="1"/>
  <c r="K383" i="3"/>
  <c r="K384" i="3"/>
  <c r="K386" i="3"/>
  <c r="K382" i="3"/>
  <c r="K388" i="3"/>
  <c r="K387" i="3"/>
  <c r="K385" i="3"/>
  <c r="N434" i="1"/>
  <c r="K1159" i="3"/>
  <c r="K1160" i="3"/>
  <c r="K1158" i="3"/>
  <c r="K1157" i="3"/>
  <c r="N274" i="1"/>
  <c r="K240" i="3"/>
  <c r="K239" i="3"/>
  <c r="K241" i="3"/>
  <c r="N523" i="1"/>
  <c r="K1528" i="3"/>
  <c r="K1526" i="3"/>
  <c r="K1529" i="3"/>
  <c r="K1527" i="3"/>
  <c r="N229" i="1"/>
  <c r="K181" i="3"/>
  <c r="K182" i="3"/>
  <c r="N324" i="1"/>
  <c r="K515" i="3"/>
  <c r="K516" i="3"/>
  <c r="K514" i="3"/>
  <c r="K513" i="3"/>
  <c r="K510" i="3"/>
  <c r="K512" i="3"/>
  <c r="K517" i="3"/>
  <c r="K519" i="3"/>
  <c r="K511" i="3"/>
  <c r="K518" i="3"/>
  <c r="N447" i="1"/>
  <c r="K1208" i="3"/>
  <c r="K1206" i="3"/>
  <c r="K1209" i="3"/>
  <c r="K1207" i="3"/>
  <c r="N397" i="1"/>
  <c r="K1004" i="3"/>
  <c r="K1003" i="3"/>
  <c r="K1001" i="3"/>
  <c r="K1002" i="3"/>
  <c r="K1005" i="3"/>
  <c r="N225" i="1"/>
  <c r="K176" i="3"/>
  <c r="N450" i="1"/>
  <c r="K1219" i="3"/>
  <c r="K1218" i="3"/>
  <c r="K1217" i="3"/>
  <c r="N356" i="1"/>
  <c r="K763" i="3"/>
  <c r="K764" i="3"/>
  <c r="K766" i="3"/>
  <c r="K762" i="3"/>
  <c r="K767" i="3"/>
  <c r="K765" i="3"/>
  <c r="N524" i="1"/>
  <c r="K1531" i="3"/>
  <c r="K1532" i="3"/>
  <c r="K1533" i="3"/>
  <c r="K1530" i="3"/>
  <c r="N462" i="1"/>
  <c r="K1256" i="3"/>
  <c r="K1254" i="3"/>
  <c r="K1255" i="3"/>
  <c r="N410" i="1"/>
  <c r="K1063" i="3"/>
  <c r="K1062" i="3"/>
  <c r="K1060" i="3"/>
  <c r="K1061" i="3"/>
  <c r="N511" i="1"/>
  <c r="K1480" i="3"/>
  <c r="K1478" i="3"/>
  <c r="K1477" i="3"/>
  <c r="K1479" i="3"/>
  <c r="N518" i="1"/>
  <c r="K1508" i="3"/>
  <c r="K1507" i="3"/>
  <c r="K1506" i="3"/>
  <c r="K1509" i="3"/>
  <c r="N534" i="1"/>
  <c r="K1571" i="3"/>
  <c r="K1570" i="3"/>
  <c r="K1569" i="3"/>
  <c r="N455" i="1"/>
  <c r="K1235" i="3"/>
  <c r="K1234" i="3"/>
  <c r="K1233" i="3"/>
  <c r="N520" i="1"/>
  <c r="K1516" i="3"/>
  <c r="K1517" i="3"/>
  <c r="K1514" i="3"/>
  <c r="K1515" i="3"/>
  <c r="N398" i="1"/>
  <c r="K1008" i="3"/>
  <c r="K1010" i="3"/>
  <c r="K1006" i="3"/>
  <c r="K1009" i="3"/>
  <c r="K1007" i="3"/>
  <c r="N454" i="1"/>
  <c r="K1232" i="3"/>
  <c r="K1230" i="3"/>
  <c r="K1231" i="3"/>
  <c r="N549" i="1"/>
  <c r="K1624" i="3"/>
  <c r="K1625" i="3"/>
  <c r="K1623" i="3"/>
  <c r="K1626" i="3"/>
  <c r="N473" i="1"/>
  <c r="K1288" i="3"/>
  <c r="K1291" i="3"/>
  <c r="K1286" i="3"/>
  <c r="K1289" i="3"/>
  <c r="K1287" i="3"/>
  <c r="K1290" i="3"/>
  <c r="N505" i="1"/>
  <c r="K1452" i="3"/>
  <c r="K1455" i="3"/>
  <c r="K1454" i="3"/>
  <c r="K1453" i="3"/>
  <c r="N212" i="1"/>
  <c r="K156" i="3"/>
  <c r="K155" i="3"/>
  <c r="N232" i="1"/>
  <c r="K185" i="3"/>
  <c r="K186" i="3"/>
  <c r="N364" i="1"/>
  <c r="K816" i="3"/>
  <c r="K819" i="3"/>
  <c r="K818" i="3"/>
  <c r="K814" i="3"/>
  <c r="K815" i="3"/>
  <c r="K817" i="3"/>
  <c r="N241" i="1"/>
  <c r="K197" i="3"/>
  <c r="N433" i="1"/>
  <c r="K1154" i="3"/>
  <c r="K1155" i="3"/>
  <c r="K1153" i="3"/>
  <c r="K1156" i="3"/>
  <c r="N285" i="1"/>
  <c r="K276" i="3"/>
  <c r="K274" i="3"/>
  <c r="K275" i="3"/>
  <c r="K277" i="3"/>
  <c r="N219" i="1"/>
  <c r="K167" i="3"/>
  <c r="N539" i="1"/>
  <c r="K1588" i="3"/>
  <c r="K1590" i="3"/>
  <c r="K1587" i="3"/>
  <c r="K1589" i="3"/>
  <c r="N345" i="1"/>
  <c r="K688" i="3"/>
  <c r="K687" i="3"/>
  <c r="K691" i="3"/>
  <c r="K690" i="3"/>
  <c r="K689" i="3"/>
  <c r="K685" i="3"/>
  <c r="K686" i="3"/>
  <c r="N561" i="1"/>
  <c r="K1660" i="3"/>
  <c r="K1661" i="3"/>
  <c r="K1662" i="3"/>
  <c r="N395" i="1"/>
  <c r="K991" i="3"/>
  <c r="K992" i="3"/>
  <c r="K995" i="3"/>
  <c r="K994" i="3"/>
  <c r="K993" i="3"/>
  <c r="N373" i="1"/>
  <c r="K871" i="3"/>
  <c r="K872" i="3"/>
  <c r="K873" i="3"/>
  <c r="K869" i="3"/>
  <c r="K874" i="3"/>
  <c r="K870" i="3"/>
  <c r="N441" i="1"/>
  <c r="K1184" i="3"/>
  <c r="K1187" i="3"/>
  <c r="K1186" i="3"/>
  <c r="K1185" i="3"/>
  <c r="N469" i="1"/>
  <c r="K1276" i="3"/>
  <c r="K1277" i="3"/>
  <c r="K1275" i="3"/>
  <c r="N211" i="1"/>
  <c r="K154" i="3"/>
  <c r="N445" i="1"/>
  <c r="K1200" i="3"/>
  <c r="K1199" i="3"/>
  <c r="K1201" i="3"/>
  <c r="N411" i="1"/>
  <c r="K1068" i="3"/>
  <c r="K1064" i="3"/>
  <c r="K1065" i="3"/>
  <c r="K1067" i="3"/>
  <c r="K1066" i="3"/>
  <c r="N438" i="1"/>
  <c r="K1175" i="3"/>
  <c r="K1174" i="3"/>
  <c r="K1173" i="3"/>
  <c r="K1172" i="3"/>
  <c r="N476" i="1"/>
  <c r="K1308" i="3"/>
  <c r="K1303" i="3"/>
  <c r="K1307" i="3"/>
  <c r="K1304" i="3"/>
  <c r="K1305" i="3"/>
  <c r="K1306" i="3"/>
  <c r="N300" i="1"/>
  <c r="K348" i="3"/>
  <c r="K347" i="3"/>
  <c r="K345" i="3"/>
  <c r="K349" i="3"/>
  <c r="K350" i="3"/>
  <c r="K346" i="3"/>
  <c r="N442" i="1"/>
  <c r="K1190" i="3"/>
  <c r="K1188" i="3"/>
  <c r="K1189" i="3"/>
  <c r="N408" i="1"/>
  <c r="K1052" i="3"/>
  <c r="K1053" i="3"/>
  <c r="K1054" i="3"/>
  <c r="K1055" i="3"/>
  <c r="N432" i="1"/>
  <c r="K1152" i="3"/>
  <c r="K1151" i="3"/>
  <c r="K1149" i="3"/>
  <c r="K1150" i="3"/>
  <c r="N314" i="1"/>
  <c r="K440" i="3"/>
  <c r="K441" i="3"/>
  <c r="K437" i="3"/>
  <c r="K442" i="3"/>
  <c r="K439" i="3"/>
  <c r="K438" i="3"/>
  <c r="N339" i="1"/>
  <c r="K644" i="3"/>
  <c r="K642" i="3"/>
  <c r="K647" i="3"/>
  <c r="K641" i="3"/>
  <c r="K643" i="3"/>
  <c r="K645" i="3"/>
  <c r="K646" i="3"/>
  <c r="N491" i="1"/>
  <c r="K1388" i="3"/>
  <c r="K1387" i="3"/>
  <c r="K1385" i="3"/>
  <c r="K1390" i="3"/>
  <c r="K1386" i="3"/>
  <c r="K1389" i="3"/>
  <c r="N431" i="1"/>
  <c r="K1148" i="3"/>
  <c r="K1147" i="3"/>
  <c r="K1146" i="3"/>
  <c r="P62" i="1"/>
  <c r="N418" i="1"/>
  <c r="K1096" i="3"/>
  <c r="K1095" i="3"/>
  <c r="K1094" i="3"/>
  <c r="K1097" i="3"/>
  <c r="N263" i="1"/>
  <c r="K222" i="3"/>
  <c r="N420" i="1"/>
  <c r="K1103" i="3"/>
  <c r="K1104" i="3"/>
  <c r="K1102" i="3"/>
  <c r="K1105" i="3"/>
  <c r="N222" i="1"/>
  <c r="K172" i="3"/>
  <c r="K171" i="3"/>
  <c r="N384" i="1"/>
  <c r="K935" i="3"/>
  <c r="K936" i="3"/>
  <c r="K932" i="3"/>
  <c r="K933" i="3"/>
  <c r="K934" i="3"/>
  <c r="N499" i="1"/>
  <c r="K1427" i="3"/>
  <c r="K1426" i="3"/>
  <c r="K1429" i="3"/>
  <c r="K1428" i="3"/>
  <c r="N480" i="1"/>
  <c r="K1328" i="3"/>
  <c r="K1327" i="3"/>
  <c r="K1331" i="3"/>
  <c r="K1330" i="3"/>
  <c r="K1326" i="3"/>
  <c r="K1329" i="3"/>
  <c r="N297" i="1"/>
  <c r="K331" i="3"/>
  <c r="K332" i="3"/>
  <c r="K328" i="3"/>
  <c r="K329" i="3"/>
  <c r="K333" i="3"/>
  <c r="K330" i="3"/>
  <c r="N533" i="1"/>
  <c r="K1567" i="3"/>
  <c r="K1568" i="3"/>
  <c r="K1566" i="3"/>
  <c r="K1565" i="3"/>
  <c r="N565" i="1"/>
  <c r="K1672" i="3"/>
  <c r="K1673" i="3"/>
  <c r="K1674" i="3"/>
  <c r="N507" i="1"/>
  <c r="K1463" i="3"/>
  <c r="K1460" i="3"/>
  <c r="K1462" i="3"/>
  <c r="K1461" i="3"/>
  <c r="N440" i="1"/>
  <c r="K1180" i="3"/>
  <c r="K1183" i="3"/>
  <c r="K1182" i="3"/>
  <c r="K1181" i="3"/>
  <c r="N542" i="1"/>
  <c r="K1599" i="3"/>
  <c r="K1601" i="3"/>
  <c r="K1600" i="3"/>
  <c r="N251" i="1"/>
  <c r="K208" i="3"/>
  <c r="N291" i="1"/>
  <c r="K300" i="3"/>
  <c r="K299" i="3"/>
  <c r="K301" i="3"/>
  <c r="K302" i="3"/>
  <c r="K371" i="3"/>
  <c r="K370" i="3"/>
  <c r="K373" i="3"/>
  <c r="K369" i="3"/>
  <c r="K372" i="3"/>
  <c r="K375" i="3"/>
  <c r="K374" i="3"/>
  <c r="N478" i="1"/>
  <c r="K1315" i="3"/>
  <c r="K1319" i="3"/>
  <c r="K1318" i="3"/>
  <c r="K1316" i="3"/>
  <c r="K1317" i="3"/>
  <c r="K732" i="3"/>
  <c r="K728" i="3"/>
  <c r="K729" i="3"/>
  <c r="K734" i="3"/>
  <c r="K731" i="3"/>
  <c r="K733" i="3"/>
  <c r="K730" i="3"/>
  <c r="N562" i="1"/>
  <c r="K1664" i="3"/>
  <c r="K1663" i="3"/>
  <c r="K1665" i="3"/>
  <c r="N468" i="1"/>
  <c r="K1272" i="3"/>
  <c r="K1273" i="3"/>
  <c r="K1274" i="3"/>
  <c r="N215" i="1"/>
  <c r="K160" i="3"/>
  <c r="K161" i="3"/>
  <c r="N537" i="1"/>
  <c r="K1580" i="3"/>
  <c r="K1583" i="3"/>
  <c r="K1582" i="3"/>
  <c r="K1581" i="3"/>
  <c r="N259" i="1"/>
  <c r="K217" i="3"/>
  <c r="N486" i="1"/>
  <c r="K1363" i="3"/>
  <c r="K1360" i="3"/>
  <c r="K1359" i="3"/>
  <c r="K1362" i="3"/>
  <c r="K1361" i="3"/>
  <c r="K259" i="3"/>
  <c r="K258" i="3"/>
  <c r="K257" i="3"/>
  <c r="N571" i="1"/>
  <c r="K1691" i="3"/>
  <c r="K1692" i="3"/>
  <c r="K1690" i="3"/>
  <c r="K247" i="3"/>
  <c r="K245" i="3"/>
  <c r="K246" i="3"/>
  <c r="N422" i="1"/>
  <c r="K1112" i="3"/>
  <c r="K1110" i="3"/>
  <c r="K1113" i="3"/>
  <c r="K1111" i="3"/>
  <c r="N502" i="1"/>
  <c r="K1440" i="3"/>
  <c r="K1439" i="3"/>
  <c r="K1442" i="3"/>
  <c r="K1441" i="3"/>
  <c r="N483" i="1"/>
  <c r="K1344" i="3"/>
  <c r="K1343" i="3"/>
  <c r="K1346" i="3"/>
  <c r="K1347" i="3"/>
  <c r="K1345" i="3"/>
  <c r="N510" i="1"/>
  <c r="K1475" i="3"/>
  <c r="K1474" i="3"/>
  <c r="K1473" i="3"/>
  <c r="K1476" i="3"/>
  <c r="N231" i="1"/>
  <c r="K184" i="3"/>
  <c r="N245" i="1"/>
  <c r="K202" i="3"/>
  <c r="N318" i="1"/>
  <c r="K467" i="3"/>
  <c r="K464" i="3"/>
  <c r="K466" i="3"/>
  <c r="K468" i="3"/>
  <c r="K469" i="3"/>
  <c r="K465" i="3"/>
  <c r="K470" i="3"/>
  <c r="K392" i="3"/>
  <c r="K395" i="3"/>
  <c r="K393" i="3"/>
  <c r="K389" i="3"/>
  <c r="K391" i="3"/>
  <c r="K394" i="3"/>
  <c r="K390" i="3"/>
  <c r="N572" i="1"/>
  <c r="K1695" i="3"/>
  <c r="K1694" i="3"/>
  <c r="K1693" i="3"/>
  <c r="N484" i="1"/>
  <c r="K1351" i="3"/>
  <c r="K1352" i="3"/>
  <c r="K1350" i="3"/>
  <c r="K1349" i="3"/>
  <c r="K1348" i="3"/>
  <c r="N459" i="1"/>
  <c r="K1247" i="3"/>
  <c r="K1246" i="3"/>
  <c r="K1245" i="3"/>
  <c r="K587" i="3"/>
  <c r="K584" i="3"/>
  <c r="K591" i="3"/>
  <c r="K588" i="3"/>
  <c r="K585" i="3"/>
  <c r="K590" i="3"/>
  <c r="K583" i="3"/>
  <c r="K586" i="3"/>
  <c r="K589" i="3"/>
  <c r="K775" i="3"/>
  <c r="K776" i="3"/>
  <c r="K777" i="3"/>
  <c r="K779" i="3"/>
  <c r="K781" i="3"/>
  <c r="K778" i="3"/>
  <c r="K780" i="3"/>
  <c r="N529" i="1"/>
  <c r="K1551" i="3"/>
  <c r="K1549" i="3"/>
  <c r="K1550" i="3"/>
  <c r="K1552" i="3"/>
  <c r="N465" i="1"/>
  <c r="K1264" i="3"/>
  <c r="K1263" i="3"/>
  <c r="K1265" i="3"/>
  <c r="N399" i="1"/>
  <c r="K1015" i="3"/>
  <c r="K1011" i="3"/>
  <c r="K1012" i="3"/>
  <c r="K1013" i="3"/>
  <c r="K1014" i="3"/>
  <c r="K168" i="3"/>
  <c r="K169" i="3"/>
  <c r="N400" i="1"/>
  <c r="K1016" i="3"/>
  <c r="K1020" i="3"/>
  <c r="K1017" i="3"/>
  <c r="K1019" i="3"/>
  <c r="K1018" i="3"/>
  <c r="K416" i="3"/>
  <c r="K412" i="3"/>
  <c r="K415" i="3"/>
  <c r="K411" i="3"/>
  <c r="K413" i="3"/>
  <c r="K414" i="3"/>
  <c r="K417" i="3"/>
  <c r="K410" i="3"/>
  <c r="N475" i="1"/>
  <c r="K1302" i="3"/>
  <c r="K1298" i="3"/>
  <c r="K1299" i="3"/>
  <c r="K1301" i="3"/>
  <c r="K1300" i="3"/>
  <c r="N437" i="1"/>
  <c r="K1171" i="3"/>
  <c r="K1170" i="3"/>
  <c r="K1169" i="3"/>
  <c r="N557" i="1"/>
  <c r="K1648" i="3"/>
  <c r="K1650" i="3"/>
  <c r="K1649" i="3"/>
  <c r="N226" i="1"/>
  <c r="K177" i="3"/>
  <c r="N513" i="1"/>
  <c r="K1488" i="3"/>
  <c r="K1487" i="3"/>
  <c r="K1485" i="3"/>
  <c r="K1486" i="3"/>
  <c r="N559" i="1"/>
  <c r="K1655" i="3"/>
  <c r="K1656" i="3"/>
  <c r="K1654" i="3"/>
  <c r="N540" i="1"/>
  <c r="K1591" i="3"/>
  <c r="K1592" i="3"/>
  <c r="K1593" i="3"/>
  <c r="K1594" i="3"/>
  <c r="N377" i="1"/>
  <c r="K892" i="3"/>
  <c r="K895" i="3"/>
  <c r="K896" i="3"/>
  <c r="K893" i="3"/>
  <c r="K894" i="3"/>
  <c r="K897" i="3"/>
  <c r="N456" i="1"/>
  <c r="K1238" i="3"/>
  <c r="K1237" i="3"/>
  <c r="K1236" i="3"/>
  <c r="N376" i="1"/>
  <c r="K888" i="3"/>
  <c r="K887" i="3"/>
  <c r="K891" i="3"/>
  <c r="K889" i="3"/>
  <c r="K890" i="3"/>
  <c r="K886" i="3"/>
  <c r="K178" i="3"/>
  <c r="K179" i="3"/>
  <c r="N385" i="1"/>
  <c r="K940" i="3"/>
  <c r="K939" i="3"/>
  <c r="K937" i="3"/>
  <c r="K941" i="3"/>
  <c r="K942" i="3"/>
  <c r="K938" i="3"/>
  <c r="N551" i="1"/>
  <c r="K1632" i="3"/>
  <c r="K1631" i="3"/>
  <c r="K1630" i="3"/>
  <c r="N344" i="1"/>
  <c r="K680" i="3"/>
  <c r="K679" i="3"/>
  <c r="K681" i="3"/>
  <c r="K683" i="3"/>
  <c r="K682" i="3"/>
  <c r="K684" i="3"/>
  <c r="K678" i="3"/>
  <c r="N464" i="1"/>
  <c r="K1260" i="3"/>
  <c r="K1261" i="3"/>
  <c r="K1262" i="3"/>
  <c r="N230" i="1"/>
  <c r="K183" i="3"/>
  <c r="N563" i="1"/>
  <c r="K1668" i="3"/>
  <c r="K1667" i="3"/>
  <c r="K1666" i="3"/>
  <c r="N403" i="1"/>
  <c r="K1032" i="3"/>
  <c r="K1031" i="3"/>
  <c r="K1033" i="3"/>
  <c r="K1030" i="3"/>
  <c r="K655" i="3"/>
  <c r="K648" i="3"/>
  <c r="K651" i="3"/>
  <c r="K652" i="3"/>
  <c r="K649" i="3"/>
  <c r="K654" i="3"/>
  <c r="K650" i="3"/>
  <c r="K653" i="3"/>
  <c r="N458" i="1"/>
  <c r="K1244" i="3"/>
  <c r="K1243" i="3"/>
  <c r="K1242" i="3"/>
  <c r="K158" i="3"/>
  <c r="K157" i="3"/>
  <c r="N382" i="1"/>
  <c r="K923" i="3"/>
  <c r="K924" i="3"/>
  <c r="K920" i="3"/>
  <c r="K921" i="3"/>
  <c r="K925" i="3"/>
  <c r="K922" i="3"/>
  <c r="K267" i="3"/>
  <c r="K270" i="3"/>
  <c r="K268" i="3"/>
  <c r="K269" i="3"/>
  <c r="N323" i="1"/>
  <c r="K504" i="3"/>
  <c r="K503" i="3"/>
  <c r="K508" i="3"/>
  <c r="K507" i="3"/>
  <c r="K505" i="3"/>
  <c r="K509" i="3"/>
  <c r="K501" i="3"/>
  <c r="K506" i="3"/>
  <c r="K502" i="3"/>
  <c r="N417" i="1"/>
  <c r="K1091" i="3"/>
  <c r="K1090" i="3"/>
  <c r="K1093" i="3"/>
  <c r="K1089" i="3"/>
  <c r="K1092" i="3"/>
  <c r="N488" i="1"/>
  <c r="K1372" i="3"/>
  <c r="K1369" i="3"/>
  <c r="K1373" i="3"/>
  <c r="K1374" i="3"/>
  <c r="K1370" i="3"/>
  <c r="K1371" i="3"/>
  <c r="K419" i="3"/>
  <c r="K418" i="3"/>
  <c r="K423" i="3"/>
  <c r="K421" i="3"/>
  <c r="K422" i="3"/>
  <c r="K420" i="3"/>
  <c r="K360" i="3"/>
  <c r="K359" i="3"/>
  <c r="K361" i="3"/>
  <c r="K357" i="3"/>
  <c r="K362" i="3"/>
  <c r="K358" i="3"/>
  <c r="N496" i="1"/>
  <c r="K1411" i="3"/>
  <c r="K1415" i="3"/>
  <c r="K1414" i="3"/>
  <c r="K1413" i="3"/>
  <c r="K1412" i="3"/>
  <c r="N389" i="1"/>
  <c r="K959" i="3"/>
  <c r="K960" i="3"/>
  <c r="K962" i="3"/>
  <c r="K963" i="3"/>
  <c r="K961" i="3"/>
  <c r="N509" i="1"/>
  <c r="K1472" i="3"/>
  <c r="K1471" i="3"/>
  <c r="K1470" i="3"/>
  <c r="K1469" i="3"/>
  <c r="N375" i="1"/>
  <c r="K883" i="3"/>
  <c r="K882" i="3"/>
  <c r="K884" i="3"/>
  <c r="K885" i="3"/>
  <c r="K881" i="3"/>
  <c r="N541" i="1"/>
  <c r="K1595" i="3"/>
  <c r="K1596" i="3"/>
  <c r="K1597" i="3"/>
  <c r="K1598" i="3"/>
  <c r="K788" i="3"/>
  <c r="K792" i="3"/>
  <c r="K791" i="3"/>
  <c r="K793" i="3"/>
  <c r="K789" i="3"/>
  <c r="K794" i="3"/>
  <c r="K790" i="3"/>
  <c r="N490" i="1"/>
  <c r="K1384" i="3"/>
  <c r="K1382" i="3"/>
  <c r="K1380" i="3"/>
  <c r="K1381" i="3"/>
  <c r="K1383" i="3"/>
  <c r="K312" i="3"/>
  <c r="K309" i="3"/>
  <c r="K308" i="3"/>
  <c r="K311" i="3"/>
  <c r="K310" i="3"/>
  <c r="N378" i="1"/>
  <c r="K899" i="3"/>
  <c r="K898" i="3"/>
  <c r="K901" i="3"/>
  <c r="K902" i="3"/>
  <c r="K900" i="3"/>
  <c r="K903" i="3"/>
  <c r="K736" i="3"/>
  <c r="K739" i="3"/>
  <c r="K735" i="3"/>
  <c r="K738" i="3"/>
  <c r="K737" i="3"/>
  <c r="K740" i="3"/>
  <c r="N461" i="1"/>
  <c r="K1251" i="3"/>
  <c r="K1252" i="3"/>
  <c r="K1253" i="3"/>
  <c r="N315" i="1"/>
  <c r="K444" i="3"/>
  <c r="K443" i="3"/>
  <c r="K448" i="3"/>
  <c r="K446" i="3"/>
  <c r="K447" i="3"/>
  <c r="K449" i="3"/>
  <c r="K445" i="3"/>
  <c r="N329" i="1"/>
  <c r="K560" i="3"/>
  <c r="K564" i="3"/>
  <c r="K562" i="3"/>
  <c r="K561" i="3"/>
  <c r="K558" i="3"/>
  <c r="K557" i="3"/>
  <c r="K556" i="3"/>
  <c r="K563" i="3"/>
  <c r="K559" i="3"/>
  <c r="N536" i="1"/>
  <c r="K1576" i="3"/>
  <c r="K1579" i="3"/>
  <c r="K1577" i="3"/>
  <c r="K1578" i="3"/>
  <c r="K175" i="3"/>
  <c r="K174" i="3"/>
  <c r="N558" i="1"/>
  <c r="K1651" i="3"/>
  <c r="K1652" i="3"/>
  <c r="K1653" i="3"/>
  <c r="K307" i="3"/>
  <c r="K304" i="3"/>
  <c r="K306" i="3"/>
  <c r="K303" i="3"/>
  <c r="K305" i="3"/>
  <c r="N479" i="1"/>
  <c r="K1324" i="3"/>
  <c r="K1320" i="3"/>
  <c r="K1321" i="3"/>
  <c r="K1325" i="3"/>
  <c r="K1322" i="3"/>
  <c r="K1323" i="3"/>
  <c r="N379" i="1"/>
  <c r="K907" i="3"/>
  <c r="K908" i="3"/>
  <c r="K904" i="3"/>
  <c r="K905" i="3"/>
  <c r="K906" i="3"/>
  <c r="N453" i="1"/>
  <c r="K1228" i="3"/>
  <c r="K1227" i="3"/>
  <c r="K1229" i="3"/>
  <c r="K194" i="3"/>
  <c r="K195" i="3"/>
  <c r="N443" i="1"/>
  <c r="K1192" i="3"/>
  <c r="K1191" i="3"/>
  <c r="K1193" i="3"/>
  <c r="K1194" i="3"/>
  <c r="N457" i="1"/>
  <c r="K1240" i="3"/>
  <c r="K1239" i="3"/>
  <c r="K1241" i="3"/>
  <c r="N309" i="1"/>
  <c r="K408" i="3"/>
  <c r="K407" i="3"/>
  <c r="K404" i="3"/>
  <c r="K409" i="3"/>
  <c r="K403" i="3"/>
  <c r="K405" i="3"/>
  <c r="K406" i="3"/>
  <c r="N370" i="1"/>
  <c r="K856" i="3"/>
  <c r="K851" i="3"/>
  <c r="K853" i="3"/>
  <c r="K852" i="3"/>
  <c r="K854" i="3"/>
  <c r="K855" i="3"/>
  <c r="N369" i="1"/>
  <c r="K848" i="3"/>
  <c r="K847" i="3"/>
  <c r="K850" i="3"/>
  <c r="K845" i="3"/>
  <c r="K846" i="3"/>
  <c r="K849" i="3"/>
  <c r="K295" i="3"/>
  <c r="K297" i="3"/>
  <c r="K298" i="3"/>
  <c r="K294" i="3"/>
  <c r="K296" i="3"/>
  <c r="N448" i="1"/>
  <c r="K1211" i="3"/>
  <c r="K1212" i="3"/>
  <c r="K1210" i="3"/>
  <c r="N366" i="1"/>
  <c r="K828" i="3"/>
  <c r="K831" i="3"/>
  <c r="K832" i="3"/>
  <c r="K830" i="3"/>
  <c r="K827" i="3"/>
  <c r="K829" i="3"/>
  <c r="N264" i="1"/>
  <c r="K224" i="3"/>
  <c r="K223" i="3"/>
  <c r="K163" i="3"/>
  <c r="K164" i="3"/>
  <c r="N522" i="1"/>
  <c r="K1524" i="3"/>
  <c r="K1523" i="3"/>
  <c r="K1522" i="3"/>
  <c r="K1525" i="3"/>
  <c r="K232" i="3"/>
  <c r="K233" i="3"/>
  <c r="N407" i="1"/>
  <c r="K1047" i="3"/>
  <c r="K1048" i="3"/>
  <c r="K1051" i="3"/>
  <c r="K1049" i="3"/>
  <c r="K1050" i="3"/>
  <c r="N550" i="1"/>
  <c r="K1628" i="3"/>
  <c r="K1627" i="3"/>
  <c r="K1629" i="3"/>
  <c r="N531" i="1"/>
  <c r="K1559" i="3"/>
  <c r="K1560" i="3"/>
  <c r="K1558" i="3"/>
  <c r="K1557" i="3"/>
  <c r="N556" i="1"/>
  <c r="K1647" i="3"/>
  <c r="K1645" i="3"/>
  <c r="K1646" i="3"/>
  <c r="K352" i="3"/>
  <c r="K355" i="3"/>
  <c r="K354" i="3"/>
  <c r="K353" i="3"/>
  <c r="K351" i="3"/>
  <c r="K356" i="3"/>
  <c r="N402" i="1"/>
  <c r="K1027" i="3"/>
  <c r="K1026" i="3"/>
  <c r="K1029" i="3"/>
  <c r="K1028" i="3"/>
  <c r="N547" i="1"/>
  <c r="K1619" i="3"/>
  <c r="K1618" i="3"/>
  <c r="K1617" i="3"/>
  <c r="N444" i="1"/>
  <c r="K1196" i="3"/>
  <c r="K1197" i="3"/>
  <c r="K1198" i="3"/>
  <c r="K1195" i="3"/>
  <c r="N481" i="1"/>
  <c r="K1336" i="3"/>
  <c r="K1334" i="3"/>
  <c r="K1332" i="3"/>
  <c r="K1333" i="3"/>
  <c r="K1335" i="3"/>
  <c r="N545" i="1"/>
  <c r="K1612" i="3"/>
  <c r="K1610" i="3"/>
  <c r="K1611" i="3"/>
  <c r="N424" i="1"/>
  <c r="K1119" i="3"/>
  <c r="K1120" i="3"/>
  <c r="K1118" i="3"/>
  <c r="K1121" i="3"/>
  <c r="N495" i="1"/>
  <c r="K1408" i="3"/>
  <c r="K1407" i="3"/>
  <c r="K1410" i="3"/>
  <c r="K1406" i="3"/>
  <c r="K1409" i="3"/>
  <c r="K288" i="3"/>
  <c r="K287" i="3"/>
  <c r="K289" i="3"/>
  <c r="K286" i="3"/>
  <c r="N388" i="1"/>
  <c r="K956" i="3"/>
  <c r="K955" i="3"/>
  <c r="K953" i="3"/>
  <c r="K958" i="3"/>
  <c r="K954" i="3"/>
  <c r="K957" i="3"/>
  <c r="N466" i="1"/>
  <c r="K1267" i="3"/>
  <c r="K1268" i="3"/>
  <c r="K1266" i="3"/>
  <c r="N242" i="1"/>
  <c r="K198" i="3"/>
  <c r="N244" i="1"/>
  <c r="K200" i="3"/>
  <c r="K201" i="3"/>
  <c r="N472" i="1"/>
  <c r="K1284" i="3"/>
  <c r="K1283" i="3"/>
  <c r="K1285" i="3"/>
  <c r="N271" i="1"/>
  <c r="K234" i="3"/>
  <c r="N295" i="1"/>
  <c r="K319" i="3"/>
  <c r="K320" i="3"/>
  <c r="K322" i="3"/>
  <c r="K321" i="3"/>
  <c r="K318" i="3"/>
  <c r="N396" i="1"/>
  <c r="K996" i="3"/>
  <c r="K1000" i="3"/>
  <c r="K997" i="3"/>
  <c r="K999" i="3"/>
  <c r="K998" i="3"/>
  <c r="N409" i="1"/>
  <c r="K1058" i="3"/>
  <c r="K1056" i="3"/>
  <c r="K1059" i="3"/>
  <c r="K1057" i="3"/>
  <c r="N452" i="1"/>
  <c r="K1223" i="3"/>
  <c r="K1224" i="3"/>
  <c r="K1225" i="3"/>
  <c r="K1226" i="3"/>
  <c r="N516" i="1"/>
  <c r="K1500" i="3"/>
  <c r="K1499" i="3"/>
  <c r="K1501" i="3"/>
  <c r="K1498" i="3"/>
  <c r="N467" i="1"/>
  <c r="K1271" i="3"/>
  <c r="K1270" i="3"/>
  <c r="K1269" i="3"/>
  <c r="N554" i="1"/>
  <c r="K1639" i="3"/>
  <c r="K1640" i="3"/>
  <c r="K1641" i="3"/>
  <c r="N233" i="1"/>
  <c r="K187" i="3"/>
  <c r="N299" i="1"/>
  <c r="K344" i="3"/>
  <c r="K340" i="3"/>
  <c r="K343" i="3"/>
  <c r="K341" i="3"/>
  <c r="K339" i="3"/>
  <c r="K342" i="3"/>
  <c r="N367" i="1"/>
  <c r="K835" i="3"/>
  <c r="K834" i="3"/>
  <c r="K837" i="3"/>
  <c r="K833" i="3"/>
  <c r="K838" i="3"/>
  <c r="K836" i="3"/>
  <c r="N363" i="1"/>
  <c r="K811" i="3"/>
  <c r="K808" i="3"/>
  <c r="K809" i="3"/>
  <c r="K812" i="3"/>
  <c r="K810" i="3"/>
  <c r="K813" i="3"/>
  <c r="N508" i="1"/>
  <c r="K1468" i="3"/>
  <c r="K1464" i="3"/>
  <c r="K1465" i="3"/>
  <c r="K1466" i="3"/>
  <c r="K1467" i="3"/>
  <c r="N501" i="1"/>
  <c r="K1436" i="3"/>
  <c r="K1435" i="3"/>
  <c r="K1437" i="3"/>
  <c r="K1438" i="3"/>
  <c r="K1434" i="3"/>
  <c r="N482" i="1"/>
  <c r="K1339" i="3"/>
  <c r="K1340" i="3"/>
  <c r="K1337" i="3"/>
  <c r="K1342" i="3"/>
  <c r="K1341" i="3"/>
  <c r="K1338" i="3"/>
  <c r="N262" i="1"/>
  <c r="K220" i="3"/>
  <c r="K221" i="3"/>
  <c r="N362" i="1"/>
  <c r="K804" i="3"/>
  <c r="K807" i="3"/>
  <c r="K802" i="3"/>
  <c r="K805" i="3"/>
  <c r="K801" i="3"/>
  <c r="K806" i="3"/>
  <c r="K803" i="3"/>
  <c r="N425" i="1"/>
  <c r="K1123" i="3"/>
  <c r="K1122" i="3"/>
  <c r="K1124" i="3"/>
  <c r="K1125" i="3"/>
  <c r="N485" i="1"/>
  <c r="K1355" i="3"/>
  <c r="K1356" i="3"/>
  <c r="K1353" i="3"/>
  <c r="K1357" i="3"/>
  <c r="K1358" i="3"/>
  <c r="K1354" i="3"/>
  <c r="N564" i="1"/>
  <c r="K1670" i="3"/>
  <c r="K1669" i="3"/>
  <c r="K1671" i="3"/>
  <c r="N460" i="1"/>
  <c r="K1248" i="3"/>
  <c r="K1250" i="3"/>
  <c r="K1249" i="3"/>
  <c r="N527" i="1"/>
  <c r="K1543" i="3"/>
  <c r="K1544" i="3"/>
  <c r="K1542" i="3"/>
  <c r="N296" i="1"/>
  <c r="K324" i="3"/>
  <c r="K325" i="3"/>
  <c r="K327" i="3"/>
  <c r="K323" i="3"/>
  <c r="K326" i="3"/>
  <c r="N538" i="1"/>
  <c r="K1584" i="3"/>
  <c r="K1586" i="3"/>
  <c r="K1585" i="3"/>
  <c r="N401" i="1"/>
  <c r="K1024" i="3"/>
  <c r="K1023" i="3"/>
  <c r="K1022" i="3"/>
  <c r="K1025" i="3"/>
  <c r="K1021" i="3"/>
  <c r="N282" i="1"/>
  <c r="K264" i="3"/>
  <c r="K265" i="3"/>
  <c r="K263" i="3"/>
  <c r="K266" i="3"/>
  <c r="N546" i="1"/>
  <c r="K1616" i="3"/>
  <c r="K1615" i="3"/>
  <c r="K1613" i="3"/>
  <c r="K1614" i="3"/>
  <c r="N328" i="1"/>
  <c r="K548" i="3"/>
  <c r="K552" i="3"/>
  <c r="K551" i="3"/>
  <c r="K547" i="3"/>
  <c r="K555" i="3"/>
  <c r="K553" i="3"/>
  <c r="K549" i="3"/>
  <c r="K554" i="3"/>
  <c r="K550" i="3"/>
  <c r="N256" i="1"/>
  <c r="K214" i="3"/>
  <c r="N535" i="1"/>
  <c r="K1572" i="3"/>
  <c r="K1574" i="3"/>
  <c r="K1573" i="3"/>
  <c r="K1575" i="3"/>
  <c r="N503" i="1"/>
  <c r="K1446" i="3"/>
  <c r="K1444" i="3"/>
  <c r="K1443" i="3"/>
  <c r="K1445" i="3"/>
  <c r="N261" i="1"/>
  <c r="K219" i="3"/>
  <c r="N341" i="1"/>
  <c r="K660" i="3"/>
  <c r="K656" i="3"/>
  <c r="K658" i="3"/>
  <c r="K661" i="3"/>
  <c r="K657" i="3"/>
  <c r="K662" i="3"/>
  <c r="K659" i="3"/>
  <c r="N284" i="1"/>
  <c r="K272" i="3"/>
  <c r="K271" i="3"/>
  <c r="K273" i="3"/>
  <c r="N286" i="1"/>
  <c r="K280" i="3"/>
  <c r="K281" i="3"/>
  <c r="K278" i="3"/>
  <c r="K279" i="3"/>
  <c r="N386" i="1"/>
  <c r="K944" i="3"/>
  <c r="K943" i="3"/>
  <c r="K947" i="3"/>
  <c r="K946" i="3"/>
  <c r="K945" i="3"/>
  <c r="N406" i="1"/>
  <c r="K1043" i="3"/>
  <c r="K1045" i="3"/>
  <c r="K1044" i="3"/>
  <c r="K1046" i="3"/>
  <c r="N357" i="1"/>
  <c r="K771" i="3"/>
  <c r="K772" i="3"/>
  <c r="K768" i="3"/>
  <c r="K770" i="3"/>
  <c r="K773" i="3"/>
  <c r="K769" i="3"/>
  <c r="K774" i="3"/>
  <c r="N326" i="1"/>
  <c r="K532" i="3"/>
  <c r="K536" i="3"/>
  <c r="K530" i="3"/>
  <c r="K537" i="3"/>
  <c r="K535" i="3"/>
  <c r="K533" i="3"/>
  <c r="K531" i="3"/>
  <c r="K529" i="3"/>
  <c r="K534" i="3"/>
  <c r="N303" i="1"/>
  <c r="K368" i="3"/>
  <c r="K363" i="3"/>
  <c r="K364" i="3"/>
  <c r="K366" i="3"/>
  <c r="K367" i="3"/>
  <c r="K365" i="3"/>
  <c r="N423" i="1"/>
  <c r="K1115" i="3"/>
  <c r="K1116" i="3"/>
  <c r="K1114" i="3"/>
  <c r="K1117" i="3"/>
  <c r="N567" i="1"/>
  <c r="K1680" i="3"/>
  <c r="K1679" i="3"/>
  <c r="K1678" i="3"/>
  <c r="N543" i="1"/>
  <c r="K1603" i="3"/>
  <c r="K1604" i="3"/>
  <c r="K1602" i="3"/>
  <c r="K1605" i="3"/>
  <c r="N391" i="1"/>
  <c r="K971" i="3"/>
  <c r="K972" i="3"/>
  <c r="K974" i="3"/>
  <c r="K973" i="3"/>
  <c r="K970" i="3"/>
  <c r="N374" i="1"/>
  <c r="K880" i="3"/>
  <c r="K876" i="3"/>
  <c r="K875" i="3"/>
  <c r="K878" i="3"/>
  <c r="K879" i="3"/>
  <c r="K877" i="3"/>
  <c r="N337" i="1"/>
  <c r="K632" i="3"/>
  <c r="K627" i="3"/>
  <c r="K631" i="3"/>
  <c r="K628" i="3"/>
  <c r="K626" i="3"/>
  <c r="K629" i="3"/>
  <c r="K625" i="3"/>
  <c r="K630" i="3"/>
  <c r="N258" i="1"/>
  <c r="K216" i="3"/>
  <c r="N368" i="1"/>
  <c r="K843" i="3"/>
  <c r="K844" i="3"/>
  <c r="K840" i="3"/>
  <c r="K839" i="3"/>
  <c r="K841" i="3"/>
  <c r="K842" i="3"/>
  <c r="N519" i="1"/>
  <c r="K1511" i="3"/>
  <c r="K1512" i="3"/>
  <c r="K1510" i="3"/>
  <c r="K1513" i="3"/>
  <c r="N555" i="1"/>
  <c r="K1643" i="3"/>
  <c r="K1644" i="3"/>
  <c r="K1642" i="3"/>
  <c r="L174" i="1"/>
  <c r="P122" i="1"/>
  <c r="M88" i="1"/>
  <c r="M337" i="1"/>
  <c r="M98" i="1"/>
  <c r="L47" i="1"/>
  <c r="L185" i="1"/>
  <c r="L341" i="1"/>
  <c r="L35" i="1"/>
  <c r="P246" i="1"/>
  <c r="P314" i="1"/>
  <c r="M247" i="1"/>
  <c r="M331" i="1"/>
  <c r="P83" i="1"/>
  <c r="M65" i="1"/>
  <c r="M137" i="1"/>
  <c r="P300" i="1"/>
  <c r="P274" i="1"/>
  <c r="M268" i="1"/>
  <c r="L114" i="1"/>
  <c r="L170" i="1"/>
  <c r="M348" i="1"/>
  <c r="P130" i="1"/>
  <c r="P287" i="1"/>
  <c r="M266" i="1"/>
  <c r="M71" i="1"/>
  <c r="P183" i="1"/>
  <c r="M339" i="1"/>
  <c r="M50" i="1"/>
  <c r="M61" i="1"/>
  <c r="P207" i="1"/>
  <c r="M66" i="1"/>
  <c r="M26" i="1"/>
  <c r="P270" i="1"/>
  <c r="P170" i="1"/>
  <c r="M114" i="1"/>
  <c r="M97" i="1"/>
  <c r="M189" i="1"/>
  <c r="P54" i="1"/>
  <c r="P203" i="1"/>
  <c r="P304" i="1"/>
  <c r="O26" i="1"/>
  <c r="O27" i="1"/>
  <c r="O28" i="1"/>
  <c r="O25" i="1"/>
  <c r="M51" i="1"/>
  <c r="L285" i="1"/>
  <c r="L354" i="1"/>
  <c r="P44" i="1"/>
  <c r="M332" i="1"/>
  <c r="M198" i="1"/>
  <c r="M171" i="1"/>
  <c r="M303" i="1"/>
  <c r="M174" i="1"/>
  <c r="M220" i="1"/>
  <c r="M258" i="1"/>
  <c r="M149" i="1"/>
  <c r="M244" i="1"/>
  <c r="M195" i="1"/>
  <c r="M363" i="1"/>
  <c r="P264" i="1"/>
  <c r="M185" i="1"/>
  <c r="P152" i="1"/>
  <c r="M193" i="1"/>
  <c r="P127" i="1"/>
  <c r="P256" i="1"/>
  <c r="M351" i="1"/>
  <c r="M111" i="1"/>
  <c r="P177" i="1"/>
  <c r="M56" i="1"/>
  <c r="P286" i="1"/>
  <c r="P49" i="1"/>
  <c r="P159" i="1"/>
  <c r="P284" i="1"/>
  <c r="M251" i="1"/>
  <c r="M109" i="1"/>
  <c r="M217" i="1"/>
  <c r="P261" i="1"/>
  <c r="P167" i="1"/>
  <c r="M204" i="1"/>
  <c r="M200" i="1"/>
  <c r="P262" i="1"/>
  <c r="M25" i="1"/>
  <c r="M79" i="1"/>
  <c r="M299" i="1"/>
  <c r="P242" i="1"/>
  <c r="M236" i="1"/>
  <c r="P163" i="1"/>
  <c r="M161" i="1"/>
  <c r="P148" i="1"/>
  <c r="M47" i="1"/>
  <c r="M271" i="1"/>
  <c r="M106" i="1"/>
  <c r="P296" i="1"/>
  <c r="M182" i="1"/>
  <c r="P233" i="1"/>
  <c r="M223" i="1"/>
  <c r="M192" i="1"/>
  <c r="M290" i="1"/>
  <c r="M341" i="1"/>
  <c r="M209" i="1"/>
  <c r="M311" i="1"/>
  <c r="P58" i="1"/>
  <c r="P231" i="1"/>
  <c r="M328" i="1"/>
  <c r="M276" i="1"/>
  <c r="M344" i="1"/>
  <c r="M302" i="1"/>
  <c r="M110" i="1"/>
  <c r="P202" i="1"/>
  <c r="P42" i="1"/>
  <c r="P29" i="1"/>
  <c r="M39" i="1"/>
  <c r="M179" i="1"/>
  <c r="M118" i="1"/>
  <c r="M309" i="1"/>
  <c r="P327" i="1"/>
  <c r="M67" i="1"/>
  <c r="P100" i="1"/>
  <c r="P143" i="1"/>
  <c r="M112" i="1"/>
  <c r="P282" i="1"/>
  <c r="M237" i="1"/>
  <c r="P326" i="1"/>
  <c r="M70" i="1"/>
  <c r="P89" i="1"/>
  <c r="M32" i="1"/>
  <c r="P135" i="1"/>
  <c r="P283" i="1"/>
  <c r="M93" i="1"/>
  <c r="M329" i="1"/>
  <c r="M105" i="1"/>
  <c r="P139" i="1"/>
  <c r="M226" i="1"/>
  <c r="P357" i="1"/>
  <c r="L61" i="1"/>
  <c r="L84" i="1"/>
  <c r="L219" i="1"/>
  <c r="L278" i="1"/>
  <c r="M222" i="1"/>
  <c r="M210" i="1"/>
  <c r="L212" i="1"/>
  <c r="L286" i="1"/>
  <c r="L242" i="1"/>
  <c r="L295" i="1"/>
  <c r="P133" i="1"/>
  <c r="L165" i="1"/>
  <c r="L329" i="1"/>
  <c r="L271" i="1"/>
  <c r="P81" i="1"/>
  <c r="P99" i="1"/>
  <c r="M324" i="1"/>
  <c r="M232" i="1"/>
  <c r="M73" i="1"/>
  <c r="L244" i="1"/>
  <c r="L264" i="1"/>
  <c r="L25" i="1"/>
  <c r="L39" i="1"/>
  <c r="L233" i="1"/>
  <c r="L44" i="1"/>
  <c r="L159" i="1"/>
  <c r="L200" i="1"/>
  <c r="L79" i="1"/>
  <c r="L357" i="1"/>
  <c r="L129" i="1"/>
  <c r="L93" i="1"/>
  <c r="L179" i="1"/>
  <c r="L256" i="1"/>
  <c r="L258" i="1"/>
  <c r="M84" i="1"/>
  <c r="P208" i="1"/>
  <c r="L195" i="1"/>
  <c r="L284" i="1"/>
  <c r="L326" i="1"/>
  <c r="L171" i="1"/>
  <c r="L261" i="1"/>
  <c r="L303" i="1"/>
  <c r="L97" i="1"/>
  <c r="L202" i="1"/>
  <c r="L203" i="1"/>
  <c r="L98" i="1"/>
  <c r="P218" i="1"/>
  <c r="P333" i="1"/>
  <c r="M306" i="1"/>
  <c r="M319" i="1"/>
  <c r="M196" i="1"/>
  <c r="L132" i="1"/>
  <c r="L249" i="1"/>
  <c r="L300" i="1"/>
  <c r="L62" i="1"/>
  <c r="L218" i="1"/>
  <c r="L211" i="1"/>
  <c r="P313" i="1"/>
  <c r="L321" i="1"/>
  <c r="L348" i="1"/>
  <c r="L243" i="1"/>
  <c r="L361" i="1"/>
  <c r="L196" i="1"/>
  <c r="L53" i="1"/>
  <c r="L71" i="1"/>
  <c r="L81" i="1"/>
  <c r="L314" i="1"/>
  <c r="L45" i="1"/>
  <c r="L339" i="1"/>
  <c r="L345" i="1"/>
  <c r="L335" i="1"/>
  <c r="L324" i="1"/>
  <c r="L208" i="1"/>
  <c r="L343" i="1"/>
  <c r="L34" i="1"/>
  <c r="L154" i="1"/>
  <c r="L83" i="1"/>
  <c r="L298" i="1"/>
  <c r="L140" i="1"/>
  <c r="L150" i="1"/>
  <c r="L137" i="1"/>
  <c r="L331" i="1"/>
  <c r="L181" i="1"/>
  <c r="L327" i="1"/>
  <c r="L241" i="1"/>
  <c r="L123" i="1"/>
  <c r="L269" i="1"/>
  <c r="L229" i="1"/>
  <c r="P305" i="1"/>
  <c r="M342" i="1"/>
  <c r="L147" i="1"/>
  <c r="P173" i="1"/>
  <c r="P103" i="1"/>
  <c r="P134" i="1"/>
  <c r="P27" i="1"/>
  <c r="L180" i="1"/>
  <c r="M48" i="1"/>
  <c r="P335" i="1"/>
  <c r="P355" i="1"/>
  <c r="M289" i="1"/>
  <c r="P336" i="1"/>
  <c r="M125" i="1"/>
  <c r="M36" i="1"/>
  <c r="M278" i="1"/>
  <c r="P322" i="1"/>
  <c r="M38" i="1"/>
  <c r="P197" i="1"/>
  <c r="P340" i="1"/>
  <c r="P297" i="1"/>
  <c r="M245" i="1"/>
  <c r="P164" i="1"/>
  <c r="P175" i="1"/>
  <c r="P172" i="1"/>
  <c r="P184" i="1"/>
  <c r="M323" i="1"/>
  <c r="M131" i="1"/>
  <c r="M145" i="1"/>
  <c r="M301" i="1"/>
  <c r="M224" i="1"/>
  <c r="M178" i="1"/>
  <c r="P293" i="1"/>
  <c r="P37" i="1"/>
  <c r="P108" i="1"/>
  <c r="P35" i="1"/>
  <c r="M142" i="1"/>
  <c r="P360" i="1"/>
  <c r="P87" i="1"/>
  <c r="P213" i="1"/>
  <c r="M346" i="1"/>
  <c r="P346" i="1"/>
  <c r="M52" i="1"/>
  <c r="P52" i="1"/>
  <c r="P221" i="1"/>
  <c r="M221" i="1"/>
  <c r="M155" i="1"/>
  <c r="P155" i="1"/>
  <c r="P126" i="1"/>
  <c r="M205" i="1"/>
  <c r="P77" i="1"/>
  <c r="P292" i="1"/>
  <c r="P358" i="1"/>
  <c r="P199" i="1"/>
  <c r="P55" i="1"/>
  <c r="P240" i="1"/>
  <c r="M315" i="1"/>
  <c r="P239" i="1"/>
  <c r="P255" i="1"/>
  <c r="M147" i="1"/>
  <c r="P230" i="1"/>
  <c r="M102" i="1"/>
  <c r="P151" i="1"/>
  <c r="M280" i="1"/>
  <c r="P227" i="1"/>
  <c r="P257" i="1"/>
  <c r="P307" i="1"/>
  <c r="M214" i="1"/>
  <c r="M128" i="1"/>
  <c r="P275" i="1"/>
  <c r="M275" i="1"/>
  <c r="M146" i="1"/>
  <c r="P146" i="1"/>
  <c r="M78" i="1"/>
  <c r="P78" i="1"/>
  <c r="M259" i="1"/>
  <c r="P180" i="1"/>
  <c r="P28" i="1"/>
  <c r="M260" i="1"/>
  <c r="M121" i="1"/>
  <c r="M352" i="1"/>
  <c r="P165" i="1"/>
  <c r="M216" i="1"/>
  <c r="M238" i="1"/>
  <c r="M129" i="1"/>
  <c r="M347" i="1"/>
  <c r="M138" i="1"/>
  <c r="P116" i="1"/>
  <c r="M295" i="1"/>
  <c r="M310" i="1"/>
  <c r="M265" i="1"/>
  <c r="M64" i="1"/>
  <c r="M318" i="1"/>
  <c r="P263" i="1"/>
  <c r="P291" i="1"/>
  <c r="P215" i="1"/>
  <c r="M60" i="1"/>
  <c r="N164" i="1"/>
  <c r="L164" i="1"/>
  <c r="N304" i="1"/>
  <c r="L304" i="1"/>
  <c r="N178" i="1"/>
  <c r="L178" i="1"/>
  <c r="N126" i="1"/>
  <c r="L126" i="1"/>
  <c r="N280" i="1"/>
  <c r="L280" i="1"/>
  <c r="N276" i="1"/>
  <c r="L276" i="1"/>
  <c r="N240" i="1"/>
  <c r="L240" i="1"/>
  <c r="N172" i="1"/>
  <c r="L172" i="1"/>
  <c r="N332" i="1"/>
  <c r="L332" i="1"/>
  <c r="N358" i="1"/>
  <c r="L358" i="1"/>
  <c r="N197" i="1"/>
  <c r="L197" i="1"/>
  <c r="N238" i="1"/>
  <c r="L238" i="1"/>
  <c r="N77" i="1"/>
  <c r="L77" i="1"/>
  <c r="N67" i="1"/>
  <c r="L67" i="1"/>
  <c r="N220" i="1"/>
  <c r="L220" i="1"/>
  <c r="N310" i="1"/>
  <c r="L310" i="1"/>
  <c r="N108" i="1"/>
  <c r="L108" i="1"/>
  <c r="N143" i="1"/>
  <c r="L143" i="1"/>
  <c r="N260" i="1"/>
  <c r="L260" i="1"/>
  <c r="N227" i="1"/>
  <c r="L227" i="1"/>
  <c r="N87" i="1"/>
  <c r="L87" i="1"/>
  <c r="N100" i="1"/>
  <c r="L100" i="1"/>
  <c r="N70" i="1"/>
  <c r="L70" i="1"/>
  <c r="N106" i="1"/>
  <c r="L106" i="1"/>
  <c r="N213" i="1"/>
  <c r="L213" i="1"/>
  <c r="N311" i="1"/>
  <c r="L311" i="1"/>
  <c r="N302" i="1"/>
  <c r="L302" i="1"/>
  <c r="N163" i="1"/>
  <c r="L163" i="1"/>
  <c r="N223" i="1"/>
  <c r="L223" i="1"/>
  <c r="N199" i="1"/>
  <c r="L199" i="1"/>
  <c r="N257" i="1"/>
  <c r="L257" i="1"/>
  <c r="N292" i="1"/>
  <c r="L292" i="1"/>
  <c r="N38" i="1"/>
  <c r="L38" i="1"/>
  <c r="N239" i="1"/>
  <c r="L239" i="1"/>
  <c r="N193" i="1"/>
  <c r="L193" i="1"/>
  <c r="N111" i="1"/>
  <c r="L111" i="1"/>
  <c r="N217" i="1"/>
  <c r="L217" i="1"/>
  <c r="N109" i="1"/>
  <c r="L109" i="1"/>
  <c r="N118" i="1"/>
  <c r="L118" i="1"/>
  <c r="N177" i="1"/>
  <c r="L177" i="1"/>
  <c r="N216" i="1"/>
  <c r="L216" i="1"/>
  <c r="N301" i="1"/>
  <c r="L301" i="1"/>
  <c r="L318" i="1"/>
  <c r="L182" i="1"/>
  <c r="L184" i="1"/>
  <c r="L145" i="1"/>
  <c r="L110" i="1"/>
  <c r="L116" i="1"/>
  <c r="L175" i="1"/>
  <c r="L323" i="1"/>
  <c r="L315" i="1"/>
  <c r="L231" i="1"/>
  <c r="L230" i="1"/>
  <c r="L344" i="1"/>
  <c r="L226" i="1"/>
  <c r="L309" i="1"/>
  <c r="N351" i="1"/>
  <c r="L351" i="1"/>
  <c r="N142" i="1"/>
  <c r="L142" i="1"/>
  <c r="N149" i="1"/>
  <c r="L149" i="1"/>
  <c r="N307" i="1"/>
  <c r="L307" i="1"/>
  <c r="N255" i="1"/>
  <c r="L255" i="1"/>
  <c r="N89" i="1"/>
  <c r="L89" i="1"/>
  <c r="N64" i="1"/>
  <c r="L64" i="1"/>
  <c r="N105" i="1"/>
  <c r="L105" i="1"/>
  <c r="N340" i="1"/>
  <c r="L340" i="1"/>
  <c r="N283" i="1"/>
  <c r="L283" i="1"/>
  <c r="N205" i="1"/>
  <c r="L205" i="1"/>
  <c r="N265" i="1"/>
  <c r="L265" i="1"/>
  <c r="N112" i="1"/>
  <c r="L112" i="1"/>
  <c r="N167" i="1"/>
  <c r="L167" i="1"/>
  <c r="N360" i="1"/>
  <c r="L360" i="1"/>
  <c r="N293" i="1"/>
  <c r="L293" i="1"/>
  <c r="N352" i="1"/>
  <c r="L352" i="1"/>
  <c r="N214" i="1"/>
  <c r="L214" i="1"/>
  <c r="N224" i="1"/>
  <c r="L224" i="1"/>
  <c r="N60" i="1"/>
  <c r="L60" i="1"/>
  <c r="N237" i="1"/>
  <c r="L237" i="1"/>
  <c r="N290" i="1"/>
  <c r="L290" i="1"/>
  <c r="N270" i="1"/>
  <c r="L270" i="1"/>
  <c r="N28" i="1"/>
  <c r="O33" i="1" s="1"/>
  <c r="L28" i="1"/>
  <c r="N151" i="1"/>
  <c r="L151" i="1"/>
  <c r="M53" i="1"/>
  <c r="P53" i="1"/>
  <c r="P150" i="1"/>
  <c r="M150" i="1"/>
  <c r="M228" i="1"/>
  <c r="P228" i="1"/>
  <c r="M63" i="1"/>
  <c r="P63" i="1"/>
  <c r="P74" i="1"/>
  <c r="M74" i="1"/>
  <c r="M96" i="1"/>
  <c r="P96" i="1"/>
  <c r="P119" i="1"/>
  <c r="M119" i="1"/>
  <c r="M107" i="1"/>
  <c r="P107" i="1"/>
  <c r="M254" i="1"/>
  <c r="P254" i="1"/>
  <c r="M188" i="1"/>
  <c r="P188" i="1"/>
  <c r="M57" i="1"/>
  <c r="P57" i="1"/>
  <c r="M24" i="1"/>
  <c r="P24" i="1"/>
  <c r="M250" i="1"/>
  <c r="P250" i="1"/>
  <c r="M104" i="1"/>
  <c r="P104" i="1"/>
  <c r="M30" i="1"/>
  <c r="P30" i="1"/>
  <c r="M162" i="1"/>
  <c r="P162" i="1"/>
  <c r="P157" i="1"/>
  <c r="M157" i="1"/>
  <c r="M201" i="1"/>
  <c r="P201" i="1"/>
  <c r="P115" i="1"/>
  <c r="M115" i="1"/>
  <c r="P144" i="1"/>
  <c r="M144" i="1"/>
  <c r="M320" i="1"/>
  <c r="P320" i="1"/>
  <c r="M94" i="1"/>
  <c r="P94" i="1"/>
  <c r="M269" i="1"/>
  <c r="P269" i="1"/>
  <c r="P325" i="1"/>
  <c r="M325" i="1"/>
  <c r="P272" i="1"/>
  <c r="M272" i="1"/>
  <c r="M68" i="1"/>
  <c r="P68" i="1"/>
  <c r="M166" i="1"/>
  <c r="P166" i="1"/>
  <c r="M34" i="1"/>
  <c r="P34" i="1"/>
  <c r="M191" i="1"/>
  <c r="P191" i="1"/>
  <c r="M41" i="1"/>
  <c r="P41" i="1"/>
  <c r="L49" i="1"/>
  <c r="L26" i="1"/>
  <c r="L135" i="1"/>
  <c r="L29" i="1"/>
  <c r="L296" i="1"/>
  <c r="L54" i="1"/>
  <c r="P132" i="1"/>
  <c r="P312" i="1"/>
  <c r="M120" i="1"/>
  <c r="P158" i="1"/>
  <c r="P241" i="1"/>
  <c r="M176" i="1"/>
  <c r="P187" i="1"/>
  <c r="M45" i="1"/>
  <c r="P359" i="1"/>
  <c r="M72" i="1"/>
  <c r="P211" i="1"/>
  <c r="M249" i="1"/>
  <c r="P279" i="1"/>
  <c r="P252" i="1"/>
  <c r="P160" i="1"/>
  <c r="P43" i="1"/>
  <c r="P229" i="1"/>
  <c r="P101" i="1"/>
  <c r="M212" i="1"/>
  <c r="P31" i="1"/>
  <c r="P206" i="1"/>
  <c r="P353" i="1"/>
  <c r="M317" i="1"/>
  <c r="M168" i="1"/>
  <c r="M361" i="1"/>
  <c r="P308" i="1"/>
  <c r="P316" i="1"/>
  <c r="P267" i="1"/>
  <c r="M277" i="1"/>
  <c r="P117" i="1"/>
  <c r="M169" i="1"/>
  <c r="P169" i="1"/>
  <c r="P91" i="1"/>
  <c r="M91" i="1"/>
  <c r="M253" i="1"/>
  <c r="P253" i="1"/>
  <c r="M113" i="1"/>
  <c r="P113" i="1"/>
  <c r="M338" i="1"/>
  <c r="P338" i="1"/>
  <c r="M273" i="1"/>
  <c r="P273" i="1"/>
  <c r="M90" i="1"/>
  <c r="P90" i="1"/>
  <c r="P349" i="1"/>
  <c r="M349" i="1"/>
  <c r="P69" i="1"/>
  <c r="M69" i="1"/>
  <c r="M136" i="1"/>
  <c r="P136" i="1"/>
  <c r="M33" i="1"/>
  <c r="P33" i="1"/>
  <c r="M190" i="1"/>
  <c r="P190" i="1"/>
  <c r="M234" i="1"/>
  <c r="P234" i="1"/>
  <c r="M123" i="1"/>
  <c r="P123" i="1"/>
  <c r="M76" i="1"/>
  <c r="P76" i="1"/>
  <c r="M82" i="1"/>
  <c r="P82" i="1"/>
  <c r="P46" i="1"/>
  <c r="M46" i="1"/>
  <c r="M141" i="1"/>
  <c r="P141" i="1"/>
  <c r="M294" i="1"/>
  <c r="P294" i="1"/>
  <c r="P321" i="1"/>
  <c r="M321" i="1"/>
  <c r="M75" i="1"/>
  <c r="P75" i="1"/>
  <c r="M281" i="1"/>
  <c r="P281" i="1"/>
  <c r="M95" i="1"/>
  <c r="P95" i="1"/>
  <c r="P86" i="1"/>
  <c r="M86" i="1"/>
  <c r="M124" i="1"/>
  <c r="P124" i="1"/>
  <c r="M343" i="1"/>
  <c r="P343" i="1"/>
  <c r="P330" i="1"/>
  <c r="M330" i="1"/>
  <c r="P243" i="1"/>
  <c r="M243" i="1"/>
  <c r="M186" i="1"/>
  <c r="P186" i="1"/>
  <c r="P356" i="1"/>
  <c r="M356" i="1"/>
  <c r="M345" i="1"/>
  <c r="P345" i="1"/>
  <c r="P140" i="1"/>
  <c r="M140" i="1"/>
  <c r="L209" i="1"/>
  <c r="L363" i="1"/>
  <c r="L183" i="1"/>
  <c r="L282" i="1"/>
  <c r="L328" i="1"/>
  <c r="L262" i="1"/>
  <c r="L121" i="1"/>
  <c r="L299" i="1"/>
  <c r="L161" i="1"/>
  <c r="L148" i="1"/>
  <c r="L189" i="1"/>
  <c r="M248" i="1"/>
  <c r="P350" i="1"/>
  <c r="M156" i="1"/>
  <c r="P59" i="1"/>
  <c r="M154" i="1"/>
  <c r="P153" i="1"/>
  <c r="P235" i="1"/>
  <c r="P334" i="1"/>
  <c r="M225" i="1"/>
  <c r="M92" i="1"/>
  <c r="M80" i="1"/>
  <c r="M219" i="1"/>
  <c r="M298" i="1"/>
  <c r="M285" i="1"/>
  <c r="M40" i="1"/>
  <c r="P354" i="1"/>
  <c r="P194" i="1"/>
  <c r="P181" i="1"/>
  <c r="P85" i="1"/>
  <c r="N204" i="1"/>
  <c r="L204" i="1"/>
  <c r="N288" i="1"/>
  <c r="L288" i="1"/>
  <c r="N127" i="1"/>
  <c r="L127" i="1"/>
  <c r="N236" i="1"/>
  <c r="L236" i="1"/>
  <c r="N198" i="1"/>
  <c r="L198" i="1"/>
  <c r="N58" i="1"/>
  <c r="L58" i="1"/>
  <c r="L254" i="1"/>
  <c r="L43" i="1"/>
  <c r="L305" i="1"/>
  <c r="L333" i="1"/>
  <c r="L279" i="1"/>
  <c r="L274" i="1"/>
  <c r="L355" i="1"/>
  <c r="L225" i="1"/>
  <c r="L356" i="1"/>
  <c r="L119" i="1"/>
  <c r="L80" i="1"/>
  <c r="L27" i="1"/>
  <c r="L74" i="1"/>
  <c r="L125" i="1"/>
  <c r="L40" i="1"/>
  <c r="L86" i="1"/>
  <c r="L73" i="1"/>
  <c r="L207" i="1"/>
  <c r="L117" i="1"/>
  <c r="L191" i="1"/>
  <c r="L248" i="1"/>
  <c r="L94" i="1"/>
  <c r="L273" i="1"/>
  <c r="L68" i="1"/>
  <c r="L156" i="1"/>
  <c r="L176" i="1"/>
  <c r="L251" i="1"/>
  <c r="L122" i="1"/>
  <c r="L141" i="1"/>
  <c r="L76" i="1"/>
  <c r="L72" i="1"/>
  <c r="L294" i="1"/>
  <c r="L166" i="1"/>
  <c r="L281" i="1"/>
  <c r="L153" i="1"/>
  <c r="L124" i="1"/>
  <c r="L96" i="1"/>
  <c r="L107" i="1"/>
  <c r="L50" i="1"/>
  <c r="L101" i="1"/>
  <c r="L24" i="1"/>
  <c r="L319" i="1"/>
  <c r="L334" i="1"/>
  <c r="L206" i="1"/>
  <c r="L78" i="1"/>
  <c r="L65" i="1"/>
  <c r="L287" i="1"/>
  <c r="L272" i="1"/>
  <c r="L330" i="1"/>
  <c r="L317" i="1"/>
  <c r="L41" i="1"/>
  <c r="L316" i="1"/>
  <c r="L75" i="1"/>
  <c r="L66" i="1"/>
  <c r="L85" i="1"/>
  <c r="L120" i="1"/>
  <c r="L350" i="1"/>
  <c r="L158" i="1"/>
  <c r="L48" i="1"/>
  <c r="L346" i="1"/>
  <c r="L186" i="1"/>
  <c r="L275" i="1"/>
  <c r="L95" i="1"/>
  <c r="L235" i="1"/>
  <c r="L306" i="1"/>
  <c r="L325" i="1"/>
  <c r="L63" i="1"/>
  <c r="L88" i="1"/>
  <c r="L99" i="1"/>
  <c r="L247" i="1"/>
  <c r="L144" i="1"/>
  <c r="L155" i="1"/>
  <c r="L266" i="1"/>
  <c r="L268" i="1"/>
  <c r="L232" i="1"/>
  <c r="L246" i="1"/>
  <c r="L308" i="1"/>
  <c r="L320" i="1"/>
  <c r="L322" i="1"/>
  <c r="L194" i="1"/>
  <c r="L252" i="1"/>
  <c r="L82" i="1"/>
  <c r="L336" i="1"/>
  <c r="L234" i="1"/>
  <c r="L115" i="1"/>
  <c r="L228" i="1"/>
  <c r="L253" i="1"/>
  <c r="L36" i="1"/>
  <c r="L102" i="1"/>
  <c r="L313" i="1"/>
  <c r="L57" i="1"/>
  <c r="L69" i="1"/>
  <c r="L31" i="1"/>
  <c r="L289" i="1"/>
  <c r="L33" i="1"/>
  <c r="L42" i="1"/>
  <c r="L51" i="1"/>
  <c r="L277" i="1"/>
  <c r="L190" i="1"/>
  <c r="L90" i="1"/>
  <c r="L173" i="1"/>
  <c r="L133" i="1"/>
  <c r="L152" i="1"/>
  <c r="L353" i="1"/>
  <c r="L104" i="1"/>
  <c r="L201" i="1"/>
  <c r="L128" i="1"/>
  <c r="L130" i="1"/>
  <c r="L259" i="1"/>
  <c r="L222" i="1"/>
  <c r="L55" i="1"/>
  <c r="L187" i="1"/>
  <c r="L359" i="1"/>
  <c r="L134" i="1"/>
  <c r="L52" i="1"/>
  <c r="L160" i="1"/>
  <c r="L338" i="1"/>
  <c r="L210" i="1"/>
  <c r="L37" i="1"/>
  <c r="L263" i="1"/>
  <c r="L291" i="1"/>
  <c r="L92" i="1"/>
  <c r="L157" i="1"/>
  <c r="L215" i="1"/>
  <c r="L188" i="1"/>
  <c r="L192" i="1"/>
  <c r="L267" i="1"/>
  <c r="L312" i="1"/>
  <c r="L56" i="1"/>
  <c r="L131" i="1"/>
  <c r="L30" i="1"/>
  <c r="L113" i="1"/>
  <c r="L59" i="1"/>
  <c r="L250" i="1"/>
  <c r="L103" i="1"/>
  <c r="L136" i="1"/>
  <c r="L32" i="1"/>
  <c r="L146" i="1"/>
  <c r="L46" i="1"/>
  <c r="L347" i="1"/>
  <c r="L91" i="1"/>
  <c r="L138" i="1"/>
  <c r="L349" i="1"/>
  <c r="L221" i="1"/>
  <c r="L168" i="1"/>
  <c r="L342" i="1"/>
  <c r="L297" i="1"/>
  <c r="L169" i="1"/>
  <c r="L162" i="1"/>
  <c r="L245" i="1"/>
  <c r="M386" i="1"/>
  <c r="P386" i="1"/>
  <c r="M451" i="1"/>
  <c r="P451" i="1"/>
  <c r="M510" i="1"/>
  <c r="P510" i="1"/>
  <c r="M571" i="1"/>
  <c r="P571" i="1"/>
  <c r="M479" i="1"/>
  <c r="P479" i="1"/>
  <c r="M400" i="1"/>
  <c r="P400" i="1"/>
  <c r="M410" i="1"/>
  <c r="P410" i="1"/>
  <c r="M440" i="1"/>
  <c r="P440" i="1"/>
  <c r="M435" i="1"/>
  <c r="P435" i="1"/>
  <c r="M466" i="1"/>
  <c r="P466" i="1"/>
  <c r="M388" i="1"/>
  <c r="P388" i="1"/>
  <c r="M405" i="1"/>
  <c r="P405" i="1"/>
  <c r="M525" i="1"/>
  <c r="P525" i="1"/>
  <c r="M385" i="1"/>
  <c r="P385" i="1"/>
  <c r="M483" i="1"/>
  <c r="P483" i="1"/>
  <c r="M401" i="1"/>
  <c r="P401" i="1"/>
  <c r="M542" i="1"/>
  <c r="P542" i="1"/>
  <c r="M516" i="1"/>
  <c r="P516" i="1"/>
  <c r="M399" i="1"/>
  <c r="P399" i="1"/>
  <c r="M550" i="1"/>
  <c r="P550" i="1"/>
  <c r="M402" i="1"/>
  <c r="P402" i="1"/>
  <c r="M504" i="1"/>
  <c r="P504" i="1"/>
  <c r="M477" i="1"/>
  <c r="P477" i="1"/>
  <c r="M537" i="1"/>
  <c r="P537" i="1"/>
  <c r="M362" i="1"/>
  <c r="P362" i="1"/>
  <c r="M403" i="1"/>
  <c r="P403" i="1"/>
  <c r="M370" i="1"/>
  <c r="P370" i="1"/>
  <c r="M377" i="1"/>
  <c r="P377" i="1"/>
  <c r="M484" i="1"/>
  <c r="P484" i="1"/>
  <c r="M373" i="1"/>
  <c r="P373" i="1"/>
  <c r="M557" i="1"/>
  <c r="P557" i="1"/>
  <c r="M530" i="1"/>
  <c r="P530" i="1"/>
  <c r="M517" i="1"/>
  <c r="P517" i="1"/>
  <c r="M468" i="1"/>
  <c r="P468" i="1"/>
  <c r="M519" i="1"/>
  <c r="P519" i="1"/>
  <c r="M391" i="1"/>
  <c r="P391" i="1"/>
  <c r="M524" i="1"/>
  <c r="P524" i="1"/>
  <c r="M534" i="1"/>
  <c r="P534" i="1"/>
  <c r="M539" i="1"/>
  <c r="P539" i="1"/>
  <c r="M533" i="1"/>
  <c r="P533" i="1"/>
  <c r="M500" i="1"/>
  <c r="P500" i="1"/>
  <c r="M398" i="1"/>
  <c r="P398" i="1"/>
  <c r="M447" i="1"/>
  <c r="P447" i="1"/>
  <c r="M465" i="1"/>
  <c r="P465" i="1"/>
  <c r="M408" i="1"/>
  <c r="P408" i="1"/>
  <c r="M513" i="1"/>
  <c r="P513" i="1"/>
  <c r="M535" i="1"/>
  <c r="P535" i="1"/>
  <c r="M485" i="1"/>
  <c r="P485" i="1"/>
  <c r="M473" i="1"/>
  <c r="P473" i="1"/>
  <c r="M378" i="1"/>
  <c r="P378" i="1"/>
  <c r="M411" i="1"/>
  <c r="P411" i="1"/>
  <c r="M502" i="1"/>
  <c r="P502" i="1"/>
  <c r="M396" i="1"/>
  <c r="P396" i="1"/>
  <c r="M376" i="1"/>
  <c r="P376" i="1"/>
  <c r="M497" i="1"/>
  <c r="P497" i="1"/>
  <c r="M499" i="1"/>
  <c r="P499" i="1"/>
  <c r="M412" i="1"/>
  <c r="P412" i="1"/>
  <c r="M505" i="1"/>
  <c r="P505" i="1"/>
  <c r="M559" i="1"/>
  <c r="P559" i="1"/>
  <c r="M486" i="1"/>
  <c r="P486" i="1"/>
  <c r="M509" i="1"/>
  <c r="P509" i="1"/>
  <c r="M474" i="1"/>
  <c r="P474" i="1"/>
  <c r="M446" i="1"/>
  <c r="P446" i="1"/>
  <c r="M503" i="1"/>
  <c r="P503" i="1"/>
  <c r="M375" i="1"/>
  <c r="P375" i="1"/>
  <c r="M438" i="1"/>
  <c r="P438" i="1"/>
  <c r="M449" i="1"/>
  <c r="P449" i="1"/>
  <c r="M520" i="1"/>
  <c r="P520" i="1"/>
  <c r="M490" i="1"/>
  <c r="P490" i="1"/>
  <c r="M478" i="1"/>
  <c r="P478" i="1"/>
  <c r="M382" i="1"/>
  <c r="P382" i="1"/>
  <c r="M431" i="1"/>
  <c r="P431" i="1"/>
  <c r="M543" i="1"/>
  <c r="P543" i="1"/>
  <c r="M518" i="1"/>
  <c r="P518" i="1"/>
  <c r="M424" i="1"/>
  <c r="P424" i="1"/>
  <c r="M514" i="1"/>
  <c r="P514" i="1"/>
  <c r="M448" i="1"/>
  <c r="P448" i="1"/>
  <c r="M452" i="1"/>
  <c r="P452" i="1"/>
  <c r="M523" i="1"/>
  <c r="P523" i="1"/>
  <c r="M395" i="1"/>
  <c r="P395" i="1"/>
  <c r="M460" i="1"/>
  <c r="P460" i="1"/>
  <c r="M522" i="1"/>
  <c r="P522" i="1"/>
  <c r="M368" i="1"/>
  <c r="P368" i="1"/>
  <c r="M563" i="1"/>
  <c r="P563" i="1"/>
  <c r="M423" i="1"/>
  <c r="P423" i="1"/>
  <c r="M540" i="1"/>
  <c r="P540" i="1"/>
  <c r="M562" i="1"/>
  <c r="P562" i="1"/>
  <c r="M393" i="1"/>
  <c r="P393" i="1"/>
  <c r="M443" i="1"/>
  <c r="P443" i="1"/>
  <c r="M429" i="1"/>
  <c r="P429" i="1"/>
  <c r="M558" i="1"/>
  <c r="P558" i="1"/>
  <c r="M471" i="1"/>
  <c r="P471" i="1"/>
  <c r="M464" i="1"/>
  <c r="P464" i="1"/>
  <c r="M568" i="1"/>
  <c r="P568" i="1"/>
  <c r="M392" i="1"/>
  <c r="P392" i="1"/>
  <c r="M546" i="1"/>
  <c r="P546" i="1"/>
  <c r="M538" i="1"/>
  <c r="P538" i="1"/>
  <c r="M442" i="1"/>
  <c r="P442" i="1"/>
  <c r="M420" i="1"/>
  <c r="P420" i="1"/>
  <c r="M487" i="1"/>
  <c r="P487" i="1"/>
  <c r="M470" i="1"/>
  <c r="P470" i="1"/>
  <c r="M561" i="1"/>
  <c r="P561" i="1"/>
  <c r="M512" i="1"/>
  <c r="P512" i="1"/>
  <c r="M498" i="1"/>
  <c r="P498" i="1"/>
  <c r="M458" i="1"/>
  <c r="P458" i="1"/>
  <c r="M457" i="1"/>
  <c r="P457" i="1"/>
  <c r="M366" i="1"/>
  <c r="P366" i="1"/>
  <c r="M415" i="1"/>
  <c r="P415" i="1"/>
  <c r="M461" i="1"/>
  <c r="P461" i="1"/>
  <c r="M565" i="1"/>
  <c r="P565" i="1"/>
  <c r="M545" i="1"/>
  <c r="P545" i="1"/>
  <c r="M493" i="1"/>
  <c r="P493" i="1"/>
  <c r="M381" i="1"/>
  <c r="P381" i="1"/>
  <c r="M428" i="1"/>
  <c r="P428" i="1"/>
  <c r="M507" i="1"/>
  <c r="P507" i="1"/>
  <c r="M379" i="1"/>
  <c r="P379" i="1"/>
  <c r="M508" i="1"/>
  <c r="P508" i="1"/>
  <c r="M394" i="1"/>
  <c r="P394" i="1"/>
  <c r="M515" i="1"/>
  <c r="P515" i="1"/>
  <c r="M434" i="1"/>
  <c r="P434" i="1"/>
  <c r="M389" i="1"/>
  <c r="P389" i="1"/>
  <c r="M482" i="1"/>
  <c r="P482" i="1"/>
  <c r="M384" i="1"/>
  <c r="P384" i="1"/>
  <c r="M476" i="1"/>
  <c r="P476" i="1"/>
  <c r="M547" i="1"/>
  <c r="P547" i="1"/>
  <c r="M549" i="1"/>
  <c r="P549" i="1"/>
  <c r="M489" i="1"/>
  <c r="P489" i="1"/>
  <c r="M374" i="1"/>
  <c r="P374" i="1"/>
  <c r="M407" i="1"/>
  <c r="P407" i="1"/>
  <c r="M570" i="1"/>
  <c r="P570" i="1"/>
  <c r="M454" i="1"/>
  <c r="P454" i="1"/>
  <c r="M555" i="1"/>
  <c r="P555" i="1"/>
  <c r="M369" i="1"/>
  <c r="P369" i="1"/>
  <c r="M521" i="1"/>
  <c r="P521" i="1"/>
  <c r="M414" i="1"/>
  <c r="P414" i="1"/>
  <c r="M472" i="1"/>
  <c r="P472" i="1"/>
  <c r="M427" i="1"/>
  <c r="P427" i="1"/>
  <c r="M441" i="1"/>
  <c r="P441" i="1"/>
  <c r="M481" i="1"/>
  <c r="P481" i="1"/>
  <c r="M390" i="1"/>
  <c r="P390" i="1"/>
  <c r="M569" i="1"/>
  <c r="P569" i="1"/>
  <c r="M430" i="1"/>
  <c r="P430" i="1"/>
  <c r="M567" i="1"/>
  <c r="P567" i="1"/>
  <c r="M551" i="1"/>
  <c r="P551" i="1"/>
  <c r="M480" i="1"/>
  <c r="P480" i="1"/>
  <c r="M564" i="1"/>
  <c r="P564" i="1"/>
  <c r="M573" i="1"/>
  <c r="P573" i="1"/>
  <c r="M436" i="1"/>
  <c r="P436" i="1"/>
  <c r="M437" i="1"/>
  <c r="P437" i="1"/>
  <c r="M387" i="1"/>
  <c r="P387" i="1"/>
  <c r="M418" i="1"/>
  <c r="P418" i="1"/>
  <c r="M380" i="1"/>
  <c r="P380" i="1"/>
  <c r="M488" i="1"/>
  <c r="P488" i="1"/>
  <c r="M501" i="1"/>
  <c r="P501" i="1"/>
  <c r="M409" i="1"/>
  <c r="P409" i="1"/>
  <c r="M496" i="1"/>
  <c r="P496" i="1"/>
  <c r="M371" i="1"/>
  <c r="P371" i="1"/>
  <c r="M528" i="1"/>
  <c r="P528" i="1"/>
  <c r="M419" i="1"/>
  <c r="P419" i="1"/>
  <c r="M492" i="1"/>
  <c r="P492" i="1"/>
  <c r="M445" i="1"/>
  <c r="P445" i="1"/>
  <c r="M548" i="1"/>
  <c r="P548" i="1"/>
  <c r="M422" i="1"/>
  <c r="P422" i="1"/>
  <c r="M455" i="1"/>
  <c r="P455" i="1"/>
  <c r="M462" i="1"/>
  <c r="P462" i="1"/>
  <c r="M529" i="1"/>
  <c r="P529" i="1"/>
  <c r="M413" i="1"/>
  <c r="P413" i="1"/>
  <c r="M456" i="1"/>
  <c r="P456" i="1"/>
  <c r="M572" i="1"/>
  <c r="P572" i="1"/>
  <c r="M404" i="1"/>
  <c r="P404" i="1"/>
  <c r="M511" i="1"/>
  <c r="P511" i="1"/>
  <c r="M383" i="1"/>
  <c r="P383" i="1"/>
  <c r="M469" i="1"/>
  <c r="P469" i="1"/>
  <c r="M416" i="1"/>
  <c r="P416" i="1"/>
  <c r="M453" i="1"/>
  <c r="P453" i="1"/>
  <c r="M450" i="1"/>
  <c r="P450" i="1"/>
  <c r="M552" i="1"/>
  <c r="P552" i="1"/>
  <c r="M364" i="1"/>
  <c r="P364" i="1"/>
  <c r="M475" i="1"/>
  <c r="P475" i="1"/>
  <c r="M463" i="1"/>
  <c r="P463" i="1"/>
  <c r="M506" i="1"/>
  <c r="P506" i="1"/>
  <c r="M491" i="1"/>
  <c r="P491" i="1"/>
  <c r="M560" i="1"/>
  <c r="P560" i="1"/>
  <c r="M421" i="1"/>
  <c r="P421" i="1"/>
  <c r="M432" i="1"/>
  <c r="P432" i="1"/>
  <c r="M544" i="1"/>
  <c r="P544" i="1"/>
  <c r="M526" i="1"/>
  <c r="P526" i="1"/>
  <c r="M554" i="1"/>
  <c r="P554" i="1"/>
  <c r="M541" i="1"/>
  <c r="P541" i="1"/>
  <c r="M417" i="1"/>
  <c r="P417" i="1"/>
  <c r="M532" i="1"/>
  <c r="P532" i="1"/>
  <c r="M406" i="1"/>
  <c r="P406" i="1"/>
  <c r="M439" i="1"/>
  <c r="P439" i="1"/>
  <c r="M531" i="1"/>
  <c r="P531" i="1"/>
  <c r="M444" i="1"/>
  <c r="P444" i="1"/>
  <c r="M365" i="1"/>
  <c r="P365" i="1"/>
  <c r="M433" i="1"/>
  <c r="P433" i="1"/>
  <c r="M556" i="1"/>
  <c r="P556" i="1"/>
  <c r="M372" i="1"/>
  <c r="P372" i="1"/>
  <c r="M495" i="1"/>
  <c r="P495" i="1"/>
  <c r="M367" i="1"/>
  <c r="P367" i="1"/>
  <c r="M467" i="1"/>
  <c r="P467" i="1"/>
  <c r="M553" i="1"/>
  <c r="P553" i="1"/>
  <c r="M397" i="1"/>
  <c r="P397" i="1"/>
  <c r="M425" i="1"/>
  <c r="P425" i="1"/>
  <c r="M536" i="1"/>
  <c r="P536" i="1"/>
  <c r="M426" i="1"/>
  <c r="P426" i="1"/>
  <c r="M459" i="1"/>
  <c r="P459" i="1"/>
  <c r="M527" i="1"/>
  <c r="P527" i="1"/>
  <c r="M566" i="1"/>
  <c r="P566" i="1"/>
  <c r="M494" i="1"/>
  <c r="P494" i="1"/>
  <c r="L437" i="1"/>
  <c r="L392" i="1"/>
  <c r="L387" i="1"/>
  <c r="L418" i="1"/>
  <c r="L546" i="1"/>
  <c r="L380" i="1"/>
  <c r="L538" i="1"/>
  <c r="L488" i="1"/>
  <c r="L442" i="1"/>
  <c r="L420" i="1"/>
  <c r="L487" i="1"/>
  <c r="L470" i="1"/>
  <c r="L561" i="1"/>
  <c r="L512" i="1"/>
  <c r="L498" i="1"/>
  <c r="L458" i="1"/>
  <c r="L457" i="1"/>
  <c r="L366" i="1"/>
  <c r="L415" i="1"/>
  <c r="L461" i="1"/>
  <c r="L565" i="1"/>
  <c r="L545" i="1"/>
  <c r="L493" i="1"/>
  <c r="L381" i="1"/>
  <c r="L428" i="1"/>
  <c r="L507" i="1"/>
  <c r="L379" i="1"/>
  <c r="L508" i="1"/>
  <c r="L394" i="1"/>
  <c r="L515" i="1"/>
  <c r="L434" i="1"/>
  <c r="L389" i="1"/>
  <c r="L482" i="1"/>
  <c r="L384" i="1"/>
  <c r="L476" i="1"/>
  <c r="L547" i="1"/>
  <c r="L549" i="1"/>
  <c r="L489" i="1"/>
  <c r="L374" i="1"/>
  <c r="L407" i="1"/>
  <c r="L570" i="1"/>
  <c r="L454" i="1"/>
  <c r="L555" i="1"/>
  <c r="L369" i="1"/>
  <c r="L521" i="1"/>
  <c r="L414" i="1"/>
  <c r="L472" i="1"/>
  <c r="L427" i="1"/>
  <c r="L362" i="1"/>
  <c r="L403" i="1"/>
  <c r="L370" i="1"/>
  <c r="L377" i="1"/>
  <c r="L484" i="1"/>
  <c r="L373" i="1"/>
  <c r="L557" i="1"/>
  <c r="L530" i="1"/>
  <c r="L517" i="1"/>
  <c r="L468" i="1"/>
  <c r="L519" i="1"/>
  <c r="L391" i="1"/>
  <c r="L524" i="1"/>
  <c r="L534" i="1"/>
  <c r="L539" i="1"/>
  <c r="L533" i="1"/>
  <c r="L500" i="1"/>
  <c r="L398" i="1"/>
  <c r="L447" i="1"/>
  <c r="L465" i="1"/>
  <c r="L408" i="1"/>
  <c r="L513" i="1"/>
  <c r="L535" i="1"/>
  <c r="L485" i="1"/>
  <c r="L473" i="1"/>
  <c r="L378" i="1"/>
  <c r="L411" i="1"/>
  <c r="L502" i="1"/>
  <c r="L396" i="1"/>
  <c r="L376" i="1"/>
  <c r="L497" i="1"/>
  <c r="L499" i="1"/>
  <c r="L412" i="1"/>
  <c r="L505" i="1"/>
  <c r="L559" i="1"/>
  <c r="L486" i="1"/>
  <c r="L509" i="1"/>
  <c r="L474" i="1"/>
  <c r="L446" i="1"/>
  <c r="L503" i="1"/>
  <c r="L375" i="1"/>
  <c r="L438" i="1"/>
  <c r="L449" i="1"/>
  <c r="L520" i="1"/>
  <c r="L490" i="1"/>
  <c r="L478" i="1"/>
  <c r="L382" i="1"/>
  <c r="L431" i="1"/>
  <c r="L543" i="1"/>
  <c r="L518" i="1"/>
  <c r="L424" i="1"/>
  <c r="L514" i="1"/>
  <c r="L448" i="1"/>
  <c r="L452" i="1"/>
  <c r="L523" i="1"/>
  <c r="L395" i="1"/>
  <c r="L460" i="1"/>
  <c r="L522" i="1"/>
  <c r="L386" i="1"/>
  <c r="L441" i="1"/>
  <c r="L368" i="1"/>
  <c r="L525" i="1"/>
  <c r="L451" i="1"/>
  <c r="L481" i="1"/>
  <c r="L563" i="1"/>
  <c r="L385" i="1"/>
  <c r="L510" i="1"/>
  <c r="L390" i="1"/>
  <c r="L423" i="1"/>
  <c r="L483" i="1"/>
  <c r="L569" i="1"/>
  <c r="L571" i="1"/>
  <c r="L401" i="1"/>
  <c r="L540" i="1"/>
  <c r="L430" i="1"/>
  <c r="L479" i="1"/>
  <c r="L542" i="1"/>
  <c r="L562" i="1"/>
  <c r="L400" i="1"/>
  <c r="L567" i="1"/>
  <c r="L393" i="1"/>
  <c r="L516" i="1"/>
  <c r="L410" i="1"/>
  <c r="L443" i="1"/>
  <c r="L399" i="1"/>
  <c r="L551" i="1"/>
  <c r="L440" i="1"/>
  <c r="L429" i="1"/>
  <c r="L550" i="1"/>
  <c r="L435" i="1"/>
  <c r="L480" i="1"/>
  <c r="L402" i="1"/>
  <c r="L558" i="1"/>
  <c r="L466" i="1"/>
  <c r="L564" i="1"/>
  <c r="L388" i="1"/>
  <c r="L471" i="1"/>
  <c r="L504" i="1"/>
  <c r="L573" i="1"/>
  <c r="L464" i="1"/>
  <c r="L477" i="1"/>
  <c r="L405" i="1"/>
  <c r="L436" i="1"/>
  <c r="L537" i="1"/>
  <c r="L568" i="1"/>
  <c r="L501" i="1"/>
  <c r="L409" i="1"/>
  <c r="L496" i="1"/>
  <c r="L371" i="1"/>
  <c r="L528" i="1"/>
  <c r="L419" i="1"/>
  <c r="L492" i="1"/>
  <c r="L445" i="1"/>
  <c r="L548" i="1"/>
  <c r="L422" i="1"/>
  <c r="L455" i="1"/>
  <c r="L462" i="1"/>
  <c r="L529" i="1"/>
  <c r="L413" i="1"/>
  <c r="L456" i="1"/>
  <c r="L572" i="1"/>
  <c r="L404" i="1"/>
  <c r="L511" i="1"/>
  <c r="L383" i="1"/>
  <c r="L469" i="1"/>
  <c r="L416" i="1"/>
  <c r="L453" i="1"/>
  <c r="L450" i="1"/>
  <c r="L552" i="1"/>
  <c r="L364" i="1"/>
  <c r="L475" i="1"/>
  <c r="L463" i="1"/>
  <c r="L506" i="1"/>
  <c r="L491" i="1"/>
  <c r="L560" i="1"/>
  <c r="L421" i="1"/>
  <c r="L432" i="1"/>
  <c r="L544" i="1"/>
  <c r="L526" i="1"/>
  <c r="L554" i="1"/>
  <c r="L541" i="1"/>
  <c r="L417" i="1"/>
  <c r="L532" i="1"/>
  <c r="L406" i="1"/>
  <c r="L439" i="1"/>
  <c r="L531" i="1"/>
  <c r="L444" i="1"/>
  <c r="L365" i="1"/>
  <c r="L433" i="1"/>
  <c r="L556" i="1"/>
  <c r="L372" i="1"/>
  <c r="L495" i="1"/>
  <c r="L367" i="1"/>
  <c r="L467" i="1"/>
  <c r="L553" i="1"/>
  <c r="L397" i="1"/>
  <c r="L425" i="1"/>
  <c r="L536" i="1"/>
  <c r="L426" i="1"/>
  <c r="L459" i="1"/>
  <c r="L527" i="1"/>
  <c r="L566" i="1"/>
  <c r="L494" i="1"/>
  <c r="O565" i="1" l="1"/>
  <c r="O549" i="1"/>
  <c r="O533" i="1"/>
  <c r="O517" i="1"/>
  <c r="O501" i="1"/>
  <c r="O485" i="1"/>
  <c r="O469" i="1"/>
  <c r="O453" i="1"/>
  <c r="O437" i="1"/>
  <c r="O421" i="1"/>
  <c r="O405" i="1"/>
  <c r="O389" i="1"/>
  <c r="O373" i="1"/>
  <c r="O564" i="1"/>
  <c r="O548" i="1"/>
  <c r="O532" i="1"/>
  <c r="O516" i="1"/>
  <c r="O500" i="1"/>
  <c r="O484" i="1"/>
  <c r="O468" i="1"/>
  <c r="O452" i="1"/>
  <c r="O436" i="1"/>
  <c r="O420" i="1"/>
  <c r="O404" i="1"/>
  <c r="O388" i="1"/>
  <c r="O372" i="1"/>
  <c r="O563" i="1"/>
  <c r="O547" i="1"/>
  <c r="O531" i="1"/>
  <c r="O515" i="1"/>
  <c r="O499" i="1"/>
  <c r="O483" i="1"/>
  <c r="O467" i="1"/>
  <c r="O451" i="1"/>
  <c r="O435" i="1"/>
  <c r="O419" i="1"/>
  <c r="O403" i="1"/>
  <c r="O387" i="1"/>
  <c r="O371" i="1"/>
  <c r="O566" i="1"/>
  <c r="O550" i="1"/>
  <c r="O534" i="1"/>
  <c r="O518" i="1"/>
  <c r="O502" i="1"/>
  <c r="O486" i="1"/>
  <c r="O470" i="1"/>
  <c r="O454" i="1"/>
  <c r="O438" i="1"/>
  <c r="O422" i="1"/>
  <c r="O406" i="1"/>
  <c r="O390" i="1"/>
  <c r="O374" i="1"/>
  <c r="O357" i="1"/>
  <c r="O337" i="1"/>
  <c r="O313" i="1"/>
  <c r="O293" i="1"/>
  <c r="O273" i="1"/>
  <c r="O249" i="1"/>
  <c r="O229" i="1"/>
  <c r="O209" i="1"/>
  <c r="O185" i="1"/>
  <c r="O165" i="1"/>
  <c r="O145" i="1"/>
  <c r="O121" i="1"/>
  <c r="O101" i="1"/>
  <c r="O81" i="1"/>
  <c r="O57" i="1"/>
  <c r="O37" i="1"/>
  <c r="O356" i="1"/>
  <c r="O561" i="1"/>
  <c r="O545" i="1"/>
  <c r="O529" i="1"/>
  <c r="O513" i="1"/>
  <c r="O497" i="1"/>
  <c r="O481" i="1"/>
  <c r="O465" i="1"/>
  <c r="O449" i="1"/>
  <c r="O433" i="1"/>
  <c r="O417" i="1"/>
  <c r="O401" i="1"/>
  <c r="O385" i="1"/>
  <c r="O369" i="1"/>
  <c r="O560" i="1"/>
  <c r="O544" i="1"/>
  <c r="O528" i="1"/>
  <c r="O512" i="1"/>
  <c r="O496" i="1"/>
  <c r="O480" i="1"/>
  <c r="O464" i="1"/>
  <c r="O448" i="1"/>
  <c r="O432" i="1"/>
  <c r="O416" i="1"/>
  <c r="O400" i="1"/>
  <c r="O384" i="1"/>
  <c r="O368" i="1"/>
  <c r="O559" i="1"/>
  <c r="O543" i="1"/>
  <c r="O527" i="1"/>
  <c r="O511" i="1"/>
  <c r="O495" i="1"/>
  <c r="O479" i="1"/>
  <c r="O463" i="1"/>
  <c r="O447" i="1"/>
  <c r="O431" i="1"/>
  <c r="O415" i="1"/>
  <c r="O399" i="1"/>
  <c r="O383" i="1"/>
  <c r="O367" i="1"/>
  <c r="O562" i="1"/>
  <c r="O546" i="1"/>
  <c r="O530" i="1"/>
  <c r="O514" i="1"/>
  <c r="O498" i="1"/>
  <c r="O482" i="1"/>
  <c r="O466" i="1"/>
  <c r="O450" i="1"/>
  <c r="O434" i="1"/>
  <c r="O418" i="1"/>
  <c r="O402" i="1"/>
  <c r="O386" i="1"/>
  <c r="O370" i="1"/>
  <c r="O353" i="1"/>
  <c r="O329" i="1"/>
  <c r="O309" i="1"/>
  <c r="O289" i="1"/>
  <c r="O265" i="1"/>
  <c r="O245" i="1"/>
  <c r="O225" i="1"/>
  <c r="O201" i="1"/>
  <c r="O181" i="1"/>
  <c r="O161" i="1"/>
  <c r="O137" i="1"/>
  <c r="O117" i="1"/>
  <c r="O97" i="1"/>
  <c r="O73" i="1"/>
  <c r="O53" i="1"/>
  <c r="O42" i="1"/>
  <c r="O58" i="1"/>
  <c r="O74" i="1"/>
  <c r="O90" i="1"/>
  <c r="O106" i="1"/>
  <c r="O122" i="1"/>
  <c r="O138" i="1"/>
  <c r="O154" i="1"/>
  <c r="O170" i="1"/>
  <c r="O186" i="1"/>
  <c r="O202" i="1"/>
  <c r="O218" i="1"/>
  <c r="O234" i="1"/>
  <c r="O250" i="1"/>
  <c r="O266" i="1"/>
  <c r="O282" i="1"/>
  <c r="O298" i="1"/>
  <c r="O314" i="1"/>
  <c r="O330" i="1"/>
  <c r="O346" i="1"/>
  <c r="O362" i="1"/>
  <c r="O39" i="1"/>
  <c r="O55" i="1"/>
  <c r="O71" i="1"/>
  <c r="O87" i="1"/>
  <c r="O103" i="1"/>
  <c r="O119" i="1"/>
  <c r="O135" i="1"/>
  <c r="O151" i="1"/>
  <c r="O167" i="1"/>
  <c r="O183" i="1"/>
  <c r="O199" i="1"/>
  <c r="O215" i="1"/>
  <c r="O231" i="1"/>
  <c r="O247" i="1"/>
  <c r="O263" i="1"/>
  <c r="O279" i="1"/>
  <c r="O295" i="1"/>
  <c r="O311" i="1"/>
  <c r="O327" i="1"/>
  <c r="O343" i="1"/>
  <c r="O359" i="1"/>
  <c r="O36" i="1"/>
  <c r="O52" i="1"/>
  <c r="O68" i="1"/>
  <c r="O84" i="1"/>
  <c r="O100" i="1"/>
  <c r="O116" i="1"/>
  <c r="O132" i="1"/>
  <c r="O148" i="1"/>
  <c r="O164" i="1"/>
  <c r="O180" i="1"/>
  <c r="O196" i="1"/>
  <c r="O212" i="1"/>
  <c r="O228" i="1"/>
  <c r="O244" i="1"/>
  <c r="O260" i="1"/>
  <c r="O276" i="1"/>
  <c r="O292" i="1"/>
  <c r="O308" i="1"/>
  <c r="O324" i="1"/>
  <c r="O340" i="1"/>
  <c r="O30" i="1"/>
  <c r="O46" i="1"/>
  <c r="O62" i="1"/>
  <c r="O78" i="1"/>
  <c r="O94" i="1"/>
  <c r="O110" i="1"/>
  <c r="O126" i="1"/>
  <c r="O142" i="1"/>
  <c r="O158" i="1"/>
  <c r="O174" i="1"/>
  <c r="O190" i="1"/>
  <c r="O206" i="1"/>
  <c r="O222" i="1"/>
  <c r="O238" i="1"/>
  <c r="O254" i="1"/>
  <c r="O270" i="1"/>
  <c r="O286" i="1"/>
  <c r="O302" i="1"/>
  <c r="O318" i="1"/>
  <c r="O334" i="1"/>
  <c r="O350" i="1"/>
  <c r="O43" i="1"/>
  <c r="O59" i="1"/>
  <c r="O75" i="1"/>
  <c r="O91" i="1"/>
  <c r="O107" i="1"/>
  <c r="O123" i="1"/>
  <c r="O139" i="1"/>
  <c r="O155" i="1"/>
  <c r="O171" i="1"/>
  <c r="O187" i="1"/>
  <c r="O203" i="1"/>
  <c r="O219" i="1"/>
  <c r="O235" i="1"/>
  <c r="O251" i="1"/>
  <c r="O267" i="1"/>
  <c r="O283" i="1"/>
  <c r="O299" i="1"/>
  <c r="O315" i="1"/>
  <c r="O331" i="1"/>
  <c r="O347" i="1"/>
  <c r="O363" i="1"/>
  <c r="O40" i="1"/>
  <c r="O56" i="1"/>
  <c r="O72" i="1"/>
  <c r="O88" i="1"/>
  <c r="O104" i="1"/>
  <c r="O120" i="1"/>
  <c r="O136" i="1"/>
  <c r="O152" i="1"/>
  <c r="O168" i="1"/>
  <c r="O184" i="1"/>
  <c r="O200" i="1"/>
  <c r="O216" i="1"/>
  <c r="O232" i="1"/>
  <c r="O248" i="1"/>
  <c r="O264" i="1"/>
  <c r="O280" i="1"/>
  <c r="O296" i="1"/>
  <c r="O312" i="1"/>
  <c r="O328" i="1"/>
  <c r="O344" i="1"/>
  <c r="O34" i="1"/>
  <c r="O50" i="1"/>
  <c r="O66" i="1"/>
  <c r="O82" i="1"/>
  <c r="O98" i="1"/>
  <c r="O114" i="1"/>
  <c r="O130" i="1"/>
  <c r="O146" i="1"/>
  <c r="O162" i="1"/>
  <c r="O178" i="1"/>
  <c r="O194" i="1"/>
  <c r="O210" i="1"/>
  <c r="O226" i="1"/>
  <c r="O242" i="1"/>
  <c r="O258" i="1"/>
  <c r="O274" i="1"/>
  <c r="O290" i="1"/>
  <c r="O306" i="1"/>
  <c r="O322" i="1"/>
  <c r="O338" i="1"/>
  <c r="O354" i="1"/>
  <c r="O31" i="1"/>
  <c r="O47" i="1"/>
  <c r="O63" i="1"/>
  <c r="O79" i="1"/>
  <c r="O95" i="1"/>
  <c r="O111" i="1"/>
  <c r="O127" i="1"/>
  <c r="O143" i="1"/>
  <c r="O159" i="1"/>
  <c r="O175" i="1"/>
  <c r="O191" i="1"/>
  <c r="O207" i="1"/>
  <c r="O223" i="1"/>
  <c r="O239" i="1"/>
  <c r="O255" i="1"/>
  <c r="O271" i="1"/>
  <c r="O287" i="1"/>
  <c r="O303" i="1"/>
  <c r="O319" i="1"/>
  <c r="O335" i="1"/>
  <c r="O351" i="1"/>
  <c r="O44" i="1"/>
  <c r="O60" i="1"/>
  <c r="O76" i="1"/>
  <c r="O92" i="1"/>
  <c r="O108" i="1"/>
  <c r="O124" i="1"/>
  <c r="O140" i="1"/>
  <c r="O156" i="1"/>
  <c r="O172" i="1"/>
  <c r="O188" i="1"/>
  <c r="O204" i="1"/>
  <c r="O220" i="1"/>
  <c r="O236" i="1"/>
  <c r="O252" i="1"/>
  <c r="O268" i="1"/>
  <c r="O284" i="1"/>
  <c r="O300" i="1"/>
  <c r="O316" i="1"/>
  <c r="O332" i="1"/>
  <c r="O348" i="1"/>
  <c r="O38" i="1"/>
  <c r="O54" i="1"/>
  <c r="O70" i="1"/>
  <c r="O86" i="1"/>
  <c r="O102" i="1"/>
  <c r="O118" i="1"/>
  <c r="O134" i="1"/>
  <c r="O150" i="1"/>
  <c r="O166" i="1"/>
  <c r="O182" i="1"/>
  <c r="O198" i="1"/>
  <c r="O214" i="1"/>
  <c r="O230" i="1"/>
  <c r="O246" i="1"/>
  <c r="O262" i="1"/>
  <c r="O278" i="1"/>
  <c r="O294" i="1"/>
  <c r="O310" i="1"/>
  <c r="O326" i="1"/>
  <c r="O342" i="1"/>
  <c r="O358" i="1"/>
  <c r="O35" i="1"/>
  <c r="O51" i="1"/>
  <c r="O67" i="1"/>
  <c r="O83" i="1"/>
  <c r="O99" i="1"/>
  <c r="O115" i="1"/>
  <c r="O131" i="1"/>
  <c r="O147" i="1"/>
  <c r="O163" i="1"/>
  <c r="O179" i="1"/>
  <c r="O195" i="1"/>
  <c r="O211" i="1"/>
  <c r="O227" i="1"/>
  <c r="O243" i="1"/>
  <c r="O259" i="1"/>
  <c r="O275" i="1"/>
  <c r="O291" i="1"/>
  <c r="O307" i="1"/>
  <c r="O323" i="1"/>
  <c r="O339" i="1"/>
  <c r="O355" i="1"/>
  <c r="O32" i="1"/>
  <c r="O48" i="1"/>
  <c r="O64" i="1"/>
  <c r="O80" i="1"/>
  <c r="O96" i="1"/>
  <c r="O112" i="1"/>
  <c r="O128" i="1"/>
  <c r="O144" i="1"/>
  <c r="O160" i="1"/>
  <c r="O176" i="1"/>
  <c r="O192" i="1"/>
  <c r="O208" i="1"/>
  <c r="O224" i="1"/>
  <c r="O240" i="1"/>
  <c r="O256" i="1"/>
  <c r="O272" i="1"/>
  <c r="O288" i="1"/>
  <c r="O304" i="1"/>
  <c r="O320" i="1"/>
  <c r="O336" i="1"/>
  <c r="O352" i="1"/>
  <c r="O29" i="1"/>
  <c r="O45" i="1"/>
  <c r="O61" i="1"/>
  <c r="O77" i="1"/>
  <c r="O93" i="1"/>
  <c r="O109" i="1"/>
  <c r="O125" i="1"/>
  <c r="O141" i="1"/>
  <c r="O157" i="1"/>
  <c r="O173" i="1"/>
  <c r="O189" i="1"/>
  <c r="O205" i="1"/>
  <c r="O221" i="1"/>
  <c r="O237" i="1"/>
  <c r="O253" i="1"/>
  <c r="O269" i="1"/>
  <c r="O285" i="1"/>
  <c r="O301" i="1"/>
  <c r="O317" i="1"/>
  <c r="O333" i="1"/>
  <c r="O349" i="1"/>
  <c r="O365" i="1"/>
  <c r="O573" i="1"/>
  <c r="O557" i="1"/>
  <c r="O541" i="1"/>
  <c r="O525" i="1"/>
  <c r="O509" i="1"/>
  <c r="O493" i="1"/>
  <c r="O477" i="1"/>
  <c r="O461" i="1"/>
  <c r="O445" i="1"/>
  <c r="O429" i="1"/>
  <c r="O413" i="1"/>
  <c r="O397" i="1"/>
  <c r="O381" i="1"/>
  <c r="O572" i="1"/>
  <c r="O556" i="1"/>
  <c r="O540" i="1"/>
  <c r="O524" i="1"/>
  <c r="O508" i="1"/>
  <c r="O492" i="1"/>
  <c r="O476" i="1"/>
  <c r="O460" i="1"/>
  <c r="O444" i="1"/>
  <c r="O428" i="1"/>
  <c r="O412" i="1"/>
  <c r="O396" i="1"/>
  <c r="O380" i="1"/>
  <c r="O571" i="1"/>
  <c r="O555" i="1"/>
  <c r="O539" i="1"/>
  <c r="O523" i="1"/>
  <c r="O507" i="1"/>
  <c r="O491" i="1"/>
  <c r="O475" i="1"/>
  <c r="O459" i="1"/>
  <c r="O443" i="1"/>
  <c r="O427" i="1"/>
  <c r="O411" i="1"/>
  <c r="O395" i="1"/>
  <c r="O379" i="1"/>
  <c r="O558" i="1"/>
  <c r="O542" i="1"/>
  <c r="O526" i="1"/>
  <c r="O510" i="1"/>
  <c r="O494" i="1"/>
  <c r="O478" i="1"/>
  <c r="O462" i="1"/>
  <c r="O446" i="1"/>
  <c r="O430" i="1"/>
  <c r="O414" i="1"/>
  <c r="O398" i="1"/>
  <c r="O382" i="1"/>
  <c r="O366" i="1"/>
  <c r="O345" i="1"/>
  <c r="O325" i="1"/>
  <c r="O305" i="1"/>
  <c r="O281" i="1"/>
  <c r="O261" i="1"/>
  <c r="O241" i="1"/>
  <c r="O217" i="1"/>
  <c r="O197" i="1"/>
  <c r="O177" i="1"/>
  <c r="O153" i="1"/>
  <c r="O133" i="1"/>
  <c r="O113" i="1"/>
  <c r="O89" i="1"/>
  <c r="O69" i="1"/>
  <c r="O49" i="1"/>
  <c r="O364" i="1"/>
  <c r="O569" i="1"/>
  <c r="O553" i="1"/>
  <c r="O537" i="1"/>
  <c r="O521" i="1"/>
  <c r="O505" i="1"/>
  <c r="O489" i="1"/>
  <c r="O473" i="1"/>
  <c r="O457" i="1"/>
  <c r="O441" i="1"/>
  <c r="O425" i="1"/>
  <c r="O409" i="1"/>
  <c r="O393" i="1"/>
  <c r="O377" i="1"/>
  <c r="O568" i="1"/>
  <c r="O552" i="1"/>
  <c r="O536" i="1"/>
  <c r="O520" i="1"/>
  <c r="O504" i="1"/>
  <c r="O488" i="1"/>
  <c r="O472" i="1"/>
  <c r="O456" i="1"/>
  <c r="O440" i="1"/>
  <c r="O424" i="1"/>
  <c r="O408" i="1"/>
  <c r="O392" i="1"/>
  <c r="O376" i="1"/>
  <c r="O567" i="1"/>
  <c r="O551" i="1"/>
  <c r="O535" i="1"/>
  <c r="O519" i="1"/>
  <c r="O503" i="1"/>
  <c r="O487" i="1"/>
  <c r="O471" i="1"/>
  <c r="O455" i="1"/>
  <c r="O439" i="1"/>
  <c r="O423" i="1"/>
  <c r="O407" i="1"/>
  <c r="O391" i="1"/>
  <c r="O375" i="1"/>
  <c r="O570" i="1"/>
  <c r="O554" i="1"/>
  <c r="O538" i="1"/>
  <c r="O522" i="1"/>
  <c r="O506" i="1"/>
  <c r="O490" i="1"/>
  <c r="O474" i="1"/>
  <c r="O458" i="1"/>
  <c r="O442" i="1"/>
  <c r="O426" i="1"/>
  <c r="O410" i="1"/>
  <c r="O394" i="1"/>
  <c r="O378" i="1"/>
  <c r="O361" i="1"/>
  <c r="O341" i="1"/>
  <c r="O321" i="1"/>
  <c r="O297" i="1"/>
  <c r="O277" i="1"/>
  <c r="O257" i="1"/>
  <c r="O233" i="1"/>
  <c r="O213" i="1"/>
  <c r="O193" i="1"/>
  <c r="O169" i="1"/>
  <c r="O149" i="1"/>
  <c r="O129" i="1"/>
  <c r="O105" i="1"/>
  <c r="O85" i="1"/>
  <c r="O65" i="1"/>
  <c r="O41" i="1"/>
  <c r="O360" i="1"/>
  <c r="N49" i="3" l="1"/>
  <c r="N65" i="3" l="1"/>
  <c r="N66" i="3"/>
  <c r="N67" i="3"/>
  <c r="N64" i="3"/>
  <c r="N46" i="3"/>
  <c r="N43" i="3"/>
  <c r="N47" i="3"/>
  <c r="N44" i="3"/>
  <c r="N48" i="3"/>
  <c r="N45" i="3"/>
  <c r="N39" i="3"/>
  <c r="N40" i="3"/>
  <c r="N62" i="3"/>
  <c r="N63" i="3"/>
  <c r="N42" i="3"/>
  <c r="N41" i="3"/>
  <c r="N69" i="3"/>
  <c r="N70" i="3"/>
  <c r="N71" i="3"/>
  <c r="N68" i="3"/>
  <c r="N72" i="3"/>
  <c r="N61" i="3"/>
  <c r="N60" i="3"/>
  <c r="N58" i="3"/>
  <c r="N59" i="3"/>
  <c r="N53" i="3"/>
  <c r="N57" i="3"/>
  <c r="N50" i="3"/>
  <c r="N54" i="3"/>
  <c r="N51" i="3"/>
  <c r="N55" i="3"/>
  <c r="N52" i="3"/>
  <c r="N56" i="3"/>
  <c r="N38" i="3"/>
  <c r="N77" i="3"/>
  <c r="N74" i="3"/>
  <c r="N73" i="3"/>
  <c r="N78" i="3" l="1"/>
  <c r="N79" i="3"/>
  <c r="N80" i="3"/>
  <c r="N101" i="3"/>
  <c r="N102" i="3"/>
  <c r="N103" i="3"/>
  <c r="N104" i="3"/>
  <c r="N105" i="3"/>
  <c r="N106" i="3"/>
  <c r="N107" i="3"/>
  <c r="N108" i="3"/>
  <c r="N75" i="3"/>
  <c r="N76" i="3"/>
  <c r="N109" i="3"/>
  <c r="N110" i="3"/>
  <c r="N111" i="3"/>
  <c r="N112" i="3"/>
  <c r="N113" i="3"/>
  <c r="N114" i="3"/>
  <c r="N115" i="3"/>
  <c r="N116" i="3"/>
  <c r="N81" i="3"/>
  <c r="N82" i="3"/>
  <c r="N83" i="3"/>
  <c r="N85" i="3"/>
  <c r="N86" i="3"/>
  <c r="N84" i="3"/>
  <c r="N89" i="3"/>
  <c r="N87" i="3"/>
  <c r="N88" i="3"/>
  <c r="N90" i="3"/>
  <c r="N91" i="3"/>
  <c r="N92" i="3"/>
  <c r="N117" i="3"/>
  <c r="N119" i="3"/>
  <c r="N120" i="3"/>
  <c r="N118" i="3"/>
  <c r="N93" i="3"/>
  <c r="N94" i="3"/>
  <c r="N95" i="3"/>
  <c r="N96" i="3"/>
  <c r="N97" i="3"/>
  <c r="N98" i="3"/>
  <c r="N99" i="3"/>
  <c r="N100" i="3"/>
  <c r="J19" i="3" l="1"/>
  <c r="J20" i="3"/>
  <c r="J21" i="3"/>
  <c r="J22" i="3"/>
  <c r="J23" i="3"/>
  <c r="J24" i="3"/>
  <c r="Q22" i="3" l="1"/>
  <c r="R22" i="3" s="1"/>
  <c r="Q21" i="3"/>
  <c r="R21" i="3" s="1"/>
  <c r="Q24" i="3"/>
  <c r="R24" i="3" s="1"/>
  <c r="Q20" i="3"/>
  <c r="R20" i="3" s="1"/>
  <c r="Q23" i="3"/>
  <c r="R23" i="3" s="1"/>
  <c r="Q19" i="3"/>
  <c r="R19" i="3" s="1"/>
  <c r="N19" i="3" l="1"/>
  <c r="N20" i="3" l="1"/>
  <c r="N21" i="3" l="1"/>
  <c r="J28" i="3" l="1"/>
  <c r="J29" i="3"/>
  <c r="J30" i="3"/>
  <c r="J31" i="3"/>
  <c r="J32" i="3"/>
  <c r="J34" i="3"/>
  <c r="J35" i="3"/>
  <c r="J36" i="3"/>
  <c r="J37" i="3"/>
  <c r="Q36" i="3" l="1"/>
  <c r="R36" i="3" s="1"/>
  <c r="Q31" i="3"/>
  <c r="R31" i="3" s="1"/>
  <c r="Q29" i="3"/>
  <c r="R29" i="3" s="1"/>
  <c r="Q35" i="3"/>
  <c r="R35" i="3" s="1"/>
  <c r="Q34" i="3"/>
  <c r="R34" i="3" s="1"/>
  <c r="Q32" i="3"/>
  <c r="R32" i="3" s="1"/>
  <c r="Q30" i="3"/>
  <c r="R30" i="3" s="1"/>
  <c r="Q37" i="3"/>
  <c r="R37" i="3" s="1"/>
  <c r="Q28" i="3"/>
  <c r="R28" i="3" s="1"/>
  <c r="J26" i="3"/>
  <c r="J25" i="3"/>
  <c r="J33" i="3"/>
  <c r="J27" i="3"/>
  <c r="Q25" i="3" l="1"/>
  <c r="R25" i="3" s="1"/>
  <c r="Q27" i="3"/>
  <c r="R27" i="3" s="1"/>
  <c r="Q33" i="3"/>
  <c r="R33" i="3" s="1"/>
  <c r="Q26" i="3"/>
  <c r="R26" i="3" s="1"/>
  <c r="N27" i="3" l="1"/>
  <c r="N28" i="3"/>
  <c r="N26" i="3"/>
  <c r="N25" i="3"/>
  <c r="N29" i="3"/>
  <c r="N33" i="3"/>
  <c r="N32" i="3"/>
  <c r="N31" i="3"/>
  <c r="N30" i="3"/>
  <c r="N34" i="3"/>
  <c r="N35" i="3"/>
  <c r="N36" i="3"/>
  <c r="N37" i="3"/>
  <c r="N24" i="3" l="1"/>
  <c r="N22" i="3" l="1"/>
  <c r="N23" i="3"/>
  <c r="K21" i="3" l="1"/>
  <c r="K20" i="3"/>
  <c r="K41" i="3" l="1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39" i="3" l="1"/>
  <c r="K24" i="3" l="1"/>
  <c r="K25" i="3"/>
  <c r="K28" i="3"/>
  <c r="K30" i="3"/>
  <c r="K29" i="3"/>
  <c r="K35" i="3"/>
  <c r="K36" i="3"/>
  <c r="K34" i="3"/>
  <c r="K19" i="3"/>
  <c r="K40" i="3"/>
  <c r="K31" i="3"/>
  <c r="K23" i="3"/>
  <c r="K26" i="3"/>
  <c r="K27" i="3"/>
  <c r="K33" i="3"/>
  <c r="K32" i="3" l="1"/>
  <c r="K37" i="3"/>
  <c r="K38" i="3"/>
  <c r="K22" i="3"/>
</calcChain>
</file>

<file path=xl/comments1.xml><?xml version="1.0" encoding="utf-8"?>
<comments xmlns="http://schemas.openxmlformats.org/spreadsheetml/2006/main">
  <authors>
    <author>作者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隔天一次</t>
        </r>
      </text>
    </comment>
    <comment ref="C1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隔天一次</t>
        </r>
      </text>
    </comment>
  </commentList>
</comments>
</file>

<file path=xl/sharedStrings.xml><?xml version="1.0" encoding="utf-8"?>
<sst xmlns="http://schemas.openxmlformats.org/spreadsheetml/2006/main" count="129" uniqueCount="100">
  <si>
    <t>开始等级段</t>
    <phoneticPr fontId="1" type="noConversion"/>
  </si>
  <si>
    <t>结束等级段</t>
    <phoneticPr fontId="1" type="noConversion"/>
  </si>
  <si>
    <t>升级总时间/s</t>
    <phoneticPr fontId="1" type="noConversion"/>
  </si>
  <si>
    <t>初始值</t>
    <phoneticPr fontId="1" type="noConversion"/>
  </si>
  <si>
    <t>参数1</t>
    <phoneticPr fontId="1" type="noConversion"/>
  </si>
  <si>
    <t>参数2</t>
  </si>
  <si>
    <t>参数3</t>
  </si>
  <si>
    <t>参数4</t>
  </si>
  <si>
    <t>升级公式</t>
    <phoneticPr fontId="1" type="noConversion"/>
  </si>
  <si>
    <t>等级</t>
    <phoneticPr fontId="1" type="noConversion"/>
  </si>
  <si>
    <t>升级区间</t>
    <phoneticPr fontId="1" type="noConversion"/>
  </si>
  <si>
    <t>区间内总时间</t>
    <phoneticPr fontId="1" type="noConversion"/>
  </si>
  <si>
    <t>升级时间/s</t>
    <phoneticPr fontId="1" type="noConversion"/>
  </si>
  <si>
    <t>总时间/s</t>
    <phoneticPr fontId="1" type="noConversion"/>
  </si>
  <si>
    <t>总时间/min</t>
    <phoneticPr fontId="1" type="noConversion"/>
  </si>
  <si>
    <t>总时间/h</t>
    <phoneticPr fontId="1" type="noConversion"/>
  </si>
  <si>
    <t>总时间/d</t>
    <phoneticPr fontId="1" type="noConversion"/>
  </si>
  <si>
    <t>玩法</t>
    <phoneticPr fontId="1" type="noConversion"/>
  </si>
  <si>
    <t>挂机</t>
    <phoneticPr fontId="1" type="noConversion"/>
  </si>
  <si>
    <t>非R</t>
    <phoneticPr fontId="1" type="noConversion"/>
  </si>
  <si>
    <t>单次效率</t>
    <phoneticPr fontId="1" type="noConversion"/>
  </si>
  <si>
    <t>每天次数</t>
    <phoneticPr fontId="1" type="noConversion"/>
  </si>
  <si>
    <t>总经验</t>
    <phoneticPr fontId="1" type="noConversion"/>
  </si>
  <si>
    <t>经验效率</t>
    <phoneticPr fontId="1" type="noConversion"/>
  </si>
  <si>
    <t>每次时间/s</t>
    <phoneticPr fontId="1" type="noConversion"/>
  </si>
  <si>
    <t>总时间</t>
    <phoneticPr fontId="1" type="noConversion"/>
  </si>
  <si>
    <t>总关卡</t>
    <phoneticPr fontId="1" type="noConversion"/>
  </si>
  <si>
    <t>初始关卡</t>
    <phoneticPr fontId="1" type="noConversion"/>
  </si>
  <si>
    <t>结束关卡</t>
    <phoneticPr fontId="1" type="noConversion"/>
  </si>
  <si>
    <t>耗时/天</t>
    <phoneticPr fontId="1" type="noConversion"/>
  </si>
  <si>
    <t>总耗时/天</t>
    <phoneticPr fontId="1" type="noConversion"/>
  </si>
  <si>
    <t>关卡</t>
    <phoneticPr fontId="1" type="noConversion"/>
  </si>
  <si>
    <t>关卡区间</t>
    <phoneticPr fontId="1" type="noConversion"/>
  </si>
  <si>
    <t>初始值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</si>
  <si>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</si>
  <si>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</si>
  <si>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</si>
  <si>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</si>
  <si>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区间总时间/天</t>
    <phoneticPr fontId="1" type="noConversion"/>
  </si>
  <si>
    <t>升级时间/天</t>
    <phoneticPr fontId="1" type="noConversion"/>
  </si>
  <si>
    <t>总时间/天</t>
    <phoneticPr fontId="1" type="noConversion"/>
  </si>
  <si>
    <t>对应关卡</t>
    <phoneticPr fontId="1" type="noConversion"/>
  </si>
  <si>
    <t>rexp曲线</t>
    <phoneticPr fontId="1" type="noConversion"/>
  </si>
  <si>
    <t>remoney曲线</t>
    <phoneticPr fontId="1" type="noConversion"/>
  </si>
  <si>
    <t>最大值</t>
    <phoneticPr fontId="1" type="noConversion"/>
  </si>
  <si>
    <t>rexp/时</t>
    <phoneticPr fontId="1" type="noConversion"/>
  </si>
  <si>
    <t>rexp/秒</t>
    <phoneticPr fontId="1" type="noConversion"/>
  </si>
  <si>
    <t>升级经验</t>
    <phoneticPr fontId="1" type="noConversion"/>
  </si>
  <si>
    <t>总经验</t>
    <phoneticPr fontId="1" type="noConversion"/>
  </si>
  <si>
    <t>rexp/秒</t>
    <phoneticPr fontId="1" type="noConversion"/>
  </si>
  <si>
    <t>remoney/时</t>
    <phoneticPr fontId="1" type="noConversion"/>
  </si>
  <si>
    <t>remoney/秒</t>
    <phoneticPr fontId="1" type="noConversion"/>
  </si>
  <si>
    <t>rexp/时</t>
    <phoneticPr fontId="1" type="noConversion"/>
  </si>
  <si>
    <t>经验副本</t>
    <phoneticPr fontId="1" type="noConversion"/>
  </si>
  <si>
    <t>组队副本</t>
    <phoneticPr fontId="1" type="noConversion"/>
  </si>
  <si>
    <t>每日任务环</t>
    <phoneticPr fontId="1" type="noConversion"/>
  </si>
  <si>
    <t>占比</t>
    <phoneticPr fontId="1" type="noConversion"/>
  </si>
  <si>
    <t>开始等级</t>
    <phoneticPr fontId="1" type="noConversion"/>
  </si>
  <si>
    <t>结束等级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</si>
  <si>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</si>
  <si>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</si>
  <si>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</si>
  <si>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</si>
  <si>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初始值</t>
    <phoneticPr fontId="1" type="noConversion"/>
  </si>
  <si>
    <t>玩家等级</t>
    <phoneticPr fontId="1" type="noConversion"/>
  </si>
  <si>
    <t>经验效率</t>
    <phoneticPr fontId="1" type="noConversion"/>
  </si>
  <si>
    <t>人物经验过渡曲线</t>
    <phoneticPr fontId="1" type="noConversion"/>
  </si>
  <si>
    <t>金币材料副本</t>
    <phoneticPr fontId="1" type="noConversion"/>
  </si>
  <si>
    <t>答题（12：00~12:15）</t>
    <phoneticPr fontId="1" type="noConversion"/>
  </si>
  <si>
    <t>接财神（12：00~12:15）</t>
    <phoneticPr fontId="1" type="noConversion"/>
  </si>
  <si>
    <t>总金币</t>
    <phoneticPr fontId="1" type="noConversion"/>
  </si>
  <si>
    <t>金币效率</t>
    <phoneticPr fontId="1" type="noConversion"/>
  </si>
  <si>
    <t>真实rmoney/秒</t>
    <phoneticPr fontId="1" type="noConversion"/>
  </si>
  <si>
    <t>rmoney/时</t>
    <phoneticPr fontId="1" type="noConversion"/>
  </si>
  <si>
    <t>rmoney/秒</t>
    <phoneticPr fontId="1" type="noConversion"/>
  </si>
  <si>
    <t>活动（20：00~20:15）</t>
    <phoneticPr fontId="1" type="noConversion"/>
  </si>
  <si>
    <t>活动（20：30~20:45）</t>
    <phoneticPr fontId="1" type="noConversion"/>
  </si>
  <si>
    <t>温泉（21：00~21:15）</t>
    <phoneticPr fontId="1" type="noConversion"/>
  </si>
  <si>
    <t>每日产出占比</t>
    <phoneticPr fontId="1" type="noConversion"/>
  </si>
  <si>
    <t>挂机</t>
    <phoneticPr fontId="1" type="noConversion"/>
  </si>
  <si>
    <t>玩法</t>
    <phoneticPr fontId="1" type="noConversion"/>
  </si>
  <si>
    <t>时间经验</t>
    <phoneticPr fontId="1" type="noConversion"/>
  </si>
  <si>
    <t>经验奖励时间/s</t>
    <phoneticPr fontId="1" type="noConversion"/>
  </si>
  <si>
    <t>经验奖励</t>
    <phoneticPr fontId="1" type="noConversion"/>
  </si>
  <si>
    <t>总投放时间/天</t>
    <phoneticPr fontId="1" type="noConversion"/>
  </si>
  <si>
    <t>为了配合新手流程，前面20关的经验可能比后面多，先试试感受</t>
    <phoneticPr fontId="1" type="noConversion"/>
  </si>
  <si>
    <t>钻石奖励/rmb</t>
    <phoneticPr fontId="1" type="noConversion"/>
  </si>
  <si>
    <t>发放数量</t>
    <phoneticPr fontId="1" type="noConversion"/>
  </si>
  <si>
    <t>每关钻石奖励/rmb</t>
    <phoneticPr fontId="1" type="noConversion"/>
  </si>
  <si>
    <t>开服天数</t>
    <phoneticPr fontId="1" type="noConversion"/>
  </si>
  <si>
    <t>累计发放钻石/rmb</t>
    <phoneticPr fontId="1" type="noConversion"/>
  </si>
  <si>
    <t>12-29版本特殊，正式版约为1/4</t>
    <phoneticPr fontId="1" type="noConversion"/>
  </si>
  <si>
    <t>真实等级</t>
    <phoneticPr fontId="1" type="noConversion"/>
  </si>
  <si>
    <t>属性等级</t>
    <phoneticPr fontId="1" type="noConversion"/>
  </si>
  <si>
    <t>怪物受击</t>
    <phoneticPr fontId="1" type="noConversion"/>
  </si>
  <si>
    <t>期望杀怪时间/s</t>
    <phoneticPr fontId="1" type="noConversion"/>
  </si>
  <si>
    <t>玩家攻击间隔</t>
    <phoneticPr fontId="1" type="noConversion"/>
  </si>
  <si>
    <t>技能目标误差修正</t>
    <phoneticPr fontId="1" type="noConversion"/>
  </si>
  <si>
    <t>需要杀怪数</t>
    <phoneticPr fontId="1" type="noConversion"/>
  </si>
  <si>
    <t>boss能量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</si>
</sst>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0" fillId="0" borderId="0" xfId="1" applyFont="1" applyAlignment="1"/>
    <xf numFmtId="9" fontId="0" fillId="0" borderId="1" xfId="1" applyFont="1" applyBorder="1" applyAlignment="1"/>
    <xf numFmtId="9" fontId="0" fillId="0" borderId="0" xfId="0" applyNumberFormat="1"/>
    <xf numFmtId="0" fontId="0" fillId="2" borderId="1" xfId="0" applyFill="1" applyBorder="1"/>
    <xf numFmtId="9" fontId="0" fillId="0" borderId="1" xfId="0" applyNumberFormat="1" applyBorder="1"/>
    <xf numFmtId="0" fontId="3" fillId="2" borderId="2" xfId="0" applyFont="1" applyFill="1" applyBorder="1"/>
    <xf numFmtId="0" fontId="3" fillId="2" borderId="0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升级经验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人物经验!$N$24:$N$573</c:f>
              <c:numCache>
                <c:formatCode>General</c:formatCode>
                <c:ptCount val="55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31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62</c:v>
                </c:pt>
                <c:pt idx="41">
                  <c:v>68</c:v>
                </c:pt>
                <c:pt idx="42">
                  <c:v>71</c:v>
                </c:pt>
                <c:pt idx="43">
                  <c:v>75</c:v>
                </c:pt>
                <c:pt idx="44">
                  <c:v>82</c:v>
                </c:pt>
                <c:pt idx="45">
                  <c:v>86</c:v>
                </c:pt>
                <c:pt idx="46">
                  <c:v>90</c:v>
                </c:pt>
                <c:pt idx="47">
                  <c:v>94</c:v>
                </c:pt>
                <c:pt idx="48">
                  <c:v>103</c:v>
                </c:pt>
                <c:pt idx="49">
                  <c:v>108</c:v>
                </c:pt>
                <c:pt idx="50">
                  <c:v>113</c:v>
                </c:pt>
                <c:pt idx="51">
                  <c:v>123</c:v>
                </c:pt>
                <c:pt idx="52">
                  <c:v>130</c:v>
                </c:pt>
                <c:pt idx="53">
                  <c:v>141</c:v>
                </c:pt>
                <c:pt idx="54">
                  <c:v>148</c:v>
                </c:pt>
                <c:pt idx="55">
                  <c:v>156</c:v>
                </c:pt>
                <c:pt idx="56">
                  <c:v>169</c:v>
                </c:pt>
                <c:pt idx="57">
                  <c:v>178</c:v>
                </c:pt>
                <c:pt idx="58">
                  <c:v>194</c:v>
                </c:pt>
                <c:pt idx="59">
                  <c:v>204</c:v>
                </c:pt>
                <c:pt idx="60">
                  <c:v>219</c:v>
                </c:pt>
                <c:pt idx="61">
                  <c:v>226</c:v>
                </c:pt>
                <c:pt idx="62">
                  <c:v>241</c:v>
                </c:pt>
                <c:pt idx="63">
                  <c:v>249</c:v>
                </c:pt>
                <c:pt idx="64">
                  <c:v>258</c:v>
                </c:pt>
                <c:pt idx="65">
                  <c:v>275</c:v>
                </c:pt>
                <c:pt idx="66">
                  <c:v>284</c:v>
                </c:pt>
                <c:pt idx="67">
                  <c:v>303</c:v>
                </c:pt>
                <c:pt idx="68">
                  <c:v>313</c:v>
                </c:pt>
                <c:pt idx="69">
                  <c:v>334</c:v>
                </c:pt>
                <c:pt idx="70">
                  <c:v>346</c:v>
                </c:pt>
                <c:pt idx="71">
                  <c:v>368</c:v>
                </c:pt>
                <c:pt idx="72">
                  <c:v>381</c:v>
                </c:pt>
                <c:pt idx="73">
                  <c:v>406</c:v>
                </c:pt>
                <c:pt idx="74">
                  <c:v>421</c:v>
                </c:pt>
                <c:pt idx="75">
                  <c:v>448</c:v>
                </c:pt>
                <c:pt idx="76">
                  <c:v>464</c:v>
                </c:pt>
                <c:pt idx="77">
                  <c:v>494</c:v>
                </c:pt>
                <c:pt idx="78">
                  <c:v>512</c:v>
                </c:pt>
                <c:pt idx="79">
                  <c:v>545</c:v>
                </c:pt>
                <c:pt idx="80">
                  <c:v>585</c:v>
                </c:pt>
                <c:pt idx="81">
                  <c:v>627</c:v>
                </c:pt>
                <c:pt idx="82">
                  <c:v>656</c:v>
                </c:pt>
                <c:pt idx="83">
                  <c:v>703</c:v>
                </c:pt>
                <c:pt idx="84">
                  <c:v>735</c:v>
                </c:pt>
                <c:pt idx="85">
                  <c:v>787</c:v>
                </c:pt>
                <c:pt idx="86">
                  <c:v>842</c:v>
                </c:pt>
                <c:pt idx="87">
                  <c:v>881</c:v>
                </c:pt>
                <c:pt idx="88">
                  <c:v>941</c:v>
                </c:pt>
                <c:pt idx="89">
                  <c:v>984</c:v>
                </c:pt>
                <c:pt idx="90">
                  <c:v>1051</c:v>
                </c:pt>
                <c:pt idx="91">
                  <c:v>1098</c:v>
                </c:pt>
                <c:pt idx="92">
                  <c:v>1173</c:v>
                </c:pt>
                <c:pt idx="93">
                  <c:v>1251</c:v>
                </c:pt>
                <c:pt idx="94">
                  <c:v>1307</c:v>
                </c:pt>
                <c:pt idx="95">
                  <c:v>1393</c:v>
                </c:pt>
                <c:pt idx="96">
                  <c:v>1454</c:v>
                </c:pt>
                <c:pt idx="97">
                  <c:v>1549</c:v>
                </c:pt>
                <c:pt idx="98">
                  <c:v>1650</c:v>
                </c:pt>
                <c:pt idx="99">
                  <c:v>1722</c:v>
                </c:pt>
                <c:pt idx="100">
                  <c:v>2086</c:v>
                </c:pt>
                <c:pt idx="101">
                  <c:v>2150</c:v>
                </c:pt>
                <c:pt idx="102">
                  <c:v>2174</c:v>
                </c:pt>
                <c:pt idx="103">
                  <c:v>2239</c:v>
                </c:pt>
                <c:pt idx="104">
                  <c:v>2306</c:v>
                </c:pt>
                <c:pt idx="105">
                  <c:v>2373</c:v>
                </c:pt>
                <c:pt idx="106">
                  <c:v>2398</c:v>
                </c:pt>
                <c:pt idx="107">
                  <c:v>2467</c:v>
                </c:pt>
                <c:pt idx="108">
                  <c:v>2537</c:v>
                </c:pt>
                <c:pt idx="109">
                  <c:v>2608</c:v>
                </c:pt>
                <c:pt idx="110">
                  <c:v>2634</c:v>
                </c:pt>
                <c:pt idx="111">
                  <c:v>2706</c:v>
                </c:pt>
                <c:pt idx="112">
                  <c:v>2779</c:v>
                </c:pt>
                <c:pt idx="113">
                  <c:v>2854</c:v>
                </c:pt>
                <c:pt idx="114">
                  <c:v>2881</c:v>
                </c:pt>
                <c:pt idx="115">
                  <c:v>2957</c:v>
                </c:pt>
                <c:pt idx="116">
                  <c:v>3034</c:v>
                </c:pt>
                <c:pt idx="117">
                  <c:v>3112</c:v>
                </c:pt>
                <c:pt idx="118">
                  <c:v>3141</c:v>
                </c:pt>
                <c:pt idx="119">
                  <c:v>3220</c:v>
                </c:pt>
                <c:pt idx="120">
                  <c:v>3416</c:v>
                </c:pt>
                <c:pt idx="121">
                  <c:v>3582</c:v>
                </c:pt>
                <c:pt idx="122">
                  <c:v>3753</c:v>
                </c:pt>
                <c:pt idx="123">
                  <c:v>3868</c:v>
                </c:pt>
                <c:pt idx="124">
                  <c:v>4043</c:v>
                </c:pt>
                <c:pt idx="125">
                  <c:v>4223</c:v>
                </c:pt>
                <c:pt idx="126">
                  <c:v>4405</c:v>
                </c:pt>
                <c:pt idx="127">
                  <c:v>4591</c:v>
                </c:pt>
                <c:pt idx="128">
                  <c:v>4781</c:v>
                </c:pt>
                <c:pt idx="129">
                  <c:v>4975</c:v>
                </c:pt>
                <c:pt idx="130">
                  <c:v>5172</c:v>
                </c:pt>
                <c:pt idx="131">
                  <c:v>5373</c:v>
                </c:pt>
                <c:pt idx="132">
                  <c:v>5578</c:v>
                </c:pt>
                <c:pt idx="133">
                  <c:v>5786</c:v>
                </c:pt>
                <c:pt idx="134">
                  <c:v>5998</c:v>
                </c:pt>
                <c:pt idx="135">
                  <c:v>6213</c:v>
                </c:pt>
                <c:pt idx="136">
                  <c:v>6433</c:v>
                </c:pt>
                <c:pt idx="137">
                  <c:v>6656</c:v>
                </c:pt>
                <c:pt idx="138">
                  <c:v>6883</c:v>
                </c:pt>
                <c:pt idx="139">
                  <c:v>7113</c:v>
                </c:pt>
                <c:pt idx="140">
                  <c:v>7857</c:v>
                </c:pt>
                <c:pt idx="141">
                  <c:v>8151</c:v>
                </c:pt>
                <c:pt idx="142">
                  <c:v>8449</c:v>
                </c:pt>
                <c:pt idx="143">
                  <c:v>8753</c:v>
                </c:pt>
                <c:pt idx="144">
                  <c:v>9169</c:v>
                </c:pt>
                <c:pt idx="145">
                  <c:v>9485</c:v>
                </c:pt>
                <c:pt idx="146">
                  <c:v>9807</c:v>
                </c:pt>
                <c:pt idx="147">
                  <c:v>10133</c:v>
                </c:pt>
                <c:pt idx="148">
                  <c:v>10465</c:v>
                </c:pt>
                <c:pt idx="149">
                  <c:v>10923</c:v>
                </c:pt>
                <c:pt idx="150">
                  <c:v>11267</c:v>
                </c:pt>
                <c:pt idx="151">
                  <c:v>11617</c:v>
                </c:pt>
                <c:pt idx="152">
                  <c:v>11972</c:v>
                </c:pt>
                <c:pt idx="153">
                  <c:v>12464</c:v>
                </c:pt>
                <c:pt idx="154">
                  <c:v>12832</c:v>
                </c:pt>
                <c:pt idx="155">
                  <c:v>13205</c:v>
                </c:pt>
                <c:pt idx="156">
                  <c:v>13584</c:v>
                </c:pt>
                <c:pt idx="157">
                  <c:v>14111</c:v>
                </c:pt>
                <c:pt idx="158">
                  <c:v>14503</c:v>
                </c:pt>
                <c:pt idx="159">
                  <c:v>14901</c:v>
                </c:pt>
                <c:pt idx="160">
                  <c:v>18496</c:v>
                </c:pt>
                <c:pt idx="161">
                  <c:v>18885</c:v>
                </c:pt>
                <c:pt idx="162">
                  <c:v>19466</c:v>
                </c:pt>
                <c:pt idx="163">
                  <c:v>19866</c:v>
                </c:pt>
                <c:pt idx="164">
                  <c:v>20464</c:v>
                </c:pt>
                <c:pt idx="165">
                  <c:v>20876</c:v>
                </c:pt>
                <c:pt idx="166">
                  <c:v>21490</c:v>
                </c:pt>
                <c:pt idx="167">
                  <c:v>21913</c:v>
                </c:pt>
                <c:pt idx="168">
                  <c:v>22545</c:v>
                </c:pt>
                <c:pt idx="169">
                  <c:v>22979</c:v>
                </c:pt>
                <c:pt idx="170">
                  <c:v>23628</c:v>
                </c:pt>
                <c:pt idx="171">
                  <c:v>24074</c:v>
                </c:pt>
                <c:pt idx="172">
                  <c:v>24740</c:v>
                </c:pt>
                <c:pt idx="173">
                  <c:v>25198</c:v>
                </c:pt>
                <c:pt idx="174">
                  <c:v>25880</c:v>
                </c:pt>
                <c:pt idx="175">
                  <c:v>26351</c:v>
                </c:pt>
                <c:pt idx="176">
                  <c:v>27051</c:v>
                </c:pt>
                <c:pt idx="177">
                  <c:v>27533</c:v>
                </c:pt>
                <c:pt idx="178">
                  <c:v>28020</c:v>
                </c:pt>
                <c:pt idx="179">
                  <c:v>28745</c:v>
                </c:pt>
                <c:pt idx="180">
                  <c:v>38118</c:v>
                </c:pt>
                <c:pt idx="181">
                  <c:v>38627</c:v>
                </c:pt>
                <c:pt idx="182">
                  <c:v>39450</c:v>
                </c:pt>
                <c:pt idx="183">
                  <c:v>40283</c:v>
                </c:pt>
                <c:pt idx="184">
                  <c:v>41125</c:v>
                </c:pt>
                <c:pt idx="185">
                  <c:v>41656</c:v>
                </c:pt>
                <c:pt idx="186">
                  <c:v>42513</c:v>
                </c:pt>
                <c:pt idx="187">
                  <c:v>43380</c:v>
                </c:pt>
                <c:pt idx="188">
                  <c:v>43927</c:v>
                </c:pt>
                <c:pt idx="189">
                  <c:v>44809</c:v>
                </c:pt>
                <c:pt idx="190">
                  <c:v>45701</c:v>
                </c:pt>
                <c:pt idx="191">
                  <c:v>46265</c:v>
                </c:pt>
                <c:pt idx="192">
                  <c:v>47172</c:v>
                </c:pt>
                <c:pt idx="193">
                  <c:v>47747</c:v>
                </c:pt>
                <c:pt idx="194">
                  <c:v>48670</c:v>
                </c:pt>
                <c:pt idx="195">
                  <c:v>49603</c:v>
                </c:pt>
                <c:pt idx="196">
                  <c:v>50195</c:v>
                </c:pt>
                <c:pt idx="197">
                  <c:v>51144</c:v>
                </c:pt>
                <c:pt idx="198">
                  <c:v>51746</c:v>
                </c:pt>
                <c:pt idx="199">
                  <c:v>52712</c:v>
                </c:pt>
                <c:pt idx="200">
                  <c:v>54043</c:v>
                </c:pt>
                <c:pt idx="201">
                  <c:v>54778</c:v>
                </c:pt>
                <c:pt idx="202">
                  <c:v>55146</c:v>
                </c:pt>
                <c:pt idx="203">
                  <c:v>55516</c:v>
                </c:pt>
                <c:pt idx="204">
                  <c:v>56257</c:v>
                </c:pt>
                <c:pt idx="205">
                  <c:v>56628</c:v>
                </c:pt>
                <c:pt idx="206">
                  <c:v>57374</c:v>
                </c:pt>
                <c:pt idx="207">
                  <c:v>57748</c:v>
                </c:pt>
                <c:pt idx="208">
                  <c:v>58123</c:v>
                </c:pt>
                <c:pt idx="209">
                  <c:v>58875</c:v>
                </c:pt>
                <c:pt idx="210">
                  <c:v>59252</c:v>
                </c:pt>
                <c:pt idx="211">
                  <c:v>59630</c:v>
                </c:pt>
                <c:pt idx="212">
                  <c:v>60388</c:v>
                </c:pt>
                <c:pt idx="213">
                  <c:v>60769</c:v>
                </c:pt>
                <c:pt idx="214">
                  <c:v>61150</c:v>
                </c:pt>
                <c:pt idx="215">
                  <c:v>61532</c:v>
                </c:pt>
                <c:pt idx="216">
                  <c:v>62298</c:v>
                </c:pt>
                <c:pt idx="217">
                  <c:v>62682</c:v>
                </c:pt>
                <c:pt idx="218">
                  <c:v>63067</c:v>
                </c:pt>
                <c:pt idx="219">
                  <c:v>63453</c:v>
                </c:pt>
                <c:pt idx="220">
                  <c:v>63840</c:v>
                </c:pt>
                <c:pt idx="221">
                  <c:v>64615</c:v>
                </c:pt>
                <c:pt idx="222">
                  <c:v>65004</c:v>
                </c:pt>
                <c:pt idx="223">
                  <c:v>65394</c:v>
                </c:pt>
                <c:pt idx="224">
                  <c:v>65785</c:v>
                </c:pt>
                <c:pt idx="225">
                  <c:v>66177</c:v>
                </c:pt>
                <c:pt idx="226">
                  <c:v>66569</c:v>
                </c:pt>
                <c:pt idx="227">
                  <c:v>66962</c:v>
                </c:pt>
                <c:pt idx="228">
                  <c:v>67356</c:v>
                </c:pt>
                <c:pt idx="229">
                  <c:v>68146</c:v>
                </c:pt>
                <c:pt idx="230">
                  <c:v>68543</c:v>
                </c:pt>
                <c:pt idx="231">
                  <c:v>68940</c:v>
                </c:pt>
                <c:pt idx="232">
                  <c:v>69338</c:v>
                </c:pt>
                <c:pt idx="233">
                  <c:v>69737</c:v>
                </c:pt>
                <c:pt idx="234">
                  <c:v>70137</c:v>
                </c:pt>
                <c:pt idx="235">
                  <c:v>70538</c:v>
                </c:pt>
                <c:pt idx="236">
                  <c:v>70939</c:v>
                </c:pt>
                <c:pt idx="237">
                  <c:v>71341</c:v>
                </c:pt>
                <c:pt idx="238">
                  <c:v>71744</c:v>
                </c:pt>
                <c:pt idx="239">
                  <c:v>72553</c:v>
                </c:pt>
                <c:pt idx="240">
                  <c:v>72959</c:v>
                </c:pt>
                <c:pt idx="241">
                  <c:v>73773</c:v>
                </c:pt>
                <c:pt idx="242">
                  <c:v>74181</c:v>
                </c:pt>
                <c:pt idx="243">
                  <c:v>75000</c:v>
                </c:pt>
                <c:pt idx="244">
                  <c:v>75411</c:v>
                </c:pt>
                <c:pt idx="245">
                  <c:v>76235</c:v>
                </c:pt>
                <c:pt idx="246">
                  <c:v>76648</c:v>
                </c:pt>
                <c:pt idx="247">
                  <c:v>77477</c:v>
                </c:pt>
                <c:pt idx="248">
                  <c:v>77893</c:v>
                </c:pt>
                <c:pt idx="249">
                  <c:v>78728</c:v>
                </c:pt>
                <c:pt idx="250">
                  <c:v>145410</c:v>
                </c:pt>
                <c:pt idx="251">
                  <c:v>152345</c:v>
                </c:pt>
                <c:pt idx="252">
                  <c:v>159707</c:v>
                </c:pt>
                <c:pt idx="253">
                  <c:v>167509</c:v>
                </c:pt>
                <c:pt idx="254">
                  <c:v>175765</c:v>
                </c:pt>
                <c:pt idx="255">
                  <c:v>184489</c:v>
                </c:pt>
                <c:pt idx="256">
                  <c:v>193696</c:v>
                </c:pt>
                <c:pt idx="257">
                  <c:v>203401</c:v>
                </c:pt>
                <c:pt idx="258">
                  <c:v>213617</c:v>
                </c:pt>
                <c:pt idx="259">
                  <c:v>225454</c:v>
                </c:pt>
                <c:pt idx="260">
                  <c:v>237927</c:v>
                </c:pt>
                <c:pt idx="261">
                  <c:v>249865</c:v>
                </c:pt>
                <c:pt idx="262">
                  <c:v>263622</c:v>
                </c:pt>
                <c:pt idx="263">
                  <c:v>278078</c:v>
                </c:pt>
                <c:pt idx="264">
                  <c:v>293255</c:v>
                </c:pt>
                <c:pt idx="265">
                  <c:v>309177</c:v>
                </c:pt>
                <c:pt idx="266">
                  <c:v>325867</c:v>
                </c:pt>
                <c:pt idx="267">
                  <c:v>344890</c:v>
                </c:pt>
                <c:pt idx="268">
                  <c:v>363254</c:v>
                </c:pt>
                <c:pt idx="269">
                  <c:v>384142</c:v>
                </c:pt>
                <c:pt idx="270">
                  <c:v>406045</c:v>
                </c:pt>
                <c:pt idx="271">
                  <c:v>428997</c:v>
                </c:pt>
                <c:pt idx="272">
                  <c:v>453032</c:v>
                </c:pt>
                <c:pt idx="273">
                  <c:v>478186</c:v>
                </c:pt>
                <c:pt idx="274">
                  <c:v>506590</c:v>
                </c:pt>
                <c:pt idx="275">
                  <c:v>534181</c:v>
                </c:pt>
                <c:pt idx="276">
                  <c:v>565290</c:v>
                </c:pt>
                <c:pt idx="277">
                  <c:v>597871</c:v>
                </c:pt>
                <c:pt idx="278">
                  <c:v>631973</c:v>
                </c:pt>
                <c:pt idx="279">
                  <c:v>667647</c:v>
                </c:pt>
                <c:pt idx="280">
                  <c:v>704946</c:v>
                </c:pt>
                <c:pt idx="281">
                  <c:v>746776</c:v>
                </c:pt>
                <c:pt idx="282">
                  <c:v>787609</c:v>
                </c:pt>
                <c:pt idx="283">
                  <c:v>833348</c:v>
                </c:pt>
                <c:pt idx="284">
                  <c:v>881212</c:v>
                </c:pt>
                <c:pt idx="285">
                  <c:v>931274</c:v>
                </c:pt>
                <c:pt idx="286">
                  <c:v>983607</c:v>
                </c:pt>
                <c:pt idx="287">
                  <c:v>1042011</c:v>
                </c:pt>
                <c:pt idx="288">
                  <c:v>1095398</c:v>
                </c:pt>
                <c:pt idx="289">
                  <c:v>1150967</c:v>
                </c:pt>
                <c:pt idx="290">
                  <c:v>1212996</c:v>
                </c:pt>
                <c:pt idx="291">
                  <c:v>1273297</c:v>
                </c:pt>
                <c:pt idx="292">
                  <c:v>1340559</c:v>
                </c:pt>
                <c:pt idx="293">
                  <c:v>1410655</c:v>
                </c:pt>
                <c:pt idx="294">
                  <c:v>1483675</c:v>
                </c:pt>
                <c:pt idx="295">
                  <c:v>1559711</c:v>
                </c:pt>
                <c:pt idx="296">
                  <c:v>1638857</c:v>
                </c:pt>
                <c:pt idx="297">
                  <c:v>1726838</c:v>
                </c:pt>
                <c:pt idx="298">
                  <c:v>1812724</c:v>
                </c:pt>
                <c:pt idx="299">
                  <c:v>1908133</c:v>
                </c:pt>
                <c:pt idx="300">
                  <c:v>2442267</c:v>
                </c:pt>
                <c:pt idx="301">
                  <c:v>2520575</c:v>
                </c:pt>
                <c:pt idx="302">
                  <c:v>2592432</c:v>
                </c:pt>
                <c:pt idx="303">
                  <c:v>2665621</c:v>
                </c:pt>
                <c:pt idx="304">
                  <c:v>2740162</c:v>
                </c:pt>
                <c:pt idx="305">
                  <c:v>2816078</c:v>
                </c:pt>
                <c:pt idx="306">
                  <c:v>2893390</c:v>
                </c:pt>
                <c:pt idx="307">
                  <c:v>2972123</c:v>
                </c:pt>
                <c:pt idx="308">
                  <c:v>3052297</c:v>
                </c:pt>
                <c:pt idx="309">
                  <c:v>3133936</c:v>
                </c:pt>
                <c:pt idx="310">
                  <c:v>3207753</c:v>
                </c:pt>
                <c:pt idx="311">
                  <c:v>3292223</c:v>
                </c:pt>
                <c:pt idx="312">
                  <c:v>3378226</c:v>
                </c:pt>
                <c:pt idx="313">
                  <c:v>3446191</c:v>
                </c:pt>
                <c:pt idx="314">
                  <c:v>3525033</c:v>
                </c:pt>
                <c:pt idx="315">
                  <c:v>3605137</c:v>
                </c:pt>
                <c:pt idx="316">
                  <c:v>3676275</c:v>
                </c:pt>
                <c:pt idx="317">
                  <c:v>3758790</c:v>
                </c:pt>
                <c:pt idx="318">
                  <c:v>3832065</c:v>
                </c:pt>
                <c:pt idx="319">
                  <c:v>3917052</c:v>
                </c:pt>
                <c:pt idx="320">
                  <c:v>3992517</c:v>
                </c:pt>
                <c:pt idx="321">
                  <c:v>4069023</c:v>
                </c:pt>
                <c:pt idx="322">
                  <c:v>4146582</c:v>
                </c:pt>
                <c:pt idx="323">
                  <c:v>4236525</c:v>
                </c:pt>
                <c:pt idx="324">
                  <c:v>4316380</c:v>
                </c:pt>
                <c:pt idx="325">
                  <c:v>4397326</c:v>
                </c:pt>
                <c:pt idx="326">
                  <c:v>4479375</c:v>
                </c:pt>
                <c:pt idx="327">
                  <c:v>4562540</c:v>
                </c:pt>
                <c:pt idx="328">
                  <c:v>4646832</c:v>
                </c:pt>
                <c:pt idx="329">
                  <c:v>4719991</c:v>
                </c:pt>
                <c:pt idx="330">
                  <c:v>4806412</c:v>
                </c:pt>
                <c:pt idx="331">
                  <c:v>4893997</c:v>
                </c:pt>
                <c:pt idx="332">
                  <c:v>4982758</c:v>
                </c:pt>
                <c:pt idx="333">
                  <c:v>5059786</c:v>
                </c:pt>
                <c:pt idx="334">
                  <c:v>5150768</c:v>
                </c:pt>
                <c:pt idx="335">
                  <c:v>5242964</c:v>
                </c:pt>
                <c:pt idx="336">
                  <c:v>5322964</c:v>
                </c:pt>
                <c:pt idx="337">
                  <c:v>5417449</c:v>
                </c:pt>
                <c:pt idx="338">
                  <c:v>5499431</c:v>
                </c:pt>
                <c:pt idx="339">
                  <c:v>5596250</c:v>
                </c:pt>
                <c:pt idx="340">
                  <c:v>5680253</c:v>
                </c:pt>
                <c:pt idx="341">
                  <c:v>5765202</c:v>
                </c:pt>
                <c:pt idx="342">
                  <c:v>5865516</c:v>
                </c:pt>
                <c:pt idx="343">
                  <c:v>5952545</c:v>
                </c:pt>
                <c:pt idx="344">
                  <c:v>6040546</c:v>
                </c:pt>
                <c:pt idx="345">
                  <c:v>6129530</c:v>
                </c:pt>
                <c:pt idx="346">
                  <c:v>6219504</c:v>
                </c:pt>
                <c:pt idx="347">
                  <c:v>6310477</c:v>
                </c:pt>
                <c:pt idx="348">
                  <c:v>6402459</c:v>
                </c:pt>
                <c:pt idx="349">
                  <c:v>6495457</c:v>
                </c:pt>
                <c:pt idx="350">
                  <c:v>6589482</c:v>
                </c:pt>
                <c:pt idx="351">
                  <c:v>6684541</c:v>
                </c:pt>
                <c:pt idx="352">
                  <c:v>6764554</c:v>
                </c:pt>
                <c:pt idx="353">
                  <c:v>6861533</c:v>
                </c:pt>
                <c:pt idx="354">
                  <c:v>6959573</c:v>
                </c:pt>
                <c:pt idx="355">
                  <c:v>7058682</c:v>
                </c:pt>
                <c:pt idx="356">
                  <c:v>7142097</c:v>
                </c:pt>
                <c:pt idx="357">
                  <c:v>7243190</c:v>
                </c:pt>
                <c:pt idx="358">
                  <c:v>7328271</c:v>
                </c:pt>
                <c:pt idx="359">
                  <c:v>7431380</c:v>
                </c:pt>
                <c:pt idx="360">
                  <c:v>7535601</c:v>
                </c:pt>
                <c:pt idx="361">
                  <c:v>7623308</c:v>
                </c:pt>
                <c:pt idx="362">
                  <c:v>7729593</c:v>
                </c:pt>
                <c:pt idx="363">
                  <c:v>7819033</c:v>
                </c:pt>
                <c:pt idx="364">
                  <c:v>7909270</c:v>
                </c:pt>
                <c:pt idx="365">
                  <c:v>8018613</c:v>
                </c:pt>
                <c:pt idx="366">
                  <c:v>8110621</c:v>
                </c:pt>
                <c:pt idx="367">
                  <c:v>8222105</c:v>
                </c:pt>
                <c:pt idx="368">
                  <c:v>8315911</c:v>
                </c:pt>
                <c:pt idx="369">
                  <c:v>8410544</c:v>
                </c:pt>
                <c:pt idx="370">
                  <c:v>8506008</c:v>
                </c:pt>
                <c:pt idx="371">
                  <c:v>8621672</c:v>
                </c:pt>
                <c:pt idx="372">
                  <c:v>8718986</c:v>
                </c:pt>
                <c:pt idx="373">
                  <c:v>8817151</c:v>
                </c:pt>
                <c:pt idx="374">
                  <c:v>8916171</c:v>
                </c:pt>
                <c:pt idx="375">
                  <c:v>9016052</c:v>
                </c:pt>
                <c:pt idx="376">
                  <c:v>9116801</c:v>
                </c:pt>
                <c:pt idx="377">
                  <c:v>9218423</c:v>
                </c:pt>
                <c:pt idx="378">
                  <c:v>9320923</c:v>
                </c:pt>
                <c:pt idx="379">
                  <c:v>9403560</c:v>
                </c:pt>
                <c:pt idx="380">
                  <c:v>9486765</c:v>
                </c:pt>
                <c:pt idx="381">
                  <c:v>9591577</c:v>
                </c:pt>
                <c:pt idx="382">
                  <c:v>9676074</c:v>
                </c:pt>
                <c:pt idx="383">
                  <c:v>9761150</c:v>
                </c:pt>
                <c:pt idx="384">
                  <c:v>9868313</c:v>
                </c:pt>
                <c:pt idx="385">
                  <c:v>9954703</c:v>
                </c:pt>
                <c:pt idx="386">
                  <c:v>10041680</c:v>
                </c:pt>
                <c:pt idx="387">
                  <c:v>10129250</c:v>
                </c:pt>
                <c:pt idx="388">
                  <c:v>10239548</c:v>
                </c:pt>
                <c:pt idx="389">
                  <c:v>10328460</c:v>
                </c:pt>
                <c:pt idx="390">
                  <c:v>10417973</c:v>
                </c:pt>
                <c:pt idx="391">
                  <c:v>10508091</c:v>
                </c:pt>
                <c:pt idx="392">
                  <c:v>10598817</c:v>
                </c:pt>
                <c:pt idx="393">
                  <c:v>10690154</c:v>
                </c:pt>
                <c:pt idx="394">
                  <c:v>10805188</c:v>
                </c:pt>
                <c:pt idx="395">
                  <c:v>10897911</c:v>
                </c:pt>
                <c:pt idx="396">
                  <c:v>10991254</c:v>
                </c:pt>
                <c:pt idx="397">
                  <c:v>11085222</c:v>
                </c:pt>
                <c:pt idx="398">
                  <c:v>11179817</c:v>
                </c:pt>
                <c:pt idx="399">
                  <c:v>11275042</c:v>
                </c:pt>
                <c:pt idx="400">
                  <c:v>11370901</c:v>
                </c:pt>
                <c:pt idx="401">
                  <c:v>11467397</c:v>
                </c:pt>
                <c:pt idx="402">
                  <c:v>11564533</c:v>
                </c:pt>
                <c:pt idx="403">
                  <c:v>11662311</c:v>
                </c:pt>
                <c:pt idx="404">
                  <c:v>11760736</c:v>
                </c:pt>
                <c:pt idx="405">
                  <c:v>11859811</c:v>
                </c:pt>
                <c:pt idx="406">
                  <c:v>11959538</c:v>
                </c:pt>
                <c:pt idx="407">
                  <c:v>12059921</c:v>
                </c:pt>
                <c:pt idx="408">
                  <c:v>12135641</c:v>
                </c:pt>
                <c:pt idx="409">
                  <c:v>12237180</c:v>
                </c:pt>
                <c:pt idx="410">
                  <c:v>12339384</c:v>
                </c:pt>
                <c:pt idx="411">
                  <c:v>12442255</c:v>
                </c:pt>
                <c:pt idx="412">
                  <c:v>12545799</c:v>
                </c:pt>
                <c:pt idx="413">
                  <c:v>12650016</c:v>
                </c:pt>
                <c:pt idx="414">
                  <c:v>12728624</c:v>
                </c:pt>
                <c:pt idx="415">
                  <c:v>12834031</c:v>
                </c:pt>
                <c:pt idx="416">
                  <c:v>12940121</c:v>
                </c:pt>
                <c:pt idx="417">
                  <c:v>13046897</c:v>
                </c:pt>
                <c:pt idx="418">
                  <c:v>13154365</c:v>
                </c:pt>
                <c:pt idx="419">
                  <c:v>13235420</c:v>
                </c:pt>
                <c:pt idx="420">
                  <c:v>13344103</c:v>
                </c:pt>
                <c:pt idx="421">
                  <c:v>13453485</c:v>
                </c:pt>
                <c:pt idx="422">
                  <c:v>13535983</c:v>
                </c:pt>
                <c:pt idx="423">
                  <c:v>13646598</c:v>
                </c:pt>
                <c:pt idx="424">
                  <c:v>13757921</c:v>
                </c:pt>
                <c:pt idx="425">
                  <c:v>13841880</c:v>
                </c:pt>
                <c:pt idx="426">
                  <c:v>13954452</c:v>
                </c:pt>
                <c:pt idx="427">
                  <c:v>14039351</c:v>
                </c:pt>
                <c:pt idx="428">
                  <c:v>14124656</c:v>
                </c:pt>
                <c:pt idx="429">
                  <c:v>14239028</c:v>
                </c:pt>
                <c:pt idx="430">
                  <c:v>14325284</c:v>
                </c:pt>
                <c:pt idx="431">
                  <c:v>14411950</c:v>
                </c:pt>
                <c:pt idx="432">
                  <c:v>14499028</c:v>
                </c:pt>
                <c:pt idx="433">
                  <c:v>14586518</c:v>
                </c:pt>
                <c:pt idx="434">
                  <c:v>14674423</c:v>
                </c:pt>
                <c:pt idx="435">
                  <c:v>14762743</c:v>
                </c:pt>
                <c:pt idx="436">
                  <c:v>14851481</c:v>
                </c:pt>
                <c:pt idx="437">
                  <c:v>14940637</c:v>
                </c:pt>
                <c:pt idx="438">
                  <c:v>15030214</c:v>
                </c:pt>
                <c:pt idx="439">
                  <c:v>15120212</c:v>
                </c:pt>
                <c:pt idx="440">
                  <c:v>15210634</c:v>
                </c:pt>
                <c:pt idx="441">
                  <c:v>15301480</c:v>
                </c:pt>
                <c:pt idx="442">
                  <c:v>15392752</c:v>
                </c:pt>
                <c:pt idx="443">
                  <c:v>15484451</c:v>
                </c:pt>
                <c:pt idx="444">
                  <c:v>15576580</c:v>
                </c:pt>
                <c:pt idx="445">
                  <c:v>15669139</c:v>
                </c:pt>
                <c:pt idx="446">
                  <c:v>15762130</c:v>
                </c:pt>
                <c:pt idx="447">
                  <c:v>15824364</c:v>
                </c:pt>
                <c:pt idx="448">
                  <c:v>15918079</c:v>
                </c:pt>
                <c:pt idx="449">
                  <c:v>16012229</c:v>
                </c:pt>
                <c:pt idx="450">
                  <c:v>32403685</c:v>
                </c:pt>
                <c:pt idx="451">
                  <c:v>32786436</c:v>
                </c:pt>
                <c:pt idx="452">
                  <c:v>33108103</c:v>
                </c:pt>
                <c:pt idx="453">
                  <c:v>33497375</c:v>
                </c:pt>
                <c:pt idx="454">
                  <c:v>33890237</c:v>
                </c:pt>
                <c:pt idx="455">
                  <c:v>34220384</c:v>
                </c:pt>
                <c:pt idx="456">
                  <c:v>34619894</c:v>
                </c:pt>
                <c:pt idx="457">
                  <c:v>35023064</c:v>
                </c:pt>
                <c:pt idx="458">
                  <c:v>35361852</c:v>
                </c:pt>
                <c:pt idx="459">
                  <c:v>35771796</c:v>
                </c:pt>
                <c:pt idx="460">
                  <c:v>36116264</c:v>
                </c:pt>
                <c:pt idx="461">
                  <c:v>36463336</c:v>
                </c:pt>
                <c:pt idx="462">
                  <c:v>36883280</c:v>
                </c:pt>
                <c:pt idx="463">
                  <c:v>37236132</c:v>
                </c:pt>
                <c:pt idx="464">
                  <c:v>37591635</c:v>
                </c:pt>
                <c:pt idx="465">
                  <c:v>38021757</c:v>
                </c:pt>
                <c:pt idx="466">
                  <c:v>38383142</c:v>
                </c:pt>
                <c:pt idx="467">
                  <c:v>38747223</c:v>
                </c:pt>
                <c:pt idx="468">
                  <c:v>39187701</c:v>
                </c:pt>
                <c:pt idx="469">
                  <c:v>39557767</c:v>
                </c:pt>
                <c:pt idx="470">
                  <c:v>39930577</c:v>
                </c:pt>
                <c:pt idx="471">
                  <c:v>40306146</c:v>
                </c:pt>
                <c:pt idx="472">
                  <c:v>40684487</c:v>
                </c:pt>
                <c:pt idx="473">
                  <c:v>41065617</c:v>
                </c:pt>
                <c:pt idx="474">
                  <c:v>41449550</c:v>
                </c:pt>
                <c:pt idx="475">
                  <c:v>41836301</c:v>
                </c:pt>
                <c:pt idx="476">
                  <c:v>42147741</c:v>
                </c:pt>
                <c:pt idx="477">
                  <c:v>42461002</c:v>
                </c:pt>
                <c:pt idx="478">
                  <c:v>42855150</c:v>
                </c:pt>
                <c:pt idx="479">
                  <c:v>43172535</c:v>
                </c:pt>
                <c:pt idx="480">
                  <c:v>43491766</c:v>
                </c:pt>
                <c:pt idx="481">
                  <c:v>43893413</c:v>
                </c:pt>
                <c:pt idx="482">
                  <c:v>44216825</c:v>
                </c:pt>
                <c:pt idx="483">
                  <c:v>44542109</c:v>
                </c:pt>
                <c:pt idx="484">
                  <c:v>44869272</c:v>
                </c:pt>
                <c:pt idx="485">
                  <c:v>45280879</c:v>
                </c:pt>
                <c:pt idx="486">
                  <c:v>45612298</c:v>
                </c:pt>
                <c:pt idx="487">
                  <c:v>45945621</c:v>
                </c:pt>
                <c:pt idx="488">
                  <c:v>46280857</c:v>
                </c:pt>
                <c:pt idx="489">
                  <c:v>46618013</c:v>
                </c:pt>
                <c:pt idx="490">
                  <c:v>46957096</c:v>
                </c:pt>
                <c:pt idx="491">
                  <c:v>47383674</c:v>
                </c:pt>
                <c:pt idx="492">
                  <c:v>47727125</c:v>
                </c:pt>
                <c:pt idx="493">
                  <c:v>48072530</c:v>
                </c:pt>
                <c:pt idx="494">
                  <c:v>48419897</c:v>
                </c:pt>
                <c:pt idx="495">
                  <c:v>48769233</c:v>
                </c:pt>
                <c:pt idx="496">
                  <c:v>49120548</c:v>
                </c:pt>
                <c:pt idx="497">
                  <c:v>49473849</c:v>
                </c:pt>
                <c:pt idx="498">
                  <c:v>49829143</c:v>
                </c:pt>
                <c:pt idx="499">
                  <c:v>50186440</c:v>
                </c:pt>
                <c:pt idx="500">
                  <c:v>50545747</c:v>
                </c:pt>
                <c:pt idx="501">
                  <c:v>50907072</c:v>
                </c:pt>
                <c:pt idx="502">
                  <c:v>51270424</c:v>
                </c:pt>
                <c:pt idx="503">
                  <c:v>51635810</c:v>
                </c:pt>
                <c:pt idx="504">
                  <c:v>51911190</c:v>
                </c:pt>
                <c:pt idx="505">
                  <c:v>52280156</c:v>
                </c:pt>
                <c:pt idx="506">
                  <c:v>52651180</c:v>
                </c:pt>
                <c:pt idx="507">
                  <c:v>53024268</c:v>
                </c:pt>
                <c:pt idx="508">
                  <c:v>53399431</c:v>
                </c:pt>
                <c:pt idx="509">
                  <c:v>53776675</c:v>
                </c:pt>
                <c:pt idx="510">
                  <c:v>54156009</c:v>
                </c:pt>
                <c:pt idx="511">
                  <c:v>54441886</c:v>
                </c:pt>
                <c:pt idx="512">
                  <c:v>54824897</c:v>
                </c:pt>
                <c:pt idx="513">
                  <c:v>55210021</c:v>
                </c:pt>
                <c:pt idx="514">
                  <c:v>55597266</c:v>
                </c:pt>
                <c:pt idx="515">
                  <c:v>55889097</c:v>
                </c:pt>
                <c:pt idx="516">
                  <c:v>56280075</c:v>
                </c:pt>
                <c:pt idx="517">
                  <c:v>56673196</c:v>
                </c:pt>
                <c:pt idx="518">
                  <c:v>57068470</c:v>
                </c:pt>
                <c:pt idx="519">
                  <c:v>57366343</c:v>
                </c:pt>
                <c:pt idx="520">
                  <c:v>57765404</c:v>
                </c:pt>
                <c:pt idx="521">
                  <c:v>58166641</c:v>
                </c:pt>
                <c:pt idx="522">
                  <c:v>58469001</c:v>
                </c:pt>
                <c:pt idx="523">
                  <c:v>58874065</c:v>
                </c:pt>
                <c:pt idx="524">
                  <c:v>59179306</c:v>
                </c:pt>
                <c:pt idx="525">
                  <c:v>59485788</c:v>
                </c:pt>
                <c:pt idx="526">
                  <c:v>59896365</c:v>
                </c:pt>
                <c:pt idx="527">
                  <c:v>60205755</c:v>
                </c:pt>
                <c:pt idx="528">
                  <c:v>60516397</c:v>
                </c:pt>
                <c:pt idx="529">
                  <c:v>60828296</c:v>
                </c:pt>
                <c:pt idx="530">
                  <c:v>61141454</c:v>
                </c:pt>
                <c:pt idx="531">
                  <c:v>61455875</c:v>
                </c:pt>
                <c:pt idx="532">
                  <c:v>61771563</c:v>
                </c:pt>
                <c:pt idx="533">
                  <c:v>62088522</c:v>
                </c:pt>
                <c:pt idx="534">
                  <c:v>62406755</c:v>
                </c:pt>
                <c:pt idx="535">
                  <c:v>62726266</c:v>
                </c:pt>
                <c:pt idx="536">
                  <c:v>63047059</c:v>
                </c:pt>
                <c:pt idx="537">
                  <c:v>63369136</c:v>
                </c:pt>
                <c:pt idx="538">
                  <c:v>63692502</c:v>
                </c:pt>
                <c:pt idx="539">
                  <c:v>64017161</c:v>
                </c:pt>
                <c:pt idx="540">
                  <c:v>64343116</c:v>
                </c:pt>
                <c:pt idx="541">
                  <c:v>64670371</c:v>
                </c:pt>
                <c:pt idx="542">
                  <c:v>64998929</c:v>
                </c:pt>
                <c:pt idx="543">
                  <c:v>65328795</c:v>
                </c:pt>
                <c:pt idx="544">
                  <c:v>65659971</c:v>
                </c:pt>
                <c:pt idx="545">
                  <c:v>65992462</c:v>
                </c:pt>
                <c:pt idx="546">
                  <c:v>66326271</c:v>
                </c:pt>
                <c:pt idx="547">
                  <c:v>66661402</c:v>
                </c:pt>
                <c:pt idx="548">
                  <c:v>66997859</c:v>
                </c:pt>
                <c:pt idx="549">
                  <c:v>67335645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529904"/>
        <c:axId val="620529344"/>
      </c:lineChart>
      <c:catAx>
        <c:axId val="62052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529344"/>
        <c:crosses val="autoZero"/>
        <c:auto val="1"/>
        <c:lblAlgn val="ctr"/>
        <c:lblOffset val="100"/>
        <c:noMultiLvlLbl val="0"/>
      </c:catAx>
      <c:valAx>
        <c:axId val="6205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5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经验产出!$A$4:$A$11</c:f>
              <c:strCache>
                <c:ptCount val="8"/>
                <c:pt idx="0">
                  <c:v>挂机</c:v>
                </c:pt>
                <c:pt idx="1">
                  <c:v>每日任务环</c:v>
                </c:pt>
                <c:pt idx="2">
                  <c:v>经验副本</c:v>
                </c:pt>
                <c:pt idx="3">
                  <c:v>组队副本</c:v>
                </c:pt>
                <c:pt idx="4">
                  <c:v>答题（12：00~12:15）</c:v>
                </c:pt>
                <c:pt idx="5">
                  <c:v>活动（20：00~20:15）</c:v>
                </c:pt>
                <c:pt idx="6">
                  <c:v>活动（20：30~20:45）</c:v>
                </c:pt>
                <c:pt idx="7">
                  <c:v>温泉（21：00~21:15）</c:v>
                </c:pt>
              </c:strCache>
            </c:strRef>
          </c:cat>
          <c:val>
            <c:numRef>
              <c:f>经验产出!$F$4:$F$11</c:f>
              <c:numCache>
                <c:formatCode>0%</c:formatCode>
                <c:ptCount val="8"/>
                <c:pt idx="0">
                  <c:v>0.3231114435302917</c:v>
                </c:pt>
                <c:pt idx="1">
                  <c:v>0.16454749439042632</c:v>
                </c:pt>
                <c:pt idx="2">
                  <c:v>0.15706806282722513</c:v>
                </c:pt>
                <c:pt idx="3">
                  <c:v>0.16454749439042632</c:v>
                </c:pt>
                <c:pt idx="4">
                  <c:v>0.10097232610321616</c:v>
                </c:pt>
                <c:pt idx="5">
                  <c:v>0</c:v>
                </c:pt>
                <c:pt idx="6">
                  <c:v>0</c:v>
                </c:pt>
                <c:pt idx="7">
                  <c:v>8.9753178758414362E-2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金币产出!$A$4:$A$7</c:f>
              <c:strCache>
                <c:ptCount val="4"/>
                <c:pt idx="0">
                  <c:v>挂机</c:v>
                </c:pt>
                <c:pt idx="1">
                  <c:v>每日任务环</c:v>
                </c:pt>
                <c:pt idx="2">
                  <c:v>金币材料副本</c:v>
                </c:pt>
                <c:pt idx="3">
                  <c:v>接财神（12：00~12:15）</c:v>
                </c:pt>
              </c:strCache>
            </c:strRef>
          </c:cat>
          <c:val>
            <c:numRef>
              <c:f>金币产出!$F$4:$F$7</c:f>
              <c:numCache>
                <c:formatCode>0%</c:formatCode>
                <c:ptCount val="4"/>
                <c:pt idx="0">
                  <c:v>0.33371958285052145</c:v>
                </c:pt>
                <c:pt idx="1">
                  <c:v>0.164156044804944</c:v>
                </c:pt>
                <c:pt idx="2">
                  <c:v>0.328312089609888</c:v>
                </c:pt>
                <c:pt idx="3">
                  <c:v>0.17381228273464658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</xdr:row>
      <xdr:rowOff>123825</xdr:rowOff>
    </xdr:from>
    <xdr:to>
      <xdr:col>15</xdr:col>
      <xdr:colOff>514350</xdr:colOff>
      <xdr:row>19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328612</xdr:colOff>
      <xdr:row>13</xdr:row>
      <xdr:rowOff>123825</xdr:rowOff>
    </xdr:from>
    <xdr:to>
      <xdr:col>5</xdr:col>
      <xdr:colOff>433387</xdr:colOff>
      <xdr:row>29</xdr:row>
      <xdr:rowOff>123825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12</xdr:row>
      <xdr:rowOff>104775</xdr:rowOff>
    </xdr:from>
    <xdr:to>
      <xdr:col>5</xdr:col>
      <xdr:colOff>514350</xdr:colOff>
      <xdr:row>28</xdr:row>
      <xdr:rowOff>104775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021;&#21147;&#26694;&#2655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23646;&#2461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5163;&#27969;&#3124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35;&#209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能力框架"/>
      <sheetName val="特殊属性投放"/>
      <sheetName val="基础装备"/>
      <sheetName val="人物技能基础"/>
      <sheetName val="神装基础"/>
      <sheetName val="神装属性演算"/>
      <sheetName val="神装随机属性"/>
      <sheetName val="转生"/>
      <sheetName val="化神技能基础"/>
      <sheetName val="神魂基础"/>
      <sheetName val="神魂注灵"/>
      <sheetName val="神纹"/>
      <sheetName val="神纹属性配表"/>
      <sheetName val="装备强化"/>
      <sheetName val="装备精炼"/>
      <sheetName val="技能升级"/>
      <sheetName val="灵脉"/>
      <sheetName val="灵脉期望培养演算"/>
      <sheetName val="仙侣"/>
      <sheetName val="宠物"/>
      <sheetName val="突破"/>
      <sheetName val="开光"/>
      <sheetName val="宝石"/>
      <sheetName val="套装"/>
      <sheetName val="附魔"/>
      <sheetName val="坐骑"/>
      <sheetName val="坐骑装备"/>
      <sheetName val="羽翼"/>
      <sheetName val="羽翼装备"/>
      <sheetName val="图鉴美人榜"/>
      <sheetName val="图鉴山海录"/>
      <sheetName val="图鉴天下名将"/>
      <sheetName val="至宝护符"/>
      <sheetName val="至宝灵珠"/>
      <sheetName val="至宝天兵"/>
      <sheetName val="至宝灵器"/>
      <sheetName val="至宝战衣"/>
      <sheetName val="至宝神炉"/>
      <sheetName val="仙体第一重"/>
      <sheetName val="仙体第二重"/>
      <sheetName val="仙体第三重"/>
      <sheetName val="仙兵"/>
      <sheetName val="令牌"/>
      <sheetName val="仙阶"/>
      <sheetName val="宗门科技"/>
      <sheetName val="非R资源参照"/>
      <sheetName val="灵丹"/>
    </sheetNames>
    <sheetDataSet>
      <sheetData sheetId="0"/>
      <sheetData sheetId="1"/>
      <sheetData sheetId="2"/>
      <sheetData sheetId="3">
        <row r="3">
          <cell r="N3" t="str">
            <v>玩家等级</v>
          </cell>
          <cell r="O3" t="str">
            <v>每招平均目标</v>
          </cell>
        </row>
        <row r="4">
          <cell r="F4">
            <v>0.6</v>
          </cell>
          <cell r="N4">
            <v>1</v>
          </cell>
          <cell r="O4">
            <v>2</v>
          </cell>
        </row>
        <row r="5">
          <cell r="N5">
            <v>2</v>
          </cell>
          <cell r="O5">
            <v>2</v>
          </cell>
        </row>
        <row r="6">
          <cell r="N6">
            <v>3</v>
          </cell>
          <cell r="O6">
            <v>2</v>
          </cell>
        </row>
        <row r="7">
          <cell r="N7">
            <v>4</v>
          </cell>
          <cell r="O7">
            <v>2</v>
          </cell>
        </row>
        <row r="8">
          <cell r="N8">
            <v>5</v>
          </cell>
          <cell r="O8">
            <v>2</v>
          </cell>
        </row>
        <row r="9">
          <cell r="N9">
            <v>6</v>
          </cell>
          <cell r="O9">
            <v>2</v>
          </cell>
        </row>
        <row r="10">
          <cell r="N10">
            <v>7</v>
          </cell>
          <cell r="O10">
            <v>2</v>
          </cell>
        </row>
        <row r="11">
          <cell r="N11">
            <v>8</v>
          </cell>
          <cell r="O11">
            <v>2</v>
          </cell>
        </row>
        <row r="12">
          <cell r="N12">
            <v>9</v>
          </cell>
          <cell r="O12">
            <v>2</v>
          </cell>
        </row>
        <row r="13">
          <cell r="N13">
            <v>10</v>
          </cell>
          <cell r="O13">
            <v>2</v>
          </cell>
        </row>
        <row r="14">
          <cell r="N14">
            <v>11</v>
          </cell>
          <cell r="O14">
            <v>2</v>
          </cell>
        </row>
        <row r="15">
          <cell r="N15">
            <v>12</v>
          </cell>
          <cell r="O15">
            <v>2</v>
          </cell>
        </row>
        <row r="16">
          <cell r="N16">
            <v>13</v>
          </cell>
          <cell r="O16">
            <v>2</v>
          </cell>
        </row>
        <row r="17">
          <cell r="N17">
            <v>14</v>
          </cell>
          <cell r="O17">
            <v>2</v>
          </cell>
        </row>
        <row r="18">
          <cell r="N18">
            <v>15</v>
          </cell>
          <cell r="O18">
            <v>2.2999999999999998</v>
          </cell>
        </row>
        <row r="19">
          <cell r="N19">
            <v>16</v>
          </cell>
          <cell r="O19">
            <v>2.2999999999999998</v>
          </cell>
        </row>
        <row r="20">
          <cell r="N20">
            <v>17</v>
          </cell>
          <cell r="O20">
            <v>2.2999999999999998</v>
          </cell>
        </row>
        <row r="21">
          <cell r="N21">
            <v>18</v>
          </cell>
          <cell r="O21">
            <v>2.2999999999999998</v>
          </cell>
        </row>
        <row r="22">
          <cell r="N22">
            <v>19</v>
          </cell>
          <cell r="O22">
            <v>2.2999999999999998</v>
          </cell>
        </row>
        <row r="23">
          <cell r="N23">
            <v>20</v>
          </cell>
          <cell r="O23">
            <v>2.2999999999999998</v>
          </cell>
        </row>
        <row r="24">
          <cell r="N24">
            <v>21</v>
          </cell>
          <cell r="O24">
            <v>2.2999999999999998</v>
          </cell>
        </row>
        <row r="25">
          <cell r="N25">
            <v>22</v>
          </cell>
          <cell r="O25">
            <v>2.2999999999999998</v>
          </cell>
        </row>
        <row r="26">
          <cell r="N26">
            <v>23</v>
          </cell>
          <cell r="O26">
            <v>2.2999999999999998</v>
          </cell>
        </row>
        <row r="27">
          <cell r="N27">
            <v>24</v>
          </cell>
          <cell r="O27">
            <v>2.2999999999999998</v>
          </cell>
        </row>
        <row r="28">
          <cell r="N28">
            <v>25</v>
          </cell>
          <cell r="O28">
            <v>2.6</v>
          </cell>
        </row>
        <row r="29">
          <cell r="N29">
            <v>26</v>
          </cell>
          <cell r="O29">
            <v>2.6</v>
          </cell>
        </row>
        <row r="30">
          <cell r="N30">
            <v>27</v>
          </cell>
          <cell r="O30">
            <v>2.6</v>
          </cell>
        </row>
        <row r="31">
          <cell r="N31">
            <v>28</v>
          </cell>
          <cell r="O31">
            <v>2.6</v>
          </cell>
        </row>
        <row r="32">
          <cell r="N32">
            <v>29</v>
          </cell>
          <cell r="O32">
            <v>2.6</v>
          </cell>
        </row>
        <row r="33">
          <cell r="N33">
            <v>30</v>
          </cell>
          <cell r="O33">
            <v>2.6</v>
          </cell>
        </row>
        <row r="34">
          <cell r="N34">
            <v>31</v>
          </cell>
          <cell r="O34">
            <v>2.6</v>
          </cell>
        </row>
        <row r="35">
          <cell r="N35">
            <v>32</v>
          </cell>
          <cell r="O35">
            <v>2.6</v>
          </cell>
        </row>
        <row r="36">
          <cell r="N36">
            <v>33</v>
          </cell>
          <cell r="O36">
            <v>2.6</v>
          </cell>
        </row>
        <row r="37">
          <cell r="N37">
            <v>34</v>
          </cell>
          <cell r="O37">
            <v>2.6</v>
          </cell>
        </row>
        <row r="38">
          <cell r="N38">
            <v>35</v>
          </cell>
          <cell r="O38">
            <v>2.9</v>
          </cell>
        </row>
        <row r="39">
          <cell r="N39">
            <v>36</v>
          </cell>
          <cell r="O39">
            <v>2.9</v>
          </cell>
        </row>
        <row r="40">
          <cell r="N40">
            <v>37</v>
          </cell>
          <cell r="O40">
            <v>2.9</v>
          </cell>
        </row>
        <row r="41">
          <cell r="N41">
            <v>38</v>
          </cell>
          <cell r="O41">
            <v>2.9</v>
          </cell>
        </row>
        <row r="42">
          <cell r="N42">
            <v>39</v>
          </cell>
          <cell r="O42">
            <v>2.9</v>
          </cell>
        </row>
        <row r="43">
          <cell r="N43">
            <v>40</v>
          </cell>
          <cell r="O43">
            <v>2.9</v>
          </cell>
        </row>
        <row r="44">
          <cell r="N44">
            <v>41</v>
          </cell>
          <cell r="O44">
            <v>2.9</v>
          </cell>
        </row>
        <row r="45">
          <cell r="N45">
            <v>42</v>
          </cell>
          <cell r="O45">
            <v>2.9</v>
          </cell>
        </row>
        <row r="46">
          <cell r="N46">
            <v>43</v>
          </cell>
          <cell r="O46">
            <v>2.9</v>
          </cell>
        </row>
        <row r="47">
          <cell r="N47">
            <v>44</v>
          </cell>
          <cell r="O47">
            <v>2.9</v>
          </cell>
        </row>
        <row r="48">
          <cell r="N48">
            <v>45</v>
          </cell>
          <cell r="O48">
            <v>3.38</v>
          </cell>
        </row>
        <row r="49">
          <cell r="N49">
            <v>46</v>
          </cell>
          <cell r="O49">
            <v>3.38</v>
          </cell>
        </row>
        <row r="50">
          <cell r="N50">
            <v>47</v>
          </cell>
          <cell r="O50">
            <v>3.38</v>
          </cell>
        </row>
        <row r="51">
          <cell r="N51">
            <v>48</v>
          </cell>
          <cell r="O51">
            <v>3.38</v>
          </cell>
        </row>
        <row r="52">
          <cell r="N52">
            <v>49</v>
          </cell>
          <cell r="O52">
            <v>3.38</v>
          </cell>
        </row>
        <row r="53">
          <cell r="N53">
            <v>50</v>
          </cell>
          <cell r="O53">
            <v>3.38</v>
          </cell>
        </row>
        <row r="54">
          <cell r="N54">
            <v>51</v>
          </cell>
          <cell r="O54">
            <v>3.38</v>
          </cell>
        </row>
        <row r="55">
          <cell r="N55">
            <v>52</v>
          </cell>
          <cell r="O55">
            <v>3.38</v>
          </cell>
        </row>
        <row r="56">
          <cell r="N56">
            <v>53</v>
          </cell>
          <cell r="O56">
            <v>3.38</v>
          </cell>
        </row>
        <row r="57">
          <cell r="N57">
            <v>54</v>
          </cell>
          <cell r="O57">
            <v>3.38</v>
          </cell>
        </row>
        <row r="58">
          <cell r="N58">
            <v>55</v>
          </cell>
          <cell r="O58">
            <v>3.637142857142857</v>
          </cell>
        </row>
        <row r="59">
          <cell r="N59">
            <v>56</v>
          </cell>
          <cell r="O59">
            <v>3.637142857142857</v>
          </cell>
        </row>
        <row r="60">
          <cell r="N60">
            <v>57</v>
          </cell>
          <cell r="O60">
            <v>3.637142857142857</v>
          </cell>
        </row>
        <row r="61">
          <cell r="N61">
            <v>58</v>
          </cell>
          <cell r="O61">
            <v>3.637142857142857</v>
          </cell>
        </row>
        <row r="62">
          <cell r="N62">
            <v>59</v>
          </cell>
          <cell r="O62">
            <v>3.637142857142857</v>
          </cell>
        </row>
        <row r="63">
          <cell r="N63">
            <v>60</v>
          </cell>
          <cell r="O63">
            <v>3.637142857142857</v>
          </cell>
        </row>
        <row r="64">
          <cell r="N64">
            <v>61</v>
          </cell>
          <cell r="O64">
            <v>3.637142857142857</v>
          </cell>
        </row>
        <row r="65">
          <cell r="N65">
            <v>62</v>
          </cell>
          <cell r="O65">
            <v>3.637142857142857</v>
          </cell>
        </row>
        <row r="66">
          <cell r="N66">
            <v>63</v>
          </cell>
          <cell r="O66">
            <v>3.637142857142857</v>
          </cell>
        </row>
        <row r="67">
          <cell r="N67">
            <v>64</v>
          </cell>
          <cell r="O67">
            <v>3.637142857142857</v>
          </cell>
        </row>
        <row r="68">
          <cell r="N68">
            <v>65</v>
          </cell>
          <cell r="O68">
            <v>3.637142857142857</v>
          </cell>
        </row>
        <row r="69">
          <cell r="N69">
            <v>66</v>
          </cell>
          <cell r="O69">
            <v>3.637142857142857</v>
          </cell>
        </row>
        <row r="70">
          <cell r="N70">
            <v>67</v>
          </cell>
          <cell r="O70">
            <v>3.637142857142857</v>
          </cell>
        </row>
        <row r="71">
          <cell r="N71">
            <v>68</v>
          </cell>
          <cell r="O71">
            <v>3.637142857142857</v>
          </cell>
        </row>
        <row r="72">
          <cell r="N72">
            <v>69</v>
          </cell>
          <cell r="O72">
            <v>3.637142857142857</v>
          </cell>
        </row>
        <row r="73">
          <cell r="N73">
            <v>70</v>
          </cell>
          <cell r="O73">
            <v>3.637142857142857</v>
          </cell>
        </row>
        <row r="74">
          <cell r="N74">
            <v>71</v>
          </cell>
          <cell r="O74">
            <v>3.637142857142857</v>
          </cell>
        </row>
        <row r="75">
          <cell r="N75">
            <v>72</v>
          </cell>
          <cell r="O75">
            <v>3.637142857142857</v>
          </cell>
        </row>
        <row r="76">
          <cell r="N76">
            <v>73</v>
          </cell>
          <cell r="O76">
            <v>3.637142857142857</v>
          </cell>
        </row>
        <row r="77">
          <cell r="N77">
            <v>74</v>
          </cell>
          <cell r="O77">
            <v>3.637142857142857</v>
          </cell>
        </row>
        <row r="78">
          <cell r="N78">
            <v>75</v>
          </cell>
          <cell r="O78">
            <v>3.637142857142857</v>
          </cell>
        </row>
        <row r="79">
          <cell r="N79">
            <v>76</v>
          </cell>
          <cell r="O79">
            <v>3.637142857142857</v>
          </cell>
        </row>
        <row r="80">
          <cell r="N80">
            <v>77</v>
          </cell>
          <cell r="O80">
            <v>3.637142857142857</v>
          </cell>
        </row>
        <row r="81">
          <cell r="N81">
            <v>78</v>
          </cell>
          <cell r="O81">
            <v>3.637142857142857</v>
          </cell>
        </row>
        <row r="82">
          <cell r="N82">
            <v>79</v>
          </cell>
          <cell r="O82">
            <v>3.637142857142857</v>
          </cell>
        </row>
        <row r="83">
          <cell r="N83">
            <v>80</v>
          </cell>
          <cell r="O83">
            <v>3.637142857142857</v>
          </cell>
        </row>
        <row r="84">
          <cell r="N84">
            <v>81</v>
          </cell>
          <cell r="O84">
            <v>3.637142857142857</v>
          </cell>
        </row>
        <row r="85">
          <cell r="N85">
            <v>82</v>
          </cell>
          <cell r="O85">
            <v>3.637142857142857</v>
          </cell>
        </row>
        <row r="86">
          <cell r="N86">
            <v>83</v>
          </cell>
          <cell r="O86">
            <v>3.637142857142857</v>
          </cell>
        </row>
        <row r="87">
          <cell r="N87">
            <v>84</v>
          </cell>
          <cell r="O87">
            <v>3.637142857142857</v>
          </cell>
        </row>
        <row r="88">
          <cell r="N88">
            <v>85</v>
          </cell>
          <cell r="O88">
            <v>3.637142857142857</v>
          </cell>
        </row>
        <row r="89">
          <cell r="N89">
            <v>86</v>
          </cell>
          <cell r="O89">
            <v>3.637142857142857</v>
          </cell>
        </row>
        <row r="90">
          <cell r="N90">
            <v>87</v>
          </cell>
          <cell r="O90">
            <v>3.637142857142857</v>
          </cell>
        </row>
        <row r="91">
          <cell r="N91">
            <v>88</v>
          </cell>
          <cell r="O91">
            <v>3.637142857142857</v>
          </cell>
        </row>
        <row r="92">
          <cell r="N92">
            <v>89</v>
          </cell>
          <cell r="O92">
            <v>3.637142857142857</v>
          </cell>
        </row>
        <row r="93">
          <cell r="N93">
            <v>90</v>
          </cell>
          <cell r="O93">
            <v>3.637142857142857</v>
          </cell>
        </row>
        <row r="94">
          <cell r="N94">
            <v>91</v>
          </cell>
          <cell r="O94">
            <v>3.637142857142857</v>
          </cell>
        </row>
        <row r="95">
          <cell r="N95">
            <v>92</v>
          </cell>
          <cell r="O95">
            <v>3.637142857142857</v>
          </cell>
        </row>
        <row r="96">
          <cell r="N96">
            <v>93</v>
          </cell>
          <cell r="O96">
            <v>3.637142857142857</v>
          </cell>
        </row>
        <row r="97">
          <cell r="N97">
            <v>94</v>
          </cell>
          <cell r="O97">
            <v>3.637142857142857</v>
          </cell>
        </row>
        <row r="98">
          <cell r="N98">
            <v>95</v>
          </cell>
          <cell r="O98">
            <v>3.637142857142857</v>
          </cell>
        </row>
        <row r="99">
          <cell r="N99">
            <v>96</v>
          </cell>
          <cell r="O99">
            <v>3.637142857142857</v>
          </cell>
        </row>
        <row r="100">
          <cell r="N100">
            <v>97</v>
          </cell>
          <cell r="O100">
            <v>3.637142857142857</v>
          </cell>
        </row>
        <row r="101">
          <cell r="N101">
            <v>98</v>
          </cell>
          <cell r="O101">
            <v>3.637142857142857</v>
          </cell>
        </row>
        <row r="102">
          <cell r="N102">
            <v>99</v>
          </cell>
          <cell r="O102">
            <v>3.637142857142857</v>
          </cell>
        </row>
        <row r="103">
          <cell r="N103">
            <v>100</v>
          </cell>
          <cell r="O103">
            <v>3.637142857142857</v>
          </cell>
        </row>
        <row r="104">
          <cell r="N104">
            <v>101</v>
          </cell>
          <cell r="O104">
            <v>3.637142857142857</v>
          </cell>
        </row>
        <row r="105">
          <cell r="N105">
            <v>102</v>
          </cell>
          <cell r="O105">
            <v>3.637142857142857</v>
          </cell>
        </row>
        <row r="106">
          <cell r="N106">
            <v>103</v>
          </cell>
          <cell r="O106">
            <v>3.637142857142857</v>
          </cell>
        </row>
        <row r="107">
          <cell r="N107">
            <v>104</v>
          </cell>
          <cell r="O107">
            <v>3.637142857142857</v>
          </cell>
        </row>
        <row r="108">
          <cell r="N108">
            <v>105</v>
          </cell>
          <cell r="O108">
            <v>3.637142857142857</v>
          </cell>
        </row>
        <row r="109">
          <cell r="N109">
            <v>106</v>
          </cell>
          <cell r="O109">
            <v>3.637142857142857</v>
          </cell>
        </row>
        <row r="110">
          <cell r="N110">
            <v>107</v>
          </cell>
          <cell r="O110">
            <v>3.637142857142857</v>
          </cell>
        </row>
        <row r="111">
          <cell r="N111">
            <v>108</v>
          </cell>
          <cell r="O111">
            <v>3.637142857142857</v>
          </cell>
        </row>
        <row r="112">
          <cell r="N112">
            <v>109</v>
          </cell>
          <cell r="O112">
            <v>3.637142857142857</v>
          </cell>
        </row>
        <row r="113">
          <cell r="N113">
            <v>110</v>
          </cell>
          <cell r="O113">
            <v>3.637142857142857</v>
          </cell>
        </row>
        <row r="114">
          <cell r="N114">
            <v>111</v>
          </cell>
          <cell r="O114">
            <v>3.637142857142857</v>
          </cell>
        </row>
        <row r="115">
          <cell r="N115">
            <v>112</v>
          </cell>
          <cell r="O115">
            <v>3.637142857142857</v>
          </cell>
        </row>
        <row r="116">
          <cell r="N116">
            <v>113</v>
          </cell>
          <cell r="O116">
            <v>3.637142857142857</v>
          </cell>
        </row>
        <row r="117">
          <cell r="N117">
            <v>114</v>
          </cell>
          <cell r="O117">
            <v>3.637142857142857</v>
          </cell>
        </row>
        <row r="118">
          <cell r="N118">
            <v>115</v>
          </cell>
          <cell r="O118">
            <v>3.637142857142857</v>
          </cell>
        </row>
        <row r="119">
          <cell r="N119">
            <v>116</v>
          </cell>
          <cell r="O119">
            <v>3.637142857142857</v>
          </cell>
        </row>
        <row r="120">
          <cell r="N120">
            <v>117</v>
          </cell>
          <cell r="O120">
            <v>3.637142857142857</v>
          </cell>
        </row>
        <row r="121">
          <cell r="N121">
            <v>118</v>
          </cell>
          <cell r="O121">
            <v>3.637142857142857</v>
          </cell>
        </row>
        <row r="122">
          <cell r="N122">
            <v>119</v>
          </cell>
          <cell r="O122">
            <v>3.637142857142857</v>
          </cell>
        </row>
        <row r="123">
          <cell r="N123">
            <v>120</v>
          </cell>
          <cell r="O123">
            <v>3.637142857142857</v>
          </cell>
        </row>
        <row r="124">
          <cell r="N124">
            <v>121</v>
          </cell>
          <cell r="O124">
            <v>3.637142857142857</v>
          </cell>
        </row>
        <row r="125">
          <cell r="N125">
            <v>122</v>
          </cell>
          <cell r="O125">
            <v>3.637142857142857</v>
          </cell>
        </row>
        <row r="126">
          <cell r="N126">
            <v>123</v>
          </cell>
          <cell r="O126">
            <v>3.637142857142857</v>
          </cell>
        </row>
        <row r="127">
          <cell r="N127">
            <v>124</v>
          </cell>
          <cell r="O127">
            <v>3.637142857142857</v>
          </cell>
        </row>
        <row r="128">
          <cell r="N128">
            <v>125</v>
          </cell>
          <cell r="O128">
            <v>3.637142857142857</v>
          </cell>
        </row>
        <row r="129">
          <cell r="N129">
            <v>126</v>
          </cell>
          <cell r="O129">
            <v>3.637142857142857</v>
          </cell>
        </row>
        <row r="130">
          <cell r="N130">
            <v>127</v>
          </cell>
          <cell r="O130">
            <v>3.637142857142857</v>
          </cell>
        </row>
        <row r="131">
          <cell r="N131">
            <v>128</v>
          </cell>
          <cell r="O131">
            <v>3.637142857142857</v>
          </cell>
        </row>
        <row r="132">
          <cell r="N132">
            <v>129</v>
          </cell>
          <cell r="O132">
            <v>3.637142857142857</v>
          </cell>
        </row>
        <row r="133">
          <cell r="N133">
            <v>130</v>
          </cell>
          <cell r="O133">
            <v>3.637142857142857</v>
          </cell>
        </row>
        <row r="134">
          <cell r="N134">
            <v>131</v>
          </cell>
          <cell r="O134">
            <v>3.637142857142857</v>
          </cell>
        </row>
        <row r="135">
          <cell r="N135">
            <v>132</v>
          </cell>
          <cell r="O135">
            <v>3.637142857142857</v>
          </cell>
        </row>
        <row r="136">
          <cell r="N136">
            <v>133</v>
          </cell>
          <cell r="O136">
            <v>3.637142857142857</v>
          </cell>
        </row>
        <row r="137">
          <cell r="N137">
            <v>134</v>
          </cell>
          <cell r="O137">
            <v>3.637142857142857</v>
          </cell>
        </row>
        <row r="138">
          <cell r="N138">
            <v>135</v>
          </cell>
          <cell r="O138">
            <v>3.637142857142857</v>
          </cell>
        </row>
        <row r="139">
          <cell r="N139">
            <v>136</v>
          </cell>
          <cell r="O139">
            <v>3.637142857142857</v>
          </cell>
        </row>
        <row r="140">
          <cell r="N140">
            <v>137</v>
          </cell>
          <cell r="O140">
            <v>3.637142857142857</v>
          </cell>
        </row>
        <row r="141">
          <cell r="N141">
            <v>138</v>
          </cell>
          <cell r="O141">
            <v>3.637142857142857</v>
          </cell>
        </row>
        <row r="142">
          <cell r="N142">
            <v>139</v>
          </cell>
          <cell r="O142">
            <v>3.637142857142857</v>
          </cell>
        </row>
        <row r="143">
          <cell r="N143">
            <v>140</v>
          </cell>
          <cell r="O143">
            <v>3.637142857142857</v>
          </cell>
        </row>
        <row r="144">
          <cell r="N144">
            <v>141</v>
          </cell>
          <cell r="O144">
            <v>3.637142857142857</v>
          </cell>
        </row>
        <row r="145">
          <cell r="N145">
            <v>142</v>
          </cell>
          <cell r="O145">
            <v>3.637142857142857</v>
          </cell>
        </row>
        <row r="146">
          <cell r="N146">
            <v>143</v>
          </cell>
          <cell r="O146">
            <v>3.637142857142857</v>
          </cell>
        </row>
        <row r="147">
          <cell r="N147">
            <v>144</v>
          </cell>
          <cell r="O147">
            <v>3.637142857142857</v>
          </cell>
        </row>
        <row r="148">
          <cell r="N148">
            <v>145</v>
          </cell>
          <cell r="O148">
            <v>3.637142857142857</v>
          </cell>
        </row>
        <row r="149">
          <cell r="N149">
            <v>146</v>
          </cell>
          <cell r="O149">
            <v>3.637142857142857</v>
          </cell>
        </row>
        <row r="150">
          <cell r="N150">
            <v>147</v>
          </cell>
          <cell r="O150">
            <v>3.637142857142857</v>
          </cell>
        </row>
        <row r="151">
          <cell r="N151">
            <v>148</v>
          </cell>
          <cell r="O151">
            <v>3.637142857142857</v>
          </cell>
        </row>
        <row r="152">
          <cell r="N152">
            <v>149</v>
          </cell>
          <cell r="O152">
            <v>3.637142857142857</v>
          </cell>
        </row>
        <row r="153">
          <cell r="N153">
            <v>150</v>
          </cell>
          <cell r="O153">
            <v>3.637142857142857</v>
          </cell>
        </row>
        <row r="154">
          <cell r="N154">
            <v>151</v>
          </cell>
          <cell r="O154">
            <v>3.637142857142857</v>
          </cell>
        </row>
        <row r="155">
          <cell r="N155">
            <v>152</v>
          </cell>
          <cell r="O155">
            <v>3.637142857142857</v>
          </cell>
        </row>
        <row r="156">
          <cell r="N156">
            <v>153</v>
          </cell>
          <cell r="O156">
            <v>3.637142857142857</v>
          </cell>
        </row>
        <row r="157">
          <cell r="N157">
            <v>154</v>
          </cell>
          <cell r="O157">
            <v>3.637142857142857</v>
          </cell>
        </row>
        <row r="158">
          <cell r="N158">
            <v>155</v>
          </cell>
          <cell r="O158">
            <v>3.637142857142857</v>
          </cell>
        </row>
        <row r="159">
          <cell r="N159">
            <v>156</v>
          </cell>
          <cell r="O159">
            <v>3.637142857142857</v>
          </cell>
        </row>
        <row r="160">
          <cell r="N160">
            <v>157</v>
          </cell>
          <cell r="O160">
            <v>3.637142857142857</v>
          </cell>
        </row>
        <row r="161">
          <cell r="N161">
            <v>158</v>
          </cell>
          <cell r="O161">
            <v>3.637142857142857</v>
          </cell>
        </row>
        <row r="162">
          <cell r="N162">
            <v>159</v>
          </cell>
          <cell r="O162">
            <v>3.637142857142857</v>
          </cell>
        </row>
        <row r="163">
          <cell r="N163">
            <v>160</v>
          </cell>
          <cell r="O163">
            <v>3.637142857142857</v>
          </cell>
        </row>
        <row r="164">
          <cell r="N164">
            <v>161</v>
          </cell>
          <cell r="O164">
            <v>3.637142857142857</v>
          </cell>
        </row>
        <row r="165">
          <cell r="N165">
            <v>162</v>
          </cell>
          <cell r="O165">
            <v>3.637142857142857</v>
          </cell>
        </row>
        <row r="166">
          <cell r="N166">
            <v>163</v>
          </cell>
          <cell r="O166">
            <v>3.637142857142857</v>
          </cell>
        </row>
        <row r="167">
          <cell r="N167">
            <v>164</v>
          </cell>
          <cell r="O167">
            <v>3.637142857142857</v>
          </cell>
        </row>
        <row r="168">
          <cell r="N168">
            <v>165</v>
          </cell>
          <cell r="O168">
            <v>3.637142857142857</v>
          </cell>
        </row>
        <row r="169">
          <cell r="N169">
            <v>166</v>
          </cell>
          <cell r="O169">
            <v>3.637142857142857</v>
          </cell>
        </row>
        <row r="170">
          <cell r="N170">
            <v>167</v>
          </cell>
          <cell r="O170">
            <v>3.637142857142857</v>
          </cell>
        </row>
        <row r="171">
          <cell r="N171">
            <v>168</v>
          </cell>
          <cell r="O171">
            <v>3.637142857142857</v>
          </cell>
        </row>
        <row r="172">
          <cell r="N172">
            <v>169</v>
          </cell>
          <cell r="O172">
            <v>3.637142857142857</v>
          </cell>
        </row>
        <row r="173">
          <cell r="N173">
            <v>170</v>
          </cell>
          <cell r="O173">
            <v>3.637142857142857</v>
          </cell>
        </row>
        <row r="174">
          <cell r="N174">
            <v>171</v>
          </cell>
          <cell r="O174">
            <v>3.637142857142857</v>
          </cell>
        </row>
        <row r="175">
          <cell r="N175">
            <v>172</v>
          </cell>
          <cell r="O175">
            <v>3.637142857142857</v>
          </cell>
        </row>
        <row r="176">
          <cell r="N176">
            <v>173</v>
          </cell>
          <cell r="O176">
            <v>3.637142857142857</v>
          </cell>
        </row>
        <row r="177">
          <cell r="N177">
            <v>174</v>
          </cell>
          <cell r="O177">
            <v>3.637142857142857</v>
          </cell>
        </row>
        <row r="178">
          <cell r="N178">
            <v>175</v>
          </cell>
          <cell r="O178">
            <v>3.637142857142857</v>
          </cell>
        </row>
        <row r="179">
          <cell r="N179">
            <v>176</v>
          </cell>
          <cell r="O179">
            <v>3.637142857142857</v>
          </cell>
        </row>
        <row r="180">
          <cell r="N180">
            <v>177</v>
          </cell>
          <cell r="O180">
            <v>3.637142857142857</v>
          </cell>
        </row>
        <row r="181">
          <cell r="N181">
            <v>178</v>
          </cell>
          <cell r="O181">
            <v>3.637142857142857</v>
          </cell>
        </row>
        <row r="182">
          <cell r="N182">
            <v>179</v>
          </cell>
          <cell r="O182">
            <v>3.637142857142857</v>
          </cell>
        </row>
        <row r="183">
          <cell r="N183">
            <v>180</v>
          </cell>
          <cell r="O183">
            <v>3.637142857142857</v>
          </cell>
        </row>
        <row r="184">
          <cell r="N184">
            <v>181</v>
          </cell>
          <cell r="O184">
            <v>3.637142857142857</v>
          </cell>
        </row>
        <row r="185">
          <cell r="N185">
            <v>182</v>
          </cell>
          <cell r="O185">
            <v>3.637142857142857</v>
          </cell>
        </row>
        <row r="186">
          <cell r="N186">
            <v>183</v>
          </cell>
          <cell r="O186">
            <v>3.637142857142857</v>
          </cell>
        </row>
        <row r="187">
          <cell r="N187">
            <v>184</v>
          </cell>
          <cell r="O187">
            <v>3.637142857142857</v>
          </cell>
        </row>
        <row r="188">
          <cell r="N188">
            <v>185</v>
          </cell>
          <cell r="O188">
            <v>3.637142857142857</v>
          </cell>
        </row>
        <row r="189">
          <cell r="N189">
            <v>186</v>
          </cell>
          <cell r="O189">
            <v>3.637142857142857</v>
          </cell>
        </row>
        <row r="190">
          <cell r="N190">
            <v>187</v>
          </cell>
          <cell r="O190">
            <v>3.637142857142857</v>
          </cell>
        </row>
        <row r="191">
          <cell r="N191">
            <v>188</v>
          </cell>
          <cell r="O191">
            <v>3.637142857142857</v>
          </cell>
        </row>
        <row r="192">
          <cell r="N192">
            <v>189</v>
          </cell>
          <cell r="O192">
            <v>3.637142857142857</v>
          </cell>
        </row>
        <row r="193">
          <cell r="N193">
            <v>190</v>
          </cell>
          <cell r="O193">
            <v>3.637142857142857</v>
          </cell>
        </row>
        <row r="194">
          <cell r="N194">
            <v>191</v>
          </cell>
          <cell r="O194">
            <v>3.637142857142857</v>
          </cell>
        </row>
        <row r="195">
          <cell r="N195">
            <v>192</v>
          </cell>
          <cell r="O195">
            <v>3.637142857142857</v>
          </cell>
        </row>
        <row r="196">
          <cell r="N196">
            <v>193</v>
          </cell>
          <cell r="O196">
            <v>3.637142857142857</v>
          </cell>
        </row>
        <row r="197">
          <cell r="N197">
            <v>194</v>
          </cell>
          <cell r="O197">
            <v>3.637142857142857</v>
          </cell>
        </row>
        <row r="198">
          <cell r="N198">
            <v>195</v>
          </cell>
          <cell r="O198">
            <v>3.637142857142857</v>
          </cell>
        </row>
        <row r="199">
          <cell r="N199">
            <v>196</v>
          </cell>
          <cell r="O199">
            <v>3.637142857142857</v>
          </cell>
        </row>
        <row r="200">
          <cell r="N200">
            <v>197</v>
          </cell>
          <cell r="O200">
            <v>3.637142857142857</v>
          </cell>
        </row>
        <row r="201">
          <cell r="N201">
            <v>198</v>
          </cell>
          <cell r="O201">
            <v>3.637142857142857</v>
          </cell>
        </row>
        <row r="202">
          <cell r="N202">
            <v>199</v>
          </cell>
          <cell r="O202">
            <v>3.637142857142857</v>
          </cell>
        </row>
        <row r="203">
          <cell r="N203">
            <v>200</v>
          </cell>
          <cell r="O203">
            <v>3.637142857142857</v>
          </cell>
        </row>
        <row r="204">
          <cell r="N204">
            <v>201</v>
          </cell>
          <cell r="O204">
            <v>3.637142857142857</v>
          </cell>
        </row>
        <row r="205">
          <cell r="N205">
            <v>202</v>
          </cell>
          <cell r="O205">
            <v>3.637142857142857</v>
          </cell>
        </row>
        <row r="206">
          <cell r="N206">
            <v>203</v>
          </cell>
          <cell r="O206">
            <v>3.637142857142857</v>
          </cell>
        </row>
        <row r="207">
          <cell r="N207">
            <v>204</v>
          </cell>
          <cell r="O207">
            <v>3.637142857142857</v>
          </cell>
        </row>
        <row r="208">
          <cell r="N208">
            <v>205</v>
          </cell>
          <cell r="O208">
            <v>3.637142857142857</v>
          </cell>
        </row>
        <row r="209">
          <cell r="N209">
            <v>206</v>
          </cell>
          <cell r="O209">
            <v>3.637142857142857</v>
          </cell>
        </row>
        <row r="210">
          <cell r="N210">
            <v>207</v>
          </cell>
          <cell r="O210">
            <v>3.637142857142857</v>
          </cell>
        </row>
        <row r="211">
          <cell r="N211">
            <v>208</v>
          </cell>
          <cell r="O211">
            <v>3.637142857142857</v>
          </cell>
        </row>
        <row r="212">
          <cell r="N212">
            <v>209</v>
          </cell>
          <cell r="O212">
            <v>3.637142857142857</v>
          </cell>
        </row>
        <row r="213">
          <cell r="N213">
            <v>210</v>
          </cell>
          <cell r="O213">
            <v>3.637142857142857</v>
          </cell>
        </row>
        <row r="214">
          <cell r="N214">
            <v>211</v>
          </cell>
          <cell r="O214">
            <v>3.637142857142857</v>
          </cell>
        </row>
        <row r="215">
          <cell r="N215">
            <v>212</v>
          </cell>
          <cell r="O215">
            <v>3.637142857142857</v>
          </cell>
        </row>
        <row r="216">
          <cell r="N216">
            <v>213</v>
          </cell>
          <cell r="O216">
            <v>3.637142857142857</v>
          </cell>
        </row>
        <row r="217">
          <cell r="N217">
            <v>214</v>
          </cell>
          <cell r="O217">
            <v>3.637142857142857</v>
          </cell>
        </row>
        <row r="218">
          <cell r="N218">
            <v>215</v>
          </cell>
          <cell r="O218">
            <v>3.637142857142857</v>
          </cell>
        </row>
        <row r="219">
          <cell r="N219">
            <v>216</v>
          </cell>
          <cell r="O219">
            <v>3.637142857142857</v>
          </cell>
        </row>
        <row r="220">
          <cell r="N220">
            <v>217</v>
          </cell>
          <cell r="O220">
            <v>3.637142857142857</v>
          </cell>
        </row>
        <row r="221">
          <cell r="N221">
            <v>218</v>
          </cell>
          <cell r="O221">
            <v>3.637142857142857</v>
          </cell>
        </row>
        <row r="222">
          <cell r="N222">
            <v>219</v>
          </cell>
          <cell r="O222">
            <v>3.637142857142857</v>
          </cell>
        </row>
        <row r="223">
          <cell r="N223">
            <v>220</v>
          </cell>
          <cell r="O223">
            <v>3.637142857142857</v>
          </cell>
        </row>
        <row r="224">
          <cell r="N224">
            <v>221</v>
          </cell>
          <cell r="O224">
            <v>3.637142857142857</v>
          </cell>
        </row>
        <row r="225">
          <cell r="N225">
            <v>222</v>
          </cell>
          <cell r="O225">
            <v>3.637142857142857</v>
          </cell>
        </row>
        <row r="226">
          <cell r="N226">
            <v>223</v>
          </cell>
          <cell r="O226">
            <v>3.637142857142857</v>
          </cell>
        </row>
        <row r="227">
          <cell r="N227">
            <v>224</v>
          </cell>
          <cell r="O227">
            <v>3.637142857142857</v>
          </cell>
        </row>
        <row r="228">
          <cell r="N228">
            <v>225</v>
          </cell>
          <cell r="O228">
            <v>3.637142857142857</v>
          </cell>
        </row>
        <row r="229">
          <cell r="N229">
            <v>226</v>
          </cell>
          <cell r="O229">
            <v>3.637142857142857</v>
          </cell>
        </row>
        <row r="230">
          <cell r="N230">
            <v>227</v>
          </cell>
          <cell r="O230">
            <v>3.637142857142857</v>
          </cell>
        </row>
        <row r="231">
          <cell r="N231">
            <v>228</v>
          </cell>
          <cell r="O231">
            <v>3.637142857142857</v>
          </cell>
        </row>
        <row r="232">
          <cell r="N232">
            <v>229</v>
          </cell>
          <cell r="O232">
            <v>3.637142857142857</v>
          </cell>
        </row>
        <row r="233">
          <cell r="N233">
            <v>230</v>
          </cell>
          <cell r="O233">
            <v>3.637142857142857</v>
          </cell>
        </row>
        <row r="234">
          <cell r="N234">
            <v>231</v>
          </cell>
          <cell r="O234">
            <v>3.637142857142857</v>
          </cell>
        </row>
        <row r="235">
          <cell r="N235">
            <v>232</v>
          </cell>
          <cell r="O235">
            <v>3.637142857142857</v>
          </cell>
        </row>
        <row r="236">
          <cell r="N236">
            <v>233</v>
          </cell>
          <cell r="O236">
            <v>3.637142857142857</v>
          </cell>
        </row>
        <row r="237">
          <cell r="N237">
            <v>234</v>
          </cell>
          <cell r="O237">
            <v>3.637142857142857</v>
          </cell>
        </row>
        <row r="238">
          <cell r="N238">
            <v>235</v>
          </cell>
          <cell r="O238">
            <v>3.637142857142857</v>
          </cell>
        </row>
        <row r="239">
          <cell r="N239">
            <v>236</v>
          </cell>
          <cell r="O239">
            <v>3.637142857142857</v>
          </cell>
        </row>
        <row r="240">
          <cell r="N240">
            <v>237</v>
          </cell>
          <cell r="O240">
            <v>3.637142857142857</v>
          </cell>
        </row>
        <row r="241">
          <cell r="N241">
            <v>238</v>
          </cell>
          <cell r="O241">
            <v>3.637142857142857</v>
          </cell>
        </row>
        <row r="242">
          <cell r="N242">
            <v>239</v>
          </cell>
          <cell r="O242">
            <v>3.637142857142857</v>
          </cell>
        </row>
        <row r="243">
          <cell r="N243">
            <v>240</v>
          </cell>
          <cell r="O243">
            <v>3.637142857142857</v>
          </cell>
        </row>
        <row r="244">
          <cell r="N244">
            <v>241</v>
          </cell>
          <cell r="O244">
            <v>3.637142857142857</v>
          </cell>
        </row>
        <row r="245">
          <cell r="N245">
            <v>242</v>
          </cell>
          <cell r="O245">
            <v>3.637142857142857</v>
          </cell>
        </row>
        <row r="246">
          <cell r="N246">
            <v>243</v>
          </cell>
          <cell r="O246">
            <v>3.637142857142857</v>
          </cell>
        </row>
        <row r="247">
          <cell r="N247">
            <v>244</v>
          </cell>
          <cell r="O247">
            <v>3.637142857142857</v>
          </cell>
        </row>
        <row r="248">
          <cell r="N248">
            <v>245</v>
          </cell>
          <cell r="O248">
            <v>3.637142857142857</v>
          </cell>
        </row>
        <row r="249">
          <cell r="N249">
            <v>246</v>
          </cell>
          <cell r="O249">
            <v>3.637142857142857</v>
          </cell>
        </row>
        <row r="250">
          <cell r="N250">
            <v>247</v>
          </cell>
          <cell r="O250">
            <v>3.637142857142857</v>
          </cell>
        </row>
        <row r="251">
          <cell r="N251">
            <v>248</v>
          </cell>
          <cell r="O251">
            <v>3.637142857142857</v>
          </cell>
        </row>
        <row r="252">
          <cell r="N252">
            <v>249</v>
          </cell>
          <cell r="O252">
            <v>3.637142857142857</v>
          </cell>
        </row>
        <row r="253">
          <cell r="N253">
            <v>250</v>
          </cell>
          <cell r="O253">
            <v>3.637142857142857</v>
          </cell>
        </row>
        <row r="254">
          <cell r="N254">
            <v>251</v>
          </cell>
          <cell r="O254">
            <v>3.637142857142857</v>
          </cell>
        </row>
        <row r="255">
          <cell r="N255">
            <v>252</v>
          </cell>
          <cell r="O255">
            <v>3.637142857142857</v>
          </cell>
        </row>
        <row r="256">
          <cell r="N256">
            <v>253</v>
          </cell>
          <cell r="O256">
            <v>3.637142857142857</v>
          </cell>
        </row>
        <row r="257">
          <cell r="N257">
            <v>254</v>
          </cell>
          <cell r="O257">
            <v>3.637142857142857</v>
          </cell>
        </row>
        <row r="258">
          <cell r="N258">
            <v>255</v>
          </cell>
          <cell r="O258">
            <v>3.637142857142857</v>
          </cell>
        </row>
        <row r="259">
          <cell r="N259">
            <v>256</v>
          </cell>
          <cell r="O259">
            <v>3.637142857142857</v>
          </cell>
        </row>
        <row r="260">
          <cell r="N260">
            <v>257</v>
          </cell>
          <cell r="O260">
            <v>3.637142857142857</v>
          </cell>
        </row>
        <row r="261">
          <cell r="N261">
            <v>258</v>
          </cell>
          <cell r="O261">
            <v>3.637142857142857</v>
          </cell>
        </row>
        <row r="262">
          <cell r="N262">
            <v>259</v>
          </cell>
          <cell r="O262">
            <v>3.637142857142857</v>
          </cell>
        </row>
        <row r="263">
          <cell r="N263">
            <v>260</v>
          </cell>
          <cell r="O263">
            <v>3.637142857142857</v>
          </cell>
        </row>
        <row r="264">
          <cell r="N264">
            <v>261</v>
          </cell>
          <cell r="O264">
            <v>3.637142857142857</v>
          </cell>
        </row>
        <row r="265">
          <cell r="N265">
            <v>262</v>
          </cell>
          <cell r="O265">
            <v>3.637142857142857</v>
          </cell>
        </row>
        <row r="266">
          <cell r="N266">
            <v>263</v>
          </cell>
          <cell r="O266">
            <v>3.637142857142857</v>
          </cell>
        </row>
        <row r="267">
          <cell r="N267">
            <v>264</v>
          </cell>
          <cell r="O267">
            <v>3.637142857142857</v>
          </cell>
        </row>
        <row r="268">
          <cell r="N268">
            <v>265</v>
          </cell>
          <cell r="O268">
            <v>3.637142857142857</v>
          </cell>
        </row>
        <row r="269">
          <cell r="N269">
            <v>266</v>
          </cell>
          <cell r="O269">
            <v>3.637142857142857</v>
          </cell>
        </row>
        <row r="270">
          <cell r="N270">
            <v>267</v>
          </cell>
          <cell r="O270">
            <v>3.637142857142857</v>
          </cell>
        </row>
        <row r="271">
          <cell r="N271">
            <v>268</v>
          </cell>
          <cell r="O271">
            <v>3.637142857142857</v>
          </cell>
        </row>
        <row r="272">
          <cell r="N272">
            <v>269</v>
          </cell>
          <cell r="O272">
            <v>3.637142857142857</v>
          </cell>
        </row>
        <row r="273">
          <cell r="N273">
            <v>270</v>
          </cell>
          <cell r="O273">
            <v>3.637142857142857</v>
          </cell>
        </row>
        <row r="274">
          <cell r="N274">
            <v>271</v>
          </cell>
          <cell r="O274">
            <v>3.637142857142857</v>
          </cell>
        </row>
        <row r="275">
          <cell r="N275">
            <v>272</v>
          </cell>
          <cell r="O275">
            <v>3.637142857142857</v>
          </cell>
        </row>
        <row r="276">
          <cell r="N276">
            <v>273</v>
          </cell>
          <cell r="O276">
            <v>3.637142857142857</v>
          </cell>
        </row>
        <row r="277">
          <cell r="N277">
            <v>274</v>
          </cell>
          <cell r="O277">
            <v>3.637142857142857</v>
          </cell>
        </row>
        <row r="278">
          <cell r="N278">
            <v>275</v>
          </cell>
          <cell r="O278">
            <v>3.637142857142857</v>
          </cell>
        </row>
        <row r="279">
          <cell r="N279">
            <v>276</v>
          </cell>
          <cell r="O279">
            <v>3.637142857142857</v>
          </cell>
        </row>
        <row r="280">
          <cell r="N280">
            <v>277</v>
          </cell>
          <cell r="O280">
            <v>3.637142857142857</v>
          </cell>
        </row>
        <row r="281">
          <cell r="N281">
            <v>278</v>
          </cell>
          <cell r="O281">
            <v>3.637142857142857</v>
          </cell>
        </row>
        <row r="282">
          <cell r="N282">
            <v>279</v>
          </cell>
          <cell r="O282">
            <v>3.637142857142857</v>
          </cell>
        </row>
        <row r="283">
          <cell r="N283">
            <v>280</v>
          </cell>
          <cell r="O283">
            <v>3.637142857142857</v>
          </cell>
        </row>
        <row r="284">
          <cell r="N284">
            <v>281</v>
          </cell>
          <cell r="O284">
            <v>3.637142857142857</v>
          </cell>
        </row>
        <row r="285">
          <cell r="N285">
            <v>282</v>
          </cell>
          <cell r="O285">
            <v>3.637142857142857</v>
          </cell>
        </row>
        <row r="286">
          <cell r="N286">
            <v>283</v>
          </cell>
          <cell r="O286">
            <v>3.637142857142857</v>
          </cell>
        </row>
        <row r="287">
          <cell r="N287">
            <v>284</v>
          </cell>
          <cell r="O287">
            <v>3.637142857142857</v>
          </cell>
        </row>
        <row r="288">
          <cell r="N288">
            <v>285</v>
          </cell>
          <cell r="O288">
            <v>3.637142857142857</v>
          </cell>
        </row>
        <row r="289">
          <cell r="N289">
            <v>286</v>
          </cell>
          <cell r="O289">
            <v>3.637142857142857</v>
          </cell>
        </row>
        <row r="290">
          <cell r="N290">
            <v>287</v>
          </cell>
          <cell r="O290">
            <v>3.637142857142857</v>
          </cell>
        </row>
        <row r="291">
          <cell r="N291">
            <v>288</v>
          </cell>
          <cell r="O291">
            <v>3.637142857142857</v>
          </cell>
        </row>
        <row r="292">
          <cell r="N292">
            <v>289</v>
          </cell>
          <cell r="O292">
            <v>3.637142857142857</v>
          </cell>
        </row>
        <row r="293">
          <cell r="N293">
            <v>290</v>
          </cell>
          <cell r="O293">
            <v>3.637142857142857</v>
          </cell>
        </row>
        <row r="294">
          <cell r="N294">
            <v>291</v>
          </cell>
          <cell r="O294">
            <v>3.637142857142857</v>
          </cell>
        </row>
        <row r="295">
          <cell r="N295">
            <v>292</v>
          </cell>
          <cell r="O295">
            <v>3.637142857142857</v>
          </cell>
        </row>
        <row r="296">
          <cell r="N296">
            <v>293</v>
          </cell>
          <cell r="O296">
            <v>3.637142857142857</v>
          </cell>
        </row>
        <row r="297">
          <cell r="N297">
            <v>294</v>
          </cell>
          <cell r="O297">
            <v>3.637142857142857</v>
          </cell>
        </row>
        <row r="298">
          <cell r="N298">
            <v>295</v>
          </cell>
          <cell r="O298">
            <v>3.637142857142857</v>
          </cell>
        </row>
        <row r="299">
          <cell r="N299">
            <v>296</v>
          </cell>
          <cell r="O299">
            <v>3.637142857142857</v>
          </cell>
        </row>
        <row r="300">
          <cell r="N300">
            <v>297</v>
          </cell>
          <cell r="O300">
            <v>3.637142857142857</v>
          </cell>
        </row>
        <row r="301">
          <cell r="N301">
            <v>298</v>
          </cell>
          <cell r="O301">
            <v>3.637142857142857</v>
          </cell>
        </row>
        <row r="302">
          <cell r="N302">
            <v>299</v>
          </cell>
          <cell r="O302">
            <v>3.637142857142857</v>
          </cell>
        </row>
        <row r="303">
          <cell r="N303">
            <v>300</v>
          </cell>
          <cell r="O303">
            <v>3.637142857142857</v>
          </cell>
        </row>
        <row r="304">
          <cell r="N304">
            <v>301</v>
          </cell>
          <cell r="O304">
            <v>3.637142857142857</v>
          </cell>
        </row>
        <row r="305">
          <cell r="N305">
            <v>302</v>
          </cell>
          <cell r="O305">
            <v>3.637142857142857</v>
          </cell>
        </row>
        <row r="306">
          <cell r="N306">
            <v>303</v>
          </cell>
          <cell r="O306">
            <v>3.637142857142857</v>
          </cell>
        </row>
        <row r="307">
          <cell r="N307">
            <v>304</v>
          </cell>
          <cell r="O307">
            <v>3.637142857142857</v>
          </cell>
        </row>
        <row r="308">
          <cell r="N308">
            <v>305</v>
          </cell>
          <cell r="O308">
            <v>3.637142857142857</v>
          </cell>
        </row>
        <row r="309">
          <cell r="N309">
            <v>306</v>
          </cell>
          <cell r="O309">
            <v>3.637142857142857</v>
          </cell>
        </row>
        <row r="310">
          <cell r="N310">
            <v>307</v>
          </cell>
          <cell r="O310">
            <v>3.637142857142857</v>
          </cell>
        </row>
        <row r="311">
          <cell r="N311">
            <v>308</v>
          </cell>
          <cell r="O311">
            <v>3.637142857142857</v>
          </cell>
        </row>
        <row r="312">
          <cell r="N312">
            <v>309</v>
          </cell>
          <cell r="O312">
            <v>3.637142857142857</v>
          </cell>
        </row>
        <row r="313">
          <cell r="N313">
            <v>310</v>
          </cell>
          <cell r="O313">
            <v>3.637142857142857</v>
          </cell>
        </row>
        <row r="314">
          <cell r="N314">
            <v>311</v>
          </cell>
          <cell r="O314">
            <v>3.637142857142857</v>
          </cell>
        </row>
        <row r="315">
          <cell r="N315">
            <v>312</v>
          </cell>
          <cell r="O315">
            <v>3.637142857142857</v>
          </cell>
        </row>
        <row r="316">
          <cell r="N316">
            <v>313</v>
          </cell>
          <cell r="O316">
            <v>3.637142857142857</v>
          </cell>
        </row>
        <row r="317">
          <cell r="N317">
            <v>314</v>
          </cell>
          <cell r="O317">
            <v>3.637142857142857</v>
          </cell>
        </row>
        <row r="318">
          <cell r="N318">
            <v>315</v>
          </cell>
          <cell r="O318">
            <v>3.637142857142857</v>
          </cell>
        </row>
        <row r="319">
          <cell r="N319">
            <v>316</v>
          </cell>
          <cell r="O319">
            <v>3.637142857142857</v>
          </cell>
        </row>
        <row r="320">
          <cell r="N320">
            <v>317</v>
          </cell>
          <cell r="O320">
            <v>3.637142857142857</v>
          </cell>
        </row>
        <row r="321">
          <cell r="N321">
            <v>318</v>
          </cell>
          <cell r="O321">
            <v>3.637142857142857</v>
          </cell>
        </row>
        <row r="322">
          <cell r="N322">
            <v>319</v>
          </cell>
          <cell r="O322">
            <v>3.637142857142857</v>
          </cell>
        </row>
        <row r="323">
          <cell r="N323">
            <v>320</v>
          </cell>
          <cell r="O323">
            <v>3.637142857142857</v>
          </cell>
        </row>
        <row r="324">
          <cell r="N324">
            <v>321</v>
          </cell>
          <cell r="O324">
            <v>3.637142857142857</v>
          </cell>
        </row>
        <row r="325">
          <cell r="N325">
            <v>322</v>
          </cell>
          <cell r="O325">
            <v>3.637142857142857</v>
          </cell>
        </row>
        <row r="326">
          <cell r="N326">
            <v>323</v>
          </cell>
          <cell r="O326">
            <v>3.637142857142857</v>
          </cell>
        </row>
        <row r="327">
          <cell r="N327">
            <v>324</v>
          </cell>
          <cell r="O327">
            <v>3.637142857142857</v>
          </cell>
        </row>
        <row r="328">
          <cell r="N328">
            <v>325</v>
          </cell>
          <cell r="O328">
            <v>3.637142857142857</v>
          </cell>
        </row>
        <row r="329">
          <cell r="N329">
            <v>326</v>
          </cell>
          <cell r="O329">
            <v>3.637142857142857</v>
          </cell>
        </row>
        <row r="330">
          <cell r="N330">
            <v>327</v>
          </cell>
          <cell r="O330">
            <v>3.637142857142857</v>
          </cell>
        </row>
        <row r="331">
          <cell r="N331">
            <v>328</v>
          </cell>
          <cell r="O331">
            <v>3.637142857142857</v>
          </cell>
        </row>
        <row r="332">
          <cell r="N332">
            <v>329</v>
          </cell>
          <cell r="O332">
            <v>3.637142857142857</v>
          </cell>
        </row>
        <row r="333">
          <cell r="N333">
            <v>330</v>
          </cell>
          <cell r="O333">
            <v>3.637142857142857</v>
          </cell>
        </row>
        <row r="334">
          <cell r="N334">
            <v>331</v>
          </cell>
          <cell r="O334">
            <v>3.637142857142857</v>
          </cell>
        </row>
        <row r="335">
          <cell r="N335">
            <v>332</v>
          </cell>
          <cell r="O335">
            <v>3.637142857142857</v>
          </cell>
        </row>
        <row r="336">
          <cell r="N336">
            <v>333</v>
          </cell>
          <cell r="O336">
            <v>3.637142857142857</v>
          </cell>
        </row>
        <row r="337">
          <cell r="N337">
            <v>334</v>
          </cell>
          <cell r="O337">
            <v>3.637142857142857</v>
          </cell>
        </row>
        <row r="338">
          <cell r="N338">
            <v>335</v>
          </cell>
          <cell r="O338">
            <v>3.637142857142857</v>
          </cell>
        </row>
        <row r="339">
          <cell r="N339">
            <v>336</v>
          </cell>
          <cell r="O339">
            <v>3.637142857142857</v>
          </cell>
        </row>
        <row r="340">
          <cell r="N340">
            <v>337</v>
          </cell>
          <cell r="O340">
            <v>3.637142857142857</v>
          </cell>
        </row>
        <row r="341">
          <cell r="N341">
            <v>338</v>
          </cell>
          <cell r="O341">
            <v>3.637142857142857</v>
          </cell>
        </row>
        <row r="342">
          <cell r="N342">
            <v>339</v>
          </cell>
          <cell r="O342">
            <v>3.637142857142857</v>
          </cell>
        </row>
        <row r="343">
          <cell r="N343">
            <v>340</v>
          </cell>
          <cell r="O343">
            <v>3.637142857142857</v>
          </cell>
        </row>
        <row r="344">
          <cell r="N344">
            <v>341</v>
          </cell>
          <cell r="O344">
            <v>3.637142857142857</v>
          </cell>
        </row>
        <row r="345">
          <cell r="N345">
            <v>342</v>
          </cell>
          <cell r="O345">
            <v>3.637142857142857</v>
          </cell>
        </row>
        <row r="346">
          <cell r="N346">
            <v>343</v>
          </cell>
          <cell r="O346">
            <v>3.637142857142857</v>
          </cell>
        </row>
        <row r="347">
          <cell r="N347">
            <v>344</v>
          </cell>
          <cell r="O347">
            <v>3.637142857142857</v>
          </cell>
        </row>
        <row r="348">
          <cell r="N348">
            <v>345</v>
          </cell>
          <cell r="O348">
            <v>3.637142857142857</v>
          </cell>
        </row>
        <row r="349">
          <cell r="N349">
            <v>346</v>
          </cell>
          <cell r="O349">
            <v>3.637142857142857</v>
          </cell>
        </row>
        <row r="350">
          <cell r="N350">
            <v>347</v>
          </cell>
          <cell r="O350">
            <v>3.637142857142857</v>
          </cell>
        </row>
        <row r="351">
          <cell r="N351">
            <v>348</v>
          </cell>
          <cell r="O351">
            <v>3.637142857142857</v>
          </cell>
        </row>
        <row r="352">
          <cell r="N352">
            <v>349</v>
          </cell>
          <cell r="O352">
            <v>3.637142857142857</v>
          </cell>
        </row>
        <row r="353">
          <cell r="N353">
            <v>350</v>
          </cell>
          <cell r="O353">
            <v>3.637142857142857</v>
          </cell>
        </row>
        <row r="354">
          <cell r="N354">
            <v>351</v>
          </cell>
          <cell r="O354">
            <v>3.637142857142857</v>
          </cell>
        </row>
        <row r="355">
          <cell r="N355">
            <v>352</v>
          </cell>
          <cell r="O355">
            <v>3.637142857142857</v>
          </cell>
        </row>
        <row r="356">
          <cell r="N356">
            <v>353</v>
          </cell>
          <cell r="O356">
            <v>3.637142857142857</v>
          </cell>
        </row>
        <row r="357">
          <cell r="N357">
            <v>354</v>
          </cell>
          <cell r="O357">
            <v>3.637142857142857</v>
          </cell>
        </row>
        <row r="358">
          <cell r="N358">
            <v>355</v>
          </cell>
          <cell r="O358">
            <v>3.637142857142857</v>
          </cell>
        </row>
        <row r="359">
          <cell r="N359">
            <v>356</v>
          </cell>
          <cell r="O359">
            <v>3.637142857142857</v>
          </cell>
        </row>
        <row r="360">
          <cell r="N360">
            <v>357</v>
          </cell>
          <cell r="O360">
            <v>3.637142857142857</v>
          </cell>
        </row>
        <row r="361">
          <cell r="N361">
            <v>358</v>
          </cell>
          <cell r="O361">
            <v>3.637142857142857</v>
          </cell>
        </row>
        <row r="362">
          <cell r="N362">
            <v>359</v>
          </cell>
          <cell r="O362">
            <v>3.637142857142857</v>
          </cell>
        </row>
        <row r="363">
          <cell r="N363">
            <v>360</v>
          </cell>
          <cell r="O363">
            <v>3.637142857142857</v>
          </cell>
        </row>
        <row r="364">
          <cell r="N364">
            <v>361</v>
          </cell>
          <cell r="O364">
            <v>3.637142857142857</v>
          </cell>
        </row>
        <row r="365">
          <cell r="N365">
            <v>362</v>
          </cell>
          <cell r="O365">
            <v>3.637142857142857</v>
          </cell>
        </row>
        <row r="366">
          <cell r="N366">
            <v>363</v>
          </cell>
          <cell r="O366">
            <v>3.637142857142857</v>
          </cell>
        </row>
        <row r="367">
          <cell r="N367">
            <v>364</v>
          </cell>
          <cell r="O367">
            <v>3.637142857142857</v>
          </cell>
        </row>
        <row r="368">
          <cell r="N368">
            <v>365</v>
          </cell>
          <cell r="O368">
            <v>3.637142857142857</v>
          </cell>
        </row>
        <row r="369">
          <cell r="N369">
            <v>366</v>
          </cell>
          <cell r="O369">
            <v>3.637142857142857</v>
          </cell>
        </row>
        <row r="370">
          <cell r="N370">
            <v>367</v>
          </cell>
          <cell r="O370">
            <v>3.637142857142857</v>
          </cell>
        </row>
        <row r="371">
          <cell r="N371">
            <v>368</v>
          </cell>
          <cell r="O371">
            <v>3.637142857142857</v>
          </cell>
        </row>
        <row r="372">
          <cell r="N372">
            <v>369</v>
          </cell>
          <cell r="O372">
            <v>3.637142857142857</v>
          </cell>
        </row>
        <row r="373">
          <cell r="N373">
            <v>370</v>
          </cell>
          <cell r="O373">
            <v>3.637142857142857</v>
          </cell>
        </row>
        <row r="374">
          <cell r="N374">
            <v>371</v>
          </cell>
          <cell r="O374">
            <v>3.637142857142857</v>
          </cell>
        </row>
        <row r="375">
          <cell r="N375">
            <v>372</v>
          </cell>
          <cell r="O375">
            <v>3.637142857142857</v>
          </cell>
        </row>
        <row r="376">
          <cell r="N376">
            <v>373</v>
          </cell>
          <cell r="O376">
            <v>3.637142857142857</v>
          </cell>
        </row>
        <row r="377">
          <cell r="N377">
            <v>374</v>
          </cell>
          <cell r="O377">
            <v>3.637142857142857</v>
          </cell>
        </row>
        <row r="378">
          <cell r="N378">
            <v>375</v>
          </cell>
          <cell r="O378">
            <v>3.637142857142857</v>
          </cell>
        </row>
        <row r="379">
          <cell r="N379">
            <v>376</v>
          </cell>
          <cell r="O379">
            <v>3.637142857142857</v>
          </cell>
        </row>
        <row r="380">
          <cell r="N380">
            <v>377</v>
          </cell>
          <cell r="O380">
            <v>3.637142857142857</v>
          </cell>
        </row>
        <row r="381">
          <cell r="N381">
            <v>378</v>
          </cell>
          <cell r="O381">
            <v>3.637142857142857</v>
          </cell>
        </row>
        <row r="382">
          <cell r="N382">
            <v>379</v>
          </cell>
          <cell r="O382">
            <v>3.637142857142857</v>
          </cell>
        </row>
        <row r="383">
          <cell r="N383">
            <v>380</v>
          </cell>
          <cell r="O383">
            <v>3.637142857142857</v>
          </cell>
        </row>
        <row r="384">
          <cell r="N384">
            <v>381</v>
          </cell>
          <cell r="O384">
            <v>3.637142857142857</v>
          </cell>
        </row>
        <row r="385">
          <cell r="N385">
            <v>382</v>
          </cell>
          <cell r="O385">
            <v>3.637142857142857</v>
          </cell>
        </row>
        <row r="386">
          <cell r="N386">
            <v>383</v>
          </cell>
          <cell r="O386">
            <v>3.637142857142857</v>
          </cell>
        </row>
        <row r="387">
          <cell r="N387">
            <v>384</v>
          </cell>
          <cell r="O387">
            <v>3.637142857142857</v>
          </cell>
        </row>
        <row r="388">
          <cell r="N388">
            <v>385</v>
          </cell>
          <cell r="O388">
            <v>3.637142857142857</v>
          </cell>
        </row>
        <row r="389">
          <cell r="N389">
            <v>386</v>
          </cell>
          <cell r="O389">
            <v>3.637142857142857</v>
          </cell>
        </row>
        <row r="390">
          <cell r="N390">
            <v>387</v>
          </cell>
          <cell r="O390">
            <v>3.637142857142857</v>
          </cell>
        </row>
        <row r="391">
          <cell r="N391">
            <v>388</v>
          </cell>
          <cell r="O391">
            <v>3.637142857142857</v>
          </cell>
        </row>
        <row r="392">
          <cell r="N392">
            <v>389</v>
          </cell>
          <cell r="O392">
            <v>3.637142857142857</v>
          </cell>
        </row>
        <row r="393">
          <cell r="N393">
            <v>390</v>
          </cell>
          <cell r="O393">
            <v>3.637142857142857</v>
          </cell>
        </row>
        <row r="394">
          <cell r="N394">
            <v>391</v>
          </cell>
          <cell r="O394">
            <v>3.637142857142857</v>
          </cell>
        </row>
        <row r="395">
          <cell r="N395">
            <v>392</v>
          </cell>
          <cell r="O395">
            <v>3.637142857142857</v>
          </cell>
        </row>
        <row r="396">
          <cell r="N396">
            <v>393</v>
          </cell>
          <cell r="O396">
            <v>3.637142857142857</v>
          </cell>
        </row>
        <row r="397">
          <cell r="N397">
            <v>394</v>
          </cell>
          <cell r="O397">
            <v>3.637142857142857</v>
          </cell>
        </row>
        <row r="398">
          <cell r="N398">
            <v>395</v>
          </cell>
          <cell r="O398">
            <v>3.637142857142857</v>
          </cell>
        </row>
        <row r="399">
          <cell r="N399">
            <v>396</v>
          </cell>
          <cell r="O399">
            <v>3.637142857142857</v>
          </cell>
        </row>
        <row r="400">
          <cell r="N400">
            <v>397</v>
          </cell>
          <cell r="O400">
            <v>3.637142857142857</v>
          </cell>
        </row>
        <row r="401">
          <cell r="N401">
            <v>398</v>
          </cell>
          <cell r="O401">
            <v>3.637142857142857</v>
          </cell>
        </row>
        <row r="402">
          <cell r="N402">
            <v>399</v>
          </cell>
          <cell r="O402">
            <v>3.637142857142857</v>
          </cell>
        </row>
        <row r="403">
          <cell r="N403">
            <v>400</v>
          </cell>
          <cell r="O403">
            <v>3.637142857142857</v>
          </cell>
        </row>
        <row r="404">
          <cell r="N404">
            <v>401</v>
          </cell>
          <cell r="O404">
            <v>3.637142857142857</v>
          </cell>
        </row>
        <row r="405">
          <cell r="N405">
            <v>402</v>
          </cell>
          <cell r="O405">
            <v>3.637142857142857</v>
          </cell>
        </row>
        <row r="406">
          <cell r="N406">
            <v>403</v>
          </cell>
          <cell r="O406">
            <v>3.637142857142857</v>
          </cell>
        </row>
        <row r="407">
          <cell r="N407">
            <v>404</v>
          </cell>
          <cell r="O407">
            <v>3.637142857142857</v>
          </cell>
        </row>
        <row r="408">
          <cell r="N408">
            <v>405</v>
          </cell>
          <cell r="O408">
            <v>3.637142857142857</v>
          </cell>
        </row>
        <row r="409">
          <cell r="N409">
            <v>406</v>
          </cell>
          <cell r="O409">
            <v>3.637142857142857</v>
          </cell>
        </row>
        <row r="410">
          <cell r="N410">
            <v>407</v>
          </cell>
          <cell r="O410">
            <v>3.637142857142857</v>
          </cell>
        </row>
        <row r="411">
          <cell r="N411">
            <v>408</v>
          </cell>
          <cell r="O411">
            <v>3.637142857142857</v>
          </cell>
        </row>
        <row r="412">
          <cell r="N412">
            <v>409</v>
          </cell>
          <cell r="O412">
            <v>3.637142857142857</v>
          </cell>
        </row>
        <row r="413">
          <cell r="N413">
            <v>410</v>
          </cell>
          <cell r="O413">
            <v>3.637142857142857</v>
          </cell>
        </row>
        <row r="414">
          <cell r="N414">
            <v>411</v>
          </cell>
          <cell r="O414">
            <v>3.637142857142857</v>
          </cell>
        </row>
        <row r="415">
          <cell r="N415">
            <v>412</v>
          </cell>
          <cell r="O415">
            <v>3.637142857142857</v>
          </cell>
        </row>
        <row r="416">
          <cell r="N416">
            <v>413</v>
          </cell>
          <cell r="O416">
            <v>3.637142857142857</v>
          </cell>
        </row>
        <row r="417">
          <cell r="N417">
            <v>414</v>
          </cell>
          <cell r="O417">
            <v>3.637142857142857</v>
          </cell>
        </row>
        <row r="418">
          <cell r="N418">
            <v>415</v>
          </cell>
          <cell r="O418">
            <v>3.637142857142857</v>
          </cell>
        </row>
        <row r="419">
          <cell r="N419">
            <v>416</v>
          </cell>
          <cell r="O419">
            <v>3.637142857142857</v>
          </cell>
        </row>
        <row r="420">
          <cell r="N420">
            <v>417</v>
          </cell>
          <cell r="O420">
            <v>3.637142857142857</v>
          </cell>
        </row>
        <row r="421">
          <cell r="N421">
            <v>418</v>
          </cell>
          <cell r="O421">
            <v>3.637142857142857</v>
          </cell>
        </row>
        <row r="422">
          <cell r="N422">
            <v>419</v>
          </cell>
          <cell r="O422">
            <v>3.637142857142857</v>
          </cell>
        </row>
        <row r="423">
          <cell r="N423">
            <v>420</v>
          </cell>
          <cell r="O423">
            <v>3.637142857142857</v>
          </cell>
        </row>
        <row r="424">
          <cell r="N424">
            <v>421</v>
          </cell>
          <cell r="O424">
            <v>3.637142857142857</v>
          </cell>
        </row>
        <row r="425">
          <cell r="N425">
            <v>422</v>
          </cell>
          <cell r="O425">
            <v>3.637142857142857</v>
          </cell>
        </row>
        <row r="426">
          <cell r="N426">
            <v>423</v>
          </cell>
          <cell r="O426">
            <v>3.637142857142857</v>
          </cell>
        </row>
        <row r="427">
          <cell r="N427">
            <v>424</v>
          </cell>
          <cell r="O427">
            <v>3.637142857142857</v>
          </cell>
        </row>
        <row r="428">
          <cell r="N428">
            <v>425</v>
          </cell>
          <cell r="O428">
            <v>3.637142857142857</v>
          </cell>
        </row>
        <row r="429">
          <cell r="N429">
            <v>426</v>
          </cell>
          <cell r="O429">
            <v>3.637142857142857</v>
          </cell>
        </row>
        <row r="430">
          <cell r="N430">
            <v>427</v>
          </cell>
          <cell r="O430">
            <v>3.637142857142857</v>
          </cell>
        </row>
        <row r="431">
          <cell r="N431">
            <v>428</v>
          </cell>
          <cell r="O431">
            <v>3.637142857142857</v>
          </cell>
        </row>
        <row r="432">
          <cell r="N432">
            <v>429</v>
          </cell>
          <cell r="O432">
            <v>3.637142857142857</v>
          </cell>
        </row>
        <row r="433">
          <cell r="N433">
            <v>430</v>
          </cell>
          <cell r="O433">
            <v>3.637142857142857</v>
          </cell>
        </row>
        <row r="434">
          <cell r="N434">
            <v>431</v>
          </cell>
          <cell r="O434">
            <v>3.637142857142857</v>
          </cell>
        </row>
        <row r="435">
          <cell r="N435">
            <v>432</v>
          </cell>
          <cell r="O435">
            <v>3.637142857142857</v>
          </cell>
        </row>
        <row r="436">
          <cell r="N436">
            <v>433</v>
          </cell>
          <cell r="O436">
            <v>3.637142857142857</v>
          </cell>
        </row>
        <row r="437">
          <cell r="N437">
            <v>434</v>
          </cell>
          <cell r="O437">
            <v>3.637142857142857</v>
          </cell>
        </row>
        <row r="438">
          <cell r="N438">
            <v>435</v>
          </cell>
          <cell r="O438">
            <v>3.637142857142857</v>
          </cell>
        </row>
        <row r="439">
          <cell r="N439">
            <v>436</v>
          </cell>
          <cell r="O439">
            <v>3.637142857142857</v>
          </cell>
        </row>
        <row r="440">
          <cell r="N440">
            <v>437</v>
          </cell>
          <cell r="O440">
            <v>3.637142857142857</v>
          </cell>
        </row>
        <row r="441">
          <cell r="N441">
            <v>438</v>
          </cell>
          <cell r="O441">
            <v>3.637142857142857</v>
          </cell>
        </row>
        <row r="442">
          <cell r="N442">
            <v>439</v>
          </cell>
          <cell r="O442">
            <v>3.637142857142857</v>
          </cell>
        </row>
        <row r="443">
          <cell r="N443">
            <v>440</v>
          </cell>
          <cell r="O443">
            <v>3.637142857142857</v>
          </cell>
        </row>
        <row r="444">
          <cell r="N444">
            <v>441</v>
          </cell>
          <cell r="O444">
            <v>3.637142857142857</v>
          </cell>
        </row>
        <row r="445">
          <cell r="N445">
            <v>442</v>
          </cell>
          <cell r="O445">
            <v>3.637142857142857</v>
          </cell>
        </row>
        <row r="446">
          <cell r="N446">
            <v>443</v>
          </cell>
          <cell r="O446">
            <v>3.637142857142857</v>
          </cell>
        </row>
        <row r="447">
          <cell r="N447">
            <v>444</v>
          </cell>
          <cell r="O447">
            <v>3.637142857142857</v>
          </cell>
        </row>
        <row r="448">
          <cell r="N448">
            <v>445</v>
          </cell>
          <cell r="O448">
            <v>3.637142857142857</v>
          </cell>
        </row>
        <row r="449">
          <cell r="N449">
            <v>446</v>
          </cell>
          <cell r="O449">
            <v>3.637142857142857</v>
          </cell>
        </row>
        <row r="450">
          <cell r="N450">
            <v>447</v>
          </cell>
          <cell r="O450">
            <v>3.637142857142857</v>
          </cell>
        </row>
        <row r="451">
          <cell r="N451">
            <v>448</v>
          </cell>
          <cell r="O451">
            <v>3.637142857142857</v>
          </cell>
        </row>
        <row r="452">
          <cell r="N452">
            <v>449</v>
          </cell>
          <cell r="O452">
            <v>3.637142857142857</v>
          </cell>
        </row>
        <row r="453">
          <cell r="N453">
            <v>450</v>
          </cell>
          <cell r="O453">
            <v>3.637142857142857</v>
          </cell>
        </row>
        <row r="454">
          <cell r="N454">
            <v>451</v>
          </cell>
          <cell r="O454">
            <v>3.637142857142857</v>
          </cell>
        </row>
        <row r="455">
          <cell r="N455">
            <v>452</v>
          </cell>
          <cell r="O455">
            <v>3.637142857142857</v>
          </cell>
        </row>
        <row r="456">
          <cell r="N456">
            <v>453</v>
          </cell>
          <cell r="O456">
            <v>3.637142857142857</v>
          </cell>
        </row>
        <row r="457">
          <cell r="N457">
            <v>454</v>
          </cell>
          <cell r="O457">
            <v>3.637142857142857</v>
          </cell>
        </row>
        <row r="458">
          <cell r="N458">
            <v>455</v>
          </cell>
          <cell r="O458">
            <v>3.637142857142857</v>
          </cell>
        </row>
        <row r="459">
          <cell r="N459">
            <v>456</v>
          </cell>
          <cell r="O459">
            <v>3.637142857142857</v>
          </cell>
        </row>
        <row r="460">
          <cell r="N460">
            <v>457</v>
          </cell>
          <cell r="O460">
            <v>3.637142857142857</v>
          </cell>
        </row>
        <row r="461">
          <cell r="N461">
            <v>458</v>
          </cell>
          <cell r="O461">
            <v>3.637142857142857</v>
          </cell>
        </row>
        <row r="462">
          <cell r="N462">
            <v>459</v>
          </cell>
          <cell r="O462">
            <v>3.637142857142857</v>
          </cell>
        </row>
        <row r="463">
          <cell r="N463">
            <v>460</v>
          </cell>
          <cell r="O463">
            <v>3.637142857142857</v>
          </cell>
        </row>
        <row r="464">
          <cell r="N464">
            <v>461</v>
          </cell>
          <cell r="O464">
            <v>3.637142857142857</v>
          </cell>
        </row>
        <row r="465">
          <cell r="N465">
            <v>462</v>
          </cell>
          <cell r="O465">
            <v>3.637142857142857</v>
          </cell>
        </row>
        <row r="466">
          <cell r="N466">
            <v>463</v>
          </cell>
          <cell r="O466">
            <v>3.637142857142857</v>
          </cell>
        </row>
        <row r="467">
          <cell r="N467">
            <v>464</v>
          </cell>
          <cell r="O467">
            <v>3.637142857142857</v>
          </cell>
        </row>
        <row r="468">
          <cell r="N468">
            <v>465</v>
          </cell>
          <cell r="O468">
            <v>3.637142857142857</v>
          </cell>
        </row>
        <row r="469">
          <cell r="N469">
            <v>466</v>
          </cell>
          <cell r="O469">
            <v>3.637142857142857</v>
          </cell>
        </row>
        <row r="470">
          <cell r="N470">
            <v>467</v>
          </cell>
          <cell r="O470">
            <v>3.637142857142857</v>
          </cell>
        </row>
        <row r="471">
          <cell r="N471">
            <v>468</v>
          </cell>
          <cell r="O471">
            <v>3.637142857142857</v>
          </cell>
        </row>
        <row r="472">
          <cell r="N472">
            <v>469</v>
          </cell>
          <cell r="O472">
            <v>3.637142857142857</v>
          </cell>
        </row>
        <row r="473">
          <cell r="N473">
            <v>470</v>
          </cell>
          <cell r="O473">
            <v>3.637142857142857</v>
          </cell>
        </row>
        <row r="474">
          <cell r="N474">
            <v>471</v>
          </cell>
          <cell r="O474">
            <v>3.637142857142857</v>
          </cell>
        </row>
        <row r="475">
          <cell r="N475">
            <v>472</v>
          </cell>
          <cell r="O475">
            <v>3.637142857142857</v>
          </cell>
        </row>
        <row r="476">
          <cell r="N476">
            <v>473</v>
          </cell>
          <cell r="O476">
            <v>3.637142857142857</v>
          </cell>
        </row>
        <row r="477">
          <cell r="N477">
            <v>474</v>
          </cell>
          <cell r="O477">
            <v>3.637142857142857</v>
          </cell>
        </row>
        <row r="478">
          <cell r="N478">
            <v>475</v>
          </cell>
          <cell r="O478">
            <v>3.637142857142857</v>
          </cell>
        </row>
        <row r="479">
          <cell r="N479">
            <v>476</v>
          </cell>
          <cell r="O479">
            <v>3.637142857142857</v>
          </cell>
        </row>
        <row r="480">
          <cell r="N480">
            <v>477</v>
          </cell>
          <cell r="O480">
            <v>3.637142857142857</v>
          </cell>
        </row>
        <row r="481">
          <cell r="N481">
            <v>478</v>
          </cell>
          <cell r="O481">
            <v>3.637142857142857</v>
          </cell>
        </row>
        <row r="482">
          <cell r="N482">
            <v>479</v>
          </cell>
          <cell r="O482">
            <v>3.637142857142857</v>
          </cell>
        </row>
        <row r="483">
          <cell r="N483">
            <v>480</v>
          </cell>
          <cell r="O483">
            <v>3.637142857142857</v>
          </cell>
        </row>
        <row r="484">
          <cell r="N484">
            <v>481</v>
          </cell>
          <cell r="O484">
            <v>3.637142857142857</v>
          </cell>
        </row>
        <row r="485">
          <cell r="N485">
            <v>482</v>
          </cell>
          <cell r="O485">
            <v>3.637142857142857</v>
          </cell>
        </row>
        <row r="486">
          <cell r="N486">
            <v>483</v>
          </cell>
          <cell r="O486">
            <v>3.637142857142857</v>
          </cell>
        </row>
        <row r="487">
          <cell r="N487">
            <v>484</v>
          </cell>
          <cell r="O487">
            <v>3.637142857142857</v>
          </cell>
        </row>
        <row r="488">
          <cell r="N488">
            <v>485</v>
          </cell>
          <cell r="O488">
            <v>3.637142857142857</v>
          </cell>
        </row>
        <row r="489">
          <cell r="N489">
            <v>486</v>
          </cell>
          <cell r="O489">
            <v>3.637142857142857</v>
          </cell>
        </row>
        <row r="490">
          <cell r="N490">
            <v>487</v>
          </cell>
          <cell r="O490">
            <v>3.637142857142857</v>
          </cell>
        </row>
        <row r="491">
          <cell r="N491">
            <v>488</v>
          </cell>
          <cell r="O491">
            <v>3.637142857142857</v>
          </cell>
        </row>
        <row r="492">
          <cell r="N492">
            <v>489</v>
          </cell>
          <cell r="O492">
            <v>3.637142857142857</v>
          </cell>
        </row>
        <row r="493">
          <cell r="N493">
            <v>490</v>
          </cell>
          <cell r="O493">
            <v>3.637142857142857</v>
          </cell>
        </row>
        <row r="494">
          <cell r="N494">
            <v>491</v>
          </cell>
          <cell r="O494">
            <v>3.637142857142857</v>
          </cell>
        </row>
        <row r="495">
          <cell r="N495">
            <v>492</v>
          </cell>
          <cell r="O495">
            <v>3.637142857142857</v>
          </cell>
        </row>
        <row r="496">
          <cell r="N496">
            <v>493</v>
          </cell>
          <cell r="O496">
            <v>3.637142857142857</v>
          </cell>
        </row>
        <row r="497">
          <cell r="N497">
            <v>494</v>
          </cell>
          <cell r="O497">
            <v>3.637142857142857</v>
          </cell>
        </row>
        <row r="498">
          <cell r="N498">
            <v>495</v>
          </cell>
          <cell r="O498">
            <v>3.637142857142857</v>
          </cell>
        </row>
        <row r="499">
          <cell r="N499">
            <v>496</v>
          </cell>
          <cell r="O499">
            <v>3.637142857142857</v>
          </cell>
        </row>
        <row r="500">
          <cell r="N500">
            <v>497</v>
          </cell>
          <cell r="O500">
            <v>3.637142857142857</v>
          </cell>
        </row>
        <row r="501">
          <cell r="N501">
            <v>498</v>
          </cell>
          <cell r="O501">
            <v>3.637142857142857</v>
          </cell>
        </row>
        <row r="502">
          <cell r="N502">
            <v>499</v>
          </cell>
          <cell r="O502">
            <v>3.637142857142857</v>
          </cell>
        </row>
        <row r="503">
          <cell r="N503">
            <v>500</v>
          </cell>
          <cell r="O503">
            <v>3.637142857142857</v>
          </cell>
        </row>
        <row r="504">
          <cell r="N504">
            <v>501</v>
          </cell>
          <cell r="O504">
            <v>3.637142857142857</v>
          </cell>
        </row>
        <row r="505">
          <cell r="N505">
            <v>502</v>
          </cell>
          <cell r="O505">
            <v>3.637142857142857</v>
          </cell>
        </row>
        <row r="506">
          <cell r="N506">
            <v>503</v>
          </cell>
          <cell r="O506">
            <v>3.637142857142857</v>
          </cell>
        </row>
        <row r="507">
          <cell r="N507">
            <v>504</v>
          </cell>
          <cell r="O507">
            <v>3.637142857142857</v>
          </cell>
        </row>
        <row r="508">
          <cell r="N508">
            <v>505</v>
          </cell>
          <cell r="O508">
            <v>3.637142857142857</v>
          </cell>
        </row>
        <row r="509">
          <cell r="N509">
            <v>506</v>
          </cell>
          <cell r="O509">
            <v>3.637142857142857</v>
          </cell>
        </row>
        <row r="510">
          <cell r="N510">
            <v>507</v>
          </cell>
          <cell r="O510">
            <v>3.637142857142857</v>
          </cell>
        </row>
        <row r="511">
          <cell r="N511">
            <v>508</v>
          </cell>
          <cell r="O511">
            <v>3.637142857142857</v>
          </cell>
        </row>
        <row r="512">
          <cell r="N512">
            <v>509</v>
          </cell>
          <cell r="O512">
            <v>3.637142857142857</v>
          </cell>
        </row>
        <row r="513">
          <cell r="N513">
            <v>510</v>
          </cell>
          <cell r="O513">
            <v>3.637142857142857</v>
          </cell>
        </row>
        <row r="514">
          <cell r="N514">
            <v>511</v>
          </cell>
          <cell r="O514">
            <v>3.637142857142857</v>
          </cell>
        </row>
        <row r="515">
          <cell r="N515">
            <v>512</v>
          </cell>
          <cell r="O515">
            <v>3.637142857142857</v>
          </cell>
        </row>
        <row r="516">
          <cell r="N516">
            <v>513</v>
          </cell>
          <cell r="O516">
            <v>3.637142857142857</v>
          </cell>
        </row>
        <row r="517">
          <cell r="N517">
            <v>514</v>
          </cell>
          <cell r="O517">
            <v>3.637142857142857</v>
          </cell>
        </row>
        <row r="518">
          <cell r="N518">
            <v>515</v>
          </cell>
          <cell r="O518">
            <v>3.637142857142857</v>
          </cell>
        </row>
        <row r="519">
          <cell r="N519">
            <v>516</v>
          </cell>
          <cell r="O519">
            <v>3.637142857142857</v>
          </cell>
        </row>
        <row r="520">
          <cell r="N520">
            <v>517</v>
          </cell>
          <cell r="O520">
            <v>3.637142857142857</v>
          </cell>
        </row>
        <row r="521">
          <cell r="N521">
            <v>518</v>
          </cell>
          <cell r="O521">
            <v>3.637142857142857</v>
          </cell>
        </row>
        <row r="522">
          <cell r="N522">
            <v>519</v>
          </cell>
          <cell r="O522">
            <v>3.637142857142857</v>
          </cell>
        </row>
        <row r="523">
          <cell r="N523">
            <v>520</v>
          </cell>
          <cell r="O523">
            <v>3.637142857142857</v>
          </cell>
        </row>
        <row r="524">
          <cell r="N524">
            <v>521</v>
          </cell>
          <cell r="O524">
            <v>3.637142857142857</v>
          </cell>
        </row>
        <row r="525">
          <cell r="N525">
            <v>522</v>
          </cell>
          <cell r="O525">
            <v>3.637142857142857</v>
          </cell>
        </row>
        <row r="526">
          <cell r="N526">
            <v>523</v>
          </cell>
          <cell r="O526">
            <v>3.637142857142857</v>
          </cell>
        </row>
        <row r="527">
          <cell r="N527">
            <v>524</v>
          </cell>
          <cell r="O527">
            <v>3.637142857142857</v>
          </cell>
        </row>
        <row r="528">
          <cell r="N528">
            <v>525</v>
          </cell>
          <cell r="O528">
            <v>3.637142857142857</v>
          </cell>
        </row>
        <row r="529">
          <cell r="N529">
            <v>526</v>
          </cell>
          <cell r="O529">
            <v>3.637142857142857</v>
          </cell>
        </row>
        <row r="530">
          <cell r="N530">
            <v>527</v>
          </cell>
          <cell r="O530">
            <v>3.637142857142857</v>
          </cell>
        </row>
        <row r="531">
          <cell r="N531">
            <v>528</v>
          </cell>
          <cell r="O531">
            <v>3.637142857142857</v>
          </cell>
        </row>
        <row r="532">
          <cell r="N532">
            <v>529</v>
          </cell>
          <cell r="O532">
            <v>3.637142857142857</v>
          </cell>
        </row>
        <row r="533">
          <cell r="N533">
            <v>530</v>
          </cell>
          <cell r="O533">
            <v>3.637142857142857</v>
          </cell>
        </row>
        <row r="534">
          <cell r="N534">
            <v>531</v>
          </cell>
          <cell r="O534">
            <v>3.637142857142857</v>
          </cell>
        </row>
        <row r="535">
          <cell r="N535">
            <v>532</v>
          </cell>
          <cell r="O535">
            <v>3.637142857142857</v>
          </cell>
        </row>
        <row r="536">
          <cell r="N536">
            <v>533</v>
          </cell>
          <cell r="O536">
            <v>3.637142857142857</v>
          </cell>
        </row>
        <row r="537">
          <cell r="N537">
            <v>534</v>
          </cell>
          <cell r="O537">
            <v>3.637142857142857</v>
          </cell>
        </row>
        <row r="538">
          <cell r="N538">
            <v>535</v>
          </cell>
          <cell r="O538">
            <v>3.637142857142857</v>
          </cell>
        </row>
        <row r="539">
          <cell r="N539">
            <v>536</v>
          </cell>
          <cell r="O539">
            <v>3.637142857142857</v>
          </cell>
        </row>
        <row r="540">
          <cell r="N540">
            <v>537</v>
          </cell>
          <cell r="O540">
            <v>3.637142857142857</v>
          </cell>
        </row>
        <row r="541">
          <cell r="N541">
            <v>538</v>
          </cell>
          <cell r="O541">
            <v>3.637142857142857</v>
          </cell>
        </row>
        <row r="542">
          <cell r="N542">
            <v>539</v>
          </cell>
          <cell r="O542">
            <v>3.637142857142857</v>
          </cell>
        </row>
        <row r="543">
          <cell r="N543">
            <v>540</v>
          </cell>
          <cell r="O543">
            <v>3.637142857142857</v>
          </cell>
        </row>
        <row r="544">
          <cell r="N544">
            <v>541</v>
          </cell>
          <cell r="O544">
            <v>3.637142857142857</v>
          </cell>
        </row>
        <row r="545">
          <cell r="N545">
            <v>542</v>
          </cell>
          <cell r="O545">
            <v>3.637142857142857</v>
          </cell>
        </row>
        <row r="546">
          <cell r="N546">
            <v>543</v>
          </cell>
          <cell r="O546">
            <v>3.637142857142857</v>
          </cell>
        </row>
        <row r="547">
          <cell r="N547">
            <v>544</v>
          </cell>
          <cell r="O547">
            <v>3.637142857142857</v>
          </cell>
        </row>
        <row r="548">
          <cell r="N548">
            <v>545</v>
          </cell>
          <cell r="O548">
            <v>3.637142857142857</v>
          </cell>
        </row>
        <row r="549">
          <cell r="N549">
            <v>546</v>
          </cell>
          <cell r="O549">
            <v>3.637142857142857</v>
          </cell>
        </row>
        <row r="550">
          <cell r="N550">
            <v>547</v>
          </cell>
          <cell r="O550">
            <v>3.637142857142857</v>
          </cell>
        </row>
        <row r="551">
          <cell r="N551">
            <v>548</v>
          </cell>
          <cell r="O551">
            <v>3.637142857142857</v>
          </cell>
        </row>
        <row r="552">
          <cell r="N552">
            <v>549</v>
          </cell>
          <cell r="O552">
            <v>3.637142857142857</v>
          </cell>
        </row>
        <row r="553">
          <cell r="N553">
            <v>550</v>
          </cell>
          <cell r="O553">
            <v>3.637142857142857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线杀怪"/>
      <sheetName val="关卡"/>
      <sheetName val="个人boss"/>
      <sheetName val="野外bss"/>
      <sheetName val="世界boss"/>
      <sheetName val="转生boss"/>
      <sheetName val="boss之家"/>
      <sheetName val="通天塔"/>
      <sheetName val="材料副本怪物"/>
      <sheetName val="经验副本"/>
      <sheetName val="守护神剑"/>
    </sheetNames>
    <sheetDataSet>
      <sheetData sheetId="0"/>
      <sheetData sheetId="1">
        <row r="2">
          <cell r="F2">
            <v>0.8</v>
          </cell>
        </row>
        <row r="6">
          <cell r="G6">
            <v>1</v>
          </cell>
        </row>
        <row r="7">
          <cell r="G7">
            <v>1</v>
          </cell>
        </row>
        <row r="8">
          <cell r="G8">
            <v>1</v>
          </cell>
        </row>
        <row r="9">
          <cell r="G9">
            <v>1.25</v>
          </cell>
        </row>
        <row r="10">
          <cell r="G10">
            <v>1.5</v>
          </cell>
        </row>
        <row r="11">
          <cell r="G11">
            <v>1.75</v>
          </cell>
        </row>
        <row r="12">
          <cell r="G12">
            <v>2</v>
          </cell>
        </row>
        <row r="13">
          <cell r="G13">
            <v>2.25</v>
          </cell>
        </row>
        <row r="14">
          <cell r="G14">
            <v>2.5</v>
          </cell>
        </row>
        <row r="15">
          <cell r="G15">
            <v>2.75</v>
          </cell>
        </row>
        <row r="16">
          <cell r="G16">
            <v>3</v>
          </cell>
        </row>
        <row r="17">
          <cell r="G17">
            <v>3</v>
          </cell>
        </row>
        <row r="18">
          <cell r="G18">
            <v>3</v>
          </cell>
        </row>
        <row r="19">
          <cell r="G19">
            <v>3</v>
          </cell>
        </row>
        <row r="20">
          <cell r="G20">
            <v>3</v>
          </cell>
        </row>
        <row r="21">
          <cell r="G21">
            <v>3</v>
          </cell>
        </row>
        <row r="22">
          <cell r="G22">
            <v>3</v>
          </cell>
        </row>
        <row r="23">
          <cell r="G23">
            <v>3</v>
          </cell>
        </row>
        <row r="24">
          <cell r="G24">
            <v>3</v>
          </cell>
        </row>
        <row r="25">
          <cell r="G25">
            <v>3</v>
          </cell>
        </row>
        <row r="26">
          <cell r="G26">
            <v>3</v>
          </cell>
        </row>
        <row r="27">
          <cell r="G27">
            <v>3</v>
          </cell>
        </row>
        <row r="28">
          <cell r="G28">
            <v>3</v>
          </cell>
        </row>
        <row r="29">
          <cell r="G29">
            <v>3</v>
          </cell>
        </row>
        <row r="30">
          <cell r="G30">
            <v>3</v>
          </cell>
        </row>
        <row r="31">
          <cell r="G31">
            <v>3</v>
          </cell>
        </row>
        <row r="32">
          <cell r="G32">
            <v>3</v>
          </cell>
        </row>
        <row r="33">
          <cell r="G33">
            <v>3</v>
          </cell>
        </row>
        <row r="34">
          <cell r="G34">
            <v>3</v>
          </cell>
        </row>
        <row r="35">
          <cell r="G35">
            <v>3</v>
          </cell>
        </row>
        <row r="36">
          <cell r="G36">
            <v>3</v>
          </cell>
        </row>
        <row r="37">
          <cell r="G37">
            <v>3</v>
          </cell>
        </row>
        <row r="38">
          <cell r="G38">
            <v>3</v>
          </cell>
        </row>
        <row r="39">
          <cell r="G39">
            <v>3</v>
          </cell>
        </row>
        <row r="40">
          <cell r="G40">
            <v>3</v>
          </cell>
        </row>
        <row r="41">
          <cell r="G41">
            <v>3</v>
          </cell>
        </row>
        <row r="42">
          <cell r="G42">
            <v>3</v>
          </cell>
        </row>
        <row r="43">
          <cell r="G43">
            <v>3</v>
          </cell>
        </row>
        <row r="44">
          <cell r="G44">
            <v>3</v>
          </cell>
        </row>
        <row r="45">
          <cell r="G45">
            <v>3</v>
          </cell>
        </row>
        <row r="46">
          <cell r="G46">
            <v>3</v>
          </cell>
        </row>
        <row r="47">
          <cell r="G47">
            <v>3</v>
          </cell>
        </row>
        <row r="48">
          <cell r="G48">
            <v>3</v>
          </cell>
        </row>
        <row r="49">
          <cell r="G49">
            <v>3</v>
          </cell>
        </row>
        <row r="50">
          <cell r="G50">
            <v>3</v>
          </cell>
        </row>
        <row r="51">
          <cell r="G51">
            <v>3</v>
          </cell>
        </row>
        <row r="52">
          <cell r="G52">
            <v>3</v>
          </cell>
        </row>
        <row r="53">
          <cell r="G53">
            <v>3</v>
          </cell>
        </row>
        <row r="54">
          <cell r="G54">
            <v>3</v>
          </cell>
        </row>
        <row r="55">
          <cell r="G55">
            <v>3</v>
          </cell>
        </row>
        <row r="56">
          <cell r="G56">
            <v>3</v>
          </cell>
        </row>
        <row r="57">
          <cell r="G57">
            <v>3</v>
          </cell>
        </row>
        <row r="58">
          <cell r="G58">
            <v>3</v>
          </cell>
        </row>
        <row r="59">
          <cell r="G59">
            <v>3</v>
          </cell>
        </row>
        <row r="60">
          <cell r="G60">
            <v>3</v>
          </cell>
        </row>
        <row r="61">
          <cell r="G61">
            <v>3</v>
          </cell>
        </row>
        <row r="62">
          <cell r="G62">
            <v>3</v>
          </cell>
        </row>
        <row r="63">
          <cell r="G63">
            <v>3</v>
          </cell>
        </row>
        <row r="64">
          <cell r="G64">
            <v>3</v>
          </cell>
        </row>
        <row r="65">
          <cell r="G65">
            <v>3</v>
          </cell>
        </row>
        <row r="66">
          <cell r="G66">
            <v>3</v>
          </cell>
        </row>
        <row r="67">
          <cell r="G67">
            <v>3</v>
          </cell>
        </row>
        <row r="68">
          <cell r="G68">
            <v>3</v>
          </cell>
        </row>
        <row r="69">
          <cell r="G69">
            <v>3</v>
          </cell>
        </row>
        <row r="70">
          <cell r="G70">
            <v>3</v>
          </cell>
        </row>
        <row r="71">
          <cell r="G71">
            <v>3</v>
          </cell>
        </row>
        <row r="72">
          <cell r="G72">
            <v>3</v>
          </cell>
        </row>
        <row r="73">
          <cell r="G73">
            <v>3</v>
          </cell>
        </row>
        <row r="74">
          <cell r="G74">
            <v>3</v>
          </cell>
        </row>
        <row r="75">
          <cell r="G75">
            <v>3</v>
          </cell>
        </row>
        <row r="76">
          <cell r="G76">
            <v>3</v>
          </cell>
        </row>
        <row r="77">
          <cell r="G77">
            <v>3</v>
          </cell>
        </row>
        <row r="78">
          <cell r="G78">
            <v>3</v>
          </cell>
        </row>
        <row r="79">
          <cell r="G79">
            <v>3</v>
          </cell>
        </row>
        <row r="80">
          <cell r="G80">
            <v>3</v>
          </cell>
        </row>
        <row r="81">
          <cell r="G81">
            <v>3</v>
          </cell>
        </row>
        <row r="82">
          <cell r="G82">
            <v>3</v>
          </cell>
        </row>
        <row r="83">
          <cell r="G83">
            <v>3</v>
          </cell>
        </row>
        <row r="84">
          <cell r="G84">
            <v>3</v>
          </cell>
        </row>
        <row r="85">
          <cell r="G85">
            <v>3</v>
          </cell>
        </row>
        <row r="86">
          <cell r="G86">
            <v>3</v>
          </cell>
        </row>
        <row r="87">
          <cell r="G87">
            <v>3</v>
          </cell>
        </row>
        <row r="88">
          <cell r="G88">
            <v>3</v>
          </cell>
        </row>
        <row r="89">
          <cell r="G89">
            <v>3</v>
          </cell>
        </row>
        <row r="90">
          <cell r="G90">
            <v>3</v>
          </cell>
        </row>
        <row r="91">
          <cell r="G91">
            <v>3</v>
          </cell>
        </row>
        <row r="92">
          <cell r="G92">
            <v>3</v>
          </cell>
        </row>
        <row r="93">
          <cell r="G93">
            <v>3</v>
          </cell>
        </row>
        <row r="94">
          <cell r="G94">
            <v>3</v>
          </cell>
        </row>
        <row r="95">
          <cell r="G95">
            <v>3</v>
          </cell>
        </row>
        <row r="96">
          <cell r="G96">
            <v>3</v>
          </cell>
        </row>
        <row r="97">
          <cell r="G97">
            <v>3</v>
          </cell>
        </row>
        <row r="98">
          <cell r="G98">
            <v>3</v>
          </cell>
        </row>
        <row r="99">
          <cell r="G99">
            <v>3</v>
          </cell>
        </row>
        <row r="100">
          <cell r="G100">
            <v>3</v>
          </cell>
        </row>
        <row r="101">
          <cell r="G101">
            <v>3</v>
          </cell>
        </row>
        <row r="102">
          <cell r="G102">
            <v>3</v>
          </cell>
        </row>
        <row r="103">
          <cell r="G103">
            <v>3</v>
          </cell>
        </row>
        <row r="104">
          <cell r="G104">
            <v>3</v>
          </cell>
        </row>
        <row r="105">
          <cell r="G105">
            <v>3</v>
          </cell>
        </row>
        <row r="106">
          <cell r="G106">
            <v>3</v>
          </cell>
        </row>
        <row r="107">
          <cell r="G107">
            <v>3</v>
          </cell>
        </row>
        <row r="108">
          <cell r="G108">
            <v>3</v>
          </cell>
        </row>
        <row r="109">
          <cell r="G109">
            <v>3</v>
          </cell>
        </row>
        <row r="110">
          <cell r="G110">
            <v>3</v>
          </cell>
        </row>
        <row r="111">
          <cell r="G111">
            <v>3</v>
          </cell>
        </row>
        <row r="112">
          <cell r="G112">
            <v>3</v>
          </cell>
        </row>
        <row r="113">
          <cell r="G113">
            <v>3</v>
          </cell>
        </row>
        <row r="114">
          <cell r="G114">
            <v>3</v>
          </cell>
        </row>
        <row r="115">
          <cell r="G115">
            <v>3</v>
          </cell>
        </row>
        <row r="116">
          <cell r="G116">
            <v>3</v>
          </cell>
        </row>
        <row r="117">
          <cell r="G117">
            <v>3</v>
          </cell>
        </row>
        <row r="118">
          <cell r="G118">
            <v>3</v>
          </cell>
        </row>
        <row r="119">
          <cell r="G119">
            <v>3</v>
          </cell>
        </row>
        <row r="120">
          <cell r="G120">
            <v>3</v>
          </cell>
        </row>
        <row r="121">
          <cell r="G121">
            <v>3</v>
          </cell>
        </row>
        <row r="122">
          <cell r="G122">
            <v>3</v>
          </cell>
        </row>
        <row r="123">
          <cell r="G123">
            <v>3</v>
          </cell>
        </row>
        <row r="124">
          <cell r="G124">
            <v>3</v>
          </cell>
        </row>
        <row r="125">
          <cell r="G125">
            <v>3</v>
          </cell>
        </row>
        <row r="126">
          <cell r="G126">
            <v>3</v>
          </cell>
        </row>
        <row r="127">
          <cell r="G127">
            <v>3</v>
          </cell>
        </row>
        <row r="128">
          <cell r="G128">
            <v>3</v>
          </cell>
        </row>
        <row r="129">
          <cell r="G129">
            <v>3</v>
          </cell>
        </row>
        <row r="130">
          <cell r="G130">
            <v>3</v>
          </cell>
        </row>
        <row r="131">
          <cell r="G131">
            <v>3</v>
          </cell>
        </row>
        <row r="132">
          <cell r="G132">
            <v>3</v>
          </cell>
        </row>
        <row r="133">
          <cell r="G133">
            <v>3</v>
          </cell>
        </row>
        <row r="134">
          <cell r="G134">
            <v>3</v>
          </cell>
        </row>
        <row r="135">
          <cell r="G135">
            <v>3</v>
          </cell>
        </row>
        <row r="136">
          <cell r="G136">
            <v>3</v>
          </cell>
        </row>
        <row r="137">
          <cell r="G137">
            <v>3</v>
          </cell>
        </row>
        <row r="138">
          <cell r="G138">
            <v>3</v>
          </cell>
        </row>
        <row r="139">
          <cell r="G139">
            <v>3</v>
          </cell>
        </row>
        <row r="140">
          <cell r="G140">
            <v>3</v>
          </cell>
        </row>
        <row r="141">
          <cell r="G141">
            <v>3</v>
          </cell>
        </row>
        <row r="142">
          <cell r="G142">
            <v>3</v>
          </cell>
        </row>
        <row r="143">
          <cell r="G143">
            <v>3</v>
          </cell>
        </row>
        <row r="144">
          <cell r="G144">
            <v>3</v>
          </cell>
        </row>
        <row r="145">
          <cell r="G145">
            <v>3</v>
          </cell>
        </row>
        <row r="146">
          <cell r="G146">
            <v>3</v>
          </cell>
        </row>
        <row r="147">
          <cell r="G147">
            <v>3</v>
          </cell>
        </row>
        <row r="148">
          <cell r="G148">
            <v>3</v>
          </cell>
        </row>
        <row r="149">
          <cell r="G149">
            <v>3</v>
          </cell>
        </row>
        <row r="150">
          <cell r="G150">
            <v>3</v>
          </cell>
        </row>
        <row r="151">
          <cell r="G151">
            <v>3</v>
          </cell>
        </row>
        <row r="152">
          <cell r="G152">
            <v>3</v>
          </cell>
        </row>
        <row r="153">
          <cell r="G153">
            <v>3</v>
          </cell>
        </row>
        <row r="154">
          <cell r="G154">
            <v>3</v>
          </cell>
        </row>
        <row r="155">
          <cell r="G155">
            <v>3</v>
          </cell>
        </row>
        <row r="156">
          <cell r="G156">
            <v>3</v>
          </cell>
        </row>
        <row r="157">
          <cell r="G157">
            <v>3</v>
          </cell>
        </row>
        <row r="158">
          <cell r="G158">
            <v>3</v>
          </cell>
        </row>
        <row r="159">
          <cell r="G159">
            <v>3</v>
          </cell>
        </row>
        <row r="160">
          <cell r="G160">
            <v>3</v>
          </cell>
        </row>
        <row r="161">
          <cell r="G161">
            <v>3</v>
          </cell>
        </row>
        <row r="162">
          <cell r="G162">
            <v>3</v>
          </cell>
        </row>
        <row r="163">
          <cell r="G163">
            <v>3</v>
          </cell>
        </row>
        <row r="164">
          <cell r="G164">
            <v>3</v>
          </cell>
        </row>
        <row r="165">
          <cell r="G165">
            <v>3</v>
          </cell>
        </row>
        <row r="166">
          <cell r="G166">
            <v>3</v>
          </cell>
        </row>
        <row r="167">
          <cell r="G167">
            <v>3</v>
          </cell>
        </row>
        <row r="168">
          <cell r="G168">
            <v>3</v>
          </cell>
        </row>
        <row r="169">
          <cell r="G169">
            <v>3</v>
          </cell>
        </row>
        <row r="170">
          <cell r="G170">
            <v>3</v>
          </cell>
        </row>
        <row r="171">
          <cell r="G171">
            <v>3</v>
          </cell>
        </row>
        <row r="172">
          <cell r="G172">
            <v>3</v>
          </cell>
        </row>
        <row r="173">
          <cell r="G173">
            <v>3</v>
          </cell>
        </row>
        <row r="174">
          <cell r="G174">
            <v>3</v>
          </cell>
        </row>
        <row r="175">
          <cell r="G175">
            <v>3</v>
          </cell>
        </row>
        <row r="176">
          <cell r="G176">
            <v>3</v>
          </cell>
        </row>
        <row r="177">
          <cell r="G177">
            <v>3</v>
          </cell>
        </row>
        <row r="178">
          <cell r="G178">
            <v>3</v>
          </cell>
        </row>
        <row r="179">
          <cell r="G179">
            <v>3</v>
          </cell>
        </row>
        <row r="180">
          <cell r="G180">
            <v>3</v>
          </cell>
        </row>
        <row r="181">
          <cell r="G181">
            <v>3</v>
          </cell>
        </row>
        <row r="182">
          <cell r="G182">
            <v>3</v>
          </cell>
        </row>
        <row r="183">
          <cell r="G183">
            <v>3</v>
          </cell>
        </row>
        <row r="184">
          <cell r="G184">
            <v>3</v>
          </cell>
        </row>
        <row r="185">
          <cell r="G185">
            <v>3</v>
          </cell>
        </row>
        <row r="186">
          <cell r="G186">
            <v>3</v>
          </cell>
        </row>
        <row r="187">
          <cell r="G187">
            <v>3</v>
          </cell>
        </row>
        <row r="188">
          <cell r="G188">
            <v>3</v>
          </cell>
        </row>
        <row r="189">
          <cell r="G189">
            <v>3</v>
          </cell>
        </row>
        <row r="190">
          <cell r="G190">
            <v>3</v>
          </cell>
        </row>
        <row r="191">
          <cell r="G191">
            <v>3</v>
          </cell>
        </row>
        <row r="192">
          <cell r="G192">
            <v>3</v>
          </cell>
        </row>
        <row r="193">
          <cell r="G193">
            <v>3</v>
          </cell>
        </row>
        <row r="194">
          <cell r="G194">
            <v>3</v>
          </cell>
        </row>
        <row r="195">
          <cell r="G195">
            <v>3</v>
          </cell>
        </row>
        <row r="196">
          <cell r="G196">
            <v>3</v>
          </cell>
        </row>
        <row r="197">
          <cell r="G197">
            <v>3</v>
          </cell>
        </row>
        <row r="198">
          <cell r="G198">
            <v>3</v>
          </cell>
        </row>
        <row r="199">
          <cell r="G199">
            <v>3</v>
          </cell>
        </row>
        <row r="200">
          <cell r="G200">
            <v>3</v>
          </cell>
        </row>
        <row r="201">
          <cell r="G201">
            <v>3</v>
          </cell>
        </row>
        <row r="202">
          <cell r="G202">
            <v>3</v>
          </cell>
        </row>
        <row r="203">
          <cell r="G203">
            <v>3</v>
          </cell>
        </row>
        <row r="204">
          <cell r="G204">
            <v>3</v>
          </cell>
        </row>
        <row r="205">
          <cell r="G205">
            <v>3</v>
          </cell>
        </row>
        <row r="206">
          <cell r="G206">
            <v>3</v>
          </cell>
        </row>
        <row r="207">
          <cell r="G207">
            <v>3</v>
          </cell>
        </row>
        <row r="208">
          <cell r="G208">
            <v>3</v>
          </cell>
        </row>
        <row r="209">
          <cell r="G209">
            <v>3</v>
          </cell>
        </row>
        <row r="210">
          <cell r="G210">
            <v>3</v>
          </cell>
        </row>
        <row r="211">
          <cell r="G211">
            <v>3</v>
          </cell>
        </row>
        <row r="212">
          <cell r="G212">
            <v>3</v>
          </cell>
        </row>
        <row r="213">
          <cell r="G213">
            <v>3</v>
          </cell>
        </row>
        <row r="214">
          <cell r="G214">
            <v>3</v>
          </cell>
        </row>
        <row r="215">
          <cell r="G215">
            <v>3</v>
          </cell>
        </row>
        <row r="216">
          <cell r="G216">
            <v>3</v>
          </cell>
        </row>
        <row r="217">
          <cell r="G217">
            <v>3</v>
          </cell>
        </row>
        <row r="218">
          <cell r="G218">
            <v>3</v>
          </cell>
        </row>
        <row r="219">
          <cell r="G219">
            <v>3</v>
          </cell>
        </row>
        <row r="220">
          <cell r="G220">
            <v>3</v>
          </cell>
        </row>
        <row r="221">
          <cell r="G221">
            <v>3</v>
          </cell>
        </row>
        <row r="222">
          <cell r="G222">
            <v>3</v>
          </cell>
        </row>
        <row r="223">
          <cell r="G223">
            <v>3</v>
          </cell>
        </row>
        <row r="224">
          <cell r="G224">
            <v>3</v>
          </cell>
        </row>
        <row r="225">
          <cell r="G225">
            <v>3</v>
          </cell>
        </row>
        <row r="226">
          <cell r="G226">
            <v>3</v>
          </cell>
        </row>
        <row r="227">
          <cell r="G227">
            <v>3</v>
          </cell>
        </row>
        <row r="228">
          <cell r="G228">
            <v>3</v>
          </cell>
        </row>
        <row r="229">
          <cell r="G229">
            <v>3</v>
          </cell>
        </row>
        <row r="230">
          <cell r="G230">
            <v>3</v>
          </cell>
        </row>
        <row r="231">
          <cell r="G231">
            <v>3</v>
          </cell>
        </row>
        <row r="232">
          <cell r="G232">
            <v>3</v>
          </cell>
        </row>
        <row r="233">
          <cell r="G233">
            <v>3</v>
          </cell>
        </row>
        <row r="234">
          <cell r="G234">
            <v>3</v>
          </cell>
        </row>
        <row r="235">
          <cell r="G235">
            <v>3</v>
          </cell>
        </row>
        <row r="236">
          <cell r="G236">
            <v>3</v>
          </cell>
        </row>
        <row r="237">
          <cell r="G237">
            <v>3</v>
          </cell>
        </row>
        <row r="238">
          <cell r="G238">
            <v>3</v>
          </cell>
        </row>
        <row r="239">
          <cell r="G239">
            <v>3</v>
          </cell>
        </row>
        <row r="240">
          <cell r="G240">
            <v>3</v>
          </cell>
        </row>
        <row r="241">
          <cell r="G241">
            <v>3</v>
          </cell>
        </row>
        <row r="242">
          <cell r="G242">
            <v>3</v>
          </cell>
        </row>
        <row r="243">
          <cell r="G243">
            <v>3</v>
          </cell>
        </row>
        <row r="244">
          <cell r="G244">
            <v>3</v>
          </cell>
        </row>
        <row r="245">
          <cell r="G245">
            <v>3</v>
          </cell>
        </row>
        <row r="246">
          <cell r="G246">
            <v>3</v>
          </cell>
        </row>
        <row r="247">
          <cell r="G247">
            <v>3</v>
          </cell>
        </row>
        <row r="248">
          <cell r="G248">
            <v>3</v>
          </cell>
        </row>
        <row r="249">
          <cell r="G249">
            <v>3</v>
          </cell>
        </row>
        <row r="250">
          <cell r="G250">
            <v>3</v>
          </cell>
        </row>
        <row r="251">
          <cell r="G251">
            <v>3</v>
          </cell>
        </row>
        <row r="252">
          <cell r="G252">
            <v>3</v>
          </cell>
        </row>
        <row r="253">
          <cell r="G253">
            <v>3</v>
          </cell>
        </row>
        <row r="254">
          <cell r="G254">
            <v>3</v>
          </cell>
        </row>
        <row r="255">
          <cell r="G255">
            <v>3</v>
          </cell>
        </row>
        <row r="256">
          <cell r="G256">
            <v>3</v>
          </cell>
        </row>
        <row r="257">
          <cell r="G257">
            <v>3</v>
          </cell>
        </row>
        <row r="258">
          <cell r="G258">
            <v>3</v>
          </cell>
        </row>
        <row r="259">
          <cell r="G259">
            <v>3</v>
          </cell>
        </row>
        <row r="260">
          <cell r="G260">
            <v>3</v>
          </cell>
        </row>
        <row r="261">
          <cell r="G261">
            <v>3</v>
          </cell>
        </row>
        <row r="262">
          <cell r="G262">
            <v>3</v>
          </cell>
        </row>
        <row r="263">
          <cell r="G263">
            <v>3</v>
          </cell>
        </row>
        <row r="264">
          <cell r="G264">
            <v>3</v>
          </cell>
        </row>
        <row r="265">
          <cell r="G265">
            <v>3</v>
          </cell>
        </row>
        <row r="266">
          <cell r="G266">
            <v>3</v>
          </cell>
        </row>
        <row r="267">
          <cell r="G267">
            <v>3</v>
          </cell>
        </row>
        <row r="268">
          <cell r="G268">
            <v>3</v>
          </cell>
        </row>
        <row r="269">
          <cell r="G269">
            <v>3</v>
          </cell>
        </row>
        <row r="270">
          <cell r="G270">
            <v>3</v>
          </cell>
        </row>
        <row r="271">
          <cell r="G271">
            <v>3</v>
          </cell>
        </row>
        <row r="272">
          <cell r="G272">
            <v>3</v>
          </cell>
        </row>
        <row r="273">
          <cell r="G273">
            <v>3</v>
          </cell>
        </row>
        <row r="274">
          <cell r="G274">
            <v>3</v>
          </cell>
        </row>
        <row r="275">
          <cell r="G275">
            <v>3</v>
          </cell>
        </row>
        <row r="276">
          <cell r="G276">
            <v>3</v>
          </cell>
        </row>
        <row r="277">
          <cell r="G277">
            <v>3</v>
          </cell>
        </row>
        <row r="278">
          <cell r="G278">
            <v>3</v>
          </cell>
        </row>
        <row r="279">
          <cell r="G279">
            <v>3</v>
          </cell>
        </row>
        <row r="280">
          <cell r="G280">
            <v>3</v>
          </cell>
        </row>
        <row r="281">
          <cell r="G281">
            <v>3</v>
          </cell>
        </row>
        <row r="282">
          <cell r="G282">
            <v>3</v>
          </cell>
        </row>
        <row r="283">
          <cell r="G283">
            <v>3</v>
          </cell>
        </row>
        <row r="284">
          <cell r="G284">
            <v>3</v>
          </cell>
        </row>
        <row r="285">
          <cell r="G285">
            <v>3</v>
          </cell>
        </row>
        <row r="286">
          <cell r="G286">
            <v>3</v>
          </cell>
        </row>
        <row r="287">
          <cell r="G287">
            <v>3</v>
          </cell>
        </row>
        <row r="288">
          <cell r="G288">
            <v>3</v>
          </cell>
        </row>
        <row r="289">
          <cell r="G289">
            <v>3</v>
          </cell>
        </row>
        <row r="290">
          <cell r="G290">
            <v>3</v>
          </cell>
        </row>
        <row r="291">
          <cell r="G291">
            <v>3</v>
          </cell>
        </row>
        <row r="292">
          <cell r="G292">
            <v>3</v>
          </cell>
        </row>
        <row r="293">
          <cell r="G293">
            <v>3</v>
          </cell>
        </row>
        <row r="294">
          <cell r="G294">
            <v>3</v>
          </cell>
        </row>
        <row r="295">
          <cell r="G295">
            <v>3</v>
          </cell>
        </row>
        <row r="296">
          <cell r="G296">
            <v>3</v>
          </cell>
        </row>
        <row r="297">
          <cell r="G297">
            <v>3</v>
          </cell>
        </row>
        <row r="298">
          <cell r="G298">
            <v>3</v>
          </cell>
        </row>
        <row r="299">
          <cell r="G299">
            <v>3</v>
          </cell>
        </row>
        <row r="300">
          <cell r="G300">
            <v>3</v>
          </cell>
        </row>
        <row r="301">
          <cell r="G301">
            <v>3</v>
          </cell>
        </row>
        <row r="302">
          <cell r="G302">
            <v>3</v>
          </cell>
        </row>
        <row r="303">
          <cell r="G303">
            <v>3</v>
          </cell>
        </row>
        <row r="304">
          <cell r="G304">
            <v>3</v>
          </cell>
        </row>
        <row r="305">
          <cell r="G305">
            <v>3</v>
          </cell>
        </row>
        <row r="306">
          <cell r="G306">
            <v>3</v>
          </cell>
        </row>
        <row r="307">
          <cell r="G307">
            <v>3</v>
          </cell>
        </row>
        <row r="308">
          <cell r="G308">
            <v>3</v>
          </cell>
        </row>
        <row r="309">
          <cell r="G309">
            <v>3</v>
          </cell>
        </row>
        <row r="310">
          <cell r="G310">
            <v>3</v>
          </cell>
        </row>
        <row r="311">
          <cell r="G311">
            <v>3</v>
          </cell>
        </row>
        <row r="312">
          <cell r="G312">
            <v>3</v>
          </cell>
        </row>
        <row r="313">
          <cell r="G313">
            <v>3</v>
          </cell>
        </row>
        <row r="314">
          <cell r="G314">
            <v>3</v>
          </cell>
        </row>
        <row r="315">
          <cell r="G315">
            <v>3</v>
          </cell>
        </row>
        <row r="316">
          <cell r="G316">
            <v>3</v>
          </cell>
        </row>
        <row r="317">
          <cell r="G317">
            <v>3</v>
          </cell>
        </row>
        <row r="318">
          <cell r="G318">
            <v>3</v>
          </cell>
        </row>
        <row r="319">
          <cell r="G319">
            <v>3</v>
          </cell>
        </row>
        <row r="320">
          <cell r="G320">
            <v>3</v>
          </cell>
        </row>
        <row r="321">
          <cell r="G321">
            <v>3</v>
          </cell>
        </row>
        <row r="322">
          <cell r="G322">
            <v>3</v>
          </cell>
        </row>
        <row r="323">
          <cell r="G323">
            <v>3</v>
          </cell>
        </row>
        <row r="324">
          <cell r="G324">
            <v>3</v>
          </cell>
        </row>
        <row r="325">
          <cell r="G325">
            <v>3</v>
          </cell>
        </row>
        <row r="326">
          <cell r="G326">
            <v>3</v>
          </cell>
        </row>
        <row r="327">
          <cell r="G327">
            <v>3</v>
          </cell>
        </row>
        <row r="328">
          <cell r="G328">
            <v>3</v>
          </cell>
        </row>
        <row r="329">
          <cell r="G329">
            <v>3</v>
          </cell>
        </row>
        <row r="330">
          <cell r="G330">
            <v>3</v>
          </cell>
        </row>
        <row r="331">
          <cell r="G331">
            <v>3</v>
          </cell>
        </row>
        <row r="332">
          <cell r="G332">
            <v>3</v>
          </cell>
        </row>
        <row r="333">
          <cell r="G333">
            <v>3</v>
          </cell>
        </row>
        <row r="334">
          <cell r="G334">
            <v>3</v>
          </cell>
        </row>
        <row r="335">
          <cell r="G335">
            <v>3</v>
          </cell>
        </row>
        <row r="336">
          <cell r="G336">
            <v>3</v>
          </cell>
        </row>
        <row r="337">
          <cell r="G337">
            <v>3</v>
          </cell>
        </row>
        <row r="338">
          <cell r="G338">
            <v>3</v>
          </cell>
        </row>
        <row r="339">
          <cell r="G339">
            <v>3</v>
          </cell>
        </row>
        <row r="340">
          <cell r="G340">
            <v>3</v>
          </cell>
        </row>
        <row r="341">
          <cell r="G341">
            <v>3</v>
          </cell>
        </row>
        <row r="342">
          <cell r="G342">
            <v>3</v>
          </cell>
        </row>
        <row r="343">
          <cell r="G343">
            <v>3</v>
          </cell>
        </row>
        <row r="344">
          <cell r="G344">
            <v>3</v>
          </cell>
        </row>
        <row r="345">
          <cell r="G345">
            <v>3</v>
          </cell>
        </row>
        <row r="346">
          <cell r="G346">
            <v>3</v>
          </cell>
        </row>
        <row r="347">
          <cell r="G347">
            <v>3</v>
          </cell>
        </row>
        <row r="348">
          <cell r="G348">
            <v>3</v>
          </cell>
        </row>
        <row r="349">
          <cell r="G349">
            <v>3</v>
          </cell>
        </row>
        <row r="350">
          <cell r="G350">
            <v>3</v>
          </cell>
        </row>
        <row r="351">
          <cell r="G351">
            <v>3</v>
          </cell>
        </row>
        <row r="352">
          <cell r="G352">
            <v>3</v>
          </cell>
        </row>
        <row r="353">
          <cell r="G353">
            <v>3</v>
          </cell>
        </row>
        <row r="354">
          <cell r="G354">
            <v>3</v>
          </cell>
        </row>
        <row r="355">
          <cell r="G355">
            <v>3</v>
          </cell>
        </row>
        <row r="356">
          <cell r="G356">
            <v>3</v>
          </cell>
        </row>
        <row r="357">
          <cell r="G357">
            <v>3</v>
          </cell>
        </row>
        <row r="358">
          <cell r="G358">
            <v>3</v>
          </cell>
        </row>
        <row r="359">
          <cell r="G359">
            <v>3</v>
          </cell>
        </row>
        <row r="360">
          <cell r="G360">
            <v>3</v>
          </cell>
        </row>
        <row r="361">
          <cell r="G361">
            <v>3</v>
          </cell>
        </row>
        <row r="362">
          <cell r="G362">
            <v>3</v>
          </cell>
        </row>
        <row r="363">
          <cell r="G363">
            <v>3</v>
          </cell>
        </row>
        <row r="364">
          <cell r="G364">
            <v>3</v>
          </cell>
        </row>
        <row r="365">
          <cell r="G365">
            <v>3</v>
          </cell>
        </row>
        <row r="366">
          <cell r="G366">
            <v>3</v>
          </cell>
        </row>
        <row r="367">
          <cell r="G367">
            <v>3</v>
          </cell>
        </row>
        <row r="368">
          <cell r="G368">
            <v>3</v>
          </cell>
        </row>
        <row r="369">
          <cell r="G369">
            <v>3</v>
          </cell>
        </row>
        <row r="370">
          <cell r="G370">
            <v>3</v>
          </cell>
        </row>
        <row r="371">
          <cell r="G371">
            <v>3</v>
          </cell>
        </row>
        <row r="372">
          <cell r="G372">
            <v>3</v>
          </cell>
        </row>
        <row r="373">
          <cell r="G373">
            <v>3</v>
          </cell>
        </row>
        <row r="374">
          <cell r="G374">
            <v>3</v>
          </cell>
        </row>
        <row r="375">
          <cell r="G375">
            <v>3</v>
          </cell>
        </row>
        <row r="376">
          <cell r="G376">
            <v>3</v>
          </cell>
        </row>
        <row r="377">
          <cell r="G377">
            <v>3</v>
          </cell>
        </row>
        <row r="378">
          <cell r="G378">
            <v>3</v>
          </cell>
        </row>
        <row r="379">
          <cell r="G379">
            <v>3</v>
          </cell>
        </row>
        <row r="380">
          <cell r="G380">
            <v>3</v>
          </cell>
        </row>
        <row r="381">
          <cell r="G381">
            <v>3</v>
          </cell>
        </row>
        <row r="382">
          <cell r="G382">
            <v>3</v>
          </cell>
        </row>
        <row r="383">
          <cell r="G383">
            <v>3</v>
          </cell>
        </row>
        <row r="384">
          <cell r="G384">
            <v>3</v>
          </cell>
        </row>
        <row r="385">
          <cell r="G385">
            <v>3</v>
          </cell>
        </row>
        <row r="386">
          <cell r="G386">
            <v>3</v>
          </cell>
        </row>
        <row r="387">
          <cell r="G387">
            <v>3</v>
          </cell>
        </row>
        <row r="388">
          <cell r="G388">
            <v>3</v>
          </cell>
        </row>
        <row r="389">
          <cell r="G389">
            <v>3</v>
          </cell>
        </row>
        <row r="390">
          <cell r="G390">
            <v>3</v>
          </cell>
        </row>
        <row r="391">
          <cell r="G391">
            <v>3</v>
          </cell>
        </row>
        <row r="392">
          <cell r="G392">
            <v>3</v>
          </cell>
        </row>
        <row r="393">
          <cell r="G393">
            <v>3</v>
          </cell>
        </row>
        <row r="394">
          <cell r="G394">
            <v>3</v>
          </cell>
        </row>
        <row r="395">
          <cell r="G395">
            <v>3</v>
          </cell>
        </row>
        <row r="396">
          <cell r="G396">
            <v>3</v>
          </cell>
        </row>
        <row r="397">
          <cell r="G397">
            <v>3</v>
          </cell>
        </row>
        <row r="398">
          <cell r="G398">
            <v>3</v>
          </cell>
        </row>
        <row r="399">
          <cell r="G399">
            <v>3</v>
          </cell>
        </row>
        <row r="400">
          <cell r="G400">
            <v>3</v>
          </cell>
        </row>
        <row r="401">
          <cell r="G401">
            <v>3</v>
          </cell>
        </row>
        <row r="402">
          <cell r="G402">
            <v>3</v>
          </cell>
        </row>
        <row r="403">
          <cell r="G403">
            <v>3</v>
          </cell>
        </row>
        <row r="404">
          <cell r="G404">
            <v>3</v>
          </cell>
        </row>
        <row r="405">
          <cell r="G405">
            <v>3</v>
          </cell>
        </row>
        <row r="406">
          <cell r="G406">
            <v>3</v>
          </cell>
        </row>
        <row r="407">
          <cell r="G407">
            <v>3</v>
          </cell>
        </row>
        <row r="408">
          <cell r="G408">
            <v>3</v>
          </cell>
        </row>
        <row r="409">
          <cell r="G409">
            <v>3</v>
          </cell>
        </row>
        <row r="410">
          <cell r="G410">
            <v>3</v>
          </cell>
        </row>
        <row r="411">
          <cell r="G411">
            <v>3</v>
          </cell>
        </row>
        <row r="412">
          <cell r="G412">
            <v>3</v>
          </cell>
        </row>
        <row r="413">
          <cell r="G413">
            <v>3</v>
          </cell>
        </row>
        <row r="414">
          <cell r="G414">
            <v>3</v>
          </cell>
        </row>
        <row r="415">
          <cell r="G415">
            <v>3</v>
          </cell>
        </row>
        <row r="416">
          <cell r="G416">
            <v>3</v>
          </cell>
        </row>
        <row r="417">
          <cell r="G417">
            <v>3</v>
          </cell>
        </row>
        <row r="418">
          <cell r="G418">
            <v>3</v>
          </cell>
        </row>
        <row r="419">
          <cell r="G419">
            <v>3</v>
          </cell>
        </row>
        <row r="420">
          <cell r="G420">
            <v>3</v>
          </cell>
        </row>
        <row r="421">
          <cell r="G421">
            <v>3</v>
          </cell>
        </row>
        <row r="422">
          <cell r="G422">
            <v>3</v>
          </cell>
        </row>
        <row r="423">
          <cell r="G423">
            <v>3</v>
          </cell>
        </row>
        <row r="424">
          <cell r="G424">
            <v>3</v>
          </cell>
        </row>
        <row r="425">
          <cell r="G425">
            <v>3</v>
          </cell>
        </row>
        <row r="426">
          <cell r="G426">
            <v>3</v>
          </cell>
        </row>
        <row r="427">
          <cell r="G427">
            <v>3</v>
          </cell>
        </row>
        <row r="428">
          <cell r="G428">
            <v>3</v>
          </cell>
        </row>
        <row r="429">
          <cell r="G429">
            <v>3</v>
          </cell>
        </row>
        <row r="430">
          <cell r="G430">
            <v>3</v>
          </cell>
        </row>
        <row r="431">
          <cell r="G431">
            <v>3</v>
          </cell>
        </row>
        <row r="432">
          <cell r="G432">
            <v>3</v>
          </cell>
        </row>
        <row r="433">
          <cell r="G433">
            <v>3</v>
          </cell>
        </row>
        <row r="434">
          <cell r="G434">
            <v>3</v>
          </cell>
        </row>
        <row r="435">
          <cell r="G435">
            <v>3</v>
          </cell>
        </row>
        <row r="436">
          <cell r="G436">
            <v>3</v>
          </cell>
        </row>
        <row r="437">
          <cell r="G437">
            <v>3</v>
          </cell>
        </row>
        <row r="438">
          <cell r="G438">
            <v>3</v>
          </cell>
        </row>
        <row r="439">
          <cell r="G439">
            <v>3</v>
          </cell>
        </row>
        <row r="440">
          <cell r="G440">
            <v>3</v>
          </cell>
        </row>
        <row r="441">
          <cell r="G441">
            <v>3</v>
          </cell>
        </row>
        <row r="442">
          <cell r="G442">
            <v>3</v>
          </cell>
        </row>
        <row r="443">
          <cell r="G443">
            <v>3</v>
          </cell>
        </row>
        <row r="444">
          <cell r="G444">
            <v>3</v>
          </cell>
        </row>
        <row r="445">
          <cell r="G445">
            <v>3</v>
          </cell>
        </row>
        <row r="446">
          <cell r="G446">
            <v>3</v>
          </cell>
        </row>
        <row r="447">
          <cell r="G447">
            <v>3</v>
          </cell>
        </row>
        <row r="448">
          <cell r="G448">
            <v>3</v>
          </cell>
        </row>
        <row r="449">
          <cell r="G449">
            <v>3</v>
          </cell>
        </row>
        <row r="450">
          <cell r="G450">
            <v>3</v>
          </cell>
        </row>
        <row r="451">
          <cell r="G451">
            <v>3</v>
          </cell>
        </row>
        <row r="452">
          <cell r="G452">
            <v>3</v>
          </cell>
        </row>
        <row r="453">
          <cell r="G453">
            <v>3</v>
          </cell>
        </row>
        <row r="454">
          <cell r="G454">
            <v>3</v>
          </cell>
        </row>
        <row r="455">
          <cell r="G455">
            <v>3</v>
          </cell>
        </row>
        <row r="456">
          <cell r="G456">
            <v>3</v>
          </cell>
        </row>
        <row r="457">
          <cell r="G457">
            <v>3</v>
          </cell>
        </row>
        <row r="458">
          <cell r="G458">
            <v>3</v>
          </cell>
        </row>
        <row r="459">
          <cell r="G459">
            <v>3</v>
          </cell>
        </row>
        <row r="460">
          <cell r="G460">
            <v>3</v>
          </cell>
        </row>
        <row r="461">
          <cell r="G461">
            <v>3</v>
          </cell>
        </row>
        <row r="462">
          <cell r="G462">
            <v>3</v>
          </cell>
        </row>
        <row r="463">
          <cell r="G463">
            <v>3</v>
          </cell>
        </row>
        <row r="464">
          <cell r="G464">
            <v>3</v>
          </cell>
        </row>
        <row r="465">
          <cell r="G465">
            <v>3</v>
          </cell>
        </row>
        <row r="466">
          <cell r="G466">
            <v>3</v>
          </cell>
        </row>
        <row r="467">
          <cell r="G467">
            <v>3</v>
          </cell>
        </row>
        <row r="468">
          <cell r="G468">
            <v>3</v>
          </cell>
        </row>
        <row r="469">
          <cell r="G469">
            <v>3</v>
          </cell>
        </row>
        <row r="470">
          <cell r="G470">
            <v>3</v>
          </cell>
        </row>
        <row r="471">
          <cell r="G471">
            <v>3</v>
          </cell>
        </row>
        <row r="472">
          <cell r="G472">
            <v>3</v>
          </cell>
        </row>
        <row r="473">
          <cell r="G473">
            <v>3</v>
          </cell>
        </row>
        <row r="474">
          <cell r="G474">
            <v>3</v>
          </cell>
        </row>
        <row r="475">
          <cell r="G475">
            <v>3</v>
          </cell>
        </row>
        <row r="476">
          <cell r="G476">
            <v>3</v>
          </cell>
        </row>
        <row r="477">
          <cell r="G477">
            <v>3</v>
          </cell>
        </row>
        <row r="478">
          <cell r="G478">
            <v>3</v>
          </cell>
        </row>
        <row r="479">
          <cell r="G479">
            <v>3</v>
          </cell>
        </row>
        <row r="480">
          <cell r="G480">
            <v>3</v>
          </cell>
        </row>
        <row r="481">
          <cell r="G481">
            <v>3</v>
          </cell>
        </row>
        <row r="482">
          <cell r="G482">
            <v>3</v>
          </cell>
        </row>
        <row r="483">
          <cell r="G483">
            <v>3</v>
          </cell>
        </row>
        <row r="484">
          <cell r="G484">
            <v>3</v>
          </cell>
        </row>
        <row r="485">
          <cell r="G485">
            <v>3</v>
          </cell>
        </row>
        <row r="486">
          <cell r="G486">
            <v>3</v>
          </cell>
        </row>
        <row r="487">
          <cell r="G487">
            <v>3</v>
          </cell>
        </row>
        <row r="488">
          <cell r="G488">
            <v>3</v>
          </cell>
        </row>
        <row r="489">
          <cell r="G489">
            <v>3</v>
          </cell>
        </row>
        <row r="490">
          <cell r="G490">
            <v>3</v>
          </cell>
        </row>
        <row r="491">
          <cell r="G491">
            <v>3</v>
          </cell>
        </row>
        <row r="492">
          <cell r="G492">
            <v>3</v>
          </cell>
        </row>
        <row r="493">
          <cell r="G493">
            <v>3</v>
          </cell>
        </row>
        <row r="494">
          <cell r="G494">
            <v>3</v>
          </cell>
        </row>
        <row r="495">
          <cell r="G495">
            <v>3</v>
          </cell>
        </row>
        <row r="496">
          <cell r="G496">
            <v>3</v>
          </cell>
        </row>
        <row r="497">
          <cell r="G497">
            <v>3</v>
          </cell>
        </row>
        <row r="498">
          <cell r="G498">
            <v>3</v>
          </cell>
        </row>
        <row r="499">
          <cell r="G499">
            <v>3</v>
          </cell>
        </row>
        <row r="500">
          <cell r="G500">
            <v>3</v>
          </cell>
        </row>
        <row r="501">
          <cell r="G501">
            <v>3</v>
          </cell>
        </row>
        <row r="502">
          <cell r="G502">
            <v>3</v>
          </cell>
        </row>
        <row r="503">
          <cell r="G503">
            <v>3</v>
          </cell>
        </row>
        <row r="504">
          <cell r="G504">
            <v>3</v>
          </cell>
        </row>
        <row r="505">
          <cell r="G505">
            <v>3</v>
          </cell>
        </row>
        <row r="506">
          <cell r="G506">
            <v>3</v>
          </cell>
        </row>
        <row r="507">
          <cell r="G507">
            <v>3</v>
          </cell>
        </row>
        <row r="508">
          <cell r="G508">
            <v>3</v>
          </cell>
        </row>
        <row r="509">
          <cell r="G509">
            <v>3</v>
          </cell>
        </row>
        <row r="510">
          <cell r="G510">
            <v>3</v>
          </cell>
        </row>
        <row r="511">
          <cell r="G511">
            <v>3</v>
          </cell>
        </row>
        <row r="512">
          <cell r="G512">
            <v>3</v>
          </cell>
        </row>
        <row r="513">
          <cell r="G513">
            <v>3</v>
          </cell>
        </row>
        <row r="514">
          <cell r="G514">
            <v>3</v>
          </cell>
        </row>
        <row r="515">
          <cell r="G515">
            <v>3</v>
          </cell>
        </row>
        <row r="516">
          <cell r="G516">
            <v>3</v>
          </cell>
        </row>
        <row r="517">
          <cell r="G517">
            <v>3</v>
          </cell>
        </row>
        <row r="518">
          <cell r="G518">
            <v>3</v>
          </cell>
        </row>
        <row r="519">
          <cell r="G519">
            <v>3</v>
          </cell>
        </row>
        <row r="520">
          <cell r="G520">
            <v>3</v>
          </cell>
        </row>
        <row r="521">
          <cell r="G521">
            <v>3</v>
          </cell>
        </row>
        <row r="522">
          <cell r="G522">
            <v>3</v>
          </cell>
        </row>
        <row r="523">
          <cell r="G523">
            <v>3</v>
          </cell>
        </row>
        <row r="524">
          <cell r="G524">
            <v>3</v>
          </cell>
        </row>
        <row r="525">
          <cell r="G525">
            <v>3</v>
          </cell>
        </row>
        <row r="526">
          <cell r="G526">
            <v>3</v>
          </cell>
        </row>
        <row r="527">
          <cell r="G527">
            <v>3</v>
          </cell>
        </row>
        <row r="528">
          <cell r="G528">
            <v>3</v>
          </cell>
        </row>
        <row r="529">
          <cell r="G529">
            <v>3</v>
          </cell>
        </row>
        <row r="530">
          <cell r="G530">
            <v>3</v>
          </cell>
        </row>
        <row r="531">
          <cell r="G531">
            <v>3</v>
          </cell>
        </row>
        <row r="532">
          <cell r="G532">
            <v>3</v>
          </cell>
        </row>
        <row r="533">
          <cell r="G533">
            <v>3</v>
          </cell>
        </row>
        <row r="534">
          <cell r="G534">
            <v>3</v>
          </cell>
        </row>
        <row r="535">
          <cell r="G535">
            <v>3</v>
          </cell>
        </row>
        <row r="536">
          <cell r="G536">
            <v>3</v>
          </cell>
        </row>
        <row r="537">
          <cell r="G537">
            <v>3</v>
          </cell>
        </row>
        <row r="538">
          <cell r="G538">
            <v>3</v>
          </cell>
        </row>
        <row r="539">
          <cell r="G539">
            <v>3</v>
          </cell>
        </row>
        <row r="540">
          <cell r="G540">
            <v>3</v>
          </cell>
        </row>
        <row r="541">
          <cell r="G541">
            <v>3</v>
          </cell>
        </row>
        <row r="542">
          <cell r="G542">
            <v>3</v>
          </cell>
        </row>
        <row r="543">
          <cell r="G543">
            <v>3</v>
          </cell>
        </row>
        <row r="544">
          <cell r="G544">
            <v>3</v>
          </cell>
        </row>
        <row r="545">
          <cell r="G545">
            <v>3</v>
          </cell>
        </row>
        <row r="546">
          <cell r="G546">
            <v>3</v>
          </cell>
        </row>
        <row r="547">
          <cell r="G547">
            <v>3</v>
          </cell>
        </row>
        <row r="548">
          <cell r="G548">
            <v>3</v>
          </cell>
        </row>
        <row r="549">
          <cell r="G549">
            <v>3</v>
          </cell>
        </row>
        <row r="550">
          <cell r="G550">
            <v>3</v>
          </cell>
        </row>
        <row r="551">
          <cell r="G551">
            <v>3</v>
          </cell>
        </row>
        <row r="552">
          <cell r="G552">
            <v>3</v>
          </cell>
        </row>
        <row r="553">
          <cell r="G553">
            <v>3</v>
          </cell>
        </row>
        <row r="554">
          <cell r="G554">
            <v>3</v>
          </cell>
        </row>
        <row r="555">
          <cell r="G555">
            <v>3</v>
          </cell>
        </row>
        <row r="556">
          <cell r="G556">
            <v>3</v>
          </cell>
        </row>
        <row r="557">
          <cell r="G557">
            <v>3</v>
          </cell>
        </row>
        <row r="558">
          <cell r="G558">
            <v>3</v>
          </cell>
        </row>
        <row r="559">
          <cell r="G559">
            <v>3</v>
          </cell>
        </row>
        <row r="560">
          <cell r="G560">
            <v>3</v>
          </cell>
        </row>
        <row r="561">
          <cell r="G561">
            <v>3</v>
          </cell>
        </row>
        <row r="562">
          <cell r="G562">
            <v>3</v>
          </cell>
        </row>
        <row r="563">
          <cell r="G563">
            <v>3</v>
          </cell>
        </row>
        <row r="564">
          <cell r="G564">
            <v>3</v>
          </cell>
        </row>
        <row r="565">
          <cell r="G565">
            <v>3</v>
          </cell>
        </row>
        <row r="566">
          <cell r="G566">
            <v>3</v>
          </cell>
        </row>
        <row r="567">
          <cell r="G567">
            <v>3</v>
          </cell>
        </row>
        <row r="568">
          <cell r="G568">
            <v>3</v>
          </cell>
        </row>
        <row r="569">
          <cell r="G569">
            <v>3</v>
          </cell>
        </row>
        <row r="570">
          <cell r="G570">
            <v>3</v>
          </cell>
        </row>
        <row r="571">
          <cell r="G571">
            <v>3</v>
          </cell>
        </row>
        <row r="572">
          <cell r="G572">
            <v>3</v>
          </cell>
        </row>
        <row r="573">
          <cell r="G573">
            <v>3</v>
          </cell>
        </row>
        <row r="574">
          <cell r="G574">
            <v>3</v>
          </cell>
        </row>
        <row r="575">
          <cell r="G575">
            <v>3</v>
          </cell>
        </row>
        <row r="576">
          <cell r="G576">
            <v>3</v>
          </cell>
        </row>
        <row r="577">
          <cell r="G577">
            <v>3</v>
          </cell>
        </row>
        <row r="578">
          <cell r="G578">
            <v>3</v>
          </cell>
        </row>
        <row r="579">
          <cell r="G579">
            <v>3</v>
          </cell>
        </row>
        <row r="580">
          <cell r="G580">
            <v>3</v>
          </cell>
        </row>
        <row r="581">
          <cell r="G581">
            <v>3</v>
          </cell>
        </row>
        <row r="582">
          <cell r="G582">
            <v>3</v>
          </cell>
        </row>
        <row r="583">
          <cell r="G583">
            <v>3</v>
          </cell>
        </row>
        <row r="584">
          <cell r="G584">
            <v>3</v>
          </cell>
        </row>
        <row r="585">
          <cell r="G585">
            <v>3</v>
          </cell>
        </row>
        <row r="586">
          <cell r="G586">
            <v>3</v>
          </cell>
        </row>
        <row r="587">
          <cell r="G587">
            <v>3</v>
          </cell>
        </row>
        <row r="588">
          <cell r="G588">
            <v>3</v>
          </cell>
        </row>
        <row r="589">
          <cell r="G589">
            <v>3</v>
          </cell>
        </row>
        <row r="590">
          <cell r="G590">
            <v>3</v>
          </cell>
        </row>
        <row r="591">
          <cell r="G591">
            <v>3</v>
          </cell>
        </row>
        <row r="592">
          <cell r="G592">
            <v>3</v>
          </cell>
        </row>
        <row r="593">
          <cell r="G593">
            <v>3</v>
          </cell>
        </row>
        <row r="594">
          <cell r="G594">
            <v>3</v>
          </cell>
        </row>
        <row r="595">
          <cell r="G595">
            <v>3</v>
          </cell>
        </row>
        <row r="596">
          <cell r="G596">
            <v>3</v>
          </cell>
        </row>
        <row r="597">
          <cell r="G597">
            <v>3</v>
          </cell>
        </row>
        <row r="598">
          <cell r="G598">
            <v>3</v>
          </cell>
        </row>
        <row r="599">
          <cell r="G599">
            <v>3</v>
          </cell>
        </row>
        <row r="600">
          <cell r="G600">
            <v>3</v>
          </cell>
        </row>
        <row r="601">
          <cell r="G601">
            <v>3</v>
          </cell>
        </row>
        <row r="602">
          <cell r="G602">
            <v>3</v>
          </cell>
        </row>
        <row r="603">
          <cell r="G603">
            <v>3</v>
          </cell>
        </row>
        <row r="604">
          <cell r="G604">
            <v>3</v>
          </cell>
        </row>
        <row r="605">
          <cell r="G605">
            <v>3</v>
          </cell>
        </row>
        <row r="606">
          <cell r="G606">
            <v>3</v>
          </cell>
        </row>
        <row r="607">
          <cell r="G607">
            <v>3</v>
          </cell>
        </row>
        <row r="608">
          <cell r="G608">
            <v>3</v>
          </cell>
        </row>
        <row r="609">
          <cell r="G609">
            <v>3</v>
          </cell>
        </row>
        <row r="610">
          <cell r="G610">
            <v>3</v>
          </cell>
        </row>
        <row r="611">
          <cell r="G611">
            <v>3</v>
          </cell>
        </row>
        <row r="612">
          <cell r="G612">
            <v>3</v>
          </cell>
        </row>
        <row r="613">
          <cell r="G613">
            <v>3</v>
          </cell>
        </row>
        <row r="614">
          <cell r="G614">
            <v>3</v>
          </cell>
        </row>
        <row r="615">
          <cell r="G615">
            <v>3</v>
          </cell>
        </row>
        <row r="616">
          <cell r="G616">
            <v>3</v>
          </cell>
        </row>
        <row r="617">
          <cell r="G617">
            <v>3</v>
          </cell>
        </row>
        <row r="618">
          <cell r="G618">
            <v>3</v>
          </cell>
        </row>
        <row r="619">
          <cell r="G619">
            <v>3</v>
          </cell>
        </row>
        <row r="620">
          <cell r="G620">
            <v>3</v>
          </cell>
        </row>
        <row r="621">
          <cell r="G621">
            <v>3</v>
          </cell>
        </row>
        <row r="622">
          <cell r="G622">
            <v>3</v>
          </cell>
        </row>
        <row r="623">
          <cell r="G623">
            <v>3</v>
          </cell>
        </row>
        <row r="624">
          <cell r="G624">
            <v>3</v>
          </cell>
        </row>
        <row r="625">
          <cell r="G625">
            <v>3</v>
          </cell>
        </row>
        <row r="626">
          <cell r="G626">
            <v>3</v>
          </cell>
        </row>
        <row r="627">
          <cell r="G627">
            <v>3</v>
          </cell>
        </row>
        <row r="628">
          <cell r="G628">
            <v>3</v>
          </cell>
        </row>
        <row r="629">
          <cell r="G629">
            <v>3</v>
          </cell>
        </row>
        <row r="630">
          <cell r="G630">
            <v>3</v>
          </cell>
        </row>
        <row r="631">
          <cell r="G631">
            <v>3</v>
          </cell>
        </row>
        <row r="632">
          <cell r="G632">
            <v>3</v>
          </cell>
        </row>
        <row r="633">
          <cell r="G633">
            <v>3</v>
          </cell>
        </row>
        <row r="634">
          <cell r="G634">
            <v>3</v>
          </cell>
        </row>
        <row r="635">
          <cell r="G635">
            <v>3</v>
          </cell>
        </row>
        <row r="636">
          <cell r="G636">
            <v>3</v>
          </cell>
        </row>
        <row r="637">
          <cell r="G637">
            <v>3</v>
          </cell>
        </row>
        <row r="638">
          <cell r="G638">
            <v>3</v>
          </cell>
        </row>
        <row r="639">
          <cell r="G639">
            <v>3</v>
          </cell>
        </row>
        <row r="640">
          <cell r="G640">
            <v>3</v>
          </cell>
        </row>
        <row r="641">
          <cell r="G641">
            <v>3</v>
          </cell>
        </row>
        <row r="642">
          <cell r="G642">
            <v>3</v>
          </cell>
        </row>
        <row r="643">
          <cell r="G643">
            <v>3</v>
          </cell>
        </row>
        <row r="644">
          <cell r="G644">
            <v>3</v>
          </cell>
        </row>
        <row r="645">
          <cell r="G645">
            <v>3</v>
          </cell>
        </row>
        <row r="646">
          <cell r="G646">
            <v>3</v>
          </cell>
        </row>
        <row r="647">
          <cell r="G647">
            <v>3</v>
          </cell>
        </row>
        <row r="648">
          <cell r="G648">
            <v>3</v>
          </cell>
        </row>
        <row r="649">
          <cell r="G649">
            <v>3</v>
          </cell>
        </row>
        <row r="650">
          <cell r="G650">
            <v>3</v>
          </cell>
        </row>
        <row r="651">
          <cell r="G651">
            <v>3</v>
          </cell>
        </row>
        <row r="652">
          <cell r="G652">
            <v>3</v>
          </cell>
        </row>
        <row r="653">
          <cell r="G653">
            <v>3</v>
          </cell>
        </row>
        <row r="654">
          <cell r="G654">
            <v>3</v>
          </cell>
        </row>
        <row r="655">
          <cell r="G655">
            <v>3</v>
          </cell>
        </row>
        <row r="656">
          <cell r="G656">
            <v>3</v>
          </cell>
        </row>
        <row r="657">
          <cell r="G657">
            <v>3</v>
          </cell>
        </row>
        <row r="658">
          <cell r="G658">
            <v>3</v>
          </cell>
        </row>
        <row r="659">
          <cell r="G659">
            <v>3</v>
          </cell>
        </row>
        <row r="660">
          <cell r="G660">
            <v>3</v>
          </cell>
        </row>
        <row r="661">
          <cell r="G661">
            <v>3</v>
          </cell>
        </row>
        <row r="662">
          <cell r="G662">
            <v>3</v>
          </cell>
        </row>
        <row r="663">
          <cell r="G663">
            <v>3</v>
          </cell>
        </row>
        <row r="664">
          <cell r="G664">
            <v>3</v>
          </cell>
        </row>
        <row r="665">
          <cell r="G665">
            <v>3</v>
          </cell>
        </row>
        <row r="666">
          <cell r="G666">
            <v>3</v>
          </cell>
        </row>
        <row r="667">
          <cell r="G667">
            <v>3</v>
          </cell>
        </row>
        <row r="668">
          <cell r="G668">
            <v>3</v>
          </cell>
        </row>
        <row r="669">
          <cell r="G669">
            <v>3</v>
          </cell>
        </row>
        <row r="670">
          <cell r="G670">
            <v>3</v>
          </cell>
        </row>
        <row r="671">
          <cell r="G671">
            <v>3</v>
          </cell>
        </row>
        <row r="672">
          <cell r="G672">
            <v>3</v>
          </cell>
        </row>
        <row r="673">
          <cell r="G673">
            <v>3</v>
          </cell>
        </row>
        <row r="674">
          <cell r="G674">
            <v>3</v>
          </cell>
        </row>
        <row r="675">
          <cell r="G675">
            <v>3</v>
          </cell>
        </row>
        <row r="676">
          <cell r="G676">
            <v>3</v>
          </cell>
        </row>
        <row r="677">
          <cell r="G677">
            <v>3</v>
          </cell>
        </row>
        <row r="678">
          <cell r="G678">
            <v>3</v>
          </cell>
        </row>
        <row r="679">
          <cell r="G679">
            <v>3</v>
          </cell>
        </row>
        <row r="680">
          <cell r="G680">
            <v>3</v>
          </cell>
        </row>
        <row r="681">
          <cell r="G681">
            <v>3</v>
          </cell>
        </row>
        <row r="682">
          <cell r="G682">
            <v>3</v>
          </cell>
        </row>
        <row r="683">
          <cell r="G683">
            <v>3</v>
          </cell>
        </row>
        <row r="684">
          <cell r="G684">
            <v>3</v>
          </cell>
        </row>
        <row r="685">
          <cell r="G685">
            <v>3</v>
          </cell>
        </row>
        <row r="686">
          <cell r="G686">
            <v>3</v>
          </cell>
        </row>
        <row r="687">
          <cell r="G687">
            <v>3</v>
          </cell>
        </row>
        <row r="688">
          <cell r="G688">
            <v>3</v>
          </cell>
        </row>
        <row r="689">
          <cell r="G689">
            <v>3</v>
          </cell>
        </row>
        <row r="690">
          <cell r="G690">
            <v>3</v>
          </cell>
        </row>
        <row r="691">
          <cell r="G691">
            <v>3</v>
          </cell>
        </row>
        <row r="692">
          <cell r="G692">
            <v>3</v>
          </cell>
        </row>
        <row r="693">
          <cell r="G693">
            <v>3</v>
          </cell>
        </row>
        <row r="694">
          <cell r="G694">
            <v>3</v>
          </cell>
        </row>
        <row r="695">
          <cell r="G695">
            <v>3</v>
          </cell>
        </row>
        <row r="696">
          <cell r="G696">
            <v>3</v>
          </cell>
        </row>
        <row r="697">
          <cell r="G697">
            <v>3</v>
          </cell>
        </row>
        <row r="698">
          <cell r="G698">
            <v>3</v>
          </cell>
        </row>
        <row r="699">
          <cell r="G699">
            <v>3</v>
          </cell>
        </row>
        <row r="700">
          <cell r="G700">
            <v>3</v>
          </cell>
        </row>
        <row r="701">
          <cell r="G701">
            <v>3</v>
          </cell>
        </row>
        <row r="702">
          <cell r="G702">
            <v>3</v>
          </cell>
        </row>
        <row r="703">
          <cell r="G703">
            <v>3</v>
          </cell>
        </row>
        <row r="704">
          <cell r="G704">
            <v>3</v>
          </cell>
        </row>
        <row r="705">
          <cell r="G705">
            <v>3</v>
          </cell>
        </row>
        <row r="706">
          <cell r="G706">
            <v>3</v>
          </cell>
        </row>
        <row r="707">
          <cell r="G707">
            <v>3</v>
          </cell>
        </row>
        <row r="708">
          <cell r="G708">
            <v>3</v>
          </cell>
        </row>
        <row r="709">
          <cell r="G709">
            <v>3</v>
          </cell>
        </row>
        <row r="710">
          <cell r="G710">
            <v>3</v>
          </cell>
        </row>
        <row r="711">
          <cell r="G711">
            <v>3</v>
          </cell>
        </row>
        <row r="712">
          <cell r="G712">
            <v>3</v>
          </cell>
        </row>
        <row r="713">
          <cell r="G713">
            <v>3</v>
          </cell>
        </row>
        <row r="714">
          <cell r="G714">
            <v>3</v>
          </cell>
        </row>
        <row r="715">
          <cell r="G715">
            <v>3</v>
          </cell>
        </row>
        <row r="716">
          <cell r="G716">
            <v>3</v>
          </cell>
        </row>
        <row r="717">
          <cell r="G717">
            <v>3</v>
          </cell>
        </row>
        <row r="718">
          <cell r="G718">
            <v>3</v>
          </cell>
        </row>
        <row r="719">
          <cell r="G719">
            <v>3</v>
          </cell>
        </row>
        <row r="720">
          <cell r="G720">
            <v>3</v>
          </cell>
        </row>
        <row r="721">
          <cell r="G721">
            <v>3</v>
          </cell>
        </row>
        <row r="722">
          <cell r="G722">
            <v>3</v>
          </cell>
        </row>
        <row r="723">
          <cell r="G723">
            <v>3</v>
          </cell>
        </row>
        <row r="724">
          <cell r="G724">
            <v>3</v>
          </cell>
        </row>
        <row r="725">
          <cell r="G725">
            <v>3</v>
          </cell>
        </row>
        <row r="726">
          <cell r="G726">
            <v>3</v>
          </cell>
        </row>
        <row r="727">
          <cell r="G727">
            <v>3</v>
          </cell>
        </row>
        <row r="728">
          <cell r="G728">
            <v>3</v>
          </cell>
        </row>
        <row r="729">
          <cell r="G729">
            <v>3</v>
          </cell>
        </row>
        <row r="730">
          <cell r="G730">
            <v>3</v>
          </cell>
        </row>
        <row r="731">
          <cell r="G731">
            <v>3</v>
          </cell>
        </row>
        <row r="732">
          <cell r="G732">
            <v>3</v>
          </cell>
        </row>
        <row r="733">
          <cell r="G733">
            <v>3</v>
          </cell>
        </row>
        <row r="734">
          <cell r="G734">
            <v>3</v>
          </cell>
        </row>
        <row r="735">
          <cell r="G735">
            <v>3</v>
          </cell>
        </row>
        <row r="736">
          <cell r="G736">
            <v>3</v>
          </cell>
        </row>
        <row r="737">
          <cell r="G737">
            <v>3</v>
          </cell>
        </row>
        <row r="738">
          <cell r="G738">
            <v>3</v>
          </cell>
        </row>
        <row r="739">
          <cell r="G739">
            <v>3</v>
          </cell>
        </row>
        <row r="740">
          <cell r="G740">
            <v>3</v>
          </cell>
        </row>
        <row r="741">
          <cell r="G741">
            <v>3</v>
          </cell>
        </row>
        <row r="742">
          <cell r="G742">
            <v>3</v>
          </cell>
        </row>
        <row r="743">
          <cell r="G743">
            <v>3</v>
          </cell>
        </row>
        <row r="744">
          <cell r="G744">
            <v>3</v>
          </cell>
        </row>
        <row r="745">
          <cell r="G745">
            <v>3</v>
          </cell>
        </row>
        <row r="746">
          <cell r="G746">
            <v>3</v>
          </cell>
        </row>
        <row r="747">
          <cell r="G747">
            <v>3</v>
          </cell>
        </row>
        <row r="748">
          <cell r="G748">
            <v>3</v>
          </cell>
        </row>
        <row r="749">
          <cell r="G749">
            <v>3</v>
          </cell>
        </row>
        <row r="750">
          <cell r="G750">
            <v>3</v>
          </cell>
        </row>
        <row r="751">
          <cell r="G751">
            <v>3</v>
          </cell>
        </row>
        <row r="752">
          <cell r="G752">
            <v>3</v>
          </cell>
        </row>
        <row r="753">
          <cell r="G753">
            <v>3</v>
          </cell>
        </row>
        <row r="754">
          <cell r="G754">
            <v>3</v>
          </cell>
        </row>
        <row r="755">
          <cell r="G755">
            <v>3</v>
          </cell>
        </row>
        <row r="756">
          <cell r="G756">
            <v>3</v>
          </cell>
        </row>
        <row r="757">
          <cell r="G757">
            <v>3</v>
          </cell>
        </row>
        <row r="758">
          <cell r="G758">
            <v>3</v>
          </cell>
        </row>
        <row r="759">
          <cell r="G759">
            <v>3</v>
          </cell>
        </row>
        <row r="760">
          <cell r="G760">
            <v>3</v>
          </cell>
        </row>
        <row r="761">
          <cell r="G761">
            <v>3</v>
          </cell>
        </row>
        <row r="762">
          <cell r="G762">
            <v>3</v>
          </cell>
        </row>
        <row r="763">
          <cell r="G763">
            <v>3</v>
          </cell>
        </row>
        <row r="764">
          <cell r="G764">
            <v>3</v>
          </cell>
        </row>
        <row r="765">
          <cell r="G765">
            <v>3</v>
          </cell>
        </row>
        <row r="766">
          <cell r="G766">
            <v>3</v>
          </cell>
        </row>
        <row r="767">
          <cell r="G767">
            <v>3</v>
          </cell>
        </row>
        <row r="768">
          <cell r="G768">
            <v>3</v>
          </cell>
        </row>
        <row r="769">
          <cell r="G769">
            <v>3</v>
          </cell>
        </row>
        <row r="770">
          <cell r="G770">
            <v>3</v>
          </cell>
        </row>
        <row r="771">
          <cell r="G771">
            <v>3</v>
          </cell>
        </row>
        <row r="772">
          <cell r="G772">
            <v>3</v>
          </cell>
        </row>
        <row r="773">
          <cell r="G773">
            <v>3</v>
          </cell>
        </row>
        <row r="774">
          <cell r="G774">
            <v>3</v>
          </cell>
        </row>
        <row r="775">
          <cell r="G775">
            <v>3</v>
          </cell>
        </row>
        <row r="776">
          <cell r="G776">
            <v>3</v>
          </cell>
        </row>
        <row r="777">
          <cell r="G777">
            <v>3</v>
          </cell>
        </row>
        <row r="778">
          <cell r="G778">
            <v>3</v>
          </cell>
        </row>
        <row r="779">
          <cell r="G779">
            <v>3</v>
          </cell>
        </row>
        <row r="780">
          <cell r="G780">
            <v>3</v>
          </cell>
        </row>
        <row r="781">
          <cell r="G781">
            <v>3</v>
          </cell>
        </row>
        <row r="782">
          <cell r="G782">
            <v>3</v>
          </cell>
        </row>
        <row r="783">
          <cell r="G783">
            <v>3</v>
          </cell>
        </row>
        <row r="784">
          <cell r="G784">
            <v>3</v>
          </cell>
        </row>
        <row r="785">
          <cell r="G785">
            <v>3</v>
          </cell>
        </row>
        <row r="786">
          <cell r="G786">
            <v>3</v>
          </cell>
        </row>
        <row r="787">
          <cell r="G787">
            <v>3</v>
          </cell>
        </row>
        <row r="788">
          <cell r="G788">
            <v>3</v>
          </cell>
        </row>
        <row r="789">
          <cell r="G789">
            <v>3</v>
          </cell>
        </row>
        <row r="790">
          <cell r="G790">
            <v>3</v>
          </cell>
        </row>
        <row r="791">
          <cell r="G791">
            <v>3</v>
          </cell>
        </row>
        <row r="792">
          <cell r="G792">
            <v>3</v>
          </cell>
        </row>
        <row r="793">
          <cell r="G793">
            <v>3</v>
          </cell>
        </row>
        <row r="794">
          <cell r="G794">
            <v>3</v>
          </cell>
        </row>
        <row r="795">
          <cell r="G795">
            <v>3</v>
          </cell>
        </row>
        <row r="796">
          <cell r="G796">
            <v>3</v>
          </cell>
        </row>
        <row r="797">
          <cell r="G797">
            <v>3</v>
          </cell>
        </row>
        <row r="798">
          <cell r="G798">
            <v>3</v>
          </cell>
        </row>
        <row r="799">
          <cell r="G799">
            <v>3</v>
          </cell>
        </row>
        <row r="800">
          <cell r="G800">
            <v>3</v>
          </cell>
        </row>
        <row r="801">
          <cell r="G801">
            <v>3</v>
          </cell>
        </row>
        <row r="802">
          <cell r="G802">
            <v>3</v>
          </cell>
        </row>
        <row r="803">
          <cell r="G803">
            <v>3</v>
          </cell>
        </row>
        <row r="804">
          <cell r="G804">
            <v>3</v>
          </cell>
        </row>
        <row r="805">
          <cell r="G805">
            <v>3</v>
          </cell>
        </row>
        <row r="806">
          <cell r="G806">
            <v>3</v>
          </cell>
        </row>
        <row r="807">
          <cell r="G807">
            <v>3</v>
          </cell>
        </row>
        <row r="808">
          <cell r="G808">
            <v>3</v>
          </cell>
        </row>
        <row r="809">
          <cell r="G809">
            <v>3</v>
          </cell>
        </row>
        <row r="810">
          <cell r="G810">
            <v>3</v>
          </cell>
        </row>
        <row r="811">
          <cell r="G811">
            <v>3</v>
          </cell>
        </row>
        <row r="812">
          <cell r="G812">
            <v>3</v>
          </cell>
        </row>
        <row r="813">
          <cell r="G813">
            <v>3</v>
          </cell>
        </row>
        <row r="814">
          <cell r="G814">
            <v>3</v>
          </cell>
        </row>
        <row r="815">
          <cell r="G815">
            <v>3</v>
          </cell>
        </row>
        <row r="816">
          <cell r="G816">
            <v>3</v>
          </cell>
        </row>
        <row r="817">
          <cell r="G817">
            <v>3</v>
          </cell>
        </row>
        <row r="818">
          <cell r="G818">
            <v>3</v>
          </cell>
        </row>
        <row r="819">
          <cell r="G819">
            <v>3</v>
          </cell>
        </row>
        <row r="820">
          <cell r="G820">
            <v>3</v>
          </cell>
        </row>
        <row r="821">
          <cell r="G821">
            <v>3</v>
          </cell>
        </row>
        <row r="822">
          <cell r="G822">
            <v>3</v>
          </cell>
        </row>
        <row r="823">
          <cell r="G823">
            <v>3</v>
          </cell>
        </row>
        <row r="824">
          <cell r="G824">
            <v>3</v>
          </cell>
        </row>
        <row r="825">
          <cell r="G825">
            <v>3</v>
          </cell>
        </row>
        <row r="826">
          <cell r="G826">
            <v>3</v>
          </cell>
        </row>
        <row r="827">
          <cell r="G827">
            <v>3</v>
          </cell>
        </row>
        <row r="828">
          <cell r="G828">
            <v>3</v>
          </cell>
        </row>
        <row r="829">
          <cell r="G829">
            <v>3</v>
          </cell>
        </row>
        <row r="830">
          <cell r="G830">
            <v>3</v>
          </cell>
        </row>
        <row r="831">
          <cell r="G831">
            <v>3</v>
          </cell>
        </row>
        <row r="832">
          <cell r="G832">
            <v>3</v>
          </cell>
        </row>
        <row r="833">
          <cell r="G833">
            <v>3</v>
          </cell>
        </row>
        <row r="834">
          <cell r="G834">
            <v>3</v>
          </cell>
        </row>
        <row r="835">
          <cell r="G835">
            <v>3</v>
          </cell>
        </row>
        <row r="836">
          <cell r="G836">
            <v>3</v>
          </cell>
        </row>
        <row r="837">
          <cell r="G837">
            <v>3</v>
          </cell>
        </row>
        <row r="838">
          <cell r="G838">
            <v>3</v>
          </cell>
        </row>
        <row r="839">
          <cell r="G839">
            <v>3</v>
          </cell>
        </row>
        <row r="840">
          <cell r="G840">
            <v>3</v>
          </cell>
        </row>
        <row r="841">
          <cell r="G841">
            <v>3</v>
          </cell>
        </row>
        <row r="842">
          <cell r="G842">
            <v>3</v>
          </cell>
        </row>
        <row r="843">
          <cell r="G843">
            <v>3</v>
          </cell>
        </row>
        <row r="844">
          <cell r="G844">
            <v>3</v>
          </cell>
        </row>
        <row r="845">
          <cell r="G845">
            <v>3</v>
          </cell>
        </row>
        <row r="846">
          <cell r="G846">
            <v>3</v>
          </cell>
        </row>
        <row r="847">
          <cell r="G847">
            <v>3</v>
          </cell>
        </row>
        <row r="848">
          <cell r="G848">
            <v>3</v>
          </cell>
        </row>
        <row r="849">
          <cell r="G849">
            <v>3</v>
          </cell>
        </row>
        <row r="850">
          <cell r="G850">
            <v>3</v>
          </cell>
        </row>
        <row r="851">
          <cell r="G851">
            <v>3</v>
          </cell>
        </row>
        <row r="852">
          <cell r="G852">
            <v>3</v>
          </cell>
        </row>
        <row r="853">
          <cell r="G853">
            <v>3</v>
          </cell>
        </row>
        <row r="854">
          <cell r="G854">
            <v>3</v>
          </cell>
        </row>
        <row r="855">
          <cell r="G855">
            <v>3</v>
          </cell>
        </row>
        <row r="856">
          <cell r="G856">
            <v>3</v>
          </cell>
        </row>
        <row r="857">
          <cell r="G857">
            <v>3</v>
          </cell>
        </row>
        <row r="858">
          <cell r="G858">
            <v>3</v>
          </cell>
        </row>
        <row r="859">
          <cell r="G859">
            <v>3</v>
          </cell>
        </row>
        <row r="860">
          <cell r="G860">
            <v>3</v>
          </cell>
        </row>
        <row r="861">
          <cell r="G861">
            <v>3</v>
          </cell>
        </row>
        <row r="862">
          <cell r="G862">
            <v>3</v>
          </cell>
        </row>
        <row r="863">
          <cell r="G863">
            <v>3</v>
          </cell>
        </row>
        <row r="864">
          <cell r="G864">
            <v>3</v>
          </cell>
        </row>
        <row r="865">
          <cell r="G865">
            <v>3</v>
          </cell>
        </row>
        <row r="866">
          <cell r="G866">
            <v>3</v>
          </cell>
        </row>
        <row r="867">
          <cell r="G867">
            <v>3</v>
          </cell>
        </row>
        <row r="868">
          <cell r="G868">
            <v>3</v>
          </cell>
        </row>
        <row r="869">
          <cell r="G869">
            <v>3</v>
          </cell>
        </row>
        <row r="870">
          <cell r="G870">
            <v>3</v>
          </cell>
        </row>
        <row r="871">
          <cell r="G871">
            <v>3</v>
          </cell>
        </row>
        <row r="872">
          <cell r="G872">
            <v>3</v>
          </cell>
        </row>
        <row r="873">
          <cell r="G873">
            <v>3</v>
          </cell>
        </row>
        <row r="874">
          <cell r="G874">
            <v>3</v>
          </cell>
        </row>
        <row r="875">
          <cell r="G875">
            <v>3</v>
          </cell>
        </row>
        <row r="876">
          <cell r="G876">
            <v>3</v>
          </cell>
        </row>
        <row r="877">
          <cell r="G877">
            <v>3</v>
          </cell>
        </row>
        <row r="878">
          <cell r="G878">
            <v>3</v>
          </cell>
        </row>
        <row r="879">
          <cell r="G879">
            <v>3</v>
          </cell>
        </row>
        <row r="880">
          <cell r="G880">
            <v>3</v>
          </cell>
        </row>
        <row r="881">
          <cell r="G881">
            <v>3</v>
          </cell>
        </row>
        <row r="882">
          <cell r="G882">
            <v>3</v>
          </cell>
        </row>
        <row r="883">
          <cell r="G883">
            <v>3</v>
          </cell>
        </row>
        <row r="884">
          <cell r="G884">
            <v>3</v>
          </cell>
        </row>
        <row r="885">
          <cell r="G885">
            <v>3</v>
          </cell>
        </row>
        <row r="886">
          <cell r="G886">
            <v>3</v>
          </cell>
        </row>
        <row r="887">
          <cell r="G887">
            <v>3</v>
          </cell>
        </row>
        <row r="888">
          <cell r="G888">
            <v>3</v>
          </cell>
        </row>
        <row r="889">
          <cell r="G889">
            <v>3</v>
          </cell>
        </row>
        <row r="890">
          <cell r="G890">
            <v>3</v>
          </cell>
        </row>
        <row r="891">
          <cell r="G891">
            <v>3</v>
          </cell>
        </row>
        <row r="892">
          <cell r="G892">
            <v>3</v>
          </cell>
        </row>
        <row r="893">
          <cell r="G893">
            <v>3</v>
          </cell>
        </row>
        <row r="894">
          <cell r="G894">
            <v>3</v>
          </cell>
        </row>
        <row r="895">
          <cell r="G895">
            <v>3</v>
          </cell>
        </row>
        <row r="896">
          <cell r="G896">
            <v>3</v>
          </cell>
        </row>
        <row r="897">
          <cell r="G897">
            <v>3</v>
          </cell>
        </row>
        <row r="898">
          <cell r="G898">
            <v>3</v>
          </cell>
        </row>
        <row r="899">
          <cell r="G899">
            <v>3</v>
          </cell>
        </row>
        <row r="900">
          <cell r="G900">
            <v>3</v>
          </cell>
        </row>
        <row r="901">
          <cell r="G901">
            <v>3</v>
          </cell>
        </row>
        <row r="902">
          <cell r="G902">
            <v>3</v>
          </cell>
        </row>
        <row r="903">
          <cell r="G903">
            <v>3</v>
          </cell>
        </row>
        <row r="904">
          <cell r="G904">
            <v>3</v>
          </cell>
        </row>
        <row r="905">
          <cell r="G905">
            <v>3</v>
          </cell>
        </row>
        <row r="906">
          <cell r="G906">
            <v>3</v>
          </cell>
        </row>
        <row r="907">
          <cell r="G907">
            <v>3</v>
          </cell>
        </row>
        <row r="908">
          <cell r="G908">
            <v>3</v>
          </cell>
        </row>
        <row r="909">
          <cell r="G909">
            <v>3</v>
          </cell>
        </row>
        <row r="910">
          <cell r="G910">
            <v>3</v>
          </cell>
        </row>
        <row r="911">
          <cell r="G911">
            <v>3</v>
          </cell>
        </row>
        <row r="912">
          <cell r="G912">
            <v>3</v>
          </cell>
        </row>
        <row r="913">
          <cell r="G913">
            <v>3</v>
          </cell>
        </row>
        <row r="914">
          <cell r="G914">
            <v>3</v>
          </cell>
        </row>
        <row r="915">
          <cell r="G915">
            <v>3</v>
          </cell>
        </row>
        <row r="916">
          <cell r="G916">
            <v>3</v>
          </cell>
        </row>
        <row r="917">
          <cell r="G917">
            <v>3</v>
          </cell>
        </row>
        <row r="918">
          <cell r="G918">
            <v>3</v>
          </cell>
        </row>
        <row r="919">
          <cell r="G919">
            <v>3</v>
          </cell>
        </row>
        <row r="920">
          <cell r="G920">
            <v>3</v>
          </cell>
        </row>
        <row r="921">
          <cell r="G921">
            <v>3</v>
          </cell>
        </row>
        <row r="922">
          <cell r="G922">
            <v>3</v>
          </cell>
        </row>
        <row r="923">
          <cell r="G923">
            <v>3</v>
          </cell>
        </row>
        <row r="924">
          <cell r="G924">
            <v>3</v>
          </cell>
        </row>
        <row r="925">
          <cell r="G925">
            <v>3</v>
          </cell>
        </row>
        <row r="926">
          <cell r="G926">
            <v>3</v>
          </cell>
        </row>
        <row r="927">
          <cell r="G927">
            <v>3</v>
          </cell>
        </row>
        <row r="928">
          <cell r="G928">
            <v>3</v>
          </cell>
        </row>
        <row r="929">
          <cell r="G929">
            <v>3</v>
          </cell>
        </row>
        <row r="930">
          <cell r="G930">
            <v>3</v>
          </cell>
        </row>
        <row r="931">
          <cell r="G931">
            <v>3</v>
          </cell>
        </row>
        <row r="932">
          <cell r="G932">
            <v>3</v>
          </cell>
        </row>
        <row r="933">
          <cell r="G933">
            <v>3</v>
          </cell>
        </row>
        <row r="934">
          <cell r="G934">
            <v>3</v>
          </cell>
        </row>
        <row r="935">
          <cell r="G935">
            <v>3</v>
          </cell>
        </row>
        <row r="936">
          <cell r="G936">
            <v>3</v>
          </cell>
        </row>
        <row r="937">
          <cell r="G937">
            <v>3</v>
          </cell>
        </row>
        <row r="938">
          <cell r="G938">
            <v>3</v>
          </cell>
        </row>
        <row r="939">
          <cell r="G939">
            <v>3</v>
          </cell>
        </row>
        <row r="940">
          <cell r="G940">
            <v>3</v>
          </cell>
        </row>
        <row r="941">
          <cell r="G941">
            <v>3</v>
          </cell>
        </row>
        <row r="942">
          <cell r="G942">
            <v>3</v>
          </cell>
        </row>
        <row r="943">
          <cell r="G943">
            <v>3</v>
          </cell>
        </row>
        <row r="944">
          <cell r="G944">
            <v>3</v>
          </cell>
        </row>
        <row r="945">
          <cell r="G945">
            <v>3</v>
          </cell>
        </row>
        <row r="946">
          <cell r="G946">
            <v>3</v>
          </cell>
        </row>
        <row r="947">
          <cell r="G947">
            <v>3</v>
          </cell>
        </row>
        <row r="948">
          <cell r="G948">
            <v>3</v>
          </cell>
        </row>
        <row r="949">
          <cell r="G949">
            <v>3</v>
          </cell>
        </row>
        <row r="950">
          <cell r="G950">
            <v>3</v>
          </cell>
        </row>
        <row r="951">
          <cell r="G951">
            <v>3</v>
          </cell>
        </row>
        <row r="952">
          <cell r="G952">
            <v>3</v>
          </cell>
        </row>
        <row r="953">
          <cell r="G953">
            <v>3</v>
          </cell>
        </row>
        <row r="954">
          <cell r="G954">
            <v>3</v>
          </cell>
        </row>
        <row r="955">
          <cell r="G955">
            <v>3</v>
          </cell>
        </row>
        <row r="956">
          <cell r="G956">
            <v>3</v>
          </cell>
        </row>
        <row r="957">
          <cell r="G957">
            <v>3</v>
          </cell>
        </row>
        <row r="958">
          <cell r="G958">
            <v>3</v>
          </cell>
        </row>
        <row r="959">
          <cell r="G959">
            <v>3</v>
          </cell>
        </row>
        <row r="960">
          <cell r="G960">
            <v>3</v>
          </cell>
        </row>
        <row r="961">
          <cell r="G961">
            <v>3</v>
          </cell>
        </row>
        <row r="962">
          <cell r="G962">
            <v>3</v>
          </cell>
        </row>
        <row r="963">
          <cell r="G963">
            <v>3</v>
          </cell>
        </row>
        <row r="964">
          <cell r="G964">
            <v>3</v>
          </cell>
        </row>
        <row r="965">
          <cell r="G965">
            <v>3</v>
          </cell>
        </row>
        <row r="966">
          <cell r="G966">
            <v>3</v>
          </cell>
        </row>
        <row r="967">
          <cell r="G967">
            <v>3</v>
          </cell>
        </row>
        <row r="968">
          <cell r="G968">
            <v>3</v>
          </cell>
        </row>
        <row r="969">
          <cell r="G969">
            <v>3</v>
          </cell>
        </row>
        <row r="970">
          <cell r="G970">
            <v>3</v>
          </cell>
        </row>
        <row r="971">
          <cell r="G971">
            <v>3</v>
          </cell>
        </row>
        <row r="972">
          <cell r="G972">
            <v>3</v>
          </cell>
        </row>
        <row r="973">
          <cell r="G973">
            <v>3</v>
          </cell>
        </row>
        <row r="974">
          <cell r="G974">
            <v>3</v>
          </cell>
        </row>
        <row r="975">
          <cell r="G975">
            <v>3</v>
          </cell>
        </row>
        <row r="976">
          <cell r="G976">
            <v>3</v>
          </cell>
        </row>
        <row r="977">
          <cell r="G977">
            <v>3</v>
          </cell>
        </row>
        <row r="978">
          <cell r="G978">
            <v>3</v>
          </cell>
        </row>
        <row r="979">
          <cell r="G979">
            <v>3</v>
          </cell>
        </row>
        <row r="980">
          <cell r="G980">
            <v>3</v>
          </cell>
        </row>
        <row r="981">
          <cell r="G981">
            <v>3</v>
          </cell>
        </row>
        <row r="982">
          <cell r="G982">
            <v>3</v>
          </cell>
        </row>
        <row r="983">
          <cell r="G983">
            <v>3</v>
          </cell>
        </row>
        <row r="984">
          <cell r="G984">
            <v>3</v>
          </cell>
        </row>
        <row r="985">
          <cell r="G985">
            <v>3</v>
          </cell>
        </row>
        <row r="986">
          <cell r="G986">
            <v>3</v>
          </cell>
        </row>
        <row r="987">
          <cell r="G987">
            <v>3</v>
          </cell>
        </row>
        <row r="988">
          <cell r="G988">
            <v>3</v>
          </cell>
        </row>
        <row r="989">
          <cell r="G989">
            <v>3</v>
          </cell>
        </row>
        <row r="990">
          <cell r="G990">
            <v>3</v>
          </cell>
        </row>
        <row r="991">
          <cell r="G991">
            <v>3</v>
          </cell>
        </row>
        <row r="992">
          <cell r="G992">
            <v>3</v>
          </cell>
        </row>
        <row r="993">
          <cell r="G993">
            <v>3</v>
          </cell>
        </row>
        <row r="994">
          <cell r="G994">
            <v>3</v>
          </cell>
        </row>
        <row r="995">
          <cell r="G995">
            <v>3</v>
          </cell>
        </row>
        <row r="996">
          <cell r="G996">
            <v>3</v>
          </cell>
        </row>
        <row r="997">
          <cell r="G997">
            <v>3</v>
          </cell>
        </row>
        <row r="998">
          <cell r="G998">
            <v>3</v>
          </cell>
        </row>
        <row r="999">
          <cell r="G999">
            <v>3</v>
          </cell>
        </row>
        <row r="1000">
          <cell r="G1000">
            <v>3</v>
          </cell>
        </row>
        <row r="1001">
          <cell r="G1001">
            <v>3</v>
          </cell>
        </row>
        <row r="1002">
          <cell r="G1002">
            <v>3</v>
          </cell>
        </row>
        <row r="1003">
          <cell r="G1003">
            <v>3</v>
          </cell>
        </row>
        <row r="1004">
          <cell r="G1004">
            <v>3</v>
          </cell>
        </row>
        <row r="1005">
          <cell r="G1005">
            <v>3</v>
          </cell>
        </row>
        <row r="1006">
          <cell r="G1006">
            <v>3</v>
          </cell>
        </row>
        <row r="1007">
          <cell r="G1007">
            <v>3</v>
          </cell>
        </row>
        <row r="1008">
          <cell r="G1008">
            <v>3</v>
          </cell>
        </row>
        <row r="1009">
          <cell r="G1009">
            <v>3</v>
          </cell>
        </row>
        <row r="1010">
          <cell r="G1010">
            <v>3</v>
          </cell>
        </row>
        <row r="1011">
          <cell r="G1011">
            <v>3</v>
          </cell>
        </row>
        <row r="1012">
          <cell r="G1012">
            <v>3</v>
          </cell>
        </row>
        <row r="1013">
          <cell r="G1013">
            <v>3</v>
          </cell>
        </row>
        <row r="1014">
          <cell r="G1014">
            <v>3</v>
          </cell>
        </row>
        <row r="1015">
          <cell r="G1015">
            <v>3</v>
          </cell>
        </row>
        <row r="1016">
          <cell r="G1016">
            <v>3</v>
          </cell>
        </row>
        <row r="1017">
          <cell r="G1017">
            <v>3</v>
          </cell>
        </row>
        <row r="1018">
          <cell r="G1018">
            <v>3</v>
          </cell>
        </row>
        <row r="1019">
          <cell r="G1019">
            <v>3</v>
          </cell>
        </row>
        <row r="1020">
          <cell r="G1020">
            <v>3</v>
          </cell>
        </row>
        <row r="1021">
          <cell r="G1021">
            <v>3</v>
          </cell>
        </row>
        <row r="1022">
          <cell r="G1022">
            <v>3</v>
          </cell>
        </row>
        <row r="1023">
          <cell r="G1023">
            <v>3</v>
          </cell>
        </row>
        <row r="1024">
          <cell r="G1024">
            <v>3</v>
          </cell>
        </row>
        <row r="1025">
          <cell r="G1025">
            <v>3</v>
          </cell>
        </row>
        <row r="1026">
          <cell r="G1026">
            <v>3</v>
          </cell>
        </row>
        <row r="1027">
          <cell r="G1027">
            <v>3</v>
          </cell>
        </row>
        <row r="1028">
          <cell r="G1028">
            <v>3</v>
          </cell>
        </row>
        <row r="1029">
          <cell r="G1029">
            <v>3</v>
          </cell>
        </row>
        <row r="1030">
          <cell r="G1030">
            <v>3</v>
          </cell>
        </row>
        <row r="1031">
          <cell r="G1031">
            <v>3</v>
          </cell>
        </row>
        <row r="1032">
          <cell r="G1032">
            <v>3</v>
          </cell>
        </row>
        <row r="1033">
          <cell r="G1033">
            <v>3</v>
          </cell>
        </row>
        <row r="1034">
          <cell r="G1034">
            <v>3</v>
          </cell>
        </row>
        <row r="1035">
          <cell r="G1035">
            <v>3</v>
          </cell>
        </row>
        <row r="1036">
          <cell r="G1036">
            <v>3</v>
          </cell>
        </row>
        <row r="1037">
          <cell r="G1037">
            <v>3</v>
          </cell>
        </row>
        <row r="1038">
          <cell r="G1038">
            <v>3</v>
          </cell>
        </row>
        <row r="1039">
          <cell r="G1039">
            <v>3</v>
          </cell>
        </row>
        <row r="1040">
          <cell r="G1040">
            <v>3</v>
          </cell>
        </row>
        <row r="1041">
          <cell r="G1041">
            <v>3</v>
          </cell>
        </row>
        <row r="1042">
          <cell r="G1042">
            <v>3</v>
          </cell>
        </row>
        <row r="1043">
          <cell r="G1043">
            <v>3</v>
          </cell>
        </row>
        <row r="1044">
          <cell r="G1044">
            <v>3</v>
          </cell>
        </row>
        <row r="1045">
          <cell r="G1045">
            <v>3</v>
          </cell>
        </row>
        <row r="1046">
          <cell r="G1046">
            <v>3</v>
          </cell>
        </row>
        <row r="1047">
          <cell r="G1047">
            <v>3</v>
          </cell>
        </row>
        <row r="1048">
          <cell r="G1048">
            <v>3</v>
          </cell>
        </row>
        <row r="1049">
          <cell r="G1049">
            <v>3</v>
          </cell>
        </row>
        <row r="1050">
          <cell r="G1050">
            <v>3</v>
          </cell>
        </row>
        <row r="1051">
          <cell r="G1051">
            <v>3</v>
          </cell>
        </row>
        <row r="1052">
          <cell r="G1052">
            <v>3</v>
          </cell>
        </row>
        <row r="1053">
          <cell r="G1053">
            <v>3</v>
          </cell>
        </row>
        <row r="1054">
          <cell r="G1054">
            <v>3</v>
          </cell>
        </row>
        <row r="1055">
          <cell r="G1055">
            <v>3</v>
          </cell>
        </row>
        <row r="1056">
          <cell r="G1056">
            <v>3</v>
          </cell>
        </row>
        <row r="1057">
          <cell r="G1057">
            <v>3</v>
          </cell>
        </row>
        <row r="1058">
          <cell r="G1058">
            <v>3</v>
          </cell>
        </row>
        <row r="1059">
          <cell r="G1059">
            <v>3</v>
          </cell>
        </row>
        <row r="1060">
          <cell r="G1060">
            <v>3</v>
          </cell>
        </row>
        <row r="1061">
          <cell r="G1061">
            <v>3</v>
          </cell>
        </row>
        <row r="1062">
          <cell r="G1062">
            <v>3</v>
          </cell>
        </row>
        <row r="1063">
          <cell r="G1063">
            <v>3</v>
          </cell>
        </row>
        <row r="1064">
          <cell r="G1064">
            <v>3</v>
          </cell>
        </row>
        <row r="1065">
          <cell r="G1065">
            <v>3</v>
          </cell>
        </row>
        <row r="1066">
          <cell r="G1066">
            <v>3</v>
          </cell>
        </row>
        <row r="1067">
          <cell r="G1067">
            <v>3</v>
          </cell>
        </row>
        <row r="1068">
          <cell r="G1068">
            <v>3</v>
          </cell>
        </row>
        <row r="1069">
          <cell r="G1069">
            <v>3</v>
          </cell>
        </row>
        <row r="1070">
          <cell r="G1070">
            <v>3</v>
          </cell>
        </row>
        <row r="1071">
          <cell r="G1071">
            <v>3</v>
          </cell>
        </row>
        <row r="1072">
          <cell r="G1072">
            <v>3</v>
          </cell>
        </row>
        <row r="1073">
          <cell r="G1073">
            <v>3</v>
          </cell>
        </row>
        <row r="1074">
          <cell r="G1074">
            <v>3</v>
          </cell>
        </row>
        <row r="1075">
          <cell r="G1075">
            <v>3</v>
          </cell>
        </row>
        <row r="1076">
          <cell r="G1076">
            <v>3</v>
          </cell>
        </row>
        <row r="1077">
          <cell r="G1077">
            <v>3</v>
          </cell>
        </row>
        <row r="1078">
          <cell r="G1078">
            <v>3</v>
          </cell>
        </row>
        <row r="1079">
          <cell r="G1079">
            <v>3</v>
          </cell>
        </row>
        <row r="1080">
          <cell r="G1080">
            <v>3</v>
          </cell>
        </row>
        <row r="1081">
          <cell r="G1081">
            <v>3</v>
          </cell>
        </row>
        <row r="1082">
          <cell r="G1082">
            <v>3</v>
          </cell>
        </row>
        <row r="1083">
          <cell r="G1083">
            <v>3</v>
          </cell>
        </row>
        <row r="1084">
          <cell r="G1084">
            <v>3</v>
          </cell>
        </row>
        <row r="1085">
          <cell r="G1085">
            <v>3</v>
          </cell>
        </row>
        <row r="1086">
          <cell r="G1086">
            <v>3</v>
          </cell>
        </row>
        <row r="1087">
          <cell r="G1087">
            <v>3</v>
          </cell>
        </row>
        <row r="1088">
          <cell r="G1088">
            <v>3</v>
          </cell>
        </row>
        <row r="1089">
          <cell r="G1089">
            <v>3</v>
          </cell>
        </row>
        <row r="1090">
          <cell r="G1090">
            <v>3</v>
          </cell>
        </row>
        <row r="1091">
          <cell r="G1091">
            <v>3</v>
          </cell>
        </row>
        <row r="1092">
          <cell r="G1092">
            <v>3</v>
          </cell>
        </row>
        <row r="1093">
          <cell r="G1093">
            <v>3</v>
          </cell>
        </row>
        <row r="1094">
          <cell r="G1094">
            <v>3</v>
          </cell>
        </row>
        <row r="1095">
          <cell r="G1095">
            <v>3</v>
          </cell>
        </row>
        <row r="1096">
          <cell r="G1096">
            <v>3</v>
          </cell>
        </row>
        <row r="1097">
          <cell r="G1097">
            <v>3</v>
          </cell>
        </row>
        <row r="1098">
          <cell r="G1098">
            <v>3</v>
          </cell>
        </row>
        <row r="1099">
          <cell r="G1099">
            <v>3</v>
          </cell>
        </row>
        <row r="1100">
          <cell r="G1100">
            <v>3</v>
          </cell>
        </row>
        <row r="1101">
          <cell r="G1101">
            <v>3</v>
          </cell>
        </row>
        <row r="1102">
          <cell r="G1102">
            <v>3</v>
          </cell>
        </row>
        <row r="1103">
          <cell r="G1103">
            <v>3</v>
          </cell>
        </row>
        <row r="1104">
          <cell r="G1104">
            <v>3</v>
          </cell>
        </row>
        <row r="1105">
          <cell r="G1105">
            <v>3</v>
          </cell>
        </row>
        <row r="1106">
          <cell r="G1106">
            <v>3</v>
          </cell>
        </row>
        <row r="1107">
          <cell r="G1107">
            <v>3</v>
          </cell>
        </row>
        <row r="1108">
          <cell r="G1108">
            <v>3</v>
          </cell>
        </row>
        <row r="1109">
          <cell r="G1109">
            <v>3</v>
          </cell>
        </row>
        <row r="1110">
          <cell r="G1110">
            <v>3</v>
          </cell>
        </row>
        <row r="1111">
          <cell r="G1111">
            <v>3</v>
          </cell>
        </row>
        <row r="1112">
          <cell r="G1112">
            <v>3</v>
          </cell>
        </row>
        <row r="1113">
          <cell r="G1113">
            <v>3</v>
          </cell>
        </row>
        <row r="1114">
          <cell r="G1114">
            <v>3</v>
          </cell>
        </row>
        <row r="1115">
          <cell r="G1115">
            <v>3</v>
          </cell>
        </row>
        <row r="1116">
          <cell r="G1116">
            <v>3</v>
          </cell>
        </row>
        <row r="1117">
          <cell r="G1117">
            <v>3</v>
          </cell>
        </row>
        <row r="1118">
          <cell r="G1118">
            <v>3</v>
          </cell>
        </row>
        <row r="1119">
          <cell r="G1119">
            <v>3</v>
          </cell>
        </row>
        <row r="1120">
          <cell r="G1120">
            <v>3</v>
          </cell>
        </row>
        <row r="1121">
          <cell r="G1121">
            <v>3</v>
          </cell>
        </row>
        <row r="1122">
          <cell r="G1122">
            <v>3</v>
          </cell>
        </row>
        <row r="1123">
          <cell r="G1123">
            <v>3</v>
          </cell>
        </row>
        <row r="1124">
          <cell r="G1124">
            <v>3</v>
          </cell>
        </row>
        <row r="1125">
          <cell r="G1125">
            <v>3</v>
          </cell>
        </row>
        <row r="1126">
          <cell r="G1126">
            <v>3</v>
          </cell>
        </row>
        <row r="1127">
          <cell r="G1127">
            <v>3</v>
          </cell>
        </row>
        <row r="1128">
          <cell r="G1128">
            <v>3</v>
          </cell>
        </row>
        <row r="1129">
          <cell r="G1129">
            <v>3</v>
          </cell>
        </row>
        <row r="1130">
          <cell r="G1130">
            <v>3</v>
          </cell>
        </row>
        <row r="1131">
          <cell r="G1131">
            <v>3</v>
          </cell>
        </row>
        <row r="1132">
          <cell r="G1132">
            <v>3</v>
          </cell>
        </row>
        <row r="1133">
          <cell r="G1133">
            <v>3</v>
          </cell>
        </row>
        <row r="1134">
          <cell r="G1134">
            <v>3</v>
          </cell>
        </row>
        <row r="1135">
          <cell r="G1135">
            <v>3</v>
          </cell>
        </row>
        <row r="1136">
          <cell r="G1136">
            <v>3</v>
          </cell>
        </row>
        <row r="1137">
          <cell r="G1137">
            <v>3</v>
          </cell>
        </row>
        <row r="1138">
          <cell r="G1138">
            <v>3</v>
          </cell>
        </row>
        <row r="1139">
          <cell r="G1139">
            <v>3</v>
          </cell>
        </row>
        <row r="1140">
          <cell r="G1140">
            <v>3</v>
          </cell>
        </row>
        <row r="1141">
          <cell r="G1141">
            <v>3</v>
          </cell>
        </row>
        <row r="1142">
          <cell r="G1142">
            <v>3</v>
          </cell>
        </row>
        <row r="1143">
          <cell r="G1143">
            <v>3</v>
          </cell>
        </row>
        <row r="1144">
          <cell r="G1144">
            <v>3</v>
          </cell>
        </row>
        <row r="1145">
          <cell r="G1145">
            <v>3</v>
          </cell>
        </row>
        <row r="1146">
          <cell r="G1146">
            <v>3</v>
          </cell>
        </row>
        <row r="1147">
          <cell r="G1147">
            <v>3</v>
          </cell>
        </row>
        <row r="1148">
          <cell r="G1148">
            <v>3</v>
          </cell>
        </row>
        <row r="1149">
          <cell r="G1149">
            <v>3</v>
          </cell>
        </row>
        <row r="1150">
          <cell r="G1150">
            <v>3</v>
          </cell>
        </row>
        <row r="1151">
          <cell r="G1151">
            <v>3</v>
          </cell>
        </row>
        <row r="1152">
          <cell r="G1152">
            <v>3</v>
          </cell>
        </row>
        <row r="1153">
          <cell r="G1153">
            <v>3</v>
          </cell>
        </row>
        <row r="1154">
          <cell r="G1154">
            <v>3</v>
          </cell>
        </row>
        <row r="1155">
          <cell r="G1155">
            <v>3</v>
          </cell>
        </row>
        <row r="1156">
          <cell r="G1156">
            <v>3</v>
          </cell>
        </row>
        <row r="1157">
          <cell r="G1157">
            <v>3</v>
          </cell>
        </row>
        <row r="1158">
          <cell r="G1158">
            <v>3</v>
          </cell>
        </row>
        <row r="1159">
          <cell r="G1159">
            <v>3</v>
          </cell>
        </row>
        <row r="1160">
          <cell r="G1160">
            <v>3</v>
          </cell>
        </row>
        <row r="1161">
          <cell r="G1161">
            <v>3</v>
          </cell>
        </row>
        <row r="1162">
          <cell r="G1162">
            <v>3</v>
          </cell>
        </row>
        <row r="1163">
          <cell r="G1163">
            <v>3</v>
          </cell>
        </row>
        <row r="1164">
          <cell r="G1164">
            <v>3</v>
          </cell>
        </row>
        <row r="1165">
          <cell r="G1165">
            <v>3</v>
          </cell>
        </row>
        <row r="1166">
          <cell r="G1166">
            <v>3</v>
          </cell>
        </row>
        <row r="1167">
          <cell r="G1167">
            <v>3</v>
          </cell>
        </row>
        <row r="1168">
          <cell r="G1168">
            <v>3</v>
          </cell>
        </row>
        <row r="1169">
          <cell r="G1169">
            <v>3</v>
          </cell>
        </row>
        <row r="1170">
          <cell r="G1170">
            <v>3</v>
          </cell>
        </row>
        <row r="1171">
          <cell r="G1171">
            <v>3</v>
          </cell>
        </row>
        <row r="1172">
          <cell r="G1172">
            <v>3</v>
          </cell>
        </row>
        <row r="1173">
          <cell r="G1173">
            <v>3</v>
          </cell>
        </row>
        <row r="1174">
          <cell r="G1174">
            <v>3</v>
          </cell>
        </row>
        <row r="1175">
          <cell r="G1175">
            <v>3</v>
          </cell>
        </row>
        <row r="1176">
          <cell r="G1176">
            <v>3</v>
          </cell>
        </row>
        <row r="1177">
          <cell r="G1177">
            <v>3</v>
          </cell>
        </row>
        <row r="1178">
          <cell r="G1178">
            <v>3</v>
          </cell>
        </row>
        <row r="1179">
          <cell r="G1179">
            <v>3</v>
          </cell>
        </row>
        <row r="1180">
          <cell r="G1180">
            <v>3</v>
          </cell>
        </row>
        <row r="1181">
          <cell r="G1181">
            <v>3</v>
          </cell>
        </row>
        <row r="1182">
          <cell r="G1182">
            <v>3</v>
          </cell>
        </row>
        <row r="1183">
          <cell r="G1183">
            <v>3</v>
          </cell>
        </row>
        <row r="1184">
          <cell r="G1184">
            <v>3</v>
          </cell>
        </row>
        <row r="1185">
          <cell r="G1185">
            <v>3</v>
          </cell>
        </row>
        <row r="1186">
          <cell r="G1186">
            <v>3</v>
          </cell>
        </row>
        <row r="1187">
          <cell r="G1187">
            <v>3</v>
          </cell>
        </row>
        <row r="1188">
          <cell r="G1188">
            <v>3</v>
          </cell>
        </row>
        <row r="1189">
          <cell r="G1189">
            <v>3</v>
          </cell>
        </row>
        <row r="1190">
          <cell r="G1190">
            <v>3</v>
          </cell>
        </row>
        <row r="1191">
          <cell r="G1191">
            <v>3</v>
          </cell>
        </row>
        <row r="1192">
          <cell r="G1192">
            <v>3</v>
          </cell>
        </row>
        <row r="1193">
          <cell r="G1193">
            <v>3</v>
          </cell>
        </row>
        <row r="1194">
          <cell r="G1194">
            <v>3</v>
          </cell>
        </row>
        <row r="1195">
          <cell r="G1195">
            <v>3</v>
          </cell>
        </row>
        <row r="1196">
          <cell r="G1196">
            <v>3</v>
          </cell>
        </row>
        <row r="1197">
          <cell r="G1197">
            <v>3</v>
          </cell>
        </row>
        <row r="1198">
          <cell r="G1198">
            <v>3</v>
          </cell>
        </row>
        <row r="1199">
          <cell r="G1199">
            <v>3</v>
          </cell>
        </row>
        <row r="1200">
          <cell r="G1200">
            <v>3</v>
          </cell>
        </row>
        <row r="1201">
          <cell r="G1201">
            <v>3</v>
          </cell>
        </row>
        <row r="1202">
          <cell r="G1202">
            <v>3</v>
          </cell>
        </row>
        <row r="1203">
          <cell r="G1203">
            <v>3</v>
          </cell>
        </row>
        <row r="1204">
          <cell r="G1204">
            <v>3</v>
          </cell>
        </row>
        <row r="1205">
          <cell r="G1205">
            <v>3</v>
          </cell>
        </row>
        <row r="1206">
          <cell r="G1206">
            <v>3</v>
          </cell>
        </row>
        <row r="1207">
          <cell r="G1207">
            <v>3</v>
          </cell>
        </row>
        <row r="1208">
          <cell r="G1208">
            <v>3</v>
          </cell>
        </row>
        <row r="1209">
          <cell r="G1209">
            <v>3</v>
          </cell>
        </row>
        <row r="1210">
          <cell r="G1210">
            <v>3</v>
          </cell>
        </row>
        <row r="1211">
          <cell r="G1211">
            <v>3</v>
          </cell>
        </row>
        <row r="1212">
          <cell r="G1212">
            <v>3</v>
          </cell>
        </row>
        <row r="1213">
          <cell r="G1213">
            <v>3</v>
          </cell>
        </row>
        <row r="1214">
          <cell r="G1214">
            <v>3</v>
          </cell>
        </row>
        <row r="1215">
          <cell r="G1215">
            <v>3</v>
          </cell>
        </row>
        <row r="1216">
          <cell r="G1216">
            <v>3</v>
          </cell>
        </row>
        <row r="1217">
          <cell r="G1217">
            <v>3</v>
          </cell>
        </row>
        <row r="1218">
          <cell r="G1218">
            <v>3</v>
          </cell>
        </row>
        <row r="1219">
          <cell r="G1219">
            <v>3</v>
          </cell>
        </row>
        <row r="1220">
          <cell r="G1220">
            <v>3</v>
          </cell>
        </row>
        <row r="1221">
          <cell r="G1221">
            <v>3</v>
          </cell>
        </row>
        <row r="1222">
          <cell r="G1222">
            <v>3</v>
          </cell>
        </row>
        <row r="1223">
          <cell r="G1223">
            <v>3</v>
          </cell>
        </row>
        <row r="1224">
          <cell r="G1224">
            <v>3</v>
          </cell>
        </row>
        <row r="1225">
          <cell r="G1225">
            <v>3</v>
          </cell>
        </row>
        <row r="1226">
          <cell r="G1226">
            <v>3</v>
          </cell>
        </row>
        <row r="1227">
          <cell r="G1227">
            <v>3</v>
          </cell>
        </row>
        <row r="1228">
          <cell r="G1228">
            <v>3</v>
          </cell>
        </row>
        <row r="1229">
          <cell r="G1229">
            <v>3</v>
          </cell>
        </row>
        <row r="1230">
          <cell r="G1230">
            <v>3</v>
          </cell>
        </row>
        <row r="1231">
          <cell r="G1231">
            <v>3</v>
          </cell>
        </row>
        <row r="1232">
          <cell r="G1232">
            <v>3</v>
          </cell>
        </row>
        <row r="1233">
          <cell r="G1233">
            <v>3</v>
          </cell>
        </row>
        <row r="1234">
          <cell r="G1234">
            <v>3</v>
          </cell>
        </row>
        <row r="1235">
          <cell r="G1235">
            <v>3</v>
          </cell>
        </row>
        <row r="1236">
          <cell r="G1236">
            <v>3</v>
          </cell>
        </row>
        <row r="1237">
          <cell r="G1237">
            <v>3</v>
          </cell>
        </row>
        <row r="1238">
          <cell r="G1238">
            <v>3</v>
          </cell>
        </row>
        <row r="1239">
          <cell r="G1239">
            <v>3</v>
          </cell>
        </row>
        <row r="1240">
          <cell r="G1240">
            <v>3</v>
          </cell>
        </row>
        <row r="1241">
          <cell r="G1241">
            <v>3</v>
          </cell>
        </row>
        <row r="1242">
          <cell r="G1242">
            <v>3</v>
          </cell>
        </row>
        <row r="1243">
          <cell r="G1243">
            <v>3</v>
          </cell>
        </row>
        <row r="1244">
          <cell r="G1244">
            <v>3</v>
          </cell>
        </row>
        <row r="1245">
          <cell r="G1245">
            <v>3</v>
          </cell>
        </row>
        <row r="1246">
          <cell r="G1246">
            <v>3</v>
          </cell>
        </row>
        <row r="1247">
          <cell r="G1247">
            <v>3</v>
          </cell>
        </row>
        <row r="1248">
          <cell r="G1248">
            <v>3</v>
          </cell>
        </row>
        <row r="1249">
          <cell r="G1249">
            <v>3</v>
          </cell>
        </row>
        <row r="1250">
          <cell r="G1250">
            <v>3</v>
          </cell>
        </row>
        <row r="1251">
          <cell r="G1251">
            <v>3</v>
          </cell>
        </row>
        <row r="1252">
          <cell r="G1252">
            <v>3</v>
          </cell>
        </row>
        <row r="1253">
          <cell r="G1253">
            <v>3</v>
          </cell>
        </row>
        <row r="1254">
          <cell r="G1254">
            <v>3</v>
          </cell>
        </row>
        <row r="1255">
          <cell r="G1255">
            <v>3</v>
          </cell>
        </row>
        <row r="1256">
          <cell r="G1256">
            <v>3</v>
          </cell>
        </row>
        <row r="1257">
          <cell r="G1257">
            <v>3</v>
          </cell>
        </row>
        <row r="1258">
          <cell r="G1258">
            <v>3</v>
          </cell>
        </row>
        <row r="1259">
          <cell r="G1259">
            <v>3</v>
          </cell>
        </row>
        <row r="1260">
          <cell r="G1260">
            <v>3</v>
          </cell>
        </row>
        <row r="1261">
          <cell r="G1261">
            <v>3</v>
          </cell>
        </row>
        <row r="1262">
          <cell r="G1262">
            <v>3</v>
          </cell>
        </row>
        <row r="1263">
          <cell r="G1263">
            <v>3</v>
          </cell>
        </row>
        <row r="1264">
          <cell r="G1264">
            <v>3</v>
          </cell>
        </row>
        <row r="1265">
          <cell r="G1265">
            <v>3</v>
          </cell>
        </row>
        <row r="1266">
          <cell r="G1266">
            <v>3</v>
          </cell>
        </row>
        <row r="1267">
          <cell r="G1267">
            <v>3</v>
          </cell>
        </row>
        <row r="1268">
          <cell r="G1268">
            <v>3</v>
          </cell>
        </row>
        <row r="1269">
          <cell r="G1269">
            <v>3</v>
          </cell>
        </row>
        <row r="1270">
          <cell r="G1270">
            <v>3</v>
          </cell>
        </row>
        <row r="1271">
          <cell r="G1271">
            <v>3</v>
          </cell>
        </row>
        <row r="1272">
          <cell r="G1272">
            <v>3</v>
          </cell>
        </row>
        <row r="1273">
          <cell r="G1273">
            <v>3</v>
          </cell>
        </row>
        <row r="1274">
          <cell r="G1274">
            <v>3</v>
          </cell>
        </row>
        <row r="1275">
          <cell r="G1275">
            <v>3</v>
          </cell>
        </row>
        <row r="1276">
          <cell r="G1276">
            <v>3</v>
          </cell>
        </row>
        <row r="1277">
          <cell r="G1277">
            <v>3</v>
          </cell>
        </row>
        <row r="1278">
          <cell r="G1278">
            <v>3</v>
          </cell>
        </row>
        <row r="1279">
          <cell r="G1279">
            <v>3</v>
          </cell>
        </row>
        <row r="1280">
          <cell r="G1280">
            <v>3</v>
          </cell>
        </row>
        <row r="1281">
          <cell r="G1281">
            <v>3</v>
          </cell>
        </row>
        <row r="1282">
          <cell r="G1282">
            <v>3</v>
          </cell>
        </row>
        <row r="1283">
          <cell r="G1283">
            <v>3</v>
          </cell>
        </row>
        <row r="1284">
          <cell r="G1284">
            <v>3</v>
          </cell>
        </row>
        <row r="1285">
          <cell r="G1285">
            <v>3</v>
          </cell>
        </row>
        <row r="1286">
          <cell r="G1286">
            <v>3</v>
          </cell>
        </row>
        <row r="1287">
          <cell r="G1287">
            <v>3</v>
          </cell>
        </row>
        <row r="1288">
          <cell r="G1288">
            <v>3</v>
          </cell>
        </row>
        <row r="1289">
          <cell r="G1289">
            <v>3</v>
          </cell>
        </row>
        <row r="1290">
          <cell r="G1290">
            <v>3</v>
          </cell>
        </row>
        <row r="1291">
          <cell r="G1291">
            <v>3</v>
          </cell>
        </row>
        <row r="1292">
          <cell r="G1292">
            <v>3</v>
          </cell>
        </row>
        <row r="1293">
          <cell r="G1293">
            <v>3</v>
          </cell>
        </row>
        <row r="1294">
          <cell r="G1294">
            <v>3</v>
          </cell>
        </row>
        <row r="1295">
          <cell r="G1295">
            <v>3</v>
          </cell>
        </row>
        <row r="1296">
          <cell r="G1296">
            <v>3</v>
          </cell>
        </row>
        <row r="1297">
          <cell r="G1297">
            <v>3</v>
          </cell>
        </row>
        <row r="1298">
          <cell r="G1298">
            <v>3</v>
          </cell>
        </row>
        <row r="1299">
          <cell r="G1299">
            <v>3</v>
          </cell>
        </row>
        <row r="1300">
          <cell r="G1300">
            <v>3</v>
          </cell>
        </row>
        <row r="1301">
          <cell r="G1301">
            <v>3</v>
          </cell>
        </row>
        <row r="1302">
          <cell r="G1302">
            <v>3</v>
          </cell>
        </row>
        <row r="1303">
          <cell r="G1303">
            <v>3</v>
          </cell>
        </row>
        <row r="1304">
          <cell r="G1304">
            <v>3</v>
          </cell>
        </row>
        <row r="1305">
          <cell r="G1305">
            <v>3</v>
          </cell>
        </row>
        <row r="1306">
          <cell r="G1306">
            <v>3</v>
          </cell>
        </row>
        <row r="1307">
          <cell r="G1307">
            <v>3</v>
          </cell>
        </row>
        <row r="1308">
          <cell r="G1308">
            <v>3</v>
          </cell>
        </row>
        <row r="1309">
          <cell r="G1309">
            <v>3</v>
          </cell>
        </row>
        <row r="1310">
          <cell r="G1310">
            <v>3</v>
          </cell>
        </row>
        <row r="1311">
          <cell r="G1311">
            <v>3</v>
          </cell>
        </row>
        <row r="1312">
          <cell r="G1312">
            <v>3</v>
          </cell>
        </row>
        <row r="1313">
          <cell r="G1313">
            <v>3</v>
          </cell>
        </row>
        <row r="1314">
          <cell r="G1314">
            <v>3</v>
          </cell>
        </row>
        <row r="1315">
          <cell r="G1315">
            <v>3</v>
          </cell>
        </row>
        <row r="1316">
          <cell r="G1316">
            <v>3</v>
          </cell>
        </row>
        <row r="1317">
          <cell r="G1317">
            <v>3</v>
          </cell>
        </row>
        <row r="1318">
          <cell r="G1318">
            <v>3</v>
          </cell>
        </row>
        <row r="1319">
          <cell r="G1319">
            <v>3</v>
          </cell>
        </row>
        <row r="1320">
          <cell r="G1320">
            <v>3</v>
          </cell>
        </row>
        <row r="1321">
          <cell r="G1321">
            <v>3</v>
          </cell>
        </row>
        <row r="1322">
          <cell r="G1322">
            <v>3</v>
          </cell>
        </row>
        <row r="1323">
          <cell r="G1323">
            <v>3</v>
          </cell>
        </row>
        <row r="1324">
          <cell r="G1324">
            <v>3</v>
          </cell>
        </row>
        <row r="1325">
          <cell r="G1325">
            <v>3</v>
          </cell>
        </row>
        <row r="1326">
          <cell r="G1326">
            <v>3</v>
          </cell>
        </row>
        <row r="1327">
          <cell r="G1327">
            <v>3</v>
          </cell>
        </row>
        <row r="1328">
          <cell r="G1328">
            <v>3</v>
          </cell>
        </row>
        <row r="1329">
          <cell r="G1329">
            <v>3</v>
          </cell>
        </row>
        <row r="1330">
          <cell r="G1330">
            <v>3</v>
          </cell>
        </row>
        <row r="1331">
          <cell r="G1331">
            <v>3</v>
          </cell>
        </row>
        <row r="1332">
          <cell r="G1332">
            <v>3</v>
          </cell>
        </row>
        <row r="1333">
          <cell r="G1333">
            <v>3</v>
          </cell>
        </row>
        <row r="1334">
          <cell r="G1334">
            <v>3</v>
          </cell>
        </row>
        <row r="1335">
          <cell r="G1335">
            <v>3</v>
          </cell>
        </row>
        <row r="1336">
          <cell r="G1336">
            <v>3</v>
          </cell>
        </row>
        <row r="1337">
          <cell r="G1337">
            <v>3</v>
          </cell>
        </row>
        <row r="1338">
          <cell r="G1338">
            <v>3</v>
          </cell>
        </row>
        <row r="1339">
          <cell r="G1339">
            <v>3</v>
          </cell>
        </row>
        <row r="1340">
          <cell r="G1340">
            <v>3</v>
          </cell>
        </row>
        <row r="1341">
          <cell r="G1341">
            <v>3</v>
          </cell>
        </row>
        <row r="1342">
          <cell r="G1342">
            <v>3</v>
          </cell>
        </row>
        <row r="1343">
          <cell r="G1343">
            <v>3</v>
          </cell>
        </row>
        <row r="1344">
          <cell r="G1344">
            <v>3</v>
          </cell>
        </row>
        <row r="1345">
          <cell r="G1345">
            <v>3</v>
          </cell>
        </row>
        <row r="1346">
          <cell r="G1346">
            <v>3</v>
          </cell>
        </row>
        <row r="1347">
          <cell r="G1347">
            <v>3</v>
          </cell>
        </row>
        <row r="1348">
          <cell r="G1348">
            <v>3</v>
          </cell>
        </row>
        <row r="1349">
          <cell r="G1349">
            <v>3</v>
          </cell>
        </row>
        <row r="1350">
          <cell r="G1350">
            <v>3</v>
          </cell>
        </row>
        <row r="1351">
          <cell r="G1351">
            <v>3</v>
          </cell>
        </row>
        <row r="1352">
          <cell r="G1352">
            <v>3</v>
          </cell>
        </row>
        <row r="1353">
          <cell r="G1353">
            <v>3</v>
          </cell>
        </row>
        <row r="1354">
          <cell r="G1354">
            <v>3</v>
          </cell>
        </row>
        <row r="1355">
          <cell r="G1355">
            <v>3</v>
          </cell>
        </row>
        <row r="1356">
          <cell r="G1356">
            <v>3</v>
          </cell>
        </row>
        <row r="1357">
          <cell r="G1357">
            <v>3</v>
          </cell>
        </row>
        <row r="1358">
          <cell r="G1358">
            <v>3</v>
          </cell>
        </row>
        <row r="1359">
          <cell r="G1359">
            <v>3</v>
          </cell>
        </row>
        <row r="1360">
          <cell r="G1360">
            <v>3</v>
          </cell>
        </row>
        <row r="1361">
          <cell r="G1361">
            <v>3</v>
          </cell>
        </row>
        <row r="1362">
          <cell r="G1362">
            <v>3</v>
          </cell>
        </row>
        <row r="1363">
          <cell r="G1363">
            <v>3</v>
          </cell>
        </row>
        <row r="1364">
          <cell r="G1364">
            <v>3</v>
          </cell>
        </row>
        <row r="1365">
          <cell r="G1365">
            <v>3</v>
          </cell>
        </row>
        <row r="1366">
          <cell r="G1366">
            <v>3</v>
          </cell>
        </row>
        <row r="1367">
          <cell r="G1367">
            <v>3</v>
          </cell>
        </row>
        <row r="1368">
          <cell r="G1368">
            <v>3</v>
          </cell>
        </row>
        <row r="1369">
          <cell r="G1369">
            <v>3</v>
          </cell>
        </row>
        <row r="1370">
          <cell r="G1370">
            <v>3</v>
          </cell>
        </row>
        <row r="1371">
          <cell r="G1371">
            <v>3</v>
          </cell>
        </row>
        <row r="1372">
          <cell r="G1372">
            <v>3</v>
          </cell>
        </row>
        <row r="1373">
          <cell r="G1373">
            <v>3</v>
          </cell>
        </row>
        <row r="1374">
          <cell r="G1374">
            <v>3</v>
          </cell>
        </row>
        <row r="1375">
          <cell r="G1375">
            <v>3</v>
          </cell>
        </row>
        <row r="1376">
          <cell r="G1376">
            <v>3</v>
          </cell>
        </row>
        <row r="1377">
          <cell r="G1377">
            <v>3</v>
          </cell>
        </row>
        <row r="1378">
          <cell r="G1378">
            <v>3</v>
          </cell>
        </row>
        <row r="1379">
          <cell r="G1379">
            <v>3</v>
          </cell>
        </row>
        <row r="1380">
          <cell r="G1380">
            <v>3</v>
          </cell>
        </row>
        <row r="1381">
          <cell r="G1381">
            <v>3</v>
          </cell>
        </row>
        <row r="1382">
          <cell r="G1382">
            <v>3</v>
          </cell>
        </row>
        <row r="1383">
          <cell r="G1383">
            <v>3</v>
          </cell>
        </row>
        <row r="1384">
          <cell r="G1384">
            <v>3</v>
          </cell>
        </row>
        <row r="1385">
          <cell r="G1385">
            <v>3</v>
          </cell>
        </row>
        <row r="1386">
          <cell r="G1386">
            <v>3</v>
          </cell>
        </row>
        <row r="1387">
          <cell r="G1387">
            <v>3</v>
          </cell>
        </row>
        <row r="1388">
          <cell r="G1388">
            <v>3</v>
          </cell>
        </row>
        <row r="1389">
          <cell r="G1389">
            <v>3</v>
          </cell>
        </row>
        <row r="1390">
          <cell r="G1390">
            <v>3</v>
          </cell>
        </row>
        <row r="1391">
          <cell r="G1391">
            <v>3</v>
          </cell>
        </row>
        <row r="1392">
          <cell r="G1392">
            <v>3</v>
          </cell>
        </row>
        <row r="1393">
          <cell r="G1393">
            <v>3</v>
          </cell>
        </row>
        <row r="1394">
          <cell r="G1394">
            <v>3</v>
          </cell>
        </row>
        <row r="1395">
          <cell r="G1395">
            <v>3</v>
          </cell>
        </row>
        <row r="1396">
          <cell r="G1396">
            <v>3</v>
          </cell>
        </row>
        <row r="1397">
          <cell r="G1397">
            <v>3</v>
          </cell>
        </row>
        <row r="1398">
          <cell r="G1398">
            <v>3</v>
          </cell>
        </row>
        <row r="1399">
          <cell r="G1399">
            <v>3</v>
          </cell>
        </row>
        <row r="1400">
          <cell r="G1400">
            <v>3</v>
          </cell>
        </row>
        <row r="1401">
          <cell r="G1401">
            <v>3</v>
          </cell>
        </row>
        <row r="1402">
          <cell r="G1402">
            <v>3</v>
          </cell>
        </row>
        <row r="1403">
          <cell r="G1403">
            <v>3</v>
          </cell>
        </row>
        <row r="1404">
          <cell r="G1404">
            <v>3</v>
          </cell>
        </row>
        <row r="1405">
          <cell r="G1405">
            <v>3</v>
          </cell>
        </row>
        <row r="1406">
          <cell r="G1406">
            <v>3</v>
          </cell>
        </row>
        <row r="1407">
          <cell r="G1407">
            <v>3</v>
          </cell>
        </row>
        <row r="1408">
          <cell r="G1408">
            <v>3</v>
          </cell>
        </row>
        <row r="1409">
          <cell r="G1409">
            <v>3</v>
          </cell>
        </row>
        <row r="1410">
          <cell r="G1410">
            <v>3</v>
          </cell>
        </row>
        <row r="1411">
          <cell r="G1411">
            <v>3</v>
          </cell>
        </row>
        <row r="1412">
          <cell r="G1412">
            <v>3</v>
          </cell>
        </row>
        <row r="1413">
          <cell r="G1413">
            <v>3</v>
          </cell>
        </row>
        <row r="1414">
          <cell r="G1414">
            <v>3</v>
          </cell>
        </row>
        <row r="1415">
          <cell r="G1415">
            <v>3</v>
          </cell>
        </row>
        <row r="1416">
          <cell r="G1416">
            <v>3</v>
          </cell>
        </row>
        <row r="1417">
          <cell r="G1417">
            <v>3</v>
          </cell>
        </row>
        <row r="1418">
          <cell r="G1418">
            <v>3</v>
          </cell>
        </row>
        <row r="1419">
          <cell r="G1419">
            <v>3</v>
          </cell>
        </row>
        <row r="1420">
          <cell r="G1420">
            <v>3</v>
          </cell>
        </row>
        <row r="1421">
          <cell r="G1421">
            <v>3</v>
          </cell>
        </row>
        <row r="1422">
          <cell r="G1422">
            <v>3</v>
          </cell>
        </row>
        <row r="1423">
          <cell r="G1423">
            <v>3</v>
          </cell>
        </row>
        <row r="1424">
          <cell r="G1424">
            <v>3</v>
          </cell>
        </row>
        <row r="1425">
          <cell r="G1425">
            <v>3</v>
          </cell>
        </row>
        <row r="1426">
          <cell r="G1426">
            <v>3</v>
          </cell>
        </row>
        <row r="1427">
          <cell r="G1427">
            <v>3</v>
          </cell>
        </row>
        <row r="1428">
          <cell r="G1428">
            <v>3</v>
          </cell>
        </row>
        <row r="1429">
          <cell r="G1429">
            <v>3</v>
          </cell>
        </row>
        <row r="1430">
          <cell r="G1430">
            <v>3</v>
          </cell>
        </row>
        <row r="1431">
          <cell r="G1431">
            <v>3</v>
          </cell>
        </row>
        <row r="1432">
          <cell r="G1432">
            <v>3</v>
          </cell>
        </row>
        <row r="1433">
          <cell r="G1433">
            <v>3</v>
          </cell>
        </row>
        <row r="1434">
          <cell r="G1434">
            <v>3</v>
          </cell>
        </row>
        <row r="1435">
          <cell r="G1435">
            <v>3</v>
          </cell>
        </row>
        <row r="1436">
          <cell r="G1436">
            <v>3</v>
          </cell>
        </row>
        <row r="1437">
          <cell r="G1437">
            <v>3</v>
          </cell>
        </row>
        <row r="1438">
          <cell r="G1438">
            <v>3</v>
          </cell>
        </row>
        <row r="1439">
          <cell r="G1439">
            <v>3</v>
          </cell>
        </row>
        <row r="1440">
          <cell r="G1440">
            <v>3</v>
          </cell>
        </row>
        <row r="1441">
          <cell r="G1441">
            <v>3</v>
          </cell>
        </row>
        <row r="1442">
          <cell r="G1442">
            <v>3</v>
          </cell>
        </row>
        <row r="1443">
          <cell r="G1443">
            <v>3</v>
          </cell>
        </row>
        <row r="1444">
          <cell r="G1444">
            <v>3</v>
          </cell>
        </row>
        <row r="1445">
          <cell r="G1445">
            <v>3</v>
          </cell>
        </row>
        <row r="1446">
          <cell r="G1446">
            <v>3</v>
          </cell>
        </row>
        <row r="1447">
          <cell r="G1447">
            <v>3</v>
          </cell>
        </row>
        <row r="1448">
          <cell r="G1448">
            <v>3</v>
          </cell>
        </row>
        <row r="1449">
          <cell r="G1449">
            <v>3</v>
          </cell>
        </row>
        <row r="1450">
          <cell r="G1450">
            <v>3</v>
          </cell>
        </row>
        <row r="1451">
          <cell r="G1451">
            <v>3</v>
          </cell>
        </row>
        <row r="1452">
          <cell r="G1452">
            <v>3</v>
          </cell>
        </row>
        <row r="1453">
          <cell r="G1453">
            <v>3</v>
          </cell>
        </row>
        <row r="1454">
          <cell r="G1454">
            <v>3</v>
          </cell>
        </row>
        <row r="1455">
          <cell r="G1455">
            <v>3</v>
          </cell>
        </row>
        <row r="1456">
          <cell r="G1456">
            <v>3</v>
          </cell>
        </row>
        <row r="1457">
          <cell r="G1457">
            <v>3</v>
          </cell>
        </row>
        <row r="1458">
          <cell r="G1458">
            <v>3</v>
          </cell>
        </row>
        <row r="1459">
          <cell r="G1459">
            <v>3</v>
          </cell>
        </row>
        <row r="1460">
          <cell r="G1460">
            <v>3</v>
          </cell>
        </row>
        <row r="1461">
          <cell r="G1461">
            <v>3</v>
          </cell>
        </row>
        <row r="1462">
          <cell r="G1462">
            <v>3</v>
          </cell>
        </row>
        <row r="1463">
          <cell r="G1463">
            <v>3</v>
          </cell>
        </row>
        <row r="1464">
          <cell r="G1464">
            <v>3</v>
          </cell>
        </row>
        <row r="1465">
          <cell r="G1465">
            <v>3</v>
          </cell>
        </row>
        <row r="1466">
          <cell r="G1466">
            <v>3</v>
          </cell>
        </row>
        <row r="1467">
          <cell r="G1467">
            <v>3</v>
          </cell>
        </row>
        <row r="1468">
          <cell r="G1468">
            <v>3</v>
          </cell>
        </row>
        <row r="1469">
          <cell r="G1469">
            <v>3</v>
          </cell>
        </row>
        <row r="1470">
          <cell r="G1470">
            <v>3</v>
          </cell>
        </row>
        <row r="1471">
          <cell r="G1471">
            <v>3</v>
          </cell>
        </row>
        <row r="1472">
          <cell r="G1472">
            <v>3</v>
          </cell>
        </row>
        <row r="1473">
          <cell r="G1473">
            <v>3</v>
          </cell>
        </row>
        <row r="1474">
          <cell r="G1474">
            <v>3</v>
          </cell>
        </row>
        <row r="1475">
          <cell r="G1475">
            <v>3</v>
          </cell>
        </row>
        <row r="1476">
          <cell r="G1476">
            <v>3</v>
          </cell>
        </row>
        <row r="1477">
          <cell r="G1477">
            <v>3</v>
          </cell>
        </row>
        <row r="1478">
          <cell r="G1478">
            <v>3</v>
          </cell>
        </row>
        <row r="1479">
          <cell r="G1479">
            <v>3</v>
          </cell>
        </row>
        <row r="1480">
          <cell r="G1480">
            <v>3</v>
          </cell>
        </row>
        <row r="1481">
          <cell r="G1481">
            <v>3</v>
          </cell>
        </row>
        <row r="1482">
          <cell r="G1482">
            <v>3</v>
          </cell>
        </row>
        <row r="1483">
          <cell r="G1483">
            <v>3</v>
          </cell>
        </row>
        <row r="1484">
          <cell r="G1484">
            <v>3</v>
          </cell>
        </row>
        <row r="1485">
          <cell r="G1485">
            <v>3</v>
          </cell>
        </row>
        <row r="1486">
          <cell r="G1486">
            <v>3</v>
          </cell>
        </row>
        <row r="1487">
          <cell r="G1487">
            <v>3</v>
          </cell>
        </row>
        <row r="1488">
          <cell r="G1488">
            <v>3</v>
          </cell>
        </row>
        <row r="1489">
          <cell r="G1489">
            <v>3</v>
          </cell>
        </row>
        <row r="1490">
          <cell r="G1490">
            <v>3</v>
          </cell>
        </row>
        <row r="1491">
          <cell r="G1491">
            <v>3</v>
          </cell>
        </row>
        <row r="1492">
          <cell r="G1492">
            <v>3</v>
          </cell>
        </row>
        <row r="1493">
          <cell r="G1493">
            <v>3</v>
          </cell>
        </row>
        <row r="1494">
          <cell r="G1494">
            <v>3</v>
          </cell>
        </row>
        <row r="1495">
          <cell r="G1495">
            <v>3</v>
          </cell>
        </row>
        <row r="1496">
          <cell r="G1496">
            <v>3</v>
          </cell>
        </row>
        <row r="1497">
          <cell r="G1497">
            <v>3</v>
          </cell>
        </row>
        <row r="1498">
          <cell r="G1498">
            <v>3</v>
          </cell>
        </row>
        <row r="1499">
          <cell r="G1499">
            <v>3</v>
          </cell>
        </row>
        <row r="1500">
          <cell r="G1500">
            <v>3</v>
          </cell>
        </row>
        <row r="1501">
          <cell r="G1501">
            <v>3</v>
          </cell>
        </row>
        <row r="1502">
          <cell r="G1502">
            <v>3</v>
          </cell>
        </row>
        <row r="1503">
          <cell r="G1503">
            <v>3</v>
          </cell>
        </row>
        <row r="1504">
          <cell r="G1504">
            <v>3</v>
          </cell>
        </row>
        <row r="1505">
          <cell r="G1505">
            <v>3</v>
          </cell>
        </row>
        <row r="1506">
          <cell r="G1506">
            <v>3</v>
          </cell>
        </row>
        <row r="1507">
          <cell r="G1507">
            <v>3</v>
          </cell>
        </row>
        <row r="1508">
          <cell r="G1508">
            <v>3</v>
          </cell>
        </row>
        <row r="1509">
          <cell r="G1509">
            <v>3</v>
          </cell>
        </row>
        <row r="1510">
          <cell r="G1510">
            <v>3</v>
          </cell>
        </row>
        <row r="1511">
          <cell r="G1511">
            <v>3</v>
          </cell>
        </row>
        <row r="1512">
          <cell r="G1512">
            <v>3</v>
          </cell>
        </row>
        <row r="1513">
          <cell r="G1513">
            <v>3</v>
          </cell>
        </row>
        <row r="1514">
          <cell r="G1514">
            <v>3</v>
          </cell>
        </row>
        <row r="1515">
          <cell r="G1515">
            <v>3</v>
          </cell>
        </row>
        <row r="1516">
          <cell r="G1516">
            <v>3</v>
          </cell>
        </row>
        <row r="1517">
          <cell r="G1517">
            <v>3</v>
          </cell>
        </row>
        <row r="1518">
          <cell r="G1518">
            <v>3</v>
          </cell>
        </row>
        <row r="1519">
          <cell r="G1519">
            <v>3</v>
          </cell>
        </row>
        <row r="1520">
          <cell r="G1520">
            <v>3</v>
          </cell>
        </row>
        <row r="1521">
          <cell r="G1521">
            <v>3</v>
          </cell>
        </row>
        <row r="1522">
          <cell r="G1522">
            <v>3</v>
          </cell>
        </row>
        <row r="1523">
          <cell r="G1523">
            <v>3</v>
          </cell>
        </row>
        <row r="1524">
          <cell r="G1524">
            <v>3</v>
          </cell>
        </row>
        <row r="1525">
          <cell r="G1525">
            <v>3</v>
          </cell>
        </row>
        <row r="1526">
          <cell r="G1526">
            <v>3</v>
          </cell>
        </row>
        <row r="1527">
          <cell r="G1527">
            <v>3</v>
          </cell>
        </row>
        <row r="1528">
          <cell r="G1528">
            <v>3</v>
          </cell>
        </row>
        <row r="1529">
          <cell r="G1529">
            <v>3</v>
          </cell>
        </row>
        <row r="1530">
          <cell r="G1530">
            <v>3</v>
          </cell>
        </row>
        <row r="1531">
          <cell r="G1531">
            <v>3</v>
          </cell>
        </row>
        <row r="1532">
          <cell r="G1532">
            <v>3</v>
          </cell>
        </row>
        <row r="1533">
          <cell r="G1533">
            <v>3</v>
          </cell>
        </row>
        <row r="1534">
          <cell r="G1534">
            <v>3</v>
          </cell>
        </row>
        <row r="1535">
          <cell r="G1535">
            <v>3</v>
          </cell>
        </row>
        <row r="1536">
          <cell r="G1536">
            <v>3</v>
          </cell>
        </row>
        <row r="1537">
          <cell r="G1537">
            <v>3</v>
          </cell>
        </row>
        <row r="1538">
          <cell r="G1538">
            <v>3</v>
          </cell>
        </row>
        <row r="1539">
          <cell r="G1539">
            <v>3</v>
          </cell>
        </row>
        <row r="1540">
          <cell r="G1540">
            <v>3</v>
          </cell>
        </row>
        <row r="1541">
          <cell r="G1541">
            <v>3</v>
          </cell>
        </row>
        <row r="1542">
          <cell r="G1542">
            <v>3</v>
          </cell>
        </row>
        <row r="1543">
          <cell r="G1543">
            <v>3</v>
          </cell>
        </row>
        <row r="1544">
          <cell r="G1544">
            <v>3</v>
          </cell>
        </row>
        <row r="1545">
          <cell r="G1545">
            <v>3</v>
          </cell>
        </row>
        <row r="1546">
          <cell r="G1546">
            <v>3</v>
          </cell>
        </row>
        <row r="1547">
          <cell r="G1547">
            <v>3</v>
          </cell>
        </row>
        <row r="1548">
          <cell r="G1548">
            <v>3</v>
          </cell>
        </row>
        <row r="1549">
          <cell r="G1549">
            <v>3</v>
          </cell>
        </row>
        <row r="1550">
          <cell r="G1550">
            <v>3</v>
          </cell>
        </row>
        <row r="1551">
          <cell r="G1551">
            <v>3</v>
          </cell>
        </row>
        <row r="1552">
          <cell r="G1552">
            <v>3</v>
          </cell>
        </row>
        <row r="1553">
          <cell r="G1553">
            <v>3</v>
          </cell>
        </row>
        <row r="1554">
          <cell r="G1554">
            <v>3</v>
          </cell>
        </row>
        <row r="1555">
          <cell r="G1555">
            <v>3</v>
          </cell>
        </row>
        <row r="1556">
          <cell r="G1556">
            <v>3</v>
          </cell>
        </row>
        <row r="1557">
          <cell r="G1557">
            <v>3</v>
          </cell>
        </row>
        <row r="1558">
          <cell r="G1558">
            <v>3</v>
          </cell>
        </row>
        <row r="1559">
          <cell r="G1559">
            <v>3</v>
          </cell>
        </row>
        <row r="1560">
          <cell r="G1560">
            <v>3</v>
          </cell>
        </row>
        <row r="1561">
          <cell r="G1561">
            <v>3</v>
          </cell>
        </row>
        <row r="1562">
          <cell r="G1562">
            <v>3</v>
          </cell>
        </row>
        <row r="1563">
          <cell r="G1563">
            <v>3</v>
          </cell>
        </row>
        <row r="1564">
          <cell r="G1564">
            <v>3</v>
          </cell>
        </row>
        <row r="1565">
          <cell r="G1565">
            <v>3</v>
          </cell>
        </row>
        <row r="1566">
          <cell r="G1566">
            <v>3</v>
          </cell>
        </row>
        <row r="1567">
          <cell r="G1567">
            <v>3</v>
          </cell>
        </row>
        <row r="1568">
          <cell r="G1568">
            <v>3</v>
          </cell>
        </row>
        <row r="1569">
          <cell r="G1569">
            <v>3</v>
          </cell>
        </row>
        <row r="1570">
          <cell r="G1570">
            <v>3</v>
          </cell>
        </row>
        <row r="1571">
          <cell r="G1571">
            <v>3</v>
          </cell>
        </row>
        <row r="1572">
          <cell r="G1572">
            <v>3</v>
          </cell>
        </row>
        <row r="1573">
          <cell r="G1573">
            <v>3</v>
          </cell>
        </row>
        <row r="1574">
          <cell r="G1574">
            <v>3</v>
          </cell>
        </row>
        <row r="1575">
          <cell r="G1575">
            <v>3</v>
          </cell>
        </row>
        <row r="1576">
          <cell r="G1576">
            <v>3</v>
          </cell>
        </row>
        <row r="1577">
          <cell r="G1577">
            <v>3</v>
          </cell>
        </row>
        <row r="1578">
          <cell r="G1578">
            <v>3</v>
          </cell>
        </row>
        <row r="1579">
          <cell r="G1579">
            <v>3</v>
          </cell>
        </row>
        <row r="1580">
          <cell r="G1580">
            <v>3</v>
          </cell>
        </row>
        <row r="1581">
          <cell r="G1581">
            <v>3</v>
          </cell>
        </row>
        <row r="1582">
          <cell r="G1582">
            <v>3</v>
          </cell>
        </row>
        <row r="1583">
          <cell r="G1583">
            <v>3</v>
          </cell>
        </row>
        <row r="1584">
          <cell r="G1584">
            <v>3</v>
          </cell>
        </row>
        <row r="1585">
          <cell r="G1585">
            <v>3</v>
          </cell>
        </row>
        <row r="1586">
          <cell r="G1586">
            <v>3</v>
          </cell>
        </row>
        <row r="1587">
          <cell r="G1587">
            <v>3</v>
          </cell>
        </row>
        <row r="1588">
          <cell r="G1588">
            <v>3</v>
          </cell>
        </row>
        <row r="1589">
          <cell r="G1589">
            <v>3</v>
          </cell>
        </row>
        <row r="1590">
          <cell r="G1590">
            <v>3</v>
          </cell>
        </row>
        <row r="1591">
          <cell r="G1591">
            <v>3</v>
          </cell>
        </row>
        <row r="1592">
          <cell r="G1592">
            <v>3</v>
          </cell>
        </row>
        <row r="1593">
          <cell r="G1593">
            <v>3</v>
          </cell>
        </row>
        <row r="1594">
          <cell r="G1594">
            <v>3</v>
          </cell>
        </row>
        <row r="1595">
          <cell r="G1595">
            <v>3</v>
          </cell>
        </row>
        <row r="1596">
          <cell r="G1596">
            <v>3</v>
          </cell>
        </row>
        <row r="1597">
          <cell r="G1597">
            <v>3</v>
          </cell>
        </row>
        <row r="1598">
          <cell r="G1598">
            <v>3</v>
          </cell>
        </row>
        <row r="1599">
          <cell r="G1599">
            <v>3</v>
          </cell>
        </row>
        <row r="1600">
          <cell r="G1600">
            <v>3</v>
          </cell>
        </row>
        <row r="1601">
          <cell r="G1601">
            <v>3</v>
          </cell>
        </row>
        <row r="1602">
          <cell r="G1602">
            <v>3</v>
          </cell>
        </row>
        <row r="1603">
          <cell r="G1603">
            <v>3</v>
          </cell>
        </row>
        <row r="1604">
          <cell r="G1604">
            <v>3</v>
          </cell>
        </row>
        <row r="1605">
          <cell r="G1605">
            <v>3</v>
          </cell>
        </row>
        <row r="1606">
          <cell r="G1606">
            <v>3</v>
          </cell>
        </row>
        <row r="1607">
          <cell r="G1607">
            <v>3</v>
          </cell>
        </row>
        <row r="1608">
          <cell r="G1608">
            <v>3</v>
          </cell>
        </row>
        <row r="1609">
          <cell r="G1609">
            <v>3</v>
          </cell>
        </row>
        <row r="1610">
          <cell r="G1610">
            <v>3</v>
          </cell>
        </row>
        <row r="1611">
          <cell r="G1611">
            <v>3</v>
          </cell>
        </row>
        <row r="1612">
          <cell r="G1612">
            <v>3</v>
          </cell>
        </row>
        <row r="1613">
          <cell r="G1613">
            <v>3</v>
          </cell>
        </row>
        <row r="1614">
          <cell r="G1614">
            <v>3</v>
          </cell>
        </row>
        <row r="1615">
          <cell r="G1615">
            <v>3</v>
          </cell>
        </row>
        <row r="1616">
          <cell r="G1616">
            <v>3</v>
          </cell>
        </row>
        <row r="1617">
          <cell r="G1617">
            <v>3</v>
          </cell>
        </row>
        <row r="1618">
          <cell r="G1618">
            <v>3</v>
          </cell>
        </row>
        <row r="1619">
          <cell r="G1619">
            <v>3</v>
          </cell>
        </row>
        <row r="1620">
          <cell r="G1620">
            <v>3</v>
          </cell>
        </row>
        <row r="1621">
          <cell r="G1621">
            <v>3</v>
          </cell>
        </row>
        <row r="1622">
          <cell r="G1622">
            <v>3</v>
          </cell>
        </row>
        <row r="1623">
          <cell r="G1623">
            <v>3</v>
          </cell>
        </row>
        <row r="1624">
          <cell r="G1624">
            <v>3</v>
          </cell>
        </row>
        <row r="1625">
          <cell r="G1625">
            <v>3</v>
          </cell>
        </row>
        <row r="1626">
          <cell r="G1626">
            <v>3</v>
          </cell>
        </row>
        <row r="1627">
          <cell r="G1627">
            <v>3</v>
          </cell>
        </row>
        <row r="1628">
          <cell r="G1628">
            <v>3</v>
          </cell>
        </row>
        <row r="1629">
          <cell r="G1629">
            <v>3</v>
          </cell>
        </row>
        <row r="1630">
          <cell r="G1630">
            <v>3</v>
          </cell>
        </row>
        <row r="1631">
          <cell r="G1631">
            <v>3</v>
          </cell>
        </row>
        <row r="1632">
          <cell r="G1632">
            <v>3</v>
          </cell>
        </row>
        <row r="1633">
          <cell r="G1633">
            <v>3</v>
          </cell>
        </row>
        <row r="1634">
          <cell r="G1634">
            <v>3</v>
          </cell>
        </row>
        <row r="1635">
          <cell r="G1635">
            <v>3</v>
          </cell>
        </row>
        <row r="1636">
          <cell r="G1636">
            <v>3</v>
          </cell>
        </row>
        <row r="1637">
          <cell r="G1637">
            <v>3</v>
          </cell>
        </row>
        <row r="1638">
          <cell r="G1638">
            <v>3</v>
          </cell>
        </row>
        <row r="1639">
          <cell r="G1639">
            <v>3</v>
          </cell>
        </row>
        <row r="1640">
          <cell r="G1640">
            <v>3</v>
          </cell>
        </row>
        <row r="1641">
          <cell r="G1641">
            <v>3</v>
          </cell>
        </row>
        <row r="1642">
          <cell r="G1642">
            <v>3</v>
          </cell>
        </row>
        <row r="1643">
          <cell r="G1643">
            <v>3</v>
          </cell>
        </row>
        <row r="1644">
          <cell r="G1644">
            <v>3</v>
          </cell>
        </row>
        <row r="1645">
          <cell r="G1645">
            <v>3</v>
          </cell>
        </row>
        <row r="1646">
          <cell r="G1646">
            <v>3</v>
          </cell>
        </row>
        <row r="1647">
          <cell r="G1647">
            <v>3</v>
          </cell>
        </row>
        <row r="1648">
          <cell r="G1648">
            <v>3</v>
          </cell>
        </row>
        <row r="1649">
          <cell r="G1649">
            <v>3</v>
          </cell>
        </row>
        <row r="1650">
          <cell r="G1650">
            <v>3</v>
          </cell>
        </row>
        <row r="1651">
          <cell r="G1651">
            <v>3</v>
          </cell>
        </row>
        <row r="1652">
          <cell r="G1652">
            <v>3</v>
          </cell>
        </row>
        <row r="1653">
          <cell r="G1653">
            <v>3</v>
          </cell>
        </row>
        <row r="1654">
          <cell r="G1654">
            <v>3</v>
          </cell>
        </row>
        <row r="1655">
          <cell r="G1655">
            <v>3</v>
          </cell>
        </row>
        <row r="1656">
          <cell r="G1656">
            <v>3</v>
          </cell>
        </row>
        <row r="1657">
          <cell r="G1657">
            <v>3</v>
          </cell>
        </row>
        <row r="1658">
          <cell r="G1658">
            <v>3</v>
          </cell>
        </row>
        <row r="1659">
          <cell r="G1659">
            <v>3</v>
          </cell>
        </row>
        <row r="1660">
          <cell r="G1660">
            <v>3</v>
          </cell>
        </row>
        <row r="1661">
          <cell r="G1661">
            <v>3</v>
          </cell>
        </row>
        <row r="1662">
          <cell r="G1662">
            <v>3</v>
          </cell>
        </row>
        <row r="1663">
          <cell r="G1663">
            <v>3</v>
          </cell>
        </row>
        <row r="1664">
          <cell r="G1664">
            <v>3</v>
          </cell>
        </row>
        <row r="1665">
          <cell r="G1665">
            <v>3</v>
          </cell>
        </row>
        <row r="1666">
          <cell r="G1666">
            <v>3</v>
          </cell>
        </row>
        <row r="1667">
          <cell r="G1667">
            <v>3</v>
          </cell>
        </row>
        <row r="1668">
          <cell r="G1668">
            <v>3</v>
          </cell>
        </row>
        <row r="1669">
          <cell r="G1669">
            <v>3</v>
          </cell>
        </row>
        <row r="1670">
          <cell r="G1670">
            <v>3</v>
          </cell>
        </row>
        <row r="1671">
          <cell r="G1671">
            <v>3</v>
          </cell>
        </row>
        <row r="1672">
          <cell r="G1672">
            <v>3</v>
          </cell>
        </row>
        <row r="1673">
          <cell r="G1673">
            <v>3</v>
          </cell>
        </row>
        <row r="1674">
          <cell r="G1674">
            <v>3</v>
          </cell>
        </row>
        <row r="1675">
          <cell r="G1675">
            <v>3</v>
          </cell>
        </row>
        <row r="1676">
          <cell r="G1676">
            <v>3</v>
          </cell>
        </row>
        <row r="1677">
          <cell r="G1677">
            <v>3</v>
          </cell>
        </row>
        <row r="1678">
          <cell r="G1678">
            <v>3</v>
          </cell>
        </row>
        <row r="1679">
          <cell r="G1679">
            <v>3</v>
          </cell>
        </row>
        <row r="1680">
          <cell r="G1680">
            <v>3</v>
          </cell>
        </row>
        <row r="1681">
          <cell r="G1681">
            <v>3</v>
          </cell>
        </row>
        <row r="1682">
          <cell r="G1682">
            <v>3</v>
          </cell>
        </row>
        <row r="1683">
          <cell r="G1683">
            <v>3</v>
          </cell>
        </row>
        <row r="1684">
          <cell r="G1684">
            <v>3</v>
          </cell>
        </row>
        <row r="1685">
          <cell r="G1685">
            <v>3</v>
          </cell>
        </row>
        <row r="1686">
          <cell r="G1686">
            <v>3</v>
          </cell>
        </row>
        <row r="1687">
          <cell r="G1687">
            <v>3</v>
          </cell>
        </row>
        <row r="1688">
          <cell r="G1688">
            <v>3</v>
          </cell>
        </row>
        <row r="1689">
          <cell r="G1689">
            <v>3</v>
          </cell>
        </row>
        <row r="1690">
          <cell r="G1690">
            <v>3</v>
          </cell>
        </row>
        <row r="1691">
          <cell r="G1691">
            <v>3</v>
          </cell>
        </row>
        <row r="1692">
          <cell r="G1692">
            <v>3</v>
          </cell>
        </row>
        <row r="1693">
          <cell r="G1693">
            <v>3</v>
          </cell>
        </row>
        <row r="1694">
          <cell r="G1694">
            <v>3</v>
          </cell>
        </row>
        <row r="1695">
          <cell r="G1695">
            <v>3</v>
          </cell>
        </row>
        <row r="1696">
          <cell r="G1696">
            <v>3</v>
          </cell>
        </row>
        <row r="1697">
          <cell r="G1697">
            <v>3</v>
          </cell>
        </row>
        <row r="1698">
          <cell r="G1698">
            <v>3</v>
          </cell>
        </row>
        <row r="1699">
          <cell r="G1699">
            <v>3</v>
          </cell>
        </row>
        <row r="1700">
          <cell r="G1700">
            <v>3</v>
          </cell>
        </row>
        <row r="1701">
          <cell r="G1701">
            <v>3</v>
          </cell>
        </row>
        <row r="1702">
          <cell r="G1702">
            <v>3</v>
          </cell>
        </row>
        <row r="1703">
          <cell r="G1703">
            <v>3</v>
          </cell>
        </row>
        <row r="1704">
          <cell r="G1704">
            <v>3</v>
          </cell>
        </row>
        <row r="1705">
          <cell r="G1705">
            <v>3</v>
          </cell>
        </row>
        <row r="1706">
          <cell r="G1706">
            <v>3</v>
          </cell>
        </row>
        <row r="1707">
          <cell r="G1707">
            <v>3</v>
          </cell>
        </row>
        <row r="1708">
          <cell r="G1708">
            <v>3</v>
          </cell>
        </row>
        <row r="1709">
          <cell r="G1709">
            <v>3</v>
          </cell>
        </row>
        <row r="1710">
          <cell r="G1710">
            <v>3</v>
          </cell>
        </row>
        <row r="1711">
          <cell r="G1711">
            <v>3</v>
          </cell>
        </row>
        <row r="1712">
          <cell r="G1712">
            <v>3</v>
          </cell>
        </row>
        <row r="1713">
          <cell r="G1713">
            <v>3</v>
          </cell>
        </row>
        <row r="1714">
          <cell r="G1714">
            <v>3</v>
          </cell>
        </row>
        <row r="1715">
          <cell r="G1715">
            <v>3</v>
          </cell>
        </row>
        <row r="1716">
          <cell r="G1716">
            <v>3</v>
          </cell>
        </row>
        <row r="1717">
          <cell r="G1717">
            <v>3</v>
          </cell>
        </row>
        <row r="1718">
          <cell r="G1718">
            <v>3</v>
          </cell>
        </row>
        <row r="1719">
          <cell r="G1719">
            <v>3</v>
          </cell>
        </row>
        <row r="1720">
          <cell r="G1720">
            <v>3</v>
          </cell>
        </row>
        <row r="1721">
          <cell r="G1721">
            <v>3</v>
          </cell>
        </row>
        <row r="1722">
          <cell r="G1722">
            <v>3</v>
          </cell>
        </row>
        <row r="1723">
          <cell r="G1723">
            <v>3</v>
          </cell>
        </row>
        <row r="1724">
          <cell r="G1724">
            <v>3</v>
          </cell>
        </row>
        <row r="1725">
          <cell r="G1725">
            <v>3</v>
          </cell>
        </row>
        <row r="1726">
          <cell r="G1726">
            <v>3</v>
          </cell>
        </row>
        <row r="1727">
          <cell r="G1727">
            <v>3</v>
          </cell>
        </row>
        <row r="1728">
          <cell r="G1728">
            <v>3</v>
          </cell>
        </row>
        <row r="1729">
          <cell r="G1729">
            <v>3</v>
          </cell>
        </row>
        <row r="1730">
          <cell r="G1730">
            <v>3</v>
          </cell>
        </row>
        <row r="1731">
          <cell r="G1731">
            <v>3</v>
          </cell>
        </row>
        <row r="1732">
          <cell r="G1732">
            <v>3</v>
          </cell>
        </row>
        <row r="1733">
          <cell r="G1733">
            <v>3</v>
          </cell>
        </row>
        <row r="1734">
          <cell r="G1734">
            <v>3</v>
          </cell>
        </row>
        <row r="1735">
          <cell r="G1735">
            <v>3</v>
          </cell>
        </row>
        <row r="1736">
          <cell r="G1736">
            <v>3</v>
          </cell>
        </row>
        <row r="1737">
          <cell r="G1737">
            <v>3</v>
          </cell>
        </row>
        <row r="1738">
          <cell r="G1738">
            <v>3</v>
          </cell>
        </row>
        <row r="1739">
          <cell r="G1739">
            <v>3</v>
          </cell>
        </row>
        <row r="1740">
          <cell r="G1740">
            <v>3</v>
          </cell>
        </row>
        <row r="1741">
          <cell r="G1741">
            <v>3</v>
          </cell>
        </row>
        <row r="1742">
          <cell r="G1742">
            <v>3</v>
          </cell>
        </row>
        <row r="1743">
          <cell r="G1743">
            <v>3</v>
          </cell>
        </row>
        <row r="1744">
          <cell r="G1744">
            <v>3</v>
          </cell>
        </row>
        <row r="1745">
          <cell r="G1745">
            <v>3</v>
          </cell>
        </row>
        <row r="1746">
          <cell r="G1746">
            <v>3</v>
          </cell>
        </row>
        <row r="1747">
          <cell r="G1747">
            <v>3</v>
          </cell>
        </row>
        <row r="1748">
          <cell r="G1748">
            <v>3</v>
          </cell>
        </row>
        <row r="1749">
          <cell r="G1749">
            <v>3</v>
          </cell>
        </row>
        <row r="1750">
          <cell r="G1750">
            <v>3</v>
          </cell>
        </row>
        <row r="1751">
          <cell r="G1751">
            <v>3</v>
          </cell>
        </row>
        <row r="1752">
          <cell r="G1752">
            <v>3</v>
          </cell>
        </row>
        <row r="1753">
          <cell r="G1753">
            <v>3</v>
          </cell>
        </row>
        <row r="1754">
          <cell r="G1754">
            <v>3</v>
          </cell>
        </row>
        <row r="1755">
          <cell r="G1755">
            <v>3</v>
          </cell>
        </row>
        <row r="1756">
          <cell r="G1756">
            <v>3</v>
          </cell>
        </row>
        <row r="1757">
          <cell r="G1757">
            <v>3</v>
          </cell>
        </row>
        <row r="1758">
          <cell r="G1758">
            <v>3</v>
          </cell>
        </row>
        <row r="1759">
          <cell r="G1759">
            <v>3</v>
          </cell>
        </row>
        <row r="1760">
          <cell r="G1760">
            <v>3</v>
          </cell>
        </row>
        <row r="1761">
          <cell r="G1761">
            <v>3</v>
          </cell>
        </row>
        <row r="1762">
          <cell r="G1762">
            <v>3</v>
          </cell>
        </row>
        <row r="1763">
          <cell r="G1763">
            <v>3</v>
          </cell>
        </row>
        <row r="1764">
          <cell r="G1764">
            <v>3</v>
          </cell>
        </row>
        <row r="1765">
          <cell r="G1765">
            <v>3</v>
          </cell>
        </row>
        <row r="1766">
          <cell r="G1766">
            <v>3</v>
          </cell>
        </row>
        <row r="1767">
          <cell r="G1767">
            <v>3</v>
          </cell>
        </row>
        <row r="1768">
          <cell r="G1768">
            <v>3</v>
          </cell>
        </row>
        <row r="1769">
          <cell r="G1769">
            <v>3</v>
          </cell>
        </row>
        <row r="1770">
          <cell r="G1770">
            <v>3</v>
          </cell>
        </row>
        <row r="1771">
          <cell r="G1771">
            <v>3</v>
          </cell>
        </row>
        <row r="1772">
          <cell r="G1772">
            <v>3</v>
          </cell>
        </row>
        <row r="1773">
          <cell r="G1773">
            <v>3</v>
          </cell>
        </row>
        <row r="1774">
          <cell r="G1774">
            <v>3</v>
          </cell>
        </row>
        <row r="1775">
          <cell r="G1775">
            <v>3</v>
          </cell>
        </row>
        <row r="1776">
          <cell r="G1776">
            <v>3</v>
          </cell>
        </row>
        <row r="1777">
          <cell r="G1777">
            <v>3</v>
          </cell>
        </row>
        <row r="1778">
          <cell r="G1778">
            <v>3</v>
          </cell>
        </row>
        <row r="1779">
          <cell r="G1779">
            <v>3</v>
          </cell>
        </row>
        <row r="1780">
          <cell r="G1780">
            <v>3</v>
          </cell>
        </row>
        <row r="1781">
          <cell r="G1781">
            <v>3</v>
          </cell>
        </row>
        <row r="1782">
          <cell r="G1782">
            <v>3</v>
          </cell>
        </row>
        <row r="1783">
          <cell r="G1783">
            <v>3</v>
          </cell>
        </row>
        <row r="1784">
          <cell r="G1784">
            <v>3</v>
          </cell>
        </row>
        <row r="1785">
          <cell r="G1785">
            <v>3</v>
          </cell>
        </row>
        <row r="1786">
          <cell r="G1786">
            <v>3</v>
          </cell>
        </row>
        <row r="1787">
          <cell r="G1787">
            <v>3</v>
          </cell>
        </row>
        <row r="1788">
          <cell r="G1788">
            <v>3</v>
          </cell>
        </row>
        <row r="1789">
          <cell r="G1789">
            <v>3</v>
          </cell>
        </row>
        <row r="1790">
          <cell r="G1790">
            <v>3</v>
          </cell>
        </row>
        <row r="1791">
          <cell r="G1791">
            <v>3</v>
          </cell>
        </row>
        <row r="1792">
          <cell r="G1792">
            <v>3</v>
          </cell>
        </row>
        <row r="1793">
          <cell r="G1793">
            <v>3</v>
          </cell>
        </row>
        <row r="1794">
          <cell r="G1794">
            <v>3</v>
          </cell>
        </row>
        <row r="1795">
          <cell r="G1795">
            <v>3</v>
          </cell>
        </row>
        <row r="1796">
          <cell r="G1796">
            <v>3</v>
          </cell>
        </row>
        <row r="1797">
          <cell r="G1797">
            <v>3</v>
          </cell>
        </row>
        <row r="1798">
          <cell r="G1798">
            <v>3</v>
          </cell>
        </row>
        <row r="1799">
          <cell r="G1799">
            <v>3</v>
          </cell>
        </row>
        <row r="1800">
          <cell r="G1800">
            <v>3</v>
          </cell>
        </row>
        <row r="1801">
          <cell r="G1801">
            <v>3</v>
          </cell>
        </row>
        <row r="1802">
          <cell r="G1802">
            <v>3</v>
          </cell>
        </row>
        <row r="1803">
          <cell r="G1803">
            <v>3</v>
          </cell>
        </row>
        <row r="1804">
          <cell r="G1804">
            <v>3</v>
          </cell>
        </row>
        <row r="1805">
          <cell r="G1805">
            <v>3</v>
          </cell>
        </row>
        <row r="1806">
          <cell r="G1806">
            <v>3</v>
          </cell>
        </row>
        <row r="1807">
          <cell r="G1807">
            <v>3</v>
          </cell>
        </row>
        <row r="1808">
          <cell r="G1808">
            <v>3</v>
          </cell>
        </row>
        <row r="1809">
          <cell r="G1809">
            <v>3</v>
          </cell>
        </row>
        <row r="1810">
          <cell r="G1810">
            <v>3</v>
          </cell>
        </row>
        <row r="1811">
          <cell r="G1811">
            <v>3</v>
          </cell>
        </row>
        <row r="1812">
          <cell r="G1812">
            <v>3</v>
          </cell>
        </row>
        <row r="1813">
          <cell r="G1813">
            <v>3</v>
          </cell>
        </row>
        <row r="1814">
          <cell r="G1814">
            <v>3</v>
          </cell>
        </row>
        <row r="1815">
          <cell r="G1815">
            <v>3</v>
          </cell>
        </row>
        <row r="1816">
          <cell r="G1816">
            <v>3</v>
          </cell>
        </row>
        <row r="1817">
          <cell r="G1817">
            <v>3</v>
          </cell>
        </row>
        <row r="1818">
          <cell r="G1818">
            <v>3</v>
          </cell>
        </row>
        <row r="1819">
          <cell r="G1819">
            <v>3</v>
          </cell>
        </row>
        <row r="1820">
          <cell r="G1820">
            <v>3</v>
          </cell>
        </row>
        <row r="1821">
          <cell r="G1821">
            <v>3</v>
          </cell>
        </row>
        <row r="1822">
          <cell r="G1822">
            <v>3</v>
          </cell>
        </row>
        <row r="1823">
          <cell r="G1823">
            <v>3</v>
          </cell>
        </row>
        <row r="1824">
          <cell r="G1824">
            <v>3</v>
          </cell>
        </row>
        <row r="1825">
          <cell r="G1825">
            <v>3</v>
          </cell>
        </row>
        <row r="1826">
          <cell r="G1826">
            <v>3</v>
          </cell>
        </row>
        <row r="1827">
          <cell r="G1827">
            <v>3</v>
          </cell>
        </row>
        <row r="1828">
          <cell r="G1828">
            <v>3</v>
          </cell>
        </row>
        <row r="1829">
          <cell r="G1829">
            <v>3</v>
          </cell>
        </row>
        <row r="1830">
          <cell r="G1830">
            <v>3</v>
          </cell>
        </row>
        <row r="1831">
          <cell r="G1831">
            <v>3</v>
          </cell>
        </row>
        <row r="1832">
          <cell r="G1832">
            <v>3</v>
          </cell>
        </row>
        <row r="1833">
          <cell r="G1833">
            <v>3</v>
          </cell>
        </row>
        <row r="1834">
          <cell r="G1834">
            <v>3</v>
          </cell>
        </row>
        <row r="1835">
          <cell r="G1835">
            <v>3</v>
          </cell>
        </row>
        <row r="1836">
          <cell r="G1836">
            <v>3</v>
          </cell>
        </row>
        <row r="1837">
          <cell r="G1837">
            <v>3</v>
          </cell>
        </row>
        <row r="1838">
          <cell r="G1838">
            <v>3</v>
          </cell>
        </row>
        <row r="1839">
          <cell r="G1839">
            <v>3</v>
          </cell>
        </row>
        <row r="1840">
          <cell r="G1840">
            <v>3</v>
          </cell>
        </row>
        <row r="1841">
          <cell r="G1841">
            <v>3</v>
          </cell>
        </row>
        <row r="1842">
          <cell r="G1842">
            <v>3</v>
          </cell>
        </row>
        <row r="1843">
          <cell r="G1843">
            <v>3</v>
          </cell>
        </row>
        <row r="1844">
          <cell r="G1844">
            <v>3</v>
          </cell>
        </row>
        <row r="1845">
          <cell r="G1845">
            <v>3</v>
          </cell>
        </row>
        <row r="1846">
          <cell r="G1846">
            <v>3</v>
          </cell>
        </row>
        <row r="1847">
          <cell r="G1847">
            <v>3</v>
          </cell>
        </row>
        <row r="1848">
          <cell r="G1848">
            <v>3</v>
          </cell>
        </row>
        <row r="1849">
          <cell r="G1849">
            <v>3</v>
          </cell>
        </row>
        <row r="1850">
          <cell r="G1850">
            <v>3</v>
          </cell>
        </row>
        <row r="1851">
          <cell r="G1851">
            <v>3</v>
          </cell>
        </row>
        <row r="1852">
          <cell r="G1852">
            <v>3</v>
          </cell>
        </row>
        <row r="1853">
          <cell r="G1853">
            <v>3</v>
          </cell>
        </row>
        <row r="1854">
          <cell r="G1854">
            <v>3</v>
          </cell>
        </row>
        <row r="1855">
          <cell r="G1855">
            <v>3</v>
          </cell>
        </row>
        <row r="1856">
          <cell r="G1856">
            <v>3</v>
          </cell>
        </row>
        <row r="1857">
          <cell r="G1857">
            <v>3</v>
          </cell>
        </row>
        <row r="1858">
          <cell r="G1858">
            <v>3</v>
          </cell>
        </row>
        <row r="1859">
          <cell r="G1859">
            <v>3</v>
          </cell>
        </row>
        <row r="1860">
          <cell r="G1860">
            <v>3</v>
          </cell>
        </row>
        <row r="1861">
          <cell r="G1861">
            <v>3</v>
          </cell>
        </row>
        <row r="1862">
          <cell r="G1862">
            <v>3</v>
          </cell>
        </row>
        <row r="1863">
          <cell r="G1863">
            <v>3</v>
          </cell>
        </row>
        <row r="1864">
          <cell r="G1864">
            <v>3</v>
          </cell>
        </row>
        <row r="1865">
          <cell r="G1865">
            <v>3</v>
          </cell>
        </row>
        <row r="1866">
          <cell r="G1866">
            <v>3</v>
          </cell>
        </row>
        <row r="1867">
          <cell r="G1867">
            <v>3</v>
          </cell>
        </row>
        <row r="1868">
          <cell r="G1868">
            <v>3</v>
          </cell>
        </row>
        <row r="1869">
          <cell r="G1869">
            <v>3</v>
          </cell>
        </row>
        <row r="1870">
          <cell r="G1870">
            <v>3</v>
          </cell>
        </row>
        <row r="1871">
          <cell r="G1871">
            <v>3</v>
          </cell>
        </row>
        <row r="1872">
          <cell r="G1872">
            <v>3</v>
          </cell>
        </row>
        <row r="1873">
          <cell r="G1873">
            <v>3</v>
          </cell>
        </row>
        <row r="1874">
          <cell r="G1874">
            <v>3</v>
          </cell>
        </row>
        <row r="1875">
          <cell r="G1875">
            <v>3</v>
          </cell>
        </row>
        <row r="1876">
          <cell r="G1876">
            <v>3</v>
          </cell>
        </row>
        <row r="1877">
          <cell r="G1877">
            <v>3</v>
          </cell>
        </row>
        <row r="1878">
          <cell r="G1878">
            <v>3</v>
          </cell>
        </row>
        <row r="1879">
          <cell r="G1879">
            <v>3</v>
          </cell>
        </row>
        <row r="1880">
          <cell r="G1880">
            <v>3</v>
          </cell>
        </row>
        <row r="1881">
          <cell r="G1881">
            <v>3</v>
          </cell>
        </row>
        <row r="1882">
          <cell r="G1882">
            <v>3</v>
          </cell>
        </row>
        <row r="1883">
          <cell r="G1883">
            <v>3</v>
          </cell>
        </row>
        <row r="1884">
          <cell r="G1884">
            <v>3</v>
          </cell>
        </row>
        <row r="1885">
          <cell r="G1885">
            <v>3</v>
          </cell>
        </row>
        <row r="1886">
          <cell r="G1886">
            <v>3</v>
          </cell>
        </row>
        <row r="1887">
          <cell r="G1887">
            <v>3</v>
          </cell>
        </row>
        <row r="1888">
          <cell r="G1888">
            <v>3</v>
          </cell>
        </row>
        <row r="1889">
          <cell r="G1889">
            <v>3</v>
          </cell>
        </row>
        <row r="1890">
          <cell r="G1890">
            <v>3</v>
          </cell>
        </row>
        <row r="1891">
          <cell r="G1891">
            <v>3</v>
          </cell>
        </row>
        <row r="1892">
          <cell r="G1892">
            <v>3</v>
          </cell>
        </row>
        <row r="1893">
          <cell r="G1893">
            <v>3</v>
          </cell>
        </row>
        <row r="1894">
          <cell r="G1894">
            <v>3</v>
          </cell>
        </row>
        <row r="1895">
          <cell r="G1895">
            <v>3</v>
          </cell>
        </row>
        <row r="1896">
          <cell r="G1896">
            <v>3</v>
          </cell>
        </row>
        <row r="1897">
          <cell r="G1897">
            <v>3</v>
          </cell>
        </row>
        <row r="1898">
          <cell r="G1898">
            <v>3</v>
          </cell>
        </row>
        <row r="1899">
          <cell r="G1899">
            <v>3</v>
          </cell>
        </row>
        <row r="1900">
          <cell r="G1900">
            <v>3</v>
          </cell>
        </row>
        <row r="1901">
          <cell r="G1901">
            <v>3</v>
          </cell>
        </row>
        <row r="1902">
          <cell r="G1902">
            <v>3</v>
          </cell>
        </row>
        <row r="1903">
          <cell r="G1903">
            <v>3</v>
          </cell>
        </row>
        <row r="1904">
          <cell r="G1904">
            <v>3</v>
          </cell>
        </row>
        <row r="1905">
          <cell r="G1905">
            <v>3</v>
          </cell>
        </row>
        <row r="1906">
          <cell r="G1906">
            <v>3</v>
          </cell>
        </row>
        <row r="1907">
          <cell r="G1907">
            <v>3</v>
          </cell>
        </row>
        <row r="1908">
          <cell r="G1908">
            <v>3</v>
          </cell>
        </row>
        <row r="1909">
          <cell r="G1909">
            <v>3</v>
          </cell>
        </row>
        <row r="1910">
          <cell r="G1910">
            <v>3</v>
          </cell>
        </row>
        <row r="1911">
          <cell r="G1911">
            <v>3</v>
          </cell>
        </row>
        <row r="1912">
          <cell r="G1912">
            <v>3</v>
          </cell>
        </row>
        <row r="1913">
          <cell r="G1913">
            <v>3</v>
          </cell>
        </row>
        <row r="1914">
          <cell r="G1914">
            <v>3</v>
          </cell>
        </row>
        <row r="1915">
          <cell r="G1915">
            <v>3</v>
          </cell>
        </row>
        <row r="1916">
          <cell r="G1916">
            <v>3</v>
          </cell>
        </row>
        <row r="1917">
          <cell r="G1917">
            <v>3</v>
          </cell>
        </row>
        <row r="1918">
          <cell r="G1918">
            <v>3</v>
          </cell>
        </row>
        <row r="1919">
          <cell r="G1919">
            <v>3</v>
          </cell>
        </row>
        <row r="1920">
          <cell r="G1920">
            <v>3</v>
          </cell>
        </row>
        <row r="1921">
          <cell r="G1921">
            <v>3</v>
          </cell>
        </row>
        <row r="1922">
          <cell r="G1922">
            <v>3</v>
          </cell>
        </row>
        <row r="1923">
          <cell r="G1923">
            <v>3</v>
          </cell>
        </row>
        <row r="1924">
          <cell r="G1924">
            <v>3</v>
          </cell>
        </row>
        <row r="1925">
          <cell r="G1925">
            <v>3</v>
          </cell>
        </row>
        <row r="1926">
          <cell r="G1926">
            <v>3</v>
          </cell>
        </row>
        <row r="1927">
          <cell r="G1927">
            <v>3</v>
          </cell>
        </row>
        <row r="1928">
          <cell r="G1928">
            <v>3</v>
          </cell>
        </row>
        <row r="1929">
          <cell r="G1929">
            <v>3</v>
          </cell>
        </row>
        <row r="1930">
          <cell r="G1930">
            <v>3</v>
          </cell>
        </row>
        <row r="1931">
          <cell r="G1931">
            <v>3</v>
          </cell>
        </row>
        <row r="1932">
          <cell r="G1932">
            <v>3</v>
          </cell>
        </row>
        <row r="1933">
          <cell r="G1933">
            <v>3</v>
          </cell>
        </row>
        <row r="1934">
          <cell r="G1934">
            <v>3</v>
          </cell>
        </row>
        <row r="1935">
          <cell r="G1935">
            <v>3</v>
          </cell>
        </row>
        <row r="1936">
          <cell r="G1936">
            <v>3</v>
          </cell>
        </row>
        <row r="1937">
          <cell r="G1937">
            <v>3</v>
          </cell>
        </row>
        <row r="1938">
          <cell r="G1938">
            <v>3</v>
          </cell>
        </row>
        <row r="1939">
          <cell r="G1939">
            <v>3</v>
          </cell>
        </row>
        <row r="1940">
          <cell r="G1940">
            <v>3</v>
          </cell>
        </row>
        <row r="1941">
          <cell r="G1941">
            <v>3</v>
          </cell>
        </row>
        <row r="1942">
          <cell r="G1942">
            <v>3</v>
          </cell>
        </row>
        <row r="1943">
          <cell r="G1943">
            <v>3</v>
          </cell>
        </row>
        <row r="1944">
          <cell r="G1944">
            <v>3</v>
          </cell>
        </row>
        <row r="1945">
          <cell r="G1945">
            <v>3</v>
          </cell>
        </row>
        <row r="1946">
          <cell r="G1946">
            <v>3</v>
          </cell>
        </row>
        <row r="1947">
          <cell r="G1947">
            <v>3</v>
          </cell>
        </row>
        <row r="1948">
          <cell r="G1948">
            <v>3</v>
          </cell>
        </row>
        <row r="1949">
          <cell r="G1949">
            <v>3</v>
          </cell>
        </row>
        <row r="1950">
          <cell r="G1950">
            <v>3</v>
          </cell>
        </row>
        <row r="1951">
          <cell r="G1951">
            <v>3</v>
          </cell>
        </row>
        <row r="1952">
          <cell r="G1952">
            <v>3</v>
          </cell>
        </row>
        <row r="1953">
          <cell r="G1953">
            <v>3</v>
          </cell>
        </row>
        <row r="1954">
          <cell r="G1954">
            <v>3</v>
          </cell>
        </row>
        <row r="1955">
          <cell r="G1955">
            <v>3</v>
          </cell>
        </row>
        <row r="1956">
          <cell r="G1956">
            <v>3</v>
          </cell>
        </row>
        <row r="1957">
          <cell r="G1957">
            <v>3</v>
          </cell>
        </row>
        <row r="1958">
          <cell r="G1958">
            <v>3</v>
          </cell>
        </row>
        <row r="1959">
          <cell r="G1959">
            <v>3</v>
          </cell>
        </row>
        <row r="1960">
          <cell r="G1960">
            <v>3</v>
          </cell>
        </row>
        <row r="1961">
          <cell r="G1961">
            <v>3</v>
          </cell>
        </row>
        <row r="1962">
          <cell r="G1962">
            <v>3</v>
          </cell>
        </row>
        <row r="1963">
          <cell r="G1963">
            <v>3</v>
          </cell>
        </row>
        <row r="1964">
          <cell r="G1964">
            <v>3</v>
          </cell>
        </row>
        <row r="1965">
          <cell r="G1965">
            <v>3</v>
          </cell>
        </row>
        <row r="1966">
          <cell r="G1966">
            <v>3</v>
          </cell>
        </row>
        <row r="1967">
          <cell r="G1967">
            <v>3</v>
          </cell>
        </row>
        <row r="1968">
          <cell r="G1968">
            <v>3</v>
          </cell>
        </row>
        <row r="1969">
          <cell r="G1969">
            <v>3</v>
          </cell>
        </row>
        <row r="1970">
          <cell r="G1970">
            <v>3</v>
          </cell>
        </row>
        <row r="1971">
          <cell r="G1971">
            <v>3</v>
          </cell>
        </row>
        <row r="1972">
          <cell r="G1972">
            <v>3</v>
          </cell>
        </row>
        <row r="1973">
          <cell r="G1973">
            <v>3</v>
          </cell>
        </row>
        <row r="1974">
          <cell r="G1974">
            <v>3</v>
          </cell>
        </row>
        <row r="1975">
          <cell r="G1975">
            <v>3</v>
          </cell>
        </row>
        <row r="1976">
          <cell r="G1976">
            <v>3</v>
          </cell>
        </row>
        <row r="1977">
          <cell r="G1977">
            <v>3</v>
          </cell>
        </row>
        <row r="1978">
          <cell r="G1978">
            <v>3</v>
          </cell>
        </row>
        <row r="1979">
          <cell r="G1979">
            <v>3</v>
          </cell>
        </row>
        <row r="1980">
          <cell r="G1980">
            <v>3</v>
          </cell>
        </row>
        <row r="1981">
          <cell r="G1981">
            <v>3</v>
          </cell>
        </row>
        <row r="1982">
          <cell r="G1982">
            <v>3</v>
          </cell>
        </row>
        <row r="1983">
          <cell r="G1983">
            <v>3</v>
          </cell>
        </row>
        <row r="1984">
          <cell r="G1984">
            <v>3</v>
          </cell>
        </row>
        <row r="1985">
          <cell r="G1985">
            <v>3</v>
          </cell>
        </row>
        <row r="1986">
          <cell r="G1986">
            <v>3</v>
          </cell>
        </row>
        <row r="1987">
          <cell r="G1987">
            <v>3</v>
          </cell>
        </row>
        <row r="1988">
          <cell r="G1988">
            <v>3</v>
          </cell>
        </row>
        <row r="1989">
          <cell r="G1989">
            <v>3</v>
          </cell>
        </row>
        <row r="1990">
          <cell r="G1990">
            <v>3</v>
          </cell>
        </row>
        <row r="1991">
          <cell r="G1991">
            <v>3</v>
          </cell>
        </row>
        <row r="1992">
          <cell r="G1992">
            <v>3</v>
          </cell>
        </row>
        <row r="1993">
          <cell r="G1993">
            <v>3</v>
          </cell>
        </row>
        <row r="1994">
          <cell r="G1994">
            <v>3</v>
          </cell>
        </row>
        <row r="1995">
          <cell r="G1995">
            <v>3</v>
          </cell>
        </row>
        <row r="1996">
          <cell r="G1996">
            <v>3</v>
          </cell>
        </row>
        <row r="1997">
          <cell r="G1997">
            <v>3</v>
          </cell>
        </row>
        <row r="1998">
          <cell r="G1998">
            <v>3</v>
          </cell>
        </row>
        <row r="1999">
          <cell r="G1999">
            <v>3</v>
          </cell>
        </row>
        <row r="2000">
          <cell r="G2000">
            <v>3</v>
          </cell>
        </row>
        <row r="2001">
          <cell r="G2001">
            <v>3</v>
          </cell>
        </row>
        <row r="2002">
          <cell r="G2002">
            <v>3</v>
          </cell>
        </row>
        <row r="2003">
          <cell r="G2003">
            <v>3</v>
          </cell>
        </row>
        <row r="2004">
          <cell r="G2004">
            <v>3</v>
          </cell>
        </row>
        <row r="2005">
          <cell r="G2005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标准新手流程（非R）"/>
      <sheetName val="功能开启节奏"/>
      <sheetName val="转生节奏"/>
      <sheetName val="基础装备节奏"/>
      <sheetName val="通天塔对接"/>
      <sheetName val="关卡对接"/>
      <sheetName val="仙兵对接"/>
      <sheetName val="职业技能对接"/>
      <sheetName val="前3天非R装备模拟"/>
      <sheetName val="新手阶段非R升级节奏"/>
    </sheetNames>
    <sheetDataSet>
      <sheetData sheetId="0">
        <row r="6">
          <cell r="J6">
            <v>8.3333333333333329E-2</v>
          </cell>
        </row>
      </sheetData>
      <sheetData sheetId="1">
        <row r="4">
          <cell r="B4">
            <v>13</v>
          </cell>
        </row>
      </sheetData>
      <sheetData sheetId="2">
        <row r="4">
          <cell r="E4">
            <v>70</v>
          </cell>
        </row>
      </sheetData>
      <sheetData sheetId="3"/>
      <sheetData sheetId="4"/>
      <sheetData sheetId="5">
        <row r="4">
          <cell r="A4">
            <v>30</v>
          </cell>
        </row>
        <row r="7">
          <cell r="C7">
            <v>45</v>
          </cell>
          <cell r="E7">
            <v>30</v>
          </cell>
          <cell r="F7">
            <v>168</v>
          </cell>
        </row>
        <row r="8">
          <cell r="C8">
            <v>47</v>
          </cell>
          <cell r="E8">
            <v>32</v>
          </cell>
          <cell r="F8">
            <v>90</v>
          </cell>
        </row>
        <row r="9">
          <cell r="C9">
            <v>48</v>
          </cell>
          <cell r="E9">
            <v>33</v>
          </cell>
          <cell r="F9">
            <v>94</v>
          </cell>
        </row>
        <row r="10">
          <cell r="C10">
            <v>60</v>
          </cell>
          <cell r="E10">
            <v>52</v>
          </cell>
          <cell r="F10">
            <v>423</v>
          </cell>
        </row>
        <row r="11">
          <cell r="C11">
            <v>62</v>
          </cell>
          <cell r="E11">
            <v>54</v>
          </cell>
          <cell r="F11">
            <v>467</v>
          </cell>
        </row>
        <row r="12">
          <cell r="C12">
            <v>64</v>
          </cell>
          <cell r="E12">
            <v>56</v>
          </cell>
          <cell r="F12">
            <v>507</v>
          </cell>
        </row>
        <row r="13">
          <cell r="C13">
            <v>66</v>
          </cell>
          <cell r="E13">
            <v>59</v>
          </cell>
          <cell r="F13">
            <v>275</v>
          </cell>
        </row>
        <row r="14">
          <cell r="C14">
            <v>67</v>
          </cell>
          <cell r="E14">
            <v>60</v>
          </cell>
          <cell r="F14">
            <v>284</v>
          </cell>
        </row>
        <row r="15">
          <cell r="C15">
            <v>69</v>
          </cell>
          <cell r="E15">
            <v>63</v>
          </cell>
          <cell r="F15">
            <v>157</v>
          </cell>
        </row>
        <row r="16">
          <cell r="C16">
            <v>70</v>
          </cell>
          <cell r="E16">
            <v>64</v>
          </cell>
          <cell r="F16">
            <v>334</v>
          </cell>
        </row>
        <row r="17">
          <cell r="C17">
            <v>72</v>
          </cell>
          <cell r="E17">
            <v>67</v>
          </cell>
          <cell r="F17">
            <v>298</v>
          </cell>
        </row>
        <row r="18">
          <cell r="C18">
            <v>73</v>
          </cell>
          <cell r="E18">
            <v>68</v>
          </cell>
          <cell r="F18">
            <v>267</v>
          </cell>
        </row>
        <row r="19">
          <cell r="C19">
            <v>74</v>
          </cell>
          <cell r="E19">
            <v>70</v>
          </cell>
          <cell r="F19">
            <v>244</v>
          </cell>
        </row>
        <row r="20">
          <cell r="C20">
            <v>75</v>
          </cell>
          <cell r="E20">
            <v>71</v>
          </cell>
          <cell r="F20">
            <v>253</v>
          </cell>
        </row>
        <row r="21">
          <cell r="C21">
            <v>76</v>
          </cell>
          <cell r="E21">
            <v>73</v>
          </cell>
          <cell r="F21">
            <v>269</v>
          </cell>
        </row>
        <row r="22">
          <cell r="C22">
            <v>76</v>
          </cell>
          <cell r="E22">
            <v>73</v>
          </cell>
          <cell r="F22">
            <v>272</v>
          </cell>
        </row>
        <row r="23">
          <cell r="C23">
            <v>77</v>
          </cell>
          <cell r="E23">
            <v>74</v>
          </cell>
          <cell r="F23">
            <v>371</v>
          </cell>
        </row>
        <row r="24">
          <cell r="C24">
            <v>78</v>
          </cell>
          <cell r="E24">
            <v>76</v>
          </cell>
          <cell r="F24">
            <v>494</v>
          </cell>
        </row>
        <row r="25">
          <cell r="C25">
            <v>93</v>
          </cell>
          <cell r="E25">
            <v>93</v>
          </cell>
          <cell r="F25">
            <v>235</v>
          </cell>
        </row>
        <row r="26">
          <cell r="C26">
            <v>85</v>
          </cell>
          <cell r="E26">
            <v>85</v>
          </cell>
          <cell r="F26">
            <v>261</v>
          </cell>
        </row>
        <row r="27">
          <cell r="C27">
            <v>86</v>
          </cell>
          <cell r="E27">
            <v>86</v>
          </cell>
          <cell r="F27">
            <v>291</v>
          </cell>
        </row>
        <row r="28">
          <cell r="C28">
            <v>87</v>
          </cell>
          <cell r="E28">
            <v>87</v>
          </cell>
          <cell r="F28">
            <v>330</v>
          </cell>
        </row>
        <row r="29">
          <cell r="C29">
            <v>88</v>
          </cell>
          <cell r="E29">
            <v>88</v>
          </cell>
          <cell r="F29" t="str">
            <v/>
          </cell>
        </row>
        <row r="30">
          <cell r="C30">
            <v>89</v>
          </cell>
          <cell r="E30">
            <v>89</v>
          </cell>
          <cell r="F30" t="str">
            <v/>
          </cell>
        </row>
        <row r="31">
          <cell r="C31">
            <v>90</v>
          </cell>
          <cell r="E31">
            <v>90</v>
          </cell>
          <cell r="F31" t="str">
            <v/>
          </cell>
        </row>
        <row r="32">
          <cell r="C32">
            <v>91</v>
          </cell>
          <cell r="E32">
            <v>91</v>
          </cell>
          <cell r="F32" t="str">
            <v/>
          </cell>
        </row>
        <row r="33">
          <cell r="C33">
            <v>92</v>
          </cell>
          <cell r="E33">
            <v>92</v>
          </cell>
          <cell r="F33" t="str">
            <v/>
          </cell>
        </row>
        <row r="34">
          <cell r="C34">
            <v>93</v>
          </cell>
          <cell r="E34">
            <v>93</v>
          </cell>
          <cell r="F34" t="str">
            <v/>
          </cell>
        </row>
        <row r="35">
          <cell r="C35">
            <v>94</v>
          </cell>
          <cell r="E35">
            <v>94</v>
          </cell>
          <cell r="F35" t="str">
            <v/>
          </cell>
        </row>
        <row r="36">
          <cell r="C36">
            <v>95</v>
          </cell>
          <cell r="E36">
            <v>95</v>
          </cell>
          <cell r="F36" t="str">
            <v/>
          </cell>
        </row>
        <row r="37">
          <cell r="C37">
            <v>96</v>
          </cell>
          <cell r="E37">
            <v>96</v>
          </cell>
          <cell r="F37" t="str">
            <v/>
          </cell>
        </row>
        <row r="38">
          <cell r="C38">
            <v>97</v>
          </cell>
          <cell r="E38">
            <v>97</v>
          </cell>
          <cell r="F38" t="str">
            <v/>
          </cell>
        </row>
        <row r="39">
          <cell r="C39">
            <v>98</v>
          </cell>
          <cell r="E39">
            <v>98</v>
          </cell>
          <cell r="F39" t="str">
            <v/>
          </cell>
        </row>
        <row r="40">
          <cell r="C40">
            <v>99</v>
          </cell>
          <cell r="E40">
            <v>99</v>
          </cell>
          <cell r="F40" t="str">
            <v/>
          </cell>
        </row>
        <row r="41">
          <cell r="C41">
            <v>100</v>
          </cell>
          <cell r="E41">
            <v>100</v>
          </cell>
          <cell r="F41" t="str">
            <v/>
          </cell>
        </row>
        <row r="42">
          <cell r="C42">
            <v>101</v>
          </cell>
          <cell r="E42">
            <v>101</v>
          </cell>
          <cell r="F42" t="str">
            <v/>
          </cell>
        </row>
        <row r="43">
          <cell r="C43">
            <v>102</v>
          </cell>
          <cell r="E43">
            <v>102</v>
          </cell>
          <cell r="F43" t="str">
            <v/>
          </cell>
        </row>
        <row r="44">
          <cell r="C44">
            <v>103</v>
          </cell>
          <cell r="E44">
            <v>103</v>
          </cell>
          <cell r="F44" t="str">
            <v/>
          </cell>
        </row>
        <row r="45">
          <cell r="C45">
            <v>104</v>
          </cell>
          <cell r="E45">
            <v>104</v>
          </cell>
          <cell r="F45" t="str">
            <v/>
          </cell>
        </row>
        <row r="46">
          <cell r="C46">
            <v>105</v>
          </cell>
          <cell r="E46">
            <v>105</v>
          </cell>
          <cell r="F46" t="str">
            <v/>
          </cell>
        </row>
        <row r="47">
          <cell r="C47">
            <v>106</v>
          </cell>
          <cell r="E47">
            <v>106</v>
          </cell>
          <cell r="F47" t="str">
            <v/>
          </cell>
        </row>
        <row r="48">
          <cell r="C48">
            <v>107</v>
          </cell>
          <cell r="E48">
            <v>107</v>
          </cell>
          <cell r="F48" t="str">
            <v/>
          </cell>
        </row>
        <row r="49">
          <cell r="C49">
            <v>108</v>
          </cell>
          <cell r="E49">
            <v>108</v>
          </cell>
          <cell r="F49" t="str">
            <v/>
          </cell>
        </row>
        <row r="50">
          <cell r="C50">
            <v>109</v>
          </cell>
          <cell r="E50">
            <v>109</v>
          </cell>
          <cell r="F50" t="str">
            <v/>
          </cell>
        </row>
        <row r="51">
          <cell r="C51">
            <v>110</v>
          </cell>
          <cell r="E51">
            <v>110</v>
          </cell>
          <cell r="F51" t="str">
            <v/>
          </cell>
        </row>
        <row r="52">
          <cell r="C52">
            <v>111</v>
          </cell>
          <cell r="E52">
            <v>111</v>
          </cell>
          <cell r="F52" t="str">
            <v/>
          </cell>
        </row>
        <row r="53">
          <cell r="C53">
            <v>112</v>
          </cell>
          <cell r="E53">
            <v>112</v>
          </cell>
          <cell r="F53" t="str">
            <v/>
          </cell>
        </row>
        <row r="54">
          <cell r="C54">
            <v>113</v>
          </cell>
          <cell r="E54">
            <v>113</v>
          </cell>
          <cell r="F54" t="str">
            <v/>
          </cell>
        </row>
        <row r="55">
          <cell r="C55">
            <v>114</v>
          </cell>
          <cell r="E55">
            <v>114</v>
          </cell>
          <cell r="F55" t="str">
            <v/>
          </cell>
        </row>
        <row r="56">
          <cell r="C56">
            <v>115</v>
          </cell>
          <cell r="E56">
            <v>115</v>
          </cell>
          <cell r="F56" t="str">
            <v/>
          </cell>
        </row>
        <row r="57">
          <cell r="C57">
            <v>116</v>
          </cell>
          <cell r="E57">
            <v>116</v>
          </cell>
          <cell r="F57" t="str">
            <v/>
          </cell>
        </row>
        <row r="58">
          <cell r="C58">
            <v>117</v>
          </cell>
          <cell r="E58">
            <v>117</v>
          </cell>
          <cell r="F58" t="str">
            <v/>
          </cell>
        </row>
        <row r="59">
          <cell r="C59">
            <v>118</v>
          </cell>
          <cell r="E59">
            <v>118</v>
          </cell>
          <cell r="F59" t="str">
            <v/>
          </cell>
        </row>
        <row r="60">
          <cell r="C60">
            <v>119</v>
          </cell>
          <cell r="E60">
            <v>119</v>
          </cell>
          <cell r="F60" t="str">
            <v/>
          </cell>
        </row>
        <row r="61">
          <cell r="C61">
            <v>120</v>
          </cell>
          <cell r="E61">
            <v>120</v>
          </cell>
          <cell r="F61" t="str">
            <v/>
          </cell>
        </row>
        <row r="62">
          <cell r="C62">
            <v>121</v>
          </cell>
          <cell r="E62">
            <v>121</v>
          </cell>
          <cell r="F62" t="str">
            <v/>
          </cell>
        </row>
        <row r="63">
          <cell r="C63">
            <v>122</v>
          </cell>
          <cell r="E63">
            <v>122</v>
          </cell>
          <cell r="F63" t="str">
            <v/>
          </cell>
        </row>
        <row r="64">
          <cell r="C64">
            <v>123</v>
          </cell>
          <cell r="E64">
            <v>123</v>
          </cell>
          <cell r="F64" t="str">
            <v/>
          </cell>
        </row>
        <row r="65">
          <cell r="C65">
            <v>124</v>
          </cell>
          <cell r="E65">
            <v>124</v>
          </cell>
          <cell r="F65" t="str">
            <v/>
          </cell>
        </row>
        <row r="66">
          <cell r="C66">
            <v>125</v>
          </cell>
          <cell r="E66">
            <v>125</v>
          </cell>
          <cell r="F66" t="str">
            <v/>
          </cell>
        </row>
        <row r="67">
          <cell r="C67">
            <v>126</v>
          </cell>
          <cell r="E67">
            <v>126</v>
          </cell>
          <cell r="F67" t="str">
            <v/>
          </cell>
        </row>
        <row r="68">
          <cell r="C68">
            <v>127</v>
          </cell>
          <cell r="E68">
            <v>127</v>
          </cell>
          <cell r="F68" t="str">
            <v/>
          </cell>
        </row>
        <row r="69">
          <cell r="C69">
            <v>128</v>
          </cell>
          <cell r="E69">
            <v>128</v>
          </cell>
          <cell r="F69" t="str">
            <v/>
          </cell>
        </row>
        <row r="70">
          <cell r="C70">
            <v>129</v>
          </cell>
          <cell r="E70">
            <v>129</v>
          </cell>
          <cell r="F70" t="str">
            <v/>
          </cell>
        </row>
        <row r="71">
          <cell r="C71">
            <v>130</v>
          </cell>
          <cell r="E71">
            <v>130</v>
          </cell>
          <cell r="F71" t="str">
            <v/>
          </cell>
        </row>
        <row r="72">
          <cell r="C72">
            <v>131</v>
          </cell>
          <cell r="E72">
            <v>131</v>
          </cell>
          <cell r="F72" t="str">
            <v/>
          </cell>
        </row>
        <row r="73">
          <cell r="C73">
            <v>132</v>
          </cell>
          <cell r="E73">
            <v>132</v>
          </cell>
          <cell r="F73" t="str">
            <v/>
          </cell>
        </row>
        <row r="74">
          <cell r="C74">
            <v>133</v>
          </cell>
          <cell r="E74">
            <v>133</v>
          </cell>
          <cell r="F74" t="str">
            <v/>
          </cell>
        </row>
        <row r="75">
          <cell r="C75">
            <v>134</v>
          </cell>
          <cell r="E75">
            <v>134</v>
          </cell>
          <cell r="F75" t="str">
            <v/>
          </cell>
        </row>
        <row r="76">
          <cell r="C76">
            <v>135</v>
          </cell>
          <cell r="E76">
            <v>135</v>
          </cell>
          <cell r="F76" t="str">
            <v/>
          </cell>
        </row>
        <row r="77">
          <cell r="C77">
            <v>136</v>
          </cell>
          <cell r="E77">
            <v>136</v>
          </cell>
          <cell r="F77" t="str">
            <v/>
          </cell>
        </row>
        <row r="78">
          <cell r="C78">
            <v>137</v>
          </cell>
          <cell r="E78">
            <v>137</v>
          </cell>
          <cell r="F78" t="str">
            <v/>
          </cell>
        </row>
        <row r="79">
          <cell r="C79">
            <v>138</v>
          </cell>
          <cell r="E79">
            <v>138</v>
          </cell>
          <cell r="F79" t="str">
            <v/>
          </cell>
        </row>
        <row r="80">
          <cell r="C80">
            <v>139</v>
          </cell>
          <cell r="E80">
            <v>139</v>
          </cell>
          <cell r="F80" t="str">
            <v/>
          </cell>
        </row>
        <row r="81">
          <cell r="C81">
            <v>140</v>
          </cell>
          <cell r="E81">
            <v>140</v>
          </cell>
          <cell r="F81" t="str">
            <v/>
          </cell>
        </row>
        <row r="82">
          <cell r="C82">
            <v>141</v>
          </cell>
          <cell r="E82">
            <v>141</v>
          </cell>
          <cell r="F82" t="str">
            <v/>
          </cell>
        </row>
        <row r="83">
          <cell r="C83">
            <v>142</v>
          </cell>
          <cell r="E83">
            <v>142</v>
          </cell>
          <cell r="F83" t="str">
            <v/>
          </cell>
        </row>
        <row r="84">
          <cell r="C84">
            <v>143</v>
          </cell>
          <cell r="E84">
            <v>143</v>
          </cell>
          <cell r="F84" t="str">
            <v/>
          </cell>
        </row>
        <row r="85">
          <cell r="C85">
            <v>144</v>
          </cell>
          <cell r="E85">
            <v>144</v>
          </cell>
          <cell r="F85" t="str">
            <v/>
          </cell>
        </row>
        <row r="86">
          <cell r="C86">
            <v>145</v>
          </cell>
          <cell r="E86">
            <v>145</v>
          </cell>
          <cell r="F86" t="str">
            <v/>
          </cell>
        </row>
        <row r="87">
          <cell r="C87">
            <v>146</v>
          </cell>
          <cell r="E87">
            <v>146</v>
          </cell>
          <cell r="F87" t="str">
            <v/>
          </cell>
        </row>
        <row r="88">
          <cell r="C88">
            <v>147</v>
          </cell>
          <cell r="E88">
            <v>147</v>
          </cell>
          <cell r="F88" t="str">
            <v/>
          </cell>
        </row>
        <row r="89">
          <cell r="C89">
            <v>148</v>
          </cell>
          <cell r="E89">
            <v>148</v>
          </cell>
          <cell r="F89" t="str">
            <v/>
          </cell>
        </row>
        <row r="90">
          <cell r="C90">
            <v>149</v>
          </cell>
          <cell r="E90">
            <v>149</v>
          </cell>
          <cell r="F90" t="str">
            <v/>
          </cell>
        </row>
        <row r="91">
          <cell r="C91">
            <v>150</v>
          </cell>
          <cell r="E91">
            <v>150</v>
          </cell>
          <cell r="F91" t="str">
            <v/>
          </cell>
        </row>
        <row r="92">
          <cell r="C92">
            <v>151</v>
          </cell>
          <cell r="E92">
            <v>151</v>
          </cell>
          <cell r="F92" t="str">
            <v/>
          </cell>
        </row>
        <row r="93">
          <cell r="C93">
            <v>152</v>
          </cell>
          <cell r="E93">
            <v>152</v>
          </cell>
          <cell r="F93" t="str">
            <v/>
          </cell>
        </row>
        <row r="94">
          <cell r="C94">
            <v>153</v>
          </cell>
          <cell r="E94">
            <v>153</v>
          </cell>
          <cell r="F94" t="str">
            <v/>
          </cell>
        </row>
        <row r="95">
          <cell r="C95">
            <v>154</v>
          </cell>
          <cell r="E95">
            <v>154</v>
          </cell>
          <cell r="F95" t="str">
            <v/>
          </cell>
        </row>
        <row r="96">
          <cell r="C96">
            <v>155</v>
          </cell>
          <cell r="E96">
            <v>155</v>
          </cell>
          <cell r="F96" t="str">
            <v/>
          </cell>
        </row>
        <row r="97">
          <cell r="C97">
            <v>156</v>
          </cell>
          <cell r="E97">
            <v>156</v>
          </cell>
          <cell r="F97" t="str">
            <v/>
          </cell>
        </row>
        <row r="98">
          <cell r="C98">
            <v>157</v>
          </cell>
          <cell r="E98">
            <v>157</v>
          </cell>
          <cell r="F98" t="str">
            <v/>
          </cell>
        </row>
        <row r="99">
          <cell r="C99">
            <v>158</v>
          </cell>
          <cell r="E99">
            <v>158</v>
          </cell>
          <cell r="F99" t="str">
            <v/>
          </cell>
        </row>
        <row r="100">
          <cell r="C100">
            <v>159</v>
          </cell>
          <cell r="E100">
            <v>159</v>
          </cell>
          <cell r="F100" t="str">
            <v/>
          </cell>
        </row>
        <row r="101">
          <cell r="C101">
            <v>160</v>
          </cell>
          <cell r="E101">
            <v>160</v>
          </cell>
          <cell r="F101" t="str">
            <v/>
          </cell>
        </row>
        <row r="102">
          <cell r="C102">
            <v>161</v>
          </cell>
          <cell r="E102">
            <v>161</v>
          </cell>
          <cell r="F102" t="str">
            <v/>
          </cell>
        </row>
        <row r="103">
          <cell r="C103">
            <v>162</v>
          </cell>
          <cell r="E103">
            <v>162</v>
          </cell>
          <cell r="F103" t="str">
            <v/>
          </cell>
        </row>
        <row r="104">
          <cell r="C104">
            <v>163</v>
          </cell>
          <cell r="E104">
            <v>163</v>
          </cell>
          <cell r="F104" t="str">
            <v/>
          </cell>
        </row>
        <row r="105">
          <cell r="C105">
            <v>164</v>
          </cell>
          <cell r="E105">
            <v>164</v>
          </cell>
          <cell r="F105" t="str">
            <v/>
          </cell>
        </row>
        <row r="106">
          <cell r="C106">
            <v>165</v>
          </cell>
          <cell r="E106">
            <v>165</v>
          </cell>
          <cell r="F106" t="str">
            <v/>
          </cell>
        </row>
        <row r="107">
          <cell r="C107">
            <v>166</v>
          </cell>
          <cell r="E107">
            <v>166</v>
          </cell>
          <cell r="F107" t="str">
            <v/>
          </cell>
        </row>
        <row r="108">
          <cell r="C108">
            <v>167</v>
          </cell>
          <cell r="E108">
            <v>167</v>
          </cell>
          <cell r="F108" t="str">
            <v/>
          </cell>
        </row>
        <row r="109">
          <cell r="C109">
            <v>168</v>
          </cell>
          <cell r="E109">
            <v>168</v>
          </cell>
          <cell r="F109" t="str">
            <v/>
          </cell>
        </row>
        <row r="110">
          <cell r="C110">
            <v>169</v>
          </cell>
          <cell r="E110">
            <v>169</v>
          </cell>
          <cell r="F110" t="str">
            <v/>
          </cell>
        </row>
        <row r="111">
          <cell r="C111">
            <v>170</v>
          </cell>
          <cell r="E111">
            <v>170</v>
          </cell>
          <cell r="F111" t="str">
            <v/>
          </cell>
        </row>
        <row r="112">
          <cell r="C112">
            <v>171</v>
          </cell>
          <cell r="E112">
            <v>171</v>
          </cell>
          <cell r="F112" t="str">
            <v/>
          </cell>
        </row>
        <row r="113">
          <cell r="C113">
            <v>172</v>
          </cell>
          <cell r="E113">
            <v>172</v>
          </cell>
          <cell r="F113" t="str">
            <v/>
          </cell>
        </row>
        <row r="114">
          <cell r="C114">
            <v>173</v>
          </cell>
          <cell r="E114">
            <v>173</v>
          </cell>
          <cell r="F114" t="str">
            <v/>
          </cell>
        </row>
        <row r="115">
          <cell r="C115">
            <v>174</v>
          </cell>
          <cell r="E115">
            <v>174</v>
          </cell>
          <cell r="F115" t="str">
            <v/>
          </cell>
        </row>
        <row r="116">
          <cell r="C116">
            <v>175</v>
          </cell>
          <cell r="E116">
            <v>175</v>
          </cell>
          <cell r="F116" t="str">
            <v/>
          </cell>
        </row>
        <row r="117">
          <cell r="C117">
            <v>176</v>
          </cell>
          <cell r="E117">
            <v>176</v>
          </cell>
          <cell r="F117" t="str">
            <v/>
          </cell>
        </row>
        <row r="118">
          <cell r="C118">
            <v>177</v>
          </cell>
          <cell r="E118">
            <v>177</v>
          </cell>
          <cell r="F118" t="str">
            <v/>
          </cell>
        </row>
        <row r="119">
          <cell r="C119">
            <v>178</v>
          </cell>
          <cell r="E119">
            <v>178</v>
          </cell>
          <cell r="F119" t="str">
            <v/>
          </cell>
        </row>
        <row r="120">
          <cell r="C120">
            <v>179</v>
          </cell>
          <cell r="E120">
            <v>179</v>
          </cell>
          <cell r="F120" t="str">
            <v/>
          </cell>
        </row>
        <row r="121">
          <cell r="C121">
            <v>180</v>
          </cell>
          <cell r="E121">
            <v>180</v>
          </cell>
          <cell r="F121" t="str">
            <v/>
          </cell>
        </row>
        <row r="122">
          <cell r="C122">
            <v>181</v>
          </cell>
          <cell r="E122">
            <v>181</v>
          </cell>
          <cell r="F122" t="str">
            <v/>
          </cell>
        </row>
        <row r="123">
          <cell r="C123">
            <v>182</v>
          </cell>
          <cell r="E123">
            <v>182</v>
          </cell>
          <cell r="F123" t="str">
            <v/>
          </cell>
        </row>
        <row r="124">
          <cell r="C124">
            <v>183</v>
          </cell>
          <cell r="E124">
            <v>183</v>
          </cell>
          <cell r="F124" t="str">
            <v/>
          </cell>
        </row>
        <row r="125">
          <cell r="C125">
            <v>184</v>
          </cell>
          <cell r="E125">
            <v>184</v>
          </cell>
          <cell r="F125" t="str">
            <v/>
          </cell>
        </row>
        <row r="126">
          <cell r="C126">
            <v>185</v>
          </cell>
          <cell r="E126">
            <v>185</v>
          </cell>
          <cell r="F126" t="str">
            <v/>
          </cell>
        </row>
        <row r="127">
          <cell r="C127">
            <v>186</v>
          </cell>
          <cell r="E127">
            <v>186</v>
          </cell>
          <cell r="F127" t="str">
            <v/>
          </cell>
        </row>
        <row r="128">
          <cell r="C128">
            <v>187</v>
          </cell>
          <cell r="E128">
            <v>187</v>
          </cell>
          <cell r="F128" t="str">
            <v/>
          </cell>
        </row>
        <row r="129">
          <cell r="C129">
            <v>188</v>
          </cell>
          <cell r="E129">
            <v>188</v>
          </cell>
          <cell r="F129" t="str">
            <v/>
          </cell>
        </row>
        <row r="130">
          <cell r="C130">
            <v>189</v>
          </cell>
          <cell r="E130">
            <v>189</v>
          </cell>
          <cell r="F130" t="str">
            <v/>
          </cell>
        </row>
        <row r="131">
          <cell r="C131">
            <v>190</v>
          </cell>
          <cell r="E131">
            <v>190</v>
          </cell>
          <cell r="F131" t="str">
            <v/>
          </cell>
        </row>
        <row r="132">
          <cell r="C132">
            <v>191</v>
          </cell>
          <cell r="E132">
            <v>191</v>
          </cell>
          <cell r="F132" t="str">
            <v/>
          </cell>
        </row>
        <row r="133">
          <cell r="C133">
            <v>192</v>
          </cell>
          <cell r="E133">
            <v>192</v>
          </cell>
          <cell r="F133" t="str">
            <v/>
          </cell>
        </row>
        <row r="134">
          <cell r="C134">
            <v>193</v>
          </cell>
          <cell r="E134">
            <v>193</v>
          </cell>
          <cell r="F134" t="str">
            <v/>
          </cell>
        </row>
        <row r="135">
          <cell r="C135">
            <v>194</v>
          </cell>
          <cell r="E135">
            <v>194</v>
          </cell>
          <cell r="F135" t="str">
            <v/>
          </cell>
        </row>
        <row r="136">
          <cell r="C136">
            <v>195</v>
          </cell>
          <cell r="E136">
            <v>195</v>
          </cell>
          <cell r="F136" t="str">
            <v/>
          </cell>
        </row>
        <row r="137">
          <cell r="C137">
            <v>196</v>
          </cell>
          <cell r="E137">
            <v>196</v>
          </cell>
          <cell r="F137" t="str">
            <v/>
          </cell>
        </row>
        <row r="138">
          <cell r="C138">
            <v>197</v>
          </cell>
          <cell r="E138">
            <v>197</v>
          </cell>
          <cell r="F138" t="str">
            <v/>
          </cell>
        </row>
        <row r="139">
          <cell r="C139">
            <v>198</v>
          </cell>
          <cell r="E139">
            <v>198</v>
          </cell>
          <cell r="F139" t="str">
            <v/>
          </cell>
        </row>
        <row r="140">
          <cell r="C140">
            <v>199</v>
          </cell>
          <cell r="E140">
            <v>199</v>
          </cell>
          <cell r="F140" t="str">
            <v/>
          </cell>
        </row>
        <row r="141">
          <cell r="C141">
            <v>200</v>
          </cell>
          <cell r="E141">
            <v>200</v>
          </cell>
          <cell r="F141" t="str">
            <v/>
          </cell>
        </row>
      </sheetData>
      <sheetData sheetId="6"/>
      <sheetData sheetId="7">
        <row r="3">
          <cell r="B3">
            <v>20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货币基础"/>
      <sheetName val="总产出框架"/>
      <sheetName val="装备产出框架"/>
      <sheetName val="成就"/>
      <sheetName val="基础装备产出"/>
      <sheetName val="基础装备物品表"/>
      <sheetName val="基础装备关卡挂机表"/>
      <sheetName val="基础装备掉落表"/>
      <sheetName val="关卡通关奖励"/>
      <sheetName val="关卡炼妖杀怪"/>
      <sheetName val="关卡扫荡奖励"/>
      <sheetName val="神装产出"/>
      <sheetName val="神装物品表"/>
      <sheetName val="神装掉落表"/>
      <sheetName val="神魂产出"/>
      <sheetName val="神魂物品表"/>
      <sheetName val="神魂掉落表"/>
      <sheetName val="材料副本"/>
      <sheetName val="进阶副本"/>
      <sheetName val="通天塔"/>
      <sheetName val="神纹物品表"/>
      <sheetName val="神纹掉落表"/>
      <sheetName val="福利法宝"/>
      <sheetName val="摇钱树"/>
      <sheetName val="仙阶"/>
      <sheetName val="仙兵"/>
      <sheetName val="主城日常"/>
      <sheetName val="切磋"/>
      <sheetName val="竞技场"/>
      <sheetName val="装备副本"/>
      <sheetName val="经验副本"/>
      <sheetName val="守护神剑副本"/>
      <sheetName val="守护神剑掉落配表"/>
      <sheetName val="boss之家分层"/>
      <sheetName val="道具商店"/>
      <sheetName val="道具格扩容"/>
      <sheetName val="仙灵"/>
      <sheetName val="组队副本"/>
      <sheetName val="幻化临时数值"/>
      <sheetName val="守护神剑"/>
      <sheetName val="药田"/>
      <sheetName val="魂骨塔"/>
      <sheetName val="跨服天梯"/>
      <sheetName val="跨服领地战"/>
      <sheetName val="巅峰赛季"/>
      <sheetName val="上香"/>
      <sheetName val="签到"/>
      <sheetName val="答题"/>
      <sheetName val="接财神"/>
      <sheetName val="血战比奇"/>
      <sheetName val="个人战"/>
      <sheetName val="世界boss"/>
      <sheetName val="单人爬塔"/>
      <sheetName val="异界boss"/>
      <sheetName val="温泉"/>
      <sheetName val="非R资源参照"/>
    </sheetNames>
    <sheetDataSet>
      <sheetData sheetId="0">
        <row r="4">
          <cell r="B4">
            <v>0.01</v>
          </cell>
        </row>
      </sheetData>
      <sheetData sheetId="1">
        <row r="5">
          <cell r="I5">
            <v>80</v>
          </cell>
        </row>
      </sheetData>
      <sheetData sheetId="2"/>
      <sheetData sheetId="3"/>
      <sheetData sheetId="4">
        <row r="105">
          <cell r="A105" t="str">
            <v>装备等级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25">
          <cell r="B125">
            <v>100</v>
          </cell>
        </row>
      </sheetData>
      <sheetData sheetId="12"/>
      <sheetData sheetId="13"/>
      <sheetData sheetId="14">
        <row r="4">
          <cell r="X4">
            <v>1</v>
          </cell>
        </row>
      </sheetData>
      <sheetData sheetId="15"/>
      <sheetData sheetId="16"/>
      <sheetData sheetId="17">
        <row r="15">
          <cell r="B15">
            <v>100</v>
          </cell>
        </row>
      </sheetData>
      <sheetData sheetId="18">
        <row r="12">
          <cell r="B12">
            <v>100</v>
          </cell>
        </row>
      </sheetData>
      <sheetData sheetId="19">
        <row r="23">
          <cell r="J23">
            <v>100000</v>
          </cell>
        </row>
      </sheetData>
      <sheetData sheetId="20"/>
      <sheetData sheetId="21"/>
      <sheetData sheetId="22"/>
      <sheetData sheetId="23"/>
      <sheetData sheetId="24">
        <row r="7">
          <cell r="A7">
            <v>200</v>
          </cell>
        </row>
      </sheetData>
      <sheetData sheetId="25">
        <row r="4">
          <cell r="G4">
            <v>27</v>
          </cell>
        </row>
      </sheetData>
      <sheetData sheetId="26"/>
      <sheetData sheetId="27">
        <row r="10">
          <cell r="C10">
            <v>0.1</v>
          </cell>
        </row>
      </sheetData>
      <sheetData sheetId="28">
        <row r="4">
          <cell r="E4">
            <v>800</v>
          </cell>
        </row>
      </sheetData>
      <sheetData sheetId="29"/>
      <sheetData sheetId="30">
        <row r="19">
          <cell r="A19">
            <v>75</v>
          </cell>
        </row>
      </sheetData>
      <sheetData sheetId="31">
        <row r="12">
          <cell r="A12">
            <v>7.5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73"/>
  <sheetViews>
    <sheetView topLeftCell="A544" workbookViewId="0">
      <selection activeCell="S16" sqref="S16"/>
    </sheetView>
  </sheetViews>
  <sheetFormatPr defaultRowHeight="13.5" x14ac:dyDescent="0.15"/>
  <cols>
    <col min="1" max="1" width="12.375" customWidth="1"/>
    <col min="2" max="2" width="11.625" customWidth="1"/>
    <col min="3" max="3" width="12.625" customWidth="1"/>
    <col min="4" max="4" width="11.875" customWidth="1"/>
    <col min="8" max="8" width="8.75" customWidth="1"/>
    <col min="16" max="16" width="12" customWidth="1"/>
  </cols>
  <sheetData>
    <row r="2" spans="1:8" x14ac:dyDescent="0.15">
      <c r="D2" s="14" t="s">
        <v>8</v>
      </c>
      <c r="E2" s="15"/>
      <c r="F2" s="15"/>
      <c r="G2" s="15"/>
      <c r="H2" s="15"/>
    </row>
    <row r="3" spans="1:8" x14ac:dyDescent="0.1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15">
      <c r="A4" s="3">
        <v>1</v>
      </c>
      <c r="B4" s="3">
        <v>20</v>
      </c>
      <c r="C4" s="3">
        <f>5*60</f>
        <v>300</v>
      </c>
      <c r="D4" s="3">
        <v>0</v>
      </c>
      <c r="E4" s="3">
        <v>0.3</v>
      </c>
      <c r="F4" s="3">
        <v>0.7</v>
      </c>
      <c r="G4" s="3">
        <v>0</v>
      </c>
      <c r="H4" s="3">
        <f>1-SUM(D4:G4)</f>
        <v>0</v>
      </c>
    </row>
    <row r="5" spans="1:8" x14ac:dyDescent="0.15">
      <c r="A5" s="3">
        <f>B4+1</f>
        <v>21</v>
      </c>
      <c r="B5" s="3">
        <v>40</v>
      </c>
      <c r="C5" s="3">
        <f>10*60</f>
        <v>600</v>
      </c>
      <c r="D5" s="3">
        <v>0</v>
      </c>
      <c r="E5" s="3">
        <v>0.85</v>
      </c>
      <c r="F5" s="3">
        <v>0.15</v>
      </c>
      <c r="G5" s="3">
        <v>0</v>
      </c>
      <c r="H5" s="3">
        <f t="shared" ref="H5:H20" si="0">1-SUM(D5:G5)</f>
        <v>0</v>
      </c>
    </row>
    <row r="6" spans="1:8" x14ac:dyDescent="0.15">
      <c r="A6" s="3">
        <f t="shared" ref="A6:A20" si="1">B5+1</f>
        <v>41</v>
      </c>
      <c r="B6" s="3">
        <v>60</v>
      </c>
      <c r="C6" s="3">
        <f>20*60</f>
        <v>1200</v>
      </c>
      <c r="D6" s="3">
        <v>0</v>
      </c>
      <c r="E6" s="3">
        <v>0.7</v>
      </c>
      <c r="F6" s="3">
        <v>0.25</v>
      </c>
      <c r="G6" s="3">
        <v>0.05</v>
      </c>
      <c r="H6" s="3">
        <f>1-SUM(D6:G6)</f>
        <v>0</v>
      </c>
    </row>
    <row r="7" spans="1:8" x14ac:dyDescent="0.15">
      <c r="A7" s="3">
        <f t="shared" si="1"/>
        <v>61</v>
      </c>
      <c r="B7" s="3">
        <v>80</v>
      </c>
      <c r="C7" s="3">
        <f>30*60</f>
        <v>1800</v>
      </c>
      <c r="D7" s="3">
        <v>0</v>
      </c>
      <c r="E7" s="3">
        <v>0.9</v>
      </c>
      <c r="F7" s="3">
        <v>0.1</v>
      </c>
      <c r="G7" s="3">
        <v>0</v>
      </c>
      <c r="H7" s="3">
        <f t="shared" si="0"/>
        <v>0</v>
      </c>
    </row>
    <row r="8" spans="1:8" x14ac:dyDescent="0.15">
      <c r="A8" s="3">
        <f t="shared" si="1"/>
        <v>81</v>
      </c>
      <c r="B8" s="3">
        <v>100</v>
      </c>
      <c r="C8" s="3">
        <f>40*60</f>
        <v>2400</v>
      </c>
      <c r="D8" s="3">
        <v>0</v>
      </c>
      <c r="E8" s="3">
        <v>0.85</v>
      </c>
      <c r="F8" s="3">
        <v>0.15</v>
      </c>
      <c r="G8" s="3">
        <v>0</v>
      </c>
      <c r="H8" s="3">
        <f t="shared" si="0"/>
        <v>0</v>
      </c>
    </row>
    <row r="9" spans="1:8" x14ac:dyDescent="0.15">
      <c r="A9" s="3">
        <f t="shared" si="1"/>
        <v>101</v>
      </c>
      <c r="B9" s="3">
        <v>120</v>
      </c>
      <c r="C9" s="3">
        <f>60*60</f>
        <v>3600</v>
      </c>
      <c r="D9" s="3">
        <v>0</v>
      </c>
      <c r="E9" s="3">
        <v>0.9</v>
      </c>
      <c r="F9" s="3">
        <v>0.1</v>
      </c>
      <c r="G9" s="3">
        <v>0</v>
      </c>
      <c r="H9" s="3">
        <f t="shared" si="0"/>
        <v>0</v>
      </c>
    </row>
    <row r="10" spans="1:8" x14ac:dyDescent="0.15">
      <c r="A10" s="3">
        <f t="shared" si="1"/>
        <v>121</v>
      </c>
      <c r="B10" s="3">
        <v>140</v>
      </c>
      <c r="C10" s="3">
        <f>90*60</f>
        <v>5400</v>
      </c>
      <c r="D10" s="3">
        <v>0</v>
      </c>
      <c r="E10" s="3">
        <v>0.75</v>
      </c>
      <c r="F10" s="3">
        <v>0.25</v>
      </c>
      <c r="G10" s="3">
        <v>0</v>
      </c>
      <c r="H10" s="3">
        <f t="shared" si="0"/>
        <v>0</v>
      </c>
    </row>
    <row r="11" spans="1:8" x14ac:dyDescent="0.15">
      <c r="A11" s="3">
        <f t="shared" si="1"/>
        <v>141</v>
      </c>
      <c r="B11" s="3">
        <v>160</v>
      </c>
      <c r="C11" s="3">
        <f>2.5*60*60</f>
        <v>9000</v>
      </c>
      <c r="D11" s="3">
        <v>0</v>
      </c>
      <c r="E11" s="3">
        <v>0.8</v>
      </c>
      <c r="F11" s="3">
        <v>0.2</v>
      </c>
      <c r="G11" s="3">
        <v>0</v>
      </c>
      <c r="H11" s="3">
        <f t="shared" si="0"/>
        <v>0</v>
      </c>
    </row>
    <row r="12" spans="1:8" x14ac:dyDescent="0.15">
      <c r="A12" s="3">
        <f t="shared" si="1"/>
        <v>161</v>
      </c>
      <c r="B12" s="3">
        <v>180</v>
      </c>
      <c r="C12" s="3">
        <f>4*60*60</f>
        <v>14400</v>
      </c>
      <c r="D12" s="3">
        <v>0</v>
      </c>
      <c r="E12" s="3">
        <v>0.9</v>
      </c>
      <c r="F12" s="3">
        <v>0.1</v>
      </c>
      <c r="G12" s="3">
        <v>0</v>
      </c>
      <c r="H12" s="3">
        <f t="shared" ref="H12:H14" si="2">1-SUM(D12:G12)</f>
        <v>0</v>
      </c>
    </row>
    <row r="13" spans="1:8" x14ac:dyDescent="0.15">
      <c r="A13" s="3">
        <f t="shared" si="1"/>
        <v>181</v>
      </c>
      <c r="B13" s="3">
        <v>200</v>
      </c>
      <c r="C13" s="3">
        <f>6*60*60</f>
        <v>21600</v>
      </c>
      <c r="D13" s="3">
        <v>0</v>
      </c>
      <c r="E13" s="3">
        <v>0.95</v>
      </c>
      <c r="F13" s="3">
        <v>0.05</v>
      </c>
      <c r="G13" s="3">
        <v>0</v>
      </c>
      <c r="H13" s="3">
        <f t="shared" si="2"/>
        <v>0</v>
      </c>
    </row>
    <row r="14" spans="1:8" x14ac:dyDescent="0.15">
      <c r="A14" s="3">
        <f t="shared" si="1"/>
        <v>201</v>
      </c>
      <c r="B14" s="3">
        <v>250</v>
      </c>
      <c r="C14" s="3">
        <f>16*60*60</f>
        <v>57600</v>
      </c>
      <c r="D14" s="3">
        <v>0</v>
      </c>
      <c r="E14" s="3">
        <v>1</v>
      </c>
      <c r="F14" s="3">
        <v>0</v>
      </c>
      <c r="G14" s="3">
        <v>0</v>
      </c>
      <c r="H14" s="3">
        <f t="shared" si="2"/>
        <v>0</v>
      </c>
    </row>
    <row r="15" spans="1:8" x14ac:dyDescent="0.15">
      <c r="A15" s="3">
        <f t="shared" si="1"/>
        <v>251</v>
      </c>
      <c r="B15" s="3">
        <v>300</v>
      </c>
      <c r="C15" s="3">
        <f>3*24*60*60</f>
        <v>259200</v>
      </c>
      <c r="D15" s="3">
        <v>0</v>
      </c>
      <c r="E15" s="3">
        <v>0.4</v>
      </c>
      <c r="F15" s="3">
        <v>0.3</v>
      </c>
      <c r="G15" s="3">
        <v>0.3</v>
      </c>
      <c r="H15" s="3">
        <f t="shared" ref="H15:H16" si="3">1-SUM(D15:G15)</f>
        <v>0</v>
      </c>
    </row>
    <row r="16" spans="1:8" x14ac:dyDescent="0.15">
      <c r="A16" s="3">
        <f t="shared" si="1"/>
        <v>301</v>
      </c>
      <c r="B16" s="3">
        <v>350</v>
      </c>
      <c r="C16" s="3">
        <f>7*24*60*60</f>
        <v>604800</v>
      </c>
      <c r="D16" s="3">
        <v>0</v>
      </c>
      <c r="E16" s="3">
        <v>1</v>
      </c>
      <c r="F16" s="3">
        <v>0</v>
      </c>
      <c r="G16" s="3">
        <v>0</v>
      </c>
      <c r="H16" s="3">
        <f t="shared" si="3"/>
        <v>0</v>
      </c>
    </row>
    <row r="17" spans="1:16" x14ac:dyDescent="0.15">
      <c r="A17" s="3">
        <f t="shared" si="1"/>
        <v>351</v>
      </c>
      <c r="B17" s="3">
        <v>400</v>
      </c>
      <c r="C17" s="3">
        <f>7*24*60*60</f>
        <v>604800</v>
      </c>
      <c r="D17" s="3">
        <v>0</v>
      </c>
      <c r="E17" s="3">
        <v>1</v>
      </c>
      <c r="F17" s="3">
        <v>0</v>
      </c>
      <c r="G17" s="3">
        <v>0</v>
      </c>
      <c r="H17" s="3">
        <f t="shared" ref="H17" si="4">1-SUM(D17:G17)</f>
        <v>0</v>
      </c>
    </row>
    <row r="18" spans="1:16" x14ac:dyDescent="0.15">
      <c r="A18" s="3">
        <f t="shared" si="1"/>
        <v>401</v>
      </c>
      <c r="B18" s="3">
        <v>450</v>
      </c>
      <c r="C18" s="3">
        <f>7*24*60*60</f>
        <v>604800</v>
      </c>
      <c r="D18" s="3">
        <v>0</v>
      </c>
      <c r="E18" s="3">
        <v>1</v>
      </c>
      <c r="F18" s="3">
        <v>0</v>
      </c>
      <c r="G18" s="3">
        <v>0</v>
      </c>
      <c r="H18" s="3">
        <f t="shared" si="0"/>
        <v>0</v>
      </c>
    </row>
    <row r="19" spans="1:16" x14ac:dyDescent="0.15">
      <c r="A19" s="3">
        <f t="shared" si="1"/>
        <v>451</v>
      </c>
      <c r="B19" s="3">
        <v>500</v>
      </c>
      <c r="C19" s="3">
        <f>14*24*60*60</f>
        <v>1209600</v>
      </c>
      <c r="D19" s="3">
        <v>0</v>
      </c>
      <c r="E19" s="3">
        <v>1</v>
      </c>
      <c r="F19" s="3">
        <v>0</v>
      </c>
      <c r="G19" s="3">
        <v>0</v>
      </c>
      <c r="H19" s="3">
        <f t="shared" si="0"/>
        <v>0</v>
      </c>
    </row>
    <row r="20" spans="1:16" x14ac:dyDescent="0.15">
      <c r="A20" s="3">
        <f t="shared" si="1"/>
        <v>501</v>
      </c>
      <c r="B20" s="3">
        <v>550</v>
      </c>
      <c r="C20" s="3">
        <f>14*24*60*60</f>
        <v>1209600</v>
      </c>
      <c r="D20" s="3">
        <v>0</v>
      </c>
      <c r="E20" s="3">
        <v>1</v>
      </c>
      <c r="F20" s="3">
        <v>0</v>
      </c>
      <c r="G20" s="3">
        <v>0</v>
      </c>
      <c r="H20" s="3">
        <f t="shared" si="0"/>
        <v>0</v>
      </c>
    </row>
    <row r="23" spans="1:16" x14ac:dyDescent="0.15">
      <c r="A23" s="1" t="s">
        <v>9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41</v>
      </c>
      <c r="J23" s="2" t="s">
        <v>46</v>
      </c>
      <c r="K23" s="2" t="s">
        <v>74</v>
      </c>
      <c r="L23" s="2" t="s">
        <v>45</v>
      </c>
      <c r="M23" s="2" t="s">
        <v>73</v>
      </c>
      <c r="N23" s="2" t="s">
        <v>47</v>
      </c>
      <c r="O23" s="2" t="s">
        <v>48</v>
      </c>
      <c r="P23" s="2" t="s">
        <v>72</v>
      </c>
    </row>
    <row r="24" spans="1:16" x14ac:dyDescent="0.15">
      <c r="A24" s="3">
        <v>1</v>
      </c>
      <c r="B24" s="3">
        <f>MATCH($A24,$A$3:$A$20,1)-1</f>
        <v>1</v>
      </c>
      <c r="C24" s="3">
        <f>INDEX($C$3:$C$20,$B24+1)*(INDEX($D$3:$D$20,$B24+1)+INDEX($E$3:$E$20,$B24+1)*(($A24-INDEX($A$3:$A$20,$B24+1)+1)/(INDEX($B$3:$B$20,B24+1)-INDEX($A$3:$A$20,$B24+1)+1))^1+INDEX($F$3:$F$20,$B24+1)*(($A24-INDEX($A$3:$A$20,$B24+1)+1)/(INDEX($B$3:$B$20,B24+1)-INDEX($A$3:$A$20,$B24+1)+1))^2+INDEX($G$3:$G$20,$B24+1)*(($A24-INDEX($A$3:$A$20,$B24+1)+1)/(INDEX($B$3:$B$20,$B24+1)-INDEX($A$3:$A$20,$B24+1)+1))^3+INDEX($H$3:$H$20,$B24+1)*(($A24-INDEX($A$3:$A$20,$B24+1)+1)/(INDEX($B$3:$B$20,$B24+1)-INDEX($A$3:$A$20,$B24+1)+1))^4)</f>
        <v>5.0250000000000004</v>
      </c>
      <c r="D24" s="3">
        <f>IF(ISNA(MATCH(A24,$A$4:$A$20,0)),C24-C23,C24)</f>
        <v>5.0250000000000004</v>
      </c>
      <c r="E24" s="3">
        <f>SUM($D$24:D24)</f>
        <v>5.0250000000000004</v>
      </c>
      <c r="F24" s="3">
        <f>E24/60</f>
        <v>8.3750000000000005E-2</v>
      </c>
      <c r="G24" s="3">
        <f>F24/60</f>
        <v>1.3958333333333333E-3</v>
      </c>
      <c r="H24" s="3">
        <f>G24/24</f>
        <v>5.8159722222222223E-5</v>
      </c>
      <c r="I24" s="3">
        <f>IF(ISNA(MATCH(H24,关卡!$E$19:$E$2018,1)),0,MATCH(H24,关卡!$E$19:$E$2018,1))</f>
        <v>0</v>
      </c>
      <c r="J24" s="3">
        <f>VLOOKUP($I24,关卡!$A$17:$G$2018,6,0)</f>
        <v>0.94504503377244375</v>
      </c>
      <c r="K24" s="3">
        <f>VLOOKUP($I24,关卡!$A$17:$G$2018,7,0)</f>
        <v>4.5450337668803433</v>
      </c>
      <c r="L24" s="3">
        <f>J24*60*60</f>
        <v>3402.1621215807977</v>
      </c>
      <c r="M24" s="3">
        <f>K24*60*60</f>
        <v>16362.121560769237</v>
      </c>
      <c r="N24" s="3">
        <f>INT(D24*J24*VLOOKUP(A24,经验产出!$I$7:$J$557,2,0))</f>
        <v>4</v>
      </c>
      <c r="O24" s="3"/>
      <c r="P24" s="3">
        <f>K24*VLOOKUP(A24,金币产出!$I$7:$J$557,2,0)</f>
        <v>4.5450337668803433</v>
      </c>
    </row>
    <row r="25" spans="1:16" x14ac:dyDescent="0.15">
      <c r="A25" s="3">
        <v>2</v>
      </c>
      <c r="B25" s="3">
        <f t="shared" ref="B25:B88" si="5">MATCH($A25,$A$3:$A$20,1)-1</f>
        <v>1</v>
      </c>
      <c r="C25" s="3">
        <f t="shared" ref="C25:C88" si="6">INDEX($C$3:$C$20,$B25+1)*(INDEX($D$3:$D$20,$B25+1)+INDEX($E$3:$E$20,$B25+1)*(($A25-INDEX($A$3:$A$20,$B25+1)+1)/(INDEX($B$3:$B$20,B25+1)-INDEX($A$3:$A$20,$B25+1)+1))^1+INDEX($F$3:$F$20,$B25+1)*(($A25-INDEX($A$3:$A$20,$B25+1)+1)/(INDEX($B$3:$B$20,B25+1)-INDEX($A$3:$A$20,$B25+1)+1))^2+INDEX($G$3:$G$20,$B25+1)*(($A25-INDEX($A$3:$A$20,$B25+1)+1)/(INDEX($B$3:$B$20,$B25+1)-INDEX($A$3:$A$20,$B25+1)+1))^3+INDEX($H$3:$H$20,$B25+1)*(($A25-INDEX($A$3:$A$20,$B25+1)+1)/(INDEX($B$3:$B$20,$B25+1)-INDEX($A$3:$A$20,$B25+1)+1))^4)</f>
        <v>11.1</v>
      </c>
      <c r="D25" s="3">
        <f t="shared" ref="D25:D88" si="7">IF(ISNA(MATCH(A25,$A$4:$A$20,0)),C25-C24,C25)</f>
        <v>6.0749999999999993</v>
      </c>
      <c r="E25" s="3">
        <f>SUM($D$24:D25)</f>
        <v>11.1</v>
      </c>
      <c r="F25" s="3">
        <f t="shared" ref="F25:G88" si="8">E25/60</f>
        <v>0.185</v>
      </c>
      <c r="G25" s="3">
        <f t="shared" si="8"/>
        <v>3.0833333333333333E-3</v>
      </c>
      <c r="H25" s="3">
        <f t="shared" ref="H25:H88" si="9">G25/24</f>
        <v>1.2847222222222223E-4</v>
      </c>
      <c r="I25" s="3">
        <f>IF(ISNA(MATCH(H25,关卡!$E$19:$E$2018,1)),0,MATCH(H25,关卡!$E$19:$E$2018,1))</f>
        <v>0</v>
      </c>
      <c r="J25" s="3">
        <f>VLOOKUP($I25,关卡!$A$17:$G$2018,6,0)</f>
        <v>0.94504503377244375</v>
      </c>
      <c r="K25" s="3">
        <f>VLOOKUP($I25,关卡!$A$17:$G$2018,7,0)</f>
        <v>4.5450337668803433</v>
      </c>
      <c r="L25" s="3">
        <f t="shared" ref="L25:L88" si="10">J25*60*60</f>
        <v>3402.1621215807977</v>
      </c>
      <c r="M25" s="3">
        <f t="shared" ref="M25:M88" si="11">K25*60*60</f>
        <v>16362.121560769237</v>
      </c>
      <c r="N25" s="3">
        <f>INT(D25*J25*VLOOKUP(A25,经验产出!$I$7:$J$557,2,0))</f>
        <v>5</v>
      </c>
      <c r="O25" s="3">
        <f>SUM($N$24:N24)</f>
        <v>4</v>
      </c>
      <c r="P25" s="3">
        <f>K25*VLOOKUP(A25,金币产出!$I$7:$J$557,2,0)</f>
        <v>4.5450337668803433</v>
      </c>
    </row>
    <row r="26" spans="1:16" x14ac:dyDescent="0.15">
      <c r="A26" s="3">
        <v>3</v>
      </c>
      <c r="B26" s="3">
        <f t="shared" si="5"/>
        <v>1</v>
      </c>
      <c r="C26" s="3">
        <f t="shared" si="6"/>
        <v>18.224999999999998</v>
      </c>
      <c r="D26" s="3">
        <f t="shared" si="7"/>
        <v>7.1249999999999982</v>
      </c>
      <c r="E26" s="3">
        <f>SUM($D$24:D26)</f>
        <v>18.224999999999998</v>
      </c>
      <c r="F26" s="3">
        <f t="shared" si="8"/>
        <v>0.30374999999999996</v>
      </c>
      <c r="G26" s="3">
        <f t="shared" si="8"/>
        <v>5.0624999999999993E-3</v>
      </c>
      <c r="H26" s="3">
        <f t="shared" si="9"/>
        <v>2.1093749999999997E-4</v>
      </c>
      <c r="I26" s="3">
        <f>IF(ISNA(MATCH(H26,关卡!$E$19:$E$2018,1)),0,MATCH(H26,关卡!$E$19:$E$2018,1))</f>
        <v>0</v>
      </c>
      <c r="J26" s="3">
        <f>VLOOKUP($I26,关卡!$A$17:$G$2018,6,0)</f>
        <v>0.94504503377244375</v>
      </c>
      <c r="K26" s="3">
        <f>VLOOKUP($I26,关卡!$A$17:$G$2018,7,0)</f>
        <v>4.5450337668803433</v>
      </c>
      <c r="L26" s="3">
        <f t="shared" si="10"/>
        <v>3402.1621215807977</v>
      </c>
      <c r="M26" s="3">
        <f t="shared" si="11"/>
        <v>16362.121560769237</v>
      </c>
      <c r="N26" s="3">
        <f>INT(D26*J26*VLOOKUP(A26,经验产出!$I$7:$J$557,2,0))</f>
        <v>6</v>
      </c>
      <c r="O26" s="3">
        <f>SUM($N$24:N25)</f>
        <v>9</v>
      </c>
      <c r="P26" s="3">
        <f>K26*VLOOKUP(A26,金币产出!$I$7:$J$557,2,0)</f>
        <v>4.5450337668803433</v>
      </c>
    </row>
    <row r="27" spans="1:16" x14ac:dyDescent="0.15">
      <c r="A27" s="3">
        <v>4</v>
      </c>
      <c r="B27" s="3">
        <f t="shared" si="5"/>
        <v>1</v>
      </c>
      <c r="C27" s="3">
        <f t="shared" si="6"/>
        <v>26.4</v>
      </c>
      <c r="D27" s="3">
        <f t="shared" si="7"/>
        <v>8.1750000000000007</v>
      </c>
      <c r="E27" s="3">
        <f>SUM($D$24:D27)</f>
        <v>26.4</v>
      </c>
      <c r="F27" s="3">
        <f t="shared" si="8"/>
        <v>0.44</v>
      </c>
      <c r="G27" s="3">
        <f t="shared" si="8"/>
        <v>7.3333333333333332E-3</v>
      </c>
      <c r="H27" s="3">
        <f t="shared" si="9"/>
        <v>3.0555555555555555E-4</v>
      </c>
      <c r="I27" s="3">
        <f>IF(ISNA(MATCH(H27,关卡!$E$19:$E$2018,1)),0,MATCH(H27,关卡!$E$19:$E$2018,1))</f>
        <v>0</v>
      </c>
      <c r="J27" s="3">
        <f>VLOOKUP($I27,关卡!$A$17:$G$2018,6,0)</f>
        <v>0.94504503377244375</v>
      </c>
      <c r="K27" s="3">
        <f>VLOOKUP($I27,关卡!$A$17:$G$2018,7,0)</f>
        <v>4.5450337668803433</v>
      </c>
      <c r="L27" s="3">
        <f t="shared" si="10"/>
        <v>3402.1621215807977</v>
      </c>
      <c r="M27" s="3">
        <f t="shared" si="11"/>
        <v>16362.121560769237</v>
      </c>
      <c r="N27" s="3">
        <f>INT(D27*J27*VLOOKUP(A27,经验产出!$I$7:$J$557,2,0))</f>
        <v>7</v>
      </c>
      <c r="O27" s="3">
        <f>SUM($N$24:N26)</f>
        <v>15</v>
      </c>
      <c r="P27" s="3">
        <f>K27*VLOOKUP(A27,金币产出!$I$7:$J$557,2,0)</f>
        <v>4.5450337668803433</v>
      </c>
    </row>
    <row r="28" spans="1:16" x14ac:dyDescent="0.15">
      <c r="A28" s="3">
        <v>5</v>
      </c>
      <c r="B28" s="3">
        <f t="shared" si="5"/>
        <v>1</v>
      </c>
      <c r="C28" s="3">
        <f t="shared" si="6"/>
        <v>35.625</v>
      </c>
      <c r="D28" s="3">
        <f t="shared" si="7"/>
        <v>9.2250000000000014</v>
      </c>
      <c r="E28" s="3">
        <f>SUM($D$24:D28)</f>
        <v>35.625</v>
      </c>
      <c r="F28" s="3">
        <f t="shared" si="8"/>
        <v>0.59375</v>
      </c>
      <c r="G28" s="3">
        <f t="shared" si="8"/>
        <v>9.8958333333333329E-3</v>
      </c>
      <c r="H28" s="3">
        <f t="shared" si="9"/>
        <v>4.1232638888888889E-4</v>
      </c>
      <c r="I28" s="3">
        <f>IF(ISNA(MATCH(H28,关卡!$E$19:$E$2018,1)),0,MATCH(H28,关卡!$E$19:$E$2018,1))</f>
        <v>0</v>
      </c>
      <c r="J28" s="3">
        <f>VLOOKUP($I28,关卡!$A$17:$G$2018,6,0)</f>
        <v>0.94504503377244375</v>
      </c>
      <c r="K28" s="3">
        <f>VLOOKUP($I28,关卡!$A$17:$G$2018,7,0)</f>
        <v>4.5450337668803433</v>
      </c>
      <c r="L28" s="3">
        <f t="shared" si="10"/>
        <v>3402.1621215807977</v>
      </c>
      <c r="M28" s="3">
        <f t="shared" si="11"/>
        <v>16362.121560769237</v>
      </c>
      <c r="N28" s="3">
        <f>INT(D28*J28*VLOOKUP(A28,经验产出!$I$7:$J$557,2,0))</f>
        <v>8</v>
      </c>
      <c r="O28" s="3">
        <f>SUM($N$24:N27)</f>
        <v>22</v>
      </c>
      <c r="P28" s="3">
        <f>K28*VLOOKUP(A28,金币产出!$I$7:$J$557,2,0)</f>
        <v>4.5450337668803433</v>
      </c>
    </row>
    <row r="29" spans="1:16" x14ac:dyDescent="0.15">
      <c r="A29" s="3">
        <v>6</v>
      </c>
      <c r="B29" s="3">
        <f t="shared" si="5"/>
        <v>1</v>
      </c>
      <c r="C29" s="3">
        <f t="shared" si="6"/>
        <v>45.9</v>
      </c>
      <c r="D29" s="3">
        <f t="shared" si="7"/>
        <v>10.274999999999999</v>
      </c>
      <c r="E29" s="3">
        <f>SUM($D$24:D29)</f>
        <v>45.9</v>
      </c>
      <c r="F29" s="3">
        <f t="shared" si="8"/>
        <v>0.76500000000000001</v>
      </c>
      <c r="G29" s="3">
        <f t="shared" si="8"/>
        <v>1.2750000000000001E-2</v>
      </c>
      <c r="H29" s="3">
        <f t="shared" si="9"/>
        <v>5.3125000000000004E-4</v>
      </c>
      <c r="I29" s="3">
        <f>IF(ISNA(MATCH(H29,关卡!$E$19:$E$2018,1)),0,MATCH(H29,关卡!$E$19:$E$2018,1))</f>
        <v>0</v>
      </c>
      <c r="J29" s="3">
        <f>VLOOKUP($I29,关卡!$A$17:$G$2018,6,0)</f>
        <v>0.94504503377244375</v>
      </c>
      <c r="K29" s="3">
        <f>VLOOKUP($I29,关卡!$A$17:$G$2018,7,0)</f>
        <v>4.5450337668803433</v>
      </c>
      <c r="L29" s="3">
        <f t="shared" si="10"/>
        <v>3402.1621215807977</v>
      </c>
      <c r="M29" s="3">
        <f t="shared" si="11"/>
        <v>16362.121560769237</v>
      </c>
      <c r="N29" s="3">
        <f>INT(D29*J29*VLOOKUP(A29,经验产出!$I$7:$J$557,2,0))</f>
        <v>9</v>
      </c>
      <c r="O29" s="3">
        <f>SUM($N$24:N28)</f>
        <v>30</v>
      </c>
      <c r="P29" s="3">
        <f>K29*VLOOKUP(A29,金币产出!$I$7:$J$557,2,0)</f>
        <v>4.5450337668803433</v>
      </c>
    </row>
    <row r="30" spans="1:16" x14ac:dyDescent="0.15">
      <c r="A30" s="3">
        <v>7</v>
      </c>
      <c r="B30" s="3">
        <f t="shared" si="5"/>
        <v>1</v>
      </c>
      <c r="C30" s="3">
        <f t="shared" si="6"/>
        <v>57.224999999999994</v>
      </c>
      <c r="D30" s="3">
        <f t="shared" si="7"/>
        <v>11.324999999999996</v>
      </c>
      <c r="E30" s="3">
        <f>SUM($D$24:D30)</f>
        <v>57.224999999999994</v>
      </c>
      <c r="F30" s="3">
        <f t="shared" si="8"/>
        <v>0.95374999999999988</v>
      </c>
      <c r="G30" s="3">
        <f t="shared" si="8"/>
        <v>1.5895833333333331E-2</v>
      </c>
      <c r="H30" s="3">
        <f t="shared" si="9"/>
        <v>6.6232638888888884E-4</v>
      </c>
      <c r="I30" s="3">
        <f>IF(ISNA(MATCH(H30,关卡!$E$19:$E$2018,1)),0,MATCH(H30,关卡!$E$19:$E$2018,1))</f>
        <v>0</v>
      </c>
      <c r="J30" s="3">
        <f>VLOOKUP($I30,关卡!$A$17:$G$2018,6,0)</f>
        <v>0.94504503377244375</v>
      </c>
      <c r="K30" s="3">
        <f>VLOOKUP($I30,关卡!$A$17:$G$2018,7,0)</f>
        <v>4.5450337668803433</v>
      </c>
      <c r="L30" s="3">
        <f t="shared" si="10"/>
        <v>3402.1621215807977</v>
      </c>
      <c r="M30" s="3">
        <f t="shared" si="11"/>
        <v>16362.121560769237</v>
      </c>
      <c r="N30" s="3">
        <f>INT(D30*J30*VLOOKUP(A30,经验产出!$I$7:$J$557,2,0))</f>
        <v>10</v>
      </c>
      <c r="O30" s="3">
        <f>SUM($N$24:N29)</f>
        <v>39</v>
      </c>
      <c r="P30" s="3">
        <f>K30*VLOOKUP(A30,金币产出!$I$7:$J$557,2,0)</f>
        <v>4.5450337668803433</v>
      </c>
    </row>
    <row r="31" spans="1:16" x14ac:dyDescent="0.15">
      <c r="A31" s="3">
        <v>8</v>
      </c>
      <c r="B31" s="3">
        <f t="shared" si="5"/>
        <v>1</v>
      </c>
      <c r="C31" s="3">
        <f t="shared" si="6"/>
        <v>69.600000000000009</v>
      </c>
      <c r="D31" s="3">
        <f t="shared" si="7"/>
        <v>12.375000000000014</v>
      </c>
      <c r="E31" s="3">
        <f>SUM($D$24:D31)</f>
        <v>69.600000000000009</v>
      </c>
      <c r="F31" s="3">
        <f t="shared" si="8"/>
        <v>1.1600000000000001</v>
      </c>
      <c r="G31" s="3">
        <f t="shared" si="8"/>
        <v>1.9333333333333334E-2</v>
      </c>
      <c r="H31" s="3">
        <f t="shared" si="9"/>
        <v>8.0555555555555556E-4</v>
      </c>
      <c r="I31" s="3">
        <f>IF(ISNA(MATCH(H31,关卡!$E$19:$E$2018,1)),0,MATCH(H31,关卡!$E$19:$E$2018,1))</f>
        <v>0</v>
      </c>
      <c r="J31" s="3">
        <f>VLOOKUP($I31,关卡!$A$17:$G$2018,6,0)</f>
        <v>0.94504503377244375</v>
      </c>
      <c r="K31" s="3">
        <f>VLOOKUP($I31,关卡!$A$17:$G$2018,7,0)</f>
        <v>4.5450337668803433</v>
      </c>
      <c r="L31" s="3">
        <f t="shared" si="10"/>
        <v>3402.1621215807977</v>
      </c>
      <c r="M31" s="3">
        <f t="shared" si="11"/>
        <v>16362.121560769237</v>
      </c>
      <c r="N31" s="3">
        <f>INT(D31*J31*VLOOKUP(A31,经验产出!$I$7:$J$557,2,0))</f>
        <v>11</v>
      </c>
      <c r="O31" s="3">
        <f>SUM($N$24:N30)</f>
        <v>49</v>
      </c>
      <c r="P31" s="3">
        <f>K31*VLOOKUP(A31,金币产出!$I$7:$J$557,2,0)</f>
        <v>4.5450337668803433</v>
      </c>
    </row>
    <row r="32" spans="1:16" x14ac:dyDescent="0.15">
      <c r="A32" s="3">
        <v>9</v>
      </c>
      <c r="B32" s="3">
        <f t="shared" si="5"/>
        <v>1</v>
      </c>
      <c r="C32" s="3">
        <f t="shared" si="6"/>
        <v>83.025000000000006</v>
      </c>
      <c r="D32" s="3">
        <f t="shared" si="7"/>
        <v>13.424999999999997</v>
      </c>
      <c r="E32" s="3">
        <f>SUM($D$24:D32)</f>
        <v>83.025000000000006</v>
      </c>
      <c r="F32" s="3">
        <f t="shared" si="8"/>
        <v>1.38375</v>
      </c>
      <c r="G32" s="3">
        <f t="shared" si="8"/>
        <v>2.30625E-2</v>
      </c>
      <c r="H32" s="3">
        <f t="shared" si="9"/>
        <v>9.6093749999999999E-4</v>
      </c>
      <c r="I32" s="3">
        <f>IF(ISNA(MATCH(H32,关卡!$E$19:$E$2018,1)),0,MATCH(H32,关卡!$E$19:$E$2018,1))</f>
        <v>0</v>
      </c>
      <c r="J32" s="3">
        <f>VLOOKUP($I32,关卡!$A$17:$G$2018,6,0)</f>
        <v>0.94504503377244375</v>
      </c>
      <c r="K32" s="3">
        <f>VLOOKUP($I32,关卡!$A$17:$G$2018,7,0)</f>
        <v>4.5450337668803433</v>
      </c>
      <c r="L32" s="3">
        <f t="shared" si="10"/>
        <v>3402.1621215807977</v>
      </c>
      <c r="M32" s="3">
        <f t="shared" si="11"/>
        <v>16362.121560769237</v>
      </c>
      <c r="N32" s="3">
        <f>INT(D32*J32*VLOOKUP(A32,经验产出!$I$7:$J$557,2,0))</f>
        <v>12</v>
      </c>
      <c r="O32" s="3">
        <f>SUM($N$24:N31)</f>
        <v>60</v>
      </c>
      <c r="P32" s="3">
        <f>K32*VLOOKUP(A32,金币产出!$I$7:$J$557,2,0)</f>
        <v>4.5450337668803433</v>
      </c>
    </row>
    <row r="33" spans="1:16" x14ac:dyDescent="0.15">
      <c r="A33" s="3">
        <v>10</v>
      </c>
      <c r="B33" s="3">
        <f t="shared" si="5"/>
        <v>1</v>
      </c>
      <c r="C33" s="3">
        <f t="shared" si="6"/>
        <v>97.499999999999986</v>
      </c>
      <c r="D33" s="3">
        <f t="shared" si="7"/>
        <v>14.47499999999998</v>
      </c>
      <c r="E33" s="3">
        <f>SUM($D$24:D33)</f>
        <v>97.499999999999986</v>
      </c>
      <c r="F33" s="3">
        <f t="shared" si="8"/>
        <v>1.6249999999999998</v>
      </c>
      <c r="G33" s="3">
        <f t="shared" si="8"/>
        <v>2.7083333333333331E-2</v>
      </c>
      <c r="H33" s="3">
        <f t="shared" si="9"/>
        <v>1.1284722222222221E-3</v>
      </c>
      <c r="I33" s="3">
        <f>IF(ISNA(MATCH(H33,关卡!$E$19:$E$2018,1)),0,MATCH(H33,关卡!$E$19:$E$2018,1))</f>
        <v>0</v>
      </c>
      <c r="J33" s="3">
        <f>VLOOKUP($I33,关卡!$A$17:$G$2018,6,0)</f>
        <v>0.94504503377244375</v>
      </c>
      <c r="K33" s="3">
        <f>VLOOKUP($I33,关卡!$A$17:$G$2018,7,0)</f>
        <v>4.5450337668803433</v>
      </c>
      <c r="L33" s="3">
        <f t="shared" si="10"/>
        <v>3402.1621215807977</v>
      </c>
      <c r="M33" s="3">
        <f t="shared" si="11"/>
        <v>16362.121560769237</v>
      </c>
      <c r="N33" s="3">
        <f>INT(D33*J33*VLOOKUP(A33,经验产出!$I$7:$J$557,2,0))</f>
        <v>13</v>
      </c>
      <c r="O33" s="3">
        <f>SUM($N$24:N32)</f>
        <v>72</v>
      </c>
      <c r="P33" s="3">
        <f>K33*VLOOKUP(A33,金币产出!$I$7:$J$557,2,0)</f>
        <v>4.5450337668803433</v>
      </c>
    </row>
    <row r="34" spans="1:16" x14ac:dyDescent="0.15">
      <c r="A34" s="3">
        <v>11</v>
      </c>
      <c r="B34" s="3">
        <f t="shared" si="5"/>
        <v>1</v>
      </c>
      <c r="C34" s="3">
        <f t="shared" si="6"/>
        <v>113.02500000000001</v>
      </c>
      <c r="D34" s="3">
        <f t="shared" si="7"/>
        <v>15.52500000000002</v>
      </c>
      <c r="E34" s="3">
        <f>SUM($D$24:D34)</f>
        <v>113.02500000000001</v>
      </c>
      <c r="F34" s="3">
        <f t="shared" si="8"/>
        <v>1.88375</v>
      </c>
      <c r="G34" s="3">
        <f t="shared" si="8"/>
        <v>3.1395833333333331E-2</v>
      </c>
      <c r="H34" s="3">
        <f t="shared" si="9"/>
        <v>1.3081597222222221E-3</v>
      </c>
      <c r="I34" s="3">
        <f>IF(ISNA(MATCH(H34,关卡!$E$19:$E$2018,1)),0,MATCH(H34,关卡!$E$19:$E$2018,1))</f>
        <v>0</v>
      </c>
      <c r="J34" s="3">
        <f>VLOOKUP($I34,关卡!$A$17:$G$2018,6,0)</f>
        <v>0.94504503377244375</v>
      </c>
      <c r="K34" s="3">
        <f>VLOOKUP($I34,关卡!$A$17:$G$2018,7,0)</f>
        <v>4.5450337668803433</v>
      </c>
      <c r="L34" s="3">
        <f t="shared" si="10"/>
        <v>3402.1621215807977</v>
      </c>
      <c r="M34" s="3">
        <f t="shared" si="11"/>
        <v>16362.121560769237</v>
      </c>
      <c r="N34" s="3">
        <f>INT(D34*J34*VLOOKUP(A34,经验产出!$I$7:$J$557,2,0))</f>
        <v>14</v>
      </c>
      <c r="O34" s="3">
        <f>SUM($N$24:N33)</f>
        <v>85</v>
      </c>
      <c r="P34" s="3">
        <f>K34*VLOOKUP(A34,金币产出!$I$7:$J$557,2,0)</f>
        <v>4.5450337668803433</v>
      </c>
    </row>
    <row r="35" spans="1:16" x14ac:dyDescent="0.15">
      <c r="A35" s="3">
        <v>12</v>
      </c>
      <c r="B35" s="3">
        <f t="shared" si="5"/>
        <v>1</v>
      </c>
      <c r="C35" s="3">
        <f t="shared" si="6"/>
        <v>129.6</v>
      </c>
      <c r="D35" s="3">
        <f t="shared" si="7"/>
        <v>16.574999999999989</v>
      </c>
      <c r="E35" s="3">
        <f>SUM($D$24:D35)</f>
        <v>129.6</v>
      </c>
      <c r="F35" s="3">
        <f t="shared" si="8"/>
        <v>2.1599999999999997</v>
      </c>
      <c r="G35" s="3">
        <f t="shared" si="8"/>
        <v>3.5999999999999997E-2</v>
      </c>
      <c r="H35" s="3">
        <f t="shared" si="9"/>
        <v>1.4999999999999998E-3</v>
      </c>
      <c r="I35" s="3">
        <f>IF(ISNA(MATCH(H35,关卡!$E$19:$E$2018,1)),0,MATCH(H35,关卡!$E$19:$E$2018,1))</f>
        <v>0</v>
      </c>
      <c r="J35" s="3">
        <f>VLOOKUP($I35,关卡!$A$17:$G$2018,6,0)</f>
        <v>0.94504503377244375</v>
      </c>
      <c r="K35" s="3">
        <f>VLOOKUP($I35,关卡!$A$17:$G$2018,7,0)</f>
        <v>4.5450337668803433</v>
      </c>
      <c r="L35" s="3">
        <f t="shared" si="10"/>
        <v>3402.1621215807977</v>
      </c>
      <c r="M35" s="3">
        <f t="shared" si="11"/>
        <v>16362.121560769237</v>
      </c>
      <c r="N35" s="3">
        <f>INT(D35*J35*VLOOKUP(A35,经验产出!$I$7:$J$557,2,0))</f>
        <v>15</v>
      </c>
      <c r="O35" s="3">
        <f>SUM($N$24:N34)</f>
        <v>99</v>
      </c>
      <c r="P35" s="3">
        <f>K35*VLOOKUP(A35,金币产出!$I$7:$J$557,2,0)</f>
        <v>4.5450337668803433</v>
      </c>
    </row>
    <row r="36" spans="1:16" x14ac:dyDescent="0.15">
      <c r="A36" s="3">
        <v>13</v>
      </c>
      <c r="B36" s="3">
        <f t="shared" si="5"/>
        <v>1</v>
      </c>
      <c r="C36" s="3">
        <f t="shared" si="6"/>
        <v>147.22499999999999</v>
      </c>
      <c r="D36" s="3">
        <f t="shared" si="7"/>
        <v>17.625</v>
      </c>
      <c r="E36" s="3">
        <f>SUM($D$24:D36)</f>
        <v>147.22499999999999</v>
      </c>
      <c r="F36" s="3">
        <f t="shared" si="8"/>
        <v>2.4537499999999999</v>
      </c>
      <c r="G36" s="3">
        <f t="shared" si="8"/>
        <v>4.0895833333333333E-2</v>
      </c>
      <c r="H36" s="3">
        <f t="shared" si="9"/>
        <v>1.7039930555555556E-3</v>
      </c>
      <c r="I36" s="3">
        <f>IF(ISNA(MATCH(H36,关卡!$E$19:$E$2018,1)),0,MATCH(H36,关卡!$E$19:$E$2018,1))</f>
        <v>0</v>
      </c>
      <c r="J36" s="3">
        <f>VLOOKUP($I36,关卡!$A$17:$G$2018,6,0)</f>
        <v>0.94504503377244375</v>
      </c>
      <c r="K36" s="3">
        <f>VLOOKUP($I36,关卡!$A$17:$G$2018,7,0)</f>
        <v>4.5450337668803433</v>
      </c>
      <c r="L36" s="3">
        <f t="shared" si="10"/>
        <v>3402.1621215807977</v>
      </c>
      <c r="M36" s="3">
        <f t="shared" si="11"/>
        <v>16362.121560769237</v>
      </c>
      <c r="N36" s="3">
        <f>INT(D36*J36*VLOOKUP(A36,经验产出!$I$7:$J$557,2,0))</f>
        <v>16</v>
      </c>
      <c r="O36" s="3">
        <f>SUM($N$24:N35)</f>
        <v>114</v>
      </c>
      <c r="P36" s="3">
        <f>K36*VLOOKUP(A36,金币产出!$I$7:$J$557,2,0)</f>
        <v>4.5450337668803433</v>
      </c>
    </row>
    <row r="37" spans="1:16" x14ac:dyDescent="0.15">
      <c r="A37" s="3">
        <v>14</v>
      </c>
      <c r="B37" s="3">
        <f t="shared" si="5"/>
        <v>1</v>
      </c>
      <c r="C37" s="3">
        <f t="shared" si="6"/>
        <v>165.89999999999998</v>
      </c>
      <c r="D37" s="3">
        <f t="shared" si="7"/>
        <v>18.674999999999983</v>
      </c>
      <c r="E37" s="3">
        <f>SUM($D$24:D37)</f>
        <v>165.89999999999998</v>
      </c>
      <c r="F37" s="3">
        <f t="shared" si="8"/>
        <v>2.7649999999999997</v>
      </c>
      <c r="G37" s="3">
        <f t="shared" si="8"/>
        <v>4.608333333333333E-2</v>
      </c>
      <c r="H37" s="3">
        <f t="shared" si="9"/>
        <v>1.9201388888888888E-3</v>
      </c>
      <c r="I37" s="3">
        <f>IF(ISNA(MATCH(H37,关卡!$E$19:$E$2018,1)),0,MATCH(H37,关卡!$E$19:$E$2018,1))</f>
        <v>1</v>
      </c>
      <c r="J37" s="3">
        <f>VLOOKUP($I37,关卡!$A$17:$G$2018,6,0)</f>
        <v>1.0500500375249375</v>
      </c>
      <c r="K37" s="3">
        <f>VLOOKUP($I37,关卡!$A$17:$G$2018,7,0)</f>
        <v>5.0500375187559365</v>
      </c>
      <c r="L37" s="3">
        <f t="shared" si="10"/>
        <v>3780.1801350897754</v>
      </c>
      <c r="M37" s="3">
        <f t="shared" si="11"/>
        <v>18180.135067521369</v>
      </c>
      <c r="N37" s="3">
        <f>INT(D37*J37*VLOOKUP(A37,经验产出!$I$7:$J$557,2,0))</f>
        <v>19</v>
      </c>
      <c r="O37" s="3">
        <f>SUM($N$24:N36)</f>
        <v>130</v>
      </c>
      <c r="P37" s="3">
        <f>K37*VLOOKUP(A37,金币产出!$I$7:$J$557,2,0)</f>
        <v>5.0500375187559365</v>
      </c>
    </row>
    <row r="38" spans="1:16" x14ac:dyDescent="0.15">
      <c r="A38" s="3">
        <v>15</v>
      </c>
      <c r="B38" s="3">
        <f t="shared" si="5"/>
        <v>1</v>
      </c>
      <c r="C38" s="3">
        <f t="shared" si="6"/>
        <v>185.62499999999997</v>
      </c>
      <c r="D38" s="3">
        <f t="shared" si="7"/>
        <v>19.724999999999994</v>
      </c>
      <c r="E38" s="3">
        <f>SUM($D$24:D38)</f>
        <v>185.62499999999997</v>
      </c>
      <c r="F38" s="3">
        <f t="shared" si="8"/>
        <v>3.0937499999999996</v>
      </c>
      <c r="G38" s="3">
        <f t="shared" si="8"/>
        <v>5.156249999999999E-2</v>
      </c>
      <c r="H38" s="3">
        <f t="shared" si="9"/>
        <v>2.1484374999999997E-3</v>
      </c>
      <c r="I38" s="3">
        <f>IF(ISNA(MATCH(H38,关卡!$E$19:$E$2018,1)),0,MATCH(H38,关卡!$E$19:$E$2018,1))</f>
        <v>1</v>
      </c>
      <c r="J38" s="3">
        <f>VLOOKUP($I38,关卡!$A$17:$G$2018,6,0)</f>
        <v>1.0500500375249375</v>
      </c>
      <c r="K38" s="3">
        <f>VLOOKUP($I38,关卡!$A$17:$G$2018,7,0)</f>
        <v>5.0500375187559365</v>
      </c>
      <c r="L38" s="3">
        <f t="shared" si="10"/>
        <v>3780.1801350897754</v>
      </c>
      <c r="M38" s="3">
        <f t="shared" si="11"/>
        <v>18180.135067521369</v>
      </c>
      <c r="N38" s="3">
        <f>INT(D38*J38*VLOOKUP(A38,经验产出!$I$7:$J$557,2,0))</f>
        <v>20</v>
      </c>
      <c r="O38" s="3">
        <f>SUM($N$24:N37)</f>
        <v>149</v>
      </c>
      <c r="P38" s="3">
        <f>K38*VLOOKUP(A38,金币产出!$I$7:$J$557,2,0)</f>
        <v>5.0500375187559365</v>
      </c>
    </row>
    <row r="39" spans="1:16" x14ac:dyDescent="0.15">
      <c r="A39" s="3">
        <v>16</v>
      </c>
      <c r="B39" s="3">
        <f t="shared" si="5"/>
        <v>1</v>
      </c>
      <c r="C39" s="3">
        <f t="shared" si="6"/>
        <v>206.4</v>
      </c>
      <c r="D39" s="3">
        <f t="shared" si="7"/>
        <v>20.775000000000034</v>
      </c>
      <c r="E39" s="3">
        <f>SUM($D$24:D39)</f>
        <v>206.4</v>
      </c>
      <c r="F39" s="3">
        <f t="shared" si="8"/>
        <v>3.44</v>
      </c>
      <c r="G39" s="3">
        <f t="shared" si="8"/>
        <v>5.7333333333333333E-2</v>
      </c>
      <c r="H39" s="3">
        <f t="shared" si="9"/>
        <v>2.3888888888888887E-3</v>
      </c>
      <c r="I39" s="3">
        <f>IF(ISNA(MATCH(H39,关卡!$E$19:$E$2018,1)),0,MATCH(H39,关卡!$E$19:$E$2018,1))</f>
        <v>1</v>
      </c>
      <c r="J39" s="3">
        <f>VLOOKUP($I39,关卡!$A$17:$G$2018,6,0)</f>
        <v>1.0500500375249375</v>
      </c>
      <c r="K39" s="3">
        <f>VLOOKUP($I39,关卡!$A$17:$G$2018,7,0)</f>
        <v>5.0500375187559365</v>
      </c>
      <c r="L39" s="3">
        <f t="shared" si="10"/>
        <v>3780.1801350897754</v>
      </c>
      <c r="M39" s="3">
        <f t="shared" si="11"/>
        <v>18180.135067521369</v>
      </c>
      <c r="N39" s="3">
        <f>INT(D39*J39*VLOOKUP(A39,经验产出!$I$7:$J$557,2,0))</f>
        <v>21</v>
      </c>
      <c r="O39" s="3">
        <f>SUM($N$24:N38)</f>
        <v>169</v>
      </c>
      <c r="P39" s="3">
        <f>K39*VLOOKUP(A39,金币产出!$I$7:$J$557,2,0)</f>
        <v>5.0500375187559365</v>
      </c>
    </row>
    <row r="40" spans="1:16" x14ac:dyDescent="0.15">
      <c r="A40" s="3">
        <v>17</v>
      </c>
      <c r="B40" s="3">
        <f t="shared" si="5"/>
        <v>1</v>
      </c>
      <c r="C40" s="3">
        <f t="shared" si="6"/>
        <v>228.22499999999997</v>
      </c>
      <c r="D40" s="3">
        <f t="shared" si="7"/>
        <v>21.82499999999996</v>
      </c>
      <c r="E40" s="3">
        <f>SUM($D$24:D40)</f>
        <v>228.22499999999997</v>
      </c>
      <c r="F40" s="3">
        <f t="shared" si="8"/>
        <v>3.8037499999999995</v>
      </c>
      <c r="G40" s="3">
        <f t="shared" si="8"/>
        <v>6.3395833333333332E-2</v>
      </c>
      <c r="H40" s="3">
        <f t="shared" si="9"/>
        <v>2.6414930555555553E-3</v>
      </c>
      <c r="I40" s="3">
        <f>IF(ISNA(MATCH(H40,关卡!$E$19:$E$2018,1)),0,MATCH(H40,关卡!$E$19:$E$2018,1))</f>
        <v>1</v>
      </c>
      <c r="J40" s="3">
        <f>VLOOKUP($I40,关卡!$A$17:$G$2018,6,0)</f>
        <v>1.0500500375249375</v>
      </c>
      <c r="K40" s="3">
        <f>VLOOKUP($I40,关卡!$A$17:$G$2018,7,0)</f>
        <v>5.0500375187559365</v>
      </c>
      <c r="L40" s="3">
        <f t="shared" si="10"/>
        <v>3780.1801350897754</v>
      </c>
      <c r="M40" s="3">
        <f t="shared" si="11"/>
        <v>18180.135067521369</v>
      </c>
      <c r="N40" s="3">
        <f>INT(D40*J40*VLOOKUP(A40,经验产出!$I$7:$J$557,2,0))</f>
        <v>22</v>
      </c>
      <c r="O40" s="3">
        <f>SUM($N$24:N39)</f>
        <v>190</v>
      </c>
      <c r="P40" s="3">
        <f>K40*VLOOKUP(A40,金币产出!$I$7:$J$557,2,0)</f>
        <v>5.0500375187559365</v>
      </c>
    </row>
    <row r="41" spans="1:16" x14ac:dyDescent="0.15">
      <c r="A41" s="3">
        <v>18</v>
      </c>
      <c r="B41" s="3">
        <f t="shared" si="5"/>
        <v>1</v>
      </c>
      <c r="C41" s="3">
        <f t="shared" si="6"/>
        <v>251.1</v>
      </c>
      <c r="D41" s="3">
        <f t="shared" si="7"/>
        <v>22.875000000000028</v>
      </c>
      <c r="E41" s="3">
        <f>SUM($D$24:D41)</f>
        <v>251.1</v>
      </c>
      <c r="F41" s="3">
        <f t="shared" si="8"/>
        <v>4.1849999999999996</v>
      </c>
      <c r="G41" s="3">
        <f t="shared" si="8"/>
        <v>6.9749999999999993E-2</v>
      </c>
      <c r="H41" s="3">
        <f t="shared" si="9"/>
        <v>2.9062499999999995E-3</v>
      </c>
      <c r="I41" s="3">
        <f>IF(ISNA(MATCH(H41,关卡!$E$19:$E$2018,1)),0,MATCH(H41,关卡!$E$19:$E$2018,1))</f>
        <v>1</v>
      </c>
      <c r="J41" s="3">
        <f>VLOOKUP($I41,关卡!$A$17:$G$2018,6,0)</f>
        <v>1.0500500375249375</v>
      </c>
      <c r="K41" s="3">
        <f>VLOOKUP($I41,关卡!$A$17:$G$2018,7,0)</f>
        <v>5.0500375187559365</v>
      </c>
      <c r="L41" s="3">
        <f t="shared" si="10"/>
        <v>3780.1801350897754</v>
      </c>
      <c r="M41" s="3">
        <f t="shared" si="11"/>
        <v>18180.135067521369</v>
      </c>
      <c r="N41" s="3">
        <f>INT(D41*J41*VLOOKUP(A41,经验产出!$I$7:$J$557,2,0))</f>
        <v>24</v>
      </c>
      <c r="O41" s="3">
        <f>SUM($N$24:N40)</f>
        <v>212</v>
      </c>
      <c r="P41" s="3">
        <f>K41*VLOOKUP(A41,金币产出!$I$7:$J$557,2,0)</f>
        <v>5.0500375187559365</v>
      </c>
    </row>
    <row r="42" spans="1:16" x14ac:dyDescent="0.15">
      <c r="A42" s="3">
        <v>19</v>
      </c>
      <c r="B42" s="3">
        <f t="shared" si="5"/>
        <v>1</v>
      </c>
      <c r="C42" s="3">
        <f t="shared" si="6"/>
        <v>275.02499999999998</v>
      </c>
      <c r="D42" s="3">
        <f t="shared" si="7"/>
        <v>23.924999999999983</v>
      </c>
      <c r="E42" s="3">
        <f>SUM($D$24:D42)</f>
        <v>275.02499999999998</v>
      </c>
      <c r="F42" s="3">
        <f t="shared" si="8"/>
        <v>4.5837499999999993</v>
      </c>
      <c r="G42" s="3">
        <f t="shared" si="8"/>
        <v>7.6395833333333316E-2</v>
      </c>
      <c r="H42" s="3">
        <f t="shared" si="9"/>
        <v>3.1831597222222213E-3</v>
      </c>
      <c r="I42" s="3">
        <f>IF(ISNA(MATCH(H42,关卡!$E$19:$E$2018,1)),0,MATCH(H42,关卡!$E$19:$E$2018,1))</f>
        <v>1</v>
      </c>
      <c r="J42" s="3">
        <f>VLOOKUP($I42,关卡!$A$17:$G$2018,6,0)</f>
        <v>1.0500500375249375</v>
      </c>
      <c r="K42" s="3">
        <f>VLOOKUP($I42,关卡!$A$17:$G$2018,7,0)</f>
        <v>5.0500375187559365</v>
      </c>
      <c r="L42" s="3">
        <f t="shared" si="10"/>
        <v>3780.1801350897754</v>
      </c>
      <c r="M42" s="3">
        <f t="shared" si="11"/>
        <v>18180.135067521369</v>
      </c>
      <c r="N42" s="3">
        <f>INT(D42*J42*VLOOKUP(A42,经验产出!$I$7:$J$557,2,0))</f>
        <v>25</v>
      </c>
      <c r="O42" s="3">
        <f>SUM($N$24:N41)</f>
        <v>236</v>
      </c>
      <c r="P42" s="3">
        <f>K42*VLOOKUP(A42,金币产出!$I$7:$J$557,2,0)</f>
        <v>5.0500375187559365</v>
      </c>
    </row>
    <row r="43" spans="1:16" x14ac:dyDescent="0.15">
      <c r="A43" s="3">
        <v>20</v>
      </c>
      <c r="B43" s="3">
        <f t="shared" si="5"/>
        <v>1</v>
      </c>
      <c r="C43" s="3">
        <f t="shared" si="6"/>
        <v>300</v>
      </c>
      <c r="D43" s="3">
        <f t="shared" si="7"/>
        <v>24.975000000000023</v>
      </c>
      <c r="E43" s="3">
        <f>SUM($D$24:D43)</f>
        <v>300</v>
      </c>
      <c r="F43" s="3">
        <f t="shared" si="8"/>
        <v>5</v>
      </c>
      <c r="G43" s="3">
        <f t="shared" si="8"/>
        <v>8.3333333333333329E-2</v>
      </c>
      <c r="H43" s="3">
        <f t="shared" si="9"/>
        <v>3.472222222222222E-3</v>
      </c>
      <c r="I43" s="3">
        <f>IF(ISNA(MATCH(H43,关卡!$E$19:$E$2018,1)),0,MATCH(H43,关卡!$E$19:$E$2018,1))</f>
        <v>1</v>
      </c>
      <c r="J43" s="3">
        <f>VLOOKUP($I43,关卡!$A$17:$G$2018,6,0)</f>
        <v>1.0500500375249375</v>
      </c>
      <c r="K43" s="3">
        <f>VLOOKUP($I43,关卡!$A$17:$G$2018,7,0)</f>
        <v>5.0500375187559365</v>
      </c>
      <c r="L43" s="3">
        <f t="shared" si="10"/>
        <v>3780.1801350897754</v>
      </c>
      <c r="M43" s="3">
        <f t="shared" si="11"/>
        <v>18180.135067521369</v>
      </c>
      <c r="N43" s="3">
        <f>INT(D43*J43*VLOOKUP(A43,经验产出!$I$7:$J$557,2,0))</f>
        <v>26</v>
      </c>
      <c r="O43" s="3">
        <f>SUM($N$24:N42)</f>
        <v>261</v>
      </c>
      <c r="P43" s="3">
        <f>K43*VLOOKUP(A43,金币产出!$I$7:$J$557,2,0)</f>
        <v>5.0500375187559365</v>
      </c>
    </row>
    <row r="44" spans="1:16" x14ac:dyDescent="0.15">
      <c r="A44" s="3">
        <v>21</v>
      </c>
      <c r="B44" s="3">
        <f t="shared" si="5"/>
        <v>2</v>
      </c>
      <c r="C44" s="3">
        <f t="shared" si="6"/>
        <v>25.725000000000001</v>
      </c>
      <c r="D44" s="3">
        <f t="shared" si="7"/>
        <v>25.725000000000001</v>
      </c>
      <c r="E44" s="3">
        <f>SUM($D$24:D44)</f>
        <v>325.72500000000002</v>
      </c>
      <c r="F44" s="3">
        <f t="shared" si="8"/>
        <v>5.42875</v>
      </c>
      <c r="G44" s="3">
        <f t="shared" si="8"/>
        <v>9.0479166666666666E-2</v>
      </c>
      <c r="H44" s="3">
        <f t="shared" si="9"/>
        <v>3.7699652777777779E-3</v>
      </c>
      <c r="I44" s="3">
        <f>IF(ISNA(MATCH(H44,关卡!$E$19:$E$2018,1)),0,MATCH(H44,关卡!$E$19:$E$2018,1))</f>
        <v>2</v>
      </c>
      <c r="J44" s="3">
        <f>VLOOKUP($I44,关卡!$A$17:$G$2018,6,0)</f>
        <v>1.1002003003990002</v>
      </c>
      <c r="K44" s="3">
        <f>VLOOKUP($I44,关卡!$A$17:$G$2018,7,0)</f>
        <v>5.1001501500950006</v>
      </c>
      <c r="L44" s="3">
        <f t="shared" si="10"/>
        <v>3960.7210814364007</v>
      </c>
      <c r="M44" s="3">
        <f t="shared" si="11"/>
        <v>18360.540540342001</v>
      </c>
      <c r="N44" s="3">
        <f>INT(D44*J44*VLOOKUP(A44,经验产出!$I$7:$J$557,2,0))</f>
        <v>28</v>
      </c>
      <c r="O44" s="3">
        <f>SUM($N$24:N43)</f>
        <v>287</v>
      </c>
      <c r="P44" s="3">
        <f>K44*VLOOKUP(A44,金币产出!$I$7:$J$557,2,0)</f>
        <v>5.1171206845153527</v>
      </c>
    </row>
    <row r="45" spans="1:16" x14ac:dyDescent="0.15">
      <c r="A45" s="3">
        <v>22</v>
      </c>
      <c r="B45" s="3">
        <f t="shared" si="5"/>
        <v>2</v>
      </c>
      <c r="C45" s="3">
        <f t="shared" si="6"/>
        <v>51.900000000000006</v>
      </c>
      <c r="D45" s="3">
        <f t="shared" si="7"/>
        <v>26.175000000000004</v>
      </c>
      <c r="E45" s="3">
        <f>SUM($D$24:D45)</f>
        <v>351.90000000000003</v>
      </c>
      <c r="F45" s="3">
        <f t="shared" si="8"/>
        <v>5.8650000000000002</v>
      </c>
      <c r="G45" s="3">
        <f t="shared" si="8"/>
        <v>9.7750000000000004E-2</v>
      </c>
      <c r="H45" s="3">
        <f t="shared" si="9"/>
        <v>4.0729166666666665E-3</v>
      </c>
      <c r="I45" s="3">
        <f>IF(ISNA(MATCH(H45,关卡!$E$19:$E$2018,1)),0,MATCH(H45,关卡!$E$19:$E$2018,1))</f>
        <v>2</v>
      </c>
      <c r="J45" s="3">
        <f>VLOOKUP($I45,关卡!$A$17:$G$2018,6,0)</f>
        <v>1.1002003003990002</v>
      </c>
      <c r="K45" s="3">
        <f>VLOOKUP($I45,关卡!$A$17:$G$2018,7,0)</f>
        <v>5.1001501500950006</v>
      </c>
      <c r="L45" s="3">
        <f t="shared" si="10"/>
        <v>3960.7210814364007</v>
      </c>
      <c r="M45" s="3">
        <f t="shared" si="11"/>
        <v>18360.540540342001</v>
      </c>
      <c r="N45" s="3">
        <f>INT(D45*J45*VLOOKUP(A45,经验产出!$I$7:$J$557,2,0))</f>
        <v>29</v>
      </c>
      <c r="O45" s="3">
        <f>SUM($N$24:N44)</f>
        <v>315</v>
      </c>
      <c r="P45" s="3">
        <f>K45*VLOOKUP(A45,金币产出!$I$7:$J$557,2,0)</f>
        <v>5.1349670190603671</v>
      </c>
    </row>
    <row r="46" spans="1:16" x14ac:dyDescent="0.15">
      <c r="A46" s="3">
        <v>23</v>
      </c>
      <c r="B46" s="3">
        <f t="shared" si="5"/>
        <v>2</v>
      </c>
      <c r="C46" s="3">
        <f t="shared" si="6"/>
        <v>78.524999999999991</v>
      </c>
      <c r="D46" s="3">
        <f t="shared" si="7"/>
        <v>26.624999999999986</v>
      </c>
      <c r="E46" s="3">
        <f>SUM($D$24:D46)</f>
        <v>378.52500000000003</v>
      </c>
      <c r="F46" s="3">
        <f t="shared" si="8"/>
        <v>6.3087500000000007</v>
      </c>
      <c r="G46" s="3">
        <f t="shared" si="8"/>
        <v>0.10514583333333334</v>
      </c>
      <c r="H46" s="3">
        <f t="shared" si="9"/>
        <v>4.3810763888888892E-3</v>
      </c>
      <c r="I46" s="3">
        <f>IF(ISNA(MATCH(H46,关卡!$E$19:$E$2018,1)),0,MATCH(H46,关卡!$E$19:$E$2018,1))</f>
        <v>2</v>
      </c>
      <c r="J46" s="3">
        <f>VLOOKUP($I46,关卡!$A$17:$G$2018,6,0)</f>
        <v>1.1002003003990002</v>
      </c>
      <c r="K46" s="3">
        <f>VLOOKUP($I46,关卡!$A$17:$G$2018,7,0)</f>
        <v>5.1001501500950006</v>
      </c>
      <c r="L46" s="3">
        <f t="shared" si="10"/>
        <v>3960.7210814364007</v>
      </c>
      <c r="M46" s="3">
        <f t="shared" si="11"/>
        <v>18360.540540342001</v>
      </c>
      <c r="N46" s="3">
        <f>INT(D46*J46*VLOOKUP(A46,经验产出!$I$7:$J$557,2,0))</f>
        <v>29</v>
      </c>
      <c r="O46" s="3">
        <f>SUM($N$24:N45)</f>
        <v>344</v>
      </c>
      <c r="P46" s="3">
        <f>K46*VLOOKUP(A46,金币产出!$I$7:$J$557,2,0)</f>
        <v>5.1537403519658547</v>
      </c>
    </row>
    <row r="47" spans="1:16" x14ac:dyDescent="0.15">
      <c r="A47" s="3">
        <v>24</v>
      </c>
      <c r="B47" s="3">
        <f t="shared" si="5"/>
        <v>2</v>
      </c>
      <c r="C47" s="3">
        <f t="shared" si="6"/>
        <v>105.60000000000001</v>
      </c>
      <c r="D47" s="3">
        <f t="shared" si="7"/>
        <v>27.075000000000017</v>
      </c>
      <c r="E47" s="3">
        <f>SUM($D$24:D47)</f>
        <v>405.6</v>
      </c>
      <c r="F47" s="3">
        <f t="shared" si="8"/>
        <v>6.7600000000000007</v>
      </c>
      <c r="G47" s="3">
        <f t="shared" si="8"/>
        <v>0.11266666666666668</v>
      </c>
      <c r="H47" s="3">
        <f t="shared" si="9"/>
        <v>4.6944444444444447E-3</v>
      </c>
      <c r="I47" s="3">
        <f>IF(ISNA(MATCH(H47,关卡!$E$19:$E$2018,1)),0,MATCH(H47,关卡!$E$19:$E$2018,1))</f>
        <v>2</v>
      </c>
      <c r="J47" s="3">
        <f>VLOOKUP($I47,关卡!$A$17:$G$2018,6,0)</f>
        <v>1.1002003003990002</v>
      </c>
      <c r="K47" s="3">
        <f>VLOOKUP($I47,关卡!$A$17:$G$2018,7,0)</f>
        <v>5.1001501500950006</v>
      </c>
      <c r="L47" s="3">
        <f t="shared" si="10"/>
        <v>3960.7210814364007</v>
      </c>
      <c r="M47" s="3">
        <f t="shared" si="11"/>
        <v>18360.540540342001</v>
      </c>
      <c r="N47" s="3">
        <f>INT(D47*J47*VLOOKUP(A47,经验产出!$I$7:$J$557,2,0))</f>
        <v>30</v>
      </c>
      <c r="O47" s="3">
        <f>SUM($N$24:N46)</f>
        <v>373</v>
      </c>
      <c r="P47" s="3">
        <f>K47*VLOOKUP(A47,金币产出!$I$7:$J$557,2,0)</f>
        <v>5.1734949843910041</v>
      </c>
    </row>
    <row r="48" spans="1:16" x14ac:dyDescent="0.15">
      <c r="A48" s="3">
        <v>25</v>
      </c>
      <c r="B48" s="3">
        <f t="shared" si="5"/>
        <v>2</v>
      </c>
      <c r="C48" s="3">
        <f t="shared" si="6"/>
        <v>133.125</v>
      </c>
      <c r="D48" s="3">
        <f t="shared" si="7"/>
        <v>27.524999999999991</v>
      </c>
      <c r="E48" s="3">
        <f>SUM($D$24:D48)</f>
        <v>433.125</v>
      </c>
      <c r="F48" s="3">
        <f t="shared" si="8"/>
        <v>7.21875</v>
      </c>
      <c r="G48" s="3">
        <f t="shared" si="8"/>
        <v>0.1203125</v>
      </c>
      <c r="H48" s="3">
        <f t="shared" si="9"/>
        <v>5.0130208333333337E-3</v>
      </c>
      <c r="I48" s="3">
        <f>IF(ISNA(MATCH(H48,关卡!$E$19:$E$2018,1)),0,MATCH(H48,关卡!$E$19:$E$2018,1))</f>
        <v>2</v>
      </c>
      <c r="J48" s="3">
        <f>VLOOKUP($I48,关卡!$A$17:$G$2018,6,0)</f>
        <v>1.1002003003990002</v>
      </c>
      <c r="K48" s="3">
        <f>VLOOKUP($I48,关卡!$A$17:$G$2018,7,0)</f>
        <v>5.1001501500950006</v>
      </c>
      <c r="L48" s="3">
        <f t="shared" si="10"/>
        <v>3960.7210814364007</v>
      </c>
      <c r="M48" s="3">
        <f t="shared" si="11"/>
        <v>18360.540540342001</v>
      </c>
      <c r="N48" s="3">
        <f>INT(D48*J48*VLOOKUP(A48,经验产出!$I$7:$J$557,2,0))</f>
        <v>31</v>
      </c>
      <c r="O48" s="3">
        <f>SUM($N$24:N47)</f>
        <v>403</v>
      </c>
      <c r="P48" s="3">
        <f>K48*VLOOKUP(A48,金币产出!$I$7:$J$557,2,0)</f>
        <v>5.1942883204183907</v>
      </c>
    </row>
    <row r="49" spans="1:16" x14ac:dyDescent="0.15">
      <c r="A49" s="3">
        <v>26</v>
      </c>
      <c r="B49" s="3">
        <f t="shared" si="5"/>
        <v>2</v>
      </c>
      <c r="C49" s="3">
        <f t="shared" si="6"/>
        <v>161.10000000000002</v>
      </c>
      <c r="D49" s="3">
        <f t="shared" si="7"/>
        <v>27.975000000000023</v>
      </c>
      <c r="E49" s="3">
        <f>SUM($D$24:D49)</f>
        <v>461.1</v>
      </c>
      <c r="F49" s="3">
        <f t="shared" si="8"/>
        <v>7.6850000000000005</v>
      </c>
      <c r="G49" s="3">
        <f t="shared" si="8"/>
        <v>0.12808333333333335</v>
      </c>
      <c r="H49" s="3">
        <f t="shared" si="9"/>
        <v>5.3368055555555564E-3</v>
      </c>
      <c r="I49" s="3">
        <f>IF(ISNA(MATCH(H49,关卡!$E$19:$E$2018,1)),0,MATCH(H49,关卡!$E$19:$E$2018,1))</f>
        <v>2</v>
      </c>
      <c r="J49" s="3">
        <f>VLOOKUP($I49,关卡!$A$17:$G$2018,6,0)</f>
        <v>1.1002003003990002</v>
      </c>
      <c r="K49" s="3">
        <f>VLOOKUP($I49,关卡!$A$17:$G$2018,7,0)</f>
        <v>5.1001501500950006</v>
      </c>
      <c r="L49" s="3">
        <f t="shared" si="10"/>
        <v>3960.7210814364007</v>
      </c>
      <c r="M49" s="3">
        <f t="shared" si="11"/>
        <v>18360.540540342001</v>
      </c>
      <c r="N49" s="3">
        <f>INT(D49*J49*VLOOKUP(A49,经验产出!$I$7:$J$557,2,0))</f>
        <v>31</v>
      </c>
      <c r="O49" s="3">
        <f>SUM($N$24:N48)</f>
        <v>434</v>
      </c>
      <c r="P49" s="3">
        <f>K49*VLOOKUP(A49,金币产出!$I$7:$J$557,2,0)</f>
        <v>5.2161808670539678</v>
      </c>
    </row>
    <row r="50" spans="1:16" x14ac:dyDescent="0.15">
      <c r="A50" s="3">
        <v>27</v>
      </c>
      <c r="B50" s="3">
        <f t="shared" si="5"/>
        <v>2</v>
      </c>
      <c r="C50" s="3">
        <f t="shared" si="6"/>
        <v>189.52499999999998</v>
      </c>
      <c r="D50" s="3">
        <f t="shared" si="7"/>
        <v>28.424999999999955</v>
      </c>
      <c r="E50" s="3">
        <f>SUM($D$24:D50)</f>
        <v>489.52499999999998</v>
      </c>
      <c r="F50" s="3">
        <f t="shared" si="8"/>
        <v>8.1587499999999995</v>
      </c>
      <c r="G50" s="3">
        <f t="shared" si="8"/>
        <v>0.13597916666666665</v>
      </c>
      <c r="H50" s="3">
        <f t="shared" si="9"/>
        <v>5.6657986111111102E-3</v>
      </c>
      <c r="I50" s="3">
        <f>IF(ISNA(MATCH(H50,关卡!$E$19:$E$2018,1)),0,MATCH(H50,关卡!$E$19:$E$2018,1))</f>
        <v>3</v>
      </c>
      <c r="J50" s="3">
        <f>VLOOKUP($I50,关卡!$A$17:$G$2018,6,0)</f>
        <v>1.1504510145199376</v>
      </c>
      <c r="K50" s="3">
        <f>VLOOKUP($I50,关卡!$A$17:$G$2018,7,0)</f>
        <v>5.1503380067309381</v>
      </c>
      <c r="L50" s="3">
        <f t="shared" si="10"/>
        <v>4141.6236522717754</v>
      </c>
      <c r="M50" s="3">
        <f t="shared" si="11"/>
        <v>18541.216824231378</v>
      </c>
      <c r="N50" s="3">
        <f>INT(D50*J50*VLOOKUP(A50,经验产出!$I$7:$J$557,2,0))</f>
        <v>33</v>
      </c>
      <c r="O50" s="3">
        <f>SUM($N$24:N49)</f>
        <v>465</v>
      </c>
      <c r="P50" s="3">
        <f>K50*VLOOKUP(A50,金币产出!$I$7:$J$557,2,0)</f>
        <v>5.2907927628128659</v>
      </c>
    </row>
    <row r="51" spans="1:16" x14ac:dyDescent="0.15">
      <c r="A51" s="3">
        <v>28</v>
      </c>
      <c r="B51" s="3">
        <f t="shared" si="5"/>
        <v>2</v>
      </c>
      <c r="C51" s="3">
        <f t="shared" si="6"/>
        <v>218.40000000000003</v>
      </c>
      <c r="D51" s="3">
        <f t="shared" si="7"/>
        <v>28.875000000000057</v>
      </c>
      <c r="E51" s="3">
        <f>SUM($D$24:D51)</f>
        <v>518.40000000000009</v>
      </c>
      <c r="F51" s="3">
        <f t="shared" si="8"/>
        <v>8.6400000000000023</v>
      </c>
      <c r="G51" s="3">
        <f t="shared" si="8"/>
        <v>0.14400000000000004</v>
      </c>
      <c r="H51" s="3">
        <f t="shared" si="9"/>
        <v>6.0000000000000019E-3</v>
      </c>
      <c r="I51" s="3">
        <f>IF(ISNA(MATCH(H51,关卡!$E$19:$E$2018,1)),0,MATCH(H51,关卡!$E$19:$E$2018,1))</f>
        <v>3</v>
      </c>
      <c r="J51" s="3">
        <f>VLOOKUP($I51,关卡!$A$17:$G$2018,6,0)</f>
        <v>1.1504510145199376</v>
      </c>
      <c r="K51" s="3">
        <f>VLOOKUP($I51,关卡!$A$17:$G$2018,7,0)</f>
        <v>5.1503380067309381</v>
      </c>
      <c r="L51" s="3">
        <f t="shared" si="10"/>
        <v>4141.6236522717754</v>
      </c>
      <c r="M51" s="3">
        <f t="shared" si="11"/>
        <v>18541.216824231378</v>
      </c>
      <c r="N51" s="3">
        <f>INT(D51*J51*VLOOKUP(A51,经验产出!$I$7:$J$557,2,0))</f>
        <v>34</v>
      </c>
      <c r="O51" s="3">
        <f>SUM($N$24:N50)</f>
        <v>498</v>
      </c>
      <c r="P51" s="3">
        <f>K51*VLOOKUP(A51,金币产出!$I$7:$J$557,2,0)</f>
        <v>5.3153166381263803</v>
      </c>
    </row>
    <row r="52" spans="1:16" x14ac:dyDescent="0.15">
      <c r="A52" s="3">
        <v>29</v>
      </c>
      <c r="B52" s="3">
        <f t="shared" si="5"/>
        <v>2</v>
      </c>
      <c r="C52" s="3">
        <f t="shared" si="6"/>
        <v>247.72499999999999</v>
      </c>
      <c r="D52" s="3">
        <f t="shared" si="7"/>
        <v>29.32499999999996</v>
      </c>
      <c r="E52" s="3">
        <f>SUM($D$24:D52)</f>
        <v>547.72500000000002</v>
      </c>
      <c r="F52" s="3">
        <f t="shared" si="8"/>
        <v>9.1287500000000001</v>
      </c>
      <c r="G52" s="3">
        <f t="shared" si="8"/>
        <v>0.15214583333333334</v>
      </c>
      <c r="H52" s="3">
        <f t="shared" si="9"/>
        <v>6.3394097222222228E-3</v>
      </c>
      <c r="I52" s="3">
        <f>IF(ISNA(MATCH(H52,关卡!$E$19:$E$2018,1)),0,MATCH(H52,关卡!$E$19:$E$2018,1))</f>
        <v>3</v>
      </c>
      <c r="J52" s="3">
        <f>VLOOKUP($I52,关卡!$A$17:$G$2018,6,0)</f>
        <v>1.1504510145199376</v>
      </c>
      <c r="K52" s="3">
        <f>VLOOKUP($I52,关卡!$A$17:$G$2018,7,0)</f>
        <v>5.1503380067309381</v>
      </c>
      <c r="L52" s="3">
        <f t="shared" si="10"/>
        <v>4141.6236522717754</v>
      </c>
      <c r="M52" s="3">
        <f t="shared" si="11"/>
        <v>18541.216824231378</v>
      </c>
      <c r="N52" s="3">
        <f>INT(D52*J52*VLOOKUP(A52,经验产出!$I$7:$J$557,2,0))</f>
        <v>35</v>
      </c>
      <c r="O52" s="3">
        <f>SUM($N$24:N51)</f>
        <v>532</v>
      </c>
      <c r="P52" s="3">
        <f>K52*VLOOKUP(A52,金币产出!$I$7:$J$557,2,0)</f>
        <v>5.3411526488081762</v>
      </c>
    </row>
    <row r="53" spans="1:16" x14ac:dyDescent="0.15">
      <c r="A53" s="3">
        <v>30</v>
      </c>
      <c r="B53" s="3">
        <f t="shared" si="5"/>
        <v>2</v>
      </c>
      <c r="C53" s="3">
        <f t="shared" si="6"/>
        <v>277.5</v>
      </c>
      <c r="D53" s="3">
        <f t="shared" si="7"/>
        <v>29.775000000000006</v>
      </c>
      <c r="E53" s="3">
        <f>SUM($D$24:D53)</f>
        <v>577.5</v>
      </c>
      <c r="F53" s="3">
        <f t="shared" si="8"/>
        <v>9.625</v>
      </c>
      <c r="G53" s="3">
        <f t="shared" si="8"/>
        <v>0.16041666666666668</v>
      </c>
      <c r="H53" s="3">
        <f t="shared" si="9"/>
        <v>6.6840277777777783E-3</v>
      </c>
      <c r="I53" s="3">
        <f>IF(ISNA(MATCH(H53,关卡!$E$19:$E$2018,1)),0,MATCH(H53,关卡!$E$19:$E$2018,1))</f>
        <v>3</v>
      </c>
      <c r="J53" s="3">
        <f>VLOOKUP($I53,关卡!$A$17:$G$2018,6,0)</f>
        <v>1.1504510145199376</v>
      </c>
      <c r="K53" s="3">
        <f>VLOOKUP($I53,关卡!$A$17:$G$2018,7,0)</f>
        <v>5.1503380067309381</v>
      </c>
      <c r="L53" s="3">
        <f t="shared" si="10"/>
        <v>4141.6236522717754</v>
      </c>
      <c r="M53" s="3">
        <f t="shared" si="11"/>
        <v>18541.216824231378</v>
      </c>
      <c r="N53" s="3">
        <f>INT(D53*J53*VLOOKUP(A53,经验产出!$I$7:$J$557,2,0))</f>
        <v>36</v>
      </c>
      <c r="O53" s="3">
        <f>SUM($N$24:N52)</f>
        <v>567</v>
      </c>
      <c r="P53" s="3">
        <f>K53*VLOOKUP(A53,金币产出!$I$7:$J$557,2,0)</f>
        <v>5.3683744311117545</v>
      </c>
    </row>
    <row r="54" spans="1:16" x14ac:dyDescent="0.15">
      <c r="A54" s="3">
        <v>31</v>
      </c>
      <c r="B54" s="3">
        <f t="shared" si="5"/>
        <v>2</v>
      </c>
      <c r="C54" s="3">
        <f t="shared" si="6"/>
        <v>307.72500000000002</v>
      </c>
      <c r="D54" s="3">
        <f t="shared" si="7"/>
        <v>30.225000000000023</v>
      </c>
      <c r="E54" s="3">
        <f>SUM($D$24:D54)</f>
        <v>607.72500000000002</v>
      </c>
      <c r="F54" s="3">
        <f t="shared" si="8"/>
        <v>10.12875</v>
      </c>
      <c r="G54" s="3">
        <f t="shared" si="8"/>
        <v>0.1688125</v>
      </c>
      <c r="H54" s="3">
        <f t="shared" si="9"/>
        <v>7.0338541666666666E-3</v>
      </c>
      <c r="I54" s="3">
        <f>IF(ISNA(MATCH(H54,关卡!$E$19:$E$2018,1)),0,MATCH(H54,关卡!$E$19:$E$2018,1))</f>
        <v>3</v>
      </c>
      <c r="J54" s="3">
        <f>VLOOKUP($I54,关卡!$A$17:$G$2018,6,0)</f>
        <v>1.1504510145199376</v>
      </c>
      <c r="K54" s="3">
        <f>VLOOKUP($I54,关卡!$A$17:$G$2018,7,0)</f>
        <v>5.1503380067309381</v>
      </c>
      <c r="L54" s="3">
        <f t="shared" si="10"/>
        <v>4141.6236522717754</v>
      </c>
      <c r="M54" s="3">
        <f t="shared" si="11"/>
        <v>18541.216824231378</v>
      </c>
      <c r="N54" s="3">
        <f>INT(D54*J54*VLOOKUP(A54,经验产出!$I$7:$J$557,2,0))</f>
        <v>37</v>
      </c>
      <c r="O54" s="3">
        <f>SUM($N$24:N53)</f>
        <v>603</v>
      </c>
      <c r="P54" s="3">
        <f>K54*VLOOKUP(A54,金币产出!$I$7:$J$557,2,0)</f>
        <v>5.3970587547482145</v>
      </c>
    </row>
    <row r="55" spans="1:16" x14ac:dyDescent="0.15">
      <c r="A55" s="3">
        <v>32</v>
      </c>
      <c r="B55" s="3">
        <f t="shared" si="5"/>
        <v>2</v>
      </c>
      <c r="C55" s="3">
        <f t="shared" si="6"/>
        <v>338.40000000000003</v>
      </c>
      <c r="D55" s="3">
        <f t="shared" si="7"/>
        <v>30.675000000000011</v>
      </c>
      <c r="E55" s="3">
        <f>SUM($D$24:D55)</f>
        <v>638.40000000000009</v>
      </c>
      <c r="F55" s="3">
        <f t="shared" si="8"/>
        <v>10.640000000000002</v>
      </c>
      <c r="G55" s="3">
        <f t="shared" si="8"/>
        <v>0.17733333333333337</v>
      </c>
      <c r="H55" s="3">
        <f t="shared" si="9"/>
        <v>7.3888888888888902E-3</v>
      </c>
      <c r="I55" s="3">
        <f>IF(ISNA(MATCH(H55,关卡!$E$19:$E$2018,1)),0,MATCH(H55,关卡!$E$19:$E$2018,1))</f>
        <v>4</v>
      </c>
      <c r="J55" s="3">
        <f>VLOOKUP($I55,关卡!$A$17:$G$2018,6,0)</f>
        <v>1.2008024063840002</v>
      </c>
      <c r="K55" s="3">
        <f>VLOOKUP($I55,关卡!$A$17:$G$2018,7,0)</f>
        <v>5.2006012015200005</v>
      </c>
      <c r="L55" s="3">
        <f t="shared" si="10"/>
        <v>4322.888662982401</v>
      </c>
      <c r="M55" s="3">
        <f t="shared" si="11"/>
        <v>18722.164325472</v>
      </c>
      <c r="N55" s="3">
        <f>INT(D55*J55*VLOOKUP(A55,经验产出!$I$7:$J$557,2,0))</f>
        <v>39</v>
      </c>
      <c r="O55" s="3">
        <f>SUM($N$24:N54)</f>
        <v>640</v>
      </c>
      <c r="P55" s="3">
        <f>K55*VLOOKUP(A55,金币产出!$I$7:$J$557,2,0)</f>
        <v>5.4802515047414602</v>
      </c>
    </row>
    <row r="56" spans="1:16" x14ac:dyDescent="0.15">
      <c r="A56" s="3">
        <v>33</v>
      </c>
      <c r="B56" s="3">
        <f t="shared" si="5"/>
        <v>2</v>
      </c>
      <c r="C56" s="3">
        <f t="shared" si="6"/>
        <v>369.52499999999998</v>
      </c>
      <c r="D56" s="3">
        <f t="shared" si="7"/>
        <v>31.124999999999943</v>
      </c>
      <c r="E56" s="3">
        <f>SUM($D$24:D56)</f>
        <v>669.52500000000009</v>
      </c>
      <c r="F56" s="3">
        <f t="shared" si="8"/>
        <v>11.158750000000001</v>
      </c>
      <c r="G56" s="3">
        <f t="shared" si="8"/>
        <v>0.1859791666666667</v>
      </c>
      <c r="H56" s="3">
        <f t="shared" si="9"/>
        <v>7.7491319444444456E-3</v>
      </c>
      <c r="I56" s="3">
        <f>IF(ISNA(MATCH(H56,关卡!$E$19:$E$2018,1)),0,MATCH(H56,关卡!$E$19:$E$2018,1))</f>
        <v>4</v>
      </c>
      <c r="J56" s="3">
        <f>VLOOKUP($I56,关卡!$A$17:$G$2018,6,0)</f>
        <v>1.2008024063840002</v>
      </c>
      <c r="K56" s="3">
        <f>VLOOKUP($I56,关卡!$A$17:$G$2018,7,0)</f>
        <v>5.2006012015200005</v>
      </c>
      <c r="L56" s="3">
        <f t="shared" si="10"/>
        <v>4322.888662982401</v>
      </c>
      <c r="M56" s="3">
        <f t="shared" si="11"/>
        <v>18722.164325472</v>
      </c>
      <c r="N56" s="3">
        <f>INT(D56*J56*VLOOKUP(A56,经验产出!$I$7:$J$557,2,0))</f>
        <v>40</v>
      </c>
      <c r="O56" s="3">
        <f>SUM($N$24:N55)</f>
        <v>679</v>
      </c>
      <c r="P56" s="3">
        <f>K56*VLOOKUP(A56,金币产出!$I$7:$J$557,2,0)</f>
        <v>5.5124146065780595</v>
      </c>
    </row>
    <row r="57" spans="1:16" x14ac:dyDescent="0.15">
      <c r="A57" s="3">
        <v>34</v>
      </c>
      <c r="B57" s="3">
        <f t="shared" si="5"/>
        <v>2</v>
      </c>
      <c r="C57" s="3">
        <f t="shared" si="6"/>
        <v>401.09999999999997</v>
      </c>
      <c r="D57" s="3">
        <f t="shared" si="7"/>
        <v>31.574999999999989</v>
      </c>
      <c r="E57" s="3">
        <f>SUM($D$24:D57)</f>
        <v>701.10000000000014</v>
      </c>
      <c r="F57" s="3">
        <f t="shared" si="8"/>
        <v>11.685000000000002</v>
      </c>
      <c r="G57" s="3">
        <f t="shared" si="8"/>
        <v>0.19475000000000003</v>
      </c>
      <c r="H57" s="3">
        <f t="shared" si="9"/>
        <v>8.1145833333333348E-3</v>
      </c>
      <c r="I57" s="3">
        <f>IF(ISNA(MATCH(H57,关卡!$E$19:$E$2018,1)),0,MATCH(H57,关卡!$E$19:$E$2018,1))</f>
        <v>4</v>
      </c>
      <c r="J57" s="3">
        <f>VLOOKUP($I57,关卡!$A$17:$G$2018,6,0)</f>
        <v>1.2008024063840002</v>
      </c>
      <c r="K57" s="3">
        <f>VLOOKUP($I57,关卡!$A$17:$G$2018,7,0)</f>
        <v>5.2006012015200005</v>
      </c>
      <c r="L57" s="3">
        <f t="shared" si="10"/>
        <v>4322.888662982401</v>
      </c>
      <c r="M57" s="3">
        <f t="shared" si="11"/>
        <v>18722.164325472</v>
      </c>
      <c r="N57" s="3">
        <f>INT(D57*J57*VLOOKUP(A57,经验产出!$I$7:$J$557,2,0))</f>
        <v>41</v>
      </c>
      <c r="O57" s="3">
        <f>SUM($N$24:N56)</f>
        <v>719</v>
      </c>
      <c r="P57" s="3">
        <f>K57*VLOOKUP(A57,金币产出!$I$7:$J$557,2,0)</f>
        <v>5.5463060639782755</v>
      </c>
    </row>
    <row r="58" spans="1:16" x14ac:dyDescent="0.15">
      <c r="A58" s="3">
        <v>35</v>
      </c>
      <c r="B58" s="3">
        <f t="shared" si="5"/>
        <v>2</v>
      </c>
      <c r="C58" s="3">
        <f t="shared" si="6"/>
        <v>433.12499999999994</v>
      </c>
      <c r="D58" s="3">
        <f t="shared" si="7"/>
        <v>32.024999999999977</v>
      </c>
      <c r="E58" s="3">
        <f>SUM($D$24:D58)</f>
        <v>733.12500000000011</v>
      </c>
      <c r="F58" s="3">
        <f t="shared" si="8"/>
        <v>12.218750000000002</v>
      </c>
      <c r="G58" s="3">
        <f t="shared" si="8"/>
        <v>0.20364583333333336</v>
      </c>
      <c r="H58" s="3">
        <f t="shared" si="9"/>
        <v>8.4852430555555566E-3</v>
      </c>
      <c r="I58" s="3">
        <f>IF(ISNA(MATCH(H58,关卡!$E$19:$E$2018,1)),0,MATCH(H58,关卡!$E$19:$E$2018,1))</f>
        <v>4</v>
      </c>
      <c r="J58" s="3">
        <f>VLOOKUP($I58,关卡!$A$17:$G$2018,6,0)</f>
        <v>1.2008024063840002</v>
      </c>
      <c r="K58" s="3">
        <f>VLOOKUP($I58,关卡!$A$17:$G$2018,7,0)</f>
        <v>5.2006012015200005</v>
      </c>
      <c r="L58" s="3">
        <f t="shared" si="10"/>
        <v>4322.888662982401</v>
      </c>
      <c r="M58" s="3">
        <f t="shared" si="11"/>
        <v>18722.164325472</v>
      </c>
      <c r="N58" s="3">
        <f>INT(D58*J58*VLOOKUP(A58,经验产出!$I$7:$J$557,2,0))</f>
        <v>42</v>
      </c>
      <c r="O58" s="3">
        <f>SUM($N$24:N57)</f>
        <v>760</v>
      </c>
      <c r="P58" s="3">
        <f>K58*VLOOKUP(A58,金币产出!$I$7:$J$557,2,0)</f>
        <v>5.5820160520149935</v>
      </c>
    </row>
    <row r="59" spans="1:16" x14ac:dyDescent="0.15">
      <c r="A59" s="3">
        <v>36</v>
      </c>
      <c r="B59" s="3">
        <f t="shared" si="5"/>
        <v>2</v>
      </c>
      <c r="C59" s="3">
        <f t="shared" si="6"/>
        <v>465.6</v>
      </c>
      <c r="D59" s="3">
        <f t="shared" si="7"/>
        <v>32.47500000000008</v>
      </c>
      <c r="E59" s="3">
        <f>SUM($D$24:D59)</f>
        <v>765.60000000000014</v>
      </c>
      <c r="F59" s="3">
        <f t="shared" si="8"/>
        <v>12.760000000000002</v>
      </c>
      <c r="G59" s="3">
        <f t="shared" si="8"/>
        <v>0.2126666666666667</v>
      </c>
      <c r="H59" s="3">
        <f t="shared" si="9"/>
        <v>8.861111111111113E-3</v>
      </c>
      <c r="I59" s="3">
        <f>IF(ISNA(MATCH(H59,关卡!$E$19:$E$2018,1)),0,MATCH(H59,关卡!$E$19:$E$2018,1))</f>
        <v>4</v>
      </c>
      <c r="J59" s="3">
        <f>VLOOKUP($I59,关卡!$A$17:$G$2018,6,0)</f>
        <v>1.2008024063840002</v>
      </c>
      <c r="K59" s="3">
        <f>VLOOKUP($I59,关卡!$A$17:$G$2018,7,0)</f>
        <v>5.2006012015200005</v>
      </c>
      <c r="L59" s="3">
        <f t="shared" si="10"/>
        <v>4322.888662982401</v>
      </c>
      <c r="M59" s="3">
        <f t="shared" si="11"/>
        <v>18722.164325472</v>
      </c>
      <c r="N59" s="3">
        <f>INT(D59*J59*VLOOKUP(A59,经验产出!$I$7:$J$557,2,0))</f>
        <v>43</v>
      </c>
      <c r="O59" s="3">
        <f>SUM($N$24:N58)</f>
        <v>802</v>
      </c>
      <c r="P59" s="3">
        <f>K59*VLOOKUP(A59,金币产出!$I$7:$J$557,2,0)</f>
        <v>5.6196379097987403</v>
      </c>
    </row>
    <row r="60" spans="1:16" x14ac:dyDescent="0.15">
      <c r="A60" s="3">
        <v>37</v>
      </c>
      <c r="B60" s="3">
        <f t="shared" si="5"/>
        <v>2</v>
      </c>
      <c r="C60" s="3">
        <f t="shared" si="6"/>
        <v>498.52499999999998</v>
      </c>
      <c r="D60" s="3">
        <f t="shared" si="7"/>
        <v>32.924999999999955</v>
      </c>
      <c r="E60" s="3">
        <f>SUM($D$24:D60)</f>
        <v>798.52500000000009</v>
      </c>
      <c r="F60" s="3">
        <f t="shared" si="8"/>
        <v>13.308750000000002</v>
      </c>
      <c r="G60" s="3">
        <f t="shared" si="8"/>
        <v>0.22181250000000002</v>
      </c>
      <c r="H60" s="3">
        <f t="shared" si="9"/>
        <v>9.2421875000000004E-3</v>
      </c>
      <c r="I60" s="3">
        <f>IF(ISNA(MATCH(H60,关卡!$E$19:$E$2018,1)),0,MATCH(H60,关卡!$E$19:$E$2018,1))</f>
        <v>5</v>
      </c>
      <c r="J60" s="3">
        <f>VLOOKUP($I60,关卡!$A$17:$G$2018,6,0)</f>
        <v>1.2512547030859373</v>
      </c>
      <c r="K60" s="3">
        <f>VLOOKUP($I60,关卡!$A$17:$G$2018,7,0)</f>
        <v>5.2509398474609377</v>
      </c>
      <c r="L60" s="3">
        <f t="shared" si="10"/>
        <v>4504.5169311093741</v>
      </c>
      <c r="M60" s="3">
        <f t="shared" si="11"/>
        <v>18903.383450859375</v>
      </c>
      <c r="N60" s="3">
        <f>INT(D60*J60*VLOOKUP(A60,经验产出!$I$7:$J$557,2,0))</f>
        <v>46</v>
      </c>
      <c r="O60" s="3">
        <f>SUM($N$24:N59)</f>
        <v>845</v>
      </c>
      <c r="P60" s="3">
        <f>K60*VLOOKUP(A60,金币产出!$I$7:$J$557,2,0)</f>
        <v>5.7140464024842235</v>
      </c>
    </row>
    <row r="61" spans="1:16" x14ac:dyDescent="0.15">
      <c r="A61" s="3">
        <v>38</v>
      </c>
      <c r="B61" s="3">
        <f t="shared" si="5"/>
        <v>2</v>
      </c>
      <c r="C61" s="3">
        <f t="shared" si="6"/>
        <v>531.90000000000009</v>
      </c>
      <c r="D61" s="3">
        <f t="shared" si="7"/>
        <v>33.375000000000114</v>
      </c>
      <c r="E61" s="3">
        <f>SUM($D$24:D61)</f>
        <v>831.9000000000002</v>
      </c>
      <c r="F61" s="3">
        <f t="shared" si="8"/>
        <v>13.865000000000004</v>
      </c>
      <c r="G61" s="3">
        <f t="shared" si="8"/>
        <v>0.23108333333333339</v>
      </c>
      <c r="H61" s="3">
        <f t="shared" si="9"/>
        <v>9.628472222222224E-3</v>
      </c>
      <c r="I61" s="3">
        <f>IF(ISNA(MATCH(H61,关卡!$E$19:$E$2018,1)),0,MATCH(H61,关卡!$E$19:$E$2018,1))</f>
        <v>5</v>
      </c>
      <c r="J61" s="3">
        <f>VLOOKUP($I61,关卡!$A$17:$G$2018,6,0)</f>
        <v>1.2512547030859373</v>
      </c>
      <c r="K61" s="3">
        <f>VLOOKUP($I61,关卡!$A$17:$G$2018,7,0)</f>
        <v>5.2509398474609377</v>
      </c>
      <c r="L61" s="3">
        <f t="shared" si="10"/>
        <v>4504.5169311093741</v>
      </c>
      <c r="M61" s="3">
        <f t="shared" si="11"/>
        <v>18903.383450859375</v>
      </c>
      <c r="N61" s="3">
        <f>INT(D61*J61*VLOOKUP(A61,经验产出!$I$7:$J$557,2,0))</f>
        <v>47</v>
      </c>
      <c r="O61" s="3">
        <f>SUM($N$24:N60)</f>
        <v>891</v>
      </c>
      <c r="P61" s="3">
        <f>K61*VLOOKUP(A61,金币产出!$I$7:$J$557,2,0)</f>
        <v>5.7561886742341954</v>
      </c>
    </row>
    <row r="62" spans="1:16" x14ac:dyDescent="0.15">
      <c r="A62" s="3">
        <v>39</v>
      </c>
      <c r="B62" s="3">
        <f t="shared" si="5"/>
        <v>2</v>
      </c>
      <c r="C62" s="3">
        <f t="shared" si="6"/>
        <v>565.72500000000002</v>
      </c>
      <c r="D62" s="3">
        <f t="shared" si="7"/>
        <v>33.824999999999932</v>
      </c>
      <c r="E62" s="3">
        <f>SUM($D$24:D62)</f>
        <v>865.72500000000014</v>
      </c>
      <c r="F62" s="3">
        <f t="shared" si="8"/>
        <v>14.428750000000003</v>
      </c>
      <c r="G62" s="3">
        <f t="shared" si="8"/>
        <v>0.24047916666666672</v>
      </c>
      <c r="H62" s="3">
        <f t="shared" si="9"/>
        <v>1.001996527777778E-2</v>
      </c>
      <c r="I62" s="3">
        <f>IF(ISNA(MATCH(H62,关卡!$E$19:$E$2018,1)),0,MATCH(H62,关卡!$E$19:$E$2018,1))</f>
        <v>5</v>
      </c>
      <c r="J62" s="3">
        <f>VLOOKUP($I62,关卡!$A$17:$G$2018,6,0)</f>
        <v>1.2512547030859373</v>
      </c>
      <c r="K62" s="3">
        <f>VLOOKUP($I62,关卡!$A$17:$G$2018,7,0)</f>
        <v>5.2509398474609377</v>
      </c>
      <c r="L62" s="3">
        <f t="shared" si="10"/>
        <v>4504.5169311093741</v>
      </c>
      <c r="M62" s="3">
        <f t="shared" si="11"/>
        <v>18903.383450859375</v>
      </c>
      <c r="N62" s="3">
        <f>INT(D62*J62*VLOOKUP(A62,经验产出!$I$7:$J$557,2,0))</f>
        <v>48</v>
      </c>
      <c r="O62" s="3">
        <f>SUM($N$24:N61)</f>
        <v>938</v>
      </c>
      <c r="P62" s="3">
        <f>K62*VLOOKUP(A62,金币产出!$I$7:$J$557,2,0)</f>
        <v>5.8005632171736883</v>
      </c>
    </row>
    <row r="63" spans="1:16" x14ac:dyDescent="0.15">
      <c r="A63" s="3">
        <v>40</v>
      </c>
      <c r="B63" s="3">
        <f t="shared" si="5"/>
        <v>2</v>
      </c>
      <c r="C63" s="3">
        <f t="shared" si="6"/>
        <v>600</v>
      </c>
      <c r="D63" s="3">
        <f t="shared" si="7"/>
        <v>34.274999999999977</v>
      </c>
      <c r="E63" s="3">
        <f>SUM($D$24:D63)</f>
        <v>900.00000000000011</v>
      </c>
      <c r="F63" s="3">
        <f t="shared" si="8"/>
        <v>15.000000000000002</v>
      </c>
      <c r="G63" s="3">
        <f t="shared" si="8"/>
        <v>0.25000000000000006</v>
      </c>
      <c r="H63" s="3">
        <f t="shared" si="9"/>
        <v>1.041666666666667E-2</v>
      </c>
      <c r="I63" s="3">
        <f>IF(ISNA(MATCH(H63,关卡!$E$19:$E$2018,1)),0,MATCH(H63,关卡!$E$19:$E$2018,1))</f>
        <v>5</v>
      </c>
      <c r="J63" s="3">
        <f>VLOOKUP($I63,关卡!$A$17:$G$2018,6,0)</f>
        <v>1.2512547030859373</v>
      </c>
      <c r="K63" s="3">
        <f>VLOOKUP($I63,关卡!$A$17:$G$2018,7,0)</f>
        <v>5.2509398474609377</v>
      </c>
      <c r="L63" s="3">
        <f t="shared" si="10"/>
        <v>4504.5169311093741</v>
      </c>
      <c r="M63" s="3">
        <f t="shared" si="11"/>
        <v>18903.383450859375</v>
      </c>
      <c r="N63" s="3">
        <f>INT(D63*J63*VLOOKUP(A63,经验产出!$I$7:$J$557,2,0))</f>
        <v>49</v>
      </c>
      <c r="O63" s="3">
        <f>SUM($N$24:N62)</f>
        <v>986</v>
      </c>
      <c r="P63" s="3">
        <f>K63*VLOOKUP(A63,金币产出!$I$7:$J$557,2,0)</f>
        <v>5.8472770525332587</v>
      </c>
    </row>
    <row r="64" spans="1:16" x14ac:dyDescent="0.15">
      <c r="A64" s="3">
        <v>41</v>
      </c>
      <c r="B64" s="3">
        <f t="shared" si="5"/>
        <v>3</v>
      </c>
      <c r="C64" s="3">
        <f t="shared" si="6"/>
        <v>42.757499999999993</v>
      </c>
      <c r="D64" s="3">
        <f t="shared" si="7"/>
        <v>42.757499999999993</v>
      </c>
      <c r="E64" s="3">
        <f>SUM($D$24:D64)</f>
        <v>942.75750000000016</v>
      </c>
      <c r="F64" s="3">
        <f t="shared" si="8"/>
        <v>15.712625000000003</v>
      </c>
      <c r="G64" s="3">
        <f t="shared" si="8"/>
        <v>0.26187708333333337</v>
      </c>
      <c r="H64" s="3">
        <f t="shared" si="9"/>
        <v>1.091154513888889E-2</v>
      </c>
      <c r="I64" s="3">
        <f>IF(ISNA(MATCH(H64,关卡!$E$19:$E$2018,1)),0,MATCH(H64,关卡!$E$19:$E$2018,1))</f>
        <v>5</v>
      </c>
      <c r="J64" s="3">
        <f>VLOOKUP($I64,关卡!$A$17:$G$2018,6,0)</f>
        <v>1.2512547030859373</v>
      </c>
      <c r="K64" s="3">
        <f>VLOOKUP($I64,关卡!$A$17:$G$2018,7,0)</f>
        <v>5.2509398474609377</v>
      </c>
      <c r="L64" s="3">
        <f t="shared" si="10"/>
        <v>4504.5169311093741</v>
      </c>
      <c r="M64" s="3">
        <f t="shared" si="11"/>
        <v>18903.383450859375</v>
      </c>
      <c r="N64" s="3">
        <f>INT(D64*J64*VLOOKUP(A64,经验产出!$I$7:$J$557,2,0))</f>
        <v>62</v>
      </c>
      <c r="O64" s="3">
        <f>SUM($N$24:N63)</f>
        <v>1035</v>
      </c>
      <c r="P64" s="3">
        <f>K64*VLOOKUP(A64,金币产出!$I$7:$J$557,2,0)</f>
        <v>5.8964403962070575</v>
      </c>
    </row>
    <row r="65" spans="1:16" x14ac:dyDescent="0.15">
      <c r="A65" s="3">
        <v>42</v>
      </c>
      <c r="B65" s="3">
        <f t="shared" si="5"/>
        <v>3</v>
      </c>
      <c r="C65" s="3">
        <f t="shared" si="6"/>
        <v>87.059999999999988</v>
      </c>
      <c r="D65" s="3">
        <f t="shared" si="7"/>
        <v>44.302499999999995</v>
      </c>
      <c r="E65" s="3">
        <f>SUM($D$24:D65)</f>
        <v>987.06000000000017</v>
      </c>
      <c r="F65" s="3">
        <f t="shared" si="8"/>
        <v>16.451000000000004</v>
      </c>
      <c r="G65" s="3">
        <f t="shared" si="8"/>
        <v>0.27418333333333339</v>
      </c>
      <c r="H65" s="3">
        <f t="shared" si="9"/>
        <v>1.1424305555555557E-2</v>
      </c>
      <c r="I65" s="3">
        <f>IF(ISNA(MATCH(H65,关卡!$E$19:$E$2018,1)),0,MATCH(H65,关卡!$E$19:$E$2018,1))</f>
        <v>6</v>
      </c>
      <c r="J65" s="3">
        <f>VLOOKUP($I65,关卡!$A$17:$G$2018,6,0)</f>
        <v>1.3018081323189998</v>
      </c>
      <c r="K65" s="3">
        <f>VLOOKUP($I65,关卡!$A$17:$G$2018,7,0)</f>
        <v>5.3013540576949998</v>
      </c>
      <c r="L65" s="3">
        <f t="shared" si="10"/>
        <v>4686.509276348399</v>
      </c>
      <c r="M65" s="3">
        <f t="shared" si="11"/>
        <v>19084.874607702001</v>
      </c>
      <c r="N65" s="3">
        <f>INT(D65*J65*VLOOKUP(A65,经验产出!$I$7:$J$557,2,0))</f>
        <v>68</v>
      </c>
      <c r="O65" s="3">
        <f>SUM($N$24:N64)</f>
        <v>1097</v>
      </c>
      <c r="P65" s="3">
        <f>K65*VLOOKUP(A65,金币产出!$I$7:$J$557,2,0)</f>
        <v>6.0052749352048309</v>
      </c>
    </row>
    <row r="66" spans="1:16" x14ac:dyDescent="0.15">
      <c r="A66" s="3">
        <v>43</v>
      </c>
      <c r="B66" s="3">
        <f t="shared" si="5"/>
        <v>3</v>
      </c>
      <c r="C66" s="3">
        <f t="shared" si="6"/>
        <v>132.95249999999999</v>
      </c>
      <c r="D66" s="3">
        <f t="shared" si="7"/>
        <v>45.892499999999998</v>
      </c>
      <c r="E66" s="3">
        <f>SUM($D$24:D66)</f>
        <v>1032.9525000000001</v>
      </c>
      <c r="F66" s="3">
        <f t="shared" si="8"/>
        <v>17.215875</v>
      </c>
      <c r="G66" s="3">
        <f t="shared" si="8"/>
        <v>0.28693125000000003</v>
      </c>
      <c r="H66" s="3">
        <f t="shared" si="9"/>
        <v>1.1955468750000002E-2</v>
      </c>
      <c r="I66" s="3">
        <f>IF(ISNA(MATCH(H66,关卡!$E$19:$E$2018,1)),0,MATCH(H66,关卡!$E$19:$E$2018,1))</f>
        <v>6</v>
      </c>
      <c r="J66" s="3">
        <f>VLOOKUP($I66,关卡!$A$17:$G$2018,6,0)</f>
        <v>1.3018081323189998</v>
      </c>
      <c r="K66" s="3">
        <f>VLOOKUP($I66,关卡!$A$17:$G$2018,7,0)</f>
        <v>5.3013540576949998</v>
      </c>
      <c r="L66" s="3">
        <f t="shared" si="10"/>
        <v>4686.509276348399</v>
      </c>
      <c r="M66" s="3">
        <f t="shared" si="11"/>
        <v>19084.874607702001</v>
      </c>
      <c r="N66" s="3">
        <f>INT(D66*J66*VLOOKUP(A66,经验产出!$I$7:$J$557,2,0))</f>
        <v>71</v>
      </c>
      <c r="O66" s="3">
        <f>SUM($N$24:N65)</f>
        <v>1165</v>
      </c>
      <c r="P66" s="3">
        <f>K66*VLOOKUP(A66,金币产出!$I$7:$J$557,2,0)</f>
        <v>6.0602030711462023</v>
      </c>
    </row>
    <row r="67" spans="1:16" x14ac:dyDescent="0.15">
      <c r="A67" s="3">
        <v>44</v>
      </c>
      <c r="B67" s="3">
        <f t="shared" si="5"/>
        <v>3</v>
      </c>
      <c r="C67" s="3">
        <f t="shared" si="6"/>
        <v>180.48000000000002</v>
      </c>
      <c r="D67" s="3">
        <f t="shared" si="7"/>
        <v>47.527500000000032</v>
      </c>
      <c r="E67" s="3">
        <f>SUM($D$24:D67)</f>
        <v>1080.48</v>
      </c>
      <c r="F67" s="3">
        <f t="shared" si="8"/>
        <v>18.007999999999999</v>
      </c>
      <c r="G67" s="3">
        <f t="shared" si="8"/>
        <v>0.30013333333333331</v>
      </c>
      <c r="H67" s="3">
        <f t="shared" si="9"/>
        <v>1.2505555555555554E-2</v>
      </c>
      <c r="I67" s="3">
        <f>IF(ISNA(MATCH(H67,关卡!$E$19:$E$2018,1)),0,MATCH(H67,关卡!$E$19:$E$2018,1))</f>
        <v>6</v>
      </c>
      <c r="J67" s="3">
        <f>VLOOKUP($I67,关卡!$A$17:$G$2018,6,0)</f>
        <v>1.3018081323189998</v>
      </c>
      <c r="K67" s="3">
        <f>VLOOKUP($I67,关卡!$A$17:$G$2018,7,0)</f>
        <v>5.3013540576949998</v>
      </c>
      <c r="L67" s="3">
        <f t="shared" si="10"/>
        <v>4686.509276348399</v>
      </c>
      <c r="M67" s="3">
        <f t="shared" si="11"/>
        <v>19084.874607702001</v>
      </c>
      <c r="N67" s="3">
        <f>INT(D67*J67*VLOOKUP(A67,经验产出!$I$7:$J$557,2,0))</f>
        <v>75</v>
      </c>
      <c r="O67" s="3">
        <f>SUM($N$24:N66)</f>
        <v>1236</v>
      </c>
      <c r="P67" s="3">
        <f>K67*VLOOKUP(A67,金币产出!$I$7:$J$557,2,0)</f>
        <v>6.1179574073416498</v>
      </c>
    </row>
    <row r="68" spans="1:16" x14ac:dyDescent="0.15">
      <c r="A68" s="3">
        <v>45</v>
      </c>
      <c r="B68" s="3">
        <f t="shared" si="5"/>
        <v>3</v>
      </c>
      <c r="C68" s="3">
        <f t="shared" si="6"/>
        <v>229.6875</v>
      </c>
      <c r="D68" s="3">
        <f t="shared" si="7"/>
        <v>49.207499999999982</v>
      </c>
      <c r="E68" s="3">
        <f>SUM($D$24:D68)</f>
        <v>1129.6875</v>
      </c>
      <c r="F68" s="3">
        <f t="shared" si="8"/>
        <v>18.828125</v>
      </c>
      <c r="G68" s="3">
        <f t="shared" si="8"/>
        <v>0.31380208333333331</v>
      </c>
      <c r="H68" s="3">
        <f t="shared" si="9"/>
        <v>1.3075086805555554E-2</v>
      </c>
      <c r="I68" s="3">
        <f>IF(ISNA(MATCH(H68,关卡!$E$19:$E$2018,1)),0,MATCH(H68,关卡!$E$19:$E$2018,1))</f>
        <v>7</v>
      </c>
      <c r="J68" s="3">
        <f>VLOOKUP($I68,关卡!$A$17:$G$2018,6,0)</f>
        <v>1.3524629223749376</v>
      </c>
      <c r="K68" s="3">
        <f>VLOOKUP($I68,关卡!$A$17:$G$2018,7,0)</f>
        <v>5.3518439455059381</v>
      </c>
      <c r="L68" s="3">
        <f t="shared" si="10"/>
        <v>4868.8665205497755</v>
      </c>
      <c r="M68" s="3">
        <f t="shared" si="11"/>
        <v>19266.638203821378</v>
      </c>
      <c r="N68" s="3">
        <f>INT(D68*J68*VLOOKUP(A68,经验产出!$I$7:$J$557,2,0))</f>
        <v>82</v>
      </c>
      <c r="O68" s="3">
        <f>SUM($N$24:N67)</f>
        <v>1311</v>
      </c>
      <c r="P68" s="3">
        <f>K68*VLOOKUP(A68,金币产出!$I$7:$J$557,2,0)</f>
        <v>6.2375074545374707</v>
      </c>
    </row>
    <row r="69" spans="1:16" x14ac:dyDescent="0.15">
      <c r="A69" s="3">
        <v>46</v>
      </c>
      <c r="B69" s="3">
        <f t="shared" si="5"/>
        <v>3</v>
      </c>
      <c r="C69" s="3">
        <f t="shared" si="6"/>
        <v>280.61999999999995</v>
      </c>
      <c r="D69" s="3">
        <f t="shared" si="7"/>
        <v>50.932499999999948</v>
      </c>
      <c r="E69" s="3">
        <f>SUM($D$24:D69)</f>
        <v>1180.6199999999999</v>
      </c>
      <c r="F69" s="3">
        <f t="shared" si="8"/>
        <v>19.677</v>
      </c>
      <c r="G69" s="3">
        <f t="shared" si="8"/>
        <v>0.32795000000000002</v>
      </c>
      <c r="H69" s="3">
        <f t="shared" si="9"/>
        <v>1.3664583333333334E-2</v>
      </c>
      <c r="I69" s="3">
        <f>IF(ISNA(MATCH(H69,关卡!$E$19:$E$2018,1)),0,MATCH(H69,关卡!$E$19:$E$2018,1))</f>
        <v>7</v>
      </c>
      <c r="J69" s="3">
        <f>VLOOKUP($I69,关卡!$A$17:$G$2018,6,0)</f>
        <v>1.3524629223749376</v>
      </c>
      <c r="K69" s="3">
        <f>VLOOKUP($I69,关卡!$A$17:$G$2018,7,0)</f>
        <v>5.3518439455059381</v>
      </c>
      <c r="L69" s="3">
        <f t="shared" si="10"/>
        <v>4868.8665205497755</v>
      </c>
      <c r="M69" s="3">
        <f t="shared" si="11"/>
        <v>19266.638203821378</v>
      </c>
      <c r="N69" s="3">
        <f>INT(D69*J69*VLOOKUP(A69,经验产出!$I$7:$J$557,2,0))</f>
        <v>86</v>
      </c>
      <c r="O69" s="3">
        <f>SUM($N$24:N68)</f>
        <v>1393</v>
      </c>
      <c r="P69" s="3">
        <f>K69*VLOOKUP(A69,金币产出!$I$7:$J$557,2,0)</f>
        <v>6.301897404742923</v>
      </c>
    </row>
    <row r="70" spans="1:16" x14ac:dyDescent="0.15">
      <c r="A70" s="3">
        <v>47</v>
      </c>
      <c r="B70" s="3">
        <f t="shared" si="5"/>
        <v>3</v>
      </c>
      <c r="C70" s="3">
        <f t="shared" si="6"/>
        <v>333.32249999999993</v>
      </c>
      <c r="D70" s="3">
        <f t="shared" si="7"/>
        <v>52.702499999999986</v>
      </c>
      <c r="E70" s="3">
        <f>SUM($D$24:D70)</f>
        <v>1233.3224999999998</v>
      </c>
      <c r="F70" s="3">
        <f t="shared" si="8"/>
        <v>20.555374999999994</v>
      </c>
      <c r="G70" s="3">
        <f t="shared" si="8"/>
        <v>0.34258958333333323</v>
      </c>
      <c r="H70" s="3">
        <f t="shared" si="9"/>
        <v>1.4274565972222217E-2</v>
      </c>
      <c r="I70" s="3">
        <f>IF(ISNA(MATCH(H70,关卡!$E$19:$E$2018,1)),0,MATCH(H70,关卡!$E$19:$E$2018,1))</f>
        <v>7</v>
      </c>
      <c r="J70" s="3">
        <f>VLOOKUP($I70,关卡!$A$17:$G$2018,6,0)</f>
        <v>1.3524629223749376</v>
      </c>
      <c r="K70" s="3">
        <f>VLOOKUP($I70,关卡!$A$17:$G$2018,7,0)</f>
        <v>5.3518439455059381</v>
      </c>
      <c r="L70" s="3">
        <f t="shared" si="10"/>
        <v>4868.8665205497755</v>
      </c>
      <c r="M70" s="3">
        <f t="shared" si="11"/>
        <v>19266.638203821378</v>
      </c>
      <c r="N70" s="3">
        <f>INT(D70*J70*VLOOKUP(A70,经验产出!$I$7:$J$557,2,0))</f>
        <v>90</v>
      </c>
      <c r="O70" s="3">
        <f>SUM($N$24:N69)</f>
        <v>1479</v>
      </c>
      <c r="P70" s="3">
        <f>K70*VLOOKUP(A70,金币产出!$I$7:$J$557,2,0)</f>
        <v>6.3695263141617193</v>
      </c>
    </row>
    <row r="71" spans="1:16" x14ac:dyDescent="0.15">
      <c r="A71" s="3">
        <v>48</v>
      </c>
      <c r="B71" s="3">
        <f t="shared" si="5"/>
        <v>3</v>
      </c>
      <c r="C71" s="3">
        <f t="shared" si="6"/>
        <v>387.83999999999992</v>
      </c>
      <c r="D71" s="3">
        <f t="shared" si="7"/>
        <v>54.517499999999984</v>
      </c>
      <c r="E71" s="3">
        <f>SUM($D$24:D71)</f>
        <v>1287.8399999999997</v>
      </c>
      <c r="F71" s="3">
        <f t="shared" si="8"/>
        <v>21.463999999999995</v>
      </c>
      <c r="G71" s="3">
        <f t="shared" si="8"/>
        <v>0.35773333333333324</v>
      </c>
      <c r="H71" s="3">
        <f t="shared" si="9"/>
        <v>1.4905555555555552E-2</v>
      </c>
      <c r="I71" s="3">
        <f>IF(ISNA(MATCH(H71,关卡!$E$19:$E$2018,1)),0,MATCH(H71,关卡!$E$19:$E$2018,1))</f>
        <v>7</v>
      </c>
      <c r="J71" s="3">
        <f>VLOOKUP($I71,关卡!$A$17:$G$2018,6,0)</f>
        <v>1.3524629223749376</v>
      </c>
      <c r="K71" s="3">
        <f>VLOOKUP($I71,关卡!$A$17:$G$2018,7,0)</f>
        <v>5.3518439455059381</v>
      </c>
      <c r="L71" s="3">
        <f t="shared" si="10"/>
        <v>4868.8665205497755</v>
      </c>
      <c r="M71" s="3">
        <f t="shared" si="11"/>
        <v>19266.638203821378</v>
      </c>
      <c r="N71" s="3">
        <f>INT(D71*J71*VLOOKUP(A71,经验产出!$I$7:$J$557,2,0))</f>
        <v>94</v>
      </c>
      <c r="O71" s="3">
        <f>SUM($N$24:N70)</f>
        <v>1569</v>
      </c>
      <c r="P71" s="3">
        <f>K71*VLOOKUP(A71,金币产出!$I$7:$J$557,2,0)</f>
        <v>6.4405293090138702</v>
      </c>
    </row>
    <row r="72" spans="1:16" x14ac:dyDescent="0.15">
      <c r="A72" s="3">
        <v>49</v>
      </c>
      <c r="B72" s="3">
        <f t="shared" si="5"/>
        <v>3</v>
      </c>
      <c r="C72" s="3">
        <f t="shared" si="6"/>
        <v>444.21749999999997</v>
      </c>
      <c r="D72" s="3">
        <f t="shared" si="7"/>
        <v>56.377500000000055</v>
      </c>
      <c r="E72" s="3">
        <f>SUM($D$24:D72)</f>
        <v>1344.2174999999997</v>
      </c>
      <c r="F72" s="3">
        <f t="shared" si="8"/>
        <v>22.403624999999995</v>
      </c>
      <c r="G72" s="3">
        <f t="shared" si="8"/>
        <v>0.37339374999999991</v>
      </c>
      <c r="H72" s="3">
        <f t="shared" si="9"/>
        <v>1.5558072916666664E-2</v>
      </c>
      <c r="I72" s="3">
        <f>IF(ISNA(MATCH(H72,关卡!$E$19:$E$2018,1)),0,MATCH(H72,关卡!$E$19:$E$2018,1))</f>
        <v>8</v>
      </c>
      <c r="J72" s="3">
        <f>VLOOKUP($I72,关卡!$A$17:$G$2018,6,0)</f>
        <v>1.4032193021440003</v>
      </c>
      <c r="K72" s="3">
        <f>VLOOKUP($I72,关卡!$A$17:$G$2018,7,0)</f>
        <v>5.4024096243199997</v>
      </c>
      <c r="L72" s="3">
        <f t="shared" si="10"/>
        <v>5051.589487718401</v>
      </c>
      <c r="M72" s="3">
        <f t="shared" si="11"/>
        <v>19448.674647551998</v>
      </c>
      <c r="N72" s="3">
        <f>INT(D72*J72*VLOOKUP(A72,经验产出!$I$7:$J$557,2,0))</f>
        <v>103</v>
      </c>
      <c r="O72" s="3">
        <f>SUM($N$24:N71)</f>
        <v>1663</v>
      </c>
      <c r="P72" s="3">
        <f>K72*VLOOKUP(A72,金币产出!$I$7:$J$557,2,0)</f>
        <v>6.5766006885116042</v>
      </c>
    </row>
    <row r="73" spans="1:16" x14ac:dyDescent="0.15">
      <c r="A73" s="3">
        <v>50</v>
      </c>
      <c r="B73" s="3">
        <f t="shared" si="5"/>
        <v>3</v>
      </c>
      <c r="C73" s="3">
        <f t="shared" si="6"/>
        <v>502.49999999999994</v>
      </c>
      <c r="D73" s="3">
        <f t="shared" si="7"/>
        <v>58.28249999999997</v>
      </c>
      <c r="E73" s="3">
        <f>SUM($D$24:D73)</f>
        <v>1402.4999999999998</v>
      </c>
      <c r="F73" s="3">
        <f t="shared" si="8"/>
        <v>23.374999999999996</v>
      </c>
      <c r="G73" s="3">
        <f t="shared" si="8"/>
        <v>0.38958333333333328</v>
      </c>
      <c r="H73" s="3">
        <f t="shared" si="9"/>
        <v>1.6232638888888887E-2</v>
      </c>
      <c r="I73" s="3">
        <f>IF(ISNA(MATCH(H73,关卡!$E$19:$E$2018,1)),0,MATCH(H73,关卡!$E$19:$E$2018,1))</f>
        <v>8</v>
      </c>
      <c r="J73" s="3">
        <f>VLOOKUP($I73,关卡!$A$17:$G$2018,6,0)</f>
        <v>1.4032193021440003</v>
      </c>
      <c r="K73" s="3">
        <f>VLOOKUP($I73,关卡!$A$17:$G$2018,7,0)</f>
        <v>5.4024096243199997</v>
      </c>
      <c r="L73" s="3">
        <f t="shared" si="10"/>
        <v>5051.589487718401</v>
      </c>
      <c r="M73" s="3">
        <f t="shared" si="11"/>
        <v>19448.674647551998</v>
      </c>
      <c r="N73" s="3">
        <f>INT(D73*J73*VLOOKUP(A73,经验产出!$I$7:$J$557,2,0))</f>
        <v>108</v>
      </c>
      <c r="O73" s="3">
        <f>SUM($N$24:N72)</f>
        <v>1766</v>
      </c>
      <c r="P73" s="3">
        <f>K73*VLOOKUP(A73,金币产出!$I$7:$J$557,2,0)</f>
        <v>6.6555088244727889</v>
      </c>
    </row>
    <row r="74" spans="1:16" x14ac:dyDescent="0.15">
      <c r="A74" s="3">
        <v>51</v>
      </c>
      <c r="B74" s="3">
        <f t="shared" si="5"/>
        <v>3</v>
      </c>
      <c r="C74" s="3">
        <f t="shared" si="6"/>
        <v>562.73249999999996</v>
      </c>
      <c r="D74" s="3">
        <f t="shared" si="7"/>
        <v>60.232500000000016</v>
      </c>
      <c r="E74" s="3">
        <f>SUM($D$24:D74)</f>
        <v>1462.7324999999998</v>
      </c>
      <c r="F74" s="3">
        <f t="shared" si="8"/>
        <v>24.378874999999997</v>
      </c>
      <c r="G74" s="3">
        <f t="shared" si="8"/>
        <v>0.40631458333333331</v>
      </c>
      <c r="H74" s="3">
        <f t="shared" si="9"/>
        <v>1.6929774305555555E-2</v>
      </c>
      <c r="I74" s="3">
        <f>IF(ISNA(MATCH(H74,关卡!$E$19:$E$2018,1)),0,MATCH(H74,关卡!$E$19:$E$2018,1))</f>
        <v>8</v>
      </c>
      <c r="J74" s="3">
        <f>VLOOKUP($I74,关卡!$A$17:$G$2018,6,0)</f>
        <v>1.4032193021440003</v>
      </c>
      <c r="K74" s="3">
        <f>VLOOKUP($I74,关卡!$A$17:$G$2018,7,0)</f>
        <v>5.4024096243199997</v>
      </c>
      <c r="L74" s="3">
        <f t="shared" si="10"/>
        <v>5051.589487718401</v>
      </c>
      <c r="M74" s="3">
        <f t="shared" si="11"/>
        <v>19448.674647551998</v>
      </c>
      <c r="N74" s="3">
        <f>INT(D74*J74*VLOOKUP(A74,经验产出!$I$7:$J$557,2,0))</f>
        <v>113</v>
      </c>
      <c r="O74" s="3">
        <f>SUM($N$24:N73)</f>
        <v>1874</v>
      </c>
      <c r="P74" s="3">
        <f>K74*VLOOKUP(A74,金币产出!$I$7:$J$557,2,0)</f>
        <v>6.7382518548386381</v>
      </c>
    </row>
    <row r="75" spans="1:16" x14ac:dyDescent="0.15">
      <c r="A75" s="3">
        <v>52</v>
      </c>
      <c r="B75" s="3">
        <f t="shared" si="5"/>
        <v>3</v>
      </c>
      <c r="C75" s="3">
        <f t="shared" si="6"/>
        <v>624.96</v>
      </c>
      <c r="D75" s="3">
        <f t="shared" si="7"/>
        <v>62.227500000000077</v>
      </c>
      <c r="E75" s="3">
        <f>SUM($D$24:D75)</f>
        <v>1524.96</v>
      </c>
      <c r="F75" s="3">
        <f t="shared" si="8"/>
        <v>25.416</v>
      </c>
      <c r="G75" s="3">
        <f t="shared" si="8"/>
        <v>0.42360000000000003</v>
      </c>
      <c r="H75" s="3">
        <f t="shared" si="9"/>
        <v>1.7650000000000002E-2</v>
      </c>
      <c r="I75" s="3">
        <f>IF(ISNA(MATCH(H75,关卡!$E$19:$E$2018,1)),0,MATCH(H75,关卡!$E$19:$E$2018,1))</f>
        <v>9</v>
      </c>
      <c r="J75" s="3">
        <f>VLOOKUP($I75,关卡!$A$17:$G$2018,6,0)</f>
        <v>1.4540775011149376</v>
      </c>
      <c r="K75" s="3">
        <f>VLOOKUP($I75,关卡!$A$17:$G$2018,7,0)</f>
        <v>5.4530512077059372</v>
      </c>
      <c r="L75" s="3">
        <f t="shared" si="10"/>
        <v>5234.6790040137757</v>
      </c>
      <c r="M75" s="3">
        <f t="shared" si="11"/>
        <v>19630.984347741374</v>
      </c>
      <c r="N75" s="3">
        <f>INT(D75*J75*VLOOKUP(A75,经验产出!$I$7:$J$557,2,0))</f>
        <v>123</v>
      </c>
      <c r="O75" s="3">
        <f>SUM($N$24:N74)</f>
        <v>1987</v>
      </c>
      <c r="P75" s="3">
        <f>K75*VLOOKUP(A75,金币产出!$I$7:$J$557,2,0)</f>
        <v>6.8889559224540076</v>
      </c>
    </row>
    <row r="76" spans="1:16" x14ac:dyDescent="0.15">
      <c r="A76" s="3">
        <v>53</v>
      </c>
      <c r="B76" s="3">
        <f t="shared" si="5"/>
        <v>3</v>
      </c>
      <c r="C76" s="3">
        <f t="shared" si="6"/>
        <v>689.22749999999985</v>
      </c>
      <c r="D76" s="3">
        <f t="shared" si="7"/>
        <v>64.267499999999814</v>
      </c>
      <c r="E76" s="3">
        <f>SUM($D$24:D76)</f>
        <v>1589.2275</v>
      </c>
      <c r="F76" s="3">
        <f t="shared" si="8"/>
        <v>26.487124999999999</v>
      </c>
      <c r="G76" s="3">
        <f t="shared" si="8"/>
        <v>0.4414520833333333</v>
      </c>
      <c r="H76" s="3">
        <f t="shared" si="9"/>
        <v>1.8393836805555553E-2</v>
      </c>
      <c r="I76" s="3">
        <f>IF(ISNA(MATCH(H76,关卡!$E$19:$E$2018,1)),0,MATCH(H76,关卡!$E$19:$E$2018,1))</f>
        <v>9</v>
      </c>
      <c r="J76" s="3">
        <f>VLOOKUP($I76,关卡!$A$17:$G$2018,6,0)</f>
        <v>1.4540775011149376</v>
      </c>
      <c r="K76" s="3">
        <f>VLOOKUP($I76,关卡!$A$17:$G$2018,7,0)</f>
        <v>5.4530512077059372</v>
      </c>
      <c r="L76" s="3">
        <f t="shared" si="10"/>
        <v>5234.6790040137757</v>
      </c>
      <c r="M76" s="3">
        <f t="shared" si="11"/>
        <v>19630.984347741374</v>
      </c>
      <c r="N76" s="3">
        <f>INT(D76*J76*VLOOKUP(A76,经验产出!$I$7:$J$557,2,0))</f>
        <v>130</v>
      </c>
      <c r="O76" s="3">
        <f>SUM($N$24:N75)</f>
        <v>2110</v>
      </c>
      <c r="P76" s="3">
        <f>K76*VLOOKUP(A76,金币产出!$I$7:$J$557,2,0)</f>
        <v>6.9806724351077909</v>
      </c>
    </row>
    <row r="77" spans="1:16" x14ac:dyDescent="0.15">
      <c r="A77" s="3">
        <v>54</v>
      </c>
      <c r="B77" s="3">
        <f t="shared" si="5"/>
        <v>3</v>
      </c>
      <c r="C77" s="3">
        <f t="shared" si="6"/>
        <v>755.57999999999993</v>
      </c>
      <c r="D77" s="3">
        <f t="shared" si="7"/>
        <v>66.352500000000077</v>
      </c>
      <c r="E77" s="3">
        <f>SUM($D$24:D77)</f>
        <v>1655.58</v>
      </c>
      <c r="F77" s="3">
        <f t="shared" si="8"/>
        <v>27.593</v>
      </c>
      <c r="G77" s="3">
        <f t="shared" si="8"/>
        <v>0.45988333333333331</v>
      </c>
      <c r="H77" s="3">
        <f t="shared" si="9"/>
        <v>1.9161805555555553E-2</v>
      </c>
      <c r="I77" s="3">
        <f>IF(ISNA(MATCH(H77,关卡!$E$19:$E$2018,1)),0,MATCH(H77,关卡!$E$19:$E$2018,1))</f>
        <v>10</v>
      </c>
      <c r="J77" s="3">
        <f>VLOOKUP($I77,关卡!$A$17:$G$2018,6,0)</f>
        <v>1.505037749375</v>
      </c>
      <c r="K77" s="3">
        <f>VLOOKUP($I77,关卡!$A$17:$G$2018,7,0)</f>
        <v>5.503768809374999</v>
      </c>
      <c r="L77" s="3">
        <f t="shared" si="10"/>
        <v>5418.1358977500004</v>
      </c>
      <c r="M77" s="3">
        <f t="shared" si="11"/>
        <v>19813.567713749995</v>
      </c>
      <c r="N77" s="3">
        <f>INT(D77*J77*VLOOKUP(A77,经验产出!$I$7:$J$557,2,0))</f>
        <v>141</v>
      </c>
      <c r="O77" s="3">
        <f>SUM($N$24:N76)</f>
        <v>2240</v>
      </c>
      <c r="P77" s="3">
        <f>K77*VLOOKUP(A77,金币产出!$I$7:$J$557,2,0)</f>
        <v>7.1425416028731066</v>
      </c>
    </row>
    <row r="78" spans="1:16" x14ac:dyDescent="0.15">
      <c r="A78" s="3">
        <v>55</v>
      </c>
      <c r="B78" s="3">
        <f t="shared" si="5"/>
        <v>3</v>
      </c>
      <c r="C78" s="3">
        <f t="shared" si="6"/>
        <v>824.06249999999989</v>
      </c>
      <c r="D78" s="3">
        <f t="shared" si="7"/>
        <v>68.482499999999959</v>
      </c>
      <c r="E78" s="3">
        <f>SUM($D$24:D78)</f>
        <v>1724.0625</v>
      </c>
      <c r="F78" s="3">
        <f t="shared" si="8"/>
        <v>28.734375</v>
      </c>
      <c r="G78" s="3">
        <f t="shared" si="8"/>
        <v>0.47890624999999998</v>
      </c>
      <c r="H78" s="3">
        <f t="shared" si="9"/>
        <v>1.9954427083333334E-2</v>
      </c>
      <c r="I78" s="3">
        <f>IF(ISNA(MATCH(H78,关卡!$E$19:$E$2018,1)),0,MATCH(H78,关卡!$E$19:$E$2018,1))</f>
        <v>10</v>
      </c>
      <c r="J78" s="3">
        <f>VLOOKUP($I78,关卡!$A$17:$G$2018,6,0)</f>
        <v>1.505037749375</v>
      </c>
      <c r="K78" s="3">
        <f>VLOOKUP($I78,关卡!$A$17:$G$2018,7,0)</f>
        <v>5.503768809374999</v>
      </c>
      <c r="L78" s="3">
        <f t="shared" si="10"/>
        <v>5418.1358977500004</v>
      </c>
      <c r="M78" s="3">
        <f t="shared" si="11"/>
        <v>19813.567713749995</v>
      </c>
      <c r="N78" s="3">
        <f>INT(D78*J78*VLOOKUP(A78,经验产出!$I$7:$J$557,2,0))</f>
        <v>148</v>
      </c>
      <c r="O78" s="3">
        <f>SUM($N$24:N77)</f>
        <v>2381</v>
      </c>
      <c r="P78" s="3">
        <f>K78*VLOOKUP(A78,金币产出!$I$7:$J$557,2,0)</f>
        <v>7.2440214670028196</v>
      </c>
    </row>
    <row r="79" spans="1:16" x14ac:dyDescent="0.15">
      <c r="A79" s="3">
        <v>56</v>
      </c>
      <c r="B79" s="3">
        <f t="shared" si="5"/>
        <v>3</v>
      </c>
      <c r="C79" s="3">
        <f t="shared" si="6"/>
        <v>894.71999999999991</v>
      </c>
      <c r="D79" s="3">
        <f t="shared" si="7"/>
        <v>70.657500000000027</v>
      </c>
      <c r="E79" s="3">
        <f>SUM($D$24:D79)</f>
        <v>1794.72</v>
      </c>
      <c r="F79" s="3">
        <f t="shared" si="8"/>
        <v>29.911999999999999</v>
      </c>
      <c r="G79" s="3">
        <f t="shared" si="8"/>
        <v>0.49853333333333333</v>
      </c>
      <c r="H79" s="3">
        <f t="shared" si="9"/>
        <v>2.0772222222222223E-2</v>
      </c>
      <c r="I79" s="3">
        <f>IF(ISNA(MATCH(H79,关卡!$E$19:$E$2018,1)),0,MATCH(H79,关卡!$E$19:$E$2018,1))</f>
        <v>10</v>
      </c>
      <c r="J79" s="3">
        <f>VLOOKUP($I79,关卡!$A$17:$G$2018,6,0)</f>
        <v>1.505037749375</v>
      </c>
      <c r="K79" s="3">
        <f>VLOOKUP($I79,关卡!$A$17:$G$2018,7,0)</f>
        <v>5.503768809374999</v>
      </c>
      <c r="L79" s="3">
        <f t="shared" si="10"/>
        <v>5418.1358977500004</v>
      </c>
      <c r="M79" s="3">
        <f t="shared" si="11"/>
        <v>19813.567713749995</v>
      </c>
      <c r="N79" s="3">
        <f>INT(D79*J79*VLOOKUP(A79,经验产出!$I$7:$J$557,2,0))</f>
        <v>156</v>
      </c>
      <c r="O79" s="3">
        <f>SUM($N$24:N78)</f>
        <v>2529</v>
      </c>
      <c r="P79" s="3">
        <f>K79*VLOOKUP(A79,金币产出!$I$7:$J$557,2,0)</f>
        <v>7.3502034402725762</v>
      </c>
    </row>
    <row r="80" spans="1:16" x14ac:dyDescent="0.15">
      <c r="A80" s="3">
        <v>57</v>
      </c>
      <c r="B80" s="3">
        <f t="shared" si="5"/>
        <v>3</v>
      </c>
      <c r="C80" s="3">
        <f t="shared" si="6"/>
        <v>967.59750000000008</v>
      </c>
      <c r="D80" s="3">
        <f t="shared" si="7"/>
        <v>72.877500000000168</v>
      </c>
      <c r="E80" s="3">
        <f>SUM($D$24:D80)</f>
        <v>1867.5975000000003</v>
      </c>
      <c r="F80" s="3">
        <f t="shared" si="8"/>
        <v>31.126625000000004</v>
      </c>
      <c r="G80" s="3">
        <f t="shared" si="8"/>
        <v>0.51877708333333339</v>
      </c>
      <c r="H80" s="3">
        <f t="shared" si="9"/>
        <v>2.1615711805555559E-2</v>
      </c>
      <c r="I80" s="3">
        <f>IF(ISNA(MATCH(H80,关卡!$E$19:$E$2018,1)),0,MATCH(H80,关卡!$E$19:$E$2018,1))</f>
        <v>11</v>
      </c>
      <c r="J80" s="3">
        <f>VLOOKUP($I80,关卡!$A$17:$G$2018,6,0)</f>
        <v>1.5561002776099377</v>
      </c>
      <c r="K80" s="3">
        <f>VLOOKUP($I80,关卡!$A$17:$G$2018,7,0)</f>
        <v>5.5545625431809373</v>
      </c>
      <c r="L80" s="3">
        <f t="shared" si="10"/>
        <v>5601.9609993957756</v>
      </c>
      <c r="M80" s="3">
        <f t="shared" si="11"/>
        <v>19996.425155451376</v>
      </c>
      <c r="N80" s="3">
        <f>INT(D80*J80*VLOOKUP(A80,经验产出!$I$7:$J$557,2,0))</f>
        <v>169</v>
      </c>
      <c r="O80" s="3">
        <f>SUM($N$24:N79)</f>
        <v>2685</v>
      </c>
      <c r="P80" s="3">
        <f>K80*VLOOKUP(A80,金币产出!$I$7:$J$557,2,0)</f>
        <v>7.5301158148685046</v>
      </c>
    </row>
    <row r="81" spans="1:16" x14ac:dyDescent="0.15">
      <c r="A81" s="3">
        <v>58</v>
      </c>
      <c r="B81" s="3">
        <f t="shared" si="5"/>
        <v>3</v>
      </c>
      <c r="C81" s="3">
        <f t="shared" si="6"/>
        <v>1042.74</v>
      </c>
      <c r="D81" s="3">
        <f t="shared" si="7"/>
        <v>75.142499999999927</v>
      </c>
      <c r="E81" s="3">
        <f>SUM($D$24:D81)</f>
        <v>1942.7400000000002</v>
      </c>
      <c r="F81" s="3">
        <f t="shared" si="8"/>
        <v>32.379000000000005</v>
      </c>
      <c r="G81" s="3">
        <f t="shared" si="8"/>
        <v>0.53965000000000007</v>
      </c>
      <c r="H81" s="3">
        <f t="shared" si="9"/>
        <v>2.2485416666666671E-2</v>
      </c>
      <c r="I81" s="3">
        <f>IF(ISNA(MATCH(H81,关卡!$E$19:$E$2018,1)),0,MATCH(H81,关卡!$E$19:$E$2018,1))</f>
        <v>11</v>
      </c>
      <c r="J81" s="3">
        <f>VLOOKUP($I81,关卡!$A$17:$G$2018,6,0)</f>
        <v>1.5561002776099377</v>
      </c>
      <c r="K81" s="3">
        <f>VLOOKUP($I81,关卡!$A$17:$G$2018,7,0)</f>
        <v>5.5545625431809373</v>
      </c>
      <c r="L81" s="3">
        <f t="shared" si="10"/>
        <v>5601.9609993957756</v>
      </c>
      <c r="M81" s="3">
        <f t="shared" si="11"/>
        <v>19996.425155451376</v>
      </c>
      <c r="N81" s="3">
        <f>INT(D81*J81*VLOOKUP(A81,经验产出!$I$7:$J$557,2,0))</f>
        <v>178</v>
      </c>
      <c r="O81" s="3">
        <f>SUM($N$24:N80)</f>
        <v>2854</v>
      </c>
      <c r="P81" s="3">
        <f>K81*VLOOKUP(A81,金币产出!$I$7:$J$557,2,0)</f>
        <v>7.6472840964039719</v>
      </c>
    </row>
    <row r="82" spans="1:16" x14ac:dyDescent="0.15">
      <c r="A82" s="3">
        <v>59</v>
      </c>
      <c r="B82" s="3">
        <f t="shared" si="5"/>
        <v>3</v>
      </c>
      <c r="C82" s="3">
        <f t="shared" si="6"/>
        <v>1120.1924999999999</v>
      </c>
      <c r="D82" s="3">
        <f t="shared" si="7"/>
        <v>77.452499999999873</v>
      </c>
      <c r="E82" s="3">
        <f>SUM($D$24:D82)</f>
        <v>2020.1925000000001</v>
      </c>
      <c r="F82" s="3">
        <f t="shared" si="8"/>
        <v>33.669875000000005</v>
      </c>
      <c r="G82" s="3">
        <f t="shared" si="8"/>
        <v>0.56116458333333341</v>
      </c>
      <c r="H82" s="3">
        <f t="shared" si="9"/>
        <v>2.3381857638888892E-2</v>
      </c>
      <c r="I82" s="3">
        <f>IF(ISNA(MATCH(H82,关卡!$E$19:$E$2018,1)),0,MATCH(H82,关卡!$E$19:$E$2018,1))</f>
        <v>12</v>
      </c>
      <c r="J82" s="3">
        <f>VLOOKUP($I82,关卡!$A$17:$G$2018,6,0)</f>
        <v>1.6072653171040001</v>
      </c>
      <c r="K82" s="3">
        <f>VLOOKUP($I82,关卡!$A$17:$G$2018,7,0)</f>
        <v>5.6054325231200002</v>
      </c>
      <c r="L82" s="3">
        <f t="shared" si="10"/>
        <v>5786.1551415743997</v>
      </c>
      <c r="M82" s="3">
        <f t="shared" si="11"/>
        <v>20179.557083232001</v>
      </c>
      <c r="N82" s="3">
        <f>INT(D82*J82*VLOOKUP(A82,经验产出!$I$7:$J$557,2,0))</f>
        <v>194</v>
      </c>
      <c r="O82" s="3">
        <f>SUM($N$24:N81)</f>
        <v>3032</v>
      </c>
      <c r="P82" s="3">
        <f>K82*VLOOKUP(A82,金币产出!$I$7:$J$557,2,0)</f>
        <v>7.8408769065132624</v>
      </c>
    </row>
    <row r="83" spans="1:16" x14ac:dyDescent="0.15">
      <c r="A83" s="3">
        <v>60</v>
      </c>
      <c r="B83" s="3">
        <f t="shared" si="5"/>
        <v>3</v>
      </c>
      <c r="C83" s="3">
        <f t="shared" si="6"/>
        <v>1200</v>
      </c>
      <c r="D83" s="3">
        <f t="shared" si="7"/>
        <v>79.807500000000118</v>
      </c>
      <c r="E83" s="3">
        <f>SUM($D$24:D83)</f>
        <v>2100</v>
      </c>
      <c r="F83" s="3">
        <f t="shared" si="8"/>
        <v>35</v>
      </c>
      <c r="G83" s="3">
        <f t="shared" si="8"/>
        <v>0.58333333333333337</v>
      </c>
      <c r="H83" s="3">
        <f t="shared" si="9"/>
        <v>2.4305555555555556E-2</v>
      </c>
      <c r="I83" s="3">
        <f>IF(ISNA(MATCH(H83,关卡!$E$19:$E$2018,1)),0,MATCH(H83,关卡!$E$19:$E$2018,1))</f>
        <v>12</v>
      </c>
      <c r="J83" s="3">
        <f>VLOOKUP($I83,关卡!$A$17:$G$2018,6,0)</f>
        <v>1.6072653171040001</v>
      </c>
      <c r="K83" s="3">
        <f>VLOOKUP($I83,关卡!$A$17:$G$2018,7,0)</f>
        <v>5.6054325231200002</v>
      </c>
      <c r="L83" s="3">
        <f t="shared" si="10"/>
        <v>5786.1551415743997</v>
      </c>
      <c r="M83" s="3">
        <f t="shared" si="11"/>
        <v>20179.557083232001</v>
      </c>
      <c r="N83" s="3">
        <f>INT(D83*J83*VLOOKUP(A83,经验产出!$I$7:$J$557,2,0))</f>
        <v>204</v>
      </c>
      <c r="O83" s="3">
        <f>SUM($N$24:N82)</f>
        <v>3226</v>
      </c>
      <c r="P83" s="3">
        <f>K83*VLOOKUP(A83,金币产出!$I$7:$J$557,2,0)</f>
        <v>7.9699324192006715</v>
      </c>
    </row>
    <row r="84" spans="1:16" x14ac:dyDescent="0.15">
      <c r="A84" s="3">
        <v>61</v>
      </c>
      <c r="B84" s="3">
        <f t="shared" si="5"/>
        <v>4</v>
      </c>
      <c r="C84" s="3">
        <f t="shared" si="6"/>
        <v>81.45</v>
      </c>
      <c r="D84" s="3">
        <f t="shared" si="7"/>
        <v>81.45</v>
      </c>
      <c r="E84" s="3">
        <f>SUM($D$24:D84)</f>
        <v>2181.4499999999998</v>
      </c>
      <c r="F84" s="3">
        <f t="shared" si="8"/>
        <v>36.357499999999995</v>
      </c>
      <c r="G84" s="3">
        <f t="shared" si="8"/>
        <v>0.60595833333333327</v>
      </c>
      <c r="H84" s="3">
        <f t="shared" si="9"/>
        <v>2.5248263888888886E-2</v>
      </c>
      <c r="I84" s="3">
        <f>IF(ISNA(MATCH(H84,关卡!$E$19:$E$2018,1)),0,MATCH(H84,关卡!$E$19:$E$2018,1))</f>
        <v>13</v>
      </c>
      <c r="J84" s="3">
        <f>VLOOKUP($I84,关卡!$A$17:$G$2018,6,0)</f>
        <v>1.6585330997399375</v>
      </c>
      <c r="K84" s="3">
        <f>VLOOKUP($I84,关卡!$A$17:$G$2018,7,0)</f>
        <v>5.6563788633309384</v>
      </c>
      <c r="L84" s="3">
        <f t="shared" si="10"/>
        <v>5970.7191590637749</v>
      </c>
      <c r="M84" s="3">
        <f t="shared" si="11"/>
        <v>20362.963907991376</v>
      </c>
      <c r="N84" s="3">
        <f>INT(D84*J84*VLOOKUP(A84,经验产出!$I$7:$J$557,2,0))</f>
        <v>219</v>
      </c>
      <c r="O84" s="3">
        <f>SUM($N$24:N83)</f>
        <v>3430</v>
      </c>
      <c r="P84" s="3">
        <f>K84*VLOOKUP(A84,金币产出!$I$7:$J$557,2,0)</f>
        <v>8.1783333986287836</v>
      </c>
    </row>
    <row r="85" spans="1:16" x14ac:dyDescent="0.15">
      <c r="A85" s="3">
        <v>62</v>
      </c>
      <c r="B85" s="3">
        <f t="shared" si="5"/>
        <v>4</v>
      </c>
      <c r="C85" s="3">
        <f t="shared" si="6"/>
        <v>163.80000000000001</v>
      </c>
      <c r="D85" s="3">
        <f t="shared" si="7"/>
        <v>82.350000000000009</v>
      </c>
      <c r="E85" s="3">
        <f>SUM($D$24:D85)</f>
        <v>2263.7999999999997</v>
      </c>
      <c r="F85" s="3">
        <f t="shared" si="8"/>
        <v>37.729999999999997</v>
      </c>
      <c r="G85" s="3">
        <f t="shared" si="8"/>
        <v>0.62883333333333324</v>
      </c>
      <c r="H85" s="3">
        <f t="shared" si="9"/>
        <v>2.6201388888888885E-2</v>
      </c>
      <c r="I85" s="3">
        <f>IF(ISNA(MATCH(H85,关卡!$E$19:$E$2018,1)),0,MATCH(H85,关卡!$E$19:$E$2018,1))</f>
        <v>13</v>
      </c>
      <c r="J85" s="3">
        <f>VLOOKUP($I85,关卡!$A$17:$G$2018,6,0)</f>
        <v>1.6585330997399375</v>
      </c>
      <c r="K85" s="3">
        <f>VLOOKUP($I85,关卡!$A$17:$G$2018,7,0)</f>
        <v>5.6563788633309384</v>
      </c>
      <c r="L85" s="3">
        <f t="shared" si="10"/>
        <v>5970.7191590637749</v>
      </c>
      <c r="M85" s="3">
        <f t="shared" si="11"/>
        <v>20362.963907991376</v>
      </c>
      <c r="N85" s="3">
        <f>INT(D85*J85*VLOOKUP(A85,经验产出!$I$7:$J$557,2,0))</f>
        <v>226</v>
      </c>
      <c r="O85" s="3">
        <f>SUM($N$24:N84)</f>
        <v>3649</v>
      </c>
      <c r="P85" s="3">
        <f>K85*VLOOKUP(A85,金币产出!$I$7:$J$557,2,0)</f>
        <v>8.3202245381690858</v>
      </c>
    </row>
    <row r="86" spans="1:16" x14ac:dyDescent="0.15">
      <c r="A86" s="3">
        <v>63</v>
      </c>
      <c r="B86" s="3">
        <f t="shared" si="5"/>
        <v>4</v>
      </c>
      <c r="C86" s="3">
        <f t="shared" si="6"/>
        <v>247.05</v>
      </c>
      <c r="D86" s="3">
        <f t="shared" si="7"/>
        <v>83.25</v>
      </c>
      <c r="E86" s="3">
        <f>SUM($D$24:D86)</f>
        <v>2347.0499999999997</v>
      </c>
      <c r="F86" s="3">
        <f t="shared" si="8"/>
        <v>39.117499999999993</v>
      </c>
      <c r="G86" s="3">
        <f t="shared" si="8"/>
        <v>0.6519583333333332</v>
      </c>
      <c r="H86" s="3">
        <f t="shared" si="9"/>
        <v>2.716493055555555E-2</v>
      </c>
      <c r="I86" s="3">
        <f>IF(ISNA(MATCH(H86,关卡!$E$19:$E$2018,1)),0,MATCH(H86,关卡!$E$19:$E$2018,1))</f>
        <v>14</v>
      </c>
      <c r="J86" s="3">
        <f>VLOOKUP($I86,关卡!$A$17:$G$2018,6,0)</f>
        <v>1.709903857999</v>
      </c>
      <c r="K86" s="3">
        <f>VLOOKUP($I86,关卡!$A$17:$G$2018,7,0)</f>
        <v>5.7074016780950005</v>
      </c>
      <c r="L86" s="3">
        <f t="shared" si="10"/>
        <v>6155.6538887964007</v>
      </c>
      <c r="M86" s="3">
        <f t="shared" si="11"/>
        <v>20546.646041142005</v>
      </c>
      <c r="N86" s="3">
        <f>INT(D86*J86*VLOOKUP(A86,经验产出!$I$7:$J$557,2,0))</f>
        <v>241</v>
      </c>
      <c r="O86" s="3">
        <f>SUM($N$24:N85)</f>
        <v>3875</v>
      </c>
      <c r="P86" s="3">
        <f>K86*VLOOKUP(A86,金币产出!$I$7:$J$557,2,0)</f>
        <v>8.5446238539280532</v>
      </c>
    </row>
    <row r="87" spans="1:16" x14ac:dyDescent="0.15">
      <c r="A87" s="3">
        <v>64</v>
      </c>
      <c r="B87" s="3">
        <f t="shared" si="5"/>
        <v>4</v>
      </c>
      <c r="C87" s="3">
        <f t="shared" si="6"/>
        <v>331.20000000000005</v>
      </c>
      <c r="D87" s="3">
        <f t="shared" si="7"/>
        <v>84.150000000000034</v>
      </c>
      <c r="E87" s="3">
        <f>SUM($D$24:D87)</f>
        <v>2431.1999999999998</v>
      </c>
      <c r="F87" s="3">
        <f t="shared" si="8"/>
        <v>40.519999999999996</v>
      </c>
      <c r="G87" s="3">
        <f t="shared" si="8"/>
        <v>0.67533333333333323</v>
      </c>
      <c r="H87" s="3">
        <f t="shared" si="9"/>
        <v>2.8138888888888883E-2</v>
      </c>
      <c r="I87" s="3">
        <f>IF(ISNA(MATCH(H87,关卡!$E$19:$E$2018,1)),0,MATCH(H87,关卡!$E$19:$E$2018,1))</f>
        <v>14</v>
      </c>
      <c r="J87" s="3">
        <f>VLOOKUP($I87,关卡!$A$17:$G$2018,6,0)</f>
        <v>1.709903857999</v>
      </c>
      <c r="K87" s="3">
        <f>VLOOKUP($I87,关卡!$A$17:$G$2018,7,0)</f>
        <v>5.7074016780950005</v>
      </c>
      <c r="L87" s="3">
        <f t="shared" si="10"/>
        <v>6155.6538887964007</v>
      </c>
      <c r="M87" s="3">
        <f t="shared" si="11"/>
        <v>20546.646041142005</v>
      </c>
      <c r="N87" s="3">
        <f>INT(D87*J87*VLOOKUP(A87,经验产出!$I$7:$J$557,2,0))</f>
        <v>249</v>
      </c>
      <c r="O87" s="3">
        <f>SUM($N$24:N86)</f>
        <v>4116</v>
      </c>
      <c r="P87" s="3">
        <f>K87*VLOOKUP(A87,金币产出!$I$7:$J$557,2,0)</f>
        <v>8.7003475416376066</v>
      </c>
    </row>
    <row r="88" spans="1:16" x14ac:dyDescent="0.15">
      <c r="A88" s="3">
        <v>65</v>
      </c>
      <c r="B88" s="3">
        <f t="shared" si="5"/>
        <v>4</v>
      </c>
      <c r="C88" s="3">
        <f t="shared" si="6"/>
        <v>416.25</v>
      </c>
      <c r="D88" s="3">
        <f t="shared" si="7"/>
        <v>85.049999999999955</v>
      </c>
      <c r="E88" s="3">
        <f>SUM($D$24:D88)</f>
        <v>2516.25</v>
      </c>
      <c r="F88" s="3">
        <f t="shared" si="8"/>
        <v>41.9375</v>
      </c>
      <c r="G88" s="3">
        <f t="shared" si="8"/>
        <v>0.69895833333333335</v>
      </c>
      <c r="H88" s="3">
        <f t="shared" si="9"/>
        <v>2.912326388888889E-2</v>
      </c>
      <c r="I88" s="3">
        <f>IF(ISNA(MATCH(H88,关卡!$E$19:$E$2018,1)),0,MATCH(H88,关卡!$E$19:$E$2018,1))</f>
        <v>14</v>
      </c>
      <c r="J88" s="3">
        <f>VLOOKUP($I88,关卡!$A$17:$G$2018,6,0)</f>
        <v>1.709903857999</v>
      </c>
      <c r="K88" s="3">
        <f>VLOOKUP($I88,关卡!$A$17:$G$2018,7,0)</f>
        <v>5.7074016780950005</v>
      </c>
      <c r="L88" s="3">
        <f t="shared" si="10"/>
        <v>6155.6538887964007</v>
      </c>
      <c r="M88" s="3">
        <f t="shared" si="11"/>
        <v>20546.646041142005</v>
      </c>
      <c r="N88" s="3">
        <f>INT(D88*J88*VLOOKUP(A88,经验产出!$I$7:$J$557,2,0))</f>
        <v>258</v>
      </c>
      <c r="O88" s="3">
        <f>SUM($N$24:N87)</f>
        <v>4365</v>
      </c>
      <c r="P88" s="3">
        <f>K88*VLOOKUP(A88,金币产出!$I$7:$J$557,2,0)</f>
        <v>8.8626505104822382</v>
      </c>
    </row>
    <row r="89" spans="1:16" x14ac:dyDescent="0.15">
      <c r="A89" s="3">
        <v>66</v>
      </c>
      <c r="B89" s="3">
        <f t="shared" ref="B89:B152" si="12">MATCH($A89,$A$3:$A$20,1)-1</f>
        <v>4</v>
      </c>
      <c r="C89" s="3">
        <f t="shared" ref="C89:C152" si="13">INDEX($C$3:$C$20,$B89+1)*(INDEX($D$3:$D$20,$B89+1)+INDEX($E$3:$E$20,$B89+1)*(($A89-INDEX($A$3:$A$20,$B89+1)+1)/(INDEX($B$3:$B$20,B89+1)-INDEX($A$3:$A$20,$B89+1)+1))^1+INDEX($F$3:$F$20,$B89+1)*(($A89-INDEX($A$3:$A$20,$B89+1)+1)/(INDEX($B$3:$B$20,B89+1)-INDEX($A$3:$A$20,$B89+1)+1))^2+INDEX($G$3:$G$20,$B89+1)*(($A89-INDEX($A$3:$A$20,$B89+1)+1)/(INDEX($B$3:$B$20,$B89+1)-INDEX($A$3:$A$20,$B89+1)+1))^3+INDEX($H$3:$H$20,$B89+1)*(($A89-INDEX($A$3:$A$20,$B89+1)+1)/(INDEX($B$3:$B$20,$B89+1)-INDEX($A$3:$A$20,$B89+1)+1))^4)</f>
        <v>502.20000000000005</v>
      </c>
      <c r="D89" s="3">
        <f t="shared" ref="D89:D152" si="14">IF(ISNA(MATCH(A89,$A$4:$A$20,0)),C89-C88,C89)</f>
        <v>85.950000000000045</v>
      </c>
      <c r="E89" s="3">
        <f>SUM($D$24:D89)</f>
        <v>2602.1999999999998</v>
      </c>
      <c r="F89" s="3">
        <f t="shared" ref="F89:G152" si="15">E89/60</f>
        <v>43.37</v>
      </c>
      <c r="G89" s="3">
        <f t="shared" si="15"/>
        <v>0.72283333333333333</v>
      </c>
      <c r="H89" s="3">
        <f t="shared" ref="H89:H152" si="16">G89/24</f>
        <v>3.0118055555555554E-2</v>
      </c>
      <c r="I89" s="3">
        <f>IF(ISNA(MATCH(H89,关卡!$E$19:$E$2018,1)),0,MATCH(H89,关卡!$E$19:$E$2018,1))</f>
        <v>15</v>
      </c>
      <c r="J89" s="3">
        <f>VLOOKUP($I89,关卡!$A$17:$G$2018,6,0)</f>
        <v>1.7613778249609373</v>
      </c>
      <c r="K89" s="3">
        <f>VLOOKUP($I89,关卡!$A$17:$G$2018,7,0)</f>
        <v>5.7585010818359361</v>
      </c>
      <c r="L89" s="3">
        <f t="shared" ref="L89:L152" si="17">J89*60*60</f>
        <v>6340.9601698593742</v>
      </c>
      <c r="M89" s="3">
        <f t="shared" ref="M89:M152" si="18">K89*60*60</f>
        <v>20730.603894609372</v>
      </c>
      <c r="N89" s="3">
        <f>INT(D89*J89*VLOOKUP(A89,经验产出!$I$7:$J$557,2,0))</f>
        <v>275</v>
      </c>
      <c r="O89" s="3">
        <f>SUM($N$24:N88)</f>
        <v>4623</v>
      </c>
      <c r="P89" s="3">
        <f>K89*VLOOKUP(A89,金币产出!$I$7:$J$557,2,0)</f>
        <v>9.1126021695283779</v>
      </c>
    </row>
    <row r="90" spans="1:16" x14ac:dyDescent="0.15">
      <c r="A90" s="3">
        <v>67</v>
      </c>
      <c r="B90" s="3">
        <f t="shared" si="12"/>
        <v>4</v>
      </c>
      <c r="C90" s="3">
        <f t="shared" si="13"/>
        <v>589.04999999999995</v>
      </c>
      <c r="D90" s="3">
        <f t="shared" si="14"/>
        <v>86.849999999999909</v>
      </c>
      <c r="E90" s="3">
        <f>SUM($D$24:D90)</f>
        <v>2689.0499999999997</v>
      </c>
      <c r="F90" s="3">
        <f t="shared" si="15"/>
        <v>44.817499999999995</v>
      </c>
      <c r="G90" s="3">
        <f t="shared" si="15"/>
        <v>0.74695833333333328</v>
      </c>
      <c r="H90" s="3">
        <f t="shared" si="16"/>
        <v>3.1123263888888888E-2</v>
      </c>
      <c r="I90" s="3">
        <f>IF(ISNA(MATCH(H90,关卡!$E$19:$E$2018,1)),0,MATCH(H90,关卡!$E$19:$E$2018,1))</f>
        <v>15</v>
      </c>
      <c r="J90" s="3">
        <f>VLOOKUP($I90,关卡!$A$17:$G$2018,6,0)</f>
        <v>1.7613778249609373</v>
      </c>
      <c r="K90" s="3">
        <f>VLOOKUP($I90,关卡!$A$17:$G$2018,7,0)</f>
        <v>5.7585010818359361</v>
      </c>
      <c r="L90" s="3">
        <f t="shared" si="17"/>
        <v>6340.9601698593742</v>
      </c>
      <c r="M90" s="3">
        <f t="shared" si="18"/>
        <v>20730.603894609372</v>
      </c>
      <c r="N90" s="3">
        <f>INT(D90*J90*VLOOKUP(A90,经验产出!$I$7:$J$557,2,0))</f>
        <v>284</v>
      </c>
      <c r="O90" s="3">
        <f>SUM($N$24:N89)</f>
        <v>4898</v>
      </c>
      <c r="P90" s="3">
        <f>K90*VLOOKUP(A90,金币产出!$I$7:$J$557,2,0)</f>
        <v>9.2902635112160468</v>
      </c>
    </row>
    <row r="91" spans="1:16" x14ac:dyDescent="0.15">
      <c r="A91" s="3">
        <v>68</v>
      </c>
      <c r="B91" s="3">
        <f t="shared" si="12"/>
        <v>4</v>
      </c>
      <c r="C91" s="3">
        <f t="shared" si="13"/>
        <v>676.80000000000007</v>
      </c>
      <c r="D91" s="3">
        <f t="shared" si="14"/>
        <v>87.750000000000114</v>
      </c>
      <c r="E91" s="3">
        <f>SUM($D$24:D91)</f>
        <v>2776.7999999999997</v>
      </c>
      <c r="F91" s="3">
        <f t="shared" si="15"/>
        <v>46.279999999999994</v>
      </c>
      <c r="G91" s="3">
        <f t="shared" si="15"/>
        <v>0.7713333333333332</v>
      </c>
      <c r="H91" s="3">
        <f t="shared" si="16"/>
        <v>3.2138888888888884E-2</v>
      </c>
      <c r="I91" s="3">
        <f>IF(ISNA(MATCH(H91,关卡!$E$19:$E$2018,1)),0,MATCH(H91,关卡!$E$19:$E$2018,1))</f>
        <v>16</v>
      </c>
      <c r="J91" s="3">
        <f>VLOOKUP($I91,关卡!$A$17:$G$2018,6,0)</f>
        <v>1.8129552343040001</v>
      </c>
      <c r="K91" s="3">
        <f>VLOOKUP($I91,关卡!$A$17:$G$2018,7,0)</f>
        <v>5.8096771891200012</v>
      </c>
      <c r="L91" s="3">
        <f t="shared" si="17"/>
        <v>6526.6388434944001</v>
      </c>
      <c r="M91" s="3">
        <f t="shared" si="18"/>
        <v>20914.837880832005</v>
      </c>
      <c r="N91" s="3">
        <f>INT(D91*J91*VLOOKUP(A91,经验产出!$I$7:$J$557,2,0))</f>
        <v>303</v>
      </c>
      <c r="O91" s="3">
        <f>SUM($N$24:N90)</f>
        <v>5182</v>
      </c>
      <c r="P91" s="3">
        <f>K91*VLOOKUP(A91,金币产出!$I$7:$J$557,2,0)</f>
        <v>9.5594055179393447</v>
      </c>
    </row>
    <row r="92" spans="1:16" x14ac:dyDescent="0.15">
      <c r="A92" s="3">
        <v>69</v>
      </c>
      <c r="B92" s="3">
        <f t="shared" si="12"/>
        <v>4</v>
      </c>
      <c r="C92" s="3">
        <f t="shared" si="13"/>
        <v>765.45</v>
      </c>
      <c r="D92" s="3">
        <f t="shared" si="14"/>
        <v>88.649999999999977</v>
      </c>
      <c r="E92" s="3">
        <f>SUM($D$24:D92)</f>
        <v>2865.45</v>
      </c>
      <c r="F92" s="3">
        <f t="shared" si="15"/>
        <v>47.7575</v>
      </c>
      <c r="G92" s="3">
        <f t="shared" si="15"/>
        <v>0.79595833333333332</v>
      </c>
      <c r="H92" s="3">
        <f t="shared" si="16"/>
        <v>3.3164930555555555E-2</v>
      </c>
      <c r="I92" s="3">
        <f>IF(ISNA(MATCH(H92,关卡!$E$19:$E$2018,1)),0,MATCH(H92,关卡!$E$19:$E$2018,1))</f>
        <v>16</v>
      </c>
      <c r="J92" s="3">
        <f>VLOOKUP($I92,关卡!$A$17:$G$2018,6,0)</f>
        <v>1.8129552343040001</v>
      </c>
      <c r="K92" s="3">
        <f>VLOOKUP($I92,关卡!$A$17:$G$2018,7,0)</f>
        <v>5.8096771891200012</v>
      </c>
      <c r="L92" s="3">
        <f t="shared" si="17"/>
        <v>6526.6388434944001</v>
      </c>
      <c r="M92" s="3">
        <f t="shared" si="18"/>
        <v>20914.837880832005</v>
      </c>
      <c r="N92" s="3">
        <f>INT(D92*J92*VLOOKUP(A92,经验产出!$I$7:$J$557,2,0))</f>
        <v>313</v>
      </c>
      <c r="O92" s="3">
        <f>SUM($N$24:N91)</f>
        <v>5485</v>
      </c>
      <c r="P92" s="3">
        <f>K92*VLOOKUP(A92,金币产出!$I$7:$J$557,2,0)</f>
        <v>9.753544078257919</v>
      </c>
    </row>
    <row r="93" spans="1:16" x14ac:dyDescent="0.15">
      <c r="A93" s="3">
        <v>70</v>
      </c>
      <c r="B93" s="3">
        <f t="shared" si="12"/>
        <v>4</v>
      </c>
      <c r="C93" s="3">
        <f t="shared" si="13"/>
        <v>855.00000000000011</v>
      </c>
      <c r="D93" s="3">
        <f t="shared" si="14"/>
        <v>89.550000000000068</v>
      </c>
      <c r="E93" s="3">
        <f>SUM($D$24:D93)</f>
        <v>2955</v>
      </c>
      <c r="F93" s="3">
        <f t="shared" si="15"/>
        <v>49.25</v>
      </c>
      <c r="G93" s="3">
        <f t="shared" si="15"/>
        <v>0.8208333333333333</v>
      </c>
      <c r="H93" s="3">
        <f t="shared" si="16"/>
        <v>3.4201388888888885E-2</v>
      </c>
      <c r="I93" s="3">
        <f>IF(ISNA(MATCH(H93,关卡!$E$19:$E$2018,1)),0,MATCH(H93,关卡!$E$19:$E$2018,1))</f>
        <v>17</v>
      </c>
      <c r="J93" s="3">
        <f>VLOOKUP($I93,关卡!$A$17:$G$2018,6,0)</f>
        <v>1.8646363203049376</v>
      </c>
      <c r="K93" s="3">
        <f>VLOOKUP($I93,关卡!$A$17:$G$2018,7,0)</f>
        <v>5.8609301146559387</v>
      </c>
      <c r="L93" s="3">
        <f t="shared" si="17"/>
        <v>6712.6907530977751</v>
      </c>
      <c r="M93" s="3">
        <f t="shared" si="18"/>
        <v>21099.348412761377</v>
      </c>
      <c r="N93" s="3">
        <f>INT(D93*J93*VLOOKUP(A93,经验产出!$I$7:$J$557,2,0))</f>
        <v>334</v>
      </c>
      <c r="O93" s="3">
        <f>SUM($N$24:N92)</f>
        <v>5798</v>
      </c>
      <c r="P93" s="3">
        <f>K93*VLOOKUP(A93,金币产出!$I$7:$J$557,2,0)</f>
        <v>10.043293755576869</v>
      </c>
    </row>
    <row r="94" spans="1:16" x14ac:dyDescent="0.15">
      <c r="A94" s="3">
        <v>71</v>
      </c>
      <c r="B94" s="3">
        <f t="shared" si="12"/>
        <v>4</v>
      </c>
      <c r="C94" s="3">
        <f t="shared" si="13"/>
        <v>945.45000000000016</v>
      </c>
      <c r="D94" s="3">
        <f t="shared" si="14"/>
        <v>90.450000000000045</v>
      </c>
      <c r="E94" s="3">
        <f>SUM($D$24:D94)</f>
        <v>3045.45</v>
      </c>
      <c r="F94" s="3">
        <f t="shared" si="15"/>
        <v>50.7575</v>
      </c>
      <c r="G94" s="3">
        <f t="shared" si="15"/>
        <v>0.84595833333333337</v>
      </c>
      <c r="H94" s="3">
        <f t="shared" si="16"/>
        <v>3.5248263888888888E-2</v>
      </c>
      <c r="I94" s="3">
        <f>IF(ISNA(MATCH(H94,关卡!$E$19:$E$2018,1)),0,MATCH(H94,关卡!$E$19:$E$2018,1))</f>
        <v>17</v>
      </c>
      <c r="J94" s="3">
        <f>VLOOKUP($I94,关卡!$A$17:$G$2018,6,0)</f>
        <v>1.8646363203049376</v>
      </c>
      <c r="K94" s="3">
        <f>VLOOKUP($I94,关卡!$A$17:$G$2018,7,0)</f>
        <v>5.8609301146559387</v>
      </c>
      <c r="L94" s="3">
        <f t="shared" si="17"/>
        <v>6712.6907530977751</v>
      </c>
      <c r="M94" s="3">
        <f t="shared" si="18"/>
        <v>21099.348412761377</v>
      </c>
      <c r="N94" s="3">
        <f>INT(D94*J94*VLOOKUP(A94,经验产出!$I$7:$J$557,2,0))</f>
        <v>346</v>
      </c>
      <c r="O94" s="3">
        <f>SUM($N$24:N93)</f>
        <v>6132</v>
      </c>
      <c r="P94" s="3">
        <f>K94*VLOOKUP(A94,金币产出!$I$7:$J$557,2,0)</f>
        <v>10.255080478772278</v>
      </c>
    </row>
    <row r="95" spans="1:16" x14ac:dyDescent="0.15">
      <c r="A95" s="3">
        <v>72</v>
      </c>
      <c r="B95" s="3">
        <f t="shared" si="12"/>
        <v>4</v>
      </c>
      <c r="C95" s="3">
        <f t="shared" si="13"/>
        <v>1036.8000000000002</v>
      </c>
      <c r="D95" s="3">
        <f t="shared" si="14"/>
        <v>91.350000000000023</v>
      </c>
      <c r="E95" s="3">
        <f>SUM($D$24:D95)</f>
        <v>3136.7999999999997</v>
      </c>
      <c r="F95" s="3">
        <f t="shared" si="15"/>
        <v>52.279999999999994</v>
      </c>
      <c r="G95" s="3">
        <f t="shared" si="15"/>
        <v>0.87133333333333318</v>
      </c>
      <c r="H95" s="3">
        <f t="shared" si="16"/>
        <v>3.6305555555555549E-2</v>
      </c>
      <c r="I95" s="3">
        <f>IF(ISNA(MATCH(H95,关卡!$E$19:$E$2018,1)),0,MATCH(H95,关卡!$E$19:$E$2018,1))</f>
        <v>18</v>
      </c>
      <c r="J95" s="3">
        <f>VLOOKUP($I95,关卡!$A$17:$G$2018,6,0)</f>
        <v>1.9164213178390002</v>
      </c>
      <c r="K95" s="3">
        <f>VLOOKUP($I95,关卡!$A$17:$G$2018,7,0)</f>
        <v>5.9122599732949999</v>
      </c>
      <c r="L95" s="3">
        <f t="shared" si="17"/>
        <v>6899.1167442204005</v>
      </c>
      <c r="M95" s="3">
        <f t="shared" si="18"/>
        <v>21284.135903861999</v>
      </c>
      <c r="N95" s="3">
        <f>INT(D95*J95*VLOOKUP(A95,经验产出!$I$7:$J$557,2,0))</f>
        <v>368</v>
      </c>
      <c r="O95" s="3">
        <f>SUM($N$24:N94)</f>
        <v>6478</v>
      </c>
      <c r="P95" s="3">
        <f>K95*VLOOKUP(A95,金币产出!$I$7:$J$557,2,0)</f>
        <v>10.566924852079579</v>
      </c>
    </row>
    <row r="96" spans="1:16" x14ac:dyDescent="0.15">
      <c r="A96" s="3">
        <v>73</v>
      </c>
      <c r="B96" s="3">
        <f t="shared" si="12"/>
        <v>4</v>
      </c>
      <c r="C96" s="3">
        <f t="shared" si="13"/>
        <v>1129.0500000000002</v>
      </c>
      <c r="D96" s="3">
        <f t="shared" si="14"/>
        <v>92.25</v>
      </c>
      <c r="E96" s="3">
        <f>SUM($D$24:D96)</f>
        <v>3229.0499999999997</v>
      </c>
      <c r="F96" s="3">
        <f t="shared" si="15"/>
        <v>53.817499999999995</v>
      </c>
      <c r="G96" s="3">
        <f t="shared" si="15"/>
        <v>0.8969583333333333</v>
      </c>
      <c r="H96" s="3">
        <f t="shared" si="16"/>
        <v>3.737326388888889E-2</v>
      </c>
      <c r="I96" s="3">
        <f>IF(ISNA(MATCH(H96,关卡!$E$19:$E$2018,1)),0,MATCH(H96,关卡!$E$19:$E$2018,1))</f>
        <v>18</v>
      </c>
      <c r="J96" s="3">
        <f>VLOOKUP($I96,关卡!$A$17:$G$2018,6,0)</f>
        <v>1.9164213178390002</v>
      </c>
      <c r="K96" s="3">
        <f>VLOOKUP($I96,关卡!$A$17:$G$2018,7,0)</f>
        <v>5.9122599732949999</v>
      </c>
      <c r="L96" s="3">
        <f t="shared" si="17"/>
        <v>6899.1167442204005</v>
      </c>
      <c r="M96" s="3">
        <f t="shared" si="18"/>
        <v>21284.135903861999</v>
      </c>
      <c r="N96" s="3">
        <f>INT(D96*J96*VLOOKUP(A96,经验产出!$I$7:$J$557,2,0))</f>
        <v>381</v>
      </c>
      <c r="O96" s="3">
        <f>SUM($N$24:N95)</f>
        <v>6846</v>
      </c>
      <c r="P96" s="3">
        <f>K96*VLOOKUP(A96,金币产出!$I$7:$J$557,2,0)</f>
        <v>10.79758385038301</v>
      </c>
    </row>
    <row r="97" spans="1:16" x14ac:dyDescent="0.15">
      <c r="A97" s="3">
        <v>74</v>
      </c>
      <c r="B97" s="3">
        <f t="shared" si="12"/>
        <v>4</v>
      </c>
      <c r="C97" s="3">
        <f t="shared" si="13"/>
        <v>1222.2</v>
      </c>
      <c r="D97" s="3">
        <f t="shared" si="14"/>
        <v>93.149999999999864</v>
      </c>
      <c r="E97" s="3">
        <f>SUM($D$24:D97)</f>
        <v>3322.2</v>
      </c>
      <c r="F97" s="3">
        <f t="shared" si="15"/>
        <v>55.37</v>
      </c>
      <c r="G97" s="3">
        <f t="shared" si="15"/>
        <v>0.92283333333333328</v>
      </c>
      <c r="H97" s="3">
        <f t="shared" si="16"/>
        <v>3.8451388888888889E-2</v>
      </c>
      <c r="I97" s="3">
        <f>IF(ISNA(MATCH(H97,关卡!$E$19:$E$2018,1)),0,MATCH(H97,关卡!$E$19:$E$2018,1))</f>
        <v>19</v>
      </c>
      <c r="J97" s="3">
        <f>VLOOKUP($I97,关卡!$A$17:$G$2018,6,0)</f>
        <v>1.9683104623799372</v>
      </c>
      <c r="K97" s="3">
        <f>VLOOKUP($I97,关卡!$A$17:$G$2018,7,0)</f>
        <v>5.9636668800309378</v>
      </c>
      <c r="L97" s="3">
        <f t="shared" si="17"/>
        <v>7085.9176645677744</v>
      </c>
      <c r="M97" s="3">
        <f t="shared" si="18"/>
        <v>21469.200768111376</v>
      </c>
      <c r="N97" s="3">
        <f>INT(D97*J97*VLOOKUP(A97,经验产出!$I$7:$J$557,2,0))</f>
        <v>406</v>
      </c>
      <c r="O97" s="3">
        <f>SUM($N$24:N96)</f>
        <v>7227</v>
      </c>
      <c r="P97" s="3">
        <f>K97*VLOOKUP(A97,金币产出!$I$7:$J$557,2,0)</f>
        <v>11.133081318273874</v>
      </c>
    </row>
    <row r="98" spans="1:16" x14ac:dyDescent="0.15">
      <c r="A98" s="3">
        <v>75</v>
      </c>
      <c r="B98" s="3">
        <f t="shared" si="12"/>
        <v>4</v>
      </c>
      <c r="C98" s="3">
        <f t="shared" si="13"/>
        <v>1316.2500000000002</v>
      </c>
      <c r="D98" s="3">
        <f t="shared" si="14"/>
        <v>94.050000000000182</v>
      </c>
      <c r="E98" s="3">
        <f>SUM($D$24:D98)</f>
        <v>3416.25</v>
      </c>
      <c r="F98" s="3">
        <f t="shared" si="15"/>
        <v>56.9375</v>
      </c>
      <c r="G98" s="3">
        <f t="shared" si="15"/>
        <v>0.94895833333333335</v>
      </c>
      <c r="H98" s="3">
        <f t="shared" si="16"/>
        <v>3.9539930555555554E-2</v>
      </c>
      <c r="I98" s="3">
        <f>IF(ISNA(MATCH(H98,关卡!$E$19:$E$2018,1)),0,MATCH(H98,关卡!$E$19:$E$2018,1))</f>
        <v>19</v>
      </c>
      <c r="J98" s="3">
        <f>VLOOKUP($I98,关卡!$A$17:$G$2018,6,0)</f>
        <v>1.9683104623799372</v>
      </c>
      <c r="K98" s="3">
        <f>VLOOKUP($I98,关卡!$A$17:$G$2018,7,0)</f>
        <v>5.9636668800309378</v>
      </c>
      <c r="L98" s="3">
        <f t="shared" si="17"/>
        <v>7085.9176645677744</v>
      </c>
      <c r="M98" s="3">
        <f t="shared" si="18"/>
        <v>21469.200768111376</v>
      </c>
      <c r="N98" s="3">
        <f>INT(D98*J98*VLOOKUP(A98,经验产出!$I$7:$J$557,2,0))</f>
        <v>421</v>
      </c>
      <c r="O98" s="3">
        <f>SUM($N$24:N97)</f>
        <v>7633</v>
      </c>
      <c r="P98" s="3">
        <f>K98*VLOOKUP(A98,金币产出!$I$7:$J$557,2,0)</f>
        <v>11.38389094535288</v>
      </c>
    </row>
    <row r="99" spans="1:16" x14ac:dyDescent="0.15">
      <c r="A99" s="3">
        <v>76</v>
      </c>
      <c r="B99" s="3">
        <f t="shared" si="12"/>
        <v>4</v>
      </c>
      <c r="C99" s="3">
        <f t="shared" si="13"/>
        <v>1411.2000000000003</v>
      </c>
      <c r="D99" s="3">
        <f t="shared" si="14"/>
        <v>94.950000000000045</v>
      </c>
      <c r="E99" s="3">
        <f>SUM($D$24:D99)</f>
        <v>3511.2</v>
      </c>
      <c r="F99" s="3">
        <f t="shared" si="15"/>
        <v>58.519999999999996</v>
      </c>
      <c r="G99" s="3">
        <f t="shared" si="15"/>
        <v>0.97533333333333327</v>
      </c>
      <c r="H99" s="3">
        <f t="shared" si="16"/>
        <v>4.0638888888888884E-2</v>
      </c>
      <c r="I99" s="3">
        <f>IF(ISNA(MATCH(H99,关卡!$E$19:$E$2018,1)),0,MATCH(H99,关卡!$E$19:$E$2018,1))</f>
        <v>20</v>
      </c>
      <c r="J99" s="3">
        <f>VLOOKUP($I99,关卡!$A$17:$G$2018,6,0)</f>
        <v>2.0203039899999999</v>
      </c>
      <c r="K99" s="3">
        <f>VLOOKUP($I99,关卡!$A$17:$G$2018,7,0)</f>
        <v>6.0151509499999998</v>
      </c>
      <c r="L99" s="3">
        <f t="shared" si="17"/>
        <v>7273.0943640000005</v>
      </c>
      <c r="M99" s="3">
        <f t="shared" si="18"/>
        <v>21654.543419999998</v>
      </c>
      <c r="N99" s="3">
        <f>INT(D99*J99*VLOOKUP(A99,经验产出!$I$7:$J$557,2,0))</f>
        <v>448</v>
      </c>
      <c r="O99" s="3">
        <f>SUM($N$24:N98)</f>
        <v>8054</v>
      </c>
      <c r="P99" s="3">
        <f>K99*VLOOKUP(A99,金币产出!$I$7:$J$557,2,0)</f>
        <v>11.744672958401827</v>
      </c>
    </row>
    <row r="100" spans="1:16" x14ac:dyDescent="0.15">
      <c r="A100" s="3">
        <v>77</v>
      </c>
      <c r="B100" s="3">
        <f t="shared" si="12"/>
        <v>4</v>
      </c>
      <c r="C100" s="3">
        <f t="shared" si="13"/>
        <v>1507.0500000000002</v>
      </c>
      <c r="D100" s="3">
        <f t="shared" si="14"/>
        <v>95.849999999999909</v>
      </c>
      <c r="E100" s="3">
        <f>SUM($D$24:D100)</f>
        <v>3607.0499999999997</v>
      </c>
      <c r="F100" s="3">
        <f t="shared" si="15"/>
        <v>60.117499999999993</v>
      </c>
      <c r="G100" s="3">
        <f t="shared" si="15"/>
        <v>1.0019583333333333</v>
      </c>
      <c r="H100" s="3">
        <f t="shared" si="16"/>
        <v>4.1748263888888887E-2</v>
      </c>
      <c r="I100" s="3">
        <f>IF(ISNA(MATCH(H100,关卡!$E$19:$E$2018,1)),0,MATCH(H100,关卡!$E$19:$E$2018,1))</f>
        <v>20</v>
      </c>
      <c r="J100" s="3">
        <f>VLOOKUP($I100,关卡!$A$17:$G$2018,6,0)</f>
        <v>2.0203039899999999</v>
      </c>
      <c r="K100" s="3">
        <f>VLOOKUP($I100,关卡!$A$17:$G$2018,7,0)</f>
        <v>6.0151509499999998</v>
      </c>
      <c r="L100" s="3">
        <f t="shared" si="17"/>
        <v>7273.0943640000005</v>
      </c>
      <c r="M100" s="3">
        <f t="shared" si="18"/>
        <v>21654.543419999998</v>
      </c>
      <c r="N100" s="3">
        <f>INT(D100*J100*VLOOKUP(A100,经验产出!$I$7:$J$557,2,0))</f>
        <v>464</v>
      </c>
      <c r="O100" s="3">
        <f>SUM($N$24:N99)</f>
        <v>8502</v>
      </c>
      <c r="P100" s="3">
        <f>K100*VLOOKUP(A100,金币产出!$I$7:$J$557,2,0)</f>
        <v>12.016966886746864</v>
      </c>
    </row>
    <row r="101" spans="1:16" x14ac:dyDescent="0.15">
      <c r="A101" s="3">
        <v>78</v>
      </c>
      <c r="B101" s="3">
        <f t="shared" si="12"/>
        <v>4</v>
      </c>
      <c r="C101" s="3">
        <f t="shared" si="13"/>
        <v>1603.8</v>
      </c>
      <c r="D101" s="3">
        <f t="shared" si="14"/>
        <v>96.749999999999773</v>
      </c>
      <c r="E101" s="3">
        <f>SUM($D$24:D101)</f>
        <v>3703.7999999999993</v>
      </c>
      <c r="F101" s="3">
        <f t="shared" si="15"/>
        <v>61.72999999999999</v>
      </c>
      <c r="G101" s="3">
        <f t="shared" si="15"/>
        <v>1.0288333333333333</v>
      </c>
      <c r="H101" s="3">
        <f t="shared" si="16"/>
        <v>4.2868055555555555E-2</v>
      </c>
      <c r="I101" s="3">
        <f>IF(ISNA(MATCH(H101,关卡!$E$19:$E$2018,1)),0,MATCH(H101,关卡!$E$19:$E$2018,1))</f>
        <v>21</v>
      </c>
      <c r="J101" s="3">
        <f>VLOOKUP($I101,关卡!$A$17:$G$2018,6,0)</f>
        <v>2.0724021373699375</v>
      </c>
      <c r="K101" s="3">
        <f>VLOOKUP($I101,关卡!$A$17:$G$2018,7,0)</f>
        <v>6.0667122984809376</v>
      </c>
      <c r="L101" s="3">
        <f t="shared" si="17"/>
        <v>7460.6476945317745</v>
      </c>
      <c r="M101" s="3">
        <f t="shared" si="18"/>
        <v>21840.164274531377</v>
      </c>
      <c r="N101" s="3">
        <f>INT(D101*J101*VLOOKUP(A101,经验产出!$I$7:$J$557,2,0))</f>
        <v>494</v>
      </c>
      <c r="O101" s="3">
        <f>SUM($N$24:N100)</f>
        <v>8966</v>
      </c>
      <c r="P101" s="3">
        <f>K101*VLOOKUP(A101,金币产出!$I$7:$J$557,2,0)</f>
        <v>12.404739634362322</v>
      </c>
    </row>
    <row r="102" spans="1:16" x14ac:dyDescent="0.15">
      <c r="A102" s="3">
        <v>79</v>
      </c>
      <c r="B102" s="3">
        <f t="shared" si="12"/>
        <v>4</v>
      </c>
      <c r="C102" s="3">
        <f t="shared" si="13"/>
        <v>1701.4499999999998</v>
      </c>
      <c r="D102" s="3">
        <f t="shared" si="14"/>
        <v>97.649999999999864</v>
      </c>
      <c r="E102" s="3">
        <f>SUM($D$24:D102)</f>
        <v>3801.4499999999989</v>
      </c>
      <c r="F102" s="3">
        <f t="shared" si="15"/>
        <v>63.35749999999998</v>
      </c>
      <c r="G102" s="3">
        <f t="shared" si="15"/>
        <v>1.0559583333333331</v>
      </c>
      <c r="H102" s="3">
        <f t="shared" si="16"/>
        <v>4.3998263888888882E-2</v>
      </c>
      <c r="I102" s="3">
        <f>IF(ISNA(MATCH(H102,关卡!$E$19:$E$2018,1)),0,MATCH(H102,关卡!$E$19:$E$2018,1))</f>
        <v>21</v>
      </c>
      <c r="J102" s="3">
        <f>VLOOKUP($I102,关卡!$A$17:$G$2018,6,0)</f>
        <v>2.0724021373699375</v>
      </c>
      <c r="K102" s="3">
        <f>VLOOKUP($I102,关卡!$A$17:$G$2018,7,0)</f>
        <v>6.0667122984809376</v>
      </c>
      <c r="L102" s="3">
        <f t="shared" si="17"/>
        <v>7460.6476945317745</v>
      </c>
      <c r="M102" s="3">
        <f t="shared" si="18"/>
        <v>21840.164274531377</v>
      </c>
      <c r="N102" s="3">
        <f>INT(D102*J102*VLOOKUP(A102,经验产出!$I$7:$J$557,2,0))</f>
        <v>512</v>
      </c>
      <c r="O102" s="3">
        <f>SUM($N$24:N101)</f>
        <v>9460</v>
      </c>
      <c r="P102" s="3">
        <f>K102*VLOOKUP(A102,金币产出!$I$7:$J$557,2,0)</f>
        <v>12.699907936620267</v>
      </c>
    </row>
    <row r="103" spans="1:16" x14ac:dyDescent="0.15">
      <c r="A103" s="3">
        <v>80</v>
      </c>
      <c r="B103" s="3">
        <f t="shared" si="12"/>
        <v>4</v>
      </c>
      <c r="C103" s="3">
        <f t="shared" si="13"/>
        <v>1800</v>
      </c>
      <c r="D103" s="3">
        <f t="shared" si="14"/>
        <v>98.550000000000182</v>
      </c>
      <c r="E103" s="3">
        <f>SUM($D$24:D103)</f>
        <v>3899.9999999999991</v>
      </c>
      <c r="F103" s="3">
        <f t="shared" si="15"/>
        <v>64.999999999999986</v>
      </c>
      <c r="G103" s="3">
        <f t="shared" si="15"/>
        <v>1.083333333333333</v>
      </c>
      <c r="H103" s="3">
        <f t="shared" si="16"/>
        <v>4.5138888888888874E-2</v>
      </c>
      <c r="I103" s="3">
        <f>IF(ISNA(MATCH(H103,关卡!$E$19:$E$2018,1)),0,MATCH(H103,关卡!$E$19:$E$2018,1))</f>
        <v>22</v>
      </c>
      <c r="J103" s="3">
        <f>VLOOKUP($I103,关卡!$A$17:$G$2018,6,0)</f>
        <v>2.1246051417590004</v>
      </c>
      <c r="K103" s="3">
        <f>VLOOKUP($I103,关卡!$A$17:$G$2018,7,0)</f>
        <v>6.1183510408949999</v>
      </c>
      <c r="L103" s="3">
        <f t="shared" si="17"/>
        <v>7648.5785103324015</v>
      </c>
      <c r="M103" s="3">
        <f t="shared" si="18"/>
        <v>22026.063747222001</v>
      </c>
      <c r="N103" s="3">
        <f>INT(D103*J103*VLOOKUP(A103,经验产出!$I$7:$J$557,2,0))</f>
        <v>545</v>
      </c>
      <c r="O103" s="3">
        <f>SUM($N$24:N102)</f>
        <v>9972</v>
      </c>
      <c r="P103" s="3">
        <f>K103*VLOOKUP(A103,金币产出!$I$7:$J$557,2,0)</f>
        <v>13.11645404200619</v>
      </c>
    </row>
    <row r="104" spans="1:16" x14ac:dyDescent="0.15">
      <c r="A104" s="3">
        <v>81</v>
      </c>
      <c r="B104" s="3">
        <f t="shared" si="12"/>
        <v>5</v>
      </c>
      <c r="C104" s="3">
        <f t="shared" si="13"/>
        <v>102.9</v>
      </c>
      <c r="D104" s="3">
        <f t="shared" si="14"/>
        <v>102.9</v>
      </c>
      <c r="E104" s="3">
        <f>SUM($D$24:D104)</f>
        <v>4002.8999999999992</v>
      </c>
      <c r="F104" s="3">
        <f t="shared" si="15"/>
        <v>66.714999999999989</v>
      </c>
      <c r="G104" s="3">
        <f t="shared" si="15"/>
        <v>1.1119166666666664</v>
      </c>
      <c r="H104" s="3">
        <f t="shared" si="16"/>
        <v>4.6329861111111099E-2</v>
      </c>
      <c r="I104" s="3">
        <f>IF(ISNA(MATCH(H104,关卡!$E$19:$E$2018,1)),0,MATCH(H104,关卡!$E$19:$E$2018,1))</f>
        <v>22</v>
      </c>
      <c r="J104" s="3">
        <f>VLOOKUP($I104,关卡!$A$17:$G$2018,6,0)</f>
        <v>2.1246051417590004</v>
      </c>
      <c r="K104" s="3">
        <f>VLOOKUP($I104,关卡!$A$17:$G$2018,7,0)</f>
        <v>6.1183510408949999</v>
      </c>
      <c r="L104" s="3">
        <f t="shared" si="17"/>
        <v>7648.5785103324015</v>
      </c>
      <c r="M104" s="3">
        <f t="shared" si="18"/>
        <v>22026.063747222001</v>
      </c>
      <c r="N104" s="3">
        <f>INT(D104*J104*VLOOKUP(A104,经验产出!$I$7:$J$557,2,0))</f>
        <v>585</v>
      </c>
      <c r="O104" s="3">
        <f>SUM($N$24:N103)</f>
        <v>10517</v>
      </c>
      <c r="P104" s="3">
        <f>K104*VLOOKUP(A104,金币产出!$I$7:$J$557,2,0)</f>
        <v>13.43594427627241</v>
      </c>
    </row>
    <row r="105" spans="1:16" x14ac:dyDescent="0.15">
      <c r="A105" s="3">
        <v>82</v>
      </c>
      <c r="B105" s="3">
        <f t="shared" si="12"/>
        <v>5</v>
      </c>
      <c r="C105" s="3">
        <f t="shared" si="13"/>
        <v>207.60000000000002</v>
      </c>
      <c r="D105" s="3">
        <f t="shared" si="14"/>
        <v>104.70000000000002</v>
      </c>
      <c r="E105" s="3">
        <f>SUM($D$24:D105)</f>
        <v>4107.5999999999995</v>
      </c>
      <c r="F105" s="3">
        <f t="shared" si="15"/>
        <v>68.459999999999994</v>
      </c>
      <c r="G105" s="3">
        <f t="shared" si="15"/>
        <v>1.1409999999999998</v>
      </c>
      <c r="H105" s="3">
        <f t="shared" si="16"/>
        <v>4.7541666666666656E-2</v>
      </c>
      <c r="I105" s="3">
        <f>IF(ISNA(MATCH(H105,关卡!$E$19:$E$2018,1)),0,MATCH(H105,关卡!$E$19:$E$2018,1))</f>
        <v>23</v>
      </c>
      <c r="J105" s="3">
        <f>VLOOKUP($I105,关卡!$A$17:$G$2018,6,0)</f>
        <v>2.1769132410349372</v>
      </c>
      <c r="K105" s="3">
        <f>VLOOKUP($I105,关卡!$A$17:$G$2018,7,0)</f>
        <v>6.1700672928059372</v>
      </c>
      <c r="L105" s="3">
        <f t="shared" si="17"/>
        <v>7836.887667725774</v>
      </c>
      <c r="M105" s="3">
        <f t="shared" si="18"/>
        <v>22212.242254101373</v>
      </c>
      <c r="N105" s="3">
        <f>INT(D105*J105*VLOOKUP(A105,经验产出!$I$7:$J$557,2,0))</f>
        <v>627</v>
      </c>
      <c r="O105" s="3">
        <f>SUM($N$24:N104)</f>
        <v>11102</v>
      </c>
      <c r="P105" s="3">
        <f>K105*VLOOKUP(A105,金币产出!$I$7:$J$557,2,0)</f>
        <v>13.883124499526431</v>
      </c>
    </row>
    <row r="106" spans="1:16" x14ac:dyDescent="0.15">
      <c r="A106" s="3">
        <v>83</v>
      </c>
      <c r="B106" s="3">
        <f t="shared" si="12"/>
        <v>5</v>
      </c>
      <c r="C106" s="3">
        <f t="shared" si="13"/>
        <v>314.09999999999997</v>
      </c>
      <c r="D106" s="3">
        <f t="shared" si="14"/>
        <v>106.49999999999994</v>
      </c>
      <c r="E106" s="3">
        <f>SUM($D$24:D106)</f>
        <v>4214.0999999999995</v>
      </c>
      <c r="F106" s="3">
        <f t="shared" si="15"/>
        <v>70.234999999999985</v>
      </c>
      <c r="G106" s="3">
        <f t="shared" si="15"/>
        <v>1.1705833333333331</v>
      </c>
      <c r="H106" s="3">
        <f t="shared" si="16"/>
        <v>4.8774305555555543E-2</v>
      </c>
      <c r="I106" s="3">
        <f>IF(ISNA(MATCH(H106,关卡!$E$19:$E$2018,1)),0,MATCH(H106,关卡!$E$19:$E$2018,1))</f>
        <v>23</v>
      </c>
      <c r="J106" s="3">
        <f>VLOOKUP($I106,关卡!$A$17:$G$2018,6,0)</f>
        <v>2.1769132410349372</v>
      </c>
      <c r="K106" s="3">
        <f>VLOOKUP($I106,关卡!$A$17:$G$2018,7,0)</f>
        <v>6.1700672928059372</v>
      </c>
      <c r="L106" s="3">
        <f t="shared" si="17"/>
        <v>7836.887667725774</v>
      </c>
      <c r="M106" s="3">
        <f t="shared" si="18"/>
        <v>22212.242254101373</v>
      </c>
      <c r="N106" s="3">
        <f>INT(D106*J106*VLOOKUP(A106,经验产出!$I$7:$J$557,2,0))</f>
        <v>656</v>
      </c>
      <c r="O106" s="3">
        <f>SUM($N$24:N105)</f>
        <v>11729</v>
      </c>
      <c r="P106" s="3">
        <f>K106*VLOOKUP(A106,金币产出!$I$7:$J$557,2,0)</f>
        <v>14.228442798607039</v>
      </c>
    </row>
    <row r="107" spans="1:16" x14ac:dyDescent="0.15">
      <c r="A107" s="3">
        <v>84</v>
      </c>
      <c r="B107" s="3">
        <f t="shared" si="12"/>
        <v>5</v>
      </c>
      <c r="C107" s="3">
        <f t="shared" si="13"/>
        <v>422.40000000000003</v>
      </c>
      <c r="D107" s="3">
        <f t="shared" si="14"/>
        <v>108.30000000000007</v>
      </c>
      <c r="E107" s="3">
        <f>SUM($D$24:D107)</f>
        <v>4322.3999999999996</v>
      </c>
      <c r="F107" s="3">
        <f t="shared" si="15"/>
        <v>72.039999999999992</v>
      </c>
      <c r="G107" s="3">
        <f t="shared" si="15"/>
        <v>1.2006666666666665</v>
      </c>
      <c r="H107" s="3">
        <f t="shared" si="16"/>
        <v>5.0027777777777775E-2</v>
      </c>
      <c r="I107" s="3">
        <f>IF(ISNA(MATCH(H107,关卡!$E$19:$E$2018,1)),0,MATCH(H107,关卡!$E$19:$E$2018,1))</f>
        <v>24</v>
      </c>
      <c r="J107" s="3">
        <f>VLOOKUP($I107,关卡!$A$17:$G$2018,6,0)</f>
        <v>2.2293266736639996</v>
      </c>
      <c r="K107" s="3">
        <f>VLOOKUP($I107,关卡!$A$17:$G$2018,7,0)</f>
        <v>6.2218611699200004</v>
      </c>
      <c r="L107" s="3">
        <f t="shared" si="17"/>
        <v>8025.5760251903994</v>
      </c>
      <c r="M107" s="3">
        <f t="shared" si="18"/>
        <v>22398.700211711999</v>
      </c>
      <c r="N107" s="3">
        <f>INT(D107*J107*VLOOKUP(A107,经验产出!$I$7:$J$557,2,0))</f>
        <v>703</v>
      </c>
      <c r="O107" s="3">
        <f>SUM($N$24:N106)</f>
        <v>12385</v>
      </c>
      <c r="P107" s="3">
        <f>K107*VLOOKUP(A107,金币产出!$I$7:$J$557,2,0)</f>
        <v>14.708197747984512</v>
      </c>
    </row>
    <row r="108" spans="1:16" x14ac:dyDescent="0.15">
      <c r="A108" s="3">
        <v>85</v>
      </c>
      <c r="B108" s="3">
        <f t="shared" si="12"/>
        <v>5</v>
      </c>
      <c r="C108" s="3">
        <f t="shared" si="13"/>
        <v>532.5</v>
      </c>
      <c r="D108" s="3">
        <f t="shared" si="14"/>
        <v>110.09999999999997</v>
      </c>
      <c r="E108" s="3">
        <f>SUM($D$24:D108)</f>
        <v>4432.5</v>
      </c>
      <c r="F108" s="3">
        <f t="shared" si="15"/>
        <v>73.875</v>
      </c>
      <c r="G108" s="3">
        <f t="shared" si="15"/>
        <v>1.23125</v>
      </c>
      <c r="H108" s="3">
        <f t="shared" si="16"/>
        <v>5.1302083333333331E-2</v>
      </c>
      <c r="I108" s="3">
        <f>IF(ISNA(MATCH(H108,关卡!$E$19:$E$2018,1)),0,MATCH(H108,关卡!$E$19:$E$2018,1))</f>
        <v>24</v>
      </c>
      <c r="J108" s="3">
        <f>VLOOKUP($I108,关卡!$A$17:$G$2018,6,0)</f>
        <v>2.2293266736639996</v>
      </c>
      <c r="K108" s="3">
        <f>VLOOKUP($I108,关卡!$A$17:$G$2018,7,0)</f>
        <v>6.2218611699200004</v>
      </c>
      <c r="L108" s="3">
        <f t="shared" si="17"/>
        <v>8025.5760251903994</v>
      </c>
      <c r="M108" s="3">
        <f t="shared" si="18"/>
        <v>22398.700211711999</v>
      </c>
      <c r="N108" s="3">
        <f>INT(D108*J108*VLOOKUP(A108,经验产出!$I$7:$J$557,2,0))</f>
        <v>735</v>
      </c>
      <c r="O108" s="3">
        <f>SUM($N$24:N107)</f>
        <v>13088</v>
      </c>
      <c r="P108" s="3">
        <f>K108*VLOOKUP(A108,金币产出!$I$7:$J$557,2,0)</f>
        <v>15.080909912640381</v>
      </c>
    </row>
    <row r="109" spans="1:16" x14ac:dyDescent="0.15">
      <c r="A109" s="3">
        <v>86</v>
      </c>
      <c r="B109" s="3">
        <f t="shared" si="12"/>
        <v>5</v>
      </c>
      <c r="C109" s="3">
        <f t="shared" si="13"/>
        <v>644.40000000000009</v>
      </c>
      <c r="D109" s="3">
        <f t="shared" si="14"/>
        <v>111.90000000000009</v>
      </c>
      <c r="E109" s="3">
        <f>SUM($D$24:D109)</f>
        <v>4544.3999999999996</v>
      </c>
      <c r="F109" s="3">
        <f t="shared" si="15"/>
        <v>75.739999999999995</v>
      </c>
      <c r="G109" s="3">
        <f t="shared" si="15"/>
        <v>1.2623333333333333</v>
      </c>
      <c r="H109" s="3">
        <f t="shared" si="16"/>
        <v>5.2597222222222219E-2</v>
      </c>
      <c r="I109" s="3">
        <f>IF(ISNA(MATCH(H109,关卡!$E$19:$E$2018,1)),0,MATCH(H109,关卡!$E$19:$E$2018,1))</f>
        <v>25</v>
      </c>
      <c r="J109" s="3">
        <f>VLOOKUP($I109,关卡!$A$17:$G$2018,6,0)</f>
        <v>2.2818456787109378</v>
      </c>
      <c r="K109" s="3">
        <f>VLOOKUP($I109,关卡!$A$17:$G$2018,7,0)</f>
        <v>6.2737327880859386</v>
      </c>
      <c r="L109" s="3">
        <f t="shared" si="17"/>
        <v>8214.644443359377</v>
      </c>
      <c r="M109" s="3">
        <f t="shared" si="18"/>
        <v>22585.438037109379</v>
      </c>
      <c r="N109" s="3">
        <f>INT(D109*J109*VLOOKUP(A109,经验产出!$I$7:$J$557,2,0))</f>
        <v>787</v>
      </c>
      <c r="O109" s="3">
        <f>SUM($N$24:N108)</f>
        <v>13823</v>
      </c>
      <c r="P109" s="3">
        <f>K109*VLOOKUP(A109,金币产出!$I$7:$J$557,2,0)</f>
        <v>15.595261764013971</v>
      </c>
    </row>
    <row r="110" spans="1:16" x14ac:dyDescent="0.15">
      <c r="A110" s="3">
        <v>87</v>
      </c>
      <c r="B110" s="3">
        <f t="shared" si="12"/>
        <v>5</v>
      </c>
      <c r="C110" s="3">
        <f t="shared" si="13"/>
        <v>758.09999999999991</v>
      </c>
      <c r="D110" s="3">
        <f t="shared" si="14"/>
        <v>113.69999999999982</v>
      </c>
      <c r="E110" s="3">
        <f>SUM($D$24:D110)</f>
        <v>4658.0999999999995</v>
      </c>
      <c r="F110" s="3">
        <f t="shared" si="15"/>
        <v>77.634999999999991</v>
      </c>
      <c r="G110" s="3">
        <f t="shared" si="15"/>
        <v>1.2939166666666666</v>
      </c>
      <c r="H110" s="3">
        <f t="shared" si="16"/>
        <v>5.3913194444444444E-2</v>
      </c>
      <c r="I110" s="3">
        <f>IF(ISNA(MATCH(H110,关卡!$E$19:$E$2018,1)),0,MATCH(H110,关卡!$E$19:$E$2018,1))</f>
        <v>26</v>
      </c>
      <c r="J110" s="3">
        <f>VLOOKUP($I110,关卡!$A$17:$G$2018,6,0)</f>
        <v>2.3344704958390001</v>
      </c>
      <c r="K110" s="3">
        <f>VLOOKUP($I110,关卡!$A$17:$G$2018,7,0)</f>
        <v>6.3256822632950005</v>
      </c>
      <c r="L110" s="3">
        <f t="shared" si="17"/>
        <v>8404.0937850204009</v>
      </c>
      <c r="M110" s="3">
        <f t="shared" si="18"/>
        <v>22772.456147862002</v>
      </c>
      <c r="N110" s="3">
        <f>INT(D110*J110*VLOOKUP(A110,经验产出!$I$7:$J$557,2,0))</f>
        <v>842</v>
      </c>
      <c r="O110" s="3">
        <f>SUM($N$24:N109)</f>
        <v>14610</v>
      </c>
      <c r="P110" s="3">
        <f>K110*VLOOKUP(A110,金币产出!$I$7:$J$557,2,0)</f>
        <v>16.129457040711564</v>
      </c>
    </row>
    <row r="111" spans="1:16" x14ac:dyDescent="0.15">
      <c r="A111" s="3">
        <v>88</v>
      </c>
      <c r="B111" s="3">
        <f t="shared" si="12"/>
        <v>5</v>
      </c>
      <c r="C111" s="3">
        <f t="shared" si="13"/>
        <v>873.60000000000014</v>
      </c>
      <c r="D111" s="3">
        <f t="shared" si="14"/>
        <v>115.50000000000023</v>
      </c>
      <c r="E111" s="3">
        <f>SUM($D$24:D111)</f>
        <v>4773.5999999999995</v>
      </c>
      <c r="F111" s="3">
        <f t="shared" si="15"/>
        <v>79.559999999999988</v>
      </c>
      <c r="G111" s="3">
        <f t="shared" si="15"/>
        <v>1.3259999999999998</v>
      </c>
      <c r="H111" s="3">
        <f t="shared" si="16"/>
        <v>5.5249999999999994E-2</v>
      </c>
      <c r="I111" s="3">
        <f>IF(ISNA(MATCH(H111,关卡!$E$19:$E$2018,1)),0,MATCH(H111,关卡!$E$19:$E$2018,1))</f>
        <v>26</v>
      </c>
      <c r="J111" s="3">
        <f>VLOOKUP($I111,关卡!$A$17:$G$2018,6,0)</f>
        <v>2.3344704958390001</v>
      </c>
      <c r="K111" s="3">
        <f>VLOOKUP($I111,关卡!$A$17:$G$2018,7,0)</f>
        <v>6.3256822632950005</v>
      </c>
      <c r="L111" s="3">
        <f t="shared" si="17"/>
        <v>8404.0937850204009</v>
      </c>
      <c r="M111" s="3">
        <f t="shared" si="18"/>
        <v>22772.456147862002</v>
      </c>
      <c r="N111" s="3">
        <f>INT(D111*J111*VLOOKUP(A111,经验产出!$I$7:$J$557,2,0))</f>
        <v>881</v>
      </c>
      <c r="O111" s="3">
        <f>SUM($N$24:N110)</f>
        <v>15452</v>
      </c>
      <c r="P111" s="3">
        <f>K111*VLOOKUP(A111,金币产出!$I$7:$J$557,2,0)</f>
        <v>16.548048584742538</v>
      </c>
    </row>
    <row r="112" spans="1:16" x14ac:dyDescent="0.15">
      <c r="A112" s="3">
        <v>89</v>
      </c>
      <c r="B112" s="3">
        <f t="shared" si="12"/>
        <v>5</v>
      </c>
      <c r="C112" s="3">
        <f t="shared" si="13"/>
        <v>990.9</v>
      </c>
      <c r="D112" s="3">
        <f t="shared" si="14"/>
        <v>117.29999999999984</v>
      </c>
      <c r="E112" s="3">
        <f>SUM($D$24:D112)</f>
        <v>4890.8999999999996</v>
      </c>
      <c r="F112" s="3">
        <f t="shared" si="15"/>
        <v>81.515000000000001</v>
      </c>
      <c r="G112" s="3">
        <f t="shared" si="15"/>
        <v>1.3585833333333333</v>
      </c>
      <c r="H112" s="3">
        <f t="shared" si="16"/>
        <v>5.6607638888888888E-2</v>
      </c>
      <c r="I112" s="3">
        <f>IF(ISNA(MATCH(H112,关卡!$E$19:$E$2018,1)),0,MATCH(H112,关卡!$E$19:$E$2018,1))</f>
        <v>27</v>
      </c>
      <c r="J112" s="3">
        <f>VLOOKUP($I112,关卡!$A$17:$G$2018,6,0)</f>
        <v>2.3872013653099375</v>
      </c>
      <c r="K112" s="3">
        <f>VLOOKUP($I112,关卡!$A$17:$G$2018,7,0)</f>
        <v>6.3777097116809376</v>
      </c>
      <c r="L112" s="3">
        <f t="shared" si="17"/>
        <v>8593.9249151157765</v>
      </c>
      <c r="M112" s="3">
        <f t="shared" si="18"/>
        <v>22959.754962051375</v>
      </c>
      <c r="N112" s="3">
        <f>INT(D112*J112*VLOOKUP(A112,经验产出!$I$7:$J$557,2,0))</f>
        <v>941</v>
      </c>
      <c r="O112" s="3">
        <f>SUM($N$24:N111)</f>
        <v>16333</v>
      </c>
      <c r="P112" s="3">
        <f>K112*VLOOKUP(A112,金币产出!$I$7:$J$557,2,0)</f>
        <v>17.120151117372945</v>
      </c>
    </row>
    <row r="113" spans="1:16" x14ac:dyDescent="0.15">
      <c r="A113" s="3">
        <v>90</v>
      </c>
      <c r="B113" s="3">
        <f t="shared" si="12"/>
        <v>5</v>
      </c>
      <c r="C113" s="3">
        <f t="shared" si="13"/>
        <v>1110</v>
      </c>
      <c r="D113" s="3">
        <f t="shared" si="14"/>
        <v>119.10000000000002</v>
      </c>
      <c r="E113" s="3">
        <f>SUM($D$24:D113)</f>
        <v>5010</v>
      </c>
      <c r="F113" s="3">
        <f t="shared" si="15"/>
        <v>83.5</v>
      </c>
      <c r="G113" s="3">
        <f t="shared" si="15"/>
        <v>1.3916666666666666</v>
      </c>
      <c r="H113" s="3">
        <f t="shared" si="16"/>
        <v>5.7986111111111106E-2</v>
      </c>
      <c r="I113" s="3">
        <f>IF(ISNA(MATCH(H113,关卡!$E$19:$E$2018,1)),0,MATCH(H113,关卡!$E$19:$E$2018,1))</f>
        <v>27</v>
      </c>
      <c r="J113" s="3">
        <f>VLOOKUP($I113,关卡!$A$17:$G$2018,6,0)</f>
        <v>2.3872013653099375</v>
      </c>
      <c r="K113" s="3">
        <f>VLOOKUP($I113,关卡!$A$17:$G$2018,7,0)</f>
        <v>6.3777097116809376</v>
      </c>
      <c r="L113" s="3">
        <f t="shared" si="17"/>
        <v>8593.9249151157765</v>
      </c>
      <c r="M113" s="3">
        <f t="shared" si="18"/>
        <v>22959.754962051375</v>
      </c>
      <c r="N113" s="3">
        <f>INT(D113*J113*VLOOKUP(A113,经验产出!$I$7:$J$557,2,0))</f>
        <v>984</v>
      </c>
      <c r="O113" s="3">
        <f>SUM($N$24:N112)</f>
        <v>17274</v>
      </c>
      <c r="P113" s="3">
        <f>K113*VLOOKUP(A113,金币产出!$I$7:$J$557,2,0)</f>
        <v>17.5704371449742</v>
      </c>
    </row>
    <row r="114" spans="1:16" x14ac:dyDescent="0.15">
      <c r="A114" s="3">
        <v>91</v>
      </c>
      <c r="B114" s="3">
        <f t="shared" si="12"/>
        <v>5</v>
      </c>
      <c r="C114" s="3">
        <f t="shared" si="13"/>
        <v>1230.9000000000001</v>
      </c>
      <c r="D114" s="3">
        <f t="shared" si="14"/>
        <v>120.90000000000009</v>
      </c>
      <c r="E114" s="3">
        <f>SUM($D$24:D114)</f>
        <v>5130.8999999999996</v>
      </c>
      <c r="F114" s="3">
        <f t="shared" si="15"/>
        <v>85.515000000000001</v>
      </c>
      <c r="G114" s="3">
        <f t="shared" si="15"/>
        <v>1.4252499999999999</v>
      </c>
      <c r="H114" s="3">
        <f t="shared" si="16"/>
        <v>5.9385416666666663E-2</v>
      </c>
      <c r="I114" s="3">
        <f>IF(ISNA(MATCH(H114,关卡!$E$19:$E$2018,1)),0,MATCH(H114,关卡!$E$19:$E$2018,1))</f>
        <v>28</v>
      </c>
      <c r="J114" s="3">
        <f>VLOOKUP($I114,关卡!$A$17:$G$2018,6,0)</f>
        <v>2.4400385279840004</v>
      </c>
      <c r="K114" s="3">
        <f>VLOOKUP($I114,关卡!$A$17:$G$2018,7,0)</f>
        <v>6.4298152495199998</v>
      </c>
      <c r="L114" s="3">
        <f t="shared" si="17"/>
        <v>8784.1387007424019</v>
      </c>
      <c r="M114" s="3">
        <f t="shared" si="18"/>
        <v>23147.334898271998</v>
      </c>
      <c r="N114" s="3">
        <f>INT(D114*J114*VLOOKUP(A114,经验产出!$I$7:$J$557,2,0))</f>
        <v>1051</v>
      </c>
      <c r="O114" s="3">
        <f>SUM($N$24:N113)</f>
        <v>18258</v>
      </c>
      <c r="P114" s="3">
        <f>K114*VLOOKUP(A114,金币产出!$I$7:$J$557,2,0)</f>
        <v>18.182686600481816</v>
      </c>
    </row>
    <row r="115" spans="1:16" x14ac:dyDescent="0.15">
      <c r="A115" s="3">
        <v>92</v>
      </c>
      <c r="B115" s="3">
        <f t="shared" si="12"/>
        <v>5</v>
      </c>
      <c r="C115" s="3">
        <f t="shared" si="13"/>
        <v>1353.6000000000001</v>
      </c>
      <c r="D115" s="3">
        <f t="shared" si="14"/>
        <v>122.70000000000005</v>
      </c>
      <c r="E115" s="3">
        <f>SUM($D$24:D115)</f>
        <v>5253.5999999999995</v>
      </c>
      <c r="F115" s="3">
        <f t="shared" si="15"/>
        <v>87.559999999999988</v>
      </c>
      <c r="G115" s="3">
        <f t="shared" si="15"/>
        <v>1.4593333333333331</v>
      </c>
      <c r="H115" s="3">
        <f t="shared" si="16"/>
        <v>6.080555555555555E-2</v>
      </c>
      <c r="I115" s="3">
        <f>IF(ISNA(MATCH(H115,关卡!$E$19:$E$2018,1)),0,MATCH(H115,关卡!$E$19:$E$2018,1))</f>
        <v>28</v>
      </c>
      <c r="J115" s="3">
        <f>VLOOKUP($I115,关卡!$A$17:$G$2018,6,0)</f>
        <v>2.4400385279840004</v>
      </c>
      <c r="K115" s="3">
        <f>VLOOKUP($I115,关卡!$A$17:$G$2018,7,0)</f>
        <v>6.4298152495199998</v>
      </c>
      <c r="L115" s="3">
        <f t="shared" si="17"/>
        <v>8784.1387007424019</v>
      </c>
      <c r="M115" s="3">
        <f t="shared" si="18"/>
        <v>23147.334898271998</v>
      </c>
      <c r="N115" s="3">
        <f>INT(D115*J115*VLOOKUP(A115,经验产出!$I$7:$J$557,2,0))</f>
        <v>1098</v>
      </c>
      <c r="O115" s="3">
        <f>SUM($N$24:N114)</f>
        <v>19309</v>
      </c>
      <c r="P115" s="3">
        <f>K115*VLOOKUP(A115,金币产出!$I$7:$J$557,2,0)</f>
        <v>18.666456126672568</v>
      </c>
    </row>
    <row r="116" spans="1:16" x14ac:dyDescent="0.15">
      <c r="A116" s="3">
        <v>93</v>
      </c>
      <c r="B116" s="3">
        <f t="shared" si="12"/>
        <v>5</v>
      </c>
      <c r="C116" s="3">
        <f t="shared" si="13"/>
        <v>1478.1</v>
      </c>
      <c r="D116" s="3">
        <f t="shared" si="14"/>
        <v>124.49999999999977</v>
      </c>
      <c r="E116" s="3">
        <f>SUM($D$24:D116)</f>
        <v>5378.0999999999995</v>
      </c>
      <c r="F116" s="3">
        <f t="shared" si="15"/>
        <v>89.634999999999991</v>
      </c>
      <c r="G116" s="3">
        <f t="shared" si="15"/>
        <v>1.4939166666666666</v>
      </c>
      <c r="H116" s="3">
        <f t="shared" si="16"/>
        <v>6.2246527777777776E-2</v>
      </c>
      <c r="I116" s="3">
        <f>IF(ISNA(MATCH(H116,关卡!$E$19:$E$2018,1)),0,MATCH(H116,关卡!$E$19:$E$2018,1))</f>
        <v>29</v>
      </c>
      <c r="J116" s="3">
        <f>VLOOKUP($I116,关卡!$A$17:$G$2018,6,0)</f>
        <v>2.4929822253199374</v>
      </c>
      <c r="K116" s="3">
        <f>VLOOKUP($I116,关卡!$A$17:$G$2018,7,0)</f>
        <v>6.4819989932309365</v>
      </c>
      <c r="L116" s="3">
        <f t="shared" si="17"/>
        <v>8974.7360111517755</v>
      </c>
      <c r="M116" s="3">
        <f t="shared" si="18"/>
        <v>23335.196375631374</v>
      </c>
      <c r="N116" s="3">
        <f>INT(D116*J116*VLOOKUP(A116,经验产出!$I$7:$J$557,2,0))</f>
        <v>1173</v>
      </c>
      <c r="O116" s="3">
        <f>SUM($N$24:N115)</f>
        <v>20407</v>
      </c>
      <c r="P116" s="3">
        <f>K116*VLOOKUP(A116,金币产出!$I$7:$J$557,2,0)</f>
        <v>19.321179991895093</v>
      </c>
    </row>
    <row r="117" spans="1:16" x14ac:dyDescent="0.15">
      <c r="A117" s="3">
        <v>94</v>
      </c>
      <c r="B117" s="3">
        <f t="shared" si="12"/>
        <v>5</v>
      </c>
      <c r="C117" s="3">
        <f t="shared" si="13"/>
        <v>1604.3999999999999</v>
      </c>
      <c r="D117" s="3">
        <f t="shared" si="14"/>
        <v>126.29999999999995</v>
      </c>
      <c r="E117" s="3">
        <f>SUM($D$24:D117)</f>
        <v>5504.4</v>
      </c>
      <c r="F117" s="3">
        <f t="shared" si="15"/>
        <v>91.74</v>
      </c>
      <c r="G117" s="3">
        <f t="shared" si="15"/>
        <v>1.5289999999999999</v>
      </c>
      <c r="H117" s="3">
        <f t="shared" si="16"/>
        <v>6.3708333333333325E-2</v>
      </c>
      <c r="I117" s="3">
        <f>IF(ISNA(MATCH(H117,关卡!$E$19:$E$2018,1)),0,MATCH(H117,关卡!$E$19:$E$2018,1))</f>
        <v>30</v>
      </c>
      <c r="J117" s="3">
        <f>VLOOKUP($I117,关卡!$A$17:$G$2018,6,0)</f>
        <v>2.546032699375</v>
      </c>
      <c r="K117" s="3">
        <f>VLOOKUP($I117,关卡!$A$17:$G$2018,7,0)</f>
        <v>6.5342610593749999</v>
      </c>
      <c r="L117" s="3">
        <f t="shared" si="17"/>
        <v>9165.7177177499998</v>
      </c>
      <c r="M117" s="3">
        <f t="shared" si="18"/>
        <v>23523.339813750001</v>
      </c>
      <c r="N117" s="3">
        <f>INT(D117*J117*VLOOKUP(A117,经验产出!$I$7:$J$557,2,0))</f>
        <v>1251</v>
      </c>
      <c r="O117" s="3">
        <f>SUM($N$24:N116)</f>
        <v>21580</v>
      </c>
      <c r="P117" s="3">
        <f>K117*VLOOKUP(A117,金币产出!$I$7:$J$557,2,0)</f>
        <v>20.000252038805343</v>
      </c>
    </row>
    <row r="118" spans="1:16" x14ac:dyDescent="0.15">
      <c r="A118" s="3">
        <v>95</v>
      </c>
      <c r="B118" s="3">
        <f t="shared" si="12"/>
        <v>5</v>
      </c>
      <c r="C118" s="3">
        <f t="shared" si="13"/>
        <v>1732.4999999999998</v>
      </c>
      <c r="D118" s="3">
        <f t="shared" si="14"/>
        <v>128.09999999999991</v>
      </c>
      <c r="E118" s="3">
        <f>SUM($D$24:D118)</f>
        <v>5632.5</v>
      </c>
      <c r="F118" s="3">
        <f t="shared" si="15"/>
        <v>93.875</v>
      </c>
      <c r="G118" s="3">
        <f t="shared" si="15"/>
        <v>1.5645833333333334</v>
      </c>
      <c r="H118" s="3">
        <f t="shared" si="16"/>
        <v>6.5190972222222227E-2</v>
      </c>
      <c r="I118" s="3">
        <f>IF(ISNA(MATCH(H118,关卡!$E$19:$E$2018,1)),0,MATCH(H118,关卡!$E$19:$E$2018,1))</f>
        <v>30</v>
      </c>
      <c r="J118" s="3">
        <f>VLOOKUP($I118,关卡!$A$17:$G$2018,6,0)</f>
        <v>2.546032699375</v>
      </c>
      <c r="K118" s="3">
        <f>VLOOKUP($I118,关卡!$A$17:$G$2018,7,0)</f>
        <v>6.5342610593749999</v>
      </c>
      <c r="L118" s="3">
        <f t="shared" si="17"/>
        <v>9165.7177177499998</v>
      </c>
      <c r="M118" s="3">
        <f t="shared" si="18"/>
        <v>23523.339813750001</v>
      </c>
      <c r="N118" s="3">
        <f>INT(D118*J118*VLOOKUP(A118,经验产出!$I$7:$J$557,2,0))</f>
        <v>1307</v>
      </c>
      <c r="O118" s="3">
        <f>SUM($N$24:N117)</f>
        <v>22831</v>
      </c>
      <c r="P118" s="3">
        <f>K118*VLOOKUP(A118,金币产出!$I$7:$J$557,2,0)</f>
        <v>20.539902160477997</v>
      </c>
    </row>
    <row r="119" spans="1:16" x14ac:dyDescent="0.15">
      <c r="A119" s="3">
        <v>96</v>
      </c>
      <c r="B119" s="3">
        <f t="shared" si="12"/>
        <v>5</v>
      </c>
      <c r="C119" s="3">
        <f t="shared" si="13"/>
        <v>1862.4</v>
      </c>
      <c r="D119" s="3">
        <f t="shared" si="14"/>
        <v>129.90000000000032</v>
      </c>
      <c r="E119" s="3">
        <f>SUM($D$24:D119)</f>
        <v>5762.4000000000005</v>
      </c>
      <c r="F119" s="3">
        <f t="shared" si="15"/>
        <v>96.04</v>
      </c>
      <c r="G119" s="3">
        <f t="shared" si="15"/>
        <v>1.6006666666666667</v>
      </c>
      <c r="H119" s="3">
        <f t="shared" si="16"/>
        <v>6.6694444444444445E-2</v>
      </c>
      <c r="I119" s="3">
        <f>IF(ISNA(MATCH(H119,关卡!$E$19:$E$2018,1)),0,MATCH(H119,关卡!$E$19:$E$2018,1))</f>
        <v>31</v>
      </c>
      <c r="J119" s="3">
        <f>VLOOKUP($I119,关卡!$A$17:$G$2018,6,0)</f>
        <v>2.5991901928049379</v>
      </c>
      <c r="K119" s="3">
        <f>VLOOKUP($I119,关卡!$A$17:$G$2018,7,0)</f>
        <v>6.5866015646559379</v>
      </c>
      <c r="L119" s="3">
        <f t="shared" si="17"/>
        <v>9357.0846940977754</v>
      </c>
      <c r="M119" s="3">
        <f t="shared" si="18"/>
        <v>23711.765632761377</v>
      </c>
      <c r="N119" s="3">
        <f>INT(D119*J119*VLOOKUP(A119,经验产出!$I$7:$J$557,2,0))</f>
        <v>1393</v>
      </c>
      <c r="O119" s="3">
        <f>SUM($N$24:N118)</f>
        <v>24138</v>
      </c>
      <c r="P119" s="3">
        <f>K119*VLOOKUP(A119,金币产出!$I$7:$J$557,2,0)</f>
        <v>21.265250560242642</v>
      </c>
    </row>
    <row r="120" spans="1:16" x14ac:dyDescent="0.15">
      <c r="A120" s="3">
        <v>97</v>
      </c>
      <c r="B120" s="3">
        <f t="shared" si="12"/>
        <v>5</v>
      </c>
      <c r="C120" s="3">
        <f t="shared" si="13"/>
        <v>1994.1</v>
      </c>
      <c r="D120" s="3">
        <f t="shared" si="14"/>
        <v>131.69999999999982</v>
      </c>
      <c r="E120" s="3">
        <f>SUM($D$24:D120)</f>
        <v>5894.1</v>
      </c>
      <c r="F120" s="3">
        <f t="shared" si="15"/>
        <v>98.234999999999999</v>
      </c>
      <c r="G120" s="3">
        <f t="shared" si="15"/>
        <v>1.6372500000000001</v>
      </c>
      <c r="H120" s="3">
        <f t="shared" si="16"/>
        <v>6.8218750000000009E-2</v>
      </c>
      <c r="I120" s="3">
        <f>IF(ISNA(MATCH(H120,关卡!$E$19:$E$2018,1)),0,MATCH(H120,关卡!$E$19:$E$2018,1))</f>
        <v>31</v>
      </c>
      <c r="J120" s="3">
        <f>VLOOKUP($I120,关卡!$A$17:$G$2018,6,0)</f>
        <v>2.5991901928049379</v>
      </c>
      <c r="K120" s="3">
        <f>VLOOKUP($I120,关卡!$A$17:$G$2018,7,0)</f>
        <v>6.5866015646559379</v>
      </c>
      <c r="L120" s="3">
        <f t="shared" si="17"/>
        <v>9357.0846940977754</v>
      </c>
      <c r="M120" s="3">
        <f t="shared" si="18"/>
        <v>23711.765632761377</v>
      </c>
      <c r="N120" s="3">
        <f>INT(D120*J120*VLOOKUP(A120,经验产出!$I$7:$J$557,2,0))</f>
        <v>1454</v>
      </c>
      <c r="O120" s="3">
        <f>SUM($N$24:N119)</f>
        <v>25531</v>
      </c>
      <c r="P120" s="3">
        <f>K120*VLOOKUP(A120,金币产出!$I$7:$J$557,2,0)</f>
        <v>21.843281224680364</v>
      </c>
    </row>
    <row r="121" spans="1:16" x14ac:dyDescent="0.15">
      <c r="A121" s="3">
        <v>98</v>
      </c>
      <c r="B121" s="3">
        <f t="shared" si="12"/>
        <v>5</v>
      </c>
      <c r="C121" s="3">
        <f t="shared" si="13"/>
        <v>2127.6000000000004</v>
      </c>
      <c r="D121" s="3">
        <f t="shared" si="14"/>
        <v>133.50000000000045</v>
      </c>
      <c r="E121" s="3">
        <f>SUM($D$24:D121)</f>
        <v>6027.6</v>
      </c>
      <c r="F121" s="3">
        <f t="shared" si="15"/>
        <v>100.46000000000001</v>
      </c>
      <c r="G121" s="3">
        <f t="shared" si="15"/>
        <v>1.6743333333333335</v>
      </c>
      <c r="H121" s="3">
        <f t="shared" si="16"/>
        <v>6.9763888888888889E-2</v>
      </c>
      <c r="I121" s="3">
        <f>IF(ISNA(MATCH(H121,关卡!$E$19:$E$2018,1)),0,MATCH(H121,关卡!$E$19:$E$2018,1))</f>
        <v>32</v>
      </c>
      <c r="J121" s="3">
        <f>VLOOKUP($I121,关卡!$A$17:$G$2018,6,0)</f>
        <v>2.6524549488639999</v>
      </c>
      <c r="K121" s="3">
        <f>VLOOKUP($I121,关卡!$A$17:$G$2018,7,0)</f>
        <v>6.6390206259199998</v>
      </c>
      <c r="L121" s="3">
        <f t="shared" si="17"/>
        <v>9548.8378159103995</v>
      </c>
      <c r="M121" s="3">
        <f t="shared" si="18"/>
        <v>23900.474253312001</v>
      </c>
      <c r="N121" s="3">
        <f>INT(D121*J121*VLOOKUP(A121,经验产出!$I$7:$J$557,2,0))</f>
        <v>1549</v>
      </c>
      <c r="O121" s="3">
        <f>SUM($N$24:N120)</f>
        <v>26985</v>
      </c>
      <c r="P121" s="3">
        <f>K121*VLOOKUP(A121,金币产出!$I$7:$J$557,2,0)</f>
        <v>22.617467321773344</v>
      </c>
    </row>
    <row r="122" spans="1:16" x14ac:dyDescent="0.15">
      <c r="A122" s="3">
        <v>99</v>
      </c>
      <c r="B122" s="3">
        <f t="shared" si="12"/>
        <v>5</v>
      </c>
      <c r="C122" s="3">
        <f t="shared" si="13"/>
        <v>2262.9</v>
      </c>
      <c r="D122" s="3">
        <f t="shared" si="14"/>
        <v>135.29999999999973</v>
      </c>
      <c r="E122" s="3">
        <f>SUM($D$24:D122)</f>
        <v>6162.9</v>
      </c>
      <c r="F122" s="3">
        <f t="shared" si="15"/>
        <v>102.71499999999999</v>
      </c>
      <c r="G122" s="3">
        <f t="shared" si="15"/>
        <v>1.7119166666666665</v>
      </c>
      <c r="H122" s="3">
        <f t="shared" si="16"/>
        <v>7.1329861111111101E-2</v>
      </c>
      <c r="I122" s="3">
        <f>IF(ISNA(MATCH(H122,关卡!$E$19:$E$2018,1)),0,MATCH(H122,关卡!$E$19:$E$2018,1))</f>
        <v>33</v>
      </c>
      <c r="J122" s="3">
        <f>VLOOKUP($I122,关卡!$A$17:$G$2018,6,0)</f>
        <v>2.7058272114049378</v>
      </c>
      <c r="K122" s="3">
        <f>VLOOKUP($I122,关卡!$A$17:$G$2018,7,0)</f>
        <v>6.6915183601559374</v>
      </c>
      <c r="L122" s="3">
        <f t="shared" si="17"/>
        <v>9740.9779610577752</v>
      </c>
      <c r="M122" s="3">
        <f t="shared" si="18"/>
        <v>24089.466096561373</v>
      </c>
      <c r="N122" s="3">
        <f>INT(D122*J122*VLOOKUP(A122,经验产出!$I$7:$J$557,2,0))</f>
        <v>1650</v>
      </c>
      <c r="O122" s="3">
        <f>SUM($N$24:N121)</f>
        <v>28534</v>
      </c>
      <c r="P122" s="3">
        <f>K122*VLOOKUP(A122,金币产出!$I$7:$J$557,2,0)</f>
        <v>23.419642245155945</v>
      </c>
    </row>
    <row r="123" spans="1:16" x14ac:dyDescent="0.15">
      <c r="A123" s="3">
        <v>100</v>
      </c>
      <c r="B123" s="3">
        <f t="shared" si="12"/>
        <v>5</v>
      </c>
      <c r="C123" s="3">
        <f t="shared" si="13"/>
        <v>2400</v>
      </c>
      <c r="D123" s="3">
        <f t="shared" si="14"/>
        <v>137.09999999999991</v>
      </c>
      <c r="E123" s="3">
        <f>SUM($D$24:D123)</f>
        <v>6300</v>
      </c>
      <c r="F123" s="3">
        <f t="shared" si="15"/>
        <v>105</v>
      </c>
      <c r="G123" s="3">
        <f t="shared" si="15"/>
        <v>1.75</v>
      </c>
      <c r="H123" s="3">
        <f t="shared" si="16"/>
        <v>7.2916666666666671E-2</v>
      </c>
      <c r="I123" s="3">
        <f>IF(ISNA(MATCH(H123,关卡!$E$19:$E$2018,1)),0,MATCH(H123,关卡!$E$19:$E$2018,1))</f>
        <v>33</v>
      </c>
      <c r="J123" s="3">
        <f>VLOOKUP($I123,关卡!$A$17:$G$2018,6,0)</f>
        <v>2.7058272114049378</v>
      </c>
      <c r="K123" s="3">
        <f>VLOOKUP($I123,关卡!$A$17:$G$2018,7,0)</f>
        <v>6.6915183601559374</v>
      </c>
      <c r="L123" s="3">
        <f t="shared" si="17"/>
        <v>9740.9779610577752</v>
      </c>
      <c r="M123" s="3">
        <f t="shared" si="18"/>
        <v>24089.466096561373</v>
      </c>
      <c r="N123" s="3">
        <f>INT(D123*J123*VLOOKUP(A123,经验产出!$I$7:$J$557,2,0))</f>
        <v>1722</v>
      </c>
      <c r="O123" s="3">
        <f>SUM($N$24:N122)</f>
        <v>30184</v>
      </c>
      <c r="P123" s="3">
        <f>K123*VLOOKUP(A123,金币产出!$I$7:$J$557,2,0)</f>
        <v>24.061584770060723</v>
      </c>
    </row>
    <row r="124" spans="1:16" x14ac:dyDescent="0.15">
      <c r="A124" s="3">
        <v>101</v>
      </c>
      <c r="B124" s="3">
        <f t="shared" si="12"/>
        <v>6</v>
      </c>
      <c r="C124" s="3">
        <f t="shared" si="13"/>
        <v>162.9</v>
      </c>
      <c r="D124" s="3">
        <f t="shared" si="14"/>
        <v>162.9</v>
      </c>
      <c r="E124" s="3">
        <f>SUM($D$24:D124)</f>
        <v>6462.9</v>
      </c>
      <c r="F124" s="3">
        <f t="shared" si="15"/>
        <v>107.71499999999999</v>
      </c>
      <c r="G124" s="3">
        <f t="shared" si="15"/>
        <v>1.7952499999999998</v>
      </c>
      <c r="H124" s="3">
        <f t="shared" si="16"/>
        <v>7.4802083333333325E-2</v>
      </c>
      <c r="I124" s="3">
        <f>IF(ISNA(MATCH(H124,关卡!$E$19:$E$2018,1)),0,MATCH(H124,关卡!$E$19:$E$2018,1))</f>
        <v>34</v>
      </c>
      <c r="J124" s="3">
        <f>VLOOKUP($I124,关卡!$A$17:$G$2018,6,0)</f>
        <v>2.7593072248790005</v>
      </c>
      <c r="K124" s="3">
        <f>VLOOKUP($I124,关卡!$A$17:$G$2018,7,0)</f>
        <v>6.7440948844950004</v>
      </c>
      <c r="L124" s="3">
        <f t="shared" si="17"/>
        <v>9933.5060095644021</v>
      </c>
      <c r="M124" s="3">
        <f t="shared" si="18"/>
        <v>24278.741584182</v>
      </c>
      <c r="N124" s="3">
        <f>INT(D124*J124*VLOOKUP(A124,经验产出!$I$7:$J$557,2,0))</f>
        <v>2086</v>
      </c>
      <c r="O124" s="3">
        <f>SUM($N$24:N123)</f>
        <v>31906</v>
      </c>
      <c r="P124" s="3">
        <f>K124*VLOOKUP(A124,金币产出!$I$7:$J$557,2,0)</f>
        <v>24.250641188829938</v>
      </c>
    </row>
    <row r="125" spans="1:16" x14ac:dyDescent="0.15">
      <c r="A125" s="3">
        <v>102</v>
      </c>
      <c r="B125" s="3">
        <f t="shared" si="12"/>
        <v>6</v>
      </c>
      <c r="C125" s="3">
        <f t="shared" si="13"/>
        <v>327.60000000000002</v>
      </c>
      <c r="D125" s="3">
        <f t="shared" si="14"/>
        <v>164.70000000000002</v>
      </c>
      <c r="E125" s="3">
        <f>SUM($D$24:D125)</f>
        <v>6627.5999999999995</v>
      </c>
      <c r="F125" s="3">
        <f t="shared" si="15"/>
        <v>110.46</v>
      </c>
      <c r="G125" s="3">
        <f t="shared" si="15"/>
        <v>1.841</v>
      </c>
      <c r="H125" s="3">
        <f t="shared" si="16"/>
        <v>7.6708333333333337E-2</v>
      </c>
      <c r="I125" s="3">
        <f>IF(ISNA(MATCH(H125,关卡!$E$19:$E$2018,1)),0,MATCH(H125,关卡!$E$19:$E$2018,1))</f>
        <v>35</v>
      </c>
      <c r="J125" s="3">
        <f>VLOOKUP($I125,关卡!$A$17:$G$2018,6,0)</f>
        <v>2.8128952343359375</v>
      </c>
      <c r="K125" s="3">
        <f>VLOOKUP($I125,关卡!$A$17:$G$2018,7,0)</f>
        <v>6.7967503162109386</v>
      </c>
      <c r="L125" s="3">
        <f t="shared" si="17"/>
        <v>10126.422843609374</v>
      </c>
      <c r="M125" s="3">
        <f t="shared" si="18"/>
        <v>24468.30113835938</v>
      </c>
      <c r="N125" s="3">
        <f>INT(D125*J125*VLOOKUP(A125,经验产出!$I$7:$J$557,2,0))</f>
        <v>2150</v>
      </c>
      <c r="O125" s="3">
        <f>SUM($N$24:N124)</f>
        <v>33992</v>
      </c>
      <c r="P125" s="3">
        <f>K125*VLOOKUP(A125,金币产出!$I$7:$J$557,2,0)</f>
        <v>24.439981345375166</v>
      </c>
    </row>
    <row r="126" spans="1:16" x14ac:dyDescent="0.15">
      <c r="A126" s="3">
        <v>103</v>
      </c>
      <c r="B126" s="3">
        <f t="shared" si="12"/>
        <v>6</v>
      </c>
      <c r="C126" s="3">
        <f t="shared" si="13"/>
        <v>494.1</v>
      </c>
      <c r="D126" s="3">
        <f t="shared" si="14"/>
        <v>166.5</v>
      </c>
      <c r="E126" s="3">
        <f>SUM($D$24:D126)</f>
        <v>6794.0999999999995</v>
      </c>
      <c r="F126" s="3">
        <f t="shared" si="15"/>
        <v>113.23499999999999</v>
      </c>
      <c r="G126" s="3">
        <f t="shared" si="15"/>
        <v>1.8872499999999997</v>
      </c>
      <c r="H126" s="3">
        <f t="shared" si="16"/>
        <v>7.8635416666666652E-2</v>
      </c>
      <c r="I126" s="3">
        <f>IF(ISNA(MATCH(H126,关卡!$E$19:$E$2018,1)),0,MATCH(H126,关卡!$E$19:$E$2018,1))</f>
        <v>35</v>
      </c>
      <c r="J126" s="3">
        <f>VLOOKUP($I126,关卡!$A$17:$G$2018,6,0)</f>
        <v>2.8128952343359375</v>
      </c>
      <c r="K126" s="3">
        <f>VLOOKUP($I126,关卡!$A$17:$G$2018,7,0)</f>
        <v>6.7967503162109386</v>
      </c>
      <c r="L126" s="3">
        <f t="shared" si="17"/>
        <v>10126.422843609374</v>
      </c>
      <c r="M126" s="3">
        <f t="shared" si="18"/>
        <v>24468.30113835938</v>
      </c>
      <c r="N126" s="3">
        <f>INT(D126*J126*VLOOKUP(A126,经验产出!$I$7:$J$557,2,0))</f>
        <v>2174</v>
      </c>
      <c r="O126" s="3">
        <f>SUM($N$24:N125)</f>
        <v>36142</v>
      </c>
      <c r="P126" s="3">
        <f>K126*VLOOKUP(A126,金币产出!$I$7:$J$557,2,0)</f>
        <v>24.439981345375166</v>
      </c>
    </row>
    <row r="127" spans="1:16" x14ac:dyDescent="0.15">
      <c r="A127" s="3">
        <v>104</v>
      </c>
      <c r="B127" s="3">
        <f t="shared" si="12"/>
        <v>6</v>
      </c>
      <c r="C127" s="3">
        <f t="shared" si="13"/>
        <v>662.40000000000009</v>
      </c>
      <c r="D127" s="3">
        <f t="shared" si="14"/>
        <v>168.30000000000007</v>
      </c>
      <c r="E127" s="3">
        <f>SUM($D$24:D127)</f>
        <v>6962.4</v>
      </c>
      <c r="F127" s="3">
        <f t="shared" si="15"/>
        <v>116.03999999999999</v>
      </c>
      <c r="G127" s="3">
        <f t="shared" si="15"/>
        <v>1.9339999999999999</v>
      </c>
      <c r="H127" s="3">
        <f t="shared" si="16"/>
        <v>8.0583333333333326E-2</v>
      </c>
      <c r="I127" s="3">
        <f>IF(ISNA(MATCH(H127,关卡!$E$19:$E$2018,1)),0,MATCH(H127,关卡!$E$19:$E$2018,1))</f>
        <v>36</v>
      </c>
      <c r="J127" s="3">
        <f>VLOOKUP($I127,关卡!$A$17:$G$2018,6,0)</f>
        <v>2.8665914854239993</v>
      </c>
      <c r="K127" s="3">
        <f>VLOOKUP($I127,关卡!$A$17:$G$2018,7,0)</f>
        <v>6.8494847727200003</v>
      </c>
      <c r="L127" s="3">
        <f t="shared" si="17"/>
        <v>10319.729347526398</v>
      </c>
      <c r="M127" s="3">
        <f t="shared" si="18"/>
        <v>24658.145181791999</v>
      </c>
      <c r="N127" s="3">
        <f>INT(D127*J127*VLOOKUP(A127,经验产出!$I$7:$J$557,2,0))</f>
        <v>2239</v>
      </c>
      <c r="O127" s="3">
        <f>SUM($N$24:N126)</f>
        <v>38316</v>
      </c>
      <c r="P127" s="3">
        <f>K127*VLOOKUP(A127,金币产出!$I$7:$J$557,2,0)</f>
        <v>24.629605661905668</v>
      </c>
    </row>
    <row r="128" spans="1:16" x14ac:dyDescent="0.15">
      <c r="A128" s="3">
        <v>105</v>
      </c>
      <c r="B128" s="3">
        <f t="shared" si="12"/>
        <v>6</v>
      </c>
      <c r="C128" s="3">
        <f t="shared" si="13"/>
        <v>832.5</v>
      </c>
      <c r="D128" s="3">
        <f t="shared" si="14"/>
        <v>170.09999999999991</v>
      </c>
      <c r="E128" s="3">
        <f>SUM($D$24:D128)</f>
        <v>7132.5</v>
      </c>
      <c r="F128" s="3">
        <f t="shared" si="15"/>
        <v>118.875</v>
      </c>
      <c r="G128" s="3">
        <f t="shared" si="15"/>
        <v>1.98125</v>
      </c>
      <c r="H128" s="3">
        <f t="shared" si="16"/>
        <v>8.2552083333333331E-2</v>
      </c>
      <c r="I128" s="3">
        <f>IF(ISNA(MATCH(H128,关卡!$E$19:$E$2018,1)),0,MATCH(H128,关卡!$E$19:$E$2018,1))</f>
        <v>37</v>
      </c>
      <c r="J128" s="3">
        <f>VLOOKUP($I128,关卡!$A$17:$G$2018,6,0)</f>
        <v>2.9203962243899375</v>
      </c>
      <c r="K128" s="3">
        <f>VLOOKUP($I128,关卡!$A$17:$G$2018,7,0)</f>
        <v>6.9022983715809376</v>
      </c>
      <c r="L128" s="3">
        <f t="shared" si="17"/>
        <v>10513.426407803774</v>
      </c>
      <c r="M128" s="3">
        <f t="shared" si="18"/>
        <v>24848.274137691376</v>
      </c>
      <c r="N128" s="3">
        <f>INT(D128*J128*VLOOKUP(A128,经验产出!$I$7:$J$557,2,0))</f>
        <v>2306</v>
      </c>
      <c r="O128" s="3">
        <f>SUM($N$24:N127)</f>
        <v>40555</v>
      </c>
      <c r="P128" s="3">
        <f>K128*VLOOKUP(A128,金币产出!$I$7:$J$557,2,0)</f>
        <v>24.819514561143119</v>
      </c>
    </row>
    <row r="129" spans="1:16" x14ac:dyDescent="0.15">
      <c r="A129" s="3">
        <v>106</v>
      </c>
      <c r="B129" s="3">
        <f t="shared" si="12"/>
        <v>6</v>
      </c>
      <c r="C129" s="3">
        <f t="shared" si="13"/>
        <v>1004.4000000000001</v>
      </c>
      <c r="D129" s="3">
        <f t="shared" si="14"/>
        <v>171.90000000000009</v>
      </c>
      <c r="E129" s="3">
        <f>SUM($D$24:D129)</f>
        <v>7304.4</v>
      </c>
      <c r="F129" s="3">
        <f t="shared" si="15"/>
        <v>121.74</v>
      </c>
      <c r="G129" s="3">
        <f t="shared" si="15"/>
        <v>2.0289999999999999</v>
      </c>
      <c r="H129" s="3">
        <f t="shared" si="16"/>
        <v>8.4541666666666668E-2</v>
      </c>
      <c r="I129" s="3">
        <f>IF(ISNA(MATCH(H129,关卡!$E$19:$E$2018,1)),0,MATCH(H129,关卡!$E$19:$E$2018,1))</f>
        <v>38</v>
      </c>
      <c r="J129" s="3">
        <f>VLOOKUP($I129,关卡!$A$17:$G$2018,6,0)</f>
        <v>2.9743096980790003</v>
      </c>
      <c r="K129" s="3">
        <f>VLOOKUP($I129,关卡!$A$17:$G$2018,7,0)</f>
        <v>6.9551912304950001</v>
      </c>
      <c r="L129" s="3">
        <f t="shared" si="17"/>
        <v>10707.514913084402</v>
      </c>
      <c r="M129" s="3">
        <f t="shared" si="18"/>
        <v>25038.688429782</v>
      </c>
      <c r="N129" s="3">
        <f>INT(D129*J129*VLOOKUP(A129,经验产出!$I$7:$J$557,2,0))</f>
        <v>2373</v>
      </c>
      <c r="O129" s="3">
        <f>SUM($N$24:N128)</f>
        <v>42861</v>
      </c>
      <c r="P129" s="3">
        <f>K129*VLOOKUP(A129,金币产出!$I$7:$J$557,2,0)</f>
        <v>25.009708466321605</v>
      </c>
    </row>
    <row r="130" spans="1:16" x14ac:dyDescent="0.15">
      <c r="A130" s="3">
        <v>107</v>
      </c>
      <c r="B130" s="3">
        <f t="shared" si="12"/>
        <v>6</v>
      </c>
      <c r="C130" s="3">
        <f t="shared" si="13"/>
        <v>1178.0999999999999</v>
      </c>
      <c r="D130" s="3">
        <f t="shared" si="14"/>
        <v>173.69999999999982</v>
      </c>
      <c r="E130" s="3">
        <f>SUM($D$24:D130)</f>
        <v>7478.0999999999995</v>
      </c>
      <c r="F130" s="3">
        <f t="shared" si="15"/>
        <v>124.63499999999999</v>
      </c>
      <c r="G130" s="3">
        <f t="shared" si="15"/>
        <v>2.0772499999999998</v>
      </c>
      <c r="H130" s="3">
        <f t="shared" si="16"/>
        <v>8.6552083333333321E-2</v>
      </c>
      <c r="I130" s="3">
        <f>IF(ISNA(MATCH(H130,关卡!$E$19:$E$2018,1)),0,MATCH(H130,关卡!$E$19:$E$2018,1))</f>
        <v>38</v>
      </c>
      <c r="J130" s="3">
        <f>VLOOKUP($I130,关卡!$A$17:$G$2018,6,0)</f>
        <v>2.9743096980790003</v>
      </c>
      <c r="K130" s="3">
        <f>VLOOKUP($I130,关卡!$A$17:$G$2018,7,0)</f>
        <v>6.9551912304950001</v>
      </c>
      <c r="L130" s="3">
        <f t="shared" si="17"/>
        <v>10707.514913084402</v>
      </c>
      <c r="M130" s="3">
        <f t="shared" si="18"/>
        <v>25038.688429782</v>
      </c>
      <c r="N130" s="3">
        <f>INT(D130*J130*VLOOKUP(A130,经验产出!$I$7:$J$557,2,0))</f>
        <v>2398</v>
      </c>
      <c r="O130" s="3">
        <f>SUM($N$24:N129)</f>
        <v>45234</v>
      </c>
      <c r="P130" s="3">
        <f>K130*VLOOKUP(A130,金币产出!$I$7:$J$557,2,0)</f>
        <v>25.009708466321605</v>
      </c>
    </row>
    <row r="131" spans="1:16" x14ac:dyDescent="0.15">
      <c r="A131" s="3">
        <v>108</v>
      </c>
      <c r="B131" s="3">
        <f t="shared" si="12"/>
        <v>6</v>
      </c>
      <c r="C131" s="3">
        <f t="shared" si="13"/>
        <v>1353.6000000000001</v>
      </c>
      <c r="D131" s="3">
        <f t="shared" si="14"/>
        <v>175.50000000000023</v>
      </c>
      <c r="E131" s="3">
        <f>SUM($D$24:D131)</f>
        <v>7653.5999999999995</v>
      </c>
      <c r="F131" s="3">
        <f t="shared" si="15"/>
        <v>127.55999999999999</v>
      </c>
      <c r="G131" s="3">
        <f t="shared" si="15"/>
        <v>2.1259999999999999</v>
      </c>
      <c r="H131" s="3">
        <f t="shared" si="16"/>
        <v>8.8583333333333333E-2</v>
      </c>
      <c r="I131" s="3">
        <f>IF(ISNA(MATCH(H131,关卡!$E$19:$E$2018,1)),0,MATCH(H131,关卡!$E$19:$E$2018,1))</f>
        <v>39</v>
      </c>
      <c r="J131" s="3">
        <f>VLOOKUP($I131,关卡!$A$17:$G$2018,6,0)</f>
        <v>3.0283321539349375</v>
      </c>
      <c r="K131" s="3">
        <f>VLOOKUP($I131,关卡!$A$17:$G$2018,7,0)</f>
        <v>7.0081634673059385</v>
      </c>
      <c r="L131" s="3">
        <f t="shared" si="17"/>
        <v>10901.995754165775</v>
      </c>
      <c r="M131" s="3">
        <f t="shared" si="18"/>
        <v>25229.38848230138</v>
      </c>
      <c r="N131" s="3">
        <f>INT(D131*J131*VLOOKUP(A131,经验产出!$I$7:$J$557,2,0))</f>
        <v>2467</v>
      </c>
      <c r="O131" s="3">
        <f>SUM($N$24:N130)</f>
        <v>47632</v>
      </c>
      <c r="P131" s="3">
        <f>K131*VLOOKUP(A131,金币产出!$I$7:$J$557,2,0)</f>
        <v>25.200187801187603</v>
      </c>
    </row>
    <row r="132" spans="1:16" x14ac:dyDescent="0.15">
      <c r="A132" s="3">
        <v>109</v>
      </c>
      <c r="B132" s="3">
        <f t="shared" si="12"/>
        <v>6</v>
      </c>
      <c r="C132" s="3">
        <f t="shared" si="13"/>
        <v>1530.9</v>
      </c>
      <c r="D132" s="3">
        <f t="shared" si="14"/>
        <v>177.29999999999995</v>
      </c>
      <c r="E132" s="3">
        <f>SUM($D$24:D132)</f>
        <v>7830.9</v>
      </c>
      <c r="F132" s="3">
        <f t="shared" si="15"/>
        <v>130.51499999999999</v>
      </c>
      <c r="G132" s="3">
        <f t="shared" si="15"/>
        <v>2.1752499999999997</v>
      </c>
      <c r="H132" s="3">
        <f t="shared" si="16"/>
        <v>9.0635416666666649E-2</v>
      </c>
      <c r="I132" s="3">
        <f>IF(ISNA(MATCH(H132,关卡!$E$19:$E$2018,1)),0,MATCH(H132,关卡!$E$19:$E$2018,1))</f>
        <v>40</v>
      </c>
      <c r="J132" s="3">
        <f>VLOOKUP($I132,关卡!$A$17:$G$2018,6,0)</f>
        <v>3.0824638400000004</v>
      </c>
      <c r="K132" s="3">
        <f>VLOOKUP($I132,关卡!$A$17:$G$2018,7,0)</f>
        <v>7.0612152000000004</v>
      </c>
      <c r="L132" s="3">
        <f t="shared" si="17"/>
        <v>11096.869824000001</v>
      </c>
      <c r="M132" s="3">
        <f t="shared" si="18"/>
        <v>25420.37472</v>
      </c>
      <c r="N132" s="3">
        <f>INT(D132*J132*VLOOKUP(A132,经验产出!$I$7:$J$557,2,0))</f>
        <v>2537</v>
      </c>
      <c r="O132" s="3">
        <f>SUM($N$24:N131)</f>
        <v>50099</v>
      </c>
      <c r="P132" s="3">
        <f>K132*VLOOKUP(A132,金币产出!$I$7:$J$557,2,0)</f>
        <v>25.390952989999999</v>
      </c>
    </row>
    <row r="133" spans="1:16" x14ac:dyDescent="0.15">
      <c r="A133" s="3">
        <v>110</v>
      </c>
      <c r="B133" s="3">
        <f t="shared" si="12"/>
        <v>6</v>
      </c>
      <c r="C133" s="3">
        <f t="shared" si="13"/>
        <v>1710.0000000000002</v>
      </c>
      <c r="D133" s="3">
        <f t="shared" si="14"/>
        <v>179.10000000000014</v>
      </c>
      <c r="E133" s="3">
        <f>SUM($D$24:D133)</f>
        <v>8010</v>
      </c>
      <c r="F133" s="3">
        <f t="shared" si="15"/>
        <v>133.5</v>
      </c>
      <c r="G133" s="3">
        <f t="shared" si="15"/>
        <v>2.2250000000000001</v>
      </c>
      <c r="H133" s="3">
        <f t="shared" si="16"/>
        <v>9.2708333333333337E-2</v>
      </c>
      <c r="I133" s="3">
        <f>IF(ISNA(MATCH(H133,关卡!$E$19:$E$2018,1)),0,MATCH(H133,关卡!$E$19:$E$2018,1))</f>
        <v>41</v>
      </c>
      <c r="J133" s="3">
        <f>VLOOKUP($I133,关卡!$A$17:$G$2018,6,0)</f>
        <v>3.1367050049149379</v>
      </c>
      <c r="K133" s="3">
        <f>VLOOKUP($I133,关卡!$A$17:$G$2018,7,0)</f>
        <v>7.1143465467059377</v>
      </c>
      <c r="L133" s="3">
        <f t="shared" si="17"/>
        <v>11292.138017693776</v>
      </c>
      <c r="M133" s="3">
        <f t="shared" si="18"/>
        <v>25611.647568141376</v>
      </c>
      <c r="N133" s="3">
        <f>INT(D133*J133*VLOOKUP(A133,经验产出!$I$7:$J$557,2,0))</f>
        <v>2608</v>
      </c>
      <c r="O133" s="3">
        <f>SUM($N$24:N132)</f>
        <v>52636</v>
      </c>
      <c r="P133" s="3">
        <f>K133*VLOOKUP(A133,金币产出!$I$7:$J$557,2,0)</f>
        <v>25.5820044575301</v>
      </c>
    </row>
    <row r="134" spans="1:16" x14ac:dyDescent="0.15">
      <c r="A134" s="3">
        <v>111</v>
      </c>
      <c r="B134" s="3">
        <f t="shared" si="12"/>
        <v>6</v>
      </c>
      <c r="C134" s="3">
        <f t="shared" si="13"/>
        <v>1890.9000000000003</v>
      </c>
      <c r="D134" s="3">
        <f t="shared" si="14"/>
        <v>180.90000000000009</v>
      </c>
      <c r="E134" s="3">
        <f>SUM($D$24:D134)</f>
        <v>8190.9</v>
      </c>
      <c r="F134" s="3">
        <f t="shared" si="15"/>
        <v>136.51499999999999</v>
      </c>
      <c r="G134" s="3">
        <f t="shared" si="15"/>
        <v>2.2752499999999998</v>
      </c>
      <c r="H134" s="3">
        <f t="shared" si="16"/>
        <v>9.4802083333333328E-2</v>
      </c>
      <c r="I134" s="3">
        <f>IF(ISNA(MATCH(H134,关卡!$E$19:$E$2018,1)),0,MATCH(H134,关卡!$E$19:$E$2018,1))</f>
        <v>41</v>
      </c>
      <c r="J134" s="3">
        <f>VLOOKUP($I134,关卡!$A$17:$G$2018,6,0)</f>
        <v>3.1367050049149379</v>
      </c>
      <c r="K134" s="3">
        <f>VLOOKUP($I134,关卡!$A$17:$G$2018,7,0)</f>
        <v>7.1143465467059377</v>
      </c>
      <c r="L134" s="3">
        <f t="shared" si="17"/>
        <v>11292.138017693776</v>
      </c>
      <c r="M134" s="3">
        <f t="shared" si="18"/>
        <v>25611.647568141376</v>
      </c>
      <c r="N134" s="3">
        <f>INT(D134*J134*VLOOKUP(A134,经验产出!$I$7:$J$557,2,0))</f>
        <v>2634</v>
      </c>
      <c r="O134" s="3">
        <f>SUM($N$24:N133)</f>
        <v>55244</v>
      </c>
      <c r="P134" s="3">
        <f>K134*VLOOKUP(A134,金币产出!$I$7:$J$557,2,0)</f>
        <v>25.5820044575301</v>
      </c>
    </row>
    <row r="135" spans="1:16" x14ac:dyDescent="0.15">
      <c r="A135" s="3">
        <v>112</v>
      </c>
      <c r="B135" s="3">
        <f t="shared" si="12"/>
        <v>6</v>
      </c>
      <c r="C135" s="3">
        <f t="shared" si="13"/>
        <v>2073.6000000000004</v>
      </c>
      <c r="D135" s="3">
        <f t="shared" si="14"/>
        <v>182.70000000000005</v>
      </c>
      <c r="E135" s="3">
        <f>SUM($D$24:D135)</f>
        <v>8373.6</v>
      </c>
      <c r="F135" s="3">
        <f t="shared" si="15"/>
        <v>139.56</v>
      </c>
      <c r="G135" s="3">
        <f t="shared" si="15"/>
        <v>2.3260000000000001</v>
      </c>
      <c r="H135" s="3">
        <f t="shared" si="16"/>
        <v>9.6916666666666665E-2</v>
      </c>
      <c r="I135" s="3">
        <f>IF(ISNA(MATCH(H135,关卡!$E$19:$E$2018,1)),0,MATCH(H135,关卡!$E$19:$E$2018,1))</f>
        <v>42</v>
      </c>
      <c r="J135" s="3">
        <f>VLOOKUP($I135,关卡!$A$17:$G$2018,6,0)</f>
        <v>3.1910558979190005</v>
      </c>
      <c r="K135" s="3">
        <f>VLOOKUP($I135,关卡!$A$17:$G$2018,7,0)</f>
        <v>7.1675576256950011</v>
      </c>
      <c r="L135" s="3">
        <f t="shared" si="17"/>
        <v>11487.801232508402</v>
      </c>
      <c r="M135" s="3">
        <f t="shared" si="18"/>
        <v>25803.207452502003</v>
      </c>
      <c r="N135" s="3">
        <f>INT(D135*J135*VLOOKUP(A135,经验产出!$I$7:$J$557,2,0))</f>
        <v>2706</v>
      </c>
      <c r="O135" s="3">
        <f>SUM($N$24:N134)</f>
        <v>57878</v>
      </c>
      <c r="P135" s="3">
        <f>K135*VLOOKUP(A135,金币产出!$I$7:$J$557,2,0)</f>
        <v>25.773342629061606</v>
      </c>
    </row>
    <row r="136" spans="1:16" x14ac:dyDescent="0.15">
      <c r="A136" s="3">
        <v>113</v>
      </c>
      <c r="B136" s="3">
        <f t="shared" si="12"/>
        <v>6</v>
      </c>
      <c r="C136" s="3">
        <f t="shared" si="13"/>
        <v>2258.1000000000004</v>
      </c>
      <c r="D136" s="3">
        <f t="shared" si="14"/>
        <v>184.5</v>
      </c>
      <c r="E136" s="3">
        <f>SUM($D$24:D136)</f>
        <v>8558.1</v>
      </c>
      <c r="F136" s="3">
        <f t="shared" si="15"/>
        <v>142.63500000000002</v>
      </c>
      <c r="G136" s="3">
        <f t="shared" si="15"/>
        <v>2.3772500000000005</v>
      </c>
      <c r="H136" s="3">
        <f t="shared" si="16"/>
        <v>9.905208333333336E-2</v>
      </c>
      <c r="I136" s="3">
        <f>IF(ISNA(MATCH(H136,关卡!$E$19:$E$2018,1)),0,MATCH(H136,关卡!$E$19:$E$2018,1))</f>
        <v>43</v>
      </c>
      <c r="J136" s="3">
        <f>VLOOKUP($I136,关卡!$A$17:$G$2018,6,0)</f>
        <v>3.2455167688499373</v>
      </c>
      <c r="K136" s="3">
        <f>VLOOKUP($I136,关卡!$A$17:$G$2018,7,0)</f>
        <v>7.2208485553809378</v>
      </c>
      <c r="L136" s="3">
        <f t="shared" si="17"/>
        <v>11683.860367859774</v>
      </c>
      <c r="M136" s="3">
        <f t="shared" si="18"/>
        <v>25995.054799371377</v>
      </c>
      <c r="N136" s="3">
        <f>INT(D136*J136*VLOOKUP(A136,经验产出!$I$7:$J$557,2,0))</f>
        <v>2779</v>
      </c>
      <c r="O136" s="3">
        <f>SUM($N$24:N135)</f>
        <v>60584</v>
      </c>
      <c r="P136" s="3">
        <f>K136*VLOOKUP(A136,金币产出!$I$7:$J$557,2,0)</f>
        <v>25.964967930390621</v>
      </c>
    </row>
    <row r="137" spans="1:16" x14ac:dyDescent="0.15">
      <c r="A137" s="3">
        <v>114</v>
      </c>
      <c r="B137" s="3">
        <f t="shared" si="12"/>
        <v>6</v>
      </c>
      <c r="C137" s="3">
        <f t="shared" si="13"/>
        <v>2444.4</v>
      </c>
      <c r="D137" s="3">
        <f t="shared" si="14"/>
        <v>186.29999999999973</v>
      </c>
      <c r="E137" s="3">
        <f>SUM($D$24:D137)</f>
        <v>8744.4</v>
      </c>
      <c r="F137" s="3">
        <f t="shared" si="15"/>
        <v>145.73999999999998</v>
      </c>
      <c r="G137" s="3">
        <f t="shared" si="15"/>
        <v>2.4289999999999998</v>
      </c>
      <c r="H137" s="3">
        <f t="shared" si="16"/>
        <v>0.10120833333333333</v>
      </c>
      <c r="I137" s="3">
        <f>IF(ISNA(MATCH(H137,关卡!$E$19:$E$2018,1)),0,MATCH(H137,关卡!$E$19:$E$2018,1))</f>
        <v>44</v>
      </c>
      <c r="J137" s="3">
        <f>VLOOKUP($I137,关卡!$A$17:$G$2018,6,0)</f>
        <v>3.3000878681440002</v>
      </c>
      <c r="K137" s="3">
        <f>VLOOKUP($I137,关卡!$A$17:$G$2018,7,0)</f>
        <v>7.2742194543199989</v>
      </c>
      <c r="L137" s="3">
        <f t="shared" si="17"/>
        <v>11880.316325318401</v>
      </c>
      <c r="M137" s="3">
        <f t="shared" si="18"/>
        <v>26187.190035551994</v>
      </c>
      <c r="N137" s="3">
        <f>INT(D137*J137*VLOOKUP(A137,经验产出!$I$7:$J$557,2,0))</f>
        <v>2854</v>
      </c>
      <c r="O137" s="3">
        <f>SUM($N$24:N136)</f>
        <v>63363</v>
      </c>
      <c r="P137" s="3">
        <f>K137*VLOOKUP(A137,金币产出!$I$7:$J$557,2,0)</f>
        <v>26.156880787825664</v>
      </c>
    </row>
    <row r="138" spans="1:16" x14ac:dyDescent="0.15">
      <c r="A138" s="3">
        <v>115</v>
      </c>
      <c r="B138" s="3">
        <f t="shared" si="12"/>
        <v>6</v>
      </c>
      <c r="C138" s="3">
        <f t="shared" si="13"/>
        <v>2632.5000000000005</v>
      </c>
      <c r="D138" s="3">
        <f t="shared" si="14"/>
        <v>188.10000000000036</v>
      </c>
      <c r="E138" s="3">
        <f>SUM($D$24:D138)</f>
        <v>8932.5</v>
      </c>
      <c r="F138" s="3">
        <f t="shared" si="15"/>
        <v>148.875</v>
      </c>
      <c r="G138" s="3">
        <f t="shared" si="15"/>
        <v>2.4812500000000002</v>
      </c>
      <c r="H138" s="3">
        <f t="shared" si="16"/>
        <v>0.10338541666666667</v>
      </c>
      <c r="I138" s="3">
        <f>IF(ISNA(MATCH(H138,关卡!$E$19:$E$2018,1)),0,MATCH(H138,关卡!$E$19:$E$2018,1))</f>
        <v>44</v>
      </c>
      <c r="J138" s="3">
        <f>VLOOKUP($I138,关卡!$A$17:$G$2018,6,0)</f>
        <v>3.3000878681440002</v>
      </c>
      <c r="K138" s="3">
        <f>VLOOKUP($I138,关卡!$A$17:$G$2018,7,0)</f>
        <v>7.2742194543199989</v>
      </c>
      <c r="L138" s="3">
        <f t="shared" si="17"/>
        <v>11880.316325318401</v>
      </c>
      <c r="M138" s="3">
        <f t="shared" si="18"/>
        <v>26187.190035551994</v>
      </c>
      <c r="N138" s="3">
        <f>INT(D138*J138*VLOOKUP(A138,经验产出!$I$7:$J$557,2,0))</f>
        <v>2881</v>
      </c>
      <c r="O138" s="3">
        <f>SUM($N$24:N137)</f>
        <v>66217</v>
      </c>
      <c r="P138" s="3">
        <f>K138*VLOOKUP(A138,金币产出!$I$7:$J$557,2,0)</f>
        <v>26.156880787825664</v>
      </c>
    </row>
    <row r="139" spans="1:16" x14ac:dyDescent="0.15">
      <c r="A139" s="3">
        <v>116</v>
      </c>
      <c r="B139" s="3">
        <f t="shared" si="12"/>
        <v>6</v>
      </c>
      <c r="C139" s="3">
        <f t="shared" si="13"/>
        <v>2822.4000000000005</v>
      </c>
      <c r="D139" s="3">
        <f t="shared" si="14"/>
        <v>189.90000000000009</v>
      </c>
      <c r="E139" s="3">
        <f>SUM($D$24:D139)</f>
        <v>9122.4</v>
      </c>
      <c r="F139" s="3">
        <f t="shared" si="15"/>
        <v>152.04</v>
      </c>
      <c r="G139" s="3">
        <f t="shared" si="15"/>
        <v>2.5339999999999998</v>
      </c>
      <c r="H139" s="3">
        <f t="shared" si="16"/>
        <v>0.10558333333333332</v>
      </c>
      <c r="I139" s="3">
        <f>IF(ISNA(MATCH(H139,关卡!$E$19:$E$2018,1)),0,MATCH(H139,关卡!$E$19:$E$2018,1))</f>
        <v>45</v>
      </c>
      <c r="J139" s="3">
        <f>VLOOKUP($I139,关卡!$A$17:$G$2018,6,0)</f>
        <v>3.3547694468359373</v>
      </c>
      <c r="K139" s="3">
        <f>VLOOKUP($I139,关卡!$A$17:$G$2018,7,0)</f>
        <v>7.3276704412109366</v>
      </c>
      <c r="L139" s="3">
        <f t="shared" si="17"/>
        <v>12077.170008609373</v>
      </c>
      <c r="M139" s="3">
        <f t="shared" si="18"/>
        <v>26379.613588359371</v>
      </c>
      <c r="N139" s="3">
        <f>INT(D139*J139*VLOOKUP(A139,经验产出!$I$7:$J$557,2,0))</f>
        <v>2957</v>
      </c>
      <c r="O139" s="3">
        <f>SUM($N$24:N138)</f>
        <v>69098</v>
      </c>
      <c r="P139" s="3">
        <f>K139*VLOOKUP(A139,金币产出!$I$7:$J$557,2,0)</f>
        <v>26.349081628187658</v>
      </c>
    </row>
    <row r="140" spans="1:16" x14ac:dyDescent="0.15">
      <c r="A140" s="3">
        <v>117</v>
      </c>
      <c r="B140" s="3">
        <f t="shared" si="12"/>
        <v>6</v>
      </c>
      <c r="C140" s="3">
        <f t="shared" si="13"/>
        <v>3014.1000000000004</v>
      </c>
      <c r="D140" s="3">
        <f t="shared" si="14"/>
        <v>191.69999999999982</v>
      </c>
      <c r="E140" s="3">
        <f>SUM($D$24:D140)</f>
        <v>9314.0999999999985</v>
      </c>
      <c r="F140" s="3">
        <f t="shared" si="15"/>
        <v>155.23499999999999</v>
      </c>
      <c r="G140" s="3">
        <f t="shared" si="15"/>
        <v>2.5872499999999996</v>
      </c>
      <c r="H140" s="3">
        <f t="shared" si="16"/>
        <v>0.10780208333333331</v>
      </c>
      <c r="I140" s="3">
        <f>IF(ISNA(MATCH(H140,关卡!$E$19:$E$2018,1)),0,MATCH(H140,关卡!$E$19:$E$2018,1))</f>
        <v>46</v>
      </c>
      <c r="J140" s="3">
        <f>VLOOKUP($I140,关卡!$A$17:$G$2018,6,0)</f>
        <v>3.409561756559</v>
      </c>
      <c r="K140" s="3">
        <f>VLOOKUP($I140,关卡!$A$17:$G$2018,7,0)</f>
        <v>7.3812016348949996</v>
      </c>
      <c r="L140" s="3">
        <f t="shared" si="17"/>
        <v>12274.4223236124</v>
      </c>
      <c r="M140" s="3">
        <f t="shared" si="18"/>
        <v>26572.325885621998</v>
      </c>
      <c r="N140" s="3">
        <f>INT(D140*J140*VLOOKUP(A140,经验产出!$I$7:$J$557,2,0))</f>
        <v>3034</v>
      </c>
      <c r="O140" s="3">
        <f>SUM($N$24:N139)</f>
        <v>72055</v>
      </c>
      <c r="P140" s="3">
        <f>K140*VLOOKUP(A140,金币产出!$I$7:$J$557,2,0)</f>
        <v>26.541570878809935</v>
      </c>
    </row>
    <row r="141" spans="1:16" x14ac:dyDescent="0.15">
      <c r="A141" s="3">
        <v>118</v>
      </c>
      <c r="B141" s="3">
        <f t="shared" si="12"/>
        <v>6</v>
      </c>
      <c r="C141" s="3">
        <f t="shared" si="13"/>
        <v>3207.6</v>
      </c>
      <c r="D141" s="3">
        <f t="shared" si="14"/>
        <v>193.49999999999955</v>
      </c>
      <c r="E141" s="3">
        <f>SUM($D$24:D141)</f>
        <v>9507.5999999999985</v>
      </c>
      <c r="F141" s="3">
        <f t="shared" si="15"/>
        <v>158.45999999999998</v>
      </c>
      <c r="G141" s="3">
        <f t="shared" si="15"/>
        <v>2.6409999999999996</v>
      </c>
      <c r="H141" s="3">
        <f t="shared" si="16"/>
        <v>0.11004166666666665</v>
      </c>
      <c r="I141" s="3">
        <f>IF(ISNA(MATCH(H141,关卡!$E$19:$E$2018,1)),0,MATCH(H141,关卡!$E$19:$E$2018,1))</f>
        <v>47</v>
      </c>
      <c r="J141" s="3">
        <f>VLOOKUP($I141,关卡!$A$17:$G$2018,6,0)</f>
        <v>3.4644650495449381</v>
      </c>
      <c r="K141" s="3">
        <f>VLOOKUP($I141,关卡!$A$17:$G$2018,7,0)</f>
        <v>7.4348131543559388</v>
      </c>
      <c r="L141" s="3">
        <f t="shared" si="17"/>
        <v>12472.074178361776</v>
      </c>
      <c r="M141" s="3">
        <f t="shared" si="18"/>
        <v>26765.32735568138</v>
      </c>
      <c r="N141" s="3">
        <f>INT(D141*J141*VLOOKUP(A141,经验产出!$I$7:$J$557,2,0))</f>
        <v>3112</v>
      </c>
      <c r="O141" s="3">
        <f>SUM($N$24:N140)</f>
        <v>75089</v>
      </c>
      <c r="P141" s="3">
        <f>K141*VLOOKUP(A141,金币产出!$I$7:$J$557,2,0)</f>
        <v>26.734348967538228</v>
      </c>
    </row>
    <row r="142" spans="1:16" x14ac:dyDescent="0.15">
      <c r="A142" s="3">
        <v>119</v>
      </c>
      <c r="B142" s="3">
        <f t="shared" si="12"/>
        <v>6</v>
      </c>
      <c r="C142" s="3">
        <f t="shared" si="13"/>
        <v>3402.8999999999996</v>
      </c>
      <c r="D142" s="3">
        <f t="shared" si="14"/>
        <v>195.29999999999973</v>
      </c>
      <c r="E142" s="3">
        <f>SUM($D$24:D142)</f>
        <v>9702.8999999999978</v>
      </c>
      <c r="F142" s="3">
        <f t="shared" si="15"/>
        <v>161.71499999999997</v>
      </c>
      <c r="G142" s="3">
        <f t="shared" si="15"/>
        <v>2.6952499999999997</v>
      </c>
      <c r="H142" s="3">
        <f t="shared" si="16"/>
        <v>0.11230208333333332</v>
      </c>
      <c r="I142" s="3">
        <f>IF(ISNA(MATCH(H142,关卡!$E$19:$E$2018,1)),0,MATCH(H142,关卡!$E$19:$E$2018,1))</f>
        <v>47</v>
      </c>
      <c r="J142" s="3">
        <f>VLOOKUP($I142,关卡!$A$17:$G$2018,6,0)</f>
        <v>3.4644650495449381</v>
      </c>
      <c r="K142" s="3">
        <f>VLOOKUP($I142,关卡!$A$17:$G$2018,7,0)</f>
        <v>7.4348131543559388</v>
      </c>
      <c r="L142" s="3">
        <f t="shared" si="17"/>
        <v>12472.074178361776</v>
      </c>
      <c r="M142" s="3">
        <f t="shared" si="18"/>
        <v>26765.32735568138</v>
      </c>
      <c r="N142" s="3">
        <f>INT(D142*J142*VLOOKUP(A142,经验产出!$I$7:$J$557,2,0))</f>
        <v>3141</v>
      </c>
      <c r="O142" s="3">
        <f>SUM($N$24:N141)</f>
        <v>78201</v>
      </c>
      <c r="P142" s="3">
        <f>K142*VLOOKUP(A142,金币产出!$I$7:$J$557,2,0)</f>
        <v>26.734348967538228</v>
      </c>
    </row>
    <row r="143" spans="1:16" x14ac:dyDescent="0.15">
      <c r="A143" s="3">
        <v>120</v>
      </c>
      <c r="B143" s="3">
        <f t="shared" si="12"/>
        <v>6</v>
      </c>
      <c r="C143" s="3">
        <f t="shared" si="13"/>
        <v>3600</v>
      </c>
      <c r="D143" s="3">
        <f t="shared" si="14"/>
        <v>197.10000000000036</v>
      </c>
      <c r="E143" s="3">
        <f>SUM($D$24:D143)</f>
        <v>9899.9999999999982</v>
      </c>
      <c r="F143" s="3">
        <f t="shared" si="15"/>
        <v>164.99999999999997</v>
      </c>
      <c r="G143" s="3">
        <f t="shared" si="15"/>
        <v>2.7499999999999996</v>
      </c>
      <c r="H143" s="3">
        <f t="shared" si="16"/>
        <v>0.11458333333333331</v>
      </c>
      <c r="I143" s="3">
        <f>IF(ISNA(MATCH(H143,关卡!$E$19:$E$2018,1)),0,MATCH(H143,关卡!$E$19:$E$2018,1))</f>
        <v>48</v>
      </c>
      <c r="J143" s="3">
        <f>VLOOKUP($I143,关卡!$A$17:$G$2018,6,0)</f>
        <v>3.5194795786240007</v>
      </c>
      <c r="K143" s="3">
        <f>VLOOKUP($I143,关卡!$A$17:$G$2018,7,0)</f>
        <v>7.4885051187200009</v>
      </c>
      <c r="L143" s="3">
        <f t="shared" si="17"/>
        <v>12670.126483046402</v>
      </c>
      <c r="M143" s="3">
        <f t="shared" si="18"/>
        <v>26958.618427392004</v>
      </c>
      <c r="N143" s="3">
        <f>INT(D143*J143*VLOOKUP(A143,经验产出!$I$7:$J$557,2,0))</f>
        <v>3220</v>
      </c>
      <c r="O143" s="3">
        <f>SUM($N$24:N142)</f>
        <v>81342</v>
      </c>
      <c r="P143" s="3">
        <f>K143*VLOOKUP(A143,金币产出!$I$7:$J$557,2,0)</f>
        <v>26.927416322730668</v>
      </c>
    </row>
    <row r="144" spans="1:16" x14ac:dyDescent="0.15">
      <c r="A144" s="3">
        <v>121</v>
      </c>
      <c r="B144" s="3">
        <f t="shared" si="12"/>
        <v>7</v>
      </c>
      <c r="C144" s="3">
        <f t="shared" si="13"/>
        <v>205.87500000000003</v>
      </c>
      <c r="D144" s="3">
        <f t="shared" si="14"/>
        <v>205.87500000000003</v>
      </c>
      <c r="E144" s="3">
        <f>SUM($D$24:D144)</f>
        <v>10105.874999999998</v>
      </c>
      <c r="F144" s="3">
        <f t="shared" si="15"/>
        <v>168.43124999999998</v>
      </c>
      <c r="G144" s="3">
        <f t="shared" si="15"/>
        <v>2.8071874999999995</v>
      </c>
      <c r="H144" s="3">
        <f t="shared" si="16"/>
        <v>0.11696614583333331</v>
      </c>
      <c r="I144" s="3">
        <f>IF(ISNA(MATCH(H144,关卡!$E$19:$E$2018,1)),0,MATCH(H144,关卡!$E$19:$E$2018,1))</f>
        <v>49</v>
      </c>
      <c r="J144" s="3">
        <f>VLOOKUP($I144,关卡!$A$17:$G$2018,6,0)</f>
        <v>3.574605597224938</v>
      </c>
      <c r="K144" s="3">
        <f>VLOOKUP($I144,关卡!$A$17:$G$2018,7,0)</f>
        <v>7.5422776472559372</v>
      </c>
      <c r="L144" s="3">
        <f t="shared" si="17"/>
        <v>12868.580150009777</v>
      </c>
      <c r="M144" s="3">
        <f t="shared" si="18"/>
        <v>27152.199530121372</v>
      </c>
      <c r="N144" s="3">
        <f>INT(D144*J144*VLOOKUP(A144,经验产出!$I$7:$J$557,2,0))</f>
        <v>3416</v>
      </c>
      <c r="O144" s="3">
        <f>SUM($N$24:N143)</f>
        <v>84562</v>
      </c>
      <c r="P144" s="3">
        <f>K144*VLOOKUP(A144,金币产出!$I$7:$J$557,2,0)</f>
        <v>27.120773373257805</v>
      </c>
    </row>
    <row r="145" spans="1:16" x14ac:dyDescent="0.15">
      <c r="A145" s="3">
        <v>122</v>
      </c>
      <c r="B145" s="3">
        <f t="shared" si="12"/>
        <v>7</v>
      </c>
      <c r="C145" s="3">
        <f t="shared" si="13"/>
        <v>418.50000000000006</v>
      </c>
      <c r="D145" s="3">
        <f t="shared" si="14"/>
        <v>212.62500000000003</v>
      </c>
      <c r="E145" s="3">
        <f>SUM($D$24:D145)</f>
        <v>10318.499999999998</v>
      </c>
      <c r="F145" s="3">
        <f t="shared" si="15"/>
        <v>171.97499999999997</v>
      </c>
      <c r="G145" s="3">
        <f t="shared" si="15"/>
        <v>2.8662499999999995</v>
      </c>
      <c r="H145" s="3">
        <f t="shared" si="16"/>
        <v>0.11942708333333331</v>
      </c>
      <c r="I145" s="3">
        <f>IF(ISNA(MATCH(H145,关卡!$E$19:$E$2018,1)),0,MATCH(H145,关卡!$E$19:$E$2018,1))</f>
        <v>50</v>
      </c>
      <c r="J145" s="3">
        <f>VLOOKUP($I145,关卡!$A$17:$G$2018,6,0)</f>
        <v>3.6298433593750006</v>
      </c>
      <c r="K145" s="3">
        <f>VLOOKUP($I145,关卡!$A$17:$G$2018,7,0)</f>
        <v>7.5961308593750001</v>
      </c>
      <c r="L145" s="3">
        <f t="shared" si="17"/>
        <v>13067.436093750002</v>
      </c>
      <c r="M145" s="3">
        <f t="shared" si="18"/>
        <v>27346.071093750001</v>
      </c>
      <c r="N145" s="3">
        <f>INT(D145*J145*VLOOKUP(A145,经验产出!$I$7:$J$557,2,0))</f>
        <v>3582</v>
      </c>
      <c r="O145" s="3">
        <f>SUM($N$24:N144)</f>
        <v>87978</v>
      </c>
      <c r="P145" s="3">
        <f>K145*VLOOKUP(A145,金币产出!$I$7:$J$557,2,0)</f>
        <v>27.314420548502603</v>
      </c>
    </row>
    <row r="146" spans="1:16" x14ac:dyDescent="0.15">
      <c r="A146" s="3">
        <v>123</v>
      </c>
      <c r="B146" s="3">
        <f t="shared" si="12"/>
        <v>7</v>
      </c>
      <c r="C146" s="3">
        <f t="shared" si="13"/>
        <v>637.875</v>
      </c>
      <c r="D146" s="3">
        <f t="shared" si="14"/>
        <v>219.37499999999994</v>
      </c>
      <c r="E146" s="3">
        <f>SUM($D$24:D146)</f>
        <v>10537.874999999998</v>
      </c>
      <c r="F146" s="3">
        <f t="shared" si="15"/>
        <v>175.63124999999997</v>
      </c>
      <c r="G146" s="3">
        <f t="shared" si="15"/>
        <v>2.9271874999999996</v>
      </c>
      <c r="H146" s="3">
        <f t="shared" si="16"/>
        <v>0.12196614583333332</v>
      </c>
      <c r="I146" s="3">
        <f>IF(ISNA(MATCH(H146,关卡!$E$19:$E$2018,1)),0,MATCH(H146,关卡!$E$19:$E$2018,1))</f>
        <v>51</v>
      </c>
      <c r="J146" s="3">
        <f>VLOOKUP($I146,关卡!$A$17:$G$2018,6,0)</f>
        <v>3.6851931196999379</v>
      </c>
      <c r="K146" s="3">
        <f>VLOOKUP($I146,关卡!$A$17:$G$2018,7,0)</f>
        <v>7.6500648746309379</v>
      </c>
      <c r="L146" s="3">
        <f t="shared" si="17"/>
        <v>13266.695230919777</v>
      </c>
      <c r="M146" s="3">
        <f t="shared" si="18"/>
        <v>27540.233548671375</v>
      </c>
      <c r="N146" s="3">
        <f>INT(D146*J146*VLOOKUP(A146,经验产出!$I$7:$J$557,2,0))</f>
        <v>3753</v>
      </c>
      <c r="O146" s="3">
        <f>SUM($N$24:N145)</f>
        <v>91560</v>
      </c>
      <c r="P146" s="3">
        <f>K146*VLOOKUP(A146,金币产出!$I$7:$J$557,2,0)</f>
        <v>27.508358278360411</v>
      </c>
    </row>
    <row r="147" spans="1:16" x14ac:dyDescent="0.15">
      <c r="A147" s="3">
        <v>124</v>
      </c>
      <c r="B147" s="3">
        <f t="shared" si="12"/>
        <v>7</v>
      </c>
      <c r="C147" s="3">
        <f t="shared" si="13"/>
        <v>864.00000000000011</v>
      </c>
      <c r="D147" s="3">
        <f t="shared" si="14"/>
        <v>226.12500000000011</v>
      </c>
      <c r="E147" s="3">
        <f>SUM($D$24:D147)</f>
        <v>10763.999999999998</v>
      </c>
      <c r="F147" s="3">
        <f t="shared" si="15"/>
        <v>179.39999999999998</v>
      </c>
      <c r="G147" s="3">
        <f t="shared" si="15"/>
        <v>2.9899999999999998</v>
      </c>
      <c r="H147" s="3">
        <f t="shared" si="16"/>
        <v>0.12458333333333332</v>
      </c>
      <c r="I147" s="3">
        <f>IF(ISNA(MATCH(H147,关卡!$E$19:$E$2018,1)),0,MATCH(H147,关卡!$E$19:$E$2018,1))</f>
        <v>51</v>
      </c>
      <c r="J147" s="3">
        <f>VLOOKUP($I147,关卡!$A$17:$G$2018,6,0)</f>
        <v>3.6851931196999379</v>
      </c>
      <c r="K147" s="3">
        <f>VLOOKUP($I147,关卡!$A$17:$G$2018,7,0)</f>
        <v>7.6500648746309379</v>
      </c>
      <c r="L147" s="3">
        <f t="shared" si="17"/>
        <v>13266.695230919777</v>
      </c>
      <c r="M147" s="3">
        <f t="shared" si="18"/>
        <v>27540.233548671375</v>
      </c>
      <c r="N147" s="3">
        <f>INT(D147*J147*VLOOKUP(A147,经验产出!$I$7:$J$557,2,0))</f>
        <v>3868</v>
      </c>
      <c r="O147" s="3">
        <f>SUM($N$24:N146)</f>
        <v>95313</v>
      </c>
      <c r="P147" s="3">
        <f>K147*VLOOKUP(A147,金币产出!$I$7:$J$557,2,0)</f>
        <v>27.508358278360411</v>
      </c>
    </row>
    <row r="148" spans="1:16" x14ac:dyDescent="0.15">
      <c r="A148" s="3">
        <v>125</v>
      </c>
      <c r="B148" s="3">
        <f t="shared" si="12"/>
        <v>7</v>
      </c>
      <c r="C148" s="3">
        <f t="shared" si="13"/>
        <v>1096.875</v>
      </c>
      <c r="D148" s="3">
        <f t="shared" si="14"/>
        <v>232.87499999999989</v>
      </c>
      <c r="E148" s="3">
        <f>SUM($D$24:D148)</f>
        <v>10996.874999999998</v>
      </c>
      <c r="F148" s="3">
        <f t="shared" si="15"/>
        <v>183.28124999999997</v>
      </c>
      <c r="G148" s="3">
        <f t="shared" si="15"/>
        <v>3.0546874999999996</v>
      </c>
      <c r="H148" s="3">
        <f t="shared" si="16"/>
        <v>0.12727864583333331</v>
      </c>
      <c r="I148" s="3">
        <f>IF(ISNA(MATCH(H148,关卡!$E$19:$E$2018,1)),0,MATCH(H148,关卡!$E$19:$E$2018,1))</f>
        <v>52</v>
      </c>
      <c r="J148" s="3">
        <f>VLOOKUP($I148,关卡!$A$17:$G$2018,6,0)</f>
        <v>3.7406551334239997</v>
      </c>
      <c r="K148" s="3">
        <f>VLOOKUP($I148,关卡!$A$17:$G$2018,7,0)</f>
        <v>7.704079812719999</v>
      </c>
      <c r="L148" s="3">
        <f t="shared" si="17"/>
        <v>13466.358480326398</v>
      </c>
      <c r="M148" s="3">
        <f t="shared" si="18"/>
        <v>27734.687325791998</v>
      </c>
      <c r="N148" s="3">
        <f>INT(D148*J148*VLOOKUP(A148,经验产出!$I$7:$J$557,2,0))</f>
        <v>4043</v>
      </c>
      <c r="O148" s="3">
        <f>SUM($N$24:N147)</f>
        <v>99181</v>
      </c>
      <c r="P148" s="3">
        <f>K148*VLOOKUP(A148,金币产出!$I$7:$J$557,2,0)</f>
        <v>27.702586993238995</v>
      </c>
    </row>
    <row r="149" spans="1:16" x14ac:dyDescent="0.15">
      <c r="A149" s="3">
        <v>126</v>
      </c>
      <c r="B149" s="3">
        <f t="shared" si="12"/>
        <v>7</v>
      </c>
      <c r="C149" s="3">
        <f t="shared" si="13"/>
        <v>1336.4999999999998</v>
      </c>
      <c r="D149" s="3">
        <f t="shared" si="14"/>
        <v>239.62499999999977</v>
      </c>
      <c r="E149" s="3">
        <f>SUM($D$24:D149)</f>
        <v>11236.499999999998</v>
      </c>
      <c r="F149" s="3">
        <f t="shared" si="15"/>
        <v>187.27499999999998</v>
      </c>
      <c r="G149" s="3">
        <f t="shared" si="15"/>
        <v>3.1212499999999994</v>
      </c>
      <c r="H149" s="3">
        <f t="shared" si="16"/>
        <v>0.13005208333333332</v>
      </c>
      <c r="I149" s="3">
        <f>IF(ISNA(MATCH(H149,关卡!$E$19:$E$2018,1)),0,MATCH(H149,关卡!$E$19:$E$2018,1))</f>
        <v>53</v>
      </c>
      <c r="J149" s="3">
        <f>VLOOKUP($I149,关卡!$A$17:$G$2018,6,0)</f>
        <v>3.7962296563699374</v>
      </c>
      <c r="K149" s="3">
        <f>VLOOKUP($I149,关卡!$A$17:$G$2018,7,0)</f>
        <v>7.7581757934809383</v>
      </c>
      <c r="L149" s="3">
        <f t="shared" si="17"/>
        <v>13666.426762931775</v>
      </c>
      <c r="M149" s="3">
        <f t="shared" si="18"/>
        <v>27929.432856531377</v>
      </c>
      <c r="N149" s="3">
        <f>INT(D149*J149*VLOOKUP(A149,经验产出!$I$7:$J$557,2,0))</f>
        <v>4223</v>
      </c>
      <c r="O149" s="3">
        <f>SUM($N$24:N148)</f>
        <v>103224</v>
      </c>
      <c r="P149" s="3">
        <f>K149*VLOOKUP(A149,金币产出!$I$7:$J$557,2,0)</f>
        <v>27.89710712405854</v>
      </c>
    </row>
    <row r="150" spans="1:16" x14ac:dyDescent="0.15">
      <c r="A150" s="3">
        <v>127</v>
      </c>
      <c r="B150" s="3">
        <f t="shared" si="12"/>
        <v>7</v>
      </c>
      <c r="C150" s="3">
        <f t="shared" si="13"/>
        <v>1582.8749999999998</v>
      </c>
      <c r="D150" s="3">
        <f t="shared" si="14"/>
        <v>246.375</v>
      </c>
      <c r="E150" s="3">
        <f>SUM($D$24:D150)</f>
        <v>11482.874999999998</v>
      </c>
      <c r="F150" s="3">
        <f t="shared" si="15"/>
        <v>191.38124999999997</v>
      </c>
      <c r="G150" s="3">
        <f t="shared" si="15"/>
        <v>3.1896874999999993</v>
      </c>
      <c r="H150" s="3">
        <f t="shared" si="16"/>
        <v>0.13290364583333331</v>
      </c>
      <c r="I150" s="3">
        <f>IF(ISNA(MATCH(H150,关卡!$E$19:$E$2018,1)),0,MATCH(H150,关卡!$E$19:$E$2018,1))</f>
        <v>54</v>
      </c>
      <c r="J150" s="3">
        <f>VLOOKUP($I150,关卡!$A$17:$G$2018,6,0)</f>
        <v>3.8519169449590005</v>
      </c>
      <c r="K150" s="3">
        <f>VLOOKUP($I150,关卡!$A$17:$G$2018,7,0)</f>
        <v>7.8123529368949995</v>
      </c>
      <c r="L150" s="3">
        <f t="shared" si="17"/>
        <v>13866.901001852402</v>
      </c>
      <c r="M150" s="3">
        <f t="shared" si="18"/>
        <v>28124.470572822</v>
      </c>
      <c r="N150" s="3">
        <f>INT(D150*J150*VLOOKUP(A150,经验产出!$I$7:$J$557,2,0))</f>
        <v>4405</v>
      </c>
      <c r="O150" s="3">
        <f>SUM($N$24:N149)</f>
        <v>107447</v>
      </c>
      <c r="P150" s="3">
        <f>K150*VLOOKUP(A150,金币产出!$I$7:$J$557,2,0)</f>
        <v>28.091919102251602</v>
      </c>
    </row>
    <row r="151" spans="1:16" x14ac:dyDescent="0.15">
      <c r="A151" s="3">
        <v>128</v>
      </c>
      <c r="B151" s="3">
        <f t="shared" si="12"/>
        <v>7</v>
      </c>
      <c r="C151" s="3">
        <f t="shared" si="13"/>
        <v>1836.0000000000005</v>
      </c>
      <c r="D151" s="3">
        <f t="shared" si="14"/>
        <v>253.12500000000068</v>
      </c>
      <c r="E151" s="3">
        <f>SUM($D$24:D151)</f>
        <v>11735.999999999998</v>
      </c>
      <c r="F151" s="3">
        <f t="shared" si="15"/>
        <v>195.59999999999997</v>
      </c>
      <c r="G151" s="3">
        <f t="shared" si="15"/>
        <v>3.2599999999999993</v>
      </c>
      <c r="H151" s="3">
        <f t="shared" si="16"/>
        <v>0.13583333333333331</v>
      </c>
      <c r="I151" s="3">
        <f>IF(ISNA(MATCH(H151,关卡!$E$19:$E$2018,1)),0,MATCH(H151,关卡!$E$19:$E$2018,1))</f>
        <v>55</v>
      </c>
      <c r="J151" s="3">
        <f>VLOOKUP($I151,关卡!$A$17:$G$2018,6,0)</f>
        <v>3.9077172562109377</v>
      </c>
      <c r="K151" s="3">
        <f>VLOOKUP($I151,关卡!$A$17:$G$2018,7,0)</f>
        <v>7.8666113630859389</v>
      </c>
      <c r="L151" s="3">
        <f t="shared" si="17"/>
        <v>14067.782122359376</v>
      </c>
      <c r="M151" s="3">
        <f t="shared" si="18"/>
        <v>28319.80090710938</v>
      </c>
      <c r="N151" s="3">
        <f>INT(D151*J151*VLOOKUP(A151,经验产出!$I$7:$J$557,2,0))</f>
        <v>4591</v>
      </c>
      <c r="O151" s="3">
        <f>SUM($N$24:N150)</f>
        <v>111852</v>
      </c>
      <c r="P151" s="3">
        <f>K151*VLOOKUP(A151,金币产出!$I$7:$J$557,2,0)</f>
        <v>28.287023359763186</v>
      </c>
    </row>
    <row r="152" spans="1:16" x14ac:dyDescent="0.15">
      <c r="A152" s="3">
        <v>129</v>
      </c>
      <c r="B152" s="3">
        <f t="shared" si="12"/>
        <v>7</v>
      </c>
      <c r="C152" s="3">
        <f t="shared" si="13"/>
        <v>2095.8750000000005</v>
      </c>
      <c r="D152" s="3">
        <f t="shared" si="14"/>
        <v>259.875</v>
      </c>
      <c r="E152" s="3">
        <f>SUM($D$24:D152)</f>
        <v>11995.874999999998</v>
      </c>
      <c r="F152" s="3">
        <f t="shared" si="15"/>
        <v>199.93124999999998</v>
      </c>
      <c r="G152" s="3">
        <f t="shared" si="15"/>
        <v>3.3321874999999994</v>
      </c>
      <c r="H152" s="3">
        <f t="shared" si="16"/>
        <v>0.13884114583333332</v>
      </c>
      <c r="I152" s="3">
        <f>IF(ISNA(MATCH(H152,关卡!$E$19:$E$2018,1)),0,MATCH(H152,关卡!$E$19:$E$2018,1))</f>
        <v>56</v>
      </c>
      <c r="J152" s="3">
        <f>VLOOKUP($I152,关卡!$A$17:$G$2018,6,0)</f>
        <v>3.963630847744001</v>
      </c>
      <c r="K152" s="3">
        <f>VLOOKUP($I152,关卡!$A$17:$G$2018,7,0)</f>
        <v>7.9209511923200013</v>
      </c>
      <c r="L152" s="3">
        <f t="shared" si="17"/>
        <v>14269.071051878404</v>
      </c>
      <c r="M152" s="3">
        <f t="shared" si="18"/>
        <v>28515.424292352003</v>
      </c>
      <c r="N152" s="3">
        <f>INT(D152*J152*VLOOKUP(A152,经验产出!$I$7:$J$557,2,0))</f>
        <v>4781</v>
      </c>
      <c r="O152" s="3">
        <f>SUM($N$24:N151)</f>
        <v>116443</v>
      </c>
      <c r="P152" s="3">
        <f>K152*VLOOKUP(A152,金币产出!$I$7:$J$557,2,0)</f>
        <v>28.482420329050669</v>
      </c>
    </row>
    <row r="153" spans="1:16" x14ac:dyDescent="0.15">
      <c r="A153" s="3">
        <v>130</v>
      </c>
      <c r="B153" s="3">
        <f t="shared" ref="B153:B216" si="19">MATCH($A153,$A$3:$A$20,1)-1</f>
        <v>7</v>
      </c>
      <c r="C153" s="3">
        <f t="shared" ref="C153:C216" si="20">INDEX($C$3:$C$20,$B153+1)*(INDEX($D$3:$D$20,$B153+1)+INDEX($E$3:$E$20,$B153+1)*(($A153-INDEX($A$3:$A$20,$B153+1)+1)/(INDEX($B$3:$B$20,B153+1)-INDEX($A$3:$A$20,$B153+1)+1))^1+INDEX($F$3:$F$20,$B153+1)*(($A153-INDEX($A$3:$A$20,$B153+1)+1)/(INDEX($B$3:$B$20,B153+1)-INDEX($A$3:$A$20,$B153+1)+1))^2+INDEX($G$3:$G$20,$B153+1)*(($A153-INDEX($A$3:$A$20,$B153+1)+1)/(INDEX($B$3:$B$20,$B153+1)-INDEX($A$3:$A$20,$B153+1)+1))^3+INDEX($H$3:$H$20,$B153+1)*(($A153-INDEX($A$3:$A$20,$B153+1)+1)/(INDEX($B$3:$B$20,$B153+1)-INDEX($A$3:$A$20,$B153+1)+1))^4)</f>
        <v>2362.5</v>
      </c>
      <c r="D153" s="3">
        <f t="shared" ref="D153:D216" si="21">IF(ISNA(MATCH(A153,$A$4:$A$20,0)),C153-C152,C153)</f>
        <v>266.62499999999955</v>
      </c>
      <c r="E153" s="3">
        <f>SUM($D$24:D153)</f>
        <v>12262.499999999998</v>
      </c>
      <c r="F153" s="3">
        <f t="shared" ref="F153:G216" si="22">E153/60</f>
        <v>204.37499999999997</v>
      </c>
      <c r="G153" s="3">
        <f t="shared" si="22"/>
        <v>3.4062499999999996</v>
      </c>
      <c r="H153" s="3">
        <f t="shared" ref="H153:H216" si="23">G153/24</f>
        <v>0.14192708333333331</v>
      </c>
      <c r="I153" s="3">
        <f>IF(ISNA(MATCH(H153,关卡!$E$19:$E$2018,1)),0,MATCH(H153,关卡!$E$19:$E$2018,1))</f>
        <v>57</v>
      </c>
      <c r="J153" s="3">
        <f>VLOOKUP($I153,关卡!$A$17:$G$2018,6,0)</f>
        <v>4.0196579777749379</v>
      </c>
      <c r="K153" s="3">
        <f>VLOOKUP($I153,关卡!$A$17:$G$2018,7,0)</f>
        <v>7.9753725450059356</v>
      </c>
      <c r="L153" s="3">
        <f t="shared" ref="L153:L216" si="24">J153*60*60</f>
        <v>14470.768719989775</v>
      </c>
      <c r="M153" s="3">
        <f t="shared" ref="M153:M216" si="25">K153*60*60</f>
        <v>28711.341162021366</v>
      </c>
      <c r="N153" s="3">
        <f>INT(D153*J153*VLOOKUP(A153,经验产出!$I$7:$J$557,2,0))</f>
        <v>4975</v>
      </c>
      <c r="O153" s="3">
        <f>SUM($N$24:N152)</f>
        <v>121224</v>
      </c>
      <c r="P153" s="3">
        <f>K153*VLOOKUP(A153,金币产出!$I$7:$J$557,2,0)</f>
        <v>28.678110443083842</v>
      </c>
    </row>
    <row r="154" spans="1:16" x14ac:dyDescent="0.15">
      <c r="A154" s="3">
        <v>131</v>
      </c>
      <c r="B154" s="3">
        <f t="shared" si="19"/>
        <v>7</v>
      </c>
      <c r="C154" s="3">
        <f t="shared" si="20"/>
        <v>2635.875</v>
      </c>
      <c r="D154" s="3">
        <f t="shared" si="21"/>
        <v>273.375</v>
      </c>
      <c r="E154" s="3">
        <f>SUM($D$24:D154)</f>
        <v>12535.874999999998</v>
      </c>
      <c r="F154" s="3">
        <f t="shared" si="22"/>
        <v>208.93124999999998</v>
      </c>
      <c r="G154" s="3">
        <f t="shared" si="22"/>
        <v>3.4821874999999998</v>
      </c>
      <c r="H154" s="3">
        <f t="shared" si="23"/>
        <v>0.14509114583333332</v>
      </c>
      <c r="I154" s="3">
        <f>IF(ISNA(MATCH(H154,关卡!$E$19:$E$2018,1)),0,MATCH(H154,关卡!$E$19:$E$2018,1))</f>
        <v>58</v>
      </c>
      <c r="J154" s="3">
        <f>VLOOKUP($I154,关卡!$A$17:$G$2018,6,0)</f>
        <v>4.075798905119</v>
      </c>
      <c r="K154" s="3">
        <f>VLOOKUP($I154,关卡!$A$17:$G$2018,7,0)</f>
        <v>8.0298755416950005</v>
      </c>
      <c r="L154" s="3">
        <f t="shared" si="24"/>
        <v>14672.876058428399</v>
      </c>
      <c r="M154" s="3">
        <f t="shared" si="25"/>
        <v>28907.551950101999</v>
      </c>
      <c r="N154" s="3">
        <f>INT(D154*J154*VLOOKUP(A154,经验产出!$I$7:$J$557,2,0))</f>
        <v>5172</v>
      </c>
      <c r="O154" s="3">
        <f>SUM($N$24:N153)</f>
        <v>126199</v>
      </c>
      <c r="P154" s="3">
        <f>K154*VLOOKUP(A154,金币产出!$I$7:$J$557,2,0)</f>
        <v>28.87409413534494</v>
      </c>
    </row>
    <row r="155" spans="1:16" x14ac:dyDescent="0.15">
      <c r="A155" s="3">
        <v>132</v>
      </c>
      <c r="B155" s="3">
        <f t="shared" si="19"/>
        <v>7</v>
      </c>
      <c r="C155" s="3">
        <f t="shared" si="20"/>
        <v>2915.9999999999995</v>
      </c>
      <c r="D155" s="3">
        <f t="shared" si="21"/>
        <v>280.12499999999955</v>
      </c>
      <c r="E155" s="3">
        <f>SUM($D$24:D155)</f>
        <v>12815.999999999998</v>
      </c>
      <c r="F155" s="3">
        <f t="shared" si="22"/>
        <v>213.59999999999997</v>
      </c>
      <c r="G155" s="3">
        <f t="shared" si="22"/>
        <v>3.5599999999999996</v>
      </c>
      <c r="H155" s="3">
        <f t="shared" si="23"/>
        <v>0.14833333333333332</v>
      </c>
      <c r="I155" s="3">
        <f>IF(ISNA(MATCH(H155,关卡!$E$19:$E$2018,1)),0,MATCH(H155,关卡!$E$19:$E$2018,1))</f>
        <v>59</v>
      </c>
      <c r="J155" s="3">
        <f>VLOOKUP($I155,关卡!$A$17:$G$2018,6,0)</f>
        <v>4.1320538891899377</v>
      </c>
      <c r="K155" s="3">
        <f>VLOOKUP($I155,关卡!$A$17:$G$2018,7,0)</f>
        <v>8.0844603030809363</v>
      </c>
      <c r="L155" s="3">
        <f t="shared" si="24"/>
        <v>14875.394001083774</v>
      </c>
      <c r="M155" s="3">
        <f t="shared" si="25"/>
        <v>29104.057091091374</v>
      </c>
      <c r="N155" s="3">
        <f>INT(D155*J155*VLOOKUP(A155,经验产出!$I$7:$J$557,2,0))</f>
        <v>5373</v>
      </c>
      <c r="O155" s="3">
        <f>SUM($N$24:N154)</f>
        <v>131371</v>
      </c>
      <c r="P155" s="3">
        <f>K155*VLOOKUP(A155,金币产出!$I$7:$J$557,2,0)</f>
        <v>29.070371839828532</v>
      </c>
    </row>
    <row r="156" spans="1:16" x14ac:dyDescent="0.15">
      <c r="A156" s="3">
        <v>133</v>
      </c>
      <c r="B156" s="3">
        <f t="shared" si="19"/>
        <v>7</v>
      </c>
      <c r="C156" s="3">
        <f t="shared" si="20"/>
        <v>3202.875</v>
      </c>
      <c r="D156" s="3">
        <f t="shared" si="21"/>
        <v>286.87500000000045</v>
      </c>
      <c r="E156" s="3">
        <f>SUM($D$24:D156)</f>
        <v>13102.874999999998</v>
      </c>
      <c r="F156" s="3">
        <f t="shared" si="22"/>
        <v>218.38124999999997</v>
      </c>
      <c r="G156" s="3">
        <f t="shared" si="22"/>
        <v>3.6396874999999995</v>
      </c>
      <c r="H156" s="3">
        <f t="shared" si="23"/>
        <v>0.15165364583333332</v>
      </c>
      <c r="I156" s="3">
        <f>IF(ISNA(MATCH(H156,关卡!$E$19:$E$2018,1)),0,MATCH(H156,关卡!$E$19:$E$2018,1))</f>
        <v>60</v>
      </c>
      <c r="J156" s="3">
        <f>VLOOKUP($I156,关卡!$A$17:$G$2018,6,0)</f>
        <v>4.1884231899999991</v>
      </c>
      <c r="K156" s="3">
        <f>VLOOKUP($I156,关卡!$A$17:$G$2018,7,0)</f>
        <v>8.1391269500000014</v>
      </c>
      <c r="L156" s="3">
        <f t="shared" si="24"/>
        <v>15078.323483999997</v>
      </c>
      <c r="M156" s="3">
        <f t="shared" si="25"/>
        <v>29300.857020000003</v>
      </c>
      <c r="N156" s="3">
        <f>INT(D156*J156*VLOOKUP(A156,经验产出!$I$7:$J$557,2,0))</f>
        <v>5578</v>
      </c>
      <c r="O156" s="3">
        <f>SUM($N$24:N155)</f>
        <v>136744</v>
      </c>
      <c r="P156" s="3">
        <f>K156*VLOOKUP(A156,金币产出!$I$7:$J$557,2,0)</f>
        <v>29.266943991041671</v>
      </c>
    </row>
    <row r="157" spans="1:16" x14ac:dyDescent="0.15">
      <c r="A157" s="3">
        <v>134</v>
      </c>
      <c r="B157" s="3">
        <f t="shared" si="19"/>
        <v>7</v>
      </c>
      <c r="C157" s="3">
        <f t="shared" si="20"/>
        <v>3496.4999999999991</v>
      </c>
      <c r="D157" s="3">
        <f t="shared" si="21"/>
        <v>293.62499999999909</v>
      </c>
      <c r="E157" s="3">
        <f>SUM($D$24:D157)</f>
        <v>13396.499999999996</v>
      </c>
      <c r="F157" s="3">
        <f t="shared" si="22"/>
        <v>223.27499999999995</v>
      </c>
      <c r="G157" s="3">
        <f t="shared" si="22"/>
        <v>3.7212499999999991</v>
      </c>
      <c r="H157" s="3">
        <f t="shared" si="23"/>
        <v>0.15505208333333328</v>
      </c>
      <c r="I157" s="3">
        <f>IF(ISNA(MATCH(H157,关卡!$E$19:$E$2018,1)),0,MATCH(H157,关卡!$E$19:$E$2018,1))</f>
        <v>61</v>
      </c>
      <c r="J157" s="3">
        <f>VLOOKUP($I157,关卡!$A$17:$G$2018,6,0)</f>
        <v>4.2449070681599377</v>
      </c>
      <c r="K157" s="3">
        <f>VLOOKUP($I157,关卡!$A$17:$G$2018,7,0)</f>
        <v>8.1938756034309375</v>
      </c>
      <c r="L157" s="3">
        <f t="shared" si="24"/>
        <v>15281.665445375775</v>
      </c>
      <c r="M157" s="3">
        <f t="shared" si="25"/>
        <v>29497.952172351375</v>
      </c>
      <c r="N157" s="3">
        <f>INT(D157*J157*VLOOKUP(A157,经验产出!$I$7:$J$557,2,0))</f>
        <v>5786</v>
      </c>
      <c r="O157" s="3">
        <f>SUM($N$24:N156)</f>
        <v>142322</v>
      </c>
      <c r="P157" s="3">
        <f>K157*VLOOKUP(A157,金币产出!$I$7:$J$557,2,0)</f>
        <v>29.463811024003746</v>
      </c>
    </row>
    <row r="158" spans="1:16" x14ac:dyDescent="0.15">
      <c r="A158" s="3">
        <v>135</v>
      </c>
      <c r="B158" s="3">
        <f t="shared" si="19"/>
        <v>7</v>
      </c>
      <c r="C158" s="3">
        <f t="shared" si="20"/>
        <v>3796.875</v>
      </c>
      <c r="D158" s="3">
        <f t="shared" si="21"/>
        <v>300.37500000000091</v>
      </c>
      <c r="E158" s="3">
        <f>SUM($D$24:D158)</f>
        <v>13696.874999999996</v>
      </c>
      <c r="F158" s="3">
        <f t="shared" si="22"/>
        <v>228.28124999999994</v>
      </c>
      <c r="G158" s="3">
        <f t="shared" si="22"/>
        <v>3.8046874999999991</v>
      </c>
      <c r="H158" s="3">
        <f t="shared" si="23"/>
        <v>0.15852864583333329</v>
      </c>
      <c r="I158" s="3">
        <f>IF(ISNA(MATCH(H158,关卡!$E$19:$E$2018,1)),0,MATCH(H158,关卡!$E$19:$E$2018,1))</f>
        <v>62</v>
      </c>
      <c r="J158" s="3">
        <f>VLOOKUP($I158,关卡!$A$17:$G$2018,6,0)</f>
        <v>4.3015057848790006</v>
      </c>
      <c r="K158" s="3">
        <f>VLOOKUP($I158,关卡!$A$17:$G$2018,7,0)</f>
        <v>8.2487063844949997</v>
      </c>
      <c r="L158" s="3">
        <f t="shared" si="24"/>
        <v>15485.420825564403</v>
      </c>
      <c r="M158" s="3">
        <f t="shared" si="25"/>
        <v>29695.342984182</v>
      </c>
      <c r="N158" s="3">
        <f>INT(D158*J158*VLOOKUP(A158,经验产出!$I$7:$J$557,2,0))</f>
        <v>5998</v>
      </c>
      <c r="O158" s="3">
        <f>SUM($N$24:N157)</f>
        <v>148108</v>
      </c>
      <c r="P158" s="3">
        <f>K158*VLOOKUP(A158,金币产出!$I$7:$J$557,2,0)</f>
        <v>29.660973374246602</v>
      </c>
    </row>
    <row r="159" spans="1:16" x14ac:dyDescent="0.15">
      <c r="A159" s="3">
        <v>136</v>
      </c>
      <c r="B159" s="3">
        <f t="shared" si="19"/>
        <v>7</v>
      </c>
      <c r="C159" s="3">
        <f t="shared" si="20"/>
        <v>4104.0000000000009</v>
      </c>
      <c r="D159" s="3">
        <f t="shared" si="21"/>
        <v>307.12500000000091</v>
      </c>
      <c r="E159" s="3">
        <f>SUM($D$24:D159)</f>
        <v>14003.999999999996</v>
      </c>
      <c r="F159" s="3">
        <f t="shared" si="22"/>
        <v>233.39999999999995</v>
      </c>
      <c r="G159" s="3">
        <f t="shared" si="22"/>
        <v>3.8899999999999992</v>
      </c>
      <c r="H159" s="3">
        <f t="shared" si="23"/>
        <v>0.1620833333333333</v>
      </c>
      <c r="I159" s="3">
        <f>IF(ISNA(MATCH(H159,关卡!$E$19:$E$2018,1)),0,MATCH(H159,关卡!$E$19:$E$2018,1))</f>
        <v>63</v>
      </c>
      <c r="J159" s="3">
        <f>VLOOKUP($I159,关卡!$A$17:$G$2018,6,0)</f>
        <v>4.3582196019649375</v>
      </c>
      <c r="K159" s="3">
        <f>VLOOKUP($I159,关卡!$A$17:$G$2018,7,0)</f>
        <v>8.3036194144559374</v>
      </c>
      <c r="L159" s="3">
        <f t="shared" si="24"/>
        <v>15689.590567073776</v>
      </c>
      <c r="M159" s="3">
        <f t="shared" si="25"/>
        <v>29893.029892041373</v>
      </c>
      <c r="N159" s="3">
        <f>INT(D159*J159*VLOOKUP(A159,经验产出!$I$7:$J$557,2,0))</f>
        <v>6213</v>
      </c>
      <c r="O159" s="3">
        <f>SUM($N$24:N158)</f>
        <v>154106</v>
      </c>
      <c r="P159" s="3">
        <f>K159*VLOOKUP(A159,金币产出!$I$7:$J$557,2,0)</f>
        <v>29.858431477814474</v>
      </c>
    </row>
    <row r="160" spans="1:16" x14ac:dyDescent="0.15">
      <c r="A160" s="3">
        <v>137</v>
      </c>
      <c r="B160" s="3">
        <f t="shared" si="19"/>
        <v>7</v>
      </c>
      <c r="C160" s="3">
        <f t="shared" si="20"/>
        <v>4417.875</v>
      </c>
      <c r="D160" s="3">
        <f t="shared" si="21"/>
        <v>313.87499999999909</v>
      </c>
      <c r="E160" s="3">
        <f>SUM($D$24:D160)</f>
        <v>14317.874999999996</v>
      </c>
      <c r="F160" s="3">
        <f t="shared" si="22"/>
        <v>238.63124999999994</v>
      </c>
      <c r="G160" s="3">
        <f t="shared" si="22"/>
        <v>3.977187499999999</v>
      </c>
      <c r="H160" s="3">
        <f t="shared" si="23"/>
        <v>0.1657161458333333</v>
      </c>
      <c r="I160" s="3">
        <f>IF(ISNA(MATCH(H160,关卡!$E$19:$E$2018,1)),0,MATCH(H160,关卡!$E$19:$E$2018,1))</f>
        <v>64</v>
      </c>
      <c r="J160" s="3">
        <f>VLOOKUP($I160,关卡!$A$17:$G$2018,6,0)</f>
        <v>4.4150487818239998</v>
      </c>
      <c r="K160" s="3">
        <f>VLOOKUP($I160,关卡!$A$17:$G$2018,7,0)</f>
        <v>8.358614814720001</v>
      </c>
      <c r="L160" s="3">
        <f t="shared" si="24"/>
        <v>15894.1756145664</v>
      </c>
      <c r="M160" s="3">
        <f t="shared" si="25"/>
        <v>30091.013332992003</v>
      </c>
      <c r="N160" s="3">
        <f>INT(D160*J160*VLOOKUP(A160,经验产出!$I$7:$J$557,2,0))</f>
        <v>6433</v>
      </c>
      <c r="O160" s="3">
        <f>SUM($N$24:N159)</f>
        <v>160319</v>
      </c>
      <c r="P160" s="3">
        <f>K160*VLOOKUP(A160,金币产出!$I$7:$J$557,2,0)</f>
        <v>30.056185771264001</v>
      </c>
    </row>
    <row r="161" spans="1:16" x14ac:dyDescent="0.15">
      <c r="A161" s="3">
        <v>138</v>
      </c>
      <c r="B161" s="3">
        <f t="shared" si="19"/>
        <v>7</v>
      </c>
      <c r="C161" s="3">
        <f t="shared" si="20"/>
        <v>4738.5</v>
      </c>
      <c r="D161" s="3">
        <f t="shared" si="21"/>
        <v>320.625</v>
      </c>
      <c r="E161" s="3">
        <f>SUM($D$24:D161)</f>
        <v>14638.499999999996</v>
      </c>
      <c r="F161" s="3">
        <f t="shared" si="22"/>
        <v>243.97499999999994</v>
      </c>
      <c r="G161" s="3">
        <f t="shared" si="22"/>
        <v>4.0662499999999993</v>
      </c>
      <c r="H161" s="3">
        <f t="shared" si="23"/>
        <v>0.16942708333333331</v>
      </c>
      <c r="I161" s="3">
        <f>IF(ISNA(MATCH(H161,关卡!$E$19:$E$2018,1)),0,MATCH(H161,关卡!$E$19:$E$2018,1))</f>
        <v>65</v>
      </c>
      <c r="J161" s="3">
        <f>VLOOKUP($I161,关卡!$A$17:$G$2018,6,0)</f>
        <v>4.471993587460938</v>
      </c>
      <c r="K161" s="3">
        <f>VLOOKUP($I161,关卡!$A$17:$G$2018,7,0)</f>
        <v>8.4136927068359384</v>
      </c>
      <c r="L161" s="3">
        <f t="shared" si="24"/>
        <v>16099.176914859376</v>
      </c>
      <c r="M161" s="3">
        <f t="shared" si="25"/>
        <v>30289.293744609378</v>
      </c>
      <c r="N161" s="3">
        <f>INT(D161*J161*VLOOKUP(A161,经验产出!$I$7:$J$557,2,0))</f>
        <v>6656</v>
      </c>
      <c r="O161" s="3">
        <f>SUM($N$24:N160)</f>
        <v>166752</v>
      </c>
      <c r="P161" s="3">
        <f>K161*VLOOKUP(A161,金币产出!$I$7:$J$557,2,0)</f>
        <v>30.254236691664229</v>
      </c>
    </row>
    <row r="162" spans="1:16" x14ac:dyDescent="0.15">
      <c r="A162" s="3">
        <v>139</v>
      </c>
      <c r="B162" s="3">
        <f t="shared" si="19"/>
        <v>7</v>
      </c>
      <c r="C162" s="3">
        <f t="shared" si="20"/>
        <v>5065.8749999999991</v>
      </c>
      <c r="D162" s="3">
        <f t="shared" si="21"/>
        <v>327.37499999999909</v>
      </c>
      <c r="E162" s="3">
        <f>SUM($D$24:D162)</f>
        <v>14965.874999999996</v>
      </c>
      <c r="F162" s="3">
        <f t="shared" si="22"/>
        <v>249.43124999999995</v>
      </c>
      <c r="G162" s="3">
        <f t="shared" si="22"/>
        <v>4.1571874999999991</v>
      </c>
      <c r="H162" s="3">
        <f t="shared" si="23"/>
        <v>0.17321614583333331</v>
      </c>
      <c r="I162" s="3">
        <f>IF(ISNA(MATCH(H162,关卡!$E$19:$E$2018,1)),0,MATCH(H162,关卡!$E$19:$E$2018,1))</f>
        <v>66</v>
      </c>
      <c r="J162" s="3">
        <f>VLOOKUP($I162,关卡!$A$17:$G$2018,6,0)</f>
        <v>4.5290542824789997</v>
      </c>
      <c r="K162" s="3">
        <f>VLOOKUP($I162,关卡!$A$17:$G$2018,7,0)</f>
        <v>8.4688532124949987</v>
      </c>
      <c r="L162" s="3">
        <f t="shared" si="24"/>
        <v>16304.5954169244</v>
      </c>
      <c r="M162" s="3">
        <f t="shared" si="25"/>
        <v>30487.871564981997</v>
      </c>
      <c r="N162" s="3">
        <f>INT(D162*J162*VLOOKUP(A162,经验产出!$I$7:$J$557,2,0))</f>
        <v>6883</v>
      </c>
      <c r="O162" s="3">
        <f>SUM($N$24:N161)</f>
        <v>173408</v>
      </c>
      <c r="P162" s="3">
        <f>K162*VLOOKUP(A162,金币产出!$I$7:$J$557,2,0)</f>
        <v>30.452584676596597</v>
      </c>
    </row>
    <row r="163" spans="1:16" x14ac:dyDescent="0.15">
      <c r="A163" s="3">
        <v>140</v>
      </c>
      <c r="B163" s="3">
        <f t="shared" si="19"/>
        <v>7</v>
      </c>
      <c r="C163" s="3">
        <f t="shared" si="20"/>
        <v>5400</v>
      </c>
      <c r="D163" s="3">
        <f t="shared" si="21"/>
        <v>334.12500000000091</v>
      </c>
      <c r="E163" s="3">
        <f>SUM($D$24:D163)</f>
        <v>15299.999999999996</v>
      </c>
      <c r="F163" s="3">
        <f t="shared" si="22"/>
        <v>254.99999999999994</v>
      </c>
      <c r="G163" s="3">
        <f t="shared" si="22"/>
        <v>4.2499999999999991</v>
      </c>
      <c r="H163" s="3">
        <f t="shared" si="23"/>
        <v>0.17708333333333329</v>
      </c>
      <c r="I163" s="3">
        <f>IF(ISNA(MATCH(H163,关卡!$E$19:$E$2018,1)),0,MATCH(H163,关卡!$E$19:$E$2018,1))</f>
        <v>67</v>
      </c>
      <c r="J163" s="3">
        <f>VLOOKUP($I163,关卡!$A$17:$G$2018,6,0)</f>
        <v>4.5862311310799386</v>
      </c>
      <c r="K163" s="3">
        <f>VLOOKUP($I163,关卡!$A$17:$G$2018,7,0)</f>
        <v>8.5240964535309374</v>
      </c>
      <c r="L163" s="3">
        <f t="shared" si="24"/>
        <v>16510.432071887779</v>
      </c>
      <c r="M163" s="3">
        <f t="shared" si="25"/>
        <v>30686.747232711372</v>
      </c>
      <c r="N163" s="3">
        <f>INT(D163*J163*VLOOKUP(A163,经验产出!$I$7:$J$557,2,0))</f>
        <v>7113</v>
      </c>
      <c r="O163" s="3">
        <f>SUM($N$24:N162)</f>
        <v>180291</v>
      </c>
      <c r="P163" s="3">
        <f>K163*VLOOKUP(A163,金币产出!$I$7:$J$557,2,0)</f>
        <v>30.651230164154995</v>
      </c>
    </row>
    <row r="164" spans="1:16" x14ac:dyDescent="0.15">
      <c r="A164" s="3">
        <v>141</v>
      </c>
      <c r="B164" s="3">
        <f t="shared" si="19"/>
        <v>8</v>
      </c>
      <c r="C164" s="3">
        <f t="shared" si="20"/>
        <v>364.50000000000006</v>
      </c>
      <c r="D164" s="3">
        <f t="shared" si="21"/>
        <v>364.50000000000006</v>
      </c>
      <c r="E164" s="3">
        <f>SUM($D$24:D164)</f>
        <v>15664.499999999996</v>
      </c>
      <c r="F164" s="3">
        <f t="shared" si="22"/>
        <v>261.07499999999993</v>
      </c>
      <c r="G164" s="3">
        <f t="shared" si="22"/>
        <v>4.3512499999999985</v>
      </c>
      <c r="H164" s="3">
        <f t="shared" si="23"/>
        <v>0.18130208333333328</v>
      </c>
      <c r="I164" s="3">
        <f>IF(ISNA(MATCH(H164,关卡!$E$19:$E$2018,1)),0,MATCH(H164,关卡!$E$19:$E$2018,1))</f>
        <v>68</v>
      </c>
      <c r="J164" s="3">
        <f>VLOOKUP($I164,关卡!$A$17:$G$2018,6,0)</f>
        <v>4.6435243980639997</v>
      </c>
      <c r="K164" s="3">
        <f>VLOOKUP($I164,关卡!$A$17:$G$2018,7,0)</f>
        <v>8.5794225519200022</v>
      </c>
      <c r="L164" s="3">
        <f t="shared" si="24"/>
        <v>16716.687833030399</v>
      </c>
      <c r="M164" s="3">
        <f t="shared" si="25"/>
        <v>30885.921186912008</v>
      </c>
      <c r="N164" s="3">
        <f>INT(D164*J164*VLOOKUP(A164,经验产出!$I$7:$J$557,2,0))</f>
        <v>7857</v>
      </c>
      <c r="O164" s="3">
        <f>SUM($N$24:N163)</f>
        <v>187404</v>
      </c>
      <c r="P164" s="3">
        <f>K164*VLOOKUP(A164,金币产出!$I$7:$J$557,2,0)</f>
        <v>30.850173592945673</v>
      </c>
    </row>
    <row r="165" spans="1:16" x14ac:dyDescent="0.15">
      <c r="A165" s="3">
        <v>142</v>
      </c>
      <c r="B165" s="3">
        <f t="shared" si="19"/>
        <v>8</v>
      </c>
      <c r="C165" s="3">
        <f t="shared" si="20"/>
        <v>738.00000000000011</v>
      </c>
      <c r="D165" s="3">
        <f t="shared" si="21"/>
        <v>373.50000000000006</v>
      </c>
      <c r="E165" s="3">
        <f>SUM($D$24:D165)</f>
        <v>16037.999999999996</v>
      </c>
      <c r="F165" s="3">
        <f t="shared" si="22"/>
        <v>267.29999999999995</v>
      </c>
      <c r="G165" s="3">
        <f t="shared" si="22"/>
        <v>4.4549999999999992</v>
      </c>
      <c r="H165" s="3">
        <f t="shared" si="23"/>
        <v>0.18562499999999996</v>
      </c>
      <c r="I165" s="3">
        <f>IF(ISNA(MATCH(H165,关卡!$E$19:$E$2018,1)),0,MATCH(H165,关卡!$E$19:$E$2018,1))</f>
        <v>69</v>
      </c>
      <c r="J165" s="3">
        <f>VLOOKUP($I165,关卡!$A$17:$G$2018,6,0)</f>
        <v>4.7009343488299384</v>
      </c>
      <c r="K165" s="3">
        <f>VLOOKUP($I165,关卡!$A$17:$G$2018,7,0)</f>
        <v>8.6348316297809387</v>
      </c>
      <c r="L165" s="3">
        <f t="shared" si="24"/>
        <v>16923.36365578778</v>
      </c>
      <c r="M165" s="3">
        <f t="shared" si="25"/>
        <v>31085.39386721138</v>
      </c>
      <c r="N165" s="3">
        <f>INT(D165*J165*VLOOKUP(A165,经验产出!$I$7:$J$557,2,0))</f>
        <v>8151</v>
      </c>
      <c r="O165" s="3">
        <f>SUM($N$24:N164)</f>
        <v>195261</v>
      </c>
      <c r="P165" s="3">
        <f>K165*VLOOKUP(A165,金币产出!$I$7:$J$557,2,0)</f>
        <v>31.049415402087291</v>
      </c>
    </row>
    <row r="166" spans="1:16" x14ac:dyDescent="0.15">
      <c r="A166" s="3">
        <v>143</v>
      </c>
      <c r="B166" s="3">
        <f t="shared" si="19"/>
        <v>8</v>
      </c>
      <c r="C166" s="3">
        <f t="shared" si="20"/>
        <v>1120.5</v>
      </c>
      <c r="D166" s="3">
        <f t="shared" si="21"/>
        <v>382.49999999999989</v>
      </c>
      <c r="E166" s="3">
        <f>SUM($D$24:D166)</f>
        <v>16420.499999999996</v>
      </c>
      <c r="F166" s="3">
        <f t="shared" si="22"/>
        <v>273.67499999999995</v>
      </c>
      <c r="G166" s="3">
        <f t="shared" si="22"/>
        <v>4.5612499999999994</v>
      </c>
      <c r="H166" s="3">
        <f t="shared" si="23"/>
        <v>0.19005208333333332</v>
      </c>
      <c r="I166" s="3">
        <f>IF(ISNA(MATCH(H166,关卡!$E$19:$E$2018,1)),0,MATCH(H166,关卡!$E$19:$E$2018,1))</f>
        <v>70</v>
      </c>
      <c r="J166" s="3">
        <f>VLOOKUP($I166,关卡!$A$17:$G$2018,6,0)</f>
        <v>4.7584612493750011</v>
      </c>
      <c r="K166" s="3">
        <f>VLOOKUP($I166,关卡!$A$17:$G$2018,7,0)</f>
        <v>8.6903238093749984</v>
      </c>
      <c r="L166" s="3">
        <f t="shared" si="24"/>
        <v>17130.460497750002</v>
      </c>
      <c r="M166" s="3">
        <f t="shared" si="25"/>
        <v>31285.165713749993</v>
      </c>
      <c r="N166" s="3">
        <f>INT(D166*J166*VLOOKUP(A166,经验产出!$I$7:$J$557,2,0))</f>
        <v>8449</v>
      </c>
      <c r="O166" s="3">
        <f>SUM($N$24:N165)</f>
        <v>203412</v>
      </c>
      <c r="P166" s="3">
        <f>K166*VLOOKUP(A166,金币产出!$I$7:$J$557,2,0)</f>
        <v>31.24895603121093</v>
      </c>
    </row>
    <row r="167" spans="1:16" x14ac:dyDescent="0.15">
      <c r="A167" s="3">
        <v>144</v>
      </c>
      <c r="B167" s="3">
        <f t="shared" si="19"/>
        <v>8</v>
      </c>
      <c r="C167" s="3">
        <f t="shared" si="20"/>
        <v>1512.0000000000005</v>
      </c>
      <c r="D167" s="3">
        <f t="shared" si="21"/>
        <v>391.50000000000045</v>
      </c>
      <c r="E167" s="3">
        <f>SUM($D$24:D167)</f>
        <v>16811.999999999996</v>
      </c>
      <c r="F167" s="3">
        <f t="shared" si="22"/>
        <v>280.19999999999993</v>
      </c>
      <c r="G167" s="3">
        <f t="shared" si="22"/>
        <v>4.669999999999999</v>
      </c>
      <c r="H167" s="3">
        <f t="shared" si="23"/>
        <v>0.1945833333333333</v>
      </c>
      <c r="I167" s="3">
        <f>IF(ISNA(MATCH(H167,关卡!$E$19:$E$2018,1)),0,MATCH(H167,关卡!$E$19:$E$2018,1))</f>
        <v>71</v>
      </c>
      <c r="J167" s="3">
        <f>VLOOKUP($I167,关卡!$A$17:$G$2018,6,0)</f>
        <v>4.8161053662949369</v>
      </c>
      <c r="K167" s="3">
        <f>VLOOKUP($I167,关卡!$A$17:$G$2018,7,0)</f>
        <v>8.7458992131059379</v>
      </c>
      <c r="L167" s="3">
        <f t="shared" si="24"/>
        <v>17337.979318661775</v>
      </c>
      <c r="M167" s="3">
        <f t="shared" si="25"/>
        <v>31485.237167181378</v>
      </c>
      <c r="N167" s="3">
        <f>INT(D167*J167*VLOOKUP(A167,经验产出!$I$7:$J$557,2,0))</f>
        <v>8753</v>
      </c>
      <c r="O167" s="3">
        <f>SUM($N$24:N166)</f>
        <v>211861</v>
      </c>
      <c r="P167" s="3">
        <f>K167*VLOOKUP(A167,金币产出!$I$7:$J$557,2,0)</f>
        <v>31.4487959204601</v>
      </c>
    </row>
    <row r="168" spans="1:16" x14ac:dyDescent="0.15">
      <c r="A168" s="3">
        <v>145</v>
      </c>
      <c r="B168" s="3">
        <f t="shared" si="19"/>
        <v>8</v>
      </c>
      <c r="C168" s="3">
        <f t="shared" si="20"/>
        <v>1912.5000000000002</v>
      </c>
      <c r="D168" s="3">
        <f t="shared" si="21"/>
        <v>400.49999999999977</v>
      </c>
      <c r="E168" s="3">
        <f>SUM($D$24:D168)</f>
        <v>17212.499999999996</v>
      </c>
      <c r="F168" s="3">
        <f t="shared" si="22"/>
        <v>286.87499999999994</v>
      </c>
      <c r="G168" s="3">
        <f t="shared" si="22"/>
        <v>4.7812499999999991</v>
      </c>
      <c r="H168" s="3">
        <f t="shared" si="23"/>
        <v>0.19921874999999997</v>
      </c>
      <c r="I168" s="3">
        <f>IF(ISNA(MATCH(H168,关卡!$E$19:$E$2018,1)),0,MATCH(H168,关卡!$E$19:$E$2018,1))</f>
        <v>73</v>
      </c>
      <c r="J168" s="3">
        <f>VLOOKUP($I168,关卡!$A$17:$G$2018,6,0)</f>
        <v>4.9317463186349366</v>
      </c>
      <c r="K168" s="3">
        <f>VLOOKUP($I168,关卡!$A$17:$G$2018,7,0)</f>
        <v>8.8573001833059362</v>
      </c>
      <c r="L168" s="3">
        <f t="shared" si="24"/>
        <v>17754.286747085771</v>
      </c>
      <c r="M168" s="3">
        <f t="shared" si="25"/>
        <v>31886.280659901371</v>
      </c>
      <c r="N168" s="3">
        <f>INT(D168*J168*VLOOKUP(A168,经验产出!$I$7:$J$557,2,0))</f>
        <v>9169</v>
      </c>
      <c r="O168" s="3">
        <f>SUM($N$24:N167)</f>
        <v>220614</v>
      </c>
      <c r="P168" s="3">
        <f>K168*VLOOKUP(A168,金币产出!$I$7:$J$557,2,0)</f>
        <v>31.849375242470927</v>
      </c>
    </row>
    <row r="169" spans="1:16" x14ac:dyDescent="0.15">
      <c r="A169" s="3">
        <v>146</v>
      </c>
      <c r="B169" s="3">
        <f t="shared" si="19"/>
        <v>8</v>
      </c>
      <c r="C169" s="3">
        <f t="shared" si="20"/>
        <v>2322</v>
      </c>
      <c r="D169" s="3">
        <f t="shared" si="21"/>
        <v>409.49999999999977</v>
      </c>
      <c r="E169" s="3">
        <f>SUM($D$24:D169)</f>
        <v>17621.999999999996</v>
      </c>
      <c r="F169" s="3">
        <f t="shared" si="22"/>
        <v>293.69999999999993</v>
      </c>
      <c r="G169" s="3">
        <f t="shared" si="22"/>
        <v>4.8949999999999987</v>
      </c>
      <c r="H169" s="3">
        <f t="shared" si="23"/>
        <v>0.20395833333333327</v>
      </c>
      <c r="I169" s="3">
        <f>IF(ISNA(MATCH(H169,关卡!$E$19:$E$2018,1)),0,MATCH(H169,关卡!$E$19:$E$2018,1))</f>
        <v>74</v>
      </c>
      <c r="J169" s="3">
        <f>VLOOKUP($I169,关卡!$A$17:$G$2018,6,0)</f>
        <v>4.989743690239</v>
      </c>
      <c r="K169" s="3">
        <f>VLOOKUP($I169,关卡!$A$17:$G$2018,7,0)</f>
        <v>8.9131259952949993</v>
      </c>
      <c r="L169" s="3">
        <f t="shared" si="24"/>
        <v>17963.077284860403</v>
      </c>
      <c r="M169" s="3">
        <f t="shared" si="25"/>
        <v>32087.253583062</v>
      </c>
      <c r="N169" s="3">
        <f>INT(D169*J169*VLOOKUP(A169,经验产出!$I$7:$J$557,2,0))</f>
        <v>9485</v>
      </c>
      <c r="O169" s="3">
        <f>SUM($N$24:N168)</f>
        <v>229783</v>
      </c>
      <c r="P169" s="3">
        <f>K169*VLOOKUP(A169,金币产出!$I$7:$J$557,2,0)</f>
        <v>32.0501155580816</v>
      </c>
    </row>
    <row r="170" spans="1:16" x14ac:dyDescent="0.15">
      <c r="A170" s="3">
        <v>147</v>
      </c>
      <c r="B170" s="3">
        <f t="shared" si="19"/>
        <v>8</v>
      </c>
      <c r="C170" s="3">
        <f t="shared" si="20"/>
        <v>2740.5</v>
      </c>
      <c r="D170" s="3">
        <f t="shared" si="21"/>
        <v>418.5</v>
      </c>
      <c r="E170" s="3">
        <f>SUM($D$24:D170)</f>
        <v>18040.499999999996</v>
      </c>
      <c r="F170" s="3">
        <f t="shared" si="22"/>
        <v>300.67499999999995</v>
      </c>
      <c r="G170" s="3">
        <f t="shared" si="22"/>
        <v>5.0112499999999995</v>
      </c>
      <c r="H170" s="3">
        <f t="shared" si="23"/>
        <v>0.2088020833333333</v>
      </c>
      <c r="I170" s="3">
        <f>IF(ISNA(MATCH(H170,关卡!$E$19:$E$2018,1)),0,MATCH(H170,关卡!$E$19:$E$2018,1))</f>
        <v>75</v>
      </c>
      <c r="J170" s="3">
        <f>VLOOKUP($I170,关卡!$A$17:$G$2018,6,0)</f>
        <v>5.0478593505859379</v>
      </c>
      <c r="K170" s="3">
        <f>VLOOKUP($I170,关卡!$A$17:$G$2018,7,0)</f>
        <v>8.9690355224609384</v>
      </c>
      <c r="L170" s="3">
        <f t="shared" si="24"/>
        <v>18172.293662109376</v>
      </c>
      <c r="M170" s="3">
        <f t="shared" si="25"/>
        <v>32288.527880859379</v>
      </c>
      <c r="N170" s="3">
        <f>INT(D170*J170*VLOOKUP(A170,经验产出!$I$7:$J$557,2,0))</f>
        <v>9807</v>
      </c>
      <c r="O170" s="3">
        <f>SUM($N$24:N169)</f>
        <v>239268</v>
      </c>
      <c r="P170" s="3">
        <f>K170*VLOOKUP(A170,金币产出!$I$7:$J$557,2,0)</f>
        <v>32.251156899515792</v>
      </c>
    </row>
    <row r="171" spans="1:16" x14ac:dyDescent="0.15">
      <c r="A171" s="3">
        <v>148</v>
      </c>
      <c r="B171" s="3">
        <f t="shared" si="19"/>
        <v>8</v>
      </c>
      <c r="C171" s="3">
        <f t="shared" si="20"/>
        <v>3168.0000000000009</v>
      </c>
      <c r="D171" s="3">
        <f t="shared" si="21"/>
        <v>427.50000000000091</v>
      </c>
      <c r="E171" s="3">
        <f>SUM($D$24:D171)</f>
        <v>18467.999999999996</v>
      </c>
      <c r="F171" s="3">
        <f t="shared" si="22"/>
        <v>307.79999999999995</v>
      </c>
      <c r="G171" s="3">
        <f t="shared" si="22"/>
        <v>5.129999999999999</v>
      </c>
      <c r="H171" s="3">
        <f t="shared" si="23"/>
        <v>0.21374999999999997</v>
      </c>
      <c r="I171" s="3">
        <f>IF(ISNA(MATCH(H171,关卡!$E$19:$E$2018,1)),0,MATCH(H171,关卡!$E$19:$E$2018,1))</f>
        <v>76</v>
      </c>
      <c r="J171" s="3">
        <f>VLOOKUP($I171,关卡!$A$17:$G$2018,6,0)</f>
        <v>5.1060935692640008</v>
      </c>
      <c r="K171" s="3">
        <f>VLOOKUP($I171,关卡!$A$17:$G$2018,7,0)</f>
        <v>9.0250288879200014</v>
      </c>
      <c r="L171" s="3">
        <f t="shared" si="24"/>
        <v>18381.936849350401</v>
      </c>
      <c r="M171" s="3">
        <f t="shared" si="25"/>
        <v>32490.103996512004</v>
      </c>
      <c r="N171" s="3">
        <f>INT(D171*J171*VLOOKUP(A171,经验产出!$I$7:$J$557,2,0))</f>
        <v>10133</v>
      </c>
      <c r="O171" s="3">
        <f>SUM($N$24:N170)</f>
        <v>249075</v>
      </c>
      <c r="P171" s="3">
        <f>K171*VLOOKUP(A171,金币产出!$I$7:$J$557,2,0)</f>
        <v>32.452499709479007</v>
      </c>
    </row>
    <row r="172" spans="1:16" x14ac:dyDescent="0.15">
      <c r="A172" s="3">
        <v>149</v>
      </c>
      <c r="B172" s="3">
        <f t="shared" si="19"/>
        <v>8</v>
      </c>
      <c r="C172" s="3">
        <f t="shared" si="20"/>
        <v>3604.5000000000009</v>
      </c>
      <c r="D172" s="3">
        <f t="shared" si="21"/>
        <v>436.5</v>
      </c>
      <c r="E172" s="3">
        <f>SUM($D$24:D172)</f>
        <v>18904.499999999996</v>
      </c>
      <c r="F172" s="3">
        <f t="shared" si="22"/>
        <v>315.07499999999993</v>
      </c>
      <c r="G172" s="3">
        <f t="shared" si="22"/>
        <v>5.2512499999999989</v>
      </c>
      <c r="H172" s="3">
        <f t="shared" si="23"/>
        <v>0.21880208333333329</v>
      </c>
      <c r="I172" s="3">
        <f>IF(ISNA(MATCH(H172,关卡!$E$19:$E$2018,1)),0,MATCH(H172,关卡!$E$19:$E$2018,1))</f>
        <v>77</v>
      </c>
      <c r="J172" s="3">
        <f>VLOOKUP($I172,关卡!$A$17:$G$2018,6,0)</f>
        <v>5.1644466164599372</v>
      </c>
      <c r="K172" s="3">
        <f>VLOOKUP($I172,关卡!$A$17:$G$2018,7,0)</f>
        <v>9.0811062149309372</v>
      </c>
      <c r="L172" s="3">
        <f t="shared" si="24"/>
        <v>18592.007819255774</v>
      </c>
      <c r="M172" s="3">
        <f t="shared" si="25"/>
        <v>32691.982373751373</v>
      </c>
      <c r="N172" s="3">
        <f>INT(D172*J172*VLOOKUP(A172,经验产出!$I$7:$J$557,2,0))</f>
        <v>10465</v>
      </c>
      <c r="O172" s="3">
        <f>SUM($N$24:N171)</f>
        <v>259208</v>
      </c>
      <c r="P172" s="3">
        <f>K172*VLOOKUP(A172,金币产出!$I$7:$J$557,2,0)</f>
        <v>32.65414443118916</v>
      </c>
    </row>
    <row r="173" spans="1:16" x14ac:dyDescent="0.15">
      <c r="A173" s="3">
        <v>150</v>
      </c>
      <c r="B173" s="3">
        <f t="shared" si="19"/>
        <v>8</v>
      </c>
      <c r="C173" s="3">
        <f t="shared" si="20"/>
        <v>4050</v>
      </c>
      <c r="D173" s="3">
        <f t="shared" si="21"/>
        <v>445.49999999999909</v>
      </c>
      <c r="E173" s="3">
        <f>SUM($D$24:D173)</f>
        <v>19349.999999999996</v>
      </c>
      <c r="F173" s="3">
        <f t="shared" si="22"/>
        <v>322.49999999999994</v>
      </c>
      <c r="G173" s="3">
        <f t="shared" si="22"/>
        <v>5.3749999999999991</v>
      </c>
      <c r="H173" s="3">
        <f t="shared" si="23"/>
        <v>0.22395833333333329</v>
      </c>
      <c r="I173" s="3">
        <f>IF(ISNA(MATCH(H173,关卡!$E$19:$E$2018,1)),0,MATCH(H173,关卡!$E$19:$E$2018,1))</f>
        <v>79</v>
      </c>
      <c r="J173" s="3">
        <f>VLOOKUP($I173,关卡!$A$17:$G$2018,6,0)</f>
        <v>5.2815102801449392</v>
      </c>
      <c r="K173" s="3">
        <f>VLOOKUP($I173,关卡!$A$17:$G$2018,7,0)</f>
        <v>9.193513247355936</v>
      </c>
      <c r="L173" s="3">
        <f t="shared" si="24"/>
        <v>19013.437008521782</v>
      </c>
      <c r="M173" s="3">
        <f t="shared" si="25"/>
        <v>33096.647690481375</v>
      </c>
      <c r="N173" s="3">
        <f>INT(D173*J173*VLOOKUP(A173,经验产出!$I$7:$J$557,2,0))</f>
        <v>10923</v>
      </c>
      <c r="O173" s="3">
        <f>SUM($N$24:N172)</f>
        <v>269673</v>
      </c>
      <c r="P173" s="3">
        <f>K173*VLOOKUP(A173,金币产出!$I$7:$J$557,2,0)</f>
        <v>33.058341385284052</v>
      </c>
    </row>
    <row r="174" spans="1:16" x14ac:dyDescent="0.15">
      <c r="A174" s="3">
        <v>151</v>
      </c>
      <c r="B174" s="3">
        <f t="shared" si="19"/>
        <v>8</v>
      </c>
      <c r="C174" s="3">
        <f t="shared" si="20"/>
        <v>4504.5000000000009</v>
      </c>
      <c r="D174" s="3">
        <f t="shared" si="21"/>
        <v>454.50000000000091</v>
      </c>
      <c r="E174" s="3">
        <f>SUM($D$24:D174)</f>
        <v>19804.499999999996</v>
      </c>
      <c r="F174" s="3">
        <f t="shared" si="22"/>
        <v>330.07499999999993</v>
      </c>
      <c r="G174" s="3">
        <f t="shared" si="22"/>
        <v>5.5012499999999989</v>
      </c>
      <c r="H174" s="3">
        <f t="shared" si="23"/>
        <v>0.22921874999999994</v>
      </c>
      <c r="I174" s="3">
        <f>IF(ISNA(MATCH(H174,关卡!$E$19:$E$2018,1)),0,MATCH(H174,关卡!$E$19:$E$2018,1))</f>
        <v>80</v>
      </c>
      <c r="J174" s="3">
        <f>VLOOKUP($I174,关卡!$A$17:$G$2018,6,0)</f>
        <v>5.3402214399999997</v>
      </c>
      <c r="K174" s="3">
        <f>VLOOKUP($I174,关卡!$A$17:$G$2018,7,0)</f>
        <v>9.2498432000000008</v>
      </c>
      <c r="L174" s="3">
        <f t="shared" si="24"/>
        <v>19224.797183999999</v>
      </c>
      <c r="M174" s="3">
        <f t="shared" si="25"/>
        <v>33299.435520000006</v>
      </c>
      <c r="N174" s="3">
        <f>INT(D174*J174*VLOOKUP(A174,经验产出!$I$7:$J$557,2,0))</f>
        <v>11267</v>
      </c>
      <c r="O174" s="3">
        <f>SUM($N$24:N173)</f>
        <v>280596</v>
      </c>
      <c r="P174" s="3">
        <f>K174*VLOOKUP(A174,金币产出!$I$7:$J$557,2,0)</f>
        <v>33.260894506666666</v>
      </c>
    </row>
    <row r="175" spans="1:16" x14ac:dyDescent="0.15">
      <c r="A175" s="3">
        <v>152</v>
      </c>
      <c r="B175" s="3">
        <f t="shared" si="19"/>
        <v>8</v>
      </c>
      <c r="C175" s="3">
        <f t="shared" si="20"/>
        <v>4967.9999999999991</v>
      </c>
      <c r="D175" s="3">
        <f t="shared" si="21"/>
        <v>463.49999999999818</v>
      </c>
      <c r="E175" s="3">
        <f>SUM($D$24:D175)</f>
        <v>20267.999999999993</v>
      </c>
      <c r="F175" s="3">
        <f t="shared" si="22"/>
        <v>337.7999999999999</v>
      </c>
      <c r="G175" s="3">
        <f t="shared" si="22"/>
        <v>5.6299999999999981</v>
      </c>
      <c r="H175" s="3">
        <f t="shared" si="23"/>
        <v>0.23458333333333325</v>
      </c>
      <c r="I175" s="3">
        <f>IF(ISNA(MATCH(H175,关卡!$E$19:$E$2018,1)),0,MATCH(H175,关卡!$E$19:$E$2018,1))</f>
        <v>81</v>
      </c>
      <c r="J175" s="3">
        <f>VLOOKUP($I175,关卡!$A$17:$G$2018,6,0)</f>
        <v>5.3990525151049376</v>
      </c>
      <c r="K175" s="3">
        <f>VLOOKUP($I175,关卡!$A$17:$G$2018,7,0)</f>
        <v>9.3062576086559403</v>
      </c>
      <c r="L175" s="3">
        <f t="shared" si="24"/>
        <v>19436.589054377775</v>
      </c>
      <c r="M175" s="3">
        <f t="shared" si="25"/>
        <v>33502.527391161391</v>
      </c>
      <c r="N175" s="3">
        <f>INT(D175*J175*VLOOKUP(A175,经验产出!$I$7:$J$557,2,0))</f>
        <v>11617</v>
      </c>
      <c r="O175" s="3">
        <f>SUM($N$24:N174)</f>
        <v>291863</v>
      </c>
      <c r="P175" s="3">
        <f>K175*VLOOKUP(A175,金币产出!$I$7:$J$557,2,0)</f>
        <v>33.463751317791981</v>
      </c>
    </row>
    <row r="176" spans="1:16" x14ac:dyDescent="0.15">
      <c r="A176" s="3">
        <v>153</v>
      </c>
      <c r="B176" s="3">
        <f t="shared" si="19"/>
        <v>8</v>
      </c>
      <c r="C176" s="3">
        <f t="shared" si="20"/>
        <v>5440.5</v>
      </c>
      <c r="D176" s="3">
        <f t="shared" si="21"/>
        <v>472.50000000000091</v>
      </c>
      <c r="E176" s="3">
        <f>SUM($D$24:D176)</f>
        <v>20740.499999999993</v>
      </c>
      <c r="F176" s="3">
        <f t="shared" si="22"/>
        <v>345.6749999999999</v>
      </c>
      <c r="G176" s="3">
        <f t="shared" si="22"/>
        <v>5.7612499999999986</v>
      </c>
      <c r="H176" s="3">
        <f t="shared" si="23"/>
        <v>0.24005208333333328</v>
      </c>
      <c r="I176" s="3">
        <f>IF(ISNA(MATCH(H176,关卡!$E$19:$E$2018,1)),0,MATCH(H176,关卡!$E$19:$E$2018,1))</f>
        <v>82</v>
      </c>
      <c r="J176" s="3">
        <f>VLOOKUP($I176,关卡!$A$17:$G$2018,6,0)</f>
        <v>5.458003778639001</v>
      </c>
      <c r="K176" s="3">
        <f>VLOOKUP($I176,关卡!$A$17:$G$2018,7,0)</f>
        <v>9.362756597295002</v>
      </c>
      <c r="L176" s="3">
        <f t="shared" si="24"/>
        <v>19648.813603100403</v>
      </c>
      <c r="M176" s="3">
        <f t="shared" si="25"/>
        <v>33705.923750262009</v>
      </c>
      <c r="N176" s="3">
        <f>INT(D176*J176*VLOOKUP(A176,经验产出!$I$7:$J$557,2,0))</f>
        <v>11972</v>
      </c>
      <c r="O176" s="3">
        <f>SUM($N$24:N175)</f>
        <v>303480</v>
      </c>
      <c r="P176" s="3">
        <f>K176*VLOOKUP(A176,金币产出!$I$7:$J$557,2,0)</f>
        <v>33.666912264439944</v>
      </c>
    </row>
    <row r="177" spans="1:16" x14ac:dyDescent="0.15">
      <c r="A177" s="3">
        <v>154</v>
      </c>
      <c r="B177" s="3">
        <f t="shared" si="19"/>
        <v>8</v>
      </c>
      <c r="C177" s="3">
        <f t="shared" si="20"/>
        <v>5921.9999999999991</v>
      </c>
      <c r="D177" s="3">
        <f t="shared" si="21"/>
        <v>481.49999999999909</v>
      </c>
      <c r="E177" s="3">
        <f>SUM($D$24:D177)</f>
        <v>21221.999999999993</v>
      </c>
      <c r="F177" s="3">
        <f t="shared" si="22"/>
        <v>353.69999999999987</v>
      </c>
      <c r="G177" s="3">
        <f t="shared" si="22"/>
        <v>5.8949999999999978</v>
      </c>
      <c r="H177" s="3">
        <f t="shared" si="23"/>
        <v>0.2456249999999999</v>
      </c>
      <c r="I177" s="3">
        <f>IF(ISNA(MATCH(H177,关卡!$E$19:$E$2018,1)),0,MATCH(H177,关卡!$E$19:$E$2018,1))</f>
        <v>84</v>
      </c>
      <c r="J177" s="3">
        <f>VLOOKUP($I177,关卡!$A$17:$G$2018,6,0)</f>
        <v>5.5762679667040009</v>
      </c>
      <c r="K177" s="3">
        <f>VLOOKUP($I177,关卡!$A$17:$G$2018,7,0)</f>
        <v>9.476008811119998</v>
      </c>
      <c r="L177" s="3">
        <f t="shared" si="24"/>
        <v>20074.564680134405</v>
      </c>
      <c r="M177" s="3">
        <f t="shared" si="25"/>
        <v>34113.63172003199</v>
      </c>
      <c r="N177" s="3">
        <f>INT(D177*J177*VLOOKUP(A177,经验产出!$I$7:$J$557,2,0))</f>
        <v>12464</v>
      </c>
      <c r="O177" s="3">
        <f>SUM($N$24:N176)</f>
        <v>315452</v>
      </c>
      <c r="P177" s="3">
        <f>K177*VLOOKUP(A177,金币产出!$I$7:$J$557,2,0)</f>
        <v>34.074148349985656</v>
      </c>
    </row>
    <row r="178" spans="1:16" x14ac:dyDescent="0.15">
      <c r="A178" s="3">
        <v>155</v>
      </c>
      <c r="B178" s="3">
        <f t="shared" si="19"/>
        <v>8</v>
      </c>
      <c r="C178" s="3">
        <f t="shared" si="20"/>
        <v>6412.5000000000009</v>
      </c>
      <c r="D178" s="3">
        <f t="shared" si="21"/>
        <v>490.50000000000182</v>
      </c>
      <c r="E178" s="3">
        <f>SUM($D$24:D178)</f>
        <v>21712.499999999993</v>
      </c>
      <c r="F178" s="3">
        <f t="shared" si="22"/>
        <v>361.87499999999989</v>
      </c>
      <c r="G178" s="3">
        <f t="shared" si="22"/>
        <v>6.0312499999999982</v>
      </c>
      <c r="H178" s="3">
        <f t="shared" si="23"/>
        <v>0.25130208333333326</v>
      </c>
      <c r="I178" s="3">
        <f>IF(ISNA(MATCH(H178,关卡!$E$19:$E$2018,1)),0,MATCH(H178,关卡!$E$19:$E$2018,1))</f>
        <v>85</v>
      </c>
      <c r="J178" s="3">
        <f>VLOOKUP($I178,关卡!$A$17:$G$2018,6,0)</f>
        <v>5.6355814405859386</v>
      </c>
      <c r="K178" s="3">
        <f>VLOOKUP($I178,关卡!$A$17:$G$2018,7,0)</f>
        <v>9.5327622849609384</v>
      </c>
      <c r="L178" s="3">
        <f t="shared" si="24"/>
        <v>20288.093186109378</v>
      </c>
      <c r="M178" s="3">
        <f t="shared" si="25"/>
        <v>34317.944225859377</v>
      </c>
      <c r="N178" s="3">
        <f>INT(D178*J178*VLOOKUP(A178,经验产出!$I$7:$J$557,2,0))</f>
        <v>12832</v>
      </c>
      <c r="O178" s="3">
        <f>SUM($N$24:N177)</f>
        <v>327916</v>
      </c>
      <c r="P178" s="3">
        <f>K178*VLOOKUP(A178,金币产出!$I$7:$J$557,2,0)</f>
        <v>34.278224383005373</v>
      </c>
    </row>
    <row r="179" spans="1:16" x14ac:dyDescent="0.15">
      <c r="A179" s="3">
        <v>156</v>
      </c>
      <c r="B179" s="3">
        <f t="shared" si="19"/>
        <v>8</v>
      </c>
      <c r="C179" s="3">
        <f t="shared" si="20"/>
        <v>6912.0000000000009</v>
      </c>
      <c r="D179" s="3">
        <f t="shared" si="21"/>
        <v>499.5</v>
      </c>
      <c r="E179" s="3">
        <f>SUM($D$24:D179)</f>
        <v>22211.999999999993</v>
      </c>
      <c r="F179" s="3">
        <f t="shared" si="22"/>
        <v>370.19999999999987</v>
      </c>
      <c r="G179" s="3">
        <f t="shared" si="22"/>
        <v>6.1699999999999982</v>
      </c>
      <c r="H179" s="3">
        <f t="shared" si="23"/>
        <v>0.25708333333333327</v>
      </c>
      <c r="I179" s="3">
        <f>IF(ISNA(MATCH(H179,关卡!$E$19:$E$2018,1)),0,MATCH(H179,关卡!$E$19:$E$2018,1))</f>
        <v>86</v>
      </c>
      <c r="J179" s="3">
        <f>VLOOKUP($I179,关卡!$A$17:$G$2018,6,0)</f>
        <v>5.6950162015990005</v>
      </c>
      <c r="K179" s="3">
        <f>VLOOKUP($I179,关卡!$A$17:$G$2018,7,0)</f>
        <v>9.5896008360949967</v>
      </c>
      <c r="L179" s="3">
        <f t="shared" si="24"/>
        <v>20502.058325756399</v>
      </c>
      <c r="M179" s="3">
        <f t="shared" si="25"/>
        <v>34522.563009941987</v>
      </c>
      <c r="N179" s="3">
        <f>INT(D179*J179*VLOOKUP(A179,经验产出!$I$7:$J$557,2,0))</f>
        <v>13205</v>
      </c>
      <c r="O179" s="3">
        <f>SUM($N$24:N178)</f>
        <v>340748</v>
      </c>
      <c r="P179" s="3">
        <f>K179*VLOOKUP(A179,金币产出!$I$7:$J$557,2,0)</f>
        <v>34.482606339791595</v>
      </c>
    </row>
    <row r="180" spans="1:16" x14ac:dyDescent="0.15">
      <c r="A180" s="3">
        <v>157</v>
      </c>
      <c r="B180" s="3">
        <f t="shared" si="19"/>
        <v>8</v>
      </c>
      <c r="C180" s="3">
        <f t="shared" si="20"/>
        <v>7420.5</v>
      </c>
      <c r="D180" s="3">
        <f t="shared" si="21"/>
        <v>508.49999999999909</v>
      </c>
      <c r="E180" s="3">
        <f>SUM($D$24:D180)</f>
        <v>22720.499999999993</v>
      </c>
      <c r="F180" s="3">
        <f t="shared" si="22"/>
        <v>378.6749999999999</v>
      </c>
      <c r="G180" s="3">
        <f t="shared" si="22"/>
        <v>6.3112499999999985</v>
      </c>
      <c r="H180" s="3">
        <f t="shared" si="23"/>
        <v>0.26296874999999992</v>
      </c>
      <c r="I180" s="3">
        <f>IF(ISNA(MATCH(H180,关卡!$E$19:$E$2018,1)),0,MATCH(H180,关卡!$E$19:$E$2018,1))</f>
        <v>87</v>
      </c>
      <c r="J180" s="3">
        <f>VLOOKUP($I180,关卡!$A$17:$G$2018,6,0)</f>
        <v>5.754572525914937</v>
      </c>
      <c r="K180" s="3">
        <f>VLOOKUP($I180,关卡!$A$17:$G$2018,7,0)</f>
        <v>9.6465245892059386</v>
      </c>
      <c r="L180" s="3">
        <f t="shared" si="24"/>
        <v>20716.461093293772</v>
      </c>
      <c r="M180" s="3">
        <f t="shared" si="25"/>
        <v>34727.488521141378</v>
      </c>
      <c r="N180" s="3">
        <f>INT(D180*J180*VLOOKUP(A180,经验产出!$I$7:$J$557,2,0))</f>
        <v>13584</v>
      </c>
      <c r="O180" s="3">
        <f>SUM($N$24:N179)</f>
        <v>353953</v>
      </c>
      <c r="P180" s="3">
        <f>K180*VLOOKUP(A180,金币产出!$I$7:$J$557,2,0)</f>
        <v>34.687294668686356</v>
      </c>
    </row>
    <row r="181" spans="1:16" x14ac:dyDescent="0.15">
      <c r="A181" s="3">
        <v>158</v>
      </c>
      <c r="B181" s="3">
        <f t="shared" si="19"/>
        <v>8</v>
      </c>
      <c r="C181" s="3">
        <f t="shared" si="20"/>
        <v>7938.0000000000009</v>
      </c>
      <c r="D181" s="3">
        <f t="shared" si="21"/>
        <v>517.50000000000091</v>
      </c>
      <c r="E181" s="3">
        <f>SUM($D$24:D181)</f>
        <v>23237.999999999993</v>
      </c>
      <c r="F181" s="3">
        <f t="shared" si="22"/>
        <v>387.2999999999999</v>
      </c>
      <c r="G181" s="3">
        <f t="shared" si="22"/>
        <v>6.4549999999999983</v>
      </c>
      <c r="H181" s="3">
        <f t="shared" si="23"/>
        <v>0.26895833333333324</v>
      </c>
      <c r="I181" s="3">
        <f>IF(ISNA(MATCH(H181,关卡!$E$19:$E$2018,1)),0,MATCH(H181,关卡!$E$19:$E$2018,1))</f>
        <v>89</v>
      </c>
      <c r="J181" s="3">
        <f>VLOOKUP($I181,关卡!$A$17:$G$2018,6,0)</f>
        <v>5.8740509721349374</v>
      </c>
      <c r="K181" s="3">
        <f>VLOOKUP($I181,关卡!$A$17:$G$2018,7,0)</f>
        <v>9.7606282008059377</v>
      </c>
      <c r="L181" s="3">
        <f t="shared" si="24"/>
        <v>21146.583499685774</v>
      </c>
      <c r="M181" s="3">
        <f t="shared" si="25"/>
        <v>35138.261522901375</v>
      </c>
      <c r="N181" s="3">
        <f>INT(D181*J181*VLOOKUP(A181,经验产出!$I$7:$J$557,2,0))</f>
        <v>14111</v>
      </c>
      <c r="O181" s="3">
        <f>SUM($N$24:N180)</f>
        <v>367537</v>
      </c>
      <c r="P181" s="3">
        <f>K181*VLOOKUP(A181,金币产出!$I$7:$J$557,2,0)</f>
        <v>35.097592238731352</v>
      </c>
    </row>
    <row r="182" spans="1:16" x14ac:dyDescent="0.15">
      <c r="A182" s="3">
        <v>159</v>
      </c>
      <c r="B182" s="3">
        <f t="shared" si="19"/>
        <v>8</v>
      </c>
      <c r="C182" s="3">
        <f t="shared" si="20"/>
        <v>8464.5</v>
      </c>
      <c r="D182" s="3">
        <f t="shared" si="21"/>
        <v>526.49999999999909</v>
      </c>
      <c r="E182" s="3">
        <f>SUM($D$24:D182)</f>
        <v>23764.499999999993</v>
      </c>
      <c r="F182" s="3">
        <f t="shared" si="22"/>
        <v>396.07499999999987</v>
      </c>
      <c r="G182" s="3">
        <f t="shared" si="22"/>
        <v>6.6012499999999976</v>
      </c>
      <c r="H182" s="3">
        <f t="shared" si="23"/>
        <v>0.27505208333333325</v>
      </c>
      <c r="I182" s="3">
        <f>IF(ISNA(MATCH(H182,关卡!$E$19:$E$2018,1)),0,MATCH(H182,关卡!$E$19:$E$2018,1))</f>
        <v>90</v>
      </c>
      <c r="J182" s="3">
        <f>VLOOKUP($I182,关卡!$A$17:$G$2018,6,0)</f>
        <v>5.9339736493749999</v>
      </c>
      <c r="K182" s="3">
        <f>VLOOKUP($I182,关卡!$A$17:$G$2018,7,0)</f>
        <v>9.8178083093749979</v>
      </c>
      <c r="L182" s="3">
        <f t="shared" si="24"/>
        <v>21362.305137749998</v>
      </c>
      <c r="M182" s="3">
        <f t="shared" si="25"/>
        <v>35344.109913749991</v>
      </c>
      <c r="N182" s="3">
        <f>INT(D182*J182*VLOOKUP(A182,经验产出!$I$7:$J$557,2,0))</f>
        <v>14503</v>
      </c>
      <c r="O182" s="3">
        <f>SUM($N$24:N181)</f>
        <v>381648</v>
      </c>
      <c r="P182" s="3">
        <f>K182*VLOOKUP(A182,金币产出!$I$7:$J$557,2,0)</f>
        <v>35.303202379127598</v>
      </c>
    </row>
    <row r="183" spans="1:16" x14ac:dyDescent="0.15">
      <c r="A183" s="3">
        <v>160</v>
      </c>
      <c r="B183" s="3">
        <f t="shared" si="19"/>
        <v>8</v>
      </c>
      <c r="C183" s="3">
        <f t="shared" si="20"/>
        <v>9000</v>
      </c>
      <c r="D183" s="3">
        <f t="shared" si="21"/>
        <v>535.5</v>
      </c>
      <c r="E183" s="3">
        <f>SUM($D$24:D183)</f>
        <v>24299.999999999993</v>
      </c>
      <c r="F183" s="3">
        <f t="shared" si="22"/>
        <v>404.99999999999989</v>
      </c>
      <c r="G183" s="3">
        <f t="shared" si="22"/>
        <v>6.7499999999999982</v>
      </c>
      <c r="H183" s="3">
        <f t="shared" si="23"/>
        <v>0.28124999999999994</v>
      </c>
      <c r="I183" s="3">
        <f>IF(ISNA(MATCH(H183,关卡!$E$19:$E$2018,1)),0,MATCH(H183,关卡!$E$19:$E$2018,1))</f>
        <v>91</v>
      </c>
      <c r="J183" s="3">
        <f>VLOOKUP($I183,关卡!$A$17:$G$2018,6,0)</f>
        <v>5.9940190005899376</v>
      </c>
      <c r="K183" s="3">
        <f>VLOOKUP($I183,关卡!$A$17:$G$2018,7,0)</f>
        <v>9.8750741200809351</v>
      </c>
      <c r="L183" s="3">
        <f t="shared" si="24"/>
        <v>21578.468402123774</v>
      </c>
      <c r="M183" s="3">
        <f t="shared" si="25"/>
        <v>35550.266832291367</v>
      </c>
      <c r="N183" s="3">
        <f>INT(D183*J183*VLOOKUP(A183,经验产出!$I$7:$J$557,2,0))</f>
        <v>14901</v>
      </c>
      <c r="O183" s="3">
        <f>SUM($N$24:N182)</f>
        <v>396151</v>
      </c>
      <c r="P183" s="3">
        <f>K183*VLOOKUP(A183,金币产出!$I$7:$J$557,2,0)</f>
        <v>35.509120690124362</v>
      </c>
    </row>
    <row r="184" spans="1:16" x14ac:dyDescent="0.15">
      <c r="A184" s="3">
        <v>161</v>
      </c>
      <c r="B184" s="3">
        <f t="shared" si="19"/>
        <v>9</v>
      </c>
      <c r="C184" s="3">
        <f t="shared" si="20"/>
        <v>651.6</v>
      </c>
      <c r="D184" s="3">
        <f t="shared" si="21"/>
        <v>651.6</v>
      </c>
      <c r="E184" s="3">
        <f>SUM($D$24:D184)</f>
        <v>24951.599999999991</v>
      </c>
      <c r="F184" s="3">
        <f t="shared" si="22"/>
        <v>415.85999999999984</v>
      </c>
      <c r="G184" s="3">
        <f t="shared" si="22"/>
        <v>6.9309999999999974</v>
      </c>
      <c r="H184" s="3">
        <f t="shared" si="23"/>
        <v>0.28879166666666656</v>
      </c>
      <c r="I184" s="3">
        <f>IF(ISNA(MATCH(H184,关卡!$E$19:$E$2018,1)),0,MATCH(H184,关卡!$E$19:$E$2018,1))</f>
        <v>93</v>
      </c>
      <c r="J184" s="3">
        <f>VLOOKUP($I184,关卡!$A$17:$G$2018,6,0)</f>
        <v>6.1144788421999374</v>
      </c>
      <c r="K184" s="3">
        <f>VLOOKUP($I184,关卡!$A$17:$G$2018,7,0)</f>
        <v>9.989863349630939</v>
      </c>
      <c r="L184" s="3">
        <f t="shared" si="24"/>
        <v>22012.123831919773</v>
      </c>
      <c r="M184" s="3">
        <f t="shared" si="25"/>
        <v>35963.508058671374</v>
      </c>
      <c r="N184" s="3">
        <f>INT(D184*J184*VLOOKUP(A184,经验产出!$I$7:$J$557,2,0))</f>
        <v>18496</v>
      </c>
      <c r="O184" s="3">
        <f>SUM($N$24:N183)</f>
        <v>411052</v>
      </c>
      <c r="P184" s="3">
        <f>K184*VLOOKUP(A184,金币产出!$I$7:$J$557,2,0)</f>
        <v>35.921883628047915</v>
      </c>
    </row>
    <row r="185" spans="1:16" x14ac:dyDescent="0.15">
      <c r="A185" s="3">
        <v>162</v>
      </c>
      <c r="B185" s="3">
        <f t="shared" si="19"/>
        <v>9</v>
      </c>
      <c r="C185" s="3">
        <f t="shared" si="20"/>
        <v>1310.4000000000001</v>
      </c>
      <c r="D185" s="3">
        <f t="shared" si="21"/>
        <v>658.80000000000007</v>
      </c>
      <c r="E185" s="3">
        <f>SUM($D$24:D185)</f>
        <v>25610.399999999991</v>
      </c>
      <c r="F185" s="3">
        <f t="shared" si="22"/>
        <v>426.83999999999986</v>
      </c>
      <c r="G185" s="3">
        <f t="shared" si="22"/>
        <v>7.1139999999999981</v>
      </c>
      <c r="H185" s="3">
        <f t="shared" si="23"/>
        <v>0.29641666666666661</v>
      </c>
      <c r="I185" s="3">
        <f>IF(ISNA(MATCH(H185,关卡!$E$19:$E$2018,1)),0,MATCH(H185,关卡!$E$19:$E$2018,1))</f>
        <v>94</v>
      </c>
      <c r="J185" s="3">
        <f>VLOOKUP($I185,关卡!$A$17:$G$2018,6,0)</f>
        <v>6.174893892719</v>
      </c>
      <c r="K185" s="3">
        <f>VLOOKUP($I185,关卡!$A$17:$G$2018,7,0)</f>
        <v>10.047387019695</v>
      </c>
      <c r="L185" s="3">
        <f t="shared" si="24"/>
        <v>22229.6180137884</v>
      </c>
      <c r="M185" s="3">
        <f t="shared" si="25"/>
        <v>36170.593270901998</v>
      </c>
      <c r="N185" s="3">
        <f>INT(D185*J185*VLOOKUP(A185,经验产出!$I$7:$J$557,2,0))</f>
        <v>18885</v>
      </c>
      <c r="O185" s="3">
        <f>SUM($N$24:N184)</f>
        <v>429548</v>
      </c>
      <c r="P185" s="3">
        <f>K185*VLOOKUP(A185,金币产出!$I$7:$J$557,2,0)</f>
        <v>36.128729158319935</v>
      </c>
    </row>
    <row r="186" spans="1:16" x14ac:dyDescent="0.15">
      <c r="A186" s="3">
        <v>163</v>
      </c>
      <c r="B186" s="3">
        <f t="shared" si="19"/>
        <v>9</v>
      </c>
      <c r="C186" s="3">
        <f t="shared" si="20"/>
        <v>1976.4</v>
      </c>
      <c r="D186" s="3">
        <f t="shared" si="21"/>
        <v>666</v>
      </c>
      <c r="E186" s="3">
        <f>SUM($D$24:D186)</f>
        <v>26276.399999999991</v>
      </c>
      <c r="F186" s="3">
        <f t="shared" si="22"/>
        <v>437.93999999999983</v>
      </c>
      <c r="G186" s="3">
        <f t="shared" si="22"/>
        <v>7.2989999999999968</v>
      </c>
      <c r="H186" s="3">
        <f t="shared" si="23"/>
        <v>0.30412499999999987</v>
      </c>
      <c r="I186" s="3">
        <f>IF(ISNA(MATCH(H186,关卡!$E$19:$E$2018,1)),0,MATCH(H186,关卡!$E$19:$E$2018,1))</f>
        <v>96</v>
      </c>
      <c r="J186" s="3">
        <f>VLOOKUP($I186,关卡!$A$17:$G$2018,6,0)</f>
        <v>6.2960956579840008</v>
      </c>
      <c r="K186" s="3">
        <f>VLOOKUP($I186,关卡!$A$17:$G$2018,7,0)</f>
        <v>10.162693099519998</v>
      </c>
      <c r="L186" s="3">
        <f t="shared" si="24"/>
        <v>22665.944368742403</v>
      </c>
      <c r="M186" s="3">
        <f t="shared" si="25"/>
        <v>36585.695158271992</v>
      </c>
      <c r="N186" s="3">
        <f>INT(D186*J186*VLOOKUP(A186,经验产出!$I$7:$J$557,2,0))</f>
        <v>19466</v>
      </c>
      <c r="O186" s="3">
        <f>SUM($N$24:N185)</f>
        <v>448433</v>
      </c>
      <c r="P186" s="3">
        <f>K186*VLOOKUP(A186,金币产出!$I$7:$J$557,2,0)</f>
        <v>36.543350603690662</v>
      </c>
    </row>
    <row r="187" spans="1:16" x14ac:dyDescent="0.15">
      <c r="A187" s="3">
        <v>164</v>
      </c>
      <c r="B187" s="3">
        <f t="shared" si="19"/>
        <v>9</v>
      </c>
      <c r="C187" s="3">
        <f t="shared" si="20"/>
        <v>2649.6000000000004</v>
      </c>
      <c r="D187" s="3">
        <f t="shared" si="21"/>
        <v>673.20000000000027</v>
      </c>
      <c r="E187" s="3">
        <f>SUM($D$24:D187)</f>
        <v>26949.599999999991</v>
      </c>
      <c r="F187" s="3">
        <f t="shared" si="22"/>
        <v>449.15999999999985</v>
      </c>
      <c r="G187" s="3">
        <f t="shared" si="22"/>
        <v>7.485999999999998</v>
      </c>
      <c r="H187" s="3">
        <f t="shared" si="23"/>
        <v>0.31191666666666656</v>
      </c>
      <c r="I187" s="3">
        <f>IF(ISNA(MATCH(H187,关卡!$E$19:$E$2018,1)),0,MATCH(H187,关卡!$E$19:$E$2018,1))</f>
        <v>97</v>
      </c>
      <c r="J187" s="3">
        <f>VLOOKUP($I187,关卡!$A$17:$G$2018,6,0)</f>
        <v>6.3568829364449373</v>
      </c>
      <c r="K187" s="3">
        <f>VLOOKUP($I187,关卡!$A$17:$G$2018,7,0)</f>
        <v>10.220475761355939</v>
      </c>
      <c r="L187" s="3">
        <f t="shared" si="24"/>
        <v>22884.778571201776</v>
      </c>
      <c r="M187" s="3">
        <f t="shared" si="25"/>
        <v>36793.712740881376</v>
      </c>
      <c r="N187" s="3">
        <f>INT(D187*J187*VLOOKUP(A187,经验产出!$I$7:$J$557,2,0))</f>
        <v>19866</v>
      </c>
      <c r="O187" s="3">
        <f>SUM($N$24:N186)</f>
        <v>467899</v>
      </c>
      <c r="P187" s="3">
        <f>K187*VLOOKUP(A187,金币产出!$I$7:$J$557,2,0)</f>
        <v>36.751127425209063</v>
      </c>
    </row>
    <row r="188" spans="1:16" x14ac:dyDescent="0.15">
      <c r="A188" s="3">
        <v>165</v>
      </c>
      <c r="B188" s="3">
        <f t="shared" si="19"/>
        <v>9</v>
      </c>
      <c r="C188" s="3">
        <f t="shared" si="20"/>
        <v>3330</v>
      </c>
      <c r="D188" s="3">
        <f t="shared" si="21"/>
        <v>680.39999999999964</v>
      </c>
      <c r="E188" s="3">
        <f>SUM($D$24:D188)</f>
        <v>27629.999999999993</v>
      </c>
      <c r="F188" s="3">
        <f t="shared" si="22"/>
        <v>460.49999999999989</v>
      </c>
      <c r="G188" s="3">
        <f t="shared" si="22"/>
        <v>7.674999999999998</v>
      </c>
      <c r="H188" s="3">
        <f t="shared" si="23"/>
        <v>0.31979166666666659</v>
      </c>
      <c r="I188" s="3">
        <f>IF(ISNA(MATCH(H188,关卡!$E$19:$E$2018,1)),0,MATCH(H188,关卡!$E$19:$E$2018,1))</f>
        <v>99</v>
      </c>
      <c r="J188" s="3">
        <f>VLOOKUP($I188,关卡!$A$17:$G$2018,6,0)</f>
        <v>6.4788316987999375</v>
      </c>
      <c r="K188" s="3">
        <f>VLOOKUP($I188,关卡!$A$17:$G$2018,7,0)</f>
        <v>10.336300960130938</v>
      </c>
      <c r="L188" s="3">
        <f t="shared" si="24"/>
        <v>23323.794115679775</v>
      </c>
      <c r="M188" s="3">
        <f t="shared" si="25"/>
        <v>37210.683456471379</v>
      </c>
      <c r="N188" s="3">
        <f>INT(D188*J188*VLOOKUP(A188,经验产出!$I$7:$J$557,2,0))</f>
        <v>20464</v>
      </c>
      <c r="O188" s="3">
        <f>SUM($N$24:N187)</f>
        <v>487765</v>
      </c>
      <c r="P188" s="3">
        <f>K188*VLOOKUP(A188,金币产出!$I$7:$J$557,2,0)</f>
        <v>37.16761553580416</v>
      </c>
    </row>
    <row r="189" spans="1:16" x14ac:dyDescent="0.15">
      <c r="A189" s="3">
        <v>166</v>
      </c>
      <c r="B189" s="3">
        <f t="shared" si="19"/>
        <v>9</v>
      </c>
      <c r="C189" s="3">
        <f t="shared" si="20"/>
        <v>4017.6000000000004</v>
      </c>
      <c r="D189" s="3">
        <f t="shared" si="21"/>
        <v>687.60000000000036</v>
      </c>
      <c r="E189" s="3">
        <f>SUM($D$24:D189)</f>
        <v>28317.599999999991</v>
      </c>
      <c r="F189" s="3">
        <f t="shared" si="22"/>
        <v>471.95999999999987</v>
      </c>
      <c r="G189" s="3">
        <f t="shared" si="22"/>
        <v>7.8659999999999979</v>
      </c>
      <c r="H189" s="3">
        <f t="shared" si="23"/>
        <v>0.32774999999999993</v>
      </c>
      <c r="I189" s="3">
        <f>IF(ISNA(MATCH(H189,关卡!$E$19:$E$2018,1)),0,MATCH(H189,关卡!$E$19:$E$2018,1))</f>
        <v>100</v>
      </c>
      <c r="J189" s="3">
        <f>VLOOKUP($I189,关卡!$A$17:$G$2018,6,0)</f>
        <v>6.5399937500000016</v>
      </c>
      <c r="K189" s="3">
        <f>VLOOKUP($I189,关卡!$A$17:$G$2018,7,0)</f>
        <v>10.394343750000001</v>
      </c>
      <c r="L189" s="3">
        <f t="shared" si="24"/>
        <v>23543.977500000005</v>
      </c>
      <c r="M189" s="3">
        <f t="shared" si="25"/>
        <v>37419.637500000004</v>
      </c>
      <c r="N189" s="3">
        <f>INT(D189*J189*VLOOKUP(A189,经验产出!$I$7:$J$557,2,0))</f>
        <v>20876</v>
      </c>
      <c r="O189" s="3">
        <f>SUM($N$24:N188)</f>
        <v>508229</v>
      </c>
      <c r="P189" s="3">
        <f>K189*VLOOKUP(A189,金币产出!$I$7:$J$557,2,0)</f>
        <v>37.376327734375003</v>
      </c>
    </row>
    <row r="190" spans="1:16" x14ac:dyDescent="0.15">
      <c r="A190" s="3">
        <v>167</v>
      </c>
      <c r="B190" s="3">
        <f t="shared" si="19"/>
        <v>9</v>
      </c>
      <c r="C190" s="3">
        <f t="shared" si="20"/>
        <v>4712.3999999999996</v>
      </c>
      <c r="D190" s="3">
        <f t="shared" si="21"/>
        <v>694.79999999999927</v>
      </c>
      <c r="E190" s="3">
        <f>SUM($D$24:D190)</f>
        <v>29012.399999999991</v>
      </c>
      <c r="F190" s="3">
        <f t="shared" si="22"/>
        <v>483.53999999999985</v>
      </c>
      <c r="G190" s="3">
        <f t="shared" si="22"/>
        <v>8.0589999999999975</v>
      </c>
      <c r="H190" s="3">
        <f t="shared" si="23"/>
        <v>0.33579166666666654</v>
      </c>
      <c r="I190" s="3">
        <f>IF(ISNA(MATCH(H190,关卡!$E$19:$E$2018,1)),0,MATCH(H190,关卡!$E$19:$E$2018,1))</f>
        <v>102</v>
      </c>
      <c r="J190" s="3">
        <f>VLOOKUP($I190,关卡!$A$17:$G$2018,6,0)</f>
        <v>6.6626946151990003</v>
      </c>
      <c r="K190" s="3">
        <f>VLOOKUP($I190,关卡!$A$17:$G$2018,7,0)</f>
        <v>10.510690344095002</v>
      </c>
      <c r="L190" s="3">
        <f t="shared" si="24"/>
        <v>23985.700614716399</v>
      </c>
      <c r="M190" s="3">
        <f t="shared" si="25"/>
        <v>37838.485238742011</v>
      </c>
      <c r="N190" s="3">
        <f>INT(D190*J190*VLOOKUP(A190,经验产出!$I$7:$J$557,2,0))</f>
        <v>21490</v>
      </c>
      <c r="O190" s="3">
        <f>SUM($N$24:N189)</f>
        <v>529105</v>
      </c>
      <c r="P190" s="3">
        <f>K190*VLOOKUP(A190,金币产出!$I$7:$J$557,2,0)</f>
        <v>37.794690695641606</v>
      </c>
    </row>
    <row r="191" spans="1:16" x14ac:dyDescent="0.15">
      <c r="A191" s="3">
        <v>168</v>
      </c>
      <c r="B191" s="3">
        <f t="shared" si="19"/>
        <v>9</v>
      </c>
      <c r="C191" s="3">
        <f t="shared" si="20"/>
        <v>5414.4000000000005</v>
      </c>
      <c r="D191" s="3">
        <f t="shared" si="21"/>
        <v>702.00000000000091</v>
      </c>
      <c r="E191" s="3">
        <f>SUM($D$24:D191)</f>
        <v>29714.399999999991</v>
      </c>
      <c r="F191" s="3">
        <f t="shared" si="22"/>
        <v>495.23999999999984</v>
      </c>
      <c r="G191" s="3">
        <f t="shared" si="22"/>
        <v>8.2539999999999978</v>
      </c>
      <c r="H191" s="3">
        <f t="shared" si="23"/>
        <v>0.34391666666666659</v>
      </c>
      <c r="I191" s="3">
        <f>IF(ISNA(MATCH(H191,关卡!$E$19:$E$2018,1)),0,MATCH(H191,关卡!$E$19:$E$2018,1))</f>
        <v>103</v>
      </c>
      <c r="J191" s="3">
        <f>VLOOKUP($I191,关卡!$A$17:$G$2018,6,0)</f>
        <v>6.7242340000949383</v>
      </c>
      <c r="K191" s="3">
        <f>VLOOKUP($I191,关卡!$A$17:$G$2018,7,0)</f>
        <v>10.568994402105936</v>
      </c>
      <c r="L191" s="3">
        <f t="shared" si="24"/>
        <v>24207.242400341776</v>
      </c>
      <c r="M191" s="3">
        <f t="shared" si="25"/>
        <v>38048.379847581367</v>
      </c>
      <c r="N191" s="3">
        <f>INT(D191*J191*VLOOKUP(A191,经验产出!$I$7:$J$557,2,0))</f>
        <v>21913</v>
      </c>
      <c r="O191" s="3">
        <f>SUM($N$24:N190)</f>
        <v>550595</v>
      </c>
      <c r="P191" s="3">
        <f>K191*VLOOKUP(A191,金币产出!$I$7:$J$557,2,0)</f>
        <v>38.004342370905924</v>
      </c>
    </row>
    <row r="192" spans="1:16" x14ac:dyDescent="0.15">
      <c r="A192" s="3">
        <v>169</v>
      </c>
      <c r="B192" s="3">
        <f t="shared" si="19"/>
        <v>9</v>
      </c>
      <c r="C192" s="3">
        <f t="shared" si="20"/>
        <v>6123.6</v>
      </c>
      <c r="D192" s="3">
        <f t="shared" si="21"/>
        <v>709.19999999999982</v>
      </c>
      <c r="E192" s="3">
        <f>SUM($D$24:D192)</f>
        <v>30423.599999999991</v>
      </c>
      <c r="F192" s="3">
        <f t="shared" si="22"/>
        <v>507.05999999999983</v>
      </c>
      <c r="G192" s="3">
        <f t="shared" si="22"/>
        <v>8.450999999999997</v>
      </c>
      <c r="H192" s="3">
        <f t="shared" si="23"/>
        <v>0.35212499999999985</v>
      </c>
      <c r="I192" s="3">
        <f>IF(ISNA(MATCH(H192,关卡!$E$19:$E$2018,1)),0,MATCH(H192,关卡!$E$19:$E$2018,1))</f>
        <v>105</v>
      </c>
      <c r="J192" s="3">
        <f>VLOOKUP($I192,关卡!$A$17:$G$2018,6,0)</f>
        <v>6.8476921062109373</v>
      </c>
      <c r="K192" s="3">
        <f>VLOOKUP($I192,关卡!$A$17:$G$2018,7,0)</f>
        <v>10.685864675585938</v>
      </c>
      <c r="L192" s="3">
        <f t="shared" si="24"/>
        <v>24651.691582359374</v>
      </c>
      <c r="M192" s="3">
        <f t="shared" si="25"/>
        <v>38469.112832109371</v>
      </c>
      <c r="N192" s="3">
        <f>INT(D192*J192*VLOOKUP(A192,经验产出!$I$7:$J$557,2,0))</f>
        <v>22545</v>
      </c>
      <c r="O192" s="3">
        <f>SUM($N$24:N191)</f>
        <v>572508</v>
      </c>
      <c r="P192" s="3">
        <f>K192*VLOOKUP(A192,金币产出!$I$7:$J$557,2,0)</f>
        <v>38.424588395961102</v>
      </c>
    </row>
    <row r="193" spans="1:16" x14ac:dyDescent="0.15">
      <c r="A193" s="3">
        <v>170</v>
      </c>
      <c r="B193" s="3">
        <f t="shared" si="19"/>
        <v>9</v>
      </c>
      <c r="C193" s="3">
        <f t="shared" si="20"/>
        <v>6840.0000000000009</v>
      </c>
      <c r="D193" s="3">
        <f t="shared" si="21"/>
        <v>716.40000000000055</v>
      </c>
      <c r="E193" s="3">
        <f>SUM($D$24:D193)</f>
        <v>31139.999999999993</v>
      </c>
      <c r="F193" s="3">
        <f t="shared" si="22"/>
        <v>518.99999999999989</v>
      </c>
      <c r="G193" s="3">
        <f t="shared" si="22"/>
        <v>8.6499999999999986</v>
      </c>
      <c r="H193" s="3">
        <f t="shared" si="23"/>
        <v>0.36041666666666661</v>
      </c>
      <c r="I193" s="3">
        <f>IF(ISNA(MATCH(H193,关卡!$E$19:$E$2018,1)),0,MATCH(H193,关卡!$E$19:$E$2018,1))</f>
        <v>106</v>
      </c>
      <c r="J193" s="3">
        <f>VLOOKUP($I193,关卡!$A$17:$G$2018,6,0)</f>
        <v>6.9096114019190003</v>
      </c>
      <c r="K193" s="3">
        <f>VLOOKUP($I193,关卡!$A$17:$G$2018,7,0)</f>
        <v>10.744431145695</v>
      </c>
      <c r="L193" s="3">
        <f t="shared" si="24"/>
        <v>24874.601046908403</v>
      </c>
      <c r="M193" s="3">
        <f t="shared" si="25"/>
        <v>38679.952124502001</v>
      </c>
      <c r="N193" s="3">
        <f>INT(D193*J193*VLOOKUP(A193,经验产出!$I$7:$J$557,2,0))</f>
        <v>22979</v>
      </c>
      <c r="O193" s="3">
        <f>SUM($N$24:N192)</f>
        <v>595053</v>
      </c>
      <c r="P193" s="3">
        <f>K193*VLOOKUP(A193,金币产出!$I$7:$J$557,2,0)</f>
        <v>38.635183661394933</v>
      </c>
    </row>
    <row r="194" spans="1:16" x14ac:dyDescent="0.15">
      <c r="A194" s="3">
        <v>171</v>
      </c>
      <c r="B194" s="3">
        <f t="shared" si="19"/>
        <v>9</v>
      </c>
      <c r="C194" s="3">
        <f t="shared" si="20"/>
        <v>7563.6000000000013</v>
      </c>
      <c r="D194" s="3">
        <f t="shared" si="21"/>
        <v>723.60000000000036</v>
      </c>
      <c r="E194" s="3">
        <f>SUM($D$24:D194)</f>
        <v>31863.599999999991</v>
      </c>
      <c r="F194" s="3">
        <f t="shared" si="22"/>
        <v>531.05999999999983</v>
      </c>
      <c r="G194" s="3">
        <f t="shared" si="22"/>
        <v>8.8509999999999973</v>
      </c>
      <c r="H194" s="3">
        <f t="shared" si="23"/>
        <v>0.36879166666666657</v>
      </c>
      <c r="I194" s="3">
        <f>IF(ISNA(MATCH(H194,关卡!$E$19:$E$2018,1)),0,MATCH(H194,关卡!$E$19:$E$2018,1))</f>
        <v>108</v>
      </c>
      <c r="J194" s="3">
        <f>VLOOKUP($I194,关卡!$A$17:$G$2018,6,0)</f>
        <v>7.0338319193440002</v>
      </c>
      <c r="K194" s="3">
        <f>VLOOKUP($I194,关卡!$A$17:$G$2018,7,0)</f>
        <v>10.86182739032</v>
      </c>
      <c r="L194" s="3">
        <f t="shared" si="24"/>
        <v>25321.794909638404</v>
      </c>
      <c r="M194" s="3">
        <f t="shared" si="25"/>
        <v>39102.578605151997</v>
      </c>
      <c r="N194" s="3">
        <f>INT(D194*J194*VLOOKUP(A194,经验产出!$I$7:$J$557,2,0))</f>
        <v>23628</v>
      </c>
      <c r="O194" s="3">
        <f>SUM($N$24:N193)</f>
        <v>618032</v>
      </c>
      <c r="P194" s="3">
        <f>K194*VLOOKUP(A194,金币产出!$I$7:$J$557,2,0)</f>
        <v>39.057320991025669</v>
      </c>
    </row>
    <row r="195" spans="1:16" x14ac:dyDescent="0.15">
      <c r="A195" s="3">
        <v>172</v>
      </c>
      <c r="B195" s="3">
        <f t="shared" si="19"/>
        <v>9</v>
      </c>
      <c r="C195" s="3">
        <f t="shared" si="20"/>
        <v>8294.4000000000015</v>
      </c>
      <c r="D195" s="3">
        <f t="shared" si="21"/>
        <v>730.80000000000018</v>
      </c>
      <c r="E195" s="3">
        <f>SUM($D$24:D195)</f>
        <v>32594.399999999991</v>
      </c>
      <c r="F195" s="3">
        <f t="shared" si="22"/>
        <v>543.2399999999999</v>
      </c>
      <c r="G195" s="3">
        <f t="shared" si="22"/>
        <v>9.0539999999999985</v>
      </c>
      <c r="H195" s="3">
        <f t="shared" si="23"/>
        <v>0.37724999999999992</v>
      </c>
      <c r="I195" s="3">
        <f>IF(ISNA(MATCH(H195,关卡!$E$19:$E$2018,1)),0,MATCH(H195,关卡!$E$19:$E$2018,1))</f>
        <v>109</v>
      </c>
      <c r="J195" s="3">
        <f>VLOOKUP($I195,关卡!$A$17:$G$2018,6,0)</f>
        <v>7.096133719139937</v>
      </c>
      <c r="K195" s="3">
        <f>VLOOKUP($I195,关卡!$A$17:$G$2018,7,0)</f>
        <v>10.920657420330938</v>
      </c>
      <c r="L195" s="3">
        <f t="shared" si="24"/>
        <v>25546.081388903771</v>
      </c>
      <c r="M195" s="3">
        <f t="shared" si="25"/>
        <v>39314.366713191375</v>
      </c>
      <c r="N195" s="3">
        <f>INT(D195*J195*VLOOKUP(A195,经验产出!$I$7:$J$557,2,0))</f>
        <v>24074</v>
      </c>
      <c r="O195" s="3">
        <f>SUM($N$24:N194)</f>
        <v>641660</v>
      </c>
      <c r="P195" s="3">
        <f>K195*VLOOKUP(A195,金币产出!$I$7:$J$557,2,0)</f>
        <v>39.26886397394</v>
      </c>
    </row>
    <row r="196" spans="1:16" x14ac:dyDescent="0.15">
      <c r="A196" s="3">
        <v>173</v>
      </c>
      <c r="B196" s="3">
        <f t="shared" si="19"/>
        <v>9</v>
      </c>
      <c r="C196" s="3">
        <f t="shared" si="20"/>
        <v>9032.4000000000015</v>
      </c>
      <c r="D196" s="3">
        <f t="shared" si="21"/>
        <v>738</v>
      </c>
      <c r="E196" s="3">
        <f>SUM($D$24:D196)</f>
        <v>33332.399999999994</v>
      </c>
      <c r="F196" s="3">
        <f t="shared" si="22"/>
        <v>555.53999999999985</v>
      </c>
      <c r="G196" s="3">
        <f t="shared" si="22"/>
        <v>9.2589999999999968</v>
      </c>
      <c r="H196" s="3">
        <f t="shared" si="23"/>
        <v>0.38579166666666653</v>
      </c>
      <c r="I196" s="3">
        <f>IF(ISNA(MATCH(H196,关卡!$E$19:$E$2018,1)),0,MATCH(H196,关卡!$E$19:$E$2018,1))</f>
        <v>111</v>
      </c>
      <c r="J196" s="3">
        <f>VLOOKUP($I196,关卡!$A$17:$G$2018,6,0)</f>
        <v>7.2211218505849368</v>
      </c>
      <c r="K196" s="3">
        <f>VLOOKUP($I196,关卡!$A$17:$G$2018,7,0)</f>
        <v>11.038581935555939</v>
      </c>
      <c r="L196" s="3">
        <f t="shared" si="24"/>
        <v>25996.038662105773</v>
      </c>
      <c r="M196" s="3">
        <f t="shared" si="25"/>
        <v>39738.894968001376</v>
      </c>
      <c r="N196" s="3">
        <f>INT(D196*J196*VLOOKUP(A196,经验产出!$I$7:$J$557,2,0))</f>
        <v>24740</v>
      </c>
      <c r="O196" s="3">
        <f>SUM($N$24:N195)</f>
        <v>665734</v>
      </c>
      <c r="P196" s="3">
        <f>K196*VLOOKUP(A196,金币产出!$I$7:$J$557,2,0)</f>
        <v>39.692900876603233</v>
      </c>
    </row>
    <row r="197" spans="1:16" x14ac:dyDescent="0.15">
      <c r="A197" s="3">
        <v>174</v>
      </c>
      <c r="B197" s="3">
        <f t="shared" si="19"/>
        <v>9</v>
      </c>
      <c r="C197" s="3">
        <f t="shared" si="20"/>
        <v>9777.6</v>
      </c>
      <c r="D197" s="3">
        <f t="shared" si="21"/>
        <v>745.19999999999891</v>
      </c>
      <c r="E197" s="3">
        <f>SUM($D$24:D197)</f>
        <v>34077.599999999991</v>
      </c>
      <c r="F197" s="3">
        <f t="shared" si="22"/>
        <v>567.95999999999981</v>
      </c>
      <c r="G197" s="3">
        <f t="shared" si="22"/>
        <v>9.4659999999999975</v>
      </c>
      <c r="H197" s="3">
        <f t="shared" si="23"/>
        <v>0.39441666666666658</v>
      </c>
      <c r="I197" s="3">
        <f>IF(ISNA(MATCH(H197,关卡!$E$19:$E$2018,1)),0,MATCH(H197,关卡!$E$19:$E$2018,1))</f>
        <v>112</v>
      </c>
      <c r="J197" s="3">
        <f>VLOOKUP($I197,关卡!$A$17:$G$2018,6,0)</f>
        <v>7.2838087639040019</v>
      </c>
      <c r="K197" s="3">
        <f>VLOOKUP($I197,关卡!$A$17:$G$2018,7,0)</f>
        <v>11.097676677120001</v>
      </c>
      <c r="L197" s="3">
        <f t="shared" si="24"/>
        <v>26221.711550054406</v>
      </c>
      <c r="M197" s="3">
        <f t="shared" si="25"/>
        <v>39951.636037632001</v>
      </c>
      <c r="N197" s="3">
        <f>INT(D197*J197*VLOOKUP(A197,经验产出!$I$7:$J$557,2,0))</f>
        <v>25198</v>
      </c>
      <c r="O197" s="3">
        <f>SUM($N$24:N196)</f>
        <v>690474</v>
      </c>
      <c r="P197" s="3">
        <f>K197*VLOOKUP(A197,金币产出!$I$7:$J$557,2,0)</f>
        <v>39.905395718144</v>
      </c>
    </row>
    <row r="198" spans="1:16" x14ac:dyDescent="0.15">
      <c r="A198" s="3">
        <v>175</v>
      </c>
      <c r="B198" s="3">
        <f t="shared" si="19"/>
        <v>9</v>
      </c>
      <c r="C198" s="3">
        <f t="shared" si="20"/>
        <v>10530.000000000002</v>
      </c>
      <c r="D198" s="3">
        <f t="shared" si="21"/>
        <v>752.40000000000146</v>
      </c>
      <c r="E198" s="3">
        <f>SUM($D$24:D198)</f>
        <v>34829.999999999993</v>
      </c>
      <c r="F198" s="3">
        <f t="shared" si="22"/>
        <v>580.49999999999989</v>
      </c>
      <c r="G198" s="3">
        <f t="shared" si="22"/>
        <v>9.6749999999999989</v>
      </c>
      <c r="H198" s="3">
        <f t="shared" si="23"/>
        <v>0.40312499999999996</v>
      </c>
      <c r="I198" s="3">
        <f>IF(ISNA(MATCH(H198,关卡!$E$19:$E$2018,1)),0,MATCH(H198,关卡!$E$19:$E$2018,1))</f>
        <v>114</v>
      </c>
      <c r="J198" s="3">
        <f>VLOOKUP($I198,关卡!$A$17:$G$2018,6,0)</f>
        <v>7.4095697443990005</v>
      </c>
      <c r="K198" s="3">
        <f>VLOOKUP($I198,关卡!$A$17:$G$2018,7,0)</f>
        <v>11.216131770095</v>
      </c>
      <c r="L198" s="3">
        <f t="shared" si="24"/>
        <v>26674.451079836403</v>
      </c>
      <c r="M198" s="3">
        <f t="shared" si="25"/>
        <v>40378.074372342002</v>
      </c>
      <c r="N198" s="3">
        <f>INT(D198*J198*VLOOKUP(A198,经验产出!$I$7:$J$557,2,0))</f>
        <v>25880</v>
      </c>
      <c r="O198" s="3">
        <f>SUM($N$24:N197)</f>
        <v>715672</v>
      </c>
      <c r="P198" s="3">
        <f>K198*VLOOKUP(A198,金币产出!$I$7:$J$557,2,0)</f>
        <v>40.3313404899666</v>
      </c>
    </row>
    <row r="199" spans="1:16" x14ac:dyDescent="0.15">
      <c r="A199" s="3">
        <v>176</v>
      </c>
      <c r="B199" s="3">
        <f t="shared" si="19"/>
        <v>9</v>
      </c>
      <c r="C199" s="3">
        <f t="shared" si="20"/>
        <v>11289.600000000002</v>
      </c>
      <c r="D199" s="3">
        <f t="shared" si="21"/>
        <v>759.60000000000036</v>
      </c>
      <c r="E199" s="3">
        <f>SUM($D$24:D199)</f>
        <v>35589.599999999991</v>
      </c>
      <c r="F199" s="3">
        <f t="shared" si="22"/>
        <v>593.15999999999985</v>
      </c>
      <c r="G199" s="3">
        <f t="shared" si="22"/>
        <v>9.8859999999999975</v>
      </c>
      <c r="H199" s="3">
        <f t="shared" si="23"/>
        <v>0.41191666666666654</v>
      </c>
      <c r="I199" s="3">
        <f>IF(ISNA(MATCH(H199,关卡!$E$19:$E$2018,1)),0,MATCH(H199,关卡!$E$19:$E$2018,1))</f>
        <v>115</v>
      </c>
      <c r="J199" s="3">
        <f>VLOOKUP($I199,关卡!$A$17:$G$2018,6,0)</f>
        <v>7.4726443968359391</v>
      </c>
      <c r="K199" s="3">
        <f>VLOOKUP($I199,关卡!$A$17:$G$2018,7,0)</f>
        <v>11.275492378710938</v>
      </c>
      <c r="L199" s="3">
        <f t="shared" si="24"/>
        <v>26901.519828609384</v>
      </c>
      <c r="M199" s="3">
        <f t="shared" si="25"/>
        <v>40591.77256335938</v>
      </c>
      <c r="N199" s="3">
        <f>INT(D199*J199*VLOOKUP(A199,经验产出!$I$7:$J$557,2,0))</f>
        <v>26351</v>
      </c>
      <c r="O199" s="3">
        <f>SUM($N$24:N198)</f>
        <v>741552</v>
      </c>
      <c r="P199" s="3">
        <f>K199*VLOOKUP(A199,金币产出!$I$7:$J$557,2,0)</f>
        <v>40.544791345114746</v>
      </c>
    </row>
    <row r="200" spans="1:16" x14ac:dyDescent="0.15">
      <c r="A200" s="3">
        <v>177</v>
      </c>
      <c r="B200" s="3">
        <f t="shared" si="19"/>
        <v>9</v>
      </c>
      <c r="C200" s="3">
        <f t="shared" si="20"/>
        <v>12056.400000000001</v>
      </c>
      <c r="D200" s="3">
        <f t="shared" si="21"/>
        <v>766.79999999999927</v>
      </c>
      <c r="E200" s="3">
        <f>SUM($D$24:D200)</f>
        <v>36356.399999999994</v>
      </c>
      <c r="F200" s="3">
        <f t="shared" si="22"/>
        <v>605.93999999999994</v>
      </c>
      <c r="G200" s="3">
        <f t="shared" si="22"/>
        <v>10.098999999999998</v>
      </c>
      <c r="H200" s="3">
        <f t="shared" si="23"/>
        <v>0.42079166666666662</v>
      </c>
      <c r="I200" s="3">
        <f>IF(ISNA(MATCH(H200,关卡!$E$19:$E$2018,1)),0,MATCH(H200,关卡!$E$19:$E$2018,1))</f>
        <v>117</v>
      </c>
      <c r="J200" s="3">
        <f>VLOOKUP($I200,关卡!$A$17:$G$2018,6,0)</f>
        <v>7.5991834937299396</v>
      </c>
      <c r="K200" s="3">
        <f>VLOOKUP($I200,关卡!$A$17:$G$2018,7,0)</f>
        <v>11.394480364280939</v>
      </c>
      <c r="L200" s="3">
        <f t="shared" si="24"/>
        <v>27357.060577427783</v>
      </c>
      <c r="M200" s="3">
        <f t="shared" si="25"/>
        <v>41020.12931141138</v>
      </c>
      <c r="N200" s="3">
        <f>INT(D200*J200*VLOOKUP(A200,经验产出!$I$7:$J$557,2,0))</f>
        <v>27051</v>
      </c>
      <c r="O200" s="3">
        <f>SUM($N$24:N199)</f>
        <v>767903</v>
      </c>
      <c r="P200" s="3">
        <f>K200*VLOOKUP(A200,金币产出!$I$7:$J$557,2,0)</f>
        <v>40.97265230989354</v>
      </c>
    </row>
    <row r="201" spans="1:16" x14ac:dyDescent="0.15">
      <c r="A201" s="3">
        <v>178</v>
      </c>
      <c r="B201" s="3">
        <f t="shared" si="19"/>
        <v>9</v>
      </c>
      <c r="C201" s="3">
        <f t="shared" si="20"/>
        <v>12830.4</v>
      </c>
      <c r="D201" s="3">
        <f t="shared" si="21"/>
        <v>773.99999999999818</v>
      </c>
      <c r="E201" s="3">
        <f>SUM($D$24:D201)</f>
        <v>37130.399999999994</v>
      </c>
      <c r="F201" s="3">
        <f t="shared" si="22"/>
        <v>618.83999999999992</v>
      </c>
      <c r="G201" s="3">
        <f t="shared" si="22"/>
        <v>10.313999999999998</v>
      </c>
      <c r="H201" s="3">
        <f t="shared" si="23"/>
        <v>0.42974999999999991</v>
      </c>
      <c r="I201" s="3">
        <f>IF(ISNA(MATCH(H201,关卡!$E$19:$E$2018,1)),0,MATCH(H201,关卡!$E$19:$E$2018,1))</f>
        <v>118</v>
      </c>
      <c r="J201" s="3">
        <f>VLOOKUP($I201,关卡!$A$17:$G$2018,6,0)</f>
        <v>7.6626485270389999</v>
      </c>
      <c r="K201" s="3">
        <f>VLOOKUP($I201,关卡!$A$17:$G$2018,7,0)</f>
        <v>11.454107999295001</v>
      </c>
      <c r="L201" s="3">
        <f t="shared" si="24"/>
        <v>27585.534697340401</v>
      </c>
      <c r="M201" s="3">
        <f t="shared" si="25"/>
        <v>41234.78879746201</v>
      </c>
      <c r="N201" s="3">
        <f>INT(D201*J201*VLOOKUP(A201,经验产出!$I$7:$J$557,2,0))</f>
        <v>27533</v>
      </c>
      <c r="O201" s="3">
        <f>SUM($N$24:N200)</f>
        <v>794954</v>
      </c>
      <c r="P201" s="3">
        <f>K201*VLOOKUP(A201,金币产出!$I$7:$J$557,2,0)</f>
        <v>41.187063347464942</v>
      </c>
    </row>
    <row r="202" spans="1:16" x14ac:dyDescent="0.15">
      <c r="A202" s="3">
        <v>179</v>
      </c>
      <c r="B202" s="3">
        <f t="shared" si="19"/>
        <v>9</v>
      </c>
      <c r="C202" s="3">
        <f t="shared" si="20"/>
        <v>13611.599999999999</v>
      </c>
      <c r="D202" s="3">
        <f t="shared" si="21"/>
        <v>781.19999999999891</v>
      </c>
      <c r="E202" s="3">
        <f>SUM($D$24:D202)</f>
        <v>37911.599999999991</v>
      </c>
      <c r="F202" s="3">
        <f t="shared" si="22"/>
        <v>631.8599999999999</v>
      </c>
      <c r="G202" s="3">
        <f t="shared" si="22"/>
        <v>10.530999999999999</v>
      </c>
      <c r="H202" s="3">
        <f t="shared" si="23"/>
        <v>0.43879166666666664</v>
      </c>
      <c r="I202" s="3">
        <f>IF(ISNA(MATCH(H202,关卡!$E$19:$E$2018,1)),0,MATCH(H202,关卡!$E$19:$E$2018,1))</f>
        <v>119</v>
      </c>
      <c r="J202" s="3">
        <f>VLOOKUP($I202,关卡!$A$17:$G$2018,6,0)</f>
        <v>7.7262442771549384</v>
      </c>
      <c r="K202" s="3">
        <f>VLOOKUP($I202,关卡!$A$17:$G$2018,7,0)</f>
        <v>11.513824901405938</v>
      </c>
      <c r="L202" s="3">
        <f t="shared" si="24"/>
        <v>27814.479397757779</v>
      </c>
      <c r="M202" s="3">
        <f t="shared" si="25"/>
        <v>41449.769645061373</v>
      </c>
      <c r="N202" s="3">
        <f>INT(D202*J202*VLOOKUP(A202,经验产出!$I$7:$J$557,2,0))</f>
        <v>28020</v>
      </c>
      <c r="O202" s="3">
        <f>SUM($N$24:N201)</f>
        <v>822487</v>
      </c>
      <c r="P202" s="3">
        <f>K202*VLOOKUP(A202,金币产出!$I$7:$J$557,2,0)</f>
        <v>41.401795374638851</v>
      </c>
    </row>
    <row r="203" spans="1:16" x14ac:dyDescent="0.15">
      <c r="A203" s="3">
        <v>180</v>
      </c>
      <c r="B203" s="3">
        <f t="shared" si="19"/>
        <v>9</v>
      </c>
      <c r="C203" s="3">
        <f t="shared" si="20"/>
        <v>14400</v>
      </c>
      <c r="D203" s="3">
        <f t="shared" si="21"/>
        <v>788.40000000000146</v>
      </c>
      <c r="E203" s="3">
        <f>SUM($D$24:D203)</f>
        <v>38699.999999999993</v>
      </c>
      <c r="F203" s="3">
        <f t="shared" si="22"/>
        <v>644.99999999999989</v>
      </c>
      <c r="G203" s="3">
        <f t="shared" si="22"/>
        <v>10.749999999999998</v>
      </c>
      <c r="H203" s="3">
        <f t="shared" si="23"/>
        <v>0.44791666666666657</v>
      </c>
      <c r="I203" s="3">
        <f>IF(ISNA(MATCH(H203,关卡!$E$19:$E$2018,1)),0,MATCH(H203,关卡!$E$19:$E$2018,1))</f>
        <v>121</v>
      </c>
      <c r="J203" s="3">
        <f>VLOOKUP($I203,关卡!$A$17:$G$2018,6,0)</f>
        <v>7.8538291120949371</v>
      </c>
      <c r="K203" s="3">
        <f>VLOOKUP($I203,关卡!$A$17:$G$2018,7,0)</f>
        <v>11.633527024605938</v>
      </c>
      <c r="L203" s="3">
        <f t="shared" si="24"/>
        <v>28273.784803541774</v>
      </c>
      <c r="M203" s="3">
        <f t="shared" si="25"/>
        <v>41880.697288581374</v>
      </c>
      <c r="N203" s="3">
        <f>INT(D203*J203*VLOOKUP(A203,经验产出!$I$7:$J$557,2,0))</f>
        <v>28745</v>
      </c>
      <c r="O203" s="3">
        <f>SUM($N$24:N202)</f>
        <v>850507</v>
      </c>
      <c r="P203" s="3">
        <f>K203*VLOOKUP(A203,金币产出!$I$7:$J$557,2,0)</f>
        <v>41.832224259312184</v>
      </c>
    </row>
    <row r="204" spans="1:16" x14ac:dyDescent="0.15">
      <c r="A204" s="3">
        <v>181</v>
      </c>
      <c r="B204" s="3">
        <f t="shared" si="19"/>
        <v>10</v>
      </c>
      <c r="C204" s="3">
        <f t="shared" si="20"/>
        <v>1028.7</v>
      </c>
      <c r="D204" s="3">
        <f t="shared" si="21"/>
        <v>1028.7</v>
      </c>
      <c r="E204" s="3">
        <f>SUM($D$24:D204)</f>
        <v>39728.69999999999</v>
      </c>
      <c r="F204" s="3">
        <f t="shared" si="22"/>
        <v>662.14499999999987</v>
      </c>
      <c r="G204" s="3">
        <f t="shared" si="22"/>
        <v>11.035749999999998</v>
      </c>
      <c r="H204" s="3">
        <f t="shared" si="23"/>
        <v>0.45982291666666658</v>
      </c>
      <c r="I204" s="3">
        <f>IF(ISNA(MATCH(H204,关卡!$E$19:$E$2018,1)),0,MATCH(H204,关卡!$E$19:$E$2018,1))</f>
        <v>123</v>
      </c>
      <c r="J204" s="3">
        <f>VLOOKUP($I204,关卡!$A$17:$G$2018,6,0)</f>
        <v>7.9819403731099383</v>
      </c>
      <c r="K204" s="3">
        <f>VLOOKUP($I204,关卡!$A$17:$G$2018,7,0)</f>
        <v>11.753587770680939</v>
      </c>
      <c r="L204" s="3">
        <f t="shared" si="24"/>
        <v>28734.985343195778</v>
      </c>
      <c r="M204" s="3">
        <f t="shared" si="25"/>
        <v>42312.915974451374</v>
      </c>
      <c r="N204" s="3">
        <f>INT(D204*J204*VLOOKUP(A204,经验产出!$I$7:$J$557,2,0))</f>
        <v>38118</v>
      </c>
      <c r="O204" s="3">
        <f>SUM($N$24:N203)</f>
        <v>879252</v>
      </c>
      <c r="P204" s="3">
        <f>K204*VLOOKUP(A204,金币产出!$I$7:$J$557,2,0)</f>
        <v>42.263942692073542</v>
      </c>
    </row>
    <row r="205" spans="1:16" x14ac:dyDescent="0.15">
      <c r="A205" s="3">
        <v>182</v>
      </c>
      <c r="B205" s="3">
        <f t="shared" si="19"/>
        <v>10</v>
      </c>
      <c r="C205" s="3">
        <f t="shared" si="20"/>
        <v>2062.8000000000002</v>
      </c>
      <c r="D205" s="3">
        <f t="shared" si="21"/>
        <v>1034.1000000000001</v>
      </c>
      <c r="E205" s="3">
        <f>SUM($D$24:D205)</f>
        <v>40762.799999999988</v>
      </c>
      <c r="F205" s="3">
        <f t="shared" si="22"/>
        <v>679.37999999999977</v>
      </c>
      <c r="G205" s="3">
        <f t="shared" si="22"/>
        <v>11.322999999999997</v>
      </c>
      <c r="H205" s="3">
        <f t="shared" si="23"/>
        <v>0.47179166666666655</v>
      </c>
      <c r="I205" s="3">
        <f>IF(ISNA(MATCH(H205,关卡!$E$19:$E$2018,1)),0,MATCH(H205,关卡!$E$19:$E$2018,1))</f>
        <v>124</v>
      </c>
      <c r="J205" s="3">
        <f>VLOOKUP($I205,关卡!$A$17:$G$2018,6,0)</f>
        <v>8.0461941580640008</v>
      </c>
      <c r="K205" s="3">
        <f>VLOOKUP($I205,关卡!$A$17:$G$2018,7,0)</f>
        <v>11.813752951920003</v>
      </c>
      <c r="L205" s="3">
        <f t="shared" si="24"/>
        <v>28966.298969030402</v>
      </c>
      <c r="M205" s="3">
        <f t="shared" si="25"/>
        <v>42529.510626912008</v>
      </c>
      <c r="N205" s="3">
        <f>INT(D205*J205*VLOOKUP(A205,经验产出!$I$7:$J$557,2,0))</f>
        <v>38627</v>
      </c>
      <c r="O205" s="3">
        <f>SUM($N$24:N204)</f>
        <v>917370</v>
      </c>
      <c r="P205" s="3">
        <f>K205*VLOOKUP(A205,金币产出!$I$7:$J$557,2,0)</f>
        <v>42.480286656279013</v>
      </c>
    </row>
    <row r="206" spans="1:16" x14ac:dyDescent="0.15">
      <c r="A206" s="3">
        <v>183</v>
      </c>
      <c r="B206" s="3">
        <f t="shared" si="19"/>
        <v>10</v>
      </c>
      <c r="C206" s="3">
        <f t="shared" si="20"/>
        <v>3102.2999999999993</v>
      </c>
      <c r="D206" s="3">
        <f t="shared" si="21"/>
        <v>1039.4999999999991</v>
      </c>
      <c r="E206" s="3">
        <f>SUM($D$24:D206)</f>
        <v>41802.299999999988</v>
      </c>
      <c r="F206" s="3">
        <f t="shared" si="22"/>
        <v>696.70499999999981</v>
      </c>
      <c r="G206" s="3">
        <f t="shared" si="22"/>
        <v>11.611749999999997</v>
      </c>
      <c r="H206" s="3">
        <f t="shared" si="23"/>
        <v>0.48382291666666655</v>
      </c>
      <c r="I206" s="3">
        <f>IF(ISNA(MATCH(H206,关卡!$E$19:$E$2018,1)),0,MATCH(H206,关卡!$E$19:$E$2018,1))</f>
        <v>126</v>
      </c>
      <c r="J206" s="3">
        <f>VLOOKUP($I206,关卡!$A$17:$G$2018,6,0)</f>
        <v>8.1750995314390007</v>
      </c>
      <c r="K206" s="3">
        <f>VLOOKUP($I206,关卡!$A$17:$G$2018,7,0)</f>
        <v>11.934353581294999</v>
      </c>
      <c r="L206" s="3">
        <f t="shared" si="24"/>
        <v>29430.358313180401</v>
      </c>
      <c r="M206" s="3">
        <f t="shared" si="25"/>
        <v>42963.672892661998</v>
      </c>
      <c r="N206" s="3">
        <f>INT(D206*J206*VLOOKUP(A206,经验产出!$I$7:$J$557,2,0))</f>
        <v>39450</v>
      </c>
      <c r="O206" s="3">
        <f>SUM($N$24:N205)</f>
        <v>955997</v>
      </c>
      <c r="P206" s="3">
        <f>K206*VLOOKUP(A206,金币产出!$I$7:$J$557,2,0)</f>
        <v>42.913946419406599</v>
      </c>
    </row>
    <row r="207" spans="1:16" x14ac:dyDescent="0.15">
      <c r="A207" s="3">
        <v>184</v>
      </c>
      <c r="B207" s="3">
        <f t="shared" si="19"/>
        <v>10</v>
      </c>
      <c r="C207" s="3">
        <f t="shared" si="20"/>
        <v>4147.2</v>
      </c>
      <c r="D207" s="3">
        <f t="shared" si="21"/>
        <v>1044.9000000000005</v>
      </c>
      <c r="E207" s="3">
        <f>SUM($D$24:D207)</f>
        <v>42847.19999999999</v>
      </c>
      <c r="F207" s="3">
        <f t="shared" si="22"/>
        <v>714.11999999999978</v>
      </c>
      <c r="G207" s="3">
        <f t="shared" si="22"/>
        <v>11.901999999999996</v>
      </c>
      <c r="H207" s="3">
        <f t="shared" si="23"/>
        <v>0.49591666666666651</v>
      </c>
      <c r="I207" s="3">
        <f>IF(ISNA(MATCH(H207,关卡!$E$19:$E$2018,1)),0,MATCH(H207,关卡!$E$19:$E$2018,1))</f>
        <v>128</v>
      </c>
      <c r="J207" s="3">
        <f>VLOOKUP($I207,关卡!$A$17:$G$2018,6,0)</f>
        <v>8.3045373091840009</v>
      </c>
      <c r="K207" s="3">
        <f>VLOOKUP($I207,关卡!$A$17:$G$2018,7,0)</f>
        <v>12.055315435519999</v>
      </c>
      <c r="L207" s="3">
        <f t="shared" si="24"/>
        <v>29896.334313062405</v>
      </c>
      <c r="M207" s="3">
        <f t="shared" si="25"/>
        <v>43399.135567871999</v>
      </c>
      <c r="N207" s="3">
        <f>INT(D207*J207*VLOOKUP(A207,经验产出!$I$7:$J$557,2,0))</f>
        <v>40283</v>
      </c>
      <c r="O207" s="3">
        <f>SUM($N$24:N206)</f>
        <v>995447</v>
      </c>
      <c r="P207" s="3">
        <f>K207*VLOOKUP(A207,金币产出!$I$7:$J$557,2,0)</f>
        <v>43.34890508689066</v>
      </c>
    </row>
    <row r="208" spans="1:16" x14ac:dyDescent="0.15">
      <c r="A208" s="3">
        <v>185</v>
      </c>
      <c r="B208" s="3">
        <f t="shared" si="19"/>
        <v>10</v>
      </c>
      <c r="C208" s="3">
        <f t="shared" si="20"/>
        <v>5197.4999999999991</v>
      </c>
      <c r="D208" s="3">
        <f t="shared" si="21"/>
        <v>1050.2999999999993</v>
      </c>
      <c r="E208" s="3">
        <f>SUM($D$24:D208)</f>
        <v>43897.499999999985</v>
      </c>
      <c r="F208" s="3">
        <f t="shared" si="22"/>
        <v>731.62499999999977</v>
      </c>
      <c r="G208" s="3">
        <f t="shared" si="22"/>
        <v>12.193749999999996</v>
      </c>
      <c r="H208" s="3">
        <f t="shared" si="23"/>
        <v>0.50807291666666654</v>
      </c>
      <c r="I208" s="3">
        <f>IF(ISNA(MATCH(H208,关卡!$E$19:$E$2018,1)),0,MATCH(H208,关卡!$E$19:$E$2018,1))</f>
        <v>130</v>
      </c>
      <c r="J208" s="3">
        <f>VLOOKUP($I208,关卡!$A$17:$G$2018,6,0)</f>
        <v>8.4345098993749996</v>
      </c>
      <c r="K208" s="3">
        <f>VLOOKUP($I208,关卡!$A$17:$G$2018,7,0)</f>
        <v>12.176639559375001</v>
      </c>
      <c r="L208" s="3">
        <f t="shared" si="24"/>
        <v>30364.235637749996</v>
      </c>
      <c r="M208" s="3">
        <f t="shared" si="25"/>
        <v>43835.902413750009</v>
      </c>
      <c r="N208" s="3">
        <f>INT(D208*J208*VLOOKUP(A208,经验产出!$I$7:$J$557,2,0))</f>
        <v>41125</v>
      </c>
      <c r="O208" s="3">
        <f>SUM($N$24:N207)</f>
        <v>1035730</v>
      </c>
      <c r="P208" s="3">
        <f>K208*VLOOKUP(A208,金币产出!$I$7:$J$557,2,0)</f>
        <v>43.785166415585941</v>
      </c>
    </row>
    <row r="209" spans="1:16" x14ac:dyDescent="0.15">
      <c r="A209" s="3">
        <v>186</v>
      </c>
      <c r="B209" s="3">
        <f t="shared" si="19"/>
        <v>10</v>
      </c>
      <c r="C209" s="3">
        <f t="shared" si="20"/>
        <v>6253.2</v>
      </c>
      <c r="D209" s="3">
        <f t="shared" si="21"/>
        <v>1055.7000000000007</v>
      </c>
      <c r="E209" s="3">
        <f>SUM($D$24:D209)</f>
        <v>44953.199999999983</v>
      </c>
      <c r="F209" s="3">
        <f t="shared" si="22"/>
        <v>749.21999999999969</v>
      </c>
      <c r="G209" s="3">
        <f t="shared" si="22"/>
        <v>12.486999999999995</v>
      </c>
      <c r="H209" s="3">
        <f t="shared" si="23"/>
        <v>0.52029166666666649</v>
      </c>
      <c r="I209" s="3">
        <f>IF(ISNA(MATCH(H209,关卡!$E$19:$E$2018,1)),0,MATCH(H209,关卡!$E$19:$E$2018,1))</f>
        <v>131</v>
      </c>
      <c r="J209" s="3">
        <f>VLOOKUP($I209,关卡!$A$17:$G$2018,6,0)</f>
        <v>8.4996975042799381</v>
      </c>
      <c r="K209" s="3">
        <f>VLOOKUP($I209,关卡!$A$17:$G$2018,7,0)</f>
        <v>12.237437799530939</v>
      </c>
      <c r="L209" s="3">
        <f t="shared" si="24"/>
        <v>30598.911015407779</v>
      </c>
      <c r="M209" s="3">
        <f t="shared" si="25"/>
        <v>44054.776078311384</v>
      </c>
      <c r="N209" s="3">
        <f>INT(D209*J209*VLOOKUP(A209,经验产出!$I$7:$J$557,2,0))</f>
        <v>41656</v>
      </c>
      <c r="O209" s="3">
        <f>SUM($N$24:N208)</f>
        <v>1076855</v>
      </c>
      <c r="P209" s="3">
        <f>K209*VLOOKUP(A209,金币产出!$I$7:$J$557,2,0)</f>
        <v>44.003786754146667</v>
      </c>
    </row>
    <row r="210" spans="1:16" x14ac:dyDescent="0.15">
      <c r="A210" s="3">
        <v>187</v>
      </c>
      <c r="B210" s="3">
        <f t="shared" si="19"/>
        <v>10</v>
      </c>
      <c r="C210" s="3">
        <f t="shared" si="20"/>
        <v>7314.2999999999993</v>
      </c>
      <c r="D210" s="3">
        <f t="shared" si="21"/>
        <v>1061.0999999999995</v>
      </c>
      <c r="E210" s="3">
        <f>SUM($D$24:D210)</f>
        <v>46014.299999999981</v>
      </c>
      <c r="F210" s="3">
        <f t="shared" si="22"/>
        <v>766.90499999999963</v>
      </c>
      <c r="G210" s="3">
        <f t="shared" si="22"/>
        <v>12.781749999999994</v>
      </c>
      <c r="H210" s="3">
        <f t="shared" si="23"/>
        <v>0.5325729166666664</v>
      </c>
      <c r="I210" s="3">
        <f>IF(ISNA(MATCH(H210,关卡!$E$19:$E$2018,1)),0,MATCH(H210,关卡!$E$19:$E$2018,1))</f>
        <v>133</v>
      </c>
      <c r="J210" s="3">
        <f>VLOOKUP($I210,关卡!$A$17:$G$2018,6,0)</f>
        <v>8.6304768492299395</v>
      </c>
      <c r="K210" s="3">
        <f>VLOOKUP($I210,关卡!$A$17:$G$2018,7,0)</f>
        <v>12.359307291780938</v>
      </c>
      <c r="L210" s="3">
        <f t="shared" si="24"/>
        <v>31069.716657227778</v>
      </c>
      <c r="M210" s="3">
        <f t="shared" si="25"/>
        <v>44493.506250411381</v>
      </c>
      <c r="N210" s="3">
        <f>INT(D210*J210*VLOOKUP(A210,经验产出!$I$7:$J$557,2,0))</f>
        <v>42513</v>
      </c>
      <c r="O210" s="3">
        <f>SUM($N$24:N209)</f>
        <v>1118511</v>
      </c>
      <c r="P210" s="3">
        <f>K210*VLOOKUP(A210,金币产出!$I$7:$J$557,2,0)</f>
        <v>44.442009136695624</v>
      </c>
    </row>
    <row r="211" spans="1:16" x14ac:dyDescent="0.15">
      <c r="A211" s="3">
        <v>188</v>
      </c>
      <c r="B211" s="3">
        <f t="shared" si="19"/>
        <v>10</v>
      </c>
      <c r="C211" s="3">
        <f t="shared" si="20"/>
        <v>8380.8000000000011</v>
      </c>
      <c r="D211" s="3">
        <f t="shared" si="21"/>
        <v>1066.5000000000018</v>
      </c>
      <c r="E211" s="3">
        <f>SUM($D$24:D211)</f>
        <v>47080.799999999981</v>
      </c>
      <c r="F211" s="3">
        <f t="shared" si="22"/>
        <v>784.67999999999972</v>
      </c>
      <c r="G211" s="3">
        <f t="shared" si="22"/>
        <v>13.077999999999996</v>
      </c>
      <c r="H211" s="3">
        <f t="shared" si="23"/>
        <v>0.54491666666666649</v>
      </c>
      <c r="I211" s="3">
        <f>IF(ISNA(MATCH(H211,关卡!$E$19:$E$2018,1)),0,MATCH(H211,关卡!$E$19:$E$2018,1))</f>
        <v>135</v>
      </c>
      <c r="J211" s="3">
        <f>VLOOKUP($I211,关卡!$A$17:$G$2018,6,0)</f>
        <v>8.7617970687109388</v>
      </c>
      <c r="K211" s="3">
        <f>VLOOKUP($I211,关卡!$A$17:$G$2018,7,0)</f>
        <v>12.481541675585937</v>
      </c>
      <c r="L211" s="3">
        <f t="shared" si="24"/>
        <v>31542.469447359381</v>
      </c>
      <c r="M211" s="3">
        <f t="shared" si="25"/>
        <v>44933.550032109379</v>
      </c>
      <c r="N211" s="3">
        <f>INT(D211*J211*VLOOKUP(A211,经验产出!$I$7:$J$557,2,0))</f>
        <v>43380</v>
      </c>
      <c r="O211" s="3">
        <f>SUM($N$24:N210)</f>
        <v>1161024</v>
      </c>
      <c r="P211" s="3">
        <f>K211*VLOOKUP(A211,金币产出!$I$7:$J$557,2,0)</f>
        <v>44.881543608461101</v>
      </c>
    </row>
    <row r="212" spans="1:16" x14ac:dyDescent="0.15">
      <c r="A212" s="3">
        <v>189</v>
      </c>
      <c r="B212" s="3">
        <f t="shared" si="19"/>
        <v>10</v>
      </c>
      <c r="C212" s="3">
        <f t="shared" si="20"/>
        <v>9452.6999999999989</v>
      </c>
      <c r="D212" s="3">
        <f t="shared" si="21"/>
        <v>1071.8999999999978</v>
      </c>
      <c r="E212" s="3">
        <f>SUM($D$24:D212)</f>
        <v>48152.699999999983</v>
      </c>
      <c r="F212" s="3">
        <f t="shared" si="22"/>
        <v>802.54499999999973</v>
      </c>
      <c r="G212" s="3">
        <f t="shared" si="22"/>
        <v>13.375749999999995</v>
      </c>
      <c r="H212" s="3">
        <f t="shared" si="23"/>
        <v>0.55732291666666645</v>
      </c>
      <c r="I212" s="3">
        <f>IF(ISNA(MATCH(H212,关卡!$E$19:$E$2018,1)),0,MATCH(H212,关卡!$E$19:$E$2018,1))</f>
        <v>136</v>
      </c>
      <c r="J212" s="3">
        <f>VLOOKUP($I212,关卡!$A$17:$G$2018,6,0)</f>
        <v>8.8276607690240017</v>
      </c>
      <c r="K212" s="3">
        <f>VLOOKUP($I212,关卡!$A$17:$G$2018,7,0)</f>
        <v>12.542796030720003</v>
      </c>
      <c r="L212" s="3">
        <f t="shared" si="24"/>
        <v>31779.578768486408</v>
      </c>
      <c r="M212" s="3">
        <f t="shared" si="25"/>
        <v>45154.065710592011</v>
      </c>
      <c r="N212" s="3">
        <f>INT(D212*J212*VLOOKUP(A212,经验产出!$I$7:$J$557,2,0))</f>
        <v>43927</v>
      </c>
      <c r="O212" s="3">
        <f>SUM($N$24:N211)</f>
        <v>1204404</v>
      </c>
      <c r="P212" s="3">
        <f>K212*VLOOKUP(A212,金币产出!$I$7:$J$557,2,0)</f>
        <v>45.101804060464012</v>
      </c>
    </row>
    <row r="213" spans="1:16" x14ac:dyDescent="0.15">
      <c r="A213" s="3">
        <v>190</v>
      </c>
      <c r="B213" s="3">
        <f t="shared" si="19"/>
        <v>10</v>
      </c>
      <c r="C213" s="3">
        <f t="shared" si="20"/>
        <v>10530</v>
      </c>
      <c r="D213" s="3">
        <f t="shared" si="21"/>
        <v>1077.3000000000011</v>
      </c>
      <c r="E213" s="3">
        <f>SUM($D$24:D213)</f>
        <v>49229.999999999985</v>
      </c>
      <c r="F213" s="3">
        <f t="shared" si="22"/>
        <v>820.49999999999977</v>
      </c>
      <c r="G213" s="3">
        <f t="shared" si="22"/>
        <v>13.674999999999995</v>
      </c>
      <c r="H213" s="3">
        <f t="shared" si="23"/>
        <v>0.56979166666666647</v>
      </c>
      <c r="I213" s="3">
        <f>IF(ISNA(MATCH(H213,关卡!$E$19:$E$2018,1)),0,MATCH(H213,关卡!$E$19:$E$2018,1))</f>
        <v>138</v>
      </c>
      <c r="J213" s="3">
        <f>VLOOKUP($I213,关卡!$A$17:$G$2018,6,0)</f>
        <v>8.9597968812790025</v>
      </c>
      <c r="K213" s="3">
        <f>VLOOKUP($I213,关卡!$A$17:$G$2018,7,0)</f>
        <v>12.665579726495</v>
      </c>
      <c r="L213" s="3">
        <f t="shared" si="24"/>
        <v>32255.26877260441</v>
      </c>
      <c r="M213" s="3">
        <f t="shared" si="25"/>
        <v>45596.087015382</v>
      </c>
      <c r="N213" s="3">
        <f>INT(D213*J213*VLOOKUP(A213,经验产出!$I$7:$J$557,2,0))</f>
        <v>44809</v>
      </c>
      <c r="O213" s="3">
        <f>SUM($N$24:N212)</f>
        <v>1248331</v>
      </c>
      <c r="P213" s="3">
        <f>K213*VLOOKUP(A213,金币产出!$I$7:$J$557,2,0)</f>
        <v>45.543313766521607</v>
      </c>
    </row>
    <row r="214" spans="1:16" x14ac:dyDescent="0.15">
      <c r="A214" s="3">
        <v>191</v>
      </c>
      <c r="B214" s="3">
        <f t="shared" si="19"/>
        <v>10</v>
      </c>
      <c r="C214" s="3">
        <f t="shared" si="20"/>
        <v>11612.7</v>
      </c>
      <c r="D214" s="3">
        <f t="shared" si="21"/>
        <v>1082.7000000000007</v>
      </c>
      <c r="E214" s="3">
        <f>SUM($D$24:D214)</f>
        <v>50312.699999999983</v>
      </c>
      <c r="F214" s="3">
        <f t="shared" si="22"/>
        <v>838.54499999999973</v>
      </c>
      <c r="G214" s="3">
        <f t="shared" si="22"/>
        <v>13.975749999999996</v>
      </c>
      <c r="H214" s="3">
        <f t="shared" si="23"/>
        <v>0.58232291666666647</v>
      </c>
      <c r="I214" s="3">
        <f>IF(ISNA(MATCH(H214,关卡!$E$19:$E$2018,1)),0,MATCH(H214,关卡!$E$19:$E$2018,1))</f>
        <v>140</v>
      </c>
      <c r="J214" s="3">
        <f>VLOOKUP($I214,关卡!$A$17:$G$2018,6,0)</f>
        <v>9.0924799899999993</v>
      </c>
      <c r="K214" s="3">
        <f>VLOOKUP($I214,关卡!$A$17:$G$2018,7,0)</f>
        <v>12.788730949999998</v>
      </c>
      <c r="L214" s="3">
        <f t="shared" si="24"/>
        <v>32732.927964000002</v>
      </c>
      <c r="M214" s="3">
        <f t="shared" si="25"/>
        <v>46039.431419999994</v>
      </c>
      <c r="N214" s="3">
        <f>INT(D214*J214*VLOOKUP(A214,经验产出!$I$7:$J$557,2,0))</f>
        <v>45701</v>
      </c>
      <c r="O214" s="3">
        <f>SUM($N$24:N213)</f>
        <v>1293140</v>
      </c>
      <c r="P214" s="3">
        <f>K214*VLOOKUP(A214,金币产出!$I$7:$J$557,2,0)</f>
        <v>45.986145041041659</v>
      </c>
    </row>
    <row r="215" spans="1:16" x14ac:dyDescent="0.15">
      <c r="A215" s="3">
        <v>192</v>
      </c>
      <c r="B215" s="3">
        <f t="shared" si="19"/>
        <v>10</v>
      </c>
      <c r="C215" s="3">
        <f t="shared" si="20"/>
        <v>12700.8</v>
      </c>
      <c r="D215" s="3">
        <f t="shared" si="21"/>
        <v>1088.0999999999985</v>
      </c>
      <c r="E215" s="3">
        <f>SUM($D$24:D215)</f>
        <v>51400.799999999981</v>
      </c>
      <c r="F215" s="3">
        <f t="shared" si="22"/>
        <v>856.67999999999972</v>
      </c>
      <c r="G215" s="3">
        <f t="shared" si="22"/>
        <v>14.277999999999995</v>
      </c>
      <c r="H215" s="3">
        <f t="shared" si="23"/>
        <v>0.59491666666666643</v>
      </c>
      <c r="I215" s="3">
        <f>IF(ISNA(MATCH(H215,关卡!$E$19:$E$2018,1)),0,MATCH(H215,关卡!$E$19:$E$2018,1))</f>
        <v>141</v>
      </c>
      <c r="J215" s="3">
        <f>VLOOKUP($I215,关卡!$A$17:$G$2018,6,0)</f>
        <v>9.1590274381399368</v>
      </c>
      <c r="K215" s="3">
        <f>VLOOKUP($I215,关卡!$A$17:$G$2018,7,0)</f>
        <v>12.850444715330935</v>
      </c>
      <c r="L215" s="3">
        <f t="shared" si="24"/>
        <v>32972.498777303772</v>
      </c>
      <c r="M215" s="3">
        <f t="shared" si="25"/>
        <v>46261.600975191373</v>
      </c>
      <c r="N215" s="3">
        <f>INT(D215*J215*VLOOKUP(A215,经验产出!$I$7:$J$557,2,0))</f>
        <v>46265</v>
      </c>
      <c r="O215" s="3">
        <f>SUM($N$24:N214)</f>
        <v>1338841</v>
      </c>
      <c r="P215" s="3">
        <f>K215*VLOOKUP(A215,金币产出!$I$7:$J$557,2,0)</f>
        <v>46.20805745554415</v>
      </c>
    </row>
    <row r="216" spans="1:16" x14ac:dyDescent="0.15">
      <c r="A216" s="3">
        <v>193</v>
      </c>
      <c r="B216" s="3">
        <f t="shared" si="19"/>
        <v>10</v>
      </c>
      <c r="C216" s="3">
        <f t="shared" si="20"/>
        <v>13794.3</v>
      </c>
      <c r="D216" s="3">
        <f t="shared" si="21"/>
        <v>1093.5</v>
      </c>
      <c r="E216" s="3">
        <f>SUM($D$24:D216)</f>
        <v>52494.299999999981</v>
      </c>
      <c r="F216" s="3">
        <f t="shared" si="22"/>
        <v>874.90499999999963</v>
      </c>
      <c r="G216" s="3">
        <f t="shared" si="22"/>
        <v>14.581749999999994</v>
      </c>
      <c r="H216" s="3">
        <f t="shared" si="23"/>
        <v>0.60757291666666646</v>
      </c>
      <c r="I216" s="3">
        <f>IF(ISNA(MATCH(H216,关卡!$E$19:$E$2018,1)),0,MATCH(H216,关卡!$E$19:$E$2018,1))</f>
        <v>143</v>
      </c>
      <c r="J216" s="3">
        <f>VLOOKUP($I216,关卡!$A$17:$G$2018,6,0)</f>
        <v>9.2925356674249375</v>
      </c>
      <c r="K216" s="3">
        <f>VLOOKUP($I216,关卡!$A$17:$G$2018,7,0)</f>
        <v>12.974149215755938</v>
      </c>
      <c r="L216" s="3">
        <f t="shared" si="24"/>
        <v>33453.128402729773</v>
      </c>
      <c r="M216" s="3">
        <f t="shared" si="25"/>
        <v>46706.937176721374</v>
      </c>
      <c r="N216" s="3">
        <f>INT(D216*J216*VLOOKUP(A216,经验产出!$I$7:$J$557,2,0))</f>
        <v>47172</v>
      </c>
      <c r="O216" s="3">
        <f>SUM($N$24:N215)</f>
        <v>1385106</v>
      </c>
      <c r="P216" s="3">
        <f>K216*VLOOKUP(A216,金币产出!$I$7:$J$557,2,0)</f>
        <v>46.652878221655726</v>
      </c>
    </row>
    <row r="217" spans="1:16" x14ac:dyDescent="0.15">
      <c r="A217" s="3">
        <v>194</v>
      </c>
      <c r="B217" s="3">
        <f t="shared" ref="B217:B280" si="26">MATCH($A217,$A$3:$A$20,1)-1</f>
        <v>10</v>
      </c>
      <c r="C217" s="3">
        <f t="shared" ref="C217:C280" si="27">INDEX($C$3:$C$20,$B217+1)*(INDEX($D$3:$D$20,$B217+1)+INDEX($E$3:$E$20,$B217+1)*(($A217-INDEX($A$3:$A$20,$B217+1)+1)/(INDEX($B$3:$B$20,B217+1)-INDEX($A$3:$A$20,$B217+1)+1))^1+INDEX($F$3:$F$20,$B217+1)*(($A217-INDEX($A$3:$A$20,$B217+1)+1)/(INDEX($B$3:$B$20,B217+1)-INDEX($A$3:$A$20,$B217+1)+1))^2+INDEX($G$3:$G$20,$B217+1)*(($A217-INDEX($A$3:$A$20,$B217+1)+1)/(INDEX($B$3:$B$20,$B217+1)-INDEX($A$3:$A$20,$B217+1)+1))^3+INDEX($H$3:$H$20,$B217+1)*(($A217-INDEX($A$3:$A$20,$B217+1)+1)/(INDEX($B$3:$B$20,$B217+1)-INDEX($A$3:$A$20,$B217+1)+1))^4)</f>
        <v>14893.199999999997</v>
      </c>
      <c r="D217" s="3">
        <f t="shared" ref="D217:D280" si="28">IF(ISNA(MATCH(A217,$A$4:$A$20,0)),C217-C216,C217)</f>
        <v>1098.8999999999978</v>
      </c>
      <c r="E217" s="3">
        <f>SUM($D$24:D217)</f>
        <v>53593.199999999983</v>
      </c>
      <c r="F217" s="3">
        <f t="shared" ref="F217:G280" si="29">E217/60</f>
        <v>893.21999999999969</v>
      </c>
      <c r="G217" s="3">
        <f t="shared" si="29"/>
        <v>14.886999999999995</v>
      </c>
      <c r="H217" s="3">
        <f t="shared" ref="H217:H280" si="30">G217/24</f>
        <v>0.62029166666666646</v>
      </c>
      <c r="I217" s="3">
        <f>IF(ISNA(MATCH(H217,关卡!$E$19:$E$2018,1)),0,MATCH(H217,关卡!$E$19:$E$2018,1))</f>
        <v>144</v>
      </c>
      <c r="J217" s="3">
        <f>VLOOKUP($I217,关卡!$A$17:$G$2018,6,0)</f>
        <v>9.3594970685439964</v>
      </c>
      <c r="K217" s="3">
        <f>VLOOKUP($I217,关卡!$A$17:$G$2018,7,0)</f>
        <v>13.036140216319998</v>
      </c>
      <c r="L217" s="3">
        <f t="shared" ref="L217:L280" si="31">J217*60*60</f>
        <v>33694.189446758392</v>
      </c>
      <c r="M217" s="3">
        <f t="shared" ref="M217:M280" si="32">K217*60*60</f>
        <v>46930.104778751993</v>
      </c>
      <c r="N217" s="3">
        <f>INT(D217*J217*VLOOKUP(A217,经验产出!$I$7:$J$557,2,0))</f>
        <v>47747</v>
      </c>
      <c r="O217" s="3">
        <f>SUM($N$24:N216)</f>
        <v>1432278</v>
      </c>
      <c r="P217" s="3">
        <f>K217*VLOOKUP(A217,金币产出!$I$7:$J$557,2,0)</f>
        <v>46.875787527850655</v>
      </c>
    </row>
    <row r="218" spans="1:16" x14ac:dyDescent="0.15">
      <c r="A218" s="3">
        <v>195</v>
      </c>
      <c r="B218" s="3">
        <f t="shared" si="26"/>
        <v>10</v>
      </c>
      <c r="C218" s="3">
        <f t="shared" si="27"/>
        <v>15997.499999999996</v>
      </c>
      <c r="D218" s="3">
        <f t="shared" si="28"/>
        <v>1104.2999999999993</v>
      </c>
      <c r="E218" s="3">
        <f>SUM($D$24:D218)</f>
        <v>54697.499999999985</v>
      </c>
      <c r="F218" s="3">
        <f t="shared" si="29"/>
        <v>911.62499999999977</v>
      </c>
      <c r="G218" s="3">
        <f t="shared" si="29"/>
        <v>15.193749999999996</v>
      </c>
      <c r="H218" s="3">
        <f t="shared" si="30"/>
        <v>0.63307291666666654</v>
      </c>
      <c r="I218" s="3">
        <f>IF(ISNA(MATCH(H218,关卡!$E$19:$E$2018,1)),0,MATCH(H218,关卡!$E$19:$E$2018,1))</f>
        <v>146</v>
      </c>
      <c r="J218" s="3">
        <f>VLOOKUP($I218,关卡!$A$17:$G$2018,6,0)</f>
        <v>9.4938359981590015</v>
      </c>
      <c r="K218" s="3">
        <f>VLOOKUP($I218,关卡!$A$17:$G$2018,7,0)</f>
        <v>13.160400382895</v>
      </c>
      <c r="L218" s="3">
        <f t="shared" si="31"/>
        <v>34177.809593372403</v>
      </c>
      <c r="M218" s="3">
        <f t="shared" si="32"/>
        <v>47377.441378422001</v>
      </c>
      <c r="N218" s="3">
        <f>INT(D218*J218*VLOOKUP(A218,经验产出!$I$7:$J$557,2,0))</f>
        <v>48670</v>
      </c>
      <c r="O218" s="3">
        <f>SUM($N$24:N217)</f>
        <v>1480025</v>
      </c>
      <c r="P218" s="3">
        <f>K218*VLOOKUP(A218,金币产出!$I$7:$J$557,2,0)</f>
        <v>47.322606376826606</v>
      </c>
    </row>
    <row r="219" spans="1:16" x14ac:dyDescent="0.15">
      <c r="A219" s="3">
        <v>196</v>
      </c>
      <c r="B219" s="3">
        <f t="shared" si="26"/>
        <v>10</v>
      </c>
      <c r="C219" s="3">
        <f t="shared" si="27"/>
        <v>17107.2</v>
      </c>
      <c r="D219" s="3">
        <f t="shared" si="28"/>
        <v>1109.7000000000044</v>
      </c>
      <c r="E219" s="3">
        <f>SUM($D$24:D219)</f>
        <v>55807.19999999999</v>
      </c>
      <c r="F219" s="3">
        <f t="shared" si="29"/>
        <v>930.11999999999978</v>
      </c>
      <c r="G219" s="3">
        <f t="shared" si="29"/>
        <v>15.501999999999997</v>
      </c>
      <c r="H219" s="3">
        <f t="shared" si="30"/>
        <v>0.64591666666666658</v>
      </c>
      <c r="I219" s="3">
        <f>IF(ISNA(MATCH(H219,关卡!$E$19:$E$2018,1)),0,MATCH(H219,关卡!$E$19:$E$2018,1))</f>
        <v>148</v>
      </c>
      <c r="J219" s="3">
        <f>VLOOKUP($I219,关卡!$A$17:$G$2018,6,0)</f>
        <v>9.628731843824001</v>
      </c>
      <c r="K219" s="3">
        <f>VLOOKUP($I219,关卡!$A$17:$G$2018,7,0)</f>
        <v>13.285032324720001</v>
      </c>
      <c r="L219" s="3">
        <f t="shared" si="31"/>
        <v>34663.434637766404</v>
      </c>
      <c r="M219" s="3">
        <f t="shared" si="32"/>
        <v>47826.116368992007</v>
      </c>
      <c r="N219" s="3">
        <f>INT(D219*J219*VLOOKUP(A219,经验产出!$I$7:$J$557,2,0))</f>
        <v>49603</v>
      </c>
      <c r="O219" s="3">
        <f>SUM($N$24:N218)</f>
        <v>1528695</v>
      </c>
      <c r="P219" s="3">
        <f>K219*VLOOKUP(A219,金币产出!$I$7:$J$557,2,0)</f>
        <v>47.770762067639005</v>
      </c>
    </row>
    <row r="220" spans="1:16" x14ac:dyDescent="0.15">
      <c r="A220" s="3">
        <v>197</v>
      </c>
      <c r="B220" s="3">
        <f t="shared" si="26"/>
        <v>10</v>
      </c>
      <c r="C220" s="3">
        <f t="shared" si="27"/>
        <v>18222.3</v>
      </c>
      <c r="D220" s="3">
        <f t="shared" si="28"/>
        <v>1115.0999999999985</v>
      </c>
      <c r="E220" s="3">
        <f>SUM($D$24:D220)</f>
        <v>56922.299999999988</v>
      </c>
      <c r="F220" s="3">
        <f t="shared" si="29"/>
        <v>948.70499999999981</v>
      </c>
      <c r="G220" s="3">
        <f t="shared" si="29"/>
        <v>15.811749999999996</v>
      </c>
      <c r="H220" s="3">
        <f t="shared" si="30"/>
        <v>0.65882291666666648</v>
      </c>
      <c r="I220" s="3">
        <f>IF(ISNA(MATCH(H220,关卡!$E$19:$E$2018,1)),0,MATCH(H220,关卡!$E$19:$E$2018,1))</f>
        <v>149</v>
      </c>
      <c r="J220" s="3">
        <f>VLOOKUP($I220,关卡!$A$17:$G$2018,6,0)</f>
        <v>9.6963893922499373</v>
      </c>
      <c r="K220" s="3">
        <f>VLOOKUP($I220,关卡!$A$17:$G$2018,7,0)</f>
        <v>13.347488044880935</v>
      </c>
      <c r="L220" s="3">
        <f t="shared" si="31"/>
        <v>34907.001812099777</v>
      </c>
      <c r="M220" s="3">
        <f t="shared" si="32"/>
        <v>48050.956961571363</v>
      </c>
      <c r="N220" s="3">
        <f>INT(D220*J220*VLOOKUP(A220,经验产出!$I$7:$J$557,2,0))</f>
        <v>50195</v>
      </c>
      <c r="O220" s="3">
        <f>SUM($N$24:N219)</f>
        <v>1578298</v>
      </c>
      <c r="P220" s="3">
        <f>K220*VLOOKUP(A220,金币产出!$I$7:$J$557,2,0)</f>
        <v>47.995342428051025</v>
      </c>
    </row>
    <row r="221" spans="1:16" x14ac:dyDescent="0.15">
      <c r="A221" s="3">
        <v>198</v>
      </c>
      <c r="B221" s="3">
        <f t="shared" si="26"/>
        <v>10</v>
      </c>
      <c r="C221" s="3">
        <f t="shared" si="27"/>
        <v>19342.8</v>
      </c>
      <c r="D221" s="3">
        <f t="shared" si="28"/>
        <v>1120.5</v>
      </c>
      <c r="E221" s="3">
        <f>SUM($D$24:D221)</f>
        <v>58042.799999999988</v>
      </c>
      <c r="F221" s="3">
        <f t="shared" si="29"/>
        <v>967.37999999999977</v>
      </c>
      <c r="G221" s="3">
        <f t="shared" si="29"/>
        <v>16.122999999999998</v>
      </c>
      <c r="H221" s="3">
        <f t="shared" si="30"/>
        <v>0.67179166666666656</v>
      </c>
      <c r="I221" s="3">
        <f>IF(ISNA(MATCH(H221,关卡!$E$19:$E$2018,1)),0,MATCH(H221,关卡!$E$19:$E$2018,1))</f>
        <v>151</v>
      </c>
      <c r="J221" s="3">
        <f>VLOOKUP($I221,关卡!$A$17:$G$2018,6,0)</f>
        <v>9.8321253096749377</v>
      </c>
      <c r="K221" s="3">
        <f>VLOOKUP($I221,关卡!$A$17:$G$2018,7,0)</f>
        <v>13.472679652005938</v>
      </c>
      <c r="L221" s="3">
        <f t="shared" si="31"/>
        <v>35395.651114829772</v>
      </c>
      <c r="M221" s="3">
        <f t="shared" si="32"/>
        <v>48501.646747221377</v>
      </c>
      <c r="N221" s="3">
        <f>INT(D221*J221*VLOOKUP(A221,经验产出!$I$7:$J$557,2,0))</f>
        <v>51144</v>
      </c>
      <c r="O221" s="3">
        <f>SUM($N$24:N220)</f>
        <v>1628493</v>
      </c>
      <c r="P221" s="3">
        <f>K221*VLOOKUP(A221,金币产出!$I$7:$J$557,2,0)</f>
        <v>48.445510582004687</v>
      </c>
    </row>
    <row r="222" spans="1:16" x14ac:dyDescent="0.15">
      <c r="A222" s="3">
        <v>199</v>
      </c>
      <c r="B222" s="3">
        <f t="shared" si="26"/>
        <v>10</v>
      </c>
      <c r="C222" s="3">
        <f t="shared" si="27"/>
        <v>20468.699999999997</v>
      </c>
      <c r="D222" s="3">
        <f t="shared" si="28"/>
        <v>1125.8999999999978</v>
      </c>
      <c r="E222" s="3">
        <f>SUM($D$24:D222)</f>
        <v>59168.699999999983</v>
      </c>
      <c r="F222" s="3">
        <f t="shared" si="29"/>
        <v>986.14499999999975</v>
      </c>
      <c r="G222" s="3">
        <f t="shared" si="29"/>
        <v>16.435749999999995</v>
      </c>
      <c r="H222" s="3">
        <f t="shared" si="30"/>
        <v>0.6848229166666665</v>
      </c>
      <c r="I222" s="3">
        <f>IF(ISNA(MATCH(H222,关卡!$E$19:$E$2018,1)),0,MATCH(H222,关卡!$E$19:$E$2018,1))</f>
        <v>152</v>
      </c>
      <c r="J222" s="3">
        <f>VLOOKUP($I222,关卡!$A$17:$G$2018,6,0)</f>
        <v>9.9002043082239997</v>
      </c>
      <c r="K222" s="3">
        <f>VLOOKUP($I222,关卡!$A$17:$G$2018,7,0)</f>
        <v>13.53541580672</v>
      </c>
      <c r="L222" s="3">
        <f t="shared" si="31"/>
        <v>35640.735509606398</v>
      </c>
      <c r="M222" s="3">
        <f t="shared" si="32"/>
        <v>48727.496904191998</v>
      </c>
      <c r="N222" s="3">
        <f>INT(D222*J222*VLOOKUP(A222,经验产出!$I$7:$J$557,2,0))</f>
        <v>51746</v>
      </c>
      <c r="O222" s="3">
        <f>SUM($N$24:N221)</f>
        <v>1679637</v>
      </c>
      <c r="P222" s="3">
        <f>K222*VLOOKUP(A222,金币产出!$I$7:$J$557,2,0)</f>
        <v>48.671099338330663</v>
      </c>
    </row>
    <row r="223" spans="1:16" x14ac:dyDescent="0.15">
      <c r="A223" s="3">
        <v>200</v>
      </c>
      <c r="B223" s="3">
        <f t="shared" si="26"/>
        <v>10</v>
      </c>
      <c r="C223" s="3">
        <f t="shared" si="27"/>
        <v>21600</v>
      </c>
      <c r="D223" s="3">
        <f t="shared" si="28"/>
        <v>1131.3000000000029</v>
      </c>
      <c r="E223" s="3">
        <f>SUM($D$24:D223)</f>
        <v>60299.999999999985</v>
      </c>
      <c r="F223" s="3">
        <f t="shared" si="29"/>
        <v>1004.9999999999998</v>
      </c>
      <c r="G223" s="3">
        <f t="shared" si="29"/>
        <v>16.749999999999996</v>
      </c>
      <c r="H223" s="3">
        <f t="shared" si="30"/>
        <v>0.69791666666666652</v>
      </c>
      <c r="I223" s="3">
        <f>IF(ISNA(MATCH(H223,关卡!$E$19:$E$2018,1)),0,MATCH(H223,关卡!$E$19:$E$2018,1))</f>
        <v>154</v>
      </c>
      <c r="J223" s="3">
        <f>VLOOKUP($I223,关卡!$A$17:$G$2018,6,0)</f>
        <v>10.036785963359002</v>
      </c>
      <c r="K223" s="3">
        <f>VLOOKUP($I223,关卡!$A$17:$G$2018,7,0)</f>
        <v>13.661169488895</v>
      </c>
      <c r="L223" s="3">
        <f t="shared" si="31"/>
        <v>36132.429468092407</v>
      </c>
      <c r="M223" s="3">
        <f t="shared" si="32"/>
        <v>49180.210160021998</v>
      </c>
      <c r="N223" s="3">
        <f>INT(D223*J223*VLOOKUP(A223,经验产出!$I$7:$J$557,2,0))</f>
        <v>52712</v>
      </c>
      <c r="O223" s="3">
        <f>SUM($N$24:N222)</f>
        <v>1731383</v>
      </c>
      <c r="P223" s="3">
        <f>K223*VLOOKUP(A223,金币产出!$I$7:$J$557,2,0)</f>
        <v>49.123288620484935</v>
      </c>
    </row>
    <row r="224" spans="1:16" x14ac:dyDescent="0.15">
      <c r="A224" s="3">
        <v>201</v>
      </c>
      <c r="B224" s="3">
        <f t="shared" si="26"/>
        <v>11</v>
      </c>
      <c r="C224" s="3">
        <f t="shared" si="27"/>
        <v>1152</v>
      </c>
      <c r="D224" s="3">
        <f t="shared" si="28"/>
        <v>1152</v>
      </c>
      <c r="E224" s="3">
        <f>SUM($D$24:D224)</f>
        <v>61451.999999999985</v>
      </c>
      <c r="F224" s="3">
        <f t="shared" si="29"/>
        <v>1024.1999999999998</v>
      </c>
      <c r="G224" s="3">
        <f t="shared" si="29"/>
        <v>17.069999999999997</v>
      </c>
      <c r="H224" s="3">
        <f t="shared" si="30"/>
        <v>0.71124999999999983</v>
      </c>
      <c r="I224" s="3">
        <f>IF(ISNA(MATCH(H224,关卡!$E$19:$E$2018,1)),0,MATCH(H224,关卡!$E$19:$E$2018,1))</f>
        <v>155</v>
      </c>
      <c r="J224" s="3">
        <f>VLOOKUP($I224,关卡!$A$17:$G$2018,6,0)</f>
        <v>10.105289253085939</v>
      </c>
      <c r="K224" s="3">
        <f>VLOOKUP($I224,关卡!$A$17:$G$2018,7,0)</f>
        <v>13.724187284960939</v>
      </c>
      <c r="L224" s="3">
        <f t="shared" si="31"/>
        <v>36379.04131110938</v>
      </c>
      <c r="M224" s="3">
        <f t="shared" si="32"/>
        <v>49407.074225859382</v>
      </c>
      <c r="N224" s="3">
        <f>INT(D224*J224*VLOOKUP(A224,经验产出!$I$7:$J$557,2,0))</f>
        <v>54043</v>
      </c>
      <c r="O224" s="3">
        <f>SUM($N$24:N223)</f>
        <v>1784095</v>
      </c>
      <c r="P224" s="3">
        <f>K224*VLOOKUP(A224,金币产出!$I$7:$J$557,2,0)</f>
        <v>49.349890112172041</v>
      </c>
    </row>
    <row r="225" spans="1:16" x14ac:dyDescent="0.15">
      <c r="A225" s="3">
        <v>202</v>
      </c>
      <c r="B225" s="3">
        <f t="shared" si="26"/>
        <v>11</v>
      </c>
      <c r="C225" s="3">
        <f t="shared" si="27"/>
        <v>2304</v>
      </c>
      <c r="D225" s="3">
        <f t="shared" si="28"/>
        <v>1152</v>
      </c>
      <c r="E225" s="3">
        <f>SUM($D$24:D225)</f>
        <v>62603.999999999985</v>
      </c>
      <c r="F225" s="3">
        <f t="shared" si="29"/>
        <v>1043.3999999999999</v>
      </c>
      <c r="G225" s="3">
        <f t="shared" si="29"/>
        <v>17.389999999999997</v>
      </c>
      <c r="H225" s="3">
        <f t="shared" si="30"/>
        <v>0.72458333333333325</v>
      </c>
      <c r="I225" s="3">
        <f>IF(ISNA(MATCH(H225,关卡!$E$19:$E$2018,1)),0,MATCH(H225,关卡!$E$19:$E$2018,1))</f>
        <v>157</v>
      </c>
      <c r="J225" s="3">
        <f>VLOOKUP($I225,关卡!$A$17:$G$2018,6,0)</f>
        <v>10.242722344199937</v>
      </c>
      <c r="K225" s="3">
        <f>VLOOKUP($I225,关卡!$A$17:$G$2018,7,0)</f>
        <v>13.850505459630938</v>
      </c>
      <c r="L225" s="3">
        <f t="shared" si="31"/>
        <v>36873.800439119776</v>
      </c>
      <c r="M225" s="3">
        <f t="shared" si="32"/>
        <v>49861.819654671373</v>
      </c>
      <c r="N225" s="3">
        <f>INT(D225*J225*VLOOKUP(A225,经验产出!$I$7:$J$557,2,0))</f>
        <v>54778</v>
      </c>
      <c r="O225" s="3">
        <f>SUM($N$24:N224)</f>
        <v>1838138</v>
      </c>
      <c r="P225" s="3">
        <f>K225*VLOOKUP(A225,金币产出!$I$7:$J$557,2,0)</f>
        <v>49.804109215256247</v>
      </c>
    </row>
    <row r="226" spans="1:16" x14ac:dyDescent="0.15">
      <c r="A226" s="3">
        <v>203</v>
      </c>
      <c r="B226" s="3">
        <f t="shared" si="26"/>
        <v>11</v>
      </c>
      <c r="C226" s="3">
        <f t="shared" si="27"/>
        <v>3456</v>
      </c>
      <c r="D226" s="3">
        <f t="shared" si="28"/>
        <v>1152</v>
      </c>
      <c r="E226" s="3">
        <f>SUM($D$24:D226)</f>
        <v>63755.999999999985</v>
      </c>
      <c r="F226" s="3">
        <f t="shared" si="29"/>
        <v>1062.5999999999997</v>
      </c>
      <c r="G226" s="3">
        <f t="shared" si="29"/>
        <v>17.709999999999994</v>
      </c>
      <c r="H226" s="3">
        <f t="shared" si="30"/>
        <v>0.73791666666666644</v>
      </c>
      <c r="I226" s="3">
        <f>IF(ISNA(MATCH(H226,关卡!$E$19:$E$2018,1)),0,MATCH(H226,关卡!$E$19:$E$2018,1))</f>
        <v>158</v>
      </c>
      <c r="J226" s="3">
        <f>VLOOKUP($I226,关卡!$A$17:$G$2018,6,0)</f>
        <v>10.311652782319001</v>
      </c>
      <c r="K226" s="3">
        <f>VLOOKUP($I226,关卡!$A$17:$G$2018,7,0)</f>
        <v>13.913806107695001</v>
      </c>
      <c r="L226" s="3">
        <f t="shared" si="31"/>
        <v>37121.950016348404</v>
      </c>
      <c r="M226" s="3">
        <f t="shared" si="32"/>
        <v>50089.701987702007</v>
      </c>
      <c r="N226" s="3">
        <f>INT(D226*J226*VLOOKUP(A226,经验产出!$I$7:$J$557,2,0))</f>
        <v>55146</v>
      </c>
      <c r="O226" s="3">
        <f>SUM($N$24:N225)</f>
        <v>1892916</v>
      </c>
      <c r="P226" s="3">
        <f>K226*VLOOKUP(A226,金币产出!$I$7:$J$557,2,0)</f>
        <v>50.031727795586605</v>
      </c>
    </row>
    <row r="227" spans="1:16" x14ac:dyDescent="0.15">
      <c r="A227" s="3">
        <v>204</v>
      </c>
      <c r="B227" s="3">
        <f t="shared" si="26"/>
        <v>11</v>
      </c>
      <c r="C227" s="3">
        <f t="shared" si="27"/>
        <v>4608</v>
      </c>
      <c r="D227" s="3">
        <f t="shared" si="28"/>
        <v>1152</v>
      </c>
      <c r="E227" s="3">
        <f>SUM($D$24:D227)</f>
        <v>64907.999999999985</v>
      </c>
      <c r="F227" s="3">
        <f t="shared" si="29"/>
        <v>1081.7999999999997</v>
      </c>
      <c r="G227" s="3">
        <f t="shared" si="29"/>
        <v>18.029999999999994</v>
      </c>
      <c r="H227" s="3">
        <f t="shared" si="30"/>
        <v>0.75124999999999975</v>
      </c>
      <c r="I227" s="3">
        <f>IF(ISNA(MATCH(H227,关卡!$E$19:$E$2018,1)),0,MATCH(H227,关卡!$E$19:$E$2018,1))</f>
        <v>159</v>
      </c>
      <c r="J227" s="3">
        <f>VLOOKUP($I227,关卡!$A$17:$G$2018,6,0)</f>
        <v>10.380726240964936</v>
      </c>
      <c r="K227" s="3">
        <f>VLOOKUP($I227,关卡!$A$17:$G$2018,7,0)</f>
        <v>13.977201309455937</v>
      </c>
      <c r="L227" s="3">
        <f t="shared" si="31"/>
        <v>37370.614467473766</v>
      </c>
      <c r="M227" s="3">
        <f t="shared" si="32"/>
        <v>50317.924714041372</v>
      </c>
      <c r="N227" s="3">
        <f>INT(D227*J227*VLOOKUP(A227,经验产出!$I$7:$J$557,2,0))</f>
        <v>55516</v>
      </c>
      <c r="O227" s="3">
        <f>SUM($N$24:N226)</f>
        <v>1948062</v>
      </c>
      <c r="P227" s="3">
        <f>K227*VLOOKUP(A227,金币产出!$I$7:$J$557,2,0)</f>
        <v>50.259686375251974</v>
      </c>
    </row>
    <row r="228" spans="1:16" x14ac:dyDescent="0.15">
      <c r="A228" s="3">
        <v>205</v>
      </c>
      <c r="B228" s="3">
        <f t="shared" si="26"/>
        <v>11</v>
      </c>
      <c r="C228" s="3">
        <f t="shared" si="27"/>
        <v>5760</v>
      </c>
      <c r="D228" s="3">
        <f t="shared" si="28"/>
        <v>1152</v>
      </c>
      <c r="E228" s="3">
        <f>SUM($D$24:D228)</f>
        <v>66059.999999999985</v>
      </c>
      <c r="F228" s="3">
        <f t="shared" si="29"/>
        <v>1100.9999999999998</v>
      </c>
      <c r="G228" s="3">
        <f t="shared" si="29"/>
        <v>18.349999999999998</v>
      </c>
      <c r="H228" s="3">
        <f t="shared" si="30"/>
        <v>0.76458333333333328</v>
      </c>
      <c r="I228" s="3">
        <f>IF(ISNA(MATCH(H228,关卡!$E$19:$E$2018,1)),0,MATCH(H228,关卡!$E$19:$E$2018,1))</f>
        <v>161</v>
      </c>
      <c r="J228" s="3">
        <f>VLOOKUP($I228,关卡!$A$17:$G$2018,6,0)</f>
        <v>10.519303499884936</v>
      </c>
      <c r="K228" s="3">
        <f>VLOOKUP($I228,关卡!$A$17:$G$2018,7,0)</f>
        <v>14.104275914555938</v>
      </c>
      <c r="L228" s="3">
        <f t="shared" si="31"/>
        <v>37869.49259958577</v>
      </c>
      <c r="M228" s="3">
        <f t="shared" si="32"/>
        <v>50775.393292401379</v>
      </c>
      <c r="N228" s="3">
        <f>INT(D228*J228*VLOOKUP(A228,经验产出!$I$7:$J$557,2,0))</f>
        <v>56257</v>
      </c>
      <c r="O228" s="3">
        <f>SUM($N$24:N227)</f>
        <v>2003578</v>
      </c>
      <c r="P228" s="3">
        <f>K228*VLOOKUP(A228,金币产出!$I$7:$J$557,2,0)</f>
        <v>50.716625476090726</v>
      </c>
    </row>
    <row r="229" spans="1:16" x14ac:dyDescent="0.15">
      <c r="A229" s="3">
        <v>206</v>
      </c>
      <c r="B229" s="3">
        <f t="shared" si="26"/>
        <v>11</v>
      </c>
      <c r="C229" s="3">
        <f t="shared" si="27"/>
        <v>6912</v>
      </c>
      <c r="D229" s="3">
        <f t="shared" si="28"/>
        <v>1152</v>
      </c>
      <c r="E229" s="3">
        <f>SUM($D$24:D229)</f>
        <v>67211.999999999985</v>
      </c>
      <c r="F229" s="3">
        <f t="shared" si="29"/>
        <v>1120.1999999999998</v>
      </c>
      <c r="G229" s="3">
        <f t="shared" si="29"/>
        <v>18.669999999999998</v>
      </c>
      <c r="H229" s="3">
        <f t="shared" si="30"/>
        <v>0.77791666666666659</v>
      </c>
      <c r="I229" s="3">
        <f>IF(ISNA(MATCH(H229,关卡!$E$19:$E$2018,1)),0,MATCH(H229,关卡!$E$19:$E$2018,1))</f>
        <v>162</v>
      </c>
      <c r="J229" s="3">
        <f>VLOOKUP($I229,关卡!$A$17:$G$2018,6,0)</f>
        <v>10.588807941678999</v>
      </c>
      <c r="K229" s="3">
        <f>VLOOKUP($I229,关卡!$A$17:$G$2018,7,0)</f>
        <v>14.167955588495001</v>
      </c>
      <c r="L229" s="3">
        <f t="shared" si="31"/>
        <v>38119.7085900444</v>
      </c>
      <c r="M229" s="3">
        <f t="shared" si="32"/>
        <v>51004.640118582007</v>
      </c>
      <c r="N229" s="3">
        <f>INT(D229*J229*VLOOKUP(A229,经验产出!$I$7:$J$557,2,0))</f>
        <v>56628</v>
      </c>
      <c r="O229" s="3">
        <f>SUM($N$24:N228)</f>
        <v>2059835</v>
      </c>
      <c r="P229" s="3">
        <f>K229*VLOOKUP(A229,金币产出!$I$7:$J$557,2,0)</f>
        <v>50.945606970296609</v>
      </c>
    </row>
    <row r="230" spans="1:16" x14ac:dyDescent="0.15">
      <c r="A230" s="3">
        <v>207</v>
      </c>
      <c r="B230" s="3">
        <f t="shared" si="26"/>
        <v>11</v>
      </c>
      <c r="C230" s="3">
        <f t="shared" si="27"/>
        <v>8064.0000000000009</v>
      </c>
      <c r="D230" s="3">
        <f t="shared" si="28"/>
        <v>1152.0000000000009</v>
      </c>
      <c r="E230" s="3">
        <f>SUM($D$24:D230)</f>
        <v>68363.999999999985</v>
      </c>
      <c r="F230" s="3">
        <f t="shared" si="29"/>
        <v>1139.3999999999999</v>
      </c>
      <c r="G230" s="3">
        <f t="shared" si="29"/>
        <v>18.989999999999998</v>
      </c>
      <c r="H230" s="3">
        <f t="shared" si="30"/>
        <v>0.7912499999999999</v>
      </c>
      <c r="I230" s="3">
        <f>IF(ISNA(MATCH(H230,关卡!$E$19:$E$2018,1)),0,MATCH(H230,关卡!$E$19:$E$2018,1))</f>
        <v>164</v>
      </c>
      <c r="J230" s="3">
        <f>VLOOKUP($I230,关卡!$A$17:$G$2018,6,0)</f>
        <v>10.728250058224001</v>
      </c>
      <c r="K230" s="3">
        <f>VLOOKUP($I230,关卡!$A$17:$G$2018,7,0)</f>
        <v>14.29560035672</v>
      </c>
      <c r="L230" s="3">
        <f t="shared" si="31"/>
        <v>38621.700209606402</v>
      </c>
      <c r="M230" s="3">
        <f t="shared" si="32"/>
        <v>51464.161284192</v>
      </c>
      <c r="N230" s="3">
        <f>INT(D230*J230*VLOOKUP(A230,经验产出!$I$7:$J$557,2,0))</f>
        <v>57374</v>
      </c>
      <c r="O230" s="3">
        <f>SUM($N$24:N229)</f>
        <v>2116463</v>
      </c>
      <c r="P230" s="3">
        <f>K230*VLOOKUP(A230,金币产出!$I$7:$J$557,2,0)</f>
        <v>51.404596282705661</v>
      </c>
    </row>
    <row r="231" spans="1:16" x14ac:dyDescent="0.15">
      <c r="A231" s="3">
        <v>208</v>
      </c>
      <c r="B231" s="3">
        <f t="shared" si="26"/>
        <v>11</v>
      </c>
      <c r="C231" s="3">
        <f t="shared" si="27"/>
        <v>9216</v>
      </c>
      <c r="D231" s="3">
        <f t="shared" si="28"/>
        <v>1151.9999999999991</v>
      </c>
      <c r="E231" s="3">
        <f>SUM($D$24:D231)</f>
        <v>69515.999999999985</v>
      </c>
      <c r="F231" s="3">
        <f t="shared" si="29"/>
        <v>1158.5999999999997</v>
      </c>
      <c r="G231" s="3">
        <f t="shared" si="29"/>
        <v>19.309999999999995</v>
      </c>
      <c r="H231" s="3">
        <f t="shared" si="30"/>
        <v>0.8045833333333331</v>
      </c>
      <c r="I231" s="3">
        <f>IF(ISNA(MATCH(H231,关卡!$E$19:$E$2018,1)),0,MATCH(H231,关卡!$E$19:$E$2018,1))</f>
        <v>165</v>
      </c>
      <c r="J231" s="3">
        <f>VLOOKUP($I231,关卡!$A$17:$G$2018,6,0)</f>
        <v>10.798188378085937</v>
      </c>
      <c r="K231" s="3">
        <f>VLOOKUP($I231,关卡!$A$17:$G$2018,7,0)</f>
        <v>14.359565722460937</v>
      </c>
      <c r="L231" s="3">
        <f t="shared" si="31"/>
        <v>38873.478161109371</v>
      </c>
      <c r="M231" s="3">
        <f t="shared" si="32"/>
        <v>51694.436600859379</v>
      </c>
      <c r="N231" s="3">
        <f>INT(D231*J231*VLOOKUP(A231,经验产出!$I$7:$J$557,2,0))</f>
        <v>57748</v>
      </c>
      <c r="O231" s="3">
        <f>SUM($N$24:N230)</f>
        <v>2173837</v>
      </c>
      <c r="P231" s="3">
        <f>K231*VLOOKUP(A231,金币产出!$I$7:$J$557,2,0)</f>
        <v>51.634605077015785</v>
      </c>
    </row>
    <row r="232" spans="1:16" x14ac:dyDescent="0.15">
      <c r="A232" s="3">
        <v>209</v>
      </c>
      <c r="B232" s="3">
        <f t="shared" si="26"/>
        <v>11</v>
      </c>
      <c r="C232" s="3">
        <f t="shared" si="27"/>
        <v>10368</v>
      </c>
      <c r="D232" s="3">
        <f t="shared" si="28"/>
        <v>1152</v>
      </c>
      <c r="E232" s="3">
        <f>SUM($D$24:D232)</f>
        <v>70667.999999999985</v>
      </c>
      <c r="F232" s="3">
        <f t="shared" si="29"/>
        <v>1177.7999999999997</v>
      </c>
      <c r="G232" s="3">
        <f t="shared" si="29"/>
        <v>19.629999999999995</v>
      </c>
      <c r="H232" s="3">
        <f t="shared" si="30"/>
        <v>0.81791666666666651</v>
      </c>
      <c r="I232" s="3">
        <f>IF(ISNA(MATCH(H232,关卡!$E$19:$E$2018,1)),0,MATCH(H232,关卡!$E$19:$E$2018,1))</f>
        <v>166</v>
      </c>
      <c r="J232" s="3">
        <f>VLOOKUP($I232,关卡!$A$17:$G$2018,6,0)</f>
        <v>10.868271970078998</v>
      </c>
      <c r="K232" s="3">
        <f>VLOOKUP($I232,关卡!$A$17:$G$2018,7,0)</f>
        <v>14.423626590495001</v>
      </c>
      <c r="L232" s="3">
        <f t="shared" si="31"/>
        <v>39125.779092284392</v>
      </c>
      <c r="M232" s="3">
        <f t="shared" si="32"/>
        <v>51925.055725782004</v>
      </c>
      <c r="N232" s="3">
        <f>INT(D232*J232*VLOOKUP(A232,经验产出!$I$7:$J$557,2,0))</f>
        <v>58123</v>
      </c>
      <c r="O232" s="3">
        <f>SUM($N$24:N231)</f>
        <v>2231585</v>
      </c>
      <c r="P232" s="3">
        <f>K232*VLOOKUP(A232,金币产出!$I$7:$J$557,2,0)</f>
        <v>51.864957281654938</v>
      </c>
    </row>
    <row r="233" spans="1:16" x14ac:dyDescent="0.15">
      <c r="A233" s="3">
        <v>210</v>
      </c>
      <c r="B233" s="3">
        <f t="shared" si="26"/>
        <v>11</v>
      </c>
      <c r="C233" s="3">
        <f t="shared" si="27"/>
        <v>11520</v>
      </c>
      <c r="D233" s="3">
        <f t="shared" si="28"/>
        <v>1152</v>
      </c>
      <c r="E233" s="3">
        <f>SUM($D$24:D233)</f>
        <v>71819.999999999985</v>
      </c>
      <c r="F233" s="3">
        <f t="shared" si="29"/>
        <v>1196.9999999999998</v>
      </c>
      <c r="G233" s="3">
        <f t="shared" si="29"/>
        <v>19.949999999999996</v>
      </c>
      <c r="H233" s="3">
        <f t="shared" si="30"/>
        <v>0.83124999999999982</v>
      </c>
      <c r="I233" s="3">
        <f>IF(ISNA(MATCH(H233,关卡!$E$19:$E$2018,1)),0,MATCH(H233,关卡!$E$19:$E$2018,1))</f>
        <v>168</v>
      </c>
      <c r="J233" s="3">
        <f>VLOOKUP($I233,关卡!$A$17:$G$2018,6,0)</f>
        <v>11.008876267264004</v>
      </c>
      <c r="K233" s="3">
        <f>VLOOKUP($I233,关卡!$A$17:$G$2018,7,0)</f>
        <v>14.552035377920003</v>
      </c>
      <c r="L233" s="3">
        <f t="shared" si="31"/>
        <v>39631.954562150408</v>
      </c>
      <c r="M233" s="3">
        <f t="shared" si="32"/>
        <v>52387.327360512012</v>
      </c>
      <c r="N233" s="3">
        <f>INT(D233*J233*VLOOKUP(A233,经验产出!$I$7:$J$557,2,0))</f>
        <v>58875</v>
      </c>
      <c r="O233" s="3">
        <f>SUM($N$24:N232)</f>
        <v>2289708</v>
      </c>
      <c r="P233" s="3">
        <f>K233*VLOOKUP(A233,金币产出!$I$7:$J$557,2,0)</f>
        <v>52.326693879770673</v>
      </c>
    </row>
    <row r="234" spans="1:16" x14ac:dyDescent="0.15">
      <c r="A234" s="3">
        <v>211</v>
      </c>
      <c r="B234" s="3">
        <f t="shared" si="26"/>
        <v>11</v>
      </c>
      <c r="C234" s="3">
        <f t="shared" si="27"/>
        <v>12672</v>
      </c>
      <c r="D234" s="3">
        <f t="shared" si="28"/>
        <v>1152</v>
      </c>
      <c r="E234" s="3">
        <f>SUM($D$24:D234)</f>
        <v>72971.999999999985</v>
      </c>
      <c r="F234" s="3">
        <f t="shared" si="29"/>
        <v>1216.1999999999998</v>
      </c>
      <c r="G234" s="3">
        <f t="shared" si="29"/>
        <v>20.269999999999996</v>
      </c>
      <c r="H234" s="3">
        <f t="shared" si="30"/>
        <v>0.84458333333333313</v>
      </c>
      <c r="I234" s="3">
        <f>IF(ISNA(MATCH(H234,关卡!$E$19:$E$2018,1)),0,MATCH(H234,关卡!$E$19:$E$2018,1))</f>
        <v>169</v>
      </c>
      <c r="J234" s="3">
        <f>VLOOKUP($I234,关卡!$A$17:$G$2018,6,0)</f>
        <v>11.079397622354938</v>
      </c>
      <c r="K234" s="3">
        <f>VLOOKUP($I234,关卡!$A$17:$G$2018,7,0)</f>
        <v>14.616383569905938</v>
      </c>
      <c r="L234" s="3">
        <f t="shared" si="31"/>
        <v>39885.83144047777</v>
      </c>
      <c r="M234" s="3">
        <f t="shared" si="32"/>
        <v>52618.980851661378</v>
      </c>
      <c r="N234" s="3">
        <f>INT(D234*J234*VLOOKUP(A234,经验产出!$I$7:$J$557,2,0))</f>
        <v>59252</v>
      </c>
      <c r="O234" s="3">
        <f>SUM($N$24:N233)</f>
        <v>2348583</v>
      </c>
      <c r="P234" s="3">
        <f>K234*VLOOKUP(A234,金币产出!$I$7:$J$557,2,0)</f>
        <v>52.558079253453435</v>
      </c>
    </row>
    <row r="235" spans="1:16" x14ac:dyDescent="0.15">
      <c r="A235" s="3">
        <v>212</v>
      </c>
      <c r="B235" s="3">
        <f t="shared" si="26"/>
        <v>11</v>
      </c>
      <c r="C235" s="3">
        <f t="shared" si="27"/>
        <v>13824</v>
      </c>
      <c r="D235" s="3">
        <f t="shared" si="28"/>
        <v>1152</v>
      </c>
      <c r="E235" s="3">
        <f>SUM($D$24:D235)</f>
        <v>74123.999999999985</v>
      </c>
      <c r="F235" s="3">
        <f t="shared" si="29"/>
        <v>1235.3999999999999</v>
      </c>
      <c r="G235" s="3">
        <f t="shared" si="29"/>
        <v>20.589999999999996</v>
      </c>
      <c r="H235" s="3">
        <f t="shared" si="30"/>
        <v>0.85791666666666655</v>
      </c>
      <c r="I235" s="3">
        <f>IF(ISNA(MATCH(H235,关卡!$E$19:$E$2018,1)),0,MATCH(H235,关卡!$E$19:$E$2018,1))</f>
        <v>170</v>
      </c>
      <c r="J235" s="3">
        <f>VLOOKUP($I235,关卡!$A$17:$G$2018,6,0)</f>
        <v>11.150065549375</v>
      </c>
      <c r="K235" s="3">
        <f>VLOOKUP($I235,关卡!$A$17:$G$2018,7,0)</f>
        <v>14.680827809375002</v>
      </c>
      <c r="L235" s="3">
        <f t="shared" si="31"/>
        <v>40140.235977750002</v>
      </c>
      <c r="M235" s="3">
        <f t="shared" si="32"/>
        <v>52850.980113750011</v>
      </c>
      <c r="N235" s="3">
        <f>INT(D235*J235*VLOOKUP(A235,经验产出!$I$7:$J$557,2,0))</f>
        <v>59630</v>
      </c>
      <c r="O235" s="3">
        <f>SUM($N$24:N234)</f>
        <v>2407835</v>
      </c>
      <c r="P235" s="3">
        <f>K235*VLOOKUP(A235,金币产出!$I$7:$J$557,2,0)</f>
        <v>52.789809997877605</v>
      </c>
    </row>
    <row r="236" spans="1:16" x14ac:dyDescent="0.15">
      <c r="A236" s="3">
        <v>213</v>
      </c>
      <c r="B236" s="3">
        <f t="shared" si="26"/>
        <v>11</v>
      </c>
      <c r="C236" s="3">
        <f t="shared" si="27"/>
        <v>14976</v>
      </c>
      <c r="D236" s="3">
        <f t="shared" si="28"/>
        <v>1152</v>
      </c>
      <c r="E236" s="3">
        <f>SUM($D$24:D236)</f>
        <v>75275.999999999985</v>
      </c>
      <c r="F236" s="3">
        <f t="shared" si="29"/>
        <v>1254.5999999999997</v>
      </c>
      <c r="G236" s="3">
        <f t="shared" si="29"/>
        <v>20.909999999999993</v>
      </c>
      <c r="H236" s="3">
        <f t="shared" si="30"/>
        <v>0.87124999999999975</v>
      </c>
      <c r="I236" s="3">
        <f>IF(ISNA(MATCH(H236,关卡!$E$19:$E$2018,1)),0,MATCH(H236,关卡!$E$19:$E$2018,1))</f>
        <v>172</v>
      </c>
      <c r="J236" s="3">
        <f>VLOOKUP($I236,关卡!$A$17:$G$2018,6,0)</f>
        <v>11.291842425584001</v>
      </c>
      <c r="K236" s="3">
        <f>VLOOKUP($I236,关卡!$A$17:$G$2018,7,0)</f>
        <v>14.81000497752</v>
      </c>
      <c r="L236" s="3">
        <f t="shared" si="31"/>
        <v>40650.6327321024</v>
      </c>
      <c r="M236" s="3">
        <f t="shared" si="32"/>
        <v>53316.017919072001</v>
      </c>
      <c r="N236" s="3">
        <f>INT(D236*J236*VLOOKUP(A236,经验产出!$I$7:$J$557,2,0))</f>
        <v>60388</v>
      </c>
      <c r="O236" s="3">
        <f>SUM($N$24:N235)</f>
        <v>2467465</v>
      </c>
      <c r="P236" s="3">
        <f>K236*VLOOKUP(A236,金币产出!$I$7:$J$557,2,0)</f>
        <v>53.254309564998998</v>
      </c>
    </row>
    <row r="237" spans="1:16" x14ac:dyDescent="0.15">
      <c r="A237" s="3">
        <v>214</v>
      </c>
      <c r="B237" s="3">
        <f t="shared" si="26"/>
        <v>11</v>
      </c>
      <c r="C237" s="3">
        <f t="shared" si="27"/>
        <v>16128.000000000002</v>
      </c>
      <c r="D237" s="3">
        <f t="shared" si="28"/>
        <v>1152.0000000000018</v>
      </c>
      <c r="E237" s="3">
        <f>SUM($D$24:D237)</f>
        <v>76427.999999999985</v>
      </c>
      <c r="F237" s="3">
        <f t="shared" si="29"/>
        <v>1273.7999999999997</v>
      </c>
      <c r="G237" s="3">
        <f t="shared" si="29"/>
        <v>21.229999999999997</v>
      </c>
      <c r="H237" s="3">
        <f t="shared" si="30"/>
        <v>0.88458333333333317</v>
      </c>
      <c r="I237" s="3">
        <f>IF(ISNA(MATCH(H237,关卡!$E$19:$E$2018,1)),0,MATCH(H237,关卡!$E$19:$E$2018,1))</f>
        <v>173</v>
      </c>
      <c r="J237" s="3">
        <f>VLOOKUP($I237,关卡!$A$17:$G$2018,6,0)</f>
        <v>11.362952029459935</v>
      </c>
      <c r="K237" s="3">
        <f>VLOOKUP($I237,关卡!$A$17:$G$2018,7,0)</f>
        <v>14.874738179930938</v>
      </c>
      <c r="L237" s="3">
        <f t="shared" si="31"/>
        <v>40906.627306055765</v>
      </c>
      <c r="M237" s="3">
        <f t="shared" si="32"/>
        <v>53549.05744775138</v>
      </c>
      <c r="N237" s="3">
        <f>INT(D237*J237*VLOOKUP(A237,经验产出!$I$7:$J$557,2,0))</f>
        <v>60769</v>
      </c>
      <c r="O237" s="3">
        <f>SUM($N$24:N236)</f>
        <v>2527853</v>
      </c>
      <c r="P237" s="3">
        <f>K237*VLOOKUP(A237,金币产出!$I$7:$J$557,2,0)</f>
        <v>53.487079372001666</v>
      </c>
    </row>
    <row r="238" spans="1:16" x14ac:dyDescent="0.15">
      <c r="A238" s="3">
        <v>215</v>
      </c>
      <c r="B238" s="3">
        <f t="shared" si="26"/>
        <v>11</v>
      </c>
      <c r="C238" s="3">
        <f t="shared" si="27"/>
        <v>17280</v>
      </c>
      <c r="D238" s="3">
        <f t="shared" si="28"/>
        <v>1151.9999999999982</v>
      </c>
      <c r="E238" s="3">
        <f>SUM($D$24:D238)</f>
        <v>77579.999999999985</v>
      </c>
      <c r="F238" s="3">
        <f t="shared" si="29"/>
        <v>1292.9999999999998</v>
      </c>
      <c r="G238" s="3">
        <f t="shared" si="29"/>
        <v>21.549999999999997</v>
      </c>
      <c r="H238" s="3">
        <f t="shared" si="30"/>
        <v>0.89791666666666659</v>
      </c>
      <c r="I238" s="3">
        <f>IF(ISNA(MATCH(H238,关卡!$E$19:$E$2018,1)),0,MATCH(H238,关卡!$E$19:$E$2018,1))</f>
        <v>174</v>
      </c>
      <c r="J238" s="3">
        <f>VLOOKUP($I238,关卡!$A$17:$G$2018,6,0)</f>
        <v>11.434209514638999</v>
      </c>
      <c r="K238" s="3">
        <f>VLOOKUP($I238,关卡!$A$17:$G$2018,7,0)</f>
        <v>14.939567977295001</v>
      </c>
      <c r="L238" s="3">
        <f t="shared" si="31"/>
        <v>41163.154252700391</v>
      </c>
      <c r="M238" s="3">
        <f t="shared" si="32"/>
        <v>53782.444718261999</v>
      </c>
      <c r="N238" s="3">
        <f>INT(D238*J238*VLOOKUP(A238,经验产出!$I$7:$J$557,2,0))</f>
        <v>61150</v>
      </c>
      <c r="O238" s="3">
        <f>SUM($N$24:N237)</f>
        <v>2588622</v>
      </c>
      <c r="P238" s="3">
        <f>K238*VLOOKUP(A238,金币产出!$I$7:$J$557,2,0)</f>
        <v>53.720196518356602</v>
      </c>
    </row>
    <row r="239" spans="1:16" x14ac:dyDescent="0.15">
      <c r="A239" s="3">
        <v>216</v>
      </c>
      <c r="B239" s="3">
        <f t="shared" si="26"/>
        <v>11</v>
      </c>
      <c r="C239" s="3">
        <f t="shared" si="27"/>
        <v>18432</v>
      </c>
      <c r="D239" s="3">
        <f t="shared" si="28"/>
        <v>1152</v>
      </c>
      <c r="E239" s="3">
        <f>SUM($D$24:D239)</f>
        <v>78731.999999999985</v>
      </c>
      <c r="F239" s="3">
        <f t="shared" si="29"/>
        <v>1312.1999999999998</v>
      </c>
      <c r="G239" s="3">
        <f t="shared" si="29"/>
        <v>21.869999999999997</v>
      </c>
      <c r="H239" s="3">
        <f t="shared" si="30"/>
        <v>0.91124999999999989</v>
      </c>
      <c r="I239" s="3">
        <f>IF(ISNA(MATCH(H239,关卡!$E$19:$E$2018,1)),0,MATCH(H239,关卡!$E$19:$E$2018,1))</f>
        <v>175</v>
      </c>
      <c r="J239" s="3">
        <f>VLOOKUP($I239,关卡!$A$17:$G$2018,6,0)</f>
        <v>11.505615209960936</v>
      </c>
      <c r="K239" s="3">
        <f>VLOOKUP($I239,关卡!$A$17:$G$2018,7,0)</f>
        <v>15.004494506835936</v>
      </c>
      <c r="L239" s="3">
        <f t="shared" si="31"/>
        <v>41420.214755859372</v>
      </c>
      <c r="M239" s="3">
        <f t="shared" si="32"/>
        <v>54016.180224609372</v>
      </c>
      <c r="N239" s="3">
        <f>INT(D239*J239*VLOOKUP(A239,经验产出!$I$7:$J$557,2,0))</f>
        <v>61532</v>
      </c>
      <c r="O239" s="3">
        <f>SUM($N$24:N238)</f>
        <v>2649772</v>
      </c>
      <c r="P239" s="3">
        <f>K239*VLOOKUP(A239,金币产出!$I$7:$J$557,2,0)</f>
        <v>53.953661497497549</v>
      </c>
    </row>
    <row r="240" spans="1:16" x14ac:dyDescent="0.15">
      <c r="A240" s="3">
        <v>217</v>
      </c>
      <c r="B240" s="3">
        <f t="shared" si="26"/>
        <v>11</v>
      </c>
      <c r="C240" s="3">
        <f t="shared" si="27"/>
        <v>19584</v>
      </c>
      <c r="D240" s="3">
        <f t="shared" si="28"/>
        <v>1152</v>
      </c>
      <c r="E240" s="3">
        <f>SUM($D$24:D240)</f>
        <v>79883.999999999985</v>
      </c>
      <c r="F240" s="3">
        <f t="shared" si="29"/>
        <v>1331.3999999999999</v>
      </c>
      <c r="G240" s="3">
        <f t="shared" si="29"/>
        <v>22.189999999999998</v>
      </c>
      <c r="H240" s="3">
        <f t="shared" si="30"/>
        <v>0.9245833333333332</v>
      </c>
      <c r="I240" s="3">
        <f>IF(ISNA(MATCH(H240,关卡!$E$19:$E$2018,1)),0,MATCH(H240,关卡!$E$19:$E$2018,1))</f>
        <v>177</v>
      </c>
      <c r="J240" s="3">
        <f>VLOOKUP($I240,关卡!$A$17:$G$2018,6,0)</f>
        <v>11.648872549384938</v>
      </c>
      <c r="K240" s="3">
        <f>VLOOKUP($I240,关卡!$A$17:$G$2018,7,0)</f>
        <v>15.134638312055937</v>
      </c>
      <c r="L240" s="3">
        <f t="shared" si="31"/>
        <v>41935.941177785775</v>
      </c>
      <c r="M240" s="3">
        <f t="shared" si="32"/>
        <v>54484.697923401378</v>
      </c>
      <c r="N240" s="3">
        <f>INT(D240*J240*VLOOKUP(A240,经验产出!$I$7:$J$557,2,0))</f>
        <v>62298</v>
      </c>
      <c r="O240" s="3">
        <f>SUM($N$24:N239)</f>
        <v>2711304</v>
      </c>
      <c r="P240" s="3">
        <f>K240*VLOOKUP(A240,金币产出!$I$7:$J$557,2,0)</f>
        <v>54.421636930434474</v>
      </c>
    </row>
    <row r="241" spans="1:16" x14ac:dyDescent="0.15">
      <c r="A241" s="3">
        <v>218</v>
      </c>
      <c r="B241" s="3">
        <f t="shared" si="26"/>
        <v>11</v>
      </c>
      <c r="C241" s="3">
        <f t="shared" si="27"/>
        <v>20736</v>
      </c>
      <c r="D241" s="3">
        <f t="shared" si="28"/>
        <v>1152</v>
      </c>
      <c r="E241" s="3">
        <f>SUM($D$24:D241)</f>
        <v>81035.999999999985</v>
      </c>
      <c r="F241" s="3">
        <f t="shared" si="29"/>
        <v>1350.5999999999997</v>
      </c>
      <c r="G241" s="3">
        <f t="shared" si="29"/>
        <v>22.509999999999994</v>
      </c>
      <c r="H241" s="3">
        <f t="shared" si="30"/>
        <v>0.9379166666666664</v>
      </c>
      <c r="I241" s="3">
        <f>IF(ISNA(MATCH(H241,关卡!$E$19:$E$2018,1)),0,MATCH(H241,关卡!$E$19:$E$2018,1))</f>
        <v>178</v>
      </c>
      <c r="J241" s="3">
        <f>VLOOKUP($I241,关卡!$A$17:$G$2018,6,0)</f>
        <v>11.720724854159</v>
      </c>
      <c r="K241" s="3">
        <f>VLOOKUP($I241,关卡!$A$17:$G$2018,7,0)</f>
        <v>15.199855862894999</v>
      </c>
      <c r="L241" s="3">
        <f t="shared" si="31"/>
        <v>42194.6094749724</v>
      </c>
      <c r="M241" s="3">
        <f t="shared" si="32"/>
        <v>54719.481106421998</v>
      </c>
      <c r="N241" s="3">
        <f>INT(D241*J241*VLOOKUP(A241,经验产出!$I$7:$J$557,2,0))</f>
        <v>62682</v>
      </c>
      <c r="O241" s="3">
        <f>SUM($N$24:N240)</f>
        <v>2773602</v>
      </c>
      <c r="P241" s="3">
        <f>K241*VLOOKUP(A241,金币产出!$I$7:$J$557,2,0)</f>
        <v>54.656148373659931</v>
      </c>
    </row>
    <row r="242" spans="1:16" x14ac:dyDescent="0.15">
      <c r="A242" s="3">
        <v>219</v>
      </c>
      <c r="B242" s="3">
        <f t="shared" si="26"/>
        <v>11</v>
      </c>
      <c r="C242" s="3">
        <f t="shared" si="27"/>
        <v>21888</v>
      </c>
      <c r="D242" s="3">
        <f t="shared" si="28"/>
        <v>1152</v>
      </c>
      <c r="E242" s="3">
        <f>SUM($D$24:D242)</f>
        <v>82187.999999999985</v>
      </c>
      <c r="F242" s="3">
        <f t="shared" si="29"/>
        <v>1369.7999999999997</v>
      </c>
      <c r="G242" s="3">
        <f t="shared" si="29"/>
        <v>22.829999999999995</v>
      </c>
      <c r="H242" s="3">
        <f t="shared" si="30"/>
        <v>0.95124999999999982</v>
      </c>
      <c r="I242" s="3">
        <f>IF(ISNA(MATCH(H242,关卡!$E$19:$E$2018,1)),0,MATCH(H242,关卡!$E$19:$E$2018,1))</f>
        <v>179</v>
      </c>
      <c r="J242" s="3">
        <f>VLOOKUP($I242,关卡!$A$17:$G$2018,6,0)</f>
        <v>11.79272669041994</v>
      </c>
      <c r="K242" s="3">
        <f>VLOOKUP($I242,关卡!$A$17:$G$2018,7,0)</f>
        <v>15.265170696230937</v>
      </c>
      <c r="L242" s="3">
        <f t="shared" si="31"/>
        <v>42453.816085511782</v>
      </c>
      <c r="M242" s="3">
        <f t="shared" si="32"/>
        <v>54954.614506431375</v>
      </c>
      <c r="N242" s="3">
        <f>INT(D242*J242*VLOOKUP(A242,经验产出!$I$7:$J$557,2,0))</f>
        <v>63067</v>
      </c>
      <c r="O242" s="3">
        <f>SUM($N$24:N241)</f>
        <v>2836284</v>
      </c>
      <c r="P242" s="3">
        <f>K242*VLOOKUP(A242,金币产出!$I$7:$J$557,2,0)</f>
        <v>54.891009628530412</v>
      </c>
    </row>
    <row r="243" spans="1:16" x14ac:dyDescent="0.15">
      <c r="A243" s="3">
        <v>220</v>
      </c>
      <c r="B243" s="3">
        <f t="shared" si="26"/>
        <v>11</v>
      </c>
      <c r="C243" s="3">
        <f t="shared" si="27"/>
        <v>23040</v>
      </c>
      <c r="D243" s="3">
        <f t="shared" si="28"/>
        <v>1152</v>
      </c>
      <c r="E243" s="3">
        <f>SUM($D$24:D243)</f>
        <v>83339.999999999985</v>
      </c>
      <c r="F243" s="3">
        <f t="shared" si="29"/>
        <v>1388.9999999999998</v>
      </c>
      <c r="G243" s="3">
        <f t="shared" si="29"/>
        <v>23.149999999999995</v>
      </c>
      <c r="H243" s="3">
        <f t="shared" si="30"/>
        <v>0.96458333333333313</v>
      </c>
      <c r="I243" s="3">
        <f>IF(ISNA(MATCH(H243,关卡!$E$19:$E$2018,1)),0,MATCH(H243,关卡!$E$19:$E$2018,1))</f>
        <v>180</v>
      </c>
      <c r="J243" s="3">
        <f>VLOOKUP($I243,关卡!$A$17:$G$2018,6,0)</f>
        <v>11.864878389999998</v>
      </c>
      <c r="K243" s="3">
        <f>VLOOKUP($I243,关卡!$A$17:$G$2018,7,0)</f>
        <v>15.33058295</v>
      </c>
      <c r="L243" s="3">
        <f t="shared" si="31"/>
        <v>42713.562203999987</v>
      </c>
      <c r="M243" s="3">
        <f t="shared" si="32"/>
        <v>55190.098619999997</v>
      </c>
      <c r="N243" s="3">
        <f>INT(D243*J243*VLOOKUP(A243,经验产出!$I$7:$J$557,2,0))</f>
        <v>63453</v>
      </c>
      <c r="O243" s="3">
        <f>SUM($N$24:N242)</f>
        <v>2899351</v>
      </c>
      <c r="P243" s="3">
        <f>K243*VLOOKUP(A243,金币产出!$I$7:$J$557,2,0)</f>
        <v>55.126221191041665</v>
      </c>
    </row>
    <row r="244" spans="1:16" x14ac:dyDescent="0.15">
      <c r="A244" s="3">
        <v>221</v>
      </c>
      <c r="B244" s="3">
        <f t="shared" si="26"/>
        <v>11</v>
      </c>
      <c r="C244" s="3">
        <f t="shared" si="27"/>
        <v>24192</v>
      </c>
      <c r="D244" s="3">
        <f t="shared" si="28"/>
        <v>1152</v>
      </c>
      <c r="E244" s="3">
        <f>SUM($D$24:D244)</f>
        <v>84491.999999999985</v>
      </c>
      <c r="F244" s="3">
        <f t="shared" si="29"/>
        <v>1408.1999999999998</v>
      </c>
      <c r="G244" s="3">
        <f t="shared" si="29"/>
        <v>23.469999999999995</v>
      </c>
      <c r="H244" s="3">
        <f t="shared" si="30"/>
        <v>0.97791666666666643</v>
      </c>
      <c r="I244" s="3">
        <f>IF(ISNA(MATCH(H244,关卡!$E$19:$E$2018,1)),0,MATCH(H244,关卡!$E$19:$E$2018,1))</f>
        <v>181</v>
      </c>
      <c r="J244" s="3">
        <f>VLOOKUP($I244,关卡!$A$17:$G$2018,6,0)</f>
        <v>11.937180285329937</v>
      </c>
      <c r="K244" s="3">
        <f>VLOOKUP($I244,关卡!$A$17:$G$2018,7,0)</f>
        <v>15.396092762280938</v>
      </c>
      <c r="L244" s="3">
        <f t="shared" si="31"/>
        <v>42973.849027187774</v>
      </c>
      <c r="M244" s="3">
        <f t="shared" si="32"/>
        <v>55425.933944211378</v>
      </c>
      <c r="N244" s="3">
        <f>INT(D244*J244*VLOOKUP(A244,经验产出!$I$7:$J$557,2,0))</f>
        <v>63840</v>
      </c>
      <c r="O244" s="3">
        <f>SUM($N$24:N243)</f>
        <v>2962804</v>
      </c>
      <c r="P244" s="3">
        <f>K244*VLOOKUP(A244,金币产出!$I$7:$J$557,2,0)</f>
        <v>55.36178355770187</v>
      </c>
    </row>
    <row r="245" spans="1:16" x14ac:dyDescent="0.15">
      <c r="A245" s="3">
        <v>222</v>
      </c>
      <c r="B245" s="3">
        <f t="shared" si="26"/>
        <v>11</v>
      </c>
      <c r="C245" s="3">
        <f t="shared" si="27"/>
        <v>25344</v>
      </c>
      <c r="D245" s="3">
        <f t="shared" si="28"/>
        <v>1152</v>
      </c>
      <c r="E245" s="3">
        <f>SUM($D$24:D245)</f>
        <v>85643.999999999985</v>
      </c>
      <c r="F245" s="3">
        <f t="shared" si="29"/>
        <v>1427.3999999999999</v>
      </c>
      <c r="G245" s="3">
        <f t="shared" si="29"/>
        <v>23.79</v>
      </c>
      <c r="H245" s="3">
        <f t="shared" si="30"/>
        <v>0.99124999999999996</v>
      </c>
      <c r="I245" s="3">
        <f>IF(ISNA(MATCH(H245,关卡!$E$19:$E$2018,1)),0,MATCH(H245,关卡!$E$19:$E$2018,1))</f>
        <v>183</v>
      </c>
      <c r="J245" s="3">
        <f>VLOOKUP($I245,关卡!$A$17:$G$2018,6,0)</f>
        <v>12.082235995954939</v>
      </c>
      <c r="K245" s="3">
        <f>VLOOKUP($I245,关卡!$A$17:$G$2018,7,0)</f>
        <v>15.527405615405936</v>
      </c>
      <c r="L245" s="3">
        <f t="shared" si="31"/>
        <v>43496.04958543778</v>
      </c>
      <c r="M245" s="3">
        <f t="shared" si="32"/>
        <v>55898.660215461365</v>
      </c>
      <c r="N245" s="3">
        <f>INT(D245*J245*VLOOKUP(A245,经验产出!$I$7:$J$557,2,0))</f>
        <v>64615</v>
      </c>
      <c r="O245" s="3">
        <f>SUM($N$24:N244)</f>
        <v>3026644</v>
      </c>
      <c r="P245" s="3">
        <f>K245*VLOOKUP(A245,金币产出!$I$7:$J$557,2,0)</f>
        <v>55.833962692063842</v>
      </c>
    </row>
    <row r="246" spans="1:16" x14ac:dyDescent="0.15">
      <c r="A246" s="3">
        <v>223</v>
      </c>
      <c r="B246" s="3">
        <f t="shared" si="26"/>
        <v>11</v>
      </c>
      <c r="C246" s="3">
        <f t="shared" si="27"/>
        <v>26496</v>
      </c>
      <c r="D246" s="3">
        <f t="shared" si="28"/>
        <v>1152</v>
      </c>
      <c r="E246" s="3">
        <f>SUM($D$24:D246)</f>
        <v>86795.999999999985</v>
      </c>
      <c r="F246" s="3">
        <f t="shared" si="29"/>
        <v>1446.5999999999997</v>
      </c>
      <c r="G246" s="3">
        <f t="shared" si="29"/>
        <v>24.109999999999996</v>
      </c>
      <c r="H246" s="3">
        <f t="shared" si="30"/>
        <v>1.0045833333333332</v>
      </c>
      <c r="I246" s="3">
        <f>IF(ISNA(MATCH(H246,关卡!$E$19:$E$2018,1)),0,MATCH(H246,关卡!$E$19:$E$2018,1))</f>
        <v>184</v>
      </c>
      <c r="J246" s="3">
        <f>VLOOKUP($I246,关卡!$A$17:$G$2018,6,0)</f>
        <v>12.154990479103999</v>
      </c>
      <c r="K246" s="3">
        <f>VLOOKUP($I246,关卡!$A$17:$G$2018,7,0)</f>
        <v>15.59320893312</v>
      </c>
      <c r="L246" s="3">
        <f t="shared" si="31"/>
        <v>43757.965724774396</v>
      </c>
      <c r="M246" s="3">
        <f t="shared" si="32"/>
        <v>56135.552159232</v>
      </c>
      <c r="N246" s="3">
        <f>INT(D246*J246*VLOOKUP(A246,经验产出!$I$7:$J$557,2,0))</f>
        <v>65004</v>
      </c>
      <c r="O246" s="3">
        <f>SUM($N$24:N245)</f>
        <v>3091259</v>
      </c>
      <c r="P246" s="3">
        <f>K246*VLOOKUP(A246,金币产出!$I$7:$J$557,2,0)</f>
        <v>56.070580455344</v>
      </c>
    </row>
    <row r="247" spans="1:16" x14ac:dyDescent="0.15">
      <c r="A247" s="3">
        <v>224</v>
      </c>
      <c r="B247" s="3">
        <f t="shared" si="26"/>
        <v>11</v>
      </c>
      <c r="C247" s="3">
        <f t="shared" si="27"/>
        <v>27648</v>
      </c>
      <c r="D247" s="3">
        <f t="shared" si="28"/>
        <v>1152</v>
      </c>
      <c r="E247" s="3">
        <f>SUM($D$24:D247)</f>
        <v>87947.999999999985</v>
      </c>
      <c r="F247" s="3">
        <f t="shared" si="29"/>
        <v>1465.7999999999997</v>
      </c>
      <c r="G247" s="3">
        <f t="shared" si="29"/>
        <v>24.429999999999996</v>
      </c>
      <c r="H247" s="3">
        <f t="shared" si="30"/>
        <v>1.0179166666666666</v>
      </c>
      <c r="I247" s="3">
        <f>IF(ISNA(MATCH(H247,关卡!$E$19:$E$2018,1)),0,MATCH(H247,关卡!$E$19:$E$2018,1))</f>
        <v>185</v>
      </c>
      <c r="J247" s="3">
        <f>VLOOKUP($I247,关卡!$A$17:$G$2018,6,0)</f>
        <v>12.227896493710936</v>
      </c>
      <c r="K247" s="3">
        <f>VLOOKUP($I247,关卡!$A$17:$G$2018,7,0)</f>
        <v>15.659110363085937</v>
      </c>
      <c r="L247" s="3">
        <f t="shared" si="31"/>
        <v>44020.427377359367</v>
      </c>
      <c r="M247" s="3">
        <f t="shared" si="32"/>
        <v>56372.797307109373</v>
      </c>
      <c r="N247" s="3">
        <f>INT(D247*J247*VLOOKUP(A247,经验产出!$I$7:$J$557,2,0))</f>
        <v>65394</v>
      </c>
      <c r="O247" s="3">
        <f>SUM($N$24:N246)</f>
        <v>3156263</v>
      </c>
      <c r="P247" s="3">
        <f>K247*VLOOKUP(A247,金币产出!$I$7:$J$557,2,0)</f>
        <v>56.307551013929846</v>
      </c>
    </row>
    <row r="248" spans="1:16" x14ac:dyDescent="0.15">
      <c r="A248" s="3">
        <v>225</v>
      </c>
      <c r="B248" s="3">
        <f t="shared" si="26"/>
        <v>11</v>
      </c>
      <c r="C248" s="3">
        <f t="shared" si="27"/>
        <v>28800</v>
      </c>
      <c r="D248" s="3">
        <f t="shared" si="28"/>
        <v>1152</v>
      </c>
      <c r="E248" s="3">
        <f>SUM($D$24:D248)</f>
        <v>89099.999999999985</v>
      </c>
      <c r="F248" s="3">
        <f t="shared" si="29"/>
        <v>1484.9999999999998</v>
      </c>
      <c r="G248" s="3">
        <f t="shared" si="29"/>
        <v>24.749999999999996</v>
      </c>
      <c r="H248" s="3">
        <f t="shared" si="30"/>
        <v>1.0312499999999998</v>
      </c>
      <c r="I248" s="3">
        <f>IF(ISNA(MATCH(H248,关卡!$E$19:$E$2018,1)),0,MATCH(H248,关卡!$E$19:$E$2018,1))</f>
        <v>186</v>
      </c>
      <c r="J248" s="3">
        <f>VLOOKUP($I248,关卡!$A$17:$G$2018,6,0)</f>
        <v>12.300954375199</v>
      </c>
      <c r="K248" s="3">
        <f>VLOOKUP($I248,关卡!$A$17:$G$2018,7,0)</f>
        <v>15.725110044094999</v>
      </c>
      <c r="L248" s="3">
        <f t="shared" si="31"/>
        <v>44283.435750716395</v>
      </c>
      <c r="M248" s="3">
        <f t="shared" si="32"/>
        <v>56610.396158741991</v>
      </c>
      <c r="N248" s="3">
        <f>INT(D248*J248*VLOOKUP(A248,经验产出!$I$7:$J$557,2,0))</f>
        <v>65785</v>
      </c>
      <c r="O248" s="3">
        <f>SUM($N$24:N247)</f>
        <v>3221657</v>
      </c>
      <c r="P248" s="3">
        <f>K248*VLOOKUP(A248,金币产出!$I$7:$J$557,2,0)</f>
        <v>56.544874866891597</v>
      </c>
    </row>
    <row r="249" spans="1:16" x14ac:dyDescent="0.15">
      <c r="A249" s="3">
        <v>226</v>
      </c>
      <c r="B249" s="3">
        <f t="shared" si="26"/>
        <v>11</v>
      </c>
      <c r="C249" s="3">
        <f t="shared" si="27"/>
        <v>29952</v>
      </c>
      <c r="D249" s="3">
        <f t="shared" si="28"/>
        <v>1152</v>
      </c>
      <c r="E249" s="3">
        <f>SUM($D$24:D249)</f>
        <v>90251.999999999985</v>
      </c>
      <c r="F249" s="3">
        <f t="shared" si="29"/>
        <v>1504.1999999999998</v>
      </c>
      <c r="G249" s="3">
        <f t="shared" si="29"/>
        <v>25.069999999999997</v>
      </c>
      <c r="H249" s="3">
        <f t="shared" si="30"/>
        <v>1.0445833333333332</v>
      </c>
      <c r="I249" s="3">
        <f>IF(ISNA(MATCH(H249,关卡!$E$19:$E$2018,1)),0,MATCH(H249,关卡!$E$19:$E$2018,1))</f>
        <v>187</v>
      </c>
      <c r="J249" s="3">
        <f>VLOOKUP($I249,关卡!$A$17:$G$2018,6,0)</f>
        <v>12.37416445958994</v>
      </c>
      <c r="K249" s="3">
        <f>VLOOKUP($I249,关卡!$A$17:$G$2018,7,0)</f>
        <v>15.79120811508094</v>
      </c>
      <c r="L249" s="3">
        <f t="shared" si="31"/>
        <v>44546.992054523784</v>
      </c>
      <c r="M249" s="3">
        <f t="shared" si="32"/>
        <v>56848.349214291382</v>
      </c>
      <c r="N249" s="3">
        <f>INT(D249*J249*VLOOKUP(A249,经验产出!$I$7:$J$557,2,0))</f>
        <v>66177</v>
      </c>
      <c r="O249" s="3">
        <f>SUM($N$24:N248)</f>
        <v>3287442</v>
      </c>
      <c r="P249" s="3">
        <f>K249*VLOOKUP(A249,金币产出!$I$7:$J$557,2,0)</f>
        <v>56.782552513811879</v>
      </c>
    </row>
    <row r="250" spans="1:16" x14ac:dyDescent="0.15">
      <c r="A250" s="3">
        <v>227</v>
      </c>
      <c r="B250" s="3">
        <f t="shared" si="26"/>
        <v>11</v>
      </c>
      <c r="C250" s="3">
        <f t="shared" si="27"/>
        <v>31104.000000000004</v>
      </c>
      <c r="D250" s="3">
        <f t="shared" si="28"/>
        <v>1152.0000000000036</v>
      </c>
      <c r="E250" s="3">
        <f>SUM($D$24:D250)</f>
        <v>91403.999999999985</v>
      </c>
      <c r="F250" s="3">
        <f t="shared" si="29"/>
        <v>1523.3999999999999</v>
      </c>
      <c r="G250" s="3">
        <f t="shared" si="29"/>
        <v>25.389999999999997</v>
      </c>
      <c r="H250" s="3">
        <f t="shared" si="30"/>
        <v>1.0579166666666666</v>
      </c>
      <c r="I250" s="3">
        <f>IF(ISNA(MATCH(H250,关卡!$E$19:$E$2018,1)),0,MATCH(H250,关卡!$E$19:$E$2018,1))</f>
        <v>188</v>
      </c>
      <c r="J250" s="3">
        <f>VLOOKUP($I250,关卡!$A$17:$G$2018,6,0)</f>
        <v>12.447527083503999</v>
      </c>
      <c r="K250" s="3">
        <f>VLOOKUP($I250,关卡!$A$17:$G$2018,7,0)</f>
        <v>15.857404715119999</v>
      </c>
      <c r="L250" s="3">
        <f t="shared" si="31"/>
        <v>44811.0975006144</v>
      </c>
      <c r="M250" s="3">
        <f t="shared" si="32"/>
        <v>57086.656974432</v>
      </c>
      <c r="N250" s="3">
        <f>INT(D250*J250*VLOOKUP(A250,经验产出!$I$7:$J$557,2,0))</f>
        <v>66569</v>
      </c>
      <c r="O250" s="3">
        <f>SUM($N$24:N249)</f>
        <v>3353619</v>
      </c>
      <c r="P250" s="3">
        <f>K250*VLOOKUP(A250,金币产出!$I$7:$J$557,2,0)</f>
        <v>57.020584454785663</v>
      </c>
    </row>
    <row r="251" spans="1:16" x14ac:dyDescent="0.15">
      <c r="A251" s="3">
        <v>228</v>
      </c>
      <c r="B251" s="3">
        <f t="shared" si="26"/>
        <v>11</v>
      </c>
      <c r="C251" s="3">
        <f t="shared" si="27"/>
        <v>32256.000000000004</v>
      </c>
      <c r="D251" s="3">
        <f t="shared" si="28"/>
        <v>1152</v>
      </c>
      <c r="E251" s="3">
        <f>SUM($D$24:D251)</f>
        <v>92555.999999999985</v>
      </c>
      <c r="F251" s="3">
        <f t="shared" si="29"/>
        <v>1542.5999999999997</v>
      </c>
      <c r="G251" s="3">
        <f t="shared" si="29"/>
        <v>25.709999999999994</v>
      </c>
      <c r="H251" s="3">
        <f t="shared" si="30"/>
        <v>1.0712499999999998</v>
      </c>
      <c r="I251" s="3">
        <f>IF(ISNA(MATCH(H251,关卡!$E$19:$E$2018,1)),0,MATCH(H251,关卡!$E$19:$E$2018,1))</f>
        <v>189</v>
      </c>
      <c r="J251" s="3">
        <f>VLOOKUP($I251,关卡!$A$17:$G$2018,6,0)</f>
        <v>12.52104258415994</v>
      </c>
      <c r="K251" s="3">
        <f>VLOOKUP($I251,关卡!$A$17:$G$2018,7,0)</f>
        <v>15.923699983430941</v>
      </c>
      <c r="L251" s="3">
        <f t="shared" si="31"/>
        <v>45075.753302975783</v>
      </c>
      <c r="M251" s="3">
        <f t="shared" si="32"/>
        <v>57325.319940351386</v>
      </c>
      <c r="N251" s="3">
        <f>INT(D251*J251*VLOOKUP(A251,经验产出!$I$7:$J$557,2,0))</f>
        <v>66962</v>
      </c>
      <c r="O251" s="3">
        <f>SUM($N$24:N250)</f>
        <v>3420188</v>
      </c>
      <c r="P251" s="3">
        <f>K251*VLOOKUP(A251,金币产出!$I$7:$J$557,2,0)</f>
        <v>57.258971190420425</v>
      </c>
    </row>
    <row r="252" spans="1:16" x14ac:dyDescent="0.15">
      <c r="A252" s="3">
        <v>229</v>
      </c>
      <c r="B252" s="3">
        <f t="shared" si="26"/>
        <v>11</v>
      </c>
      <c r="C252" s="3">
        <f t="shared" si="27"/>
        <v>33408</v>
      </c>
      <c r="D252" s="3">
        <f t="shared" si="28"/>
        <v>1151.9999999999964</v>
      </c>
      <c r="E252" s="3">
        <f>SUM($D$24:D252)</f>
        <v>93707.999999999985</v>
      </c>
      <c r="F252" s="3">
        <f t="shared" si="29"/>
        <v>1561.7999999999997</v>
      </c>
      <c r="G252" s="3">
        <f t="shared" si="29"/>
        <v>26.029999999999994</v>
      </c>
      <c r="H252" s="3">
        <f t="shared" si="30"/>
        <v>1.084583333333333</v>
      </c>
      <c r="I252" s="3">
        <f>IF(ISNA(MATCH(H252,关卡!$E$19:$E$2018,1)),0,MATCH(H252,关卡!$E$19:$E$2018,1))</f>
        <v>190</v>
      </c>
      <c r="J252" s="3">
        <f>VLOOKUP($I252,关卡!$A$17:$G$2018,6,0)</f>
        <v>12.594711299375003</v>
      </c>
      <c r="K252" s="3">
        <f>VLOOKUP($I252,关卡!$A$17:$G$2018,7,0)</f>
        <v>15.990094059375002</v>
      </c>
      <c r="L252" s="3">
        <f t="shared" si="31"/>
        <v>45340.960677750008</v>
      </c>
      <c r="M252" s="3">
        <f t="shared" si="32"/>
        <v>57564.338613750006</v>
      </c>
      <c r="N252" s="3">
        <f>INT(D252*J252*VLOOKUP(A252,经验产出!$I$7:$J$557,2,0))</f>
        <v>67356</v>
      </c>
      <c r="O252" s="3">
        <f>SUM($N$24:N251)</f>
        <v>3487150</v>
      </c>
      <c r="P252" s="3">
        <f>K252*VLOOKUP(A252,金币产出!$I$7:$J$557,2,0)</f>
        <v>57.497713221835944</v>
      </c>
    </row>
    <row r="253" spans="1:16" x14ac:dyDescent="0.15">
      <c r="A253" s="3">
        <v>230</v>
      </c>
      <c r="B253" s="3">
        <f t="shared" si="26"/>
        <v>11</v>
      </c>
      <c r="C253" s="3">
        <f t="shared" si="27"/>
        <v>34560</v>
      </c>
      <c r="D253" s="3">
        <f t="shared" si="28"/>
        <v>1152</v>
      </c>
      <c r="E253" s="3">
        <f>SUM($D$24:D253)</f>
        <v>94859.999999999985</v>
      </c>
      <c r="F253" s="3">
        <f t="shared" si="29"/>
        <v>1580.9999999999998</v>
      </c>
      <c r="G253" s="3">
        <f t="shared" si="29"/>
        <v>26.349999999999998</v>
      </c>
      <c r="H253" s="3">
        <f t="shared" si="30"/>
        <v>1.0979166666666667</v>
      </c>
      <c r="I253" s="3">
        <f>IF(ISNA(MATCH(H253,关卡!$E$19:$E$2018,1)),0,MATCH(H253,关卡!$E$19:$E$2018,1))</f>
        <v>192</v>
      </c>
      <c r="J253" s="3">
        <f>VLOOKUP($I253,关卡!$A$17:$G$2018,6,0)</f>
        <v>12.742509727744002</v>
      </c>
      <c r="K253" s="3">
        <f>VLOOKUP($I253,关卡!$A$17:$G$2018,7,0)</f>
        <v>16.123179192320002</v>
      </c>
      <c r="L253" s="3">
        <f t="shared" si="31"/>
        <v>45873.035019878407</v>
      </c>
      <c r="M253" s="3">
        <f t="shared" si="32"/>
        <v>58043.445092352005</v>
      </c>
      <c r="N253" s="3">
        <f>INT(D253*J253*VLOOKUP(A253,经验产出!$I$7:$J$557,2,0))</f>
        <v>68146</v>
      </c>
      <c r="O253" s="3">
        <f>SUM($N$24:N252)</f>
        <v>3554506</v>
      </c>
      <c r="P253" s="3">
        <f>K253*VLOOKUP(A253,金币产出!$I$7:$J$557,2,0)</f>
        <v>57.976265179050671</v>
      </c>
    </row>
    <row r="254" spans="1:16" x14ac:dyDescent="0.15">
      <c r="A254" s="3">
        <v>231</v>
      </c>
      <c r="B254" s="3">
        <f t="shared" si="26"/>
        <v>11</v>
      </c>
      <c r="C254" s="3">
        <f t="shared" si="27"/>
        <v>35712</v>
      </c>
      <c r="D254" s="3">
        <f t="shared" si="28"/>
        <v>1152</v>
      </c>
      <c r="E254" s="3">
        <f>SUM($D$24:D254)</f>
        <v>96011.999999999985</v>
      </c>
      <c r="F254" s="3">
        <f t="shared" si="29"/>
        <v>1600.1999999999998</v>
      </c>
      <c r="G254" s="3">
        <f t="shared" si="29"/>
        <v>26.669999999999998</v>
      </c>
      <c r="H254" s="3">
        <f t="shared" si="30"/>
        <v>1.1112499999999998</v>
      </c>
      <c r="I254" s="3">
        <f>IF(ISNA(MATCH(H254,关卡!$E$19:$E$2018,1)),0,MATCH(H254,关卡!$E$19:$E$2018,1))</f>
        <v>193</v>
      </c>
      <c r="J254" s="3">
        <f>VLOOKUP($I254,关卡!$A$17:$G$2018,6,0)</f>
        <v>12.816640119524937</v>
      </c>
      <c r="K254" s="3">
        <f>VLOOKUP($I254,关卡!$A$17:$G$2018,7,0)</f>
        <v>16.189870528755936</v>
      </c>
      <c r="L254" s="3">
        <f t="shared" si="31"/>
        <v>46139.904430289767</v>
      </c>
      <c r="M254" s="3">
        <f t="shared" si="32"/>
        <v>58283.533903521369</v>
      </c>
      <c r="N254" s="3">
        <f>INT(D254*J254*VLOOKUP(A254,经验产出!$I$7:$J$557,2,0))</f>
        <v>68543</v>
      </c>
      <c r="O254" s="3">
        <f>SUM($N$24:N253)</f>
        <v>3622652</v>
      </c>
      <c r="P254" s="3">
        <f>K254*VLOOKUP(A254,金币产出!$I$7:$J$557,2,0)</f>
        <v>58.216076109651553</v>
      </c>
    </row>
    <row r="255" spans="1:16" x14ac:dyDescent="0.15">
      <c r="A255" s="3">
        <v>232</v>
      </c>
      <c r="B255" s="3">
        <f t="shared" si="26"/>
        <v>11</v>
      </c>
      <c r="C255" s="3">
        <f t="shared" si="27"/>
        <v>36864</v>
      </c>
      <c r="D255" s="3">
        <f t="shared" si="28"/>
        <v>1152</v>
      </c>
      <c r="E255" s="3">
        <f>SUM($D$24:D255)</f>
        <v>97163.999999999985</v>
      </c>
      <c r="F255" s="3">
        <f t="shared" si="29"/>
        <v>1619.3999999999999</v>
      </c>
      <c r="G255" s="3">
        <f t="shared" si="29"/>
        <v>26.99</v>
      </c>
      <c r="H255" s="3">
        <f t="shared" si="30"/>
        <v>1.1245833333333333</v>
      </c>
      <c r="I255" s="3">
        <f>IF(ISNA(MATCH(H255,关卡!$E$19:$E$2018,1)),0,MATCH(H255,关卡!$E$19:$E$2018,1))</f>
        <v>194</v>
      </c>
      <c r="J255" s="3">
        <f>VLOOKUP($I255,关卡!$A$17:$G$2018,6,0)</f>
        <v>12.890925083119001</v>
      </c>
      <c r="K255" s="3">
        <f>VLOOKUP($I255,关卡!$A$17:$G$2018,7,0)</f>
        <v>16.256661231695002</v>
      </c>
      <c r="L255" s="3">
        <f t="shared" si="31"/>
        <v>46407.330299228408</v>
      </c>
      <c r="M255" s="3">
        <f t="shared" si="32"/>
        <v>58523.980434102006</v>
      </c>
      <c r="N255" s="3">
        <f>INT(D255*J255*VLOOKUP(A255,经验产出!$I$7:$J$557,2,0))</f>
        <v>68940</v>
      </c>
      <c r="O255" s="3">
        <f>SUM($N$24:N254)</f>
        <v>3691195</v>
      </c>
      <c r="P255" s="3">
        <f>K255*VLOOKUP(A255,金币产出!$I$7:$J$557,2,0)</f>
        <v>58.456244345636613</v>
      </c>
    </row>
    <row r="256" spans="1:16" x14ac:dyDescent="0.15">
      <c r="A256" s="3">
        <v>233</v>
      </c>
      <c r="B256" s="3">
        <f t="shared" si="26"/>
        <v>11</v>
      </c>
      <c r="C256" s="3">
        <f t="shared" si="27"/>
        <v>38016</v>
      </c>
      <c r="D256" s="3">
        <f t="shared" si="28"/>
        <v>1152</v>
      </c>
      <c r="E256" s="3">
        <f>SUM($D$24:D256)</f>
        <v>98315.999999999985</v>
      </c>
      <c r="F256" s="3">
        <f t="shared" si="29"/>
        <v>1638.5999999999997</v>
      </c>
      <c r="G256" s="3">
        <f t="shared" si="29"/>
        <v>27.309999999999995</v>
      </c>
      <c r="H256" s="3">
        <f t="shared" si="30"/>
        <v>1.1379166666666665</v>
      </c>
      <c r="I256" s="3">
        <f>IF(ISNA(MATCH(H256,关卡!$E$19:$E$2018,1)),0,MATCH(H256,关卡!$E$19:$E$2018,1))</f>
        <v>195</v>
      </c>
      <c r="J256" s="3">
        <f>VLOOKUP($I256,关卡!$A$17:$G$2018,6,0)</f>
        <v>12.965364959335941</v>
      </c>
      <c r="K256" s="3">
        <f>VLOOKUP($I256,关卡!$A$17:$G$2018,7,0)</f>
        <v>16.323551441210942</v>
      </c>
      <c r="L256" s="3">
        <f t="shared" si="31"/>
        <v>46675.31385360939</v>
      </c>
      <c r="M256" s="3">
        <f t="shared" si="32"/>
        <v>58764.78518835939</v>
      </c>
      <c r="N256" s="3">
        <f>INT(D256*J256*VLOOKUP(A256,经验产出!$I$7:$J$557,2,0))</f>
        <v>69338</v>
      </c>
      <c r="O256" s="3">
        <f>SUM($N$24:N255)</f>
        <v>3760135</v>
      </c>
      <c r="P256" s="3">
        <f>K256*VLOOKUP(A256,金币产出!$I$7:$J$557,2,0)</f>
        <v>58.696770390687675</v>
      </c>
    </row>
    <row r="257" spans="1:16" x14ac:dyDescent="0.15">
      <c r="A257" s="3">
        <v>234</v>
      </c>
      <c r="B257" s="3">
        <f t="shared" si="26"/>
        <v>11</v>
      </c>
      <c r="C257" s="3">
        <f t="shared" si="27"/>
        <v>39168</v>
      </c>
      <c r="D257" s="3">
        <f t="shared" si="28"/>
        <v>1152</v>
      </c>
      <c r="E257" s="3">
        <f>SUM($D$24:D257)</f>
        <v>99467.999999999985</v>
      </c>
      <c r="F257" s="3">
        <f t="shared" si="29"/>
        <v>1657.7999999999997</v>
      </c>
      <c r="G257" s="3">
        <f t="shared" si="29"/>
        <v>27.629999999999995</v>
      </c>
      <c r="H257" s="3">
        <f t="shared" si="30"/>
        <v>1.1512499999999999</v>
      </c>
      <c r="I257" s="3">
        <f>IF(ISNA(MATCH(H257,关卡!$E$19:$E$2018,1)),0,MATCH(H257,关卡!$E$19:$E$2018,1))</f>
        <v>196</v>
      </c>
      <c r="J257" s="3">
        <f>VLOOKUP($I257,关卡!$A$17:$G$2018,6,0)</f>
        <v>13.039960089584001</v>
      </c>
      <c r="K257" s="3">
        <f>VLOOKUP($I257,关卡!$A$17:$G$2018,7,0)</f>
        <v>16.390541297519999</v>
      </c>
      <c r="L257" s="3">
        <f t="shared" si="31"/>
        <v>46943.856322502405</v>
      </c>
      <c r="M257" s="3">
        <f t="shared" si="32"/>
        <v>59005.948671071994</v>
      </c>
      <c r="N257" s="3">
        <f>INT(D257*J257*VLOOKUP(A257,经验产出!$I$7:$J$557,2,0))</f>
        <v>69737</v>
      </c>
      <c r="O257" s="3">
        <f>SUM($N$24:N256)</f>
        <v>3829473</v>
      </c>
      <c r="P257" s="3">
        <f>K257*VLOOKUP(A257,金币产出!$I$7:$J$557,2,0)</f>
        <v>58.937654748998995</v>
      </c>
    </row>
    <row r="258" spans="1:16" x14ac:dyDescent="0.15">
      <c r="A258" s="3">
        <v>235</v>
      </c>
      <c r="B258" s="3">
        <f t="shared" si="26"/>
        <v>11</v>
      </c>
      <c r="C258" s="3">
        <f t="shared" si="27"/>
        <v>40320</v>
      </c>
      <c r="D258" s="3">
        <f t="shared" si="28"/>
        <v>1152</v>
      </c>
      <c r="E258" s="3">
        <f>SUM($D$24:D258)</f>
        <v>100619.99999999999</v>
      </c>
      <c r="F258" s="3">
        <f t="shared" si="29"/>
        <v>1676.9999999999998</v>
      </c>
      <c r="G258" s="3">
        <f t="shared" si="29"/>
        <v>27.949999999999996</v>
      </c>
      <c r="H258" s="3">
        <f t="shared" si="30"/>
        <v>1.1645833333333331</v>
      </c>
      <c r="I258" s="3">
        <f>IF(ISNA(MATCH(H258,关卡!$E$19:$E$2018,1)),0,MATCH(H258,关卡!$E$19:$E$2018,1))</f>
        <v>197</v>
      </c>
      <c r="J258" s="3">
        <f>VLOOKUP($I258,关卡!$A$17:$G$2018,6,0)</f>
        <v>13.114710815869939</v>
      </c>
      <c r="K258" s="3">
        <f>VLOOKUP($I258,关卡!$A$17:$G$2018,7,0)</f>
        <v>16.457630940980941</v>
      </c>
      <c r="L258" s="3">
        <f t="shared" si="31"/>
        <v>47212.958937131785</v>
      </c>
      <c r="M258" s="3">
        <f t="shared" si="32"/>
        <v>59247.47138753139</v>
      </c>
      <c r="N258" s="3">
        <f>INT(D258*J258*VLOOKUP(A258,经验产出!$I$7:$J$557,2,0))</f>
        <v>70137</v>
      </c>
      <c r="O258" s="3">
        <f>SUM($N$24:N257)</f>
        <v>3899210</v>
      </c>
      <c r="P258" s="3">
        <f>K258*VLOOKUP(A258,金币产出!$I$7:$J$557,2,0)</f>
        <v>59.178897925277298</v>
      </c>
    </row>
    <row r="259" spans="1:16" x14ac:dyDescent="0.15">
      <c r="A259" s="3">
        <v>236</v>
      </c>
      <c r="B259" s="3">
        <f t="shared" si="26"/>
        <v>11</v>
      </c>
      <c r="C259" s="3">
        <f t="shared" si="27"/>
        <v>41472</v>
      </c>
      <c r="D259" s="3">
        <f t="shared" si="28"/>
        <v>1152</v>
      </c>
      <c r="E259" s="3">
        <f>SUM($D$24:D259)</f>
        <v>101771.99999999999</v>
      </c>
      <c r="F259" s="3">
        <f t="shared" si="29"/>
        <v>1696.1999999999998</v>
      </c>
      <c r="G259" s="3">
        <f t="shared" si="29"/>
        <v>28.269999999999996</v>
      </c>
      <c r="H259" s="3">
        <f t="shared" si="30"/>
        <v>1.1779166666666665</v>
      </c>
      <c r="I259" s="3">
        <f>IF(ISNA(MATCH(H259,关卡!$E$19:$E$2018,1)),0,MATCH(H259,关卡!$E$19:$E$2018,1))</f>
        <v>198</v>
      </c>
      <c r="J259" s="3">
        <f>VLOOKUP($I259,关卡!$A$17:$G$2018,6,0)</f>
        <v>13.189617480799001</v>
      </c>
      <c r="K259" s="3">
        <f>VLOOKUP($I259,关卡!$A$17:$G$2018,7,0)</f>
        <v>16.524820512094998</v>
      </c>
      <c r="L259" s="3">
        <f t="shared" si="31"/>
        <v>47482.622930876401</v>
      </c>
      <c r="M259" s="3">
        <f t="shared" si="32"/>
        <v>59489.35384354199</v>
      </c>
      <c r="N259" s="3">
        <f>INT(D259*J259*VLOOKUP(A259,经验产出!$I$7:$J$557,2,0))</f>
        <v>70538</v>
      </c>
      <c r="O259" s="3">
        <f>SUM($N$24:N258)</f>
        <v>3969347</v>
      </c>
      <c r="P259" s="3">
        <f>K259*VLOOKUP(A259,金币产出!$I$7:$J$557,2,0)</f>
        <v>59.42050042474159</v>
      </c>
    </row>
    <row r="260" spans="1:16" x14ac:dyDescent="0.15">
      <c r="A260" s="3">
        <v>237</v>
      </c>
      <c r="B260" s="3">
        <f t="shared" si="26"/>
        <v>11</v>
      </c>
      <c r="C260" s="3">
        <f t="shared" si="27"/>
        <v>42624</v>
      </c>
      <c r="D260" s="3">
        <f t="shared" si="28"/>
        <v>1152</v>
      </c>
      <c r="E260" s="3">
        <f>SUM($D$24:D260)</f>
        <v>102923.99999999999</v>
      </c>
      <c r="F260" s="3">
        <f t="shared" si="29"/>
        <v>1715.3999999999999</v>
      </c>
      <c r="G260" s="3">
        <f t="shared" si="29"/>
        <v>28.589999999999996</v>
      </c>
      <c r="H260" s="3">
        <f t="shared" si="30"/>
        <v>1.1912499999999999</v>
      </c>
      <c r="I260" s="3">
        <f>IF(ISNA(MATCH(H260,关卡!$E$19:$E$2018,1)),0,MATCH(H260,关卡!$E$19:$E$2018,1))</f>
        <v>199</v>
      </c>
      <c r="J260" s="3">
        <f>VLOOKUP($I260,关卡!$A$17:$G$2018,6,0)</f>
        <v>13.264680427574937</v>
      </c>
      <c r="K260" s="3">
        <f>VLOOKUP($I260,关卡!$A$17:$G$2018,7,0)</f>
        <v>16.592110151505942</v>
      </c>
      <c r="L260" s="3">
        <f t="shared" si="31"/>
        <v>47752.849539269773</v>
      </c>
      <c r="M260" s="3">
        <f t="shared" si="32"/>
        <v>59731.596545421387</v>
      </c>
      <c r="N260" s="3">
        <f>INT(D260*J260*VLOOKUP(A260,经验产出!$I$7:$J$557,2,0))</f>
        <v>70939</v>
      </c>
      <c r="O260" s="3">
        <f>SUM($N$24:N259)</f>
        <v>4039885</v>
      </c>
      <c r="P260" s="3">
        <f>K260*VLOOKUP(A260,金币产出!$I$7:$J$557,2,0)</f>
        <v>59.662462753123449</v>
      </c>
    </row>
    <row r="261" spans="1:16" x14ac:dyDescent="0.15">
      <c r="A261" s="3">
        <v>238</v>
      </c>
      <c r="B261" s="3">
        <f t="shared" si="26"/>
        <v>11</v>
      </c>
      <c r="C261" s="3">
        <f t="shared" si="27"/>
        <v>43776</v>
      </c>
      <c r="D261" s="3">
        <f t="shared" si="28"/>
        <v>1152</v>
      </c>
      <c r="E261" s="3">
        <f>SUM($D$24:D261)</f>
        <v>104075.99999999999</v>
      </c>
      <c r="F261" s="3">
        <f t="shared" si="29"/>
        <v>1734.5999999999997</v>
      </c>
      <c r="G261" s="3">
        <f t="shared" si="29"/>
        <v>28.909999999999993</v>
      </c>
      <c r="H261" s="3">
        <f t="shared" si="30"/>
        <v>1.2045833333333331</v>
      </c>
      <c r="I261" s="3">
        <f>IF(ISNA(MATCH(H261,关卡!$E$19:$E$2018,1)),0,MATCH(H261,关卡!$E$19:$E$2018,1))</f>
        <v>200</v>
      </c>
      <c r="J261" s="3">
        <f>VLOOKUP($I261,关卡!$A$17:$G$2018,6,0)</f>
        <v>13.339900000000004</v>
      </c>
      <c r="K261" s="3">
        <f>VLOOKUP($I261,关卡!$A$17:$G$2018,7,0)</f>
        <v>16.659500000000005</v>
      </c>
      <c r="L261" s="3">
        <f t="shared" si="31"/>
        <v>48023.640000000014</v>
      </c>
      <c r="M261" s="3">
        <f t="shared" si="32"/>
        <v>59974.200000000019</v>
      </c>
      <c r="N261" s="3">
        <f>INT(D261*J261*VLOOKUP(A261,经验产出!$I$7:$J$557,2,0))</f>
        <v>71341</v>
      </c>
      <c r="O261" s="3">
        <f>SUM($N$24:N260)</f>
        <v>4110824</v>
      </c>
      <c r="P261" s="3">
        <f>K261*VLOOKUP(A261,金币产出!$I$7:$J$557,2,0)</f>
        <v>59.904785416666684</v>
      </c>
    </row>
    <row r="262" spans="1:16" x14ac:dyDescent="0.15">
      <c r="A262" s="3">
        <v>239</v>
      </c>
      <c r="B262" s="3">
        <f t="shared" si="26"/>
        <v>11</v>
      </c>
      <c r="C262" s="3">
        <f t="shared" si="27"/>
        <v>44928</v>
      </c>
      <c r="D262" s="3">
        <f t="shared" si="28"/>
        <v>1152</v>
      </c>
      <c r="E262" s="3">
        <f>SUM($D$24:D262)</f>
        <v>105227.99999999999</v>
      </c>
      <c r="F262" s="3">
        <f t="shared" si="29"/>
        <v>1753.7999999999997</v>
      </c>
      <c r="G262" s="3">
        <f t="shared" si="29"/>
        <v>29.229999999999997</v>
      </c>
      <c r="H262" s="3">
        <f t="shared" si="30"/>
        <v>1.2179166666666665</v>
      </c>
      <c r="I262" s="3">
        <f>IF(ISNA(MATCH(H262,关卡!$E$19:$E$2018,1)),0,MATCH(H262,关卡!$E$19:$E$2018,1))</f>
        <v>201</v>
      </c>
      <c r="J262" s="3">
        <f>VLOOKUP($I262,关卡!$A$17:$G$2018,6,0)</f>
        <v>13.41527654247494</v>
      </c>
      <c r="K262" s="3">
        <f>VLOOKUP($I262,关卡!$A$17:$G$2018,7,0)</f>
        <v>16.726990198505938</v>
      </c>
      <c r="L262" s="3">
        <f t="shared" si="31"/>
        <v>48294.995552909786</v>
      </c>
      <c r="M262" s="3">
        <f t="shared" si="32"/>
        <v>60217.164714621373</v>
      </c>
      <c r="N262" s="3">
        <f>INT(D262*J262*VLOOKUP(A262,经验产出!$I$7:$J$557,2,0))</f>
        <v>71744</v>
      </c>
      <c r="O262" s="3">
        <f>SUM($N$24:N261)</f>
        <v>4182165</v>
      </c>
      <c r="P262" s="3">
        <f>K262*VLOOKUP(A262,金币产出!$I$7:$J$557,2,0)</f>
        <v>60.147468922127601</v>
      </c>
    </row>
    <row r="263" spans="1:16" x14ac:dyDescent="0.15">
      <c r="A263" s="3">
        <v>240</v>
      </c>
      <c r="B263" s="3">
        <f t="shared" si="26"/>
        <v>11</v>
      </c>
      <c r="C263" s="3">
        <f t="shared" si="27"/>
        <v>46080</v>
      </c>
      <c r="D263" s="3">
        <f t="shared" si="28"/>
        <v>1152</v>
      </c>
      <c r="E263" s="3">
        <f>SUM($D$24:D263)</f>
        <v>106379.99999999999</v>
      </c>
      <c r="F263" s="3">
        <f t="shared" si="29"/>
        <v>1772.9999999999998</v>
      </c>
      <c r="G263" s="3">
        <f t="shared" si="29"/>
        <v>29.549999999999997</v>
      </c>
      <c r="H263" s="3">
        <f t="shared" si="30"/>
        <v>1.23125</v>
      </c>
      <c r="I263" s="3">
        <f>IF(ISNA(MATCH(H263,关卡!$E$19:$E$2018,1)),0,MATCH(H263,关卡!$E$19:$E$2018,1))</f>
        <v>203</v>
      </c>
      <c r="J263" s="3">
        <f>VLOOKUP($I263,关卡!$A$17:$G$2018,6,0)</f>
        <v>13.566501918169937</v>
      </c>
      <c r="K263" s="3">
        <f>VLOOKUP($I263,关卡!$A$17:$G$2018,7,0)</f>
        <v>16.862272209980937</v>
      </c>
      <c r="L263" s="3">
        <f t="shared" si="31"/>
        <v>48839.406905411772</v>
      </c>
      <c r="M263" s="3">
        <f t="shared" si="32"/>
        <v>60704.179955931373</v>
      </c>
      <c r="N263" s="3">
        <f>INT(D263*J263*VLOOKUP(A263,经验产出!$I$7:$J$557,2,0))</f>
        <v>72553</v>
      </c>
      <c r="O263" s="3">
        <f>SUM($N$24:N262)</f>
        <v>4253909</v>
      </c>
      <c r="P263" s="3">
        <f>K263*VLOOKUP(A263,金币产出!$I$7:$J$557,2,0)</f>
        <v>60.633920488389784</v>
      </c>
    </row>
    <row r="264" spans="1:16" x14ac:dyDescent="0.15">
      <c r="A264" s="3">
        <v>241</v>
      </c>
      <c r="B264" s="3">
        <f t="shared" si="26"/>
        <v>11</v>
      </c>
      <c r="C264" s="3">
        <f t="shared" si="27"/>
        <v>47232</v>
      </c>
      <c r="D264" s="3">
        <f t="shared" si="28"/>
        <v>1152</v>
      </c>
      <c r="E264" s="3">
        <f>SUM($D$24:D264)</f>
        <v>107531.99999999999</v>
      </c>
      <c r="F264" s="3">
        <f t="shared" si="29"/>
        <v>1792.1999999999998</v>
      </c>
      <c r="G264" s="3">
        <f t="shared" si="29"/>
        <v>29.869999999999997</v>
      </c>
      <c r="H264" s="3">
        <f t="shared" si="30"/>
        <v>1.2445833333333332</v>
      </c>
      <c r="I264" s="3">
        <f>IF(ISNA(MATCH(H264,关卡!$E$19:$E$2018,1)),0,MATCH(H264,关卡!$E$19:$E$2018,1))</f>
        <v>204</v>
      </c>
      <c r="J264" s="3">
        <f>VLOOKUP($I264,关卡!$A$17:$G$2018,6,0)</f>
        <v>13.642351443184003</v>
      </c>
      <c r="K264" s="3">
        <f>VLOOKUP($I264,关卡!$A$17:$G$2018,7,0)</f>
        <v>16.930064305519998</v>
      </c>
      <c r="L264" s="3">
        <f t="shared" si="31"/>
        <v>49112.465195462413</v>
      </c>
      <c r="M264" s="3">
        <f t="shared" si="32"/>
        <v>60948.231499871996</v>
      </c>
      <c r="N264" s="3">
        <f>INT(D264*J264*VLOOKUP(A264,经验产出!$I$7:$J$557,2,0))</f>
        <v>72959</v>
      </c>
      <c r="O264" s="3">
        <f>SUM($N$24:N263)</f>
        <v>4326462</v>
      </c>
      <c r="P264" s="3">
        <f>K264*VLOOKUP(A264,金币产出!$I$7:$J$557,2,0)</f>
        <v>60.877689565265662</v>
      </c>
    </row>
    <row r="265" spans="1:16" x14ac:dyDescent="0.15">
      <c r="A265" s="3">
        <v>242</v>
      </c>
      <c r="B265" s="3">
        <f t="shared" si="26"/>
        <v>11</v>
      </c>
      <c r="C265" s="3">
        <f t="shared" si="27"/>
        <v>48384</v>
      </c>
      <c r="D265" s="3">
        <f t="shared" si="28"/>
        <v>1152</v>
      </c>
      <c r="E265" s="3">
        <f>SUM($D$24:D265)</f>
        <v>108683.99999999999</v>
      </c>
      <c r="F265" s="3">
        <f t="shared" si="29"/>
        <v>1811.3999999999999</v>
      </c>
      <c r="G265" s="3">
        <f t="shared" si="29"/>
        <v>30.189999999999998</v>
      </c>
      <c r="H265" s="3">
        <f t="shared" si="30"/>
        <v>1.2579166666666666</v>
      </c>
      <c r="I265" s="3">
        <f>IF(ISNA(MATCH(H265,关卡!$E$19:$E$2018,1)),0,MATCH(H265,关卡!$E$19:$E$2018,1))</f>
        <v>206</v>
      </c>
      <c r="J265" s="3">
        <f>VLOOKUP($I265,关卡!$A$17:$G$2018,6,0)</f>
        <v>13.794525901519002</v>
      </c>
      <c r="K265" s="3">
        <f>VLOOKUP($I265,关卡!$A$17:$G$2018,7,0)</f>
        <v>17.065951383694998</v>
      </c>
      <c r="L265" s="3">
        <f t="shared" si="31"/>
        <v>49660.293245468405</v>
      </c>
      <c r="M265" s="3">
        <f t="shared" si="32"/>
        <v>61437.424981301992</v>
      </c>
      <c r="N265" s="3">
        <f>INT(D265*J265*VLOOKUP(A265,经验产出!$I$7:$J$557,2,0))</f>
        <v>73773</v>
      </c>
      <c r="O265" s="3">
        <f>SUM($N$24:N264)</f>
        <v>4399421</v>
      </c>
      <c r="P265" s="3">
        <f>K265*VLOOKUP(A265,金币产出!$I$7:$J$557,2,0)</f>
        <v>61.366316850536592</v>
      </c>
    </row>
    <row r="266" spans="1:16" x14ac:dyDescent="0.15">
      <c r="A266" s="3">
        <v>243</v>
      </c>
      <c r="B266" s="3">
        <f t="shared" si="26"/>
        <v>11</v>
      </c>
      <c r="C266" s="3">
        <f t="shared" si="27"/>
        <v>49536</v>
      </c>
      <c r="D266" s="3">
        <f t="shared" si="28"/>
        <v>1152</v>
      </c>
      <c r="E266" s="3">
        <f>SUM($D$24:D266)</f>
        <v>109835.99999999999</v>
      </c>
      <c r="F266" s="3">
        <f t="shared" si="29"/>
        <v>1830.5999999999997</v>
      </c>
      <c r="G266" s="3">
        <f t="shared" si="29"/>
        <v>30.509999999999994</v>
      </c>
      <c r="H266" s="3">
        <f t="shared" si="30"/>
        <v>1.2712499999999998</v>
      </c>
      <c r="I266" s="3">
        <f>IF(ISNA(MATCH(H266,关卡!$E$19:$E$2018,1)),0,MATCH(H266,关卡!$E$19:$E$2018,1))</f>
        <v>207</v>
      </c>
      <c r="J266" s="3">
        <f>VLOOKUP($I266,关卡!$A$17:$G$2018,6,0)</f>
        <v>13.870851530224936</v>
      </c>
      <c r="K266" s="3">
        <f>VLOOKUP($I266,关卡!$A$17:$G$2018,7,0)</f>
        <v>17.134046649755934</v>
      </c>
      <c r="L266" s="3">
        <f t="shared" si="31"/>
        <v>49935.06550880977</v>
      </c>
      <c r="M266" s="3">
        <f t="shared" si="32"/>
        <v>61682.567939121363</v>
      </c>
      <c r="N266" s="3">
        <f>INT(D266*J266*VLOOKUP(A266,经验产出!$I$7:$J$557,2,0))</f>
        <v>74181</v>
      </c>
      <c r="O266" s="3">
        <f>SUM($N$24:N265)</f>
        <v>4473194</v>
      </c>
      <c r="P266" s="3">
        <f>K266*VLOOKUP(A266,金币产出!$I$7:$J$557,2,0)</f>
        <v>61.61117607808071</v>
      </c>
    </row>
    <row r="267" spans="1:16" x14ac:dyDescent="0.15">
      <c r="A267" s="3">
        <v>244</v>
      </c>
      <c r="B267" s="3">
        <f t="shared" si="26"/>
        <v>11</v>
      </c>
      <c r="C267" s="3">
        <f t="shared" si="27"/>
        <v>50688</v>
      </c>
      <c r="D267" s="3">
        <f t="shared" si="28"/>
        <v>1152</v>
      </c>
      <c r="E267" s="3">
        <f>SUM($D$24:D267)</f>
        <v>110987.99999999999</v>
      </c>
      <c r="F267" s="3">
        <f t="shared" si="29"/>
        <v>1849.7999999999997</v>
      </c>
      <c r="G267" s="3">
        <f t="shared" si="29"/>
        <v>30.829999999999995</v>
      </c>
      <c r="H267" s="3">
        <f t="shared" si="30"/>
        <v>1.2845833333333332</v>
      </c>
      <c r="I267" s="3">
        <f>IF(ISNA(MATCH(H267,关卡!$E$19:$E$2018,1)),0,MATCH(H267,关卡!$E$19:$E$2018,1))</f>
        <v>209</v>
      </c>
      <c r="J267" s="3">
        <f>VLOOKUP($I267,关卡!$A$17:$G$2018,6,0)</f>
        <v>14.02398132966494</v>
      </c>
      <c r="K267" s="3">
        <f>VLOOKUP($I267,关卡!$A$17:$G$2018,7,0)</f>
        <v>17.270541345455939</v>
      </c>
      <c r="L267" s="3">
        <f t="shared" si="31"/>
        <v>50486.332786793784</v>
      </c>
      <c r="M267" s="3">
        <f t="shared" si="32"/>
        <v>62173.948843641374</v>
      </c>
      <c r="N267" s="3">
        <f>INT(D267*J267*VLOOKUP(A267,经验产出!$I$7:$J$557,2,0))</f>
        <v>75000</v>
      </c>
      <c r="O267" s="3">
        <f>SUM($N$24:N266)</f>
        <v>4547375</v>
      </c>
      <c r="P267" s="3">
        <f>K267*VLOOKUP(A267,金币产出!$I$7:$J$557,2,0)</f>
        <v>62.101988254701979</v>
      </c>
    </row>
    <row r="268" spans="1:16" x14ac:dyDescent="0.15">
      <c r="A268" s="3">
        <v>245</v>
      </c>
      <c r="B268" s="3">
        <f t="shared" si="26"/>
        <v>11</v>
      </c>
      <c r="C268" s="3">
        <f t="shared" si="27"/>
        <v>51840</v>
      </c>
      <c r="D268" s="3">
        <f t="shared" si="28"/>
        <v>1152</v>
      </c>
      <c r="E268" s="3">
        <f>SUM($D$24:D268)</f>
        <v>112139.99999999999</v>
      </c>
      <c r="F268" s="3">
        <f t="shared" si="29"/>
        <v>1868.9999999999998</v>
      </c>
      <c r="G268" s="3">
        <f t="shared" si="29"/>
        <v>31.149999999999995</v>
      </c>
      <c r="H268" s="3">
        <f t="shared" si="30"/>
        <v>1.2979166666666664</v>
      </c>
      <c r="I268" s="3">
        <f>IF(ISNA(MATCH(H268,关卡!$E$19:$E$2018,1)),0,MATCH(H268,关卡!$E$19:$E$2018,1))</f>
        <v>210</v>
      </c>
      <c r="J268" s="3">
        <f>VLOOKUP($I268,关卡!$A$17:$G$2018,6,0)</f>
        <v>14.100786199374999</v>
      </c>
      <c r="K268" s="3">
        <f>VLOOKUP($I268,关卡!$A$17:$G$2018,7,0)</f>
        <v>17.338941059374999</v>
      </c>
      <c r="L268" s="3">
        <f t="shared" si="31"/>
        <v>50762.830317749998</v>
      </c>
      <c r="M268" s="3">
        <f t="shared" si="32"/>
        <v>62420.187813750003</v>
      </c>
      <c r="N268" s="3">
        <f>INT(D268*J268*VLOOKUP(A268,经验产出!$I$7:$J$557,2,0))</f>
        <v>75411</v>
      </c>
      <c r="O268" s="3">
        <f>SUM($N$24:N267)</f>
        <v>4622375</v>
      </c>
      <c r="P268" s="3">
        <f>K268*VLOOKUP(A268,金币产出!$I$7:$J$557,2,0)</f>
        <v>62.347942226002601</v>
      </c>
    </row>
    <row r="269" spans="1:16" x14ac:dyDescent="0.15">
      <c r="A269" s="3">
        <v>246</v>
      </c>
      <c r="B269" s="3">
        <f t="shared" si="26"/>
        <v>11</v>
      </c>
      <c r="C269" s="3">
        <f t="shared" si="27"/>
        <v>52992</v>
      </c>
      <c r="D269" s="3">
        <f t="shared" si="28"/>
        <v>1152</v>
      </c>
      <c r="E269" s="3">
        <f>SUM($D$24:D269)</f>
        <v>113291.99999999999</v>
      </c>
      <c r="F269" s="3">
        <f t="shared" si="29"/>
        <v>1888.1999999999998</v>
      </c>
      <c r="G269" s="3">
        <f t="shared" si="29"/>
        <v>31.469999999999995</v>
      </c>
      <c r="H269" s="3">
        <f t="shared" si="30"/>
        <v>1.3112499999999998</v>
      </c>
      <c r="I269" s="3">
        <f>IF(ISNA(MATCH(H269,关卡!$E$19:$E$2018,1)),0,MATCH(H269,关卡!$E$19:$E$2018,1))</f>
        <v>212</v>
      </c>
      <c r="J269" s="3">
        <f>VLOOKUP($I269,关卡!$A$17:$G$2018,6,0)</f>
        <v>14.254877630703998</v>
      </c>
      <c r="K269" s="3">
        <f>VLOOKUP($I269,关卡!$A$17:$G$2018,7,0)</f>
        <v>17.476045931119998</v>
      </c>
      <c r="L269" s="3">
        <f t="shared" si="31"/>
        <v>51317.559470534397</v>
      </c>
      <c r="M269" s="3">
        <f t="shared" si="32"/>
        <v>62913.765352031995</v>
      </c>
      <c r="N269" s="3">
        <f>INT(D269*J269*VLOOKUP(A269,经验产出!$I$7:$J$557,2,0))</f>
        <v>76235</v>
      </c>
      <c r="O269" s="3">
        <f>SUM($N$24:N268)</f>
        <v>4697786</v>
      </c>
      <c r="P269" s="3">
        <f>K269*VLOOKUP(A269,金币产出!$I$7:$J$557,2,0)</f>
        <v>62.840948493985657</v>
      </c>
    </row>
    <row r="270" spans="1:16" x14ac:dyDescent="0.15">
      <c r="A270" s="3">
        <v>247</v>
      </c>
      <c r="B270" s="3">
        <f t="shared" si="26"/>
        <v>11</v>
      </c>
      <c r="C270" s="3">
        <f t="shared" si="27"/>
        <v>54144</v>
      </c>
      <c r="D270" s="3">
        <f t="shared" si="28"/>
        <v>1152</v>
      </c>
      <c r="E270" s="3">
        <f>SUM($D$24:D270)</f>
        <v>114443.99999999999</v>
      </c>
      <c r="F270" s="3">
        <f t="shared" si="29"/>
        <v>1907.3999999999999</v>
      </c>
      <c r="G270" s="3">
        <f t="shared" si="29"/>
        <v>31.79</v>
      </c>
      <c r="H270" s="3">
        <f t="shared" si="30"/>
        <v>1.3245833333333332</v>
      </c>
      <c r="I270" s="3">
        <f>IF(ISNA(MATCH(H270,关卡!$E$19:$E$2018,1)),0,MATCH(H270,关卡!$E$19:$E$2018,1))</f>
        <v>213</v>
      </c>
      <c r="J270" s="3">
        <f>VLOOKUP($I270,关卡!$A$17:$G$2018,6,0)</f>
        <v>14.332164894889939</v>
      </c>
      <c r="K270" s="3">
        <f>VLOOKUP($I270,关卡!$A$17:$G$2018,7,0)</f>
        <v>17.544751374080938</v>
      </c>
      <c r="L270" s="3">
        <f t="shared" si="31"/>
        <v>51595.793621603785</v>
      </c>
      <c r="M270" s="3">
        <f t="shared" si="32"/>
        <v>63161.104946691383</v>
      </c>
      <c r="N270" s="3">
        <f>INT(D270*J270*VLOOKUP(A270,经验产出!$I$7:$J$557,2,0))</f>
        <v>76648</v>
      </c>
      <c r="O270" s="3">
        <f>SUM($N$24:N269)</f>
        <v>4774021</v>
      </c>
      <c r="P270" s="3">
        <f>K270*VLOOKUP(A270,金币产出!$I$7:$J$557,2,0)</f>
        <v>63.088001815966038</v>
      </c>
    </row>
    <row r="271" spans="1:16" x14ac:dyDescent="0.15">
      <c r="A271" s="3">
        <v>248</v>
      </c>
      <c r="B271" s="3">
        <f t="shared" si="26"/>
        <v>11</v>
      </c>
      <c r="C271" s="3">
        <f t="shared" si="27"/>
        <v>55296</v>
      </c>
      <c r="D271" s="3">
        <f t="shared" si="28"/>
        <v>1152</v>
      </c>
      <c r="E271" s="3">
        <f>SUM($D$24:D271)</f>
        <v>115595.99999999999</v>
      </c>
      <c r="F271" s="3">
        <f t="shared" si="29"/>
        <v>1926.5999999999997</v>
      </c>
      <c r="G271" s="3">
        <f t="shared" si="29"/>
        <v>32.109999999999992</v>
      </c>
      <c r="H271" s="3">
        <f t="shared" si="30"/>
        <v>1.3379166666666664</v>
      </c>
      <c r="I271" s="3">
        <f>IF(ISNA(MATCH(H271,关卡!$E$19:$E$2018,1)),0,MATCH(H271,关卡!$E$19:$E$2018,1))</f>
        <v>215</v>
      </c>
      <c r="J271" s="3">
        <f>VLOOKUP($I271,关卡!$A$17:$G$2018,6,0)</f>
        <v>14.487224281210938</v>
      </c>
      <c r="K271" s="3">
        <f>VLOOKUP($I271,关卡!$A$17:$G$2018,7,0)</f>
        <v>17.68246898808594</v>
      </c>
      <c r="L271" s="3">
        <f t="shared" si="31"/>
        <v>52154.00741235938</v>
      </c>
      <c r="M271" s="3">
        <f t="shared" si="32"/>
        <v>63656.88835710939</v>
      </c>
      <c r="N271" s="3">
        <f>INT(D271*J271*VLOOKUP(A271,经验产出!$I$7:$J$557,2,0))</f>
        <v>77477</v>
      </c>
      <c r="O271" s="3">
        <f>SUM($N$24:N270)</f>
        <v>4850669</v>
      </c>
      <c r="P271" s="3">
        <f>K271*VLOOKUP(A271,金币产出!$I$7:$J$557,2,0)</f>
        <v>63.583211402992355</v>
      </c>
    </row>
    <row r="272" spans="1:16" x14ac:dyDescent="0.15">
      <c r="A272" s="3">
        <v>249</v>
      </c>
      <c r="B272" s="3">
        <f t="shared" si="26"/>
        <v>11</v>
      </c>
      <c r="C272" s="3">
        <f t="shared" si="27"/>
        <v>56448</v>
      </c>
      <c r="D272" s="3">
        <f t="shared" si="28"/>
        <v>1152</v>
      </c>
      <c r="E272" s="3">
        <f>SUM($D$24:D272)</f>
        <v>116747.99999999999</v>
      </c>
      <c r="F272" s="3">
        <f t="shared" si="29"/>
        <v>1945.7999999999997</v>
      </c>
      <c r="G272" s="3">
        <f t="shared" si="29"/>
        <v>32.429999999999993</v>
      </c>
      <c r="H272" s="3">
        <f t="shared" si="30"/>
        <v>1.3512499999999996</v>
      </c>
      <c r="I272" s="3">
        <f>IF(ISNA(MATCH(H272,关卡!$E$19:$E$2018,1)),0,MATCH(H272,关卡!$E$19:$E$2018,1))</f>
        <v>216</v>
      </c>
      <c r="J272" s="3">
        <f>VLOOKUP($I272,关卡!$A$17:$G$2018,6,0)</f>
        <v>14.564997109504001</v>
      </c>
      <c r="K272" s="3">
        <f>VLOOKUP($I272,关卡!$A$17:$G$2018,7,0)</f>
        <v>17.751481445120003</v>
      </c>
      <c r="L272" s="3">
        <f t="shared" si="31"/>
        <v>52433.989594214407</v>
      </c>
      <c r="M272" s="3">
        <f t="shared" si="32"/>
        <v>63905.333202432004</v>
      </c>
      <c r="N272" s="3">
        <f>INT(D272*J272*VLOOKUP(A272,经验产出!$I$7:$J$557,2,0))</f>
        <v>77893</v>
      </c>
      <c r="O272" s="3">
        <f>SUM($N$24:N271)</f>
        <v>4928146</v>
      </c>
      <c r="P272" s="3">
        <f>K272*VLOOKUP(A272,金币产出!$I$7:$J$557,2,0)</f>
        <v>63.831368696410678</v>
      </c>
    </row>
    <row r="273" spans="1:16" x14ac:dyDescent="0.15">
      <c r="A273" s="3">
        <v>250</v>
      </c>
      <c r="B273" s="3">
        <f t="shared" si="26"/>
        <v>11</v>
      </c>
      <c r="C273" s="3">
        <f t="shared" si="27"/>
        <v>57600</v>
      </c>
      <c r="D273" s="3">
        <f t="shared" si="28"/>
        <v>1152</v>
      </c>
      <c r="E273" s="3">
        <f>SUM($D$24:D273)</f>
        <v>117899.99999999999</v>
      </c>
      <c r="F273" s="3">
        <f t="shared" si="29"/>
        <v>1964.9999999999998</v>
      </c>
      <c r="G273" s="3">
        <f t="shared" si="29"/>
        <v>32.749999999999993</v>
      </c>
      <c r="H273" s="3">
        <f t="shared" si="30"/>
        <v>1.364583333333333</v>
      </c>
      <c r="I273" s="3">
        <f>IF(ISNA(MATCH(H273,关卡!$E$19:$E$2018,1)),0,MATCH(H273,关卡!$E$19:$E$2018,1))</f>
        <v>218</v>
      </c>
      <c r="J273" s="3">
        <f>VLOOKUP($I273,关卡!$A$17:$G$2018,6,0)</f>
        <v>14.721030806239</v>
      </c>
      <c r="K273" s="3">
        <f>VLOOKUP($I273,关卡!$A$17:$G$2018,7,0)</f>
        <v>17.889814375295</v>
      </c>
      <c r="L273" s="3">
        <f t="shared" si="31"/>
        <v>52995.7109024604</v>
      </c>
      <c r="M273" s="3">
        <f t="shared" si="32"/>
        <v>64403.331751062004</v>
      </c>
      <c r="N273" s="3">
        <f>INT(D273*J273*VLOOKUP(A273,经验产出!$I$7:$J$557,2,0))</f>
        <v>78728</v>
      </c>
      <c r="O273" s="3">
        <f>SUM($N$24:N272)</f>
        <v>5006039</v>
      </c>
      <c r="P273" s="3">
        <f>K273*VLOOKUP(A273,金币产出!$I$7:$J$557,2,0)</f>
        <v>64.328790857831606</v>
      </c>
    </row>
    <row r="274" spans="1:16" x14ac:dyDescent="0.15">
      <c r="A274" s="3">
        <v>251</v>
      </c>
      <c r="B274" s="3">
        <f t="shared" si="26"/>
        <v>12</v>
      </c>
      <c r="C274" s="3">
        <f t="shared" si="27"/>
        <v>2105.3260799999998</v>
      </c>
      <c r="D274" s="3">
        <f t="shared" si="28"/>
        <v>2105.3260799999998</v>
      </c>
      <c r="E274" s="3">
        <f>SUM($D$24:D274)</f>
        <v>120005.32607999998</v>
      </c>
      <c r="F274" s="3">
        <f t="shared" si="29"/>
        <v>2000.0887679999998</v>
      </c>
      <c r="G274" s="3">
        <f t="shared" si="29"/>
        <v>33.334812799999995</v>
      </c>
      <c r="H274" s="3">
        <f t="shared" si="30"/>
        <v>1.3889505333333332</v>
      </c>
      <c r="I274" s="3">
        <f>IF(ISNA(MATCH(H274,关卡!$E$19:$E$2018,1)),0,MATCH(H274,关卡!$E$19:$E$2018,1))</f>
        <v>220</v>
      </c>
      <c r="J274" s="3">
        <f>VLOOKUP($I274,关卡!$A$17:$G$2018,6,0)</f>
        <v>14.877717590000001</v>
      </c>
      <c r="K274" s="3">
        <f>VLOOKUP($I274,关卡!$A$17:$G$2018,7,0)</f>
        <v>18.028558949999997</v>
      </c>
      <c r="L274" s="3">
        <f t="shared" si="31"/>
        <v>53559.783324000004</v>
      </c>
      <c r="M274" s="3">
        <f t="shared" si="32"/>
        <v>64902.812219999993</v>
      </c>
      <c r="N274" s="3">
        <f>INT(D274*J274*VLOOKUP(A274,经验产出!$I$7:$J$557,2,0))</f>
        <v>145410</v>
      </c>
      <c r="O274" s="3">
        <f>SUM($N$24:N273)</f>
        <v>5084767</v>
      </c>
      <c r="P274" s="3">
        <f>K274*VLOOKUP(A274,金币产出!$I$7:$J$557,2,0)</f>
        <v>64.827693224374983</v>
      </c>
    </row>
    <row r="275" spans="1:16" x14ac:dyDescent="0.15">
      <c r="A275" s="3">
        <v>252</v>
      </c>
      <c r="B275" s="3">
        <f t="shared" si="26"/>
        <v>12</v>
      </c>
      <c r="C275" s="3">
        <f t="shared" si="27"/>
        <v>4276.5926400000008</v>
      </c>
      <c r="D275" s="3">
        <f t="shared" si="28"/>
        <v>2171.2665600000009</v>
      </c>
      <c r="E275" s="3">
        <f>SUM($D$24:D275)</f>
        <v>122176.59263999999</v>
      </c>
      <c r="F275" s="3">
        <f t="shared" si="29"/>
        <v>2036.2765439999998</v>
      </c>
      <c r="G275" s="3">
        <f t="shared" si="29"/>
        <v>33.937942399999997</v>
      </c>
      <c r="H275" s="3">
        <f t="shared" si="30"/>
        <v>1.4140809333333333</v>
      </c>
      <c r="I275" s="3">
        <f>IF(ISNA(MATCH(H275,关卡!$E$19:$E$2018,1)),0,MATCH(H275,关卡!$E$19:$E$2018,1))</f>
        <v>223</v>
      </c>
      <c r="J275" s="3">
        <f>VLOOKUP($I275,关卡!$A$17:$G$2018,6,0)</f>
        <v>15.11397853768494</v>
      </c>
      <c r="K275" s="3">
        <f>VLOOKUP($I275,关卡!$A$17:$G$2018,7,0)</f>
        <v>18.237450161055939</v>
      </c>
      <c r="L275" s="3">
        <f t="shared" si="31"/>
        <v>54410.322735665781</v>
      </c>
      <c r="M275" s="3">
        <f t="shared" si="32"/>
        <v>65654.820579801381</v>
      </c>
      <c r="N275" s="3">
        <f>INT(D275*J275*VLOOKUP(A275,经验产出!$I$7:$J$557,2,0))</f>
        <v>152345</v>
      </c>
      <c r="O275" s="3">
        <f>SUM($N$24:N274)</f>
        <v>5230177</v>
      </c>
      <c r="P275" s="3">
        <f>K275*VLOOKUP(A275,金币产出!$I$7:$J$557,2,0)</f>
        <v>65.57883120413031</v>
      </c>
    </row>
    <row r="276" spans="1:16" x14ac:dyDescent="0.15">
      <c r="A276" s="3">
        <v>253</v>
      </c>
      <c r="B276" s="3">
        <f t="shared" si="26"/>
        <v>12</v>
      </c>
      <c r="C276" s="3">
        <f t="shared" si="27"/>
        <v>6517.5321600000007</v>
      </c>
      <c r="D276" s="3">
        <f t="shared" si="28"/>
        <v>2240.9395199999999</v>
      </c>
      <c r="E276" s="3">
        <f>SUM($D$24:D276)</f>
        <v>124417.53215999999</v>
      </c>
      <c r="F276" s="3">
        <f t="shared" si="29"/>
        <v>2073.625536</v>
      </c>
      <c r="G276" s="3">
        <f t="shared" si="29"/>
        <v>34.560425600000002</v>
      </c>
      <c r="H276" s="3">
        <f t="shared" si="30"/>
        <v>1.4400177333333335</v>
      </c>
      <c r="I276" s="3">
        <f>IF(ISNA(MATCH(H276,关卡!$E$19:$E$2018,1)),0,MATCH(H276,关卡!$E$19:$E$2018,1))</f>
        <v>226</v>
      </c>
      <c r="J276" s="3">
        <f>VLOOKUP($I276,关卡!$A$17:$G$2018,6,0)</f>
        <v>15.351724997039002</v>
      </c>
      <c r="K276" s="3">
        <f>VLOOKUP($I276,关卡!$A$17:$G$2018,7,0)</f>
        <v>18.447274049295</v>
      </c>
      <c r="L276" s="3">
        <f t="shared" si="31"/>
        <v>55266.209989340401</v>
      </c>
      <c r="M276" s="3">
        <f t="shared" si="32"/>
        <v>66410.186577461995</v>
      </c>
      <c r="N276" s="3">
        <f>INT(D276*J276*VLOOKUP(A276,经验产出!$I$7:$J$557,2,0))</f>
        <v>159707</v>
      </c>
      <c r="O276" s="3">
        <f>SUM($N$24:N275)</f>
        <v>5382522</v>
      </c>
      <c r="P276" s="3">
        <f>K276*VLOOKUP(A276,金币产出!$I$7:$J$557,2,0)</f>
        <v>66.333322935589933</v>
      </c>
    </row>
    <row r="277" spans="1:16" x14ac:dyDescent="0.15">
      <c r="A277" s="3">
        <v>254</v>
      </c>
      <c r="B277" s="3">
        <f t="shared" si="26"/>
        <v>12</v>
      </c>
      <c r="C277" s="3">
        <f t="shared" si="27"/>
        <v>8831.8771199999992</v>
      </c>
      <c r="D277" s="3">
        <f t="shared" si="28"/>
        <v>2314.3449599999985</v>
      </c>
      <c r="E277" s="3">
        <f>SUM($D$24:D277)</f>
        <v>126731.87711999999</v>
      </c>
      <c r="F277" s="3">
        <f t="shared" si="29"/>
        <v>2112.197952</v>
      </c>
      <c r="G277" s="3">
        <f t="shared" si="29"/>
        <v>35.203299199999996</v>
      </c>
      <c r="H277" s="3">
        <f t="shared" si="30"/>
        <v>1.4668041333333333</v>
      </c>
      <c r="I277" s="3">
        <f>IF(ISNA(MATCH(H277,关卡!$E$19:$E$2018,1)),0,MATCH(H277,关卡!$E$19:$E$2018,1))</f>
        <v>229</v>
      </c>
      <c r="J277" s="3">
        <f>VLOOKUP($I277,关卡!$A$17:$G$2018,6,0)</f>
        <v>15.590966670869943</v>
      </c>
      <c r="K277" s="3">
        <f>VLOOKUP($I277,关卡!$A$17:$G$2018,7,0)</f>
        <v>18.658034515980944</v>
      </c>
      <c r="L277" s="3">
        <f t="shared" si="31"/>
        <v>56127.480015131798</v>
      </c>
      <c r="M277" s="3">
        <f t="shared" si="32"/>
        <v>67168.924257531398</v>
      </c>
      <c r="N277" s="3">
        <f>INT(D277*J277*VLOOKUP(A277,经验产出!$I$7:$J$557,2,0))</f>
        <v>167509</v>
      </c>
      <c r="O277" s="3">
        <f>SUM($N$24:N276)</f>
        <v>5542229</v>
      </c>
      <c r="P277" s="3">
        <f>K277*VLOOKUP(A277,金币产出!$I$7:$J$557,2,0)</f>
        <v>67.091182447048141</v>
      </c>
    </row>
    <row r="278" spans="1:16" x14ac:dyDescent="0.15">
      <c r="A278" s="3">
        <v>255</v>
      </c>
      <c r="B278" s="3">
        <f t="shared" si="26"/>
        <v>12</v>
      </c>
      <c r="C278" s="3">
        <f t="shared" si="27"/>
        <v>11223.360000000002</v>
      </c>
      <c r="D278" s="3">
        <f t="shared" si="28"/>
        <v>2391.4828800000032</v>
      </c>
      <c r="E278" s="3">
        <f>SUM($D$24:D278)</f>
        <v>129123.35999999999</v>
      </c>
      <c r="F278" s="3">
        <f t="shared" si="29"/>
        <v>2152.0559999999996</v>
      </c>
      <c r="G278" s="3">
        <f t="shared" si="29"/>
        <v>35.867599999999996</v>
      </c>
      <c r="H278" s="3">
        <f t="shared" si="30"/>
        <v>1.4944833333333332</v>
      </c>
      <c r="I278" s="3">
        <f>IF(ISNA(MATCH(H278,关卡!$E$19:$E$2018,1)),0,MATCH(H278,关卡!$E$19:$E$2018,1))</f>
        <v>232</v>
      </c>
      <c r="J278" s="3">
        <f>VLOOKUP($I278,关卡!$A$17:$G$2018,6,0)</f>
        <v>15.831713310464002</v>
      </c>
      <c r="K278" s="3">
        <f>VLOOKUP($I278,关卡!$A$17:$G$2018,7,0)</f>
        <v>18.869735473919999</v>
      </c>
      <c r="L278" s="3">
        <f t="shared" si="31"/>
        <v>56994.167917670406</v>
      </c>
      <c r="M278" s="3">
        <f t="shared" si="32"/>
        <v>67931.047706111989</v>
      </c>
      <c r="N278" s="3">
        <f>INT(D278*J278*VLOOKUP(A278,经验产出!$I$7:$J$557,2,0))</f>
        <v>175765</v>
      </c>
      <c r="O278" s="3">
        <f>SUM($N$24:N277)</f>
        <v>5709738</v>
      </c>
      <c r="P278" s="3">
        <f>K278*VLOOKUP(A278,金币产出!$I$7:$J$557,2,0)</f>
        <v>67.852423808303996</v>
      </c>
    </row>
    <row r="279" spans="1:16" x14ac:dyDescent="0.15">
      <c r="A279" s="3">
        <v>256</v>
      </c>
      <c r="B279" s="3">
        <f t="shared" si="26"/>
        <v>12</v>
      </c>
      <c r="C279" s="3">
        <f t="shared" si="27"/>
        <v>13695.71328</v>
      </c>
      <c r="D279" s="3">
        <f t="shared" si="28"/>
        <v>2472.3532799999975</v>
      </c>
      <c r="E279" s="3">
        <f>SUM($D$24:D279)</f>
        <v>131595.71328</v>
      </c>
      <c r="F279" s="3">
        <f t="shared" si="29"/>
        <v>2193.261888</v>
      </c>
      <c r="G279" s="3">
        <f t="shared" si="29"/>
        <v>36.554364800000002</v>
      </c>
      <c r="H279" s="3">
        <f t="shared" si="30"/>
        <v>1.5230985333333333</v>
      </c>
      <c r="I279" s="3">
        <f>IF(ISNA(MATCH(H279,关卡!$E$19:$E$2018,1)),0,MATCH(H279,关卡!$E$19:$E$2018,1))</f>
        <v>235</v>
      </c>
      <c r="J279" s="3">
        <f>VLOOKUP($I279,关卡!$A$17:$G$2018,6,0)</f>
        <v>16.07397471558594</v>
      </c>
      <c r="K279" s="3">
        <f>VLOOKUP($I279,关卡!$A$17:$G$2018,7,0)</f>
        <v>19.082380847460943</v>
      </c>
      <c r="L279" s="3">
        <f t="shared" si="31"/>
        <v>57866.308976109387</v>
      </c>
      <c r="M279" s="3">
        <f t="shared" si="32"/>
        <v>68696.571050859391</v>
      </c>
      <c r="N279" s="3">
        <f>INT(D279*J279*VLOOKUP(A279,经验产出!$I$7:$J$557,2,0))</f>
        <v>184489</v>
      </c>
      <c r="O279" s="3">
        <f>SUM($N$24:N278)</f>
        <v>5885503</v>
      </c>
      <c r="P279" s="3">
        <f>K279*VLOOKUP(A279,金币产出!$I$7:$J$557,2,0)</f>
        <v>68.617061130661639</v>
      </c>
    </row>
    <row r="280" spans="1:16" x14ac:dyDescent="0.15">
      <c r="A280" s="3">
        <v>257</v>
      </c>
      <c r="B280" s="3">
        <f t="shared" si="26"/>
        <v>12</v>
      </c>
      <c r="C280" s="3">
        <f t="shared" si="27"/>
        <v>16252.669440000003</v>
      </c>
      <c r="D280" s="3">
        <f t="shared" si="28"/>
        <v>2556.9561600000034</v>
      </c>
      <c r="E280" s="3">
        <f>SUM($D$24:D280)</f>
        <v>134152.66944</v>
      </c>
      <c r="F280" s="3">
        <f t="shared" si="29"/>
        <v>2235.8778240000001</v>
      </c>
      <c r="G280" s="3">
        <f t="shared" si="29"/>
        <v>37.264630400000001</v>
      </c>
      <c r="H280" s="3">
        <f t="shared" si="30"/>
        <v>1.5526929333333335</v>
      </c>
      <c r="I280" s="3">
        <f>IF(ISNA(MATCH(H280,关卡!$E$19:$E$2018,1)),0,MATCH(H280,关卡!$E$19:$E$2018,1))</f>
        <v>238</v>
      </c>
      <c r="J280" s="3">
        <f>VLOOKUP($I280,关卡!$A$17:$G$2018,6,0)</f>
        <v>16.317760734479002</v>
      </c>
      <c r="K280" s="3">
        <f>VLOOKUP($I280,关卡!$A$17:$G$2018,7,0)</f>
        <v>19.295974572494998</v>
      </c>
      <c r="L280" s="3">
        <f t="shared" si="31"/>
        <v>58743.938644124406</v>
      </c>
      <c r="M280" s="3">
        <f t="shared" si="32"/>
        <v>69465.508460982004</v>
      </c>
      <c r="N280" s="3">
        <f>INT(D280*J280*VLOOKUP(A280,经验产出!$I$7:$J$557,2,0))</f>
        <v>193696</v>
      </c>
      <c r="O280" s="3">
        <f>SUM($N$24:N279)</f>
        <v>6069992</v>
      </c>
      <c r="P280" s="3">
        <f>K280*VLOOKUP(A280,金币产出!$I$7:$J$557,2,0)</f>
        <v>69.385108566929929</v>
      </c>
    </row>
    <row r="281" spans="1:16" x14ac:dyDescent="0.15">
      <c r="A281" s="3">
        <v>258</v>
      </c>
      <c r="B281" s="3">
        <f t="shared" ref="B281:B344" si="33">MATCH($A281,$A$3:$A$20,1)-1</f>
        <v>12</v>
      </c>
      <c r="C281" s="3">
        <f t="shared" ref="C281:C344" si="34">INDEX($C$3:$C$20,$B281+1)*(INDEX($D$3:$D$20,$B281+1)+INDEX($E$3:$E$20,$B281+1)*(($A281-INDEX($A$3:$A$20,$B281+1)+1)/(INDEX($B$3:$B$20,B281+1)-INDEX($A$3:$A$20,$B281+1)+1))^1+INDEX($F$3:$F$20,$B281+1)*(($A281-INDEX($A$3:$A$20,$B281+1)+1)/(INDEX($B$3:$B$20,B281+1)-INDEX($A$3:$A$20,$B281+1)+1))^2+INDEX($G$3:$G$20,$B281+1)*(($A281-INDEX($A$3:$A$20,$B281+1)+1)/(INDEX($B$3:$B$20,$B281+1)-INDEX($A$3:$A$20,$B281+1)+1))^3+INDEX($H$3:$H$20,$B281+1)*(($A281-INDEX($A$3:$A$20,$B281+1)+1)/(INDEX($B$3:$B$20,$B281+1)-INDEX($A$3:$A$20,$B281+1)+1))^4)</f>
        <v>18897.960960000004</v>
      </c>
      <c r="D281" s="3">
        <f t="shared" ref="D281:D344" si="35">IF(ISNA(MATCH(A281,$A$4:$A$20,0)),C281-C280,C281)</f>
        <v>2645.2915200000007</v>
      </c>
      <c r="E281" s="3">
        <f>SUM($D$24:D281)</f>
        <v>136797.96096</v>
      </c>
      <c r="F281" s="3">
        <f t="shared" ref="F281:G344" si="36">E281/60</f>
        <v>2279.9660159999999</v>
      </c>
      <c r="G281" s="3">
        <f t="shared" si="36"/>
        <v>37.999433599999996</v>
      </c>
      <c r="H281" s="3">
        <f t="shared" ref="H281:H344" si="37">G281/24</f>
        <v>1.5833097333333332</v>
      </c>
      <c r="I281" s="3">
        <f>IF(ISNA(MATCH(H281,关卡!$E$19:$E$2018,1)),0,MATCH(H281,关卡!$E$19:$E$2018,1))</f>
        <v>241</v>
      </c>
      <c r="J281" s="3">
        <f>VLOOKUP($I281,关卡!$A$17:$G$2018,6,0)</f>
        <v>16.563081263864937</v>
      </c>
      <c r="K281" s="3">
        <f>VLOOKUP($I281,关卡!$A$17:$G$2018,7,0)</f>
        <v>19.510520596455937</v>
      </c>
      <c r="L281" s="3">
        <f t="shared" ref="L281:L344" si="38">J281*60*60</f>
        <v>59627.092549913774</v>
      </c>
      <c r="M281" s="3">
        <f t="shared" ref="M281:M344" si="39">K281*60*60</f>
        <v>70237.874147241368</v>
      </c>
      <c r="N281" s="3">
        <f>INT(D281*J281*VLOOKUP(A281,经验产出!$I$7:$J$557,2,0))</f>
        <v>203401</v>
      </c>
      <c r="O281" s="3">
        <f>SUM($N$24:N280)</f>
        <v>6263688</v>
      </c>
      <c r="P281" s="3">
        <f>K281*VLOOKUP(A281,金币产出!$I$7:$J$557,2,0)</f>
        <v>70.1565803114228</v>
      </c>
    </row>
    <row r="282" spans="1:16" x14ac:dyDescent="0.15">
      <c r="A282" s="3">
        <v>259</v>
      </c>
      <c r="B282" s="3">
        <f t="shared" si="33"/>
        <v>12</v>
      </c>
      <c r="C282" s="3">
        <f t="shared" si="34"/>
        <v>21635.320319999999</v>
      </c>
      <c r="D282" s="3">
        <f t="shared" si="35"/>
        <v>2737.3593599999949</v>
      </c>
      <c r="E282" s="3">
        <f>SUM($D$24:D282)</f>
        <v>139535.32032</v>
      </c>
      <c r="F282" s="3">
        <f t="shared" si="36"/>
        <v>2325.5886719999999</v>
      </c>
      <c r="G282" s="3">
        <f t="shared" si="36"/>
        <v>38.759811199999994</v>
      </c>
      <c r="H282" s="3">
        <f t="shared" si="37"/>
        <v>1.614992133333333</v>
      </c>
      <c r="I282" s="3">
        <f>IF(ISNA(MATCH(H282,关卡!$E$19:$E$2018,1)),0,MATCH(H282,关卡!$E$19:$E$2018,1))</f>
        <v>244</v>
      </c>
      <c r="J282" s="3">
        <f>VLOOKUP($I282,关卡!$A$17:$G$2018,6,0)</f>
        <v>16.809946248943998</v>
      </c>
      <c r="K282" s="3">
        <f>VLOOKUP($I282,关卡!$A$17:$G$2018,7,0)</f>
        <v>19.726022878320002</v>
      </c>
      <c r="L282" s="3">
        <f t="shared" si="38"/>
        <v>60515.806496198398</v>
      </c>
      <c r="M282" s="3">
        <f t="shared" si="39"/>
        <v>71013.682361952</v>
      </c>
      <c r="N282" s="3">
        <f>INT(D282*J282*VLOOKUP(A282,经验产出!$I$7:$J$557,2,0))</f>
        <v>213617</v>
      </c>
      <c r="O282" s="3">
        <f>SUM($N$24:N281)</f>
        <v>6467089</v>
      </c>
      <c r="P282" s="3">
        <f>K282*VLOOKUP(A282,金币产出!$I$7:$J$557,2,0)</f>
        <v>70.931490599959005</v>
      </c>
    </row>
    <row r="283" spans="1:16" x14ac:dyDescent="0.15">
      <c r="A283" s="3">
        <v>260</v>
      </c>
      <c r="B283" s="3">
        <f t="shared" si="33"/>
        <v>12</v>
      </c>
      <c r="C283" s="3">
        <f t="shared" si="34"/>
        <v>24468.480000000003</v>
      </c>
      <c r="D283" s="3">
        <f t="shared" si="35"/>
        <v>2833.1596800000043</v>
      </c>
      <c r="E283" s="3">
        <f>SUM($D$24:D283)</f>
        <v>142368.48000000001</v>
      </c>
      <c r="F283" s="3">
        <f t="shared" si="36"/>
        <v>2372.808</v>
      </c>
      <c r="G283" s="3">
        <f t="shared" si="36"/>
        <v>39.546799999999998</v>
      </c>
      <c r="H283" s="3">
        <f t="shared" si="37"/>
        <v>1.6477833333333332</v>
      </c>
      <c r="I283" s="3">
        <f>IF(ISNA(MATCH(H283,关卡!$E$19:$E$2018,1)),0,MATCH(H283,关卡!$E$19:$E$2018,1))</f>
        <v>248</v>
      </c>
      <c r="J283" s="3">
        <f>VLOOKUP($I283,关卡!$A$17:$G$2018,6,0)</f>
        <v>17.141519329024</v>
      </c>
      <c r="K283" s="3">
        <f>VLOOKUP($I283,关卡!$A$17:$G$2018,7,0)</f>
        <v>20.014853630720005</v>
      </c>
      <c r="L283" s="3">
        <f t="shared" si="38"/>
        <v>61709.469584486404</v>
      </c>
      <c r="M283" s="3">
        <f t="shared" si="39"/>
        <v>72053.473070592023</v>
      </c>
      <c r="N283" s="3">
        <f>INT(D283*J283*VLOOKUP(A283,经验产出!$I$7:$J$557,2,0))</f>
        <v>225454</v>
      </c>
      <c r="O283" s="3">
        <f>SUM($N$24:N282)</f>
        <v>6680706</v>
      </c>
      <c r="P283" s="3">
        <f>K283*VLOOKUP(A283,金币产出!$I$7:$J$557,2,0)</f>
        <v>71.970077847130682</v>
      </c>
    </row>
    <row r="284" spans="1:16" x14ac:dyDescent="0.15">
      <c r="A284" s="3">
        <v>261</v>
      </c>
      <c r="B284" s="3">
        <f t="shared" si="33"/>
        <v>12</v>
      </c>
      <c r="C284" s="3">
        <f t="shared" si="34"/>
        <v>27401.172480000001</v>
      </c>
      <c r="D284" s="3">
        <f t="shared" si="35"/>
        <v>2932.6924799999979</v>
      </c>
      <c r="E284" s="3">
        <f>SUM($D$24:D284)</f>
        <v>145301.17248000001</v>
      </c>
      <c r="F284" s="3">
        <f t="shared" si="36"/>
        <v>2421.6862080000001</v>
      </c>
      <c r="G284" s="3">
        <f t="shared" si="36"/>
        <v>40.3614368</v>
      </c>
      <c r="H284" s="3">
        <f t="shared" si="37"/>
        <v>1.6817265333333333</v>
      </c>
      <c r="I284" s="3">
        <f>IF(ISNA(MATCH(H284,关卡!$E$19:$E$2018,1)),0,MATCH(H284,关卡!$E$19:$E$2018,1))</f>
        <v>252</v>
      </c>
      <c r="J284" s="3">
        <f>VLOOKUP($I284,关卡!$A$17:$G$2018,6,0)</f>
        <v>17.475879703023999</v>
      </c>
      <c r="K284" s="3">
        <f>VLOOKUP($I284,关卡!$A$17:$G$2018,7,0)</f>
        <v>20.305400900719999</v>
      </c>
      <c r="L284" s="3">
        <f t="shared" si="38"/>
        <v>62913.166930886393</v>
      </c>
      <c r="M284" s="3">
        <f t="shared" si="39"/>
        <v>73099.443242591995</v>
      </c>
      <c r="N284" s="3">
        <f>INT(D284*J284*VLOOKUP(A284,经验产出!$I$7:$J$557,2,0))</f>
        <v>237927</v>
      </c>
      <c r="O284" s="3">
        <f>SUM($N$24:N283)</f>
        <v>6906160</v>
      </c>
      <c r="P284" s="3">
        <f>K284*VLOOKUP(A284,金币产出!$I$7:$J$557,2,0)</f>
        <v>73.014837405505659</v>
      </c>
    </row>
    <row r="285" spans="1:16" x14ac:dyDescent="0.15">
      <c r="A285" s="3">
        <v>262</v>
      </c>
      <c r="B285" s="3">
        <f t="shared" si="33"/>
        <v>12</v>
      </c>
      <c r="C285" s="3">
        <f t="shared" si="34"/>
        <v>30437.130240000002</v>
      </c>
      <c r="D285" s="3">
        <f t="shared" si="35"/>
        <v>3035.9577600000011</v>
      </c>
      <c r="E285" s="3">
        <f>SUM($D$24:D285)</f>
        <v>148337.13024</v>
      </c>
      <c r="F285" s="3">
        <f t="shared" si="36"/>
        <v>2472.2855039999999</v>
      </c>
      <c r="G285" s="3">
        <f t="shared" si="36"/>
        <v>41.204758399999996</v>
      </c>
      <c r="H285" s="3">
        <f t="shared" si="37"/>
        <v>1.7168649333333332</v>
      </c>
      <c r="I285" s="3">
        <f>IF(ISNA(MATCH(H285,关卡!$E$19:$E$2018,1)),0,MATCH(H285,关卡!$E$19:$E$2018,1))</f>
        <v>255</v>
      </c>
      <c r="J285" s="3">
        <f>VLOOKUP($I285,关卡!$A$17:$G$2018,6,0)</f>
        <v>17.72849356246094</v>
      </c>
      <c r="K285" s="3">
        <f>VLOOKUP($I285,关卡!$A$17:$G$2018,7,0)</f>
        <v>20.524443519335943</v>
      </c>
      <c r="L285" s="3">
        <f t="shared" si="38"/>
        <v>63822.576824859389</v>
      </c>
      <c r="M285" s="3">
        <f t="shared" si="39"/>
        <v>73887.996669609391</v>
      </c>
      <c r="N285" s="3">
        <f>INT(D285*J285*VLOOKUP(A285,经验产出!$I$7:$J$557,2,0))</f>
        <v>249865</v>
      </c>
      <c r="O285" s="3">
        <f>SUM($N$24:N284)</f>
        <v>7144087</v>
      </c>
      <c r="P285" s="3">
        <f>K285*VLOOKUP(A285,金币产出!$I$7:$J$557,2,0)</f>
        <v>73.80247815494549</v>
      </c>
    </row>
    <row r="286" spans="1:16" x14ac:dyDescent="0.15">
      <c r="A286" s="3">
        <v>263</v>
      </c>
      <c r="B286" s="3">
        <f t="shared" si="33"/>
        <v>12</v>
      </c>
      <c r="C286" s="3">
        <f t="shared" si="34"/>
        <v>33580.085760000009</v>
      </c>
      <c r="D286" s="3">
        <f t="shared" si="35"/>
        <v>3142.9555200000068</v>
      </c>
      <c r="E286" s="3">
        <f>SUM($D$24:D286)</f>
        <v>151480.08576000002</v>
      </c>
      <c r="F286" s="3">
        <f t="shared" si="36"/>
        <v>2524.6680960000003</v>
      </c>
      <c r="G286" s="3">
        <f t="shared" si="36"/>
        <v>42.077801600000008</v>
      </c>
      <c r="H286" s="3">
        <f t="shared" si="37"/>
        <v>1.7532417333333337</v>
      </c>
      <c r="I286" s="3">
        <f>IF(ISNA(MATCH(H286,关卡!$E$19:$E$2018,1)),0,MATCH(H286,关卡!$E$19:$E$2018,1))</f>
        <v>259</v>
      </c>
      <c r="J286" s="3">
        <f>VLOOKUP($I286,关卡!$A$17:$G$2018,6,0)</f>
        <v>18.067789485239938</v>
      </c>
      <c r="K286" s="3">
        <f>VLOOKUP($I286,关卡!$A$17:$G$2018,7,0)</f>
        <v>20.818017528330937</v>
      </c>
      <c r="L286" s="3">
        <f t="shared" si="38"/>
        <v>65044.04214686378</v>
      </c>
      <c r="M286" s="3">
        <f t="shared" si="39"/>
        <v>74944.863101991374</v>
      </c>
      <c r="N286" s="3">
        <f>INT(D286*J286*VLOOKUP(A286,经验产出!$I$7:$J$557,2,0))</f>
        <v>263622</v>
      </c>
      <c r="O286" s="3">
        <f>SUM($N$24:N285)</f>
        <v>7393952</v>
      </c>
      <c r="P286" s="3">
        <f>K286*VLOOKUP(A286,金币产出!$I$7:$J$557,2,0)</f>
        <v>74.858121362289992</v>
      </c>
    </row>
    <row r="287" spans="1:16" x14ac:dyDescent="0.15">
      <c r="A287" s="3">
        <v>264</v>
      </c>
      <c r="B287" s="3">
        <f t="shared" si="33"/>
        <v>12</v>
      </c>
      <c r="C287" s="3">
        <f t="shared" si="34"/>
        <v>36833.771520000009</v>
      </c>
      <c r="D287" s="3">
        <f t="shared" si="35"/>
        <v>3253.6857600000003</v>
      </c>
      <c r="E287" s="3">
        <f>SUM($D$24:D287)</f>
        <v>154733.77152000001</v>
      </c>
      <c r="F287" s="3">
        <f t="shared" si="36"/>
        <v>2578.8961920000002</v>
      </c>
      <c r="G287" s="3">
        <f t="shared" si="36"/>
        <v>42.981603200000002</v>
      </c>
      <c r="H287" s="3">
        <f t="shared" si="37"/>
        <v>1.7909001333333334</v>
      </c>
      <c r="I287" s="3">
        <f>IF(ISNA(MATCH(H287,关卡!$E$19:$E$2018,1)),0,MATCH(H287,关卡!$E$19:$E$2018,1))</f>
        <v>263</v>
      </c>
      <c r="J287" s="3">
        <f>VLOOKUP($I287,关卡!$A$17:$G$2018,6,0)</f>
        <v>18.409939004614941</v>
      </c>
      <c r="K287" s="3">
        <f>VLOOKUP($I287,关卡!$A$17:$G$2018,7,0)</f>
        <v>21.11333421270594</v>
      </c>
      <c r="L287" s="3">
        <f t="shared" si="38"/>
        <v>66275.780416613779</v>
      </c>
      <c r="M287" s="3">
        <f t="shared" si="39"/>
        <v>76008.003165741393</v>
      </c>
      <c r="N287" s="3">
        <f>INT(D287*J287*VLOOKUP(A287,经验产出!$I$7:$J$557,2,0))</f>
        <v>278078</v>
      </c>
      <c r="O287" s="3">
        <f>SUM($N$24:N286)</f>
        <v>7657574</v>
      </c>
      <c r="P287" s="3">
        <f>K287*VLOOKUP(A287,金币产出!$I$7:$J$557,2,0)</f>
        <v>75.92003093985511</v>
      </c>
    </row>
    <row r="288" spans="1:16" x14ac:dyDescent="0.15">
      <c r="A288" s="3">
        <v>265</v>
      </c>
      <c r="B288" s="3">
        <f t="shared" si="33"/>
        <v>12</v>
      </c>
      <c r="C288" s="3">
        <f t="shared" si="34"/>
        <v>40201.919999999998</v>
      </c>
      <c r="D288" s="3">
        <f t="shared" si="35"/>
        <v>3368.1484799999889</v>
      </c>
      <c r="E288" s="3">
        <f>SUM($D$24:D288)</f>
        <v>158101.91999999998</v>
      </c>
      <c r="F288" s="3">
        <f t="shared" si="36"/>
        <v>2635.0319999999997</v>
      </c>
      <c r="G288" s="3">
        <f t="shared" si="36"/>
        <v>43.917199999999994</v>
      </c>
      <c r="H288" s="3">
        <f t="shared" si="37"/>
        <v>1.8298833333333331</v>
      </c>
      <c r="I288" s="3">
        <f>IF(ISNA(MATCH(H288,关卡!$E$19:$E$2018,1)),0,MATCH(H288,关卡!$E$19:$E$2018,1))</f>
        <v>267</v>
      </c>
      <c r="J288" s="3">
        <f>VLOOKUP($I288,关卡!$A$17:$G$2018,6,0)</f>
        <v>18.75496651792994</v>
      </c>
      <c r="K288" s="3">
        <f>VLOOKUP($I288,关卡!$A$17:$G$2018,7,0)</f>
        <v>21.41040315278094</v>
      </c>
      <c r="L288" s="3">
        <f t="shared" si="38"/>
        <v>67517.87946454779</v>
      </c>
      <c r="M288" s="3">
        <f t="shared" si="39"/>
        <v>77077.451350011383</v>
      </c>
      <c r="N288" s="3">
        <f>INT(D288*J288*VLOOKUP(A288,经验产出!$I$7:$J$557,2,0))</f>
        <v>293255</v>
      </c>
      <c r="O288" s="3">
        <f>SUM($N$24:N287)</f>
        <v>7935652</v>
      </c>
      <c r="P288" s="3">
        <f>K288*VLOOKUP(A288,金币产出!$I$7:$J$557,2,0)</f>
        <v>76.988241336874793</v>
      </c>
    </row>
    <row r="289" spans="1:16" x14ac:dyDescent="0.15">
      <c r="A289" s="3">
        <v>266</v>
      </c>
      <c r="B289" s="3">
        <f t="shared" si="33"/>
        <v>12</v>
      </c>
      <c r="C289" s="3">
        <f t="shared" si="34"/>
        <v>43688.263679999996</v>
      </c>
      <c r="D289" s="3">
        <f t="shared" si="35"/>
        <v>3486.3436799999981</v>
      </c>
      <c r="E289" s="3">
        <f>SUM($D$24:D289)</f>
        <v>161588.26367999997</v>
      </c>
      <c r="F289" s="3">
        <f t="shared" si="36"/>
        <v>2693.1377279999997</v>
      </c>
      <c r="G289" s="3">
        <f t="shared" si="36"/>
        <v>44.885628799999992</v>
      </c>
      <c r="H289" s="3">
        <f t="shared" si="37"/>
        <v>1.870234533333333</v>
      </c>
      <c r="I289" s="3">
        <f>IF(ISNA(MATCH(H289,关卡!$E$19:$E$2018,1)),0,MATCH(H289,关卡!$E$19:$E$2018,1))</f>
        <v>271</v>
      </c>
      <c r="J289" s="3">
        <f>VLOOKUP($I289,关卡!$A$17:$G$2018,6,0)</f>
        <v>19.102896575744936</v>
      </c>
      <c r="K289" s="3">
        <f>VLOOKUP($I289,关卡!$A$17:$G$2018,7,0)</f>
        <v>21.709233965355939</v>
      </c>
      <c r="L289" s="3">
        <f t="shared" si="38"/>
        <v>68770.427672681777</v>
      </c>
      <c r="M289" s="3">
        <f t="shared" si="39"/>
        <v>78153.242275281373</v>
      </c>
      <c r="N289" s="3">
        <f>INT(D289*J289*VLOOKUP(A289,经验产出!$I$7:$J$557,2,0))</f>
        <v>309177</v>
      </c>
      <c r="O289" s="3">
        <f>SUM($N$24:N288)</f>
        <v>8228907</v>
      </c>
      <c r="P289" s="3">
        <f>K289*VLOOKUP(A289,金币产出!$I$7:$J$557,2,0)</f>
        <v>78.062787133759059</v>
      </c>
    </row>
    <row r="290" spans="1:16" x14ac:dyDescent="0.15">
      <c r="A290" s="3">
        <v>267</v>
      </c>
      <c r="B290" s="3">
        <f t="shared" si="33"/>
        <v>12</v>
      </c>
      <c r="C290" s="3">
        <f t="shared" si="34"/>
        <v>47296.535040000002</v>
      </c>
      <c r="D290" s="3">
        <f t="shared" si="35"/>
        <v>3608.2713600000061</v>
      </c>
      <c r="E290" s="3">
        <f>SUM($D$24:D290)</f>
        <v>165196.53503999999</v>
      </c>
      <c r="F290" s="3">
        <f t="shared" si="36"/>
        <v>2753.275584</v>
      </c>
      <c r="G290" s="3">
        <f t="shared" si="36"/>
        <v>45.887926399999998</v>
      </c>
      <c r="H290" s="3">
        <f t="shared" si="37"/>
        <v>1.9119969333333333</v>
      </c>
      <c r="I290" s="3">
        <f>IF(ISNA(MATCH(H290,关卡!$E$19:$E$2018,1)),0,MATCH(H290,关卡!$E$19:$E$2018,1))</f>
        <v>275</v>
      </c>
      <c r="J290" s="3">
        <f>VLOOKUP($I290,关卡!$A$17:$G$2018,6,0)</f>
        <v>19.45375388183594</v>
      </c>
      <c r="K290" s="3">
        <f>VLOOKUP($I290,关卡!$A$17:$G$2018,7,0)</f>
        <v>22.009836303710941</v>
      </c>
      <c r="L290" s="3">
        <f t="shared" si="38"/>
        <v>70033.513974609377</v>
      </c>
      <c r="M290" s="3">
        <f t="shared" si="39"/>
        <v>79235.410693359387</v>
      </c>
      <c r="N290" s="3">
        <f>INT(D290*J290*VLOOKUP(A290,经验产出!$I$7:$J$557,2,0))</f>
        <v>325867</v>
      </c>
      <c r="O290" s="3">
        <f>SUM($N$24:N289)</f>
        <v>8538084</v>
      </c>
      <c r="P290" s="3">
        <f>K290*VLOOKUP(A290,金币产出!$I$7:$J$557,2,0)</f>
        <v>79.143703042093918</v>
      </c>
    </row>
    <row r="291" spans="1:16" x14ac:dyDescent="0.15">
      <c r="A291" s="3">
        <v>268</v>
      </c>
      <c r="B291" s="3">
        <f t="shared" si="33"/>
        <v>12</v>
      </c>
      <c r="C291" s="3">
        <f t="shared" si="34"/>
        <v>51030.466560000001</v>
      </c>
      <c r="D291" s="3">
        <f t="shared" si="35"/>
        <v>3733.9315199999983</v>
      </c>
      <c r="E291" s="3">
        <f>SUM($D$24:D291)</f>
        <v>168930.46655999997</v>
      </c>
      <c r="F291" s="3">
        <f t="shared" si="36"/>
        <v>2815.5077759999995</v>
      </c>
      <c r="G291" s="3">
        <f t="shared" si="36"/>
        <v>46.925129599999991</v>
      </c>
      <c r="H291" s="3">
        <f t="shared" si="37"/>
        <v>1.955213733333333</v>
      </c>
      <c r="I291" s="3">
        <f>IF(ISNA(MATCH(H291,关卡!$E$19:$E$2018,1)),0,MATCH(H291,关卡!$E$19:$E$2018,1))</f>
        <v>280</v>
      </c>
      <c r="J291" s="3">
        <f>VLOOKUP($I291,关卡!$A$17:$G$2018,6,0)</f>
        <v>19.896479840000001</v>
      </c>
      <c r="K291" s="3">
        <f>VLOOKUP($I291,关卡!$A$17:$G$2018,7,0)</f>
        <v>22.388095200000006</v>
      </c>
      <c r="L291" s="3">
        <f t="shared" si="38"/>
        <v>71627.327424000003</v>
      </c>
      <c r="M291" s="3">
        <f t="shared" si="39"/>
        <v>80597.142720000018</v>
      </c>
      <c r="N291" s="3">
        <f>INT(D291*J291*VLOOKUP(A291,经验产出!$I$7:$J$557,2,0))</f>
        <v>344890</v>
      </c>
      <c r="O291" s="3">
        <f>SUM($N$24:N290)</f>
        <v>8863951</v>
      </c>
      <c r="P291" s="3">
        <f>K291*VLOOKUP(A291,金币产出!$I$7:$J$557,2,0)</f>
        <v>80.503858990000012</v>
      </c>
    </row>
    <row r="292" spans="1:16" x14ac:dyDescent="0.15">
      <c r="A292" s="3">
        <v>269</v>
      </c>
      <c r="B292" s="3">
        <f t="shared" si="33"/>
        <v>12</v>
      </c>
      <c r="C292" s="3">
        <f t="shared" si="34"/>
        <v>54893.790720000005</v>
      </c>
      <c r="D292" s="3">
        <f t="shared" si="35"/>
        <v>3863.3241600000038</v>
      </c>
      <c r="E292" s="3">
        <f>SUM($D$24:D292)</f>
        <v>172793.79071999999</v>
      </c>
      <c r="F292" s="3">
        <f t="shared" si="36"/>
        <v>2879.8965119999998</v>
      </c>
      <c r="G292" s="3">
        <f t="shared" si="36"/>
        <v>47.998275199999995</v>
      </c>
      <c r="H292" s="3">
        <f t="shared" si="37"/>
        <v>1.9999281333333332</v>
      </c>
      <c r="I292" s="3">
        <f>IF(ISNA(MATCH(H292,关卡!$E$19:$E$2018,1)),0,MATCH(H292,关卡!$E$19:$E$2018,1))</f>
        <v>284</v>
      </c>
      <c r="J292" s="3">
        <f>VLOOKUP($I292,关卡!$A$17:$G$2018,6,0)</f>
        <v>20.254014571503998</v>
      </c>
      <c r="K292" s="3">
        <f>VLOOKUP($I292,关卡!$A$17:$G$2018,7,0)</f>
        <v>22.692718955119997</v>
      </c>
      <c r="L292" s="3">
        <f t="shared" si="38"/>
        <v>72914.452457414387</v>
      </c>
      <c r="M292" s="3">
        <f t="shared" si="39"/>
        <v>81693.788238431996</v>
      </c>
      <c r="N292" s="3">
        <f>INT(D292*J292*VLOOKUP(A292,经验产出!$I$7:$J$557,2,0))</f>
        <v>363254</v>
      </c>
      <c r="O292" s="3">
        <f>SUM($N$24:N291)</f>
        <v>9208841</v>
      </c>
      <c r="P292" s="3">
        <f>K292*VLOOKUP(A292,金币产出!$I$7:$J$557,2,0)</f>
        <v>81.599235242785653</v>
      </c>
    </row>
    <row r="293" spans="1:16" x14ac:dyDescent="0.15">
      <c r="A293" s="3">
        <v>270</v>
      </c>
      <c r="B293" s="3">
        <f t="shared" si="33"/>
        <v>12</v>
      </c>
      <c r="C293" s="3">
        <f t="shared" si="34"/>
        <v>58890.240000000013</v>
      </c>
      <c r="D293" s="3">
        <f t="shared" si="35"/>
        <v>3996.449280000008</v>
      </c>
      <c r="E293" s="3">
        <f>SUM($D$24:D293)</f>
        <v>176790.24</v>
      </c>
      <c r="F293" s="3">
        <f t="shared" si="36"/>
        <v>2946.5039999999999</v>
      </c>
      <c r="G293" s="3">
        <f t="shared" si="36"/>
        <v>49.108399999999996</v>
      </c>
      <c r="H293" s="3">
        <f t="shared" si="37"/>
        <v>2.046183333333333</v>
      </c>
      <c r="I293" s="3">
        <f>IF(ISNA(MATCH(H293,关卡!$E$19:$E$2018,1)),0,MATCH(H293,关卡!$E$19:$E$2018,1))</f>
        <v>289</v>
      </c>
      <c r="J293" s="3">
        <f>VLOOKUP($I293,关卡!$A$17:$G$2018,6,0)</f>
        <v>20.705166788684938</v>
      </c>
      <c r="K293" s="3">
        <f>VLOOKUP($I293,关卡!$A$17:$G$2018,7,0)</f>
        <v>23.076035478555941</v>
      </c>
      <c r="L293" s="3">
        <f t="shared" si="38"/>
        <v>74538.600439265778</v>
      </c>
      <c r="M293" s="3">
        <f t="shared" si="39"/>
        <v>83073.727722801385</v>
      </c>
      <c r="N293" s="3">
        <f>INT(D293*J293*VLOOKUP(A293,经验产出!$I$7:$J$557,2,0))</f>
        <v>384142</v>
      </c>
      <c r="O293" s="3">
        <f>SUM($N$24:N292)</f>
        <v>9572095</v>
      </c>
      <c r="P293" s="3">
        <f>K293*VLOOKUP(A293,金币产出!$I$7:$J$557,2,0)</f>
        <v>82.977577574974063</v>
      </c>
    </row>
    <row r="294" spans="1:16" x14ac:dyDescent="0.15">
      <c r="A294" s="3">
        <v>271</v>
      </c>
      <c r="B294" s="3">
        <f t="shared" si="33"/>
        <v>12</v>
      </c>
      <c r="C294" s="3">
        <f t="shared" si="34"/>
        <v>63023.546880000002</v>
      </c>
      <c r="D294" s="3">
        <f t="shared" si="35"/>
        <v>4133.3068799999892</v>
      </c>
      <c r="E294" s="3">
        <f>SUM($D$24:D294)</f>
        <v>180923.54687999998</v>
      </c>
      <c r="F294" s="3">
        <f t="shared" si="36"/>
        <v>3015.3924479999996</v>
      </c>
      <c r="G294" s="3">
        <f t="shared" si="36"/>
        <v>50.256540799999996</v>
      </c>
      <c r="H294" s="3">
        <f t="shared" si="37"/>
        <v>2.0940225333333333</v>
      </c>
      <c r="I294" s="3">
        <f>IF(ISNA(MATCH(H294,关卡!$E$19:$E$2018,1)),0,MATCH(H294,关卡!$E$19:$E$2018,1))</f>
        <v>294</v>
      </c>
      <c r="J294" s="3">
        <f>VLOOKUP($I294,关卡!$A$17:$G$2018,6,0)</f>
        <v>21.161069503518998</v>
      </c>
      <c r="K294" s="3">
        <f>VLOOKUP($I294,关卡!$A$17:$G$2018,7,0)</f>
        <v>23.462188593695</v>
      </c>
      <c r="L294" s="3">
        <f t="shared" si="38"/>
        <v>76179.850212668389</v>
      </c>
      <c r="M294" s="3">
        <f t="shared" si="39"/>
        <v>84463.878937302012</v>
      </c>
      <c r="N294" s="3">
        <f>INT(D294*J294*VLOOKUP(A294,经验产出!$I$7:$J$557,2,0))</f>
        <v>406045</v>
      </c>
      <c r="O294" s="3">
        <f>SUM($N$24:N293)</f>
        <v>9956237</v>
      </c>
      <c r="P294" s="3">
        <f>K294*VLOOKUP(A294,金币产出!$I$7:$J$557,2,0)</f>
        <v>84.366119818161607</v>
      </c>
    </row>
    <row r="295" spans="1:16" x14ac:dyDescent="0.15">
      <c r="A295" s="3">
        <v>272</v>
      </c>
      <c r="B295" s="3">
        <f t="shared" si="33"/>
        <v>12</v>
      </c>
      <c r="C295" s="3">
        <f t="shared" si="34"/>
        <v>67297.443840000007</v>
      </c>
      <c r="D295" s="3">
        <f t="shared" si="35"/>
        <v>4273.8969600000055</v>
      </c>
      <c r="E295" s="3">
        <f>SUM($D$24:D295)</f>
        <v>185197.44383999999</v>
      </c>
      <c r="F295" s="3">
        <f t="shared" si="36"/>
        <v>3086.6240640000001</v>
      </c>
      <c r="G295" s="3">
        <f t="shared" si="36"/>
        <v>51.443734400000004</v>
      </c>
      <c r="H295" s="3">
        <f t="shared" si="37"/>
        <v>2.1434889333333333</v>
      </c>
      <c r="I295" s="3">
        <f>IF(ISNA(MATCH(H295,关卡!$E$19:$E$2018,1)),0,MATCH(H295,关卡!$E$19:$E$2018,1))</f>
        <v>299</v>
      </c>
      <c r="J295" s="3">
        <f>VLOOKUP($I295,关卡!$A$17:$G$2018,6,0)</f>
        <v>21.621772648849937</v>
      </c>
      <c r="K295" s="3">
        <f>VLOOKUP($I295,关卡!$A$17:$G$2018,7,0)</f>
        <v>23.851197555380935</v>
      </c>
      <c r="L295" s="3">
        <f t="shared" si="38"/>
        <v>77838.381535859779</v>
      </c>
      <c r="M295" s="3">
        <f t="shared" si="39"/>
        <v>85864.311199371354</v>
      </c>
      <c r="N295" s="3">
        <f>INT(D295*J295*VLOOKUP(A295,经验产出!$I$7:$J$557,2,0))</f>
        <v>428997</v>
      </c>
      <c r="O295" s="3">
        <f>SUM($N$24:N294)</f>
        <v>10362282</v>
      </c>
      <c r="P295" s="3">
        <f>K295*VLOOKUP(A295,金币产出!$I$7:$J$557,2,0)</f>
        <v>85.764931209557275</v>
      </c>
    </row>
    <row r="296" spans="1:16" x14ac:dyDescent="0.15">
      <c r="A296" s="3">
        <v>273</v>
      </c>
      <c r="B296" s="3">
        <f t="shared" si="33"/>
        <v>12</v>
      </c>
      <c r="C296" s="3">
        <f t="shared" si="34"/>
        <v>71715.66336000002</v>
      </c>
      <c r="D296" s="3">
        <f t="shared" si="35"/>
        <v>4418.2195200000133</v>
      </c>
      <c r="E296" s="3">
        <f>SUM($D$24:D296)</f>
        <v>189615.66336000001</v>
      </c>
      <c r="F296" s="3">
        <f t="shared" si="36"/>
        <v>3160.2610560000003</v>
      </c>
      <c r="G296" s="3">
        <f t="shared" si="36"/>
        <v>52.671017600000006</v>
      </c>
      <c r="H296" s="3">
        <f t="shared" si="37"/>
        <v>2.1946257333333334</v>
      </c>
      <c r="I296" s="3">
        <f>IF(ISNA(MATCH(H296,关卡!$E$19:$E$2018,1)),0,MATCH(H296,关卡!$E$19:$E$2018,1))</f>
        <v>304</v>
      </c>
      <c r="J296" s="3">
        <f>VLOOKUP($I296,关卡!$A$17:$G$2018,6,0)</f>
        <v>22.087326531584001</v>
      </c>
      <c r="K296" s="3">
        <f>VLOOKUP($I296,关卡!$A$17:$G$2018,7,0)</f>
        <v>24.243081707520002</v>
      </c>
      <c r="L296" s="3">
        <f t="shared" si="38"/>
        <v>79514.375513702413</v>
      </c>
      <c r="M296" s="3">
        <f t="shared" si="39"/>
        <v>87275.094147072014</v>
      </c>
      <c r="N296" s="3">
        <f>INT(D296*J296*VLOOKUP(A296,经验产出!$I$7:$J$557,2,0))</f>
        <v>453032</v>
      </c>
      <c r="O296" s="3">
        <f>SUM($N$24:N295)</f>
        <v>10791279</v>
      </c>
      <c r="P296" s="3">
        <f>K296*VLOOKUP(A296,金币产出!$I$7:$J$557,2,0)</f>
        <v>87.174081306624004</v>
      </c>
    </row>
    <row r="297" spans="1:16" x14ac:dyDescent="0.15">
      <c r="A297" s="3">
        <v>274</v>
      </c>
      <c r="B297" s="3">
        <f t="shared" si="33"/>
        <v>12</v>
      </c>
      <c r="C297" s="3">
        <f t="shared" si="34"/>
        <v>76281.937919999997</v>
      </c>
      <c r="D297" s="3">
        <f t="shared" si="35"/>
        <v>4566.2745599999762</v>
      </c>
      <c r="E297" s="3">
        <f>SUM($D$24:D297)</f>
        <v>194181.93792</v>
      </c>
      <c r="F297" s="3">
        <f t="shared" si="36"/>
        <v>3236.365632</v>
      </c>
      <c r="G297" s="3">
        <f t="shared" si="36"/>
        <v>53.939427199999997</v>
      </c>
      <c r="H297" s="3">
        <f t="shared" si="37"/>
        <v>2.2474761333333331</v>
      </c>
      <c r="I297" s="3">
        <f>IF(ISNA(MATCH(H297,关卡!$E$19:$E$2018,1)),0,MATCH(H297,关卡!$E$19:$E$2018,1))</f>
        <v>309</v>
      </c>
      <c r="J297" s="3">
        <f>VLOOKUP($I297,关卡!$A$17:$G$2018,6,0)</f>
        <v>22.55778183268994</v>
      </c>
      <c r="K297" s="3">
        <f>VLOOKUP($I297,关卡!$A$17:$G$2018,7,0)</f>
        <v>24.637860483080935</v>
      </c>
      <c r="L297" s="3">
        <f t="shared" si="38"/>
        <v>81208.014597683781</v>
      </c>
      <c r="M297" s="3">
        <f t="shared" si="39"/>
        <v>88696.297739091358</v>
      </c>
      <c r="N297" s="3">
        <f>INT(D297*J297*VLOOKUP(A297,经验产出!$I$7:$J$557,2,0))</f>
        <v>478186</v>
      </c>
      <c r="O297" s="3">
        <f>SUM($N$24:N296)</f>
        <v>11244311</v>
      </c>
      <c r="P297" s="3">
        <f>K297*VLOOKUP(A297,金币产出!$I$7:$J$557,2,0)</f>
        <v>88.593639987078532</v>
      </c>
    </row>
    <row r="298" spans="1:16" x14ac:dyDescent="0.15">
      <c r="A298" s="3">
        <v>275</v>
      </c>
      <c r="B298" s="3">
        <f t="shared" si="33"/>
        <v>12</v>
      </c>
      <c r="C298" s="3">
        <f t="shared" si="34"/>
        <v>81000</v>
      </c>
      <c r="D298" s="3">
        <f t="shared" si="35"/>
        <v>4718.0620800000033</v>
      </c>
      <c r="E298" s="3">
        <f>SUM($D$24:D298)</f>
        <v>198900</v>
      </c>
      <c r="F298" s="3">
        <f t="shared" si="36"/>
        <v>3315</v>
      </c>
      <c r="G298" s="3">
        <f t="shared" si="36"/>
        <v>55.25</v>
      </c>
      <c r="H298" s="3">
        <f t="shared" si="37"/>
        <v>2.3020833333333335</v>
      </c>
      <c r="I298" s="3">
        <f>IF(ISNA(MATCH(H298,关卡!$E$19:$E$2018,1)),0,MATCH(H298,关卡!$E$19:$E$2018,1))</f>
        <v>315</v>
      </c>
      <c r="J298" s="3">
        <f>VLOOKUP($I298,关卡!$A$17:$G$2018,6,0)</f>
        <v>23.128869978085937</v>
      </c>
      <c r="K298" s="3">
        <f>VLOOKUP($I298,关卡!$A$17:$G$2018,7,0)</f>
        <v>25.115443409960942</v>
      </c>
      <c r="L298" s="3">
        <f t="shared" si="38"/>
        <v>83263.931921109368</v>
      </c>
      <c r="M298" s="3">
        <f t="shared" si="39"/>
        <v>90415.596275859396</v>
      </c>
      <c r="N298" s="3">
        <f>INT(D298*J298*VLOOKUP(A298,经验产出!$I$7:$J$557,2,0))</f>
        <v>506590</v>
      </c>
      <c r="O298" s="3">
        <f>SUM($N$24:N297)</f>
        <v>11722497</v>
      </c>
      <c r="P298" s="3">
        <f>K298*VLOOKUP(A298,金币产出!$I$7:$J$557,2,0)</f>
        <v>90.310948594984552</v>
      </c>
    </row>
    <row r="299" spans="1:16" x14ac:dyDescent="0.15">
      <c r="A299" s="3">
        <v>276</v>
      </c>
      <c r="B299" s="3">
        <f t="shared" si="33"/>
        <v>12</v>
      </c>
      <c r="C299" s="3">
        <f t="shared" si="34"/>
        <v>85873.582080000007</v>
      </c>
      <c r="D299" s="3">
        <f t="shared" si="35"/>
        <v>4873.5820800000074</v>
      </c>
      <c r="E299" s="3">
        <f>SUM($D$24:D299)</f>
        <v>203773.58208000002</v>
      </c>
      <c r="F299" s="3">
        <f t="shared" si="36"/>
        <v>3396.2263680000005</v>
      </c>
      <c r="G299" s="3">
        <f t="shared" si="36"/>
        <v>56.603772800000009</v>
      </c>
      <c r="H299" s="3">
        <f t="shared" si="37"/>
        <v>2.3584905333333337</v>
      </c>
      <c r="I299" s="3">
        <f>IF(ISNA(MATCH(H299,关卡!$E$19:$E$2018,1)),0,MATCH(H299,关卡!$E$19:$E$2018,1))</f>
        <v>320</v>
      </c>
      <c r="J299" s="3">
        <f>VLOOKUP($I299,关卡!$A$17:$G$2018,6,0)</f>
        <v>23.61028864</v>
      </c>
      <c r="K299" s="3">
        <f>VLOOKUP($I299,关卡!$A$17:$G$2018,7,0)</f>
        <v>25.516659200000003</v>
      </c>
      <c r="L299" s="3">
        <f t="shared" si="38"/>
        <v>84997.039103999996</v>
      </c>
      <c r="M299" s="3">
        <f t="shared" si="39"/>
        <v>91859.97312000001</v>
      </c>
      <c r="N299" s="3">
        <f>INT(D299*J299*VLOOKUP(A299,经验产出!$I$7:$J$557,2,0))</f>
        <v>534181</v>
      </c>
      <c r="O299" s="3">
        <f>SUM($N$24:N298)</f>
        <v>12229087</v>
      </c>
      <c r="P299" s="3">
        <f>K299*VLOOKUP(A299,金币产出!$I$7:$J$557,2,0)</f>
        <v>91.753653706666668</v>
      </c>
    </row>
    <row r="300" spans="1:16" x14ac:dyDescent="0.15">
      <c r="A300" s="3">
        <v>277</v>
      </c>
      <c r="B300" s="3">
        <f t="shared" si="33"/>
        <v>12</v>
      </c>
      <c r="C300" s="3">
        <f t="shared" si="34"/>
        <v>90906.416639999996</v>
      </c>
      <c r="D300" s="3">
        <f t="shared" si="35"/>
        <v>5032.8345599999884</v>
      </c>
      <c r="E300" s="3">
        <f>SUM($D$24:D300)</f>
        <v>208806.41664000001</v>
      </c>
      <c r="F300" s="3">
        <f t="shared" si="36"/>
        <v>3480.1069440000001</v>
      </c>
      <c r="G300" s="3">
        <f t="shared" si="36"/>
        <v>58.001782400000003</v>
      </c>
      <c r="H300" s="3">
        <f t="shared" si="37"/>
        <v>2.4167409333333336</v>
      </c>
      <c r="I300" s="3">
        <f>IF(ISNA(MATCH(H300,关卡!$E$19:$E$2018,1)),0,MATCH(H300,关卡!$E$19:$E$2018,1))</f>
        <v>326</v>
      </c>
      <c r="J300" s="3">
        <f>VLOOKUP($I300,关卡!$A$17:$G$2018,6,0)</f>
        <v>24.194682892639005</v>
      </c>
      <c r="K300" s="3">
        <f>VLOOKUP($I300,关卡!$A$17:$G$2018,7,0)</f>
        <v>26.002023667295006</v>
      </c>
      <c r="L300" s="3">
        <f t="shared" si="38"/>
        <v>87100.85841350042</v>
      </c>
      <c r="M300" s="3">
        <f t="shared" si="39"/>
        <v>93607.285202262021</v>
      </c>
      <c r="N300" s="3">
        <f>INT(D300*J300*VLOOKUP(A300,经验产出!$I$7:$J$557,2,0))</f>
        <v>565290</v>
      </c>
      <c r="O300" s="3">
        <f>SUM($N$24:N299)</f>
        <v>12763268</v>
      </c>
      <c r="P300" s="3">
        <f>K300*VLOOKUP(A300,金币产出!$I$7:$J$557,2,0)</f>
        <v>93.498943436981619</v>
      </c>
    </row>
    <row r="301" spans="1:16" x14ac:dyDescent="0.15">
      <c r="A301" s="3">
        <v>278</v>
      </c>
      <c r="B301" s="3">
        <f t="shared" si="33"/>
        <v>12</v>
      </c>
      <c r="C301" s="3">
        <f t="shared" si="34"/>
        <v>96102.236160000015</v>
      </c>
      <c r="D301" s="3">
        <f t="shared" si="35"/>
        <v>5195.8195200000191</v>
      </c>
      <c r="E301" s="3">
        <f>SUM($D$24:D301)</f>
        <v>214002.23616000003</v>
      </c>
      <c r="F301" s="3">
        <f t="shared" si="36"/>
        <v>3566.7039360000003</v>
      </c>
      <c r="G301" s="3">
        <f t="shared" si="36"/>
        <v>59.445065600000007</v>
      </c>
      <c r="H301" s="3">
        <f t="shared" si="37"/>
        <v>2.4768777333333336</v>
      </c>
      <c r="I301" s="3">
        <f>IF(ISNA(MATCH(H301,关卡!$E$19:$E$2018,1)),0,MATCH(H301,关卡!$E$19:$E$2018,1))</f>
        <v>332</v>
      </c>
      <c r="J301" s="3">
        <f>VLOOKUP($I301,关卡!$A$17:$G$2018,6,0)</f>
        <v>24.786462721264002</v>
      </c>
      <c r="K301" s="3">
        <f>VLOOKUP($I301,关卡!$A$17:$G$2018,7,0)</f>
        <v>26.491681047920004</v>
      </c>
      <c r="L301" s="3">
        <f t="shared" si="38"/>
        <v>89231.265796550404</v>
      </c>
      <c r="M301" s="3">
        <f t="shared" si="39"/>
        <v>95370.051772512015</v>
      </c>
      <c r="N301" s="3">
        <f>INT(D301*J301*VLOOKUP(A301,经验产出!$I$7:$J$557,2,0))</f>
        <v>597871</v>
      </c>
      <c r="O301" s="3">
        <f>SUM($N$24:N300)</f>
        <v>13328558</v>
      </c>
      <c r="P301" s="3">
        <f>K301*VLOOKUP(A301,金币产出!$I$7:$J$557,2,0)</f>
        <v>95.25966976814567</v>
      </c>
    </row>
    <row r="302" spans="1:16" x14ac:dyDescent="0.15">
      <c r="A302" s="3">
        <v>279</v>
      </c>
      <c r="B302" s="3">
        <f t="shared" si="33"/>
        <v>12</v>
      </c>
      <c r="C302" s="3">
        <f t="shared" si="34"/>
        <v>101464.77311999998</v>
      </c>
      <c r="D302" s="3">
        <f t="shared" si="35"/>
        <v>5362.5369599999685</v>
      </c>
      <c r="E302" s="3">
        <f>SUM($D$24:D302)</f>
        <v>219364.77312</v>
      </c>
      <c r="F302" s="3">
        <f t="shared" si="36"/>
        <v>3656.0795520000001</v>
      </c>
      <c r="G302" s="3">
        <f t="shared" si="36"/>
        <v>60.934659200000006</v>
      </c>
      <c r="H302" s="3">
        <f t="shared" si="37"/>
        <v>2.5389441333333336</v>
      </c>
      <c r="I302" s="3">
        <f>IF(ISNA(MATCH(H302,关卡!$E$19:$E$2018,1)),0,MATCH(H302,关卡!$E$19:$E$2018,1))</f>
        <v>338</v>
      </c>
      <c r="J302" s="3">
        <f>VLOOKUP($I302,关卡!$A$17:$G$2018,6,0)</f>
        <v>25.385719257679003</v>
      </c>
      <c r="K302" s="3">
        <f>VLOOKUP($I302,关卡!$A$17:$G$2018,7,0)</f>
        <v>26.985665768495004</v>
      </c>
      <c r="L302" s="3">
        <f t="shared" si="38"/>
        <v>91388.589327644411</v>
      </c>
      <c r="M302" s="3">
        <f t="shared" si="39"/>
        <v>97148.396766582024</v>
      </c>
      <c r="N302" s="3">
        <f>INT(D302*J302*VLOOKUP(A302,经验产出!$I$7:$J$557,2,0))</f>
        <v>631973</v>
      </c>
      <c r="O302" s="3">
        <f>SUM($N$24:N301)</f>
        <v>13926429</v>
      </c>
      <c r="P302" s="3">
        <f>K302*VLOOKUP(A302,金币产出!$I$7:$J$557,2,0)</f>
        <v>97.035956492546617</v>
      </c>
    </row>
    <row r="303" spans="1:16" x14ac:dyDescent="0.15">
      <c r="A303" s="3">
        <v>280</v>
      </c>
      <c r="B303" s="3">
        <f t="shared" si="33"/>
        <v>12</v>
      </c>
      <c r="C303" s="3">
        <f t="shared" si="34"/>
        <v>106997.75999999998</v>
      </c>
      <c r="D303" s="3">
        <f t="shared" si="35"/>
        <v>5532.9868799999967</v>
      </c>
      <c r="E303" s="3">
        <f>SUM($D$24:D303)</f>
        <v>224897.76</v>
      </c>
      <c r="F303" s="3">
        <f t="shared" si="36"/>
        <v>3748.2960000000003</v>
      </c>
      <c r="G303" s="3">
        <f t="shared" si="36"/>
        <v>62.471600000000002</v>
      </c>
      <c r="H303" s="3">
        <f t="shared" si="37"/>
        <v>2.6029833333333334</v>
      </c>
      <c r="I303" s="3">
        <f>IF(ISNA(MATCH(H303,关卡!$E$19:$E$2018,1)),0,MATCH(H303,关卡!$E$19:$E$2018,1))</f>
        <v>344</v>
      </c>
      <c r="J303" s="3">
        <f>VLOOKUP($I303,关卡!$A$17:$G$2018,6,0)</f>
        <v>25.992544409344003</v>
      </c>
      <c r="K303" s="3">
        <f>VLOOKUP($I303,关卡!$A$17:$G$2018,7,0)</f>
        <v>27.484012440320001</v>
      </c>
      <c r="L303" s="3">
        <f t="shared" si="38"/>
        <v>93573.159873638404</v>
      </c>
      <c r="M303" s="3">
        <f t="shared" si="39"/>
        <v>98942.444785152009</v>
      </c>
      <c r="N303" s="3">
        <f>INT(D303*J303*VLOOKUP(A303,经验产出!$I$7:$J$557,2,0))</f>
        <v>667647</v>
      </c>
      <c r="O303" s="3">
        <f>SUM($N$24:N302)</f>
        <v>14558402</v>
      </c>
      <c r="P303" s="3">
        <f>K303*VLOOKUP(A303,金币产出!$I$7:$J$557,2,0)</f>
        <v>98.827928066650671</v>
      </c>
    </row>
    <row r="304" spans="1:16" x14ac:dyDescent="0.15">
      <c r="A304" s="3">
        <v>281</v>
      </c>
      <c r="B304" s="3">
        <f t="shared" si="33"/>
        <v>12</v>
      </c>
      <c r="C304" s="3">
        <f t="shared" si="34"/>
        <v>112704.92928</v>
      </c>
      <c r="D304" s="3">
        <f t="shared" si="35"/>
        <v>5707.1692800000164</v>
      </c>
      <c r="E304" s="3">
        <f>SUM($D$24:D304)</f>
        <v>230604.92928000004</v>
      </c>
      <c r="F304" s="3">
        <f t="shared" si="36"/>
        <v>3843.4154880000006</v>
      </c>
      <c r="G304" s="3">
        <f t="shared" si="36"/>
        <v>64.056924800000004</v>
      </c>
      <c r="H304" s="3">
        <f t="shared" si="37"/>
        <v>2.6690385333333335</v>
      </c>
      <c r="I304" s="3">
        <f>IF(ISNA(MATCH(H304,关卡!$E$19:$E$2018,1)),0,MATCH(H304,关卡!$E$19:$E$2018,1))</f>
        <v>350</v>
      </c>
      <c r="J304" s="3">
        <f>VLOOKUP($I304,关卡!$A$17:$G$2018,6,0)</f>
        <v>26.607030859374998</v>
      </c>
      <c r="K304" s="3">
        <f>VLOOKUP($I304,关卡!$A$17:$G$2018,7,0)</f>
        <v>27.986755859375002</v>
      </c>
      <c r="L304" s="3">
        <f t="shared" si="38"/>
        <v>95785.311093749988</v>
      </c>
      <c r="M304" s="3">
        <f t="shared" si="39"/>
        <v>100752.32109375</v>
      </c>
      <c r="N304" s="3">
        <f>INT(D304*J304*VLOOKUP(A304,经验产出!$I$7:$J$557,2,0))</f>
        <v>704946</v>
      </c>
      <c r="O304" s="3">
        <f>SUM($N$24:N303)</f>
        <v>15226049</v>
      </c>
      <c r="P304" s="3">
        <f>K304*VLOOKUP(A304,金币产出!$I$7:$J$557,2,0)</f>
        <v>100.63570961100261</v>
      </c>
    </row>
    <row r="305" spans="1:16" x14ac:dyDescent="0.15">
      <c r="A305" s="3">
        <v>282</v>
      </c>
      <c r="B305" s="3">
        <f t="shared" si="33"/>
        <v>12</v>
      </c>
      <c r="C305" s="3">
        <f t="shared" si="34"/>
        <v>118590.01344000001</v>
      </c>
      <c r="D305" s="3">
        <f t="shared" si="35"/>
        <v>5885.0841600000131</v>
      </c>
      <c r="E305" s="3">
        <f>SUM($D$24:D305)</f>
        <v>236490.01344000007</v>
      </c>
      <c r="F305" s="3">
        <f t="shared" si="36"/>
        <v>3941.5002240000013</v>
      </c>
      <c r="G305" s="3">
        <f t="shared" si="36"/>
        <v>65.691670400000021</v>
      </c>
      <c r="H305" s="3">
        <f t="shared" si="37"/>
        <v>2.7371529333333342</v>
      </c>
      <c r="I305" s="3">
        <f>IF(ISNA(MATCH(H305,关卡!$E$19:$E$2018,1)),0,MATCH(H305,关卡!$E$19:$E$2018,1))</f>
        <v>357</v>
      </c>
      <c r="J305" s="3">
        <f>VLOOKUP($I305,关卡!$A$17:$G$2018,6,0)</f>
        <v>27.333739474549937</v>
      </c>
      <c r="K305" s="3">
        <f>VLOOKUP($I305,关卡!$A$17:$G$2018,7,0)</f>
        <v>28.578893526380938</v>
      </c>
      <c r="L305" s="3">
        <f t="shared" si="38"/>
        <v>98401.462108379768</v>
      </c>
      <c r="M305" s="3">
        <f t="shared" si="39"/>
        <v>102884.01669497137</v>
      </c>
      <c r="N305" s="3">
        <f>INT(D305*J305*VLOOKUP(A305,经验产出!$I$7:$J$557,2,0))</f>
        <v>746776</v>
      </c>
      <c r="O305" s="3">
        <f>SUM($N$24:N304)</f>
        <v>15930995</v>
      </c>
      <c r="P305" s="3">
        <f>K305*VLOOKUP(A305,金币产出!$I$7:$J$557,2,0)</f>
        <v>102.76493797194479</v>
      </c>
    </row>
    <row r="306" spans="1:16" x14ac:dyDescent="0.15">
      <c r="A306" s="3">
        <v>283</v>
      </c>
      <c r="B306" s="3">
        <f t="shared" si="33"/>
        <v>12</v>
      </c>
      <c r="C306" s="3">
        <f t="shared" si="34"/>
        <v>124656.74496000001</v>
      </c>
      <c r="D306" s="3">
        <f t="shared" si="35"/>
        <v>6066.7315200000012</v>
      </c>
      <c r="E306" s="3">
        <f>SUM($D$24:D306)</f>
        <v>242556.74496000007</v>
      </c>
      <c r="F306" s="3">
        <f t="shared" si="36"/>
        <v>4042.6124160000013</v>
      </c>
      <c r="G306" s="3">
        <f t="shared" si="36"/>
        <v>67.376873600000025</v>
      </c>
      <c r="H306" s="3">
        <f t="shared" si="37"/>
        <v>2.8073697333333345</v>
      </c>
      <c r="I306" s="3">
        <f>IF(ISNA(MATCH(H306,关卡!$E$19:$E$2018,1)),0,MATCH(H306,关卡!$E$19:$E$2018,1))</f>
        <v>363</v>
      </c>
      <c r="J306" s="3">
        <f>VLOOKUP($I306,关卡!$A$17:$G$2018,6,0)</f>
        <v>27.965147054689936</v>
      </c>
      <c r="K306" s="3">
        <f>VLOOKUP($I306,关卡!$A$17:$G$2018,7,0)</f>
        <v>29.091283480580937</v>
      </c>
      <c r="L306" s="3">
        <f t="shared" si="38"/>
        <v>100674.52939688377</v>
      </c>
      <c r="M306" s="3">
        <f t="shared" si="39"/>
        <v>104728.62053009137</v>
      </c>
      <c r="N306" s="3">
        <f>INT(D306*J306*VLOOKUP(A306,经验产出!$I$7:$J$557,2,0))</f>
        <v>787609</v>
      </c>
      <c r="O306" s="3">
        <f>SUM($N$24:N305)</f>
        <v>16677771</v>
      </c>
      <c r="P306" s="3">
        <f>K306*VLOOKUP(A306,金币产出!$I$7:$J$557,2,0)</f>
        <v>104.60740684892228</v>
      </c>
    </row>
    <row r="307" spans="1:16" x14ac:dyDescent="0.15">
      <c r="A307" s="3">
        <v>284</v>
      </c>
      <c r="B307" s="3">
        <f t="shared" si="33"/>
        <v>12</v>
      </c>
      <c r="C307" s="3">
        <f t="shared" si="34"/>
        <v>130908.85632000002</v>
      </c>
      <c r="D307" s="3">
        <f t="shared" si="35"/>
        <v>6252.1113600000099</v>
      </c>
      <c r="E307" s="3">
        <f>SUM($D$24:D307)</f>
        <v>248808.85632000008</v>
      </c>
      <c r="F307" s="3">
        <f t="shared" si="36"/>
        <v>4146.8142720000014</v>
      </c>
      <c r="G307" s="3">
        <f t="shared" si="36"/>
        <v>69.113571200000024</v>
      </c>
      <c r="H307" s="3">
        <f t="shared" si="37"/>
        <v>2.8797321333333343</v>
      </c>
      <c r="I307" s="3">
        <f>IF(ISNA(MATCH(H307,关卡!$E$19:$E$2018,1)),0,MATCH(H307,关卡!$E$19:$E$2018,1))</f>
        <v>370</v>
      </c>
      <c r="J307" s="3">
        <f>VLOOKUP($I307,关卡!$A$17:$G$2018,6,0)</f>
        <v>28.711856399374998</v>
      </c>
      <c r="K307" s="3">
        <f>VLOOKUP($I307,关卡!$A$17:$G$2018,7,0)</f>
        <v>29.694772059374998</v>
      </c>
      <c r="L307" s="3">
        <f t="shared" si="38"/>
        <v>103362.68303774999</v>
      </c>
      <c r="M307" s="3">
        <f t="shared" si="39"/>
        <v>106901.17941375</v>
      </c>
      <c r="N307" s="3">
        <f>INT(D307*J307*VLOOKUP(A307,经验产出!$I$7:$J$557,2,0))</f>
        <v>833348</v>
      </c>
      <c r="O307" s="3">
        <f>SUM($N$24:N306)</f>
        <v>17465380</v>
      </c>
      <c r="P307" s="3">
        <f>K307*VLOOKUP(A307,金币产出!$I$7:$J$557,2,0)</f>
        <v>106.77745119683593</v>
      </c>
    </row>
    <row r="308" spans="1:16" x14ac:dyDescent="0.15">
      <c r="A308" s="3">
        <v>285</v>
      </c>
      <c r="B308" s="3">
        <f t="shared" si="33"/>
        <v>12</v>
      </c>
      <c r="C308" s="3">
        <f t="shared" si="34"/>
        <v>137350.07999999999</v>
      </c>
      <c r="D308" s="3">
        <f t="shared" si="35"/>
        <v>6441.2236799999664</v>
      </c>
      <c r="E308" s="3">
        <f>SUM($D$24:D308)</f>
        <v>255250.08000000005</v>
      </c>
      <c r="F308" s="3">
        <f t="shared" si="36"/>
        <v>4254.1680000000006</v>
      </c>
      <c r="G308" s="3">
        <f t="shared" si="36"/>
        <v>70.902800000000013</v>
      </c>
      <c r="H308" s="3">
        <f t="shared" si="37"/>
        <v>2.954283333333334</v>
      </c>
      <c r="I308" s="3">
        <f>IF(ISNA(MATCH(H308,关卡!$E$19:$E$2018,1)),0,MATCH(H308,关卡!$E$19:$E$2018,1))</f>
        <v>377</v>
      </c>
      <c r="J308" s="3">
        <f>VLOOKUP($I308,关卡!$A$17:$G$2018,6,0)</f>
        <v>29.469552512734939</v>
      </c>
      <c r="K308" s="3">
        <f>VLOOKUP($I308,关卡!$A$17:$G$2018,7,0)</f>
        <v>30.304453243805938</v>
      </c>
      <c r="L308" s="3">
        <f t="shared" si="38"/>
        <v>106090.38904584578</v>
      </c>
      <c r="M308" s="3">
        <f t="shared" si="39"/>
        <v>109096.03167770138</v>
      </c>
      <c r="N308" s="3">
        <f>INT(D308*J308*VLOOKUP(A308,经验产出!$I$7:$J$557,2,0))</f>
        <v>881212</v>
      </c>
      <c r="O308" s="3">
        <f>SUM($N$24:N307)</f>
        <v>18298728</v>
      </c>
      <c r="P308" s="3">
        <f>K308*VLOOKUP(A308,金币产出!$I$7:$J$557,2,0)</f>
        <v>108.96976312251884</v>
      </c>
    </row>
    <row r="309" spans="1:16" x14ac:dyDescent="0.15">
      <c r="A309" s="3">
        <v>286</v>
      </c>
      <c r="B309" s="3">
        <f t="shared" si="33"/>
        <v>12</v>
      </c>
      <c r="C309" s="3">
        <f t="shared" si="34"/>
        <v>143984.14847999997</v>
      </c>
      <c r="D309" s="3">
        <f t="shared" si="35"/>
        <v>6634.0684799999872</v>
      </c>
      <c r="E309" s="3">
        <f>SUM($D$24:D309)</f>
        <v>261884.14848000003</v>
      </c>
      <c r="F309" s="3">
        <f t="shared" si="36"/>
        <v>4364.7358080000004</v>
      </c>
      <c r="G309" s="3">
        <f t="shared" si="36"/>
        <v>72.745596800000001</v>
      </c>
      <c r="H309" s="3">
        <f t="shared" si="37"/>
        <v>3.0310665333333335</v>
      </c>
      <c r="I309" s="3">
        <f>IF(ISNA(MATCH(H309,关卡!$E$19:$E$2018,1)),0,MATCH(H309,关卡!$E$19:$E$2018,1))</f>
        <v>384</v>
      </c>
      <c r="J309" s="3">
        <f>VLOOKUP($I309,关卡!$A$17:$G$2018,6,0)</f>
        <v>30.238389243904003</v>
      </c>
      <c r="K309" s="3">
        <f>VLOOKUP($I309,关卡!$A$17:$G$2018,7,0)</f>
        <v>30.920383877120003</v>
      </c>
      <c r="L309" s="3">
        <f t="shared" si="38"/>
        <v>108858.2012780544</v>
      </c>
      <c r="M309" s="3">
        <f t="shared" si="39"/>
        <v>111313.38195763201</v>
      </c>
      <c r="N309" s="3">
        <f>INT(D309*J309*VLOOKUP(A309,经验产出!$I$7:$J$557,2,0))</f>
        <v>931274</v>
      </c>
      <c r="O309" s="3">
        <f>SUM($N$24:N308)</f>
        <v>19179940</v>
      </c>
      <c r="P309" s="3">
        <f>K309*VLOOKUP(A309,金币产出!$I$7:$J$557,2,0)</f>
        <v>111.18454702481067</v>
      </c>
    </row>
    <row r="310" spans="1:16" x14ac:dyDescent="0.15">
      <c r="A310" s="3">
        <v>287</v>
      </c>
      <c r="B310" s="3">
        <f t="shared" si="33"/>
        <v>12</v>
      </c>
      <c r="C310" s="3">
        <f t="shared" si="34"/>
        <v>150814.79423999996</v>
      </c>
      <c r="D310" s="3">
        <f t="shared" si="35"/>
        <v>6830.6457599999849</v>
      </c>
      <c r="E310" s="3">
        <f>SUM($D$24:D310)</f>
        <v>268714.79424000002</v>
      </c>
      <c r="F310" s="3">
        <f t="shared" si="36"/>
        <v>4478.5799040000002</v>
      </c>
      <c r="G310" s="3">
        <f t="shared" si="36"/>
        <v>74.642998399999996</v>
      </c>
      <c r="H310" s="3">
        <f t="shared" si="37"/>
        <v>3.1101249333333332</v>
      </c>
      <c r="I310" s="3">
        <f>IF(ISNA(MATCH(H310,关卡!$E$19:$E$2018,1)),0,MATCH(H310,关卡!$E$19:$E$2018,1))</f>
        <v>391</v>
      </c>
      <c r="J310" s="3">
        <f>VLOOKUP($I310,关卡!$A$17:$G$2018,6,0)</f>
        <v>31.018521879014944</v>
      </c>
      <c r="K310" s="3">
        <f>VLOOKUP($I310,关卡!$A$17:$G$2018,7,0)</f>
        <v>31.542621144705933</v>
      </c>
      <c r="L310" s="3">
        <f t="shared" si="38"/>
        <v>111666.6787644538</v>
      </c>
      <c r="M310" s="3">
        <f t="shared" si="39"/>
        <v>113553.43612094136</v>
      </c>
      <c r="N310" s="3">
        <f>INT(D310*J310*VLOOKUP(A310,经验产出!$I$7:$J$557,2,0))</f>
        <v>983607</v>
      </c>
      <c r="O310" s="3">
        <f>SUM($N$24:N309)</f>
        <v>20111214</v>
      </c>
      <c r="P310" s="3">
        <f>K310*VLOOKUP(A310,金币产出!$I$7:$J$557,2,0)</f>
        <v>113.42200853283842</v>
      </c>
    </row>
    <row r="311" spans="1:16" x14ac:dyDescent="0.15">
      <c r="A311" s="3">
        <v>288</v>
      </c>
      <c r="B311" s="3">
        <f t="shared" si="33"/>
        <v>12</v>
      </c>
      <c r="C311" s="3">
        <f t="shared" si="34"/>
        <v>157845.74976000004</v>
      </c>
      <c r="D311" s="3">
        <f t="shared" si="35"/>
        <v>7030.9555200000759</v>
      </c>
      <c r="E311" s="3">
        <f>SUM($D$24:D311)</f>
        <v>275745.74976000009</v>
      </c>
      <c r="F311" s="3">
        <f t="shared" si="36"/>
        <v>4595.7624960000012</v>
      </c>
      <c r="G311" s="3">
        <f t="shared" si="36"/>
        <v>76.596041600000021</v>
      </c>
      <c r="H311" s="3">
        <f t="shared" si="37"/>
        <v>3.1915017333333342</v>
      </c>
      <c r="I311" s="3">
        <f>IF(ISNA(MATCH(H311,关卡!$E$19:$E$2018,1)),0,MATCH(H311,关卡!$E$19:$E$2018,1))</f>
        <v>399</v>
      </c>
      <c r="J311" s="3">
        <f>VLOOKUP($I311,关卡!$A$17:$G$2018,6,0)</f>
        <v>31.92413486262495</v>
      </c>
      <c r="K311" s="3">
        <f>VLOOKUP($I311,关卡!$A$17:$G$2018,7,0)</f>
        <v>32.26154567175594</v>
      </c>
      <c r="L311" s="3">
        <f t="shared" si="38"/>
        <v>114926.88550544981</v>
      </c>
      <c r="M311" s="3">
        <f t="shared" si="39"/>
        <v>116141.56441832139</v>
      </c>
      <c r="N311" s="3">
        <f>INT(D311*J311*VLOOKUP(A311,经验产出!$I$7:$J$557,2,0))</f>
        <v>1042011</v>
      </c>
      <c r="O311" s="3">
        <f>SUM($N$24:N310)</f>
        <v>21094821</v>
      </c>
      <c r="P311" s="3">
        <f>K311*VLOOKUP(A311,金币产出!$I$7:$J$557,2,0)</f>
        <v>116.00714131135572</v>
      </c>
    </row>
    <row r="312" spans="1:16" x14ac:dyDescent="0.15">
      <c r="A312" s="3">
        <v>289</v>
      </c>
      <c r="B312" s="3">
        <f t="shared" si="33"/>
        <v>12</v>
      </c>
      <c r="C312" s="3">
        <f t="shared" si="34"/>
        <v>165080.74752</v>
      </c>
      <c r="D312" s="3">
        <f t="shared" si="35"/>
        <v>7234.9977599999693</v>
      </c>
      <c r="E312" s="3">
        <f>SUM($D$24:D312)</f>
        <v>282980.74752000009</v>
      </c>
      <c r="F312" s="3">
        <f t="shared" si="36"/>
        <v>4716.3457920000019</v>
      </c>
      <c r="G312" s="3">
        <f t="shared" si="36"/>
        <v>78.605763200000027</v>
      </c>
      <c r="H312" s="3">
        <f t="shared" si="37"/>
        <v>3.2752401333333343</v>
      </c>
      <c r="I312" s="3">
        <f>IF(ISNA(MATCH(H312,关卡!$E$19:$E$2018,1)),0,MATCH(H312,关卡!$E$19:$E$2018,1))</f>
        <v>405</v>
      </c>
      <c r="J312" s="3">
        <f>VLOOKUP($I312,关卡!$A$17:$G$2018,6,0)</f>
        <v>32.613303190585945</v>
      </c>
      <c r="K312" s="3">
        <f>VLOOKUP($I312,关卡!$A$17:$G$2018,7,0)</f>
        <v>32.806246034960942</v>
      </c>
      <c r="L312" s="3">
        <f t="shared" si="38"/>
        <v>117407.89148610941</v>
      </c>
      <c r="M312" s="3">
        <f t="shared" si="39"/>
        <v>118102.48572585938</v>
      </c>
      <c r="N312" s="3">
        <f>INT(D312*J312*VLOOKUP(A312,经验产出!$I$7:$J$557,2,0))</f>
        <v>1095398</v>
      </c>
      <c r="O312" s="3">
        <f>SUM($N$24:N311)</f>
        <v>22136832</v>
      </c>
      <c r="P312" s="3">
        <f>K312*VLOOKUP(A312,金币产出!$I$7:$J$557,2,0)</f>
        <v>117.96579303404705</v>
      </c>
    </row>
    <row r="313" spans="1:16" x14ac:dyDescent="0.15">
      <c r="A313" s="3">
        <v>290</v>
      </c>
      <c r="B313" s="3">
        <f t="shared" si="33"/>
        <v>12</v>
      </c>
      <c r="C313" s="3">
        <f t="shared" si="34"/>
        <v>172523.52000000005</v>
      </c>
      <c r="D313" s="3">
        <f t="shared" si="35"/>
        <v>7442.7724800000433</v>
      </c>
      <c r="E313" s="3">
        <f>SUM($D$24:D313)</f>
        <v>290423.52000000014</v>
      </c>
      <c r="F313" s="3">
        <f t="shared" si="36"/>
        <v>4840.3920000000026</v>
      </c>
      <c r="G313" s="3">
        <f t="shared" si="36"/>
        <v>80.673200000000037</v>
      </c>
      <c r="H313" s="3">
        <f t="shared" si="37"/>
        <v>3.3613833333333347</v>
      </c>
      <c r="I313" s="3">
        <f>IF(ISNA(MATCH(H313,关卡!$E$19:$E$2018,1)),0,MATCH(H313,关卡!$E$19:$E$2018,1))</f>
        <v>411</v>
      </c>
      <c r="J313" s="3">
        <f>VLOOKUP($I313,关卡!$A$17:$G$2018,6,0)</f>
        <v>33.311119124509936</v>
      </c>
      <c r="K313" s="3">
        <f>VLOOKUP($I313,关卡!$A$17:$G$2018,7,0)</f>
        <v>33.355707387680937</v>
      </c>
      <c r="L313" s="3">
        <f t="shared" si="38"/>
        <v>119920.02884823577</v>
      </c>
      <c r="M313" s="3">
        <f t="shared" si="39"/>
        <v>120080.54659565138</v>
      </c>
      <c r="N313" s="3">
        <f>INT(D313*J313*VLOOKUP(A313,经验产出!$I$7:$J$557,2,0))</f>
        <v>1150967</v>
      </c>
      <c r="O313" s="3">
        <f>SUM($N$24:N312)</f>
        <v>23232230</v>
      </c>
      <c r="P313" s="3">
        <f>K313*VLOOKUP(A313,金币产出!$I$7:$J$557,2,0)</f>
        <v>119.94156448153603</v>
      </c>
    </row>
    <row r="314" spans="1:16" x14ac:dyDescent="0.15">
      <c r="A314" s="3">
        <v>291</v>
      </c>
      <c r="B314" s="3">
        <f t="shared" si="33"/>
        <v>12</v>
      </c>
      <c r="C314" s="3">
        <f t="shared" si="34"/>
        <v>180177.79967999997</v>
      </c>
      <c r="D314" s="3">
        <f t="shared" si="35"/>
        <v>7654.2796799999196</v>
      </c>
      <c r="E314" s="3">
        <f>SUM($D$24:D314)</f>
        <v>298077.79968000005</v>
      </c>
      <c r="F314" s="3">
        <f t="shared" si="36"/>
        <v>4967.9633280000007</v>
      </c>
      <c r="G314" s="3">
        <f t="shared" si="36"/>
        <v>82.799388800000017</v>
      </c>
      <c r="H314" s="3">
        <f t="shared" si="37"/>
        <v>3.449974533333334</v>
      </c>
      <c r="I314" s="3">
        <f>IF(ISNA(MATCH(H314,关卡!$E$19:$E$2018,1)),0,MATCH(H314,关卡!$E$19:$E$2018,1))</f>
        <v>418</v>
      </c>
      <c r="J314" s="3">
        <f>VLOOKUP($I314,关卡!$A$17:$G$2018,6,0)</f>
        <v>34.136302574639004</v>
      </c>
      <c r="K314" s="3">
        <f>VLOOKUP($I314,关卡!$A$17:$G$2018,7,0)</f>
        <v>34.002812177294999</v>
      </c>
      <c r="L314" s="3">
        <f t="shared" si="38"/>
        <v>122890.68926870041</v>
      </c>
      <c r="M314" s="3">
        <f t="shared" si="39"/>
        <v>122410.12383826199</v>
      </c>
      <c r="N314" s="3">
        <f>INT(D314*J314*VLOOKUP(A314,经验产出!$I$7:$J$557,2,0))</f>
        <v>1212996</v>
      </c>
      <c r="O314" s="3">
        <f>SUM($N$24:N313)</f>
        <v>24383197</v>
      </c>
      <c r="P314" s="3">
        <f>K314*VLOOKUP(A314,金币产出!$I$7:$J$557,2,0)</f>
        <v>122.26844545418993</v>
      </c>
    </row>
    <row r="315" spans="1:16" x14ac:dyDescent="0.15">
      <c r="A315" s="3">
        <v>292</v>
      </c>
      <c r="B315" s="3">
        <f t="shared" si="33"/>
        <v>12</v>
      </c>
      <c r="C315" s="3">
        <f t="shared" si="34"/>
        <v>188047.31903999997</v>
      </c>
      <c r="D315" s="3">
        <f t="shared" si="35"/>
        <v>7869.5193600000057</v>
      </c>
      <c r="E315" s="3">
        <f>SUM($D$24:D315)</f>
        <v>305947.31904000009</v>
      </c>
      <c r="F315" s="3">
        <f t="shared" si="36"/>
        <v>5099.1219840000012</v>
      </c>
      <c r="G315" s="3">
        <f t="shared" si="36"/>
        <v>84.985366400000018</v>
      </c>
      <c r="H315" s="3">
        <f t="shared" si="37"/>
        <v>3.5410569333333339</v>
      </c>
      <c r="I315" s="3">
        <f>IF(ISNA(MATCH(H315,关卡!$E$19:$E$2018,1)),0,MATCH(H315,关卡!$E$19:$E$2018,1))</f>
        <v>424</v>
      </c>
      <c r="J315" s="3">
        <f>VLOOKUP($I315,关卡!$A$17:$G$2018,6,0)</f>
        <v>34.853203691264</v>
      </c>
      <c r="K315" s="3">
        <f>VLOOKUP($I315,关卡!$A$17:$G$2018,7,0)</f>
        <v>34.562715697919998</v>
      </c>
      <c r="L315" s="3">
        <f t="shared" si="38"/>
        <v>125471.5332885504</v>
      </c>
      <c r="M315" s="3">
        <f t="shared" si="39"/>
        <v>124425.77651251199</v>
      </c>
      <c r="N315" s="3">
        <f>INT(D315*J315*VLOOKUP(A315,经验产出!$I$7:$J$557,2,0))</f>
        <v>1273297</v>
      </c>
      <c r="O315" s="3">
        <f>SUM($N$24:N314)</f>
        <v>25596193</v>
      </c>
      <c r="P315" s="3">
        <f>K315*VLOOKUP(A315,金币产出!$I$7:$J$557,2,0)</f>
        <v>124.28176519710399</v>
      </c>
    </row>
    <row r="316" spans="1:16" x14ac:dyDescent="0.15">
      <c r="A316" s="3">
        <v>293</v>
      </c>
      <c r="B316" s="3">
        <f t="shared" si="33"/>
        <v>12</v>
      </c>
      <c r="C316" s="3">
        <f t="shared" si="34"/>
        <v>196135.81055999998</v>
      </c>
      <c r="D316" s="3">
        <f t="shared" si="35"/>
        <v>8088.4915200000105</v>
      </c>
      <c r="E316" s="3">
        <f>SUM($D$24:D316)</f>
        <v>314035.81056000013</v>
      </c>
      <c r="F316" s="3">
        <f t="shared" si="36"/>
        <v>5233.9301760000026</v>
      </c>
      <c r="G316" s="3">
        <f t="shared" si="36"/>
        <v>87.232169600000049</v>
      </c>
      <c r="H316" s="3">
        <f t="shared" si="37"/>
        <v>3.6346737333333352</v>
      </c>
      <c r="I316" s="3">
        <f>IF(ISNA(MATCH(H316,关卡!$E$19:$E$2018,1)),0,MATCH(H316,关卡!$E$19:$E$2018,1))</f>
        <v>431</v>
      </c>
      <c r="J316" s="3">
        <f>VLOOKUP($I316,关卡!$A$17:$G$2018,6,0)</f>
        <v>35.700934193704938</v>
      </c>
      <c r="K316" s="3">
        <f>VLOOKUP($I316,关卡!$A$17:$G$2018,7,0)</f>
        <v>35.222104779155934</v>
      </c>
      <c r="L316" s="3">
        <f t="shared" si="38"/>
        <v>128523.36309733777</v>
      </c>
      <c r="M316" s="3">
        <f t="shared" si="39"/>
        <v>126799.57720496136</v>
      </c>
      <c r="N316" s="3">
        <f>INT(D316*J316*VLOOKUP(A316,经验产出!$I$7:$J$557,2,0))</f>
        <v>1340559</v>
      </c>
      <c r="O316" s="3">
        <f>SUM($N$24:N315)</f>
        <v>26869490</v>
      </c>
      <c r="P316" s="3">
        <f>K316*VLOOKUP(A316,金币产出!$I$7:$J$557,2,0)</f>
        <v>126.6528184350482</v>
      </c>
    </row>
    <row r="317" spans="1:16" x14ac:dyDescent="0.15">
      <c r="A317" s="3">
        <v>294</v>
      </c>
      <c r="B317" s="3">
        <f t="shared" si="33"/>
        <v>12</v>
      </c>
      <c r="C317" s="3">
        <f t="shared" si="34"/>
        <v>204447.00671999998</v>
      </c>
      <c r="D317" s="3">
        <f t="shared" si="35"/>
        <v>8311.1961599999922</v>
      </c>
      <c r="E317" s="3">
        <f>SUM($D$24:D317)</f>
        <v>322347.00672000012</v>
      </c>
      <c r="F317" s="3">
        <f t="shared" si="36"/>
        <v>5372.4501120000023</v>
      </c>
      <c r="G317" s="3">
        <f t="shared" si="36"/>
        <v>89.540835200000032</v>
      </c>
      <c r="H317" s="3">
        <f t="shared" si="37"/>
        <v>3.7308681333333347</v>
      </c>
      <c r="I317" s="3">
        <f>IF(ISNA(MATCH(H317,关卡!$E$19:$E$2018,1)),0,MATCH(H317,关卡!$E$19:$E$2018,1))</f>
        <v>438</v>
      </c>
      <c r="J317" s="3">
        <f>VLOOKUP($I317,关卡!$A$17:$G$2018,6,0)</f>
        <v>36.561040450879005</v>
      </c>
      <c r="K317" s="3">
        <f>VLOOKUP($I317,关卡!$A$17:$G$2018,7,0)</f>
        <v>35.888193314495005</v>
      </c>
      <c r="L317" s="3">
        <f t="shared" si="38"/>
        <v>131619.74562316443</v>
      </c>
      <c r="M317" s="3">
        <f t="shared" si="39"/>
        <v>129197.49593218204</v>
      </c>
      <c r="N317" s="3">
        <f>INT(D317*J317*VLOOKUP(A317,经验产出!$I$7:$J$557,2,0))</f>
        <v>1410655</v>
      </c>
      <c r="O317" s="3">
        <f>SUM($N$24:N316)</f>
        <v>28210049</v>
      </c>
      <c r="P317" s="3">
        <f>K317*VLOOKUP(A317,金币产出!$I$7:$J$557,2,0)</f>
        <v>129.04796179337163</v>
      </c>
    </row>
    <row r="318" spans="1:16" x14ac:dyDescent="0.15">
      <c r="A318" s="3">
        <v>295</v>
      </c>
      <c r="B318" s="3">
        <f t="shared" si="33"/>
        <v>12</v>
      </c>
      <c r="C318" s="3">
        <f t="shared" si="34"/>
        <v>212984.63999999998</v>
      </c>
      <c r="D318" s="3">
        <f t="shared" si="35"/>
        <v>8537.6332800000091</v>
      </c>
      <c r="E318" s="3">
        <f>SUM($D$24:D318)</f>
        <v>330884.64000000013</v>
      </c>
      <c r="F318" s="3">
        <f t="shared" si="36"/>
        <v>5514.7440000000024</v>
      </c>
      <c r="G318" s="3">
        <f t="shared" si="36"/>
        <v>91.912400000000034</v>
      </c>
      <c r="H318" s="3">
        <f t="shared" si="37"/>
        <v>3.8296833333333349</v>
      </c>
      <c r="I318" s="3">
        <f>IF(ISNA(MATCH(H318,关卡!$E$19:$E$2018,1)),0,MATCH(H318,关卡!$E$19:$E$2018,1))</f>
        <v>445</v>
      </c>
      <c r="J318" s="3">
        <f>VLOOKUP($I318,关卡!$A$17:$G$2018,6,0)</f>
        <v>37.433688834335946</v>
      </c>
      <c r="K318" s="3">
        <f>VLOOKUP($I318,关卡!$A$17:$G$2018,7,0)</f>
        <v>36.56104112871094</v>
      </c>
      <c r="L318" s="3">
        <f t="shared" si="38"/>
        <v>134761.27980360942</v>
      </c>
      <c r="M318" s="3">
        <f t="shared" si="39"/>
        <v>131619.74806335938</v>
      </c>
      <c r="N318" s="3">
        <f>INT(D318*J318*VLOOKUP(A318,经验产出!$I$7:$J$557,2,0))</f>
        <v>1483675</v>
      </c>
      <c r="O318" s="3">
        <f>SUM($N$24:N317)</f>
        <v>29620704</v>
      </c>
      <c r="P318" s="3">
        <f>K318*VLOOKUP(A318,金币产出!$I$7:$J$557,2,0)</f>
        <v>131.46741039198974</v>
      </c>
    </row>
    <row r="319" spans="1:16" x14ac:dyDescent="0.15">
      <c r="A319" s="3">
        <v>296</v>
      </c>
      <c r="B319" s="3">
        <f t="shared" si="33"/>
        <v>12</v>
      </c>
      <c r="C319" s="3">
        <f t="shared" si="34"/>
        <v>221752.44288000002</v>
      </c>
      <c r="D319" s="3">
        <f t="shared" si="35"/>
        <v>8767.802880000032</v>
      </c>
      <c r="E319" s="3">
        <f>SUM($D$24:D319)</f>
        <v>339652.44288000016</v>
      </c>
      <c r="F319" s="3">
        <f t="shared" si="36"/>
        <v>5660.8740480000024</v>
      </c>
      <c r="G319" s="3">
        <f t="shared" si="36"/>
        <v>94.347900800000033</v>
      </c>
      <c r="H319" s="3">
        <f t="shared" si="37"/>
        <v>3.9311625333333349</v>
      </c>
      <c r="I319" s="3">
        <f>IF(ISNA(MATCH(H319,关卡!$E$19:$E$2018,1)),0,MATCH(H319,关卡!$E$19:$E$2018,1))</f>
        <v>452</v>
      </c>
      <c r="J319" s="3">
        <f>VLOOKUP($I319,关卡!$A$17:$G$2018,6,0)</f>
        <v>38.319047152624009</v>
      </c>
      <c r="K319" s="3">
        <f>VLOOKUP($I319,关卡!$A$17:$G$2018,7,0)</f>
        <v>37.240708388720002</v>
      </c>
      <c r="L319" s="3">
        <f t="shared" si="38"/>
        <v>137948.56974944644</v>
      </c>
      <c r="M319" s="3">
        <f t="shared" si="39"/>
        <v>134066.55019939202</v>
      </c>
      <c r="N319" s="3">
        <f>INT(D319*J319*VLOOKUP(A319,经验产出!$I$7:$J$557,2,0))</f>
        <v>1559711</v>
      </c>
      <c r="O319" s="3">
        <f>SUM($N$24:N318)</f>
        <v>31104379</v>
      </c>
      <c r="P319" s="3">
        <f>K319*VLOOKUP(A319,金币产出!$I$7:$J$557,2,0)</f>
        <v>133.91138058110567</v>
      </c>
    </row>
    <row r="320" spans="1:16" x14ac:dyDescent="0.15">
      <c r="A320" s="3">
        <v>297</v>
      </c>
      <c r="B320" s="3">
        <f t="shared" si="33"/>
        <v>12</v>
      </c>
      <c r="C320" s="3">
        <f t="shared" si="34"/>
        <v>230754.14783999999</v>
      </c>
      <c r="D320" s="3">
        <f t="shared" si="35"/>
        <v>9001.7049599999737</v>
      </c>
      <c r="E320" s="3">
        <f>SUM($D$24:D320)</f>
        <v>348654.14784000011</v>
      </c>
      <c r="F320" s="3">
        <f t="shared" si="36"/>
        <v>5810.9024640000016</v>
      </c>
      <c r="G320" s="3">
        <f t="shared" si="36"/>
        <v>96.848374400000026</v>
      </c>
      <c r="H320" s="3">
        <f t="shared" si="37"/>
        <v>4.0353489333333341</v>
      </c>
      <c r="I320" s="3">
        <f>IF(ISNA(MATCH(H320,关卡!$E$19:$E$2018,1)),0,MATCH(H320,关卡!$E$19:$E$2018,1))</f>
        <v>459</v>
      </c>
      <c r="J320" s="3">
        <f>VLOOKUP($I320,关卡!$A$17:$G$2018,6,0)</f>
        <v>39.217284651289937</v>
      </c>
      <c r="K320" s="3">
        <f>VLOOKUP($I320,关卡!$A$17:$G$2018,7,0)</f>
        <v>37.927255603580939</v>
      </c>
      <c r="L320" s="3">
        <f t="shared" si="38"/>
        <v>141182.22474464378</v>
      </c>
      <c r="M320" s="3">
        <f t="shared" si="39"/>
        <v>136538.12017289136</v>
      </c>
      <c r="N320" s="3">
        <f>INT(D320*J320*VLOOKUP(A320,经验产出!$I$7:$J$557,2,0))</f>
        <v>1638857</v>
      </c>
      <c r="O320" s="3">
        <f>SUM($N$24:N319)</f>
        <v>32664090</v>
      </c>
      <c r="P320" s="3">
        <f>K320*VLOOKUP(A320,金币产出!$I$7:$J$557,2,0)</f>
        <v>136.38008994120977</v>
      </c>
    </row>
    <row r="321" spans="1:16" x14ac:dyDescent="0.15">
      <c r="A321" s="3">
        <v>298</v>
      </c>
      <c r="B321" s="3">
        <f t="shared" si="33"/>
        <v>12</v>
      </c>
      <c r="C321" s="3">
        <f t="shared" si="34"/>
        <v>239993.48736</v>
      </c>
      <c r="D321" s="3">
        <f t="shared" si="35"/>
        <v>9239.3395200000086</v>
      </c>
      <c r="E321" s="3">
        <f>SUM($D$24:D321)</f>
        <v>357893.48736000014</v>
      </c>
      <c r="F321" s="3">
        <f t="shared" si="36"/>
        <v>5964.8914560000021</v>
      </c>
      <c r="G321" s="3">
        <f t="shared" si="36"/>
        <v>99.414857600000033</v>
      </c>
      <c r="H321" s="3">
        <f t="shared" si="37"/>
        <v>4.1422857333333347</v>
      </c>
      <c r="I321" s="3">
        <f>IF(ISNA(MATCH(H321,关卡!$E$19:$E$2018,1)),0,MATCH(H321,关卡!$E$19:$E$2018,1))</f>
        <v>467</v>
      </c>
      <c r="J321" s="3">
        <f>VLOOKUP($I321,关卡!$A$17:$G$2018,6,0)</f>
        <v>40.259831234779945</v>
      </c>
      <c r="K321" s="3">
        <f>VLOOKUP($I321,关卡!$A$17:$G$2018,7,0)</f>
        <v>38.720383502030948</v>
      </c>
      <c r="L321" s="3">
        <f t="shared" si="38"/>
        <v>144935.39244520778</v>
      </c>
      <c r="M321" s="3">
        <f t="shared" si="39"/>
        <v>139393.38060731141</v>
      </c>
      <c r="N321" s="3">
        <f>INT(D321*J321*VLOOKUP(A321,经验产出!$I$7:$J$557,2,0))</f>
        <v>1726838</v>
      </c>
      <c r="O321" s="3">
        <f>SUM($N$24:N320)</f>
        <v>34302947</v>
      </c>
      <c r="P321" s="3">
        <f>K321*VLOOKUP(A321,金币产出!$I$7:$J$557,2,0)</f>
        <v>139.23204567605293</v>
      </c>
    </row>
    <row r="322" spans="1:16" x14ac:dyDescent="0.15">
      <c r="A322" s="3">
        <v>299</v>
      </c>
      <c r="B322" s="3">
        <f t="shared" si="33"/>
        <v>12</v>
      </c>
      <c r="C322" s="3">
        <f t="shared" si="34"/>
        <v>249474.19392000002</v>
      </c>
      <c r="D322" s="3">
        <f t="shared" si="35"/>
        <v>9480.7065600000205</v>
      </c>
      <c r="E322" s="3">
        <f>SUM($D$24:D322)</f>
        <v>367374.19392000017</v>
      </c>
      <c r="F322" s="3">
        <f t="shared" si="36"/>
        <v>6122.9032320000024</v>
      </c>
      <c r="G322" s="3">
        <f t="shared" si="36"/>
        <v>102.04838720000004</v>
      </c>
      <c r="H322" s="3">
        <f t="shared" si="37"/>
        <v>4.2520161333333348</v>
      </c>
      <c r="I322" s="3">
        <f>IF(ISNA(MATCH(H322,关卡!$E$19:$E$2018,1)),0,MATCH(H322,关卡!$E$19:$E$2018,1))</f>
        <v>474</v>
      </c>
      <c r="J322" s="3">
        <f>VLOOKUP($I322,关卡!$A$17:$G$2018,6,0)</f>
        <v>41.186243567838993</v>
      </c>
      <c r="K322" s="3">
        <f>VLOOKUP($I322,关卡!$A$17:$G$2018,7,0)</f>
        <v>39.421878823295003</v>
      </c>
      <c r="L322" s="3">
        <f t="shared" si="38"/>
        <v>148270.47684422036</v>
      </c>
      <c r="M322" s="3">
        <f t="shared" si="39"/>
        <v>141918.76376386202</v>
      </c>
      <c r="N322" s="3">
        <f>INT(D322*J322*VLOOKUP(A322,经验产出!$I$7:$J$557,2,0))</f>
        <v>1812724</v>
      </c>
      <c r="O322" s="3">
        <f>SUM($N$24:N321)</f>
        <v>36029785</v>
      </c>
      <c r="P322" s="3">
        <f>K322*VLOOKUP(A322,金币产出!$I$7:$J$557,2,0)</f>
        <v>141.75450593543161</v>
      </c>
    </row>
    <row r="323" spans="1:16" x14ac:dyDescent="0.15">
      <c r="A323" s="3">
        <v>300</v>
      </c>
      <c r="B323" s="3">
        <f t="shared" si="33"/>
        <v>12</v>
      </c>
      <c r="C323" s="3">
        <f t="shared" si="34"/>
        <v>259200</v>
      </c>
      <c r="D323" s="3">
        <f t="shared" si="35"/>
        <v>9725.8060799999803</v>
      </c>
      <c r="E323" s="3">
        <f>SUM($D$24:D323)</f>
        <v>377100.00000000012</v>
      </c>
      <c r="F323" s="3">
        <f t="shared" si="36"/>
        <v>6285.0000000000018</v>
      </c>
      <c r="G323" s="3">
        <f t="shared" si="36"/>
        <v>104.75000000000003</v>
      </c>
      <c r="H323" s="3">
        <f t="shared" si="37"/>
        <v>4.3645833333333348</v>
      </c>
      <c r="I323" s="3">
        <f>IF(ISNA(MATCH(H323,关卡!$E$19:$E$2018,1)),0,MATCH(H323,关卡!$E$19:$E$2018,1))</f>
        <v>482</v>
      </c>
      <c r="J323" s="3">
        <f>VLOOKUP($I323,关卡!$A$17:$G$2018,6,0)</f>
        <v>42.261443921839003</v>
      </c>
      <c r="K323" s="3">
        <f>VLOOKUP($I323,关卡!$A$17:$G$2018,7,0)</f>
        <v>40.232251393294995</v>
      </c>
      <c r="L323" s="3">
        <f t="shared" si="38"/>
        <v>152141.19811862041</v>
      </c>
      <c r="M323" s="3">
        <f t="shared" si="39"/>
        <v>144836.10501586198</v>
      </c>
      <c r="N323" s="3">
        <f>INT(D323*J323*VLOOKUP(A323,经验产出!$I$7:$J$557,2,0))</f>
        <v>1908133</v>
      </c>
      <c r="O323" s="3">
        <f>SUM($N$24:N322)</f>
        <v>37842509</v>
      </c>
      <c r="P323" s="3">
        <f>K323*VLOOKUP(A323,金币产出!$I$7:$J$557,2,0)</f>
        <v>144.66847063505659</v>
      </c>
    </row>
    <row r="324" spans="1:16" x14ac:dyDescent="0.15">
      <c r="A324" s="3">
        <v>301</v>
      </c>
      <c r="B324" s="3">
        <f t="shared" si="33"/>
        <v>13</v>
      </c>
      <c r="C324" s="3">
        <f t="shared" si="34"/>
        <v>12096</v>
      </c>
      <c r="D324" s="3">
        <f t="shared" si="35"/>
        <v>12096</v>
      </c>
      <c r="E324" s="3">
        <f>SUM($D$24:D324)</f>
        <v>389196.00000000012</v>
      </c>
      <c r="F324" s="3">
        <f t="shared" si="36"/>
        <v>6486.6000000000022</v>
      </c>
      <c r="G324" s="3">
        <f t="shared" si="36"/>
        <v>108.11000000000004</v>
      </c>
      <c r="H324" s="3">
        <f t="shared" si="37"/>
        <v>4.5045833333333354</v>
      </c>
      <c r="I324" s="3">
        <f>IF(ISNA(MATCH(H324,关卡!$E$19:$E$2018,1)),0,MATCH(H324,关卡!$E$19:$E$2018,1))</f>
        <v>491</v>
      </c>
      <c r="J324" s="3">
        <f>VLOOKUP($I324,关卡!$A$17:$G$2018,6,0)</f>
        <v>43.49232262348994</v>
      </c>
      <c r="K324" s="3">
        <f>VLOOKUP($I324,关卡!$A$17:$G$2018,7,0)</f>
        <v>41.155077244580937</v>
      </c>
      <c r="L324" s="3">
        <f t="shared" si="38"/>
        <v>156572.36144456378</v>
      </c>
      <c r="M324" s="3">
        <f t="shared" si="39"/>
        <v>148158.27808049135</v>
      </c>
      <c r="N324" s="3">
        <f>INT(D324*J324*VLOOKUP(A324,经验产出!$I$7:$J$557,2,0))</f>
        <v>2442267</v>
      </c>
      <c r="O324" s="3">
        <f>SUM($N$24:N323)</f>
        <v>39750642</v>
      </c>
      <c r="P324" s="3">
        <f>K324*VLOOKUP(A324,金币产出!$I$7:$J$557,2,0)</f>
        <v>147.98679859197227</v>
      </c>
    </row>
    <row r="325" spans="1:16" x14ac:dyDescent="0.15">
      <c r="A325" s="3">
        <v>302</v>
      </c>
      <c r="B325" s="3">
        <f t="shared" si="33"/>
        <v>13</v>
      </c>
      <c r="C325" s="3">
        <f t="shared" si="34"/>
        <v>24192</v>
      </c>
      <c r="D325" s="3">
        <f t="shared" si="35"/>
        <v>12096</v>
      </c>
      <c r="E325" s="3">
        <f>SUM($D$24:D325)</f>
        <v>401292.00000000012</v>
      </c>
      <c r="F325" s="3">
        <f t="shared" si="36"/>
        <v>6688.2000000000016</v>
      </c>
      <c r="G325" s="3">
        <f t="shared" si="36"/>
        <v>111.47000000000003</v>
      </c>
      <c r="H325" s="3">
        <f t="shared" si="37"/>
        <v>4.6445833333333342</v>
      </c>
      <c r="I325" s="3">
        <f>IF(ISNA(MATCH(H325,关卡!$E$19:$E$2018,1)),0,MATCH(H325,关卡!$E$19:$E$2018,1))</f>
        <v>501</v>
      </c>
      <c r="J325" s="3">
        <f>VLOOKUP($I325,关卡!$A$17:$G$2018,6,0)</f>
        <v>44.886831243649944</v>
      </c>
      <c r="K325" s="3">
        <f>VLOOKUP($I325,关卡!$A$17:$G$2018,7,0)</f>
        <v>42.194449561880937</v>
      </c>
      <c r="L325" s="3">
        <f t="shared" si="38"/>
        <v>161592.59247713981</v>
      </c>
      <c r="M325" s="3">
        <f t="shared" si="39"/>
        <v>151900.01842277139</v>
      </c>
      <c r="N325" s="3">
        <f>INT(D325*J325*VLOOKUP(A325,经验产出!$I$7:$J$557,2,0))</f>
        <v>2520575</v>
      </c>
      <c r="O325" s="3">
        <f>SUM($N$24:N324)</f>
        <v>42192909</v>
      </c>
      <c r="P325" s="3">
        <f>K325*VLOOKUP(A325,金币产出!$I$7:$J$557,2,0)</f>
        <v>151.72420821626352</v>
      </c>
    </row>
    <row r="326" spans="1:16" x14ac:dyDescent="0.15">
      <c r="A326" s="3">
        <v>303</v>
      </c>
      <c r="B326" s="3">
        <f t="shared" si="33"/>
        <v>13</v>
      </c>
      <c r="C326" s="3">
        <f t="shared" si="34"/>
        <v>36288</v>
      </c>
      <c r="D326" s="3">
        <f t="shared" si="35"/>
        <v>12096</v>
      </c>
      <c r="E326" s="3">
        <f>SUM($D$24:D326)</f>
        <v>413388.00000000012</v>
      </c>
      <c r="F326" s="3">
        <f t="shared" si="36"/>
        <v>6889.800000000002</v>
      </c>
      <c r="G326" s="3">
        <f t="shared" si="36"/>
        <v>114.83000000000003</v>
      </c>
      <c r="H326" s="3">
        <f t="shared" si="37"/>
        <v>4.7845833333333347</v>
      </c>
      <c r="I326" s="3">
        <f>IF(ISNA(MATCH(H326,关卡!$E$19:$E$2018,1)),0,MATCH(H326,关卡!$E$19:$E$2018,1))</f>
        <v>510</v>
      </c>
      <c r="J326" s="3">
        <f>VLOOKUP($I326,关卡!$A$17:$G$2018,6,0)</f>
        <v>46.166484499375002</v>
      </c>
      <c r="K326" s="3">
        <f>VLOOKUP($I326,关卡!$A$17:$G$2018,7,0)</f>
        <v>43.142640059374997</v>
      </c>
      <c r="L326" s="3">
        <f t="shared" si="38"/>
        <v>166199.34419775</v>
      </c>
      <c r="M326" s="3">
        <f t="shared" si="39"/>
        <v>155313.50421374998</v>
      </c>
      <c r="N326" s="3">
        <f>INT(D326*J326*VLOOKUP(A326,经验产出!$I$7:$J$557,2,0))</f>
        <v>2592432</v>
      </c>
      <c r="O326" s="3">
        <f>SUM($N$24:N325)</f>
        <v>44713484</v>
      </c>
      <c r="P326" s="3">
        <f>K326*VLOOKUP(A326,金币产出!$I$7:$J$557,2,0)</f>
        <v>155.13374321350258</v>
      </c>
    </row>
    <row r="327" spans="1:16" x14ac:dyDescent="0.15">
      <c r="A327" s="3">
        <v>304</v>
      </c>
      <c r="B327" s="3">
        <f t="shared" si="33"/>
        <v>13</v>
      </c>
      <c r="C327" s="3">
        <f t="shared" si="34"/>
        <v>48384</v>
      </c>
      <c r="D327" s="3">
        <f t="shared" si="35"/>
        <v>12096</v>
      </c>
      <c r="E327" s="3">
        <f>SUM($D$24:D327)</f>
        <v>425484.00000000012</v>
      </c>
      <c r="F327" s="3">
        <f t="shared" si="36"/>
        <v>7091.4000000000024</v>
      </c>
      <c r="G327" s="3">
        <f t="shared" si="36"/>
        <v>118.19000000000004</v>
      </c>
      <c r="H327" s="3">
        <f t="shared" si="37"/>
        <v>4.9245833333333353</v>
      </c>
      <c r="I327" s="3">
        <f>IF(ISNA(MATCH(H327,关卡!$E$19:$E$2018,1)),0,MATCH(H327,关卡!$E$19:$E$2018,1))</f>
        <v>519</v>
      </c>
      <c r="J327" s="3">
        <f>VLOOKUP($I327,关卡!$A$17:$G$2018,6,0)</f>
        <v>47.46983746125494</v>
      </c>
      <c r="K327" s="3">
        <f>VLOOKUP($I327,关卡!$A$17:$G$2018,7,0)</f>
        <v>44.103054111905934</v>
      </c>
      <c r="L327" s="3">
        <f t="shared" si="38"/>
        <v>170891.41486051781</v>
      </c>
      <c r="M327" s="3">
        <f t="shared" si="39"/>
        <v>158770.99480286136</v>
      </c>
      <c r="N327" s="3">
        <f>INT(D327*J327*VLOOKUP(A327,经验产出!$I$7:$J$557,2,0))</f>
        <v>2665621</v>
      </c>
      <c r="O327" s="3">
        <f>SUM($N$24:N326)</f>
        <v>47305916</v>
      </c>
      <c r="P327" s="3">
        <f>K327*VLOOKUP(A327,金币产出!$I$7:$J$557,2,0)</f>
        <v>158.58723207739507</v>
      </c>
    </row>
    <row r="328" spans="1:16" x14ac:dyDescent="0.15">
      <c r="A328" s="3">
        <v>305</v>
      </c>
      <c r="B328" s="3">
        <f t="shared" si="33"/>
        <v>13</v>
      </c>
      <c r="C328" s="3">
        <f t="shared" si="34"/>
        <v>60480</v>
      </c>
      <c r="D328" s="3">
        <f t="shared" si="35"/>
        <v>12096</v>
      </c>
      <c r="E328" s="3">
        <f>SUM($D$24:D328)</f>
        <v>437580.00000000012</v>
      </c>
      <c r="F328" s="3">
        <f t="shared" si="36"/>
        <v>7293.0000000000018</v>
      </c>
      <c r="G328" s="3">
        <f t="shared" si="36"/>
        <v>121.55000000000003</v>
      </c>
      <c r="H328" s="3">
        <f t="shared" si="37"/>
        <v>5.0645833333333341</v>
      </c>
      <c r="I328" s="3">
        <f>IF(ISNA(MATCH(H328,关卡!$E$19:$E$2018,1)),0,MATCH(H328,关卡!$E$19:$E$2018,1))</f>
        <v>528</v>
      </c>
      <c r="J328" s="3">
        <f>VLOOKUP($I328,关卡!$A$17:$G$2018,6,0)</f>
        <v>48.797278633984007</v>
      </c>
      <c r="K328" s="3">
        <f>VLOOKUP($I328,关卡!$A$17:$G$2018,7,0)</f>
        <v>45.075827179520012</v>
      </c>
      <c r="L328" s="3">
        <f t="shared" si="38"/>
        <v>175670.20308234243</v>
      </c>
      <c r="M328" s="3">
        <f t="shared" si="39"/>
        <v>162272.97784627203</v>
      </c>
      <c r="N328" s="3">
        <f>INT(D328*J328*VLOOKUP(A328,经验产出!$I$7:$J$557,2,0))</f>
        <v>2740162</v>
      </c>
      <c r="O328" s="3">
        <f>SUM($N$24:N327)</f>
        <v>49971537</v>
      </c>
      <c r="P328" s="3">
        <f>K328*VLOOKUP(A328,金币产出!$I$7:$J$557,2,0)</f>
        <v>162.08516189969069</v>
      </c>
    </row>
    <row r="329" spans="1:16" x14ac:dyDescent="0.15">
      <c r="A329" s="3">
        <v>306</v>
      </c>
      <c r="B329" s="3">
        <f t="shared" si="33"/>
        <v>13</v>
      </c>
      <c r="C329" s="3">
        <f t="shared" si="34"/>
        <v>72576</v>
      </c>
      <c r="D329" s="3">
        <f t="shared" si="35"/>
        <v>12096</v>
      </c>
      <c r="E329" s="3">
        <f>SUM($D$24:D329)</f>
        <v>449676.00000000012</v>
      </c>
      <c r="F329" s="3">
        <f t="shared" si="36"/>
        <v>7494.6000000000022</v>
      </c>
      <c r="G329" s="3">
        <f t="shared" si="36"/>
        <v>124.91000000000004</v>
      </c>
      <c r="H329" s="3">
        <f t="shared" si="37"/>
        <v>5.2045833333333347</v>
      </c>
      <c r="I329" s="3">
        <f>IF(ISNA(MATCH(H329,关卡!$E$19:$E$2018,1)),0,MATCH(H329,关卡!$E$19:$E$2018,1))</f>
        <v>537</v>
      </c>
      <c r="J329" s="3">
        <f>VLOOKUP($I329,关卡!$A$17:$G$2018,6,0)</f>
        <v>50.149200449014948</v>
      </c>
      <c r="K329" s="3">
        <f>VLOOKUP($I329,关卡!$A$17:$G$2018,7,0)</f>
        <v>46.061095657205939</v>
      </c>
      <c r="L329" s="3">
        <f t="shared" si="38"/>
        <v>180537.12161645381</v>
      </c>
      <c r="M329" s="3">
        <f t="shared" si="39"/>
        <v>165819.9443659414</v>
      </c>
      <c r="N329" s="3">
        <f>INT(D329*J329*VLOOKUP(A329,经验产出!$I$7:$J$557,2,0))</f>
        <v>2816078</v>
      </c>
      <c r="O329" s="3">
        <f>SUM($N$24:N328)</f>
        <v>52711699</v>
      </c>
      <c r="P329" s="3">
        <f>K329*VLOOKUP(A329,金币产出!$I$7:$J$557,2,0)</f>
        <v>165.62802313403634</v>
      </c>
    </row>
    <row r="330" spans="1:16" x14ac:dyDescent="0.15">
      <c r="A330" s="3">
        <v>307</v>
      </c>
      <c r="B330" s="3">
        <f t="shared" si="33"/>
        <v>13</v>
      </c>
      <c r="C330" s="3">
        <f t="shared" si="34"/>
        <v>84672.000000000015</v>
      </c>
      <c r="D330" s="3">
        <f t="shared" si="35"/>
        <v>12096.000000000015</v>
      </c>
      <c r="E330" s="3">
        <f>SUM($D$24:D330)</f>
        <v>461772.00000000012</v>
      </c>
      <c r="F330" s="3">
        <f t="shared" si="36"/>
        <v>7696.2000000000016</v>
      </c>
      <c r="G330" s="3">
        <f t="shared" si="36"/>
        <v>128.27000000000004</v>
      </c>
      <c r="H330" s="3">
        <f t="shared" si="37"/>
        <v>5.3445833333333352</v>
      </c>
      <c r="I330" s="3">
        <f>IF(ISNA(MATCH(H330,关卡!$E$19:$E$2018,1)),0,MATCH(H330,关卡!$E$19:$E$2018,1))</f>
        <v>546</v>
      </c>
      <c r="J330" s="3">
        <f>VLOOKUP($I330,关卡!$A$17:$G$2018,6,0)</f>
        <v>51.525999264559019</v>
      </c>
      <c r="K330" s="3">
        <f>VLOOKUP($I330,关卡!$A$17:$G$2018,7,0)</f>
        <v>47.058996874895001</v>
      </c>
      <c r="L330" s="3">
        <f t="shared" si="38"/>
        <v>185493.59735241247</v>
      </c>
      <c r="M330" s="3">
        <f t="shared" si="39"/>
        <v>169412.38874962201</v>
      </c>
      <c r="N330" s="3">
        <f>INT(D330*J330*VLOOKUP(A330,经验产出!$I$7:$J$557,2,0))</f>
        <v>2893390</v>
      </c>
      <c r="O330" s="3">
        <f>SUM($N$24:N329)</f>
        <v>55527777</v>
      </c>
      <c r="P330" s="3">
        <f>K330*VLOOKUP(A330,金币产出!$I$7:$J$557,2,0)</f>
        <v>169.21630959597661</v>
      </c>
    </row>
    <row r="331" spans="1:16" x14ac:dyDescent="0.15">
      <c r="A331" s="3">
        <v>308</v>
      </c>
      <c r="B331" s="3">
        <f t="shared" si="33"/>
        <v>13</v>
      </c>
      <c r="C331" s="3">
        <f t="shared" si="34"/>
        <v>96768</v>
      </c>
      <c r="D331" s="3">
        <f t="shared" si="35"/>
        <v>12095.999999999985</v>
      </c>
      <c r="E331" s="3">
        <f>SUM($D$24:D331)</f>
        <v>473868.00000000012</v>
      </c>
      <c r="F331" s="3">
        <f t="shared" si="36"/>
        <v>7897.800000000002</v>
      </c>
      <c r="G331" s="3">
        <f t="shared" si="36"/>
        <v>131.63000000000002</v>
      </c>
      <c r="H331" s="3">
        <f t="shared" si="37"/>
        <v>5.484583333333334</v>
      </c>
      <c r="I331" s="3">
        <f>IF(ISNA(MATCH(H331,关卡!$E$19:$E$2018,1)),0,MATCH(H331,关卡!$E$19:$E$2018,1))</f>
        <v>555</v>
      </c>
      <c r="J331" s="3">
        <f>VLOOKUP($I331,关卡!$A$17:$G$2018,6,0)</f>
        <v>52.928075365585947</v>
      </c>
      <c r="K331" s="3">
        <f>VLOOKUP($I331,关卡!$A$17:$G$2018,7,0)</f>
        <v>48.069669097460938</v>
      </c>
      <c r="L331" s="3">
        <f t="shared" si="38"/>
        <v>190541.07131610939</v>
      </c>
      <c r="M331" s="3">
        <f t="shared" si="39"/>
        <v>173050.80875085937</v>
      </c>
      <c r="N331" s="3">
        <f>INT(D331*J331*VLOOKUP(A331,经验产出!$I$7:$J$557,2,0))</f>
        <v>2972123</v>
      </c>
      <c r="O331" s="3">
        <f>SUM($N$24:N330)</f>
        <v>58421167</v>
      </c>
      <c r="P331" s="3">
        <f>K331*VLOOKUP(A331,金币产出!$I$7:$J$557,2,0)</f>
        <v>172.85051846295329</v>
      </c>
    </row>
    <row r="332" spans="1:16" x14ac:dyDescent="0.15">
      <c r="A332" s="3">
        <v>309</v>
      </c>
      <c r="B332" s="3">
        <f t="shared" si="33"/>
        <v>13</v>
      </c>
      <c r="C332" s="3">
        <f t="shared" si="34"/>
        <v>108864</v>
      </c>
      <c r="D332" s="3">
        <f t="shared" si="35"/>
        <v>12096</v>
      </c>
      <c r="E332" s="3">
        <f>SUM($D$24:D332)</f>
        <v>485964.00000000012</v>
      </c>
      <c r="F332" s="3">
        <f t="shared" si="36"/>
        <v>8099.4000000000024</v>
      </c>
      <c r="G332" s="3">
        <f t="shared" si="36"/>
        <v>134.99000000000004</v>
      </c>
      <c r="H332" s="3">
        <f t="shared" si="37"/>
        <v>5.6245833333333346</v>
      </c>
      <c r="I332" s="3">
        <f>IF(ISNA(MATCH(H332,关卡!$E$19:$E$2018,1)),0,MATCH(H332,关卡!$E$19:$E$2018,1))</f>
        <v>564</v>
      </c>
      <c r="J332" s="3">
        <f>VLOOKUP($I332,关卡!$A$17:$G$2018,6,0)</f>
        <v>54.355832963824</v>
      </c>
      <c r="K332" s="3">
        <f>VLOOKUP($I332,关卡!$A$17:$G$2018,7,0)</f>
        <v>49.093251524719996</v>
      </c>
      <c r="L332" s="3">
        <f t="shared" si="38"/>
        <v>195680.99866976638</v>
      </c>
      <c r="M332" s="3">
        <f t="shared" si="39"/>
        <v>176735.70548899198</v>
      </c>
      <c r="N332" s="3">
        <f>INT(D332*J332*VLOOKUP(A332,经验产出!$I$7:$J$557,2,0))</f>
        <v>3052297</v>
      </c>
      <c r="O332" s="3">
        <f>SUM($N$24:N331)</f>
        <v>61393290</v>
      </c>
      <c r="P332" s="3">
        <f>K332*VLOOKUP(A332,金币产出!$I$7:$J$557,2,0)</f>
        <v>176.53115027430565</v>
      </c>
    </row>
    <row r="333" spans="1:16" x14ac:dyDescent="0.15">
      <c r="A333" s="3">
        <v>310</v>
      </c>
      <c r="B333" s="3">
        <f t="shared" si="33"/>
        <v>13</v>
      </c>
      <c r="C333" s="3">
        <f t="shared" si="34"/>
        <v>120960</v>
      </c>
      <c r="D333" s="3">
        <f t="shared" si="35"/>
        <v>12096</v>
      </c>
      <c r="E333" s="3">
        <f>SUM($D$24:D333)</f>
        <v>498060.00000000012</v>
      </c>
      <c r="F333" s="3">
        <f t="shared" si="36"/>
        <v>8301.0000000000018</v>
      </c>
      <c r="G333" s="3">
        <f t="shared" si="36"/>
        <v>138.35000000000002</v>
      </c>
      <c r="H333" s="3">
        <f t="shared" si="37"/>
        <v>5.7645833333333343</v>
      </c>
      <c r="I333" s="3">
        <f>IF(ISNA(MATCH(H333,关卡!$E$19:$E$2018,1)),0,MATCH(H333,关卡!$E$19:$E$2018,1))</f>
        <v>573</v>
      </c>
      <c r="J333" s="3">
        <f>VLOOKUP($I333,关卡!$A$17:$G$2018,6,0)</f>
        <v>55.809680197759924</v>
      </c>
      <c r="K333" s="3">
        <f>VLOOKUP($I333,关卡!$A$17:$G$2018,7,0)</f>
        <v>50.129884291430933</v>
      </c>
      <c r="L333" s="3">
        <f t="shared" si="38"/>
        <v>200914.84871193572</v>
      </c>
      <c r="M333" s="3">
        <f t="shared" si="39"/>
        <v>180467.58344915137</v>
      </c>
      <c r="N333" s="3">
        <f>INT(D333*J333*VLOOKUP(A333,经验产出!$I$7:$J$557,2,0))</f>
        <v>3133936</v>
      </c>
      <c r="O333" s="3">
        <f>SUM($N$24:N332)</f>
        <v>64445587</v>
      </c>
      <c r="P333" s="3">
        <f>K333*VLOOKUP(A333,金币产出!$I$7:$J$557,2,0)</f>
        <v>180.25870893127041</v>
      </c>
    </row>
    <row r="334" spans="1:16" x14ac:dyDescent="0.15">
      <c r="A334" s="3">
        <v>311</v>
      </c>
      <c r="B334" s="3">
        <f t="shared" si="33"/>
        <v>13</v>
      </c>
      <c r="C334" s="3">
        <f t="shared" si="34"/>
        <v>133056</v>
      </c>
      <c r="D334" s="3">
        <f t="shared" si="35"/>
        <v>12096</v>
      </c>
      <c r="E334" s="3">
        <f>SUM($D$24:D334)</f>
        <v>510156.00000000012</v>
      </c>
      <c r="F334" s="3">
        <f t="shared" si="36"/>
        <v>8502.6000000000022</v>
      </c>
      <c r="G334" s="3">
        <f t="shared" si="36"/>
        <v>141.71000000000004</v>
      </c>
      <c r="H334" s="3">
        <f t="shared" si="37"/>
        <v>5.9045833333333348</v>
      </c>
      <c r="I334" s="3">
        <f>IF(ISNA(MATCH(H334,关卡!$E$19:$E$2018,1)),0,MATCH(H334,关卡!$E$19:$E$2018,1))</f>
        <v>581</v>
      </c>
      <c r="J334" s="3">
        <f>VLOOKUP($I334,关卡!$A$17:$G$2018,6,0)</f>
        <v>57.124224291229936</v>
      </c>
      <c r="K334" s="3">
        <f>VLOOKUP($I334,关卡!$A$17:$G$2018,7,0)</f>
        <v>51.06240550178093</v>
      </c>
      <c r="L334" s="3">
        <f t="shared" si="38"/>
        <v>205647.20744842777</v>
      </c>
      <c r="M334" s="3">
        <f t="shared" si="39"/>
        <v>183824.65980641134</v>
      </c>
      <c r="N334" s="3">
        <f>INT(D334*J334*VLOOKUP(A334,经验产出!$I$7:$J$557,2,0))</f>
        <v>3207753</v>
      </c>
      <c r="O334" s="3">
        <f>SUM($N$24:N333)</f>
        <v>67579523</v>
      </c>
      <c r="P334" s="3">
        <f>K334*VLOOKUP(A334,金币产出!$I$7:$J$557,2,0)</f>
        <v>183.61189978348725</v>
      </c>
    </row>
    <row r="335" spans="1:16" x14ac:dyDescent="0.15">
      <c r="A335" s="3">
        <v>312</v>
      </c>
      <c r="B335" s="3">
        <f t="shared" si="33"/>
        <v>13</v>
      </c>
      <c r="C335" s="3">
        <f t="shared" si="34"/>
        <v>145152</v>
      </c>
      <c r="D335" s="3">
        <f t="shared" si="35"/>
        <v>12096</v>
      </c>
      <c r="E335" s="3">
        <f>SUM($D$24:D335)</f>
        <v>522252.00000000012</v>
      </c>
      <c r="F335" s="3">
        <f t="shared" si="36"/>
        <v>8704.2000000000025</v>
      </c>
      <c r="G335" s="3">
        <f t="shared" si="36"/>
        <v>145.07000000000005</v>
      </c>
      <c r="H335" s="3">
        <f t="shared" si="37"/>
        <v>6.0445833333333354</v>
      </c>
      <c r="I335" s="3">
        <f>IF(ISNA(MATCH(H335,关卡!$E$19:$E$2018,1)),0,MATCH(H335,关卡!$E$19:$E$2018,1))</f>
        <v>590</v>
      </c>
      <c r="J335" s="3">
        <f>VLOOKUP($I335,关卡!$A$17:$G$2018,6,0)</f>
        <v>58.628479399375003</v>
      </c>
      <c r="K335" s="3">
        <f>VLOOKUP($I335,关卡!$A$17:$G$2018,7,0)</f>
        <v>52.124074559374989</v>
      </c>
      <c r="L335" s="3">
        <f t="shared" si="38"/>
        <v>211062.52583775</v>
      </c>
      <c r="M335" s="3">
        <f t="shared" si="39"/>
        <v>187646.66841374995</v>
      </c>
      <c r="N335" s="3">
        <f>INT(D335*J335*VLOOKUP(A335,经验产出!$I$7:$J$557,2,0))</f>
        <v>3292223</v>
      </c>
      <c r="O335" s="3">
        <f>SUM($N$24:N334)</f>
        <v>70787276</v>
      </c>
      <c r="P335" s="3">
        <f>K335*VLOOKUP(A335,金币产出!$I$7:$J$557,2,0)</f>
        <v>187.42948476975255</v>
      </c>
    </row>
    <row r="336" spans="1:16" x14ac:dyDescent="0.15">
      <c r="A336" s="3">
        <v>313</v>
      </c>
      <c r="B336" s="3">
        <f t="shared" si="33"/>
        <v>13</v>
      </c>
      <c r="C336" s="3">
        <f t="shared" si="34"/>
        <v>157248</v>
      </c>
      <c r="D336" s="3">
        <f t="shared" si="35"/>
        <v>12096</v>
      </c>
      <c r="E336" s="3">
        <f>SUM($D$24:D336)</f>
        <v>534348.00000000012</v>
      </c>
      <c r="F336" s="3">
        <f t="shared" si="36"/>
        <v>8905.8000000000011</v>
      </c>
      <c r="G336" s="3">
        <f t="shared" si="36"/>
        <v>148.43</v>
      </c>
      <c r="H336" s="3">
        <f t="shared" si="37"/>
        <v>6.1845833333333333</v>
      </c>
      <c r="I336" s="3">
        <f>IF(ISNA(MATCH(H336,关卡!$E$19:$E$2018,1)),0,MATCH(H336,关卡!$E$19:$E$2018,1))</f>
        <v>599</v>
      </c>
      <c r="J336" s="3">
        <f>VLOOKUP($I336,关卡!$A$17:$G$2018,6,0)</f>
        <v>60.160025267674946</v>
      </c>
      <c r="K336" s="3">
        <f>VLOOKUP($I336,关卡!$A$17:$G$2018,7,0)</f>
        <v>53.199204042005931</v>
      </c>
      <c r="L336" s="3">
        <f t="shared" si="38"/>
        <v>216576.0909636298</v>
      </c>
      <c r="M336" s="3">
        <f t="shared" si="39"/>
        <v>191517.13455122136</v>
      </c>
      <c r="N336" s="3">
        <f>INT(D336*J336*VLOOKUP(A336,经验产出!$I$7:$J$557,2,0))</f>
        <v>3378226</v>
      </c>
      <c r="O336" s="3">
        <f>SUM($N$24:N335)</f>
        <v>74079499</v>
      </c>
      <c r="P336" s="3">
        <f>K336*VLOOKUP(A336,金币产出!$I$7:$J$557,2,0)</f>
        <v>191.29547120104633</v>
      </c>
    </row>
    <row r="337" spans="1:16" x14ac:dyDescent="0.15">
      <c r="A337" s="3">
        <v>314</v>
      </c>
      <c r="B337" s="3">
        <f t="shared" si="33"/>
        <v>13</v>
      </c>
      <c r="C337" s="3">
        <f t="shared" si="34"/>
        <v>169344.00000000003</v>
      </c>
      <c r="D337" s="3">
        <f t="shared" si="35"/>
        <v>12096.000000000029</v>
      </c>
      <c r="E337" s="3">
        <f>SUM($D$24:D337)</f>
        <v>546444.00000000012</v>
      </c>
      <c r="F337" s="3">
        <f t="shared" si="36"/>
        <v>9107.4000000000015</v>
      </c>
      <c r="G337" s="3">
        <f t="shared" si="36"/>
        <v>151.79000000000002</v>
      </c>
      <c r="H337" s="3">
        <f t="shared" si="37"/>
        <v>6.3245833333333339</v>
      </c>
      <c r="I337" s="3">
        <f>IF(ISNA(MATCH(H337,关卡!$E$19:$E$2018,1)),0,MATCH(H337,关卡!$E$19:$E$2018,1))</f>
        <v>606</v>
      </c>
      <c r="J337" s="3">
        <f>VLOOKUP($I337,关卡!$A$17:$G$2018,6,0)</f>
        <v>61.370366199919005</v>
      </c>
      <c r="K337" s="3">
        <f>VLOOKUP($I337,关卡!$A$17:$G$2018,7,0)</f>
        <v>54.044813835695003</v>
      </c>
      <c r="L337" s="3">
        <f t="shared" si="38"/>
        <v>220933.31831970843</v>
      </c>
      <c r="M337" s="3">
        <f t="shared" si="39"/>
        <v>194561.32980850202</v>
      </c>
      <c r="N337" s="3">
        <f>INT(D337*J337*VLOOKUP(A337,经验产出!$I$7:$J$557,2,0))</f>
        <v>3446191</v>
      </c>
      <c r="O337" s="3">
        <f>SUM($N$24:N336)</f>
        <v>77457725</v>
      </c>
      <c r="P337" s="3">
        <f>K337*VLOOKUP(A337,金币产出!$I$7:$J$557,2,0)</f>
        <v>194.3361430841866</v>
      </c>
    </row>
    <row r="338" spans="1:16" x14ac:dyDescent="0.15">
      <c r="A338" s="3">
        <v>315</v>
      </c>
      <c r="B338" s="3">
        <f t="shared" si="33"/>
        <v>13</v>
      </c>
      <c r="C338" s="3">
        <f t="shared" si="34"/>
        <v>181440</v>
      </c>
      <c r="D338" s="3">
        <f t="shared" si="35"/>
        <v>12095.999999999971</v>
      </c>
      <c r="E338" s="3">
        <f>SUM($D$24:D338)</f>
        <v>558540.00000000012</v>
      </c>
      <c r="F338" s="3">
        <f t="shared" si="36"/>
        <v>9309.0000000000018</v>
      </c>
      <c r="G338" s="3">
        <f t="shared" si="36"/>
        <v>155.15000000000003</v>
      </c>
      <c r="H338" s="3">
        <f t="shared" si="37"/>
        <v>6.4645833333333345</v>
      </c>
      <c r="I338" s="3">
        <f>IF(ISNA(MATCH(H338,关卡!$E$19:$E$2018,1)),0,MATCH(H338,关卡!$E$19:$E$2018,1))</f>
        <v>614</v>
      </c>
      <c r="J338" s="3">
        <f>VLOOKUP($I338,关卡!$A$17:$G$2018,6,0)</f>
        <v>62.774399626398996</v>
      </c>
      <c r="K338" s="3">
        <f>VLOOKUP($I338,关卡!$A$17:$G$2018,7,0)</f>
        <v>55.021389480095003</v>
      </c>
      <c r="L338" s="3">
        <f t="shared" si="38"/>
        <v>225987.83865503638</v>
      </c>
      <c r="M338" s="3">
        <f t="shared" si="39"/>
        <v>198077.00212834202</v>
      </c>
      <c r="N338" s="3">
        <f>INT(D338*J338*VLOOKUP(A338,经验产出!$I$7:$J$557,2,0))</f>
        <v>3525033</v>
      </c>
      <c r="O338" s="3">
        <f>SUM($N$24:N337)</f>
        <v>80903916</v>
      </c>
      <c r="P338" s="3">
        <f>K338*VLOOKUP(A338,金币产出!$I$7:$J$557,2,0)</f>
        <v>197.8477463388416</v>
      </c>
    </row>
    <row r="339" spans="1:16" x14ac:dyDescent="0.15">
      <c r="A339" s="3">
        <v>316</v>
      </c>
      <c r="B339" s="3">
        <f t="shared" si="33"/>
        <v>13</v>
      </c>
      <c r="C339" s="3">
        <f t="shared" si="34"/>
        <v>193536</v>
      </c>
      <c r="D339" s="3">
        <f t="shared" si="35"/>
        <v>12096</v>
      </c>
      <c r="E339" s="3">
        <f>SUM($D$24:D339)</f>
        <v>570636.00000000012</v>
      </c>
      <c r="F339" s="3">
        <f t="shared" si="36"/>
        <v>9510.6000000000022</v>
      </c>
      <c r="G339" s="3">
        <f t="shared" si="36"/>
        <v>158.51000000000005</v>
      </c>
      <c r="H339" s="3">
        <f t="shared" si="37"/>
        <v>6.604583333333335</v>
      </c>
      <c r="I339" s="3">
        <f>IF(ISNA(MATCH(H339,关卡!$E$19:$E$2018,1)),0,MATCH(H339,关卡!$E$19:$E$2018,1))</f>
        <v>622</v>
      </c>
      <c r="J339" s="3">
        <f>VLOOKUP($I339,关卡!$A$17:$G$2018,6,0)</f>
        <v>64.200895084559008</v>
      </c>
      <c r="K339" s="3">
        <f>VLOOKUP($I339,关卡!$A$17:$G$2018,7,0)</f>
        <v>56.008905074894997</v>
      </c>
      <c r="L339" s="3">
        <f t="shared" si="38"/>
        <v>231123.22230441243</v>
      </c>
      <c r="M339" s="3">
        <f t="shared" si="39"/>
        <v>201632.05826962198</v>
      </c>
      <c r="N339" s="3">
        <f>INT(D339*J339*VLOOKUP(A339,经验产出!$I$7:$J$557,2,0))</f>
        <v>3605137</v>
      </c>
      <c r="O339" s="3">
        <f>SUM($N$24:N338)</f>
        <v>84428949</v>
      </c>
      <c r="P339" s="3">
        <f>K339*VLOOKUP(A339,金币产出!$I$7:$J$557,2,0)</f>
        <v>201.39868783180992</v>
      </c>
    </row>
    <row r="340" spans="1:16" x14ac:dyDescent="0.15">
      <c r="A340" s="3">
        <v>317</v>
      </c>
      <c r="B340" s="3">
        <f t="shared" si="33"/>
        <v>13</v>
      </c>
      <c r="C340" s="3">
        <f t="shared" si="34"/>
        <v>205632.00000000003</v>
      </c>
      <c r="D340" s="3">
        <f t="shared" si="35"/>
        <v>12096.000000000029</v>
      </c>
      <c r="E340" s="3">
        <f>SUM($D$24:D340)</f>
        <v>582732.00000000012</v>
      </c>
      <c r="F340" s="3">
        <f t="shared" si="36"/>
        <v>9712.2000000000025</v>
      </c>
      <c r="G340" s="3">
        <f t="shared" si="36"/>
        <v>161.87000000000003</v>
      </c>
      <c r="H340" s="3">
        <f t="shared" si="37"/>
        <v>6.7445833333333347</v>
      </c>
      <c r="I340" s="3">
        <f>IF(ISNA(MATCH(H340,关卡!$E$19:$E$2018,1)),0,MATCH(H340,关卡!$E$19:$E$2018,1))</f>
        <v>629</v>
      </c>
      <c r="J340" s="3">
        <f>VLOOKUP($I340,关卡!$A$17:$G$2018,6,0)</f>
        <v>65.46774387196993</v>
      </c>
      <c r="K340" s="3">
        <f>VLOOKUP($I340,关卡!$A$17:$G$2018,7,0)</f>
        <v>56.882036111480936</v>
      </c>
      <c r="L340" s="3">
        <f t="shared" si="38"/>
        <v>235683.87793909176</v>
      </c>
      <c r="M340" s="3">
        <f t="shared" si="39"/>
        <v>204775.33000133137</v>
      </c>
      <c r="N340" s="3">
        <f>INT(D340*J340*VLOOKUP(A340,经验产出!$I$7:$J$557,2,0))</f>
        <v>3676275</v>
      </c>
      <c r="O340" s="3">
        <f>SUM($N$24:N339)</f>
        <v>88034086</v>
      </c>
      <c r="P340" s="3">
        <f>K340*VLOOKUP(A340,金币产出!$I$7:$J$557,2,0)</f>
        <v>204.53832151753352</v>
      </c>
    </row>
    <row r="341" spans="1:16" x14ac:dyDescent="0.15">
      <c r="A341" s="3">
        <v>318</v>
      </c>
      <c r="B341" s="3">
        <f t="shared" si="33"/>
        <v>13</v>
      </c>
      <c r="C341" s="3">
        <f t="shared" si="34"/>
        <v>217728</v>
      </c>
      <c r="D341" s="3">
        <f t="shared" si="35"/>
        <v>12095.999999999971</v>
      </c>
      <c r="E341" s="3">
        <f>SUM($D$24:D341)</f>
        <v>594828.00000000012</v>
      </c>
      <c r="F341" s="3">
        <f t="shared" si="36"/>
        <v>9913.8000000000011</v>
      </c>
      <c r="G341" s="3">
        <f t="shared" si="36"/>
        <v>165.23000000000002</v>
      </c>
      <c r="H341" s="3">
        <f t="shared" si="37"/>
        <v>6.8845833333333344</v>
      </c>
      <c r="I341" s="3">
        <f>IF(ISNA(MATCH(H341,关卡!$E$19:$E$2018,1)),0,MATCH(H341,关卡!$E$19:$E$2018,1))</f>
        <v>637</v>
      </c>
      <c r="J341" s="3">
        <f>VLOOKUP($I341,关卡!$A$17:$G$2018,6,0)</f>
        <v>66.937178491439951</v>
      </c>
      <c r="K341" s="3">
        <f>VLOOKUP($I341,关卡!$A$17:$G$2018,7,0)</f>
        <v>57.890341351830941</v>
      </c>
      <c r="L341" s="3">
        <f t="shared" si="38"/>
        <v>240973.84256918385</v>
      </c>
      <c r="M341" s="3">
        <f t="shared" si="39"/>
        <v>208405.22886659141</v>
      </c>
      <c r="N341" s="3">
        <f>INT(D341*J341*VLOOKUP(A341,经验产出!$I$7:$J$557,2,0))</f>
        <v>3758790</v>
      </c>
      <c r="O341" s="3">
        <f>SUM($N$24:N340)</f>
        <v>91710361</v>
      </c>
      <c r="P341" s="3">
        <f>K341*VLOOKUP(A341,金币产出!$I$7:$J$557,2,0)</f>
        <v>208.16401911095875</v>
      </c>
    </row>
    <row r="342" spans="1:16" x14ac:dyDescent="0.15">
      <c r="A342" s="3">
        <v>319</v>
      </c>
      <c r="B342" s="3">
        <f t="shared" si="33"/>
        <v>13</v>
      </c>
      <c r="C342" s="3">
        <f t="shared" si="34"/>
        <v>229824</v>
      </c>
      <c r="D342" s="3">
        <f t="shared" si="35"/>
        <v>12096</v>
      </c>
      <c r="E342" s="3">
        <f>SUM($D$24:D342)</f>
        <v>606924.00000000012</v>
      </c>
      <c r="F342" s="3">
        <f t="shared" si="36"/>
        <v>10115.400000000001</v>
      </c>
      <c r="G342" s="3">
        <f t="shared" si="36"/>
        <v>168.59000000000003</v>
      </c>
      <c r="H342" s="3">
        <f t="shared" si="37"/>
        <v>7.024583333333335</v>
      </c>
      <c r="I342" s="3">
        <f>IF(ISNA(MATCH(H342,关卡!$E$19:$E$2018,1)),0,MATCH(H342,关卡!$E$19:$E$2018,1))</f>
        <v>644</v>
      </c>
      <c r="J342" s="3">
        <f>VLOOKUP($I342,关卡!$A$17:$G$2018,6,0)</f>
        <v>68.242072770543999</v>
      </c>
      <c r="K342" s="3">
        <f>VLOOKUP($I342,关卡!$A$17:$G$2018,7,0)</f>
        <v>58.781822526319999</v>
      </c>
      <c r="L342" s="3">
        <f t="shared" si="38"/>
        <v>245671.46197395839</v>
      </c>
      <c r="M342" s="3">
        <f t="shared" si="39"/>
        <v>211614.56109475202</v>
      </c>
      <c r="N342" s="3">
        <f>INT(D342*J342*VLOOKUP(A342,经验产出!$I$7:$J$557,2,0))</f>
        <v>3832065</v>
      </c>
      <c r="O342" s="3">
        <f>SUM($N$24:N341)</f>
        <v>95469151</v>
      </c>
      <c r="P342" s="3">
        <f>K342*VLOOKUP(A342,金币产出!$I$7:$J$557,2,0)</f>
        <v>211.36963683422564</v>
      </c>
    </row>
    <row r="343" spans="1:16" x14ac:dyDescent="0.15">
      <c r="A343" s="3">
        <v>320</v>
      </c>
      <c r="B343" s="3">
        <f t="shared" si="33"/>
        <v>13</v>
      </c>
      <c r="C343" s="3">
        <f t="shared" si="34"/>
        <v>241920</v>
      </c>
      <c r="D343" s="3">
        <f t="shared" si="35"/>
        <v>12096</v>
      </c>
      <c r="E343" s="3">
        <f>SUM($D$24:D343)</f>
        <v>619020.00000000012</v>
      </c>
      <c r="F343" s="3">
        <f t="shared" si="36"/>
        <v>10317.000000000002</v>
      </c>
      <c r="G343" s="3">
        <f t="shared" si="36"/>
        <v>171.95000000000002</v>
      </c>
      <c r="H343" s="3">
        <f t="shared" si="37"/>
        <v>7.1645833333333337</v>
      </c>
      <c r="I343" s="3">
        <f>IF(ISNA(MATCH(H343,关卡!$E$19:$E$2018,1)),0,MATCH(H343,关卡!$E$19:$E$2018,1))</f>
        <v>652</v>
      </c>
      <c r="J343" s="3">
        <f>VLOOKUP($I343,关卡!$A$17:$G$2018,6,0)</f>
        <v>69.75553348222401</v>
      </c>
      <c r="K343" s="3">
        <f>VLOOKUP($I343,关卡!$A$17:$G$2018,7,0)</f>
        <v>59.81128227672</v>
      </c>
      <c r="L343" s="3">
        <f t="shared" si="38"/>
        <v>251119.92053600642</v>
      </c>
      <c r="M343" s="3">
        <f t="shared" si="39"/>
        <v>215320.61619619199</v>
      </c>
      <c r="N343" s="3">
        <f>INT(D343*J343*VLOOKUP(A343,经验产出!$I$7:$J$557,2,0))</f>
        <v>3917052</v>
      </c>
      <c r="O343" s="3">
        <f>SUM($N$24:N342)</f>
        <v>99301216</v>
      </c>
      <c r="P343" s="3">
        <f>K343*VLOOKUP(A343,金币产出!$I$7:$J$557,2,0)</f>
        <v>215.07140252003899</v>
      </c>
    </row>
    <row r="344" spans="1:16" x14ac:dyDescent="0.15">
      <c r="A344" s="3">
        <v>321</v>
      </c>
      <c r="B344" s="3">
        <f t="shared" si="33"/>
        <v>13</v>
      </c>
      <c r="C344" s="3">
        <f t="shared" si="34"/>
        <v>254016</v>
      </c>
      <c r="D344" s="3">
        <f t="shared" si="35"/>
        <v>12096</v>
      </c>
      <c r="E344" s="3">
        <f>SUM($D$24:D344)</f>
        <v>631116.00000000012</v>
      </c>
      <c r="F344" s="3">
        <f t="shared" si="36"/>
        <v>10518.600000000002</v>
      </c>
      <c r="G344" s="3">
        <f t="shared" si="36"/>
        <v>175.31000000000003</v>
      </c>
      <c r="H344" s="3">
        <f t="shared" si="37"/>
        <v>7.3045833333333343</v>
      </c>
      <c r="I344" s="3">
        <f>IF(ISNA(MATCH(H344,关卡!$E$19:$E$2018,1)),0,MATCH(H344,关卡!$E$19:$E$2018,1))</f>
        <v>659</v>
      </c>
      <c r="J344" s="3">
        <f>VLOOKUP($I344,关卡!$A$17:$G$2018,6,0)</f>
        <v>71.099431387339948</v>
      </c>
      <c r="K344" s="3">
        <f>VLOOKUP($I344,关卡!$A$17:$G$2018,7,0)</f>
        <v>60.72143452883094</v>
      </c>
      <c r="L344" s="3">
        <f t="shared" si="38"/>
        <v>255957.9529944238</v>
      </c>
      <c r="M344" s="3">
        <f t="shared" si="39"/>
        <v>218597.16430379139</v>
      </c>
      <c r="N344" s="3">
        <f>INT(D344*J344*VLOOKUP(A344,经验产出!$I$7:$J$557,2,0))</f>
        <v>3992517</v>
      </c>
      <c r="O344" s="3">
        <f>SUM($N$24:N343)</f>
        <v>103218268</v>
      </c>
      <c r="P344" s="3">
        <f>K344*VLOOKUP(A344,金币产出!$I$7:$J$557,2,0)</f>
        <v>218.34415832658792</v>
      </c>
    </row>
    <row r="345" spans="1:16" x14ac:dyDescent="0.15">
      <c r="A345" s="3">
        <v>322</v>
      </c>
      <c r="B345" s="3">
        <f t="shared" ref="B345:B408" si="40">MATCH($A345,$A$3:$A$20,1)-1</f>
        <v>13</v>
      </c>
      <c r="C345" s="3">
        <f t="shared" ref="C345:C408" si="41">INDEX($C$3:$C$20,$B345+1)*(INDEX($D$3:$D$20,$B345+1)+INDEX($E$3:$E$20,$B345+1)*(($A345-INDEX($A$3:$A$20,$B345+1)+1)/(INDEX($B$3:$B$20,B345+1)-INDEX($A$3:$A$20,$B345+1)+1))^1+INDEX($F$3:$F$20,$B345+1)*(($A345-INDEX($A$3:$A$20,$B345+1)+1)/(INDEX($B$3:$B$20,B345+1)-INDEX($A$3:$A$20,$B345+1)+1))^2+INDEX($G$3:$G$20,$B345+1)*(($A345-INDEX($A$3:$A$20,$B345+1)+1)/(INDEX($B$3:$B$20,$B345+1)-INDEX($A$3:$A$20,$B345+1)+1))^3+INDEX($H$3:$H$20,$B345+1)*(($A345-INDEX($A$3:$A$20,$B345+1)+1)/(INDEX($B$3:$B$20,$B345+1)-INDEX($A$3:$A$20,$B345+1)+1))^4)</f>
        <v>266112</v>
      </c>
      <c r="D345" s="3">
        <f t="shared" ref="D345:D408" si="42">IF(ISNA(MATCH(A345,$A$4:$A$20,0)),C345-C344,C345)</f>
        <v>12096</v>
      </c>
      <c r="E345" s="3">
        <f>SUM($D$24:D345)</f>
        <v>643212.00000000012</v>
      </c>
      <c r="F345" s="3">
        <f t="shared" ref="F345:G408" si="43">E345/60</f>
        <v>10720.200000000003</v>
      </c>
      <c r="G345" s="3">
        <f t="shared" si="43"/>
        <v>178.67000000000004</v>
      </c>
      <c r="H345" s="3">
        <f t="shared" ref="H345:H408" si="44">G345/24</f>
        <v>7.4445833333333349</v>
      </c>
      <c r="I345" s="3">
        <f>IF(ISNA(MATCH(H345,关卡!$E$19:$E$2018,1)),0,MATCH(H345,关卡!$E$19:$E$2018,1))</f>
        <v>666</v>
      </c>
      <c r="J345" s="3">
        <f>VLOOKUP($I345,关卡!$A$17:$G$2018,6,0)</f>
        <v>72.461862858079016</v>
      </c>
      <c r="K345" s="3">
        <f>VLOOKUP($I345,关卡!$A$17:$G$2018,7,0)</f>
        <v>61.640410730495006</v>
      </c>
      <c r="L345" s="3">
        <f t="shared" ref="L345:L408" si="45">J345*60*60</f>
        <v>260862.70628908445</v>
      </c>
      <c r="M345" s="3">
        <f t="shared" ref="M345:M408" si="46">K345*60*60</f>
        <v>221905.47862978204</v>
      </c>
      <c r="N345" s="3">
        <f>INT(D345*J345*VLOOKUP(A345,经验产出!$I$7:$J$557,2,0))</f>
        <v>4069023</v>
      </c>
      <c r="O345" s="3">
        <f>SUM($N$24:N344)</f>
        <v>107210785</v>
      </c>
      <c r="P345" s="3">
        <f>K345*VLOOKUP(A345,金币产出!$I$7:$J$557,2,0)</f>
        <v>221.64864358507162</v>
      </c>
    </row>
    <row r="346" spans="1:16" x14ac:dyDescent="0.15">
      <c r="A346" s="3">
        <v>323</v>
      </c>
      <c r="B346" s="3">
        <f t="shared" si="40"/>
        <v>13</v>
      </c>
      <c r="C346" s="3">
        <f t="shared" si="41"/>
        <v>278208</v>
      </c>
      <c r="D346" s="3">
        <f t="shared" si="42"/>
        <v>12096</v>
      </c>
      <c r="E346" s="3">
        <f>SUM($D$24:D346)</f>
        <v>655308.00000000012</v>
      </c>
      <c r="F346" s="3">
        <f t="shared" si="43"/>
        <v>10921.800000000001</v>
      </c>
      <c r="G346" s="3">
        <f t="shared" si="43"/>
        <v>182.03000000000003</v>
      </c>
      <c r="H346" s="3">
        <f t="shared" si="44"/>
        <v>7.5845833333333346</v>
      </c>
      <c r="I346" s="3">
        <f>IF(ISNA(MATCH(H346,关卡!$E$19:$E$2018,1)),0,MATCH(H346,关卡!$E$19:$E$2018,1))</f>
        <v>673</v>
      </c>
      <c r="J346" s="3">
        <f>VLOOKUP($I346,关卡!$A$17:$G$2018,6,0)</f>
        <v>73.843041071084954</v>
      </c>
      <c r="K346" s="3">
        <f>VLOOKUP($I346,关卡!$A$17:$G$2018,7,0)</f>
        <v>62.568281850555948</v>
      </c>
      <c r="L346" s="3">
        <f t="shared" si="45"/>
        <v>265834.9478559058</v>
      </c>
      <c r="M346" s="3">
        <f t="shared" si="46"/>
        <v>225245.81466200142</v>
      </c>
      <c r="N346" s="3">
        <f>INT(D346*J346*VLOOKUP(A346,经验产出!$I$7:$J$557,2,0))</f>
        <v>4146582</v>
      </c>
      <c r="O346" s="3">
        <f>SUM($N$24:N345)</f>
        <v>111279808</v>
      </c>
      <c r="P346" s="3">
        <f>K346*VLOOKUP(A346,金币产出!$I$7:$J$557,2,0)</f>
        <v>224.98511348762409</v>
      </c>
    </row>
    <row r="347" spans="1:16" x14ac:dyDescent="0.15">
      <c r="A347" s="3">
        <v>324</v>
      </c>
      <c r="B347" s="3">
        <f t="shared" si="40"/>
        <v>13</v>
      </c>
      <c r="C347" s="3">
        <f t="shared" si="41"/>
        <v>290304</v>
      </c>
      <c r="D347" s="3">
        <f t="shared" si="42"/>
        <v>12096</v>
      </c>
      <c r="E347" s="3">
        <f>SUM($D$24:D347)</f>
        <v>667404.00000000012</v>
      </c>
      <c r="F347" s="3">
        <f t="shared" si="43"/>
        <v>11123.400000000001</v>
      </c>
      <c r="G347" s="3">
        <f t="shared" si="43"/>
        <v>185.39000000000001</v>
      </c>
      <c r="H347" s="3">
        <f t="shared" si="44"/>
        <v>7.7245833333333342</v>
      </c>
      <c r="I347" s="3">
        <f>IF(ISNA(MATCH(H347,关卡!$E$19:$E$2018,1)),0,MATCH(H347,关卡!$E$19:$E$2018,1))</f>
        <v>681</v>
      </c>
      <c r="J347" s="3">
        <f>VLOOKUP($I347,关卡!$A$17:$G$2018,6,0)</f>
        <v>75.444761023954968</v>
      </c>
      <c r="K347" s="3">
        <f>VLOOKUP($I347,关卡!$A$17:$G$2018,7,0)</f>
        <v>63.639689217905939</v>
      </c>
      <c r="L347" s="3">
        <f t="shared" si="45"/>
        <v>271601.1396862379</v>
      </c>
      <c r="M347" s="3">
        <f t="shared" si="46"/>
        <v>229102.88118446138</v>
      </c>
      <c r="N347" s="3">
        <f>INT(D347*J347*VLOOKUP(A347,经验产出!$I$7:$J$557,2,0))</f>
        <v>4236525</v>
      </c>
      <c r="O347" s="3">
        <f>SUM($N$24:N346)</f>
        <v>115426390</v>
      </c>
      <c r="P347" s="3">
        <f>K347*VLOOKUP(A347,金币产出!$I$7:$J$557,2,0)</f>
        <v>228.83771581272009</v>
      </c>
    </row>
    <row r="348" spans="1:16" x14ac:dyDescent="0.15">
      <c r="A348" s="3">
        <v>325</v>
      </c>
      <c r="B348" s="3">
        <f t="shared" si="40"/>
        <v>13</v>
      </c>
      <c r="C348" s="3">
        <f t="shared" si="41"/>
        <v>302400</v>
      </c>
      <c r="D348" s="3">
        <f t="shared" si="42"/>
        <v>12096</v>
      </c>
      <c r="E348" s="3">
        <f>SUM($D$24:D348)</f>
        <v>679500.00000000012</v>
      </c>
      <c r="F348" s="3">
        <f t="shared" si="43"/>
        <v>11325.000000000002</v>
      </c>
      <c r="G348" s="3">
        <f t="shared" si="43"/>
        <v>188.75000000000003</v>
      </c>
      <c r="H348" s="3">
        <f t="shared" si="44"/>
        <v>7.8645833333333348</v>
      </c>
      <c r="I348" s="3">
        <f>IF(ISNA(MATCH(H348,关卡!$E$19:$E$2018,1)),0,MATCH(H348,关卡!$E$19:$E$2018,1))</f>
        <v>688</v>
      </c>
      <c r="J348" s="3">
        <f>VLOOKUP($I348,关卡!$A$17:$G$2018,6,0)</f>
        <v>76.866835349504001</v>
      </c>
      <c r="K348" s="3">
        <f>VLOOKUP($I348,关卡!$A$17:$G$2018,7,0)</f>
        <v>64.586861445119993</v>
      </c>
      <c r="L348" s="3">
        <f t="shared" si="45"/>
        <v>276720.60725821438</v>
      </c>
      <c r="M348" s="3">
        <f t="shared" si="46"/>
        <v>232512.70120243198</v>
      </c>
      <c r="N348" s="3">
        <f>INT(D348*J348*VLOOKUP(A348,经验产出!$I$7:$J$557,2,0))</f>
        <v>4316380</v>
      </c>
      <c r="O348" s="3">
        <f>SUM($N$24:N347)</f>
        <v>119662915</v>
      </c>
      <c r="P348" s="3">
        <f>K348*VLOOKUP(A348,金币产出!$I$7:$J$557,2,0)</f>
        <v>232.24358927974396</v>
      </c>
    </row>
    <row r="349" spans="1:16" x14ac:dyDescent="0.15">
      <c r="A349" s="3">
        <v>326</v>
      </c>
      <c r="B349" s="3">
        <f t="shared" si="40"/>
        <v>13</v>
      </c>
      <c r="C349" s="3">
        <f t="shared" si="41"/>
        <v>314496</v>
      </c>
      <c r="D349" s="3">
        <f t="shared" si="42"/>
        <v>12096</v>
      </c>
      <c r="E349" s="3">
        <f>SUM($D$24:D349)</f>
        <v>691596.00000000012</v>
      </c>
      <c r="F349" s="3">
        <f t="shared" si="43"/>
        <v>11526.600000000002</v>
      </c>
      <c r="G349" s="3">
        <f t="shared" si="43"/>
        <v>192.11000000000004</v>
      </c>
      <c r="H349" s="3">
        <f t="shared" si="44"/>
        <v>8.0045833333333345</v>
      </c>
      <c r="I349" s="3">
        <f>IF(ISNA(MATCH(H349,关卡!$E$19:$E$2018,1)),0,MATCH(H349,关卡!$E$19:$E$2018,1))</f>
        <v>695</v>
      </c>
      <c r="J349" s="3">
        <f>VLOOKUP($I349,关卡!$A$17:$G$2018,6,0)</f>
        <v>78.308335756210937</v>
      </c>
      <c r="K349" s="3">
        <f>VLOOKUP($I349,关卡!$A$17:$G$2018,7,0)</f>
        <v>65.543153863085934</v>
      </c>
      <c r="L349" s="3">
        <f t="shared" si="45"/>
        <v>281910.00872235937</v>
      </c>
      <c r="M349" s="3">
        <f t="shared" si="46"/>
        <v>235955.35390710935</v>
      </c>
      <c r="N349" s="3">
        <f>INT(D349*J349*VLOOKUP(A349,经验产出!$I$7:$J$557,2,0))</f>
        <v>4397326</v>
      </c>
      <c r="O349" s="3">
        <f>SUM($N$24:N348)</f>
        <v>123979295</v>
      </c>
      <c r="P349" s="3">
        <f>K349*VLOOKUP(A349,金币产出!$I$7:$J$557,2,0)</f>
        <v>235.68225743267982</v>
      </c>
    </row>
    <row r="350" spans="1:16" x14ac:dyDescent="0.15">
      <c r="A350" s="3">
        <v>327</v>
      </c>
      <c r="B350" s="3">
        <f t="shared" si="40"/>
        <v>13</v>
      </c>
      <c r="C350" s="3">
        <f t="shared" si="41"/>
        <v>326592</v>
      </c>
      <c r="D350" s="3">
        <f t="shared" si="42"/>
        <v>12096</v>
      </c>
      <c r="E350" s="3">
        <f>SUM($D$24:D350)</f>
        <v>703692.00000000012</v>
      </c>
      <c r="F350" s="3">
        <f t="shared" si="43"/>
        <v>11728.200000000003</v>
      </c>
      <c r="G350" s="3">
        <f t="shared" si="43"/>
        <v>195.47000000000006</v>
      </c>
      <c r="H350" s="3">
        <f t="shared" si="44"/>
        <v>8.1445833333333351</v>
      </c>
      <c r="I350" s="3">
        <f>IF(ISNA(MATCH(H350,关卡!$E$19:$E$2018,1)),0,MATCH(H350,关卡!$E$19:$E$2018,1))</f>
        <v>702</v>
      </c>
      <c r="J350" s="3">
        <f>VLOOKUP($I350,关卡!$A$17:$G$2018,6,0)</f>
        <v>79.769481373999</v>
      </c>
      <c r="K350" s="3">
        <f>VLOOKUP($I350,关卡!$A$17:$G$2018,7,0)</f>
        <v>66.508638858094997</v>
      </c>
      <c r="L350" s="3">
        <f t="shared" si="45"/>
        <v>287170.13294639636</v>
      </c>
      <c r="M350" s="3">
        <f t="shared" si="46"/>
        <v>239431.099889142</v>
      </c>
      <c r="N350" s="3">
        <f>INT(D350*J350*VLOOKUP(A350,经验产出!$I$7:$J$557,2,0))</f>
        <v>4479375</v>
      </c>
      <c r="O350" s="3">
        <f>SUM($N$24:N349)</f>
        <v>128376621</v>
      </c>
      <c r="P350" s="3">
        <f>K350*VLOOKUP(A350,金币产出!$I$7:$J$557,2,0)</f>
        <v>239.15398056056659</v>
      </c>
    </row>
    <row r="351" spans="1:16" x14ac:dyDescent="0.15">
      <c r="A351" s="3">
        <v>328</v>
      </c>
      <c r="B351" s="3">
        <f t="shared" si="40"/>
        <v>13</v>
      </c>
      <c r="C351" s="3">
        <f t="shared" si="41"/>
        <v>338688.00000000006</v>
      </c>
      <c r="D351" s="3">
        <f t="shared" si="42"/>
        <v>12096.000000000058</v>
      </c>
      <c r="E351" s="3">
        <f>SUM($D$24:D351)</f>
        <v>715788.00000000023</v>
      </c>
      <c r="F351" s="3">
        <f t="shared" si="43"/>
        <v>11929.800000000005</v>
      </c>
      <c r="G351" s="3">
        <f t="shared" si="43"/>
        <v>198.83000000000007</v>
      </c>
      <c r="H351" s="3">
        <f t="shared" si="44"/>
        <v>8.2845833333333356</v>
      </c>
      <c r="I351" s="3">
        <f>IF(ISNA(MATCH(H351,关卡!$E$19:$E$2018,1)),0,MATCH(H351,关卡!$E$19:$E$2018,1))</f>
        <v>709</v>
      </c>
      <c r="J351" s="3">
        <f>VLOOKUP($I351,关卡!$A$17:$G$2018,6,0)</f>
        <v>81.250492769789929</v>
      </c>
      <c r="K351" s="3">
        <f>VLOOKUP($I351,关卡!$A$17:$G$2018,7,0)</f>
        <v>67.483389158580948</v>
      </c>
      <c r="L351" s="3">
        <f t="shared" si="45"/>
        <v>292501.77397124376</v>
      </c>
      <c r="M351" s="3">
        <f t="shared" si="46"/>
        <v>242940.2009708914</v>
      </c>
      <c r="N351" s="3">
        <f>INT(D351*J351*VLOOKUP(A351,经验产出!$I$7:$J$557,2,0))</f>
        <v>4562540</v>
      </c>
      <c r="O351" s="3">
        <f>SUM($N$24:N350)</f>
        <v>132855996</v>
      </c>
      <c r="P351" s="3">
        <f>K351*VLOOKUP(A351,金币产出!$I$7:$J$557,2,0)</f>
        <v>242.65902018273064</v>
      </c>
    </row>
    <row r="352" spans="1:16" x14ac:dyDescent="0.15">
      <c r="A352" s="3">
        <v>329</v>
      </c>
      <c r="B352" s="3">
        <f t="shared" si="40"/>
        <v>13</v>
      </c>
      <c r="C352" s="3">
        <f t="shared" si="41"/>
        <v>350784</v>
      </c>
      <c r="D352" s="3">
        <f t="shared" si="42"/>
        <v>12095.999999999942</v>
      </c>
      <c r="E352" s="3">
        <f>SUM($D$24:D352)</f>
        <v>727884.00000000023</v>
      </c>
      <c r="F352" s="3">
        <f t="shared" si="43"/>
        <v>12131.400000000003</v>
      </c>
      <c r="G352" s="3">
        <f t="shared" si="43"/>
        <v>202.19000000000005</v>
      </c>
      <c r="H352" s="3">
        <f t="shared" si="44"/>
        <v>8.4245833333333362</v>
      </c>
      <c r="I352" s="3">
        <f>IF(ISNA(MATCH(H352,关卡!$E$19:$E$2018,1)),0,MATCH(H352,关卡!$E$19:$E$2018,1))</f>
        <v>716</v>
      </c>
      <c r="J352" s="3">
        <f>VLOOKUP($I352,关卡!$A$17:$G$2018,6,0)</f>
        <v>82.751591947503996</v>
      </c>
      <c r="K352" s="3">
        <f>VLOOKUP($I352,关卡!$A$17:$G$2018,7,0)</f>
        <v>68.467477835119993</v>
      </c>
      <c r="L352" s="3">
        <f t="shared" si="45"/>
        <v>297905.73101101437</v>
      </c>
      <c r="M352" s="3">
        <f t="shared" si="46"/>
        <v>246482.92020643197</v>
      </c>
      <c r="N352" s="3">
        <f>INT(D352*J352*VLOOKUP(A352,经验产出!$I$7:$J$557,2,0))</f>
        <v>4646832</v>
      </c>
      <c r="O352" s="3">
        <f>SUM($N$24:N351)</f>
        <v>137418536</v>
      </c>
      <c r="P352" s="3">
        <f>K352*VLOOKUP(A352,金币产出!$I$7:$J$557,2,0)</f>
        <v>246.19763904878565</v>
      </c>
    </row>
    <row r="353" spans="1:16" x14ac:dyDescent="0.15">
      <c r="A353" s="3">
        <v>330</v>
      </c>
      <c r="B353" s="3">
        <f t="shared" si="40"/>
        <v>13</v>
      </c>
      <c r="C353" s="3">
        <f t="shared" si="41"/>
        <v>362880</v>
      </c>
      <c r="D353" s="3">
        <f t="shared" si="42"/>
        <v>12096</v>
      </c>
      <c r="E353" s="3">
        <f>SUM($D$24:D353)</f>
        <v>739980.00000000023</v>
      </c>
      <c r="F353" s="3">
        <f t="shared" si="43"/>
        <v>12333.000000000004</v>
      </c>
      <c r="G353" s="3">
        <f t="shared" si="43"/>
        <v>205.55000000000007</v>
      </c>
      <c r="H353" s="3">
        <f t="shared" si="44"/>
        <v>8.5645833333333368</v>
      </c>
      <c r="I353" s="3">
        <f>IF(ISNA(MATCH(H353,关卡!$E$19:$E$2018,1)),0,MATCH(H353,关卡!$E$19:$E$2018,1))</f>
        <v>722</v>
      </c>
      <c r="J353" s="3">
        <f>VLOOKUP($I353,关卡!$A$17:$G$2018,6,0)</f>
        <v>84.054405953359009</v>
      </c>
      <c r="K353" s="3">
        <f>VLOOKUP($I353,关卡!$A$17:$G$2018,7,0)</f>
        <v>69.318470638894993</v>
      </c>
      <c r="L353" s="3">
        <f t="shared" si="45"/>
        <v>302595.86143209244</v>
      </c>
      <c r="M353" s="3">
        <f t="shared" si="46"/>
        <v>249546.49430002199</v>
      </c>
      <c r="N353" s="3">
        <f>INT(D353*J353*VLOOKUP(A353,经验产出!$I$7:$J$557,2,0))</f>
        <v>4719991</v>
      </c>
      <c r="O353" s="3">
        <f>SUM($N$24:N352)</f>
        <v>142065368</v>
      </c>
      <c r="P353" s="3">
        <f>K353*VLOOKUP(A353,金币产出!$I$7:$J$557,2,0)</f>
        <v>249.25766733902657</v>
      </c>
    </row>
    <row r="354" spans="1:16" x14ac:dyDescent="0.15">
      <c r="A354" s="3">
        <v>331</v>
      </c>
      <c r="B354" s="3">
        <f t="shared" si="40"/>
        <v>13</v>
      </c>
      <c r="C354" s="3">
        <f t="shared" si="41"/>
        <v>374976</v>
      </c>
      <c r="D354" s="3">
        <f t="shared" si="42"/>
        <v>12096</v>
      </c>
      <c r="E354" s="3">
        <f>SUM($D$24:D354)</f>
        <v>752076.00000000023</v>
      </c>
      <c r="F354" s="3">
        <f t="shared" si="43"/>
        <v>12534.600000000004</v>
      </c>
      <c r="G354" s="3">
        <f t="shared" si="43"/>
        <v>208.91000000000005</v>
      </c>
      <c r="H354" s="3">
        <f t="shared" si="44"/>
        <v>8.7045833333333356</v>
      </c>
      <c r="I354" s="3">
        <f>IF(ISNA(MATCH(H354,关卡!$E$19:$E$2018,1)),0,MATCH(H354,关卡!$E$19:$E$2018,1))</f>
        <v>729</v>
      </c>
      <c r="J354" s="3">
        <f>VLOOKUP($I354,关卡!$A$17:$G$2018,6,0)</f>
        <v>85.593404903494928</v>
      </c>
      <c r="K354" s="3">
        <f>VLOOKUP($I354,关卡!$A$17:$G$2018,7,0)</f>
        <v>70.320097041605933</v>
      </c>
      <c r="L354" s="3">
        <f t="shared" si="45"/>
        <v>308136.25765258173</v>
      </c>
      <c r="M354" s="3">
        <f t="shared" si="46"/>
        <v>253152.34934978135</v>
      </c>
      <c r="N354" s="3">
        <f>INT(D354*J354*VLOOKUP(A354,经验产出!$I$7:$J$557,2,0))</f>
        <v>4806412</v>
      </c>
      <c r="O354" s="3">
        <f>SUM($N$24:N353)</f>
        <v>146785359</v>
      </c>
      <c r="P354" s="3">
        <f>K354*VLOOKUP(A354,金币产出!$I$7:$J$557,2,0)</f>
        <v>252.85934894544133</v>
      </c>
    </row>
    <row r="355" spans="1:16" x14ac:dyDescent="0.15">
      <c r="A355" s="3">
        <v>332</v>
      </c>
      <c r="B355" s="3">
        <f t="shared" si="40"/>
        <v>13</v>
      </c>
      <c r="C355" s="3">
        <f t="shared" si="41"/>
        <v>387072</v>
      </c>
      <c r="D355" s="3">
        <f t="shared" si="42"/>
        <v>12096</v>
      </c>
      <c r="E355" s="3">
        <f>SUM($D$24:D355)</f>
        <v>764172.00000000023</v>
      </c>
      <c r="F355" s="3">
        <f t="shared" si="43"/>
        <v>12736.200000000004</v>
      </c>
      <c r="G355" s="3">
        <f t="shared" si="43"/>
        <v>212.27000000000007</v>
      </c>
      <c r="H355" s="3">
        <f t="shared" si="44"/>
        <v>8.8445833333333361</v>
      </c>
      <c r="I355" s="3">
        <f>IF(ISNA(MATCH(H355,关卡!$E$19:$E$2018,1)),0,MATCH(H355,关卡!$E$19:$E$2018,1))</f>
        <v>736</v>
      </c>
      <c r="J355" s="3">
        <f>VLOOKUP($I355,关卡!$A$17:$G$2018,6,0)</f>
        <v>87.153133850624002</v>
      </c>
      <c r="K355" s="3">
        <f>VLOOKUP($I355,关卡!$A$17:$G$2018,7,0)</f>
        <v>71.331272478719995</v>
      </c>
      <c r="L355" s="3">
        <f t="shared" si="45"/>
        <v>313751.2818622464</v>
      </c>
      <c r="M355" s="3">
        <f t="shared" si="46"/>
        <v>256792.580923392</v>
      </c>
      <c r="N355" s="3">
        <f>INT(D355*J355*VLOOKUP(A355,经验产出!$I$7:$J$557,2,0))</f>
        <v>4893997</v>
      </c>
      <c r="O355" s="3">
        <f>SUM($N$24:N354)</f>
        <v>151591771</v>
      </c>
      <c r="P355" s="3">
        <f>K355*VLOOKUP(A355,金币产出!$I$7:$J$557,2,0)</f>
        <v>256.49536728806396</v>
      </c>
    </row>
    <row r="356" spans="1:16" x14ac:dyDescent="0.15">
      <c r="A356" s="3">
        <v>333</v>
      </c>
      <c r="B356" s="3">
        <f t="shared" si="40"/>
        <v>13</v>
      </c>
      <c r="C356" s="3">
        <f t="shared" si="41"/>
        <v>399168</v>
      </c>
      <c r="D356" s="3">
        <f t="shared" si="42"/>
        <v>12096</v>
      </c>
      <c r="E356" s="3">
        <f>SUM($D$24:D356)</f>
        <v>776268.00000000023</v>
      </c>
      <c r="F356" s="3">
        <f t="shared" si="43"/>
        <v>12937.800000000005</v>
      </c>
      <c r="G356" s="3">
        <f t="shared" si="43"/>
        <v>215.63000000000008</v>
      </c>
      <c r="H356" s="3">
        <f t="shared" si="44"/>
        <v>8.9845833333333367</v>
      </c>
      <c r="I356" s="3">
        <f>IF(ISNA(MATCH(H356,关卡!$E$19:$E$2018,1)),0,MATCH(H356,关卡!$E$19:$E$2018,1))</f>
        <v>743</v>
      </c>
      <c r="J356" s="3">
        <f>VLOOKUP($I356,关卡!$A$17:$G$2018,6,0)</f>
        <v>88.733820341374951</v>
      </c>
      <c r="K356" s="3">
        <f>VLOOKUP($I356,关卡!$A$17:$G$2018,7,0)</f>
        <v>72.352071340505944</v>
      </c>
      <c r="L356" s="3">
        <f t="shared" si="45"/>
        <v>319441.75322894985</v>
      </c>
      <c r="M356" s="3">
        <f t="shared" si="46"/>
        <v>260467.4568258214</v>
      </c>
      <c r="N356" s="3">
        <f>INT(D356*J356*VLOOKUP(A356,经验产出!$I$7:$J$557,2,0))</f>
        <v>4982758</v>
      </c>
      <c r="O356" s="3">
        <f>SUM($N$24:N355)</f>
        <v>156485768</v>
      </c>
      <c r="P356" s="3">
        <f>K356*VLOOKUP(A356,金币产出!$I$7:$J$557,2,0)</f>
        <v>260.16598986190263</v>
      </c>
    </row>
    <row r="357" spans="1:16" x14ac:dyDescent="0.15">
      <c r="A357" s="3">
        <v>334</v>
      </c>
      <c r="B357" s="3">
        <f t="shared" si="40"/>
        <v>13</v>
      </c>
      <c r="C357" s="3">
        <f t="shared" si="41"/>
        <v>411264.00000000006</v>
      </c>
      <c r="D357" s="3">
        <f t="shared" si="42"/>
        <v>12096.000000000058</v>
      </c>
      <c r="E357" s="3">
        <f>SUM($D$24:D357)</f>
        <v>788364.00000000023</v>
      </c>
      <c r="F357" s="3">
        <f t="shared" si="43"/>
        <v>13139.400000000003</v>
      </c>
      <c r="G357" s="3">
        <f t="shared" si="43"/>
        <v>218.99000000000007</v>
      </c>
      <c r="H357" s="3">
        <f t="shared" si="44"/>
        <v>9.1245833333333355</v>
      </c>
      <c r="I357" s="3">
        <f>IF(ISNA(MATCH(H357,关卡!$E$19:$E$2018,1)),0,MATCH(H357,关卡!$E$19:$E$2018,1))</f>
        <v>749</v>
      </c>
      <c r="J357" s="3">
        <f>VLOOKUP($I357,关卡!$A$17:$G$2018,6,0)</f>
        <v>90.105548504899929</v>
      </c>
      <c r="K357" s="3">
        <f>VLOOKUP($I357,关卡!$A$17:$G$2018,7,0)</f>
        <v>73.234757893130947</v>
      </c>
      <c r="L357" s="3">
        <f t="shared" si="45"/>
        <v>324379.97461763979</v>
      </c>
      <c r="M357" s="3">
        <f t="shared" si="46"/>
        <v>263645.12841527141</v>
      </c>
      <c r="N357" s="3">
        <f>INT(D357*J357*VLOOKUP(A357,经验产出!$I$7:$J$557,2,0))</f>
        <v>5059786</v>
      </c>
      <c r="O357" s="3">
        <f>SUM($N$24:N356)</f>
        <v>161468526</v>
      </c>
      <c r="P357" s="3">
        <f>K357*VLOOKUP(A357,金币产出!$I$7:$J$557,2,0)</f>
        <v>263.33998359071671</v>
      </c>
    </row>
    <row r="358" spans="1:16" x14ac:dyDescent="0.15">
      <c r="A358" s="3">
        <v>335</v>
      </c>
      <c r="B358" s="3">
        <f t="shared" si="40"/>
        <v>13</v>
      </c>
      <c r="C358" s="3">
        <f t="shared" si="41"/>
        <v>423360</v>
      </c>
      <c r="D358" s="3">
        <f t="shared" si="42"/>
        <v>12095.999999999942</v>
      </c>
      <c r="E358" s="3">
        <f>SUM($D$24:D358)</f>
        <v>800460.00000000023</v>
      </c>
      <c r="F358" s="3">
        <f t="shared" si="43"/>
        <v>13341.000000000004</v>
      </c>
      <c r="G358" s="3">
        <f t="shared" si="43"/>
        <v>222.35000000000005</v>
      </c>
      <c r="H358" s="3">
        <f t="shared" si="44"/>
        <v>9.2645833333333361</v>
      </c>
      <c r="I358" s="3">
        <f>IF(ISNA(MATCH(H358,关卡!$E$19:$E$2018,1)),0,MATCH(H358,关卡!$E$19:$E$2018,1))</f>
        <v>756</v>
      </c>
      <c r="J358" s="3">
        <f>VLOOKUP($I358,关卡!$A$17:$G$2018,6,0)</f>
        <v>91.725764744944016</v>
      </c>
      <c r="K358" s="3">
        <f>VLOOKUP($I358,关卡!$A$17:$G$2018,7,0)</f>
        <v>74.273627358319999</v>
      </c>
      <c r="L358" s="3">
        <f t="shared" si="45"/>
        <v>330212.7530817985</v>
      </c>
      <c r="M358" s="3">
        <f t="shared" si="46"/>
        <v>267385.058489952</v>
      </c>
      <c r="N358" s="3">
        <f>INT(D358*J358*VLOOKUP(A358,经验产出!$I$7:$J$557,2,0))</f>
        <v>5150768</v>
      </c>
      <c r="O358" s="3">
        <f>SUM($N$24:N357)</f>
        <v>166528312</v>
      </c>
      <c r="P358" s="3">
        <f>K358*VLOOKUP(A358,金币产出!$I$7:$J$557,2,0)</f>
        <v>267.07558504262568</v>
      </c>
    </row>
    <row r="359" spans="1:16" x14ac:dyDescent="0.15">
      <c r="A359" s="3">
        <v>336</v>
      </c>
      <c r="B359" s="3">
        <f t="shared" si="40"/>
        <v>13</v>
      </c>
      <c r="C359" s="3">
        <f t="shared" si="41"/>
        <v>435456</v>
      </c>
      <c r="D359" s="3">
        <f t="shared" si="42"/>
        <v>12096</v>
      </c>
      <c r="E359" s="3">
        <f>SUM($D$24:D359)</f>
        <v>812556.00000000023</v>
      </c>
      <c r="F359" s="3">
        <f t="shared" si="43"/>
        <v>13542.600000000004</v>
      </c>
      <c r="G359" s="3">
        <f t="shared" si="43"/>
        <v>225.71000000000006</v>
      </c>
      <c r="H359" s="3">
        <f t="shared" si="44"/>
        <v>9.4045833333333366</v>
      </c>
      <c r="I359" s="3">
        <f>IF(ISNA(MATCH(H359,关卡!$E$19:$E$2018,1)),0,MATCH(H359,关卡!$E$19:$E$2018,1))</f>
        <v>763</v>
      </c>
      <c r="J359" s="3">
        <f>VLOOKUP($I359,关卡!$A$17:$G$2018,6,0)</f>
        <v>93.36759657998995</v>
      </c>
      <c r="K359" s="3">
        <f>VLOOKUP($I359,关卡!$A$17:$G$2018,7,0)</f>
        <v>75.322334677080931</v>
      </c>
      <c r="L359" s="3">
        <f t="shared" si="45"/>
        <v>336123.3476879638</v>
      </c>
      <c r="M359" s="3">
        <f t="shared" si="46"/>
        <v>271160.40483749134</v>
      </c>
      <c r="N359" s="3">
        <f>INT(D359*J359*VLOOKUP(A359,经验产出!$I$7:$J$557,2,0))</f>
        <v>5242964</v>
      </c>
      <c r="O359" s="3">
        <f>SUM($N$24:N358)</f>
        <v>171679080</v>
      </c>
      <c r="P359" s="3">
        <f>K359*VLOOKUP(A359,金币产出!$I$7:$J$557,2,0)</f>
        <v>270.84656177633684</v>
      </c>
    </row>
    <row r="360" spans="1:16" x14ac:dyDescent="0.15">
      <c r="A360" s="3">
        <v>337</v>
      </c>
      <c r="B360" s="3">
        <f t="shared" si="40"/>
        <v>13</v>
      </c>
      <c r="C360" s="3">
        <f t="shared" si="41"/>
        <v>447552</v>
      </c>
      <c r="D360" s="3">
        <f t="shared" si="42"/>
        <v>12096</v>
      </c>
      <c r="E360" s="3">
        <f>SUM($D$24:D360)</f>
        <v>824652.00000000023</v>
      </c>
      <c r="F360" s="3">
        <f t="shared" si="43"/>
        <v>13744.200000000004</v>
      </c>
      <c r="G360" s="3">
        <f t="shared" si="43"/>
        <v>229.07000000000008</v>
      </c>
      <c r="H360" s="3">
        <f t="shared" si="44"/>
        <v>9.5445833333333372</v>
      </c>
      <c r="I360" s="3">
        <f>IF(ISNA(MATCH(H360,关卡!$E$19:$E$2018,1)),0,MATCH(H360,关卡!$E$19:$E$2018,1))</f>
        <v>769</v>
      </c>
      <c r="J360" s="3">
        <f>VLOOKUP($I360,关卡!$A$17:$G$2018,6,0)</f>
        <v>94.792261906004953</v>
      </c>
      <c r="K360" s="3">
        <f>VLOOKUP($I360,关卡!$A$17:$G$2018,7,0)</f>
        <v>76.229114173155935</v>
      </c>
      <c r="L360" s="3">
        <f t="shared" si="45"/>
        <v>341252.14286161779</v>
      </c>
      <c r="M360" s="3">
        <f t="shared" si="46"/>
        <v>274424.81102336134</v>
      </c>
      <c r="N360" s="3">
        <f>INT(D360*J360*VLOOKUP(A360,经验产出!$I$7:$J$557,2,0))</f>
        <v>5322964</v>
      </c>
      <c r="O360" s="3">
        <f>SUM($N$24:N359)</f>
        <v>176922044</v>
      </c>
      <c r="P360" s="3">
        <f>K360*VLOOKUP(A360,金币产出!$I$7:$J$557,2,0)</f>
        <v>274.10718971430651</v>
      </c>
    </row>
    <row r="361" spans="1:16" x14ac:dyDescent="0.15">
      <c r="A361" s="3">
        <v>338</v>
      </c>
      <c r="B361" s="3">
        <f t="shared" si="40"/>
        <v>13</v>
      </c>
      <c r="C361" s="3">
        <f t="shared" si="41"/>
        <v>459648</v>
      </c>
      <c r="D361" s="3">
        <f t="shared" si="42"/>
        <v>12096</v>
      </c>
      <c r="E361" s="3">
        <f>SUM($D$24:D361)</f>
        <v>836748.00000000023</v>
      </c>
      <c r="F361" s="3">
        <f t="shared" si="43"/>
        <v>13945.800000000005</v>
      </c>
      <c r="G361" s="3">
        <f t="shared" si="43"/>
        <v>232.43000000000009</v>
      </c>
      <c r="H361" s="3">
        <f t="shared" si="44"/>
        <v>9.6845833333333378</v>
      </c>
      <c r="I361" s="3">
        <f>IF(ISNA(MATCH(H361,关卡!$E$19:$E$2018,1)),0,MATCH(H361,关卡!$E$19:$E$2018,1))</f>
        <v>776</v>
      </c>
      <c r="J361" s="3">
        <f>VLOOKUP($I361,关卡!$A$17:$G$2018,6,0)</f>
        <v>96.474856478464019</v>
      </c>
      <c r="K361" s="3">
        <f>VLOOKUP($I361,关卡!$A$17:$G$2018,7,0)</f>
        <v>77.296292913919999</v>
      </c>
      <c r="L361" s="3">
        <f t="shared" si="45"/>
        <v>347309.48332247045</v>
      </c>
      <c r="M361" s="3">
        <f t="shared" si="46"/>
        <v>278266.65449011198</v>
      </c>
      <c r="N361" s="3">
        <f>INT(D361*J361*VLOOKUP(A361,经验产出!$I$7:$J$557,2,0))</f>
        <v>5417449</v>
      </c>
      <c r="O361" s="3">
        <f>SUM($N$24:N360)</f>
        <v>182245008</v>
      </c>
      <c r="P361" s="3">
        <f>K361*VLOOKUP(A361,金币产出!$I$7:$J$557,2,0)</f>
        <v>277.94458660297067</v>
      </c>
    </row>
    <row r="362" spans="1:16" x14ac:dyDescent="0.15">
      <c r="A362" s="3">
        <v>339</v>
      </c>
      <c r="B362" s="3">
        <f t="shared" si="40"/>
        <v>13</v>
      </c>
      <c r="C362" s="3">
        <f t="shared" si="41"/>
        <v>471744</v>
      </c>
      <c r="D362" s="3">
        <f t="shared" si="42"/>
        <v>12096</v>
      </c>
      <c r="E362" s="3">
        <f>SUM($D$24:D362)</f>
        <v>848844.00000000023</v>
      </c>
      <c r="F362" s="3">
        <f t="shared" si="43"/>
        <v>14147.400000000003</v>
      </c>
      <c r="G362" s="3">
        <f t="shared" si="43"/>
        <v>235.79000000000005</v>
      </c>
      <c r="H362" s="3">
        <f t="shared" si="44"/>
        <v>9.8245833333333348</v>
      </c>
      <c r="I362" s="3">
        <f>IF(ISNA(MATCH(H362,关卡!$E$19:$E$2018,1)),0,MATCH(H362,关卡!$E$19:$E$2018,1))</f>
        <v>782</v>
      </c>
      <c r="J362" s="3">
        <f>VLOOKUP($I362,关卡!$A$17:$G$2018,6,0)</f>
        <v>97.934808764239023</v>
      </c>
      <c r="K362" s="3">
        <f>VLOOKUP($I362,关卡!$A$17:$G$2018,7,0)</f>
        <v>78.219017665294999</v>
      </c>
      <c r="L362" s="3">
        <f t="shared" si="45"/>
        <v>352565.31155126047</v>
      </c>
      <c r="M362" s="3">
        <f t="shared" si="46"/>
        <v>281588.46359506197</v>
      </c>
      <c r="N362" s="3">
        <f>INT(D362*J362*VLOOKUP(A362,经验产出!$I$7:$J$557,2,0))</f>
        <v>5499431</v>
      </c>
      <c r="O362" s="3">
        <f>SUM($N$24:N361)</f>
        <v>187662457</v>
      </c>
      <c r="P362" s="3">
        <f>K362*VLOOKUP(A362,金币产出!$I$7:$J$557,2,0)</f>
        <v>281.2625510214566</v>
      </c>
    </row>
    <row r="363" spans="1:16" x14ac:dyDescent="0.15">
      <c r="A363" s="3">
        <v>340</v>
      </c>
      <c r="B363" s="3">
        <f t="shared" si="40"/>
        <v>13</v>
      </c>
      <c r="C363" s="3">
        <f t="shared" si="41"/>
        <v>483840</v>
      </c>
      <c r="D363" s="3">
        <f t="shared" si="42"/>
        <v>12096</v>
      </c>
      <c r="E363" s="3">
        <f>SUM($D$24:D363)</f>
        <v>860940.00000000023</v>
      </c>
      <c r="F363" s="3">
        <f t="shared" si="43"/>
        <v>14349.000000000004</v>
      </c>
      <c r="G363" s="3">
        <f t="shared" si="43"/>
        <v>239.15000000000006</v>
      </c>
      <c r="H363" s="3">
        <f t="shared" si="44"/>
        <v>9.9645833333333353</v>
      </c>
      <c r="I363" s="3">
        <f>IF(ISNA(MATCH(H363,关卡!$E$19:$E$2018,1)),0,MATCH(H363,关卡!$E$19:$E$2018,1))</f>
        <v>789</v>
      </c>
      <c r="J363" s="3">
        <f>VLOOKUP($I363,关卡!$A$17:$G$2018,6,0)</f>
        <v>99.658979198809945</v>
      </c>
      <c r="K363" s="3">
        <f>VLOOKUP($I363,关卡!$A$17:$G$2018,7,0)</f>
        <v>79.304931141680939</v>
      </c>
      <c r="L363" s="3">
        <f t="shared" si="45"/>
        <v>358772.32511571579</v>
      </c>
      <c r="M363" s="3">
        <f t="shared" si="46"/>
        <v>285497.75211005134</v>
      </c>
      <c r="N363" s="3">
        <f>INT(D363*J363*VLOOKUP(A363,经验产出!$I$7:$J$557,2,0))</f>
        <v>5596250</v>
      </c>
      <c r="O363" s="3">
        <f>SUM($N$24:N362)</f>
        <v>193161888</v>
      </c>
      <c r="P363" s="3">
        <f>K363*VLOOKUP(A363,金币产出!$I$7:$J$557,2,0)</f>
        <v>285.16731489696105</v>
      </c>
    </row>
    <row r="364" spans="1:16" x14ac:dyDescent="0.15">
      <c r="A364" s="3">
        <v>341</v>
      </c>
      <c r="B364" s="3">
        <f t="shared" si="40"/>
        <v>13</v>
      </c>
      <c r="C364" s="3">
        <f t="shared" si="41"/>
        <v>495935.99999999994</v>
      </c>
      <c r="D364" s="3">
        <f t="shared" si="42"/>
        <v>12095.999999999942</v>
      </c>
      <c r="E364" s="3">
        <f>SUM($D$24:D364)</f>
        <v>873036.00000000023</v>
      </c>
      <c r="F364" s="3">
        <f t="shared" si="43"/>
        <v>14550.600000000004</v>
      </c>
      <c r="G364" s="3">
        <f t="shared" si="43"/>
        <v>242.51000000000008</v>
      </c>
      <c r="H364" s="3">
        <f t="shared" si="44"/>
        <v>10.104583333333336</v>
      </c>
      <c r="I364" s="3">
        <f>IF(ISNA(MATCH(H364,关卡!$E$19:$E$2018,1)),0,MATCH(H364,关卡!$E$19:$E$2018,1))</f>
        <v>795</v>
      </c>
      <c r="J364" s="3">
        <f>VLOOKUP($I364,关卡!$A$17:$G$2018,6,0)</f>
        <v>101.15491935308594</v>
      </c>
      <c r="K364" s="3">
        <f>VLOOKUP($I364,关卡!$A$17:$G$2018,7,0)</f>
        <v>80.243827784960942</v>
      </c>
      <c r="L364" s="3">
        <f t="shared" si="45"/>
        <v>364157.70967110939</v>
      </c>
      <c r="M364" s="3">
        <f t="shared" si="46"/>
        <v>288877.78002585936</v>
      </c>
      <c r="N364" s="3">
        <f>INT(D364*J364*VLOOKUP(A364,经验产出!$I$7:$J$557,2,0))</f>
        <v>5680253</v>
      </c>
      <c r="O364" s="3">
        <f>SUM($N$24:N363)</f>
        <v>198758138</v>
      </c>
      <c r="P364" s="3">
        <f>K364*VLOOKUP(A364,金币产出!$I$7:$J$557,2,0)</f>
        <v>288.54343074342205</v>
      </c>
    </row>
    <row r="365" spans="1:16" x14ac:dyDescent="0.15">
      <c r="A365" s="3">
        <v>342</v>
      </c>
      <c r="B365" s="3">
        <f t="shared" si="40"/>
        <v>13</v>
      </c>
      <c r="C365" s="3">
        <f t="shared" si="41"/>
        <v>508032</v>
      </c>
      <c r="D365" s="3">
        <f t="shared" si="42"/>
        <v>12096.000000000058</v>
      </c>
      <c r="E365" s="3">
        <f>SUM($D$24:D365)</f>
        <v>885132.00000000023</v>
      </c>
      <c r="F365" s="3">
        <f t="shared" si="43"/>
        <v>14752.200000000004</v>
      </c>
      <c r="G365" s="3">
        <f t="shared" si="43"/>
        <v>245.87000000000006</v>
      </c>
      <c r="H365" s="3">
        <f t="shared" si="44"/>
        <v>10.244583333333336</v>
      </c>
      <c r="I365" s="3">
        <f>IF(ISNA(MATCH(H365,关卡!$E$19:$E$2018,1)),0,MATCH(H365,关卡!$E$19:$E$2018,1))</f>
        <v>801</v>
      </c>
      <c r="J365" s="3">
        <f>VLOOKUP($I365,关卡!$A$17:$G$2018,6,0)</f>
        <v>102.66770787732493</v>
      </c>
      <c r="K365" s="3">
        <f>VLOOKUP($I365,关卡!$A$17:$G$2018,7,0)</f>
        <v>81.190265337755932</v>
      </c>
      <c r="L365" s="3">
        <f t="shared" si="45"/>
        <v>369603.74835836975</v>
      </c>
      <c r="M365" s="3">
        <f t="shared" si="46"/>
        <v>292284.95521592133</v>
      </c>
      <c r="N365" s="3">
        <f>INT(D365*J365*VLOOKUP(A365,经验产出!$I$7:$J$557,2,0))</f>
        <v>5765202</v>
      </c>
      <c r="O365" s="3">
        <f>SUM($N$24:N364)</f>
        <v>204438391</v>
      </c>
      <c r="P365" s="3">
        <f>K365*VLOOKUP(A365,金币产出!$I$7:$J$557,2,0)</f>
        <v>291.94666244368068</v>
      </c>
    </row>
    <row r="366" spans="1:16" x14ac:dyDescent="0.15">
      <c r="A366" s="3">
        <v>343</v>
      </c>
      <c r="B366" s="3">
        <f t="shared" si="40"/>
        <v>13</v>
      </c>
      <c r="C366" s="3">
        <f t="shared" si="41"/>
        <v>520128</v>
      </c>
      <c r="D366" s="3">
        <f t="shared" si="42"/>
        <v>12096</v>
      </c>
      <c r="E366" s="3">
        <f>SUM($D$24:D366)</f>
        <v>897228.00000000023</v>
      </c>
      <c r="F366" s="3">
        <f t="shared" si="43"/>
        <v>14953.800000000005</v>
      </c>
      <c r="G366" s="3">
        <f t="shared" si="43"/>
        <v>249.23000000000008</v>
      </c>
      <c r="H366" s="3">
        <f t="shared" si="44"/>
        <v>10.384583333333337</v>
      </c>
      <c r="I366" s="3">
        <f>IF(ISNA(MATCH(H366,关卡!$E$19:$E$2018,1)),0,MATCH(H366,关卡!$E$19:$E$2018,1))</f>
        <v>808</v>
      </c>
      <c r="J366" s="3">
        <f>VLOOKUP($I366,关卡!$A$17:$G$2018,6,0)</f>
        <v>104.45412479974401</v>
      </c>
      <c r="K366" s="3">
        <f>VLOOKUP($I366,关卡!$A$17:$G$2018,7,0)</f>
        <v>82.304038552320023</v>
      </c>
      <c r="L366" s="3">
        <f t="shared" si="45"/>
        <v>376034.84927907842</v>
      </c>
      <c r="M366" s="3">
        <f t="shared" si="46"/>
        <v>296294.5387883521</v>
      </c>
      <c r="N366" s="3">
        <f>INT(D366*J366*VLOOKUP(A366,经验产出!$I$7:$J$557,2,0))</f>
        <v>5865516</v>
      </c>
      <c r="O366" s="3">
        <f>SUM($N$24:N365)</f>
        <v>210203593</v>
      </c>
      <c r="P366" s="3">
        <f>K366*VLOOKUP(A366,金币产出!$I$7:$J$557,2,0)</f>
        <v>295.95160529438408</v>
      </c>
    </row>
    <row r="367" spans="1:16" x14ac:dyDescent="0.15">
      <c r="A367" s="3">
        <v>344</v>
      </c>
      <c r="B367" s="3">
        <f t="shared" si="40"/>
        <v>13</v>
      </c>
      <c r="C367" s="3">
        <f t="shared" si="41"/>
        <v>532224</v>
      </c>
      <c r="D367" s="3">
        <f t="shared" si="42"/>
        <v>12096</v>
      </c>
      <c r="E367" s="3">
        <f>SUM($D$24:D367)</f>
        <v>909324.00000000023</v>
      </c>
      <c r="F367" s="3">
        <f t="shared" si="43"/>
        <v>15155.400000000003</v>
      </c>
      <c r="G367" s="3">
        <f t="shared" si="43"/>
        <v>252.59000000000006</v>
      </c>
      <c r="H367" s="3">
        <f t="shared" si="44"/>
        <v>10.524583333333336</v>
      </c>
      <c r="I367" s="3">
        <f>IF(ISNA(MATCH(H367,关卡!$E$19:$E$2018,1)),0,MATCH(H367,关卡!$E$19:$E$2018,1))</f>
        <v>814</v>
      </c>
      <c r="J367" s="3">
        <f>VLOOKUP($I367,关卡!$A$17:$G$2018,6,0)</f>
        <v>106.00393978919901</v>
      </c>
      <c r="K367" s="3">
        <f>VLOOKUP($I367,关卡!$A$17:$G$2018,7,0)</f>
        <v>83.266982614094985</v>
      </c>
      <c r="L367" s="3">
        <f t="shared" si="45"/>
        <v>381614.18324111647</v>
      </c>
      <c r="M367" s="3">
        <f t="shared" si="46"/>
        <v>299761.13741074194</v>
      </c>
      <c r="N367" s="3">
        <f>INT(D367*J367*VLOOKUP(A367,经验产出!$I$7:$J$557,2,0))</f>
        <v>5952545</v>
      </c>
      <c r="O367" s="3">
        <f>SUM($N$24:N366)</f>
        <v>216069109</v>
      </c>
      <c r="P367" s="3">
        <f>K367*VLOOKUP(A367,金币产出!$I$7:$J$557,2,0)</f>
        <v>299.4141916498499</v>
      </c>
    </row>
    <row r="368" spans="1:16" x14ac:dyDescent="0.15">
      <c r="A368" s="3">
        <v>345</v>
      </c>
      <c r="B368" s="3">
        <f t="shared" si="40"/>
        <v>13</v>
      </c>
      <c r="C368" s="3">
        <f t="shared" si="41"/>
        <v>544320</v>
      </c>
      <c r="D368" s="3">
        <f t="shared" si="42"/>
        <v>12096</v>
      </c>
      <c r="E368" s="3">
        <f>SUM($D$24:D368)</f>
        <v>921420.00000000023</v>
      </c>
      <c r="F368" s="3">
        <f t="shared" si="43"/>
        <v>15357.000000000004</v>
      </c>
      <c r="G368" s="3">
        <f t="shared" si="43"/>
        <v>255.95000000000007</v>
      </c>
      <c r="H368" s="3">
        <f t="shared" si="44"/>
        <v>10.664583333333336</v>
      </c>
      <c r="I368" s="3">
        <f>IF(ISNA(MATCH(H368,关卡!$E$19:$E$2018,1)),0,MATCH(H368,关卡!$E$19:$E$2018,1))</f>
        <v>820</v>
      </c>
      <c r="J368" s="3">
        <f>VLOOKUP($I368,关卡!$A$17:$G$2018,6,0)</f>
        <v>107.57108638999999</v>
      </c>
      <c r="K368" s="3">
        <f>VLOOKUP($I368,关卡!$A$17:$G$2018,7,0)</f>
        <v>84.237622949999988</v>
      </c>
      <c r="L368" s="3">
        <f t="shared" si="45"/>
        <v>387255.91100399999</v>
      </c>
      <c r="M368" s="3">
        <f t="shared" si="46"/>
        <v>303255.44261999993</v>
      </c>
      <c r="N368" s="3">
        <f>INT(D368*J368*VLOOKUP(A368,经验产出!$I$7:$J$557,2,0))</f>
        <v>6040546</v>
      </c>
      <c r="O368" s="3">
        <f>SUM($N$24:N367)</f>
        <v>222021654</v>
      </c>
      <c r="P368" s="3">
        <f>K368*VLOOKUP(A368,金币产出!$I$7:$J$557,2,0)</f>
        <v>302.90445252437496</v>
      </c>
    </row>
    <row r="369" spans="1:16" x14ac:dyDescent="0.15">
      <c r="A369" s="3">
        <v>346</v>
      </c>
      <c r="B369" s="3">
        <f t="shared" si="40"/>
        <v>13</v>
      </c>
      <c r="C369" s="3">
        <f t="shared" si="41"/>
        <v>556416</v>
      </c>
      <c r="D369" s="3">
        <f t="shared" si="42"/>
        <v>12096</v>
      </c>
      <c r="E369" s="3">
        <f>SUM($D$24:D369)</f>
        <v>933516.00000000023</v>
      </c>
      <c r="F369" s="3">
        <f t="shared" si="43"/>
        <v>15558.600000000004</v>
      </c>
      <c r="G369" s="3">
        <f t="shared" si="43"/>
        <v>259.31000000000006</v>
      </c>
      <c r="H369" s="3">
        <f t="shared" si="44"/>
        <v>10.804583333333335</v>
      </c>
      <c r="I369" s="3">
        <f>IF(ISNA(MATCH(H369,关卡!$E$19:$E$2018,1)),0,MATCH(H369,关卡!$E$19:$E$2018,1))</f>
        <v>826</v>
      </c>
      <c r="J369" s="3">
        <f>VLOOKUP($I369,关卡!$A$17:$G$2018,6,0)</f>
        <v>109.155718820639</v>
      </c>
      <c r="K369" s="3">
        <f>VLOOKUP($I369,关卡!$A$17:$G$2018,7,0)</f>
        <v>85.216009007295</v>
      </c>
      <c r="L369" s="3">
        <f t="shared" si="45"/>
        <v>392960.58775430033</v>
      </c>
      <c r="M369" s="3">
        <f t="shared" si="46"/>
        <v>306777.63242626202</v>
      </c>
      <c r="N369" s="3">
        <f>INT(D369*J369*VLOOKUP(A369,经验产出!$I$7:$J$557,2,0))</f>
        <v>6129530</v>
      </c>
      <c r="O369" s="3">
        <f>SUM($N$24:N368)</f>
        <v>228062200</v>
      </c>
      <c r="P369" s="3">
        <f>K369*VLOOKUP(A369,金币产出!$I$7:$J$557,2,0)</f>
        <v>306.42256572206492</v>
      </c>
    </row>
    <row r="370" spans="1:16" x14ac:dyDescent="0.15">
      <c r="A370" s="3">
        <v>347</v>
      </c>
      <c r="B370" s="3">
        <f t="shared" si="40"/>
        <v>13</v>
      </c>
      <c r="C370" s="3">
        <f t="shared" si="41"/>
        <v>568512</v>
      </c>
      <c r="D370" s="3">
        <f t="shared" si="42"/>
        <v>12096</v>
      </c>
      <c r="E370" s="3">
        <f>SUM($D$24:D370)</f>
        <v>945612.00000000023</v>
      </c>
      <c r="F370" s="3">
        <f t="shared" si="43"/>
        <v>15760.200000000004</v>
      </c>
      <c r="G370" s="3">
        <f t="shared" si="43"/>
        <v>262.67000000000007</v>
      </c>
      <c r="H370" s="3">
        <f t="shared" si="44"/>
        <v>10.944583333333336</v>
      </c>
      <c r="I370" s="3">
        <f>IF(ISNA(MATCH(H370,关卡!$E$19:$E$2018,1)),0,MATCH(H370,关卡!$E$19:$E$2018,1))</f>
        <v>832</v>
      </c>
      <c r="J370" s="3">
        <f>VLOOKUP($I370,关卡!$A$17:$G$2018,6,0)</f>
        <v>110.75799207526401</v>
      </c>
      <c r="K370" s="3">
        <f>VLOOKUP($I370,关卡!$A$17:$G$2018,7,0)</f>
        <v>86.202190417920008</v>
      </c>
      <c r="L370" s="3">
        <f t="shared" si="45"/>
        <v>398728.77147095045</v>
      </c>
      <c r="M370" s="3">
        <f t="shared" si="46"/>
        <v>310327.885504512</v>
      </c>
      <c r="N370" s="3">
        <f>INT(D370*J370*VLOOKUP(A370,经验产出!$I$7:$J$557,2,0))</f>
        <v>6219504</v>
      </c>
      <c r="O370" s="3">
        <f>SUM($N$24:N369)</f>
        <v>234191730</v>
      </c>
      <c r="P370" s="3">
        <f>K370*VLOOKUP(A370,金币产出!$I$7:$J$557,2,0)</f>
        <v>309.968709711104</v>
      </c>
    </row>
    <row r="371" spans="1:16" x14ac:dyDescent="0.15">
      <c r="A371" s="3">
        <v>348</v>
      </c>
      <c r="B371" s="3">
        <f t="shared" si="40"/>
        <v>13</v>
      </c>
      <c r="C371" s="3">
        <f t="shared" si="41"/>
        <v>580608</v>
      </c>
      <c r="D371" s="3">
        <f t="shared" si="42"/>
        <v>12096</v>
      </c>
      <c r="E371" s="3">
        <f>SUM($D$24:D371)</f>
        <v>957708.00000000023</v>
      </c>
      <c r="F371" s="3">
        <f t="shared" si="43"/>
        <v>15961.800000000005</v>
      </c>
      <c r="G371" s="3">
        <f t="shared" si="43"/>
        <v>266.03000000000009</v>
      </c>
      <c r="H371" s="3">
        <f t="shared" si="44"/>
        <v>11.084583333333336</v>
      </c>
      <c r="I371" s="3">
        <f>IF(ISNA(MATCH(H371,关卡!$E$19:$E$2018,1)),0,MATCH(H371,关卡!$E$19:$E$2018,1))</f>
        <v>838</v>
      </c>
      <c r="J371" s="3">
        <f>VLOOKUP($I371,关卡!$A$17:$G$2018,6,0)</f>
        <v>112.378061923679</v>
      </c>
      <c r="K371" s="3">
        <f>VLOOKUP($I371,关卡!$A$17:$G$2018,7,0)</f>
        <v>87.196216998495004</v>
      </c>
      <c r="L371" s="3">
        <f t="shared" si="45"/>
        <v>404561.02292524435</v>
      </c>
      <c r="M371" s="3">
        <f t="shared" si="46"/>
        <v>313906.38119458203</v>
      </c>
      <c r="N371" s="3">
        <f>INT(D371*J371*VLOOKUP(A371,经验产出!$I$7:$J$557,2,0))</f>
        <v>6310477</v>
      </c>
      <c r="O371" s="3">
        <f>SUM($N$24:N370)</f>
        <v>240411234</v>
      </c>
      <c r="P371" s="3">
        <f>K371*VLOOKUP(A371,金币产出!$I$7:$J$557,2,0)</f>
        <v>313.54306362375496</v>
      </c>
    </row>
    <row r="372" spans="1:16" x14ac:dyDescent="0.15">
      <c r="A372" s="3">
        <v>349</v>
      </c>
      <c r="B372" s="3">
        <f t="shared" si="40"/>
        <v>13</v>
      </c>
      <c r="C372" s="3">
        <f t="shared" si="41"/>
        <v>592704</v>
      </c>
      <c r="D372" s="3">
        <f t="shared" si="42"/>
        <v>12096</v>
      </c>
      <c r="E372" s="3">
        <f>SUM($D$24:D372)</f>
        <v>969804.00000000023</v>
      </c>
      <c r="F372" s="3">
        <f t="shared" si="43"/>
        <v>16163.400000000003</v>
      </c>
      <c r="G372" s="3">
        <f t="shared" si="43"/>
        <v>269.39000000000004</v>
      </c>
      <c r="H372" s="3">
        <f t="shared" si="44"/>
        <v>11.224583333333335</v>
      </c>
      <c r="I372" s="3">
        <f>IF(ISNA(MATCH(H372,关卡!$E$19:$E$2018,1)),0,MATCH(H372,关卡!$E$19:$E$2018,1))</f>
        <v>844</v>
      </c>
      <c r="J372" s="3">
        <f>VLOOKUP($I372,关卡!$A$17:$G$2018,6,0)</f>
        <v>114.016084911344</v>
      </c>
      <c r="K372" s="3">
        <f>VLOOKUP($I372,关卡!$A$17:$G$2018,7,0)</f>
        <v>88.198138750319998</v>
      </c>
      <c r="L372" s="3">
        <f t="shared" si="45"/>
        <v>410457.90568083839</v>
      </c>
      <c r="M372" s="3">
        <f t="shared" si="46"/>
        <v>317513.29950115201</v>
      </c>
      <c r="N372" s="3">
        <f>INT(D372*J372*VLOOKUP(A372,经验产出!$I$7:$J$557,2,0))</f>
        <v>6402459</v>
      </c>
      <c r="O372" s="3">
        <f>SUM($N$24:N371)</f>
        <v>246721711</v>
      </c>
      <c r="P372" s="3">
        <f>K372*VLOOKUP(A372,金币产出!$I$7:$J$557,2,0)</f>
        <v>317.14580725635898</v>
      </c>
    </row>
    <row r="373" spans="1:16" x14ac:dyDescent="0.15">
      <c r="A373" s="3">
        <v>350</v>
      </c>
      <c r="B373" s="3">
        <f t="shared" si="40"/>
        <v>13</v>
      </c>
      <c r="C373" s="3">
        <f t="shared" si="41"/>
        <v>604800</v>
      </c>
      <c r="D373" s="3">
        <f t="shared" si="42"/>
        <v>12096</v>
      </c>
      <c r="E373" s="3">
        <f>SUM($D$24:D373)</f>
        <v>981900.00000000023</v>
      </c>
      <c r="F373" s="3">
        <f t="shared" si="43"/>
        <v>16365.000000000004</v>
      </c>
      <c r="G373" s="3">
        <f t="shared" si="43"/>
        <v>272.75000000000006</v>
      </c>
      <c r="H373" s="3">
        <f t="shared" si="44"/>
        <v>11.364583333333336</v>
      </c>
      <c r="I373" s="3">
        <f>IF(ISNA(MATCH(H373,关卡!$E$19:$E$2018,1)),0,MATCH(H373,关卡!$E$19:$E$2018,1))</f>
        <v>850</v>
      </c>
      <c r="J373" s="3">
        <f>VLOOKUP($I373,关卡!$A$17:$G$2018,6,0)</f>
        <v>115.67221835937499</v>
      </c>
      <c r="K373" s="3">
        <f>VLOOKUP($I373,关卡!$A$17:$G$2018,7,0)</f>
        <v>89.208005859375007</v>
      </c>
      <c r="L373" s="3">
        <f t="shared" si="45"/>
        <v>416419.98609374999</v>
      </c>
      <c r="M373" s="3">
        <f t="shared" si="46"/>
        <v>321148.82109375007</v>
      </c>
      <c r="N373" s="3">
        <f>INT(D373*J373*VLOOKUP(A373,经验产出!$I$7:$J$557,2,0))</f>
        <v>6495457</v>
      </c>
      <c r="O373" s="3">
        <f>SUM($N$24:N372)</f>
        <v>253124170</v>
      </c>
      <c r="P373" s="3">
        <f>K373*VLOOKUP(A373,金币产出!$I$7:$J$557,2,0)</f>
        <v>320.77712106933598</v>
      </c>
    </row>
    <row r="374" spans="1:16" x14ac:dyDescent="0.15">
      <c r="A374" s="3">
        <v>351</v>
      </c>
      <c r="B374" s="3">
        <f t="shared" si="40"/>
        <v>14</v>
      </c>
      <c r="C374" s="3">
        <f t="shared" si="41"/>
        <v>12096</v>
      </c>
      <c r="D374" s="3">
        <f t="shared" si="42"/>
        <v>12096</v>
      </c>
      <c r="E374" s="3">
        <f>SUM($D$24:D374)</f>
        <v>993996.00000000023</v>
      </c>
      <c r="F374" s="3">
        <f t="shared" si="43"/>
        <v>16566.600000000002</v>
      </c>
      <c r="G374" s="3">
        <f t="shared" si="43"/>
        <v>276.11</v>
      </c>
      <c r="H374" s="3">
        <f t="shared" si="44"/>
        <v>11.504583333333334</v>
      </c>
      <c r="I374" s="3">
        <f>IF(ISNA(MATCH(H374,关卡!$E$19:$E$2018,1)),0,MATCH(H374,关卡!$E$19:$E$2018,1))</f>
        <v>856</v>
      </c>
      <c r="J374" s="3">
        <f>VLOOKUP($I374,关卡!$A$17:$G$2018,6,0)</f>
        <v>117.34662036454399</v>
      </c>
      <c r="K374" s="3">
        <f>VLOOKUP($I374,关卡!$A$17:$G$2018,7,0)</f>
        <v>90.225868696319992</v>
      </c>
      <c r="L374" s="3">
        <f t="shared" si="45"/>
        <v>422447.83331235842</v>
      </c>
      <c r="M374" s="3">
        <f t="shared" si="46"/>
        <v>324813.12730675197</v>
      </c>
      <c r="N374" s="3">
        <f>INT(D374*J374*VLOOKUP(A374,经验产出!$I$7:$J$557,2,0))</f>
        <v>6589482</v>
      </c>
      <c r="O374" s="3">
        <f>SUM($N$24:N373)</f>
        <v>259619627</v>
      </c>
      <c r="P374" s="3">
        <f>K374*VLOOKUP(A374,金币产出!$I$7:$J$557,2,0)</f>
        <v>324.43718618718395</v>
      </c>
    </row>
    <row r="375" spans="1:16" x14ac:dyDescent="0.15">
      <c r="A375" s="3">
        <v>352</v>
      </c>
      <c r="B375" s="3">
        <f t="shared" si="40"/>
        <v>14</v>
      </c>
      <c r="C375" s="3">
        <f t="shared" si="41"/>
        <v>24192</v>
      </c>
      <c r="D375" s="3">
        <f t="shared" si="42"/>
        <v>12096</v>
      </c>
      <c r="E375" s="3">
        <f>SUM($D$24:D375)</f>
        <v>1006092.0000000002</v>
      </c>
      <c r="F375" s="3">
        <f t="shared" si="43"/>
        <v>16768.200000000004</v>
      </c>
      <c r="G375" s="3">
        <f t="shared" si="43"/>
        <v>279.47000000000008</v>
      </c>
      <c r="H375" s="3">
        <f t="shared" si="44"/>
        <v>11.644583333333337</v>
      </c>
      <c r="I375" s="3">
        <f>IF(ISNA(MATCH(H375,关卡!$E$19:$E$2018,1)),0,MATCH(H375,关卡!$E$19:$E$2018,1))</f>
        <v>862</v>
      </c>
      <c r="J375" s="3">
        <f>VLOOKUP($I375,关卡!$A$17:$G$2018,6,0)</f>
        <v>119.039449799279</v>
      </c>
      <c r="K375" s="3">
        <f>VLOOKUP($I375,关卡!$A$17:$G$2018,7,0)</f>
        <v>91.251777816494993</v>
      </c>
      <c r="L375" s="3">
        <f t="shared" si="45"/>
        <v>428542.01927740435</v>
      </c>
      <c r="M375" s="3">
        <f t="shared" si="46"/>
        <v>328506.40013938199</v>
      </c>
      <c r="N375" s="3">
        <f>INT(D375*J375*VLOOKUP(A375,经验产出!$I$7:$J$557,2,0))</f>
        <v>6684541</v>
      </c>
      <c r="O375" s="3">
        <f>SUM($N$24:N374)</f>
        <v>266209109</v>
      </c>
      <c r="P375" s="3">
        <f>K375*VLOOKUP(A375,金币产出!$I$7:$J$557,2,0)</f>
        <v>328.12618439847989</v>
      </c>
    </row>
    <row r="376" spans="1:16" x14ac:dyDescent="0.15">
      <c r="A376" s="3">
        <v>353</v>
      </c>
      <c r="B376" s="3">
        <f t="shared" si="40"/>
        <v>14</v>
      </c>
      <c r="C376" s="3">
        <f t="shared" si="41"/>
        <v>36288</v>
      </c>
      <c r="D376" s="3">
        <f t="shared" si="42"/>
        <v>12096</v>
      </c>
      <c r="E376" s="3">
        <f>SUM($D$24:D376)</f>
        <v>1018188.0000000002</v>
      </c>
      <c r="F376" s="3">
        <f t="shared" si="43"/>
        <v>16969.800000000003</v>
      </c>
      <c r="G376" s="3">
        <f t="shared" si="43"/>
        <v>282.83000000000004</v>
      </c>
      <c r="H376" s="3">
        <f t="shared" si="44"/>
        <v>11.784583333333336</v>
      </c>
      <c r="I376" s="3">
        <f>IF(ISNA(MATCH(H376,关卡!$E$19:$E$2018,1)),0,MATCH(H376,关卡!$E$19:$E$2018,1))</f>
        <v>867</v>
      </c>
      <c r="J376" s="3">
        <f>VLOOKUP($I376,关卡!$A$17:$G$2018,6,0)</f>
        <v>120.46433265847993</v>
      </c>
      <c r="K376" s="3">
        <f>VLOOKUP($I376,关卡!$A$17:$G$2018,7,0)</f>
        <v>92.112885150530929</v>
      </c>
      <c r="L376" s="3">
        <f t="shared" si="45"/>
        <v>433671.59757052775</v>
      </c>
      <c r="M376" s="3">
        <f t="shared" si="46"/>
        <v>331606.38654191134</v>
      </c>
      <c r="N376" s="3">
        <f>INT(D376*J376*VLOOKUP(A376,经验产出!$I$7:$J$557,2,0))</f>
        <v>6764554</v>
      </c>
      <c r="O376" s="3">
        <f>SUM($N$24:N375)</f>
        <v>272893650</v>
      </c>
      <c r="P376" s="3">
        <f>K376*VLOOKUP(A376,金币产出!$I$7:$J$557,2,0)</f>
        <v>331.2225828537841</v>
      </c>
    </row>
    <row r="377" spans="1:16" x14ac:dyDescent="0.15">
      <c r="A377" s="3">
        <v>354</v>
      </c>
      <c r="B377" s="3">
        <f t="shared" si="40"/>
        <v>14</v>
      </c>
      <c r="C377" s="3">
        <f t="shared" si="41"/>
        <v>48384</v>
      </c>
      <c r="D377" s="3">
        <f t="shared" si="42"/>
        <v>12096</v>
      </c>
      <c r="E377" s="3">
        <f>SUM($D$24:D377)</f>
        <v>1030284.0000000002</v>
      </c>
      <c r="F377" s="3">
        <f t="shared" si="43"/>
        <v>17171.400000000005</v>
      </c>
      <c r="G377" s="3">
        <f t="shared" si="43"/>
        <v>286.19000000000011</v>
      </c>
      <c r="H377" s="3">
        <f t="shared" si="44"/>
        <v>11.924583333333338</v>
      </c>
      <c r="I377" s="3">
        <f>IF(ISNA(MATCH(H377,关卡!$E$19:$E$2018,1)),0,MATCH(H377,关卡!$E$19:$E$2018,1))</f>
        <v>873</v>
      </c>
      <c r="J377" s="3">
        <f>VLOOKUP($I377,关卡!$A$17:$G$2018,6,0)</f>
        <v>122.19136091523494</v>
      </c>
      <c r="K377" s="3">
        <f>VLOOKUP($I377,关卡!$A$17:$G$2018,7,0)</f>
        <v>93.153677706305928</v>
      </c>
      <c r="L377" s="3">
        <f t="shared" si="45"/>
        <v>439888.89929484576</v>
      </c>
      <c r="M377" s="3">
        <f t="shared" si="46"/>
        <v>335353.23974270135</v>
      </c>
      <c r="N377" s="3">
        <f>INT(D377*J377*VLOOKUP(A377,经验产出!$I$7:$J$557,2,0))</f>
        <v>6861533</v>
      </c>
      <c r="O377" s="3">
        <f>SUM($N$24:N376)</f>
        <v>279658204</v>
      </c>
      <c r="P377" s="3">
        <f>K377*VLOOKUP(A377,金币产出!$I$7:$J$557,2,0)</f>
        <v>334.96509941892504</v>
      </c>
    </row>
    <row r="378" spans="1:16" x14ac:dyDescent="0.15">
      <c r="A378" s="3">
        <v>355</v>
      </c>
      <c r="B378" s="3">
        <f t="shared" si="40"/>
        <v>14</v>
      </c>
      <c r="C378" s="3">
        <f t="shared" si="41"/>
        <v>60480</v>
      </c>
      <c r="D378" s="3">
        <f t="shared" si="42"/>
        <v>12096</v>
      </c>
      <c r="E378" s="3">
        <f>SUM($D$24:D378)</f>
        <v>1042380.0000000002</v>
      </c>
      <c r="F378" s="3">
        <f t="shared" si="43"/>
        <v>17373.000000000004</v>
      </c>
      <c r="G378" s="3">
        <f t="shared" si="43"/>
        <v>289.55000000000007</v>
      </c>
      <c r="H378" s="3">
        <f t="shared" si="44"/>
        <v>12.064583333333337</v>
      </c>
      <c r="I378" s="3">
        <f>IF(ISNA(MATCH(H378,关卡!$E$19:$E$2018,1)),0,MATCH(H378,关卡!$E$19:$E$2018,1))</f>
        <v>879</v>
      </c>
      <c r="J378" s="3">
        <f>VLOOKUP($I378,关卡!$A$17:$G$2018,6,0)</f>
        <v>123.93727095234495</v>
      </c>
      <c r="K378" s="3">
        <f>VLOOKUP($I378,关卡!$A$17:$G$2018,7,0)</f>
        <v>94.202660788355942</v>
      </c>
      <c r="L378" s="3">
        <f t="shared" si="45"/>
        <v>446174.17542844178</v>
      </c>
      <c r="M378" s="3">
        <f t="shared" si="46"/>
        <v>339129.57883808139</v>
      </c>
      <c r="N378" s="3">
        <f>INT(D378*J378*VLOOKUP(A378,经验产出!$I$7:$J$557,2,0))</f>
        <v>6959573</v>
      </c>
      <c r="O378" s="3">
        <f>SUM($N$24:N377)</f>
        <v>286519737</v>
      </c>
      <c r="P378" s="3">
        <f>K378*VLOOKUP(A378,金币产出!$I$7:$J$557,2,0)</f>
        <v>338.73706775146326</v>
      </c>
    </row>
    <row r="379" spans="1:16" x14ac:dyDescent="0.15">
      <c r="A379" s="3">
        <v>356</v>
      </c>
      <c r="B379" s="3">
        <f t="shared" si="40"/>
        <v>14</v>
      </c>
      <c r="C379" s="3">
        <f t="shared" si="41"/>
        <v>72576</v>
      </c>
      <c r="D379" s="3">
        <f t="shared" si="42"/>
        <v>12096</v>
      </c>
      <c r="E379" s="3">
        <f>SUM($D$24:D379)</f>
        <v>1054476.0000000002</v>
      </c>
      <c r="F379" s="3">
        <f t="shared" si="43"/>
        <v>17574.600000000002</v>
      </c>
      <c r="G379" s="3">
        <f t="shared" si="43"/>
        <v>292.91000000000003</v>
      </c>
      <c r="H379" s="3">
        <f t="shared" si="44"/>
        <v>12.204583333333334</v>
      </c>
      <c r="I379" s="3">
        <f>IF(ISNA(MATCH(H379,关卡!$E$19:$E$2018,1)),0,MATCH(H379,关卡!$E$19:$E$2018,1))</f>
        <v>885</v>
      </c>
      <c r="J379" s="3">
        <f>VLOOKUP($I379,关卡!$A$17:$G$2018,6,0)</f>
        <v>125.70222461558598</v>
      </c>
      <c r="K379" s="3">
        <f>VLOOKUP($I379,关卡!$A$17:$G$2018,7,0)</f>
        <v>95.259885659960943</v>
      </c>
      <c r="L379" s="3">
        <f t="shared" si="45"/>
        <v>452528.00861610955</v>
      </c>
      <c r="M379" s="3">
        <f t="shared" si="46"/>
        <v>342935.58837585943</v>
      </c>
      <c r="N379" s="3">
        <f>INT(D379*J379*VLOOKUP(A379,经验产出!$I$7:$J$557,2,0))</f>
        <v>7058682</v>
      </c>
      <c r="O379" s="3">
        <f>SUM($N$24:N378)</f>
        <v>293479310</v>
      </c>
      <c r="P379" s="3">
        <f>K379*VLOOKUP(A379,金币产出!$I$7:$J$557,2,0)</f>
        <v>342.53867218560953</v>
      </c>
    </row>
    <row r="380" spans="1:16" x14ac:dyDescent="0.15">
      <c r="A380" s="3">
        <v>357</v>
      </c>
      <c r="B380" s="3">
        <f t="shared" si="40"/>
        <v>14</v>
      </c>
      <c r="C380" s="3">
        <f t="shared" si="41"/>
        <v>84672.000000000015</v>
      </c>
      <c r="D380" s="3">
        <f t="shared" si="42"/>
        <v>12096.000000000015</v>
      </c>
      <c r="E380" s="3">
        <f>SUM($D$24:D380)</f>
        <v>1066572.0000000002</v>
      </c>
      <c r="F380" s="3">
        <f t="shared" si="43"/>
        <v>17776.200000000004</v>
      </c>
      <c r="G380" s="3">
        <f t="shared" si="43"/>
        <v>296.2700000000001</v>
      </c>
      <c r="H380" s="3">
        <f t="shared" si="44"/>
        <v>12.344583333333338</v>
      </c>
      <c r="I380" s="3">
        <f>IF(ISNA(MATCH(H380,关卡!$E$19:$E$2018,1)),0,MATCH(H380,关卡!$E$19:$E$2018,1))</f>
        <v>890</v>
      </c>
      <c r="J380" s="3">
        <f>VLOOKUP($I380,关卡!$A$17:$G$2018,6,0)</f>
        <v>127.18768384937501</v>
      </c>
      <c r="K380" s="3">
        <f>VLOOKUP($I380,关卡!$A$17:$G$2018,7,0)</f>
        <v>96.147239309374996</v>
      </c>
      <c r="L380" s="3">
        <f t="shared" si="45"/>
        <v>457875.66185775003</v>
      </c>
      <c r="M380" s="3">
        <f t="shared" si="46"/>
        <v>346130.06151375</v>
      </c>
      <c r="N380" s="3">
        <f>INT(D380*J380*VLOOKUP(A380,经验产出!$I$7:$J$557,2,0))</f>
        <v>7142097</v>
      </c>
      <c r="O380" s="3">
        <f>SUM($N$24:N379)</f>
        <v>300537992</v>
      </c>
      <c r="P380" s="3">
        <f>K380*VLOOKUP(A380,金币产出!$I$7:$J$557,2,0)</f>
        <v>345.7294480166276</v>
      </c>
    </row>
    <row r="381" spans="1:16" x14ac:dyDescent="0.15">
      <c r="A381" s="3">
        <v>358</v>
      </c>
      <c r="B381" s="3">
        <f t="shared" si="40"/>
        <v>14</v>
      </c>
      <c r="C381" s="3">
        <f t="shared" si="41"/>
        <v>96768</v>
      </c>
      <c r="D381" s="3">
        <f t="shared" si="42"/>
        <v>12095.999999999985</v>
      </c>
      <c r="E381" s="3">
        <f>SUM($D$24:D381)</f>
        <v>1078668.0000000002</v>
      </c>
      <c r="F381" s="3">
        <f t="shared" si="43"/>
        <v>17977.800000000003</v>
      </c>
      <c r="G381" s="3">
        <f t="shared" si="43"/>
        <v>299.63000000000005</v>
      </c>
      <c r="H381" s="3">
        <f t="shared" si="44"/>
        <v>12.484583333333335</v>
      </c>
      <c r="I381" s="3">
        <f>IF(ISNA(MATCH(H381,关卡!$E$19:$E$2018,1)),0,MATCH(H381,关卡!$E$19:$E$2018,1))</f>
        <v>896</v>
      </c>
      <c r="J381" s="3">
        <f>VLOOKUP($I381,关卡!$A$17:$G$2018,6,0)</f>
        <v>128.98797375078402</v>
      </c>
      <c r="K381" s="3">
        <f>VLOOKUP($I381,关卡!$A$17:$G$2018,7,0)</f>
        <v>97.219707883520016</v>
      </c>
      <c r="L381" s="3">
        <f t="shared" si="45"/>
        <v>464356.70550282247</v>
      </c>
      <c r="M381" s="3">
        <f t="shared" si="46"/>
        <v>349990.94838067208</v>
      </c>
      <c r="N381" s="3">
        <f>INT(D381*J381*VLOOKUP(A381,经验产出!$I$7:$J$557,2,0))</f>
        <v>7243190</v>
      </c>
      <c r="O381" s="3">
        <f>SUM($N$24:N380)</f>
        <v>307680089</v>
      </c>
      <c r="P381" s="3">
        <f>K381*VLOOKUP(A381,金币产出!$I$7:$J$557,2,0)</f>
        <v>349.58586626449073</v>
      </c>
    </row>
    <row r="382" spans="1:16" x14ac:dyDescent="0.15">
      <c r="A382" s="3">
        <v>359</v>
      </c>
      <c r="B382" s="3">
        <f t="shared" si="40"/>
        <v>14</v>
      </c>
      <c r="C382" s="3">
        <f t="shared" si="41"/>
        <v>108864</v>
      </c>
      <c r="D382" s="3">
        <f t="shared" si="42"/>
        <v>12096</v>
      </c>
      <c r="E382" s="3">
        <f>SUM($D$24:D382)</f>
        <v>1090764.0000000002</v>
      </c>
      <c r="F382" s="3">
        <f t="shared" si="43"/>
        <v>18179.400000000005</v>
      </c>
      <c r="G382" s="3">
        <f t="shared" si="43"/>
        <v>302.99000000000007</v>
      </c>
      <c r="H382" s="3">
        <f t="shared" si="44"/>
        <v>12.624583333333335</v>
      </c>
      <c r="I382" s="3">
        <f>IF(ISNA(MATCH(H382,关卡!$E$19:$E$2018,1)),0,MATCH(H382,关卡!$E$19:$E$2018,1))</f>
        <v>901</v>
      </c>
      <c r="J382" s="3">
        <f>VLOOKUP($I382,关卡!$A$17:$G$2018,6,0)</f>
        <v>130.50310907354995</v>
      </c>
      <c r="K382" s="3">
        <f>VLOOKUP($I382,关卡!$A$17:$G$2018,7,0)</f>
        <v>98.119837021380945</v>
      </c>
      <c r="L382" s="3">
        <f t="shared" si="45"/>
        <v>469811.19266477984</v>
      </c>
      <c r="M382" s="3">
        <f t="shared" si="46"/>
        <v>353231.41327697138</v>
      </c>
      <c r="N382" s="3">
        <f>INT(D382*J382*VLOOKUP(A382,经验产出!$I$7:$J$557,2,0))</f>
        <v>7328271</v>
      </c>
      <c r="O382" s="3">
        <f>SUM($N$24:N381)</f>
        <v>314923279</v>
      </c>
      <c r="P382" s="3">
        <f>K382*VLOOKUP(A382,金币产出!$I$7:$J$557,2,0)</f>
        <v>352.82258062271563</v>
      </c>
    </row>
    <row r="383" spans="1:16" x14ac:dyDescent="0.15">
      <c r="A383" s="3">
        <v>360</v>
      </c>
      <c r="B383" s="3">
        <f t="shared" si="40"/>
        <v>14</v>
      </c>
      <c r="C383" s="3">
        <f t="shared" si="41"/>
        <v>120960</v>
      </c>
      <c r="D383" s="3">
        <f t="shared" si="42"/>
        <v>12096</v>
      </c>
      <c r="E383" s="3">
        <f>SUM($D$24:D383)</f>
        <v>1102860.0000000002</v>
      </c>
      <c r="F383" s="3">
        <f t="shared" si="43"/>
        <v>18381.000000000004</v>
      </c>
      <c r="G383" s="3">
        <f t="shared" si="43"/>
        <v>306.35000000000008</v>
      </c>
      <c r="H383" s="3">
        <f t="shared" si="44"/>
        <v>12.764583333333336</v>
      </c>
      <c r="I383" s="3">
        <f>IF(ISNA(MATCH(H383,关卡!$E$19:$E$2018,1)),0,MATCH(H383,关卡!$E$19:$E$2018,1))</f>
        <v>907</v>
      </c>
      <c r="J383" s="3">
        <f>VLOOKUP($I383,关卡!$A$17:$G$2018,6,0)</f>
        <v>132.33928658144995</v>
      </c>
      <c r="K383" s="3">
        <f>VLOOKUP($I383,关卡!$A$17:$G$2018,7,0)</f>
        <v>99.207723358380932</v>
      </c>
      <c r="L383" s="3">
        <f t="shared" si="45"/>
        <v>476421.43169321987</v>
      </c>
      <c r="M383" s="3">
        <f t="shared" si="46"/>
        <v>357147.80409017135</v>
      </c>
      <c r="N383" s="3">
        <f>INT(D383*J383*VLOOKUP(A383,经验产出!$I$7:$J$557,2,0))</f>
        <v>7431380</v>
      </c>
      <c r="O383" s="3">
        <f>SUM($N$24:N382)</f>
        <v>322251550</v>
      </c>
      <c r="P383" s="3">
        <f>K383*VLOOKUP(A383,金币产出!$I$7:$J$557,2,0)</f>
        <v>356.73443857617809</v>
      </c>
    </row>
    <row r="384" spans="1:16" x14ac:dyDescent="0.15">
      <c r="A384" s="3">
        <v>361</v>
      </c>
      <c r="B384" s="3">
        <f t="shared" si="40"/>
        <v>14</v>
      </c>
      <c r="C384" s="3">
        <f t="shared" si="41"/>
        <v>133056</v>
      </c>
      <c r="D384" s="3">
        <f t="shared" si="42"/>
        <v>12096</v>
      </c>
      <c r="E384" s="3">
        <f>SUM($D$24:D384)</f>
        <v>1114956.0000000002</v>
      </c>
      <c r="F384" s="3">
        <f t="shared" si="43"/>
        <v>18582.600000000002</v>
      </c>
      <c r="G384" s="3">
        <f t="shared" si="43"/>
        <v>309.71000000000004</v>
      </c>
      <c r="H384" s="3">
        <f t="shared" si="44"/>
        <v>12.904583333333335</v>
      </c>
      <c r="I384" s="3">
        <f>IF(ISNA(MATCH(H384,关卡!$E$19:$E$2018,1)),0,MATCH(H384,关卡!$E$19:$E$2018,1))</f>
        <v>913</v>
      </c>
      <c r="J384" s="3">
        <f>VLOOKUP($I384,关卡!$A$17:$G$2018,6,0)</f>
        <v>134.19527325166493</v>
      </c>
      <c r="K384" s="3">
        <f>VLOOKUP($I384,关卡!$A$17:$G$2018,7,0)</f>
        <v>100.30409315545593</v>
      </c>
      <c r="L384" s="3">
        <f t="shared" si="45"/>
        <v>483102.98370599374</v>
      </c>
      <c r="M384" s="3">
        <f t="shared" si="46"/>
        <v>361094.73535964132</v>
      </c>
      <c r="N384" s="3">
        <f>INT(D384*J384*VLOOKUP(A384,经验产出!$I$7:$J$557,2,0))</f>
        <v>7535601</v>
      </c>
      <c r="O384" s="3">
        <f>SUM($N$24:N383)</f>
        <v>329682930</v>
      </c>
      <c r="P384" s="3">
        <f>K384*VLOOKUP(A384,金币产出!$I$7:$J$557,2,0)</f>
        <v>360.67680163816027</v>
      </c>
    </row>
    <row r="385" spans="1:16" x14ac:dyDescent="0.15">
      <c r="A385" s="3">
        <v>362</v>
      </c>
      <c r="B385" s="3">
        <f t="shared" si="40"/>
        <v>14</v>
      </c>
      <c r="C385" s="3">
        <f t="shared" si="41"/>
        <v>145152</v>
      </c>
      <c r="D385" s="3">
        <f t="shared" si="42"/>
        <v>12096</v>
      </c>
      <c r="E385" s="3">
        <f>SUM($D$24:D385)</f>
        <v>1127052.0000000002</v>
      </c>
      <c r="F385" s="3">
        <f t="shared" si="43"/>
        <v>18784.200000000004</v>
      </c>
      <c r="G385" s="3">
        <f t="shared" si="43"/>
        <v>313.07000000000005</v>
      </c>
      <c r="H385" s="3">
        <f t="shared" si="44"/>
        <v>13.044583333333335</v>
      </c>
      <c r="I385" s="3">
        <f>IF(ISNA(MATCH(H385,关卡!$E$19:$E$2018,1)),0,MATCH(H385,关卡!$E$19:$E$2018,1))</f>
        <v>918</v>
      </c>
      <c r="J385" s="3">
        <f>VLOOKUP($I385,关卡!$A$17:$G$2018,6,0)</f>
        <v>135.75718072063901</v>
      </c>
      <c r="K385" s="3">
        <f>VLOOKUP($I385,关卡!$A$17:$G$2018,7,0)</f>
        <v>101.224252807295</v>
      </c>
      <c r="L385" s="3">
        <f t="shared" si="45"/>
        <v>488725.85059430043</v>
      </c>
      <c r="M385" s="3">
        <f t="shared" si="46"/>
        <v>364407.31010626198</v>
      </c>
      <c r="N385" s="3">
        <f>INT(D385*J385*VLOOKUP(A385,经验产出!$I$7:$J$557,2,0))</f>
        <v>7623308</v>
      </c>
      <c r="O385" s="3">
        <f>SUM($N$24:N384)</f>
        <v>337218531</v>
      </c>
      <c r="P385" s="3">
        <f>K385*VLOOKUP(A385,金币产出!$I$7:$J$557,2,0)</f>
        <v>363.9855423862316</v>
      </c>
    </row>
    <row r="386" spans="1:16" x14ac:dyDescent="0.15">
      <c r="A386" s="3">
        <v>363</v>
      </c>
      <c r="B386" s="3">
        <f t="shared" si="40"/>
        <v>14</v>
      </c>
      <c r="C386" s="3">
        <f t="shared" si="41"/>
        <v>157248</v>
      </c>
      <c r="D386" s="3">
        <f t="shared" si="42"/>
        <v>12096</v>
      </c>
      <c r="E386" s="3">
        <f>SUM($D$24:D386)</f>
        <v>1139148.0000000002</v>
      </c>
      <c r="F386" s="3">
        <f t="shared" si="43"/>
        <v>18985.800000000003</v>
      </c>
      <c r="G386" s="3">
        <f t="shared" si="43"/>
        <v>316.43000000000006</v>
      </c>
      <c r="H386" s="3">
        <f t="shared" si="44"/>
        <v>13.184583333333336</v>
      </c>
      <c r="I386" s="3">
        <f>IF(ISNA(MATCH(H386,关卡!$E$19:$E$2018,1)),0,MATCH(H386,关卡!$E$19:$E$2018,1))</f>
        <v>924</v>
      </c>
      <c r="J386" s="3">
        <f>VLOOKUP($I386,关卡!$A$17:$G$2018,6,0)</f>
        <v>137.64991651326403</v>
      </c>
      <c r="K386" s="3">
        <f>VLOOKUP($I386,关卡!$A$17:$G$2018,7,0)</f>
        <v>102.33631160792</v>
      </c>
      <c r="L386" s="3">
        <f t="shared" si="45"/>
        <v>495539.69944775052</v>
      </c>
      <c r="M386" s="3">
        <f t="shared" si="46"/>
        <v>368410.72178851202</v>
      </c>
      <c r="N386" s="3">
        <f>INT(D386*J386*VLOOKUP(A386,经验产出!$I$7:$J$557,2,0))</f>
        <v>7729593</v>
      </c>
      <c r="O386" s="3">
        <f>SUM($N$24:N385)</f>
        <v>344841839</v>
      </c>
      <c r="P386" s="3">
        <f>K386*VLOOKUP(A386,金币产出!$I$7:$J$557,2,0)</f>
        <v>367.98432049014565</v>
      </c>
    </row>
    <row r="387" spans="1:16" x14ac:dyDescent="0.15">
      <c r="A387" s="3">
        <v>364</v>
      </c>
      <c r="B387" s="3">
        <f t="shared" si="40"/>
        <v>14</v>
      </c>
      <c r="C387" s="3">
        <f t="shared" si="41"/>
        <v>169344.00000000003</v>
      </c>
      <c r="D387" s="3">
        <f t="shared" si="42"/>
        <v>12096.000000000029</v>
      </c>
      <c r="E387" s="3">
        <f>SUM($D$24:D387)</f>
        <v>1151244.0000000002</v>
      </c>
      <c r="F387" s="3">
        <f t="shared" si="43"/>
        <v>19187.400000000005</v>
      </c>
      <c r="G387" s="3">
        <f t="shared" si="43"/>
        <v>319.79000000000008</v>
      </c>
      <c r="H387" s="3">
        <f t="shared" si="44"/>
        <v>13.324583333333337</v>
      </c>
      <c r="I387" s="3">
        <f>IF(ISNA(MATCH(H387,关卡!$E$19:$E$2018,1)),0,MATCH(H387,关卡!$E$19:$E$2018,1))</f>
        <v>929</v>
      </c>
      <c r="J387" s="3">
        <f>VLOOKUP($I387,关卡!$A$17:$G$2018,6,0)</f>
        <v>139.24268254404495</v>
      </c>
      <c r="K387" s="3">
        <f>VLOOKUP($I387,关卡!$A$17:$G$2018,7,0)</f>
        <v>103.26961903935593</v>
      </c>
      <c r="L387" s="3">
        <f t="shared" si="45"/>
        <v>501273.65715856187</v>
      </c>
      <c r="M387" s="3">
        <f t="shared" si="46"/>
        <v>371770.62854168133</v>
      </c>
      <c r="N387" s="3">
        <f>INT(D387*J387*VLOOKUP(A387,经验产出!$I$7:$J$557,2,0))</f>
        <v>7819033</v>
      </c>
      <c r="O387" s="3">
        <f>SUM($N$24:N386)</f>
        <v>352571432</v>
      </c>
      <c r="P387" s="3">
        <f>K387*VLOOKUP(A387,金币产出!$I$7:$J$557,2,0)</f>
        <v>371.3403384623507</v>
      </c>
    </row>
    <row r="388" spans="1:16" x14ac:dyDescent="0.15">
      <c r="A388" s="3">
        <v>365</v>
      </c>
      <c r="B388" s="3">
        <f t="shared" si="40"/>
        <v>14</v>
      </c>
      <c r="C388" s="3">
        <f t="shared" si="41"/>
        <v>181440</v>
      </c>
      <c r="D388" s="3">
        <f t="shared" si="42"/>
        <v>12095.999999999971</v>
      </c>
      <c r="E388" s="3">
        <f>SUM($D$24:D388)</f>
        <v>1163340.0000000002</v>
      </c>
      <c r="F388" s="3">
        <f t="shared" si="43"/>
        <v>19389.000000000004</v>
      </c>
      <c r="G388" s="3">
        <f t="shared" si="43"/>
        <v>323.15000000000003</v>
      </c>
      <c r="H388" s="3">
        <f t="shared" si="44"/>
        <v>13.464583333333335</v>
      </c>
      <c r="I388" s="3">
        <f>IF(ISNA(MATCH(H388,关卡!$E$19:$E$2018,1)),0,MATCH(H388,关卡!$E$19:$E$2018,1))</f>
        <v>934</v>
      </c>
      <c r="J388" s="3">
        <f>VLOOKUP($I388,关卡!$A$17:$G$2018,6,0)</f>
        <v>140.84963085647902</v>
      </c>
      <c r="K388" s="3">
        <f>VLOOKUP($I388,关卡!$A$17:$G$2018,7,0)</f>
        <v>104.208951582495</v>
      </c>
      <c r="L388" s="3">
        <f t="shared" si="45"/>
        <v>507058.67108332447</v>
      </c>
      <c r="M388" s="3">
        <f t="shared" si="46"/>
        <v>375152.225696982</v>
      </c>
      <c r="N388" s="3">
        <f>INT(D388*J388*VLOOKUP(A388,经验产出!$I$7:$J$557,2,0))</f>
        <v>7909270</v>
      </c>
      <c r="O388" s="3">
        <f>SUM($N$24:N387)</f>
        <v>360390465</v>
      </c>
      <c r="P388" s="3">
        <f>K388*VLOOKUP(A388,金币产出!$I$7:$J$557,2,0)</f>
        <v>374.71802173205492</v>
      </c>
    </row>
    <row r="389" spans="1:16" x14ac:dyDescent="0.15">
      <c r="A389" s="3">
        <v>366</v>
      </c>
      <c r="B389" s="3">
        <f t="shared" si="40"/>
        <v>14</v>
      </c>
      <c r="C389" s="3">
        <f t="shared" si="41"/>
        <v>193536</v>
      </c>
      <c r="D389" s="3">
        <f t="shared" si="42"/>
        <v>12096</v>
      </c>
      <c r="E389" s="3">
        <f>SUM($D$24:D389)</f>
        <v>1175436.0000000002</v>
      </c>
      <c r="F389" s="3">
        <f t="shared" si="43"/>
        <v>19590.600000000002</v>
      </c>
      <c r="G389" s="3">
        <f t="shared" si="43"/>
        <v>326.51000000000005</v>
      </c>
      <c r="H389" s="3">
        <f t="shared" si="44"/>
        <v>13.604583333333336</v>
      </c>
      <c r="I389" s="3">
        <f>IF(ISNA(MATCH(H389,关卡!$E$19:$E$2018,1)),0,MATCH(H389,关卡!$E$19:$E$2018,1))</f>
        <v>940</v>
      </c>
      <c r="J389" s="3">
        <f>VLOOKUP($I389,关卡!$A$17:$G$2018,6,0)</f>
        <v>142.79682718999999</v>
      </c>
      <c r="K389" s="3">
        <f>VLOOKUP($I389,关卡!$A$17:$G$2018,7,0)</f>
        <v>105.34414695</v>
      </c>
      <c r="L389" s="3">
        <f t="shared" si="45"/>
        <v>514068.57788399997</v>
      </c>
      <c r="M389" s="3">
        <f t="shared" si="46"/>
        <v>379238.92901999998</v>
      </c>
      <c r="N389" s="3">
        <f>INT(D389*J389*VLOOKUP(A389,经验产出!$I$7:$J$557,2,0))</f>
        <v>8018613</v>
      </c>
      <c r="O389" s="3">
        <f>SUM($N$24:N388)</f>
        <v>368299735</v>
      </c>
      <c r="P389" s="3">
        <f>K389*VLOOKUP(A389,金币产出!$I$7:$J$557,2,0)</f>
        <v>378.79999507437498</v>
      </c>
    </row>
    <row r="390" spans="1:16" x14ac:dyDescent="0.15">
      <c r="A390" s="3">
        <v>367</v>
      </c>
      <c r="B390" s="3">
        <f t="shared" si="40"/>
        <v>14</v>
      </c>
      <c r="C390" s="3">
        <f t="shared" si="41"/>
        <v>205632.00000000003</v>
      </c>
      <c r="D390" s="3">
        <f t="shared" si="42"/>
        <v>12096.000000000029</v>
      </c>
      <c r="E390" s="3">
        <f>SUM($D$24:D390)</f>
        <v>1187532.0000000002</v>
      </c>
      <c r="F390" s="3">
        <f t="shared" si="43"/>
        <v>19792.200000000004</v>
      </c>
      <c r="G390" s="3">
        <f t="shared" si="43"/>
        <v>329.87000000000006</v>
      </c>
      <c r="H390" s="3">
        <f t="shared" si="44"/>
        <v>13.744583333333336</v>
      </c>
      <c r="I390" s="3">
        <f>IF(ISNA(MATCH(H390,关卡!$E$19:$E$2018,1)),0,MATCH(H390,关卡!$E$19:$E$2018,1))</f>
        <v>945</v>
      </c>
      <c r="J390" s="3">
        <f>VLOOKUP($I390,关卡!$A$17:$G$2018,6,0)</f>
        <v>144.43532134996096</v>
      </c>
      <c r="K390" s="3">
        <f>VLOOKUP($I390,关卡!$A$17:$G$2018,7,0)</f>
        <v>106.29684276933591</v>
      </c>
      <c r="L390" s="3">
        <f t="shared" si="45"/>
        <v>519967.15685985947</v>
      </c>
      <c r="M390" s="3">
        <f t="shared" si="46"/>
        <v>382668.63396960928</v>
      </c>
      <c r="N390" s="3">
        <f>INT(D390*J390*VLOOKUP(A390,经验产出!$I$7:$J$557,2,0))</f>
        <v>8110621</v>
      </c>
      <c r="O390" s="3">
        <f>SUM($N$24:N389)</f>
        <v>376318348</v>
      </c>
      <c r="P390" s="3">
        <f>K390*VLOOKUP(A390,金币产出!$I$7:$J$557,2,0)</f>
        <v>382.22573045807036</v>
      </c>
    </row>
    <row r="391" spans="1:16" x14ac:dyDescent="0.15">
      <c r="A391" s="3">
        <v>368</v>
      </c>
      <c r="B391" s="3">
        <f t="shared" si="40"/>
        <v>14</v>
      </c>
      <c r="C391" s="3">
        <f t="shared" si="41"/>
        <v>217728</v>
      </c>
      <c r="D391" s="3">
        <f t="shared" si="42"/>
        <v>12095.999999999971</v>
      </c>
      <c r="E391" s="3">
        <f>SUM($D$24:D391)</f>
        <v>1199628.0000000002</v>
      </c>
      <c r="F391" s="3">
        <f t="shared" si="43"/>
        <v>19993.800000000003</v>
      </c>
      <c r="G391" s="3">
        <f t="shared" si="43"/>
        <v>333.23000000000008</v>
      </c>
      <c r="H391" s="3">
        <f t="shared" si="44"/>
        <v>13.884583333333337</v>
      </c>
      <c r="I391" s="3">
        <f>IF(ISNA(MATCH(H391,关卡!$E$19:$E$2018,1)),0,MATCH(H391,关卡!$E$19:$E$2018,1))</f>
        <v>951</v>
      </c>
      <c r="J391" s="3">
        <f>VLOOKUP($I391,关卡!$A$17:$G$2018,6,0)</f>
        <v>146.4206585594749</v>
      </c>
      <c r="K391" s="3">
        <f>VLOOKUP($I391,关卡!$A$17:$G$2018,7,0)</f>
        <v>107.44816352100594</v>
      </c>
      <c r="L391" s="3">
        <f t="shared" si="45"/>
        <v>527114.37081410969</v>
      </c>
      <c r="M391" s="3">
        <f t="shared" si="46"/>
        <v>386813.38867562136</v>
      </c>
      <c r="N391" s="3">
        <f>INT(D391*J391*VLOOKUP(A391,经验产出!$I$7:$J$557,2,0))</f>
        <v>8222105</v>
      </c>
      <c r="O391" s="3">
        <f>SUM($N$24:N390)</f>
        <v>384428969</v>
      </c>
      <c r="P391" s="3">
        <f>K391*VLOOKUP(A391,金币产出!$I$7:$J$557,2,0)</f>
        <v>386.36568799428386</v>
      </c>
    </row>
    <row r="392" spans="1:16" x14ac:dyDescent="0.15">
      <c r="A392" s="3">
        <v>369</v>
      </c>
      <c r="B392" s="3">
        <f t="shared" si="40"/>
        <v>14</v>
      </c>
      <c r="C392" s="3">
        <f t="shared" si="41"/>
        <v>229824</v>
      </c>
      <c r="D392" s="3">
        <f t="shared" si="42"/>
        <v>12096</v>
      </c>
      <c r="E392" s="3">
        <f>SUM($D$24:D392)</f>
        <v>1211724.0000000002</v>
      </c>
      <c r="F392" s="3">
        <f t="shared" si="43"/>
        <v>20195.400000000005</v>
      </c>
      <c r="G392" s="3">
        <f t="shared" si="43"/>
        <v>336.59000000000009</v>
      </c>
      <c r="H392" s="3">
        <f t="shared" si="44"/>
        <v>14.024583333333338</v>
      </c>
      <c r="I392" s="3">
        <f>IF(ISNA(MATCH(H392,关卡!$E$19:$E$2018,1)),0,MATCH(H392,关卡!$E$19:$E$2018,1))</f>
        <v>956</v>
      </c>
      <c r="J392" s="3">
        <f>VLOOKUP($I392,关卡!$A$17:$G$2018,6,0)</f>
        <v>148.09117596414399</v>
      </c>
      <c r="K392" s="3">
        <f>VLOOKUP($I392,关卡!$A$17:$G$2018,7,0)</f>
        <v>108.41437193431999</v>
      </c>
      <c r="L392" s="3">
        <f t="shared" si="45"/>
        <v>533128.23347091838</v>
      </c>
      <c r="M392" s="3">
        <f t="shared" si="46"/>
        <v>390291.73896355199</v>
      </c>
      <c r="N392" s="3">
        <f>INT(D392*J392*VLOOKUP(A392,经验产出!$I$7:$J$557,2,0))</f>
        <v>8315911</v>
      </c>
      <c r="O392" s="3">
        <f>SUM($N$24:N391)</f>
        <v>392651074</v>
      </c>
      <c r="P392" s="3">
        <f>K392*VLOOKUP(A392,金币产出!$I$7:$J$557,2,0)</f>
        <v>389.8400124138256</v>
      </c>
    </row>
    <row r="393" spans="1:16" x14ac:dyDescent="0.15">
      <c r="A393" s="3">
        <v>370</v>
      </c>
      <c r="B393" s="3">
        <f t="shared" si="40"/>
        <v>14</v>
      </c>
      <c r="C393" s="3">
        <f t="shared" si="41"/>
        <v>241920</v>
      </c>
      <c r="D393" s="3">
        <f t="shared" si="42"/>
        <v>12096</v>
      </c>
      <c r="E393" s="3">
        <f>SUM($D$24:D393)</f>
        <v>1223820.0000000002</v>
      </c>
      <c r="F393" s="3">
        <f t="shared" si="43"/>
        <v>20397.000000000004</v>
      </c>
      <c r="G393" s="3">
        <f t="shared" si="43"/>
        <v>339.95000000000005</v>
      </c>
      <c r="H393" s="3">
        <f t="shared" si="44"/>
        <v>14.164583333333335</v>
      </c>
      <c r="I393" s="3">
        <f>IF(ISNA(MATCH(H393,关卡!$E$19:$E$2018,1)),0,MATCH(H393,关卡!$E$19:$E$2018,1))</f>
        <v>961</v>
      </c>
      <c r="J393" s="3">
        <f>VLOOKUP($I393,关卡!$A$17:$G$2018,6,0)</f>
        <v>149.77640828368493</v>
      </c>
      <c r="K393" s="3">
        <f>VLOOKUP($I393,关卡!$A$17:$G$2018,7,0)</f>
        <v>109.38677205355594</v>
      </c>
      <c r="L393" s="3">
        <f t="shared" si="45"/>
        <v>539195.06982126576</v>
      </c>
      <c r="M393" s="3">
        <f t="shared" si="46"/>
        <v>393792.37939280143</v>
      </c>
      <c r="N393" s="3">
        <f>INT(D393*J393*VLOOKUP(A393,经验产出!$I$7:$J$557,2,0))</f>
        <v>8410544</v>
      </c>
      <c r="O393" s="3">
        <f>SUM($N$24:N392)</f>
        <v>400966985</v>
      </c>
      <c r="P393" s="3">
        <f>K393*VLOOKUP(A393,金币产出!$I$7:$J$557,2,0)</f>
        <v>393.3366011759116</v>
      </c>
    </row>
    <row r="394" spans="1:16" x14ac:dyDescent="0.15">
      <c r="A394" s="3">
        <v>371</v>
      </c>
      <c r="B394" s="3">
        <f t="shared" si="40"/>
        <v>14</v>
      </c>
      <c r="C394" s="3">
        <f t="shared" si="41"/>
        <v>254016</v>
      </c>
      <c r="D394" s="3">
        <f t="shared" si="42"/>
        <v>12096</v>
      </c>
      <c r="E394" s="3">
        <f>SUM($D$24:D394)</f>
        <v>1235916.0000000002</v>
      </c>
      <c r="F394" s="3">
        <f t="shared" si="43"/>
        <v>20598.600000000002</v>
      </c>
      <c r="G394" s="3">
        <f t="shared" si="43"/>
        <v>343.31000000000006</v>
      </c>
      <c r="H394" s="3">
        <f t="shared" si="44"/>
        <v>14.304583333333335</v>
      </c>
      <c r="I394" s="3">
        <f>IF(ISNA(MATCH(H394,关卡!$E$19:$E$2018,1)),0,MATCH(H394,关卡!$E$19:$E$2018,1))</f>
        <v>966</v>
      </c>
      <c r="J394" s="3">
        <f>VLOOKUP($I394,关卡!$A$17:$G$2018,6,0)</f>
        <v>151.47645535087901</v>
      </c>
      <c r="K394" s="3">
        <f>VLOOKUP($I394,关卡!$A$17:$G$2018,7,0)</f>
        <v>110.36539501449499</v>
      </c>
      <c r="L394" s="3">
        <f t="shared" si="45"/>
        <v>545315.23926316446</v>
      </c>
      <c r="M394" s="3">
        <f t="shared" si="46"/>
        <v>397315.42205218202</v>
      </c>
      <c r="N394" s="3">
        <f>INT(D394*J394*VLOOKUP(A394,经验产出!$I$7:$J$557,2,0))</f>
        <v>8506008</v>
      </c>
      <c r="O394" s="3">
        <f>SUM($N$24:N393)</f>
        <v>409377529</v>
      </c>
      <c r="P394" s="3">
        <f>K394*VLOOKUP(A394,金币产出!$I$7:$J$557,2,0)</f>
        <v>396.85556623962157</v>
      </c>
    </row>
    <row r="395" spans="1:16" x14ac:dyDescent="0.15">
      <c r="A395" s="3">
        <v>372</v>
      </c>
      <c r="B395" s="3">
        <f t="shared" si="40"/>
        <v>14</v>
      </c>
      <c r="C395" s="3">
        <f t="shared" si="41"/>
        <v>266112</v>
      </c>
      <c r="D395" s="3">
        <f t="shared" si="42"/>
        <v>12096</v>
      </c>
      <c r="E395" s="3">
        <f>SUM($D$24:D395)</f>
        <v>1248012.0000000002</v>
      </c>
      <c r="F395" s="3">
        <f t="shared" si="43"/>
        <v>20800.200000000004</v>
      </c>
      <c r="G395" s="3">
        <f t="shared" si="43"/>
        <v>346.67000000000007</v>
      </c>
      <c r="H395" s="3">
        <f t="shared" si="44"/>
        <v>14.444583333333336</v>
      </c>
      <c r="I395" s="3">
        <f>IF(ISNA(MATCH(H395,关卡!$E$19:$E$2018,1)),0,MATCH(H395,关卡!$E$19:$E$2018,1))</f>
        <v>972</v>
      </c>
      <c r="J395" s="3">
        <f>VLOOKUP($I395,关卡!$A$17:$G$2018,6,0)</f>
        <v>153.53620841598402</v>
      </c>
      <c r="K395" s="3">
        <f>VLOOKUP($I395,关卡!$A$17:$G$2018,7,0)</f>
        <v>111.54800068952001</v>
      </c>
      <c r="L395" s="3">
        <f t="shared" si="45"/>
        <v>552730.35029754241</v>
      </c>
      <c r="M395" s="3">
        <f t="shared" si="46"/>
        <v>401572.80248227203</v>
      </c>
      <c r="N395" s="3">
        <f>INT(D395*J395*VLOOKUP(A395,经验产出!$I$7:$J$557,2,0))</f>
        <v>8621672</v>
      </c>
      <c r="O395" s="3">
        <f>SUM($N$24:N394)</f>
        <v>417883537</v>
      </c>
      <c r="P395" s="3">
        <f>K395*VLOOKUP(A395,金币产出!$I$7:$J$557,2,0)</f>
        <v>401.10801914606566</v>
      </c>
    </row>
    <row r="396" spans="1:16" x14ac:dyDescent="0.15">
      <c r="A396" s="3">
        <v>373</v>
      </c>
      <c r="B396" s="3">
        <f t="shared" si="40"/>
        <v>14</v>
      </c>
      <c r="C396" s="3">
        <f t="shared" si="41"/>
        <v>278208</v>
      </c>
      <c r="D396" s="3">
        <f t="shared" si="42"/>
        <v>12096</v>
      </c>
      <c r="E396" s="3">
        <f>SUM($D$24:D396)</f>
        <v>1260108.0000000002</v>
      </c>
      <c r="F396" s="3">
        <f t="shared" si="43"/>
        <v>21001.800000000003</v>
      </c>
      <c r="G396" s="3">
        <f t="shared" si="43"/>
        <v>350.03000000000003</v>
      </c>
      <c r="H396" s="3">
        <f t="shared" si="44"/>
        <v>14.584583333333335</v>
      </c>
      <c r="I396" s="3">
        <f>IF(ISNA(MATCH(H396,关卡!$E$19:$E$2018,1)),0,MATCH(H396,关卡!$E$19:$E$2018,1))</f>
        <v>977</v>
      </c>
      <c r="J396" s="3">
        <f>VLOOKUP($I396,关卡!$A$17:$G$2018,6,0)</f>
        <v>155.26920118278494</v>
      </c>
      <c r="K396" s="3">
        <f>VLOOKUP($I396,关卡!$A$17:$G$2018,7,0)</f>
        <v>112.54042393905593</v>
      </c>
      <c r="L396" s="3">
        <f t="shared" si="45"/>
        <v>558969.12425802578</v>
      </c>
      <c r="M396" s="3">
        <f t="shared" si="46"/>
        <v>405145.52618060133</v>
      </c>
      <c r="N396" s="3">
        <f>INT(D396*J396*VLOOKUP(A396,经验产出!$I$7:$J$557,2,0))</f>
        <v>8718986</v>
      </c>
      <c r="O396" s="3">
        <f>SUM($N$24:N395)</f>
        <v>426505209</v>
      </c>
      <c r="P396" s="3">
        <f>K396*VLOOKUP(A396,金币产出!$I$7:$J$557,2,0)</f>
        <v>404.67660774752193</v>
      </c>
    </row>
    <row r="397" spans="1:16" x14ac:dyDescent="0.15">
      <c r="A397" s="3">
        <v>374</v>
      </c>
      <c r="B397" s="3">
        <f t="shared" si="40"/>
        <v>14</v>
      </c>
      <c r="C397" s="3">
        <f t="shared" si="41"/>
        <v>290304</v>
      </c>
      <c r="D397" s="3">
        <f t="shared" si="42"/>
        <v>12096</v>
      </c>
      <c r="E397" s="3">
        <f>SUM($D$24:D397)</f>
        <v>1272204.0000000002</v>
      </c>
      <c r="F397" s="3">
        <f t="shared" si="43"/>
        <v>21203.400000000005</v>
      </c>
      <c r="G397" s="3">
        <f t="shared" si="43"/>
        <v>353.3900000000001</v>
      </c>
      <c r="H397" s="3">
        <f t="shared" si="44"/>
        <v>14.724583333333337</v>
      </c>
      <c r="I397" s="3">
        <f>IF(ISNA(MATCH(H397,关卡!$E$19:$E$2018,1)),0,MATCH(H397,关卡!$E$19:$E$2018,1))</f>
        <v>982</v>
      </c>
      <c r="J397" s="3">
        <f>VLOOKUP($I397,关卡!$A$17:$G$2018,6,0)</f>
        <v>157.01733067583902</v>
      </c>
      <c r="K397" s="3">
        <f>VLOOKUP($I397,关卡!$A$17:$G$2018,7,0)</f>
        <v>113.53917026329499</v>
      </c>
      <c r="L397" s="3">
        <f t="shared" si="45"/>
        <v>565262.39043302054</v>
      </c>
      <c r="M397" s="3">
        <f t="shared" si="46"/>
        <v>408741.01294786192</v>
      </c>
      <c r="N397" s="3">
        <f>INT(D397*J397*VLOOKUP(A397,经验产出!$I$7:$J$557,2,0))</f>
        <v>8817151</v>
      </c>
      <c r="O397" s="3">
        <f>SUM($N$24:N396)</f>
        <v>435224195</v>
      </c>
      <c r="P397" s="3">
        <f>K397*VLOOKUP(A397,金币产出!$I$7:$J$557,2,0)</f>
        <v>408.2679330717649</v>
      </c>
    </row>
    <row r="398" spans="1:16" x14ac:dyDescent="0.15">
      <c r="A398" s="3">
        <v>375</v>
      </c>
      <c r="B398" s="3">
        <f t="shared" si="40"/>
        <v>14</v>
      </c>
      <c r="C398" s="3">
        <f t="shared" si="41"/>
        <v>302400</v>
      </c>
      <c r="D398" s="3">
        <f t="shared" si="42"/>
        <v>12096</v>
      </c>
      <c r="E398" s="3">
        <f>SUM($D$24:D398)</f>
        <v>1284300.0000000002</v>
      </c>
      <c r="F398" s="3">
        <f t="shared" si="43"/>
        <v>21405.000000000004</v>
      </c>
      <c r="G398" s="3">
        <f t="shared" si="43"/>
        <v>356.75000000000006</v>
      </c>
      <c r="H398" s="3">
        <f t="shared" si="44"/>
        <v>14.864583333333336</v>
      </c>
      <c r="I398" s="3">
        <f>IF(ISNA(MATCH(H398,关卡!$E$19:$E$2018,1)),0,MATCH(H398,关卡!$E$19:$E$2018,1))</f>
        <v>987</v>
      </c>
      <c r="J398" s="3">
        <f>VLOOKUP($I398,关卡!$A$17:$G$2018,6,0)</f>
        <v>158.78069829898993</v>
      </c>
      <c r="K398" s="3">
        <f>VLOOKUP($I398,关卡!$A$17:$G$2018,7,0)</f>
        <v>114.54427117208093</v>
      </c>
      <c r="L398" s="3">
        <f t="shared" si="45"/>
        <v>571610.51387636375</v>
      </c>
      <c r="M398" s="3">
        <f t="shared" si="46"/>
        <v>412359.37621949136</v>
      </c>
      <c r="N398" s="3">
        <f>INT(D398*J398*VLOOKUP(A398,经验产出!$I$7:$J$557,2,0))</f>
        <v>8916171</v>
      </c>
      <c r="O398" s="3">
        <f>SUM($N$24:N397)</f>
        <v>444041346</v>
      </c>
      <c r="P398" s="3">
        <f>K398*VLOOKUP(A398,金币产出!$I$7:$J$557,2,0)</f>
        <v>411.88210842294097</v>
      </c>
    </row>
    <row r="399" spans="1:16" x14ac:dyDescent="0.15">
      <c r="A399" s="3">
        <v>376</v>
      </c>
      <c r="B399" s="3">
        <f t="shared" si="40"/>
        <v>14</v>
      </c>
      <c r="C399" s="3">
        <f t="shared" si="41"/>
        <v>314496</v>
      </c>
      <c r="D399" s="3">
        <f t="shared" si="42"/>
        <v>12096</v>
      </c>
      <c r="E399" s="3">
        <f>SUM($D$24:D399)</f>
        <v>1296396.0000000002</v>
      </c>
      <c r="F399" s="3">
        <f t="shared" si="43"/>
        <v>21606.600000000002</v>
      </c>
      <c r="G399" s="3">
        <f t="shared" si="43"/>
        <v>360.11</v>
      </c>
      <c r="H399" s="3">
        <f t="shared" si="44"/>
        <v>15.004583333333334</v>
      </c>
      <c r="I399" s="3">
        <f>IF(ISNA(MATCH(H399,关卡!$E$19:$E$2018,1)),0,MATCH(H399,关卡!$E$19:$E$2018,1))</f>
        <v>992</v>
      </c>
      <c r="J399" s="3">
        <f>VLOOKUP($I399,关卡!$A$17:$G$2018,6,0)</f>
        <v>160.55940583014399</v>
      </c>
      <c r="K399" s="3">
        <f>VLOOKUP($I399,关卡!$A$17:$G$2018,7,0)</f>
        <v>115.55575826431999</v>
      </c>
      <c r="L399" s="3">
        <f t="shared" si="45"/>
        <v>578013.86098851834</v>
      </c>
      <c r="M399" s="3">
        <f t="shared" si="46"/>
        <v>416000.72975155193</v>
      </c>
      <c r="N399" s="3">
        <f>INT(D399*J399*VLOOKUP(A399,经验产出!$I$7:$J$557,2,0))</f>
        <v>9016052</v>
      </c>
      <c r="O399" s="3">
        <f>SUM($N$24:N398)</f>
        <v>452957517</v>
      </c>
      <c r="P399" s="3">
        <f>K399*VLOOKUP(A399,金币产出!$I$7:$J$557,2,0)</f>
        <v>415.5192474254506</v>
      </c>
    </row>
    <row r="400" spans="1:16" x14ac:dyDescent="0.15">
      <c r="A400" s="3">
        <v>377</v>
      </c>
      <c r="B400" s="3">
        <f t="shared" si="40"/>
        <v>14</v>
      </c>
      <c r="C400" s="3">
        <f t="shared" si="41"/>
        <v>326592</v>
      </c>
      <c r="D400" s="3">
        <f t="shared" si="42"/>
        <v>12096</v>
      </c>
      <c r="E400" s="3">
        <f>SUM($D$24:D400)</f>
        <v>1308492.0000000002</v>
      </c>
      <c r="F400" s="3">
        <f t="shared" si="43"/>
        <v>21808.200000000004</v>
      </c>
      <c r="G400" s="3">
        <f t="shared" si="43"/>
        <v>363.47000000000008</v>
      </c>
      <c r="H400" s="3">
        <f t="shared" si="44"/>
        <v>15.144583333333337</v>
      </c>
      <c r="I400" s="3">
        <f>IF(ISNA(MATCH(H400,关卡!$E$19:$E$2018,1)),0,MATCH(H400,关卡!$E$19:$E$2018,1))</f>
        <v>997</v>
      </c>
      <c r="J400" s="3">
        <f>VLOOKUP($I400,关卡!$A$17:$G$2018,6,0)</f>
        <v>162.35355542126996</v>
      </c>
      <c r="K400" s="3">
        <f>VLOOKUP($I400,关卡!$A$17:$G$2018,7,0)</f>
        <v>116.57366322798093</v>
      </c>
      <c r="L400" s="3">
        <f t="shared" si="45"/>
        <v>584472.79951657192</v>
      </c>
      <c r="M400" s="3">
        <f t="shared" si="46"/>
        <v>419665.18762073136</v>
      </c>
      <c r="N400" s="3">
        <f>INT(D400*J400*VLOOKUP(A400,经验产出!$I$7:$J$557,2,0))</f>
        <v>9116801</v>
      </c>
      <c r="O400" s="3">
        <f>SUM($N$24:N399)</f>
        <v>461973569</v>
      </c>
      <c r="P400" s="3">
        <f>K400*VLOOKUP(A400,金币产出!$I$7:$J$557,2,0)</f>
        <v>419.17946402394807</v>
      </c>
    </row>
    <row r="401" spans="1:16" x14ac:dyDescent="0.15">
      <c r="A401" s="3">
        <v>378</v>
      </c>
      <c r="B401" s="3">
        <f t="shared" si="40"/>
        <v>14</v>
      </c>
      <c r="C401" s="3">
        <f t="shared" si="41"/>
        <v>338688.00000000006</v>
      </c>
      <c r="D401" s="3">
        <f t="shared" si="42"/>
        <v>12096.000000000058</v>
      </c>
      <c r="E401" s="3">
        <f>SUM($D$24:D401)</f>
        <v>1320588.0000000002</v>
      </c>
      <c r="F401" s="3">
        <f t="shared" si="43"/>
        <v>22009.800000000003</v>
      </c>
      <c r="G401" s="3">
        <f t="shared" si="43"/>
        <v>366.83000000000004</v>
      </c>
      <c r="H401" s="3">
        <f t="shared" si="44"/>
        <v>15.284583333333336</v>
      </c>
      <c r="I401" s="3">
        <f>IF(ISNA(MATCH(H401,关卡!$E$19:$E$2018,1)),0,MATCH(H401,关卡!$E$19:$E$2018,1))</f>
        <v>1002</v>
      </c>
      <c r="J401" s="3">
        <f>VLOOKUP($I401,关卡!$A$17:$G$2018,6,0)</f>
        <v>164.16324959839901</v>
      </c>
      <c r="K401" s="3">
        <f>VLOOKUP($I401,关卡!$A$17:$G$2018,7,0)</f>
        <v>117.598017840095</v>
      </c>
      <c r="L401" s="3">
        <f t="shared" si="45"/>
        <v>590987.69855423644</v>
      </c>
      <c r="M401" s="3">
        <f t="shared" si="46"/>
        <v>423352.86422434199</v>
      </c>
      <c r="N401" s="3">
        <f>INT(D401*J401*VLOOKUP(A401,经验产出!$I$7:$J$557,2,0))</f>
        <v>9218423</v>
      </c>
      <c r="O401" s="3">
        <f>SUM($N$24:N400)</f>
        <v>471090370</v>
      </c>
      <c r="P401" s="3">
        <f>K401*VLOOKUP(A401,金币产出!$I$7:$J$557,2,0)</f>
        <v>422.86287248334156</v>
      </c>
    </row>
    <row r="402" spans="1:16" x14ac:dyDescent="0.15">
      <c r="A402" s="3">
        <v>379</v>
      </c>
      <c r="B402" s="3">
        <f t="shared" si="40"/>
        <v>14</v>
      </c>
      <c r="C402" s="3">
        <f t="shared" si="41"/>
        <v>350784</v>
      </c>
      <c r="D402" s="3">
        <f t="shared" si="42"/>
        <v>12095.999999999942</v>
      </c>
      <c r="E402" s="3">
        <f>SUM($D$24:D402)</f>
        <v>1332684.0000000002</v>
      </c>
      <c r="F402" s="3">
        <f t="shared" si="43"/>
        <v>22211.400000000005</v>
      </c>
      <c r="G402" s="3">
        <f t="shared" si="43"/>
        <v>370.19000000000011</v>
      </c>
      <c r="H402" s="3">
        <f t="shared" si="44"/>
        <v>15.424583333333338</v>
      </c>
      <c r="I402" s="3">
        <f>IF(ISNA(MATCH(H402,关卡!$E$19:$E$2018,1)),0,MATCH(H402,关卡!$E$19:$E$2018,1))</f>
        <v>1007</v>
      </c>
      <c r="J402" s="3">
        <f>VLOOKUP($I402,关卡!$A$17:$G$2018,6,0)</f>
        <v>165.98859126162492</v>
      </c>
      <c r="K402" s="3">
        <f>VLOOKUP($I402,关卡!$A$17:$G$2018,7,0)</f>
        <v>118.6288539667559</v>
      </c>
      <c r="L402" s="3">
        <f t="shared" si="45"/>
        <v>597558.92854184972</v>
      </c>
      <c r="M402" s="3">
        <f t="shared" si="46"/>
        <v>427063.87428032124</v>
      </c>
      <c r="N402" s="3">
        <f>INT(D402*J402*VLOOKUP(A402,经验产出!$I$7:$J$557,2,0))</f>
        <v>9320923</v>
      </c>
      <c r="O402" s="3">
        <f>SUM($N$24:N401)</f>
        <v>480308793</v>
      </c>
      <c r="P402" s="3">
        <f>K402*VLOOKUP(A402,金币产出!$I$7:$J$557,2,0)</f>
        <v>426.56958738879308</v>
      </c>
    </row>
    <row r="403" spans="1:16" x14ac:dyDescent="0.15">
      <c r="A403" s="3">
        <v>380</v>
      </c>
      <c r="B403" s="3">
        <f t="shared" si="40"/>
        <v>14</v>
      </c>
      <c r="C403" s="3">
        <f t="shared" si="41"/>
        <v>362880</v>
      </c>
      <c r="D403" s="3">
        <f t="shared" si="42"/>
        <v>12096</v>
      </c>
      <c r="E403" s="3">
        <f>SUM($D$24:D403)</f>
        <v>1344780.0000000002</v>
      </c>
      <c r="F403" s="3">
        <f t="shared" si="43"/>
        <v>22413.000000000004</v>
      </c>
      <c r="G403" s="3">
        <f t="shared" si="43"/>
        <v>373.55000000000007</v>
      </c>
      <c r="H403" s="3">
        <f t="shared" si="44"/>
        <v>15.564583333333337</v>
      </c>
      <c r="I403" s="3">
        <f>IF(ISNA(MATCH(H403,关卡!$E$19:$E$2018,1)),0,MATCH(H403,关卡!$E$19:$E$2018,1))</f>
        <v>1011</v>
      </c>
      <c r="J403" s="3">
        <f>VLOOKUP($I403,关卡!$A$17:$G$2018,6,0)</f>
        <v>167.46020016985992</v>
      </c>
      <c r="K403" s="3">
        <f>VLOOKUP($I403,关卡!$A$17:$G$2018,7,0)</f>
        <v>119.45821102943091</v>
      </c>
      <c r="L403" s="3">
        <f t="shared" si="45"/>
        <v>602856.72061149566</v>
      </c>
      <c r="M403" s="3">
        <f t="shared" si="46"/>
        <v>430049.55970595131</v>
      </c>
      <c r="N403" s="3">
        <f>INT(D403*J403*VLOOKUP(A403,经验产出!$I$7:$J$557,2,0))</f>
        <v>9403560</v>
      </c>
      <c r="O403" s="3">
        <f>SUM($N$24:N402)</f>
        <v>489629716</v>
      </c>
      <c r="P403" s="3">
        <f>K403*VLOOKUP(A403,金币产出!$I$7:$J$557,2,0)</f>
        <v>429.55181715999532</v>
      </c>
    </row>
    <row r="404" spans="1:16" x14ac:dyDescent="0.15">
      <c r="A404" s="3">
        <v>381</v>
      </c>
      <c r="B404" s="3">
        <f t="shared" si="40"/>
        <v>14</v>
      </c>
      <c r="C404" s="3">
        <f t="shared" si="41"/>
        <v>374976</v>
      </c>
      <c r="D404" s="3">
        <f t="shared" si="42"/>
        <v>12096</v>
      </c>
      <c r="E404" s="3">
        <f>SUM($D$24:D404)</f>
        <v>1356876.0000000002</v>
      </c>
      <c r="F404" s="3">
        <f t="shared" si="43"/>
        <v>22614.600000000002</v>
      </c>
      <c r="G404" s="3">
        <f t="shared" si="43"/>
        <v>376.91</v>
      </c>
      <c r="H404" s="3">
        <f t="shared" si="44"/>
        <v>15.704583333333334</v>
      </c>
      <c r="I404" s="3">
        <f>IF(ISNA(MATCH(H404,关卡!$E$19:$E$2018,1)),0,MATCH(H404,关卡!$E$19:$E$2018,1))</f>
        <v>1015</v>
      </c>
      <c r="J404" s="3">
        <f>VLOOKUP($I404,关卡!$A$17:$G$2018,6,0)</f>
        <v>168.94194260621089</v>
      </c>
      <c r="K404" s="3">
        <f>VLOOKUP($I404,关卡!$A$17:$G$2018,7,0)</f>
        <v>120.29175311308589</v>
      </c>
      <c r="L404" s="3">
        <f t="shared" si="45"/>
        <v>608190.99338235916</v>
      </c>
      <c r="M404" s="3">
        <f t="shared" si="46"/>
        <v>433050.31120710919</v>
      </c>
      <c r="N404" s="3">
        <f>INT(D404*J404*VLOOKUP(A404,经验产出!$I$7:$J$557,2,0))</f>
        <v>9486765</v>
      </c>
      <c r="O404" s="3">
        <f>SUM($N$24:N403)</f>
        <v>499033276</v>
      </c>
      <c r="P404" s="3">
        <f>K404*VLOOKUP(A404,金币产出!$I$7:$J$557,2,0)</f>
        <v>432.54909556913799</v>
      </c>
    </row>
    <row r="405" spans="1:16" x14ac:dyDescent="0.15">
      <c r="A405" s="3">
        <v>382</v>
      </c>
      <c r="B405" s="3">
        <f t="shared" si="40"/>
        <v>14</v>
      </c>
      <c r="C405" s="3">
        <f t="shared" si="41"/>
        <v>387072</v>
      </c>
      <c r="D405" s="3">
        <f t="shared" si="42"/>
        <v>12096</v>
      </c>
      <c r="E405" s="3">
        <f>SUM($D$24:D405)</f>
        <v>1368972.0000000002</v>
      </c>
      <c r="F405" s="3">
        <f t="shared" si="43"/>
        <v>22816.200000000004</v>
      </c>
      <c r="G405" s="3">
        <f t="shared" si="43"/>
        <v>380.2700000000001</v>
      </c>
      <c r="H405" s="3">
        <f t="shared" si="44"/>
        <v>15.844583333333338</v>
      </c>
      <c r="I405" s="3">
        <f>IF(ISNA(MATCH(H405,关卡!$E$19:$E$2018,1)),0,MATCH(H405,关卡!$E$19:$E$2018,1))</f>
        <v>1020</v>
      </c>
      <c r="J405" s="3">
        <f>VLOOKUP($I405,关卡!$A$17:$G$2018,6,0)</f>
        <v>170.80845199000001</v>
      </c>
      <c r="K405" s="3">
        <f>VLOOKUP($I405,关卡!$A$17:$G$2018,7,0)</f>
        <v>121.33959095</v>
      </c>
      <c r="L405" s="3">
        <f t="shared" si="45"/>
        <v>614910.42716400011</v>
      </c>
      <c r="M405" s="3">
        <f t="shared" si="46"/>
        <v>436822.52742</v>
      </c>
      <c r="N405" s="3">
        <f>INT(D405*J405*VLOOKUP(A405,经验产出!$I$7:$J$557,2,0))</f>
        <v>9591577</v>
      </c>
      <c r="O405" s="3">
        <f>SUM($N$24:N404)</f>
        <v>508520041</v>
      </c>
      <c r="P405" s="3">
        <f>K405*VLOOKUP(A405,金币产出!$I$7:$J$557,2,0)</f>
        <v>436.31694579104163</v>
      </c>
    </row>
    <row r="406" spans="1:16" x14ac:dyDescent="0.15">
      <c r="A406" s="3">
        <v>383</v>
      </c>
      <c r="B406" s="3">
        <f t="shared" si="40"/>
        <v>14</v>
      </c>
      <c r="C406" s="3">
        <f t="shared" si="41"/>
        <v>399168</v>
      </c>
      <c r="D406" s="3">
        <f t="shared" si="42"/>
        <v>12096</v>
      </c>
      <c r="E406" s="3">
        <f>SUM($D$24:D406)</f>
        <v>1381068.0000000002</v>
      </c>
      <c r="F406" s="3">
        <f t="shared" si="43"/>
        <v>23017.800000000003</v>
      </c>
      <c r="G406" s="3">
        <f t="shared" si="43"/>
        <v>383.63000000000005</v>
      </c>
      <c r="H406" s="3">
        <f t="shared" si="44"/>
        <v>15.984583333333335</v>
      </c>
      <c r="I406" s="3">
        <f>IF(ISNA(MATCH(H406,关卡!$E$19:$E$2018,1)),0,MATCH(H406,关卡!$E$19:$E$2018,1))</f>
        <v>1024</v>
      </c>
      <c r="J406" s="3">
        <f>VLOOKUP($I406,关卡!$A$17:$G$2018,6,0)</f>
        <v>172.31318961766402</v>
      </c>
      <c r="K406" s="3">
        <f>VLOOKUP($I406,关卡!$A$17:$G$2018,7,0)</f>
        <v>122.18260948992</v>
      </c>
      <c r="L406" s="3">
        <f t="shared" si="45"/>
        <v>620327.48262359039</v>
      </c>
      <c r="M406" s="3">
        <f t="shared" si="46"/>
        <v>439857.39416371199</v>
      </c>
      <c r="N406" s="3">
        <f>INT(D406*J406*VLOOKUP(A406,经验产出!$I$7:$J$557,2,0))</f>
        <v>9676074</v>
      </c>
      <c r="O406" s="3">
        <f>SUM($N$24:N405)</f>
        <v>518111618</v>
      </c>
      <c r="P406" s="3">
        <f>K406*VLOOKUP(A406,金币产出!$I$7:$J$557,2,0)</f>
        <v>439.34829995750397</v>
      </c>
    </row>
    <row r="407" spans="1:16" x14ac:dyDescent="0.15">
      <c r="A407" s="3">
        <v>384</v>
      </c>
      <c r="B407" s="3">
        <f t="shared" si="40"/>
        <v>14</v>
      </c>
      <c r="C407" s="3">
        <f t="shared" si="41"/>
        <v>411264.00000000006</v>
      </c>
      <c r="D407" s="3">
        <f t="shared" si="42"/>
        <v>12096.000000000058</v>
      </c>
      <c r="E407" s="3">
        <f>SUM($D$24:D407)</f>
        <v>1393164.0000000002</v>
      </c>
      <c r="F407" s="3">
        <f t="shared" si="43"/>
        <v>23219.400000000005</v>
      </c>
      <c r="G407" s="3">
        <f t="shared" si="43"/>
        <v>386.99000000000007</v>
      </c>
      <c r="H407" s="3">
        <f t="shared" si="44"/>
        <v>16.124583333333337</v>
      </c>
      <c r="I407" s="3">
        <f>IF(ISNA(MATCH(H407,关卡!$E$19:$E$2018,1)),0,MATCH(H407,关卡!$E$19:$E$2018,1))</f>
        <v>1028</v>
      </c>
      <c r="J407" s="3">
        <f>VLOOKUP($I407,关卡!$A$17:$G$2018,6,0)</f>
        <v>173.828234239984</v>
      </c>
      <c r="K407" s="3">
        <f>VLOOKUP($I407,关卡!$A$17:$G$2018,7,0)</f>
        <v>123.02986660951998</v>
      </c>
      <c r="L407" s="3">
        <f t="shared" si="45"/>
        <v>625781.64326394245</v>
      </c>
      <c r="M407" s="3">
        <f t="shared" si="46"/>
        <v>442907.51979427191</v>
      </c>
      <c r="N407" s="3">
        <f>INT(D407*J407*VLOOKUP(A407,经验产出!$I$7:$J$557,2,0))</f>
        <v>9761150</v>
      </c>
      <c r="O407" s="3">
        <f>SUM($N$24:N406)</f>
        <v>527787692</v>
      </c>
      <c r="P407" s="3">
        <f>K407*VLOOKUP(A407,金币产出!$I$7:$J$557,2,0)</f>
        <v>442.39489535006561</v>
      </c>
    </row>
    <row r="408" spans="1:16" x14ac:dyDescent="0.15">
      <c r="A408" s="3">
        <v>385</v>
      </c>
      <c r="B408" s="3">
        <f t="shared" si="40"/>
        <v>14</v>
      </c>
      <c r="C408" s="3">
        <f t="shared" si="41"/>
        <v>423360</v>
      </c>
      <c r="D408" s="3">
        <f t="shared" si="42"/>
        <v>12095.999999999942</v>
      </c>
      <c r="E408" s="3">
        <f>SUM($D$24:D408)</f>
        <v>1405260.0000000002</v>
      </c>
      <c r="F408" s="3">
        <f t="shared" si="43"/>
        <v>23421.000000000004</v>
      </c>
      <c r="G408" s="3">
        <f t="shared" si="43"/>
        <v>390.35000000000008</v>
      </c>
      <c r="H408" s="3">
        <f t="shared" si="44"/>
        <v>16.264583333333338</v>
      </c>
      <c r="I408" s="3">
        <f>IF(ISNA(MATCH(H408,关卡!$E$19:$E$2018,1)),0,MATCH(H408,关卡!$E$19:$E$2018,1))</f>
        <v>1033</v>
      </c>
      <c r="J408" s="3">
        <f>VLOOKUP($I408,关卡!$A$17:$G$2018,6,0)</f>
        <v>175.73661605215494</v>
      </c>
      <c r="K408" s="3">
        <f>VLOOKUP($I408,关卡!$A$17:$G$2018,7,0)</f>
        <v>124.0949237389059</v>
      </c>
      <c r="L408" s="3">
        <f t="shared" si="45"/>
        <v>632651.81778775773</v>
      </c>
      <c r="M408" s="3">
        <f t="shared" si="46"/>
        <v>446741.72546006128</v>
      </c>
      <c r="N408" s="3">
        <f>INT(D408*J408*VLOOKUP(A408,经验产出!$I$7:$J$557,2,0))</f>
        <v>9868313</v>
      </c>
      <c r="O408" s="3">
        <f>SUM($N$24:N407)</f>
        <v>537548842</v>
      </c>
      <c r="P408" s="3">
        <f>K408*VLOOKUP(A408,金币产出!$I$7:$J$557,2,0)</f>
        <v>446.22466327781581</v>
      </c>
    </row>
    <row r="409" spans="1:16" x14ac:dyDescent="0.15">
      <c r="A409" s="3">
        <v>386</v>
      </c>
      <c r="B409" s="3">
        <f t="shared" ref="B409:B472" si="47">MATCH($A409,$A$3:$A$20,1)-1</f>
        <v>14</v>
      </c>
      <c r="C409" s="3">
        <f t="shared" ref="C409:C472" si="48">INDEX($C$3:$C$20,$B409+1)*(INDEX($D$3:$D$20,$B409+1)+INDEX($E$3:$E$20,$B409+1)*(($A409-INDEX($A$3:$A$20,$B409+1)+1)/(INDEX($B$3:$B$20,B409+1)-INDEX($A$3:$A$20,$B409+1)+1))^1+INDEX($F$3:$F$20,$B409+1)*(($A409-INDEX($A$3:$A$20,$B409+1)+1)/(INDEX($B$3:$B$20,B409+1)-INDEX($A$3:$A$20,$B409+1)+1))^2+INDEX($G$3:$G$20,$B409+1)*(($A409-INDEX($A$3:$A$20,$B409+1)+1)/(INDEX($B$3:$B$20,$B409+1)-INDEX($A$3:$A$20,$B409+1)+1))^3+INDEX($H$3:$H$20,$B409+1)*(($A409-INDEX($A$3:$A$20,$B409+1)+1)/(INDEX($B$3:$B$20,$B409+1)-INDEX($A$3:$A$20,$B409+1)+1))^4)</f>
        <v>435456</v>
      </c>
      <c r="D409" s="3">
        <f t="shared" ref="D409:D472" si="49">IF(ISNA(MATCH(A409,$A$4:$A$20,0)),C409-C408,C409)</f>
        <v>12096</v>
      </c>
      <c r="E409" s="3">
        <f>SUM($D$24:D409)</f>
        <v>1417356.0000000002</v>
      </c>
      <c r="F409" s="3">
        <f t="shared" ref="F409:G472" si="50">E409/60</f>
        <v>23622.600000000002</v>
      </c>
      <c r="G409" s="3">
        <f t="shared" si="50"/>
        <v>393.71000000000004</v>
      </c>
      <c r="H409" s="3">
        <f t="shared" ref="H409:H472" si="51">G409/24</f>
        <v>16.404583333333335</v>
      </c>
      <c r="I409" s="3">
        <f>IF(ISNA(MATCH(H409,关卡!$E$19:$E$2018,1)),0,MATCH(H409,关卡!$E$19:$E$2018,1))</f>
        <v>1037</v>
      </c>
      <c r="J409" s="3">
        <f>VLOOKUP($I409,关卡!$A$17:$G$2018,6,0)</f>
        <v>177.27504798613995</v>
      </c>
      <c r="K409" s="3">
        <f>VLOOKUP($I409,关卡!$A$17:$G$2018,7,0)</f>
        <v>124.95177825533092</v>
      </c>
      <c r="L409" s="3">
        <f t="shared" ref="L409:L472" si="52">J409*60*60</f>
        <v>638190.17275010387</v>
      </c>
      <c r="M409" s="3">
        <f t="shared" ref="M409:M472" si="53">K409*60*60</f>
        <v>449826.40171919129</v>
      </c>
      <c r="N409" s="3">
        <f>INT(D409*J409*VLOOKUP(A409,经验产出!$I$7:$J$557,2,0))</f>
        <v>9954703</v>
      </c>
      <c r="O409" s="3">
        <f>SUM($N$24:N408)</f>
        <v>547417155</v>
      </c>
      <c r="P409" s="3">
        <f>K409*VLOOKUP(A409,金币产出!$I$7:$J$557,2,0)</f>
        <v>449.30576930979407</v>
      </c>
    </row>
    <row r="410" spans="1:16" x14ac:dyDescent="0.15">
      <c r="A410" s="3">
        <v>387</v>
      </c>
      <c r="B410" s="3">
        <f t="shared" si="47"/>
        <v>14</v>
      </c>
      <c r="C410" s="3">
        <f t="shared" si="48"/>
        <v>447552</v>
      </c>
      <c r="D410" s="3">
        <f t="shared" si="49"/>
        <v>12096</v>
      </c>
      <c r="E410" s="3">
        <f>SUM($D$24:D410)</f>
        <v>1429452.0000000002</v>
      </c>
      <c r="F410" s="3">
        <f t="shared" si="50"/>
        <v>23824.200000000004</v>
      </c>
      <c r="G410" s="3">
        <f t="shared" si="50"/>
        <v>397.07000000000005</v>
      </c>
      <c r="H410" s="3">
        <f t="shared" si="51"/>
        <v>16.544583333333335</v>
      </c>
      <c r="I410" s="3">
        <f>IF(ISNA(MATCH(H410,关卡!$E$19:$E$2018,1)),0,MATCH(H410,关卡!$E$19:$E$2018,1))</f>
        <v>1041</v>
      </c>
      <c r="J410" s="3">
        <f>VLOOKUP($I410,关卡!$A$17:$G$2018,6,0)</f>
        <v>178.82396199966493</v>
      </c>
      <c r="K410" s="3">
        <f>VLOOKUP($I410,关卡!$A$17:$G$2018,7,0)</f>
        <v>125.81292529545593</v>
      </c>
      <c r="L410" s="3">
        <f t="shared" si="52"/>
        <v>643766.26319879375</v>
      </c>
      <c r="M410" s="3">
        <f t="shared" si="53"/>
        <v>452926.53106364136</v>
      </c>
      <c r="N410" s="3">
        <f>INT(D410*J410*VLOOKUP(A410,经验产出!$I$7:$J$557,2,0))</f>
        <v>10041680</v>
      </c>
      <c r="O410" s="3">
        <f>SUM($N$24:N409)</f>
        <v>557371858</v>
      </c>
      <c r="P410" s="3">
        <f>K410*VLOOKUP(A410,金币产出!$I$7:$J$557,2,0)</f>
        <v>452.40231054157692</v>
      </c>
    </row>
    <row r="411" spans="1:16" x14ac:dyDescent="0.15">
      <c r="A411" s="3">
        <v>388</v>
      </c>
      <c r="B411" s="3">
        <f t="shared" si="47"/>
        <v>14</v>
      </c>
      <c r="C411" s="3">
        <f t="shared" si="48"/>
        <v>459648</v>
      </c>
      <c r="D411" s="3">
        <f t="shared" si="49"/>
        <v>12096</v>
      </c>
      <c r="E411" s="3">
        <f>SUM($D$24:D411)</f>
        <v>1441548.0000000002</v>
      </c>
      <c r="F411" s="3">
        <f t="shared" si="50"/>
        <v>24025.800000000003</v>
      </c>
      <c r="G411" s="3">
        <f t="shared" si="50"/>
        <v>400.43000000000006</v>
      </c>
      <c r="H411" s="3">
        <f t="shared" si="51"/>
        <v>16.684583333333336</v>
      </c>
      <c r="I411" s="3">
        <f>IF(ISNA(MATCH(H411,关卡!$E$19:$E$2018,1)),0,MATCH(H411,关卡!$E$19:$E$2018,1))</f>
        <v>1045</v>
      </c>
      <c r="J411" s="3">
        <f>VLOOKUP($I411,关卡!$A$17:$G$2018,6,0)</f>
        <v>180.38341229058588</v>
      </c>
      <c r="K411" s="3">
        <f>VLOOKUP($I411,关卡!$A$17:$G$2018,7,0)</f>
        <v>126.67838153496092</v>
      </c>
      <c r="L411" s="3">
        <f t="shared" si="52"/>
        <v>649380.28424610919</v>
      </c>
      <c r="M411" s="3">
        <f t="shared" si="53"/>
        <v>456042.17352585931</v>
      </c>
      <c r="N411" s="3">
        <f>INT(D411*J411*VLOOKUP(A411,经验产出!$I$7:$J$557,2,0))</f>
        <v>10129250</v>
      </c>
      <c r="O411" s="3">
        <f>SUM($N$24:N410)</f>
        <v>567413538</v>
      </c>
      <c r="P411" s="3">
        <f>K411*VLOOKUP(A411,金币产出!$I$7:$J$557,2,0)</f>
        <v>455.51434693613027</v>
      </c>
    </row>
    <row r="412" spans="1:16" x14ac:dyDescent="0.15">
      <c r="A412" s="3">
        <v>389</v>
      </c>
      <c r="B412" s="3">
        <f t="shared" si="47"/>
        <v>14</v>
      </c>
      <c r="C412" s="3">
        <f t="shared" si="48"/>
        <v>471744</v>
      </c>
      <c r="D412" s="3">
        <f t="shared" si="49"/>
        <v>12096</v>
      </c>
      <c r="E412" s="3">
        <f>SUM($D$24:D412)</f>
        <v>1453644.0000000002</v>
      </c>
      <c r="F412" s="3">
        <f t="shared" si="50"/>
        <v>24227.400000000005</v>
      </c>
      <c r="G412" s="3">
        <f t="shared" si="50"/>
        <v>403.79000000000008</v>
      </c>
      <c r="H412" s="3">
        <f t="shared" si="51"/>
        <v>16.824583333333337</v>
      </c>
      <c r="I412" s="3">
        <f>IF(ISNA(MATCH(H412,关卡!$E$19:$E$2018,1)),0,MATCH(H412,关卡!$E$19:$E$2018,1))</f>
        <v>1050</v>
      </c>
      <c r="J412" s="3">
        <f>VLOOKUP($I412,关卡!$A$17:$G$2018,6,0)</f>
        <v>182.34762460937503</v>
      </c>
      <c r="K412" s="3">
        <f>VLOOKUP($I412,关卡!$A$17:$G$2018,7,0)</f>
        <v>127.76628710937501</v>
      </c>
      <c r="L412" s="3">
        <f t="shared" si="52"/>
        <v>656451.44859375013</v>
      </c>
      <c r="M412" s="3">
        <f t="shared" si="53"/>
        <v>459958.63359375001</v>
      </c>
      <c r="N412" s="3">
        <f>INT(D412*J412*VLOOKUP(A412,经验产出!$I$7:$J$557,2,0))</f>
        <v>10239548</v>
      </c>
      <c r="O412" s="3">
        <f>SUM($N$24:N411)</f>
        <v>577542788</v>
      </c>
      <c r="P412" s="3">
        <f>K412*VLOOKUP(A412,金币产出!$I$7:$J$557,2,0)</f>
        <v>459.42627406412765</v>
      </c>
    </row>
    <row r="413" spans="1:16" x14ac:dyDescent="0.15">
      <c r="A413" s="3">
        <v>390</v>
      </c>
      <c r="B413" s="3">
        <f t="shared" si="47"/>
        <v>14</v>
      </c>
      <c r="C413" s="3">
        <f t="shared" si="48"/>
        <v>483840</v>
      </c>
      <c r="D413" s="3">
        <f t="shared" si="49"/>
        <v>12096</v>
      </c>
      <c r="E413" s="3">
        <f>SUM($D$24:D413)</f>
        <v>1465740.0000000002</v>
      </c>
      <c r="F413" s="3">
        <f t="shared" si="50"/>
        <v>24429.000000000004</v>
      </c>
      <c r="G413" s="3">
        <f t="shared" si="50"/>
        <v>407.15000000000003</v>
      </c>
      <c r="H413" s="3">
        <f t="shared" si="51"/>
        <v>16.964583333333334</v>
      </c>
      <c r="I413" s="3">
        <f>IF(ISNA(MATCH(H413,关卡!$E$19:$E$2018,1)),0,MATCH(H413,关卡!$E$19:$E$2018,1))</f>
        <v>1054</v>
      </c>
      <c r="J413" s="3">
        <f>VLOOKUP($I413,关卡!$A$17:$G$2018,6,0)</f>
        <v>183.93098047895901</v>
      </c>
      <c r="K413" s="3">
        <f>VLOOKUP($I413,关卡!$A$17:$G$2018,7,0)</f>
        <v>128.64150020689499</v>
      </c>
      <c r="L413" s="3">
        <f t="shared" si="52"/>
        <v>662151.52972425241</v>
      </c>
      <c r="M413" s="3">
        <f t="shared" si="53"/>
        <v>463109.40074482193</v>
      </c>
      <c r="N413" s="3">
        <f>INT(D413*J413*VLOOKUP(A413,经验产出!$I$7:$J$557,2,0))</f>
        <v>10328460</v>
      </c>
      <c r="O413" s="3">
        <f>SUM($N$24:N412)</f>
        <v>587782336</v>
      </c>
      <c r="P413" s="3">
        <f>K413*VLOOKUP(A413,金币产出!$I$7:$J$557,2,0)</f>
        <v>462.57339449395988</v>
      </c>
    </row>
    <row r="414" spans="1:16" x14ac:dyDescent="0.15">
      <c r="A414" s="3">
        <v>391</v>
      </c>
      <c r="B414" s="3">
        <f t="shared" si="47"/>
        <v>14</v>
      </c>
      <c r="C414" s="3">
        <f t="shared" si="48"/>
        <v>495935.99999999994</v>
      </c>
      <c r="D414" s="3">
        <f t="shared" si="49"/>
        <v>12095.999999999942</v>
      </c>
      <c r="E414" s="3">
        <f>SUM($D$24:D414)</f>
        <v>1477836.0000000002</v>
      </c>
      <c r="F414" s="3">
        <f t="shared" si="50"/>
        <v>24630.600000000002</v>
      </c>
      <c r="G414" s="3">
        <f t="shared" si="50"/>
        <v>410.51000000000005</v>
      </c>
      <c r="H414" s="3">
        <f t="shared" si="51"/>
        <v>17.104583333333334</v>
      </c>
      <c r="I414" s="3">
        <f>IF(ISNA(MATCH(H414,关卡!$E$19:$E$2018,1)),0,MATCH(H414,关卡!$E$19:$E$2018,1))</f>
        <v>1058</v>
      </c>
      <c r="J414" s="3">
        <f>VLOOKUP($I414,关卡!$A$17:$G$2018,6,0)</f>
        <v>185.52504982711898</v>
      </c>
      <c r="K414" s="3">
        <f>VLOOKUP($I414,关卡!$A$17:$G$2018,7,0)</f>
        <v>129.52107695169499</v>
      </c>
      <c r="L414" s="3">
        <f t="shared" si="52"/>
        <v>667890.17937762837</v>
      </c>
      <c r="M414" s="3">
        <f t="shared" si="53"/>
        <v>466275.87702610198</v>
      </c>
      <c r="N414" s="3">
        <f>INT(D414*J414*VLOOKUP(A414,经验产出!$I$7:$J$557,2,0))</f>
        <v>10417973</v>
      </c>
      <c r="O414" s="3">
        <f>SUM($N$24:N413)</f>
        <v>598110796</v>
      </c>
      <c r="P414" s="3">
        <f>K414*VLOOKUP(A414,金币产出!$I$7:$J$557,2,0)</f>
        <v>465.73620587213657</v>
      </c>
    </row>
    <row r="415" spans="1:16" x14ac:dyDescent="0.15">
      <c r="A415" s="3">
        <v>392</v>
      </c>
      <c r="B415" s="3">
        <f t="shared" si="47"/>
        <v>14</v>
      </c>
      <c r="C415" s="3">
        <f t="shared" si="48"/>
        <v>508032</v>
      </c>
      <c r="D415" s="3">
        <f t="shared" si="49"/>
        <v>12096.000000000058</v>
      </c>
      <c r="E415" s="3">
        <f>SUM($D$24:D415)</f>
        <v>1489932.0000000002</v>
      </c>
      <c r="F415" s="3">
        <f t="shared" si="50"/>
        <v>24832.200000000004</v>
      </c>
      <c r="G415" s="3">
        <f t="shared" si="50"/>
        <v>413.87000000000006</v>
      </c>
      <c r="H415" s="3">
        <f t="shared" si="51"/>
        <v>17.244583333333335</v>
      </c>
      <c r="I415" s="3">
        <f>IF(ISNA(MATCH(H415,关卡!$E$19:$E$2018,1)),0,MATCH(H415,关卡!$E$19:$E$2018,1))</f>
        <v>1062</v>
      </c>
      <c r="J415" s="3">
        <f>VLOOKUP($I415,关卡!$A$17:$G$2018,6,0)</f>
        <v>187.129887502879</v>
      </c>
      <c r="K415" s="3">
        <f>VLOOKUP($I415,关卡!$A$17:$G$2018,7,0)</f>
        <v>130.405034174495</v>
      </c>
      <c r="L415" s="3">
        <f t="shared" si="52"/>
        <v>673667.59501036443</v>
      </c>
      <c r="M415" s="3">
        <f t="shared" si="53"/>
        <v>469458.12302818196</v>
      </c>
      <c r="N415" s="3">
        <f>INT(D415*J415*VLOOKUP(A415,经验产出!$I$7:$J$557,2,0))</f>
        <v>10508091</v>
      </c>
      <c r="O415" s="3">
        <f>SUM($N$24:N414)</f>
        <v>608528769</v>
      </c>
      <c r="P415" s="3">
        <f>K415*VLOOKUP(A415,金币产出!$I$7:$J$557,2,0)</f>
        <v>468.91476871912158</v>
      </c>
    </row>
    <row r="416" spans="1:16" x14ac:dyDescent="0.15">
      <c r="A416" s="3">
        <v>393</v>
      </c>
      <c r="B416" s="3">
        <f t="shared" si="47"/>
        <v>14</v>
      </c>
      <c r="C416" s="3">
        <f t="shared" si="48"/>
        <v>520128</v>
      </c>
      <c r="D416" s="3">
        <f t="shared" si="49"/>
        <v>12096</v>
      </c>
      <c r="E416" s="3">
        <f>SUM($D$24:D416)</f>
        <v>1502028.0000000002</v>
      </c>
      <c r="F416" s="3">
        <f t="shared" si="50"/>
        <v>25033.800000000003</v>
      </c>
      <c r="G416" s="3">
        <f t="shared" si="50"/>
        <v>417.23000000000008</v>
      </c>
      <c r="H416" s="3">
        <f t="shared" si="51"/>
        <v>17.384583333333335</v>
      </c>
      <c r="I416" s="3">
        <f>IF(ISNA(MATCH(H416,关卡!$E$19:$E$2018,1)),0,MATCH(H416,关卡!$E$19:$E$2018,1))</f>
        <v>1066</v>
      </c>
      <c r="J416" s="3">
        <f>VLOOKUP($I416,关卡!$A$17:$G$2018,6,0)</f>
        <v>188.74554850847903</v>
      </c>
      <c r="K416" s="3">
        <f>VLOOKUP($I416,关卡!$A$17:$G$2018,7,0)</f>
        <v>131.29338874249501</v>
      </c>
      <c r="L416" s="3">
        <f t="shared" si="52"/>
        <v>679483.9746305244</v>
      </c>
      <c r="M416" s="3">
        <f t="shared" si="53"/>
        <v>472656.19947298209</v>
      </c>
      <c r="N416" s="3">
        <f>INT(D416*J416*VLOOKUP(A416,经验产出!$I$7:$J$557,2,0))</f>
        <v>10598817</v>
      </c>
      <c r="O416" s="3">
        <f>SUM($N$24:N415)</f>
        <v>619036860</v>
      </c>
      <c r="P416" s="3">
        <f>K416*VLOOKUP(A416,金币产出!$I$7:$J$557,2,0)</f>
        <v>472.10914368655494</v>
      </c>
    </row>
    <row r="417" spans="1:16" x14ac:dyDescent="0.15">
      <c r="A417" s="3">
        <v>394</v>
      </c>
      <c r="B417" s="3">
        <f t="shared" si="47"/>
        <v>14</v>
      </c>
      <c r="C417" s="3">
        <f t="shared" si="48"/>
        <v>532224</v>
      </c>
      <c r="D417" s="3">
        <f t="shared" si="49"/>
        <v>12096</v>
      </c>
      <c r="E417" s="3">
        <f>SUM($D$24:D417)</f>
        <v>1514124.0000000002</v>
      </c>
      <c r="F417" s="3">
        <f t="shared" si="50"/>
        <v>25235.400000000005</v>
      </c>
      <c r="G417" s="3">
        <f t="shared" si="50"/>
        <v>420.59000000000009</v>
      </c>
      <c r="H417" s="3">
        <f t="shared" si="51"/>
        <v>17.524583333333336</v>
      </c>
      <c r="I417" s="3">
        <f>IF(ISNA(MATCH(H417,关卡!$E$19:$E$2018,1)),0,MATCH(H417,关卡!$E$19:$E$2018,1))</f>
        <v>1070</v>
      </c>
      <c r="J417" s="3">
        <f>VLOOKUP($I417,关卡!$A$17:$G$2018,6,0)</f>
        <v>190.37208799937503</v>
      </c>
      <c r="K417" s="3">
        <f>VLOOKUP($I417,关卡!$A$17:$G$2018,7,0)</f>
        <v>132.186157559375</v>
      </c>
      <c r="L417" s="3">
        <f t="shared" si="52"/>
        <v>685339.51679775002</v>
      </c>
      <c r="M417" s="3">
        <f t="shared" si="53"/>
        <v>475870.16721375001</v>
      </c>
      <c r="N417" s="3">
        <f>INT(D417*J417*VLOOKUP(A417,经验产出!$I$7:$J$557,2,0))</f>
        <v>10690154</v>
      </c>
      <c r="O417" s="3">
        <f>SUM($N$24:N416)</f>
        <v>629635677</v>
      </c>
      <c r="P417" s="3">
        <f>K417*VLOOKUP(A417,金币产出!$I$7:$J$557,2,0)</f>
        <v>475.31939155725263</v>
      </c>
    </row>
    <row r="418" spans="1:16" x14ac:dyDescent="0.15">
      <c r="A418" s="3">
        <v>395</v>
      </c>
      <c r="B418" s="3">
        <f t="shared" si="47"/>
        <v>14</v>
      </c>
      <c r="C418" s="3">
        <f t="shared" si="48"/>
        <v>544320</v>
      </c>
      <c r="D418" s="3">
        <f t="shared" si="49"/>
        <v>12096</v>
      </c>
      <c r="E418" s="3">
        <f>SUM($D$24:D418)</f>
        <v>1526220.0000000002</v>
      </c>
      <c r="F418" s="3">
        <f t="shared" si="50"/>
        <v>25437.000000000004</v>
      </c>
      <c r="G418" s="3">
        <f t="shared" si="50"/>
        <v>423.95000000000005</v>
      </c>
      <c r="H418" s="3">
        <f t="shared" si="51"/>
        <v>17.664583333333336</v>
      </c>
      <c r="I418" s="3">
        <f>IF(ISNA(MATCH(H418,关卡!$E$19:$E$2018,1)),0,MATCH(H418,关卡!$E$19:$E$2018,1))</f>
        <v>1075</v>
      </c>
      <c r="J418" s="3">
        <f>VLOOKUP($I418,关卡!$A$17:$G$2018,6,0)</f>
        <v>192.42064450683594</v>
      </c>
      <c r="K418" s="3">
        <f>VLOOKUP($I418,关卡!$A$17:$G$2018,7,0)</f>
        <v>133.30835192871092</v>
      </c>
      <c r="L418" s="3">
        <f t="shared" si="52"/>
        <v>692714.32022460946</v>
      </c>
      <c r="M418" s="3">
        <f t="shared" si="53"/>
        <v>479910.06694335933</v>
      </c>
      <c r="N418" s="3">
        <f>INT(D418*J418*VLOOKUP(A418,经验产出!$I$7:$J$557,2,0))</f>
        <v>10805188</v>
      </c>
      <c r="O418" s="3">
        <f>SUM($N$24:N417)</f>
        <v>640325831</v>
      </c>
      <c r="P418" s="3">
        <f>K418*VLOOKUP(A418,金币产出!$I$7:$J$557,2,0)</f>
        <v>479.35461547698969</v>
      </c>
    </row>
    <row r="419" spans="1:16" x14ac:dyDescent="0.15">
      <c r="A419" s="3">
        <v>396</v>
      </c>
      <c r="B419" s="3">
        <f t="shared" si="47"/>
        <v>14</v>
      </c>
      <c r="C419" s="3">
        <f t="shared" si="48"/>
        <v>556416</v>
      </c>
      <c r="D419" s="3">
        <f t="shared" si="49"/>
        <v>12096</v>
      </c>
      <c r="E419" s="3">
        <f>SUM($D$24:D419)</f>
        <v>1538316.0000000002</v>
      </c>
      <c r="F419" s="3">
        <f t="shared" si="50"/>
        <v>25638.600000000002</v>
      </c>
      <c r="G419" s="3">
        <f t="shared" si="50"/>
        <v>427.31000000000006</v>
      </c>
      <c r="H419" s="3">
        <f t="shared" si="51"/>
        <v>17.804583333333337</v>
      </c>
      <c r="I419" s="3">
        <f>IF(ISNA(MATCH(H419,关卡!$E$19:$E$2018,1)),0,MATCH(H419,关卡!$E$19:$E$2018,1))</f>
        <v>1079</v>
      </c>
      <c r="J419" s="3">
        <f>VLOOKUP($I419,关卡!$A$17:$G$2018,6,0)</f>
        <v>194.07186304539493</v>
      </c>
      <c r="K419" s="3">
        <f>VLOOKUP($I419,关卡!$A$17:$G$2018,7,0)</f>
        <v>134.21111479860593</v>
      </c>
      <c r="L419" s="3">
        <f t="shared" si="52"/>
        <v>698658.70696342178</v>
      </c>
      <c r="M419" s="3">
        <f t="shared" si="53"/>
        <v>483160.01327498135</v>
      </c>
      <c r="N419" s="3">
        <f>INT(D419*J419*VLOOKUP(A419,经验产出!$I$7:$J$557,2,0))</f>
        <v>10897911</v>
      </c>
      <c r="O419" s="3">
        <f>SUM($N$24:N418)</f>
        <v>651131019</v>
      </c>
      <c r="P419" s="3">
        <f>K419*VLOOKUP(A419,金币产出!$I$7:$J$557,2,0)</f>
        <v>482.6008002966538</v>
      </c>
    </row>
    <row r="420" spans="1:16" x14ac:dyDescent="0.15">
      <c r="A420" s="3">
        <v>397</v>
      </c>
      <c r="B420" s="3">
        <f t="shared" si="47"/>
        <v>14</v>
      </c>
      <c r="C420" s="3">
        <f t="shared" si="48"/>
        <v>568512</v>
      </c>
      <c r="D420" s="3">
        <f t="shared" si="49"/>
        <v>12096</v>
      </c>
      <c r="E420" s="3">
        <f>SUM($D$24:D420)</f>
        <v>1550412.0000000002</v>
      </c>
      <c r="F420" s="3">
        <f t="shared" si="50"/>
        <v>25840.200000000004</v>
      </c>
      <c r="G420" s="3">
        <f t="shared" si="50"/>
        <v>430.67000000000007</v>
      </c>
      <c r="H420" s="3">
        <f t="shared" si="51"/>
        <v>17.944583333333338</v>
      </c>
      <c r="I420" s="3">
        <f>IF(ISNA(MATCH(H420,关卡!$E$19:$E$2018,1)),0,MATCH(H420,关卡!$E$19:$E$2018,1))</f>
        <v>1083</v>
      </c>
      <c r="J420" s="3">
        <f>VLOOKUP($I420,关卡!$A$17:$G$2018,6,0)</f>
        <v>195.73414038262993</v>
      </c>
      <c r="K420" s="3">
        <f>VLOOKUP($I420,关卡!$A$17:$G$2018,7,0)</f>
        <v>135.11834710628094</v>
      </c>
      <c r="L420" s="3">
        <f t="shared" si="52"/>
        <v>704642.90537746774</v>
      </c>
      <c r="M420" s="3">
        <f t="shared" si="53"/>
        <v>486426.04958261136</v>
      </c>
      <c r="N420" s="3">
        <f>INT(D420*J420*VLOOKUP(A420,经验产出!$I$7:$J$557,2,0))</f>
        <v>10991254</v>
      </c>
      <c r="O420" s="3">
        <f>SUM($N$24:N419)</f>
        <v>662028930</v>
      </c>
      <c r="P420" s="3">
        <f>K420*VLOOKUP(A420,金币产出!$I$7:$J$557,2,0)</f>
        <v>485.86305646966849</v>
      </c>
    </row>
    <row r="421" spans="1:16" x14ac:dyDescent="0.15">
      <c r="A421" s="3">
        <v>398</v>
      </c>
      <c r="B421" s="3">
        <f t="shared" si="47"/>
        <v>14</v>
      </c>
      <c r="C421" s="3">
        <f t="shared" si="48"/>
        <v>580608</v>
      </c>
      <c r="D421" s="3">
        <f t="shared" si="49"/>
        <v>12096</v>
      </c>
      <c r="E421" s="3">
        <f>SUM($D$24:D421)</f>
        <v>1562508.0000000002</v>
      </c>
      <c r="F421" s="3">
        <f t="shared" si="50"/>
        <v>26041.800000000003</v>
      </c>
      <c r="G421" s="3">
        <f t="shared" si="50"/>
        <v>434.03000000000003</v>
      </c>
      <c r="H421" s="3">
        <f t="shared" si="51"/>
        <v>18.084583333333335</v>
      </c>
      <c r="I421" s="3">
        <f>IF(ISNA(MATCH(H421,关卡!$E$19:$E$2018,1)),0,MATCH(H421,关卡!$E$19:$E$2018,1))</f>
        <v>1087</v>
      </c>
      <c r="J421" s="3">
        <f>VLOOKUP($I421,关卡!$A$17:$G$2018,6,0)</f>
        <v>197.40753232516491</v>
      </c>
      <c r="K421" s="3">
        <f>VLOOKUP($I421,关卡!$A$17:$G$2018,7,0)</f>
        <v>136.0300659104559</v>
      </c>
      <c r="L421" s="3">
        <f t="shared" si="52"/>
        <v>710667.11637059366</v>
      </c>
      <c r="M421" s="3">
        <f t="shared" si="53"/>
        <v>489708.23727764125</v>
      </c>
      <c r="N421" s="3">
        <f>INT(D421*J421*VLOOKUP(A421,经验产出!$I$7:$J$557,2,0))</f>
        <v>11085222</v>
      </c>
      <c r="O421" s="3">
        <f>SUM($N$24:N420)</f>
        <v>673020184</v>
      </c>
      <c r="P421" s="3">
        <f>K421*VLOOKUP(A421,金币产出!$I$7:$J$557,2,0)</f>
        <v>489.14144533634766</v>
      </c>
    </row>
    <row r="422" spans="1:16" x14ac:dyDescent="0.15">
      <c r="A422" s="3">
        <v>399</v>
      </c>
      <c r="B422" s="3">
        <f t="shared" si="47"/>
        <v>14</v>
      </c>
      <c r="C422" s="3">
        <f t="shared" si="48"/>
        <v>592704</v>
      </c>
      <c r="D422" s="3">
        <f t="shared" si="49"/>
        <v>12096</v>
      </c>
      <c r="E422" s="3">
        <f>SUM($D$24:D422)</f>
        <v>1574604.0000000002</v>
      </c>
      <c r="F422" s="3">
        <f t="shared" si="50"/>
        <v>26243.400000000005</v>
      </c>
      <c r="G422" s="3">
        <f t="shared" si="50"/>
        <v>437.3900000000001</v>
      </c>
      <c r="H422" s="3">
        <f t="shared" si="51"/>
        <v>18.224583333333339</v>
      </c>
      <c r="I422" s="3">
        <f>IF(ISNA(MATCH(H422,关卡!$E$19:$E$2018,1)),0,MATCH(H422,关卡!$E$19:$E$2018,1))</f>
        <v>1091</v>
      </c>
      <c r="J422" s="3">
        <f>VLOOKUP($I422,关卡!$A$17:$G$2018,6,0)</f>
        <v>199.09209483283993</v>
      </c>
      <c r="K422" s="3">
        <f>VLOOKUP($I422,关卡!$A$17:$G$2018,7,0)</f>
        <v>136.94628830633093</v>
      </c>
      <c r="L422" s="3">
        <f t="shared" si="52"/>
        <v>716731.54139822372</v>
      </c>
      <c r="M422" s="3">
        <f t="shared" si="53"/>
        <v>493006.63790279132</v>
      </c>
      <c r="N422" s="3">
        <f>INT(D422*J422*VLOOKUP(A422,经验产出!$I$7:$J$557,2,0))</f>
        <v>11179817</v>
      </c>
      <c r="O422" s="3">
        <f>SUM($N$24:N421)</f>
        <v>684105406</v>
      </c>
      <c r="P422" s="3">
        <f>K422*VLOOKUP(A422,金币产出!$I$7:$J$557,2,0)</f>
        <v>492.43602836818161</v>
      </c>
    </row>
    <row r="423" spans="1:16" x14ac:dyDescent="0.15">
      <c r="A423" s="3">
        <v>400</v>
      </c>
      <c r="B423" s="3">
        <f t="shared" si="47"/>
        <v>14</v>
      </c>
      <c r="C423" s="3">
        <f t="shared" si="48"/>
        <v>604800</v>
      </c>
      <c r="D423" s="3">
        <f t="shared" si="49"/>
        <v>12096</v>
      </c>
      <c r="E423" s="3">
        <f>SUM($D$24:D423)</f>
        <v>1586700.0000000002</v>
      </c>
      <c r="F423" s="3">
        <f t="shared" si="50"/>
        <v>26445.000000000004</v>
      </c>
      <c r="G423" s="3">
        <f t="shared" si="50"/>
        <v>440.75000000000006</v>
      </c>
      <c r="H423" s="3">
        <f t="shared" si="51"/>
        <v>18.364583333333336</v>
      </c>
      <c r="I423" s="3">
        <f>IF(ISNA(MATCH(H423,关卡!$E$19:$E$2018,1)),0,MATCH(H423,关卡!$E$19:$E$2018,1))</f>
        <v>1095</v>
      </c>
      <c r="J423" s="3">
        <f>VLOOKUP($I423,关卡!$A$17:$G$2018,6,0)</f>
        <v>200.78788401871094</v>
      </c>
      <c r="K423" s="3">
        <f>VLOOKUP($I423,关卡!$A$17:$G$2018,7,0)</f>
        <v>137.86703142558594</v>
      </c>
      <c r="L423" s="3">
        <f t="shared" si="52"/>
        <v>722836.38246735942</v>
      </c>
      <c r="M423" s="3">
        <f t="shared" si="53"/>
        <v>496321.31313210935</v>
      </c>
      <c r="N423" s="3">
        <f>INT(D423*J423*VLOOKUP(A423,经验产出!$I$7:$J$557,2,0))</f>
        <v>11275042</v>
      </c>
      <c r="O423" s="3">
        <f>SUM($N$24:N422)</f>
        <v>695285223</v>
      </c>
      <c r="P423" s="3">
        <f>K423*VLOOKUP(A423,金币产出!$I$7:$J$557,2,0)</f>
        <v>495.74686716783606</v>
      </c>
    </row>
    <row r="424" spans="1:16" x14ac:dyDescent="0.15">
      <c r="A424" s="3">
        <v>401</v>
      </c>
      <c r="B424" s="3">
        <f t="shared" si="47"/>
        <v>15</v>
      </c>
      <c r="C424" s="3">
        <f t="shared" si="48"/>
        <v>12096</v>
      </c>
      <c r="D424" s="3">
        <f t="shared" si="49"/>
        <v>12096</v>
      </c>
      <c r="E424" s="3">
        <f>SUM($D$24:D424)</f>
        <v>1598796.0000000002</v>
      </c>
      <c r="F424" s="3">
        <f t="shared" si="50"/>
        <v>26646.600000000002</v>
      </c>
      <c r="G424" s="3">
        <f t="shared" si="50"/>
        <v>444.11</v>
      </c>
      <c r="H424" s="3">
        <f t="shared" si="51"/>
        <v>18.504583333333333</v>
      </c>
      <c r="I424" s="3">
        <f>IF(ISNA(MATCH(H424,关卡!$E$19:$E$2018,1)),0,MATCH(H424,关卡!$E$19:$E$2018,1))</f>
        <v>1099</v>
      </c>
      <c r="J424" s="3">
        <f>VLOOKUP($I424,关卡!$A$17:$G$2018,6,0)</f>
        <v>202.49495614904993</v>
      </c>
      <c r="K424" s="3">
        <f>VLOOKUP($I424,关卡!$A$17:$G$2018,7,0)</f>
        <v>138.79231243638094</v>
      </c>
      <c r="L424" s="3">
        <f t="shared" si="52"/>
        <v>728981.8421365798</v>
      </c>
      <c r="M424" s="3">
        <f t="shared" si="53"/>
        <v>499652.32477097138</v>
      </c>
      <c r="N424" s="3">
        <f>INT(D424*J424*VLOOKUP(A424,经验产出!$I$7:$J$557,2,0))</f>
        <v>11370901</v>
      </c>
      <c r="O424" s="3">
        <f>SUM($N$24:N423)</f>
        <v>706560265</v>
      </c>
      <c r="P424" s="3">
        <f>K424*VLOOKUP(A424,金币产出!$I$7:$J$557,2,0)</f>
        <v>499.07402346915313</v>
      </c>
    </row>
    <row r="425" spans="1:16" x14ac:dyDescent="0.15">
      <c r="A425" s="3">
        <v>402</v>
      </c>
      <c r="B425" s="3">
        <f t="shared" si="47"/>
        <v>15</v>
      </c>
      <c r="C425" s="3">
        <f t="shared" si="48"/>
        <v>24192</v>
      </c>
      <c r="D425" s="3">
        <f t="shared" si="49"/>
        <v>12096</v>
      </c>
      <c r="E425" s="3">
        <f>SUM($D$24:D425)</f>
        <v>1610892.0000000002</v>
      </c>
      <c r="F425" s="3">
        <f t="shared" si="50"/>
        <v>26848.200000000004</v>
      </c>
      <c r="G425" s="3">
        <f t="shared" si="50"/>
        <v>447.47000000000008</v>
      </c>
      <c r="H425" s="3">
        <f t="shared" si="51"/>
        <v>18.644583333333337</v>
      </c>
      <c r="I425" s="3">
        <f>IF(ISNA(MATCH(H425,关卡!$E$19:$E$2018,1)),0,MATCH(H425,关卡!$E$19:$E$2018,1))</f>
        <v>1103</v>
      </c>
      <c r="J425" s="3">
        <f>VLOOKUP($I425,关卡!$A$17:$G$2018,6,0)</f>
        <v>204.21336764334495</v>
      </c>
      <c r="K425" s="3">
        <f>VLOOKUP($I425,关卡!$A$17:$G$2018,7,0)</f>
        <v>139.72214854335593</v>
      </c>
      <c r="L425" s="3">
        <f t="shared" si="52"/>
        <v>735168.12351604179</v>
      </c>
      <c r="M425" s="3">
        <f t="shared" si="53"/>
        <v>502999.73475608131</v>
      </c>
      <c r="N425" s="3">
        <f>INT(D425*J425*VLOOKUP(A425,经验产出!$I$7:$J$557,2,0))</f>
        <v>11467397</v>
      </c>
      <c r="O425" s="3">
        <f>SUM($N$24:N424)</f>
        <v>717931166</v>
      </c>
      <c r="P425" s="3">
        <f>K425*VLOOKUP(A425,金币产出!$I$7:$J$557,2,0)</f>
        <v>502.41755913715065</v>
      </c>
    </row>
    <row r="426" spans="1:16" x14ac:dyDescent="0.15">
      <c r="A426" s="3">
        <v>403</v>
      </c>
      <c r="B426" s="3">
        <f t="shared" si="47"/>
        <v>15</v>
      </c>
      <c r="C426" s="3">
        <f t="shared" si="48"/>
        <v>36288</v>
      </c>
      <c r="D426" s="3">
        <f t="shared" si="49"/>
        <v>12096</v>
      </c>
      <c r="E426" s="3">
        <f>SUM($D$24:D426)</f>
        <v>1622988.0000000002</v>
      </c>
      <c r="F426" s="3">
        <f t="shared" si="50"/>
        <v>27049.800000000003</v>
      </c>
      <c r="G426" s="3">
        <f t="shared" si="50"/>
        <v>450.83000000000004</v>
      </c>
      <c r="H426" s="3">
        <f t="shared" si="51"/>
        <v>18.784583333333334</v>
      </c>
      <c r="I426" s="3">
        <f>IF(ISNA(MATCH(H426,关卡!$E$19:$E$2018,1)),0,MATCH(H426,关卡!$E$19:$E$2018,1))</f>
        <v>1107</v>
      </c>
      <c r="J426" s="3">
        <f>VLOOKUP($I426,关卡!$A$17:$G$2018,6,0)</f>
        <v>205.94317507429994</v>
      </c>
      <c r="K426" s="3">
        <f>VLOOKUP($I426,关卡!$A$17:$G$2018,7,0)</f>
        <v>140.65655698763092</v>
      </c>
      <c r="L426" s="3">
        <f t="shared" si="52"/>
        <v>741395.43026747974</v>
      </c>
      <c r="M426" s="3">
        <f t="shared" si="53"/>
        <v>506363.60515547125</v>
      </c>
      <c r="N426" s="3">
        <f>INT(D426*J426*VLOOKUP(A426,经验产出!$I$7:$J$557,2,0))</f>
        <v>11564533</v>
      </c>
      <c r="O426" s="3">
        <f>SUM($N$24:N425)</f>
        <v>729398563</v>
      </c>
      <c r="P426" s="3">
        <f>K426*VLOOKUP(A426,金币产出!$I$7:$J$557,2,0)</f>
        <v>505.77753616802283</v>
      </c>
    </row>
    <row r="427" spans="1:16" x14ac:dyDescent="0.15">
      <c r="A427" s="3">
        <v>404</v>
      </c>
      <c r="B427" s="3">
        <f t="shared" si="47"/>
        <v>15</v>
      </c>
      <c r="C427" s="3">
        <f t="shared" si="48"/>
        <v>48384</v>
      </c>
      <c r="D427" s="3">
        <f t="shared" si="49"/>
        <v>12096</v>
      </c>
      <c r="E427" s="3">
        <f>SUM($D$24:D427)</f>
        <v>1635084.0000000002</v>
      </c>
      <c r="F427" s="3">
        <f t="shared" si="50"/>
        <v>27251.400000000005</v>
      </c>
      <c r="G427" s="3">
        <f t="shared" si="50"/>
        <v>454.19000000000011</v>
      </c>
      <c r="H427" s="3">
        <f t="shared" si="51"/>
        <v>18.924583333333338</v>
      </c>
      <c r="I427" s="3">
        <f>IF(ISNA(MATCH(H427,关卡!$E$19:$E$2018,1)),0,MATCH(H427,关卡!$E$19:$E$2018,1))</f>
        <v>1111</v>
      </c>
      <c r="J427" s="3">
        <f>VLOOKUP($I427,关卡!$A$17:$G$2018,6,0)</f>
        <v>207.68443516783495</v>
      </c>
      <c r="K427" s="3">
        <f>VLOOKUP($I427,关卡!$A$17:$G$2018,7,0)</f>
        <v>141.59555504680594</v>
      </c>
      <c r="L427" s="3">
        <f t="shared" si="52"/>
        <v>747663.96660420578</v>
      </c>
      <c r="M427" s="3">
        <f t="shared" si="53"/>
        <v>509743.99816850136</v>
      </c>
      <c r="N427" s="3">
        <f>INT(D427*J427*VLOOKUP(A427,经验产出!$I$7:$J$557,2,0))</f>
        <v>11662311</v>
      </c>
      <c r="O427" s="3">
        <f>SUM($N$24:N426)</f>
        <v>740963096</v>
      </c>
      <c r="P427" s="3">
        <f>K427*VLOOKUP(A427,金币产出!$I$7:$J$557,2,0)</f>
        <v>509.15401668913967</v>
      </c>
    </row>
    <row r="428" spans="1:16" x14ac:dyDescent="0.15">
      <c r="A428" s="3">
        <v>405</v>
      </c>
      <c r="B428" s="3">
        <f t="shared" si="47"/>
        <v>15</v>
      </c>
      <c r="C428" s="3">
        <f t="shared" si="48"/>
        <v>60480</v>
      </c>
      <c r="D428" s="3">
        <f t="shared" si="49"/>
        <v>12096</v>
      </c>
      <c r="E428" s="3">
        <f>SUM($D$24:D428)</f>
        <v>1647180.0000000002</v>
      </c>
      <c r="F428" s="3">
        <f t="shared" si="50"/>
        <v>27453.000000000004</v>
      </c>
      <c r="G428" s="3">
        <f t="shared" si="50"/>
        <v>457.55000000000007</v>
      </c>
      <c r="H428" s="3">
        <f t="shared" si="51"/>
        <v>19.064583333333335</v>
      </c>
      <c r="I428" s="3">
        <f>IF(ISNA(MATCH(H428,关卡!$E$19:$E$2018,1)),0,MATCH(H428,关卡!$E$19:$E$2018,1))</f>
        <v>1115</v>
      </c>
      <c r="J428" s="3">
        <f>VLOOKUP($I428,关卡!$A$17:$G$2018,6,0)</f>
        <v>209.43720480308593</v>
      </c>
      <c r="K428" s="3">
        <f>VLOOKUP($I428,关卡!$A$17:$G$2018,7,0)</f>
        <v>142.53916003496093</v>
      </c>
      <c r="L428" s="3">
        <f t="shared" si="52"/>
        <v>753973.93729110935</v>
      </c>
      <c r="M428" s="3">
        <f t="shared" si="53"/>
        <v>513140.97612585936</v>
      </c>
      <c r="N428" s="3">
        <f>INT(D428*J428*VLOOKUP(A428,经验产出!$I$7:$J$557,2,0))</f>
        <v>11760736</v>
      </c>
      <c r="O428" s="3">
        <f>SUM($N$24:N427)</f>
        <v>752625407</v>
      </c>
      <c r="P428" s="3">
        <f>K428*VLOOKUP(A428,金币产出!$I$7:$J$557,2,0)</f>
        <v>512.54706295904703</v>
      </c>
    </row>
    <row r="429" spans="1:16" x14ac:dyDescent="0.15">
      <c r="A429" s="3">
        <v>406</v>
      </c>
      <c r="B429" s="3">
        <f t="shared" si="47"/>
        <v>15</v>
      </c>
      <c r="C429" s="3">
        <f t="shared" si="48"/>
        <v>72576</v>
      </c>
      <c r="D429" s="3">
        <f t="shared" si="49"/>
        <v>12096</v>
      </c>
      <c r="E429" s="3">
        <f>SUM($D$24:D429)</f>
        <v>1659276.0000000002</v>
      </c>
      <c r="F429" s="3">
        <f t="shared" si="50"/>
        <v>27654.600000000002</v>
      </c>
      <c r="G429" s="3">
        <f t="shared" si="50"/>
        <v>460.91</v>
      </c>
      <c r="H429" s="3">
        <f t="shared" si="51"/>
        <v>19.204583333333336</v>
      </c>
      <c r="I429" s="3">
        <f>IF(ISNA(MATCH(H429,关卡!$E$19:$E$2018,1)),0,MATCH(H429,关卡!$E$19:$E$2018,1))</f>
        <v>1119</v>
      </c>
      <c r="J429" s="3">
        <f>VLOOKUP($I429,关卡!$A$17:$G$2018,6,0)</f>
        <v>211.20154101240496</v>
      </c>
      <c r="K429" s="3">
        <f>VLOOKUP($I429,关卡!$A$17:$G$2018,7,0)</f>
        <v>143.48738930265594</v>
      </c>
      <c r="L429" s="3">
        <f t="shared" si="52"/>
        <v>760325.5476446579</v>
      </c>
      <c r="M429" s="3">
        <f t="shared" si="53"/>
        <v>516554.60148956138</v>
      </c>
      <c r="N429" s="3">
        <f>INT(D429*J429*VLOOKUP(A429,经验产出!$I$7:$J$557,2,0))</f>
        <v>11859811</v>
      </c>
      <c r="O429" s="3">
        <f>SUM($N$24:N428)</f>
        <v>764386143</v>
      </c>
      <c r="P429" s="3">
        <f>K429*VLOOKUP(A429,金币产出!$I$7:$J$557,2,0)</f>
        <v>515.95673736746699</v>
      </c>
    </row>
    <row r="430" spans="1:16" x14ac:dyDescent="0.15">
      <c r="A430" s="3">
        <v>407</v>
      </c>
      <c r="B430" s="3">
        <f t="shared" si="47"/>
        <v>15</v>
      </c>
      <c r="C430" s="3">
        <f t="shared" si="48"/>
        <v>84672.000000000015</v>
      </c>
      <c r="D430" s="3">
        <f t="shared" si="49"/>
        <v>12096.000000000015</v>
      </c>
      <c r="E430" s="3">
        <f>SUM($D$24:D430)</f>
        <v>1671372.0000000002</v>
      </c>
      <c r="F430" s="3">
        <f t="shared" si="50"/>
        <v>27856.200000000004</v>
      </c>
      <c r="G430" s="3">
        <f t="shared" si="50"/>
        <v>464.2700000000001</v>
      </c>
      <c r="H430" s="3">
        <f t="shared" si="51"/>
        <v>19.344583333333336</v>
      </c>
      <c r="I430" s="3">
        <f>IF(ISNA(MATCH(H430,关卡!$E$19:$E$2018,1)),0,MATCH(H430,关卡!$E$19:$E$2018,1))</f>
        <v>1123</v>
      </c>
      <c r="J430" s="3">
        <f>VLOOKUP($I430,关卡!$A$17:$G$2018,6,0)</f>
        <v>212.97750098135992</v>
      </c>
      <c r="K430" s="3">
        <f>VLOOKUP($I430,关卡!$A$17:$G$2018,7,0)</f>
        <v>144.4402602369309</v>
      </c>
      <c r="L430" s="3">
        <f t="shared" si="52"/>
        <v>766719.00353289582</v>
      </c>
      <c r="M430" s="3">
        <f t="shared" si="53"/>
        <v>519984.93685295118</v>
      </c>
      <c r="N430" s="3">
        <f>INT(D430*J430*VLOOKUP(A430,经验产出!$I$7:$J$557,2,0))</f>
        <v>11959538</v>
      </c>
      <c r="O430" s="3">
        <f>SUM($N$24:N429)</f>
        <v>776245954</v>
      </c>
      <c r="P430" s="3">
        <f>K430*VLOOKUP(A430,金币产出!$I$7:$J$557,2,0)</f>
        <v>519.38310243529736</v>
      </c>
    </row>
    <row r="431" spans="1:16" x14ac:dyDescent="0.15">
      <c r="A431" s="3">
        <v>408</v>
      </c>
      <c r="B431" s="3">
        <f t="shared" si="47"/>
        <v>15</v>
      </c>
      <c r="C431" s="3">
        <f t="shared" si="48"/>
        <v>96768</v>
      </c>
      <c r="D431" s="3">
        <f t="shared" si="49"/>
        <v>12095.999999999985</v>
      </c>
      <c r="E431" s="3">
        <f>SUM($D$24:D431)</f>
        <v>1683468.0000000002</v>
      </c>
      <c r="F431" s="3">
        <f t="shared" si="50"/>
        <v>28057.800000000003</v>
      </c>
      <c r="G431" s="3">
        <f t="shared" si="50"/>
        <v>467.63000000000005</v>
      </c>
      <c r="H431" s="3">
        <f t="shared" si="51"/>
        <v>19.484583333333337</v>
      </c>
      <c r="I431" s="3">
        <f>IF(ISNA(MATCH(H431,关卡!$E$19:$E$2018,1)),0,MATCH(H431,关卡!$E$19:$E$2018,1))</f>
        <v>1127</v>
      </c>
      <c r="J431" s="3">
        <f>VLOOKUP($I431,关卡!$A$17:$G$2018,6,0)</f>
        <v>214.76514204873496</v>
      </c>
      <c r="K431" s="3">
        <f>VLOOKUP($I431,关卡!$A$17:$G$2018,7,0)</f>
        <v>145.39779026130594</v>
      </c>
      <c r="L431" s="3">
        <f t="shared" si="52"/>
        <v>773154.51137544587</v>
      </c>
      <c r="M431" s="3">
        <f t="shared" si="53"/>
        <v>523432.04494070139</v>
      </c>
      <c r="N431" s="3">
        <f>INT(D431*J431*VLOOKUP(A431,经验产出!$I$7:$J$557,2,0))</f>
        <v>12059921</v>
      </c>
      <c r="O431" s="3">
        <f>SUM($N$24:N430)</f>
        <v>788205492</v>
      </c>
      <c r="P431" s="3">
        <f>K431*VLOOKUP(A431,金币产出!$I$7:$J$557,2,0)</f>
        <v>522.82622081461261</v>
      </c>
    </row>
    <row r="432" spans="1:16" x14ac:dyDescent="0.15">
      <c r="A432" s="3">
        <v>409</v>
      </c>
      <c r="B432" s="3">
        <f t="shared" si="47"/>
        <v>15</v>
      </c>
      <c r="C432" s="3">
        <f t="shared" si="48"/>
        <v>108864</v>
      </c>
      <c r="D432" s="3">
        <f t="shared" si="49"/>
        <v>12096</v>
      </c>
      <c r="E432" s="3">
        <f>SUM($D$24:D432)</f>
        <v>1695564.0000000002</v>
      </c>
      <c r="F432" s="3">
        <f t="shared" si="50"/>
        <v>28259.400000000005</v>
      </c>
      <c r="G432" s="3">
        <f t="shared" si="50"/>
        <v>470.99000000000007</v>
      </c>
      <c r="H432" s="3">
        <f t="shared" si="51"/>
        <v>19.624583333333337</v>
      </c>
      <c r="I432" s="3">
        <f>IF(ISNA(MATCH(H432,关卡!$E$19:$E$2018,1)),0,MATCH(H432,关卡!$E$19:$E$2018,1))</f>
        <v>1130</v>
      </c>
      <c r="J432" s="3">
        <f>VLOOKUP($I432,关卡!$A$17:$G$2018,6,0)</f>
        <v>216.11357314937493</v>
      </c>
      <c r="K432" s="3">
        <f>VLOOKUP($I432,关卡!$A$17:$G$2018,7,0)</f>
        <v>146.11900580937498</v>
      </c>
      <c r="L432" s="3">
        <f t="shared" si="52"/>
        <v>778008.86333774973</v>
      </c>
      <c r="M432" s="3">
        <f t="shared" si="53"/>
        <v>526028.42091374996</v>
      </c>
      <c r="N432" s="3">
        <f>INT(D432*J432*VLOOKUP(A432,经验产出!$I$7:$J$557,2,0))</f>
        <v>12135641</v>
      </c>
      <c r="O432" s="3">
        <f>SUM($N$24:N431)</f>
        <v>800265413</v>
      </c>
      <c r="P432" s="3">
        <f>K432*VLOOKUP(A432,金币产出!$I$7:$J$557,2,0)</f>
        <v>525.4195917228775</v>
      </c>
    </row>
    <row r="433" spans="1:16" x14ac:dyDescent="0.15">
      <c r="A433" s="3">
        <v>410</v>
      </c>
      <c r="B433" s="3">
        <f t="shared" si="47"/>
        <v>15</v>
      </c>
      <c r="C433" s="3">
        <f t="shared" si="48"/>
        <v>120960</v>
      </c>
      <c r="D433" s="3">
        <f t="shared" si="49"/>
        <v>12096</v>
      </c>
      <c r="E433" s="3">
        <f>SUM($D$24:D433)</f>
        <v>1707660.0000000002</v>
      </c>
      <c r="F433" s="3">
        <f t="shared" si="50"/>
        <v>28461.000000000004</v>
      </c>
      <c r="G433" s="3">
        <f t="shared" si="50"/>
        <v>474.35000000000008</v>
      </c>
      <c r="H433" s="3">
        <f t="shared" si="51"/>
        <v>19.764583333333338</v>
      </c>
      <c r="I433" s="3">
        <f>IF(ISNA(MATCH(H433,关卡!$E$19:$E$2018,1)),0,MATCH(H433,关卡!$E$19:$E$2018,1))</f>
        <v>1134</v>
      </c>
      <c r="J433" s="3">
        <f>VLOOKUP($I433,关卡!$A$17:$G$2018,6,0)</f>
        <v>217.92179457127898</v>
      </c>
      <c r="K433" s="3">
        <f>VLOOKUP($I433,关卡!$A$17:$G$2018,7,0)</f>
        <v>147.08473127649498</v>
      </c>
      <c r="L433" s="3">
        <f t="shared" si="52"/>
        <v>784518.46045660437</v>
      </c>
      <c r="M433" s="3">
        <f t="shared" si="53"/>
        <v>529505.03259538196</v>
      </c>
      <c r="N433" s="3">
        <f>INT(D433*J433*VLOOKUP(A433,经验产出!$I$7:$J$557,2,0))</f>
        <v>12237180</v>
      </c>
      <c r="O433" s="3">
        <f>SUM($N$24:N432)</f>
        <v>812401054</v>
      </c>
      <c r="P433" s="3">
        <f>K433*VLOOKUP(A433,金币产出!$I$7:$J$557,2,0)</f>
        <v>528.89217954839648</v>
      </c>
    </row>
    <row r="434" spans="1:16" x14ac:dyDescent="0.15">
      <c r="A434" s="3">
        <v>411</v>
      </c>
      <c r="B434" s="3">
        <f t="shared" si="47"/>
        <v>15</v>
      </c>
      <c r="C434" s="3">
        <f t="shared" si="48"/>
        <v>133056</v>
      </c>
      <c r="D434" s="3">
        <f t="shared" si="49"/>
        <v>12096</v>
      </c>
      <c r="E434" s="3">
        <f>SUM($D$24:D434)</f>
        <v>1719756.0000000002</v>
      </c>
      <c r="F434" s="3">
        <f t="shared" si="50"/>
        <v>28662.600000000002</v>
      </c>
      <c r="G434" s="3">
        <f t="shared" si="50"/>
        <v>477.71000000000004</v>
      </c>
      <c r="H434" s="3">
        <f t="shared" si="51"/>
        <v>19.904583333333335</v>
      </c>
      <c r="I434" s="3">
        <f>IF(ISNA(MATCH(H434,关卡!$E$19:$E$2018,1)),0,MATCH(H434,关卡!$E$19:$E$2018,1))</f>
        <v>1138</v>
      </c>
      <c r="J434" s="3">
        <f>VLOOKUP($I434,关卡!$A$17:$G$2018,6,0)</f>
        <v>219.74185556327896</v>
      </c>
      <c r="K434" s="3">
        <f>VLOOKUP($I434,关卡!$A$17:$G$2018,7,0)</f>
        <v>148.05516393649498</v>
      </c>
      <c r="L434" s="3">
        <f t="shared" si="52"/>
        <v>791070.68002780422</v>
      </c>
      <c r="M434" s="3">
        <f t="shared" si="53"/>
        <v>532998.59017138195</v>
      </c>
      <c r="N434" s="3">
        <f>INT(D434*J434*VLOOKUP(A434,经验产出!$I$7:$J$557,2,0))</f>
        <v>12339384</v>
      </c>
      <c r="O434" s="3">
        <f>SUM($N$24:N433)</f>
        <v>824638234</v>
      </c>
      <c r="P434" s="3">
        <f>K434*VLOOKUP(A434,金币产出!$I$7:$J$557,2,0)</f>
        <v>532.38169365497981</v>
      </c>
    </row>
    <row r="435" spans="1:16" x14ac:dyDescent="0.15">
      <c r="A435" s="3">
        <v>412</v>
      </c>
      <c r="B435" s="3">
        <f t="shared" si="47"/>
        <v>15</v>
      </c>
      <c r="C435" s="3">
        <f t="shared" si="48"/>
        <v>145152</v>
      </c>
      <c r="D435" s="3">
        <f t="shared" si="49"/>
        <v>12096</v>
      </c>
      <c r="E435" s="3">
        <f>SUM($D$24:D435)</f>
        <v>1731852.0000000002</v>
      </c>
      <c r="F435" s="3">
        <f t="shared" si="50"/>
        <v>28864.200000000004</v>
      </c>
      <c r="G435" s="3">
        <f t="shared" si="50"/>
        <v>481.07000000000005</v>
      </c>
      <c r="H435" s="3">
        <f t="shared" si="51"/>
        <v>20.044583333333335</v>
      </c>
      <c r="I435" s="3">
        <f>IF(ISNA(MATCH(H435,关卡!$E$19:$E$2018,1)),0,MATCH(H435,关卡!$E$19:$E$2018,1))</f>
        <v>1142</v>
      </c>
      <c r="J435" s="3">
        <f>VLOOKUP($I435,关卡!$A$17:$G$2018,6,0)</f>
        <v>221.57381403871898</v>
      </c>
      <c r="K435" s="3">
        <f>VLOOKUP($I435,关卡!$A$17:$G$2018,7,0)</f>
        <v>149.03032134969496</v>
      </c>
      <c r="L435" s="3">
        <f t="shared" si="52"/>
        <v>797665.73053938837</v>
      </c>
      <c r="M435" s="3">
        <f t="shared" si="53"/>
        <v>536509.15685890184</v>
      </c>
      <c r="N435" s="3">
        <f>INT(D435*J435*VLOOKUP(A435,经验产出!$I$7:$J$557,2,0))</f>
        <v>12442255</v>
      </c>
      <c r="O435" s="3">
        <f>SUM($N$24:N434)</f>
        <v>836977618</v>
      </c>
      <c r="P435" s="3">
        <f>K435*VLOOKUP(A435,金币产出!$I$7:$J$557,2,0)</f>
        <v>535.88819718661148</v>
      </c>
    </row>
    <row r="436" spans="1:16" x14ac:dyDescent="0.15">
      <c r="A436" s="3">
        <v>413</v>
      </c>
      <c r="B436" s="3">
        <f t="shared" si="47"/>
        <v>15</v>
      </c>
      <c r="C436" s="3">
        <f t="shared" si="48"/>
        <v>157248</v>
      </c>
      <c r="D436" s="3">
        <f t="shared" si="49"/>
        <v>12096</v>
      </c>
      <c r="E436" s="3">
        <f>SUM($D$24:D436)</f>
        <v>1743948.0000000002</v>
      </c>
      <c r="F436" s="3">
        <f t="shared" si="50"/>
        <v>29065.800000000003</v>
      </c>
      <c r="G436" s="3">
        <f t="shared" si="50"/>
        <v>484.43000000000006</v>
      </c>
      <c r="H436" s="3">
        <f t="shared" si="51"/>
        <v>20.184583333333336</v>
      </c>
      <c r="I436" s="3">
        <f>IF(ISNA(MATCH(H436,关卡!$E$19:$E$2018,1)),0,MATCH(H436,关卡!$E$19:$E$2018,1))</f>
        <v>1146</v>
      </c>
      <c r="J436" s="3">
        <f>VLOOKUP($I436,关卡!$A$17:$G$2018,6,0)</f>
        <v>223.41772806415898</v>
      </c>
      <c r="K436" s="3">
        <f>VLOOKUP($I436,关卡!$A$17:$G$2018,7,0)</f>
        <v>150.01022111289498</v>
      </c>
      <c r="L436" s="3">
        <f t="shared" si="52"/>
        <v>804303.82103097241</v>
      </c>
      <c r="M436" s="3">
        <f t="shared" si="53"/>
        <v>540036.79600642191</v>
      </c>
      <c r="N436" s="3">
        <f>INT(D436*J436*VLOOKUP(A436,经验产出!$I$7:$J$557,2,0))</f>
        <v>12545799</v>
      </c>
      <c r="O436" s="3">
        <f>SUM($N$24:N435)</f>
        <v>849419873</v>
      </c>
      <c r="P436" s="3">
        <f>K436*VLOOKUP(A436,金币产出!$I$7:$J$557,2,0)</f>
        <v>539.41175341845155</v>
      </c>
    </row>
    <row r="437" spans="1:16" x14ac:dyDescent="0.15">
      <c r="A437" s="3">
        <v>414</v>
      </c>
      <c r="B437" s="3">
        <f t="shared" si="47"/>
        <v>15</v>
      </c>
      <c r="C437" s="3">
        <f t="shared" si="48"/>
        <v>169344.00000000003</v>
      </c>
      <c r="D437" s="3">
        <f t="shared" si="49"/>
        <v>12096.000000000029</v>
      </c>
      <c r="E437" s="3">
        <f>SUM($D$24:D437)</f>
        <v>1756044.0000000002</v>
      </c>
      <c r="F437" s="3">
        <f t="shared" si="50"/>
        <v>29267.400000000005</v>
      </c>
      <c r="G437" s="3">
        <f t="shared" si="50"/>
        <v>487.79000000000008</v>
      </c>
      <c r="H437" s="3">
        <f t="shared" si="51"/>
        <v>20.324583333333337</v>
      </c>
      <c r="I437" s="3">
        <f>IF(ISNA(MATCH(H437,关卡!$E$19:$E$2018,1)),0,MATCH(H437,关卡!$E$19:$E$2018,1))</f>
        <v>1150</v>
      </c>
      <c r="J437" s="3">
        <f>VLOOKUP($I437,关卡!$A$17:$G$2018,6,0)</f>
        <v>225.27365585937494</v>
      </c>
      <c r="K437" s="3">
        <f>VLOOKUP($I437,关卡!$A$17:$G$2018,7,0)</f>
        <v>150.99488085937494</v>
      </c>
      <c r="L437" s="3">
        <f t="shared" si="52"/>
        <v>810985.16109374969</v>
      </c>
      <c r="M437" s="3">
        <f t="shared" si="53"/>
        <v>543581.57109374984</v>
      </c>
      <c r="N437" s="3">
        <f>INT(D437*J437*VLOOKUP(A437,经验产出!$I$7:$J$557,2,0))</f>
        <v>12650016</v>
      </c>
      <c r="O437" s="3">
        <f>SUM($N$24:N436)</f>
        <v>861965672</v>
      </c>
      <c r="P437" s="3">
        <f>K437*VLOOKUP(A437,金币产出!$I$7:$J$557,2,0)</f>
        <v>542.95242575683574</v>
      </c>
    </row>
    <row r="438" spans="1:16" x14ac:dyDescent="0.15">
      <c r="A438" s="3">
        <v>415</v>
      </c>
      <c r="B438" s="3">
        <f t="shared" si="47"/>
        <v>15</v>
      </c>
      <c r="C438" s="3">
        <f t="shared" si="48"/>
        <v>181440</v>
      </c>
      <c r="D438" s="3">
        <f t="shared" si="49"/>
        <v>12095.999999999971</v>
      </c>
      <c r="E438" s="3">
        <f>SUM($D$24:D438)</f>
        <v>1768140.0000000002</v>
      </c>
      <c r="F438" s="3">
        <f t="shared" si="50"/>
        <v>29469.000000000004</v>
      </c>
      <c r="G438" s="3">
        <f t="shared" si="50"/>
        <v>491.15000000000003</v>
      </c>
      <c r="H438" s="3">
        <f t="shared" si="51"/>
        <v>20.464583333333334</v>
      </c>
      <c r="I438" s="3">
        <f>IF(ISNA(MATCH(H438,关卡!$E$19:$E$2018,1)),0,MATCH(H438,关卡!$E$19:$E$2018,1))</f>
        <v>1153</v>
      </c>
      <c r="J438" s="3">
        <f>VLOOKUP($I438,关卡!$A$17:$G$2018,6,0)</f>
        <v>226.67352085144492</v>
      </c>
      <c r="K438" s="3">
        <f>VLOOKUP($I438,关卡!$A$17:$G$2018,7,0)</f>
        <v>151.73651003635592</v>
      </c>
      <c r="L438" s="3">
        <f t="shared" si="52"/>
        <v>816024.67506520171</v>
      </c>
      <c r="M438" s="3">
        <f t="shared" si="53"/>
        <v>546251.43613088131</v>
      </c>
      <c r="N438" s="3">
        <f>INT(D438*J438*VLOOKUP(A438,经验产出!$I$7:$J$557,2,0))</f>
        <v>12728624</v>
      </c>
      <c r="O438" s="3">
        <f>SUM($N$24:N437)</f>
        <v>874615688</v>
      </c>
      <c r="P438" s="3">
        <f>K438*VLOOKUP(A438,金币产出!$I$7:$J$557,2,0)</f>
        <v>545.61920067239646</v>
      </c>
    </row>
    <row r="439" spans="1:16" x14ac:dyDescent="0.15">
      <c r="A439" s="3">
        <v>416</v>
      </c>
      <c r="B439" s="3">
        <f t="shared" si="47"/>
        <v>15</v>
      </c>
      <c r="C439" s="3">
        <f t="shared" si="48"/>
        <v>193536</v>
      </c>
      <c r="D439" s="3">
        <f t="shared" si="49"/>
        <v>12096</v>
      </c>
      <c r="E439" s="3">
        <f>SUM($D$24:D439)</f>
        <v>1780236.0000000002</v>
      </c>
      <c r="F439" s="3">
        <f t="shared" si="50"/>
        <v>29670.600000000002</v>
      </c>
      <c r="G439" s="3">
        <f t="shared" si="50"/>
        <v>494.51000000000005</v>
      </c>
      <c r="H439" s="3">
        <f t="shared" si="51"/>
        <v>20.604583333333334</v>
      </c>
      <c r="I439" s="3">
        <f>IF(ISNA(MATCH(H439,关卡!$E$19:$E$2018,1)),0,MATCH(H439,关卡!$E$19:$E$2018,1))</f>
        <v>1157</v>
      </c>
      <c r="J439" s="3">
        <f>VLOOKUP($I439,关卡!$A$17:$G$2018,6,0)</f>
        <v>228.55061329594994</v>
      </c>
      <c r="K439" s="3">
        <f>VLOOKUP($I439,关卡!$A$17:$G$2018,7,0)</f>
        <v>152.72954229338092</v>
      </c>
      <c r="L439" s="3">
        <f t="shared" si="52"/>
        <v>822782.2078654198</v>
      </c>
      <c r="M439" s="3">
        <f t="shared" si="53"/>
        <v>549826.35225617129</v>
      </c>
      <c r="N439" s="3">
        <f>INT(D439*J439*VLOOKUP(A439,经验产出!$I$7:$J$557,2,0))</f>
        <v>12834031</v>
      </c>
      <c r="O439" s="3">
        <f>SUM($N$24:N438)</f>
        <v>887344312</v>
      </c>
      <c r="P439" s="3">
        <f>K439*VLOOKUP(A439,金币产出!$I$7:$J$557,2,0)</f>
        <v>549.18997916328215</v>
      </c>
    </row>
    <row r="440" spans="1:16" x14ac:dyDescent="0.15">
      <c r="A440" s="3">
        <v>417</v>
      </c>
      <c r="B440" s="3">
        <f t="shared" si="47"/>
        <v>15</v>
      </c>
      <c r="C440" s="3">
        <f t="shared" si="48"/>
        <v>205632.00000000003</v>
      </c>
      <c r="D440" s="3">
        <f t="shared" si="49"/>
        <v>12096.000000000029</v>
      </c>
      <c r="E440" s="3">
        <f>SUM($D$24:D440)</f>
        <v>1792332.0000000002</v>
      </c>
      <c r="F440" s="3">
        <f t="shared" si="50"/>
        <v>29872.200000000004</v>
      </c>
      <c r="G440" s="3">
        <f t="shared" si="50"/>
        <v>497.87000000000006</v>
      </c>
      <c r="H440" s="3">
        <f t="shared" si="51"/>
        <v>20.744583333333335</v>
      </c>
      <c r="I440" s="3">
        <f>IF(ISNA(MATCH(H440,关卡!$E$19:$E$2018,1)),0,MATCH(H440,关卡!$E$19:$E$2018,1))</f>
        <v>1161</v>
      </c>
      <c r="J440" s="3">
        <f>VLOOKUP($I440,关卡!$A$17:$G$2018,6,0)</f>
        <v>230.43988040463498</v>
      </c>
      <c r="K440" s="3">
        <f>VLOOKUP($I440,关卡!$A$17:$G$2018,7,0)</f>
        <v>153.72738321330596</v>
      </c>
      <c r="L440" s="3">
        <f t="shared" si="52"/>
        <v>829583.56945668592</v>
      </c>
      <c r="M440" s="3">
        <f t="shared" si="53"/>
        <v>553418.57956790144</v>
      </c>
      <c r="N440" s="3">
        <f>INT(D440*J440*VLOOKUP(A440,经验产出!$I$7:$J$557,2,0))</f>
        <v>12940121</v>
      </c>
      <c r="O440" s="3">
        <f>SUM($N$24:N439)</f>
        <v>900178343</v>
      </c>
      <c r="P440" s="3">
        <f>K440*VLOOKUP(A440,金币产出!$I$7:$J$557,2,0)</f>
        <v>552.77804880451265</v>
      </c>
    </row>
    <row r="441" spans="1:16" x14ac:dyDescent="0.15">
      <c r="A441" s="3">
        <v>418</v>
      </c>
      <c r="B441" s="3">
        <f t="shared" si="47"/>
        <v>15</v>
      </c>
      <c r="C441" s="3">
        <f t="shared" si="48"/>
        <v>217728</v>
      </c>
      <c r="D441" s="3">
        <f t="shared" si="49"/>
        <v>12095.999999999971</v>
      </c>
      <c r="E441" s="3">
        <f>SUM($D$24:D441)</f>
        <v>1804428.0000000002</v>
      </c>
      <c r="F441" s="3">
        <f t="shared" si="50"/>
        <v>30073.800000000003</v>
      </c>
      <c r="G441" s="3">
        <f t="shared" si="50"/>
        <v>501.23000000000008</v>
      </c>
      <c r="H441" s="3">
        <f t="shared" si="51"/>
        <v>20.884583333333335</v>
      </c>
      <c r="I441" s="3">
        <f>IF(ISNA(MATCH(H441,关卡!$E$19:$E$2018,1)),0,MATCH(H441,关卡!$E$19:$E$2018,1))</f>
        <v>1165</v>
      </c>
      <c r="J441" s="3">
        <f>VLOOKUP($I441,关卡!$A$17:$G$2018,6,0)</f>
        <v>232.34138097183597</v>
      </c>
      <c r="K441" s="3">
        <f>VLOOKUP($I441,关卡!$A$17:$G$2018,7,0)</f>
        <v>154.73005056621091</v>
      </c>
      <c r="L441" s="3">
        <f t="shared" si="52"/>
        <v>836428.97149860952</v>
      </c>
      <c r="M441" s="3">
        <f t="shared" si="53"/>
        <v>557028.18203835923</v>
      </c>
      <c r="N441" s="3">
        <f>INT(D441*J441*VLOOKUP(A441,经验产出!$I$7:$J$557,2,0))</f>
        <v>13046897</v>
      </c>
      <c r="O441" s="3">
        <f>SUM($N$24:N440)</f>
        <v>913118464</v>
      </c>
      <c r="P441" s="3">
        <f>K441*VLOOKUP(A441,金币产出!$I$7:$J$557,2,0)</f>
        <v>556.38347349433332</v>
      </c>
    </row>
    <row r="442" spans="1:16" x14ac:dyDescent="0.15">
      <c r="A442" s="3">
        <v>419</v>
      </c>
      <c r="B442" s="3">
        <f t="shared" si="47"/>
        <v>15</v>
      </c>
      <c r="C442" s="3">
        <f t="shared" si="48"/>
        <v>229824</v>
      </c>
      <c r="D442" s="3">
        <f t="shared" si="49"/>
        <v>12096</v>
      </c>
      <c r="E442" s="3">
        <f>SUM($D$24:D442)</f>
        <v>1816524.0000000002</v>
      </c>
      <c r="F442" s="3">
        <f t="shared" si="50"/>
        <v>30275.400000000005</v>
      </c>
      <c r="G442" s="3">
        <f t="shared" si="50"/>
        <v>504.59000000000009</v>
      </c>
      <c r="H442" s="3">
        <f t="shared" si="51"/>
        <v>21.024583333333336</v>
      </c>
      <c r="I442" s="3">
        <f>IF(ISNA(MATCH(H442,关卡!$E$19:$E$2018,1)),0,MATCH(H442,关卡!$E$19:$E$2018,1))</f>
        <v>1169</v>
      </c>
      <c r="J442" s="3">
        <f>VLOOKUP($I442,关卡!$A$17:$G$2018,6,0)</f>
        <v>234.25517394510499</v>
      </c>
      <c r="K442" s="3">
        <f>VLOOKUP($I442,关卡!$A$17:$G$2018,7,0)</f>
        <v>155.73756215865595</v>
      </c>
      <c r="L442" s="3">
        <f t="shared" si="52"/>
        <v>843318.62620237796</v>
      </c>
      <c r="M442" s="3">
        <f t="shared" si="53"/>
        <v>560655.2237711614</v>
      </c>
      <c r="N442" s="3">
        <f>INT(D442*J442*VLOOKUP(A442,经验产出!$I$7:$J$557,2,0))</f>
        <v>13154365</v>
      </c>
      <c r="O442" s="3">
        <f>SUM($N$24:N441)</f>
        <v>926165361</v>
      </c>
      <c r="P442" s="3">
        <f>K442*VLOOKUP(A442,金币产出!$I$7:$J$557,2,0)</f>
        <v>560.00631726216704</v>
      </c>
    </row>
    <row r="443" spans="1:16" x14ac:dyDescent="0.15">
      <c r="A443" s="3">
        <v>420</v>
      </c>
      <c r="B443" s="3">
        <f t="shared" si="47"/>
        <v>15</v>
      </c>
      <c r="C443" s="3">
        <f t="shared" si="48"/>
        <v>241920</v>
      </c>
      <c r="D443" s="3">
        <f t="shared" si="49"/>
        <v>12096</v>
      </c>
      <c r="E443" s="3">
        <f>SUM($D$24:D443)</f>
        <v>1828620.0000000002</v>
      </c>
      <c r="F443" s="3">
        <f t="shared" si="50"/>
        <v>30477.000000000004</v>
      </c>
      <c r="G443" s="3">
        <f t="shared" si="50"/>
        <v>507.95000000000005</v>
      </c>
      <c r="H443" s="3">
        <f t="shared" si="51"/>
        <v>21.164583333333336</v>
      </c>
      <c r="I443" s="3">
        <f>IF(ISNA(MATCH(H443,关卡!$E$19:$E$2018,1)),0,MATCH(H443,关卡!$E$19:$E$2018,1))</f>
        <v>1172</v>
      </c>
      <c r="J443" s="3">
        <f>VLOOKUP($I443,关卡!$A$17:$G$2018,6,0)</f>
        <v>235.69862111358398</v>
      </c>
      <c r="K443" s="3">
        <f>VLOOKUP($I443,关卡!$A$17:$G$2018,7,0)</f>
        <v>156.49638561751999</v>
      </c>
      <c r="L443" s="3">
        <f t="shared" si="52"/>
        <v>848515.03600890236</v>
      </c>
      <c r="M443" s="3">
        <f t="shared" si="53"/>
        <v>563386.98822307191</v>
      </c>
      <c r="N443" s="3">
        <f>INT(D443*J443*VLOOKUP(A443,经验产出!$I$7:$J$557,2,0))</f>
        <v>13235420</v>
      </c>
      <c r="O443" s="3">
        <f>SUM($N$24:N442)</f>
        <v>939319726</v>
      </c>
      <c r="P443" s="3">
        <f>K443*VLOOKUP(A443,金币产出!$I$7:$J$557,2,0)</f>
        <v>562.7349199496656</v>
      </c>
    </row>
    <row r="444" spans="1:16" x14ac:dyDescent="0.15">
      <c r="A444" s="3">
        <v>421</v>
      </c>
      <c r="B444" s="3">
        <f t="shared" si="47"/>
        <v>15</v>
      </c>
      <c r="C444" s="3">
        <f t="shared" si="48"/>
        <v>254016</v>
      </c>
      <c r="D444" s="3">
        <f t="shared" si="49"/>
        <v>12096</v>
      </c>
      <c r="E444" s="3">
        <f>SUM($D$24:D444)</f>
        <v>1840716.0000000002</v>
      </c>
      <c r="F444" s="3">
        <f t="shared" si="50"/>
        <v>30678.600000000002</v>
      </c>
      <c r="G444" s="3">
        <f t="shared" si="50"/>
        <v>511.31000000000006</v>
      </c>
      <c r="H444" s="3">
        <f t="shared" si="51"/>
        <v>21.304583333333337</v>
      </c>
      <c r="I444" s="3">
        <f>IF(ISNA(MATCH(H444,关卡!$E$19:$E$2018,1)),0,MATCH(H444,关卡!$E$19:$E$2018,1))</f>
        <v>1176</v>
      </c>
      <c r="J444" s="3">
        <f>VLOOKUP($I444,关卡!$A$17:$G$2018,6,0)</f>
        <v>237.634068100864</v>
      </c>
      <c r="K444" s="3">
        <f>VLOOKUP($I444,关卡!$A$17:$G$2018,7,0)</f>
        <v>157.51241758591993</v>
      </c>
      <c r="L444" s="3">
        <f t="shared" si="52"/>
        <v>855482.64516311034</v>
      </c>
      <c r="M444" s="3">
        <f t="shared" si="53"/>
        <v>567044.70330931176</v>
      </c>
      <c r="N444" s="3">
        <f>INT(D444*J444*VLOOKUP(A444,经验产出!$I$7:$J$557,2,0))</f>
        <v>13344103</v>
      </c>
      <c r="O444" s="3">
        <f>SUM($N$24:N443)</f>
        <v>952555146</v>
      </c>
      <c r="P444" s="3">
        <f>K444*VLOOKUP(A444,金币产出!$I$7:$J$557,2,0)</f>
        <v>566.38840156937044</v>
      </c>
    </row>
    <row r="445" spans="1:16" x14ac:dyDescent="0.15">
      <c r="A445" s="3">
        <v>422</v>
      </c>
      <c r="B445" s="3">
        <f t="shared" si="47"/>
        <v>15</v>
      </c>
      <c r="C445" s="3">
        <f t="shared" si="48"/>
        <v>266112</v>
      </c>
      <c r="D445" s="3">
        <f t="shared" si="49"/>
        <v>12096</v>
      </c>
      <c r="E445" s="3">
        <f>SUM($D$24:D445)</f>
        <v>1852812.0000000002</v>
      </c>
      <c r="F445" s="3">
        <f t="shared" si="50"/>
        <v>30880.200000000004</v>
      </c>
      <c r="G445" s="3">
        <f t="shared" si="50"/>
        <v>514.67000000000007</v>
      </c>
      <c r="H445" s="3">
        <f t="shared" si="51"/>
        <v>21.444583333333338</v>
      </c>
      <c r="I445" s="3">
        <f>IF(ISNA(MATCH(H445,关卡!$E$19:$E$2018,1)),0,MATCH(H445,关卡!$E$19:$E$2018,1))</f>
        <v>1180</v>
      </c>
      <c r="J445" s="3">
        <f>VLOOKUP($I445,关卡!$A$17:$G$2018,6,0)</f>
        <v>239.58197039000001</v>
      </c>
      <c r="K445" s="3">
        <f>VLOOKUP($I445,关卡!$A$17:$G$2018,7,0)</f>
        <v>158.53334294999999</v>
      </c>
      <c r="L445" s="3">
        <f t="shared" si="52"/>
        <v>862495.09340400004</v>
      </c>
      <c r="M445" s="3">
        <f t="shared" si="53"/>
        <v>570720.03461999993</v>
      </c>
      <c r="N445" s="3">
        <f>INT(D445*J445*VLOOKUP(A445,经验产出!$I$7:$J$557,2,0))</f>
        <v>13453485</v>
      </c>
      <c r="O445" s="3">
        <f>SUM($N$24:N444)</f>
        <v>965899249</v>
      </c>
      <c r="P445" s="3">
        <f>K445*VLOOKUP(A445,金币产出!$I$7:$J$557,2,0)</f>
        <v>570.05947902437492</v>
      </c>
    </row>
    <row r="446" spans="1:16" x14ac:dyDescent="0.15">
      <c r="A446" s="3">
        <v>423</v>
      </c>
      <c r="B446" s="3">
        <f t="shared" si="47"/>
        <v>15</v>
      </c>
      <c r="C446" s="3">
        <f t="shared" si="48"/>
        <v>278208</v>
      </c>
      <c r="D446" s="3">
        <f t="shared" si="49"/>
        <v>12096</v>
      </c>
      <c r="E446" s="3">
        <f>SUM($D$24:D446)</f>
        <v>1864908.0000000002</v>
      </c>
      <c r="F446" s="3">
        <f t="shared" si="50"/>
        <v>31081.800000000003</v>
      </c>
      <c r="G446" s="3">
        <f t="shared" si="50"/>
        <v>518.03000000000009</v>
      </c>
      <c r="H446" s="3">
        <f t="shared" si="51"/>
        <v>21.584583333333338</v>
      </c>
      <c r="I446" s="3">
        <f>IF(ISNA(MATCH(H446,关卡!$E$19:$E$2018,1)),0,MATCH(H446,关卡!$E$19:$E$2018,1))</f>
        <v>1183</v>
      </c>
      <c r="J446" s="3">
        <f>VLOOKUP($I446,关卡!$A$17:$G$2018,6,0)</f>
        <v>241.05110669920498</v>
      </c>
      <c r="K446" s="3">
        <f>VLOOKUP($I446,关卡!$A$17:$G$2018,7,0)</f>
        <v>159.30225905665597</v>
      </c>
      <c r="L446" s="3">
        <f t="shared" si="52"/>
        <v>867783.98411713797</v>
      </c>
      <c r="M446" s="3">
        <f t="shared" si="53"/>
        <v>573488.13260396151</v>
      </c>
      <c r="N446" s="3">
        <f>INT(D446*J446*VLOOKUP(A446,经验产出!$I$7:$J$557,2,0))</f>
        <v>13535983</v>
      </c>
      <c r="O446" s="3">
        <f>SUM($N$24:N445)</f>
        <v>979352734</v>
      </c>
      <c r="P446" s="3">
        <f>K446*VLOOKUP(A446,金币产出!$I$7:$J$557,2,0)</f>
        <v>572.82437319122539</v>
      </c>
    </row>
    <row r="447" spans="1:16" x14ac:dyDescent="0.15">
      <c r="A447" s="3">
        <v>424</v>
      </c>
      <c r="B447" s="3">
        <f t="shared" si="47"/>
        <v>15</v>
      </c>
      <c r="C447" s="3">
        <f t="shared" si="48"/>
        <v>290304</v>
      </c>
      <c r="D447" s="3">
        <f t="shared" si="49"/>
        <v>12096</v>
      </c>
      <c r="E447" s="3">
        <f>SUM($D$24:D447)</f>
        <v>1877004.0000000002</v>
      </c>
      <c r="F447" s="3">
        <f t="shared" si="50"/>
        <v>31283.400000000005</v>
      </c>
      <c r="G447" s="3">
        <f t="shared" si="50"/>
        <v>521.3900000000001</v>
      </c>
      <c r="H447" s="3">
        <f t="shared" si="51"/>
        <v>21.724583333333339</v>
      </c>
      <c r="I447" s="3">
        <f>IF(ISNA(MATCH(H447,关卡!$E$19:$E$2018,1)),0,MATCH(H447,关卡!$E$19:$E$2018,1))</f>
        <v>1187</v>
      </c>
      <c r="J447" s="3">
        <f>VLOOKUP($I447,关卡!$A$17:$G$2018,6,0)</f>
        <v>243.02094908383995</v>
      </c>
      <c r="K447" s="3">
        <f>VLOOKUP($I447,关卡!$A$17:$G$2018,7,0)</f>
        <v>160.33179106133093</v>
      </c>
      <c r="L447" s="3">
        <f t="shared" si="52"/>
        <v>874875.41670182382</v>
      </c>
      <c r="M447" s="3">
        <f t="shared" si="53"/>
        <v>577194.44782079139</v>
      </c>
      <c r="N447" s="3">
        <f>INT(D447*J447*VLOOKUP(A447,经验产出!$I$7:$J$557,2,0))</f>
        <v>13646598</v>
      </c>
      <c r="O447" s="3">
        <f>SUM($N$24:N446)</f>
        <v>992888717</v>
      </c>
      <c r="P447" s="3">
        <f>K447*VLOOKUP(A447,金币产出!$I$7:$J$557,2,0)</f>
        <v>576.52639869136908</v>
      </c>
    </row>
    <row r="448" spans="1:16" x14ac:dyDescent="0.15">
      <c r="A448" s="3">
        <v>425</v>
      </c>
      <c r="B448" s="3">
        <f t="shared" si="47"/>
        <v>15</v>
      </c>
      <c r="C448" s="3">
        <f t="shared" si="48"/>
        <v>302400</v>
      </c>
      <c r="D448" s="3">
        <f t="shared" si="49"/>
        <v>12096</v>
      </c>
      <c r="E448" s="3">
        <f>SUM($D$24:D448)</f>
        <v>1889100.0000000002</v>
      </c>
      <c r="F448" s="3">
        <f t="shared" si="50"/>
        <v>31485.000000000004</v>
      </c>
      <c r="G448" s="3">
        <f t="shared" si="50"/>
        <v>524.75000000000011</v>
      </c>
      <c r="H448" s="3">
        <f t="shared" si="51"/>
        <v>21.864583333333339</v>
      </c>
      <c r="I448" s="3">
        <f>IF(ISNA(MATCH(H448,关卡!$E$19:$E$2018,1)),0,MATCH(H448,关卡!$E$19:$E$2018,1))</f>
        <v>1191</v>
      </c>
      <c r="J448" s="3">
        <f>VLOOKUP($I448,关卡!$A$17:$G$2018,6,0)</f>
        <v>245.00341082481498</v>
      </c>
      <c r="K448" s="3">
        <f>VLOOKUP($I448,关卡!$A$17:$G$2018,7,0)</f>
        <v>161.36626589370596</v>
      </c>
      <c r="L448" s="3">
        <f t="shared" si="52"/>
        <v>882012.27896933386</v>
      </c>
      <c r="M448" s="3">
        <f t="shared" si="53"/>
        <v>580918.55721734138</v>
      </c>
      <c r="N448" s="3">
        <f>INT(D448*J448*VLOOKUP(A448,经验产出!$I$7:$J$557,2,0))</f>
        <v>13757921</v>
      </c>
      <c r="O448" s="3">
        <f>SUM($N$24:N447)</f>
        <v>1006535315</v>
      </c>
      <c r="P448" s="3">
        <f>K448*VLOOKUP(A448,金币产出!$I$7:$J$557,2,0)</f>
        <v>580.2461977761177</v>
      </c>
    </row>
    <row r="449" spans="1:16" x14ac:dyDescent="0.15">
      <c r="A449" s="3">
        <v>426</v>
      </c>
      <c r="B449" s="3">
        <f t="shared" si="47"/>
        <v>15</v>
      </c>
      <c r="C449" s="3">
        <f t="shared" si="48"/>
        <v>314496</v>
      </c>
      <c r="D449" s="3">
        <f t="shared" si="49"/>
        <v>12096</v>
      </c>
      <c r="E449" s="3">
        <f>SUM($D$24:D449)</f>
        <v>1901196.0000000002</v>
      </c>
      <c r="F449" s="3">
        <f t="shared" si="50"/>
        <v>31686.600000000002</v>
      </c>
      <c r="G449" s="3">
        <f t="shared" si="50"/>
        <v>528.11</v>
      </c>
      <c r="H449" s="3">
        <f t="shared" si="51"/>
        <v>22.004583333333333</v>
      </c>
      <c r="I449" s="3">
        <f>IF(ISNA(MATCH(H449,关卡!$E$19:$E$2018,1)),0,MATCH(H449,关卡!$E$19:$E$2018,1))</f>
        <v>1194</v>
      </c>
      <c r="J449" s="3">
        <f>VLOOKUP($I449,关卡!$A$17:$G$2018,6,0)</f>
        <v>246.49857463711896</v>
      </c>
      <c r="K449" s="3">
        <f>VLOOKUP($I449,关卡!$A$17:$G$2018,7,0)</f>
        <v>162.14537660169498</v>
      </c>
      <c r="L449" s="3">
        <f t="shared" si="52"/>
        <v>887394.86869362823</v>
      </c>
      <c r="M449" s="3">
        <f t="shared" si="53"/>
        <v>583723.35576610197</v>
      </c>
      <c r="N449" s="3">
        <f>INT(D449*J449*VLOOKUP(A449,经验产出!$I$7:$J$557,2,0))</f>
        <v>13841880</v>
      </c>
      <c r="O449" s="3">
        <f>SUM($N$24:N448)</f>
        <v>1020293236</v>
      </c>
      <c r="P449" s="3">
        <f>K449*VLOOKUP(A449,金币产出!$I$7:$J$557,2,0)</f>
        <v>583.04775003026145</v>
      </c>
    </row>
    <row r="450" spans="1:16" x14ac:dyDescent="0.15">
      <c r="A450" s="3">
        <v>427</v>
      </c>
      <c r="B450" s="3">
        <f t="shared" si="47"/>
        <v>15</v>
      </c>
      <c r="C450" s="3">
        <f t="shared" si="48"/>
        <v>326592</v>
      </c>
      <c r="D450" s="3">
        <f t="shared" si="49"/>
        <v>12096</v>
      </c>
      <c r="E450" s="3">
        <f>SUM($D$24:D450)</f>
        <v>1913292.0000000002</v>
      </c>
      <c r="F450" s="3">
        <f t="shared" si="50"/>
        <v>31888.200000000004</v>
      </c>
      <c r="G450" s="3">
        <f t="shared" si="50"/>
        <v>531.47</v>
      </c>
      <c r="H450" s="3">
        <f t="shared" si="51"/>
        <v>22.144583333333333</v>
      </c>
      <c r="I450" s="3">
        <f>IF(ISNA(MATCH(H450,关卡!$E$19:$E$2018,1)),0,MATCH(H450,关卡!$E$19:$E$2018,1))</f>
        <v>1198</v>
      </c>
      <c r="J450" s="3">
        <f>VLOOKUP($I450,关卡!$A$17:$G$2018,6,0)</f>
        <v>248.50326458279901</v>
      </c>
      <c r="K450" s="3">
        <f>VLOOKUP($I450,关卡!$A$17:$G$2018,7,0)</f>
        <v>163.188544822095</v>
      </c>
      <c r="L450" s="3">
        <f t="shared" si="52"/>
        <v>894611.75249807641</v>
      </c>
      <c r="M450" s="3">
        <f t="shared" si="53"/>
        <v>587478.76135954191</v>
      </c>
      <c r="N450" s="3">
        <f>INT(D450*J450*VLOOKUP(A450,经验产出!$I$7:$J$557,2,0))</f>
        <v>13954452</v>
      </c>
      <c r="O450" s="3">
        <f>SUM($N$24:N449)</f>
        <v>1034135116</v>
      </c>
      <c r="P450" s="3">
        <f>K450*VLOOKUP(A450,金币产出!$I$7:$J$557,2,0)</f>
        <v>586.79880908944995</v>
      </c>
    </row>
    <row r="451" spans="1:16" x14ac:dyDescent="0.15">
      <c r="A451" s="3">
        <v>428</v>
      </c>
      <c r="B451" s="3">
        <f t="shared" si="47"/>
        <v>15</v>
      </c>
      <c r="C451" s="3">
        <f t="shared" si="48"/>
        <v>338688.00000000006</v>
      </c>
      <c r="D451" s="3">
        <f t="shared" si="49"/>
        <v>12096.000000000058</v>
      </c>
      <c r="E451" s="3">
        <f>SUM($D$24:D451)</f>
        <v>1925388.0000000002</v>
      </c>
      <c r="F451" s="3">
        <f t="shared" si="50"/>
        <v>32089.800000000003</v>
      </c>
      <c r="G451" s="3">
        <f t="shared" si="50"/>
        <v>534.83000000000004</v>
      </c>
      <c r="H451" s="3">
        <f t="shared" si="51"/>
        <v>22.284583333333334</v>
      </c>
      <c r="I451" s="3">
        <f>IF(ISNA(MATCH(H451,关卡!$E$19:$E$2018,1)),0,MATCH(H451,关卡!$E$19:$E$2018,1))</f>
        <v>1201</v>
      </c>
      <c r="J451" s="3">
        <f>VLOOKUP($I451,关卡!$A$17:$G$2018,6,0)</f>
        <v>250.01516861722507</v>
      </c>
      <c r="K451" s="3">
        <f>VLOOKUP($I451,关卡!$A$17:$G$2018,7,0)</f>
        <v>163.97419634725597</v>
      </c>
      <c r="L451" s="3">
        <f t="shared" si="52"/>
        <v>900054.60702201026</v>
      </c>
      <c r="M451" s="3">
        <f t="shared" si="53"/>
        <v>590307.1068501214</v>
      </c>
      <c r="N451" s="3">
        <f>INT(D451*J451*VLOOKUP(A451,经验产出!$I$7:$J$557,2,0))</f>
        <v>14039351</v>
      </c>
      <c r="O451" s="3">
        <f>SUM($N$24:N450)</f>
        <v>1048089568</v>
      </c>
      <c r="P451" s="3">
        <f>K451*VLOOKUP(A451,金币产出!$I$7:$J$557,2,0)</f>
        <v>589.62388103200794</v>
      </c>
    </row>
    <row r="452" spans="1:16" x14ac:dyDescent="0.15">
      <c r="A452" s="3">
        <v>429</v>
      </c>
      <c r="B452" s="3">
        <f t="shared" si="47"/>
        <v>15</v>
      </c>
      <c r="C452" s="3">
        <f t="shared" si="48"/>
        <v>350784</v>
      </c>
      <c r="D452" s="3">
        <f t="shared" si="49"/>
        <v>12095.999999999942</v>
      </c>
      <c r="E452" s="3">
        <f>SUM($D$24:D452)</f>
        <v>1937484.0000000002</v>
      </c>
      <c r="F452" s="3">
        <f t="shared" si="50"/>
        <v>32291.400000000005</v>
      </c>
      <c r="G452" s="3">
        <f t="shared" si="50"/>
        <v>538.19000000000005</v>
      </c>
      <c r="H452" s="3">
        <f t="shared" si="51"/>
        <v>22.424583333333334</v>
      </c>
      <c r="I452" s="3">
        <f>IF(ISNA(MATCH(H452,关卡!$E$19:$E$2018,1)),0,MATCH(H452,关卡!$E$19:$E$2018,1))</f>
        <v>1204</v>
      </c>
      <c r="J452" s="3">
        <f>VLOOKUP($I452,关卡!$A$17:$G$2018,6,0)</f>
        <v>251.53428942718398</v>
      </c>
      <c r="K452" s="3">
        <f>VLOOKUP($I452,关卡!$A$17:$G$2018,7,0)</f>
        <v>164.76266382551995</v>
      </c>
      <c r="L452" s="3">
        <f t="shared" si="52"/>
        <v>905523.44193786231</v>
      </c>
      <c r="M452" s="3">
        <f t="shared" si="53"/>
        <v>593145.5897718718</v>
      </c>
      <c r="N452" s="3">
        <f>INT(D452*J452*VLOOKUP(A452,经验产出!$I$7:$J$557,2,0))</f>
        <v>14124656</v>
      </c>
      <c r="O452" s="3">
        <f>SUM($N$24:N451)</f>
        <v>1062128919</v>
      </c>
      <c r="P452" s="3">
        <f>K452*VLOOKUP(A452,金币产出!$I$7:$J$557,2,0)</f>
        <v>592.45907867259882</v>
      </c>
    </row>
    <row r="453" spans="1:16" x14ac:dyDescent="0.15">
      <c r="A453" s="3">
        <v>430</v>
      </c>
      <c r="B453" s="3">
        <f t="shared" si="47"/>
        <v>15</v>
      </c>
      <c r="C453" s="3">
        <f t="shared" si="48"/>
        <v>362880</v>
      </c>
      <c r="D453" s="3">
        <f t="shared" si="49"/>
        <v>12096</v>
      </c>
      <c r="E453" s="3">
        <f>SUM($D$24:D453)</f>
        <v>1949580.0000000002</v>
      </c>
      <c r="F453" s="3">
        <f t="shared" si="50"/>
        <v>32493.000000000004</v>
      </c>
      <c r="G453" s="3">
        <f t="shared" si="50"/>
        <v>541.55000000000007</v>
      </c>
      <c r="H453" s="3">
        <f t="shared" si="51"/>
        <v>22.564583333333335</v>
      </c>
      <c r="I453" s="3">
        <f>IF(ISNA(MATCH(H453,关卡!$E$19:$E$2018,1)),0,MATCH(H453,关卡!$E$19:$E$2018,1))</f>
        <v>1208</v>
      </c>
      <c r="J453" s="3">
        <f>VLOOKUP($I453,关卡!$A$17:$G$2018,6,0)</f>
        <v>253.57105402854395</v>
      </c>
      <c r="K453" s="3">
        <f>VLOOKUP($I453,关卡!$A$17:$G$2018,7,0)</f>
        <v>165.81834741631999</v>
      </c>
      <c r="L453" s="3">
        <f t="shared" si="52"/>
        <v>912855.79450275819</v>
      </c>
      <c r="M453" s="3">
        <f t="shared" si="53"/>
        <v>596946.05069875193</v>
      </c>
      <c r="N453" s="3">
        <f>INT(D453*J453*VLOOKUP(A453,经验产出!$I$7:$J$557,2,0))</f>
        <v>14239028</v>
      </c>
      <c r="O453" s="3">
        <f>SUM($N$24:N452)</f>
        <v>1076253575</v>
      </c>
      <c r="P453" s="3">
        <f>K453*VLOOKUP(A453,金币产出!$I$7:$J$557,2,0)</f>
        <v>596.25514091785067</v>
      </c>
    </row>
    <row r="454" spans="1:16" x14ac:dyDescent="0.15">
      <c r="A454" s="3">
        <v>431</v>
      </c>
      <c r="B454" s="3">
        <f t="shared" si="47"/>
        <v>15</v>
      </c>
      <c r="C454" s="3">
        <f t="shared" si="48"/>
        <v>374976</v>
      </c>
      <c r="D454" s="3">
        <f t="shared" si="49"/>
        <v>12096</v>
      </c>
      <c r="E454" s="3">
        <f>SUM($D$24:D454)</f>
        <v>1961676.0000000002</v>
      </c>
      <c r="F454" s="3">
        <f t="shared" si="50"/>
        <v>32694.600000000002</v>
      </c>
      <c r="G454" s="3">
        <f t="shared" si="50"/>
        <v>544.91000000000008</v>
      </c>
      <c r="H454" s="3">
        <f t="shared" si="51"/>
        <v>22.704583333333336</v>
      </c>
      <c r="I454" s="3">
        <f>IF(ISNA(MATCH(H454,关卡!$E$19:$E$2018,1)),0,MATCH(H454,关卡!$E$19:$E$2018,1))</f>
        <v>1211</v>
      </c>
      <c r="J454" s="3">
        <f>VLOOKUP($I454,关卡!$A$17:$G$2018,6,0)</f>
        <v>255.10711325830999</v>
      </c>
      <c r="K454" s="3">
        <f>VLOOKUP($I454,关卡!$A$17:$G$2018,7,0)</f>
        <v>166.61341527668094</v>
      </c>
      <c r="L454" s="3">
        <f t="shared" si="52"/>
        <v>918385.607729916</v>
      </c>
      <c r="M454" s="3">
        <f t="shared" si="53"/>
        <v>599808.29499605135</v>
      </c>
      <c r="N454" s="3">
        <f>INT(D454*J454*VLOOKUP(A454,经验产出!$I$7:$J$557,2,0))</f>
        <v>14325284</v>
      </c>
      <c r="O454" s="3">
        <f>SUM($N$24:N453)</f>
        <v>1090492603</v>
      </c>
      <c r="P454" s="3">
        <f>K454*VLOOKUP(A454,金币产出!$I$7:$J$557,2,0)</f>
        <v>599.11407243239853</v>
      </c>
    </row>
    <row r="455" spans="1:16" x14ac:dyDescent="0.15">
      <c r="A455" s="3">
        <v>432</v>
      </c>
      <c r="B455" s="3">
        <f t="shared" si="47"/>
        <v>15</v>
      </c>
      <c r="C455" s="3">
        <f t="shared" si="48"/>
        <v>387072</v>
      </c>
      <c r="D455" s="3">
        <f t="shared" si="49"/>
        <v>12096</v>
      </c>
      <c r="E455" s="3">
        <f>SUM($D$24:D455)</f>
        <v>1973772.0000000002</v>
      </c>
      <c r="F455" s="3">
        <f t="shared" si="50"/>
        <v>32896.200000000004</v>
      </c>
      <c r="G455" s="3">
        <f t="shared" si="50"/>
        <v>548.2700000000001</v>
      </c>
      <c r="H455" s="3">
        <f t="shared" si="51"/>
        <v>22.844583333333336</v>
      </c>
      <c r="I455" s="3">
        <f>IF(ISNA(MATCH(H455,关卡!$E$19:$E$2018,1)),0,MATCH(H455,关卡!$E$19:$E$2018,1))</f>
        <v>1214</v>
      </c>
      <c r="J455" s="3">
        <f>VLOOKUP($I455,关卡!$A$17:$G$2018,6,0)</f>
        <v>256.65047447479901</v>
      </c>
      <c r="K455" s="3">
        <f>VLOOKUP($I455,关卡!$A$17:$G$2018,7,0)</f>
        <v>167.411324682095</v>
      </c>
      <c r="L455" s="3">
        <f t="shared" si="52"/>
        <v>923941.70810927649</v>
      </c>
      <c r="M455" s="3">
        <f t="shared" si="53"/>
        <v>602680.76885554206</v>
      </c>
      <c r="N455" s="3">
        <f>INT(D455*J455*VLOOKUP(A455,经验产出!$I$7:$J$557,2,0))</f>
        <v>14411950</v>
      </c>
      <c r="O455" s="3">
        <f>SUM($N$24:N454)</f>
        <v>1104817887</v>
      </c>
      <c r="P455" s="3">
        <f>K455*VLOOKUP(A455,金币产出!$I$7:$J$557,2,0)</f>
        <v>601.98322166936657</v>
      </c>
    </row>
    <row r="456" spans="1:16" x14ac:dyDescent="0.15">
      <c r="A456" s="3">
        <v>433</v>
      </c>
      <c r="B456" s="3">
        <f t="shared" si="47"/>
        <v>15</v>
      </c>
      <c r="C456" s="3">
        <f t="shared" si="48"/>
        <v>399168</v>
      </c>
      <c r="D456" s="3">
        <f t="shared" si="49"/>
        <v>12096</v>
      </c>
      <c r="E456" s="3">
        <f>SUM($D$24:D456)</f>
        <v>1985868.0000000002</v>
      </c>
      <c r="F456" s="3">
        <f t="shared" si="50"/>
        <v>33097.800000000003</v>
      </c>
      <c r="G456" s="3">
        <f t="shared" si="50"/>
        <v>551.63</v>
      </c>
      <c r="H456" s="3">
        <f t="shared" si="51"/>
        <v>22.984583333333333</v>
      </c>
      <c r="I456" s="3">
        <f>IF(ISNA(MATCH(H456,关卡!$E$19:$E$2018,1)),0,MATCH(H456,关卡!$E$19:$E$2018,1))</f>
        <v>1217</v>
      </c>
      <c r="J456" s="3">
        <f>VLOOKUP($I456,关卡!$A$17:$G$2018,6,0)</f>
        <v>258.201163346405</v>
      </c>
      <c r="K456" s="3">
        <f>VLOOKUP($I456,关卡!$A$17:$G$2018,7,0)</f>
        <v>168.21208333515594</v>
      </c>
      <c r="L456" s="3">
        <f t="shared" si="52"/>
        <v>929524.18804705807</v>
      </c>
      <c r="M456" s="3">
        <f t="shared" si="53"/>
        <v>605563.5000065614</v>
      </c>
      <c r="N456" s="3">
        <f>INT(D456*J456*VLOOKUP(A456,经验产出!$I$7:$J$557,2,0))</f>
        <v>14499028</v>
      </c>
      <c r="O456" s="3">
        <f>SUM($N$24:N455)</f>
        <v>1119229837</v>
      </c>
      <c r="P456" s="3">
        <f>K456*VLOOKUP(A456,金币产出!$I$7:$J$557,2,0)</f>
        <v>604.86261632599826</v>
      </c>
    </row>
    <row r="457" spans="1:16" x14ac:dyDescent="0.15">
      <c r="A457" s="3">
        <v>434</v>
      </c>
      <c r="B457" s="3">
        <f t="shared" si="47"/>
        <v>15</v>
      </c>
      <c r="C457" s="3">
        <f t="shared" si="48"/>
        <v>411264.00000000006</v>
      </c>
      <c r="D457" s="3">
        <f t="shared" si="49"/>
        <v>12096.000000000058</v>
      </c>
      <c r="E457" s="3">
        <f>SUM($D$24:D457)</f>
        <v>1997964.0000000002</v>
      </c>
      <c r="F457" s="3">
        <f t="shared" si="50"/>
        <v>33299.4</v>
      </c>
      <c r="G457" s="3">
        <f t="shared" si="50"/>
        <v>554.99</v>
      </c>
      <c r="H457" s="3">
        <f t="shared" si="51"/>
        <v>23.124583333333334</v>
      </c>
      <c r="I457" s="3">
        <f>IF(ISNA(MATCH(H457,关卡!$E$19:$E$2018,1)),0,MATCH(H457,关卡!$E$19:$E$2018,1))</f>
        <v>1220</v>
      </c>
      <c r="J457" s="3">
        <f>VLOOKUP($I457,关卡!$A$17:$G$2018,6,0)</f>
        <v>259.75920558999997</v>
      </c>
      <c r="K457" s="3">
        <f>VLOOKUP($I457,关卡!$A$17:$G$2018,7,0)</f>
        <v>169.01569895</v>
      </c>
      <c r="L457" s="3">
        <f t="shared" si="52"/>
        <v>935133.14012399991</v>
      </c>
      <c r="M457" s="3">
        <f t="shared" si="53"/>
        <v>608456.51621999999</v>
      </c>
      <c r="N457" s="3">
        <f>INT(D457*J457*VLOOKUP(A457,经验产出!$I$7:$J$557,2,0))</f>
        <v>14586518</v>
      </c>
      <c r="O457" s="3">
        <f>SUM($N$24:N456)</f>
        <v>1133728865</v>
      </c>
      <c r="P457" s="3">
        <f>K457*VLOOKUP(A457,金币产出!$I$7:$J$557,2,0)</f>
        <v>607.75228414104163</v>
      </c>
    </row>
    <row r="458" spans="1:16" x14ac:dyDescent="0.15">
      <c r="A458" s="3">
        <v>435</v>
      </c>
      <c r="B458" s="3">
        <f t="shared" si="47"/>
        <v>15</v>
      </c>
      <c r="C458" s="3">
        <f t="shared" si="48"/>
        <v>423360</v>
      </c>
      <c r="D458" s="3">
        <f t="shared" si="49"/>
        <v>12095.999999999942</v>
      </c>
      <c r="E458" s="3">
        <f>SUM($D$24:D458)</f>
        <v>2010060.0000000002</v>
      </c>
      <c r="F458" s="3">
        <f t="shared" si="50"/>
        <v>33501.000000000007</v>
      </c>
      <c r="G458" s="3">
        <f t="shared" si="50"/>
        <v>558.35000000000014</v>
      </c>
      <c r="H458" s="3">
        <f t="shared" si="51"/>
        <v>23.264583333333338</v>
      </c>
      <c r="I458" s="3">
        <f>IF(ISNA(MATCH(H458,关卡!$E$19:$E$2018,1)),0,MATCH(H458,关卡!$E$19:$E$2018,1))</f>
        <v>1223</v>
      </c>
      <c r="J458" s="3">
        <f>VLOOKUP($I458,关卡!$A$17:$G$2018,6,0)</f>
        <v>261.32462697093501</v>
      </c>
      <c r="K458" s="3">
        <f>VLOOKUP($I458,关卡!$A$17:$G$2018,7,0)</f>
        <v>169.82217925230597</v>
      </c>
      <c r="L458" s="3">
        <f t="shared" si="52"/>
        <v>940768.65709536604</v>
      </c>
      <c r="M458" s="3">
        <f t="shared" si="53"/>
        <v>611359.8453083015</v>
      </c>
      <c r="N458" s="3">
        <f>INT(D458*J458*VLOOKUP(A458,经验产出!$I$7:$J$557,2,0))</f>
        <v>14674423</v>
      </c>
      <c r="O458" s="3">
        <f>SUM($N$24:N457)</f>
        <v>1148315383</v>
      </c>
      <c r="P458" s="3">
        <f>K458*VLOOKUP(A458,金币产出!$I$7:$J$557,2,0)</f>
        <v>610.65225289475018</v>
      </c>
    </row>
    <row r="459" spans="1:16" x14ac:dyDescent="0.15">
      <c r="A459" s="3">
        <v>436</v>
      </c>
      <c r="B459" s="3">
        <f t="shared" si="47"/>
        <v>15</v>
      </c>
      <c r="C459" s="3">
        <f t="shared" si="48"/>
        <v>435456</v>
      </c>
      <c r="D459" s="3">
        <f t="shared" si="49"/>
        <v>12096</v>
      </c>
      <c r="E459" s="3">
        <f>SUM($D$24:D459)</f>
        <v>2022156.0000000002</v>
      </c>
      <c r="F459" s="3">
        <f t="shared" si="50"/>
        <v>33702.600000000006</v>
      </c>
      <c r="G459" s="3">
        <f t="shared" si="50"/>
        <v>561.71000000000015</v>
      </c>
      <c r="H459" s="3">
        <f t="shared" si="51"/>
        <v>23.404583333333338</v>
      </c>
      <c r="I459" s="3">
        <f>IF(ISNA(MATCH(H459,关卡!$E$19:$E$2018,1)),0,MATCH(H459,关卡!$E$19:$E$2018,1))</f>
        <v>1226</v>
      </c>
      <c r="J459" s="3">
        <f>VLOOKUP($I459,关卡!$A$17:$G$2018,6,0)</f>
        <v>262.89745330303896</v>
      </c>
      <c r="K459" s="3">
        <f>VLOOKUP($I459,关卡!$A$17:$G$2018,7,0)</f>
        <v>170.63153197929498</v>
      </c>
      <c r="L459" s="3">
        <f t="shared" si="52"/>
        <v>946430.8318909402</v>
      </c>
      <c r="M459" s="3">
        <f t="shared" si="53"/>
        <v>614273.51512546197</v>
      </c>
      <c r="N459" s="3">
        <f>INT(D459*J459*VLOOKUP(A459,经验产出!$I$7:$J$557,2,0))</f>
        <v>14762743</v>
      </c>
      <c r="O459" s="3">
        <f>SUM($N$24:N458)</f>
        <v>1162989806</v>
      </c>
      <c r="P459" s="3">
        <f>K459*VLOOKUP(A459,金币产出!$I$7:$J$557,2,0)</f>
        <v>613.56255040888152</v>
      </c>
    </row>
    <row r="460" spans="1:16" x14ac:dyDescent="0.15">
      <c r="A460" s="3">
        <v>437</v>
      </c>
      <c r="B460" s="3">
        <f t="shared" si="47"/>
        <v>15</v>
      </c>
      <c r="C460" s="3">
        <f t="shared" si="48"/>
        <v>447552</v>
      </c>
      <c r="D460" s="3">
        <f t="shared" si="49"/>
        <v>12096</v>
      </c>
      <c r="E460" s="3">
        <f>SUM($D$24:D460)</f>
        <v>2034252.0000000002</v>
      </c>
      <c r="F460" s="3">
        <f t="shared" si="50"/>
        <v>33904.200000000004</v>
      </c>
      <c r="G460" s="3">
        <f t="shared" si="50"/>
        <v>565.07000000000005</v>
      </c>
      <c r="H460" s="3">
        <f t="shared" si="51"/>
        <v>23.544583333333335</v>
      </c>
      <c r="I460" s="3">
        <f>IF(ISNA(MATCH(H460,关卡!$E$19:$E$2018,1)),0,MATCH(H460,关卡!$E$19:$E$2018,1))</f>
        <v>1229</v>
      </c>
      <c r="J460" s="3">
        <f>VLOOKUP($I460,关卡!$A$17:$G$2018,6,0)</f>
        <v>264.47771044862003</v>
      </c>
      <c r="K460" s="3">
        <f>VLOOKUP($I460,关卡!$A$17:$G$2018,7,0)</f>
        <v>171.44376487973096</v>
      </c>
      <c r="L460" s="3">
        <f t="shared" si="52"/>
        <v>952119.75761503202</v>
      </c>
      <c r="M460" s="3">
        <f t="shared" si="53"/>
        <v>617197.5535670314</v>
      </c>
      <c r="N460" s="3">
        <f>INT(D460*J460*VLOOKUP(A460,经验产出!$I$7:$J$557,2,0))</f>
        <v>14851481</v>
      </c>
      <c r="O460" s="3">
        <f>SUM($N$24:N459)</f>
        <v>1177752549</v>
      </c>
      <c r="P460" s="3">
        <f>K460*VLOOKUP(A460,金币产出!$I$7:$J$557,2,0)</f>
        <v>616.4832045466992</v>
      </c>
    </row>
    <row r="461" spans="1:16" x14ac:dyDescent="0.15">
      <c r="A461" s="3">
        <v>438</v>
      </c>
      <c r="B461" s="3">
        <f t="shared" si="47"/>
        <v>15</v>
      </c>
      <c r="C461" s="3">
        <f t="shared" si="48"/>
        <v>459648</v>
      </c>
      <c r="D461" s="3">
        <f t="shared" si="49"/>
        <v>12096</v>
      </c>
      <c r="E461" s="3">
        <f>SUM($D$24:D461)</f>
        <v>2046348.0000000002</v>
      </c>
      <c r="F461" s="3">
        <f t="shared" si="50"/>
        <v>34105.800000000003</v>
      </c>
      <c r="G461" s="3">
        <f t="shared" si="50"/>
        <v>568.43000000000006</v>
      </c>
      <c r="H461" s="3">
        <f t="shared" si="51"/>
        <v>23.684583333333336</v>
      </c>
      <c r="I461" s="3">
        <f>IF(ISNA(MATCH(H461,关卡!$E$19:$E$2018,1)),0,MATCH(H461,关卡!$E$19:$E$2018,1))</f>
        <v>1232</v>
      </c>
      <c r="J461" s="3">
        <f>VLOOKUP($I461,关卡!$A$17:$G$2018,6,0)</f>
        <v>266.06542431846401</v>
      </c>
      <c r="K461" s="3">
        <f>VLOOKUP($I461,关卡!$A$17:$G$2018,7,0)</f>
        <v>172.25888571391999</v>
      </c>
      <c r="L461" s="3">
        <f t="shared" si="52"/>
        <v>957835.5275464704</v>
      </c>
      <c r="M461" s="3">
        <f t="shared" si="53"/>
        <v>620131.98857011204</v>
      </c>
      <c r="N461" s="3">
        <f>INT(D461*J461*VLOOKUP(A461,经验产出!$I$7:$J$557,2,0))</f>
        <v>14940637</v>
      </c>
      <c r="O461" s="3">
        <f>SUM($N$24:N460)</f>
        <v>1192604030</v>
      </c>
      <c r="P461" s="3">
        <f>K461*VLOOKUP(A461,金币产出!$I$7:$J$557,2,0)</f>
        <v>619.41424321297063</v>
      </c>
    </row>
    <row r="462" spans="1:16" x14ac:dyDescent="0.15">
      <c r="A462" s="3">
        <v>439</v>
      </c>
      <c r="B462" s="3">
        <f t="shared" si="47"/>
        <v>15</v>
      </c>
      <c r="C462" s="3">
        <f t="shared" si="48"/>
        <v>471744</v>
      </c>
      <c r="D462" s="3">
        <f t="shared" si="49"/>
        <v>12096</v>
      </c>
      <c r="E462" s="3">
        <f>SUM($D$24:D462)</f>
        <v>2058444.0000000002</v>
      </c>
      <c r="F462" s="3">
        <f t="shared" si="50"/>
        <v>34307.4</v>
      </c>
      <c r="G462" s="3">
        <f t="shared" si="50"/>
        <v>571.79000000000008</v>
      </c>
      <c r="H462" s="3">
        <f t="shared" si="51"/>
        <v>23.824583333333337</v>
      </c>
      <c r="I462" s="3">
        <f>IF(ISNA(MATCH(H462,关卡!$E$19:$E$2018,1)),0,MATCH(H462,关卡!$E$19:$E$2018,1))</f>
        <v>1235</v>
      </c>
      <c r="J462" s="3">
        <f>VLOOKUP($I462,关卡!$A$17:$G$2018,6,0)</f>
        <v>267.66062087183599</v>
      </c>
      <c r="K462" s="3">
        <f>VLOOKUP($I462,关卡!$A$17:$G$2018,7,0)</f>
        <v>173.07690225371098</v>
      </c>
      <c r="L462" s="3">
        <f t="shared" si="52"/>
        <v>963578.23513860954</v>
      </c>
      <c r="M462" s="3">
        <f t="shared" si="53"/>
        <v>623076.84811335953</v>
      </c>
      <c r="N462" s="3">
        <f>INT(D462*J462*VLOOKUP(A462,经验产出!$I$7:$J$557,2,0))</f>
        <v>15030214</v>
      </c>
      <c r="O462" s="3">
        <f>SUM($N$24:N461)</f>
        <v>1207544667</v>
      </c>
      <c r="P462" s="3">
        <f>K462*VLOOKUP(A462,金币产出!$I$7:$J$557,2,0)</f>
        <v>622.35569435396906</v>
      </c>
    </row>
    <row r="463" spans="1:16" x14ac:dyDescent="0.15">
      <c r="A463" s="3">
        <v>440</v>
      </c>
      <c r="B463" s="3">
        <f t="shared" si="47"/>
        <v>15</v>
      </c>
      <c r="C463" s="3">
        <f t="shared" si="48"/>
        <v>483840</v>
      </c>
      <c r="D463" s="3">
        <f t="shared" si="49"/>
        <v>12096</v>
      </c>
      <c r="E463" s="3">
        <f>SUM($D$24:D463)</f>
        <v>2070540.0000000002</v>
      </c>
      <c r="F463" s="3">
        <f t="shared" si="50"/>
        <v>34509.000000000007</v>
      </c>
      <c r="G463" s="3">
        <f t="shared" si="50"/>
        <v>575.15000000000009</v>
      </c>
      <c r="H463" s="3">
        <f t="shared" si="51"/>
        <v>23.964583333333337</v>
      </c>
      <c r="I463" s="3">
        <f>IF(ISNA(MATCH(H463,关卡!$E$19:$E$2018,1)),0,MATCH(H463,关卡!$E$19:$E$2018,1))</f>
        <v>1238</v>
      </c>
      <c r="J463" s="3">
        <f>VLOOKUP($I463,关卡!$A$17:$G$2018,6,0)</f>
        <v>269.26332611647894</v>
      </c>
      <c r="K463" s="3">
        <f>VLOOKUP($I463,关卡!$A$17:$G$2018,7,0)</f>
        <v>173.89782228249499</v>
      </c>
      <c r="L463" s="3">
        <f t="shared" si="52"/>
        <v>969347.97401932417</v>
      </c>
      <c r="M463" s="3">
        <f t="shared" si="53"/>
        <v>626032.16021698201</v>
      </c>
      <c r="N463" s="3">
        <f>INT(D463*J463*VLOOKUP(A463,经验产出!$I$7:$J$557,2,0))</f>
        <v>15120212</v>
      </c>
      <c r="O463" s="3">
        <f>SUM($N$24:N462)</f>
        <v>1222574881</v>
      </c>
      <c r="P463" s="3">
        <f>K463*VLOOKUP(A463,金币产出!$I$7:$J$557,2,0)</f>
        <v>625.30758595747147</v>
      </c>
    </row>
    <row r="464" spans="1:16" x14ac:dyDescent="0.15">
      <c r="A464" s="3">
        <v>441</v>
      </c>
      <c r="B464" s="3">
        <f t="shared" si="47"/>
        <v>15</v>
      </c>
      <c r="C464" s="3">
        <f t="shared" si="48"/>
        <v>495935.99999999994</v>
      </c>
      <c r="D464" s="3">
        <f t="shared" si="49"/>
        <v>12095.999999999942</v>
      </c>
      <c r="E464" s="3">
        <f>SUM($D$24:D464)</f>
        <v>2082636.0000000002</v>
      </c>
      <c r="F464" s="3">
        <f t="shared" si="50"/>
        <v>34710.600000000006</v>
      </c>
      <c r="G464" s="3">
        <f t="shared" si="50"/>
        <v>578.5100000000001</v>
      </c>
      <c r="H464" s="3">
        <f t="shared" si="51"/>
        <v>24.104583333333338</v>
      </c>
      <c r="I464" s="3">
        <f>IF(ISNA(MATCH(H464,关卡!$E$19:$E$2018,1)),0,MATCH(H464,关卡!$E$19:$E$2018,1))</f>
        <v>1241</v>
      </c>
      <c r="J464" s="3">
        <f>VLOOKUP($I464,关卡!$A$17:$G$2018,6,0)</f>
        <v>270.87356610861502</v>
      </c>
      <c r="K464" s="3">
        <f>VLOOKUP($I464,关卡!$A$17:$G$2018,7,0)</f>
        <v>174.72165359520596</v>
      </c>
      <c r="L464" s="3">
        <f t="shared" si="52"/>
        <v>975144.83799101412</v>
      </c>
      <c r="M464" s="3">
        <f t="shared" si="53"/>
        <v>628997.95294274145</v>
      </c>
      <c r="N464" s="3">
        <f>INT(D464*J464*VLOOKUP(A464,经验产出!$I$7:$J$557,2,0))</f>
        <v>15210634</v>
      </c>
      <c r="O464" s="3">
        <f>SUM($N$24:N463)</f>
        <v>1237695093</v>
      </c>
      <c r="P464" s="3">
        <f>K464*VLOOKUP(A464,金币产出!$I$7:$J$557,2,0)</f>
        <v>628.26994605276138</v>
      </c>
    </row>
    <row r="465" spans="1:16" x14ac:dyDescent="0.15">
      <c r="A465" s="3">
        <v>442</v>
      </c>
      <c r="B465" s="3">
        <f t="shared" si="47"/>
        <v>15</v>
      </c>
      <c r="C465" s="3">
        <f t="shared" si="48"/>
        <v>508032</v>
      </c>
      <c r="D465" s="3">
        <f t="shared" si="49"/>
        <v>12096.000000000058</v>
      </c>
      <c r="E465" s="3">
        <f>SUM($D$24:D465)</f>
        <v>2094732.0000000002</v>
      </c>
      <c r="F465" s="3">
        <f t="shared" si="50"/>
        <v>34912.200000000004</v>
      </c>
      <c r="G465" s="3">
        <f t="shared" si="50"/>
        <v>581.87000000000012</v>
      </c>
      <c r="H465" s="3">
        <f t="shared" si="51"/>
        <v>24.244583333333338</v>
      </c>
      <c r="I465" s="3">
        <f>IF(ISNA(MATCH(H465,关卡!$E$19:$E$2018,1)),0,MATCH(H465,关卡!$E$19:$E$2018,1))</f>
        <v>1244</v>
      </c>
      <c r="J465" s="3">
        <f>VLOOKUP($I465,关卡!$A$17:$G$2018,6,0)</f>
        <v>272.49136695294402</v>
      </c>
      <c r="K465" s="3">
        <f>VLOOKUP($I465,关卡!$A$17:$G$2018,7,0)</f>
        <v>175.54840399832</v>
      </c>
      <c r="L465" s="3">
        <f t="shared" si="52"/>
        <v>980968.92103059846</v>
      </c>
      <c r="M465" s="3">
        <f t="shared" si="53"/>
        <v>631974.25439395208</v>
      </c>
      <c r="N465" s="3">
        <f>INT(D465*J465*VLOOKUP(A465,经验产出!$I$7:$J$557,2,0))</f>
        <v>15301480</v>
      </c>
      <c r="O465" s="3">
        <f>SUM($N$24:N464)</f>
        <v>1252905727</v>
      </c>
      <c r="P465" s="3">
        <f>K465*VLOOKUP(A465,金币产出!$I$7:$J$557,2,0)</f>
        <v>631.2428027106256</v>
      </c>
    </row>
    <row r="466" spans="1:16" x14ac:dyDescent="0.15">
      <c r="A466" s="3">
        <v>443</v>
      </c>
      <c r="B466" s="3">
        <f t="shared" si="47"/>
        <v>15</v>
      </c>
      <c r="C466" s="3">
        <f t="shared" si="48"/>
        <v>520128</v>
      </c>
      <c r="D466" s="3">
        <f t="shared" si="49"/>
        <v>12096</v>
      </c>
      <c r="E466" s="3">
        <f>SUM($D$24:D466)</f>
        <v>2106828</v>
      </c>
      <c r="F466" s="3">
        <f t="shared" si="50"/>
        <v>35113.800000000003</v>
      </c>
      <c r="G466" s="3">
        <f t="shared" si="50"/>
        <v>585.23</v>
      </c>
      <c r="H466" s="3">
        <f t="shared" si="51"/>
        <v>24.384583333333335</v>
      </c>
      <c r="I466" s="3">
        <f>IF(ISNA(MATCH(H466,关卡!$E$19:$E$2018,1)),0,MATCH(H466,关卡!$E$19:$E$2018,1))</f>
        <v>1247</v>
      </c>
      <c r="J466" s="3">
        <f>VLOOKUP($I466,关卡!$A$17:$G$2018,6,0)</f>
        <v>274.116754802645</v>
      </c>
      <c r="K466" s="3">
        <f>VLOOKUP($I466,关卡!$A$17:$G$2018,7,0)</f>
        <v>176.37808130985596</v>
      </c>
      <c r="L466" s="3">
        <f t="shared" si="52"/>
        <v>986820.31728952203</v>
      </c>
      <c r="M466" s="3">
        <f t="shared" si="53"/>
        <v>634961.09271548141</v>
      </c>
      <c r="N466" s="3">
        <f>INT(D466*J466*VLOOKUP(A466,经验产出!$I$7:$J$557,2,0))</f>
        <v>15392752</v>
      </c>
      <c r="O466" s="3">
        <f>SUM($N$24:N465)</f>
        <v>1268207207</v>
      </c>
      <c r="P466" s="3">
        <f>K466*VLOOKUP(A466,金币产出!$I$7:$J$557,2,0)</f>
        <v>634.22618404335708</v>
      </c>
    </row>
    <row r="467" spans="1:16" x14ac:dyDescent="0.15">
      <c r="A467" s="3">
        <v>444</v>
      </c>
      <c r="B467" s="3">
        <f t="shared" si="47"/>
        <v>15</v>
      </c>
      <c r="C467" s="3">
        <f t="shared" si="48"/>
        <v>532224</v>
      </c>
      <c r="D467" s="3">
        <f t="shared" si="49"/>
        <v>12096</v>
      </c>
      <c r="E467" s="3">
        <f>SUM($D$24:D467)</f>
        <v>2118924</v>
      </c>
      <c r="F467" s="3">
        <f t="shared" si="50"/>
        <v>35315.4</v>
      </c>
      <c r="G467" s="3">
        <f t="shared" si="50"/>
        <v>588.59</v>
      </c>
      <c r="H467" s="3">
        <f t="shared" si="51"/>
        <v>24.524583333333336</v>
      </c>
      <c r="I467" s="3">
        <f>IF(ISNA(MATCH(H467,关卡!$E$19:$E$2018,1)),0,MATCH(H467,关卡!$E$19:$E$2018,1))</f>
        <v>1250</v>
      </c>
      <c r="J467" s="3">
        <f>VLOOKUP($I467,关卡!$A$17:$G$2018,6,0)</f>
        <v>275.749755859375</v>
      </c>
      <c r="K467" s="3">
        <f>VLOOKUP($I467,关卡!$A$17:$G$2018,7,0)</f>
        <v>177.210693359375</v>
      </c>
      <c r="L467" s="3">
        <f t="shared" si="52"/>
        <v>992699.12109375</v>
      </c>
      <c r="M467" s="3">
        <f t="shared" si="53"/>
        <v>637958.49609375</v>
      </c>
      <c r="N467" s="3">
        <f>INT(D467*J467*VLOOKUP(A467,经验产出!$I$7:$J$557,2,0))</f>
        <v>15484451</v>
      </c>
      <c r="O467" s="3">
        <f>SUM($N$24:N466)</f>
        <v>1283599959</v>
      </c>
      <c r="P467" s="3">
        <f>K467*VLOOKUP(A467,金币产出!$I$7:$J$557,2,0)</f>
        <v>637.22011820475257</v>
      </c>
    </row>
    <row r="468" spans="1:16" x14ac:dyDescent="0.15">
      <c r="A468" s="3">
        <v>445</v>
      </c>
      <c r="B468" s="3">
        <f t="shared" si="47"/>
        <v>15</v>
      </c>
      <c r="C468" s="3">
        <f t="shared" si="48"/>
        <v>544320</v>
      </c>
      <c r="D468" s="3">
        <f t="shared" si="49"/>
        <v>12096</v>
      </c>
      <c r="E468" s="3">
        <f>SUM($D$24:D468)</f>
        <v>2131020</v>
      </c>
      <c r="F468" s="3">
        <f t="shared" si="50"/>
        <v>35517</v>
      </c>
      <c r="G468" s="3">
        <f t="shared" si="50"/>
        <v>591.95000000000005</v>
      </c>
      <c r="H468" s="3">
        <f t="shared" si="51"/>
        <v>24.664583333333336</v>
      </c>
      <c r="I468" s="3">
        <f>IF(ISNA(MATCH(H468,关卡!$E$19:$E$2018,1)),0,MATCH(H468,关卡!$E$19:$E$2018,1))</f>
        <v>1253</v>
      </c>
      <c r="J468" s="3">
        <f>VLOOKUP($I468,关卡!$A$17:$G$2018,6,0)</f>
        <v>277.39039637326988</v>
      </c>
      <c r="K468" s="3">
        <f>VLOOKUP($I468,关卡!$A$17:$G$2018,7,0)</f>
        <v>178.04624798798091</v>
      </c>
      <c r="L468" s="3">
        <f t="shared" si="52"/>
        <v>998605.42694377154</v>
      </c>
      <c r="M468" s="3">
        <f t="shared" si="53"/>
        <v>640966.49275673134</v>
      </c>
      <c r="N468" s="3">
        <f>INT(D468*J468*VLOOKUP(A468,经验产出!$I$7:$J$557,2,0))</f>
        <v>15576580</v>
      </c>
      <c r="O468" s="3">
        <f>SUM($N$24:N467)</f>
        <v>1299084410</v>
      </c>
      <c r="P468" s="3">
        <f>K468*VLOOKUP(A468,金币产出!$I$7:$J$557,2,0)</f>
        <v>640.2246333901146</v>
      </c>
    </row>
    <row r="469" spans="1:16" x14ac:dyDescent="0.15">
      <c r="A469" s="3">
        <v>446</v>
      </c>
      <c r="B469" s="3">
        <f t="shared" si="47"/>
        <v>15</v>
      </c>
      <c r="C469" s="3">
        <f t="shared" si="48"/>
        <v>556416</v>
      </c>
      <c r="D469" s="3">
        <f t="shared" si="49"/>
        <v>12096</v>
      </c>
      <c r="E469" s="3">
        <f>SUM($D$24:D469)</f>
        <v>2143116</v>
      </c>
      <c r="F469" s="3">
        <f t="shared" si="50"/>
        <v>35718.6</v>
      </c>
      <c r="G469" s="3">
        <f t="shared" si="50"/>
        <v>595.30999999999995</v>
      </c>
      <c r="H469" s="3">
        <f t="shared" si="51"/>
        <v>24.80458333333333</v>
      </c>
      <c r="I469" s="3">
        <f>IF(ISNA(MATCH(H469,关卡!$E$19:$E$2018,1)),0,MATCH(H469,关卡!$E$19:$E$2018,1))</f>
        <v>1256</v>
      </c>
      <c r="J469" s="3">
        <f>VLOOKUP($I469,关卡!$A$17:$G$2018,6,0)</f>
        <v>279.03870264294403</v>
      </c>
      <c r="K469" s="3">
        <f>VLOOKUP($I469,关卡!$A$17:$G$2018,7,0)</f>
        <v>178.88475304832002</v>
      </c>
      <c r="L469" s="3">
        <f t="shared" si="52"/>
        <v>1004539.3295145985</v>
      </c>
      <c r="M469" s="3">
        <f t="shared" si="53"/>
        <v>643985.11097395211</v>
      </c>
      <c r="N469" s="3">
        <f>INT(D469*J469*VLOOKUP(A469,经验产出!$I$7:$J$557,2,0))</f>
        <v>15669139</v>
      </c>
      <c r="O469" s="3">
        <f>SUM($N$24:N468)</f>
        <v>1314660990</v>
      </c>
      <c r="P469" s="3">
        <f>K469*VLOOKUP(A469,金币产出!$I$7:$J$557,2,0)</f>
        <v>643.23975783625076</v>
      </c>
    </row>
    <row r="470" spans="1:16" x14ac:dyDescent="0.15">
      <c r="A470" s="3">
        <v>447</v>
      </c>
      <c r="B470" s="3">
        <f t="shared" si="47"/>
        <v>15</v>
      </c>
      <c r="C470" s="3">
        <f t="shared" si="48"/>
        <v>568512</v>
      </c>
      <c r="D470" s="3">
        <f t="shared" si="49"/>
        <v>12096</v>
      </c>
      <c r="E470" s="3">
        <f>SUM($D$24:D470)</f>
        <v>2155212</v>
      </c>
      <c r="F470" s="3">
        <f t="shared" si="50"/>
        <v>35920.199999999997</v>
      </c>
      <c r="G470" s="3">
        <f t="shared" si="50"/>
        <v>598.66999999999996</v>
      </c>
      <c r="H470" s="3">
        <f t="shared" si="51"/>
        <v>24.94458333333333</v>
      </c>
      <c r="I470" s="3">
        <f>IF(ISNA(MATCH(H470,关卡!$E$19:$E$2018,1)),0,MATCH(H470,关卡!$E$19:$E$2018,1))</f>
        <v>1259</v>
      </c>
      <c r="J470" s="3">
        <f>VLOOKUP($I470,关卡!$A$17:$G$2018,6,0)</f>
        <v>280.6947010154899</v>
      </c>
      <c r="K470" s="3">
        <f>VLOOKUP($I470,关卡!$A$17:$G$2018,7,0)</f>
        <v>179.72621640458092</v>
      </c>
      <c r="L470" s="3">
        <f t="shared" si="52"/>
        <v>1010500.9236557636</v>
      </c>
      <c r="M470" s="3">
        <f t="shared" si="53"/>
        <v>647014.37905649131</v>
      </c>
      <c r="N470" s="3">
        <f>INT(D470*J470*VLOOKUP(A470,经验产出!$I$7:$J$557,2,0))</f>
        <v>15762130</v>
      </c>
      <c r="O470" s="3">
        <f>SUM($N$24:N469)</f>
        <v>1330330129</v>
      </c>
      <c r="P470" s="3">
        <f>K470*VLOOKUP(A470,金币产出!$I$7:$J$557,2,0)</f>
        <v>646.26551982147225</v>
      </c>
    </row>
    <row r="471" spans="1:16" x14ac:dyDescent="0.15">
      <c r="A471" s="3">
        <v>448</v>
      </c>
      <c r="B471" s="3">
        <f t="shared" si="47"/>
        <v>15</v>
      </c>
      <c r="C471" s="3">
        <f t="shared" si="48"/>
        <v>580608</v>
      </c>
      <c r="D471" s="3">
        <f t="shared" si="49"/>
        <v>12096</v>
      </c>
      <c r="E471" s="3">
        <f>SUM($D$24:D471)</f>
        <v>2167308</v>
      </c>
      <c r="F471" s="3">
        <f t="shared" si="50"/>
        <v>36121.800000000003</v>
      </c>
      <c r="G471" s="3">
        <f t="shared" si="50"/>
        <v>602.03000000000009</v>
      </c>
      <c r="H471" s="3">
        <f t="shared" si="51"/>
        <v>25.084583333333338</v>
      </c>
      <c r="I471" s="3">
        <f>IF(ISNA(MATCH(H471,关卡!$E$19:$E$2018,1)),0,MATCH(H471,关卡!$E$19:$E$2018,1))</f>
        <v>1261</v>
      </c>
      <c r="J471" s="3">
        <f>VLOOKUP($I471,关卡!$A$17:$G$2018,6,0)</f>
        <v>281.80298635385992</v>
      </c>
      <c r="K471" s="3">
        <f>VLOOKUP($I471,关卡!$A$17:$G$2018,7,0)</f>
        <v>180.28883936193091</v>
      </c>
      <c r="L471" s="3">
        <f t="shared" si="52"/>
        <v>1014490.7508738958</v>
      </c>
      <c r="M471" s="3">
        <f t="shared" si="53"/>
        <v>649039.82170295122</v>
      </c>
      <c r="N471" s="3">
        <f>INT(D471*J471*VLOOKUP(A471,经验产出!$I$7:$J$557,2,0))</f>
        <v>15824364</v>
      </c>
      <c r="O471" s="3">
        <f>SUM($N$24:N470)</f>
        <v>1346092259</v>
      </c>
      <c r="P471" s="3">
        <f>K471*VLOOKUP(A471,金币产出!$I$7:$J$557,2,0)</f>
        <v>648.28861820560985</v>
      </c>
    </row>
    <row r="472" spans="1:16" x14ac:dyDescent="0.15">
      <c r="A472" s="3">
        <v>449</v>
      </c>
      <c r="B472" s="3">
        <f t="shared" si="47"/>
        <v>15</v>
      </c>
      <c r="C472" s="3">
        <f t="shared" si="48"/>
        <v>592704</v>
      </c>
      <c r="D472" s="3">
        <f t="shared" si="49"/>
        <v>12096</v>
      </c>
      <c r="E472" s="3">
        <f>SUM($D$24:D472)</f>
        <v>2179404</v>
      </c>
      <c r="F472" s="3">
        <f t="shared" si="50"/>
        <v>36323.4</v>
      </c>
      <c r="G472" s="3">
        <f t="shared" si="50"/>
        <v>605.39</v>
      </c>
      <c r="H472" s="3">
        <f t="shared" si="51"/>
        <v>25.224583333333332</v>
      </c>
      <c r="I472" s="3">
        <f>IF(ISNA(MATCH(H472,关卡!$E$19:$E$2018,1)),0,MATCH(H472,关卡!$E$19:$E$2018,1))</f>
        <v>1264</v>
      </c>
      <c r="J472" s="3">
        <f>VLOOKUP($I472,关卡!$A$17:$G$2018,6,0)</f>
        <v>283.47186357862404</v>
      </c>
      <c r="K472" s="3">
        <f>VLOOKUP($I472,关卡!$A$17:$G$2018,7,0)</f>
        <v>181.13525071871996</v>
      </c>
      <c r="L472" s="3">
        <f t="shared" si="52"/>
        <v>1020498.7088830465</v>
      </c>
      <c r="M472" s="3">
        <f t="shared" si="53"/>
        <v>652086.9025873919</v>
      </c>
      <c r="N472" s="3">
        <f>INT(D472*J472*VLOOKUP(A472,经验产出!$I$7:$J$557,2,0))</f>
        <v>15918079</v>
      </c>
      <c r="O472" s="3">
        <f>SUM($N$24:N471)</f>
        <v>1361916623</v>
      </c>
      <c r="P472" s="3">
        <f>K472*VLOOKUP(A472,金币产出!$I$7:$J$557,2,0)</f>
        <v>651.3321723760638</v>
      </c>
    </row>
    <row r="473" spans="1:16" x14ac:dyDescent="0.15">
      <c r="A473" s="3">
        <v>450</v>
      </c>
      <c r="B473" s="3">
        <f t="shared" ref="B473:B536" si="54">MATCH($A473,$A$3:$A$20,1)-1</f>
        <v>15</v>
      </c>
      <c r="C473" s="3">
        <f t="shared" ref="C473:C536" si="55">INDEX($C$3:$C$20,$B473+1)*(INDEX($D$3:$D$20,$B473+1)+INDEX($E$3:$E$20,$B473+1)*(($A473-INDEX($A$3:$A$20,$B473+1)+1)/(INDEX($B$3:$B$20,B473+1)-INDEX($A$3:$A$20,$B473+1)+1))^1+INDEX($F$3:$F$20,$B473+1)*(($A473-INDEX($A$3:$A$20,$B473+1)+1)/(INDEX($B$3:$B$20,B473+1)-INDEX($A$3:$A$20,$B473+1)+1))^2+INDEX($G$3:$G$20,$B473+1)*(($A473-INDEX($A$3:$A$20,$B473+1)+1)/(INDEX($B$3:$B$20,$B473+1)-INDEX($A$3:$A$20,$B473+1)+1))^3+INDEX($H$3:$H$20,$B473+1)*(($A473-INDEX($A$3:$A$20,$B473+1)+1)/(INDEX($B$3:$B$20,$B473+1)-INDEX($A$3:$A$20,$B473+1)+1))^4)</f>
        <v>604800</v>
      </c>
      <c r="D473" s="3">
        <f t="shared" ref="D473:D536" si="56">IF(ISNA(MATCH(A473,$A$4:$A$20,0)),C473-C472,C473)</f>
        <v>12096</v>
      </c>
      <c r="E473" s="3">
        <f>SUM($D$24:D473)</f>
        <v>2191500</v>
      </c>
      <c r="F473" s="3">
        <f t="shared" ref="F473:G536" si="57">E473/60</f>
        <v>36525</v>
      </c>
      <c r="G473" s="3">
        <f t="shared" si="57"/>
        <v>608.75</v>
      </c>
      <c r="H473" s="3">
        <f t="shared" ref="H473:H536" si="58">G473/24</f>
        <v>25.364583333333332</v>
      </c>
      <c r="I473" s="3">
        <f>IF(ISNA(MATCH(H473,关卡!$E$19:$E$2018,1)),0,MATCH(H473,关卡!$E$19:$E$2018,1))</f>
        <v>1267</v>
      </c>
      <c r="J473" s="3">
        <f>VLOOKUP($I473,关卡!$A$17:$G$2018,6,0)</f>
        <v>285.14850340217993</v>
      </c>
      <c r="K473" s="3">
        <f>VLOOKUP($I473,关卡!$A$17:$G$2018,7,0)</f>
        <v>181.98464139903089</v>
      </c>
      <c r="L473" s="3">
        <f t="shared" ref="L473:L536" si="59">J473*60*60</f>
        <v>1026534.6122478477</v>
      </c>
      <c r="M473" s="3">
        <f t="shared" ref="M473:M536" si="60">K473*60*60</f>
        <v>655144.70903651125</v>
      </c>
      <c r="N473" s="3">
        <f>INT(D473*J473*VLOOKUP(A473,经验产出!$I$7:$J$557,2,0))</f>
        <v>16012229</v>
      </c>
      <c r="O473" s="3">
        <f>SUM($N$24:N472)</f>
        <v>1377834702</v>
      </c>
      <c r="P473" s="3">
        <f>K473*VLOOKUP(A473,金币产出!$I$7:$J$557,2,0)</f>
        <v>654.38643969734858</v>
      </c>
    </row>
    <row r="474" spans="1:16" x14ac:dyDescent="0.15">
      <c r="A474" s="3">
        <v>451</v>
      </c>
      <c r="B474" s="3">
        <f t="shared" si="54"/>
        <v>16</v>
      </c>
      <c r="C474" s="3">
        <f t="shared" si="55"/>
        <v>24192</v>
      </c>
      <c r="D474" s="3">
        <f t="shared" si="56"/>
        <v>24192</v>
      </c>
      <c r="E474" s="3">
        <f>SUM($D$24:D474)</f>
        <v>2215692</v>
      </c>
      <c r="F474" s="3">
        <f t="shared" si="57"/>
        <v>36928.199999999997</v>
      </c>
      <c r="G474" s="3">
        <f t="shared" si="57"/>
        <v>615.46999999999991</v>
      </c>
      <c r="H474" s="3">
        <f t="shared" si="58"/>
        <v>25.64458333333333</v>
      </c>
      <c r="I474" s="3">
        <f>IF(ISNA(MATCH(H474,关卡!$E$19:$E$2018,1)),0,MATCH(H474,关卡!$E$19:$E$2018,1))</f>
        <v>1273</v>
      </c>
      <c r="J474" s="3">
        <f>VLOOKUP($I474,关卡!$A$17:$G$2018,6,0)</f>
        <v>288.52517699353484</v>
      </c>
      <c r="K474" s="3">
        <f>VLOOKUP($I474,关卡!$A$17:$G$2018,7,0)</f>
        <v>183.69239236780589</v>
      </c>
      <c r="L474" s="3">
        <f t="shared" si="59"/>
        <v>1038690.6371767254</v>
      </c>
      <c r="M474" s="3">
        <f t="shared" si="60"/>
        <v>661292.61252410116</v>
      </c>
      <c r="N474" s="3">
        <f>INT(D474*J474*VLOOKUP(A474,经验产出!$I$7:$J$557,2,0))</f>
        <v>32403685</v>
      </c>
      <c r="O474" s="3">
        <f>SUM($N$24:N473)</f>
        <v>1393846931</v>
      </c>
      <c r="P474" s="3">
        <f>K474*VLOOKUP(A474,金币产出!$I$7:$J$557,2,0)</f>
        <v>660.52722755590196</v>
      </c>
    </row>
    <row r="475" spans="1:16" x14ac:dyDescent="0.15">
      <c r="A475" s="3">
        <v>452</v>
      </c>
      <c r="B475" s="3">
        <f t="shared" si="54"/>
        <v>16</v>
      </c>
      <c r="C475" s="3">
        <f t="shared" si="55"/>
        <v>48384</v>
      </c>
      <c r="D475" s="3">
        <f t="shared" si="56"/>
        <v>24192</v>
      </c>
      <c r="E475" s="3">
        <f>SUM($D$24:D475)</f>
        <v>2239884</v>
      </c>
      <c r="F475" s="3">
        <f t="shared" si="57"/>
        <v>37331.4</v>
      </c>
      <c r="G475" s="3">
        <f t="shared" si="57"/>
        <v>622.19000000000005</v>
      </c>
      <c r="H475" s="3">
        <f t="shared" si="58"/>
        <v>25.924583333333334</v>
      </c>
      <c r="I475" s="3">
        <f>IF(ISNA(MATCH(H475,关卡!$E$19:$E$2018,1)),0,MATCH(H475,关卡!$E$19:$E$2018,1))</f>
        <v>1279</v>
      </c>
      <c r="J475" s="3">
        <f>VLOOKUP($I475,关卡!$A$17:$G$2018,6,0)</f>
        <v>291.93321990844493</v>
      </c>
      <c r="K475" s="3">
        <f>VLOOKUP($I475,关卡!$A$17:$G$2018,7,0)</f>
        <v>185.41215565885591</v>
      </c>
      <c r="L475" s="3">
        <f t="shared" si="59"/>
        <v>1050959.5916704019</v>
      </c>
      <c r="M475" s="3">
        <f t="shared" si="60"/>
        <v>667483.76037188119</v>
      </c>
      <c r="N475" s="3">
        <f>INT(D475*J475*VLOOKUP(A475,经验产出!$I$7:$J$557,2,0))</f>
        <v>32786436</v>
      </c>
      <c r="O475" s="3">
        <f>SUM($N$24:N474)</f>
        <v>1426250616</v>
      </c>
      <c r="P475" s="3">
        <f>K475*VLOOKUP(A475,金币产出!$I$7:$J$557,2,0)</f>
        <v>666.71120972330266</v>
      </c>
    </row>
    <row r="476" spans="1:16" x14ac:dyDescent="0.15">
      <c r="A476" s="3">
        <v>453</v>
      </c>
      <c r="B476" s="3">
        <f t="shared" si="54"/>
        <v>16</v>
      </c>
      <c r="C476" s="3">
        <f t="shared" si="55"/>
        <v>72576</v>
      </c>
      <c r="D476" s="3">
        <f t="shared" si="56"/>
        <v>24192</v>
      </c>
      <c r="E476" s="3">
        <f>SUM($D$24:D476)</f>
        <v>2264076</v>
      </c>
      <c r="F476" s="3">
        <f t="shared" si="57"/>
        <v>37734.6</v>
      </c>
      <c r="G476" s="3">
        <f t="shared" si="57"/>
        <v>628.91</v>
      </c>
      <c r="H476" s="3">
        <f t="shared" si="58"/>
        <v>26.204583333333332</v>
      </c>
      <c r="I476" s="3">
        <f>IF(ISNA(MATCH(H476,关卡!$E$19:$E$2018,1)),0,MATCH(H476,关卡!$E$19:$E$2018,1))</f>
        <v>1284</v>
      </c>
      <c r="J476" s="3">
        <f>VLOOKUP($I476,关卡!$A$17:$G$2018,6,0)</f>
        <v>294.797372395504</v>
      </c>
      <c r="K476" s="3">
        <f>VLOOKUP($I476,关卡!$A$17:$G$2018,7,0)</f>
        <v>186.85451367512002</v>
      </c>
      <c r="L476" s="3">
        <f t="shared" si="59"/>
        <v>1061270.5406238143</v>
      </c>
      <c r="M476" s="3">
        <f t="shared" si="60"/>
        <v>672676.24923043209</v>
      </c>
      <c r="N476" s="3">
        <f>INT(D476*J476*VLOOKUP(A476,经验产出!$I$7:$J$557,2,0))</f>
        <v>33108103</v>
      </c>
      <c r="O476" s="3">
        <f>SUM($N$24:N475)</f>
        <v>1459037052</v>
      </c>
      <c r="P476" s="3">
        <f>K476*VLOOKUP(A476,金币产出!$I$7:$J$557,2,0)</f>
        <v>671.89768875678567</v>
      </c>
    </row>
    <row r="477" spans="1:16" x14ac:dyDescent="0.15">
      <c r="A477" s="3">
        <v>454</v>
      </c>
      <c r="B477" s="3">
        <f t="shared" si="54"/>
        <v>16</v>
      </c>
      <c r="C477" s="3">
        <f t="shared" si="55"/>
        <v>96768</v>
      </c>
      <c r="D477" s="3">
        <f t="shared" si="56"/>
        <v>24192</v>
      </c>
      <c r="E477" s="3">
        <f>SUM($D$24:D477)</f>
        <v>2288268</v>
      </c>
      <c r="F477" s="3">
        <f t="shared" si="57"/>
        <v>38137.800000000003</v>
      </c>
      <c r="G477" s="3">
        <f t="shared" si="57"/>
        <v>635.63</v>
      </c>
      <c r="H477" s="3">
        <f t="shared" si="58"/>
        <v>26.484583333333333</v>
      </c>
      <c r="I477" s="3">
        <f>IF(ISNA(MATCH(H477,关卡!$E$19:$E$2018,1)),0,MATCH(H477,关卡!$E$19:$E$2018,1))</f>
        <v>1290</v>
      </c>
      <c r="J477" s="3">
        <f>VLOOKUP($I477,关卡!$A$17:$G$2018,6,0)</f>
        <v>298.26348094937504</v>
      </c>
      <c r="K477" s="3">
        <f>VLOOKUP($I477,关卡!$A$17:$G$2018,7,0)</f>
        <v>188.59646480937499</v>
      </c>
      <c r="L477" s="3">
        <f t="shared" si="59"/>
        <v>1073748.5314177503</v>
      </c>
      <c r="M477" s="3">
        <f t="shared" si="60"/>
        <v>678947.27331374993</v>
      </c>
      <c r="N477" s="3">
        <f>INT(D477*J477*VLOOKUP(A477,经验产出!$I$7:$J$557,2,0))</f>
        <v>33497375</v>
      </c>
      <c r="O477" s="3">
        <f>SUM($N$24:N476)</f>
        <v>1492145155</v>
      </c>
      <c r="P477" s="3">
        <f>K477*VLOOKUP(A477,金币产出!$I$7:$J$557,2,0)</f>
        <v>678.1614547103776</v>
      </c>
    </row>
    <row r="478" spans="1:16" x14ac:dyDescent="0.15">
      <c r="A478" s="3">
        <v>455</v>
      </c>
      <c r="B478" s="3">
        <f t="shared" si="54"/>
        <v>16</v>
      </c>
      <c r="C478" s="3">
        <f t="shared" si="55"/>
        <v>120960</v>
      </c>
      <c r="D478" s="3">
        <f t="shared" si="56"/>
        <v>24192</v>
      </c>
      <c r="E478" s="3">
        <f>SUM($D$24:D478)</f>
        <v>2312460</v>
      </c>
      <c r="F478" s="3">
        <f t="shared" si="57"/>
        <v>38541</v>
      </c>
      <c r="G478" s="3">
        <f t="shared" si="57"/>
        <v>642.35</v>
      </c>
      <c r="H478" s="3">
        <f t="shared" si="58"/>
        <v>26.764583333333334</v>
      </c>
      <c r="I478" s="3">
        <f>IF(ISNA(MATCH(H478,关卡!$E$19:$E$2018,1)),0,MATCH(H478,关卡!$E$19:$E$2018,1))</f>
        <v>1296</v>
      </c>
      <c r="J478" s="3">
        <f>VLOOKUP($I478,关卡!$A$17:$G$2018,6,0)</f>
        <v>301.76156591718399</v>
      </c>
      <c r="K478" s="3">
        <f>VLOOKUP($I478,关卡!$A$17:$G$2018,7,0)</f>
        <v>190.35060887552001</v>
      </c>
      <c r="L478" s="3">
        <f t="shared" si="59"/>
        <v>1086341.6373018622</v>
      </c>
      <c r="M478" s="3">
        <f t="shared" si="60"/>
        <v>685262.19195187208</v>
      </c>
      <c r="N478" s="3">
        <f>INT(D478*J478*VLOOKUP(A478,经验产出!$I$7:$J$557,2,0))</f>
        <v>33890237</v>
      </c>
      <c r="O478" s="3">
        <f>SUM($N$24:N477)</f>
        <v>1525642530</v>
      </c>
      <c r="P478" s="3">
        <f>K478*VLOOKUP(A478,金币产出!$I$7:$J$557,2,0)</f>
        <v>684.46906441489068</v>
      </c>
    </row>
    <row r="479" spans="1:16" x14ac:dyDescent="0.15">
      <c r="A479" s="3">
        <v>456</v>
      </c>
      <c r="B479" s="3">
        <f t="shared" si="54"/>
        <v>16</v>
      </c>
      <c r="C479" s="3">
        <f t="shared" si="55"/>
        <v>145152</v>
      </c>
      <c r="D479" s="3">
        <f t="shared" si="56"/>
        <v>24192</v>
      </c>
      <c r="E479" s="3">
        <f>SUM($D$24:D479)</f>
        <v>2336652</v>
      </c>
      <c r="F479" s="3">
        <f t="shared" si="57"/>
        <v>38944.199999999997</v>
      </c>
      <c r="G479" s="3">
        <f t="shared" si="57"/>
        <v>649.06999999999994</v>
      </c>
      <c r="H479" s="3">
        <f t="shared" si="58"/>
        <v>27.044583333333332</v>
      </c>
      <c r="I479" s="3">
        <f>IF(ISNA(MATCH(H479,关卡!$E$19:$E$2018,1)),0,MATCH(H479,关卡!$E$19:$E$2018,1))</f>
        <v>1301</v>
      </c>
      <c r="J479" s="3">
        <f>VLOOKUP($I479,关卡!$A$17:$G$2018,6,0)</f>
        <v>304.70121878344992</v>
      </c>
      <c r="K479" s="3">
        <f>VLOOKUP($I479,关卡!$A$17:$G$2018,7,0)</f>
        <v>191.82175588088091</v>
      </c>
      <c r="L479" s="3">
        <f t="shared" si="59"/>
        <v>1096924.3876204197</v>
      </c>
      <c r="M479" s="3">
        <f t="shared" si="60"/>
        <v>690558.32117117126</v>
      </c>
      <c r="N479" s="3">
        <f>INT(D479*J479*VLOOKUP(A479,经验产出!$I$7:$J$557,2,0))</f>
        <v>34220384</v>
      </c>
      <c r="O479" s="3">
        <f>SUM($N$24:N478)</f>
        <v>1559532767</v>
      </c>
      <c r="P479" s="3">
        <f>K479*VLOOKUP(A479,金币产出!$I$7:$J$557,2,0)</f>
        <v>689.75906385500093</v>
      </c>
    </row>
    <row r="480" spans="1:16" x14ac:dyDescent="0.15">
      <c r="A480" s="3">
        <v>457</v>
      </c>
      <c r="B480" s="3">
        <f t="shared" si="54"/>
        <v>16</v>
      </c>
      <c r="C480" s="3">
        <f t="shared" si="55"/>
        <v>169344.00000000003</v>
      </c>
      <c r="D480" s="3">
        <f t="shared" si="56"/>
        <v>24192.000000000029</v>
      </c>
      <c r="E480" s="3">
        <f>SUM($D$24:D480)</f>
        <v>2360844</v>
      </c>
      <c r="F480" s="3">
        <f t="shared" si="57"/>
        <v>39347.4</v>
      </c>
      <c r="G480" s="3">
        <f t="shared" si="57"/>
        <v>655.79000000000008</v>
      </c>
      <c r="H480" s="3">
        <f t="shared" si="58"/>
        <v>27.324583333333337</v>
      </c>
      <c r="I480" s="3">
        <f>IF(ISNA(MATCH(H480,关卡!$E$19:$E$2018,1)),0,MATCH(H480,关卡!$E$19:$E$2018,1))</f>
        <v>1307</v>
      </c>
      <c r="J480" s="3">
        <f>VLOOKUP($I480,关卡!$A$17:$G$2018,6,0)</f>
        <v>308.25848809714995</v>
      </c>
      <c r="K480" s="3">
        <f>VLOOKUP($I480,关卡!$A$17:$G$2018,7,0)</f>
        <v>193.59842026688094</v>
      </c>
      <c r="L480" s="3">
        <f t="shared" si="59"/>
        <v>1109730.5571497399</v>
      </c>
      <c r="M480" s="3">
        <f t="shared" si="60"/>
        <v>696954.31296077138</v>
      </c>
      <c r="N480" s="3">
        <f>INT(D480*J480*VLOOKUP(A480,经验产出!$I$7:$J$557,2,0))</f>
        <v>34619894</v>
      </c>
      <c r="O480" s="3">
        <f>SUM($N$24:N479)</f>
        <v>1593753151</v>
      </c>
      <c r="P480" s="3">
        <f>K480*VLOOKUP(A480,金币产出!$I$7:$J$557,2,0)</f>
        <v>696.14765287632599</v>
      </c>
    </row>
    <row r="481" spans="1:16" x14ac:dyDescent="0.15">
      <c r="A481" s="3">
        <v>458</v>
      </c>
      <c r="B481" s="3">
        <f t="shared" si="54"/>
        <v>16</v>
      </c>
      <c r="C481" s="3">
        <f t="shared" si="55"/>
        <v>193536</v>
      </c>
      <c r="D481" s="3">
        <f t="shared" si="56"/>
        <v>24191.999999999971</v>
      </c>
      <c r="E481" s="3">
        <f>SUM($D$24:D481)</f>
        <v>2385036</v>
      </c>
      <c r="F481" s="3">
        <f t="shared" si="57"/>
        <v>39750.6</v>
      </c>
      <c r="G481" s="3">
        <f t="shared" si="57"/>
        <v>662.51</v>
      </c>
      <c r="H481" s="3">
        <f t="shared" si="58"/>
        <v>27.604583333333334</v>
      </c>
      <c r="I481" s="3">
        <f>IF(ISNA(MATCH(H481,关卡!$E$19:$E$2018,1)),0,MATCH(H481,关卡!$E$19:$E$2018,1))</f>
        <v>1313</v>
      </c>
      <c r="J481" s="3">
        <f>VLOOKUP($I481,关卡!$A$17:$G$2018,6,0)</f>
        <v>311.84834714196489</v>
      </c>
      <c r="K481" s="3">
        <f>VLOOKUP($I481,关卡!$A$17:$G$2018,7,0)</f>
        <v>195.3874596769559</v>
      </c>
      <c r="L481" s="3">
        <f t="shared" si="59"/>
        <v>1122654.0497110735</v>
      </c>
      <c r="M481" s="3">
        <f t="shared" si="60"/>
        <v>703394.85483704123</v>
      </c>
      <c r="N481" s="3">
        <f>INT(D481*J481*VLOOKUP(A481,经验产出!$I$7:$J$557,2,0))</f>
        <v>35023064</v>
      </c>
      <c r="O481" s="3">
        <f>SUM($N$24:N480)</f>
        <v>1628373045</v>
      </c>
      <c r="P481" s="3">
        <f>K481*VLOOKUP(A481,金币产出!$I$7:$J$557,2,0)</f>
        <v>702.58074042172052</v>
      </c>
    </row>
    <row r="482" spans="1:16" x14ac:dyDescent="0.15">
      <c r="A482" s="3">
        <v>459</v>
      </c>
      <c r="B482" s="3">
        <f t="shared" si="54"/>
        <v>16</v>
      </c>
      <c r="C482" s="3">
        <f t="shared" si="55"/>
        <v>217728</v>
      </c>
      <c r="D482" s="3">
        <f t="shared" si="56"/>
        <v>24192</v>
      </c>
      <c r="E482" s="3">
        <f>SUM($D$24:D482)</f>
        <v>2409228</v>
      </c>
      <c r="F482" s="3">
        <f t="shared" si="57"/>
        <v>40153.800000000003</v>
      </c>
      <c r="G482" s="3">
        <f t="shared" si="57"/>
        <v>669.23</v>
      </c>
      <c r="H482" s="3">
        <f t="shared" si="58"/>
        <v>27.884583333333335</v>
      </c>
      <c r="I482" s="3">
        <f>IF(ISNA(MATCH(H482,关卡!$E$19:$E$2018,1)),0,MATCH(H482,关卡!$E$19:$E$2018,1))</f>
        <v>1318</v>
      </c>
      <c r="J482" s="3">
        <f>VLOOKUP($I482,关卡!$A$17:$G$2018,6,0)</f>
        <v>314.864948497439</v>
      </c>
      <c r="K482" s="3">
        <f>VLOOKUP($I482,关卡!$A$17:$G$2018,7,0)</f>
        <v>196.88782561129497</v>
      </c>
      <c r="L482" s="3">
        <f t="shared" si="59"/>
        <v>1133513.8145907803</v>
      </c>
      <c r="M482" s="3">
        <f t="shared" si="60"/>
        <v>708796.17220066197</v>
      </c>
      <c r="N482" s="3">
        <f>INT(D482*J482*VLOOKUP(A482,经验产出!$I$7:$J$557,2,0))</f>
        <v>35361852</v>
      </c>
      <c r="O482" s="3">
        <f>SUM($N$24:N481)</f>
        <v>1663396109</v>
      </c>
      <c r="P482" s="3">
        <f>K482*VLOOKUP(A482,金币产出!$I$7:$J$557,2,0)</f>
        <v>707.97580626061483</v>
      </c>
    </row>
    <row r="483" spans="1:16" x14ac:dyDescent="0.15">
      <c r="A483" s="3">
        <v>460</v>
      </c>
      <c r="B483" s="3">
        <f t="shared" si="54"/>
        <v>16</v>
      </c>
      <c r="C483" s="3">
        <f t="shared" si="55"/>
        <v>241920</v>
      </c>
      <c r="D483" s="3">
        <f t="shared" si="56"/>
        <v>24192</v>
      </c>
      <c r="E483" s="3">
        <f>SUM($D$24:D483)</f>
        <v>2433420</v>
      </c>
      <c r="F483" s="3">
        <f t="shared" si="57"/>
        <v>40557</v>
      </c>
      <c r="G483" s="3">
        <f t="shared" si="57"/>
        <v>675.95</v>
      </c>
      <c r="H483" s="3">
        <f t="shared" si="58"/>
        <v>28.164583333333336</v>
      </c>
      <c r="I483" s="3">
        <f>IF(ISNA(MATCH(H483,关卡!$E$19:$E$2018,1)),0,MATCH(H483,关卡!$E$19:$E$2018,1))</f>
        <v>1324</v>
      </c>
      <c r="J483" s="3">
        <f>VLOOKUP($I483,关卡!$A$17:$G$2018,6,0)</f>
        <v>318.51512201086399</v>
      </c>
      <c r="K483" s="3">
        <f>VLOOKUP($I483,关卡!$A$17:$G$2018,7,0)</f>
        <v>198.69972053591999</v>
      </c>
      <c r="L483" s="3">
        <f t="shared" si="59"/>
        <v>1146654.4392391103</v>
      </c>
      <c r="M483" s="3">
        <f t="shared" si="60"/>
        <v>715318.99392931198</v>
      </c>
      <c r="N483" s="3">
        <f>INT(D483*J483*VLOOKUP(A483,经验产出!$I$7:$J$557,2,0))</f>
        <v>35771796</v>
      </c>
      <c r="O483" s="3">
        <f>SUM($N$24:N482)</f>
        <v>1698757961</v>
      </c>
      <c r="P483" s="3">
        <f>K483*VLOOKUP(A483,金币产出!$I$7:$J$557,2,0)</f>
        <v>714.49107842707895</v>
      </c>
    </row>
    <row r="484" spans="1:16" x14ac:dyDescent="0.15">
      <c r="A484" s="3">
        <v>461</v>
      </c>
      <c r="B484" s="3">
        <f t="shared" si="54"/>
        <v>16</v>
      </c>
      <c r="C484" s="3">
        <f t="shared" si="55"/>
        <v>266112</v>
      </c>
      <c r="D484" s="3">
        <f t="shared" si="56"/>
        <v>24192</v>
      </c>
      <c r="E484" s="3">
        <f>SUM($D$24:D484)</f>
        <v>2457612</v>
      </c>
      <c r="F484" s="3">
        <f t="shared" si="57"/>
        <v>40960.199999999997</v>
      </c>
      <c r="G484" s="3">
        <f t="shared" si="57"/>
        <v>682.67</v>
      </c>
      <c r="H484" s="3">
        <f t="shared" si="58"/>
        <v>28.44458333333333</v>
      </c>
      <c r="I484" s="3">
        <f>IF(ISNA(MATCH(H484,关卡!$E$19:$E$2018,1)),0,MATCH(H484,关卡!$E$19:$E$2018,1))</f>
        <v>1329</v>
      </c>
      <c r="J484" s="3">
        <f>VLOOKUP($I484,关卡!$A$17:$G$2018,6,0)</f>
        <v>321.58229213514488</v>
      </c>
      <c r="K484" s="3">
        <f>VLOOKUP($I484,关卡!$A$17:$G$2018,7,0)</f>
        <v>200.21922358485591</v>
      </c>
      <c r="L484" s="3">
        <f t="shared" si="59"/>
        <v>1157696.2516865216</v>
      </c>
      <c r="M484" s="3">
        <f t="shared" si="60"/>
        <v>720789.20490548119</v>
      </c>
      <c r="N484" s="3">
        <f>INT(D484*J484*VLOOKUP(A484,经验产出!$I$7:$J$557,2,0))</f>
        <v>36116264</v>
      </c>
      <c r="O484" s="3">
        <f>SUM($N$24:N483)</f>
        <v>1734529757</v>
      </c>
      <c r="P484" s="3">
        <f>K484*VLOOKUP(A484,金币产出!$I$7:$J$557,2,0)</f>
        <v>719.95495814054436</v>
      </c>
    </row>
    <row r="485" spans="1:16" x14ac:dyDescent="0.15">
      <c r="A485" s="3">
        <v>462</v>
      </c>
      <c r="B485" s="3">
        <f t="shared" si="54"/>
        <v>16</v>
      </c>
      <c r="C485" s="3">
        <f t="shared" si="55"/>
        <v>290304</v>
      </c>
      <c r="D485" s="3">
        <f t="shared" si="56"/>
        <v>24192</v>
      </c>
      <c r="E485" s="3">
        <f>SUM($D$24:D485)</f>
        <v>2481804</v>
      </c>
      <c r="F485" s="3">
        <f t="shared" si="57"/>
        <v>41363.4</v>
      </c>
      <c r="G485" s="3">
        <f t="shared" si="57"/>
        <v>689.39</v>
      </c>
      <c r="H485" s="3">
        <f t="shared" si="58"/>
        <v>28.724583333333332</v>
      </c>
      <c r="I485" s="3">
        <f>IF(ISNA(MATCH(H485,关卡!$E$19:$E$2018,1)),0,MATCH(H485,关卡!$E$19:$E$2018,1))</f>
        <v>1334</v>
      </c>
      <c r="J485" s="3">
        <f>VLOOKUP($I485,关卡!$A$17:$G$2018,6,0)</f>
        <v>324.67265160607906</v>
      </c>
      <c r="K485" s="3">
        <f>VLOOKUP($I485,关卡!$A$17:$G$2018,7,0)</f>
        <v>201.74748557049503</v>
      </c>
      <c r="L485" s="3">
        <f t="shared" si="59"/>
        <v>1168821.5457818846</v>
      </c>
      <c r="M485" s="3">
        <f t="shared" si="60"/>
        <v>726290.94805378211</v>
      </c>
      <c r="N485" s="3">
        <f>INT(D485*J485*VLOOKUP(A485,经验产出!$I$7:$J$557,2,0))</f>
        <v>36463336</v>
      </c>
      <c r="O485" s="3">
        <f>SUM($N$24:N484)</f>
        <v>1770646021</v>
      </c>
      <c r="P485" s="3">
        <f>K485*VLOOKUP(A485,金币产出!$I$7:$J$557,2,0)</f>
        <v>725.4503335305717</v>
      </c>
    </row>
    <row r="486" spans="1:16" x14ac:dyDescent="0.15">
      <c r="A486" s="3">
        <v>463</v>
      </c>
      <c r="B486" s="3">
        <f t="shared" si="54"/>
        <v>16</v>
      </c>
      <c r="C486" s="3">
        <f t="shared" si="55"/>
        <v>314496</v>
      </c>
      <c r="D486" s="3">
        <f t="shared" si="56"/>
        <v>24192</v>
      </c>
      <c r="E486" s="3">
        <f>SUM($D$24:D486)</f>
        <v>2505996</v>
      </c>
      <c r="F486" s="3">
        <f t="shared" si="57"/>
        <v>41766.6</v>
      </c>
      <c r="G486" s="3">
        <f t="shared" si="57"/>
        <v>696.11</v>
      </c>
      <c r="H486" s="3">
        <f t="shared" si="58"/>
        <v>29.004583333333333</v>
      </c>
      <c r="I486" s="3">
        <f>IF(ISNA(MATCH(H486,关卡!$E$19:$E$2018,1)),0,MATCH(H486,关卡!$E$19:$E$2018,1))</f>
        <v>1340</v>
      </c>
      <c r="J486" s="3">
        <f>VLOOKUP($I486,关卡!$A$17:$G$2018,6,0)</f>
        <v>328.41187279000007</v>
      </c>
      <c r="K486" s="3">
        <f>VLOOKUP($I486,关卡!$A$17:$G$2018,7,0)</f>
        <v>203.59301495000003</v>
      </c>
      <c r="L486" s="3">
        <f t="shared" si="59"/>
        <v>1182282.7420440002</v>
      </c>
      <c r="M486" s="3">
        <f t="shared" si="60"/>
        <v>732934.85382000008</v>
      </c>
      <c r="N486" s="3">
        <f>INT(D486*J486*VLOOKUP(A486,经验产出!$I$7:$J$557,2,0))</f>
        <v>36883280</v>
      </c>
      <c r="O486" s="3">
        <f>SUM($N$24:N485)</f>
        <v>1807109357</v>
      </c>
      <c r="P486" s="3">
        <f>K486*VLOOKUP(A486,金币产出!$I$7:$J$557,2,0)</f>
        <v>732.08654959104172</v>
      </c>
    </row>
    <row r="487" spans="1:16" x14ac:dyDescent="0.15">
      <c r="A487" s="3">
        <v>464</v>
      </c>
      <c r="B487" s="3">
        <f t="shared" si="54"/>
        <v>16</v>
      </c>
      <c r="C487" s="3">
        <f t="shared" si="55"/>
        <v>338688.00000000006</v>
      </c>
      <c r="D487" s="3">
        <f t="shared" si="56"/>
        <v>24192.000000000058</v>
      </c>
      <c r="E487" s="3">
        <f>SUM($D$24:D487)</f>
        <v>2530188</v>
      </c>
      <c r="F487" s="3">
        <f t="shared" si="57"/>
        <v>42169.8</v>
      </c>
      <c r="G487" s="3">
        <f t="shared" si="57"/>
        <v>702.83</v>
      </c>
      <c r="H487" s="3">
        <f t="shared" si="58"/>
        <v>29.284583333333334</v>
      </c>
      <c r="I487" s="3">
        <f>IF(ISNA(MATCH(H487,关卡!$E$19:$E$2018,1)),0,MATCH(H487,关卡!$E$19:$E$2018,1))</f>
        <v>1345</v>
      </c>
      <c r="J487" s="3">
        <f>VLOOKUP($I487,关卡!$A$17:$G$2018,6,0)</f>
        <v>331.55369898746096</v>
      </c>
      <c r="K487" s="3">
        <f>VLOOKUP($I487,关卡!$A$17:$G$2018,7,0)</f>
        <v>205.14067970683593</v>
      </c>
      <c r="L487" s="3">
        <f t="shared" si="59"/>
        <v>1193593.3163548594</v>
      </c>
      <c r="M487" s="3">
        <f t="shared" si="60"/>
        <v>738506.4469446094</v>
      </c>
      <c r="N487" s="3">
        <f>INT(D487*J487*VLOOKUP(A487,经验产出!$I$7:$J$557,2,0))</f>
        <v>37236132</v>
      </c>
      <c r="O487" s="3">
        <f>SUM($N$24:N486)</f>
        <v>1843992637</v>
      </c>
      <c r="P487" s="3">
        <f>K487*VLOOKUP(A487,金币产出!$I$7:$J$557,2,0)</f>
        <v>737.65169411249747</v>
      </c>
    </row>
    <row r="488" spans="1:16" x14ac:dyDescent="0.15">
      <c r="A488" s="3">
        <v>465</v>
      </c>
      <c r="B488" s="3">
        <f t="shared" si="54"/>
        <v>16</v>
      </c>
      <c r="C488" s="3">
        <f t="shared" si="55"/>
        <v>362880</v>
      </c>
      <c r="D488" s="3">
        <f t="shared" si="56"/>
        <v>24191.999999999942</v>
      </c>
      <c r="E488" s="3">
        <f>SUM($D$24:D488)</f>
        <v>2554380</v>
      </c>
      <c r="F488" s="3">
        <f t="shared" si="57"/>
        <v>42573</v>
      </c>
      <c r="G488" s="3">
        <f t="shared" si="57"/>
        <v>709.55</v>
      </c>
      <c r="H488" s="3">
        <f t="shared" si="58"/>
        <v>29.564583333333331</v>
      </c>
      <c r="I488" s="3">
        <f>IF(ISNA(MATCH(H488,关卡!$E$19:$E$2018,1)),0,MATCH(H488,关卡!$E$19:$E$2018,1))</f>
        <v>1350</v>
      </c>
      <c r="J488" s="3">
        <f>VLOOKUP($I488,关卡!$A$17:$G$2018,6,0)</f>
        <v>334.71912460937506</v>
      </c>
      <c r="K488" s="3">
        <f>VLOOKUP($I488,关卡!$A$17:$G$2018,7,0)</f>
        <v>206.69722460937504</v>
      </c>
      <c r="L488" s="3">
        <f t="shared" si="59"/>
        <v>1204988.84859375</v>
      </c>
      <c r="M488" s="3">
        <f t="shared" si="60"/>
        <v>744110.00859375019</v>
      </c>
      <c r="N488" s="3">
        <f>INT(D488*J488*VLOOKUP(A488,经验产出!$I$7:$J$557,2,0))</f>
        <v>37591635</v>
      </c>
      <c r="O488" s="3">
        <f>SUM($N$24:N487)</f>
        <v>1881228769</v>
      </c>
      <c r="P488" s="3">
        <f>K488*VLOOKUP(A488,金币产出!$I$7:$J$557,2,0)</f>
        <v>743.24877015787774</v>
      </c>
    </row>
    <row r="489" spans="1:16" x14ac:dyDescent="0.15">
      <c r="A489" s="3">
        <v>466</v>
      </c>
      <c r="B489" s="3">
        <f t="shared" si="54"/>
        <v>16</v>
      </c>
      <c r="C489" s="3">
        <f t="shared" si="55"/>
        <v>387072</v>
      </c>
      <c r="D489" s="3">
        <f t="shared" si="56"/>
        <v>24192</v>
      </c>
      <c r="E489" s="3">
        <f>SUM($D$24:D489)</f>
        <v>2578572</v>
      </c>
      <c r="F489" s="3">
        <f t="shared" si="57"/>
        <v>42976.2</v>
      </c>
      <c r="G489" s="3">
        <f t="shared" si="57"/>
        <v>716.27</v>
      </c>
      <c r="H489" s="3">
        <f t="shared" si="58"/>
        <v>29.844583333333333</v>
      </c>
      <c r="I489" s="3">
        <f>IF(ISNA(MATCH(H489,关卡!$E$19:$E$2018,1)),0,MATCH(H489,关卡!$E$19:$E$2018,1))</f>
        <v>1356</v>
      </c>
      <c r="J489" s="3">
        <f>VLOOKUP($I489,关卡!$A$17:$G$2018,6,0)</f>
        <v>338.5489681625441</v>
      </c>
      <c r="K489" s="3">
        <f>VLOOKUP($I489,关卡!$A$17:$G$2018,7,0)</f>
        <v>208.57685388632004</v>
      </c>
      <c r="L489" s="3">
        <f t="shared" si="59"/>
        <v>1218776.2853851588</v>
      </c>
      <c r="M489" s="3">
        <f t="shared" si="60"/>
        <v>750876.6739907522</v>
      </c>
      <c r="N489" s="3">
        <f>INT(D489*J489*VLOOKUP(A489,经验产出!$I$7:$J$557,2,0))</f>
        <v>38021757</v>
      </c>
      <c r="O489" s="3">
        <f>SUM($N$24:N488)</f>
        <v>1918820404</v>
      </c>
      <c r="P489" s="3">
        <f>K489*VLOOKUP(A489,金币产出!$I$7:$J$557,2,0)</f>
        <v>750.00760376622577</v>
      </c>
    </row>
    <row r="490" spans="1:16" x14ac:dyDescent="0.15">
      <c r="A490" s="3">
        <v>467</v>
      </c>
      <c r="B490" s="3">
        <f t="shared" si="54"/>
        <v>16</v>
      </c>
      <c r="C490" s="3">
        <f t="shared" si="55"/>
        <v>411264.00000000006</v>
      </c>
      <c r="D490" s="3">
        <f t="shared" si="56"/>
        <v>24192.000000000058</v>
      </c>
      <c r="E490" s="3">
        <f>SUM($D$24:D490)</f>
        <v>2602764</v>
      </c>
      <c r="F490" s="3">
        <f t="shared" si="57"/>
        <v>43379.4</v>
      </c>
      <c r="G490" s="3">
        <f t="shared" si="57"/>
        <v>722.99</v>
      </c>
      <c r="H490" s="3">
        <f t="shared" si="58"/>
        <v>30.124583333333334</v>
      </c>
      <c r="I490" s="3">
        <f>IF(ISNA(MATCH(H490,关卡!$E$19:$E$2018,1)),0,MATCH(H490,关卡!$E$19:$E$2018,1))</f>
        <v>1361</v>
      </c>
      <c r="J490" s="3">
        <f>VLOOKUP($I490,关卡!$A$17:$G$2018,6,0)</f>
        <v>341.76676689558491</v>
      </c>
      <c r="K490" s="3">
        <f>VLOOKUP($I490,关卡!$A$17:$G$2018,7,0)</f>
        <v>210.15306922305592</v>
      </c>
      <c r="L490" s="3">
        <f t="shared" si="59"/>
        <v>1230360.3608241058</v>
      </c>
      <c r="M490" s="3">
        <f t="shared" si="60"/>
        <v>756551.04920300131</v>
      </c>
      <c r="N490" s="3">
        <f>INT(D490*J490*VLOOKUP(A490,经验产出!$I$7:$J$557,2,0))</f>
        <v>38383142</v>
      </c>
      <c r="O490" s="3">
        <f>SUM($N$24:N489)</f>
        <v>1956842161</v>
      </c>
      <c r="P490" s="3">
        <f>K490*VLOOKUP(A490,金币产出!$I$7:$J$557,2,0)</f>
        <v>755.67541141457184</v>
      </c>
    </row>
    <row r="491" spans="1:16" x14ac:dyDescent="0.15">
      <c r="A491" s="3">
        <v>468</v>
      </c>
      <c r="B491" s="3">
        <f t="shared" si="54"/>
        <v>16</v>
      </c>
      <c r="C491" s="3">
        <f t="shared" si="55"/>
        <v>435456</v>
      </c>
      <c r="D491" s="3">
        <f t="shared" si="56"/>
        <v>24191.999999999942</v>
      </c>
      <c r="E491" s="3">
        <f>SUM($D$24:D491)</f>
        <v>2626956</v>
      </c>
      <c r="F491" s="3">
        <f t="shared" si="57"/>
        <v>43782.6</v>
      </c>
      <c r="G491" s="3">
        <f t="shared" si="57"/>
        <v>729.70999999999992</v>
      </c>
      <c r="H491" s="3">
        <f t="shared" si="58"/>
        <v>30.404583333333331</v>
      </c>
      <c r="I491" s="3">
        <f>IF(ISNA(MATCH(H491,关卡!$E$19:$E$2018,1)),0,MATCH(H491,关卡!$E$19:$E$2018,1))</f>
        <v>1366</v>
      </c>
      <c r="J491" s="3">
        <f>VLOOKUP($I491,关卡!$A$17:$G$2018,6,0)</f>
        <v>345.00857896127911</v>
      </c>
      <c r="K491" s="3">
        <f>VLOOKUP($I491,关卡!$A$17:$G$2018,7,0)</f>
        <v>211.73828682649503</v>
      </c>
      <c r="L491" s="3">
        <f t="shared" si="59"/>
        <v>1242030.8842606046</v>
      </c>
      <c r="M491" s="3">
        <f t="shared" si="60"/>
        <v>762257.83257538208</v>
      </c>
      <c r="N491" s="3">
        <f>INT(D491*J491*VLOOKUP(A491,经验产出!$I$7:$J$557,2,0))</f>
        <v>38747223</v>
      </c>
      <c r="O491" s="3">
        <f>SUM($N$24:N490)</f>
        <v>1995225303</v>
      </c>
      <c r="P491" s="3">
        <f>K491*VLOOKUP(A491,金币产出!$I$7:$J$557,2,0)</f>
        <v>761.375589713605</v>
      </c>
    </row>
    <row r="492" spans="1:16" x14ac:dyDescent="0.15">
      <c r="A492" s="3">
        <v>469</v>
      </c>
      <c r="B492" s="3">
        <f t="shared" si="54"/>
        <v>16</v>
      </c>
      <c r="C492" s="3">
        <f t="shared" si="55"/>
        <v>459648</v>
      </c>
      <c r="D492" s="3">
        <f t="shared" si="56"/>
        <v>24192</v>
      </c>
      <c r="E492" s="3">
        <f>SUM($D$24:D492)</f>
        <v>2651148</v>
      </c>
      <c r="F492" s="3">
        <f t="shared" si="57"/>
        <v>44185.8</v>
      </c>
      <c r="G492" s="3">
        <f t="shared" si="57"/>
        <v>736.43000000000006</v>
      </c>
      <c r="H492" s="3">
        <f t="shared" si="58"/>
        <v>30.684583333333336</v>
      </c>
      <c r="I492" s="3">
        <f>IF(ISNA(MATCH(H492,关卡!$E$19:$E$2018,1)),0,MATCH(H492,关卡!$E$19:$E$2018,1))</f>
        <v>1372</v>
      </c>
      <c r="J492" s="3">
        <f>VLOOKUP($I492,关卡!$A$17:$G$2018,6,0)</f>
        <v>348.93063429118411</v>
      </c>
      <c r="K492" s="3">
        <f>VLOOKUP($I492,关卡!$A$17:$G$2018,7,0)</f>
        <v>213.65248494552003</v>
      </c>
      <c r="L492" s="3">
        <f t="shared" si="59"/>
        <v>1256150.2834482628</v>
      </c>
      <c r="M492" s="3">
        <f t="shared" si="60"/>
        <v>769148.94580387208</v>
      </c>
      <c r="N492" s="3">
        <f>INT(D492*J492*VLOOKUP(A492,经验产出!$I$7:$J$557,2,0))</f>
        <v>39187701</v>
      </c>
      <c r="O492" s="3">
        <f>SUM($N$24:N491)</f>
        <v>2033972526</v>
      </c>
      <c r="P492" s="3">
        <f>K492*VLOOKUP(A492,金币产出!$I$7:$J$557,2,0)</f>
        <v>768.25872711659906</v>
      </c>
    </row>
    <row r="493" spans="1:16" x14ac:dyDescent="0.15">
      <c r="A493" s="3">
        <v>470</v>
      </c>
      <c r="B493" s="3">
        <f t="shared" si="54"/>
        <v>16</v>
      </c>
      <c r="C493" s="3">
        <f t="shared" si="55"/>
        <v>483840</v>
      </c>
      <c r="D493" s="3">
        <f t="shared" si="56"/>
        <v>24192</v>
      </c>
      <c r="E493" s="3">
        <f>SUM($D$24:D493)</f>
        <v>2675340</v>
      </c>
      <c r="F493" s="3">
        <f t="shared" si="57"/>
        <v>44589</v>
      </c>
      <c r="G493" s="3">
        <f t="shared" si="57"/>
        <v>743.15</v>
      </c>
      <c r="H493" s="3">
        <f t="shared" si="58"/>
        <v>30.964583333333334</v>
      </c>
      <c r="I493" s="3">
        <f>IF(ISNA(MATCH(H493,关卡!$E$19:$E$2018,1)),0,MATCH(H493,关卡!$E$19:$E$2018,1))</f>
        <v>1377</v>
      </c>
      <c r="J493" s="3">
        <f>VLOOKUP($I493,关卡!$A$17:$G$2018,6,0)</f>
        <v>352.22573427948493</v>
      </c>
      <c r="K493" s="3">
        <f>VLOOKUP($I493,关卡!$A$17:$G$2018,7,0)</f>
        <v>215.25764265255592</v>
      </c>
      <c r="L493" s="3">
        <f t="shared" si="59"/>
        <v>1268012.6434061457</v>
      </c>
      <c r="M493" s="3">
        <f t="shared" si="60"/>
        <v>774927.51354920119</v>
      </c>
      <c r="N493" s="3">
        <f>INT(D493*J493*VLOOKUP(A493,经验产出!$I$7:$J$557,2,0))</f>
        <v>39557767</v>
      </c>
      <c r="O493" s="3">
        <f>SUM($N$24:N492)</f>
        <v>2073160227</v>
      </c>
      <c r="P493" s="3">
        <f>K493*VLOOKUP(A493,金币产出!$I$7:$J$557,2,0)</f>
        <v>774.03060670481557</v>
      </c>
    </row>
    <row r="494" spans="1:16" x14ac:dyDescent="0.15">
      <c r="A494" s="3">
        <v>471</v>
      </c>
      <c r="B494" s="3">
        <f t="shared" si="54"/>
        <v>16</v>
      </c>
      <c r="C494" s="3">
        <f t="shared" si="55"/>
        <v>508032</v>
      </c>
      <c r="D494" s="3">
        <f t="shared" si="56"/>
        <v>24192</v>
      </c>
      <c r="E494" s="3">
        <f>SUM($D$24:D494)</f>
        <v>2699532</v>
      </c>
      <c r="F494" s="3">
        <f t="shared" si="57"/>
        <v>44992.2</v>
      </c>
      <c r="G494" s="3">
        <f t="shared" si="57"/>
        <v>749.87</v>
      </c>
      <c r="H494" s="3">
        <f t="shared" si="58"/>
        <v>31.244583333333335</v>
      </c>
      <c r="I494" s="3">
        <f>IF(ISNA(MATCH(H494,关卡!$E$19:$E$2018,1)),0,MATCH(H494,关卡!$E$19:$E$2018,1))</f>
        <v>1382</v>
      </c>
      <c r="J494" s="3">
        <f>VLOOKUP($I494,关卡!$A$17:$G$2018,6,0)</f>
        <v>355.54526533903891</v>
      </c>
      <c r="K494" s="3">
        <f>VLOOKUP($I494,关卡!$A$17:$G$2018,7,0)</f>
        <v>216.87192565929496</v>
      </c>
      <c r="L494" s="3">
        <f t="shared" si="59"/>
        <v>1279962.9552205401</v>
      </c>
      <c r="M494" s="3">
        <f t="shared" si="60"/>
        <v>780738.9323734619</v>
      </c>
      <c r="N494" s="3">
        <f>INT(D494*J494*VLOOKUP(A494,经验产出!$I$7:$J$557,2,0))</f>
        <v>39930577</v>
      </c>
      <c r="O494" s="3">
        <f>SUM($N$24:N493)</f>
        <v>2112717994</v>
      </c>
      <c r="P494" s="3">
        <f>K494*VLOOKUP(A494,金币产出!$I$7:$J$557,2,0)</f>
        <v>779.83529934988144</v>
      </c>
    </row>
    <row r="495" spans="1:16" x14ac:dyDescent="0.15">
      <c r="A495" s="3">
        <v>472</v>
      </c>
      <c r="B495" s="3">
        <f t="shared" si="54"/>
        <v>16</v>
      </c>
      <c r="C495" s="3">
        <f t="shared" si="55"/>
        <v>532224</v>
      </c>
      <c r="D495" s="3">
        <f t="shared" si="56"/>
        <v>24192</v>
      </c>
      <c r="E495" s="3">
        <f>SUM($D$24:D495)</f>
        <v>2723724</v>
      </c>
      <c r="F495" s="3">
        <f t="shared" si="57"/>
        <v>45395.4</v>
      </c>
      <c r="G495" s="3">
        <f t="shared" si="57"/>
        <v>756.59</v>
      </c>
      <c r="H495" s="3">
        <f t="shared" si="58"/>
        <v>31.524583333333336</v>
      </c>
      <c r="I495" s="3">
        <f>IF(ISNA(MATCH(H495,关卡!$E$19:$E$2018,1)),0,MATCH(H495,关卡!$E$19:$E$2018,1))</f>
        <v>1387</v>
      </c>
      <c r="J495" s="3">
        <f>VLOOKUP($I495,关卡!$A$17:$G$2018,6,0)</f>
        <v>358.88935879868995</v>
      </c>
      <c r="K495" s="3">
        <f>VLOOKUP($I495,关卡!$A$17:$G$2018,7,0)</f>
        <v>218.49537260058094</v>
      </c>
      <c r="L495" s="3">
        <f t="shared" si="59"/>
        <v>1292001.6916752839</v>
      </c>
      <c r="M495" s="3">
        <f t="shared" si="60"/>
        <v>786583.34136209136</v>
      </c>
      <c r="N495" s="3">
        <f>INT(D495*J495*VLOOKUP(A495,经验产出!$I$7:$J$557,2,0))</f>
        <v>40306146</v>
      </c>
      <c r="O495" s="3">
        <f>SUM($N$24:N494)</f>
        <v>2152648571</v>
      </c>
      <c r="P495" s="3">
        <f>K495*VLOOKUP(A495,金币产出!$I$7:$J$557,2,0)</f>
        <v>785.67294397625562</v>
      </c>
    </row>
    <row r="496" spans="1:16" x14ac:dyDescent="0.15">
      <c r="A496" s="3">
        <v>473</v>
      </c>
      <c r="B496" s="3">
        <f t="shared" si="54"/>
        <v>16</v>
      </c>
      <c r="C496" s="3">
        <f t="shared" si="55"/>
        <v>556416</v>
      </c>
      <c r="D496" s="3">
        <f t="shared" si="56"/>
        <v>24192</v>
      </c>
      <c r="E496" s="3">
        <f>SUM($D$24:D496)</f>
        <v>2747916</v>
      </c>
      <c r="F496" s="3">
        <f t="shared" si="57"/>
        <v>45798.6</v>
      </c>
      <c r="G496" s="3">
        <f t="shared" si="57"/>
        <v>763.31</v>
      </c>
      <c r="H496" s="3">
        <f t="shared" si="58"/>
        <v>31.80458333333333</v>
      </c>
      <c r="I496" s="3">
        <f>IF(ISNA(MATCH(H496,关卡!$E$19:$E$2018,1)),0,MATCH(H496,关卡!$E$19:$E$2018,1))</f>
        <v>1392</v>
      </c>
      <c r="J496" s="3">
        <f>VLOOKUP($I496,关卡!$A$17:$G$2018,6,0)</f>
        <v>362.25814636134396</v>
      </c>
      <c r="K496" s="3">
        <f>VLOOKUP($I496,关卡!$A$17:$G$2018,7,0)</f>
        <v>220.12802220031998</v>
      </c>
      <c r="L496" s="3">
        <f t="shared" si="59"/>
        <v>1304129.3269008382</v>
      </c>
      <c r="M496" s="3">
        <f t="shared" si="60"/>
        <v>792460.87992115191</v>
      </c>
      <c r="N496" s="3">
        <f>INT(D496*J496*VLOOKUP(A496,经验产出!$I$7:$J$557,2,0))</f>
        <v>40684487</v>
      </c>
      <c r="O496" s="3">
        <f>SUM($N$24:N495)</f>
        <v>2192954717</v>
      </c>
      <c r="P496" s="3">
        <f>K496*VLOOKUP(A496,金币产出!$I$7:$J$557,2,0)</f>
        <v>791.54367982865051</v>
      </c>
    </row>
    <row r="497" spans="1:16" x14ac:dyDescent="0.15">
      <c r="A497" s="3">
        <v>474</v>
      </c>
      <c r="B497" s="3">
        <f t="shared" si="54"/>
        <v>16</v>
      </c>
      <c r="C497" s="3">
        <f t="shared" si="55"/>
        <v>580608</v>
      </c>
      <c r="D497" s="3">
        <f t="shared" si="56"/>
        <v>24192</v>
      </c>
      <c r="E497" s="3">
        <f>SUM($D$24:D497)</f>
        <v>2772108</v>
      </c>
      <c r="F497" s="3">
        <f t="shared" si="57"/>
        <v>46201.8</v>
      </c>
      <c r="G497" s="3">
        <f t="shared" si="57"/>
        <v>770.03000000000009</v>
      </c>
      <c r="H497" s="3">
        <f t="shared" si="58"/>
        <v>32.084583333333335</v>
      </c>
      <c r="I497" s="3">
        <f>IF(ISNA(MATCH(H497,关卡!$E$19:$E$2018,1)),0,MATCH(H497,关卡!$E$19:$E$2018,1))</f>
        <v>1397</v>
      </c>
      <c r="J497" s="3">
        <f>VLOOKUP($I497,关卡!$A$17:$G$2018,6,0)</f>
        <v>365.65176010396999</v>
      </c>
      <c r="K497" s="3">
        <f>VLOOKUP($I497,关卡!$A$17:$G$2018,7,0)</f>
        <v>221.76991327148099</v>
      </c>
      <c r="L497" s="3">
        <f t="shared" si="59"/>
        <v>1316346.3363742919</v>
      </c>
      <c r="M497" s="3">
        <f t="shared" si="60"/>
        <v>798371.68777733156</v>
      </c>
      <c r="N497" s="3">
        <f>INT(D497*J497*VLOOKUP(A497,经验产出!$I$7:$J$557,2,0))</f>
        <v>41065617</v>
      </c>
      <c r="O497" s="3">
        <f>SUM($N$24:N496)</f>
        <v>2233639204</v>
      </c>
      <c r="P497" s="3">
        <f>K497*VLOOKUP(A497,金币产出!$I$7:$J$557,2,0)</f>
        <v>797.44764647203374</v>
      </c>
    </row>
    <row r="498" spans="1:16" x14ac:dyDescent="0.15">
      <c r="A498" s="3">
        <v>475</v>
      </c>
      <c r="B498" s="3">
        <f t="shared" si="54"/>
        <v>16</v>
      </c>
      <c r="C498" s="3">
        <f t="shared" si="55"/>
        <v>604800</v>
      </c>
      <c r="D498" s="3">
        <f t="shared" si="56"/>
        <v>24192</v>
      </c>
      <c r="E498" s="3">
        <f>SUM($D$24:D498)</f>
        <v>2796300</v>
      </c>
      <c r="F498" s="3">
        <f t="shared" si="57"/>
        <v>46605</v>
      </c>
      <c r="G498" s="3">
        <f t="shared" si="57"/>
        <v>776.75</v>
      </c>
      <c r="H498" s="3">
        <f t="shared" si="58"/>
        <v>32.364583333333336</v>
      </c>
      <c r="I498" s="3">
        <f>IF(ISNA(MATCH(H498,关卡!$E$19:$E$2018,1)),0,MATCH(H498,关卡!$E$19:$E$2018,1))</f>
        <v>1402</v>
      </c>
      <c r="J498" s="3">
        <f>VLOOKUP($I498,关卡!$A$17:$G$2018,6,0)</f>
        <v>369.07033247759898</v>
      </c>
      <c r="K498" s="3">
        <f>VLOOKUP($I498,关卡!$A$17:$G$2018,7,0)</f>
        <v>223.42108471609495</v>
      </c>
      <c r="L498" s="3">
        <f t="shared" si="59"/>
        <v>1328653.1969193565</v>
      </c>
      <c r="M498" s="3">
        <f t="shared" si="60"/>
        <v>804315.90497794189</v>
      </c>
      <c r="N498" s="3">
        <f>INT(D498*J498*VLOOKUP(A498,经验产出!$I$7:$J$557,2,0))</f>
        <v>41449550</v>
      </c>
      <c r="O498" s="3">
        <f>SUM($N$24:N497)</f>
        <v>2274704821</v>
      </c>
      <c r="P498" s="3">
        <f>K498*VLOOKUP(A498,金币产出!$I$7:$J$557,2,0)</f>
        <v>803.38498379162479</v>
      </c>
    </row>
    <row r="499" spans="1:16" x14ac:dyDescent="0.15">
      <c r="A499" s="3">
        <v>476</v>
      </c>
      <c r="B499" s="3">
        <f t="shared" si="54"/>
        <v>16</v>
      </c>
      <c r="C499" s="3">
        <f t="shared" si="55"/>
        <v>628992</v>
      </c>
      <c r="D499" s="3">
        <f t="shared" si="56"/>
        <v>24192</v>
      </c>
      <c r="E499" s="3">
        <f>SUM($D$24:D499)</f>
        <v>2820492</v>
      </c>
      <c r="F499" s="3">
        <f t="shared" si="57"/>
        <v>47008.2</v>
      </c>
      <c r="G499" s="3">
        <f t="shared" si="57"/>
        <v>783.46999999999991</v>
      </c>
      <c r="H499" s="3">
        <f t="shared" si="58"/>
        <v>32.64458333333333</v>
      </c>
      <c r="I499" s="3">
        <f>IF(ISNA(MATCH(H499,关卡!$E$19:$E$2018,1)),0,MATCH(H499,关卡!$E$19:$E$2018,1))</f>
        <v>1407</v>
      </c>
      <c r="J499" s="3">
        <f>VLOOKUP($I499,关卡!$A$17:$G$2018,6,0)</f>
        <v>372.51399630732493</v>
      </c>
      <c r="K499" s="3">
        <f>VLOOKUP($I499,关卡!$A$17:$G$2018,7,0)</f>
        <v>225.08157552525591</v>
      </c>
      <c r="L499" s="3">
        <f t="shared" si="59"/>
        <v>1341050.3867063697</v>
      </c>
      <c r="M499" s="3">
        <f t="shared" si="60"/>
        <v>810293.67189092119</v>
      </c>
      <c r="N499" s="3">
        <f>INT(D499*J499*VLOOKUP(A499,经验产出!$I$7:$J$557,2,0))</f>
        <v>41836301</v>
      </c>
      <c r="O499" s="3">
        <f>SUM($N$24:N498)</f>
        <v>2316154371</v>
      </c>
      <c r="P499" s="3">
        <f>K499*VLOOKUP(A499,金币产出!$I$7:$J$557,2,0)</f>
        <v>809.35583199289931</v>
      </c>
    </row>
    <row r="500" spans="1:16" x14ac:dyDescent="0.15">
      <c r="A500" s="3">
        <v>477</v>
      </c>
      <c r="B500" s="3">
        <f t="shared" si="54"/>
        <v>16</v>
      </c>
      <c r="C500" s="3">
        <f t="shared" si="55"/>
        <v>653184</v>
      </c>
      <c r="D500" s="3">
        <f t="shared" si="56"/>
        <v>24192</v>
      </c>
      <c r="E500" s="3">
        <f>SUM($D$24:D500)</f>
        <v>2844684</v>
      </c>
      <c r="F500" s="3">
        <f t="shared" si="57"/>
        <v>47411.4</v>
      </c>
      <c r="G500" s="3">
        <f t="shared" si="57"/>
        <v>790.19</v>
      </c>
      <c r="H500" s="3">
        <f t="shared" si="58"/>
        <v>32.924583333333338</v>
      </c>
      <c r="I500" s="3">
        <f>IF(ISNA(MATCH(H500,关卡!$E$19:$E$2018,1)),0,MATCH(H500,关卡!$E$19:$E$2018,1))</f>
        <v>1411</v>
      </c>
      <c r="J500" s="3">
        <f>VLOOKUP($I500,关卡!$A$17:$G$2018,6,0)</f>
        <v>375.28708271675998</v>
      </c>
      <c r="K500" s="3">
        <f>VLOOKUP($I500,关卡!$A$17:$G$2018,7,0)</f>
        <v>226.41670437393094</v>
      </c>
      <c r="L500" s="3">
        <f t="shared" si="59"/>
        <v>1351033.4977803361</v>
      </c>
      <c r="M500" s="3">
        <f t="shared" si="60"/>
        <v>815100.13574615144</v>
      </c>
      <c r="N500" s="3">
        <f>INT(D500*J500*VLOOKUP(A500,经验产出!$I$7:$J$557,2,0))</f>
        <v>42147741</v>
      </c>
      <c r="O500" s="3">
        <f>SUM($N$24:N499)</f>
        <v>2357990672</v>
      </c>
      <c r="P500" s="3">
        <f>K500*VLOOKUP(A500,金币产出!$I$7:$J$557,2,0)</f>
        <v>814.15673281125999</v>
      </c>
    </row>
    <row r="501" spans="1:16" x14ac:dyDescent="0.15">
      <c r="A501" s="3">
        <v>478</v>
      </c>
      <c r="B501" s="3">
        <f t="shared" si="54"/>
        <v>16</v>
      </c>
      <c r="C501" s="3">
        <f t="shared" si="55"/>
        <v>677376.00000000012</v>
      </c>
      <c r="D501" s="3">
        <f t="shared" si="56"/>
        <v>24192.000000000116</v>
      </c>
      <c r="E501" s="3">
        <f>SUM($D$24:D501)</f>
        <v>2868876</v>
      </c>
      <c r="F501" s="3">
        <f t="shared" si="57"/>
        <v>47814.6</v>
      </c>
      <c r="G501" s="3">
        <f t="shared" si="57"/>
        <v>796.91</v>
      </c>
      <c r="H501" s="3">
        <f t="shared" si="58"/>
        <v>33.204583333333332</v>
      </c>
      <c r="I501" s="3">
        <f>IF(ISNA(MATCH(H501,关卡!$E$19:$E$2018,1)),0,MATCH(H501,关卡!$E$19:$E$2018,1))</f>
        <v>1415</v>
      </c>
      <c r="J501" s="3">
        <f>VLOOKUP($I501,关卡!$A$17:$G$2018,6,0)</f>
        <v>378.07638126871097</v>
      </c>
      <c r="K501" s="3">
        <f>VLOOKUP($I501,关卡!$A$17:$G$2018,7,0)</f>
        <v>227.75784267558595</v>
      </c>
      <c r="L501" s="3">
        <f t="shared" si="59"/>
        <v>1361074.9725673595</v>
      </c>
      <c r="M501" s="3">
        <f t="shared" si="60"/>
        <v>819928.23363210948</v>
      </c>
      <c r="N501" s="3">
        <f>INT(D501*J501*VLOOKUP(A501,经验产出!$I$7:$J$557,2,0))</f>
        <v>42461002</v>
      </c>
      <c r="O501" s="3">
        <f>SUM($N$24:N500)</f>
        <v>2400138413</v>
      </c>
      <c r="P501" s="3">
        <f>K501*VLOOKUP(A501,金币产出!$I$7:$J$557,2,0)</f>
        <v>818.97924262096114</v>
      </c>
    </row>
    <row r="502" spans="1:16" x14ac:dyDescent="0.15">
      <c r="A502" s="3">
        <v>479</v>
      </c>
      <c r="B502" s="3">
        <f t="shared" si="54"/>
        <v>16</v>
      </c>
      <c r="C502" s="3">
        <f t="shared" si="55"/>
        <v>701568</v>
      </c>
      <c r="D502" s="3">
        <f t="shared" si="56"/>
        <v>24191.999999999884</v>
      </c>
      <c r="E502" s="3">
        <f>SUM($D$24:D502)</f>
        <v>2893068</v>
      </c>
      <c r="F502" s="3">
        <f t="shared" si="57"/>
        <v>48217.8</v>
      </c>
      <c r="G502" s="3">
        <f t="shared" si="57"/>
        <v>803.63</v>
      </c>
      <c r="H502" s="3">
        <f t="shared" si="58"/>
        <v>33.484583333333333</v>
      </c>
      <c r="I502" s="3">
        <f>IF(ISNA(MATCH(H502,关卡!$E$19:$E$2018,1)),0,MATCH(H502,关卡!$E$19:$E$2018,1))</f>
        <v>1420</v>
      </c>
      <c r="J502" s="3">
        <f>VLOOKUP($I502,关卡!$A$17:$G$2018,6,0)</f>
        <v>381.58590718999994</v>
      </c>
      <c r="K502" s="3">
        <f>VLOOKUP($I502,关卡!$A$17:$G$2018,7,0)</f>
        <v>229.44274694999999</v>
      </c>
      <c r="L502" s="3">
        <f t="shared" si="59"/>
        <v>1373709.2658839999</v>
      </c>
      <c r="M502" s="3">
        <f t="shared" si="60"/>
        <v>825993.88901999989</v>
      </c>
      <c r="N502" s="3">
        <f>INT(D502*J502*VLOOKUP(A502,经验产出!$I$7:$J$557,2,0))</f>
        <v>42855150</v>
      </c>
      <c r="O502" s="3">
        <f>SUM($N$24:N501)</f>
        <v>2442599415</v>
      </c>
      <c r="P502" s="3">
        <f>K502*VLOOKUP(A502,金币产出!$I$7:$J$557,2,0)</f>
        <v>825.03787757437487</v>
      </c>
    </row>
    <row r="503" spans="1:16" x14ac:dyDescent="0.15">
      <c r="A503" s="3">
        <v>480</v>
      </c>
      <c r="B503" s="3">
        <f t="shared" si="54"/>
        <v>16</v>
      </c>
      <c r="C503" s="3">
        <f t="shared" si="55"/>
        <v>725760</v>
      </c>
      <c r="D503" s="3">
        <f t="shared" si="56"/>
        <v>24192</v>
      </c>
      <c r="E503" s="3">
        <f>SUM($D$24:D503)</f>
        <v>2917260</v>
      </c>
      <c r="F503" s="3">
        <f t="shared" si="57"/>
        <v>48621</v>
      </c>
      <c r="G503" s="3">
        <f t="shared" si="57"/>
        <v>810.35</v>
      </c>
      <c r="H503" s="3">
        <f t="shared" si="58"/>
        <v>33.764583333333334</v>
      </c>
      <c r="I503" s="3">
        <f>IF(ISNA(MATCH(H503,关卡!$E$19:$E$2018,1)),0,MATCH(H503,关卡!$E$19:$E$2018,1))</f>
        <v>1424</v>
      </c>
      <c r="J503" s="3">
        <f>VLOOKUP($I503,关卡!$A$17:$G$2018,6,0)</f>
        <v>384.41193383526394</v>
      </c>
      <c r="K503" s="3">
        <f>VLOOKUP($I503,关卡!$A$17:$G$2018,7,0)</f>
        <v>230.79748001791995</v>
      </c>
      <c r="L503" s="3">
        <f t="shared" si="59"/>
        <v>1383882.9618069502</v>
      </c>
      <c r="M503" s="3">
        <f t="shared" si="60"/>
        <v>830870.92806451186</v>
      </c>
      <c r="N503" s="3">
        <f>INT(D503*J503*VLOOKUP(A503,经验产出!$I$7:$J$557,2,0))</f>
        <v>43172535</v>
      </c>
      <c r="O503" s="3">
        <f>SUM($N$24:N502)</f>
        <v>2485454565</v>
      </c>
      <c r="P503" s="3">
        <f>K503*VLOOKUP(A503,金币产出!$I$7:$J$557,2,0)</f>
        <v>829.90927189777051</v>
      </c>
    </row>
    <row r="504" spans="1:16" x14ac:dyDescent="0.15">
      <c r="A504" s="3">
        <v>481</v>
      </c>
      <c r="B504" s="3">
        <f t="shared" si="54"/>
        <v>16</v>
      </c>
      <c r="C504" s="3">
        <f t="shared" si="55"/>
        <v>749952</v>
      </c>
      <c r="D504" s="3">
        <f t="shared" si="56"/>
        <v>24192</v>
      </c>
      <c r="E504" s="3">
        <f>SUM($D$24:D504)</f>
        <v>2941452</v>
      </c>
      <c r="F504" s="3">
        <f t="shared" si="57"/>
        <v>49024.2</v>
      </c>
      <c r="G504" s="3">
        <f t="shared" si="57"/>
        <v>817.06999999999994</v>
      </c>
      <c r="H504" s="3">
        <f t="shared" si="58"/>
        <v>34.044583333333328</v>
      </c>
      <c r="I504" s="3">
        <f>IF(ISNA(MATCH(H504,关卡!$E$19:$E$2018,1)),0,MATCH(H504,关卡!$E$19:$E$2018,1))</f>
        <v>1428</v>
      </c>
      <c r="J504" s="3">
        <f>VLOOKUP($I504,关卡!$A$17:$G$2018,6,0)</f>
        <v>387.25439588478395</v>
      </c>
      <c r="K504" s="3">
        <f>VLOOKUP($I504,关卡!$A$17:$G$2018,7,0)</f>
        <v>232.15828795351996</v>
      </c>
      <c r="L504" s="3">
        <f t="shared" si="59"/>
        <v>1394115.8251852223</v>
      </c>
      <c r="M504" s="3">
        <f t="shared" si="60"/>
        <v>835769.83663267188</v>
      </c>
      <c r="N504" s="3">
        <f>INT(D504*J504*VLOOKUP(A504,经验产出!$I$7:$J$557,2,0))</f>
        <v>43491766</v>
      </c>
      <c r="O504" s="3">
        <f>SUM($N$24:N503)</f>
        <v>2528627100</v>
      </c>
      <c r="P504" s="3">
        <f>K504*VLOOKUP(A504,金币产出!$I$7:$J$557,2,0)</f>
        <v>834.80251043286546</v>
      </c>
    </row>
    <row r="505" spans="1:16" x14ac:dyDescent="0.15">
      <c r="A505" s="3">
        <v>482</v>
      </c>
      <c r="B505" s="3">
        <f t="shared" si="54"/>
        <v>16</v>
      </c>
      <c r="C505" s="3">
        <f t="shared" si="55"/>
        <v>774144</v>
      </c>
      <c r="D505" s="3">
        <f t="shared" si="56"/>
        <v>24192</v>
      </c>
      <c r="E505" s="3">
        <f>SUM($D$24:D505)</f>
        <v>2965644</v>
      </c>
      <c r="F505" s="3">
        <f t="shared" si="57"/>
        <v>49427.4</v>
      </c>
      <c r="G505" s="3">
        <f t="shared" si="57"/>
        <v>823.79000000000008</v>
      </c>
      <c r="H505" s="3">
        <f t="shared" si="58"/>
        <v>34.324583333333337</v>
      </c>
      <c r="I505" s="3">
        <f>IF(ISNA(MATCH(H505,关卡!$E$19:$E$2018,1)),0,MATCH(H505,关卡!$E$19:$E$2018,1))</f>
        <v>1433</v>
      </c>
      <c r="J505" s="3">
        <f>VLOOKUP($I505,关卡!$A$17:$G$2018,6,0)</f>
        <v>390.83069089845503</v>
      </c>
      <c r="K505" s="3">
        <f>VLOOKUP($I505,关卡!$A$17:$G$2018,7,0)</f>
        <v>233.86787144040596</v>
      </c>
      <c r="L505" s="3">
        <f t="shared" si="59"/>
        <v>1406990.4872344381</v>
      </c>
      <c r="M505" s="3">
        <f t="shared" si="60"/>
        <v>841924.33718546154</v>
      </c>
      <c r="N505" s="3">
        <f>INT(D505*J505*VLOOKUP(A505,经验产出!$I$7:$J$557,2,0))</f>
        <v>43893413</v>
      </c>
      <c r="O505" s="3">
        <f>SUM($N$24:N504)</f>
        <v>2572118866</v>
      </c>
      <c r="P505" s="3">
        <f>K505*VLOOKUP(A505,金币产出!$I$7:$J$557,2,0)</f>
        <v>840.9498877211264</v>
      </c>
    </row>
    <row r="506" spans="1:16" x14ac:dyDescent="0.15">
      <c r="A506" s="3">
        <v>483</v>
      </c>
      <c r="B506" s="3">
        <f t="shared" si="54"/>
        <v>16</v>
      </c>
      <c r="C506" s="3">
        <f t="shared" si="55"/>
        <v>798336</v>
      </c>
      <c r="D506" s="3">
        <f t="shared" si="56"/>
        <v>24192</v>
      </c>
      <c r="E506" s="3">
        <f>SUM($D$24:D506)</f>
        <v>2989836</v>
      </c>
      <c r="F506" s="3">
        <f t="shared" si="57"/>
        <v>49830.6</v>
      </c>
      <c r="G506" s="3">
        <f t="shared" si="57"/>
        <v>830.51</v>
      </c>
      <c r="H506" s="3">
        <f t="shared" si="58"/>
        <v>34.604583333333331</v>
      </c>
      <c r="I506" s="3">
        <f>IF(ISNA(MATCH(H506,关卡!$E$19:$E$2018,1)),0,MATCH(H506,关卡!$E$19:$E$2018,1))</f>
        <v>1437</v>
      </c>
      <c r="J506" s="3">
        <f>VLOOKUP($I506,关卡!$A$17:$G$2018,6,0)</f>
        <v>393.71038520083994</v>
      </c>
      <c r="K506" s="3">
        <f>VLOOKUP($I506,关卡!$A$17:$G$2018,7,0)</f>
        <v>235.24242175883094</v>
      </c>
      <c r="L506" s="3">
        <f t="shared" si="59"/>
        <v>1417357.3867230236</v>
      </c>
      <c r="M506" s="3">
        <f t="shared" si="60"/>
        <v>846872.71833179146</v>
      </c>
      <c r="N506" s="3">
        <f>INT(D506*J506*VLOOKUP(A506,经验产出!$I$7:$J$557,2,0))</f>
        <v>44216825</v>
      </c>
      <c r="O506" s="3">
        <f>SUM($N$24:N505)</f>
        <v>2616012279</v>
      </c>
      <c r="P506" s="3">
        <f>K506*VLOOKUP(A506,金币产出!$I$7:$J$557,2,0)</f>
        <v>845.89254157446294</v>
      </c>
    </row>
    <row r="507" spans="1:16" x14ac:dyDescent="0.15">
      <c r="A507" s="3">
        <v>484</v>
      </c>
      <c r="B507" s="3">
        <f t="shared" si="54"/>
        <v>16</v>
      </c>
      <c r="C507" s="3">
        <f t="shared" si="55"/>
        <v>822528.00000000012</v>
      </c>
      <c r="D507" s="3">
        <f t="shared" si="56"/>
        <v>24192.000000000116</v>
      </c>
      <c r="E507" s="3">
        <f>SUM($D$24:D507)</f>
        <v>3014028</v>
      </c>
      <c r="F507" s="3">
        <f t="shared" si="57"/>
        <v>50233.8</v>
      </c>
      <c r="G507" s="3">
        <f t="shared" si="57"/>
        <v>837.23</v>
      </c>
      <c r="H507" s="3">
        <f t="shared" si="58"/>
        <v>34.884583333333332</v>
      </c>
      <c r="I507" s="3">
        <f>IF(ISNA(MATCH(H507,关卡!$E$19:$E$2018,1)),0,MATCH(H507,关卡!$E$19:$E$2018,1))</f>
        <v>1441</v>
      </c>
      <c r="J507" s="3">
        <f>VLOOKUP($I507,关卡!$A$17:$G$2018,6,0)</f>
        <v>396.606739787565</v>
      </c>
      <c r="K507" s="3">
        <f>VLOOKUP($I507,关卡!$A$17:$G$2018,7,0)</f>
        <v>236.62311274495593</v>
      </c>
      <c r="L507" s="3">
        <f t="shared" si="59"/>
        <v>1427784.263235234</v>
      </c>
      <c r="M507" s="3">
        <f t="shared" si="60"/>
        <v>851843.20588184136</v>
      </c>
      <c r="N507" s="3">
        <f>INT(D507*J507*VLOOKUP(A507,经验产出!$I$7:$J$557,2,0))</f>
        <v>44542109</v>
      </c>
      <c r="O507" s="3">
        <f>SUM($N$24:N506)</f>
        <v>2660229104</v>
      </c>
      <c r="P507" s="3">
        <f>K507*VLOOKUP(A507,金币产出!$I$7:$J$557,2,0)</f>
        <v>850.85727624540402</v>
      </c>
    </row>
    <row r="508" spans="1:16" x14ac:dyDescent="0.15">
      <c r="A508" s="3">
        <v>485</v>
      </c>
      <c r="B508" s="3">
        <f t="shared" si="54"/>
        <v>16</v>
      </c>
      <c r="C508" s="3">
        <f t="shared" si="55"/>
        <v>846720</v>
      </c>
      <c r="D508" s="3">
        <f t="shared" si="56"/>
        <v>24191.999999999884</v>
      </c>
      <c r="E508" s="3">
        <f>SUM($D$24:D508)</f>
        <v>3038220</v>
      </c>
      <c r="F508" s="3">
        <f t="shared" si="57"/>
        <v>50637</v>
      </c>
      <c r="G508" s="3">
        <f t="shared" si="57"/>
        <v>843.95</v>
      </c>
      <c r="H508" s="3">
        <f t="shared" si="58"/>
        <v>35.164583333333333</v>
      </c>
      <c r="I508" s="3">
        <f>IF(ISNA(MATCH(H508,关卡!$E$19:$E$2018,1)),0,MATCH(H508,关卡!$E$19:$E$2018,1))</f>
        <v>1445</v>
      </c>
      <c r="J508" s="3">
        <f>VLOOKUP($I508,关卡!$A$17:$G$2018,6,0)</f>
        <v>399.51982417808597</v>
      </c>
      <c r="K508" s="3">
        <f>VLOOKUP($I508,关卡!$A$17:$G$2018,7,0)</f>
        <v>238.00996472246095</v>
      </c>
      <c r="L508" s="3">
        <f t="shared" si="59"/>
        <v>1438271.3670411094</v>
      </c>
      <c r="M508" s="3">
        <f t="shared" si="60"/>
        <v>856835.8730008594</v>
      </c>
      <c r="N508" s="3">
        <f>INT(D508*J508*VLOOKUP(A508,经验产出!$I$7:$J$557,2,0))</f>
        <v>44869272</v>
      </c>
      <c r="O508" s="3">
        <f>SUM($N$24:N507)</f>
        <v>2704771213</v>
      </c>
      <c r="P508" s="3">
        <f>K508*VLOOKUP(A508,金币产出!$I$7:$J$557,2,0)</f>
        <v>855.84416481451581</v>
      </c>
    </row>
    <row r="509" spans="1:16" x14ac:dyDescent="0.15">
      <c r="A509" s="3">
        <v>486</v>
      </c>
      <c r="B509" s="3">
        <f t="shared" si="54"/>
        <v>16</v>
      </c>
      <c r="C509" s="3">
        <f t="shared" si="55"/>
        <v>870912</v>
      </c>
      <c r="D509" s="3">
        <f t="shared" si="56"/>
        <v>24192</v>
      </c>
      <c r="E509" s="3">
        <f>SUM($D$24:D509)</f>
        <v>3062412</v>
      </c>
      <c r="F509" s="3">
        <f t="shared" si="57"/>
        <v>51040.2</v>
      </c>
      <c r="G509" s="3">
        <f t="shared" si="57"/>
        <v>850.67</v>
      </c>
      <c r="H509" s="3">
        <f t="shared" si="58"/>
        <v>35.444583333333334</v>
      </c>
      <c r="I509" s="3">
        <f>IF(ISNA(MATCH(H509,关卡!$E$19:$E$2018,1)),0,MATCH(H509,关卡!$E$19:$E$2018,1))</f>
        <v>1450</v>
      </c>
      <c r="J509" s="3">
        <f>VLOOKUP($I509,关卡!$A$17:$G$2018,6,0)</f>
        <v>403.184812109375</v>
      </c>
      <c r="K509" s="3">
        <f>VLOOKUP($I509,关卡!$A$17:$G$2018,7,0)</f>
        <v>239.75222460937499</v>
      </c>
      <c r="L509" s="3">
        <f t="shared" si="59"/>
        <v>1451465.3235937499</v>
      </c>
      <c r="M509" s="3">
        <f t="shared" si="60"/>
        <v>863108.00859374995</v>
      </c>
      <c r="N509" s="3">
        <f>INT(D509*J509*VLOOKUP(A509,经验产出!$I$7:$J$557,2,0))</f>
        <v>45280879</v>
      </c>
      <c r="O509" s="3">
        <f>SUM($N$24:N508)</f>
        <v>2749640485</v>
      </c>
      <c r="P509" s="3">
        <f>K509*VLOOKUP(A509,金币产出!$I$7:$J$557,2,0)</f>
        <v>862.10904099121092</v>
      </c>
    </row>
    <row r="510" spans="1:16" x14ac:dyDescent="0.15">
      <c r="A510" s="3">
        <v>487</v>
      </c>
      <c r="B510" s="3">
        <f t="shared" si="54"/>
        <v>16</v>
      </c>
      <c r="C510" s="3">
        <f t="shared" si="55"/>
        <v>895104</v>
      </c>
      <c r="D510" s="3">
        <f t="shared" si="56"/>
        <v>24192</v>
      </c>
      <c r="E510" s="3">
        <f>SUM($D$24:D510)</f>
        <v>3086604</v>
      </c>
      <c r="F510" s="3">
        <f t="shared" si="57"/>
        <v>51443.4</v>
      </c>
      <c r="G510" s="3">
        <f t="shared" si="57"/>
        <v>857.39</v>
      </c>
      <c r="H510" s="3">
        <f t="shared" si="58"/>
        <v>35.724583333333335</v>
      </c>
      <c r="I510" s="3">
        <f>IF(ISNA(MATCH(H510,关卡!$E$19:$E$2018,1)),0,MATCH(H510,关卡!$E$19:$E$2018,1))</f>
        <v>1454</v>
      </c>
      <c r="J510" s="3">
        <f>VLOOKUP($I510,关卡!$A$17:$G$2018,6,0)</f>
        <v>406.13579353255898</v>
      </c>
      <c r="K510" s="3">
        <f>VLOOKUP($I510,关卡!$A$17:$G$2018,7,0)</f>
        <v>241.15301331489496</v>
      </c>
      <c r="L510" s="3">
        <f t="shared" si="59"/>
        <v>1462088.8567172124</v>
      </c>
      <c r="M510" s="3">
        <f t="shared" si="60"/>
        <v>868150.84793362184</v>
      </c>
      <c r="N510" s="3">
        <f>INT(D510*J510*VLOOKUP(A510,经验产出!$I$7:$J$557,2,0))</f>
        <v>45612298</v>
      </c>
      <c r="O510" s="3">
        <f>SUM($N$24:N509)</f>
        <v>2794921364</v>
      </c>
      <c r="P510" s="3">
        <f>K510*VLOOKUP(A510,金币产出!$I$7:$J$557,2,0)</f>
        <v>867.14604371147641</v>
      </c>
    </row>
    <row r="511" spans="1:16" x14ac:dyDescent="0.15">
      <c r="A511" s="3">
        <v>488</v>
      </c>
      <c r="B511" s="3">
        <f t="shared" si="54"/>
        <v>16</v>
      </c>
      <c r="C511" s="3">
        <f t="shared" si="55"/>
        <v>919296</v>
      </c>
      <c r="D511" s="3">
        <f t="shared" si="56"/>
        <v>24192</v>
      </c>
      <c r="E511" s="3">
        <f>SUM($D$24:D511)</f>
        <v>3110796</v>
      </c>
      <c r="F511" s="3">
        <f t="shared" si="57"/>
        <v>51846.6</v>
      </c>
      <c r="G511" s="3">
        <f t="shared" si="57"/>
        <v>864.11</v>
      </c>
      <c r="H511" s="3">
        <f t="shared" si="58"/>
        <v>36.004583333333336</v>
      </c>
      <c r="I511" s="3">
        <f>IF(ISNA(MATCH(H511,关卡!$E$19:$E$2018,1)),0,MATCH(H511,关卡!$E$19:$E$2018,1))</f>
        <v>1458</v>
      </c>
      <c r="J511" s="3">
        <f>VLOOKUP($I511,关卡!$A$17:$G$2018,6,0)</f>
        <v>409.10373175591894</v>
      </c>
      <c r="K511" s="3">
        <f>VLOOKUP($I511,关卡!$A$17:$G$2018,7,0)</f>
        <v>242.56002931569498</v>
      </c>
      <c r="L511" s="3">
        <f t="shared" si="59"/>
        <v>1472773.4343213083</v>
      </c>
      <c r="M511" s="3">
        <f t="shared" si="60"/>
        <v>873216.10553650197</v>
      </c>
      <c r="N511" s="3">
        <f>INT(D511*J511*VLOOKUP(A511,经验产出!$I$7:$J$557,2,0))</f>
        <v>45945621</v>
      </c>
      <c r="O511" s="3">
        <f>SUM($N$24:N510)</f>
        <v>2840533662</v>
      </c>
      <c r="P511" s="3">
        <f>K511*VLOOKUP(A511,金币产出!$I$7:$J$557,2,0)</f>
        <v>872.20543874768646</v>
      </c>
    </row>
    <row r="512" spans="1:16" x14ac:dyDescent="0.15">
      <c r="A512" s="3">
        <v>489</v>
      </c>
      <c r="B512" s="3">
        <f t="shared" si="54"/>
        <v>16</v>
      </c>
      <c r="C512" s="3">
        <f t="shared" si="55"/>
        <v>943488</v>
      </c>
      <c r="D512" s="3">
        <f t="shared" si="56"/>
        <v>24192</v>
      </c>
      <c r="E512" s="3">
        <f>SUM($D$24:D512)</f>
        <v>3134988</v>
      </c>
      <c r="F512" s="3">
        <f t="shared" si="57"/>
        <v>52249.8</v>
      </c>
      <c r="G512" s="3">
        <f t="shared" si="57"/>
        <v>870.83</v>
      </c>
      <c r="H512" s="3">
        <f t="shared" si="58"/>
        <v>36.284583333333337</v>
      </c>
      <c r="I512" s="3">
        <f>IF(ISNA(MATCH(H512,关卡!$E$19:$E$2018,1)),0,MATCH(H512,关卡!$E$19:$E$2018,1))</f>
        <v>1462</v>
      </c>
      <c r="J512" s="3">
        <f>VLOOKUP($I512,关卡!$A$17:$G$2018,6,0)</f>
        <v>412.088696950079</v>
      </c>
      <c r="K512" s="3">
        <f>VLOOKUP($I512,关卡!$A$17:$G$2018,7,0)</f>
        <v>243.97329309049499</v>
      </c>
      <c r="L512" s="3">
        <f t="shared" si="59"/>
        <v>1483519.3090202843</v>
      </c>
      <c r="M512" s="3">
        <f t="shared" si="60"/>
        <v>878303.85512578196</v>
      </c>
      <c r="N512" s="3">
        <f>INT(D512*J512*VLOOKUP(A512,经验产出!$I$7:$J$557,2,0))</f>
        <v>46280857</v>
      </c>
      <c r="O512" s="3">
        <f>SUM($N$24:N511)</f>
        <v>2886479283</v>
      </c>
      <c r="P512" s="3">
        <f>K512*VLOOKUP(A512,金币产出!$I$7:$J$557,2,0)</f>
        <v>877.28729973790485</v>
      </c>
    </row>
    <row r="513" spans="1:16" x14ac:dyDescent="0.15">
      <c r="A513" s="3">
        <v>490</v>
      </c>
      <c r="B513" s="3">
        <f t="shared" si="54"/>
        <v>16</v>
      </c>
      <c r="C513" s="3">
        <f t="shared" si="55"/>
        <v>967680</v>
      </c>
      <c r="D513" s="3">
        <f t="shared" si="56"/>
        <v>24192</v>
      </c>
      <c r="E513" s="3">
        <f>SUM($D$24:D513)</f>
        <v>3159180</v>
      </c>
      <c r="F513" s="3">
        <f t="shared" si="57"/>
        <v>52653</v>
      </c>
      <c r="G513" s="3">
        <f t="shared" si="57"/>
        <v>877.55</v>
      </c>
      <c r="H513" s="3">
        <f t="shared" si="58"/>
        <v>36.564583333333331</v>
      </c>
      <c r="I513" s="3">
        <f>IF(ISNA(MATCH(H513,关卡!$E$19:$E$2018,1)),0,MATCH(H513,关卡!$E$19:$E$2018,1))</f>
        <v>1466</v>
      </c>
      <c r="J513" s="3">
        <f>VLOOKUP($I513,关卡!$A$17:$G$2018,6,0)</f>
        <v>415.09075943887905</v>
      </c>
      <c r="K513" s="3">
        <f>VLOOKUP($I513,关卡!$A$17:$G$2018,7,0)</f>
        <v>245.39282515449497</v>
      </c>
      <c r="L513" s="3">
        <f t="shared" si="59"/>
        <v>1494326.7339799646</v>
      </c>
      <c r="M513" s="3">
        <f t="shared" si="60"/>
        <v>883414.17055618193</v>
      </c>
      <c r="N513" s="3">
        <f>INT(D513*J513*VLOOKUP(A513,经验产出!$I$7:$J$557,2,0))</f>
        <v>46618013</v>
      </c>
      <c r="O513" s="3">
        <f>SUM($N$24:N512)</f>
        <v>2932760140</v>
      </c>
      <c r="P513" s="3">
        <f>K513*VLOOKUP(A513,金币产出!$I$7:$J$557,2,0)</f>
        <v>882.39170045137143</v>
      </c>
    </row>
    <row r="514" spans="1:16" x14ac:dyDescent="0.15">
      <c r="A514" s="3">
        <v>491</v>
      </c>
      <c r="B514" s="3">
        <f t="shared" si="54"/>
        <v>16</v>
      </c>
      <c r="C514" s="3">
        <f t="shared" si="55"/>
        <v>991871.99999999988</v>
      </c>
      <c r="D514" s="3">
        <f t="shared" si="56"/>
        <v>24191.999999999884</v>
      </c>
      <c r="E514" s="3">
        <f>SUM($D$24:D514)</f>
        <v>3183372</v>
      </c>
      <c r="F514" s="3">
        <f t="shared" si="57"/>
        <v>53056.2</v>
      </c>
      <c r="G514" s="3">
        <f t="shared" si="57"/>
        <v>884.27</v>
      </c>
      <c r="H514" s="3">
        <f t="shared" si="58"/>
        <v>36.844583333333333</v>
      </c>
      <c r="I514" s="3">
        <f>IF(ISNA(MATCH(H514,关卡!$E$19:$E$2018,1)),0,MATCH(H514,关卡!$E$19:$E$2018,1))</f>
        <v>1470</v>
      </c>
      <c r="J514" s="3">
        <f>VLOOKUP($I514,关卡!$A$17:$G$2018,6,0)</f>
        <v>418.10998969937498</v>
      </c>
      <c r="K514" s="3">
        <f>VLOOKUP($I514,关卡!$A$17:$G$2018,7,0)</f>
        <v>246.81864605937494</v>
      </c>
      <c r="L514" s="3">
        <f t="shared" si="59"/>
        <v>1505195.96291775</v>
      </c>
      <c r="M514" s="3">
        <f t="shared" si="60"/>
        <v>888547.12581374974</v>
      </c>
      <c r="N514" s="3">
        <f>INT(D514*J514*VLOOKUP(A514,经验产出!$I$7:$J$557,2,0))</f>
        <v>46957096</v>
      </c>
      <c r="O514" s="3">
        <f>SUM($N$24:N513)</f>
        <v>2979378153</v>
      </c>
      <c r="P514" s="3">
        <f>K514*VLOOKUP(A514,金币产出!$I$7:$J$557,2,0)</f>
        <v>887.51871478850239</v>
      </c>
    </row>
    <row r="515" spans="1:16" x14ac:dyDescent="0.15">
      <c r="A515" s="3">
        <v>492</v>
      </c>
      <c r="B515" s="3">
        <f t="shared" si="54"/>
        <v>16</v>
      </c>
      <c r="C515" s="3">
        <f t="shared" si="55"/>
        <v>1016064</v>
      </c>
      <c r="D515" s="3">
        <f t="shared" si="56"/>
        <v>24192.000000000116</v>
      </c>
      <c r="E515" s="3">
        <f>SUM($D$24:D515)</f>
        <v>3207564</v>
      </c>
      <c r="F515" s="3">
        <f t="shared" si="57"/>
        <v>53459.4</v>
      </c>
      <c r="G515" s="3">
        <f t="shared" si="57"/>
        <v>890.99</v>
      </c>
      <c r="H515" s="3">
        <f t="shared" si="58"/>
        <v>37.124583333333334</v>
      </c>
      <c r="I515" s="3">
        <f>IF(ISNA(MATCH(H515,关卡!$E$19:$E$2018,1)),0,MATCH(H515,关卡!$E$19:$E$2018,1))</f>
        <v>1475</v>
      </c>
      <c r="J515" s="3">
        <f>VLOOKUP($I515,关卡!$A$17:$G$2018,6,0)</f>
        <v>421.90827731933598</v>
      </c>
      <c r="K515" s="3">
        <f>VLOOKUP($I515,关卡!$A$17:$G$2018,7,0)</f>
        <v>248.60979724121097</v>
      </c>
      <c r="L515" s="3">
        <f t="shared" si="59"/>
        <v>1518869.7983496096</v>
      </c>
      <c r="M515" s="3">
        <f t="shared" si="60"/>
        <v>894995.27006835956</v>
      </c>
      <c r="N515" s="3">
        <f>INT(D515*J515*VLOOKUP(A515,经验产出!$I$7:$J$557,2,0))</f>
        <v>47383674</v>
      </c>
      <c r="O515" s="3">
        <f>SUM($N$24:N514)</f>
        <v>3026335249</v>
      </c>
      <c r="P515" s="3">
        <f>K515*VLOOKUP(A515,金币产出!$I$7:$J$557,2,0)</f>
        <v>893.95939591318779</v>
      </c>
    </row>
    <row r="516" spans="1:16" x14ac:dyDescent="0.15">
      <c r="A516" s="3">
        <v>493</v>
      </c>
      <c r="B516" s="3">
        <f t="shared" si="54"/>
        <v>16</v>
      </c>
      <c r="C516" s="3">
        <f t="shared" si="55"/>
        <v>1040256</v>
      </c>
      <c r="D516" s="3">
        <f t="shared" si="56"/>
        <v>24192</v>
      </c>
      <c r="E516" s="3">
        <f>SUM($D$24:D516)</f>
        <v>3231756</v>
      </c>
      <c r="F516" s="3">
        <f t="shared" si="57"/>
        <v>53862.6</v>
      </c>
      <c r="G516" s="3">
        <f t="shared" si="57"/>
        <v>897.70999999999992</v>
      </c>
      <c r="H516" s="3">
        <f t="shared" si="58"/>
        <v>37.404583333333328</v>
      </c>
      <c r="I516" s="3">
        <f>IF(ISNA(MATCH(H516,关卡!$E$19:$E$2018,1)),0,MATCH(H516,关卡!$E$19:$E$2018,1))</f>
        <v>1479</v>
      </c>
      <c r="J516" s="3">
        <f>VLOOKUP($I516,关卡!$A$17:$G$2018,6,0)</f>
        <v>424.96639354149499</v>
      </c>
      <c r="K516" s="3">
        <f>VLOOKUP($I516,关卡!$A$17:$G$2018,7,0)</f>
        <v>250.04984336910596</v>
      </c>
      <c r="L516" s="3">
        <f t="shared" si="59"/>
        <v>1529879.016749382</v>
      </c>
      <c r="M516" s="3">
        <f t="shared" si="60"/>
        <v>900179.43612878141</v>
      </c>
      <c r="N516" s="3">
        <f>INT(D516*J516*VLOOKUP(A516,经验产出!$I$7:$J$557,2,0))</f>
        <v>47727125</v>
      </c>
      <c r="O516" s="3">
        <f>SUM($N$24:N515)</f>
        <v>3073718923</v>
      </c>
      <c r="P516" s="3">
        <f>K516*VLOOKUP(A516,金币产出!$I$7:$J$557,2,0)</f>
        <v>899.13756178141011</v>
      </c>
    </row>
    <row r="517" spans="1:16" x14ac:dyDescent="0.15">
      <c r="A517" s="3">
        <v>494</v>
      </c>
      <c r="B517" s="3">
        <f t="shared" si="54"/>
        <v>16</v>
      </c>
      <c r="C517" s="3">
        <f t="shared" si="55"/>
        <v>1064448</v>
      </c>
      <c r="D517" s="3">
        <f t="shared" si="56"/>
        <v>24192</v>
      </c>
      <c r="E517" s="3">
        <f>SUM($D$24:D517)</f>
        <v>3255948</v>
      </c>
      <c r="F517" s="3">
        <f t="shared" si="57"/>
        <v>54265.8</v>
      </c>
      <c r="G517" s="3">
        <f t="shared" si="57"/>
        <v>904.43000000000006</v>
      </c>
      <c r="H517" s="3">
        <f t="shared" si="58"/>
        <v>37.684583333333336</v>
      </c>
      <c r="I517" s="3">
        <f>IF(ISNA(MATCH(H517,关卡!$E$19:$E$2018,1)),0,MATCH(H517,关卡!$E$19:$E$2018,1))</f>
        <v>1483</v>
      </c>
      <c r="J517" s="3">
        <f>VLOOKUP($I517,关卡!$A$17:$G$2018,6,0)</f>
        <v>428.04190764393002</v>
      </c>
      <c r="K517" s="3">
        <f>VLOOKUP($I517,关卡!$A$17:$G$2018,7,0)</f>
        <v>251.49624538278098</v>
      </c>
      <c r="L517" s="3">
        <f t="shared" si="59"/>
        <v>1540950.8675181479</v>
      </c>
      <c r="M517" s="3">
        <f t="shared" si="60"/>
        <v>905386.4833780115</v>
      </c>
      <c r="N517" s="3">
        <f>INT(D517*J517*VLOOKUP(A517,经验产出!$I$7:$J$557,2,0))</f>
        <v>48072530</v>
      </c>
      <c r="O517" s="3">
        <f>SUM($N$24:N516)</f>
        <v>3121446048</v>
      </c>
      <c r="P517" s="3">
        <f>K517*VLOOKUP(A517,金币产出!$I$7:$J$557,2,0)</f>
        <v>904.3385823555833</v>
      </c>
    </row>
    <row r="518" spans="1:16" x14ac:dyDescent="0.15">
      <c r="A518" s="3">
        <v>495</v>
      </c>
      <c r="B518" s="3">
        <f t="shared" si="54"/>
        <v>16</v>
      </c>
      <c r="C518" s="3">
        <f t="shared" si="55"/>
        <v>1088640</v>
      </c>
      <c r="D518" s="3">
        <f t="shared" si="56"/>
        <v>24192</v>
      </c>
      <c r="E518" s="3">
        <f>SUM($D$24:D518)</f>
        <v>3280140</v>
      </c>
      <c r="F518" s="3">
        <f t="shared" si="57"/>
        <v>54669</v>
      </c>
      <c r="G518" s="3">
        <f t="shared" si="57"/>
        <v>911.15</v>
      </c>
      <c r="H518" s="3">
        <f t="shared" si="58"/>
        <v>37.96458333333333</v>
      </c>
      <c r="I518" s="3">
        <f>IF(ISNA(MATCH(H518,关卡!$E$19:$E$2018,1)),0,MATCH(H518,关卡!$E$19:$E$2018,1))</f>
        <v>1487</v>
      </c>
      <c r="J518" s="3">
        <f>VLOOKUP($I518,关卡!$A$17:$G$2018,6,0)</f>
        <v>431.13489075486507</v>
      </c>
      <c r="K518" s="3">
        <f>VLOOKUP($I518,关卡!$A$17:$G$2018,7,0)</f>
        <v>252.94902398895596</v>
      </c>
      <c r="L518" s="3">
        <f t="shared" si="59"/>
        <v>1552085.6067175141</v>
      </c>
      <c r="M518" s="3">
        <f t="shared" si="60"/>
        <v>910616.48636024143</v>
      </c>
      <c r="N518" s="3">
        <f>INT(D518*J518*VLOOKUP(A518,经验产出!$I$7:$J$557,2,0))</f>
        <v>48419897</v>
      </c>
      <c r="O518" s="3">
        <f>SUM($N$24:N517)</f>
        <v>3169518578</v>
      </c>
      <c r="P518" s="3">
        <f>K518*VLOOKUP(A518,金币产出!$I$7:$J$557,2,0)</f>
        <v>909.5625320936208</v>
      </c>
    </row>
    <row r="519" spans="1:16" x14ac:dyDescent="0.15">
      <c r="A519" s="3">
        <v>496</v>
      </c>
      <c r="B519" s="3">
        <f t="shared" si="54"/>
        <v>16</v>
      </c>
      <c r="C519" s="3">
        <f t="shared" si="55"/>
        <v>1112832</v>
      </c>
      <c r="D519" s="3">
        <f t="shared" si="56"/>
        <v>24192</v>
      </c>
      <c r="E519" s="3">
        <f>SUM($D$24:D519)</f>
        <v>3304332</v>
      </c>
      <c r="F519" s="3">
        <f t="shared" si="57"/>
        <v>55072.2</v>
      </c>
      <c r="G519" s="3">
        <f t="shared" si="57"/>
        <v>917.87</v>
      </c>
      <c r="H519" s="3">
        <f t="shared" si="58"/>
        <v>38.244583333333331</v>
      </c>
      <c r="I519" s="3">
        <f>IF(ISNA(MATCH(H519,关卡!$E$19:$E$2018,1)),0,MATCH(H519,关卡!$E$19:$E$2018,1))</f>
        <v>1491</v>
      </c>
      <c r="J519" s="3">
        <f>VLOOKUP($I519,关卡!$A$17:$G$2018,6,0)</f>
        <v>434.24541415574004</v>
      </c>
      <c r="K519" s="3">
        <f>VLOOKUP($I519,关卡!$A$17:$G$2018,7,0)</f>
        <v>254.40819993083102</v>
      </c>
      <c r="L519" s="3">
        <f t="shared" si="59"/>
        <v>1563283.4909606641</v>
      </c>
      <c r="M519" s="3">
        <f t="shared" si="60"/>
        <v>915869.51975099172</v>
      </c>
      <c r="N519" s="3">
        <f>INT(D519*J519*VLOOKUP(A519,经验产出!$I$7:$J$557,2,0))</f>
        <v>48769233</v>
      </c>
      <c r="O519" s="3">
        <f>SUM($N$24:N518)</f>
        <v>3217938475</v>
      </c>
      <c r="P519" s="3">
        <f>K519*VLOOKUP(A519,金币产出!$I$7:$J$557,2,0)</f>
        <v>914.80948558461318</v>
      </c>
    </row>
    <row r="520" spans="1:16" x14ac:dyDescent="0.15">
      <c r="A520" s="3">
        <v>497</v>
      </c>
      <c r="B520" s="3">
        <f t="shared" si="54"/>
        <v>16</v>
      </c>
      <c r="C520" s="3">
        <f t="shared" si="55"/>
        <v>1137024</v>
      </c>
      <c r="D520" s="3">
        <f t="shared" si="56"/>
        <v>24192</v>
      </c>
      <c r="E520" s="3">
        <f>SUM($D$24:D520)</f>
        <v>3328524</v>
      </c>
      <c r="F520" s="3">
        <f t="shared" si="57"/>
        <v>55475.4</v>
      </c>
      <c r="G520" s="3">
        <f t="shared" si="57"/>
        <v>924.59</v>
      </c>
      <c r="H520" s="3">
        <f t="shared" si="58"/>
        <v>38.524583333333332</v>
      </c>
      <c r="I520" s="3">
        <f>IF(ISNA(MATCH(H520,关卡!$E$19:$E$2018,1)),0,MATCH(H520,关卡!$E$19:$E$2018,1))</f>
        <v>1495</v>
      </c>
      <c r="J520" s="3">
        <f>VLOOKUP($I520,关卡!$A$17:$G$2018,6,0)</f>
        <v>437.37354928121101</v>
      </c>
      <c r="K520" s="3">
        <f>VLOOKUP($I520,关卡!$A$17:$G$2018,7,0)</f>
        <v>255.87379398808596</v>
      </c>
      <c r="L520" s="3">
        <f t="shared" si="59"/>
        <v>1574544.7774123596</v>
      </c>
      <c r="M520" s="3">
        <f t="shared" si="60"/>
        <v>921145.65835710941</v>
      </c>
      <c r="N520" s="3">
        <f>INT(D520*J520*VLOOKUP(A520,经验产出!$I$7:$J$557,2,0))</f>
        <v>49120548</v>
      </c>
      <c r="O520" s="3">
        <f>SUM($N$24:N519)</f>
        <v>3266707708</v>
      </c>
      <c r="P520" s="3">
        <f>K520*VLOOKUP(A520,金币产出!$I$7:$J$557,2,0)</f>
        <v>920.07951754882572</v>
      </c>
    </row>
    <row r="521" spans="1:16" x14ac:dyDescent="0.15">
      <c r="A521" s="3">
        <v>498</v>
      </c>
      <c r="B521" s="3">
        <f t="shared" si="54"/>
        <v>16</v>
      </c>
      <c r="C521" s="3">
        <f t="shared" si="55"/>
        <v>1161216</v>
      </c>
      <c r="D521" s="3">
        <f t="shared" si="56"/>
        <v>24192</v>
      </c>
      <c r="E521" s="3">
        <f>SUM($D$24:D521)</f>
        <v>3352716</v>
      </c>
      <c r="F521" s="3">
        <f t="shared" si="57"/>
        <v>55878.6</v>
      </c>
      <c r="G521" s="3">
        <f t="shared" si="57"/>
        <v>931.31</v>
      </c>
      <c r="H521" s="3">
        <f t="shared" si="58"/>
        <v>38.804583333333333</v>
      </c>
      <c r="I521" s="3">
        <f>IF(ISNA(MATCH(H521,关卡!$E$19:$E$2018,1)),0,MATCH(H521,关卡!$E$19:$E$2018,1))</f>
        <v>1499</v>
      </c>
      <c r="J521" s="3">
        <f>VLOOKUP($I521,关卡!$A$17:$G$2018,6,0)</f>
        <v>440.51936771915007</v>
      </c>
      <c r="K521" s="3">
        <f>VLOOKUP($I521,关卡!$A$17:$G$2018,7,0)</f>
        <v>257.34582697688097</v>
      </c>
      <c r="L521" s="3">
        <f t="shared" si="59"/>
        <v>1585869.7237889403</v>
      </c>
      <c r="M521" s="3">
        <f t="shared" si="60"/>
        <v>926444.97711677151</v>
      </c>
      <c r="N521" s="3">
        <f>INT(D521*J521*VLOOKUP(A521,经验产出!$I$7:$J$557,2,0))</f>
        <v>49473849</v>
      </c>
      <c r="O521" s="3">
        <f>SUM($N$24:N520)</f>
        <v>3315828256</v>
      </c>
      <c r="P521" s="3">
        <f>K521*VLOOKUP(A521,金币产出!$I$7:$J$557,2,0)</f>
        <v>925.37270283770113</v>
      </c>
    </row>
    <row r="522" spans="1:16" x14ac:dyDescent="0.15">
      <c r="A522" s="3">
        <v>499</v>
      </c>
      <c r="B522" s="3">
        <f t="shared" si="54"/>
        <v>16</v>
      </c>
      <c r="C522" s="3">
        <f t="shared" si="55"/>
        <v>1185408</v>
      </c>
      <c r="D522" s="3">
        <f t="shared" si="56"/>
        <v>24192</v>
      </c>
      <c r="E522" s="3">
        <f>SUM($D$24:D522)</f>
        <v>3376908</v>
      </c>
      <c r="F522" s="3">
        <f t="shared" si="57"/>
        <v>56281.8</v>
      </c>
      <c r="G522" s="3">
        <f t="shared" si="57"/>
        <v>938.03000000000009</v>
      </c>
      <c r="H522" s="3">
        <f t="shared" si="58"/>
        <v>39.084583333333335</v>
      </c>
      <c r="I522" s="3">
        <f>IF(ISNA(MATCH(H522,关卡!$E$19:$E$2018,1)),0,MATCH(H522,关卡!$E$19:$E$2018,1))</f>
        <v>1503</v>
      </c>
      <c r="J522" s="3">
        <f>VLOOKUP($I522,关卡!$A$17:$G$2018,6,0)</f>
        <v>443.68294121064491</v>
      </c>
      <c r="K522" s="3">
        <f>VLOOKUP($I522,关卡!$A$17:$G$2018,7,0)</f>
        <v>258.82431974985587</v>
      </c>
      <c r="L522" s="3">
        <f t="shared" si="59"/>
        <v>1597258.5883583217</v>
      </c>
      <c r="M522" s="3">
        <f t="shared" si="60"/>
        <v>931767.55109948118</v>
      </c>
      <c r="N522" s="3">
        <f>INT(D522*J522*VLOOKUP(A522,经验产出!$I$7:$J$557,2,0))</f>
        <v>49829143</v>
      </c>
      <c r="O522" s="3">
        <f>SUM($N$24:N521)</f>
        <v>3365302105</v>
      </c>
      <c r="P522" s="3">
        <f>K522*VLOOKUP(A522,金币产出!$I$7:$J$557,2,0)</f>
        <v>930.68911643385673</v>
      </c>
    </row>
    <row r="523" spans="1:16" x14ac:dyDescent="0.15">
      <c r="A523" s="3">
        <v>500</v>
      </c>
      <c r="B523" s="3">
        <f t="shared" si="54"/>
        <v>16</v>
      </c>
      <c r="C523" s="3">
        <f t="shared" si="55"/>
        <v>1209600</v>
      </c>
      <c r="D523" s="3">
        <f t="shared" si="56"/>
        <v>24192</v>
      </c>
      <c r="E523" s="3">
        <f>SUM($D$24:D523)</f>
        <v>3401100</v>
      </c>
      <c r="F523" s="3">
        <f t="shared" si="57"/>
        <v>56685</v>
      </c>
      <c r="G523" s="3">
        <f t="shared" si="57"/>
        <v>944.75</v>
      </c>
      <c r="H523" s="3">
        <f t="shared" si="58"/>
        <v>39.364583333333336</v>
      </c>
      <c r="I523" s="3">
        <f>IF(ISNA(MATCH(H523,关卡!$E$19:$E$2018,1)),0,MATCH(H523,关卡!$E$19:$E$2018,1))</f>
        <v>1507</v>
      </c>
      <c r="J523" s="3">
        <f>VLOOKUP($I523,关卡!$A$17:$G$2018,6,0)</f>
        <v>446.86434164999986</v>
      </c>
      <c r="K523" s="3">
        <f>VLOOKUP($I523,关卡!$A$17:$G$2018,7,0)</f>
        <v>260.30929319613097</v>
      </c>
      <c r="L523" s="3">
        <f t="shared" si="59"/>
        <v>1608711.6299399994</v>
      </c>
      <c r="M523" s="3">
        <f t="shared" si="60"/>
        <v>937113.45550607145</v>
      </c>
      <c r="N523" s="3">
        <f>INT(D523*J523*VLOOKUP(A523,经验产出!$I$7:$J$557,2,0))</f>
        <v>50186440</v>
      </c>
      <c r="O523" s="3">
        <f>SUM($N$24:N522)</f>
        <v>3415131248</v>
      </c>
      <c r="P523" s="3">
        <f>K523*VLOOKUP(A523,金币产出!$I$7:$J$557,2,0)</f>
        <v>936.02883345108762</v>
      </c>
    </row>
    <row r="524" spans="1:16" x14ac:dyDescent="0.15">
      <c r="A524" s="3">
        <v>501</v>
      </c>
      <c r="B524" s="3">
        <f t="shared" si="54"/>
        <v>17</v>
      </c>
      <c r="C524" s="3">
        <f t="shared" si="55"/>
        <v>24192</v>
      </c>
      <c r="D524" s="3">
        <f t="shared" si="56"/>
        <v>24192</v>
      </c>
      <c r="E524" s="3">
        <f>SUM($D$24:D524)</f>
        <v>3425292</v>
      </c>
      <c r="F524" s="3">
        <f t="shared" si="57"/>
        <v>57088.2</v>
      </c>
      <c r="G524" s="3">
        <f t="shared" si="57"/>
        <v>951.46999999999991</v>
      </c>
      <c r="H524" s="3">
        <f t="shared" si="58"/>
        <v>39.64458333333333</v>
      </c>
      <c r="I524" s="3">
        <f>IF(ISNA(MATCH(H524,关卡!$E$19:$E$2018,1)),0,MATCH(H524,关卡!$E$19:$E$2018,1))</f>
        <v>1511</v>
      </c>
      <c r="J524" s="3">
        <f>VLOOKUP($I524,关卡!$A$17:$G$2018,6,0)</f>
        <v>450.06364108473485</v>
      </c>
      <c r="K524" s="3">
        <f>VLOOKUP($I524,关卡!$A$17:$G$2018,7,0)</f>
        <v>261.80076824130589</v>
      </c>
      <c r="L524" s="3">
        <f t="shared" si="59"/>
        <v>1620229.1079050456</v>
      </c>
      <c r="M524" s="3">
        <f t="shared" si="60"/>
        <v>942482.76566870126</v>
      </c>
      <c r="N524" s="3">
        <f>INT(D524*J524*VLOOKUP(A524,经验产出!$I$7:$J$557,2,0))</f>
        <v>50545747</v>
      </c>
      <c r="O524" s="3">
        <f>SUM($N$24:N523)</f>
        <v>3465317688</v>
      </c>
      <c r="P524" s="3">
        <f>K524*VLOOKUP(A524,金币产出!$I$7:$J$557,2,0)</f>
        <v>941.39192913436239</v>
      </c>
    </row>
    <row r="525" spans="1:16" x14ac:dyDescent="0.15">
      <c r="A525" s="3">
        <v>502</v>
      </c>
      <c r="B525" s="3">
        <f t="shared" si="54"/>
        <v>17</v>
      </c>
      <c r="C525" s="3">
        <f t="shared" si="55"/>
        <v>48384</v>
      </c>
      <c r="D525" s="3">
        <f t="shared" si="56"/>
        <v>24192</v>
      </c>
      <c r="E525" s="3">
        <f>SUM($D$24:D525)</f>
        <v>3449484</v>
      </c>
      <c r="F525" s="3">
        <f t="shared" si="57"/>
        <v>57491.4</v>
      </c>
      <c r="G525" s="3">
        <f t="shared" si="57"/>
        <v>958.19</v>
      </c>
      <c r="H525" s="3">
        <f t="shared" si="58"/>
        <v>39.924583333333338</v>
      </c>
      <c r="I525" s="3">
        <f>IF(ISNA(MATCH(H525,关卡!$E$19:$E$2018,1)),0,MATCH(H525,关卡!$E$19:$E$2018,1))</f>
        <v>1515</v>
      </c>
      <c r="J525" s="3">
        <f>VLOOKUP($I525,关卡!$A$17:$G$2018,6,0)</f>
        <v>453.28091171558589</v>
      </c>
      <c r="K525" s="3">
        <f>VLOOKUP($I525,关卡!$A$17:$G$2018,7,0)</f>
        <v>263.29876584746091</v>
      </c>
      <c r="L525" s="3">
        <f t="shared" si="59"/>
        <v>1631811.2821761093</v>
      </c>
      <c r="M525" s="3">
        <f t="shared" si="60"/>
        <v>947875.55705085932</v>
      </c>
      <c r="N525" s="3">
        <f>INT(D525*J525*VLOOKUP(A525,经验产出!$I$7:$J$557,2,0))</f>
        <v>50907072</v>
      </c>
      <c r="O525" s="3">
        <f>SUM($N$24:N524)</f>
        <v>3515863435</v>
      </c>
      <c r="P525" s="3">
        <f>K525*VLOOKUP(A525,金币产出!$I$7:$J$557,2,0)</f>
        <v>946.77847885982817</v>
      </c>
    </row>
    <row r="526" spans="1:16" x14ac:dyDescent="0.15">
      <c r="A526" s="3">
        <v>503</v>
      </c>
      <c r="B526" s="3">
        <f t="shared" si="54"/>
        <v>17</v>
      </c>
      <c r="C526" s="3">
        <f t="shared" si="55"/>
        <v>72576</v>
      </c>
      <c r="D526" s="3">
        <f t="shared" si="56"/>
        <v>24192</v>
      </c>
      <c r="E526" s="3">
        <f>SUM($D$24:D526)</f>
        <v>3473676</v>
      </c>
      <c r="F526" s="3">
        <f t="shared" si="57"/>
        <v>57894.6</v>
      </c>
      <c r="G526" s="3">
        <f t="shared" si="57"/>
        <v>964.91</v>
      </c>
      <c r="H526" s="3">
        <f t="shared" si="58"/>
        <v>40.204583333333332</v>
      </c>
      <c r="I526" s="3">
        <f>IF(ISNA(MATCH(H526,关卡!$E$19:$E$2018,1)),0,MATCH(H526,关卡!$E$19:$E$2018,1))</f>
        <v>1519</v>
      </c>
      <c r="J526" s="3">
        <f>VLOOKUP($I526,关卡!$A$17:$G$2018,6,0)</f>
        <v>456.51622589650498</v>
      </c>
      <c r="K526" s="3">
        <f>VLOOKUP($I526,关卡!$A$17:$G$2018,7,0)</f>
        <v>264.80330701315592</v>
      </c>
      <c r="L526" s="3">
        <f t="shared" si="59"/>
        <v>1643458.413227418</v>
      </c>
      <c r="M526" s="3">
        <f t="shared" si="60"/>
        <v>953291.90524736128</v>
      </c>
      <c r="N526" s="3">
        <f>INT(D526*J526*VLOOKUP(A526,经验产出!$I$7:$J$557,2,0))</f>
        <v>51270424</v>
      </c>
      <c r="O526" s="3">
        <f>SUM($N$24:N525)</f>
        <v>3566770507</v>
      </c>
      <c r="P526" s="3">
        <f>K526*VLOOKUP(A526,金币产出!$I$7:$J$557,2,0)</f>
        <v>952.1885581348065</v>
      </c>
    </row>
    <row r="527" spans="1:16" x14ac:dyDescent="0.15">
      <c r="A527" s="3">
        <v>504</v>
      </c>
      <c r="B527" s="3">
        <f t="shared" si="54"/>
        <v>17</v>
      </c>
      <c r="C527" s="3">
        <f t="shared" si="55"/>
        <v>96768</v>
      </c>
      <c r="D527" s="3">
        <f t="shared" si="56"/>
        <v>24192</v>
      </c>
      <c r="E527" s="3">
        <f>SUM($D$24:D527)</f>
        <v>3497868</v>
      </c>
      <c r="F527" s="3">
        <f t="shared" si="57"/>
        <v>58297.8</v>
      </c>
      <c r="G527" s="3">
        <f t="shared" si="57"/>
        <v>971.63</v>
      </c>
      <c r="H527" s="3">
        <f t="shared" si="58"/>
        <v>40.484583333333333</v>
      </c>
      <c r="I527" s="3">
        <f>IF(ISNA(MATCH(H527,关卡!$E$19:$E$2018,1)),0,MATCH(H527,关卡!$E$19:$E$2018,1))</f>
        <v>1523</v>
      </c>
      <c r="J527" s="3">
        <f>VLOOKUP($I527,关卡!$A$17:$G$2018,6,0)</f>
        <v>459.7696561346599</v>
      </c>
      <c r="K527" s="3">
        <f>VLOOKUP($I527,关卡!$A$17:$G$2018,7,0)</f>
        <v>266.31441277343089</v>
      </c>
      <c r="L527" s="3">
        <f t="shared" si="59"/>
        <v>1655170.7620847756</v>
      </c>
      <c r="M527" s="3">
        <f t="shared" si="60"/>
        <v>958731.88598435116</v>
      </c>
      <c r="N527" s="3">
        <f>INT(D527*J527*VLOOKUP(A527,经验产出!$I$7:$J$557,2,0))</f>
        <v>51635810</v>
      </c>
      <c r="O527" s="3">
        <f>SUM($N$24:N526)</f>
        <v>3618040931</v>
      </c>
      <c r="P527" s="3">
        <f>K527*VLOOKUP(A527,金币产出!$I$7:$J$557,2,0)</f>
        <v>957.62224259779521</v>
      </c>
    </row>
    <row r="528" spans="1:16" x14ac:dyDescent="0.15">
      <c r="A528" s="3">
        <v>505</v>
      </c>
      <c r="B528" s="3">
        <f t="shared" si="54"/>
        <v>17</v>
      </c>
      <c r="C528" s="3">
        <f t="shared" si="55"/>
        <v>120960</v>
      </c>
      <c r="D528" s="3">
        <f t="shared" si="56"/>
        <v>24192</v>
      </c>
      <c r="E528" s="3">
        <f>SUM($D$24:D528)</f>
        <v>3522060</v>
      </c>
      <c r="F528" s="3">
        <f t="shared" si="57"/>
        <v>58701</v>
      </c>
      <c r="G528" s="3">
        <f t="shared" si="57"/>
        <v>978.35</v>
      </c>
      <c r="H528" s="3">
        <f t="shared" si="58"/>
        <v>40.764583333333334</v>
      </c>
      <c r="I528" s="3">
        <f>IF(ISNA(MATCH(H528,关卡!$E$19:$E$2018,1)),0,MATCH(H528,关卡!$E$19:$E$2018,1))</f>
        <v>1526</v>
      </c>
      <c r="J528" s="3">
        <f>VLOOKUP($I528,关卡!$A$17:$G$2018,6,0)</f>
        <v>462.22166117983909</v>
      </c>
      <c r="K528" s="3">
        <f>VLOOKUP($I528,关卡!$A$17:$G$2018,7,0)</f>
        <v>267.45206278329505</v>
      </c>
      <c r="L528" s="3">
        <f t="shared" si="59"/>
        <v>1663997.9802474207</v>
      </c>
      <c r="M528" s="3">
        <f t="shared" si="60"/>
        <v>962827.42601986218</v>
      </c>
      <c r="N528" s="3">
        <f>INT(D528*J528*VLOOKUP(A528,经验产出!$I$7:$J$557,2,0))</f>
        <v>51911190</v>
      </c>
      <c r="O528" s="3">
        <f>SUM($N$24:N527)</f>
        <v>3669676741</v>
      </c>
      <c r="P528" s="3">
        <f>K528*VLOOKUP(A528,金币产出!$I$7:$J$557,2,0)</f>
        <v>961.7130424249317</v>
      </c>
    </row>
    <row r="529" spans="1:16" x14ac:dyDescent="0.15">
      <c r="A529" s="3">
        <v>506</v>
      </c>
      <c r="B529" s="3">
        <f t="shared" si="54"/>
        <v>17</v>
      </c>
      <c r="C529" s="3">
        <f t="shared" si="55"/>
        <v>145152</v>
      </c>
      <c r="D529" s="3">
        <f t="shared" si="56"/>
        <v>24192</v>
      </c>
      <c r="E529" s="3">
        <f>SUM($D$24:D529)</f>
        <v>3546252</v>
      </c>
      <c r="F529" s="3">
        <f t="shared" si="57"/>
        <v>59104.2</v>
      </c>
      <c r="G529" s="3">
        <f t="shared" si="57"/>
        <v>985.06999999999994</v>
      </c>
      <c r="H529" s="3">
        <f t="shared" si="58"/>
        <v>41.044583333333328</v>
      </c>
      <c r="I529" s="3">
        <f>IF(ISNA(MATCH(H529,关卡!$E$19:$E$2018,1)),0,MATCH(H529,关卡!$E$19:$E$2018,1))</f>
        <v>1530</v>
      </c>
      <c r="J529" s="3">
        <f>VLOOKUP($I529,关卡!$A$17:$G$2018,6,0)</f>
        <v>465.50696944937511</v>
      </c>
      <c r="K529" s="3">
        <f>VLOOKUP($I529,关卡!$A$17:$G$2018,7,0)</f>
        <v>268.97470730937499</v>
      </c>
      <c r="L529" s="3">
        <f t="shared" si="59"/>
        <v>1675825.0900177504</v>
      </c>
      <c r="M529" s="3">
        <f t="shared" si="60"/>
        <v>968308.94631375</v>
      </c>
      <c r="N529" s="3">
        <f>INT(D529*J529*VLOOKUP(A529,经验产出!$I$7:$J$557,2,0))</f>
        <v>52280156</v>
      </c>
      <c r="O529" s="3">
        <f>SUM($N$24:N528)</f>
        <v>3721587931</v>
      </c>
      <c r="P529" s="3">
        <f>K529*VLOOKUP(A529,金币产出!$I$7:$J$557,2,0)</f>
        <v>967.18821836662755</v>
      </c>
    </row>
    <row r="530" spans="1:16" x14ac:dyDescent="0.15">
      <c r="A530" s="3">
        <v>507</v>
      </c>
      <c r="B530" s="3">
        <f t="shared" si="54"/>
        <v>17</v>
      </c>
      <c r="C530" s="3">
        <f t="shared" si="55"/>
        <v>169344.00000000003</v>
      </c>
      <c r="D530" s="3">
        <f t="shared" si="56"/>
        <v>24192.000000000029</v>
      </c>
      <c r="E530" s="3">
        <f>SUM($D$24:D530)</f>
        <v>3570444</v>
      </c>
      <c r="F530" s="3">
        <f t="shared" si="57"/>
        <v>59507.4</v>
      </c>
      <c r="G530" s="3">
        <f t="shared" si="57"/>
        <v>991.79000000000008</v>
      </c>
      <c r="H530" s="3">
        <f t="shared" si="58"/>
        <v>41.324583333333337</v>
      </c>
      <c r="I530" s="3">
        <f>IF(ISNA(MATCH(H530,关卡!$E$19:$E$2018,1)),0,MATCH(H530,关卡!$E$19:$E$2018,1))</f>
        <v>1534</v>
      </c>
      <c r="J530" s="3">
        <f>VLOOKUP($I530,关卡!$A$17:$G$2018,6,0)</f>
        <v>468.81059396087909</v>
      </c>
      <c r="K530" s="3">
        <f>VLOOKUP($I530,关卡!$A$17:$G$2018,7,0)</f>
        <v>270.50397446449506</v>
      </c>
      <c r="L530" s="3">
        <f t="shared" si="59"/>
        <v>1687718.1382591645</v>
      </c>
      <c r="M530" s="3">
        <f t="shared" si="60"/>
        <v>973814.30807218223</v>
      </c>
      <c r="N530" s="3">
        <f>INT(D530*J530*VLOOKUP(A530,经验产出!$I$7:$J$557,2,0))</f>
        <v>52651180</v>
      </c>
      <c r="O530" s="3">
        <f>SUM($N$24:N529)</f>
        <v>3773868087</v>
      </c>
      <c r="P530" s="3">
        <f>K530*VLOOKUP(A530,金币产出!$I$7:$J$557,2,0)</f>
        <v>972.68720817858014</v>
      </c>
    </row>
    <row r="531" spans="1:16" x14ac:dyDescent="0.15">
      <c r="A531" s="3">
        <v>508</v>
      </c>
      <c r="B531" s="3">
        <f t="shared" si="54"/>
        <v>17</v>
      </c>
      <c r="C531" s="3">
        <f t="shared" si="55"/>
        <v>193536</v>
      </c>
      <c r="D531" s="3">
        <f t="shared" si="56"/>
        <v>24191.999999999971</v>
      </c>
      <c r="E531" s="3">
        <f>SUM($D$24:D531)</f>
        <v>3594636</v>
      </c>
      <c r="F531" s="3">
        <f t="shared" si="57"/>
        <v>59910.6</v>
      </c>
      <c r="G531" s="3">
        <f t="shared" si="57"/>
        <v>998.51</v>
      </c>
      <c r="H531" s="3">
        <f t="shared" si="58"/>
        <v>41.604583333333331</v>
      </c>
      <c r="I531" s="3">
        <f>IF(ISNA(MATCH(H531,关卡!$E$19:$E$2018,1)),0,MATCH(H531,关卡!$E$19:$E$2018,1))</f>
        <v>1538</v>
      </c>
      <c r="J531" s="3">
        <f>VLOOKUP($I531,关卡!$A$17:$G$2018,6,0)</f>
        <v>472.13260779607901</v>
      </c>
      <c r="K531" s="3">
        <f>VLOOKUP($I531,关卡!$A$17:$G$2018,7,0)</f>
        <v>272.03988542049501</v>
      </c>
      <c r="L531" s="3">
        <f t="shared" si="59"/>
        <v>1699677.3880658844</v>
      </c>
      <c r="M531" s="3">
        <f t="shared" si="60"/>
        <v>979343.58751378208</v>
      </c>
      <c r="N531" s="3">
        <f>INT(D531*J531*VLOOKUP(A531,经验产出!$I$7:$J$557,2,0))</f>
        <v>53024268</v>
      </c>
      <c r="O531" s="3">
        <f>SUM($N$24:N530)</f>
        <v>3826519267</v>
      </c>
      <c r="P531" s="3">
        <f>K531*VLOOKUP(A531,金币产出!$I$7:$J$557,2,0)</f>
        <v>978.21008799119659</v>
      </c>
    </row>
    <row r="532" spans="1:16" x14ac:dyDescent="0.15">
      <c r="A532" s="3">
        <v>509</v>
      </c>
      <c r="B532" s="3">
        <f t="shared" si="54"/>
        <v>17</v>
      </c>
      <c r="C532" s="3">
        <f t="shared" si="55"/>
        <v>217728</v>
      </c>
      <c r="D532" s="3">
        <f t="shared" si="56"/>
        <v>24192</v>
      </c>
      <c r="E532" s="3">
        <f>SUM($D$24:D532)</f>
        <v>3618828</v>
      </c>
      <c r="F532" s="3">
        <f t="shared" si="57"/>
        <v>60313.8</v>
      </c>
      <c r="G532" s="3">
        <f t="shared" si="57"/>
        <v>1005.23</v>
      </c>
      <c r="H532" s="3">
        <f t="shared" si="58"/>
        <v>41.884583333333332</v>
      </c>
      <c r="I532" s="3">
        <f>IF(ISNA(MATCH(H532,关卡!$E$19:$E$2018,1)),0,MATCH(H532,关卡!$E$19:$E$2018,1))</f>
        <v>1542</v>
      </c>
      <c r="J532" s="3">
        <f>VLOOKUP($I532,关卡!$A$17:$G$2018,6,0)</f>
        <v>475.47308418991901</v>
      </c>
      <c r="K532" s="3">
        <f>VLOOKUP($I532,关卡!$A$17:$G$2018,7,0)</f>
        <v>273.58246138569496</v>
      </c>
      <c r="L532" s="3">
        <f t="shared" si="59"/>
        <v>1711703.1030837083</v>
      </c>
      <c r="M532" s="3">
        <f t="shared" si="60"/>
        <v>984896.86098850193</v>
      </c>
      <c r="N532" s="3">
        <f>INT(D532*J532*VLOOKUP(A532,经验产出!$I$7:$J$557,2,0))</f>
        <v>53399431</v>
      </c>
      <c r="O532" s="3">
        <f>SUM($N$24:N531)</f>
        <v>3879543535</v>
      </c>
      <c r="P532" s="3">
        <f>K532*VLOOKUP(A532,金币产出!$I$7:$J$557,2,0)</f>
        <v>983.75693406606138</v>
      </c>
    </row>
    <row r="533" spans="1:16" x14ac:dyDescent="0.15">
      <c r="A533" s="3">
        <v>510</v>
      </c>
      <c r="B533" s="3">
        <f t="shared" si="54"/>
        <v>17</v>
      </c>
      <c r="C533" s="3">
        <f t="shared" si="55"/>
        <v>241920</v>
      </c>
      <c r="D533" s="3">
        <f t="shared" si="56"/>
        <v>24192</v>
      </c>
      <c r="E533" s="3">
        <f>SUM($D$24:D533)</f>
        <v>3643020</v>
      </c>
      <c r="F533" s="3">
        <f t="shared" si="57"/>
        <v>60717</v>
      </c>
      <c r="G533" s="3">
        <f t="shared" si="57"/>
        <v>1011.95</v>
      </c>
      <c r="H533" s="3">
        <f t="shared" si="58"/>
        <v>42.164583333333333</v>
      </c>
      <c r="I533" s="3">
        <f>IF(ISNA(MATCH(H533,关卡!$E$19:$E$2018,1)),0,MATCH(H533,关卡!$E$19:$E$2018,1))</f>
        <v>1546</v>
      </c>
      <c r="J533" s="3">
        <f>VLOOKUP($I533,关卡!$A$17:$G$2018,6,0)</f>
        <v>478.83209653055894</v>
      </c>
      <c r="K533" s="3">
        <f>VLOOKUP($I533,关卡!$A$17:$G$2018,7,0)</f>
        <v>275.131723604895</v>
      </c>
      <c r="L533" s="3">
        <f t="shared" si="59"/>
        <v>1723795.5475100121</v>
      </c>
      <c r="M533" s="3">
        <f t="shared" si="60"/>
        <v>990474.20497762191</v>
      </c>
      <c r="N533" s="3">
        <f>INT(D533*J533*VLOOKUP(A533,经验产出!$I$7:$J$557,2,0))</f>
        <v>53776675</v>
      </c>
      <c r="O533" s="3">
        <f>SUM($N$24:N532)</f>
        <v>3932942966</v>
      </c>
      <c r="P533" s="3">
        <f>K533*VLOOKUP(A533,金币产出!$I$7:$J$557,2,0)</f>
        <v>989.32782279593494</v>
      </c>
    </row>
    <row r="534" spans="1:16" x14ac:dyDescent="0.15">
      <c r="A534" s="3">
        <v>511</v>
      </c>
      <c r="B534" s="3">
        <f t="shared" si="54"/>
        <v>17</v>
      </c>
      <c r="C534" s="3">
        <f t="shared" si="55"/>
        <v>266112</v>
      </c>
      <c r="D534" s="3">
        <f t="shared" si="56"/>
        <v>24192</v>
      </c>
      <c r="E534" s="3">
        <f>SUM($D$24:D534)</f>
        <v>3667212</v>
      </c>
      <c r="F534" s="3">
        <f t="shared" si="57"/>
        <v>61120.2</v>
      </c>
      <c r="G534" s="3">
        <f t="shared" si="57"/>
        <v>1018.67</v>
      </c>
      <c r="H534" s="3">
        <f t="shared" si="58"/>
        <v>42.444583333333334</v>
      </c>
      <c r="I534" s="3">
        <f>IF(ISNA(MATCH(H534,关卡!$E$19:$E$2018,1)),0,MATCH(H534,关卡!$E$19:$E$2018,1))</f>
        <v>1550</v>
      </c>
      <c r="J534" s="3">
        <f>VLOOKUP($I534,关卡!$A$17:$G$2018,6,0)</f>
        <v>482.20971835937507</v>
      </c>
      <c r="K534" s="3">
        <f>VLOOKUP($I534,关卡!$A$17:$G$2018,7,0)</f>
        <v>276.68769335937503</v>
      </c>
      <c r="L534" s="3">
        <f t="shared" si="59"/>
        <v>1735954.9860937502</v>
      </c>
      <c r="M534" s="3">
        <f t="shared" si="60"/>
        <v>996075.69609375019</v>
      </c>
      <c r="N534" s="3">
        <f>INT(D534*J534*VLOOKUP(A534,经验产出!$I$7:$J$557,2,0))</f>
        <v>54156009</v>
      </c>
      <c r="O534" s="3">
        <f>SUM($N$24:N533)</f>
        <v>3986719641</v>
      </c>
      <c r="P534" s="3">
        <f>K534*VLOOKUP(A534,金币产出!$I$7:$J$557,2,0)</f>
        <v>994.92283070475264</v>
      </c>
    </row>
    <row r="535" spans="1:16" x14ac:dyDescent="0.15">
      <c r="A535" s="3">
        <v>512</v>
      </c>
      <c r="B535" s="3">
        <f t="shared" si="54"/>
        <v>17</v>
      </c>
      <c r="C535" s="3">
        <f t="shared" si="55"/>
        <v>290304</v>
      </c>
      <c r="D535" s="3">
        <f t="shared" si="56"/>
        <v>24192</v>
      </c>
      <c r="E535" s="3">
        <f>SUM($D$24:D535)</f>
        <v>3691404</v>
      </c>
      <c r="F535" s="3">
        <f t="shared" si="57"/>
        <v>61523.4</v>
      </c>
      <c r="G535" s="3">
        <f t="shared" si="57"/>
        <v>1025.3900000000001</v>
      </c>
      <c r="H535" s="3">
        <f t="shared" si="58"/>
        <v>42.724583333333335</v>
      </c>
      <c r="I535" s="3">
        <f>IF(ISNA(MATCH(H535,关卡!$E$19:$E$2018,1)),0,MATCH(H535,关卡!$E$19:$E$2018,1))</f>
        <v>1553</v>
      </c>
      <c r="J535" s="3">
        <f>VLOOKUP($I535,关卡!$A$17:$G$2018,6,0)</f>
        <v>484.75519153374489</v>
      </c>
      <c r="K535" s="3">
        <f>VLOOKUP($I535,关卡!$A$17:$G$2018,7,0)</f>
        <v>277.85908531785589</v>
      </c>
      <c r="L535" s="3">
        <f t="shared" si="59"/>
        <v>1745118.6895214817</v>
      </c>
      <c r="M535" s="3">
        <f t="shared" si="60"/>
        <v>1000292.7071442812</v>
      </c>
      <c r="N535" s="3">
        <f>INT(D535*J535*VLOOKUP(A535,经验产出!$I$7:$J$557,2,0))</f>
        <v>54441886</v>
      </c>
      <c r="O535" s="3">
        <f>SUM($N$24:N534)</f>
        <v>4040875650</v>
      </c>
      <c r="P535" s="3">
        <f>K535*VLOOKUP(A535,金币产出!$I$7:$J$557,2,0)</f>
        <v>999.13496095545679</v>
      </c>
    </row>
    <row r="536" spans="1:16" x14ac:dyDescent="0.15">
      <c r="A536" s="3">
        <v>513</v>
      </c>
      <c r="B536" s="3">
        <f t="shared" si="54"/>
        <v>17</v>
      </c>
      <c r="C536" s="3">
        <f t="shared" si="55"/>
        <v>314496</v>
      </c>
      <c r="D536" s="3">
        <f t="shared" si="56"/>
        <v>24192</v>
      </c>
      <c r="E536" s="3">
        <f>SUM($D$24:D536)</f>
        <v>3715596</v>
      </c>
      <c r="F536" s="3">
        <f t="shared" si="57"/>
        <v>61926.6</v>
      </c>
      <c r="G536" s="3">
        <f t="shared" si="57"/>
        <v>1032.1099999999999</v>
      </c>
      <c r="H536" s="3">
        <f t="shared" si="58"/>
        <v>43.004583333333329</v>
      </c>
      <c r="I536" s="3">
        <f>IF(ISNA(MATCH(H536,关卡!$E$19:$E$2018,1)),0,MATCH(H536,关卡!$E$19:$E$2018,1))</f>
        <v>1557</v>
      </c>
      <c r="J536" s="3">
        <f>VLOOKUP($I536,关卡!$A$17:$G$2018,6,0)</f>
        <v>488.16555738664988</v>
      </c>
      <c r="K536" s="3">
        <f>VLOOKUP($I536,关卡!$A$17:$G$2018,7,0)</f>
        <v>279.42684457688091</v>
      </c>
      <c r="L536" s="3">
        <f t="shared" si="59"/>
        <v>1757396.0065919396</v>
      </c>
      <c r="M536" s="3">
        <f t="shared" si="60"/>
        <v>1005936.6404767712</v>
      </c>
      <c r="N536" s="3">
        <f>INT(D536*J536*VLOOKUP(A536,经验产出!$I$7:$J$557,2,0))</f>
        <v>54824897</v>
      </c>
      <c r="O536" s="3">
        <f>SUM($N$24:N535)</f>
        <v>4095317536</v>
      </c>
      <c r="P536" s="3">
        <f>K536*VLOOKUP(A536,金币产出!$I$7:$J$557,2,0)</f>
        <v>1004.7723619577009</v>
      </c>
    </row>
    <row r="537" spans="1:16" x14ac:dyDescent="0.15">
      <c r="A537" s="3">
        <v>514</v>
      </c>
      <c r="B537" s="3">
        <f t="shared" ref="B537:B573" si="61">MATCH($A537,$A$3:$A$20,1)-1</f>
        <v>17</v>
      </c>
      <c r="C537" s="3">
        <f t="shared" ref="C537:C573" si="62">INDEX($C$3:$C$20,$B537+1)*(INDEX($D$3:$D$20,$B537+1)+INDEX($E$3:$E$20,$B537+1)*(($A537-INDEX($A$3:$A$20,$B537+1)+1)/(INDEX($B$3:$B$20,B537+1)-INDEX($A$3:$A$20,$B537+1)+1))^1+INDEX($F$3:$F$20,$B537+1)*(($A537-INDEX($A$3:$A$20,$B537+1)+1)/(INDEX($B$3:$B$20,B537+1)-INDEX($A$3:$A$20,$B537+1)+1))^2+INDEX($G$3:$G$20,$B537+1)*(($A537-INDEX($A$3:$A$20,$B537+1)+1)/(INDEX($B$3:$B$20,$B537+1)-INDEX($A$3:$A$20,$B537+1)+1))^3+INDEX($H$3:$H$20,$B537+1)*(($A537-INDEX($A$3:$A$20,$B537+1)+1)/(INDEX($B$3:$B$20,$B537+1)-INDEX($A$3:$A$20,$B537+1)+1))^4)</f>
        <v>338688.00000000006</v>
      </c>
      <c r="D537" s="3">
        <f t="shared" ref="D537:D573" si="63">IF(ISNA(MATCH(A537,$A$4:$A$20,0)),C537-C536,C537)</f>
        <v>24192.000000000058</v>
      </c>
      <c r="E537" s="3">
        <f>SUM($D$24:D537)</f>
        <v>3739788</v>
      </c>
      <c r="F537" s="3">
        <f t="shared" ref="F537:G573" si="64">E537/60</f>
        <v>62329.8</v>
      </c>
      <c r="G537" s="3">
        <f t="shared" si="64"/>
        <v>1038.8300000000002</v>
      </c>
      <c r="H537" s="3">
        <f t="shared" ref="H537:H573" si="65">G537/24</f>
        <v>43.284583333333337</v>
      </c>
      <c r="I537" s="3">
        <f>IF(ISNA(MATCH(H537,关卡!$E$19:$E$2018,1)),0,MATCH(H537,关卡!$E$19:$E$2018,1))</f>
        <v>1561</v>
      </c>
      <c r="J537" s="3">
        <f>VLOOKUP($I537,关卡!$A$17:$G$2018,6,0)</f>
        <v>491.59473575653493</v>
      </c>
      <c r="K537" s="3">
        <f>VLOOKUP($I537,关卡!$A$17:$G$2018,7,0)</f>
        <v>281.00137008280592</v>
      </c>
      <c r="L537" s="3">
        <f t="shared" ref="L537:L573" si="66">J537*60*60</f>
        <v>1769741.0487235258</v>
      </c>
      <c r="M537" s="3">
        <f t="shared" ref="M537:M573" si="67">K537*60*60</f>
        <v>1011604.9322981014</v>
      </c>
      <c r="N537" s="3">
        <f>INT(D537*J537*VLOOKUP(A537,经验产出!$I$7:$J$557,2,0))</f>
        <v>55210021</v>
      </c>
      <c r="O537" s="3">
        <f>SUM($N$24:N536)</f>
        <v>4150142433</v>
      </c>
      <c r="P537" s="3">
        <f>K537*VLOOKUP(A537,金币产出!$I$7:$J$557,2,0)</f>
        <v>1010.4340932560896</v>
      </c>
    </row>
    <row r="538" spans="1:16" x14ac:dyDescent="0.15">
      <c r="A538" s="3">
        <v>515</v>
      </c>
      <c r="B538" s="3">
        <f t="shared" si="61"/>
        <v>17</v>
      </c>
      <c r="C538" s="3">
        <f t="shared" si="62"/>
        <v>362880</v>
      </c>
      <c r="D538" s="3">
        <f t="shared" si="63"/>
        <v>24191.999999999942</v>
      </c>
      <c r="E538" s="3">
        <f>SUM($D$24:D538)</f>
        <v>3763980</v>
      </c>
      <c r="F538" s="3">
        <f t="shared" si="64"/>
        <v>62733</v>
      </c>
      <c r="G538" s="3">
        <f t="shared" si="64"/>
        <v>1045.55</v>
      </c>
      <c r="H538" s="3">
        <f t="shared" si="65"/>
        <v>43.564583333333331</v>
      </c>
      <c r="I538" s="3">
        <f>IF(ISNA(MATCH(H538,关卡!$E$19:$E$2018,1)),0,MATCH(H538,关卡!$E$19:$E$2018,1))</f>
        <v>1565</v>
      </c>
      <c r="J538" s="3">
        <f>VLOOKUP($I538,关卡!$A$17:$G$2018,6,0)</f>
        <v>495.04280075933593</v>
      </c>
      <c r="K538" s="3">
        <f>VLOOKUP($I538,关卡!$A$17:$G$2018,7,0)</f>
        <v>282.58268325371091</v>
      </c>
      <c r="L538" s="3">
        <f t="shared" si="66"/>
        <v>1782154.0827336092</v>
      </c>
      <c r="M538" s="3">
        <f t="shared" si="67"/>
        <v>1017297.6597133592</v>
      </c>
      <c r="N538" s="3">
        <f>INT(D538*J538*VLOOKUP(A538,经验产出!$I$7:$J$557,2,0))</f>
        <v>55597266</v>
      </c>
      <c r="O538" s="3">
        <f>SUM($N$24:N537)</f>
        <v>4205352454</v>
      </c>
      <c r="P538" s="3">
        <f>K538*VLOOKUP(A538,金币产出!$I$7:$J$557,2,0)</f>
        <v>1016.1202318664688</v>
      </c>
    </row>
    <row r="539" spans="1:16" x14ac:dyDescent="0.15">
      <c r="A539" s="3">
        <v>516</v>
      </c>
      <c r="B539" s="3">
        <f t="shared" si="61"/>
        <v>17</v>
      </c>
      <c r="C539" s="3">
        <f t="shared" si="62"/>
        <v>387072</v>
      </c>
      <c r="D539" s="3">
        <f t="shared" si="63"/>
        <v>24192</v>
      </c>
      <c r="E539" s="3">
        <f>SUM($D$24:D539)</f>
        <v>3788172</v>
      </c>
      <c r="F539" s="3">
        <f t="shared" si="64"/>
        <v>63136.2</v>
      </c>
      <c r="G539" s="3">
        <f t="shared" si="64"/>
        <v>1052.27</v>
      </c>
      <c r="H539" s="3">
        <f t="shared" si="65"/>
        <v>43.844583333333333</v>
      </c>
      <c r="I539" s="3">
        <f>IF(ISNA(MATCH(H539,关卡!$E$19:$E$2018,1)),0,MATCH(H539,关卡!$E$19:$E$2018,1))</f>
        <v>1568</v>
      </c>
      <c r="J539" s="3">
        <f>VLOOKUP($I539,关卡!$A$17:$G$2018,6,0)</f>
        <v>497.64128853606411</v>
      </c>
      <c r="K539" s="3">
        <f>VLOOKUP($I539,关卡!$A$17:$G$2018,7,0)</f>
        <v>283.77313544192009</v>
      </c>
      <c r="L539" s="3">
        <f t="shared" si="66"/>
        <v>1791508.6387298307</v>
      </c>
      <c r="M539" s="3">
        <f t="shared" si="67"/>
        <v>1021583.2875909123</v>
      </c>
      <c r="N539" s="3">
        <f>INT(D539*J539*VLOOKUP(A539,经验产出!$I$7:$J$557,2,0))</f>
        <v>55889097</v>
      </c>
      <c r="O539" s="3">
        <f>SUM($N$24:N538)</f>
        <v>4260949720</v>
      </c>
      <c r="P539" s="3">
        <f>K539*VLOOKUP(A539,金币产出!$I$7:$J$557,2,0)</f>
        <v>1020.4008995265709</v>
      </c>
    </row>
    <row r="540" spans="1:16" x14ac:dyDescent="0.15">
      <c r="A540" s="3">
        <v>517</v>
      </c>
      <c r="B540" s="3">
        <f t="shared" si="61"/>
        <v>17</v>
      </c>
      <c r="C540" s="3">
        <f t="shared" si="62"/>
        <v>411264.00000000006</v>
      </c>
      <c r="D540" s="3">
        <f t="shared" si="63"/>
        <v>24192.000000000058</v>
      </c>
      <c r="E540" s="3">
        <f>SUM($D$24:D540)</f>
        <v>3812364</v>
      </c>
      <c r="F540" s="3">
        <f t="shared" si="64"/>
        <v>63539.4</v>
      </c>
      <c r="G540" s="3">
        <f t="shared" si="64"/>
        <v>1058.99</v>
      </c>
      <c r="H540" s="3">
        <f t="shared" si="65"/>
        <v>44.124583333333334</v>
      </c>
      <c r="I540" s="3">
        <f>IF(ISNA(MATCH(H540,关卡!$E$19:$E$2018,1)),0,MATCH(H540,关卡!$E$19:$E$2018,1))</f>
        <v>1572</v>
      </c>
      <c r="J540" s="3">
        <f>VLOOKUP($I540,关卡!$A$17:$G$2018,6,0)</f>
        <v>501.12258394878404</v>
      </c>
      <c r="K540" s="3">
        <f>VLOOKUP($I540,关卡!$A$17:$G$2018,7,0)</f>
        <v>285.36637867351999</v>
      </c>
      <c r="L540" s="3">
        <f t="shared" si="66"/>
        <v>1804041.3022156225</v>
      </c>
      <c r="M540" s="3">
        <f t="shared" si="67"/>
        <v>1027318.963224672</v>
      </c>
      <c r="N540" s="3">
        <f>INT(D540*J540*VLOOKUP(A540,经验产出!$I$7:$J$557,2,0))</f>
        <v>56280075</v>
      </c>
      <c r="O540" s="3">
        <f>SUM($N$24:N539)</f>
        <v>4316838817</v>
      </c>
      <c r="P540" s="3">
        <f>K540*VLOOKUP(A540,金币产出!$I$7:$J$557,2,0)</f>
        <v>1026.1299366468656</v>
      </c>
    </row>
    <row r="541" spans="1:16" x14ac:dyDescent="0.15">
      <c r="A541" s="3">
        <v>518</v>
      </c>
      <c r="B541" s="3">
        <f t="shared" si="61"/>
        <v>17</v>
      </c>
      <c r="C541" s="3">
        <f t="shared" si="62"/>
        <v>435456</v>
      </c>
      <c r="D541" s="3">
        <f t="shared" si="63"/>
        <v>24191.999999999942</v>
      </c>
      <c r="E541" s="3">
        <f>SUM($D$24:D541)</f>
        <v>3836556</v>
      </c>
      <c r="F541" s="3">
        <f t="shared" si="64"/>
        <v>63942.6</v>
      </c>
      <c r="G541" s="3">
        <f t="shared" si="64"/>
        <v>1065.71</v>
      </c>
      <c r="H541" s="3">
        <f t="shared" si="65"/>
        <v>44.404583333333335</v>
      </c>
      <c r="I541" s="3">
        <f>IF(ISNA(MATCH(H541,关卡!$E$19:$E$2018,1)),0,MATCH(H541,关卡!$E$19:$E$2018,1))</f>
        <v>1576</v>
      </c>
      <c r="J541" s="3">
        <f>VLOOKUP($I541,关卡!$A$17:$G$2018,6,0)</f>
        <v>504.62297060326409</v>
      </c>
      <c r="K541" s="3">
        <f>VLOOKUP($I541,关卡!$A$17:$G$2018,7,0)</f>
        <v>286.96646865792007</v>
      </c>
      <c r="L541" s="3">
        <f t="shared" si="66"/>
        <v>1816642.6941717507</v>
      </c>
      <c r="M541" s="3">
        <f t="shared" si="67"/>
        <v>1033079.2871685124</v>
      </c>
      <c r="N541" s="3">
        <f>INT(D541*J541*VLOOKUP(A541,经验产出!$I$7:$J$557,2,0))</f>
        <v>56673196</v>
      </c>
      <c r="O541" s="3">
        <f>SUM($N$24:N540)</f>
        <v>4373118892</v>
      </c>
      <c r="P541" s="3">
        <f>K541*VLOOKUP(A541,金币产出!$I$7:$J$557,2,0)</f>
        <v>1031.8835935491043</v>
      </c>
    </row>
    <row r="542" spans="1:16" x14ac:dyDescent="0.15">
      <c r="A542" s="3">
        <v>519</v>
      </c>
      <c r="B542" s="3">
        <f t="shared" si="61"/>
        <v>17</v>
      </c>
      <c r="C542" s="3">
        <f t="shared" si="62"/>
        <v>459648</v>
      </c>
      <c r="D542" s="3">
        <f t="shared" si="63"/>
        <v>24192</v>
      </c>
      <c r="E542" s="3">
        <f>SUM($D$24:D542)</f>
        <v>3860748</v>
      </c>
      <c r="F542" s="3">
        <f t="shared" si="64"/>
        <v>64345.8</v>
      </c>
      <c r="G542" s="3">
        <f t="shared" si="64"/>
        <v>1072.43</v>
      </c>
      <c r="H542" s="3">
        <f t="shared" si="65"/>
        <v>44.684583333333336</v>
      </c>
      <c r="I542" s="3">
        <f>IF(ISNA(MATCH(H542,关卡!$E$19:$E$2018,1)),0,MATCH(H542,关卡!$E$19:$E$2018,1))</f>
        <v>1580</v>
      </c>
      <c r="J542" s="3">
        <f>VLOOKUP($I542,关卡!$A$17:$G$2018,6,0)</f>
        <v>508.14252319000019</v>
      </c>
      <c r="K542" s="3">
        <f>VLOOKUP($I542,关卡!$A$17:$G$2018,7,0)</f>
        <v>288.57342695</v>
      </c>
      <c r="L542" s="3">
        <f t="shared" si="66"/>
        <v>1829313.0834840008</v>
      </c>
      <c r="M542" s="3">
        <f t="shared" si="67"/>
        <v>1038864.33702</v>
      </c>
      <c r="N542" s="3">
        <f>INT(D542*J542*VLOOKUP(A542,经验产出!$I$7:$J$557,2,0))</f>
        <v>57068470</v>
      </c>
      <c r="O542" s="3">
        <f>SUM($N$24:N541)</f>
        <v>4429792088</v>
      </c>
      <c r="P542" s="3">
        <f>K542*VLOOKUP(A542,金币产出!$I$7:$J$557,2,0)</f>
        <v>1037.6619477410416</v>
      </c>
    </row>
    <row r="543" spans="1:16" x14ac:dyDescent="0.15">
      <c r="A543" s="3">
        <v>520</v>
      </c>
      <c r="B543" s="3">
        <f t="shared" si="61"/>
        <v>17</v>
      </c>
      <c r="C543" s="3">
        <f t="shared" si="62"/>
        <v>483840</v>
      </c>
      <c r="D543" s="3">
        <f t="shared" si="63"/>
        <v>24192</v>
      </c>
      <c r="E543" s="3">
        <f>SUM($D$24:D543)</f>
        <v>3884940</v>
      </c>
      <c r="F543" s="3">
        <f t="shared" si="64"/>
        <v>64749</v>
      </c>
      <c r="G543" s="3">
        <f t="shared" si="64"/>
        <v>1079.1500000000001</v>
      </c>
      <c r="H543" s="3">
        <f t="shared" si="65"/>
        <v>44.964583333333337</v>
      </c>
      <c r="I543" s="3">
        <f>IF(ISNA(MATCH(H543,关卡!$E$19:$E$2018,1)),0,MATCH(H543,关卡!$E$19:$E$2018,1))</f>
        <v>1583</v>
      </c>
      <c r="J543" s="3">
        <f>VLOOKUP($I543,关卡!$A$17:$G$2018,6,0)</f>
        <v>510.79481029050487</v>
      </c>
      <c r="K543" s="3">
        <f>VLOOKUP($I543,关卡!$A$17:$G$2018,7,0)</f>
        <v>289.78316598315593</v>
      </c>
      <c r="L543" s="3">
        <f t="shared" si="66"/>
        <v>1838861.3170458176</v>
      </c>
      <c r="M543" s="3">
        <f t="shared" si="67"/>
        <v>1043219.3975393613</v>
      </c>
      <c r="N543" s="3">
        <f>INT(D543*J543*VLOOKUP(A543,经验产出!$I$7:$J$557,2,0))</f>
        <v>57366343</v>
      </c>
      <c r="O543" s="3">
        <f>SUM($N$24:N542)</f>
        <v>4486860558</v>
      </c>
      <c r="P543" s="3">
        <f>K543*VLOOKUP(A543,金币产出!$I$7:$J$557,2,0)</f>
        <v>1042.0119676810982</v>
      </c>
    </row>
    <row r="544" spans="1:16" x14ac:dyDescent="0.15">
      <c r="A544" s="3">
        <v>521</v>
      </c>
      <c r="B544" s="3">
        <f t="shared" si="61"/>
        <v>17</v>
      </c>
      <c r="C544" s="3">
        <f t="shared" si="62"/>
        <v>508032</v>
      </c>
      <c r="D544" s="3">
        <f t="shared" si="63"/>
        <v>24192</v>
      </c>
      <c r="E544" s="3">
        <f>SUM($D$24:D544)</f>
        <v>3909132</v>
      </c>
      <c r="F544" s="3">
        <f t="shared" si="64"/>
        <v>65152.2</v>
      </c>
      <c r="G544" s="3">
        <f t="shared" si="64"/>
        <v>1085.8699999999999</v>
      </c>
      <c r="H544" s="3">
        <f t="shared" si="65"/>
        <v>45.244583333333331</v>
      </c>
      <c r="I544" s="3">
        <f>IF(ISNA(MATCH(H544,关卡!$E$19:$E$2018,1)),0,MATCH(H544,关卡!$E$19:$E$2018,1))</f>
        <v>1587</v>
      </c>
      <c r="J544" s="3">
        <f>VLOOKUP($I544,关卡!$A$17:$G$2018,6,0)</f>
        <v>514.34808344353985</v>
      </c>
      <c r="K544" s="3">
        <f>VLOOKUP($I544,关卡!$A$17:$G$2018,7,0)</f>
        <v>291.4021957898309</v>
      </c>
      <c r="L544" s="3">
        <f t="shared" si="66"/>
        <v>1851653.1003967435</v>
      </c>
      <c r="M544" s="3">
        <f t="shared" si="67"/>
        <v>1049047.9048433912</v>
      </c>
      <c r="N544" s="3">
        <f>INT(D544*J544*VLOOKUP(A544,经验产出!$I$7:$J$557,2,0))</f>
        <v>57765404</v>
      </c>
      <c r="O544" s="3">
        <f>SUM($N$24:N543)</f>
        <v>4544226901</v>
      </c>
      <c r="P544" s="3">
        <f>K544*VLOOKUP(A544,金币产出!$I$7:$J$557,2,0)</f>
        <v>1047.8337290276002</v>
      </c>
    </row>
    <row r="545" spans="1:16" x14ac:dyDescent="0.15">
      <c r="A545" s="3">
        <v>522</v>
      </c>
      <c r="B545" s="3">
        <f t="shared" si="61"/>
        <v>17</v>
      </c>
      <c r="C545" s="3">
        <f t="shared" si="62"/>
        <v>532224</v>
      </c>
      <c r="D545" s="3">
        <f t="shared" si="63"/>
        <v>24192</v>
      </c>
      <c r="E545" s="3">
        <f>SUM($D$24:D545)</f>
        <v>3933324</v>
      </c>
      <c r="F545" s="3">
        <f t="shared" si="64"/>
        <v>65555.399999999994</v>
      </c>
      <c r="G545" s="3">
        <f t="shared" si="64"/>
        <v>1092.5899999999999</v>
      </c>
      <c r="H545" s="3">
        <f t="shared" si="65"/>
        <v>45.524583333333332</v>
      </c>
      <c r="I545" s="3">
        <f>IF(ISNA(MATCH(H545,关卡!$E$19:$E$2018,1)),0,MATCH(H545,关卡!$E$19:$E$2018,1))</f>
        <v>1591</v>
      </c>
      <c r="J545" s="3">
        <f>VLOOKUP($I545,关卡!$A$17:$G$2018,6,0)</f>
        <v>517.92072871771495</v>
      </c>
      <c r="K545" s="3">
        <f>VLOOKUP($I545,关卡!$A$17:$G$2018,7,0)</f>
        <v>293.02815336820589</v>
      </c>
      <c r="L545" s="3">
        <f t="shared" si="66"/>
        <v>1864514.6233837737</v>
      </c>
      <c r="M545" s="3">
        <f t="shared" si="67"/>
        <v>1054901.3521255413</v>
      </c>
      <c r="N545" s="3">
        <f>INT(D545*J545*VLOOKUP(A545,经验产出!$I$7:$J$557,2,0))</f>
        <v>58166641</v>
      </c>
      <c r="O545" s="3">
        <f>SUM($N$24:N544)</f>
        <v>4601992305</v>
      </c>
      <c r="P545" s="3">
        <f>K545*VLOOKUP(A545,金币产出!$I$7:$J$557,2,0)</f>
        <v>1053.680401486507</v>
      </c>
    </row>
    <row r="546" spans="1:16" x14ac:dyDescent="0.15">
      <c r="A546" s="3">
        <v>523</v>
      </c>
      <c r="B546" s="3">
        <f t="shared" si="61"/>
        <v>17</v>
      </c>
      <c r="C546" s="3">
        <f t="shared" si="62"/>
        <v>556416</v>
      </c>
      <c r="D546" s="3">
        <f t="shared" si="63"/>
        <v>24192</v>
      </c>
      <c r="E546" s="3">
        <f>SUM($D$24:D546)</f>
        <v>3957516</v>
      </c>
      <c r="F546" s="3">
        <f t="shared" si="64"/>
        <v>65958.600000000006</v>
      </c>
      <c r="G546" s="3">
        <f t="shared" si="64"/>
        <v>1099.3100000000002</v>
      </c>
      <c r="H546" s="3">
        <f t="shared" si="65"/>
        <v>45.804583333333341</v>
      </c>
      <c r="I546" s="3">
        <f>IF(ISNA(MATCH(H546,关卡!$E$19:$E$2018,1)),0,MATCH(H546,关卡!$E$19:$E$2018,1))</f>
        <v>1594</v>
      </c>
      <c r="J546" s="3">
        <f>VLOOKUP($I546,关卡!$A$17:$G$2018,6,0)</f>
        <v>520.61297089871903</v>
      </c>
      <c r="K546" s="3">
        <f>VLOOKUP($I546,关卡!$A$17:$G$2018,7,0)</f>
        <v>294.252180949695</v>
      </c>
      <c r="L546" s="3">
        <f t="shared" si="66"/>
        <v>1874206.6952353884</v>
      </c>
      <c r="M546" s="3">
        <f t="shared" si="67"/>
        <v>1059307.8514189022</v>
      </c>
      <c r="N546" s="3">
        <f>INT(D546*J546*VLOOKUP(A546,经验产出!$I$7:$J$557,2,0))</f>
        <v>58469001</v>
      </c>
      <c r="O546" s="3">
        <f>SUM($N$24:N545)</f>
        <v>4660158946</v>
      </c>
      <c r="P546" s="3">
        <f>K546*VLOOKUP(A546,金币产出!$I$7:$J$557,2,0)</f>
        <v>1058.0818006649449</v>
      </c>
    </row>
    <row r="547" spans="1:16" x14ac:dyDescent="0.15">
      <c r="A547" s="3">
        <v>524</v>
      </c>
      <c r="B547" s="3">
        <f t="shared" si="61"/>
        <v>17</v>
      </c>
      <c r="C547" s="3">
        <f t="shared" si="62"/>
        <v>580608</v>
      </c>
      <c r="D547" s="3">
        <f t="shared" si="63"/>
        <v>24192</v>
      </c>
      <c r="E547" s="3">
        <f>SUM($D$24:D547)</f>
        <v>3981708</v>
      </c>
      <c r="F547" s="3">
        <f t="shared" si="64"/>
        <v>66361.8</v>
      </c>
      <c r="G547" s="3">
        <f t="shared" si="64"/>
        <v>1106.03</v>
      </c>
      <c r="H547" s="3">
        <f t="shared" si="65"/>
        <v>46.084583333333335</v>
      </c>
      <c r="I547" s="3">
        <f>IF(ISNA(MATCH(H547,关卡!$E$19:$E$2018,1)),0,MATCH(H547,关卡!$E$19:$E$2018,1))</f>
        <v>1598</v>
      </c>
      <c r="J547" s="3">
        <f>VLOOKUP($I547,关卡!$A$17:$G$2018,6,0)</f>
        <v>524.21969858359921</v>
      </c>
      <c r="K547" s="3">
        <f>VLOOKUP($I547,关卡!$A$17:$G$2018,7,0)</f>
        <v>295.89031434609501</v>
      </c>
      <c r="L547" s="3">
        <f t="shared" si="66"/>
        <v>1887190.9149009571</v>
      </c>
      <c r="M547" s="3">
        <f t="shared" si="67"/>
        <v>1065205.1316459421</v>
      </c>
      <c r="N547" s="3">
        <f>INT(D547*J547*VLOOKUP(A547,经验产出!$I$7:$J$557,2,0))</f>
        <v>58874065</v>
      </c>
      <c r="O547" s="3">
        <f>SUM($N$24:N546)</f>
        <v>4718627947</v>
      </c>
      <c r="P547" s="3">
        <f>K547*VLOOKUP(A547,金币产出!$I$7:$J$557,2,0)</f>
        <v>1063.9722553361667</v>
      </c>
    </row>
    <row r="548" spans="1:16" x14ac:dyDescent="0.15">
      <c r="A548" s="3">
        <v>525</v>
      </c>
      <c r="B548" s="3">
        <f t="shared" si="61"/>
        <v>17</v>
      </c>
      <c r="C548" s="3">
        <f t="shared" si="62"/>
        <v>604800</v>
      </c>
      <c r="D548" s="3">
        <f t="shared" si="63"/>
        <v>24192</v>
      </c>
      <c r="E548" s="3">
        <f>SUM($D$24:D548)</f>
        <v>4005900</v>
      </c>
      <c r="F548" s="3">
        <f t="shared" si="64"/>
        <v>66765</v>
      </c>
      <c r="G548" s="3">
        <f t="shared" si="64"/>
        <v>1112.75</v>
      </c>
      <c r="H548" s="3">
        <f t="shared" si="65"/>
        <v>46.364583333333336</v>
      </c>
      <c r="I548" s="3">
        <f>IF(ISNA(MATCH(H548,关卡!$E$19:$E$2018,1)),0,MATCH(H548,关卡!$E$19:$E$2018,1))</f>
        <v>1601</v>
      </c>
      <c r="J548" s="3">
        <f>VLOOKUP($I548,关卡!$A$17:$G$2018,6,0)</f>
        <v>526.93758923712483</v>
      </c>
      <c r="K548" s="3">
        <f>VLOOKUP($I548,关卡!$A$17:$G$2018,7,0)</f>
        <v>297.12349875675585</v>
      </c>
      <c r="L548" s="3">
        <f t="shared" si="66"/>
        <v>1896975.3212536494</v>
      </c>
      <c r="M548" s="3">
        <f t="shared" si="67"/>
        <v>1069644.5955243211</v>
      </c>
      <c r="N548" s="3">
        <f>INT(D548*J548*VLOOKUP(A548,经验产出!$I$7:$J$557,2,0))</f>
        <v>59179306</v>
      </c>
      <c r="O548" s="3">
        <f>SUM($N$24:N547)</f>
        <v>4777502012</v>
      </c>
      <c r="P548" s="3">
        <f>K548*VLOOKUP(A548,金币产出!$I$7:$J$557,2,0)</f>
        <v>1068.4065809461679</v>
      </c>
    </row>
    <row r="549" spans="1:16" x14ac:dyDescent="0.15">
      <c r="A549" s="3">
        <v>526</v>
      </c>
      <c r="B549" s="3">
        <f t="shared" si="61"/>
        <v>17</v>
      </c>
      <c r="C549" s="3">
        <f t="shared" si="62"/>
        <v>628992</v>
      </c>
      <c r="D549" s="3">
        <f t="shared" si="63"/>
        <v>24192</v>
      </c>
      <c r="E549" s="3">
        <f>SUM($D$24:D549)</f>
        <v>4030092</v>
      </c>
      <c r="F549" s="3">
        <f t="shared" si="64"/>
        <v>67168.2</v>
      </c>
      <c r="G549" s="3">
        <f t="shared" si="64"/>
        <v>1119.47</v>
      </c>
      <c r="H549" s="3">
        <f t="shared" si="65"/>
        <v>46.644583333333337</v>
      </c>
      <c r="I549" s="3">
        <f>IF(ISNA(MATCH(H549,关卡!$E$19:$E$2018,1)),0,MATCH(H549,关卡!$E$19:$E$2018,1))</f>
        <v>1604</v>
      </c>
      <c r="J549" s="3">
        <f>VLOOKUP($I549,关卡!$A$17:$G$2018,6,0)</f>
        <v>529.66652526078417</v>
      </c>
      <c r="K549" s="3">
        <f>VLOOKUP($I549,关卡!$A$17:$G$2018,7,0)</f>
        <v>298.36062283352004</v>
      </c>
      <c r="L549" s="3">
        <f t="shared" si="66"/>
        <v>1906799.490938823</v>
      </c>
      <c r="M549" s="3">
        <f t="shared" si="67"/>
        <v>1074098.2422006722</v>
      </c>
      <c r="N549" s="3">
        <f>INT(D549*J549*VLOOKUP(A549,经验产出!$I$7:$J$557,2,0))</f>
        <v>59485788</v>
      </c>
      <c r="O549" s="3">
        <f>SUM($N$24:N548)</f>
        <v>4836681318</v>
      </c>
      <c r="P549" s="3">
        <f>K549*VLOOKUP(A549,金币产出!$I$7:$J$557,2,0)</f>
        <v>1072.8550729388658</v>
      </c>
    </row>
    <row r="550" spans="1:16" x14ac:dyDescent="0.15">
      <c r="A550" s="3">
        <v>527</v>
      </c>
      <c r="B550" s="3">
        <f t="shared" si="61"/>
        <v>17</v>
      </c>
      <c r="C550" s="3">
        <f t="shared" si="62"/>
        <v>653184</v>
      </c>
      <c r="D550" s="3">
        <f t="shared" si="63"/>
        <v>24192</v>
      </c>
      <c r="E550" s="3">
        <f>SUM($D$24:D550)</f>
        <v>4054284</v>
      </c>
      <c r="F550" s="3">
        <f t="shared" si="64"/>
        <v>67571.399999999994</v>
      </c>
      <c r="G550" s="3">
        <f t="shared" si="64"/>
        <v>1126.1899999999998</v>
      </c>
      <c r="H550" s="3">
        <f t="shared" si="65"/>
        <v>46.924583333333324</v>
      </c>
      <c r="I550" s="3">
        <f>IF(ISNA(MATCH(H550,关卡!$E$19:$E$2018,1)),0,MATCH(H550,关卡!$E$19:$E$2018,1))</f>
        <v>1608</v>
      </c>
      <c r="J550" s="3">
        <f>VLOOKUP($I550,关卡!$A$17:$G$2018,6,0)</f>
        <v>533.32234357734421</v>
      </c>
      <c r="K550" s="3">
        <f>VLOOKUP($I550,关卡!$A$17:$G$2018,7,0)</f>
        <v>300.01626588032002</v>
      </c>
      <c r="L550" s="3">
        <f t="shared" si="66"/>
        <v>1919960.436878439</v>
      </c>
      <c r="M550" s="3">
        <f t="shared" si="67"/>
        <v>1080058.557169152</v>
      </c>
      <c r="N550" s="3">
        <f>INT(D550*J550*VLOOKUP(A550,经验产出!$I$7:$J$557,2,0))</f>
        <v>59896365</v>
      </c>
      <c r="O550" s="3">
        <f>SUM($N$24:N549)</f>
        <v>4896167106</v>
      </c>
      <c r="P550" s="3">
        <f>K550*VLOOKUP(A550,金币产出!$I$7:$J$557,2,0)</f>
        <v>1078.8084893946507</v>
      </c>
    </row>
    <row r="551" spans="1:16" x14ac:dyDescent="0.15">
      <c r="A551" s="3">
        <v>528</v>
      </c>
      <c r="B551" s="3">
        <f t="shared" si="61"/>
        <v>17</v>
      </c>
      <c r="C551" s="3">
        <f t="shared" si="62"/>
        <v>677376.00000000012</v>
      </c>
      <c r="D551" s="3">
        <f t="shared" si="63"/>
        <v>24192.000000000116</v>
      </c>
      <c r="E551" s="3">
        <f>SUM($D$24:D551)</f>
        <v>4078476</v>
      </c>
      <c r="F551" s="3">
        <f t="shared" si="64"/>
        <v>67974.600000000006</v>
      </c>
      <c r="G551" s="3">
        <f t="shared" si="64"/>
        <v>1132.9100000000001</v>
      </c>
      <c r="H551" s="3">
        <f t="shared" si="65"/>
        <v>47.204583333333339</v>
      </c>
      <c r="I551" s="3">
        <f>IF(ISNA(MATCH(H551,关卡!$E$19:$E$2018,1)),0,MATCH(H551,关卡!$E$19:$E$2018,1))</f>
        <v>1611</v>
      </c>
      <c r="J551" s="3">
        <f>VLOOKUP($I551,关卡!$A$17:$G$2018,6,0)</f>
        <v>536.07717654520991</v>
      </c>
      <c r="K551" s="3">
        <f>VLOOKUP($I551,关卡!$A$17:$G$2018,7,0)</f>
        <v>301.26261832118092</v>
      </c>
      <c r="L551" s="3">
        <f t="shared" si="66"/>
        <v>1929877.8355627556</v>
      </c>
      <c r="M551" s="3">
        <f t="shared" si="67"/>
        <v>1084545.4259562513</v>
      </c>
      <c r="N551" s="3">
        <f>INT(D551*J551*VLOOKUP(A551,经验产出!$I$7:$J$557,2,0))</f>
        <v>60205755</v>
      </c>
      <c r="O551" s="3">
        <f>SUM($N$24:N550)</f>
        <v>4956063471</v>
      </c>
      <c r="P551" s="3">
        <f>K551*VLOOKUP(A551,金币产出!$I$7:$J$557,2,0)</f>
        <v>1083.2901650465797</v>
      </c>
    </row>
    <row r="552" spans="1:16" x14ac:dyDescent="0.15">
      <c r="A552" s="3">
        <v>529</v>
      </c>
      <c r="B552" s="3">
        <f t="shared" si="61"/>
        <v>17</v>
      </c>
      <c r="C552" s="3">
        <f t="shared" si="62"/>
        <v>701568</v>
      </c>
      <c r="D552" s="3">
        <f t="shared" si="63"/>
        <v>24191.999999999884</v>
      </c>
      <c r="E552" s="3">
        <f>SUM($D$24:D552)</f>
        <v>4102668</v>
      </c>
      <c r="F552" s="3">
        <f t="shared" si="64"/>
        <v>68377.8</v>
      </c>
      <c r="G552" s="3">
        <f t="shared" si="64"/>
        <v>1139.6300000000001</v>
      </c>
      <c r="H552" s="3">
        <f t="shared" si="65"/>
        <v>47.48458333333334</v>
      </c>
      <c r="I552" s="3">
        <f>IF(ISNA(MATCH(H552,关卡!$E$19:$E$2018,1)),0,MATCH(H552,关卡!$E$19:$E$2018,1))</f>
        <v>1614</v>
      </c>
      <c r="J552" s="3">
        <f>VLOOKUP($I552,关卡!$A$17:$G$2018,6,0)</f>
        <v>538.8431616403991</v>
      </c>
      <c r="K552" s="3">
        <f>VLOOKUP($I552,关卡!$A$17:$G$2018,7,0)</f>
        <v>302.512941150095</v>
      </c>
      <c r="L552" s="3">
        <f t="shared" si="66"/>
        <v>1939835.3819054367</v>
      </c>
      <c r="M552" s="3">
        <f t="shared" si="67"/>
        <v>1089046.5881403422</v>
      </c>
      <c r="N552" s="3">
        <f>INT(D552*J552*VLOOKUP(A552,经验产出!$I$7:$J$557,2,0))</f>
        <v>60516397</v>
      </c>
      <c r="O552" s="3">
        <f>SUM($N$24:N551)</f>
        <v>5016269226</v>
      </c>
      <c r="P552" s="3">
        <f>K552*VLOOKUP(A552,金币产出!$I$7:$J$557,2,0)</f>
        <v>1087.7861175522166</v>
      </c>
    </row>
    <row r="553" spans="1:16" x14ac:dyDescent="0.15">
      <c r="A553" s="3">
        <v>530</v>
      </c>
      <c r="B553" s="3">
        <f t="shared" si="61"/>
        <v>17</v>
      </c>
      <c r="C553" s="3">
        <f t="shared" si="62"/>
        <v>725760</v>
      </c>
      <c r="D553" s="3">
        <f t="shared" si="63"/>
        <v>24192</v>
      </c>
      <c r="E553" s="3">
        <f>SUM($D$24:D553)</f>
        <v>4126860</v>
      </c>
      <c r="F553" s="3">
        <f t="shared" si="64"/>
        <v>68781</v>
      </c>
      <c r="G553" s="3">
        <f t="shared" si="64"/>
        <v>1146.3499999999999</v>
      </c>
      <c r="H553" s="3">
        <f t="shared" si="65"/>
        <v>47.764583333333327</v>
      </c>
      <c r="I553" s="3">
        <f>IF(ISNA(MATCH(H553,关卡!$E$19:$E$2018,1)),0,MATCH(H553,关卡!$E$19:$E$2018,1))</f>
        <v>1617</v>
      </c>
      <c r="J553" s="3">
        <f>VLOOKUP($I553,关卡!$A$17:$G$2018,6,0)</f>
        <v>541.62033099510484</v>
      </c>
      <c r="K553" s="3">
        <f>VLOOKUP($I553,关卡!$A$17:$G$2018,7,0)</f>
        <v>303.76724360865592</v>
      </c>
      <c r="L553" s="3">
        <f t="shared" si="66"/>
        <v>1949833.1915823773</v>
      </c>
      <c r="M553" s="3">
        <f t="shared" si="67"/>
        <v>1093562.0769911613</v>
      </c>
      <c r="N553" s="3">
        <f>INT(D553*J553*VLOOKUP(A553,经验产出!$I$7:$J$557,2,0))</f>
        <v>60828296</v>
      </c>
      <c r="O553" s="3">
        <f>SUM($N$24:N552)</f>
        <v>5076785623</v>
      </c>
      <c r="P553" s="3">
        <f>K553*VLOOKUP(A553,金币产出!$I$7:$J$557,2,0)</f>
        <v>1092.2963801427918</v>
      </c>
    </row>
    <row r="554" spans="1:16" x14ac:dyDescent="0.15">
      <c r="A554" s="3">
        <v>531</v>
      </c>
      <c r="B554" s="3">
        <f t="shared" si="61"/>
        <v>17</v>
      </c>
      <c r="C554" s="3">
        <f t="shared" si="62"/>
        <v>749952</v>
      </c>
      <c r="D554" s="3">
        <f t="shared" si="63"/>
        <v>24192</v>
      </c>
      <c r="E554" s="3">
        <f>SUM($D$24:D554)</f>
        <v>4151052</v>
      </c>
      <c r="F554" s="3">
        <f t="shared" si="64"/>
        <v>69184.2</v>
      </c>
      <c r="G554" s="3">
        <f t="shared" si="64"/>
        <v>1153.07</v>
      </c>
      <c r="H554" s="3">
        <f t="shared" si="65"/>
        <v>48.044583333333328</v>
      </c>
      <c r="I554" s="3">
        <f>IF(ISNA(MATCH(H554,关卡!$E$19:$E$2018,1)),0,MATCH(H554,关卡!$E$19:$E$2018,1))</f>
        <v>1620</v>
      </c>
      <c r="J554" s="3">
        <f>VLOOKUP($I554,关卡!$A$17:$G$2018,6,0)</f>
        <v>544.40871679000008</v>
      </c>
      <c r="K554" s="3">
        <f>VLOOKUP($I554,关卡!$A$17:$G$2018,7,0)</f>
        <v>305.02553495000006</v>
      </c>
      <c r="L554" s="3">
        <f t="shared" si="66"/>
        <v>1959871.3804440005</v>
      </c>
      <c r="M554" s="3">
        <f t="shared" si="67"/>
        <v>1098091.9258200002</v>
      </c>
      <c r="N554" s="3">
        <f>INT(D554*J554*VLOOKUP(A554,经验产出!$I$7:$J$557,2,0))</f>
        <v>61141454</v>
      </c>
      <c r="O554" s="3">
        <f>SUM($N$24:N553)</f>
        <v>5137613919</v>
      </c>
      <c r="P554" s="3">
        <f>K554*VLOOKUP(A554,金币产出!$I$7:$J$557,2,0)</f>
        <v>1096.820986091042</v>
      </c>
    </row>
    <row r="555" spans="1:16" x14ac:dyDescent="0.15">
      <c r="A555" s="3">
        <v>532</v>
      </c>
      <c r="B555" s="3">
        <f t="shared" si="61"/>
        <v>17</v>
      </c>
      <c r="C555" s="3">
        <f t="shared" si="62"/>
        <v>774144</v>
      </c>
      <c r="D555" s="3">
        <f t="shared" si="63"/>
        <v>24192</v>
      </c>
      <c r="E555" s="3">
        <f>SUM($D$24:D555)</f>
        <v>4175244</v>
      </c>
      <c r="F555" s="3">
        <f t="shared" si="64"/>
        <v>69587.399999999994</v>
      </c>
      <c r="G555" s="3">
        <f t="shared" si="64"/>
        <v>1159.79</v>
      </c>
      <c r="H555" s="3">
        <f t="shared" si="65"/>
        <v>48.324583333333329</v>
      </c>
      <c r="I555" s="3">
        <f>IF(ISNA(MATCH(H555,关卡!$E$19:$E$2018,1)),0,MATCH(H555,关卡!$E$19:$E$2018,1))</f>
        <v>1623</v>
      </c>
      <c r="J555" s="3">
        <f>VLOOKUP($I555,关卡!$A$17:$G$2018,6,0)</f>
        <v>547.20835125423491</v>
      </c>
      <c r="K555" s="3">
        <f>VLOOKUP($I555,关卡!$A$17:$G$2018,7,0)</f>
        <v>306.28782443880596</v>
      </c>
      <c r="L555" s="3">
        <f t="shared" si="66"/>
        <v>1969950.0645152458</v>
      </c>
      <c r="M555" s="3">
        <f t="shared" si="67"/>
        <v>1102636.1679797014</v>
      </c>
      <c r="N555" s="3">
        <f>INT(D555*J555*VLOOKUP(A555,经验产出!$I$7:$J$557,2,0))</f>
        <v>61455875</v>
      </c>
      <c r="O555" s="3">
        <f>SUM($N$24:N554)</f>
        <v>5198755373</v>
      </c>
      <c r="P555" s="3">
        <f>K555*VLOOKUP(A555,金币产出!$I$7:$J$557,2,0)</f>
        <v>1101.3599687112064</v>
      </c>
    </row>
    <row r="556" spans="1:16" x14ac:dyDescent="0.15">
      <c r="A556" s="3">
        <v>533</v>
      </c>
      <c r="B556" s="3">
        <f t="shared" si="61"/>
        <v>17</v>
      </c>
      <c r="C556" s="3">
        <f t="shared" si="62"/>
        <v>798336</v>
      </c>
      <c r="D556" s="3">
        <f t="shared" si="63"/>
        <v>24192</v>
      </c>
      <c r="E556" s="3">
        <f>SUM($D$24:D556)</f>
        <v>4199436</v>
      </c>
      <c r="F556" s="3">
        <f t="shared" si="64"/>
        <v>69990.600000000006</v>
      </c>
      <c r="G556" s="3">
        <f t="shared" si="64"/>
        <v>1166.51</v>
      </c>
      <c r="H556" s="3">
        <f t="shared" si="65"/>
        <v>48.604583333333331</v>
      </c>
      <c r="I556" s="3">
        <f>IF(ISNA(MATCH(H556,关卡!$E$19:$E$2018,1)),0,MATCH(H556,关卡!$E$19:$E$2018,1))</f>
        <v>1626</v>
      </c>
      <c r="J556" s="3">
        <f>VLOOKUP($I556,关卡!$A$17:$G$2018,6,0)</f>
        <v>550.01926666543898</v>
      </c>
      <c r="K556" s="3">
        <f>VLOOKUP($I556,关卡!$A$17:$G$2018,7,0)</f>
        <v>307.55412135129495</v>
      </c>
      <c r="L556" s="3">
        <f t="shared" si="66"/>
        <v>1980069.3599955805</v>
      </c>
      <c r="M556" s="3">
        <f t="shared" si="67"/>
        <v>1107194.8368646619</v>
      </c>
      <c r="N556" s="3">
        <f>INT(D556*J556*VLOOKUP(A556,经验产出!$I$7:$J$557,2,0))</f>
        <v>61771563</v>
      </c>
      <c r="O556" s="3">
        <f>SUM($N$24:N555)</f>
        <v>5260211248</v>
      </c>
      <c r="P556" s="3">
        <f>K556*VLOOKUP(A556,金币产出!$I$7:$J$557,2,0)</f>
        <v>1105.9133613590313</v>
      </c>
    </row>
    <row r="557" spans="1:16" x14ac:dyDescent="0.15">
      <c r="A557" s="3">
        <v>534</v>
      </c>
      <c r="B557" s="3">
        <f t="shared" si="61"/>
        <v>17</v>
      </c>
      <c r="C557" s="3">
        <f t="shared" si="62"/>
        <v>822528.00000000012</v>
      </c>
      <c r="D557" s="3">
        <f t="shared" si="63"/>
        <v>24192.000000000116</v>
      </c>
      <c r="E557" s="3">
        <f>SUM($D$24:D557)</f>
        <v>4223628</v>
      </c>
      <c r="F557" s="3">
        <f t="shared" si="64"/>
        <v>70393.8</v>
      </c>
      <c r="G557" s="3">
        <f t="shared" si="64"/>
        <v>1173.23</v>
      </c>
      <c r="H557" s="3">
        <f t="shared" si="65"/>
        <v>48.884583333333332</v>
      </c>
      <c r="I557" s="3">
        <f>IF(ISNA(MATCH(H557,关卡!$E$19:$E$2018,1)),0,MATCH(H557,关卡!$E$19:$E$2018,1))</f>
        <v>1629</v>
      </c>
      <c r="J557" s="3">
        <f>VLOOKUP($I557,关卡!$A$17:$G$2018,6,0)</f>
        <v>552.84149534971993</v>
      </c>
      <c r="K557" s="3">
        <f>VLOOKUP($I557,关卡!$A$17:$G$2018,7,0)</f>
        <v>308.82443497523093</v>
      </c>
      <c r="L557" s="3">
        <f t="shared" si="66"/>
        <v>1990229.3832589919</v>
      </c>
      <c r="M557" s="3">
        <f t="shared" si="67"/>
        <v>1111767.9659108312</v>
      </c>
      <c r="N557" s="3">
        <f>INT(D557*J557*VLOOKUP(A557,经验产出!$I$7:$J$557,2,0))</f>
        <v>62088522</v>
      </c>
      <c r="O557" s="3">
        <f>SUM($N$24:N556)</f>
        <v>5321982811</v>
      </c>
      <c r="P557" s="3">
        <f>K557*VLOOKUP(A557,金币产出!$I$7:$J$557,2,0)</f>
        <v>1110.4811974317679</v>
      </c>
    </row>
    <row r="558" spans="1:16" x14ac:dyDescent="0.15">
      <c r="A558" s="3">
        <v>535</v>
      </c>
      <c r="B558" s="3">
        <f t="shared" si="61"/>
        <v>17</v>
      </c>
      <c r="C558" s="3">
        <f t="shared" si="62"/>
        <v>846720</v>
      </c>
      <c r="D558" s="3">
        <f t="shared" si="63"/>
        <v>24191.999999999884</v>
      </c>
      <c r="E558" s="3">
        <f>SUM($D$24:D558)</f>
        <v>4247820</v>
      </c>
      <c r="F558" s="3">
        <f t="shared" si="64"/>
        <v>70797</v>
      </c>
      <c r="G558" s="3">
        <f t="shared" si="64"/>
        <v>1179.95</v>
      </c>
      <c r="H558" s="3">
        <f t="shared" si="65"/>
        <v>49.164583333333333</v>
      </c>
      <c r="I558" s="3">
        <f>IF(ISNA(MATCH(H558,关卡!$E$19:$E$2018,1)),0,MATCH(H558,关卡!$E$19:$E$2018,1))</f>
        <v>1632</v>
      </c>
      <c r="J558" s="3">
        <f>VLOOKUP($I558,关卡!$A$17:$G$2018,6,0)</f>
        <v>555.6750696816639</v>
      </c>
      <c r="K558" s="3">
        <f>VLOOKUP($I558,关卡!$A$17:$G$2018,7,0)</f>
        <v>310.09877460991999</v>
      </c>
      <c r="L558" s="3">
        <f t="shared" si="66"/>
        <v>2000430.2508539902</v>
      </c>
      <c r="M558" s="3">
        <f t="shared" si="67"/>
        <v>1116355.5885957119</v>
      </c>
      <c r="N558" s="3">
        <f>INT(D558*J558*VLOOKUP(A558,经验产出!$I$7:$J$557,2,0))</f>
        <v>62406755</v>
      </c>
      <c r="O558" s="3">
        <f>SUM($N$24:N557)</f>
        <v>5384071333</v>
      </c>
      <c r="P558" s="3">
        <f>K558*VLOOKUP(A558,金币产出!$I$7:$J$557,2,0)</f>
        <v>1115.0635103681707</v>
      </c>
    </row>
    <row r="559" spans="1:16" x14ac:dyDescent="0.15">
      <c r="A559" s="3">
        <v>536</v>
      </c>
      <c r="B559" s="3">
        <f t="shared" si="61"/>
        <v>17</v>
      </c>
      <c r="C559" s="3">
        <f t="shared" si="62"/>
        <v>870912</v>
      </c>
      <c r="D559" s="3">
        <f t="shared" si="63"/>
        <v>24192</v>
      </c>
      <c r="E559" s="3">
        <f>SUM($D$24:D559)</f>
        <v>4272012</v>
      </c>
      <c r="F559" s="3">
        <f t="shared" si="64"/>
        <v>71200.2</v>
      </c>
      <c r="G559" s="3">
        <f t="shared" si="64"/>
        <v>1186.6699999999998</v>
      </c>
      <c r="H559" s="3">
        <f t="shared" si="65"/>
        <v>49.444583333333327</v>
      </c>
      <c r="I559" s="3">
        <f>IF(ISNA(MATCH(H559,关卡!$E$19:$E$2018,1)),0,MATCH(H559,关卡!$E$19:$E$2018,1))</f>
        <v>1635</v>
      </c>
      <c r="J559" s="3">
        <f>VLOOKUP($I559,关卡!$A$17:$G$2018,6,0)</f>
        <v>558.52002208433589</v>
      </c>
      <c r="K559" s="3">
        <f>VLOOKUP($I559,关卡!$A$17:$G$2018,7,0)</f>
        <v>311.3771495662109</v>
      </c>
      <c r="L559" s="3">
        <f t="shared" si="66"/>
        <v>2010672.0795036091</v>
      </c>
      <c r="M559" s="3">
        <f t="shared" si="67"/>
        <v>1120957.7384383592</v>
      </c>
      <c r="N559" s="3">
        <f>INT(D559*J559*VLOOKUP(A559,经验产出!$I$7:$J$557,2,0))</f>
        <v>62726266</v>
      </c>
      <c r="O559" s="3">
        <f>SUM($N$24:N558)</f>
        <v>5446478088</v>
      </c>
      <c r="P559" s="3">
        <f>K559*VLOOKUP(A559,金币产出!$I$7:$J$557,2,0)</f>
        <v>1119.6603336485</v>
      </c>
    </row>
    <row r="560" spans="1:16" x14ac:dyDescent="0.15">
      <c r="A560" s="3">
        <v>537</v>
      </c>
      <c r="B560" s="3">
        <f t="shared" si="61"/>
        <v>17</v>
      </c>
      <c r="C560" s="3">
        <f t="shared" si="62"/>
        <v>895104</v>
      </c>
      <c r="D560" s="3">
        <f t="shared" si="63"/>
        <v>24192</v>
      </c>
      <c r="E560" s="3">
        <f>SUM($D$24:D560)</f>
        <v>4296204</v>
      </c>
      <c r="F560" s="3">
        <f t="shared" si="64"/>
        <v>71603.399999999994</v>
      </c>
      <c r="G560" s="3">
        <f t="shared" si="64"/>
        <v>1193.3899999999999</v>
      </c>
      <c r="H560" s="3">
        <f t="shared" si="65"/>
        <v>49.724583333333328</v>
      </c>
      <c r="I560" s="3">
        <f>IF(ISNA(MATCH(H560,关卡!$E$19:$E$2018,1)),0,MATCH(H560,关卡!$E$19:$E$2018,1))</f>
        <v>1638</v>
      </c>
      <c r="J560" s="3">
        <f>VLOOKUP($I560,关卡!$A$17:$G$2018,6,0)</f>
        <v>561.37638502927905</v>
      </c>
      <c r="K560" s="3">
        <f>VLOOKUP($I560,关卡!$A$17:$G$2018,7,0)</f>
        <v>312.65956916649498</v>
      </c>
      <c r="L560" s="3">
        <f t="shared" si="66"/>
        <v>2020954.9861054043</v>
      </c>
      <c r="M560" s="3">
        <f t="shared" si="67"/>
        <v>1125574.4489993819</v>
      </c>
      <c r="N560" s="3">
        <f>INT(D560*J560*VLOOKUP(A560,经验产出!$I$7:$J$557,2,0))</f>
        <v>63047059</v>
      </c>
      <c r="O560" s="3">
        <f>SUM($N$24:N559)</f>
        <v>5509204354</v>
      </c>
      <c r="P560" s="3">
        <f>K560*VLOOKUP(A560,金币产出!$I$7:$J$557,2,0)</f>
        <v>1124.2717007945214</v>
      </c>
    </row>
    <row r="561" spans="1:16" x14ac:dyDescent="0.15">
      <c r="A561" s="3">
        <v>538</v>
      </c>
      <c r="B561" s="3">
        <f t="shared" si="61"/>
        <v>17</v>
      </c>
      <c r="C561" s="3">
        <f t="shared" si="62"/>
        <v>919296</v>
      </c>
      <c r="D561" s="3">
        <f t="shared" si="63"/>
        <v>24192</v>
      </c>
      <c r="E561" s="3">
        <f>SUM($D$24:D561)</f>
        <v>4320396</v>
      </c>
      <c r="F561" s="3">
        <f t="shared" si="64"/>
        <v>72006.600000000006</v>
      </c>
      <c r="G561" s="3">
        <f t="shared" si="64"/>
        <v>1200.1100000000001</v>
      </c>
      <c r="H561" s="3">
        <f t="shared" si="65"/>
        <v>50.004583333333336</v>
      </c>
      <c r="I561" s="3">
        <f>IF(ISNA(MATCH(H561,关卡!$E$19:$E$2018,1)),0,MATCH(H561,关卡!$E$19:$E$2018,1))</f>
        <v>1641</v>
      </c>
      <c r="J561" s="3">
        <f>VLOOKUP($I561,关卡!$A$17:$G$2018,6,0)</f>
        <v>564.24419103651496</v>
      </c>
      <c r="K561" s="3">
        <f>VLOOKUP($I561,关卡!$A$17:$G$2018,7,0)</f>
        <v>313.94604274470589</v>
      </c>
      <c r="L561" s="3">
        <f t="shared" si="66"/>
        <v>2031279.0877314541</v>
      </c>
      <c r="M561" s="3">
        <f t="shared" si="67"/>
        <v>1130205.7538809413</v>
      </c>
      <c r="N561" s="3">
        <f>INT(D561*J561*VLOOKUP(A561,经验产出!$I$7:$J$557,2,0))</f>
        <v>63369136</v>
      </c>
      <c r="O561" s="3">
        <f>SUM($N$24:N560)</f>
        <v>5572251413</v>
      </c>
      <c r="P561" s="3">
        <f>K561*VLOOKUP(A561,金币产出!$I$7:$J$557,2,0)</f>
        <v>1128.897645369505</v>
      </c>
    </row>
    <row r="562" spans="1:16" x14ac:dyDescent="0.15">
      <c r="A562" s="3">
        <v>539</v>
      </c>
      <c r="B562" s="3">
        <f t="shared" si="61"/>
        <v>17</v>
      </c>
      <c r="C562" s="3">
        <f t="shared" si="62"/>
        <v>943488</v>
      </c>
      <c r="D562" s="3">
        <f t="shared" si="63"/>
        <v>24192</v>
      </c>
      <c r="E562" s="3">
        <f>SUM($D$24:D562)</f>
        <v>4344588</v>
      </c>
      <c r="F562" s="3">
        <f t="shared" si="64"/>
        <v>72409.8</v>
      </c>
      <c r="G562" s="3">
        <f t="shared" si="64"/>
        <v>1206.8300000000002</v>
      </c>
      <c r="H562" s="3">
        <f t="shared" si="65"/>
        <v>50.284583333333337</v>
      </c>
      <c r="I562" s="3">
        <f>IF(ISNA(MATCH(H562,关卡!$E$19:$E$2018,1)),0,MATCH(H562,关卡!$E$19:$E$2018,1))</f>
        <v>1644</v>
      </c>
      <c r="J562" s="3">
        <f>VLOOKUP($I562,关卡!$A$17:$G$2018,6,0)</f>
        <v>567.1234726745439</v>
      </c>
      <c r="K562" s="3">
        <f>VLOOKUP($I562,关卡!$A$17:$G$2018,7,0)</f>
        <v>315.23657964631997</v>
      </c>
      <c r="L562" s="3">
        <f t="shared" si="66"/>
        <v>2041644.5016283579</v>
      </c>
      <c r="M562" s="3">
        <f t="shared" si="67"/>
        <v>1134851.686726752</v>
      </c>
      <c r="N562" s="3">
        <f>INT(D562*J562*VLOOKUP(A562,经验产出!$I$7:$J$557,2,0))</f>
        <v>63692502</v>
      </c>
      <c r="O562" s="3">
        <f>SUM($N$24:N561)</f>
        <v>5635620549</v>
      </c>
      <c r="P562" s="3">
        <f>K562*VLOOKUP(A562,金币产出!$I$7:$J$557,2,0)</f>
        <v>1133.5382009782254</v>
      </c>
    </row>
    <row r="563" spans="1:16" x14ac:dyDescent="0.15">
      <c r="A563" s="3">
        <v>540</v>
      </c>
      <c r="B563" s="3">
        <f t="shared" si="61"/>
        <v>17</v>
      </c>
      <c r="C563" s="3">
        <f t="shared" si="62"/>
        <v>967680</v>
      </c>
      <c r="D563" s="3">
        <f t="shared" si="63"/>
        <v>24192</v>
      </c>
      <c r="E563" s="3">
        <f>SUM($D$24:D563)</f>
        <v>4368780</v>
      </c>
      <c r="F563" s="3">
        <f t="shared" si="64"/>
        <v>72813</v>
      </c>
      <c r="G563" s="3">
        <f t="shared" si="64"/>
        <v>1213.55</v>
      </c>
      <c r="H563" s="3">
        <f t="shared" si="65"/>
        <v>50.564583333333331</v>
      </c>
      <c r="I563" s="3">
        <f>IF(ISNA(MATCH(H563,关卡!$E$19:$E$2018,1)),0,MATCH(H563,关卡!$E$19:$E$2018,1))</f>
        <v>1647</v>
      </c>
      <c r="J563" s="3">
        <f>VLOOKUP($I563,关卡!$A$17:$G$2018,6,0)</f>
        <v>570.01426256034495</v>
      </c>
      <c r="K563" s="3">
        <f>VLOOKUP($I563,关卡!$A$17:$G$2018,7,0)</f>
        <v>316.53118922835586</v>
      </c>
      <c r="L563" s="3">
        <f t="shared" si="66"/>
        <v>2052051.3452172417</v>
      </c>
      <c r="M563" s="3">
        <f t="shared" si="67"/>
        <v>1139512.281222081</v>
      </c>
      <c r="N563" s="3">
        <f>INT(D563*J563*VLOOKUP(A563,经验产出!$I$7:$J$557,2,0))</f>
        <v>64017161</v>
      </c>
      <c r="O563" s="3">
        <f>SUM($N$24:N562)</f>
        <v>5699313051</v>
      </c>
      <c r="P563" s="3">
        <f>K563*VLOOKUP(A563,金币产出!$I$7:$J$557,2,0)</f>
        <v>1138.1934012669628</v>
      </c>
    </row>
    <row r="564" spans="1:16" x14ac:dyDescent="0.15">
      <c r="A564" s="3">
        <v>541</v>
      </c>
      <c r="B564" s="3">
        <f t="shared" si="61"/>
        <v>17</v>
      </c>
      <c r="C564" s="3">
        <f t="shared" si="62"/>
        <v>991871.99999999988</v>
      </c>
      <c r="D564" s="3">
        <f t="shared" si="63"/>
        <v>24191.999999999884</v>
      </c>
      <c r="E564" s="3">
        <f>SUM($D$24:D564)</f>
        <v>4392972</v>
      </c>
      <c r="F564" s="3">
        <f t="shared" si="64"/>
        <v>73216.2</v>
      </c>
      <c r="G564" s="3">
        <f t="shared" si="64"/>
        <v>1220.27</v>
      </c>
      <c r="H564" s="3">
        <f t="shared" si="65"/>
        <v>50.844583333333333</v>
      </c>
      <c r="I564" s="3">
        <f>IF(ISNA(MATCH(H564,关卡!$E$19:$E$2018,1)),0,MATCH(H564,关卡!$E$19:$E$2018,1))</f>
        <v>1650</v>
      </c>
      <c r="J564" s="3">
        <f>VLOOKUP($I564,关卡!$A$17:$G$2018,6,0)</f>
        <v>572.91659335937493</v>
      </c>
      <c r="K564" s="3">
        <f>VLOOKUP($I564,关卡!$A$17:$G$2018,7,0)</f>
        <v>317.8298808593749</v>
      </c>
      <c r="L564" s="3">
        <f t="shared" si="66"/>
        <v>2062499.7360937495</v>
      </c>
      <c r="M564" s="3">
        <f t="shared" si="67"/>
        <v>1144187.5710937497</v>
      </c>
      <c r="N564" s="3">
        <f>INT(D564*J564*VLOOKUP(A564,经验产出!$I$7:$J$557,2,0))</f>
        <v>64343116</v>
      </c>
      <c r="O564" s="3">
        <f>SUM($N$24:N563)</f>
        <v>5763330212</v>
      </c>
      <c r="P564" s="3">
        <f>K564*VLOOKUP(A564,金币产出!$I$7:$J$557,2,0)</f>
        <v>1142.8632799235022</v>
      </c>
    </row>
    <row r="565" spans="1:16" x14ac:dyDescent="0.15">
      <c r="A565" s="3">
        <v>542</v>
      </c>
      <c r="B565" s="3">
        <f t="shared" si="61"/>
        <v>17</v>
      </c>
      <c r="C565" s="3">
        <f t="shared" si="62"/>
        <v>1016064</v>
      </c>
      <c r="D565" s="3">
        <f t="shared" si="63"/>
        <v>24192.000000000116</v>
      </c>
      <c r="E565" s="3">
        <f>SUM($D$24:D565)</f>
        <v>4417164</v>
      </c>
      <c r="F565" s="3">
        <f t="shared" si="64"/>
        <v>73619.399999999994</v>
      </c>
      <c r="G565" s="3">
        <f t="shared" si="64"/>
        <v>1226.99</v>
      </c>
      <c r="H565" s="3">
        <f t="shared" si="65"/>
        <v>51.124583333333334</v>
      </c>
      <c r="I565" s="3">
        <f>IF(ISNA(MATCH(H565,关卡!$E$19:$E$2018,1)),0,MATCH(H565,关卡!$E$19:$E$2018,1))</f>
        <v>1653</v>
      </c>
      <c r="J565" s="3">
        <f>VLOOKUP($I565,关卡!$A$17:$G$2018,6,0)</f>
        <v>575.83049778556995</v>
      </c>
      <c r="K565" s="3">
        <f>VLOOKUP($I565,关卡!$A$17:$G$2018,7,0)</f>
        <v>319.13266391948093</v>
      </c>
      <c r="L565" s="3">
        <f t="shared" si="66"/>
        <v>2072989.7920280518</v>
      </c>
      <c r="M565" s="3">
        <f t="shared" si="67"/>
        <v>1148877.5901101313</v>
      </c>
      <c r="N565" s="3">
        <f>INT(D565*J565*VLOOKUP(A565,经验产出!$I$7:$J$557,2,0))</f>
        <v>64670371</v>
      </c>
      <c r="O565" s="3">
        <f>SUM($N$24:N564)</f>
        <v>5827673328</v>
      </c>
      <c r="P565" s="3">
        <f>K565*VLOOKUP(A565,金币产出!$I$7:$J$557,2,0)</f>
        <v>1147.5478706771335</v>
      </c>
    </row>
    <row r="566" spans="1:16" x14ac:dyDescent="0.15">
      <c r="A566" s="3">
        <v>543</v>
      </c>
      <c r="B566" s="3">
        <f t="shared" si="61"/>
        <v>17</v>
      </c>
      <c r="C566" s="3">
        <f t="shared" si="62"/>
        <v>1040256</v>
      </c>
      <c r="D566" s="3">
        <f t="shared" si="63"/>
        <v>24192</v>
      </c>
      <c r="E566" s="3">
        <f>SUM($D$24:D566)</f>
        <v>4441356</v>
      </c>
      <c r="F566" s="3">
        <f t="shared" si="64"/>
        <v>74022.600000000006</v>
      </c>
      <c r="G566" s="3">
        <f t="shared" si="64"/>
        <v>1233.71</v>
      </c>
      <c r="H566" s="3">
        <f t="shared" si="65"/>
        <v>51.404583333333335</v>
      </c>
      <c r="I566" s="3">
        <f>IF(ISNA(MATCH(H566,关卡!$E$19:$E$2018,1)),0,MATCH(H566,关卡!$E$19:$E$2018,1))</f>
        <v>1656</v>
      </c>
      <c r="J566" s="3">
        <f>VLOOKUP($I566,关卡!$A$17:$G$2018,6,0)</f>
        <v>578.75600860134398</v>
      </c>
      <c r="K566" s="3">
        <f>VLOOKUP($I566,关卡!$A$17:$G$2018,7,0)</f>
        <v>320.43954780031999</v>
      </c>
      <c r="L566" s="3">
        <f t="shared" si="66"/>
        <v>2083521.6309648384</v>
      </c>
      <c r="M566" s="3">
        <f t="shared" si="67"/>
        <v>1153582.3720811519</v>
      </c>
      <c r="N566" s="3">
        <f>INT(D566*J566*VLOOKUP(A566,经验产出!$I$7:$J$557,2,0))</f>
        <v>64998929</v>
      </c>
      <c r="O566" s="3">
        <f>SUM($N$24:N565)</f>
        <v>5892343699</v>
      </c>
      <c r="P566" s="3">
        <f>K566*VLOOKUP(A566,金币产出!$I$7:$J$557,2,0)</f>
        <v>1152.2472072986507</v>
      </c>
    </row>
    <row r="567" spans="1:16" x14ac:dyDescent="0.15">
      <c r="A567" s="3">
        <v>544</v>
      </c>
      <c r="B567" s="3">
        <f t="shared" si="61"/>
        <v>17</v>
      </c>
      <c r="C567" s="3">
        <f t="shared" si="62"/>
        <v>1064448</v>
      </c>
      <c r="D567" s="3">
        <f t="shared" si="63"/>
        <v>24192</v>
      </c>
      <c r="E567" s="3">
        <f>SUM($D$24:D567)</f>
        <v>4465548</v>
      </c>
      <c r="F567" s="3">
        <f t="shared" si="64"/>
        <v>74425.8</v>
      </c>
      <c r="G567" s="3">
        <f t="shared" si="64"/>
        <v>1240.43</v>
      </c>
      <c r="H567" s="3">
        <f t="shared" si="65"/>
        <v>51.684583333333336</v>
      </c>
      <c r="I567" s="3">
        <f>IF(ISNA(MATCH(H567,关卡!$E$19:$E$2018,1)),0,MATCH(H567,关卡!$E$19:$E$2018,1))</f>
        <v>1659</v>
      </c>
      <c r="J567" s="3">
        <f>VLOOKUP($I567,关卡!$A$17:$G$2018,6,0)</f>
        <v>581.69315861758992</v>
      </c>
      <c r="K567" s="3">
        <f>VLOOKUP($I567,关卡!$A$17:$G$2018,7,0)</f>
        <v>321.75054190508092</v>
      </c>
      <c r="L567" s="3">
        <f t="shared" si="66"/>
        <v>2094095.3710233236</v>
      </c>
      <c r="M567" s="3">
        <f t="shared" si="67"/>
        <v>1158301.9508582912</v>
      </c>
      <c r="N567" s="3">
        <f>INT(D567*J567*VLOOKUP(A567,经验产出!$I$7:$J$557,2,0))</f>
        <v>65328795</v>
      </c>
      <c r="O567" s="3">
        <f>SUM($N$24:N566)</f>
        <v>5957342628</v>
      </c>
      <c r="P567" s="3">
        <f>K567*VLOOKUP(A567,金币产出!$I$7:$J$557,2,0)</f>
        <v>1156.9613236003534</v>
      </c>
    </row>
    <row r="568" spans="1:16" x14ac:dyDescent="0.15">
      <c r="A568" s="3">
        <v>545</v>
      </c>
      <c r="B568" s="3">
        <f t="shared" si="61"/>
        <v>17</v>
      </c>
      <c r="C568" s="3">
        <f t="shared" si="62"/>
        <v>1088640</v>
      </c>
      <c r="D568" s="3">
        <f t="shared" si="63"/>
        <v>24192</v>
      </c>
      <c r="E568" s="3">
        <f>SUM($D$24:D568)</f>
        <v>4489740</v>
      </c>
      <c r="F568" s="3">
        <f t="shared" si="64"/>
        <v>74829</v>
      </c>
      <c r="G568" s="3">
        <f t="shared" si="64"/>
        <v>1247.1500000000001</v>
      </c>
      <c r="H568" s="3">
        <f t="shared" si="65"/>
        <v>51.964583333333337</v>
      </c>
      <c r="I568" s="3">
        <f>IF(ISNA(MATCH(H568,关卡!$E$19:$E$2018,1)),0,MATCH(H568,关卡!$E$19:$E$2018,1))</f>
        <v>1662</v>
      </c>
      <c r="J568" s="3">
        <f>VLOOKUP($I568,关卡!$A$17:$G$2018,6,0)</f>
        <v>584.64198069367899</v>
      </c>
      <c r="K568" s="3">
        <f>VLOOKUP($I568,关卡!$A$17:$G$2018,7,0)</f>
        <v>323.06565564849501</v>
      </c>
      <c r="L568" s="3">
        <f t="shared" si="66"/>
        <v>2104711.1304972442</v>
      </c>
      <c r="M568" s="3">
        <f t="shared" si="67"/>
        <v>1163036.3603345822</v>
      </c>
      <c r="N568" s="3">
        <f>INT(D568*J568*VLOOKUP(A568,经验产出!$I$7:$J$557,2,0))</f>
        <v>65659971</v>
      </c>
      <c r="O568" s="3">
        <f>SUM($N$24:N567)</f>
        <v>6022671423</v>
      </c>
      <c r="P568" s="3">
        <f>K568*VLOOKUP(A568,金币产出!$I$7:$J$557,2,0)</f>
        <v>1161.6902534360465</v>
      </c>
    </row>
    <row r="569" spans="1:16" x14ac:dyDescent="0.15">
      <c r="A569" s="3">
        <v>546</v>
      </c>
      <c r="B569" s="3">
        <f t="shared" si="61"/>
        <v>17</v>
      </c>
      <c r="C569" s="3">
        <f t="shared" si="62"/>
        <v>1112832</v>
      </c>
      <c r="D569" s="3">
        <f t="shared" si="63"/>
        <v>24192</v>
      </c>
      <c r="E569" s="3">
        <f>SUM($D$24:D569)</f>
        <v>4513932</v>
      </c>
      <c r="F569" s="3">
        <f t="shared" si="64"/>
        <v>75232.2</v>
      </c>
      <c r="G569" s="3">
        <f t="shared" si="64"/>
        <v>1253.8699999999999</v>
      </c>
      <c r="H569" s="3">
        <f t="shared" si="65"/>
        <v>52.244583333333331</v>
      </c>
      <c r="I569" s="3">
        <f>IF(ISNA(MATCH(H569,关卡!$E$19:$E$2018,1)),0,MATCH(H569,关卡!$E$19:$E$2018,1))</f>
        <v>1665</v>
      </c>
      <c r="J569" s="3">
        <f>VLOOKUP($I569,关卡!$A$17:$G$2018,6,0)</f>
        <v>587.60250773746088</v>
      </c>
      <c r="K569" s="3">
        <f>VLOOKUP($I569,关卡!$A$17:$G$2018,7,0)</f>
        <v>324.38489845683591</v>
      </c>
      <c r="L569" s="3">
        <f t="shared" si="66"/>
        <v>2115369.0278548589</v>
      </c>
      <c r="M569" s="3">
        <f t="shared" si="67"/>
        <v>1167785.6344446093</v>
      </c>
      <c r="N569" s="3">
        <f>INT(D569*J569*VLOOKUP(A569,经验产出!$I$7:$J$557,2,0))</f>
        <v>65992462</v>
      </c>
      <c r="O569" s="3">
        <f>SUM($N$24:N568)</f>
        <v>6088331394</v>
      </c>
      <c r="P569" s="3">
        <f>K569*VLOOKUP(A569,金币产出!$I$7:$J$557,2,0)</f>
        <v>1166.4340307010391</v>
      </c>
    </row>
    <row r="570" spans="1:16" x14ac:dyDescent="0.15">
      <c r="A570" s="3">
        <v>547</v>
      </c>
      <c r="B570" s="3">
        <f t="shared" si="61"/>
        <v>17</v>
      </c>
      <c r="C570" s="3">
        <f t="shared" si="62"/>
        <v>1137024</v>
      </c>
      <c r="D570" s="3">
        <f t="shared" si="63"/>
        <v>24192</v>
      </c>
      <c r="E570" s="3">
        <f>SUM($D$24:D570)</f>
        <v>4538124</v>
      </c>
      <c r="F570" s="3">
        <f t="shared" si="64"/>
        <v>75635.399999999994</v>
      </c>
      <c r="G570" s="3">
        <f t="shared" si="64"/>
        <v>1260.5899999999999</v>
      </c>
      <c r="H570" s="3">
        <f t="shared" si="65"/>
        <v>52.524583333333332</v>
      </c>
      <c r="I570" s="3">
        <f>IF(ISNA(MATCH(H570,关卡!$E$19:$E$2018,1)),0,MATCH(H570,关卡!$E$19:$E$2018,1))</f>
        <v>1668</v>
      </c>
      <c r="J570" s="3">
        <f>VLOOKUP($I570,关卡!$A$17:$G$2018,6,0)</f>
        <v>590.57477270526397</v>
      </c>
      <c r="K570" s="3">
        <f>VLOOKUP($I570,关卡!$A$17:$G$2018,7,0)</f>
        <v>325.70827976791992</v>
      </c>
      <c r="L570" s="3">
        <f t="shared" si="66"/>
        <v>2126069.1817389503</v>
      </c>
      <c r="M570" s="3">
        <f t="shared" si="67"/>
        <v>1172549.8071645119</v>
      </c>
      <c r="N570" s="3">
        <f>INT(D570*J570*VLOOKUP(A570,经验产出!$I$7:$J$557,2,0))</f>
        <v>66326271</v>
      </c>
      <c r="O570" s="3">
        <f>SUM($N$24:N569)</f>
        <v>6154323856</v>
      </c>
      <c r="P570" s="3">
        <f>K570*VLOOKUP(A570,金币产出!$I$7:$J$557,2,0)</f>
        <v>1171.1926893321454</v>
      </c>
    </row>
    <row r="571" spans="1:16" x14ac:dyDescent="0.15">
      <c r="A571" s="3">
        <v>548</v>
      </c>
      <c r="B571" s="3">
        <f t="shared" si="61"/>
        <v>17</v>
      </c>
      <c r="C571" s="3">
        <f t="shared" si="62"/>
        <v>1161216</v>
      </c>
      <c r="D571" s="3">
        <f t="shared" si="63"/>
        <v>24192</v>
      </c>
      <c r="E571" s="3">
        <f>SUM($D$24:D571)</f>
        <v>4562316</v>
      </c>
      <c r="F571" s="3">
        <f t="shared" si="64"/>
        <v>76038.600000000006</v>
      </c>
      <c r="G571" s="3">
        <f t="shared" si="64"/>
        <v>1267.3100000000002</v>
      </c>
      <c r="H571" s="3">
        <f t="shared" si="65"/>
        <v>52.804583333333341</v>
      </c>
      <c r="I571" s="3">
        <f>IF(ISNA(MATCH(H571,关卡!$E$19:$E$2018,1)),0,MATCH(H571,关卡!$E$19:$E$2018,1))</f>
        <v>1671</v>
      </c>
      <c r="J571" s="3">
        <f>VLOOKUP($I571,关卡!$A$17:$G$2018,6,0)</f>
        <v>593.55880860189507</v>
      </c>
      <c r="K571" s="3">
        <f>VLOOKUP($I571,关卡!$A$17:$G$2018,7,0)</f>
        <v>327.03580903110594</v>
      </c>
      <c r="L571" s="3">
        <f t="shared" si="66"/>
        <v>2136811.7109668222</v>
      </c>
      <c r="M571" s="3">
        <f t="shared" si="67"/>
        <v>1177328.9125119816</v>
      </c>
      <c r="N571" s="3">
        <f>INT(D571*J571*VLOOKUP(A571,经验产出!$I$7:$J$557,2,0))</f>
        <v>66661402</v>
      </c>
      <c r="O571" s="3">
        <f>SUM($N$24:N570)</f>
        <v>6220650127</v>
      </c>
      <c r="P571" s="3">
        <f>K571*VLOOKUP(A571,金币产出!$I$7:$J$557,2,0)</f>
        <v>1175.966263307685</v>
      </c>
    </row>
    <row r="572" spans="1:16" x14ac:dyDescent="0.15">
      <c r="A572" s="3">
        <v>549</v>
      </c>
      <c r="B572" s="3">
        <f t="shared" si="61"/>
        <v>17</v>
      </c>
      <c r="C572" s="3">
        <f t="shared" si="62"/>
        <v>1185408</v>
      </c>
      <c r="D572" s="3">
        <f t="shared" si="63"/>
        <v>24192</v>
      </c>
      <c r="E572" s="3">
        <f>SUM($D$24:D572)</f>
        <v>4586508</v>
      </c>
      <c r="F572" s="3">
        <f t="shared" si="64"/>
        <v>76441.8</v>
      </c>
      <c r="G572" s="3">
        <f t="shared" si="64"/>
        <v>1274.03</v>
      </c>
      <c r="H572" s="3">
        <f t="shared" si="65"/>
        <v>53.084583333333335</v>
      </c>
      <c r="I572" s="3">
        <f>IF(ISNA(MATCH(H572,关卡!$E$19:$E$2018,1)),0,MATCH(H572,关卡!$E$19:$E$2018,1))</f>
        <v>1674</v>
      </c>
      <c r="J572" s="3">
        <f>VLOOKUP($I572,关卡!$A$17:$G$2018,6,0)</f>
        <v>596.554648480639</v>
      </c>
      <c r="K572" s="3">
        <f>VLOOKUP($I572,关卡!$A$17:$G$2018,7,0)</f>
        <v>328.36749570729495</v>
      </c>
      <c r="L572" s="3">
        <f t="shared" si="66"/>
        <v>2147596.7345303008</v>
      </c>
      <c r="M572" s="3">
        <f t="shared" si="67"/>
        <v>1182122.9845462618</v>
      </c>
      <c r="N572" s="3">
        <f>INT(D572*J572*VLOOKUP(A572,经验产出!$I$7:$J$557,2,0))</f>
        <v>66997859</v>
      </c>
      <c r="O572" s="3">
        <f>SUM($N$24:N571)</f>
        <v>6287311529</v>
      </c>
      <c r="P572" s="3">
        <f>K572*VLOOKUP(A572,金币产出!$I$7:$J$557,2,0)</f>
        <v>1180.7547866474813</v>
      </c>
    </row>
    <row r="573" spans="1:16" x14ac:dyDescent="0.15">
      <c r="A573" s="3">
        <v>550</v>
      </c>
      <c r="B573" s="3">
        <f t="shared" si="61"/>
        <v>17</v>
      </c>
      <c r="C573" s="3">
        <f t="shared" si="62"/>
        <v>1209600</v>
      </c>
      <c r="D573" s="3">
        <f t="shared" si="63"/>
        <v>24192</v>
      </c>
      <c r="E573" s="3">
        <f>SUM($D$24:D573)</f>
        <v>4610700</v>
      </c>
      <c r="F573" s="3">
        <f t="shared" si="64"/>
        <v>76845</v>
      </c>
      <c r="G573" s="3">
        <f t="shared" si="64"/>
        <v>1280.75</v>
      </c>
      <c r="H573" s="3">
        <f t="shared" si="65"/>
        <v>53.364583333333336</v>
      </c>
      <c r="I573" s="3">
        <f>IF(ISNA(MATCH(H573,关卡!$E$19:$E$2018,1)),0,MATCH(H573,关卡!$E$19:$E$2018,1))</f>
        <v>1677</v>
      </c>
      <c r="J573" s="3">
        <f>VLOOKUP($I573,关卡!$A$17:$G$2018,6,0)</f>
        <v>599.56232544326008</v>
      </c>
      <c r="K573" s="3">
        <f>VLOOKUP($I573,关卡!$A$17:$G$2018,7,0)</f>
        <v>329.70334926893099</v>
      </c>
      <c r="L573" s="3">
        <f t="shared" si="66"/>
        <v>2158424.3715957366</v>
      </c>
      <c r="M573" s="3">
        <f t="shared" si="67"/>
        <v>1186932.0573681516</v>
      </c>
      <c r="N573" s="3">
        <f>INT(D573*J573*VLOOKUP(A573,经验产出!$I$7:$J$557,2,0))</f>
        <v>67335645</v>
      </c>
      <c r="O573" s="3">
        <f>SUM($N$24:N572)</f>
        <v>6354309388</v>
      </c>
      <c r="P573" s="3">
        <f>K573*VLOOKUP(A573,金币产出!$I$7:$J$557,2,0)</f>
        <v>1185.5582934128643</v>
      </c>
    </row>
  </sheetData>
  <mergeCells count="1">
    <mergeCell ref="D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S557"/>
  <sheetViews>
    <sheetView workbookViewId="0">
      <selection activeCell="V21" sqref="V21"/>
    </sheetView>
  </sheetViews>
  <sheetFormatPr defaultRowHeight="13.5" x14ac:dyDescent="0.15"/>
  <cols>
    <col min="1" max="1" width="22.625" customWidth="1"/>
  </cols>
  <sheetData>
    <row r="2" spans="1:19" x14ac:dyDescent="0.15">
      <c r="B2" t="s">
        <v>19</v>
      </c>
      <c r="I2" t="s">
        <v>66</v>
      </c>
    </row>
    <row r="3" spans="1:19" x14ac:dyDescent="0.15">
      <c r="A3" s="1" t="s">
        <v>17</v>
      </c>
      <c r="B3" s="2" t="s">
        <v>20</v>
      </c>
      <c r="C3" s="2" t="s">
        <v>21</v>
      </c>
      <c r="D3" s="2" t="s">
        <v>24</v>
      </c>
      <c r="E3" s="2" t="s">
        <v>22</v>
      </c>
      <c r="F3" s="2" t="s">
        <v>56</v>
      </c>
      <c r="G3" s="2" t="s">
        <v>23</v>
      </c>
      <c r="I3" s="1" t="s">
        <v>57</v>
      </c>
      <c r="J3" s="2" t="s">
        <v>58</v>
      </c>
      <c r="K3" s="2" t="s">
        <v>63</v>
      </c>
      <c r="L3" s="2" t="s">
        <v>59</v>
      </c>
      <c r="M3" s="2" t="s">
        <v>60</v>
      </c>
      <c r="N3" s="2" t="s">
        <v>61</v>
      </c>
      <c r="O3" s="2" t="s">
        <v>62</v>
      </c>
      <c r="Q3" s="2" t="s">
        <v>78</v>
      </c>
      <c r="R3" s="7"/>
      <c r="S3" s="2" t="s">
        <v>81</v>
      </c>
    </row>
    <row r="4" spans="1:19" x14ac:dyDescent="0.15">
      <c r="A4" s="3" t="s">
        <v>18</v>
      </c>
      <c r="B4" s="3">
        <v>1.5</v>
      </c>
      <c r="C4" s="3">
        <v>1</v>
      </c>
      <c r="D4" s="3">
        <f>24*60*60</f>
        <v>86400</v>
      </c>
      <c r="E4" s="3">
        <f>B4*D4*C4</f>
        <v>129600</v>
      </c>
      <c r="F4" s="5">
        <f>E4/SUM($E$4:$E$11)</f>
        <v>0.3231114435302917</v>
      </c>
      <c r="G4" s="3">
        <f>SUM(E4:E11)/(24*60*60)</f>
        <v>4.6423611111111107</v>
      </c>
      <c r="I4" s="3">
        <v>20</v>
      </c>
      <c r="J4" s="3">
        <v>100</v>
      </c>
      <c r="K4" s="3">
        <v>0</v>
      </c>
      <c r="L4" s="3">
        <v>0.1</v>
      </c>
      <c r="M4" s="3">
        <v>0.2</v>
      </c>
      <c r="N4" s="3">
        <v>0.3</v>
      </c>
      <c r="O4" s="3">
        <f>1-SUM(K4:N4)</f>
        <v>0.39999999999999991</v>
      </c>
      <c r="Q4" s="3" t="s">
        <v>79</v>
      </c>
      <c r="R4" s="8">
        <f>F4</f>
        <v>0.3231114435302917</v>
      </c>
      <c r="S4" s="3">
        <f>24*R4</f>
        <v>7.7546746447270003</v>
      </c>
    </row>
    <row r="5" spans="1:19" x14ac:dyDescent="0.15">
      <c r="A5" s="3" t="s">
        <v>55</v>
      </c>
      <c r="B5" s="3">
        <v>220</v>
      </c>
      <c r="C5" s="3">
        <v>1</v>
      </c>
      <c r="D5" s="3">
        <f>5*60</f>
        <v>300</v>
      </c>
      <c r="E5" s="3">
        <f t="shared" ref="E5:E11" si="0">B5*D5*C5</f>
        <v>66000</v>
      </c>
      <c r="F5" s="5">
        <f t="shared" ref="F5:F11" si="1">E5/SUM($E$4:$E$11)</f>
        <v>0.16454749439042632</v>
      </c>
      <c r="Q5" s="3" t="s">
        <v>80</v>
      </c>
      <c r="R5" s="8">
        <f>SUM(F5:F11)</f>
        <v>0.67688855646970836</v>
      </c>
      <c r="S5" s="3">
        <f>24*R5</f>
        <v>16.245325355273</v>
      </c>
    </row>
    <row r="6" spans="1:19" x14ac:dyDescent="0.15">
      <c r="A6" s="3" t="s">
        <v>53</v>
      </c>
      <c r="B6" s="3">
        <v>700</v>
      </c>
      <c r="C6" s="3">
        <v>1</v>
      </c>
      <c r="D6" s="3">
        <v>90</v>
      </c>
      <c r="E6" s="3">
        <f t="shared" si="0"/>
        <v>63000</v>
      </c>
      <c r="F6" s="5">
        <f t="shared" si="1"/>
        <v>0.15706806282722513</v>
      </c>
    </row>
    <row r="7" spans="1:19" x14ac:dyDescent="0.15">
      <c r="A7" s="3" t="s">
        <v>54</v>
      </c>
      <c r="B7" s="3">
        <v>550</v>
      </c>
      <c r="C7" s="3">
        <v>1</v>
      </c>
      <c r="D7" s="3">
        <f>2*60</f>
        <v>120</v>
      </c>
      <c r="E7" s="3">
        <f t="shared" si="0"/>
        <v>66000</v>
      </c>
      <c r="F7" s="5">
        <f t="shared" si="1"/>
        <v>0.16454749439042632</v>
      </c>
      <c r="I7" s="1" t="s">
        <v>64</v>
      </c>
      <c r="J7" s="2" t="s">
        <v>65</v>
      </c>
    </row>
    <row r="8" spans="1:19" x14ac:dyDescent="0.15">
      <c r="A8" s="3" t="s">
        <v>68</v>
      </c>
      <c r="B8" s="3">
        <v>180</v>
      </c>
      <c r="C8" s="3">
        <v>0.5</v>
      </c>
      <c r="D8" s="3">
        <f>7.5*60</f>
        <v>450</v>
      </c>
      <c r="E8" s="3">
        <f t="shared" si="0"/>
        <v>40500</v>
      </c>
      <c r="F8" s="5">
        <f t="shared" si="1"/>
        <v>0.10097232610321616</v>
      </c>
      <c r="I8" s="3">
        <v>1</v>
      </c>
      <c r="J8" s="3">
        <f>IF(I8&lt;$I$4,1,IF(I8&gt;$J$4,$G$4,($G$4-1)*($K$4+$L$4*((I8-$I$4)/($J$4-$I$4))^1+$M$4*((I8-$I$4)/($J$4-$I$4))^2+$N$4*((I8-$I$4)/($J$4-$I$4))^3+$O$4*((I8-$I$4)/($J$4-$I$4))^4)+1))</f>
        <v>1</v>
      </c>
    </row>
    <row r="9" spans="1:19" x14ac:dyDescent="0.15">
      <c r="A9" s="3" t="s">
        <v>75</v>
      </c>
      <c r="B9" s="3">
        <v>0</v>
      </c>
      <c r="C9" s="3">
        <v>1</v>
      </c>
      <c r="D9" s="3">
        <f>10*60</f>
        <v>600</v>
      </c>
      <c r="E9" s="3">
        <f t="shared" si="0"/>
        <v>0</v>
      </c>
      <c r="F9" s="5">
        <f t="shared" si="1"/>
        <v>0</v>
      </c>
      <c r="I9" s="3">
        <v>2</v>
      </c>
      <c r="J9" s="3">
        <f t="shared" ref="J9:J72" si="2">IF(I9&lt;$I$4,1,IF(I9&gt;$J$4,$G$4,($G$4-1)*($K$4+$L$4*((I9-$I$4)/($J$4-$I$4))^1+$M$4*((I9-$I$4)/($J$4-$I$4))^2+$N$4*((I9-$I$4)/($J$4-$I$4))^3+$O$4*((I9-$I$4)/($J$4-$I$4))^4)+1))</f>
        <v>1</v>
      </c>
    </row>
    <row r="10" spans="1:19" x14ac:dyDescent="0.15">
      <c r="A10" s="3" t="s">
        <v>76</v>
      </c>
      <c r="B10" s="3">
        <v>0</v>
      </c>
      <c r="C10" s="3">
        <v>1</v>
      </c>
      <c r="D10" s="3">
        <f>10*60</f>
        <v>600</v>
      </c>
      <c r="E10" s="3">
        <f t="shared" si="0"/>
        <v>0</v>
      </c>
      <c r="F10" s="5">
        <f t="shared" si="1"/>
        <v>0</v>
      </c>
      <c r="I10" s="3">
        <v>3</v>
      </c>
      <c r="J10" s="3">
        <f t="shared" si="2"/>
        <v>1</v>
      </c>
    </row>
    <row r="11" spans="1:19" x14ac:dyDescent="0.15">
      <c r="A11" s="3" t="s">
        <v>77</v>
      </c>
      <c r="B11" s="3">
        <v>80</v>
      </c>
      <c r="C11" s="3">
        <v>0.5</v>
      </c>
      <c r="D11" s="3">
        <f>15*60</f>
        <v>900</v>
      </c>
      <c r="E11" s="3">
        <f t="shared" si="0"/>
        <v>36000</v>
      </c>
      <c r="F11" s="5">
        <f t="shared" si="1"/>
        <v>8.9753178758414362E-2</v>
      </c>
      <c r="I11" s="3">
        <v>4</v>
      </c>
      <c r="J11" s="3">
        <f t="shared" si="2"/>
        <v>1</v>
      </c>
    </row>
    <row r="12" spans="1:19" x14ac:dyDescent="0.15">
      <c r="I12" s="3">
        <v>5</v>
      </c>
      <c r="J12" s="3">
        <f t="shared" si="2"/>
        <v>1</v>
      </c>
      <c r="P12" s="6"/>
    </row>
    <row r="13" spans="1:19" x14ac:dyDescent="0.15">
      <c r="I13" s="3">
        <v>6</v>
      </c>
      <c r="J13" s="3">
        <f t="shared" si="2"/>
        <v>1</v>
      </c>
      <c r="P13" s="6"/>
    </row>
    <row r="14" spans="1:19" x14ac:dyDescent="0.15">
      <c r="I14" s="3">
        <v>7</v>
      </c>
      <c r="J14" s="3">
        <f t="shared" si="2"/>
        <v>1</v>
      </c>
    </row>
    <row r="15" spans="1:19" x14ac:dyDescent="0.15">
      <c r="I15" s="3">
        <v>8</v>
      </c>
      <c r="J15" s="3">
        <f t="shared" si="2"/>
        <v>1</v>
      </c>
    </row>
    <row r="16" spans="1:19" x14ac:dyDescent="0.15">
      <c r="I16" s="3">
        <v>9</v>
      </c>
      <c r="J16" s="3">
        <f t="shared" si="2"/>
        <v>1</v>
      </c>
    </row>
    <row r="17" spans="9:10" x14ac:dyDescent="0.15">
      <c r="I17" s="3">
        <v>10</v>
      </c>
      <c r="J17" s="3">
        <f t="shared" si="2"/>
        <v>1</v>
      </c>
    </row>
    <row r="18" spans="9:10" x14ac:dyDescent="0.15">
      <c r="I18" s="3">
        <v>11</v>
      </c>
      <c r="J18" s="3">
        <f t="shared" si="2"/>
        <v>1</v>
      </c>
    </row>
    <row r="19" spans="9:10" x14ac:dyDescent="0.15">
      <c r="I19" s="3">
        <v>12</v>
      </c>
      <c r="J19" s="3">
        <f t="shared" si="2"/>
        <v>1</v>
      </c>
    </row>
    <row r="20" spans="9:10" x14ac:dyDescent="0.15">
      <c r="I20" s="3">
        <v>13</v>
      </c>
      <c r="J20" s="3">
        <f t="shared" si="2"/>
        <v>1</v>
      </c>
    </row>
    <row r="21" spans="9:10" x14ac:dyDescent="0.15">
      <c r="I21" s="3">
        <v>14</v>
      </c>
      <c r="J21" s="3">
        <f t="shared" si="2"/>
        <v>1</v>
      </c>
    </row>
    <row r="22" spans="9:10" x14ac:dyDescent="0.15">
      <c r="I22" s="3">
        <v>15</v>
      </c>
      <c r="J22" s="3">
        <f t="shared" si="2"/>
        <v>1</v>
      </c>
    </row>
    <row r="23" spans="9:10" x14ac:dyDescent="0.15">
      <c r="I23" s="3">
        <v>16</v>
      </c>
      <c r="J23" s="3">
        <f t="shared" si="2"/>
        <v>1</v>
      </c>
    </row>
    <row r="24" spans="9:10" x14ac:dyDescent="0.15">
      <c r="I24" s="3">
        <v>17</v>
      </c>
      <c r="J24" s="3">
        <f t="shared" si="2"/>
        <v>1</v>
      </c>
    </row>
    <row r="25" spans="9:10" x14ac:dyDescent="0.15">
      <c r="I25" s="3">
        <v>18</v>
      </c>
      <c r="J25" s="3">
        <f t="shared" si="2"/>
        <v>1</v>
      </c>
    </row>
    <row r="26" spans="9:10" x14ac:dyDescent="0.15">
      <c r="I26" s="3">
        <v>19</v>
      </c>
      <c r="J26" s="3">
        <f t="shared" si="2"/>
        <v>1</v>
      </c>
    </row>
    <row r="27" spans="9:10" x14ac:dyDescent="0.15">
      <c r="I27" s="3">
        <v>20</v>
      </c>
      <c r="J27" s="3">
        <f t="shared" si="2"/>
        <v>1</v>
      </c>
    </row>
    <row r="28" spans="9:10" x14ac:dyDescent="0.15">
      <c r="I28" s="3">
        <v>21</v>
      </c>
      <c r="J28" s="3">
        <f t="shared" si="2"/>
        <v>1.0046689449395074</v>
      </c>
    </row>
    <row r="29" spans="9:10" x14ac:dyDescent="0.15">
      <c r="I29" s="3">
        <v>22</v>
      </c>
      <c r="J29" s="3">
        <f t="shared" si="2"/>
        <v>1.0095788406032986</v>
      </c>
    </row>
    <row r="30" spans="9:10" x14ac:dyDescent="0.15">
      <c r="I30" s="3">
        <v>23</v>
      </c>
      <c r="J30" s="3">
        <f t="shared" si="2"/>
        <v>1.014743772684733</v>
      </c>
    </row>
    <row r="31" spans="9:10" x14ac:dyDescent="0.15">
      <c r="I31" s="3">
        <v>24</v>
      </c>
      <c r="J31" s="3">
        <f t="shared" si="2"/>
        <v>1.0201786805555555</v>
      </c>
    </row>
    <row r="32" spans="9:10" x14ac:dyDescent="0.15">
      <c r="I32" s="3">
        <v>25</v>
      </c>
      <c r="J32" s="3">
        <f t="shared" si="2"/>
        <v>1.0258993572658963</v>
      </c>
    </row>
    <row r="33" spans="9:10" x14ac:dyDescent="0.15">
      <c r="I33" s="3">
        <v>26</v>
      </c>
      <c r="J33" s="3">
        <f t="shared" si="2"/>
        <v>1.0319224495442709</v>
      </c>
    </row>
    <row r="34" spans="9:10" x14ac:dyDescent="0.15">
      <c r="I34" s="3">
        <v>27</v>
      </c>
      <c r="J34" s="3">
        <f t="shared" si="2"/>
        <v>1.0382654577975803</v>
      </c>
    </row>
    <row r="35" spans="9:10" x14ac:dyDescent="0.15">
      <c r="I35" s="3">
        <v>28</v>
      </c>
      <c r="J35" s="3">
        <f t="shared" si="2"/>
        <v>1.0449467361111111</v>
      </c>
    </row>
    <row r="36" spans="9:10" x14ac:dyDescent="0.15">
      <c r="I36" s="3">
        <v>29</v>
      </c>
      <c r="J36" s="3">
        <f t="shared" si="2"/>
        <v>1.0519854922485352</v>
      </c>
    </row>
    <row r="37" spans="9:10" x14ac:dyDescent="0.15">
      <c r="I37" s="3">
        <v>30</v>
      </c>
      <c r="J37" s="3">
        <f t="shared" si="2"/>
        <v>1.0594017876519097</v>
      </c>
    </row>
    <row r="38" spans="9:10" x14ac:dyDescent="0.15">
      <c r="I38" s="3">
        <v>31</v>
      </c>
      <c r="J38" s="3">
        <f t="shared" si="2"/>
        <v>1.0672165374416775</v>
      </c>
    </row>
    <row r="39" spans="9:10" x14ac:dyDescent="0.15">
      <c r="I39" s="3">
        <v>32</v>
      </c>
      <c r="J39" s="3">
        <f t="shared" si="2"/>
        <v>1.0754515104166666</v>
      </c>
    </row>
    <row r="40" spans="9:10" x14ac:dyDescent="0.15">
      <c r="I40" s="3">
        <v>33</v>
      </c>
      <c r="J40" s="3">
        <f t="shared" si="2"/>
        <v>1.0841293290540908</v>
      </c>
    </row>
    <row r="41" spans="9:10" x14ac:dyDescent="0.15">
      <c r="I41" s="3">
        <v>34</v>
      </c>
      <c r="J41" s="3">
        <f t="shared" si="2"/>
        <v>1.0932734695095485</v>
      </c>
    </row>
    <row r="42" spans="9:10" x14ac:dyDescent="0.15">
      <c r="I42" s="3">
        <v>35</v>
      </c>
      <c r="J42" s="3">
        <f t="shared" si="2"/>
        <v>1.1029082616170247</v>
      </c>
    </row>
    <row r="43" spans="9:10" x14ac:dyDescent="0.15">
      <c r="I43" s="3">
        <v>36</v>
      </c>
      <c r="J43" s="3">
        <f t="shared" si="2"/>
        <v>1.1130588888888888</v>
      </c>
    </row>
    <row r="44" spans="9:10" x14ac:dyDescent="0.15">
      <c r="I44" s="3">
        <v>37</v>
      </c>
      <c r="J44" s="3">
        <f t="shared" si="2"/>
        <v>1.1237513885158963</v>
      </c>
    </row>
    <row r="45" spans="9:10" x14ac:dyDescent="0.15">
      <c r="I45" s="3">
        <v>38</v>
      </c>
      <c r="J45" s="3">
        <f t="shared" si="2"/>
        <v>1.1350126513671874</v>
      </c>
    </row>
    <row r="46" spans="9:10" x14ac:dyDescent="0.15">
      <c r="I46" s="3">
        <v>39</v>
      </c>
      <c r="J46" s="3">
        <f t="shared" si="2"/>
        <v>1.1468704219902885</v>
      </c>
    </row>
    <row r="47" spans="9:10" x14ac:dyDescent="0.15">
      <c r="I47" s="3">
        <v>40</v>
      </c>
      <c r="J47" s="3">
        <f t="shared" si="2"/>
        <v>1.159353298611111</v>
      </c>
    </row>
    <row r="48" spans="9:10" x14ac:dyDescent="0.15">
      <c r="I48" s="3">
        <v>41</v>
      </c>
      <c r="J48" s="3">
        <f t="shared" si="2"/>
        <v>1.1724907331339518</v>
      </c>
    </row>
    <row r="49" spans="9:10" x14ac:dyDescent="0.15">
      <c r="I49" s="3">
        <v>42</v>
      </c>
      <c r="J49" s="3">
        <f t="shared" si="2"/>
        <v>1.1863130311414931</v>
      </c>
    </row>
    <row r="50" spans="9:10" x14ac:dyDescent="0.15">
      <c r="I50" s="3">
        <v>43</v>
      </c>
      <c r="J50" s="3">
        <f t="shared" si="2"/>
        <v>1.2008513518948025</v>
      </c>
    </row>
    <row r="51" spans="9:10" x14ac:dyDescent="0.15">
      <c r="I51" s="3">
        <v>44</v>
      </c>
      <c r="J51" s="3">
        <f t="shared" si="2"/>
        <v>1.2161377083333333</v>
      </c>
    </row>
    <row r="52" spans="9:10" x14ac:dyDescent="0.15">
      <c r="I52" s="3">
        <v>45</v>
      </c>
      <c r="J52" s="3">
        <f t="shared" si="2"/>
        <v>1.232204967074924</v>
      </c>
    </row>
    <row r="53" spans="9:10" x14ac:dyDescent="0.15">
      <c r="I53" s="3">
        <v>46</v>
      </c>
      <c r="J53" s="3">
        <f t="shared" si="2"/>
        <v>1.2490868484157986</v>
      </c>
    </row>
    <row r="54" spans="9:10" x14ac:dyDescent="0.15">
      <c r="I54" s="3">
        <v>47</v>
      </c>
      <c r="J54" s="3">
        <f t="shared" si="2"/>
        <v>1.2668179263305663</v>
      </c>
    </row>
    <row r="55" spans="9:10" x14ac:dyDescent="0.15">
      <c r="I55" s="3">
        <v>48</v>
      </c>
      <c r="J55" s="3">
        <f t="shared" si="2"/>
        <v>1.2854336284722221</v>
      </c>
    </row>
    <row r="56" spans="9:10" x14ac:dyDescent="0.15">
      <c r="I56" s="3">
        <v>49</v>
      </c>
      <c r="J56" s="3">
        <f t="shared" si="2"/>
        <v>1.3049702361721462</v>
      </c>
    </row>
    <row r="57" spans="9:10" x14ac:dyDescent="0.15">
      <c r="I57" s="3">
        <v>50</v>
      </c>
      <c r="J57" s="3">
        <f t="shared" si="2"/>
        <v>1.325464884440104</v>
      </c>
    </row>
    <row r="58" spans="9:10" x14ac:dyDescent="0.15">
      <c r="I58" s="3">
        <v>51</v>
      </c>
      <c r="J58" s="3">
        <f t="shared" si="2"/>
        <v>1.346955561964247</v>
      </c>
    </row>
    <row r="59" spans="9:10" x14ac:dyDescent="0.15">
      <c r="I59" s="3">
        <v>52</v>
      </c>
      <c r="J59" s="3">
        <f t="shared" si="2"/>
        <v>1.3694811111111111</v>
      </c>
    </row>
    <row r="60" spans="9:10" x14ac:dyDescent="0.15">
      <c r="I60" s="3">
        <v>53</v>
      </c>
      <c r="J60" s="3">
        <f t="shared" si="2"/>
        <v>1.3930812279256184</v>
      </c>
    </row>
    <row r="61" spans="9:10" x14ac:dyDescent="0.15">
      <c r="I61" s="3">
        <v>54</v>
      </c>
      <c r="J61" s="3">
        <f t="shared" si="2"/>
        <v>1.4177964621310764</v>
      </c>
    </row>
    <row r="62" spans="9:10" x14ac:dyDescent="0.15">
      <c r="I62" s="3">
        <v>55</v>
      </c>
      <c r="J62" s="3">
        <f t="shared" si="2"/>
        <v>1.4436682171291775</v>
      </c>
    </row>
    <row r="63" spans="9:10" x14ac:dyDescent="0.15">
      <c r="I63" s="3">
        <v>56</v>
      </c>
      <c r="J63" s="3">
        <f t="shared" si="2"/>
        <v>1.47073875</v>
      </c>
    </row>
    <row r="64" spans="9:10" x14ac:dyDescent="0.15">
      <c r="I64" s="3">
        <v>57</v>
      </c>
      <c r="J64" s="3">
        <f t="shared" si="2"/>
        <v>1.4990511715020074</v>
      </c>
    </row>
    <row r="65" spans="9:10" x14ac:dyDescent="0.15">
      <c r="I65" s="3">
        <v>58</v>
      </c>
      <c r="J65" s="3">
        <f t="shared" si="2"/>
        <v>1.5286494460720486</v>
      </c>
    </row>
    <row r="66" spans="9:10" x14ac:dyDescent="0.15">
      <c r="I66" s="3">
        <v>59</v>
      </c>
      <c r="J66" s="3">
        <f t="shared" si="2"/>
        <v>1.5595783918253581</v>
      </c>
    </row>
    <row r="67" spans="9:10" x14ac:dyDescent="0.15">
      <c r="I67" s="3">
        <v>60</v>
      </c>
      <c r="J67" s="3">
        <f t="shared" si="2"/>
        <v>1.5918836805555556</v>
      </c>
    </row>
    <row r="68" spans="9:10" x14ac:dyDescent="0.15">
      <c r="I68" s="3">
        <v>61</v>
      </c>
      <c r="J68" s="3">
        <f t="shared" si="2"/>
        <v>1.6256118377346462</v>
      </c>
    </row>
    <row r="69" spans="9:10" x14ac:dyDescent="0.15">
      <c r="I69" s="3">
        <v>62</v>
      </c>
      <c r="J69" s="3">
        <f t="shared" si="2"/>
        <v>1.6608102425130209</v>
      </c>
    </row>
    <row r="70" spans="9:10" x14ac:dyDescent="0.15">
      <c r="I70" s="3">
        <v>63</v>
      </c>
      <c r="J70" s="3">
        <f t="shared" si="2"/>
        <v>1.697527127719455</v>
      </c>
    </row>
    <row r="71" spans="9:10" x14ac:dyDescent="0.15">
      <c r="I71" s="3">
        <v>64</v>
      </c>
      <c r="J71" s="3">
        <f t="shared" si="2"/>
        <v>1.7358115798611111</v>
      </c>
    </row>
    <row r="72" spans="9:10" x14ac:dyDescent="0.15">
      <c r="I72" s="3">
        <v>65</v>
      </c>
      <c r="J72" s="3">
        <f t="shared" si="2"/>
        <v>1.775713539123535</v>
      </c>
    </row>
    <row r="73" spans="9:10" x14ac:dyDescent="0.15">
      <c r="I73" s="3">
        <v>66</v>
      </c>
      <c r="J73" s="3">
        <f t="shared" ref="J73:J136" si="3">IF(I73&lt;$I$4,1,IF(I73&gt;$J$4,$G$4,($G$4-1)*($K$4+$L$4*((I73-$I$4)/($J$4-$I$4))^1+$M$4*((I73-$I$4)/($J$4-$I$4))^2+$N$4*((I73-$I$4)/($J$4-$I$4))^3+$O$4*((I73-$I$4)/($J$4-$I$4))^4)+1))</f>
        <v>1.8172837993706594</v>
      </c>
    </row>
    <row r="74" spans="9:10" x14ac:dyDescent="0.15">
      <c r="I74" s="3">
        <v>67</v>
      </c>
      <c r="J74" s="3">
        <f t="shared" si="3"/>
        <v>1.8605740081448026</v>
      </c>
    </row>
    <row r="75" spans="9:10" x14ac:dyDescent="0.15">
      <c r="I75" s="3">
        <v>68</v>
      </c>
      <c r="J75" s="3">
        <f t="shared" si="3"/>
        <v>1.9056366666666664</v>
      </c>
    </row>
    <row r="76" spans="9:10" x14ac:dyDescent="0.15">
      <c r="I76" s="3">
        <v>69</v>
      </c>
      <c r="J76" s="3">
        <f t="shared" si="3"/>
        <v>1.9525251298353408</v>
      </c>
    </row>
    <row r="77" spans="9:10" x14ac:dyDescent="0.15">
      <c r="I77" s="3">
        <v>70</v>
      </c>
      <c r="J77" s="3">
        <f t="shared" si="3"/>
        <v>2.0012936062282982</v>
      </c>
    </row>
    <row r="78" spans="9:10" x14ac:dyDescent="0.15">
      <c r="I78" s="3">
        <v>71</v>
      </c>
      <c r="J78" s="3">
        <f t="shared" si="3"/>
        <v>2.0519971581013996</v>
      </c>
    </row>
    <row r="79" spans="9:10" x14ac:dyDescent="0.15">
      <c r="I79" s="3">
        <v>72</v>
      </c>
      <c r="J79" s="3">
        <f t="shared" si="3"/>
        <v>2.1046917013888891</v>
      </c>
    </row>
    <row r="80" spans="9:10" x14ac:dyDescent="0.15">
      <c r="I80" s="3">
        <v>73</v>
      </c>
      <c r="J80" s="3">
        <f t="shared" si="3"/>
        <v>2.1594340057033961</v>
      </c>
    </row>
    <row r="81" spans="9:10" x14ac:dyDescent="0.15">
      <c r="I81" s="3">
        <v>74</v>
      </c>
      <c r="J81" s="3">
        <f t="shared" si="3"/>
        <v>2.2162816943359376</v>
      </c>
    </row>
    <row r="82" spans="9:10" x14ac:dyDescent="0.15">
      <c r="I82" s="3">
        <v>75</v>
      </c>
      <c r="J82" s="3">
        <f t="shared" si="3"/>
        <v>2.2752932442559137</v>
      </c>
    </row>
    <row r="83" spans="9:10" x14ac:dyDescent="0.15">
      <c r="I83" s="3">
        <v>76</v>
      </c>
      <c r="J83" s="3">
        <f t="shared" si="3"/>
        <v>2.3365279861111108</v>
      </c>
    </row>
    <row r="84" spans="9:10" x14ac:dyDescent="0.15">
      <c r="I84" s="3">
        <v>77</v>
      </c>
      <c r="J84" s="3">
        <f t="shared" si="3"/>
        <v>2.4000461042277017</v>
      </c>
    </row>
    <row r="85" spans="9:10" x14ac:dyDescent="0.15">
      <c r="I85" s="3">
        <v>78</v>
      </c>
      <c r="J85" s="3">
        <f t="shared" si="3"/>
        <v>2.4659086366102425</v>
      </c>
    </row>
    <row r="86" spans="9:10" x14ac:dyDescent="0.15">
      <c r="I86" s="3">
        <v>79</v>
      </c>
      <c r="J86" s="3">
        <f t="shared" si="3"/>
        <v>2.5341774749416777</v>
      </c>
    </row>
    <row r="87" spans="9:10" x14ac:dyDescent="0.15">
      <c r="I87" s="3">
        <v>80</v>
      </c>
      <c r="J87" s="3">
        <f t="shared" si="3"/>
        <v>2.6049153645833334</v>
      </c>
    </row>
    <row r="88" spans="9:10" x14ac:dyDescent="0.15">
      <c r="I88" s="3">
        <v>81</v>
      </c>
      <c r="J88" s="3">
        <f t="shared" si="3"/>
        <v>2.6781859045749234</v>
      </c>
    </row>
    <row r="89" spans="9:10" x14ac:dyDescent="0.15">
      <c r="I89" s="3">
        <v>82</v>
      </c>
      <c r="J89" s="3">
        <f t="shared" si="3"/>
        <v>2.7540535476345487</v>
      </c>
    </row>
    <row r="90" spans="9:10" x14ac:dyDescent="0.15">
      <c r="I90" s="3">
        <v>83</v>
      </c>
      <c r="J90" s="3">
        <f t="shared" si="3"/>
        <v>2.8325836001586913</v>
      </c>
    </row>
    <row r="91" spans="9:10" x14ac:dyDescent="0.15">
      <c r="I91" s="3">
        <v>84</v>
      </c>
      <c r="J91" s="3">
        <f t="shared" si="3"/>
        <v>2.9138422222222227</v>
      </c>
    </row>
    <row r="92" spans="9:10" x14ac:dyDescent="0.15">
      <c r="I92" s="3">
        <v>85</v>
      </c>
      <c r="J92" s="3">
        <f t="shared" si="3"/>
        <v>2.9978964275783966</v>
      </c>
    </row>
    <row r="93" spans="9:10" x14ac:dyDescent="0.15">
      <c r="I93" s="3">
        <v>86</v>
      </c>
      <c r="J93" s="3">
        <f t="shared" si="3"/>
        <v>3.0848140836588538</v>
      </c>
    </row>
    <row r="94" spans="9:10" x14ac:dyDescent="0.15">
      <c r="I94" s="3">
        <v>87</v>
      </c>
      <c r="J94" s="3">
        <f t="shared" si="3"/>
        <v>3.1746639115736213</v>
      </c>
    </row>
    <row r="95" spans="9:10" x14ac:dyDescent="0.15">
      <c r="I95" s="3">
        <v>88</v>
      </c>
      <c r="J95" s="3">
        <f t="shared" si="3"/>
        <v>3.2675154861111104</v>
      </c>
    </row>
    <row r="96" spans="9:10" x14ac:dyDescent="0.15">
      <c r="I96" s="3">
        <v>89</v>
      </c>
      <c r="J96" s="3">
        <f t="shared" si="3"/>
        <v>3.3634392357381184</v>
      </c>
    </row>
    <row r="97" spans="9:10" x14ac:dyDescent="0.15">
      <c r="I97" s="3">
        <v>90</v>
      </c>
      <c r="J97" s="3">
        <f t="shared" si="3"/>
        <v>3.462506442599826</v>
      </c>
    </row>
    <row r="98" spans="9:10" x14ac:dyDescent="0.15">
      <c r="I98" s="3">
        <v>91</v>
      </c>
      <c r="J98" s="3">
        <f t="shared" si="3"/>
        <v>3.5647892425198022</v>
      </c>
    </row>
    <row r="99" spans="9:10" x14ac:dyDescent="0.15">
      <c r="I99" s="3">
        <v>92</v>
      </c>
      <c r="J99" s="3">
        <f t="shared" si="3"/>
        <v>3.6703606250000003</v>
      </c>
    </row>
    <row r="100" spans="9:10" x14ac:dyDescent="0.15">
      <c r="I100" s="3">
        <v>93</v>
      </c>
      <c r="J100" s="3">
        <f t="shared" si="3"/>
        <v>3.7792944332207568</v>
      </c>
    </row>
    <row r="101" spans="9:10" x14ac:dyDescent="0.15">
      <c r="I101" s="3">
        <v>94</v>
      </c>
      <c r="J101" s="3">
        <f t="shared" si="3"/>
        <v>3.8916653640407985</v>
      </c>
    </row>
    <row r="102" spans="9:10" x14ac:dyDescent="0.15">
      <c r="I102" s="3">
        <v>95</v>
      </c>
      <c r="J102" s="3">
        <f t="shared" si="3"/>
        <v>4.0075489679972325</v>
      </c>
    </row>
    <row r="103" spans="9:10" x14ac:dyDescent="0.15">
      <c r="I103" s="3">
        <v>96</v>
      </c>
      <c r="J103" s="3">
        <f t="shared" si="3"/>
        <v>4.1270216493055543</v>
      </c>
    </row>
    <row r="104" spans="9:10" x14ac:dyDescent="0.15">
      <c r="I104" s="3">
        <v>97</v>
      </c>
      <c r="J104" s="3">
        <f t="shared" si="3"/>
        <v>4.2501606658596458</v>
      </c>
    </row>
    <row r="105" spans="9:10" x14ac:dyDescent="0.15">
      <c r="I105" s="3">
        <v>98</v>
      </c>
      <c r="J105" s="3">
        <f t="shared" si="3"/>
        <v>4.3770441292317699</v>
      </c>
    </row>
    <row r="106" spans="9:10" x14ac:dyDescent="0.15">
      <c r="I106" s="3">
        <v>99</v>
      </c>
      <c r="J106" s="3">
        <f t="shared" si="3"/>
        <v>4.5077510046725795</v>
      </c>
    </row>
    <row r="107" spans="9:10" x14ac:dyDescent="0.15">
      <c r="I107" s="3">
        <v>100</v>
      </c>
      <c r="J107" s="3">
        <f t="shared" si="3"/>
        <v>4.6423611111111107</v>
      </c>
    </row>
    <row r="108" spans="9:10" x14ac:dyDescent="0.15">
      <c r="I108" s="3">
        <v>101</v>
      </c>
      <c r="J108" s="3">
        <f t="shared" si="3"/>
        <v>4.6423611111111107</v>
      </c>
    </row>
    <row r="109" spans="9:10" x14ac:dyDescent="0.15">
      <c r="I109" s="3">
        <v>102</v>
      </c>
      <c r="J109" s="3">
        <f t="shared" si="3"/>
        <v>4.6423611111111107</v>
      </c>
    </row>
    <row r="110" spans="9:10" x14ac:dyDescent="0.15">
      <c r="I110" s="3">
        <v>103</v>
      </c>
      <c r="J110" s="3">
        <f t="shared" si="3"/>
        <v>4.6423611111111107</v>
      </c>
    </row>
    <row r="111" spans="9:10" x14ac:dyDescent="0.15">
      <c r="I111" s="3">
        <v>104</v>
      </c>
      <c r="J111" s="3">
        <f t="shared" si="3"/>
        <v>4.6423611111111107</v>
      </c>
    </row>
    <row r="112" spans="9:10" x14ac:dyDescent="0.15">
      <c r="I112" s="3">
        <v>105</v>
      </c>
      <c r="J112" s="3">
        <f t="shared" si="3"/>
        <v>4.6423611111111107</v>
      </c>
    </row>
    <row r="113" spans="9:10" x14ac:dyDescent="0.15">
      <c r="I113" s="3">
        <v>106</v>
      </c>
      <c r="J113" s="3">
        <f t="shared" si="3"/>
        <v>4.6423611111111107</v>
      </c>
    </row>
    <row r="114" spans="9:10" x14ac:dyDescent="0.15">
      <c r="I114" s="3">
        <v>107</v>
      </c>
      <c r="J114" s="3">
        <f t="shared" si="3"/>
        <v>4.6423611111111107</v>
      </c>
    </row>
    <row r="115" spans="9:10" x14ac:dyDescent="0.15">
      <c r="I115" s="3">
        <v>108</v>
      </c>
      <c r="J115" s="3">
        <f t="shared" si="3"/>
        <v>4.6423611111111107</v>
      </c>
    </row>
    <row r="116" spans="9:10" x14ac:dyDescent="0.15">
      <c r="I116" s="3">
        <v>109</v>
      </c>
      <c r="J116" s="3">
        <f t="shared" si="3"/>
        <v>4.6423611111111107</v>
      </c>
    </row>
    <row r="117" spans="9:10" x14ac:dyDescent="0.15">
      <c r="I117" s="3">
        <v>110</v>
      </c>
      <c r="J117" s="3">
        <f t="shared" si="3"/>
        <v>4.6423611111111107</v>
      </c>
    </row>
    <row r="118" spans="9:10" x14ac:dyDescent="0.15">
      <c r="I118" s="3">
        <v>111</v>
      </c>
      <c r="J118" s="3">
        <f t="shared" si="3"/>
        <v>4.6423611111111107</v>
      </c>
    </row>
    <row r="119" spans="9:10" x14ac:dyDescent="0.15">
      <c r="I119" s="3">
        <v>112</v>
      </c>
      <c r="J119" s="3">
        <f t="shared" si="3"/>
        <v>4.6423611111111107</v>
      </c>
    </row>
    <row r="120" spans="9:10" x14ac:dyDescent="0.15">
      <c r="I120" s="3">
        <v>113</v>
      </c>
      <c r="J120" s="3">
        <f t="shared" si="3"/>
        <v>4.6423611111111107</v>
      </c>
    </row>
    <row r="121" spans="9:10" x14ac:dyDescent="0.15">
      <c r="I121" s="3">
        <v>114</v>
      </c>
      <c r="J121" s="3">
        <f t="shared" si="3"/>
        <v>4.6423611111111107</v>
      </c>
    </row>
    <row r="122" spans="9:10" x14ac:dyDescent="0.15">
      <c r="I122" s="3">
        <v>115</v>
      </c>
      <c r="J122" s="3">
        <f t="shared" si="3"/>
        <v>4.6423611111111107</v>
      </c>
    </row>
    <row r="123" spans="9:10" x14ac:dyDescent="0.15">
      <c r="I123" s="3">
        <v>116</v>
      </c>
      <c r="J123" s="3">
        <f t="shared" si="3"/>
        <v>4.6423611111111107</v>
      </c>
    </row>
    <row r="124" spans="9:10" x14ac:dyDescent="0.15">
      <c r="I124" s="3">
        <v>117</v>
      </c>
      <c r="J124" s="3">
        <f t="shared" si="3"/>
        <v>4.6423611111111107</v>
      </c>
    </row>
    <row r="125" spans="9:10" x14ac:dyDescent="0.15">
      <c r="I125" s="3">
        <v>118</v>
      </c>
      <c r="J125" s="3">
        <f t="shared" si="3"/>
        <v>4.6423611111111107</v>
      </c>
    </row>
    <row r="126" spans="9:10" x14ac:dyDescent="0.15">
      <c r="I126" s="3">
        <v>119</v>
      </c>
      <c r="J126" s="3">
        <f t="shared" si="3"/>
        <v>4.6423611111111107</v>
      </c>
    </row>
    <row r="127" spans="9:10" x14ac:dyDescent="0.15">
      <c r="I127" s="3">
        <v>120</v>
      </c>
      <c r="J127" s="3">
        <f t="shared" si="3"/>
        <v>4.6423611111111107</v>
      </c>
    </row>
    <row r="128" spans="9:10" x14ac:dyDescent="0.15">
      <c r="I128" s="3">
        <v>121</v>
      </c>
      <c r="J128" s="3">
        <f t="shared" si="3"/>
        <v>4.6423611111111107</v>
      </c>
    </row>
    <row r="129" spans="9:10" x14ac:dyDescent="0.15">
      <c r="I129" s="3">
        <v>122</v>
      </c>
      <c r="J129" s="3">
        <f t="shared" si="3"/>
        <v>4.6423611111111107</v>
      </c>
    </row>
    <row r="130" spans="9:10" x14ac:dyDescent="0.15">
      <c r="I130" s="3">
        <v>123</v>
      </c>
      <c r="J130" s="3">
        <f t="shared" si="3"/>
        <v>4.6423611111111107</v>
      </c>
    </row>
    <row r="131" spans="9:10" x14ac:dyDescent="0.15">
      <c r="I131" s="3">
        <v>124</v>
      </c>
      <c r="J131" s="3">
        <f t="shared" si="3"/>
        <v>4.6423611111111107</v>
      </c>
    </row>
    <row r="132" spans="9:10" x14ac:dyDescent="0.15">
      <c r="I132" s="3">
        <v>125</v>
      </c>
      <c r="J132" s="3">
        <f t="shared" si="3"/>
        <v>4.6423611111111107</v>
      </c>
    </row>
    <row r="133" spans="9:10" x14ac:dyDescent="0.15">
      <c r="I133" s="3">
        <v>126</v>
      </c>
      <c r="J133" s="3">
        <f t="shared" si="3"/>
        <v>4.6423611111111107</v>
      </c>
    </row>
    <row r="134" spans="9:10" x14ac:dyDescent="0.15">
      <c r="I134" s="3">
        <v>127</v>
      </c>
      <c r="J134" s="3">
        <f t="shared" si="3"/>
        <v>4.6423611111111107</v>
      </c>
    </row>
    <row r="135" spans="9:10" x14ac:dyDescent="0.15">
      <c r="I135" s="3">
        <v>128</v>
      </c>
      <c r="J135" s="3">
        <f t="shared" si="3"/>
        <v>4.6423611111111107</v>
      </c>
    </row>
    <row r="136" spans="9:10" x14ac:dyDescent="0.15">
      <c r="I136" s="3">
        <v>129</v>
      </c>
      <c r="J136" s="3">
        <f t="shared" si="3"/>
        <v>4.6423611111111107</v>
      </c>
    </row>
    <row r="137" spans="9:10" x14ac:dyDescent="0.15">
      <c r="I137" s="3">
        <v>130</v>
      </c>
      <c r="J137" s="3">
        <f t="shared" ref="J137:J200" si="4">IF(I137&lt;$I$4,1,IF(I137&gt;$J$4,$G$4,($G$4-1)*($K$4+$L$4*((I137-$I$4)/($J$4-$I$4))^1+$M$4*((I137-$I$4)/($J$4-$I$4))^2+$N$4*((I137-$I$4)/($J$4-$I$4))^3+$O$4*((I137-$I$4)/($J$4-$I$4))^4)+1))</f>
        <v>4.6423611111111107</v>
      </c>
    </row>
    <row r="138" spans="9:10" x14ac:dyDescent="0.15">
      <c r="I138" s="3">
        <v>131</v>
      </c>
      <c r="J138" s="3">
        <f t="shared" si="4"/>
        <v>4.6423611111111107</v>
      </c>
    </row>
    <row r="139" spans="9:10" x14ac:dyDescent="0.15">
      <c r="I139" s="3">
        <v>132</v>
      </c>
      <c r="J139" s="3">
        <f t="shared" si="4"/>
        <v>4.6423611111111107</v>
      </c>
    </row>
    <row r="140" spans="9:10" x14ac:dyDescent="0.15">
      <c r="I140" s="3">
        <v>133</v>
      </c>
      <c r="J140" s="3">
        <f t="shared" si="4"/>
        <v>4.6423611111111107</v>
      </c>
    </row>
    <row r="141" spans="9:10" x14ac:dyDescent="0.15">
      <c r="I141" s="3">
        <v>134</v>
      </c>
      <c r="J141" s="3">
        <f t="shared" si="4"/>
        <v>4.6423611111111107</v>
      </c>
    </row>
    <row r="142" spans="9:10" x14ac:dyDescent="0.15">
      <c r="I142" s="3">
        <v>135</v>
      </c>
      <c r="J142" s="3">
        <f t="shared" si="4"/>
        <v>4.6423611111111107</v>
      </c>
    </row>
    <row r="143" spans="9:10" x14ac:dyDescent="0.15">
      <c r="I143" s="3">
        <v>136</v>
      </c>
      <c r="J143" s="3">
        <f t="shared" si="4"/>
        <v>4.6423611111111107</v>
      </c>
    </row>
    <row r="144" spans="9:10" x14ac:dyDescent="0.15">
      <c r="I144" s="3">
        <v>137</v>
      </c>
      <c r="J144" s="3">
        <f t="shared" si="4"/>
        <v>4.6423611111111107</v>
      </c>
    </row>
    <row r="145" spans="9:10" x14ac:dyDescent="0.15">
      <c r="I145" s="3">
        <v>138</v>
      </c>
      <c r="J145" s="3">
        <f t="shared" si="4"/>
        <v>4.6423611111111107</v>
      </c>
    </row>
    <row r="146" spans="9:10" x14ac:dyDescent="0.15">
      <c r="I146" s="3">
        <v>139</v>
      </c>
      <c r="J146" s="3">
        <f t="shared" si="4"/>
        <v>4.6423611111111107</v>
      </c>
    </row>
    <row r="147" spans="9:10" x14ac:dyDescent="0.15">
      <c r="I147" s="3">
        <v>140</v>
      </c>
      <c r="J147" s="3">
        <f t="shared" si="4"/>
        <v>4.6423611111111107</v>
      </c>
    </row>
    <row r="148" spans="9:10" x14ac:dyDescent="0.15">
      <c r="I148" s="3">
        <v>141</v>
      </c>
      <c r="J148" s="3">
        <f t="shared" si="4"/>
        <v>4.6423611111111107</v>
      </c>
    </row>
    <row r="149" spans="9:10" x14ac:dyDescent="0.15">
      <c r="I149" s="3">
        <v>142</v>
      </c>
      <c r="J149" s="3">
        <f t="shared" si="4"/>
        <v>4.6423611111111107</v>
      </c>
    </row>
    <row r="150" spans="9:10" x14ac:dyDescent="0.15">
      <c r="I150" s="3">
        <v>143</v>
      </c>
      <c r="J150" s="3">
        <f t="shared" si="4"/>
        <v>4.6423611111111107</v>
      </c>
    </row>
    <row r="151" spans="9:10" x14ac:dyDescent="0.15">
      <c r="I151" s="3">
        <v>144</v>
      </c>
      <c r="J151" s="3">
        <f t="shared" si="4"/>
        <v>4.6423611111111107</v>
      </c>
    </row>
    <row r="152" spans="9:10" x14ac:dyDescent="0.15">
      <c r="I152" s="3">
        <v>145</v>
      </c>
      <c r="J152" s="3">
        <f t="shared" si="4"/>
        <v>4.6423611111111107</v>
      </c>
    </row>
    <row r="153" spans="9:10" x14ac:dyDescent="0.15">
      <c r="I153" s="3">
        <v>146</v>
      </c>
      <c r="J153" s="3">
        <f t="shared" si="4"/>
        <v>4.6423611111111107</v>
      </c>
    </row>
    <row r="154" spans="9:10" x14ac:dyDescent="0.15">
      <c r="I154" s="3">
        <v>147</v>
      </c>
      <c r="J154" s="3">
        <f t="shared" si="4"/>
        <v>4.6423611111111107</v>
      </c>
    </row>
    <row r="155" spans="9:10" x14ac:dyDescent="0.15">
      <c r="I155" s="3">
        <v>148</v>
      </c>
      <c r="J155" s="3">
        <f t="shared" si="4"/>
        <v>4.6423611111111107</v>
      </c>
    </row>
    <row r="156" spans="9:10" x14ac:dyDescent="0.15">
      <c r="I156" s="3">
        <v>149</v>
      </c>
      <c r="J156" s="3">
        <f t="shared" si="4"/>
        <v>4.6423611111111107</v>
      </c>
    </row>
    <row r="157" spans="9:10" x14ac:dyDescent="0.15">
      <c r="I157" s="3">
        <v>150</v>
      </c>
      <c r="J157" s="3">
        <f t="shared" si="4"/>
        <v>4.6423611111111107</v>
      </c>
    </row>
    <row r="158" spans="9:10" x14ac:dyDescent="0.15">
      <c r="I158" s="3">
        <v>151</v>
      </c>
      <c r="J158" s="3">
        <f t="shared" si="4"/>
        <v>4.6423611111111107</v>
      </c>
    </row>
    <row r="159" spans="9:10" x14ac:dyDescent="0.15">
      <c r="I159" s="3">
        <v>152</v>
      </c>
      <c r="J159" s="3">
        <f t="shared" si="4"/>
        <v>4.6423611111111107</v>
      </c>
    </row>
    <row r="160" spans="9:10" x14ac:dyDescent="0.15">
      <c r="I160" s="3">
        <v>153</v>
      </c>
      <c r="J160" s="3">
        <f t="shared" si="4"/>
        <v>4.6423611111111107</v>
      </c>
    </row>
    <row r="161" spans="9:10" x14ac:dyDescent="0.15">
      <c r="I161" s="3">
        <v>154</v>
      </c>
      <c r="J161" s="3">
        <f t="shared" si="4"/>
        <v>4.6423611111111107</v>
      </c>
    </row>
    <row r="162" spans="9:10" x14ac:dyDescent="0.15">
      <c r="I162" s="3">
        <v>155</v>
      </c>
      <c r="J162" s="3">
        <f t="shared" si="4"/>
        <v>4.6423611111111107</v>
      </c>
    </row>
    <row r="163" spans="9:10" x14ac:dyDescent="0.15">
      <c r="I163" s="3">
        <v>156</v>
      </c>
      <c r="J163" s="3">
        <f t="shared" si="4"/>
        <v>4.6423611111111107</v>
      </c>
    </row>
    <row r="164" spans="9:10" x14ac:dyDescent="0.15">
      <c r="I164" s="3">
        <v>157</v>
      </c>
      <c r="J164" s="3">
        <f t="shared" si="4"/>
        <v>4.6423611111111107</v>
      </c>
    </row>
    <row r="165" spans="9:10" x14ac:dyDescent="0.15">
      <c r="I165" s="3">
        <v>158</v>
      </c>
      <c r="J165" s="3">
        <f t="shared" si="4"/>
        <v>4.6423611111111107</v>
      </c>
    </row>
    <row r="166" spans="9:10" x14ac:dyDescent="0.15">
      <c r="I166" s="3">
        <v>159</v>
      </c>
      <c r="J166" s="3">
        <f t="shared" si="4"/>
        <v>4.6423611111111107</v>
      </c>
    </row>
    <row r="167" spans="9:10" x14ac:dyDescent="0.15">
      <c r="I167" s="3">
        <v>160</v>
      </c>
      <c r="J167" s="3">
        <f t="shared" si="4"/>
        <v>4.6423611111111107</v>
      </c>
    </row>
    <row r="168" spans="9:10" x14ac:dyDescent="0.15">
      <c r="I168" s="3">
        <v>161</v>
      </c>
      <c r="J168" s="3">
        <f t="shared" si="4"/>
        <v>4.6423611111111107</v>
      </c>
    </row>
    <row r="169" spans="9:10" x14ac:dyDescent="0.15">
      <c r="I169" s="3">
        <v>162</v>
      </c>
      <c r="J169" s="3">
        <f t="shared" si="4"/>
        <v>4.6423611111111107</v>
      </c>
    </row>
    <row r="170" spans="9:10" x14ac:dyDescent="0.15">
      <c r="I170" s="3">
        <v>163</v>
      </c>
      <c r="J170" s="3">
        <f t="shared" si="4"/>
        <v>4.6423611111111107</v>
      </c>
    </row>
    <row r="171" spans="9:10" x14ac:dyDescent="0.15">
      <c r="I171" s="3">
        <v>164</v>
      </c>
      <c r="J171" s="3">
        <f t="shared" si="4"/>
        <v>4.6423611111111107</v>
      </c>
    </row>
    <row r="172" spans="9:10" x14ac:dyDescent="0.15">
      <c r="I172" s="3">
        <v>165</v>
      </c>
      <c r="J172" s="3">
        <f t="shared" si="4"/>
        <v>4.6423611111111107</v>
      </c>
    </row>
    <row r="173" spans="9:10" x14ac:dyDescent="0.15">
      <c r="I173" s="3">
        <v>166</v>
      </c>
      <c r="J173" s="3">
        <f t="shared" si="4"/>
        <v>4.6423611111111107</v>
      </c>
    </row>
    <row r="174" spans="9:10" x14ac:dyDescent="0.15">
      <c r="I174" s="3">
        <v>167</v>
      </c>
      <c r="J174" s="3">
        <f t="shared" si="4"/>
        <v>4.6423611111111107</v>
      </c>
    </row>
    <row r="175" spans="9:10" x14ac:dyDescent="0.15">
      <c r="I175" s="3">
        <v>168</v>
      </c>
      <c r="J175" s="3">
        <f t="shared" si="4"/>
        <v>4.6423611111111107</v>
      </c>
    </row>
    <row r="176" spans="9:10" x14ac:dyDescent="0.15">
      <c r="I176" s="3">
        <v>169</v>
      </c>
      <c r="J176" s="3">
        <f t="shared" si="4"/>
        <v>4.6423611111111107</v>
      </c>
    </row>
    <row r="177" spans="9:10" x14ac:dyDescent="0.15">
      <c r="I177" s="3">
        <v>170</v>
      </c>
      <c r="J177" s="3">
        <f t="shared" si="4"/>
        <v>4.6423611111111107</v>
      </c>
    </row>
    <row r="178" spans="9:10" x14ac:dyDescent="0.15">
      <c r="I178" s="3">
        <v>171</v>
      </c>
      <c r="J178" s="3">
        <f t="shared" si="4"/>
        <v>4.6423611111111107</v>
      </c>
    </row>
    <row r="179" spans="9:10" x14ac:dyDescent="0.15">
      <c r="I179" s="3">
        <v>172</v>
      </c>
      <c r="J179" s="3">
        <f t="shared" si="4"/>
        <v>4.6423611111111107</v>
      </c>
    </row>
    <row r="180" spans="9:10" x14ac:dyDescent="0.15">
      <c r="I180" s="3">
        <v>173</v>
      </c>
      <c r="J180" s="3">
        <f t="shared" si="4"/>
        <v>4.6423611111111107</v>
      </c>
    </row>
    <row r="181" spans="9:10" x14ac:dyDescent="0.15">
      <c r="I181" s="3">
        <v>174</v>
      </c>
      <c r="J181" s="3">
        <f t="shared" si="4"/>
        <v>4.6423611111111107</v>
      </c>
    </row>
    <row r="182" spans="9:10" x14ac:dyDescent="0.15">
      <c r="I182" s="3">
        <v>175</v>
      </c>
      <c r="J182" s="3">
        <f t="shared" si="4"/>
        <v>4.6423611111111107</v>
      </c>
    </row>
    <row r="183" spans="9:10" x14ac:dyDescent="0.15">
      <c r="I183" s="3">
        <v>176</v>
      </c>
      <c r="J183" s="3">
        <f t="shared" si="4"/>
        <v>4.6423611111111107</v>
      </c>
    </row>
    <row r="184" spans="9:10" x14ac:dyDescent="0.15">
      <c r="I184" s="3">
        <v>177</v>
      </c>
      <c r="J184" s="3">
        <f t="shared" si="4"/>
        <v>4.6423611111111107</v>
      </c>
    </row>
    <row r="185" spans="9:10" x14ac:dyDescent="0.15">
      <c r="I185" s="3">
        <v>178</v>
      </c>
      <c r="J185" s="3">
        <f t="shared" si="4"/>
        <v>4.6423611111111107</v>
      </c>
    </row>
    <row r="186" spans="9:10" x14ac:dyDescent="0.15">
      <c r="I186" s="3">
        <v>179</v>
      </c>
      <c r="J186" s="3">
        <f t="shared" si="4"/>
        <v>4.6423611111111107</v>
      </c>
    </row>
    <row r="187" spans="9:10" x14ac:dyDescent="0.15">
      <c r="I187" s="3">
        <v>180</v>
      </c>
      <c r="J187" s="3">
        <f t="shared" si="4"/>
        <v>4.6423611111111107</v>
      </c>
    </row>
    <row r="188" spans="9:10" x14ac:dyDescent="0.15">
      <c r="I188" s="3">
        <v>181</v>
      </c>
      <c r="J188" s="3">
        <f t="shared" si="4"/>
        <v>4.6423611111111107</v>
      </c>
    </row>
    <row r="189" spans="9:10" x14ac:dyDescent="0.15">
      <c r="I189" s="3">
        <v>182</v>
      </c>
      <c r="J189" s="3">
        <f t="shared" si="4"/>
        <v>4.6423611111111107</v>
      </c>
    </row>
    <row r="190" spans="9:10" x14ac:dyDescent="0.15">
      <c r="I190" s="3">
        <v>183</v>
      </c>
      <c r="J190" s="3">
        <f t="shared" si="4"/>
        <v>4.6423611111111107</v>
      </c>
    </row>
    <row r="191" spans="9:10" x14ac:dyDescent="0.15">
      <c r="I191" s="3">
        <v>184</v>
      </c>
      <c r="J191" s="3">
        <f t="shared" si="4"/>
        <v>4.6423611111111107</v>
      </c>
    </row>
    <row r="192" spans="9:10" x14ac:dyDescent="0.15">
      <c r="I192" s="3">
        <v>185</v>
      </c>
      <c r="J192" s="3">
        <f t="shared" si="4"/>
        <v>4.6423611111111107</v>
      </c>
    </row>
    <row r="193" spans="9:10" x14ac:dyDescent="0.15">
      <c r="I193" s="3">
        <v>186</v>
      </c>
      <c r="J193" s="3">
        <f t="shared" si="4"/>
        <v>4.6423611111111107</v>
      </c>
    </row>
    <row r="194" spans="9:10" x14ac:dyDescent="0.15">
      <c r="I194" s="3">
        <v>187</v>
      </c>
      <c r="J194" s="3">
        <f t="shared" si="4"/>
        <v>4.6423611111111107</v>
      </c>
    </row>
    <row r="195" spans="9:10" x14ac:dyDescent="0.15">
      <c r="I195" s="3">
        <v>188</v>
      </c>
      <c r="J195" s="3">
        <f t="shared" si="4"/>
        <v>4.6423611111111107</v>
      </c>
    </row>
    <row r="196" spans="9:10" x14ac:dyDescent="0.15">
      <c r="I196" s="3">
        <v>189</v>
      </c>
      <c r="J196" s="3">
        <f t="shared" si="4"/>
        <v>4.6423611111111107</v>
      </c>
    </row>
    <row r="197" spans="9:10" x14ac:dyDescent="0.15">
      <c r="I197" s="3">
        <v>190</v>
      </c>
      <c r="J197" s="3">
        <f t="shared" si="4"/>
        <v>4.6423611111111107</v>
      </c>
    </row>
    <row r="198" spans="9:10" x14ac:dyDescent="0.15">
      <c r="I198" s="3">
        <v>191</v>
      </c>
      <c r="J198" s="3">
        <f t="shared" si="4"/>
        <v>4.6423611111111107</v>
      </c>
    </row>
    <row r="199" spans="9:10" x14ac:dyDescent="0.15">
      <c r="I199" s="3">
        <v>192</v>
      </c>
      <c r="J199" s="3">
        <f t="shared" si="4"/>
        <v>4.6423611111111107</v>
      </c>
    </row>
    <row r="200" spans="9:10" x14ac:dyDescent="0.15">
      <c r="I200" s="3">
        <v>193</v>
      </c>
      <c r="J200" s="3">
        <f t="shared" si="4"/>
        <v>4.6423611111111107</v>
      </c>
    </row>
    <row r="201" spans="9:10" x14ac:dyDescent="0.15">
      <c r="I201" s="3">
        <v>194</v>
      </c>
      <c r="J201" s="3">
        <f t="shared" ref="J201:J264" si="5">IF(I201&lt;$I$4,1,IF(I201&gt;$J$4,$G$4,($G$4-1)*($K$4+$L$4*((I201-$I$4)/($J$4-$I$4))^1+$M$4*((I201-$I$4)/($J$4-$I$4))^2+$N$4*((I201-$I$4)/($J$4-$I$4))^3+$O$4*((I201-$I$4)/($J$4-$I$4))^4)+1))</f>
        <v>4.6423611111111107</v>
      </c>
    </row>
    <row r="202" spans="9:10" x14ac:dyDescent="0.15">
      <c r="I202" s="3">
        <v>195</v>
      </c>
      <c r="J202" s="3">
        <f t="shared" si="5"/>
        <v>4.6423611111111107</v>
      </c>
    </row>
    <row r="203" spans="9:10" x14ac:dyDescent="0.15">
      <c r="I203" s="3">
        <v>196</v>
      </c>
      <c r="J203" s="3">
        <f t="shared" si="5"/>
        <v>4.6423611111111107</v>
      </c>
    </row>
    <row r="204" spans="9:10" x14ac:dyDescent="0.15">
      <c r="I204" s="3">
        <v>197</v>
      </c>
      <c r="J204" s="3">
        <f t="shared" si="5"/>
        <v>4.6423611111111107</v>
      </c>
    </row>
    <row r="205" spans="9:10" x14ac:dyDescent="0.15">
      <c r="I205" s="3">
        <v>198</v>
      </c>
      <c r="J205" s="3">
        <f t="shared" si="5"/>
        <v>4.6423611111111107</v>
      </c>
    </row>
    <row r="206" spans="9:10" x14ac:dyDescent="0.15">
      <c r="I206" s="3">
        <v>199</v>
      </c>
      <c r="J206" s="3">
        <f t="shared" si="5"/>
        <v>4.6423611111111107</v>
      </c>
    </row>
    <row r="207" spans="9:10" x14ac:dyDescent="0.15">
      <c r="I207" s="3">
        <v>200</v>
      </c>
      <c r="J207" s="3">
        <f t="shared" si="5"/>
        <v>4.6423611111111107</v>
      </c>
    </row>
    <row r="208" spans="9:10" x14ac:dyDescent="0.15">
      <c r="I208" s="3">
        <v>201</v>
      </c>
      <c r="J208" s="3">
        <f t="shared" si="5"/>
        <v>4.6423611111111107</v>
      </c>
    </row>
    <row r="209" spans="9:10" x14ac:dyDescent="0.15">
      <c r="I209" s="3">
        <v>202</v>
      </c>
      <c r="J209" s="3">
        <f t="shared" si="5"/>
        <v>4.6423611111111107</v>
      </c>
    </row>
    <row r="210" spans="9:10" x14ac:dyDescent="0.15">
      <c r="I210" s="3">
        <v>203</v>
      </c>
      <c r="J210" s="3">
        <f t="shared" si="5"/>
        <v>4.6423611111111107</v>
      </c>
    </row>
    <row r="211" spans="9:10" x14ac:dyDescent="0.15">
      <c r="I211" s="3">
        <v>204</v>
      </c>
      <c r="J211" s="3">
        <f t="shared" si="5"/>
        <v>4.6423611111111107</v>
      </c>
    </row>
    <row r="212" spans="9:10" x14ac:dyDescent="0.15">
      <c r="I212" s="3">
        <v>205</v>
      </c>
      <c r="J212" s="3">
        <f t="shared" si="5"/>
        <v>4.6423611111111107</v>
      </c>
    </row>
    <row r="213" spans="9:10" x14ac:dyDescent="0.15">
      <c r="I213" s="3">
        <v>206</v>
      </c>
      <c r="J213" s="3">
        <f t="shared" si="5"/>
        <v>4.6423611111111107</v>
      </c>
    </row>
    <row r="214" spans="9:10" x14ac:dyDescent="0.15">
      <c r="I214" s="3">
        <v>207</v>
      </c>
      <c r="J214" s="3">
        <f t="shared" si="5"/>
        <v>4.6423611111111107</v>
      </c>
    </row>
    <row r="215" spans="9:10" x14ac:dyDescent="0.15">
      <c r="I215" s="3">
        <v>208</v>
      </c>
      <c r="J215" s="3">
        <f t="shared" si="5"/>
        <v>4.6423611111111107</v>
      </c>
    </row>
    <row r="216" spans="9:10" x14ac:dyDescent="0.15">
      <c r="I216" s="3">
        <v>209</v>
      </c>
      <c r="J216" s="3">
        <f t="shared" si="5"/>
        <v>4.6423611111111107</v>
      </c>
    </row>
    <row r="217" spans="9:10" x14ac:dyDescent="0.15">
      <c r="I217" s="3">
        <v>210</v>
      </c>
      <c r="J217" s="3">
        <f t="shared" si="5"/>
        <v>4.6423611111111107</v>
      </c>
    </row>
    <row r="218" spans="9:10" x14ac:dyDescent="0.15">
      <c r="I218" s="3">
        <v>211</v>
      </c>
      <c r="J218" s="3">
        <f t="shared" si="5"/>
        <v>4.6423611111111107</v>
      </c>
    </row>
    <row r="219" spans="9:10" x14ac:dyDescent="0.15">
      <c r="I219" s="3">
        <v>212</v>
      </c>
      <c r="J219" s="3">
        <f t="shared" si="5"/>
        <v>4.6423611111111107</v>
      </c>
    </row>
    <row r="220" spans="9:10" x14ac:dyDescent="0.15">
      <c r="I220" s="3">
        <v>213</v>
      </c>
      <c r="J220" s="3">
        <f t="shared" si="5"/>
        <v>4.6423611111111107</v>
      </c>
    </row>
    <row r="221" spans="9:10" x14ac:dyDescent="0.15">
      <c r="I221" s="3">
        <v>214</v>
      </c>
      <c r="J221" s="3">
        <f t="shared" si="5"/>
        <v>4.6423611111111107</v>
      </c>
    </row>
    <row r="222" spans="9:10" x14ac:dyDescent="0.15">
      <c r="I222" s="3">
        <v>215</v>
      </c>
      <c r="J222" s="3">
        <f t="shared" si="5"/>
        <v>4.6423611111111107</v>
      </c>
    </row>
    <row r="223" spans="9:10" x14ac:dyDescent="0.15">
      <c r="I223" s="3">
        <v>216</v>
      </c>
      <c r="J223" s="3">
        <f t="shared" si="5"/>
        <v>4.6423611111111107</v>
      </c>
    </row>
    <row r="224" spans="9:10" x14ac:dyDescent="0.15">
      <c r="I224" s="3">
        <v>217</v>
      </c>
      <c r="J224" s="3">
        <f t="shared" si="5"/>
        <v>4.6423611111111107</v>
      </c>
    </row>
    <row r="225" spans="9:10" x14ac:dyDescent="0.15">
      <c r="I225" s="3">
        <v>218</v>
      </c>
      <c r="J225" s="3">
        <f t="shared" si="5"/>
        <v>4.6423611111111107</v>
      </c>
    </row>
    <row r="226" spans="9:10" x14ac:dyDescent="0.15">
      <c r="I226" s="3">
        <v>219</v>
      </c>
      <c r="J226" s="3">
        <f t="shared" si="5"/>
        <v>4.6423611111111107</v>
      </c>
    </row>
    <row r="227" spans="9:10" x14ac:dyDescent="0.15">
      <c r="I227" s="3">
        <v>220</v>
      </c>
      <c r="J227" s="3">
        <f t="shared" si="5"/>
        <v>4.6423611111111107</v>
      </c>
    </row>
    <row r="228" spans="9:10" x14ac:dyDescent="0.15">
      <c r="I228" s="3">
        <v>221</v>
      </c>
      <c r="J228" s="3">
        <f t="shared" si="5"/>
        <v>4.6423611111111107</v>
      </c>
    </row>
    <row r="229" spans="9:10" x14ac:dyDescent="0.15">
      <c r="I229" s="3">
        <v>222</v>
      </c>
      <c r="J229" s="3">
        <f t="shared" si="5"/>
        <v>4.6423611111111107</v>
      </c>
    </row>
    <row r="230" spans="9:10" x14ac:dyDescent="0.15">
      <c r="I230" s="3">
        <v>223</v>
      </c>
      <c r="J230" s="3">
        <f t="shared" si="5"/>
        <v>4.6423611111111107</v>
      </c>
    </row>
    <row r="231" spans="9:10" x14ac:dyDescent="0.15">
      <c r="I231" s="3">
        <v>224</v>
      </c>
      <c r="J231" s="3">
        <f t="shared" si="5"/>
        <v>4.6423611111111107</v>
      </c>
    </row>
    <row r="232" spans="9:10" x14ac:dyDescent="0.15">
      <c r="I232" s="3">
        <v>225</v>
      </c>
      <c r="J232" s="3">
        <f t="shared" si="5"/>
        <v>4.6423611111111107</v>
      </c>
    </row>
    <row r="233" spans="9:10" x14ac:dyDescent="0.15">
      <c r="I233" s="3">
        <v>226</v>
      </c>
      <c r="J233" s="3">
        <f t="shared" si="5"/>
        <v>4.6423611111111107</v>
      </c>
    </row>
    <row r="234" spans="9:10" x14ac:dyDescent="0.15">
      <c r="I234" s="3">
        <v>227</v>
      </c>
      <c r="J234" s="3">
        <f t="shared" si="5"/>
        <v>4.6423611111111107</v>
      </c>
    </row>
    <row r="235" spans="9:10" x14ac:dyDescent="0.15">
      <c r="I235" s="3">
        <v>228</v>
      </c>
      <c r="J235" s="3">
        <f t="shared" si="5"/>
        <v>4.6423611111111107</v>
      </c>
    </row>
    <row r="236" spans="9:10" x14ac:dyDescent="0.15">
      <c r="I236" s="3">
        <v>229</v>
      </c>
      <c r="J236" s="3">
        <f t="shared" si="5"/>
        <v>4.6423611111111107</v>
      </c>
    </row>
    <row r="237" spans="9:10" x14ac:dyDescent="0.15">
      <c r="I237" s="3">
        <v>230</v>
      </c>
      <c r="J237" s="3">
        <f t="shared" si="5"/>
        <v>4.6423611111111107</v>
      </c>
    </row>
    <row r="238" spans="9:10" x14ac:dyDescent="0.15">
      <c r="I238" s="3">
        <v>231</v>
      </c>
      <c r="J238" s="3">
        <f t="shared" si="5"/>
        <v>4.6423611111111107</v>
      </c>
    </row>
    <row r="239" spans="9:10" x14ac:dyDescent="0.15">
      <c r="I239" s="3">
        <v>232</v>
      </c>
      <c r="J239" s="3">
        <f t="shared" si="5"/>
        <v>4.6423611111111107</v>
      </c>
    </row>
    <row r="240" spans="9:10" x14ac:dyDescent="0.15">
      <c r="I240" s="3">
        <v>233</v>
      </c>
      <c r="J240" s="3">
        <f t="shared" si="5"/>
        <v>4.6423611111111107</v>
      </c>
    </row>
    <row r="241" spans="9:10" x14ac:dyDescent="0.15">
      <c r="I241" s="3">
        <v>234</v>
      </c>
      <c r="J241" s="3">
        <f t="shared" si="5"/>
        <v>4.6423611111111107</v>
      </c>
    </row>
    <row r="242" spans="9:10" x14ac:dyDescent="0.15">
      <c r="I242" s="3">
        <v>235</v>
      </c>
      <c r="J242" s="3">
        <f t="shared" si="5"/>
        <v>4.6423611111111107</v>
      </c>
    </row>
    <row r="243" spans="9:10" x14ac:dyDescent="0.15">
      <c r="I243" s="3">
        <v>236</v>
      </c>
      <c r="J243" s="3">
        <f t="shared" si="5"/>
        <v>4.6423611111111107</v>
      </c>
    </row>
    <row r="244" spans="9:10" x14ac:dyDescent="0.15">
      <c r="I244" s="3">
        <v>237</v>
      </c>
      <c r="J244" s="3">
        <f t="shared" si="5"/>
        <v>4.6423611111111107</v>
      </c>
    </row>
    <row r="245" spans="9:10" x14ac:dyDescent="0.15">
      <c r="I245" s="3">
        <v>238</v>
      </c>
      <c r="J245" s="3">
        <f t="shared" si="5"/>
        <v>4.6423611111111107</v>
      </c>
    </row>
    <row r="246" spans="9:10" x14ac:dyDescent="0.15">
      <c r="I246" s="3">
        <v>239</v>
      </c>
      <c r="J246" s="3">
        <f t="shared" si="5"/>
        <v>4.6423611111111107</v>
      </c>
    </row>
    <row r="247" spans="9:10" x14ac:dyDescent="0.15">
      <c r="I247" s="3">
        <v>240</v>
      </c>
      <c r="J247" s="3">
        <f t="shared" si="5"/>
        <v>4.6423611111111107</v>
      </c>
    </row>
    <row r="248" spans="9:10" x14ac:dyDescent="0.15">
      <c r="I248" s="3">
        <v>241</v>
      </c>
      <c r="J248" s="3">
        <f t="shared" si="5"/>
        <v>4.6423611111111107</v>
      </c>
    </row>
    <row r="249" spans="9:10" x14ac:dyDescent="0.15">
      <c r="I249" s="3">
        <v>242</v>
      </c>
      <c r="J249" s="3">
        <f t="shared" si="5"/>
        <v>4.6423611111111107</v>
      </c>
    </row>
    <row r="250" spans="9:10" x14ac:dyDescent="0.15">
      <c r="I250" s="3">
        <v>243</v>
      </c>
      <c r="J250" s="3">
        <f t="shared" si="5"/>
        <v>4.6423611111111107</v>
      </c>
    </row>
    <row r="251" spans="9:10" x14ac:dyDescent="0.15">
      <c r="I251" s="3">
        <v>244</v>
      </c>
      <c r="J251" s="3">
        <f t="shared" si="5"/>
        <v>4.6423611111111107</v>
      </c>
    </row>
    <row r="252" spans="9:10" x14ac:dyDescent="0.15">
      <c r="I252" s="3">
        <v>245</v>
      </c>
      <c r="J252" s="3">
        <f t="shared" si="5"/>
        <v>4.6423611111111107</v>
      </c>
    </row>
    <row r="253" spans="9:10" x14ac:dyDescent="0.15">
      <c r="I253" s="3">
        <v>246</v>
      </c>
      <c r="J253" s="3">
        <f t="shared" si="5"/>
        <v>4.6423611111111107</v>
      </c>
    </row>
    <row r="254" spans="9:10" x14ac:dyDescent="0.15">
      <c r="I254" s="3">
        <v>247</v>
      </c>
      <c r="J254" s="3">
        <f t="shared" si="5"/>
        <v>4.6423611111111107</v>
      </c>
    </row>
    <row r="255" spans="9:10" x14ac:dyDescent="0.15">
      <c r="I255" s="3">
        <v>248</v>
      </c>
      <c r="J255" s="3">
        <f t="shared" si="5"/>
        <v>4.6423611111111107</v>
      </c>
    </row>
    <row r="256" spans="9:10" x14ac:dyDescent="0.15">
      <c r="I256" s="3">
        <v>249</v>
      </c>
      <c r="J256" s="3">
        <f t="shared" si="5"/>
        <v>4.6423611111111107</v>
      </c>
    </row>
    <row r="257" spans="9:10" x14ac:dyDescent="0.15">
      <c r="I257" s="3">
        <v>250</v>
      </c>
      <c r="J257" s="3">
        <f t="shared" si="5"/>
        <v>4.6423611111111107</v>
      </c>
    </row>
    <row r="258" spans="9:10" x14ac:dyDescent="0.15">
      <c r="I258" s="3">
        <v>251</v>
      </c>
      <c r="J258" s="3">
        <f t="shared" si="5"/>
        <v>4.6423611111111107</v>
      </c>
    </row>
    <row r="259" spans="9:10" x14ac:dyDescent="0.15">
      <c r="I259" s="3">
        <v>252</v>
      </c>
      <c r="J259" s="3">
        <f t="shared" si="5"/>
        <v>4.6423611111111107</v>
      </c>
    </row>
    <row r="260" spans="9:10" x14ac:dyDescent="0.15">
      <c r="I260" s="3">
        <v>253</v>
      </c>
      <c r="J260" s="3">
        <f t="shared" si="5"/>
        <v>4.6423611111111107</v>
      </c>
    </row>
    <row r="261" spans="9:10" x14ac:dyDescent="0.15">
      <c r="I261" s="3">
        <v>254</v>
      </c>
      <c r="J261" s="3">
        <f t="shared" si="5"/>
        <v>4.6423611111111107</v>
      </c>
    </row>
    <row r="262" spans="9:10" x14ac:dyDescent="0.15">
      <c r="I262" s="3">
        <v>255</v>
      </c>
      <c r="J262" s="3">
        <f t="shared" si="5"/>
        <v>4.6423611111111107</v>
      </c>
    </row>
    <row r="263" spans="9:10" x14ac:dyDescent="0.15">
      <c r="I263" s="3">
        <v>256</v>
      </c>
      <c r="J263" s="3">
        <f t="shared" si="5"/>
        <v>4.6423611111111107</v>
      </c>
    </row>
    <row r="264" spans="9:10" x14ac:dyDescent="0.15">
      <c r="I264" s="3">
        <v>257</v>
      </c>
      <c r="J264" s="3">
        <f t="shared" si="5"/>
        <v>4.6423611111111107</v>
      </c>
    </row>
    <row r="265" spans="9:10" x14ac:dyDescent="0.15">
      <c r="I265" s="3">
        <v>258</v>
      </c>
      <c r="J265" s="3">
        <f t="shared" ref="J265:J328" si="6">IF(I265&lt;$I$4,1,IF(I265&gt;$J$4,$G$4,($G$4-1)*($K$4+$L$4*((I265-$I$4)/($J$4-$I$4))^1+$M$4*((I265-$I$4)/($J$4-$I$4))^2+$N$4*((I265-$I$4)/($J$4-$I$4))^3+$O$4*((I265-$I$4)/($J$4-$I$4))^4)+1))</f>
        <v>4.6423611111111107</v>
      </c>
    </row>
    <row r="266" spans="9:10" x14ac:dyDescent="0.15">
      <c r="I266" s="3">
        <v>259</v>
      </c>
      <c r="J266" s="3">
        <f t="shared" si="6"/>
        <v>4.6423611111111107</v>
      </c>
    </row>
    <row r="267" spans="9:10" x14ac:dyDescent="0.15">
      <c r="I267" s="3">
        <v>260</v>
      </c>
      <c r="J267" s="3">
        <f t="shared" si="6"/>
        <v>4.6423611111111107</v>
      </c>
    </row>
    <row r="268" spans="9:10" x14ac:dyDescent="0.15">
      <c r="I268" s="3">
        <v>261</v>
      </c>
      <c r="J268" s="3">
        <f t="shared" si="6"/>
        <v>4.6423611111111107</v>
      </c>
    </row>
    <row r="269" spans="9:10" x14ac:dyDescent="0.15">
      <c r="I269" s="3">
        <v>262</v>
      </c>
      <c r="J269" s="3">
        <f t="shared" si="6"/>
        <v>4.6423611111111107</v>
      </c>
    </row>
    <row r="270" spans="9:10" x14ac:dyDescent="0.15">
      <c r="I270" s="3">
        <v>263</v>
      </c>
      <c r="J270" s="3">
        <f t="shared" si="6"/>
        <v>4.6423611111111107</v>
      </c>
    </row>
    <row r="271" spans="9:10" x14ac:dyDescent="0.15">
      <c r="I271" s="3">
        <v>264</v>
      </c>
      <c r="J271" s="3">
        <f t="shared" si="6"/>
        <v>4.6423611111111107</v>
      </c>
    </row>
    <row r="272" spans="9:10" x14ac:dyDescent="0.15">
      <c r="I272" s="3">
        <v>265</v>
      </c>
      <c r="J272" s="3">
        <f t="shared" si="6"/>
        <v>4.6423611111111107</v>
      </c>
    </row>
    <row r="273" spans="9:10" x14ac:dyDescent="0.15">
      <c r="I273" s="3">
        <v>266</v>
      </c>
      <c r="J273" s="3">
        <f t="shared" si="6"/>
        <v>4.6423611111111107</v>
      </c>
    </row>
    <row r="274" spans="9:10" x14ac:dyDescent="0.15">
      <c r="I274" s="3">
        <v>267</v>
      </c>
      <c r="J274" s="3">
        <f t="shared" si="6"/>
        <v>4.6423611111111107</v>
      </c>
    </row>
    <row r="275" spans="9:10" x14ac:dyDescent="0.15">
      <c r="I275" s="3">
        <v>268</v>
      </c>
      <c r="J275" s="3">
        <f t="shared" si="6"/>
        <v>4.6423611111111107</v>
      </c>
    </row>
    <row r="276" spans="9:10" x14ac:dyDescent="0.15">
      <c r="I276" s="3">
        <v>269</v>
      </c>
      <c r="J276" s="3">
        <f t="shared" si="6"/>
        <v>4.6423611111111107</v>
      </c>
    </row>
    <row r="277" spans="9:10" x14ac:dyDescent="0.15">
      <c r="I277" s="3">
        <v>270</v>
      </c>
      <c r="J277" s="3">
        <f t="shared" si="6"/>
        <v>4.6423611111111107</v>
      </c>
    </row>
    <row r="278" spans="9:10" x14ac:dyDescent="0.15">
      <c r="I278" s="3">
        <v>271</v>
      </c>
      <c r="J278" s="3">
        <f t="shared" si="6"/>
        <v>4.6423611111111107</v>
      </c>
    </row>
    <row r="279" spans="9:10" x14ac:dyDescent="0.15">
      <c r="I279" s="3">
        <v>272</v>
      </c>
      <c r="J279" s="3">
        <f t="shared" si="6"/>
        <v>4.6423611111111107</v>
      </c>
    </row>
    <row r="280" spans="9:10" x14ac:dyDescent="0.15">
      <c r="I280" s="3">
        <v>273</v>
      </c>
      <c r="J280" s="3">
        <f t="shared" si="6"/>
        <v>4.6423611111111107</v>
      </c>
    </row>
    <row r="281" spans="9:10" x14ac:dyDescent="0.15">
      <c r="I281" s="3">
        <v>274</v>
      </c>
      <c r="J281" s="3">
        <f t="shared" si="6"/>
        <v>4.6423611111111107</v>
      </c>
    </row>
    <row r="282" spans="9:10" x14ac:dyDescent="0.15">
      <c r="I282" s="3">
        <v>275</v>
      </c>
      <c r="J282" s="3">
        <f t="shared" si="6"/>
        <v>4.6423611111111107</v>
      </c>
    </row>
    <row r="283" spans="9:10" x14ac:dyDescent="0.15">
      <c r="I283" s="3">
        <v>276</v>
      </c>
      <c r="J283" s="3">
        <f t="shared" si="6"/>
        <v>4.6423611111111107</v>
      </c>
    </row>
    <row r="284" spans="9:10" x14ac:dyDescent="0.15">
      <c r="I284" s="3">
        <v>277</v>
      </c>
      <c r="J284" s="3">
        <f t="shared" si="6"/>
        <v>4.6423611111111107</v>
      </c>
    </row>
    <row r="285" spans="9:10" x14ac:dyDescent="0.15">
      <c r="I285" s="3">
        <v>278</v>
      </c>
      <c r="J285" s="3">
        <f t="shared" si="6"/>
        <v>4.6423611111111107</v>
      </c>
    </row>
    <row r="286" spans="9:10" x14ac:dyDescent="0.15">
      <c r="I286" s="3">
        <v>279</v>
      </c>
      <c r="J286" s="3">
        <f t="shared" si="6"/>
        <v>4.6423611111111107</v>
      </c>
    </row>
    <row r="287" spans="9:10" x14ac:dyDescent="0.15">
      <c r="I287" s="3">
        <v>280</v>
      </c>
      <c r="J287" s="3">
        <f t="shared" si="6"/>
        <v>4.6423611111111107</v>
      </c>
    </row>
    <row r="288" spans="9:10" x14ac:dyDescent="0.15">
      <c r="I288" s="3">
        <v>281</v>
      </c>
      <c r="J288" s="3">
        <f t="shared" si="6"/>
        <v>4.6423611111111107</v>
      </c>
    </row>
    <row r="289" spans="9:10" x14ac:dyDescent="0.15">
      <c r="I289" s="3">
        <v>282</v>
      </c>
      <c r="J289" s="3">
        <f t="shared" si="6"/>
        <v>4.6423611111111107</v>
      </c>
    </row>
    <row r="290" spans="9:10" x14ac:dyDescent="0.15">
      <c r="I290" s="3">
        <v>283</v>
      </c>
      <c r="J290" s="3">
        <f t="shared" si="6"/>
        <v>4.6423611111111107</v>
      </c>
    </row>
    <row r="291" spans="9:10" x14ac:dyDescent="0.15">
      <c r="I291" s="3">
        <v>284</v>
      </c>
      <c r="J291" s="3">
        <f t="shared" si="6"/>
        <v>4.6423611111111107</v>
      </c>
    </row>
    <row r="292" spans="9:10" x14ac:dyDescent="0.15">
      <c r="I292" s="3">
        <v>285</v>
      </c>
      <c r="J292" s="3">
        <f t="shared" si="6"/>
        <v>4.6423611111111107</v>
      </c>
    </row>
    <row r="293" spans="9:10" x14ac:dyDescent="0.15">
      <c r="I293" s="3">
        <v>286</v>
      </c>
      <c r="J293" s="3">
        <f t="shared" si="6"/>
        <v>4.6423611111111107</v>
      </c>
    </row>
    <row r="294" spans="9:10" x14ac:dyDescent="0.15">
      <c r="I294" s="3">
        <v>287</v>
      </c>
      <c r="J294" s="3">
        <f t="shared" si="6"/>
        <v>4.6423611111111107</v>
      </c>
    </row>
    <row r="295" spans="9:10" x14ac:dyDescent="0.15">
      <c r="I295" s="3">
        <v>288</v>
      </c>
      <c r="J295" s="3">
        <f t="shared" si="6"/>
        <v>4.6423611111111107</v>
      </c>
    </row>
    <row r="296" spans="9:10" x14ac:dyDescent="0.15">
      <c r="I296" s="3">
        <v>289</v>
      </c>
      <c r="J296" s="3">
        <f t="shared" si="6"/>
        <v>4.6423611111111107</v>
      </c>
    </row>
    <row r="297" spans="9:10" x14ac:dyDescent="0.15">
      <c r="I297" s="3">
        <v>290</v>
      </c>
      <c r="J297" s="3">
        <f t="shared" si="6"/>
        <v>4.6423611111111107</v>
      </c>
    </row>
    <row r="298" spans="9:10" x14ac:dyDescent="0.15">
      <c r="I298" s="3">
        <v>291</v>
      </c>
      <c r="J298" s="3">
        <f t="shared" si="6"/>
        <v>4.6423611111111107</v>
      </c>
    </row>
    <row r="299" spans="9:10" x14ac:dyDescent="0.15">
      <c r="I299" s="3">
        <v>292</v>
      </c>
      <c r="J299" s="3">
        <f t="shared" si="6"/>
        <v>4.6423611111111107</v>
      </c>
    </row>
    <row r="300" spans="9:10" x14ac:dyDescent="0.15">
      <c r="I300" s="3">
        <v>293</v>
      </c>
      <c r="J300" s="3">
        <f t="shared" si="6"/>
        <v>4.6423611111111107</v>
      </c>
    </row>
    <row r="301" spans="9:10" x14ac:dyDescent="0.15">
      <c r="I301" s="3">
        <v>294</v>
      </c>
      <c r="J301" s="3">
        <f t="shared" si="6"/>
        <v>4.6423611111111107</v>
      </c>
    </row>
    <row r="302" spans="9:10" x14ac:dyDescent="0.15">
      <c r="I302" s="3">
        <v>295</v>
      </c>
      <c r="J302" s="3">
        <f t="shared" si="6"/>
        <v>4.6423611111111107</v>
      </c>
    </row>
    <row r="303" spans="9:10" x14ac:dyDescent="0.15">
      <c r="I303" s="3">
        <v>296</v>
      </c>
      <c r="J303" s="3">
        <f t="shared" si="6"/>
        <v>4.6423611111111107</v>
      </c>
    </row>
    <row r="304" spans="9:10" x14ac:dyDescent="0.15">
      <c r="I304" s="3">
        <v>297</v>
      </c>
      <c r="J304" s="3">
        <f t="shared" si="6"/>
        <v>4.6423611111111107</v>
      </c>
    </row>
    <row r="305" spans="9:10" x14ac:dyDescent="0.15">
      <c r="I305" s="3">
        <v>298</v>
      </c>
      <c r="J305" s="3">
        <f t="shared" si="6"/>
        <v>4.6423611111111107</v>
      </c>
    </row>
    <row r="306" spans="9:10" x14ac:dyDescent="0.15">
      <c r="I306" s="3">
        <v>299</v>
      </c>
      <c r="J306" s="3">
        <f t="shared" si="6"/>
        <v>4.6423611111111107</v>
      </c>
    </row>
    <row r="307" spans="9:10" x14ac:dyDescent="0.15">
      <c r="I307" s="3">
        <v>300</v>
      </c>
      <c r="J307" s="3">
        <f t="shared" si="6"/>
        <v>4.6423611111111107</v>
      </c>
    </row>
    <row r="308" spans="9:10" x14ac:dyDescent="0.15">
      <c r="I308" s="3">
        <v>301</v>
      </c>
      <c r="J308" s="3">
        <f t="shared" si="6"/>
        <v>4.6423611111111107</v>
      </c>
    </row>
    <row r="309" spans="9:10" x14ac:dyDescent="0.15">
      <c r="I309" s="3">
        <v>302</v>
      </c>
      <c r="J309" s="3">
        <f t="shared" si="6"/>
        <v>4.6423611111111107</v>
      </c>
    </row>
    <row r="310" spans="9:10" x14ac:dyDescent="0.15">
      <c r="I310" s="3">
        <v>303</v>
      </c>
      <c r="J310" s="3">
        <f t="shared" si="6"/>
        <v>4.6423611111111107</v>
      </c>
    </row>
    <row r="311" spans="9:10" x14ac:dyDescent="0.15">
      <c r="I311" s="3">
        <v>304</v>
      </c>
      <c r="J311" s="3">
        <f t="shared" si="6"/>
        <v>4.6423611111111107</v>
      </c>
    </row>
    <row r="312" spans="9:10" x14ac:dyDescent="0.15">
      <c r="I312" s="3">
        <v>305</v>
      </c>
      <c r="J312" s="3">
        <f t="shared" si="6"/>
        <v>4.6423611111111107</v>
      </c>
    </row>
    <row r="313" spans="9:10" x14ac:dyDescent="0.15">
      <c r="I313" s="3">
        <v>306</v>
      </c>
      <c r="J313" s="3">
        <f t="shared" si="6"/>
        <v>4.6423611111111107</v>
      </c>
    </row>
    <row r="314" spans="9:10" x14ac:dyDescent="0.15">
      <c r="I314" s="3">
        <v>307</v>
      </c>
      <c r="J314" s="3">
        <f t="shared" si="6"/>
        <v>4.6423611111111107</v>
      </c>
    </row>
    <row r="315" spans="9:10" x14ac:dyDescent="0.15">
      <c r="I315" s="3">
        <v>308</v>
      </c>
      <c r="J315" s="3">
        <f t="shared" si="6"/>
        <v>4.6423611111111107</v>
      </c>
    </row>
    <row r="316" spans="9:10" x14ac:dyDescent="0.15">
      <c r="I316" s="3">
        <v>309</v>
      </c>
      <c r="J316" s="3">
        <f t="shared" si="6"/>
        <v>4.6423611111111107</v>
      </c>
    </row>
    <row r="317" spans="9:10" x14ac:dyDescent="0.15">
      <c r="I317" s="3">
        <v>310</v>
      </c>
      <c r="J317" s="3">
        <f t="shared" si="6"/>
        <v>4.6423611111111107</v>
      </c>
    </row>
    <row r="318" spans="9:10" x14ac:dyDescent="0.15">
      <c r="I318" s="3">
        <v>311</v>
      </c>
      <c r="J318" s="3">
        <f t="shared" si="6"/>
        <v>4.6423611111111107</v>
      </c>
    </row>
    <row r="319" spans="9:10" x14ac:dyDescent="0.15">
      <c r="I319" s="3">
        <v>312</v>
      </c>
      <c r="J319" s="3">
        <f t="shared" si="6"/>
        <v>4.6423611111111107</v>
      </c>
    </row>
    <row r="320" spans="9:10" x14ac:dyDescent="0.15">
      <c r="I320" s="3">
        <v>313</v>
      </c>
      <c r="J320" s="3">
        <f t="shared" si="6"/>
        <v>4.6423611111111107</v>
      </c>
    </row>
    <row r="321" spans="9:10" x14ac:dyDescent="0.15">
      <c r="I321" s="3">
        <v>314</v>
      </c>
      <c r="J321" s="3">
        <f t="shared" si="6"/>
        <v>4.6423611111111107</v>
      </c>
    </row>
    <row r="322" spans="9:10" x14ac:dyDescent="0.15">
      <c r="I322" s="3">
        <v>315</v>
      </c>
      <c r="J322" s="3">
        <f t="shared" si="6"/>
        <v>4.6423611111111107</v>
      </c>
    </row>
    <row r="323" spans="9:10" x14ac:dyDescent="0.15">
      <c r="I323" s="3">
        <v>316</v>
      </c>
      <c r="J323" s="3">
        <f t="shared" si="6"/>
        <v>4.6423611111111107</v>
      </c>
    </row>
    <row r="324" spans="9:10" x14ac:dyDescent="0.15">
      <c r="I324" s="3">
        <v>317</v>
      </c>
      <c r="J324" s="3">
        <f t="shared" si="6"/>
        <v>4.6423611111111107</v>
      </c>
    </row>
    <row r="325" spans="9:10" x14ac:dyDescent="0.15">
      <c r="I325" s="3">
        <v>318</v>
      </c>
      <c r="J325" s="3">
        <f t="shared" si="6"/>
        <v>4.6423611111111107</v>
      </c>
    </row>
    <row r="326" spans="9:10" x14ac:dyDescent="0.15">
      <c r="I326" s="3">
        <v>319</v>
      </c>
      <c r="J326" s="3">
        <f t="shared" si="6"/>
        <v>4.6423611111111107</v>
      </c>
    </row>
    <row r="327" spans="9:10" x14ac:dyDescent="0.15">
      <c r="I327" s="3">
        <v>320</v>
      </c>
      <c r="J327" s="3">
        <f t="shared" si="6"/>
        <v>4.6423611111111107</v>
      </c>
    </row>
    <row r="328" spans="9:10" x14ac:dyDescent="0.15">
      <c r="I328" s="3">
        <v>321</v>
      </c>
      <c r="J328" s="3">
        <f t="shared" si="6"/>
        <v>4.6423611111111107</v>
      </c>
    </row>
    <row r="329" spans="9:10" x14ac:dyDescent="0.15">
      <c r="I329" s="3">
        <v>322</v>
      </c>
      <c r="J329" s="3">
        <f t="shared" ref="J329:J392" si="7">IF(I329&lt;$I$4,1,IF(I329&gt;$J$4,$G$4,($G$4-1)*($K$4+$L$4*((I329-$I$4)/($J$4-$I$4))^1+$M$4*((I329-$I$4)/($J$4-$I$4))^2+$N$4*((I329-$I$4)/($J$4-$I$4))^3+$O$4*((I329-$I$4)/($J$4-$I$4))^4)+1))</f>
        <v>4.6423611111111107</v>
      </c>
    </row>
    <row r="330" spans="9:10" x14ac:dyDescent="0.15">
      <c r="I330" s="3">
        <v>323</v>
      </c>
      <c r="J330" s="3">
        <f t="shared" si="7"/>
        <v>4.6423611111111107</v>
      </c>
    </row>
    <row r="331" spans="9:10" x14ac:dyDescent="0.15">
      <c r="I331" s="3">
        <v>324</v>
      </c>
      <c r="J331" s="3">
        <f t="shared" si="7"/>
        <v>4.6423611111111107</v>
      </c>
    </row>
    <row r="332" spans="9:10" x14ac:dyDescent="0.15">
      <c r="I332" s="3">
        <v>325</v>
      </c>
      <c r="J332" s="3">
        <f t="shared" si="7"/>
        <v>4.6423611111111107</v>
      </c>
    </row>
    <row r="333" spans="9:10" x14ac:dyDescent="0.15">
      <c r="I333" s="3">
        <v>326</v>
      </c>
      <c r="J333" s="3">
        <f t="shared" si="7"/>
        <v>4.6423611111111107</v>
      </c>
    </row>
    <row r="334" spans="9:10" x14ac:dyDescent="0.15">
      <c r="I334" s="3">
        <v>327</v>
      </c>
      <c r="J334" s="3">
        <f t="shared" si="7"/>
        <v>4.6423611111111107</v>
      </c>
    </row>
    <row r="335" spans="9:10" x14ac:dyDescent="0.15">
      <c r="I335" s="3">
        <v>328</v>
      </c>
      <c r="J335" s="3">
        <f t="shared" si="7"/>
        <v>4.6423611111111107</v>
      </c>
    </row>
    <row r="336" spans="9:10" x14ac:dyDescent="0.15">
      <c r="I336" s="3">
        <v>329</v>
      </c>
      <c r="J336" s="3">
        <f t="shared" si="7"/>
        <v>4.6423611111111107</v>
      </c>
    </row>
    <row r="337" spans="9:10" x14ac:dyDescent="0.15">
      <c r="I337" s="3">
        <v>330</v>
      </c>
      <c r="J337" s="3">
        <f t="shared" si="7"/>
        <v>4.6423611111111107</v>
      </c>
    </row>
    <row r="338" spans="9:10" x14ac:dyDescent="0.15">
      <c r="I338" s="3">
        <v>331</v>
      </c>
      <c r="J338" s="3">
        <f t="shared" si="7"/>
        <v>4.6423611111111107</v>
      </c>
    </row>
    <row r="339" spans="9:10" x14ac:dyDescent="0.15">
      <c r="I339" s="3">
        <v>332</v>
      </c>
      <c r="J339" s="3">
        <f t="shared" si="7"/>
        <v>4.6423611111111107</v>
      </c>
    </row>
    <row r="340" spans="9:10" x14ac:dyDescent="0.15">
      <c r="I340" s="3">
        <v>333</v>
      </c>
      <c r="J340" s="3">
        <f t="shared" si="7"/>
        <v>4.6423611111111107</v>
      </c>
    </row>
    <row r="341" spans="9:10" x14ac:dyDescent="0.15">
      <c r="I341" s="3">
        <v>334</v>
      </c>
      <c r="J341" s="3">
        <f t="shared" si="7"/>
        <v>4.6423611111111107</v>
      </c>
    </row>
    <row r="342" spans="9:10" x14ac:dyDescent="0.15">
      <c r="I342" s="3">
        <v>335</v>
      </c>
      <c r="J342" s="3">
        <f t="shared" si="7"/>
        <v>4.6423611111111107</v>
      </c>
    </row>
    <row r="343" spans="9:10" x14ac:dyDescent="0.15">
      <c r="I343" s="3">
        <v>336</v>
      </c>
      <c r="J343" s="3">
        <f t="shared" si="7"/>
        <v>4.6423611111111107</v>
      </c>
    </row>
    <row r="344" spans="9:10" x14ac:dyDescent="0.15">
      <c r="I344" s="3">
        <v>337</v>
      </c>
      <c r="J344" s="3">
        <f t="shared" si="7"/>
        <v>4.6423611111111107</v>
      </c>
    </row>
    <row r="345" spans="9:10" x14ac:dyDescent="0.15">
      <c r="I345" s="3">
        <v>338</v>
      </c>
      <c r="J345" s="3">
        <f t="shared" si="7"/>
        <v>4.6423611111111107</v>
      </c>
    </row>
    <row r="346" spans="9:10" x14ac:dyDescent="0.15">
      <c r="I346" s="3">
        <v>339</v>
      </c>
      <c r="J346" s="3">
        <f t="shared" si="7"/>
        <v>4.6423611111111107</v>
      </c>
    </row>
    <row r="347" spans="9:10" x14ac:dyDescent="0.15">
      <c r="I347" s="3">
        <v>340</v>
      </c>
      <c r="J347" s="3">
        <f t="shared" si="7"/>
        <v>4.6423611111111107</v>
      </c>
    </row>
    <row r="348" spans="9:10" x14ac:dyDescent="0.15">
      <c r="I348" s="3">
        <v>341</v>
      </c>
      <c r="J348" s="3">
        <f t="shared" si="7"/>
        <v>4.6423611111111107</v>
      </c>
    </row>
    <row r="349" spans="9:10" x14ac:dyDescent="0.15">
      <c r="I349" s="3">
        <v>342</v>
      </c>
      <c r="J349" s="3">
        <f t="shared" si="7"/>
        <v>4.6423611111111107</v>
      </c>
    </row>
    <row r="350" spans="9:10" x14ac:dyDescent="0.15">
      <c r="I350" s="3">
        <v>343</v>
      </c>
      <c r="J350" s="3">
        <f t="shared" si="7"/>
        <v>4.6423611111111107</v>
      </c>
    </row>
    <row r="351" spans="9:10" x14ac:dyDescent="0.15">
      <c r="I351" s="3">
        <v>344</v>
      </c>
      <c r="J351" s="3">
        <f t="shared" si="7"/>
        <v>4.6423611111111107</v>
      </c>
    </row>
    <row r="352" spans="9:10" x14ac:dyDescent="0.15">
      <c r="I352" s="3">
        <v>345</v>
      </c>
      <c r="J352" s="3">
        <f t="shared" si="7"/>
        <v>4.6423611111111107</v>
      </c>
    </row>
    <row r="353" spans="9:10" x14ac:dyDescent="0.15">
      <c r="I353" s="3">
        <v>346</v>
      </c>
      <c r="J353" s="3">
        <f t="shared" si="7"/>
        <v>4.6423611111111107</v>
      </c>
    </row>
    <row r="354" spans="9:10" x14ac:dyDescent="0.15">
      <c r="I354" s="3">
        <v>347</v>
      </c>
      <c r="J354" s="3">
        <f t="shared" si="7"/>
        <v>4.6423611111111107</v>
      </c>
    </row>
    <row r="355" spans="9:10" x14ac:dyDescent="0.15">
      <c r="I355" s="3">
        <v>348</v>
      </c>
      <c r="J355" s="3">
        <f t="shared" si="7"/>
        <v>4.6423611111111107</v>
      </c>
    </row>
    <row r="356" spans="9:10" x14ac:dyDescent="0.15">
      <c r="I356" s="3">
        <v>349</v>
      </c>
      <c r="J356" s="3">
        <f t="shared" si="7"/>
        <v>4.6423611111111107</v>
      </c>
    </row>
    <row r="357" spans="9:10" x14ac:dyDescent="0.15">
      <c r="I357" s="3">
        <v>350</v>
      </c>
      <c r="J357" s="3">
        <f t="shared" si="7"/>
        <v>4.6423611111111107</v>
      </c>
    </row>
    <row r="358" spans="9:10" x14ac:dyDescent="0.15">
      <c r="I358" s="3">
        <v>351</v>
      </c>
      <c r="J358" s="3">
        <f t="shared" si="7"/>
        <v>4.6423611111111107</v>
      </c>
    </row>
    <row r="359" spans="9:10" x14ac:dyDescent="0.15">
      <c r="I359" s="3">
        <v>352</v>
      </c>
      <c r="J359" s="3">
        <f t="shared" si="7"/>
        <v>4.6423611111111107</v>
      </c>
    </row>
    <row r="360" spans="9:10" x14ac:dyDescent="0.15">
      <c r="I360" s="3">
        <v>353</v>
      </c>
      <c r="J360" s="3">
        <f t="shared" si="7"/>
        <v>4.6423611111111107</v>
      </c>
    </row>
    <row r="361" spans="9:10" x14ac:dyDescent="0.15">
      <c r="I361" s="3">
        <v>354</v>
      </c>
      <c r="J361" s="3">
        <f t="shared" si="7"/>
        <v>4.6423611111111107</v>
      </c>
    </row>
    <row r="362" spans="9:10" x14ac:dyDescent="0.15">
      <c r="I362" s="3">
        <v>355</v>
      </c>
      <c r="J362" s="3">
        <f t="shared" si="7"/>
        <v>4.6423611111111107</v>
      </c>
    </row>
    <row r="363" spans="9:10" x14ac:dyDescent="0.15">
      <c r="I363" s="3">
        <v>356</v>
      </c>
      <c r="J363" s="3">
        <f t="shared" si="7"/>
        <v>4.6423611111111107</v>
      </c>
    </row>
    <row r="364" spans="9:10" x14ac:dyDescent="0.15">
      <c r="I364" s="3">
        <v>357</v>
      </c>
      <c r="J364" s="3">
        <f t="shared" si="7"/>
        <v>4.6423611111111107</v>
      </c>
    </row>
    <row r="365" spans="9:10" x14ac:dyDescent="0.15">
      <c r="I365" s="3">
        <v>358</v>
      </c>
      <c r="J365" s="3">
        <f t="shared" si="7"/>
        <v>4.6423611111111107</v>
      </c>
    </row>
    <row r="366" spans="9:10" x14ac:dyDescent="0.15">
      <c r="I366" s="3">
        <v>359</v>
      </c>
      <c r="J366" s="3">
        <f t="shared" si="7"/>
        <v>4.6423611111111107</v>
      </c>
    </row>
    <row r="367" spans="9:10" x14ac:dyDescent="0.15">
      <c r="I367" s="3">
        <v>360</v>
      </c>
      <c r="J367" s="3">
        <f t="shared" si="7"/>
        <v>4.6423611111111107</v>
      </c>
    </row>
    <row r="368" spans="9:10" x14ac:dyDescent="0.15">
      <c r="I368" s="3">
        <v>361</v>
      </c>
      <c r="J368" s="3">
        <f t="shared" si="7"/>
        <v>4.6423611111111107</v>
      </c>
    </row>
    <row r="369" spans="9:10" x14ac:dyDescent="0.15">
      <c r="I369" s="3">
        <v>362</v>
      </c>
      <c r="J369" s="3">
        <f t="shared" si="7"/>
        <v>4.6423611111111107</v>
      </c>
    </row>
    <row r="370" spans="9:10" x14ac:dyDescent="0.15">
      <c r="I370" s="3">
        <v>363</v>
      </c>
      <c r="J370" s="3">
        <f t="shared" si="7"/>
        <v>4.6423611111111107</v>
      </c>
    </row>
    <row r="371" spans="9:10" x14ac:dyDescent="0.15">
      <c r="I371" s="3">
        <v>364</v>
      </c>
      <c r="J371" s="3">
        <f t="shared" si="7"/>
        <v>4.6423611111111107</v>
      </c>
    </row>
    <row r="372" spans="9:10" x14ac:dyDescent="0.15">
      <c r="I372" s="3">
        <v>365</v>
      </c>
      <c r="J372" s="3">
        <f t="shared" si="7"/>
        <v>4.6423611111111107</v>
      </c>
    </row>
    <row r="373" spans="9:10" x14ac:dyDescent="0.15">
      <c r="I373" s="3">
        <v>366</v>
      </c>
      <c r="J373" s="3">
        <f t="shared" si="7"/>
        <v>4.6423611111111107</v>
      </c>
    </row>
    <row r="374" spans="9:10" x14ac:dyDescent="0.15">
      <c r="I374" s="3">
        <v>367</v>
      </c>
      <c r="J374" s="3">
        <f t="shared" si="7"/>
        <v>4.6423611111111107</v>
      </c>
    </row>
    <row r="375" spans="9:10" x14ac:dyDescent="0.15">
      <c r="I375" s="3">
        <v>368</v>
      </c>
      <c r="J375" s="3">
        <f t="shared" si="7"/>
        <v>4.6423611111111107</v>
      </c>
    </row>
    <row r="376" spans="9:10" x14ac:dyDescent="0.15">
      <c r="I376" s="3">
        <v>369</v>
      </c>
      <c r="J376" s="3">
        <f t="shared" si="7"/>
        <v>4.6423611111111107</v>
      </c>
    </row>
    <row r="377" spans="9:10" x14ac:dyDescent="0.15">
      <c r="I377" s="3">
        <v>370</v>
      </c>
      <c r="J377" s="3">
        <f t="shared" si="7"/>
        <v>4.6423611111111107</v>
      </c>
    </row>
    <row r="378" spans="9:10" x14ac:dyDescent="0.15">
      <c r="I378" s="3">
        <v>371</v>
      </c>
      <c r="J378" s="3">
        <f t="shared" si="7"/>
        <v>4.6423611111111107</v>
      </c>
    </row>
    <row r="379" spans="9:10" x14ac:dyDescent="0.15">
      <c r="I379" s="3">
        <v>372</v>
      </c>
      <c r="J379" s="3">
        <f t="shared" si="7"/>
        <v>4.6423611111111107</v>
      </c>
    </row>
    <row r="380" spans="9:10" x14ac:dyDescent="0.15">
      <c r="I380" s="3">
        <v>373</v>
      </c>
      <c r="J380" s="3">
        <f t="shared" si="7"/>
        <v>4.6423611111111107</v>
      </c>
    </row>
    <row r="381" spans="9:10" x14ac:dyDescent="0.15">
      <c r="I381" s="3">
        <v>374</v>
      </c>
      <c r="J381" s="3">
        <f t="shared" si="7"/>
        <v>4.6423611111111107</v>
      </c>
    </row>
    <row r="382" spans="9:10" x14ac:dyDescent="0.15">
      <c r="I382" s="3">
        <v>375</v>
      </c>
      <c r="J382" s="3">
        <f t="shared" si="7"/>
        <v>4.6423611111111107</v>
      </c>
    </row>
    <row r="383" spans="9:10" x14ac:dyDescent="0.15">
      <c r="I383" s="3">
        <v>376</v>
      </c>
      <c r="J383" s="3">
        <f t="shared" si="7"/>
        <v>4.6423611111111107</v>
      </c>
    </row>
    <row r="384" spans="9:10" x14ac:dyDescent="0.15">
      <c r="I384" s="3">
        <v>377</v>
      </c>
      <c r="J384" s="3">
        <f t="shared" si="7"/>
        <v>4.6423611111111107</v>
      </c>
    </row>
    <row r="385" spans="9:10" x14ac:dyDescent="0.15">
      <c r="I385" s="3">
        <v>378</v>
      </c>
      <c r="J385" s="3">
        <f t="shared" si="7"/>
        <v>4.6423611111111107</v>
      </c>
    </row>
    <row r="386" spans="9:10" x14ac:dyDescent="0.15">
      <c r="I386" s="3">
        <v>379</v>
      </c>
      <c r="J386" s="3">
        <f t="shared" si="7"/>
        <v>4.6423611111111107</v>
      </c>
    </row>
    <row r="387" spans="9:10" x14ac:dyDescent="0.15">
      <c r="I387" s="3">
        <v>380</v>
      </c>
      <c r="J387" s="3">
        <f t="shared" si="7"/>
        <v>4.6423611111111107</v>
      </c>
    </row>
    <row r="388" spans="9:10" x14ac:dyDescent="0.15">
      <c r="I388" s="3">
        <v>381</v>
      </c>
      <c r="J388" s="3">
        <f t="shared" si="7"/>
        <v>4.6423611111111107</v>
      </c>
    </row>
    <row r="389" spans="9:10" x14ac:dyDescent="0.15">
      <c r="I389" s="3">
        <v>382</v>
      </c>
      <c r="J389" s="3">
        <f t="shared" si="7"/>
        <v>4.6423611111111107</v>
      </c>
    </row>
    <row r="390" spans="9:10" x14ac:dyDescent="0.15">
      <c r="I390" s="3">
        <v>383</v>
      </c>
      <c r="J390" s="3">
        <f t="shared" si="7"/>
        <v>4.6423611111111107</v>
      </c>
    </row>
    <row r="391" spans="9:10" x14ac:dyDescent="0.15">
      <c r="I391" s="3">
        <v>384</v>
      </c>
      <c r="J391" s="3">
        <f t="shared" si="7"/>
        <v>4.6423611111111107</v>
      </c>
    </row>
    <row r="392" spans="9:10" x14ac:dyDescent="0.15">
      <c r="I392" s="3">
        <v>385</v>
      </c>
      <c r="J392" s="3">
        <f t="shared" si="7"/>
        <v>4.6423611111111107</v>
      </c>
    </row>
    <row r="393" spans="9:10" x14ac:dyDescent="0.15">
      <c r="I393" s="3">
        <v>386</v>
      </c>
      <c r="J393" s="3">
        <f t="shared" ref="J393:J456" si="8">IF(I393&lt;$I$4,1,IF(I393&gt;$J$4,$G$4,($G$4-1)*($K$4+$L$4*((I393-$I$4)/($J$4-$I$4))^1+$M$4*((I393-$I$4)/($J$4-$I$4))^2+$N$4*((I393-$I$4)/($J$4-$I$4))^3+$O$4*((I393-$I$4)/($J$4-$I$4))^4)+1))</f>
        <v>4.6423611111111107</v>
      </c>
    </row>
    <row r="394" spans="9:10" x14ac:dyDescent="0.15">
      <c r="I394" s="3">
        <v>387</v>
      </c>
      <c r="J394" s="3">
        <f t="shared" si="8"/>
        <v>4.6423611111111107</v>
      </c>
    </row>
    <row r="395" spans="9:10" x14ac:dyDescent="0.15">
      <c r="I395" s="3">
        <v>388</v>
      </c>
      <c r="J395" s="3">
        <f t="shared" si="8"/>
        <v>4.6423611111111107</v>
      </c>
    </row>
    <row r="396" spans="9:10" x14ac:dyDescent="0.15">
      <c r="I396" s="3">
        <v>389</v>
      </c>
      <c r="J396" s="3">
        <f t="shared" si="8"/>
        <v>4.6423611111111107</v>
      </c>
    </row>
    <row r="397" spans="9:10" x14ac:dyDescent="0.15">
      <c r="I397" s="3">
        <v>390</v>
      </c>
      <c r="J397" s="3">
        <f t="shared" si="8"/>
        <v>4.6423611111111107</v>
      </c>
    </row>
    <row r="398" spans="9:10" x14ac:dyDescent="0.15">
      <c r="I398" s="3">
        <v>391</v>
      </c>
      <c r="J398" s="3">
        <f t="shared" si="8"/>
        <v>4.6423611111111107</v>
      </c>
    </row>
    <row r="399" spans="9:10" x14ac:dyDescent="0.15">
      <c r="I399" s="3">
        <v>392</v>
      </c>
      <c r="J399" s="3">
        <f t="shared" si="8"/>
        <v>4.6423611111111107</v>
      </c>
    </row>
    <row r="400" spans="9:10" x14ac:dyDescent="0.15">
      <c r="I400" s="3">
        <v>393</v>
      </c>
      <c r="J400" s="3">
        <f t="shared" si="8"/>
        <v>4.6423611111111107</v>
      </c>
    </row>
    <row r="401" spans="9:10" x14ac:dyDescent="0.15">
      <c r="I401" s="3">
        <v>394</v>
      </c>
      <c r="J401" s="3">
        <f t="shared" si="8"/>
        <v>4.6423611111111107</v>
      </c>
    </row>
    <row r="402" spans="9:10" x14ac:dyDescent="0.15">
      <c r="I402" s="3">
        <v>395</v>
      </c>
      <c r="J402" s="3">
        <f t="shared" si="8"/>
        <v>4.6423611111111107</v>
      </c>
    </row>
    <row r="403" spans="9:10" x14ac:dyDescent="0.15">
      <c r="I403" s="3">
        <v>396</v>
      </c>
      <c r="J403" s="3">
        <f t="shared" si="8"/>
        <v>4.6423611111111107</v>
      </c>
    </row>
    <row r="404" spans="9:10" x14ac:dyDescent="0.15">
      <c r="I404" s="3">
        <v>397</v>
      </c>
      <c r="J404" s="3">
        <f t="shared" si="8"/>
        <v>4.6423611111111107</v>
      </c>
    </row>
    <row r="405" spans="9:10" x14ac:dyDescent="0.15">
      <c r="I405" s="3">
        <v>398</v>
      </c>
      <c r="J405" s="3">
        <f t="shared" si="8"/>
        <v>4.6423611111111107</v>
      </c>
    </row>
    <row r="406" spans="9:10" x14ac:dyDescent="0.15">
      <c r="I406" s="3">
        <v>399</v>
      </c>
      <c r="J406" s="3">
        <f t="shared" si="8"/>
        <v>4.6423611111111107</v>
      </c>
    </row>
    <row r="407" spans="9:10" x14ac:dyDescent="0.15">
      <c r="I407" s="3">
        <v>400</v>
      </c>
      <c r="J407" s="3">
        <f t="shared" si="8"/>
        <v>4.6423611111111107</v>
      </c>
    </row>
    <row r="408" spans="9:10" x14ac:dyDescent="0.15">
      <c r="I408" s="3">
        <v>401</v>
      </c>
      <c r="J408" s="3">
        <f t="shared" si="8"/>
        <v>4.6423611111111107</v>
      </c>
    </row>
    <row r="409" spans="9:10" x14ac:dyDescent="0.15">
      <c r="I409" s="3">
        <v>402</v>
      </c>
      <c r="J409" s="3">
        <f t="shared" si="8"/>
        <v>4.6423611111111107</v>
      </c>
    </row>
    <row r="410" spans="9:10" x14ac:dyDescent="0.15">
      <c r="I410" s="3">
        <v>403</v>
      </c>
      <c r="J410" s="3">
        <f t="shared" si="8"/>
        <v>4.6423611111111107</v>
      </c>
    </row>
    <row r="411" spans="9:10" x14ac:dyDescent="0.15">
      <c r="I411" s="3">
        <v>404</v>
      </c>
      <c r="J411" s="3">
        <f t="shared" si="8"/>
        <v>4.6423611111111107</v>
      </c>
    </row>
    <row r="412" spans="9:10" x14ac:dyDescent="0.15">
      <c r="I412" s="3">
        <v>405</v>
      </c>
      <c r="J412" s="3">
        <f t="shared" si="8"/>
        <v>4.6423611111111107</v>
      </c>
    </row>
    <row r="413" spans="9:10" x14ac:dyDescent="0.15">
      <c r="I413" s="3">
        <v>406</v>
      </c>
      <c r="J413" s="3">
        <f t="shared" si="8"/>
        <v>4.6423611111111107</v>
      </c>
    </row>
    <row r="414" spans="9:10" x14ac:dyDescent="0.15">
      <c r="I414" s="3">
        <v>407</v>
      </c>
      <c r="J414" s="3">
        <f t="shared" si="8"/>
        <v>4.6423611111111107</v>
      </c>
    </row>
    <row r="415" spans="9:10" x14ac:dyDescent="0.15">
      <c r="I415" s="3">
        <v>408</v>
      </c>
      <c r="J415" s="3">
        <f t="shared" si="8"/>
        <v>4.6423611111111107</v>
      </c>
    </row>
    <row r="416" spans="9:10" x14ac:dyDescent="0.15">
      <c r="I416" s="3">
        <v>409</v>
      </c>
      <c r="J416" s="3">
        <f t="shared" si="8"/>
        <v>4.6423611111111107</v>
      </c>
    </row>
    <row r="417" spans="9:10" x14ac:dyDescent="0.15">
      <c r="I417" s="3">
        <v>410</v>
      </c>
      <c r="J417" s="3">
        <f t="shared" si="8"/>
        <v>4.6423611111111107</v>
      </c>
    </row>
    <row r="418" spans="9:10" x14ac:dyDescent="0.15">
      <c r="I418" s="3">
        <v>411</v>
      </c>
      <c r="J418" s="3">
        <f t="shared" si="8"/>
        <v>4.6423611111111107</v>
      </c>
    </row>
    <row r="419" spans="9:10" x14ac:dyDescent="0.15">
      <c r="I419" s="3">
        <v>412</v>
      </c>
      <c r="J419" s="3">
        <f t="shared" si="8"/>
        <v>4.6423611111111107</v>
      </c>
    </row>
    <row r="420" spans="9:10" x14ac:dyDescent="0.15">
      <c r="I420" s="3">
        <v>413</v>
      </c>
      <c r="J420" s="3">
        <f t="shared" si="8"/>
        <v>4.6423611111111107</v>
      </c>
    </row>
    <row r="421" spans="9:10" x14ac:dyDescent="0.15">
      <c r="I421" s="3">
        <v>414</v>
      </c>
      <c r="J421" s="3">
        <f t="shared" si="8"/>
        <v>4.6423611111111107</v>
      </c>
    </row>
    <row r="422" spans="9:10" x14ac:dyDescent="0.15">
      <c r="I422" s="3">
        <v>415</v>
      </c>
      <c r="J422" s="3">
        <f t="shared" si="8"/>
        <v>4.6423611111111107</v>
      </c>
    </row>
    <row r="423" spans="9:10" x14ac:dyDescent="0.15">
      <c r="I423" s="3">
        <v>416</v>
      </c>
      <c r="J423" s="3">
        <f t="shared" si="8"/>
        <v>4.6423611111111107</v>
      </c>
    </row>
    <row r="424" spans="9:10" x14ac:dyDescent="0.15">
      <c r="I424" s="3">
        <v>417</v>
      </c>
      <c r="J424" s="3">
        <f t="shared" si="8"/>
        <v>4.6423611111111107</v>
      </c>
    </row>
    <row r="425" spans="9:10" x14ac:dyDescent="0.15">
      <c r="I425" s="3">
        <v>418</v>
      </c>
      <c r="J425" s="3">
        <f t="shared" si="8"/>
        <v>4.6423611111111107</v>
      </c>
    </row>
    <row r="426" spans="9:10" x14ac:dyDescent="0.15">
      <c r="I426" s="3">
        <v>419</v>
      </c>
      <c r="J426" s="3">
        <f t="shared" si="8"/>
        <v>4.6423611111111107</v>
      </c>
    </row>
    <row r="427" spans="9:10" x14ac:dyDescent="0.15">
      <c r="I427" s="3">
        <v>420</v>
      </c>
      <c r="J427" s="3">
        <f t="shared" si="8"/>
        <v>4.6423611111111107</v>
      </c>
    </row>
    <row r="428" spans="9:10" x14ac:dyDescent="0.15">
      <c r="I428" s="3">
        <v>421</v>
      </c>
      <c r="J428" s="3">
        <f t="shared" si="8"/>
        <v>4.6423611111111107</v>
      </c>
    </row>
    <row r="429" spans="9:10" x14ac:dyDescent="0.15">
      <c r="I429" s="3">
        <v>422</v>
      </c>
      <c r="J429" s="3">
        <f t="shared" si="8"/>
        <v>4.6423611111111107</v>
      </c>
    </row>
    <row r="430" spans="9:10" x14ac:dyDescent="0.15">
      <c r="I430" s="3">
        <v>423</v>
      </c>
      <c r="J430" s="3">
        <f t="shared" si="8"/>
        <v>4.6423611111111107</v>
      </c>
    </row>
    <row r="431" spans="9:10" x14ac:dyDescent="0.15">
      <c r="I431" s="3">
        <v>424</v>
      </c>
      <c r="J431" s="3">
        <f t="shared" si="8"/>
        <v>4.6423611111111107</v>
      </c>
    </row>
    <row r="432" spans="9:10" x14ac:dyDescent="0.15">
      <c r="I432" s="3">
        <v>425</v>
      </c>
      <c r="J432" s="3">
        <f t="shared" si="8"/>
        <v>4.6423611111111107</v>
      </c>
    </row>
    <row r="433" spans="9:10" x14ac:dyDescent="0.15">
      <c r="I433" s="3">
        <v>426</v>
      </c>
      <c r="J433" s="3">
        <f t="shared" si="8"/>
        <v>4.6423611111111107</v>
      </c>
    </row>
    <row r="434" spans="9:10" x14ac:dyDescent="0.15">
      <c r="I434" s="3">
        <v>427</v>
      </c>
      <c r="J434" s="3">
        <f t="shared" si="8"/>
        <v>4.6423611111111107</v>
      </c>
    </row>
    <row r="435" spans="9:10" x14ac:dyDescent="0.15">
      <c r="I435" s="3">
        <v>428</v>
      </c>
      <c r="J435" s="3">
        <f t="shared" si="8"/>
        <v>4.6423611111111107</v>
      </c>
    </row>
    <row r="436" spans="9:10" x14ac:dyDescent="0.15">
      <c r="I436" s="3">
        <v>429</v>
      </c>
      <c r="J436" s="3">
        <f t="shared" si="8"/>
        <v>4.6423611111111107</v>
      </c>
    </row>
    <row r="437" spans="9:10" x14ac:dyDescent="0.15">
      <c r="I437" s="3">
        <v>430</v>
      </c>
      <c r="J437" s="3">
        <f t="shared" si="8"/>
        <v>4.6423611111111107</v>
      </c>
    </row>
    <row r="438" spans="9:10" x14ac:dyDescent="0.15">
      <c r="I438" s="3">
        <v>431</v>
      </c>
      <c r="J438" s="3">
        <f t="shared" si="8"/>
        <v>4.6423611111111107</v>
      </c>
    </row>
    <row r="439" spans="9:10" x14ac:dyDescent="0.15">
      <c r="I439" s="3">
        <v>432</v>
      </c>
      <c r="J439" s="3">
        <f t="shared" si="8"/>
        <v>4.6423611111111107</v>
      </c>
    </row>
    <row r="440" spans="9:10" x14ac:dyDescent="0.15">
      <c r="I440" s="3">
        <v>433</v>
      </c>
      <c r="J440" s="3">
        <f t="shared" si="8"/>
        <v>4.6423611111111107</v>
      </c>
    </row>
    <row r="441" spans="9:10" x14ac:dyDescent="0.15">
      <c r="I441" s="3">
        <v>434</v>
      </c>
      <c r="J441" s="3">
        <f t="shared" si="8"/>
        <v>4.6423611111111107</v>
      </c>
    </row>
    <row r="442" spans="9:10" x14ac:dyDescent="0.15">
      <c r="I442" s="3">
        <v>435</v>
      </c>
      <c r="J442" s="3">
        <f t="shared" si="8"/>
        <v>4.6423611111111107</v>
      </c>
    </row>
    <row r="443" spans="9:10" x14ac:dyDescent="0.15">
      <c r="I443" s="3">
        <v>436</v>
      </c>
      <c r="J443" s="3">
        <f t="shared" si="8"/>
        <v>4.6423611111111107</v>
      </c>
    </row>
    <row r="444" spans="9:10" x14ac:dyDescent="0.15">
      <c r="I444" s="3">
        <v>437</v>
      </c>
      <c r="J444" s="3">
        <f t="shared" si="8"/>
        <v>4.6423611111111107</v>
      </c>
    </row>
    <row r="445" spans="9:10" x14ac:dyDescent="0.15">
      <c r="I445" s="3">
        <v>438</v>
      </c>
      <c r="J445" s="3">
        <f t="shared" si="8"/>
        <v>4.6423611111111107</v>
      </c>
    </row>
    <row r="446" spans="9:10" x14ac:dyDescent="0.15">
      <c r="I446" s="3">
        <v>439</v>
      </c>
      <c r="J446" s="3">
        <f t="shared" si="8"/>
        <v>4.6423611111111107</v>
      </c>
    </row>
    <row r="447" spans="9:10" x14ac:dyDescent="0.15">
      <c r="I447" s="3">
        <v>440</v>
      </c>
      <c r="J447" s="3">
        <f t="shared" si="8"/>
        <v>4.6423611111111107</v>
      </c>
    </row>
    <row r="448" spans="9:10" x14ac:dyDescent="0.15">
      <c r="I448" s="3">
        <v>441</v>
      </c>
      <c r="J448" s="3">
        <f t="shared" si="8"/>
        <v>4.6423611111111107</v>
      </c>
    </row>
    <row r="449" spans="9:10" x14ac:dyDescent="0.15">
      <c r="I449" s="3">
        <v>442</v>
      </c>
      <c r="J449" s="3">
        <f t="shared" si="8"/>
        <v>4.6423611111111107</v>
      </c>
    </row>
    <row r="450" spans="9:10" x14ac:dyDescent="0.15">
      <c r="I450" s="3">
        <v>443</v>
      </c>
      <c r="J450" s="3">
        <f t="shared" si="8"/>
        <v>4.6423611111111107</v>
      </c>
    </row>
    <row r="451" spans="9:10" x14ac:dyDescent="0.15">
      <c r="I451" s="3">
        <v>444</v>
      </c>
      <c r="J451" s="3">
        <f t="shared" si="8"/>
        <v>4.6423611111111107</v>
      </c>
    </row>
    <row r="452" spans="9:10" x14ac:dyDescent="0.15">
      <c r="I452" s="3">
        <v>445</v>
      </c>
      <c r="J452" s="3">
        <f t="shared" si="8"/>
        <v>4.6423611111111107</v>
      </c>
    </row>
    <row r="453" spans="9:10" x14ac:dyDescent="0.15">
      <c r="I453" s="3">
        <v>446</v>
      </c>
      <c r="J453" s="3">
        <f t="shared" si="8"/>
        <v>4.6423611111111107</v>
      </c>
    </row>
    <row r="454" spans="9:10" x14ac:dyDescent="0.15">
      <c r="I454" s="3">
        <v>447</v>
      </c>
      <c r="J454" s="3">
        <f t="shared" si="8"/>
        <v>4.6423611111111107</v>
      </c>
    </row>
    <row r="455" spans="9:10" x14ac:dyDescent="0.15">
      <c r="I455" s="3">
        <v>448</v>
      </c>
      <c r="J455" s="3">
        <f t="shared" si="8"/>
        <v>4.6423611111111107</v>
      </c>
    </row>
    <row r="456" spans="9:10" x14ac:dyDescent="0.15">
      <c r="I456" s="3">
        <v>449</v>
      </c>
      <c r="J456" s="3">
        <f t="shared" si="8"/>
        <v>4.6423611111111107</v>
      </c>
    </row>
    <row r="457" spans="9:10" x14ac:dyDescent="0.15">
      <c r="I457" s="3">
        <v>450</v>
      </c>
      <c r="J457" s="3">
        <f t="shared" ref="J457:J520" si="9">IF(I457&lt;$I$4,1,IF(I457&gt;$J$4,$G$4,($G$4-1)*($K$4+$L$4*((I457-$I$4)/($J$4-$I$4))^1+$M$4*((I457-$I$4)/($J$4-$I$4))^2+$N$4*((I457-$I$4)/($J$4-$I$4))^3+$O$4*((I457-$I$4)/($J$4-$I$4))^4)+1))</f>
        <v>4.6423611111111107</v>
      </c>
    </row>
    <row r="458" spans="9:10" x14ac:dyDescent="0.15">
      <c r="I458" s="3">
        <v>451</v>
      </c>
      <c r="J458" s="3">
        <f t="shared" si="9"/>
        <v>4.6423611111111107</v>
      </c>
    </row>
    <row r="459" spans="9:10" x14ac:dyDescent="0.15">
      <c r="I459" s="3">
        <v>452</v>
      </c>
      <c r="J459" s="3">
        <f t="shared" si="9"/>
        <v>4.6423611111111107</v>
      </c>
    </row>
    <row r="460" spans="9:10" x14ac:dyDescent="0.15">
      <c r="I460" s="3">
        <v>453</v>
      </c>
      <c r="J460" s="3">
        <f t="shared" si="9"/>
        <v>4.6423611111111107</v>
      </c>
    </row>
    <row r="461" spans="9:10" x14ac:dyDescent="0.15">
      <c r="I461" s="3">
        <v>454</v>
      </c>
      <c r="J461" s="3">
        <f t="shared" si="9"/>
        <v>4.6423611111111107</v>
      </c>
    </row>
    <row r="462" spans="9:10" x14ac:dyDescent="0.15">
      <c r="I462" s="3">
        <v>455</v>
      </c>
      <c r="J462" s="3">
        <f t="shared" si="9"/>
        <v>4.6423611111111107</v>
      </c>
    </row>
    <row r="463" spans="9:10" x14ac:dyDescent="0.15">
      <c r="I463" s="3">
        <v>456</v>
      </c>
      <c r="J463" s="3">
        <f t="shared" si="9"/>
        <v>4.6423611111111107</v>
      </c>
    </row>
    <row r="464" spans="9:10" x14ac:dyDescent="0.15">
      <c r="I464" s="3">
        <v>457</v>
      </c>
      <c r="J464" s="3">
        <f t="shared" si="9"/>
        <v>4.6423611111111107</v>
      </c>
    </row>
    <row r="465" spans="9:10" x14ac:dyDescent="0.15">
      <c r="I465" s="3">
        <v>458</v>
      </c>
      <c r="J465" s="3">
        <f t="shared" si="9"/>
        <v>4.6423611111111107</v>
      </c>
    </row>
    <row r="466" spans="9:10" x14ac:dyDescent="0.15">
      <c r="I466" s="3">
        <v>459</v>
      </c>
      <c r="J466" s="3">
        <f t="shared" si="9"/>
        <v>4.6423611111111107</v>
      </c>
    </row>
    <row r="467" spans="9:10" x14ac:dyDescent="0.15">
      <c r="I467" s="3">
        <v>460</v>
      </c>
      <c r="J467" s="3">
        <f t="shared" si="9"/>
        <v>4.6423611111111107</v>
      </c>
    </row>
    <row r="468" spans="9:10" x14ac:dyDescent="0.15">
      <c r="I468" s="3">
        <v>461</v>
      </c>
      <c r="J468" s="3">
        <f t="shared" si="9"/>
        <v>4.6423611111111107</v>
      </c>
    </row>
    <row r="469" spans="9:10" x14ac:dyDescent="0.15">
      <c r="I469" s="3">
        <v>462</v>
      </c>
      <c r="J469" s="3">
        <f t="shared" si="9"/>
        <v>4.6423611111111107</v>
      </c>
    </row>
    <row r="470" spans="9:10" x14ac:dyDescent="0.15">
      <c r="I470" s="3">
        <v>463</v>
      </c>
      <c r="J470" s="3">
        <f t="shared" si="9"/>
        <v>4.6423611111111107</v>
      </c>
    </row>
    <row r="471" spans="9:10" x14ac:dyDescent="0.15">
      <c r="I471" s="3">
        <v>464</v>
      </c>
      <c r="J471" s="3">
        <f t="shared" si="9"/>
        <v>4.6423611111111107</v>
      </c>
    </row>
    <row r="472" spans="9:10" x14ac:dyDescent="0.15">
      <c r="I472" s="3">
        <v>465</v>
      </c>
      <c r="J472" s="3">
        <f t="shared" si="9"/>
        <v>4.6423611111111107</v>
      </c>
    </row>
    <row r="473" spans="9:10" x14ac:dyDescent="0.15">
      <c r="I473" s="3">
        <v>466</v>
      </c>
      <c r="J473" s="3">
        <f t="shared" si="9"/>
        <v>4.6423611111111107</v>
      </c>
    </row>
    <row r="474" spans="9:10" x14ac:dyDescent="0.15">
      <c r="I474" s="3">
        <v>467</v>
      </c>
      <c r="J474" s="3">
        <f t="shared" si="9"/>
        <v>4.6423611111111107</v>
      </c>
    </row>
    <row r="475" spans="9:10" x14ac:dyDescent="0.15">
      <c r="I475" s="3">
        <v>468</v>
      </c>
      <c r="J475" s="3">
        <f t="shared" si="9"/>
        <v>4.6423611111111107</v>
      </c>
    </row>
    <row r="476" spans="9:10" x14ac:dyDescent="0.15">
      <c r="I476" s="3">
        <v>469</v>
      </c>
      <c r="J476" s="3">
        <f t="shared" si="9"/>
        <v>4.6423611111111107</v>
      </c>
    </row>
    <row r="477" spans="9:10" x14ac:dyDescent="0.15">
      <c r="I477" s="3">
        <v>470</v>
      </c>
      <c r="J477" s="3">
        <f t="shared" si="9"/>
        <v>4.6423611111111107</v>
      </c>
    </row>
    <row r="478" spans="9:10" x14ac:dyDescent="0.15">
      <c r="I478" s="3">
        <v>471</v>
      </c>
      <c r="J478" s="3">
        <f t="shared" si="9"/>
        <v>4.6423611111111107</v>
      </c>
    </row>
    <row r="479" spans="9:10" x14ac:dyDescent="0.15">
      <c r="I479" s="3">
        <v>472</v>
      </c>
      <c r="J479" s="3">
        <f t="shared" si="9"/>
        <v>4.6423611111111107</v>
      </c>
    </row>
    <row r="480" spans="9:10" x14ac:dyDescent="0.15">
      <c r="I480" s="3">
        <v>473</v>
      </c>
      <c r="J480" s="3">
        <f t="shared" si="9"/>
        <v>4.6423611111111107</v>
      </c>
    </row>
    <row r="481" spans="9:10" x14ac:dyDescent="0.15">
      <c r="I481" s="3">
        <v>474</v>
      </c>
      <c r="J481" s="3">
        <f t="shared" si="9"/>
        <v>4.6423611111111107</v>
      </c>
    </row>
    <row r="482" spans="9:10" x14ac:dyDescent="0.15">
      <c r="I482" s="3">
        <v>475</v>
      </c>
      <c r="J482" s="3">
        <f t="shared" si="9"/>
        <v>4.6423611111111107</v>
      </c>
    </row>
    <row r="483" spans="9:10" x14ac:dyDescent="0.15">
      <c r="I483" s="3">
        <v>476</v>
      </c>
      <c r="J483" s="3">
        <f t="shared" si="9"/>
        <v>4.6423611111111107</v>
      </c>
    </row>
    <row r="484" spans="9:10" x14ac:dyDescent="0.15">
      <c r="I484" s="3">
        <v>477</v>
      </c>
      <c r="J484" s="3">
        <f t="shared" si="9"/>
        <v>4.6423611111111107</v>
      </c>
    </row>
    <row r="485" spans="9:10" x14ac:dyDescent="0.15">
      <c r="I485" s="3">
        <v>478</v>
      </c>
      <c r="J485" s="3">
        <f t="shared" si="9"/>
        <v>4.6423611111111107</v>
      </c>
    </row>
    <row r="486" spans="9:10" x14ac:dyDescent="0.15">
      <c r="I486" s="3">
        <v>479</v>
      </c>
      <c r="J486" s="3">
        <f t="shared" si="9"/>
        <v>4.6423611111111107</v>
      </c>
    </row>
    <row r="487" spans="9:10" x14ac:dyDescent="0.15">
      <c r="I487" s="3">
        <v>480</v>
      </c>
      <c r="J487" s="3">
        <f t="shared" si="9"/>
        <v>4.6423611111111107</v>
      </c>
    </row>
    <row r="488" spans="9:10" x14ac:dyDescent="0.15">
      <c r="I488" s="3">
        <v>481</v>
      </c>
      <c r="J488" s="3">
        <f t="shared" si="9"/>
        <v>4.6423611111111107</v>
      </c>
    </row>
    <row r="489" spans="9:10" x14ac:dyDescent="0.15">
      <c r="I489" s="3">
        <v>482</v>
      </c>
      <c r="J489" s="3">
        <f t="shared" si="9"/>
        <v>4.6423611111111107</v>
      </c>
    </row>
    <row r="490" spans="9:10" x14ac:dyDescent="0.15">
      <c r="I490" s="3">
        <v>483</v>
      </c>
      <c r="J490" s="3">
        <f t="shared" si="9"/>
        <v>4.6423611111111107</v>
      </c>
    </row>
    <row r="491" spans="9:10" x14ac:dyDescent="0.15">
      <c r="I491" s="3">
        <v>484</v>
      </c>
      <c r="J491" s="3">
        <f t="shared" si="9"/>
        <v>4.6423611111111107</v>
      </c>
    </row>
    <row r="492" spans="9:10" x14ac:dyDescent="0.15">
      <c r="I492" s="3">
        <v>485</v>
      </c>
      <c r="J492" s="3">
        <f t="shared" si="9"/>
        <v>4.6423611111111107</v>
      </c>
    </row>
    <row r="493" spans="9:10" x14ac:dyDescent="0.15">
      <c r="I493" s="3">
        <v>486</v>
      </c>
      <c r="J493" s="3">
        <f t="shared" si="9"/>
        <v>4.6423611111111107</v>
      </c>
    </row>
    <row r="494" spans="9:10" x14ac:dyDescent="0.15">
      <c r="I494" s="3">
        <v>487</v>
      </c>
      <c r="J494" s="3">
        <f t="shared" si="9"/>
        <v>4.6423611111111107</v>
      </c>
    </row>
    <row r="495" spans="9:10" x14ac:dyDescent="0.15">
      <c r="I495" s="3">
        <v>488</v>
      </c>
      <c r="J495" s="3">
        <f t="shared" si="9"/>
        <v>4.6423611111111107</v>
      </c>
    </row>
    <row r="496" spans="9:10" x14ac:dyDescent="0.15">
      <c r="I496" s="3">
        <v>489</v>
      </c>
      <c r="J496" s="3">
        <f t="shared" si="9"/>
        <v>4.6423611111111107</v>
      </c>
    </row>
    <row r="497" spans="9:10" x14ac:dyDescent="0.15">
      <c r="I497" s="3">
        <v>490</v>
      </c>
      <c r="J497" s="3">
        <f t="shared" si="9"/>
        <v>4.6423611111111107</v>
      </c>
    </row>
    <row r="498" spans="9:10" x14ac:dyDescent="0.15">
      <c r="I498" s="3">
        <v>491</v>
      </c>
      <c r="J498" s="3">
        <f t="shared" si="9"/>
        <v>4.6423611111111107</v>
      </c>
    </row>
    <row r="499" spans="9:10" x14ac:dyDescent="0.15">
      <c r="I499" s="3">
        <v>492</v>
      </c>
      <c r="J499" s="3">
        <f t="shared" si="9"/>
        <v>4.6423611111111107</v>
      </c>
    </row>
    <row r="500" spans="9:10" x14ac:dyDescent="0.15">
      <c r="I500" s="3">
        <v>493</v>
      </c>
      <c r="J500" s="3">
        <f t="shared" si="9"/>
        <v>4.6423611111111107</v>
      </c>
    </row>
    <row r="501" spans="9:10" x14ac:dyDescent="0.15">
      <c r="I501" s="3">
        <v>494</v>
      </c>
      <c r="J501" s="3">
        <f t="shared" si="9"/>
        <v>4.6423611111111107</v>
      </c>
    </row>
    <row r="502" spans="9:10" x14ac:dyDescent="0.15">
      <c r="I502" s="3">
        <v>495</v>
      </c>
      <c r="J502" s="3">
        <f t="shared" si="9"/>
        <v>4.6423611111111107</v>
      </c>
    </row>
    <row r="503" spans="9:10" x14ac:dyDescent="0.15">
      <c r="I503" s="3">
        <v>496</v>
      </c>
      <c r="J503" s="3">
        <f t="shared" si="9"/>
        <v>4.6423611111111107</v>
      </c>
    </row>
    <row r="504" spans="9:10" x14ac:dyDescent="0.15">
      <c r="I504" s="3">
        <v>497</v>
      </c>
      <c r="J504" s="3">
        <f t="shared" si="9"/>
        <v>4.6423611111111107</v>
      </c>
    </row>
    <row r="505" spans="9:10" x14ac:dyDescent="0.15">
      <c r="I505" s="3">
        <v>498</v>
      </c>
      <c r="J505" s="3">
        <f t="shared" si="9"/>
        <v>4.6423611111111107</v>
      </c>
    </row>
    <row r="506" spans="9:10" x14ac:dyDescent="0.15">
      <c r="I506" s="3">
        <v>499</v>
      </c>
      <c r="J506" s="3">
        <f t="shared" si="9"/>
        <v>4.6423611111111107</v>
      </c>
    </row>
    <row r="507" spans="9:10" x14ac:dyDescent="0.15">
      <c r="I507" s="3">
        <v>500</v>
      </c>
      <c r="J507" s="3">
        <f t="shared" si="9"/>
        <v>4.6423611111111107</v>
      </c>
    </row>
    <row r="508" spans="9:10" x14ac:dyDescent="0.15">
      <c r="I508" s="3">
        <v>501</v>
      </c>
      <c r="J508" s="3">
        <f t="shared" si="9"/>
        <v>4.6423611111111107</v>
      </c>
    </row>
    <row r="509" spans="9:10" x14ac:dyDescent="0.15">
      <c r="I509" s="3">
        <v>502</v>
      </c>
      <c r="J509" s="3">
        <f t="shared" si="9"/>
        <v>4.6423611111111107</v>
      </c>
    </row>
    <row r="510" spans="9:10" x14ac:dyDescent="0.15">
      <c r="I510" s="3">
        <v>503</v>
      </c>
      <c r="J510" s="3">
        <f t="shared" si="9"/>
        <v>4.6423611111111107</v>
      </c>
    </row>
    <row r="511" spans="9:10" x14ac:dyDescent="0.15">
      <c r="I511" s="3">
        <v>504</v>
      </c>
      <c r="J511" s="3">
        <f t="shared" si="9"/>
        <v>4.6423611111111107</v>
      </c>
    </row>
    <row r="512" spans="9:10" x14ac:dyDescent="0.15">
      <c r="I512" s="3">
        <v>505</v>
      </c>
      <c r="J512" s="3">
        <f t="shared" si="9"/>
        <v>4.6423611111111107</v>
      </c>
    </row>
    <row r="513" spans="9:10" x14ac:dyDescent="0.15">
      <c r="I513" s="3">
        <v>506</v>
      </c>
      <c r="J513" s="3">
        <f t="shared" si="9"/>
        <v>4.6423611111111107</v>
      </c>
    </row>
    <row r="514" spans="9:10" x14ac:dyDescent="0.15">
      <c r="I514" s="3">
        <v>507</v>
      </c>
      <c r="J514" s="3">
        <f t="shared" si="9"/>
        <v>4.6423611111111107</v>
      </c>
    </row>
    <row r="515" spans="9:10" x14ac:dyDescent="0.15">
      <c r="I515" s="3">
        <v>508</v>
      </c>
      <c r="J515" s="3">
        <f t="shared" si="9"/>
        <v>4.6423611111111107</v>
      </c>
    </row>
    <row r="516" spans="9:10" x14ac:dyDescent="0.15">
      <c r="I516" s="3">
        <v>509</v>
      </c>
      <c r="J516" s="3">
        <f t="shared" si="9"/>
        <v>4.6423611111111107</v>
      </c>
    </row>
    <row r="517" spans="9:10" x14ac:dyDescent="0.15">
      <c r="I517" s="3">
        <v>510</v>
      </c>
      <c r="J517" s="3">
        <f t="shared" si="9"/>
        <v>4.6423611111111107</v>
      </c>
    </row>
    <row r="518" spans="9:10" x14ac:dyDescent="0.15">
      <c r="I518" s="3">
        <v>511</v>
      </c>
      <c r="J518" s="3">
        <f t="shared" si="9"/>
        <v>4.6423611111111107</v>
      </c>
    </row>
    <row r="519" spans="9:10" x14ac:dyDescent="0.15">
      <c r="I519" s="3">
        <v>512</v>
      </c>
      <c r="J519" s="3">
        <f t="shared" si="9"/>
        <v>4.6423611111111107</v>
      </c>
    </row>
    <row r="520" spans="9:10" x14ac:dyDescent="0.15">
      <c r="I520" s="3">
        <v>513</v>
      </c>
      <c r="J520" s="3">
        <f t="shared" si="9"/>
        <v>4.6423611111111107</v>
      </c>
    </row>
    <row r="521" spans="9:10" x14ac:dyDescent="0.15">
      <c r="I521" s="3">
        <v>514</v>
      </c>
      <c r="J521" s="3">
        <f t="shared" ref="J521:J557" si="10">IF(I521&lt;$I$4,1,IF(I521&gt;$J$4,$G$4,($G$4-1)*($K$4+$L$4*((I521-$I$4)/($J$4-$I$4))^1+$M$4*((I521-$I$4)/($J$4-$I$4))^2+$N$4*((I521-$I$4)/($J$4-$I$4))^3+$O$4*((I521-$I$4)/($J$4-$I$4))^4)+1))</f>
        <v>4.6423611111111107</v>
      </c>
    </row>
    <row r="522" spans="9:10" x14ac:dyDescent="0.15">
      <c r="I522" s="3">
        <v>515</v>
      </c>
      <c r="J522" s="3">
        <f t="shared" si="10"/>
        <v>4.6423611111111107</v>
      </c>
    </row>
    <row r="523" spans="9:10" x14ac:dyDescent="0.15">
      <c r="I523" s="3">
        <v>516</v>
      </c>
      <c r="J523" s="3">
        <f t="shared" si="10"/>
        <v>4.6423611111111107</v>
      </c>
    </row>
    <row r="524" spans="9:10" x14ac:dyDescent="0.15">
      <c r="I524" s="3">
        <v>517</v>
      </c>
      <c r="J524" s="3">
        <f t="shared" si="10"/>
        <v>4.6423611111111107</v>
      </c>
    </row>
    <row r="525" spans="9:10" x14ac:dyDescent="0.15">
      <c r="I525" s="3">
        <v>518</v>
      </c>
      <c r="J525" s="3">
        <f t="shared" si="10"/>
        <v>4.6423611111111107</v>
      </c>
    </row>
    <row r="526" spans="9:10" x14ac:dyDescent="0.15">
      <c r="I526" s="3">
        <v>519</v>
      </c>
      <c r="J526" s="3">
        <f t="shared" si="10"/>
        <v>4.6423611111111107</v>
      </c>
    </row>
    <row r="527" spans="9:10" x14ac:dyDescent="0.15">
      <c r="I527" s="3">
        <v>520</v>
      </c>
      <c r="J527" s="3">
        <f t="shared" si="10"/>
        <v>4.6423611111111107</v>
      </c>
    </row>
    <row r="528" spans="9:10" x14ac:dyDescent="0.15">
      <c r="I528" s="3">
        <v>521</v>
      </c>
      <c r="J528" s="3">
        <f t="shared" si="10"/>
        <v>4.6423611111111107</v>
      </c>
    </row>
    <row r="529" spans="9:10" x14ac:dyDescent="0.15">
      <c r="I529" s="3">
        <v>522</v>
      </c>
      <c r="J529" s="3">
        <f t="shared" si="10"/>
        <v>4.6423611111111107</v>
      </c>
    </row>
    <row r="530" spans="9:10" x14ac:dyDescent="0.15">
      <c r="I530" s="3">
        <v>523</v>
      </c>
      <c r="J530" s="3">
        <f t="shared" si="10"/>
        <v>4.6423611111111107</v>
      </c>
    </row>
    <row r="531" spans="9:10" x14ac:dyDescent="0.15">
      <c r="I531" s="3">
        <v>524</v>
      </c>
      <c r="J531" s="3">
        <f t="shared" si="10"/>
        <v>4.6423611111111107</v>
      </c>
    </row>
    <row r="532" spans="9:10" x14ac:dyDescent="0.15">
      <c r="I532" s="3">
        <v>525</v>
      </c>
      <c r="J532" s="3">
        <f t="shared" si="10"/>
        <v>4.6423611111111107</v>
      </c>
    </row>
    <row r="533" spans="9:10" x14ac:dyDescent="0.15">
      <c r="I533" s="3">
        <v>526</v>
      </c>
      <c r="J533" s="3">
        <f t="shared" si="10"/>
        <v>4.6423611111111107</v>
      </c>
    </row>
    <row r="534" spans="9:10" x14ac:dyDescent="0.15">
      <c r="I534" s="3">
        <v>527</v>
      </c>
      <c r="J534" s="3">
        <f t="shared" si="10"/>
        <v>4.6423611111111107</v>
      </c>
    </row>
    <row r="535" spans="9:10" x14ac:dyDescent="0.15">
      <c r="I535" s="3">
        <v>528</v>
      </c>
      <c r="J535" s="3">
        <f t="shared" si="10"/>
        <v>4.6423611111111107</v>
      </c>
    </row>
    <row r="536" spans="9:10" x14ac:dyDescent="0.15">
      <c r="I536" s="3">
        <v>529</v>
      </c>
      <c r="J536" s="3">
        <f t="shared" si="10"/>
        <v>4.6423611111111107</v>
      </c>
    </row>
    <row r="537" spans="9:10" x14ac:dyDescent="0.15">
      <c r="I537" s="3">
        <v>530</v>
      </c>
      <c r="J537" s="3">
        <f t="shared" si="10"/>
        <v>4.6423611111111107</v>
      </c>
    </row>
    <row r="538" spans="9:10" x14ac:dyDescent="0.15">
      <c r="I538" s="3">
        <v>531</v>
      </c>
      <c r="J538" s="3">
        <f t="shared" si="10"/>
        <v>4.6423611111111107</v>
      </c>
    </row>
    <row r="539" spans="9:10" x14ac:dyDescent="0.15">
      <c r="I539" s="3">
        <v>532</v>
      </c>
      <c r="J539" s="3">
        <f t="shared" si="10"/>
        <v>4.6423611111111107</v>
      </c>
    </row>
    <row r="540" spans="9:10" x14ac:dyDescent="0.15">
      <c r="I540" s="3">
        <v>533</v>
      </c>
      <c r="J540" s="3">
        <f t="shared" si="10"/>
        <v>4.6423611111111107</v>
      </c>
    </row>
    <row r="541" spans="9:10" x14ac:dyDescent="0.15">
      <c r="I541" s="3">
        <v>534</v>
      </c>
      <c r="J541" s="3">
        <f t="shared" si="10"/>
        <v>4.6423611111111107</v>
      </c>
    </row>
    <row r="542" spans="9:10" x14ac:dyDescent="0.15">
      <c r="I542" s="3">
        <v>535</v>
      </c>
      <c r="J542" s="3">
        <f t="shared" si="10"/>
        <v>4.6423611111111107</v>
      </c>
    </row>
    <row r="543" spans="9:10" x14ac:dyDescent="0.15">
      <c r="I543" s="3">
        <v>536</v>
      </c>
      <c r="J543" s="3">
        <f t="shared" si="10"/>
        <v>4.6423611111111107</v>
      </c>
    </row>
    <row r="544" spans="9:10" x14ac:dyDescent="0.15">
      <c r="I544" s="3">
        <v>537</v>
      </c>
      <c r="J544" s="3">
        <f t="shared" si="10"/>
        <v>4.6423611111111107</v>
      </c>
    </row>
    <row r="545" spans="9:10" x14ac:dyDescent="0.15">
      <c r="I545" s="3">
        <v>538</v>
      </c>
      <c r="J545" s="3">
        <f t="shared" si="10"/>
        <v>4.6423611111111107</v>
      </c>
    </row>
    <row r="546" spans="9:10" x14ac:dyDescent="0.15">
      <c r="I546" s="3">
        <v>539</v>
      </c>
      <c r="J546" s="3">
        <f t="shared" si="10"/>
        <v>4.6423611111111107</v>
      </c>
    </row>
    <row r="547" spans="9:10" x14ac:dyDescent="0.15">
      <c r="I547" s="3">
        <v>540</v>
      </c>
      <c r="J547" s="3">
        <f t="shared" si="10"/>
        <v>4.6423611111111107</v>
      </c>
    </row>
    <row r="548" spans="9:10" x14ac:dyDescent="0.15">
      <c r="I548" s="3">
        <v>541</v>
      </c>
      <c r="J548" s="3">
        <f t="shared" si="10"/>
        <v>4.6423611111111107</v>
      </c>
    </row>
    <row r="549" spans="9:10" x14ac:dyDescent="0.15">
      <c r="I549" s="3">
        <v>542</v>
      </c>
      <c r="J549" s="3">
        <f t="shared" si="10"/>
        <v>4.6423611111111107</v>
      </c>
    </row>
    <row r="550" spans="9:10" x14ac:dyDescent="0.15">
      <c r="I550" s="3">
        <v>543</v>
      </c>
      <c r="J550" s="3">
        <f t="shared" si="10"/>
        <v>4.6423611111111107</v>
      </c>
    </row>
    <row r="551" spans="9:10" x14ac:dyDescent="0.15">
      <c r="I551" s="3">
        <v>544</v>
      </c>
      <c r="J551" s="3">
        <f t="shared" si="10"/>
        <v>4.6423611111111107</v>
      </c>
    </row>
    <row r="552" spans="9:10" x14ac:dyDescent="0.15">
      <c r="I552" s="3">
        <v>545</v>
      </c>
      <c r="J552" s="3">
        <f t="shared" si="10"/>
        <v>4.6423611111111107</v>
      </c>
    </row>
    <row r="553" spans="9:10" x14ac:dyDescent="0.15">
      <c r="I553" s="3">
        <v>546</v>
      </c>
      <c r="J553" s="3">
        <f t="shared" si="10"/>
        <v>4.6423611111111107</v>
      </c>
    </row>
    <row r="554" spans="9:10" x14ac:dyDescent="0.15">
      <c r="I554" s="3">
        <v>547</v>
      </c>
      <c r="J554" s="3">
        <f t="shared" si="10"/>
        <v>4.6423611111111107</v>
      </c>
    </row>
    <row r="555" spans="9:10" x14ac:dyDescent="0.15">
      <c r="I555" s="3">
        <v>548</v>
      </c>
      <c r="J555" s="3">
        <f t="shared" si="10"/>
        <v>4.6423611111111107</v>
      </c>
    </row>
    <row r="556" spans="9:10" x14ac:dyDescent="0.15">
      <c r="I556" s="3">
        <v>549</v>
      </c>
      <c r="J556" s="3">
        <f t="shared" si="10"/>
        <v>4.6423611111111107</v>
      </c>
    </row>
    <row r="557" spans="9:10" x14ac:dyDescent="0.15">
      <c r="I557" s="3">
        <v>550</v>
      </c>
      <c r="J557" s="3">
        <f t="shared" si="10"/>
        <v>4.6423611111111107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57"/>
  <sheetViews>
    <sheetView workbookViewId="0">
      <selection activeCell="M19" sqref="M19"/>
    </sheetView>
  </sheetViews>
  <sheetFormatPr defaultRowHeight="13.5" x14ac:dyDescent="0.15"/>
  <cols>
    <col min="1" max="1" width="22.625" customWidth="1"/>
  </cols>
  <sheetData>
    <row r="2" spans="1:15" x14ac:dyDescent="0.15">
      <c r="B2" t="s">
        <v>19</v>
      </c>
      <c r="I2" t="s">
        <v>66</v>
      </c>
    </row>
    <row r="3" spans="1:15" x14ac:dyDescent="0.15">
      <c r="A3" s="1" t="s">
        <v>17</v>
      </c>
      <c r="B3" s="2" t="s">
        <v>20</v>
      </c>
      <c r="C3" s="2" t="s">
        <v>21</v>
      </c>
      <c r="D3" s="2" t="s">
        <v>24</v>
      </c>
      <c r="E3" s="2" t="s">
        <v>70</v>
      </c>
      <c r="F3" s="2" t="s">
        <v>56</v>
      </c>
      <c r="G3" s="2" t="s">
        <v>23</v>
      </c>
      <c r="I3" s="1" t="s">
        <v>57</v>
      </c>
      <c r="J3" s="2" t="s">
        <v>58</v>
      </c>
      <c r="K3" s="2" t="s">
        <v>63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15">
      <c r="A4" s="3" t="s">
        <v>18</v>
      </c>
      <c r="B4" s="3">
        <v>1.2</v>
      </c>
      <c r="C4" s="3">
        <v>1</v>
      </c>
      <c r="D4" s="3">
        <f>24*60*60</f>
        <v>86400</v>
      </c>
      <c r="E4" s="3">
        <f>B4*D4*C4</f>
        <v>103680</v>
      </c>
      <c r="F4" s="5">
        <f>E4/SUM($E$4:$E$11)</f>
        <v>0.33371958285052145</v>
      </c>
      <c r="G4" s="3">
        <f>SUM(E4:E11)/(24*60*60)</f>
        <v>3.5958333333333332</v>
      </c>
      <c r="I4" s="3">
        <v>20</v>
      </c>
      <c r="J4" s="3">
        <v>100</v>
      </c>
      <c r="K4" s="3">
        <v>0</v>
      </c>
      <c r="L4" s="3">
        <v>0.1</v>
      </c>
      <c r="M4" s="3">
        <v>0.2</v>
      </c>
      <c r="N4" s="3">
        <v>0.3</v>
      </c>
      <c r="O4" s="3">
        <f>1-SUM(K4:N4)</f>
        <v>0.39999999999999991</v>
      </c>
    </row>
    <row r="5" spans="1:15" x14ac:dyDescent="0.15">
      <c r="A5" s="3" t="s">
        <v>55</v>
      </c>
      <c r="B5" s="3">
        <v>170</v>
      </c>
      <c r="C5" s="3">
        <v>1</v>
      </c>
      <c r="D5" s="3">
        <f>5*60</f>
        <v>300</v>
      </c>
      <c r="E5" s="3">
        <f t="shared" ref="E5:E6" si="0">B5*D5*C5</f>
        <v>51000</v>
      </c>
      <c r="F5" s="5">
        <f t="shared" ref="F5:F7" si="1">E5/SUM($E$4:$E$11)</f>
        <v>0.164156044804944</v>
      </c>
    </row>
    <row r="6" spans="1:15" x14ac:dyDescent="0.15">
      <c r="A6" s="3" t="s">
        <v>67</v>
      </c>
      <c r="B6" s="3">
        <v>1700</v>
      </c>
      <c r="C6" s="3">
        <v>2</v>
      </c>
      <c r="D6" s="3">
        <f>0.5*60</f>
        <v>30</v>
      </c>
      <c r="E6" s="3">
        <f t="shared" si="0"/>
        <v>102000</v>
      </c>
      <c r="F6" s="5">
        <f t="shared" si="1"/>
        <v>0.328312089609888</v>
      </c>
    </row>
    <row r="7" spans="1:15" x14ac:dyDescent="0.15">
      <c r="A7" s="3" t="s">
        <v>69</v>
      </c>
      <c r="B7" s="3">
        <v>240</v>
      </c>
      <c r="C7" s="3">
        <v>0.5</v>
      </c>
      <c r="D7" s="3">
        <f>7.5*60</f>
        <v>450</v>
      </c>
      <c r="E7" s="3">
        <f t="shared" ref="E7" si="2">B7*D7*C7</f>
        <v>54000</v>
      </c>
      <c r="F7" s="5">
        <f t="shared" si="1"/>
        <v>0.17381228273464658</v>
      </c>
      <c r="I7" s="1" t="s">
        <v>64</v>
      </c>
      <c r="J7" s="2" t="s">
        <v>71</v>
      </c>
    </row>
    <row r="8" spans="1:15" x14ac:dyDescent="0.15">
      <c r="F8" s="4"/>
      <c r="I8" s="3">
        <v>1</v>
      </c>
      <c r="J8" s="3">
        <f>IF(I8&lt;$I$4,1,IF(I8&gt;$J$4,$G$4,($G$4-1)*($K$4+$L$4*((I8-$I$4)/($J$4-$I$4))^1+$M$4*((I8-$I$4)/($J$4-$I$4))^2+$N$4*((I8-$I$4)/($J$4-$I$4))^3+$O$4*((I8-$I$4)/($J$4-$I$4))^4)+1))</f>
        <v>1</v>
      </c>
    </row>
    <row r="9" spans="1:15" x14ac:dyDescent="0.15">
      <c r="F9" s="4"/>
      <c r="I9" s="3">
        <v>2</v>
      </c>
      <c r="J9" s="3">
        <f t="shared" ref="J9:J72" si="3">IF(I9&lt;$I$4,1,IF(I9&gt;$J$4,$G$4,($G$4-1)*($K$4+$L$4*((I9-$I$4)/($J$4-$I$4))^1+$M$4*((I9-$I$4)/($J$4-$I$4))^2+$N$4*((I9-$I$4)/($J$4-$I$4))^3+$O$4*((I9-$I$4)/($J$4-$I$4))^4)+1))</f>
        <v>1</v>
      </c>
    </row>
    <row r="10" spans="1:15" x14ac:dyDescent="0.15">
      <c r="F10" s="4"/>
      <c r="I10" s="3">
        <v>3</v>
      </c>
      <c r="J10" s="3">
        <f t="shared" si="3"/>
        <v>1</v>
      </c>
    </row>
    <row r="11" spans="1:15" x14ac:dyDescent="0.15">
      <c r="F11" s="4"/>
      <c r="I11" s="3">
        <v>4</v>
      </c>
      <c r="J11" s="3">
        <f t="shared" si="3"/>
        <v>1</v>
      </c>
    </row>
    <row r="12" spans="1:15" x14ac:dyDescent="0.15">
      <c r="I12" s="3">
        <v>5</v>
      </c>
      <c r="J12" s="3">
        <f t="shared" si="3"/>
        <v>1</v>
      </c>
    </row>
    <row r="13" spans="1:15" x14ac:dyDescent="0.15">
      <c r="I13" s="3">
        <v>6</v>
      </c>
      <c r="J13" s="3">
        <f t="shared" si="3"/>
        <v>1</v>
      </c>
    </row>
    <row r="14" spans="1:15" x14ac:dyDescent="0.15">
      <c r="I14" s="3">
        <v>7</v>
      </c>
      <c r="J14" s="3">
        <f t="shared" si="3"/>
        <v>1</v>
      </c>
    </row>
    <row r="15" spans="1:15" x14ac:dyDescent="0.15">
      <c r="I15" s="3">
        <v>8</v>
      </c>
      <c r="J15" s="3">
        <f t="shared" si="3"/>
        <v>1</v>
      </c>
    </row>
    <row r="16" spans="1:15" x14ac:dyDescent="0.15">
      <c r="I16" s="3">
        <v>9</v>
      </c>
      <c r="J16" s="3">
        <f t="shared" si="3"/>
        <v>1</v>
      </c>
    </row>
    <row r="17" spans="9:10" x14ac:dyDescent="0.15">
      <c r="I17" s="3">
        <v>10</v>
      </c>
      <c r="J17" s="3">
        <f t="shared" si="3"/>
        <v>1</v>
      </c>
    </row>
    <row r="18" spans="9:10" x14ac:dyDescent="0.15">
      <c r="I18" s="3">
        <v>11</v>
      </c>
      <c r="J18" s="3">
        <f t="shared" si="3"/>
        <v>1</v>
      </c>
    </row>
    <row r="19" spans="9:10" x14ac:dyDescent="0.15">
      <c r="I19" s="3">
        <v>12</v>
      </c>
      <c r="J19" s="3">
        <f t="shared" si="3"/>
        <v>1</v>
      </c>
    </row>
    <row r="20" spans="9:10" x14ac:dyDescent="0.15">
      <c r="I20" s="3">
        <v>13</v>
      </c>
      <c r="J20" s="3">
        <f t="shared" si="3"/>
        <v>1</v>
      </c>
    </row>
    <row r="21" spans="9:10" x14ac:dyDescent="0.15">
      <c r="I21" s="3">
        <v>14</v>
      </c>
      <c r="J21" s="3">
        <f t="shared" si="3"/>
        <v>1</v>
      </c>
    </row>
    <row r="22" spans="9:10" x14ac:dyDescent="0.15">
      <c r="I22" s="3">
        <v>15</v>
      </c>
      <c r="J22" s="3">
        <f t="shared" si="3"/>
        <v>1</v>
      </c>
    </row>
    <row r="23" spans="9:10" x14ac:dyDescent="0.15">
      <c r="I23" s="3">
        <v>16</v>
      </c>
      <c r="J23" s="3">
        <f t="shared" si="3"/>
        <v>1</v>
      </c>
    </row>
    <row r="24" spans="9:10" x14ac:dyDescent="0.15">
      <c r="I24" s="3">
        <v>17</v>
      </c>
      <c r="J24" s="3">
        <f t="shared" si="3"/>
        <v>1</v>
      </c>
    </row>
    <row r="25" spans="9:10" x14ac:dyDescent="0.15">
      <c r="I25" s="3">
        <v>18</v>
      </c>
      <c r="J25" s="3">
        <f t="shared" si="3"/>
        <v>1</v>
      </c>
    </row>
    <row r="26" spans="9:10" x14ac:dyDescent="0.15">
      <c r="I26" s="3">
        <v>19</v>
      </c>
      <c r="J26" s="3">
        <f t="shared" si="3"/>
        <v>1</v>
      </c>
    </row>
    <row r="27" spans="9:10" x14ac:dyDescent="0.15">
      <c r="I27" s="3">
        <v>20</v>
      </c>
      <c r="J27" s="3">
        <f t="shared" si="3"/>
        <v>1</v>
      </c>
    </row>
    <row r="28" spans="9:10" x14ac:dyDescent="0.15">
      <c r="I28" s="3">
        <v>21</v>
      </c>
      <c r="J28" s="3">
        <f t="shared" si="3"/>
        <v>1.0033274578043621</v>
      </c>
    </row>
    <row r="29" spans="9:10" x14ac:dyDescent="0.15">
      <c r="I29" s="3">
        <v>22</v>
      </c>
      <c r="J29" s="3">
        <f t="shared" si="3"/>
        <v>1.0068266360677083</v>
      </c>
    </row>
    <row r="30" spans="9:10" x14ac:dyDescent="0.15">
      <c r="I30" s="3">
        <v>23</v>
      </c>
      <c r="J30" s="3">
        <f t="shared" si="3"/>
        <v>1.0105075733642579</v>
      </c>
    </row>
    <row r="31" spans="9:10" x14ac:dyDescent="0.15">
      <c r="I31" s="3">
        <v>24</v>
      </c>
      <c r="J31" s="3">
        <f t="shared" si="3"/>
        <v>1.0143809166666666</v>
      </c>
    </row>
    <row r="32" spans="9:10" x14ac:dyDescent="0.15">
      <c r="I32" s="3">
        <v>25</v>
      </c>
      <c r="J32" s="3">
        <f t="shared" si="3"/>
        <v>1.0184579213460287</v>
      </c>
    </row>
    <row r="33" spans="9:10" x14ac:dyDescent="0.15">
      <c r="I33" s="3">
        <v>26</v>
      </c>
      <c r="J33" s="3">
        <f t="shared" si="3"/>
        <v>1.022750451171875</v>
      </c>
    </row>
    <row r="34" spans="9:10" x14ac:dyDescent="0.15">
      <c r="I34" s="3">
        <v>27</v>
      </c>
      <c r="J34" s="3">
        <f t="shared" si="3"/>
        <v>1.0272709783121745</v>
      </c>
    </row>
    <row r="35" spans="9:10" x14ac:dyDescent="0.15">
      <c r="I35" s="3">
        <v>28</v>
      </c>
      <c r="J35" s="3">
        <f t="shared" si="3"/>
        <v>1.0320325833333333</v>
      </c>
    </row>
    <row r="36" spans="9:10" x14ac:dyDescent="0.15">
      <c r="I36" s="3">
        <v>29</v>
      </c>
      <c r="J36" s="3">
        <f t="shared" si="3"/>
        <v>1.0370489552001954</v>
      </c>
    </row>
    <row r="37" spans="9:10" x14ac:dyDescent="0.15">
      <c r="I37" s="3">
        <v>30</v>
      </c>
      <c r="J37" s="3">
        <f t="shared" si="3"/>
        <v>1.0423343912760417</v>
      </c>
    </row>
    <row r="38" spans="9:10" x14ac:dyDescent="0.15">
      <c r="I38" s="3">
        <v>31</v>
      </c>
      <c r="J38" s="3">
        <f t="shared" si="3"/>
        <v>1.0479037973225911</v>
      </c>
    </row>
    <row r="39" spans="9:10" x14ac:dyDescent="0.15">
      <c r="I39" s="3">
        <v>32</v>
      </c>
      <c r="J39" s="3">
        <f t="shared" si="3"/>
        <v>1.0537726875</v>
      </c>
    </row>
    <row r="40" spans="9:10" x14ac:dyDescent="0.15">
      <c r="I40" s="3">
        <v>33</v>
      </c>
      <c r="J40" s="3">
        <f t="shared" si="3"/>
        <v>1.059957184366862</v>
      </c>
    </row>
    <row r="41" spans="9:10" x14ac:dyDescent="0.15">
      <c r="I41" s="3">
        <v>34</v>
      </c>
      <c r="J41" s="3">
        <f t="shared" si="3"/>
        <v>1.0664740188802084</v>
      </c>
    </row>
    <row r="42" spans="9:10" x14ac:dyDescent="0.15">
      <c r="I42" s="3">
        <v>35</v>
      </c>
      <c r="J42" s="3">
        <f t="shared" si="3"/>
        <v>1.0733405303955079</v>
      </c>
    </row>
    <row r="43" spans="9:10" x14ac:dyDescent="0.15">
      <c r="I43" s="3">
        <v>36</v>
      </c>
      <c r="J43" s="3">
        <f t="shared" si="3"/>
        <v>1.0805746666666667</v>
      </c>
    </row>
    <row r="44" spans="9:10" x14ac:dyDescent="0.15">
      <c r="I44" s="3">
        <v>37</v>
      </c>
      <c r="J44" s="3">
        <f t="shared" si="3"/>
        <v>1.0881949838460288</v>
      </c>
    </row>
    <row r="45" spans="9:10" x14ac:dyDescent="0.15">
      <c r="I45" s="3">
        <v>38</v>
      </c>
      <c r="J45" s="3">
        <f t="shared" si="3"/>
        <v>1.0962206464843751</v>
      </c>
    </row>
    <row r="46" spans="9:10" x14ac:dyDescent="0.15">
      <c r="I46" s="3">
        <v>39</v>
      </c>
      <c r="J46" s="3">
        <f t="shared" si="3"/>
        <v>1.1046714275309244</v>
      </c>
    </row>
    <row r="47" spans="9:10" x14ac:dyDescent="0.15">
      <c r="I47" s="3">
        <v>40</v>
      </c>
      <c r="J47" s="3">
        <f t="shared" si="3"/>
        <v>1.1135677083333333</v>
      </c>
    </row>
    <row r="48" spans="9:10" x14ac:dyDescent="0.15">
      <c r="I48" s="3">
        <v>41</v>
      </c>
      <c r="J48" s="3">
        <f t="shared" si="3"/>
        <v>1.1229304786376952</v>
      </c>
    </row>
    <row r="49" spans="9:10" x14ac:dyDescent="0.15">
      <c r="I49" s="3">
        <v>42</v>
      </c>
      <c r="J49" s="3">
        <f t="shared" si="3"/>
        <v>1.1327813365885417</v>
      </c>
    </row>
    <row r="50" spans="9:10" x14ac:dyDescent="0.15">
      <c r="I50" s="3">
        <v>43</v>
      </c>
      <c r="J50" s="3">
        <f t="shared" si="3"/>
        <v>1.1431424887288411</v>
      </c>
    </row>
    <row r="51" spans="9:10" x14ac:dyDescent="0.15">
      <c r="I51" s="3">
        <v>44</v>
      </c>
      <c r="J51" s="3">
        <f t="shared" si="3"/>
        <v>1.1540367499999999</v>
      </c>
    </row>
    <row r="52" spans="9:10" x14ac:dyDescent="0.15">
      <c r="I52" s="3">
        <v>45</v>
      </c>
      <c r="J52" s="3">
        <f t="shared" si="3"/>
        <v>1.1654875437418619</v>
      </c>
    </row>
    <row r="53" spans="9:10" x14ac:dyDescent="0.15">
      <c r="I53" s="3">
        <v>46</v>
      </c>
      <c r="J53" s="3">
        <f t="shared" si="3"/>
        <v>1.1775189016927083</v>
      </c>
    </row>
    <row r="54" spans="9:10" x14ac:dyDescent="0.15">
      <c r="I54" s="3">
        <v>47</v>
      </c>
      <c r="J54" s="3">
        <f t="shared" si="3"/>
        <v>1.1901554639892578</v>
      </c>
    </row>
    <row r="55" spans="9:10" x14ac:dyDescent="0.15">
      <c r="I55" s="3">
        <v>48</v>
      </c>
      <c r="J55" s="3">
        <f t="shared" si="3"/>
        <v>1.2034224791666666</v>
      </c>
    </row>
    <row r="56" spans="9:10" x14ac:dyDescent="0.15">
      <c r="I56" s="3">
        <v>49</v>
      </c>
      <c r="J56" s="3">
        <f t="shared" si="3"/>
        <v>1.2173458041585286</v>
      </c>
    </row>
    <row r="57" spans="9:10" x14ac:dyDescent="0.15">
      <c r="I57" s="3">
        <v>50</v>
      </c>
      <c r="J57" s="3">
        <f t="shared" si="3"/>
        <v>1.231951904296875</v>
      </c>
    </row>
    <row r="58" spans="9:10" x14ac:dyDescent="0.15">
      <c r="I58" s="3">
        <v>51</v>
      </c>
      <c r="J58" s="3">
        <f t="shared" si="3"/>
        <v>1.2472678533121746</v>
      </c>
    </row>
    <row r="59" spans="9:10" x14ac:dyDescent="0.15">
      <c r="I59" s="3">
        <v>52</v>
      </c>
      <c r="J59" s="3">
        <f t="shared" si="3"/>
        <v>1.2633213333333333</v>
      </c>
    </row>
    <row r="60" spans="9:10" x14ac:dyDescent="0.15">
      <c r="I60" s="3">
        <v>53</v>
      </c>
      <c r="J60" s="3">
        <f t="shared" si="3"/>
        <v>1.2801406348876951</v>
      </c>
    </row>
    <row r="61" spans="9:10" x14ac:dyDescent="0.15">
      <c r="I61" s="3">
        <v>54</v>
      </c>
      <c r="J61" s="3">
        <f t="shared" si="3"/>
        <v>1.2977546569010416</v>
      </c>
    </row>
    <row r="62" spans="9:10" x14ac:dyDescent="0.15">
      <c r="I62" s="3">
        <v>55</v>
      </c>
      <c r="J62" s="3">
        <f t="shared" si="3"/>
        <v>1.316192906697591</v>
      </c>
    </row>
    <row r="63" spans="9:10" x14ac:dyDescent="0.15">
      <c r="I63" s="3">
        <v>56</v>
      </c>
      <c r="J63" s="3">
        <f t="shared" si="3"/>
        <v>1.3354855000000001</v>
      </c>
    </row>
    <row r="64" spans="9:10" x14ac:dyDescent="0.15">
      <c r="I64" s="3">
        <v>57</v>
      </c>
      <c r="J64" s="3">
        <f t="shared" si="3"/>
        <v>1.3556631609293619</v>
      </c>
    </row>
    <row r="65" spans="9:10" x14ac:dyDescent="0.15">
      <c r="I65" s="3">
        <v>58</v>
      </c>
      <c r="J65" s="3">
        <f t="shared" si="3"/>
        <v>1.3767572220052082</v>
      </c>
    </row>
    <row r="66" spans="9:10" x14ac:dyDescent="0.15">
      <c r="I66" s="3">
        <v>59</v>
      </c>
      <c r="J66" s="3">
        <f t="shared" si="3"/>
        <v>1.3987996241455078</v>
      </c>
    </row>
    <row r="67" spans="9:10" x14ac:dyDescent="0.15">
      <c r="I67" s="3">
        <v>60</v>
      </c>
      <c r="J67" s="3">
        <f t="shared" si="3"/>
        <v>1.4218229166666667</v>
      </c>
    </row>
    <row r="68" spans="9:10" x14ac:dyDescent="0.15">
      <c r="I68" s="3">
        <v>61</v>
      </c>
      <c r="J68" s="3">
        <f t="shared" si="3"/>
        <v>1.4458602572835286</v>
      </c>
    </row>
    <row r="69" spans="9:10" x14ac:dyDescent="0.15">
      <c r="I69" s="3">
        <v>62</v>
      </c>
      <c r="J69" s="3">
        <f t="shared" si="3"/>
        <v>1.470945412109375</v>
      </c>
    </row>
    <row r="70" spans="9:10" x14ac:dyDescent="0.15">
      <c r="I70" s="3">
        <v>63</v>
      </c>
      <c r="J70" s="3">
        <f t="shared" si="3"/>
        <v>1.4971127556559245</v>
      </c>
    </row>
    <row r="71" spans="9:10" x14ac:dyDescent="0.15">
      <c r="I71" s="3">
        <v>64</v>
      </c>
      <c r="J71" s="3">
        <f t="shared" si="3"/>
        <v>1.5243972708333335</v>
      </c>
    </row>
    <row r="72" spans="9:10" x14ac:dyDescent="0.15">
      <c r="I72" s="3">
        <v>65</v>
      </c>
      <c r="J72" s="3">
        <f t="shared" si="3"/>
        <v>1.5528345489501953</v>
      </c>
    </row>
    <row r="73" spans="9:10" x14ac:dyDescent="0.15">
      <c r="I73" s="3">
        <v>66</v>
      </c>
      <c r="J73" s="3">
        <f t="shared" ref="J73:J136" si="4">IF(I73&lt;$I$4,1,IF(I73&gt;$J$4,$G$4,($G$4-1)*($K$4+$L$4*((I73-$I$4)/($J$4-$I$4))^1+$M$4*((I73-$I$4)/($J$4-$I$4))^2+$N$4*((I73-$I$4)/($J$4-$I$4))^3+$O$4*((I73-$I$4)/($J$4-$I$4))^4)+1))</f>
        <v>1.5824607897135414</v>
      </c>
    </row>
    <row r="74" spans="9:10" x14ac:dyDescent="0.15">
      <c r="I74" s="3">
        <v>67</v>
      </c>
      <c r="J74" s="3">
        <f t="shared" si="4"/>
        <v>1.6133128012288411</v>
      </c>
    </row>
    <row r="75" spans="9:10" x14ac:dyDescent="0.15">
      <c r="I75" s="3">
        <v>68</v>
      </c>
      <c r="J75" s="3">
        <f t="shared" si="4"/>
        <v>1.6454279999999999</v>
      </c>
    </row>
    <row r="76" spans="9:10" x14ac:dyDescent="0.15">
      <c r="I76" s="3">
        <v>69</v>
      </c>
      <c r="J76" s="3">
        <f t="shared" si="4"/>
        <v>1.6788444109293619</v>
      </c>
    </row>
    <row r="77" spans="9:10" x14ac:dyDescent="0.15">
      <c r="I77" s="3">
        <v>70</v>
      </c>
      <c r="J77" s="3">
        <f t="shared" si="4"/>
        <v>1.7136006673177082</v>
      </c>
    </row>
    <row r="78" spans="9:10" x14ac:dyDescent="0.15">
      <c r="I78" s="3">
        <v>71</v>
      </c>
      <c r="J78" s="3">
        <f t="shared" si="4"/>
        <v>1.7497360108642577</v>
      </c>
    </row>
    <row r="79" spans="9:10" x14ac:dyDescent="0.15">
      <c r="I79" s="3">
        <v>72</v>
      </c>
      <c r="J79" s="3">
        <f t="shared" si="4"/>
        <v>1.7872902916666666</v>
      </c>
    </row>
    <row r="80" spans="9:10" x14ac:dyDescent="0.15">
      <c r="I80" s="3">
        <v>73</v>
      </c>
      <c r="J80" s="3">
        <f t="shared" si="4"/>
        <v>1.8263039682210285</v>
      </c>
    </row>
    <row r="81" spans="9:10" x14ac:dyDescent="0.15">
      <c r="I81" s="3">
        <v>74</v>
      </c>
      <c r="J81" s="3">
        <f t="shared" si="4"/>
        <v>1.866818107421875</v>
      </c>
    </row>
    <row r="82" spans="9:10" x14ac:dyDescent="0.15">
      <c r="I82" s="3">
        <v>75</v>
      </c>
      <c r="J82" s="3">
        <f t="shared" si="4"/>
        <v>1.9088743845621745</v>
      </c>
    </row>
    <row r="83" spans="9:10" x14ac:dyDescent="0.15">
      <c r="I83" s="3">
        <v>76</v>
      </c>
      <c r="J83" s="3">
        <f t="shared" si="4"/>
        <v>1.9525150833333331</v>
      </c>
    </row>
    <row r="84" spans="9:10" x14ac:dyDescent="0.15">
      <c r="I84" s="3">
        <v>77</v>
      </c>
      <c r="J84" s="3">
        <f t="shared" si="4"/>
        <v>1.9977830958251954</v>
      </c>
    </row>
    <row r="85" spans="9:10" x14ac:dyDescent="0.15">
      <c r="I85" s="3">
        <v>78</v>
      </c>
      <c r="J85" s="3">
        <f t="shared" si="4"/>
        <v>2.0447219225260413</v>
      </c>
    </row>
    <row r="86" spans="9:10" x14ac:dyDescent="0.15">
      <c r="I86" s="3">
        <v>79</v>
      </c>
      <c r="J86" s="3">
        <f t="shared" si="4"/>
        <v>2.0933756723225914</v>
      </c>
    </row>
    <row r="87" spans="9:10" x14ac:dyDescent="0.15">
      <c r="I87" s="3">
        <v>80</v>
      </c>
      <c r="J87" s="3">
        <f t="shared" si="4"/>
        <v>2.1437890624999998</v>
      </c>
    </row>
    <row r="88" spans="9:10" x14ac:dyDescent="0.15">
      <c r="I88" s="3">
        <v>81</v>
      </c>
      <c r="J88" s="3">
        <f t="shared" si="4"/>
        <v>2.1960074187418614</v>
      </c>
    </row>
    <row r="89" spans="9:10" x14ac:dyDescent="0.15">
      <c r="I89" s="3">
        <v>82</v>
      </c>
      <c r="J89" s="3">
        <f t="shared" si="4"/>
        <v>2.2500766751302086</v>
      </c>
    </row>
    <row r="90" spans="9:10" x14ac:dyDescent="0.15">
      <c r="I90" s="3">
        <v>83</v>
      </c>
      <c r="J90" s="3">
        <f t="shared" si="4"/>
        <v>2.3060433741455073</v>
      </c>
    </row>
    <row r="91" spans="9:10" x14ac:dyDescent="0.15">
      <c r="I91" s="3">
        <v>84</v>
      </c>
      <c r="J91" s="3">
        <f t="shared" si="4"/>
        <v>2.3639546666666669</v>
      </c>
    </row>
    <row r="92" spans="9:10" x14ac:dyDescent="0.15">
      <c r="I92" s="3">
        <v>85</v>
      </c>
      <c r="J92" s="3">
        <f t="shared" si="4"/>
        <v>2.4238583119710286</v>
      </c>
    </row>
    <row r="93" spans="9:10" x14ac:dyDescent="0.15">
      <c r="I93" s="3">
        <v>86</v>
      </c>
      <c r="J93" s="3">
        <f t="shared" si="4"/>
        <v>2.4858026777343749</v>
      </c>
    </row>
    <row r="94" spans="9:10" x14ac:dyDescent="0.15">
      <c r="I94" s="3">
        <v>87</v>
      </c>
      <c r="J94" s="3">
        <f t="shared" si="4"/>
        <v>2.5498367400309245</v>
      </c>
    </row>
    <row r="95" spans="9:10" x14ac:dyDescent="0.15">
      <c r="I95" s="3">
        <v>88</v>
      </c>
      <c r="J95" s="3">
        <f t="shared" si="4"/>
        <v>2.6160100833333328</v>
      </c>
    </row>
    <row r="96" spans="9:10" x14ac:dyDescent="0.15">
      <c r="I96" s="3">
        <v>89</v>
      </c>
      <c r="J96" s="3">
        <f t="shared" si="4"/>
        <v>2.6843729005126953</v>
      </c>
    </row>
    <row r="97" spans="9:10" x14ac:dyDescent="0.15">
      <c r="I97" s="3">
        <v>90</v>
      </c>
      <c r="J97" s="3">
        <f t="shared" si="4"/>
        <v>2.7549759928385416</v>
      </c>
    </row>
    <row r="98" spans="9:10" x14ac:dyDescent="0.15">
      <c r="I98" s="3">
        <v>91</v>
      </c>
      <c r="J98" s="3">
        <f t="shared" si="4"/>
        <v>2.827870769978841</v>
      </c>
    </row>
    <row r="99" spans="9:10" x14ac:dyDescent="0.15">
      <c r="I99" s="3">
        <v>92</v>
      </c>
      <c r="J99" s="3">
        <f t="shared" si="4"/>
        <v>2.90310925</v>
      </c>
    </row>
    <row r="100" spans="9:10" x14ac:dyDescent="0.15">
      <c r="I100" s="3">
        <v>93</v>
      </c>
      <c r="J100" s="3">
        <f t="shared" si="4"/>
        <v>2.9807440593668617</v>
      </c>
    </row>
    <row r="101" spans="9:10" x14ac:dyDescent="0.15">
      <c r="I101" s="3">
        <v>94</v>
      </c>
      <c r="J101" s="3">
        <f t="shared" si="4"/>
        <v>3.0608284329427082</v>
      </c>
    </row>
    <row r="102" spans="9:10" x14ac:dyDescent="0.15">
      <c r="I102" s="3">
        <v>95</v>
      </c>
      <c r="J102" s="3">
        <f t="shared" si="4"/>
        <v>3.1434162139892576</v>
      </c>
    </row>
    <row r="103" spans="9:10" x14ac:dyDescent="0.15">
      <c r="I103" s="3">
        <v>96</v>
      </c>
      <c r="J103" s="3">
        <f t="shared" si="4"/>
        <v>3.2285618541666663</v>
      </c>
    </row>
    <row r="104" spans="9:10" x14ac:dyDescent="0.15">
      <c r="I104" s="3">
        <v>97</v>
      </c>
      <c r="J104" s="3">
        <f t="shared" si="4"/>
        <v>3.3163204135335285</v>
      </c>
    </row>
    <row r="105" spans="9:10" x14ac:dyDescent="0.15">
      <c r="I105" s="3">
        <v>98</v>
      </c>
      <c r="J105" s="3">
        <f t="shared" si="4"/>
        <v>3.4067475605468744</v>
      </c>
    </row>
    <row r="106" spans="9:10" x14ac:dyDescent="0.15">
      <c r="I106" s="3">
        <v>99</v>
      </c>
      <c r="J106" s="3">
        <f t="shared" si="4"/>
        <v>3.4998995720621742</v>
      </c>
    </row>
    <row r="107" spans="9:10" x14ac:dyDescent="0.15">
      <c r="I107" s="3">
        <v>100</v>
      </c>
      <c r="J107" s="3">
        <f t="shared" si="4"/>
        <v>3.5958333333333332</v>
      </c>
    </row>
    <row r="108" spans="9:10" x14ac:dyDescent="0.15">
      <c r="I108" s="3">
        <v>101</v>
      </c>
      <c r="J108" s="3">
        <f t="shared" si="4"/>
        <v>3.5958333333333332</v>
      </c>
    </row>
    <row r="109" spans="9:10" x14ac:dyDescent="0.15">
      <c r="I109" s="3">
        <v>102</v>
      </c>
      <c r="J109" s="3">
        <f t="shared" si="4"/>
        <v>3.5958333333333332</v>
      </c>
    </row>
    <row r="110" spans="9:10" x14ac:dyDescent="0.15">
      <c r="I110" s="3">
        <v>103</v>
      </c>
      <c r="J110" s="3">
        <f t="shared" si="4"/>
        <v>3.5958333333333332</v>
      </c>
    </row>
    <row r="111" spans="9:10" x14ac:dyDescent="0.15">
      <c r="I111" s="3">
        <v>104</v>
      </c>
      <c r="J111" s="3">
        <f t="shared" si="4"/>
        <v>3.5958333333333332</v>
      </c>
    </row>
    <row r="112" spans="9:10" x14ac:dyDescent="0.15">
      <c r="I112" s="3">
        <v>105</v>
      </c>
      <c r="J112" s="3">
        <f t="shared" si="4"/>
        <v>3.5958333333333332</v>
      </c>
    </row>
    <row r="113" spans="9:10" x14ac:dyDescent="0.15">
      <c r="I113" s="3">
        <v>106</v>
      </c>
      <c r="J113" s="3">
        <f t="shared" si="4"/>
        <v>3.5958333333333332</v>
      </c>
    </row>
    <row r="114" spans="9:10" x14ac:dyDescent="0.15">
      <c r="I114" s="3">
        <v>107</v>
      </c>
      <c r="J114" s="3">
        <f t="shared" si="4"/>
        <v>3.5958333333333332</v>
      </c>
    </row>
    <row r="115" spans="9:10" x14ac:dyDescent="0.15">
      <c r="I115" s="3">
        <v>108</v>
      </c>
      <c r="J115" s="3">
        <f t="shared" si="4"/>
        <v>3.5958333333333332</v>
      </c>
    </row>
    <row r="116" spans="9:10" x14ac:dyDescent="0.15">
      <c r="I116" s="3">
        <v>109</v>
      </c>
      <c r="J116" s="3">
        <f t="shared" si="4"/>
        <v>3.5958333333333332</v>
      </c>
    </row>
    <row r="117" spans="9:10" x14ac:dyDescent="0.15">
      <c r="I117" s="3">
        <v>110</v>
      </c>
      <c r="J117" s="3">
        <f t="shared" si="4"/>
        <v>3.5958333333333332</v>
      </c>
    </row>
    <row r="118" spans="9:10" x14ac:dyDescent="0.15">
      <c r="I118" s="3">
        <v>111</v>
      </c>
      <c r="J118" s="3">
        <f t="shared" si="4"/>
        <v>3.5958333333333332</v>
      </c>
    </row>
    <row r="119" spans="9:10" x14ac:dyDescent="0.15">
      <c r="I119" s="3">
        <v>112</v>
      </c>
      <c r="J119" s="3">
        <f t="shared" si="4"/>
        <v>3.5958333333333332</v>
      </c>
    </row>
    <row r="120" spans="9:10" x14ac:dyDescent="0.15">
      <c r="I120" s="3">
        <v>113</v>
      </c>
      <c r="J120" s="3">
        <f t="shared" si="4"/>
        <v>3.5958333333333332</v>
      </c>
    </row>
    <row r="121" spans="9:10" x14ac:dyDescent="0.15">
      <c r="I121" s="3">
        <v>114</v>
      </c>
      <c r="J121" s="3">
        <f t="shared" si="4"/>
        <v>3.5958333333333332</v>
      </c>
    </row>
    <row r="122" spans="9:10" x14ac:dyDescent="0.15">
      <c r="I122" s="3">
        <v>115</v>
      </c>
      <c r="J122" s="3">
        <f t="shared" si="4"/>
        <v>3.5958333333333332</v>
      </c>
    </row>
    <row r="123" spans="9:10" x14ac:dyDescent="0.15">
      <c r="I123" s="3">
        <v>116</v>
      </c>
      <c r="J123" s="3">
        <f t="shared" si="4"/>
        <v>3.5958333333333332</v>
      </c>
    </row>
    <row r="124" spans="9:10" x14ac:dyDescent="0.15">
      <c r="I124" s="3">
        <v>117</v>
      </c>
      <c r="J124" s="3">
        <f t="shared" si="4"/>
        <v>3.5958333333333332</v>
      </c>
    </row>
    <row r="125" spans="9:10" x14ac:dyDescent="0.15">
      <c r="I125" s="3">
        <v>118</v>
      </c>
      <c r="J125" s="3">
        <f t="shared" si="4"/>
        <v>3.5958333333333332</v>
      </c>
    </row>
    <row r="126" spans="9:10" x14ac:dyDescent="0.15">
      <c r="I126" s="3">
        <v>119</v>
      </c>
      <c r="J126" s="3">
        <f t="shared" si="4"/>
        <v>3.5958333333333332</v>
      </c>
    </row>
    <row r="127" spans="9:10" x14ac:dyDescent="0.15">
      <c r="I127" s="3">
        <v>120</v>
      </c>
      <c r="J127" s="3">
        <f t="shared" si="4"/>
        <v>3.5958333333333332</v>
      </c>
    </row>
    <row r="128" spans="9:10" x14ac:dyDescent="0.15">
      <c r="I128" s="3">
        <v>121</v>
      </c>
      <c r="J128" s="3">
        <f t="shared" si="4"/>
        <v>3.5958333333333332</v>
      </c>
    </row>
    <row r="129" spans="9:10" x14ac:dyDescent="0.15">
      <c r="I129" s="3">
        <v>122</v>
      </c>
      <c r="J129" s="3">
        <f t="shared" si="4"/>
        <v>3.5958333333333332</v>
      </c>
    </row>
    <row r="130" spans="9:10" x14ac:dyDescent="0.15">
      <c r="I130" s="3">
        <v>123</v>
      </c>
      <c r="J130" s="3">
        <f t="shared" si="4"/>
        <v>3.5958333333333332</v>
      </c>
    </row>
    <row r="131" spans="9:10" x14ac:dyDescent="0.15">
      <c r="I131" s="3">
        <v>124</v>
      </c>
      <c r="J131" s="3">
        <f t="shared" si="4"/>
        <v>3.5958333333333332</v>
      </c>
    </row>
    <row r="132" spans="9:10" x14ac:dyDescent="0.15">
      <c r="I132" s="3">
        <v>125</v>
      </c>
      <c r="J132" s="3">
        <f t="shared" si="4"/>
        <v>3.5958333333333332</v>
      </c>
    </row>
    <row r="133" spans="9:10" x14ac:dyDescent="0.15">
      <c r="I133" s="3">
        <v>126</v>
      </c>
      <c r="J133" s="3">
        <f t="shared" si="4"/>
        <v>3.5958333333333332</v>
      </c>
    </row>
    <row r="134" spans="9:10" x14ac:dyDescent="0.15">
      <c r="I134" s="3">
        <v>127</v>
      </c>
      <c r="J134" s="3">
        <f t="shared" si="4"/>
        <v>3.5958333333333332</v>
      </c>
    </row>
    <row r="135" spans="9:10" x14ac:dyDescent="0.15">
      <c r="I135" s="3">
        <v>128</v>
      </c>
      <c r="J135" s="3">
        <f t="shared" si="4"/>
        <v>3.5958333333333332</v>
      </c>
    </row>
    <row r="136" spans="9:10" x14ac:dyDescent="0.15">
      <c r="I136" s="3">
        <v>129</v>
      </c>
      <c r="J136" s="3">
        <f t="shared" si="4"/>
        <v>3.5958333333333332</v>
      </c>
    </row>
    <row r="137" spans="9:10" x14ac:dyDescent="0.15">
      <c r="I137" s="3">
        <v>130</v>
      </c>
      <c r="J137" s="3">
        <f t="shared" ref="J137:J200" si="5">IF(I137&lt;$I$4,1,IF(I137&gt;$J$4,$G$4,($G$4-1)*($K$4+$L$4*((I137-$I$4)/($J$4-$I$4))^1+$M$4*((I137-$I$4)/($J$4-$I$4))^2+$N$4*((I137-$I$4)/($J$4-$I$4))^3+$O$4*((I137-$I$4)/($J$4-$I$4))^4)+1))</f>
        <v>3.5958333333333332</v>
      </c>
    </row>
    <row r="138" spans="9:10" x14ac:dyDescent="0.15">
      <c r="I138" s="3">
        <v>131</v>
      </c>
      <c r="J138" s="3">
        <f t="shared" si="5"/>
        <v>3.5958333333333332</v>
      </c>
    </row>
    <row r="139" spans="9:10" x14ac:dyDescent="0.15">
      <c r="I139" s="3">
        <v>132</v>
      </c>
      <c r="J139" s="3">
        <f t="shared" si="5"/>
        <v>3.5958333333333332</v>
      </c>
    </row>
    <row r="140" spans="9:10" x14ac:dyDescent="0.15">
      <c r="I140" s="3">
        <v>133</v>
      </c>
      <c r="J140" s="3">
        <f t="shared" si="5"/>
        <v>3.5958333333333332</v>
      </c>
    </row>
    <row r="141" spans="9:10" x14ac:dyDescent="0.15">
      <c r="I141" s="3">
        <v>134</v>
      </c>
      <c r="J141" s="3">
        <f t="shared" si="5"/>
        <v>3.5958333333333332</v>
      </c>
    </row>
    <row r="142" spans="9:10" x14ac:dyDescent="0.15">
      <c r="I142" s="3">
        <v>135</v>
      </c>
      <c r="J142" s="3">
        <f t="shared" si="5"/>
        <v>3.5958333333333332</v>
      </c>
    </row>
    <row r="143" spans="9:10" x14ac:dyDescent="0.15">
      <c r="I143" s="3">
        <v>136</v>
      </c>
      <c r="J143" s="3">
        <f t="shared" si="5"/>
        <v>3.5958333333333332</v>
      </c>
    </row>
    <row r="144" spans="9:10" x14ac:dyDescent="0.15">
      <c r="I144" s="3">
        <v>137</v>
      </c>
      <c r="J144" s="3">
        <f t="shared" si="5"/>
        <v>3.5958333333333332</v>
      </c>
    </row>
    <row r="145" spans="9:10" x14ac:dyDescent="0.15">
      <c r="I145" s="3">
        <v>138</v>
      </c>
      <c r="J145" s="3">
        <f t="shared" si="5"/>
        <v>3.5958333333333332</v>
      </c>
    </row>
    <row r="146" spans="9:10" x14ac:dyDescent="0.15">
      <c r="I146" s="3">
        <v>139</v>
      </c>
      <c r="J146" s="3">
        <f t="shared" si="5"/>
        <v>3.5958333333333332</v>
      </c>
    </row>
    <row r="147" spans="9:10" x14ac:dyDescent="0.15">
      <c r="I147" s="3">
        <v>140</v>
      </c>
      <c r="J147" s="3">
        <f t="shared" si="5"/>
        <v>3.5958333333333332</v>
      </c>
    </row>
    <row r="148" spans="9:10" x14ac:dyDescent="0.15">
      <c r="I148" s="3">
        <v>141</v>
      </c>
      <c r="J148" s="3">
        <f t="shared" si="5"/>
        <v>3.5958333333333332</v>
      </c>
    </row>
    <row r="149" spans="9:10" x14ac:dyDescent="0.15">
      <c r="I149" s="3">
        <v>142</v>
      </c>
      <c r="J149" s="3">
        <f t="shared" si="5"/>
        <v>3.5958333333333332</v>
      </c>
    </row>
    <row r="150" spans="9:10" x14ac:dyDescent="0.15">
      <c r="I150" s="3">
        <v>143</v>
      </c>
      <c r="J150" s="3">
        <f t="shared" si="5"/>
        <v>3.5958333333333332</v>
      </c>
    </row>
    <row r="151" spans="9:10" x14ac:dyDescent="0.15">
      <c r="I151" s="3">
        <v>144</v>
      </c>
      <c r="J151" s="3">
        <f t="shared" si="5"/>
        <v>3.5958333333333332</v>
      </c>
    </row>
    <row r="152" spans="9:10" x14ac:dyDescent="0.15">
      <c r="I152" s="3">
        <v>145</v>
      </c>
      <c r="J152" s="3">
        <f t="shared" si="5"/>
        <v>3.5958333333333332</v>
      </c>
    </row>
    <row r="153" spans="9:10" x14ac:dyDescent="0.15">
      <c r="I153" s="3">
        <v>146</v>
      </c>
      <c r="J153" s="3">
        <f t="shared" si="5"/>
        <v>3.5958333333333332</v>
      </c>
    </row>
    <row r="154" spans="9:10" x14ac:dyDescent="0.15">
      <c r="I154" s="3">
        <v>147</v>
      </c>
      <c r="J154" s="3">
        <f t="shared" si="5"/>
        <v>3.5958333333333332</v>
      </c>
    </row>
    <row r="155" spans="9:10" x14ac:dyDescent="0.15">
      <c r="I155" s="3">
        <v>148</v>
      </c>
      <c r="J155" s="3">
        <f t="shared" si="5"/>
        <v>3.5958333333333332</v>
      </c>
    </row>
    <row r="156" spans="9:10" x14ac:dyDescent="0.15">
      <c r="I156" s="3">
        <v>149</v>
      </c>
      <c r="J156" s="3">
        <f t="shared" si="5"/>
        <v>3.5958333333333332</v>
      </c>
    </row>
    <row r="157" spans="9:10" x14ac:dyDescent="0.15">
      <c r="I157" s="3">
        <v>150</v>
      </c>
      <c r="J157" s="3">
        <f t="shared" si="5"/>
        <v>3.5958333333333332</v>
      </c>
    </row>
    <row r="158" spans="9:10" x14ac:dyDescent="0.15">
      <c r="I158" s="3">
        <v>151</v>
      </c>
      <c r="J158" s="3">
        <f t="shared" si="5"/>
        <v>3.5958333333333332</v>
      </c>
    </row>
    <row r="159" spans="9:10" x14ac:dyDescent="0.15">
      <c r="I159" s="3">
        <v>152</v>
      </c>
      <c r="J159" s="3">
        <f t="shared" si="5"/>
        <v>3.5958333333333332</v>
      </c>
    </row>
    <row r="160" spans="9:10" x14ac:dyDescent="0.15">
      <c r="I160" s="3">
        <v>153</v>
      </c>
      <c r="J160" s="3">
        <f t="shared" si="5"/>
        <v>3.5958333333333332</v>
      </c>
    </row>
    <row r="161" spans="9:10" x14ac:dyDescent="0.15">
      <c r="I161" s="3">
        <v>154</v>
      </c>
      <c r="J161" s="3">
        <f t="shared" si="5"/>
        <v>3.5958333333333332</v>
      </c>
    </row>
    <row r="162" spans="9:10" x14ac:dyDescent="0.15">
      <c r="I162" s="3">
        <v>155</v>
      </c>
      <c r="J162" s="3">
        <f t="shared" si="5"/>
        <v>3.5958333333333332</v>
      </c>
    </row>
    <row r="163" spans="9:10" x14ac:dyDescent="0.15">
      <c r="I163" s="3">
        <v>156</v>
      </c>
      <c r="J163" s="3">
        <f t="shared" si="5"/>
        <v>3.5958333333333332</v>
      </c>
    </row>
    <row r="164" spans="9:10" x14ac:dyDescent="0.15">
      <c r="I164" s="3">
        <v>157</v>
      </c>
      <c r="J164" s="3">
        <f t="shared" si="5"/>
        <v>3.5958333333333332</v>
      </c>
    </row>
    <row r="165" spans="9:10" x14ac:dyDescent="0.15">
      <c r="I165" s="3">
        <v>158</v>
      </c>
      <c r="J165" s="3">
        <f t="shared" si="5"/>
        <v>3.5958333333333332</v>
      </c>
    </row>
    <row r="166" spans="9:10" x14ac:dyDescent="0.15">
      <c r="I166" s="3">
        <v>159</v>
      </c>
      <c r="J166" s="3">
        <f t="shared" si="5"/>
        <v>3.5958333333333332</v>
      </c>
    </row>
    <row r="167" spans="9:10" x14ac:dyDescent="0.15">
      <c r="I167" s="3">
        <v>160</v>
      </c>
      <c r="J167" s="3">
        <f t="shared" si="5"/>
        <v>3.5958333333333332</v>
      </c>
    </row>
    <row r="168" spans="9:10" x14ac:dyDescent="0.15">
      <c r="I168" s="3">
        <v>161</v>
      </c>
      <c r="J168" s="3">
        <f t="shared" si="5"/>
        <v>3.5958333333333332</v>
      </c>
    </row>
    <row r="169" spans="9:10" x14ac:dyDescent="0.15">
      <c r="I169" s="3">
        <v>162</v>
      </c>
      <c r="J169" s="3">
        <f t="shared" si="5"/>
        <v>3.5958333333333332</v>
      </c>
    </row>
    <row r="170" spans="9:10" x14ac:dyDescent="0.15">
      <c r="I170" s="3">
        <v>163</v>
      </c>
      <c r="J170" s="3">
        <f t="shared" si="5"/>
        <v>3.5958333333333332</v>
      </c>
    </row>
    <row r="171" spans="9:10" x14ac:dyDescent="0.15">
      <c r="I171" s="3">
        <v>164</v>
      </c>
      <c r="J171" s="3">
        <f t="shared" si="5"/>
        <v>3.5958333333333332</v>
      </c>
    </row>
    <row r="172" spans="9:10" x14ac:dyDescent="0.15">
      <c r="I172" s="3">
        <v>165</v>
      </c>
      <c r="J172" s="3">
        <f t="shared" si="5"/>
        <v>3.5958333333333332</v>
      </c>
    </row>
    <row r="173" spans="9:10" x14ac:dyDescent="0.15">
      <c r="I173" s="3">
        <v>166</v>
      </c>
      <c r="J173" s="3">
        <f t="shared" si="5"/>
        <v>3.5958333333333332</v>
      </c>
    </row>
    <row r="174" spans="9:10" x14ac:dyDescent="0.15">
      <c r="I174" s="3">
        <v>167</v>
      </c>
      <c r="J174" s="3">
        <f t="shared" si="5"/>
        <v>3.5958333333333332</v>
      </c>
    </row>
    <row r="175" spans="9:10" x14ac:dyDescent="0.15">
      <c r="I175" s="3">
        <v>168</v>
      </c>
      <c r="J175" s="3">
        <f t="shared" si="5"/>
        <v>3.5958333333333332</v>
      </c>
    </row>
    <row r="176" spans="9:10" x14ac:dyDescent="0.15">
      <c r="I176" s="3">
        <v>169</v>
      </c>
      <c r="J176" s="3">
        <f t="shared" si="5"/>
        <v>3.5958333333333332</v>
      </c>
    </row>
    <row r="177" spans="9:10" x14ac:dyDescent="0.15">
      <c r="I177" s="3">
        <v>170</v>
      </c>
      <c r="J177" s="3">
        <f t="shared" si="5"/>
        <v>3.5958333333333332</v>
      </c>
    </row>
    <row r="178" spans="9:10" x14ac:dyDescent="0.15">
      <c r="I178" s="3">
        <v>171</v>
      </c>
      <c r="J178" s="3">
        <f t="shared" si="5"/>
        <v>3.5958333333333332</v>
      </c>
    </row>
    <row r="179" spans="9:10" x14ac:dyDescent="0.15">
      <c r="I179" s="3">
        <v>172</v>
      </c>
      <c r="J179" s="3">
        <f t="shared" si="5"/>
        <v>3.5958333333333332</v>
      </c>
    </row>
    <row r="180" spans="9:10" x14ac:dyDescent="0.15">
      <c r="I180" s="3">
        <v>173</v>
      </c>
      <c r="J180" s="3">
        <f t="shared" si="5"/>
        <v>3.5958333333333332</v>
      </c>
    </row>
    <row r="181" spans="9:10" x14ac:dyDescent="0.15">
      <c r="I181" s="3">
        <v>174</v>
      </c>
      <c r="J181" s="3">
        <f t="shared" si="5"/>
        <v>3.5958333333333332</v>
      </c>
    </row>
    <row r="182" spans="9:10" x14ac:dyDescent="0.15">
      <c r="I182" s="3">
        <v>175</v>
      </c>
      <c r="J182" s="3">
        <f t="shared" si="5"/>
        <v>3.5958333333333332</v>
      </c>
    </row>
    <row r="183" spans="9:10" x14ac:dyDescent="0.15">
      <c r="I183" s="3">
        <v>176</v>
      </c>
      <c r="J183" s="3">
        <f t="shared" si="5"/>
        <v>3.5958333333333332</v>
      </c>
    </row>
    <row r="184" spans="9:10" x14ac:dyDescent="0.15">
      <c r="I184" s="3">
        <v>177</v>
      </c>
      <c r="J184" s="3">
        <f t="shared" si="5"/>
        <v>3.5958333333333332</v>
      </c>
    </row>
    <row r="185" spans="9:10" x14ac:dyDescent="0.15">
      <c r="I185" s="3">
        <v>178</v>
      </c>
      <c r="J185" s="3">
        <f t="shared" si="5"/>
        <v>3.5958333333333332</v>
      </c>
    </row>
    <row r="186" spans="9:10" x14ac:dyDescent="0.15">
      <c r="I186" s="3">
        <v>179</v>
      </c>
      <c r="J186" s="3">
        <f t="shared" si="5"/>
        <v>3.5958333333333332</v>
      </c>
    </row>
    <row r="187" spans="9:10" x14ac:dyDescent="0.15">
      <c r="I187" s="3">
        <v>180</v>
      </c>
      <c r="J187" s="3">
        <f t="shared" si="5"/>
        <v>3.5958333333333332</v>
      </c>
    </row>
    <row r="188" spans="9:10" x14ac:dyDescent="0.15">
      <c r="I188" s="3">
        <v>181</v>
      </c>
      <c r="J188" s="3">
        <f t="shared" si="5"/>
        <v>3.5958333333333332</v>
      </c>
    </row>
    <row r="189" spans="9:10" x14ac:dyDescent="0.15">
      <c r="I189" s="3">
        <v>182</v>
      </c>
      <c r="J189" s="3">
        <f t="shared" si="5"/>
        <v>3.5958333333333332</v>
      </c>
    </row>
    <row r="190" spans="9:10" x14ac:dyDescent="0.15">
      <c r="I190" s="3">
        <v>183</v>
      </c>
      <c r="J190" s="3">
        <f t="shared" si="5"/>
        <v>3.5958333333333332</v>
      </c>
    </row>
    <row r="191" spans="9:10" x14ac:dyDescent="0.15">
      <c r="I191" s="3">
        <v>184</v>
      </c>
      <c r="J191" s="3">
        <f t="shared" si="5"/>
        <v>3.5958333333333332</v>
      </c>
    </row>
    <row r="192" spans="9:10" x14ac:dyDescent="0.15">
      <c r="I192" s="3">
        <v>185</v>
      </c>
      <c r="J192" s="3">
        <f t="shared" si="5"/>
        <v>3.5958333333333332</v>
      </c>
    </row>
    <row r="193" spans="9:10" x14ac:dyDescent="0.15">
      <c r="I193" s="3">
        <v>186</v>
      </c>
      <c r="J193" s="3">
        <f t="shared" si="5"/>
        <v>3.5958333333333332</v>
      </c>
    </row>
    <row r="194" spans="9:10" x14ac:dyDescent="0.15">
      <c r="I194" s="3">
        <v>187</v>
      </c>
      <c r="J194" s="3">
        <f t="shared" si="5"/>
        <v>3.5958333333333332</v>
      </c>
    </row>
    <row r="195" spans="9:10" x14ac:dyDescent="0.15">
      <c r="I195" s="3">
        <v>188</v>
      </c>
      <c r="J195" s="3">
        <f t="shared" si="5"/>
        <v>3.5958333333333332</v>
      </c>
    </row>
    <row r="196" spans="9:10" x14ac:dyDescent="0.15">
      <c r="I196" s="3">
        <v>189</v>
      </c>
      <c r="J196" s="3">
        <f t="shared" si="5"/>
        <v>3.5958333333333332</v>
      </c>
    </row>
    <row r="197" spans="9:10" x14ac:dyDescent="0.15">
      <c r="I197" s="3">
        <v>190</v>
      </c>
      <c r="J197" s="3">
        <f t="shared" si="5"/>
        <v>3.5958333333333332</v>
      </c>
    </row>
    <row r="198" spans="9:10" x14ac:dyDescent="0.15">
      <c r="I198" s="3">
        <v>191</v>
      </c>
      <c r="J198" s="3">
        <f t="shared" si="5"/>
        <v>3.5958333333333332</v>
      </c>
    </row>
    <row r="199" spans="9:10" x14ac:dyDescent="0.15">
      <c r="I199" s="3">
        <v>192</v>
      </c>
      <c r="J199" s="3">
        <f t="shared" si="5"/>
        <v>3.5958333333333332</v>
      </c>
    </row>
    <row r="200" spans="9:10" x14ac:dyDescent="0.15">
      <c r="I200" s="3">
        <v>193</v>
      </c>
      <c r="J200" s="3">
        <f t="shared" si="5"/>
        <v>3.5958333333333332</v>
      </c>
    </row>
    <row r="201" spans="9:10" x14ac:dyDescent="0.15">
      <c r="I201" s="3">
        <v>194</v>
      </c>
      <c r="J201" s="3">
        <f t="shared" ref="J201:J264" si="6">IF(I201&lt;$I$4,1,IF(I201&gt;$J$4,$G$4,($G$4-1)*($K$4+$L$4*((I201-$I$4)/($J$4-$I$4))^1+$M$4*((I201-$I$4)/($J$4-$I$4))^2+$N$4*((I201-$I$4)/($J$4-$I$4))^3+$O$4*((I201-$I$4)/($J$4-$I$4))^4)+1))</f>
        <v>3.5958333333333332</v>
      </c>
    </row>
    <row r="202" spans="9:10" x14ac:dyDescent="0.15">
      <c r="I202" s="3">
        <v>195</v>
      </c>
      <c r="J202" s="3">
        <f t="shared" si="6"/>
        <v>3.5958333333333332</v>
      </c>
    </row>
    <row r="203" spans="9:10" x14ac:dyDescent="0.15">
      <c r="I203" s="3">
        <v>196</v>
      </c>
      <c r="J203" s="3">
        <f t="shared" si="6"/>
        <v>3.5958333333333332</v>
      </c>
    </row>
    <row r="204" spans="9:10" x14ac:dyDescent="0.15">
      <c r="I204" s="3">
        <v>197</v>
      </c>
      <c r="J204" s="3">
        <f t="shared" si="6"/>
        <v>3.5958333333333332</v>
      </c>
    </row>
    <row r="205" spans="9:10" x14ac:dyDescent="0.15">
      <c r="I205" s="3">
        <v>198</v>
      </c>
      <c r="J205" s="3">
        <f t="shared" si="6"/>
        <v>3.5958333333333332</v>
      </c>
    </row>
    <row r="206" spans="9:10" x14ac:dyDescent="0.15">
      <c r="I206" s="3">
        <v>199</v>
      </c>
      <c r="J206" s="3">
        <f t="shared" si="6"/>
        <v>3.5958333333333332</v>
      </c>
    </row>
    <row r="207" spans="9:10" x14ac:dyDescent="0.15">
      <c r="I207" s="3">
        <v>200</v>
      </c>
      <c r="J207" s="3">
        <f t="shared" si="6"/>
        <v>3.5958333333333332</v>
      </c>
    </row>
    <row r="208" spans="9:10" x14ac:dyDescent="0.15">
      <c r="I208" s="3">
        <v>201</v>
      </c>
      <c r="J208" s="3">
        <f t="shared" si="6"/>
        <v>3.5958333333333332</v>
      </c>
    </row>
    <row r="209" spans="9:10" x14ac:dyDescent="0.15">
      <c r="I209" s="3">
        <v>202</v>
      </c>
      <c r="J209" s="3">
        <f t="shared" si="6"/>
        <v>3.5958333333333332</v>
      </c>
    </row>
    <row r="210" spans="9:10" x14ac:dyDescent="0.15">
      <c r="I210" s="3">
        <v>203</v>
      </c>
      <c r="J210" s="3">
        <f t="shared" si="6"/>
        <v>3.5958333333333332</v>
      </c>
    </row>
    <row r="211" spans="9:10" x14ac:dyDescent="0.15">
      <c r="I211" s="3">
        <v>204</v>
      </c>
      <c r="J211" s="3">
        <f t="shared" si="6"/>
        <v>3.5958333333333332</v>
      </c>
    </row>
    <row r="212" spans="9:10" x14ac:dyDescent="0.15">
      <c r="I212" s="3">
        <v>205</v>
      </c>
      <c r="J212" s="3">
        <f t="shared" si="6"/>
        <v>3.5958333333333332</v>
      </c>
    </row>
    <row r="213" spans="9:10" x14ac:dyDescent="0.15">
      <c r="I213" s="3">
        <v>206</v>
      </c>
      <c r="J213" s="3">
        <f t="shared" si="6"/>
        <v>3.5958333333333332</v>
      </c>
    </row>
    <row r="214" spans="9:10" x14ac:dyDescent="0.15">
      <c r="I214" s="3">
        <v>207</v>
      </c>
      <c r="J214" s="3">
        <f t="shared" si="6"/>
        <v>3.5958333333333332</v>
      </c>
    </row>
    <row r="215" spans="9:10" x14ac:dyDescent="0.15">
      <c r="I215" s="3">
        <v>208</v>
      </c>
      <c r="J215" s="3">
        <f t="shared" si="6"/>
        <v>3.5958333333333332</v>
      </c>
    </row>
    <row r="216" spans="9:10" x14ac:dyDescent="0.15">
      <c r="I216" s="3">
        <v>209</v>
      </c>
      <c r="J216" s="3">
        <f t="shared" si="6"/>
        <v>3.5958333333333332</v>
      </c>
    </row>
    <row r="217" spans="9:10" x14ac:dyDescent="0.15">
      <c r="I217" s="3">
        <v>210</v>
      </c>
      <c r="J217" s="3">
        <f t="shared" si="6"/>
        <v>3.5958333333333332</v>
      </c>
    </row>
    <row r="218" spans="9:10" x14ac:dyDescent="0.15">
      <c r="I218" s="3">
        <v>211</v>
      </c>
      <c r="J218" s="3">
        <f t="shared" si="6"/>
        <v>3.5958333333333332</v>
      </c>
    </row>
    <row r="219" spans="9:10" x14ac:dyDescent="0.15">
      <c r="I219" s="3">
        <v>212</v>
      </c>
      <c r="J219" s="3">
        <f t="shared" si="6"/>
        <v>3.5958333333333332</v>
      </c>
    </row>
    <row r="220" spans="9:10" x14ac:dyDescent="0.15">
      <c r="I220" s="3">
        <v>213</v>
      </c>
      <c r="J220" s="3">
        <f t="shared" si="6"/>
        <v>3.5958333333333332</v>
      </c>
    </row>
    <row r="221" spans="9:10" x14ac:dyDescent="0.15">
      <c r="I221" s="3">
        <v>214</v>
      </c>
      <c r="J221" s="3">
        <f t="shared" si="6"/>
        <v>3.5958333333333332</v>
      </c>
    </row>
    <row r="222" spans="9:10" x14ac:dyDescent="0.15">
      <c r="I222" s="3">
        <v>215</v>
      </c>
      <c r="J222" s="3">
        <f t="shared" si="6"/>
        <v>3.5958333333333332</v>
      </c>
    </row>
    <row r="223" spans="9:10" x14ac:dyDescent="0.15">
      <c r="I223" s="3">
        <v>216</v>
      </c>
      <c r="J223" s="3">
        <f t="shared" si="6"/>
        <v>3.5958333333333332</v>
      </c>
    </row>
    <row r="224" spans="9:10" x14ac:dyDescent="0.15">
      <c r="I224" s="3">
        <v>217</v>
      </c>
      <c r="J224" s="3">
        <f t="shared" si="6"/>
        <v>3.5958333333333332</v>
      </c>
    </row>
    <row r="225" spans="9:10" x14ac:dyDescent="0.15">
      <c r="I225" s="3">
        <v>218</v>
      </c>
      <c r="J225" s="3">
        <f t="shared" si="6"/>
        <v>3.5958333333333332</v>
      </c>
    </row>
    <row r="226" spans="9:10" x14ac:dyDescent="0.15">
      <c r="I226" s="3">
        <v>219</v>
      </c>
      <c r="J226" s="3">
        <f t="shared" si="6"/>
        <v>3.5958333333333332</v>
      </c>
    </row>
    <row r="227" spans="9:10" x14ac:dyDescent="0.15">
      <c r="I227" s="3">
        <v>220</v>
      </c>
      <c r="J227" s="3">
        <f t="shared" si="6"/>
        <v>3.5958333333333332</v>
      </c>
    </row>
    <row r="228" spans="9:10" x14ac:dyDescent="0.15">
      <c r="I228" s="3">
        <v>221</v>
      </c>
      <c r="J228" s="3">
        <f t="shared" si="6"/>
        <v>3.5958333333333332</v>
      </c>
    </row>
    <row r="229" spans="9:10" x14ac:dyDescent="0.15">
      <c r="I229" s="3">
        <v>222</v>
      </c>
      <c r="J229" s="3">
        <f t="shared" si="6"/>
        <v>3.5958333333333332</v>
      </c>
    </row>
    <row r="230" spans="9:10" x14ac:dyDescent="0.15">
      <c r="I230" s="3">
        <v>223</v>
      </c>
      <c r="J230" s="3">
        <f t="shared" si="6"/>
        <v>3.5958333333333332</v>
      </c>
    </row>
    <row r="231" spans="9:10" x14ac:dyDescent="0.15">
      <c r="I231" s="3">
        <v>224</v>
      </c>
      <c r="J231" s="3">
        <f t="shared" si="6"/>
        <v>3.5958333333333332</v>
      </c>
    </row>
    <row r="232" spans="9:10" x14ac:dyDescent="0.15">
      <c r="I232" s="3">
        <v>225</v>
      </c>
      <c r="J232" s="3">
        <f t="shared" si="6"/>
        <v>3.5958333333333332</v>
      </c>
    </row>
    <row r="233" spans="9:10" x14ac:dyDescent="0.15">
      <c r="I233" s="3">
        <v>226</v>
      </c>
      <c r="J233" s="3">
        <f t="shared" si="6"/>
        <v>3.5958333333333332</v>
      </c>
    </row>
    <row r="234" spans="9:10" x14ac:dyDescent="0.15">
      <c r="I234" s="3">
        <v>227</v>
      </c>
      <c r="J234" s="3">
        <f t="shared" si="6"/>
        <v>3.5958333333333332</v>
      </c>
    </row>
    <row r="235" spans="9:10" x14ac:dyDescent="0.15">
      <c r="I235" s="3">
        <v>228</v>
      </c>
      <c r="J235" s="3">
        <f t="shared" si="6"/>
        <v>3.5958333333333332</v>
      </c>
    </row>
    <row r="236" spans="9:10" x14ac:dyDescent="0.15">
      <c r="I236" s="3">
        <v>229</v>
      </c>
      <c r="J236" s="3">
        <f t="shared" si="6"/>
        <v>3.5958333333333332</v>
      </c>
    </row>
    <row r="237" spans="9:10" x14ac:dyDescent="0.15">
      <c r="I237" s="3">
        <v>230</v>
      </c>
      <c r="J237" s="3">
        <f t="shared" si="6"/>
        <v>3.5958333333333332</v>
      </c>
    </row>
    <row r="238" spans="9:10" x14ac:dyDescent="0.15">
      <c r="I238" s="3">
        <v>231</v>
      </c>
      <c r="J238" s="3">
        <f t="shared" si="6"/>
        <v>3.5958333333333332</v>
      </c>
    </row>
    <row r="239" spans="9:10" x14ac:dyDescent="0.15">
      <c r="I239" s="3">
        <v>232</v>
      </c>
      <c r="J239" s="3">
        <f t="shared" si="6"/>
        <v>3.5958333333333332</v>
      </c>
    </row>
    <row r="240" spans="9:10" x14ac:dyDescent="0.15">
      <c r="I240" s="3">
        <v>233</v>
      </c>
      <c r="J240" s="3">
        <f t="shared" si="6"/>
        <v>3.5958333333333332</v>
      </c>
    </row>
    <row r="241" spans="9:10" x14ac:dyDescent="0.15">
      <c r="I241" s="3">
        <v>234</v>
      </c>
      <c r="J241" s="3">
        <f t="shared" si="6"/>
        <v>3.5958333333333332</v>
      </c>
    </row>
    <row r="242" spans="9:10" x14ac:dyDescent="0.15">
      <c r="I242" s="3">
        <v>235</v>
      </c>
      <c r="J242" s="3">
        <f t="shared" si="6"/>
        <v>3.5958333333333332</v>
      </c>
    </row>
    <row r="243" spans="9:10" x14ac:dyDescent="0.15">
      <c r="I243" s="3">
        <v>236</v>
      </c>
      <c r="J243" s="3">
        <f t="shared" si="6"/>
        <v>3.5958333333333332</v>
      </c>
    </row>
    <row r="244" spans="9:10" x14ac:dyDescent="0.15">
      <c r="I244" s="3">
        <v>237</v>
      </c>
      <c r="J244" s="3">
        <f t="shared" si="6"/>
        <v>3.5958333333333332</v>
      </c>
    </row>
    <row r="245" spans="9:10" x14ac:dyDescent="0.15">
      <c r="I245" s="3">
        <v>238</v>
      </c>
      <c r="J245" s="3">
        <f t="shared" si="6"/>
        <v>3.5958333333333332</v>
      </c>
    </row>
    <row r="246" spans="9:10" x14ac:dyDescent="0.15">
      <c r="I246" s="3">
        <v>239</v>
      </c>
      <c r="J246" s="3">
        <f t="shared" si="6"/>
        <v>3.5958333333333332</v>
      </c>
    </row>
    <row r="247" spans="9:10" x14ac:dyDescent="0.15">
      <c r="I247" s="3">
        <v>240</v>
      </c>
      <c r="J247" s="3">
        <f t="shared" si="6"/>
        <v>3.5958333333333332</v>
      </c>
    </row>
    <row r="248" spans="9:10" x14ac:dyDescent="0.15">
      <c r="I248" s="3">
        <v>241</v>
      </c>
      <c r="J248" s="3">
        <f t="shared" si="6"/>
        <v>3.5958333333333332</v>
      </c>
    </row>
    <row r="249" spans="9:10" x14ac:dyDescent="0.15">
      <c r="I249" s="3">
        <v>242</v>
      </c>
      <c r="J249" s="3">
        <f t="shared" si="6"/>
        <v>3.5958333333333332</v>
      </c>
    </row>
    <row r="250" spans="9:10" x14ac:dyDescent="0.15">
      <c r="I250" s="3">
        <v>243</v>
      </c>
      <c r="J250" s="3">
        <f t="shared" si="6"/>
        <v>3.5958333333333332</v>
      </c>
    </row>
    <row r="251" spans="9:10" x14ac:dyDescent="0.15">
      <c r="I251" s="3">
        <v>244</v>
      </c>
      <c r="J251" s="3">
        <f t="shared" si="6"/>
        <v>3.5958333333333332</v>
      </c>
    </row>
    <row r="252" spans="9:10" x14ac:dyDescent="0.15">
      <c r="I252" s="3">
        <v>245</v>
      </c>
      <c r="J252" s="3">
        <f t="shared" si="6"/>
        <v>3.5958333333333332</v>
      </c>
    </row>
    <row r="253" spans="9:10" x14ac:dyDescent="0.15">
      <c r="I253" s="3">
        <v>246</v>
      </c>
      <c r="J253" s="3">
        <f t="shared" si="6"/>
        <v>3.5958333333333332</v>
      </c>
    </row>
    <row r="254" spans="9:10" x14ac:dyDescent="0.15">
      <c r="I254" s="3">
        <v>247</v>
      </c>
      <c r="J254" s="3">
        <f t="shared" si="6"/>
        <v>3.5958333333333332</v>
      </c>
    </row>
    <row r="255" spans="9:10" x14ac:dyDescent="0.15">
      <c r="I255" s="3">
        <v>248</v>
      </c>
      <c r="J255" s="3">
        <f t="shared" si="6"/>
        <v>3.5958333333333332</v>
      </c>
    </row>
    <row r="256" spans="9:10" x14ac:dyDescent="0.15">
      <c r="I256" s="3">
        <v>249</v>
      </c>
      <c r="J256" s="3">
        <f t="shared" si="6"/>
        <v>3.5958333333333332</v>
      </c>
    </row>
    <row r="257" spans="9:10" x14ac:dyDescent="0.15">
      <c r="I257" s="3">
        <v>250</v>
      </c>
      <c r="J257" s="3">
        <f t="shared" si="6"/>
        <v>3.5958333333333332</v>
      </c>
    </row>
    <row r="258" spans="9:10" x14ac:dyDescent="0.15">
      <c r="I258" s="3">
        <v>251</v>
      </c>
      <c r="J258" s="3">
        <f t="shared" si="6"/>
        <v>3.5958333333333332</v>
      </c>
    </row>
    <row r="259" spans="9:10" x14ac:dyDescent="0.15">
      <c r="I259" s="3">
        <v>252</v>
      </c>
      <c r="J259" s="3">
        <f t="shared" si="6"/>
        <v>3.5958333333333332</v>
      </c>
    </row>
    <row r="260" spans="9:10" x14ac:dyDescent="0.15">
      <c r="I260" s="3">
        <v>253</v>
      </c>
      <c r="J260" s="3">
        <f t="shared" si="6"/>
        <v>3.5958333333333332</v>
      </c>
    </row>
    <row r="261" spans="9:10" x14ac:dyDescent="0.15">
      <c r="I261" s="3">
        <v>254</v>
      </c>
      <c r="J261" s="3">
        <f t="shared" si="6"/>
        <v>3.5958333333333332</v>
      </c>
    </row>
    <row r="262" spans="9:10" x14ac:dyDescent="0.15">
      <c r="I262" s="3">
        <v>255</v>
      </c>
      <c r="J262" s="3">
        <f t="shared" si="6"/>
        <v>3.5958333333333332</v>
      </c>
    </row>
    <row r="263" spans="9:10" x14ac:dyDescent="0.15">
      <c r="I263" s="3">
        <v>256</v>
      </c>
      <c r="J263" s="3">
        <f t="shared" si="6"/>
        <v>3.5958333333333332</v>
      </c>
    </row>
    <row r="264" spans="9:10" x14ac:dyDescent="0.15">
      <c r="I264" s="3">
        <v>257</v>
      </c>
      <c r="J264" s="3">
        <f t="shared" si="6"/>
        <v>3.5958333333333332</v>
      </c>
    </row>
    <row r="265" spans="9:10" x14ac:dyDescent="0.15">
      <c r="I265" s="3">
        <v>258</v>
      </c>
      <c r="J265" s="3">
        <f t="shared" ref="J265:J328" si="7">IF(I265&lt;$I$4,1,IF(I265&gt;$J$4,$G$4,($G$4-1)*($K$4+$L$4*((I265-$I$4)/($J$4-$I$4))^1+$M$4*((I265-$I$4)/($J$4-$I$4))^2+$N$4*((I265-$I$4)/($J$4-$I$4))^3+$O$4*((I265-$I$4)/($J$4-$I$4))^4)+1))</f>
        <v>3.5958333333333332</v>
      </c>
    </row>
    <row r="266" spans="9:10" x14ac:dyDescent="0.15">
      <c r="I266" s="3">
        <v>259</v>
      </c>
      <c r="J266" s="3">
        <f t="shared" si="7"/>
        <v>3.5958333333333332</v>
      </c>
    </row>
    <row r="267" spans="9:10" x14ac:dyDescent="0.15">
      <c r="I267" s="3">
        <v>260</v>
      </c>
      <c r="J267" s="3">
        <f t="shared" si="7"/>
        <v>3.5958333333333332</v>
      </c>
    </row>
    <row r="268" spans="9:10" x14ac:dyDescent="0.15">
      <c r="I268" s="3">
        <v>261</v>
      </c>
      <c r="J268" s="3">
        <f t="shared" si="7"/>
        <v>3.5958333333333332</v>
      </c>
    </row>
    <row r="269" spans="9:10" x14ac:dyDescent="0.15">
      <c r="I269" s="3">
        <v>262</v>
      </c>
      <c r="J269" s="3">
        <f t="shared" si="7"/>
        <v>3.5958333333333332</v>
      </c>
    </row>
    <row r="270" spans="9:10" x14ac:dyDescent="0.15">
      <c r="I270" s="3">
        <v>263</v>
      </c>
      <c r="J270" s="3">
        <f t="shared" si="7"/>
        <v>3.5958333333333332</v>
      </c>
    </row>
    <row r="271" spans="9:10" x14ac:dyDescent="0.15">
      <c r="I271" s="3">
        <v>264</v>
      </c>
      <c r="J271" s="3">
        <f t="shared" si="7"/>
        <v>3.5958333333333332</v>
      </c>
    </row>
    <row r="272" spans="9:10" x14ac:dyDescent="0.15">
      <c r="I272" s="3">
        <v>265</v>
      </c>
      <c r="J272" s="3">
        <f t="shared" si="7"/>
        <v>3.5958333333333332</v>
      </c>
    </row>
    <row r="273" spans="9:10" x14ac:dyDescent="0.15">
      <c r="I273" s="3">
        <v>266</v>
      </c>
      <c r="J273" s="3">
        <f t="shared" si="7"/>
        <v>3.5958333333333332</v>
      </c>
    </row>
    <row r="274" spans="9:10" x14ac:dyDescent="0.15">
      <c r="I274" s="3">
        <v>267</v>
      </c>
      <c r="J274" s="3">
        <f t="shared" si="7"/>
        <v>3.5958333333333332</v>
      </c>
    </row>
    <row r="275" spans="9:10" x14ac:dyDescent="0.15">
      <c r="I275" s="3">
        <v>268</v>
      </c>
      <c r="J275" s="3">
        <f t="shared" si="7"/>
        <v>3.5958333333333332</v>
      </c>
    </row>
    <row r="276" spans="9:10" x14ac:dyDescent="0.15">
      <c r="I276" s="3">
        <v>269</v>
      </c>
      <c r="J276" s="3">
        <f t="shared" si="7"/>
        <v>3.5958333333333332</v>
      </c>
    </row>
    <row r="277" spans="9:10" x14ac:dyDescent="0.15">
      <c r="I277" s="3">
        <v>270</v>
      </c>
      <c r="J277" s="3">
        <f t="shared" si="7"/>
        <v>3.5958333333333332</v>
      </c>
    </row>
    <row r="278" spans="9:10" x14ac:dyDescent="0.15">
      <c r="I278" s="3">
        <v>271</v>
      </c>
      <c r="J278" s="3">
        <f t="shared" si="7"/>
        <v>3.5958333333333332</v>
      </c>
    </row>
    <row r="279" spans="9:10" x14ac:dyDescent="0.15">
      <c r="I279" s="3">
        <v>272</v>
      </c>
      <c r="J279" s="3">
        <f t="shared" si="7"/>
        <v>3.5958333333333332</v>
      </c>
    </row>
    <row r="280" spans="9:10" x14ac:dyDescent="0.15">
      <c r="I280" s="3">
        <v>273</v>
      </c>
      <c r="J280" s="3">
        <f t="shared" si="7"/>
        <v>3.5958333333333332</v>
      </c>
    </row>
    <row r="281" spans="9:10" x14ac:dyDescent="0.15">
      <c r="I281" s="3">
        <v>274</v>
      </c>
      <c r="J281" s="3">
        <f t="shared" si="7"/>
        <v>3.5958333333333332</v>
      </c>
    </row>
    <row r="282" spans="9:10" x14ac:dyDescent="0.15">
      <c r="I282" s="3">
        <v>275</v>
      </c>
      <c r="J282" s="3">
        <f t="shared" si="7"/>
        <v>3.5958333333333332</v>
      </c>
    </row>
    <row r="283" spans="9:10" x14ac:dyDescent="0.15">
      <c r="I283" s="3">
        <v>276</v>
      </c>
      <c r="J283" s="3">
        <f t="shared" si="7"/>
        <v>3.5958333333333332</v>
      </c>
    </row>
    <row r="284" spans="9:10" x14ac:dyDescent="0.15">
      <c r="I284" s="3">
        <v>277</v>
      </c>
      <c r="J284" s="3">
        <f t="shared" si="7"/>
        <v>3.5958333333333332</v>
      </c>
    </row>
    <row r="285" spans="9:10" x14ac:dyDescent="0.15">
      <c r="I285" s="3">
        <v>278</v>
      </c>
      <c r="J285" s="3">
        <f t="shared" si="7"/>
        <v>3.5958333333333332</v>
      </c>
    </row>
    <row r="286" spans="9:10" x14ac:dyDescent="0.15">
      <c r="I286" s="3">
        <v>279</v>
      </c>
      <c r="J286" s="3">
        <f t="shared" si="7"/>
        <v>3.5958333333333332</v>
      </c>
    </row>
    <row r="287" spans="9:10" x14ac:dyDescent="0.15">
      <c r="I287" s="3">
        <v>280</v>
      </c>
      <c r="J287" s="3">
        <f t="shared" si="7"/>
        <v>3.5958333333333332</v>
      </c>
    </row>
    <row r="288" spans="9:10" x14ac:dyDescent="0.15">
      <c r="I288" s="3">
        <v>281</v>
      </c>
      <c r="J288" s="3">
        <f t="shared" si="7"/>
        <v>3.5958333333333332</v>
      </c>
    </row>
    <row r="289" spans="9:10" x14ac:dyDescent="0.15">
      <c r="I289" s="3">
        <v>282</v>
      </c>
      <c r="J289" s="3">
        <f t="shared" si="7"/>
        <v>3.5958333333333332</v>
      </c>
    </row>
    <row r="290" spans="9:10" x14ac:dyDescent="0.15">
      <c r="I290" s="3">
        <v>283</v>
      </c>
      <c r="J290" s="3">
        <f t="shared" si="7"/>
        <v>3.5958333333333332</v>
      </c>
    </row>
    <row r="291" spans="9:10" x14ac:dyDescent="0.15">
      <c r="I291" s="3">
        <v>284</v>
      </c>
      <c r="J291" s="3">
        <f t="shared" si="7"/>
        <v>3.5958333333333332</v>
      </c>
    </row>
    <row r="292" spans="9:10" x14ac:dyDescent="0.15">
      <c r="I292" s="3">
        <v>285</v>
      </c>
      <c r="J292" s="3">
        <f t="shared" si="7"/>
        <v>3.5958333333333332</v>
      </c>
    </row>
    <row r="293" spans="9:10" x14ac:dyDescent="0.15">
      <c r="I293" s="3">
        <v>286</v>
      </c>
      <c r="J293" s="3">
        <f t="shared" si="7"/>
        <v>3.5958333333333332</v>
      </c>
    </row>
    <row r="294" spans="9:10" x14ac:dyDescent="0.15">
      <c r="I294" s="3">
        <v>287</v>
      </c>
      <c r="J294" s="3">
        <f t="shared" si="7"/>
        <v>3.5958333333333332</v>
      </c>
    </row>
    <row r="295" spans="9:10" x14ac:dyDescent="0.15">
      <c r="I295" s="3">
        <v>288</v>
      </c>
      <c r="J295" s="3">
        <f t="shared" si="7"/>
        <v>3.5958333333333332</v>
      </c>
    </row>
    <row r="296" spans="9:10" x14ac:dyDescent="0.15">
      <c r="I296" s="3">
        <v>289</v>
      </c>
      <c r="J296" s="3">
        <f t="shared" si="7"/>
        <v>3.5958333333333332</v>
      </c>
    </row>
    <row r="297" spans="9:10" x14ac:dyDescent="0.15">
      <c r="I297" s="3">
        <v>290</v>
      </c>
      <c r="J297" s="3">
        <f t="shared" si="7"/>
        <v>3.5958333333333332</v>
      </c>
    </row>
    <row r="298" spans="9:10" x14ac:dyDescent="0.15">
      <c r="I298" s="3">
        <v>291</v>
      </c>
      <c r="J298" s="3">
        <f t="shared" si="7"/>
        <v>3.5958333333333332</v>
      </c>
    </row>
    <row r="299" spans="9:10" x14ac:dyDescent="0.15">
      <c r="I299" s="3">
        <v>292</v>
      </c>
      <c r="J299" s="3">
        <f t="shared" si="7"/>
        <v>3.5958333333333332</v>
      </c>
    </row>
    <row r="300" spans="9:10" x14ac:dyDescent="0.15">
      <c r="I300" s="3">
        <v>293</v>
      </c>
      <c r="J300" s="3">
        <f t="shared" si="7"/>
        <v>3.5958333333333332</v>
      </c>
    </row>
    <row r="301" spans="9:10" x14ac:dyDescent="0.15">
      <c r="I301" s="3">
        <v>294</v>
      </c>
      <c r="J301" s="3">
        <f t="shared" si="7"/>
        <v>3.5958333333333332</v>
      </c>
    </row>
    <row r="302" spans="9:10" x14ac:dyDescent="0.15">
      <c r="I302" s="3">
        <v>295</v>
      </c>
      <c r="J302" s="3">
        <f t="shared" si="7"/>
        <v>3.5958333333333332</v>
      </c>
    </row>
    <row r="303" spans="9:10" x14ac:dyDescent="0.15">
      <c r="I303" s="3">
        <v>296</v>
      </c>
      <c r="J303" s="3">
        <f t="shared" si="7"/>
        <v>3.5958333333333332</v>
      </c>
    </row>
    <row r="304" spans="9:10" x14ac:dyDescent="0.15">
      <c r="I304" s="3">
        <v>297</v>
      </c>
      <c r="J304" s="3">
        <f t="shared" si="7"/>
        <v>3.5958333333333332</v>
      </c>
    </row>
    <row r="305" spans="9:10" x14ac:dyDescent="0.15">
      <c r="I305" s="3">
        <v>298</v>
      </c>
      <c r="J305" s="3">
        <f t="shared" si="7"/>
        <v>3.5958333333333332</v>
      </c>
    </row>
    <row r="306" spans="9:10" x14ac:dyDescent="0.15">
      <c r="I306" s="3">
        <v>299</v>
      </c>
      <c r="J306" s="3">
        <f t="shared" si="7"/>
        <v>3.5958333333333332</v>
      </c>
    </row>
    <row r="307" spans="9:10" x14ac:dyDescent="0.15">
      <c r="I307" s="3">
        <v>300</v>
      </c>
      <c r="J307" s="3">
        <f t="shared" si="7"/>
        <v>3.5958333333333332</v>
      </c>
    </row>
    <row r="308" spans="9:10" x14ac:dyDescent="0.15">
      <c r="I308" s="3">
        <v>301</v>
      </c>
      <c r="J308" s="3">
        <f t="shared" si="7"/>
        <v>3.5958333333333332</v>
      </c>
    </row>
    <row r="309" spans="9:10" x14ac:dyDescent="0.15">
      <c r="I309" s="3">
        <v>302</v>
      </c>
      <c r="J309" s="3">
        <f t="shared" si="7"/>
        <v>3.5958333333333332</v>
      </c>
    </row>
    <row r="310" spans="9:10" x14ac:dyDescent="0.15">
      <c r="I310" s="3">
        <v>303</v>
      </c>
      <c r="J310" s="3">
        <f t="shared" si="7"/>
        <v>3.5958333333333332</v>
      </c>
    </row>
    <row r="311" spans="9:10" x14ac:dyDescent="0.15">
      <c r="I311" s="3">
        <v>304</v>
      </c>
      <c r="J311" s="3">
        <f t="shared" si="7"/>
        <v>3.5958333333333332</v>
      </c>
    </row>
    <row r="312" spans="9:10" x14ac:dyDescent="0.15">
      <c r="I312" s="3">
        <v>305</v>
      </c>
      <c r="J312" s="3">
        <f t="shared" si="7"/>
        <v>3.5958333333333332</v>
      </c>
    </row>
    <row r="313" spans="9:10" x14ac:dyDescent="0.15">
      <c r="I313" s="3">
        <v>306</v>
      </c>
      <c r="J313" s="3">
        <f t="shared" si="7"/>
        <v>3.5958333333333332</v>
      </c>
    </row>
    <row r="314" spans="9:10" x14ac:dyDescent="0.15">
      <c r="I314" s="3">
        <v>307</v>
      </c>
      <c r="J314" s="3">
        <f t="shared" si="7"/>
        <v>3.5958333333333332</v>
      </c>
    </row>
    <row r="315" spans="9:10" x14ac:dyDescent="0.15">
      <c r="I315" s="3">
        <v>308</v>
      </c>
      <c r="J315" s="3">
        <f t="shared" si="7"/>
        <v>3.5958333333333332</v>
      </c>
    </row>
    <row r="316" spans="9:10" x14ac:dyDescent="0.15">
      <c r="I316" s="3">
        <v>309</v>
      </c>
      <c r="J316" s="3">
        <f t="shared" si="7"/>
        <v>3.5958333333333332</v>
      </c>
    </row>
    <row r="317" spans="9:10" x14ac:dyDescent="0.15">
      <c r="I317" s="3">
        <v>310</v>
      </c>
      <c r="J317" s="3">
        <f t="shared" si="7"/>
        <v>3.5958333333333332</v>
      </c>
    </row>
    <row r="318" spans="9:10" x14ac:dyDescent="0.15">
      <c r="I318" s="3">
        <v>311</v>
      </c>
      <c r="J318" s="3">
        <f t="shared" si="7"/>
        <v>3.5958333333333332</v>
      </c>
    </row>
    <row r="319" spans="9:10" x14ac:dyDescent="0.15">
      <c r="I319" s="3">
        <v>312</v>
      </c>
      <c r="J319" s="3">
        <f t="shared" si="7"/>
        <v>3.5958333333333332</v>
      </c>
    </row>
    <row r="320" spans="9:10" x14ac:dyDescent="0.15">
      <c r="I320" s="3">
        <v>313</v>
      </c>
      <c r="J320" s="3">
        <f t="shared" si="7"/>
        <v>3.5958333333333332</v>
      </c>
    </row>
    <row r="321" spans="9:10" x14ac:dyDescent="0.15">
      <c r="I321" s="3">
        <v>314</v>
      </c>
      <c r="J321" s="3">
        <f t="shared" si="7"/>
        <v>3.5958333333333332</v>
      </c>
    </row>
    <row r="322" spans="9:10" x14ac:dyDescent="0.15">
      <c r="I322" s="3">
        <v>315</v>
      </c>
      <c r="J322" s="3">
        <f t="shared" si="7"/>
        <v>3.5958333333333332</v>
      </c>
    </row>
    <row r="323" spans="9:10" x14ac:dyDescent="0.15">
      <c r="I323" s="3">
        <v>316</v>
      </c>
      <c r="J323" s="3">
        <f t="shared" si="7"/>
        <v>3.5958333333333332</v>
      </c>
    </row>
    <row r="324" spans="9:10" x14ac:dyDescent="0.15">
      <c r="I324" s="3">
        <v>317</v>
      </c>
      <c r="J324" s="3">
        <f t="shared" si="7"/>
        <v>3.5958333333333332</v>
      </c>
    </row>
    <row r="325" spans="9:10" x14ac:dyDescent="0.15">
      <c r="I325" s="3">
        <v>318</v>
      </c>
      <c r="J325" s="3">
        <f t="shared" si="7"/>
        <v>3.5958333333333332</v>
      </c>
    </row>
    <row r="326" spans="9:10" x14ac:dyDescent="0.15">
      <c r="I326" s="3">
        <v>319</v>
      </c>
      <c r="J326" s="3">
        <f t="shared" si="7"/>
        <v>3.5958333333333332</v>
      </c>
    </row>
    <row r="327" spans="9:10" x14ac:dyDescent="0.15">
      <c r="I327" s="3">
        <v>320</v>
      </c>
      <c r="J327" s="3">
        <f t="shared" si="7"/>
        <v>3.5958333333333332</v>
      </c>
    </row>
    <row r="328" spans="9:10" x14ac:dyDescent="0.15">
      <c r="I328" s="3">
        <v>321</v>
      </c>
      <c r="J328" s="3">
        <f t="shared" si="7"/>
        <v>3.5958333333333332</v>
      </c>
    </row>
    <row r="329" spans="9:10" x14ac:dyDescent="0.15">
      <c r="I329" s="3">
        <v>322</v>
      </c>
      <c r="J329" s="3">
        <f t="shared" ref="J329:J392" si="8">IF(I329&lt;$I$4,1,IF(I329&gt;$J$4,$G$4,($G$4-1)*($K$4+$L$4*((I329-$I$4)/($J$4-$I$4))^1+$M$4*((I329-$I$4)/($J$4-$I$4))^2+$N$4*((I329-$I$4)/($J$4-$I$4))^3+$O$4*((I329-$I$4)/($J$4-$I$4))^4)+1))</f>
        <v>3.5958333333333332</v>
      </c>
    </row>
    <row r="330" spans="9:10" x14ac:dyDescent="0.15">
      <c r="I330" s="3">
        <v>323</v>
      </c>
      <c r="J330" s="3">
        <f t="shared" si="8"/>
        <v>3.5958333333333332</v>
      </c>
    </row>
    <row r="331" spans="9:10" x14ac:dyDescent="0.15">
      <c r="I331" s="3">
        <v>324</v>
      </c>
      <c r="J331" s="3">
        <f t="shared" si="8"/>
        <v>3.5958333333333332</v>
      </c>
    </row>
    <row r="332" spans="9:10" x14ac:dyDescent="0.15">
      <c r="I332" s="3">
        <v>325</v>
      </c>
      <c r="J332" s="3">
        <f t="shared" si="8"/>
        <v>3.5958333333333332</v>
      </c>
    </row>
    <row r="333" spans="9:10" x14ac:dyDescent="0.15">
      <c r="I333" s="3">
        <v>326</v>
      </c>
      <c r="J333" s="3">
        <f t="shared" si="8"/>
        <v>3.5958333333333332</v>
      </c>
    </row>
    <row r="334" spans="9:10" x14ac:dyDescent="0.15">
      <c r="I334" s="3">
        <v>327</v>
      </c>
      <c r="J334" s="3">
        <f t="shared" si="8"/>
        <v>3.5958333333333332</v>
      </c>
    </row>
    <row r="335" spans="9:10" x14ac:dyDescent="0.15">
      <c r="I335" s="3">
        <v>328</v>
      </c>
      <c r="J335" s="3">
        <f t="shared" si="8"/>
        <v>3.5958333333333332</v>
      </c>
    </row>
    <row r="336" spans="9:10" x14ac:dyDescent="0.15">
      <c r="I336" s="3">
        <v>329</v>
      </c>
      <c r="J336" s="3">
        <f t="shared" si="8"/>
        <v>3.5958333333333332</v>
      </c>
    </row>
    <row r="337" spans="9:10" x14ac:dyDescent="0.15">
      <c r="I337" s="3">
        <v>330</v>
      </c>
      <c r="J337" s="3">
        <f t="shared" si="8"/>
        <v>3.5958333333333332</v>
      </c>
    </row>
    <row r="338" spans="9:10" x14ac:dyDescent="0.15">
      <c r="I338" s="3">
        <v>331</v>
      </c>
      <c r="J338" s="3">
        <f t="shared" si="8"/>
        <v>3.5958333333333332</v>
      </c>
    </row>
    <row r="339" spans="9:10" x14ac:dyDescent="0.15">
      <c r="I339" s="3">
        <v>332</v>
      </c>
      <c r="J339" s="3">
        <f t="shared" si="8"/>
        <v>3.5958333333333332</v>
      </c>
    </row>
    <row r="340" spans="9:10" x14ac:dyDescent="0.15">
      <c r="I340" s="3">
        <v>333</v>
      </c>
      <c r="J340" s="3">
        <f t="shared" si="8"/>
        <v>3.5958333333333332</v>
      </c>
    </row>
    <row r="341" spans="9:10" x14ac:dyDescent="0.15">
      <c r="I341" s="3">
        <v>334</v>
      </c>
      <c r="J341" s="3">
        <f t="shared" si="8"/>
        <v>3.5958333333333332</v>
      </c>
    </row>
    <row r="342" spans="9:10" x14ac:dyDescent="0.15">
      <c r="I342" s="3">
        <v>335</v>
      </c>
      <c r="J342" s="3">
        <f t="shared" si="8"/>
        <v>3.5958333333333332</v>
      </c>
    </row>
    <row r="343" spans="9:10" x14ac:dyDescent="0.15">
      <c r="I343" s="3">
        <v>336</v>
      </c>
      <c r="J343" s="3">
        <f t="shared" si="8"/>
        <v>3.5958333333333332</v>
      </c>
    </row>
    <row r="344" spans="9:10" x14ac:dyDescent="0.15">
      <c r="I344" s="3">
        <v>337</v>
      </c>
      <c r="J344" s="3">
        <f t="shared" si="8"/>
        <v>3.5958333333333332</v>
      </c>
    </row>
    <row r="345" spans="9:10" x14ac:dyDescent="0.15">
      <c r="I345" s="3">
        <v>338</v>
      </c>
      <c r="J345" s="3">
        <f t="shared" si="8"/>
        <v>3.5958333333333332</v>
      </c>
    </row>
    <row r="346" spans="9:10" x14ac:dyDescent="0.15">
      <c r="I346" s="3">
        <v>339</v>
      </c>
      <c r="J346" s="3">
        <f t="shared" si="8"/>
        <v>3.5958333333333332</v>
      </c>
    </row>
    <row r="347" spans="9:10" x14ac:dyDescent="0.15">
      <c r="I347" s="3">
        <v>340</v>
      </c>
      <c r="J347" s="3">
        <f t="shared" si="8"/>
        <v>3.5958333333333332</v>
      </c>
    </row>
    <row r="348" spans="9:10" x14ac:dyDescent="0.15">
      <c r="I348" s="3">
        <v>341</v>
      </c>
      <c r="J348" s="3">
        <f t="shared" si="8"/>
        <v>3.5958333333333332</v>
      </c>
    </row>
    <row r="349" spans="9:10" x14ac:dyDescent="0.15">
      <c r="I349" s="3">
        <v>342</v>
      </c>
      <c r="J349" s="3">
        <f t="shared" si="8"/>
        <v>3.5958333333333332</v>
      </c>
    </row>
    <row r="350" spans="9:10" x14ac:dyDescent="0.15">
      <c r="I350" s="3">
        <v>343</v>
      </c>
      <c r="J350" s="3">
        <f t="shared" si="8"/>
        <v>3.5958333333333332</v>
      </c>
    </row>
    <row r="351" spans="9:10" x14ac:dyDescent="0.15">
      <c r="I351" s="3">
        <v>344</v>
      </c>
      <c r="J351" s="3">
        <f t="shared" si="8"/>
        <v>3.5958333333333332</v>
      </c>
    </row>
    <row r="352" spans="9:10" x14ac:dyDescent="0.15">
      <c r="I352" s="3">
        <v>345</v>
      </c>
      <c r="J352" s="3">
        <f t="shared" si="8"/>
        <v>3.5958333333333332</v>
      </c>
    </row>
    <row r="353" spans="9:10" x14ac:dyDescent="0.15">
      <c r="I353" s="3">
        <v>346</v>
      </c>
      <c r="J353" s="3">
        <f t="shared" si="8"/>
        <v>3.5958333333333332</v>
      </c>
    </row>
    <row r="354" spans="9:10" x14ac:dyDescent="0.15">
      <c r="I354" s="3">
        <v>347</v>
      </c>
      <c r="J354" s="3">
        <f t="shared" si="8"/>
        <v>3.5958333333333332</v>
      </c>
    </row>
    <row r="355" spans="9:10" x14ac:dyDescent="0.15">
      <c r="I355" s="3">
        <v>348</v>
      </c>
      <c r="J355" s="3">
        <f t="shared" si="8"/>
        <v>3.5958333333333332</v>
      </c>
    </row>
    <row r="356" spans="9:10" x14ac:dyDescent="0.15">
      <c r="I356" s="3">
        <v>349</v>
      </c>
      <c r="J356" s="3">
        <f t="shared" si="8"/>
        <v>3.5958333333333332</v>
      </c>
    </row>
    <row r="357" spans="9:10" x14ac:dyDescent="0.15">
      <c r="I357" s="3">
        <v>350</v>
      </c>
      <c r="J357" s="3">
        <f t="shared" si="8"/>
        <v>3.5958333333333332</v>
      </c>
    </row>
    <row r="358" spans="9:10" x14ac:dyDescent="0.15">
      <c r="I358" s="3">
        <v>351</v>
      </c>
      <c r="J358" s="3">
        <f t="shared" si="8"/>
        <v>3.5958333333333332</v>
      </c>
    </row>
    <row r="359" spans="9:10" x14ac:dyDescent="0.15">
      <c r="I359" s="3">
        <v>352</v>
      </c>
      <c r="J359" s="3">
        <f t="shared" si="8"/>
        <v>3.5958333333333332</v>
      </c>
    </row>
    <row r="360" spans="9:10" x14ac:dyDescent="0.15">
      <c r="I360" s="3">
        <v>353</v>
      </c>
      <c r="J360" s="3">
        <f t="shared" si="8"/>
        <v>3.5958333333333332</v>
      </c>
    </row>
    <row r="361" spans="9:10" x14ac:dyDescent="0.15">
      <c r="I361" s="3">
        <v>354</v>
      </c>
      <c r="J361" s="3">
        <f t="shared" si="8"/>
        <v>3.5958333333333332</v>
      </c>
    </row>
    <row r="362" spans="9:10" x14ac:dyDescent="0.15">
      <c r="I362" s="3">
        <v>355</v>
      </c>
      <c r="J362" s="3">
        <f t="shared" si="8"/>
        <v>3.5958333333333332</v>
      </c>
    </row>
    <row r="363" spans="9:10" x14ac:dyDescent="0.15">
      <c r="I363" s="3">
        <v>356</v>
      </c>
      <c r="J363" s="3">
        <f t="shared" si="8"/>
        <v>3.5958333333333332</v>
      </c>
    </row>
    <row r="364" spans="9:10" x14ac:dyDescent="0.15">
      <c r="I364" s="3">
        <v>357</v>
      </c>
      <c r="J364" s="3">
        <f t="shared" si="8"/>
        <v>3.5958333333333332</v>
      </c>
    </row>
    <row r="365" spans="9:10" x14ac:dyDescent="0.15">
      <c r="I365" s="3">
        <v>358</v>
      </c>
      <c r="J365" s="3">
        <f t="shared" si="8"/>
        <v>3.5958333333333332</v>
      </c>
    </row>
    <row r="366" spans="9:10" x14ac:dyDescent="0.15">
      <c r="I366" s="3">
        <v>359</v>
      </c>
      <c r="J366" s="3">
        <f t="shared" si="8"/>
        <v>3.5958333333333332</v>
      </c>
    </row>
    <row r="367" spans="9:10" x14ac:dyDescent="0.15">
      <c r="I367" s="3">
        <v>360</v>
      </c>
      <c r="J367" s="3">
        <f t="shared" si="8"/>
        <v>3.5958333333333332</v>
      </c>
    </row>
    <row r="368" spans="9:10" x14ac:dyDescent="0.15">
      <c r="I368" s="3">
        <v>361</v>
      </c>
      <c r="J368" s="3">
        <f t="shared" si="8"/>
        <v>3.5958333333333332</v>
      </c>
    </row>
    <row r="369" spans="9:10" x14ac:dyDescent="0.15">
      <c r="I369" s="3">
        <v>362</v>
      </c>
      <c r="J369" s="3">
        <f t="shared" si="8"/>
        <v>3.5958333333333332</v>
      </c>
    </row>
    <row r="370" spans="9:10" x14ac:dyDescent="0.15">
      <c r="I370" s="3">
        <v>363</v>
      </c>
      <c r="J370" s="3">
        <f t="shared" si="8"/>
        <v>3.5958333333333332</v>
      </c>
    </row>
    <row r="371" spans="9:10" x14ac:dyDescent="0.15">
      <c r="I371" s="3">
        <v>364</v>
      </c>
      <c r="J371" s="3">
        <f t="shared" si="8"/>
        <v>3.5958333333333332</v>
      </c>
    </row>
    <row r="372" spans="9:10" x14ac:dyDescent="0.15">
      <c r="I372" s="3">
        <v>365</v>
      </c>
      <c r="J372" s="3">
        <f t="shared" si="8"/>
        <v>3.5958333333333332</v>
      </c>
    </row>
    <row r="373" spans="9:10" x14ac:dyDescent="0.15">
      <c r="I373" s="3">
        <v>366</v>
      </c>
      <c r="J373" s="3">
        <f t="shared" si="8"/>
        <v>3.5958333333333332</v>
      </c>
    </row>
    <row r="374" spans="9:10" x14ac:dyDescent="0.15">
      <c r="I374" s="3">
        <v>367</v>
      </c>
      <c r="J374" s="3">
        <f t="shared" si="8"/>
        <v>3.5958333333333332</v>
      </c>
    </row>
    <row r="375" spans="9:10" x14ac:dyDescent="0.15">
      <c r="I375" s="3">
        <v>368</v>
      </c>
      <c r="J375" s="3">
        <f t="shared" si="8"/>
        <v>3.5958333333333332</v>
      </c>
    </row>
    <row r="376" spans="9:10" x14ac:dyDescent="0.15">
      <c r="I376" s="3">
        <v>369</v>
      </c>
      <c r="J376" s="3">
        <f t="shared" si="8"/>
        <v>3.5958333333333332</v>
      </c>
    </row>
    <row r="377" spans="9:10" x14ac:dyDescent="0.15">
      <c r="I377" s="3">
        <v>370</v>
      </c>
      <c r="J377" s="3">
        <f t="shared" si="8"/>
        <v>3.5958333333333332</v>
      </c>
    </row>
    <row r="378" spans="9:10" x14ac:dyDescent="0.15">
      <c r="I378" s="3">
        <v>371</v>
      </c>
      <c r="J378" s="3">
        <f t="shared" si="8"/>
        <v>3.5958333333333332</v>
      </c>
    </row>
    <row r="379" spans="9:10" x14ac:dyDescent="0.15">
      <c r="I379" s="3">
        <v>372</v>
      </c>
      <c r="J379" s="3">
        <f t="shared" si="8"/>
        <v>3.5958333333333332</v>
      </c>
    </row>
    <row r="380" spans="9:10" x14ac:dyDescent="0.15">
      <c r="I380" s="3">
        <v>373</v>
      </c>
      <c r="J380" s="3">
        <f t="shared" si="8"/>
        <v>3.5958333333333332</v>
      </c>
    </row>
    <row r="381" spans="9:10" x14ac:dyDescent="0.15">
      <c r="I381" s="3">
        <v>374</v>
      </c>
      <c r="J381" s="3">
        <f t="shared" si="8"/>
        <v>3.5958333333333332</v>
      </c>
    </row>
    <row r="382" spans="9:10" x14ac:dyDescent="0.15">
      <c r="I382" s="3">
        <v>375</v>
      </c>
      <c r="J382" s="3">
        <f t="shared" si="8"/>
        <v>3.5958333333333332</v>
      </c>
    </row>
    <row r="383" spans="9:10" x14ac:dyDescent="0.15">
      <c r="I383" s="3">
        <v>376</v>
      </c>
      <c r="J383" s="3">
        <f t="shared" si="8"/>
        <v>3.5958333333333332</v>
      </c>
    </row>
    <row r="384" spans="9:10" x14ac:dyDescent="0.15">
      <c r="I384" s="3">
        <v>377</v>
      </c>
      <c r="J384" s="3">
        <f t="shared" si="8"/>
        <v>3.5958333333333332</v>
      </c>
    </row>
    <row r="385" spans="9:10" x14ac:dyDescent="0.15">
      <c r="I385" s="3">
        <v>378</v>
      </c>
      <c r="J385" s="3">
        <f t="shared" si="8"/>
        <v>3.5958333333333332</v>
      </c>
    </row>
    <row r="386" spans="9:10" x14ac:dyDescent="0.15">
      <c r="I386" s="3">
        <v>379</v>
      </c>
      <c r="J386" s="3">
        <f t="shared" si="8"/>
        <v>3.5958333333333332</v>
      </c>
    </row>
    <row r="387" spans="9:10" x14ac:dyDescent="0.15">
      <c r="I387" s="3">
        <v>380</v>
      </c>
      <c r="J387" s="3">
        <f t="shared" si="8"/>
        <v>3.5958333333333332</v>
      </c>
    </row>
    <row r="388" spans="9:10" x14ac:dyDescent="0.15">
      <c r="I388" s="3">
        <v>381</v>
      </c>
      <c r="J388" s="3">
        <f t="shared" si="8"/>
        <v>3.5958333333333332</v>
      </c>
    </row>
    <row r="389" spans="9:10" x14ac:dyDescent="0.15">
      <c r="I389" s="3">
        <v>382</v>
      </c>
      <c r="J389" s="3">
        <f t="shared" si="8"/>
        <v>3.5958333333333332</v>
      </c>
    </row>
    <row r="390" spans="9:10" x14ac:dyDescent="0.15">
      <c r="I390" s="3">
        <v>383</v>
      </c>
      <c r="J390" s="3">
        <f t="shared" si="8"/>
        <v>3.5958333333333332</v>
      </c>
    </row>
    <row r="391" spans="9:10" x14ac:dyDescent="0.15">
      <c r="I391" s="3">
        <v>384</v>
      </c>
      <c r="J391" s="3">
        <f t="shared" si="8"/>
        <v>3.5958333333333332</v>
      </c>
    </row>
    <row r="392" spans="9:10" x14ac:dyDescent="0.15">
      <c r="I392" s="3">
        <v>385</v>
      </c>
      <c r="J392" s="3">
        <f t="shared" si="8"/>
        <v>3.5958333333333332</v>
      </c>
    </row>
    <row r="393" spans="9:10" x14ac:dyDescent="0.15">
      <c r="I393" s="3">
        <v>386</v>
      </c>
      <c r="J393" s="3">
        <f t="shared" ref="J393:J456" si="9">IF(I393&lt;$I$4,1,IF(I393&gt;$J$4,$G$4,($G$4-1)*($K$4+$L$4*((I393-$I$4)/($J$4-$I$4))^1+$M$4*((I393-$I$4)/($J$4-$I$4))^2+$N$4*((I393-$I$4)/($J$4-$I$4))^3+$O$4*((I393-$I$4)/($J$4-$I$4))^4)+1))</f>
        <v>3.5958333333333332</v>
      </c>
    </row>
    <row r="394" spans="9:10" x14ac:dyDescent="0.15">
      <c r="I394" s="3">
        <v>387</v>
      </c>
      <c r="J394" s="3">
        <f t="shared" si="9"/>
        <v>3.5958333333333332</v>
      </c>
    </row>
    <row r="395" spans="9:10" x14ac:dyDescent="0.15">
      <c r="I395" s="3">
        <v>388</v>
      </c>
      <c r="J395" s="3">
        <f t="shared" si="9"/>
        <v>3.5958333333333332</v>
      </c>
    </row>
    <row r="396" spans="9:10" x14ac:dyDescent="0.15">
      <c r="I396" s="3">
        <v>389</v>
      </c>
      <c r="J396" s="3">
        <f t="shared" si="9"/>
        <v>3.5958333333333332</v>
      </c>
    </row>
    <row r="397" spans="9:10" x14ac:dyDescent="0.15">
      <c r="I397" s="3">
        <v>390</v>
      </c>
      <c r="J397" s="3">
        <f t="shared" si="9"/>
        <v>3.5958333333333332</v>
      </c>
    </row>
    <row r="398" spans="9:10" x14ac:dyDescent="0.15">
      <c r="I398" s="3">
        <v>391</v>
      </c>
      <c r="J398" s="3">
        <f t="shared" si="9"/>
        <v>3.5958333333333332</v>
      </c>
    </row>
    <row r="399" spans="9:10" x14ac:dyDescent="0.15">
      <c r="I399" s="3">
        <v>392</v>
      </c>
      <c r="J399" s="3">
        <f t="shared" si="9"/>
        <v>3.5958333333333332</v>
      </c>
    </row>
    <row r="400" spans="9:10" x14ac:dyDescent="0.15">
      <c r="I400" s="3">
        <v>393</v>
      </c>
      <c r="J400" s="3">
        <f t="shared" si="9"/>
        <v>3.5958333333333332</v>
      </c>
    </row>
    <row r="401" spans="9:10" x14ac:dyDescent="0.15">
      <c r="I401" s="3">
        <v>394</v>
      </c>
      <c r="J401" s="3">
        <f t="shared" si="9"/>
        <v>3.5958333333333332</v>
      </c>
    </row>
    <row r="402" spans="9:10" x14ac:dyDescent="0.15">
      <c r="I402" s="3">
        <v>395</v>
      </c>
      <c r="J402" s="3">
        <f t="shared" si="9"/>
        <v>3.5958333333333332</v>
      </c>
    </row>
    <row r="403" spans="9:10" x14ac:dyDescent="0.15">
      <c r="I403" s="3">
        <v>396</v>
      </c>
      <c r="J403" s="3">
        <f t="shared" si="9"/>
        <v>3.5958333333333332</v>
      </c>
    </row>
    <row r="404" spans="9:10" x14ac:dyDescent="0.15">
      <c r="I404" s="3">
        <v>397</v>
      </c>
      <c r="J404" s="3">
        <f t="shared" si="9"/>
        <v>3.5958333333333332</v>
      </c>
    </row>
    <row r="405" spans="9:10" x14ac:dyDescent="0.15">
      <c r="I405" s="3">
        <v>398</v>
      </c>
      <c r="J405" s="3">
        <f t="shared" si="9"/>
        <v>3.5958333333333332</v>
      </c>
    </row>
    <row r="406" spans="9:10" x14ac:dyDescent="0.15">
      <c r="I406" s="3">
        <v>399</v>
      </c>
      <c r="J406" s="3">
        <f t="shared" si="9"/>
        <v>3.5958333333333332</v>
      </c>
    </row>
    <row r="407" spans="9:10" x14ac:dyDescent="0.15">
      <c r="I407" s="3">
        <v>400</v>
      </c>
      <c r="J407" s="3">
        <f t="shared" si="9"/>
        <v>3.5958333333333332</v>
      </c>
    </row>
    <row r="408" spans="9:10" x14ac:dyDescent="0.15">
      <c r="I408" s="3">
        <v>401</v>
      </c>
      <c r="J408" s="3">
        <f t="shared" si="9"/>
        <v>3.5958333333333332</v>
      </c>
    </row>
    <row r="409" spans="9:10" x14ac:dyDescent="0.15">
      <c r="I409" s="3">
        <v>402</v>
      </c>
      <c r="J409" s="3">
        <f t="shared" si="9"/>
        <v>3.5958333333333332</v>
      </c>
    </row>
    <row r="410" spans="9:10" x14ac:dyDescent="0.15">
      <c r="I410" s="3">
        <v>403</v>
      </c>
      <c r="J410" s="3">
        <f t="shared" si="9"/>
        <v>3.5958333333333332</v>
      </c>
    </row>
    <row r="411" spans="9:10" x14ac:dyDescent="0.15">
      <c r="I411" s="3">
        <v>404</v>
      </c>
      <c r="J411" s="3">
        <f t="shared" si="9"/>
        <v>3.5958333333333332</v>
      </c>
    </row>
    <row r="412" spans="9:10" x14ac:dyDescent="0.15">
      <c r="I412" s="3">
        <v>405</v>
      </c>
      <c r="J412" s="3">
        <f t="shared" si="9"/>
        <v>3.5958333333333332</v>
      </c>
    </row>
    <row r="413" spans="9:10" x14ac:dyDescent="0.15">
      <c r="I413" s="3">
        <v>406</v>
      </c>
      <c r="J413" s="3">
        <f t="shared" si="9"/>
        <v>3.5958333333333332</v>
      </c>
    </row>
    <row r="414" spans="9:10" x14ac:dyDescent="0.15">
      <c r="I414" s="3">
        <v>407</v>
      </c>
      <c r="J414" s="3">
        <f t="shared" si="9"/>
        <v>3.5958333333333332</v>
      </c>
    </row>
    <row r="415" spans="9:10" x14ac:dyDescent="0.15">
      <c r="I415" s="3">
        <v>408</v>
      </c>
      <c r="J415" s="3">
        <f t="shared" si="9"/>
        <v>3.5958333333333332</v>
      </c>
    </row>
    <row r="416" spans="9:10" x14ac:dyDescent="0.15">
      <c r="I416" s="3">
        <v>409</v>
      </c>
      <c r="J416" s="3">
        <f t="shared" si="9"/>
        <v>3.5958333333333332</v>
      </c>
    </row>
    <row r="417" spans="9:10" x14ac:dyDescent="0.15">
      <c r="I417" s="3">
        <v>410</v>
      </c>
      <c r="J417" s="3">
        <f t="shared" si="9"/>
        <v>3.5958333333333332</v>
      </c>
    </row>
    <row r="418" spans="9:10" x14ac:dyDescent="0.15">
      <c r="I418" s="3">
        <v>411</v>
      </c>
      <c r="J418" s="3">
        <f t="shared" si="9"/>
        <v>3.5958333333333332</v>
      </c>
    </row>
    <row r="419" spans="9:10" x14ac:dyDescent="0.15">
      <c r="I419" s="3">
        <v>412</v>
      </c>
      <c r="J419" s="3">
        <f t="shared" si="9"/>
        <v>3.5958333333333332</v>
      </c>
    </row>
    <row r="420" spans="9:10" x14ac:dyDescent="0.15">
      <c r="I420" s="3">
        <v>413</v>
      </c>
      <c r="J420" s="3">
        <f t="shared" si="9"/>
        <v>3.5958333333333332</v>
      </c>
    </row>
    <row r="421" spans="9:10" x14ac:dyDescent="0.15">
      <c r="I421" s="3">
        <v>414</v>
      </c>
      <c r="J421" s="3">
        <f t="shared" si="9"/>
        <v>3.5958333333333332</v>
      </c>
    </row>
    <row r="422" spans="9:10" x14ac:dyDescent="0.15">
      <c r="I422" s="3">
        <v>415</v>
      </c>
      <c r="J422" s="3">
        <f t="shared" si="9"/>
        <v>3.5958333333333332</v>
      </c>
    </row>
    <row r="423" spans="9:10" x14ac:dyDescent="0.15">
      <c r="I423" s="3">
        <v>416</v>
      </c>
      <c r="J423" s="3">
        <f t="shared" si="9"/>
        <v>3.5958333333333332</v>
      </c>
    </row>
    <row r="424" spans="9:10" x14ac:dyDescent="0.15">
      <c r="I424" s="3">
        <v>417</v>
      </c>
      <c r="J424" s="3">
        <f t="shared" si="9"/>
        <v>3.5958333333333332</v>
      </c>
    </row>
    <row r="425" spans="9:10" x14ac:dyDescent="0.15">
      <c r="I425" s="3">
        <v>418</v>
      </c>
      <c r="J425" s="3">
        <f t="shared" si="9"/>
        <v>3.5958333333333332</v>
      </c>
    </row>
    <row r="426" spans="9:10" x14ac:dyDescent="0.15">
      <c r="I426" s="3">
        <v>419</v>
      </c>
      <c r="J426" s="3">
        <f t="shared" si="9"/>
        <v>3.5958333333333332</v>
      </c>
    </row>
    <row r="427" spans="9:10" x14ac:dyDescent="0.15">
      <c r="I427" s="3">
        <v>420</v>
      </c>
      <c r="J427" s="3">
        <f t="shared" si="9"/>
        <v>3.5958333333333332</v>
      </c>
    </row>
    <row r="428" spans="9:10" x14ac:dyDescent="0.15">
      <c r="I428" s="3">
        <v>421</v>
      </c>
      <c r="J428" s="3">
        <f t="shared" si="9"/>
        <v>3.5958333333333332</v>
      </c>
    </row>
    <row r="429" spans="9:10" x14ac:dyDescent="0.15">
      <c r="I429" s="3">
        <v>422</v>
      </c>
      <c r="J429" s="3">
        <f t="shared" si="9"/>
        <v>3.5958333333333332</v>
      </c>
    </row>
    <row r="430" spans="9:10" x14ac:dyDescent="0.15">
      <c r="I430" s="3">
        <v>423</v>
      </c>
      <c r="J430" s="3">
        <f t="shared" si="9"/>
        <v>3.5958333333333332</v>
      </c>
    </row>
    <row r="431" spans="9:10" x14ac:dyDescent="0.15">
      <c r="I431" s="3">
        <v>424</v>
      </c>
      <c r="J431" s="3">
        <f t="shared" si="9"/>
        <v>3.5958333333333332</v>
      </c>
    </row>
    <row r="432" spans="9:10" x14ac:dyDescent="0.15">
      <c r="I432" s="3">
        <v>425</v>
      </c>
      <c r="J432" s="3">
        <f t="shared" si="9"/>
        <v>3.5958333333333332</v>
      </c>
    </row>
    <row r="433" spans="9:10" x14ac:dyDescent="0.15">
      <c r="I433" s="3">
        <v>426</v>
      </c>
      <c r="J433" s="3">
        <f t="shared" si="9"/>
        <v>3.5958333333333332</v>
      </c>
    </row>
    <row r="434" spans="9:10" x14ac:dyDescent="0.15">
      <c r="I434" s="3">
        <v>427</v>
      </c>
      <c r="J434" s="3">
        <f t="shared" si="9"/>
        <v>3.5958333333333332</v>
      </c>
    </row>
    <row r="435" spans="9:10" x14ac:dyDescent="0.15">
      <c r="I435" s="3">
        <v>428</v>
      </c>
      <c r="J435" s="3">
        <f t="shared" si="9"/>
        <v>3.5958333333333332</v>
      </c>
    </row>
    <row r="436" spans="9:10" x14ac:dyDescent="0.15">
      <c r="I436" s="3">
        <v>429</v>
      </c>
      <c r="J436" s="3">
        <f t="shared" si="9"/>
        <v>3.5958333333333332</v>
      </c>
    </row>
    <row r="437" spans="9:10" x14ac:dyDescent="0.15">
      <c r="I437" s="3">
        <v>430</v>
      </c>
      <c r="J437" s="3">
        <f t="shared" si="9"/>
        <v>3.5958333333333332</v>
      </c>
    </row>
    <row r="438" spans="9:10" x14ac:dyDescent="0.15">
      <c r="I438" s="3">
        <v>431</v>
      </c>
      <c r="J438" s="3">
        <f t="shared" si="9"/>
        <v>3.5958333333333332</v>
      </c>
    </row>
    <row r="439" spans="9:10" x14ac:dyDescent="0.15">
      <c r="I439" s="3">
        <v>432</v>
      </c>
      <c r="J439" s="3">
        <f t="shared" si="9"/>
        <v>3.5958333333333332</v>
      </c>
    </row>
    <row r="440" spans="9:10" x14ac:dyDescent="0.15">
      <c r="I440" s="3">
        <v>433</v>
      </c>
      <c r="J440" s="3">
        <f t="shared" si="9"/>
        <v>3.5958333333333332</v>
      </c>
    </row>
    <row r="441" spans="9:10" x14ac:dyDescent="0.15">
      <c r="I441" s="3">
        <v>434</v>
      </c>
      <c r="J441" s="3">
        <f t="shared" si="9"/>
        <v>3.5958333333333332</v>
      </c>
    </row>
    <row r="442" spans="9:10" x14ac:dyDescent="0.15">
      <c r="I442" s="3">
        <v>435</v>
      </c>
      <c r="J442" s="3">
        <f t="shared" si="9"/>
        <v>3.5958333333333332</v>
      </c>
    </row>
    <row r="443" spans="9:10" x14ac:dyDescent="0.15">
      <c r="I443" s="3">
        <v>436</v>
      </c>
      <c r="J443" s="3">
        <f t="shared" si="9"/>
        <v>3.5958333333333332</v>
      </c>
    </row>
    <row r="444" spans="9:10" x14ac:dyDescent="0.15">
      <c r="I444" s="3">
        <v>437</v>
      </c>
      <c r="J444" s="3">
        <f t="shared" si="9"/>
        <v>3.5958333333333332</v>
      </c>
    </row>
    <row r="445" spans="9:10" x14ac:dyDescent="0.15">
      <c r="I445" s="3">
        <v>438</v>
      </c>
      <c r="J445" s="3">
        <f t="shared" si="9"/>
        <v>3.5958333333333332</v>
      </c>
    </row>
    <row r="446" spans="9:10" x14ac:dyDescent="0.15">
      <c r="I446" s="3">
        <v>439</v>
      </c>
      <c r="J446" s="3">
        <f t="shared" si="9"/>
        <v>3.5958333333333332</v>
      </c>
    </row>
    <row r="447" spans="9:10" x14ac:dyDescent="0.15">
      <c r="I447" s="3">
        <v>440</v>
      </c>
      <c r="J447" s="3">
        <f t="shared" si="9"/>
        <v>3.5958333333333332</v>
      </c>
    </row>
    <row r="448" spans="9:10" x14ac:dyDescent="0.15">
      <c r="I448" s="3">
        <v>441</v>
      </c>
      <c r="J448" s="3">
        <f t="shared" si="9"/>
        <v>3.5958333333333332</v>
      </c>
    </row>
    <row r="449" spans="9:10" x14ac:dyDescent="0.15">
      <c r="I449" s="3">
        <v>442</v>
      </c>
      <c r="J449" s="3">
        <f t="shared" si="9"/>
        <v>3.5958333333333332</v>
      </c>
    </row>
    <row r="450" spans="9:10" x14ac:dyDescent="0.15">
      <c r="I450" s="3">
        <v>443</v>
      </c>
      <c r="J450" s="3">
        <f t="shared" si="9"/>
        <v>3.5958333333333332</v>
      </c>
    </row>
    <row r="451" spans="9:10" x14ac:dyDescent="0.15">
      <c r="I451" s="3">
        <v>444</v>
      </c>
      <c r="J451" s="3">
        <f t="shared" si="9"/>
        <v>3.5958333333333332</v>
      </c>
    </row>
    <row r="452" spans="9:10" x14ac:dyDescent="0.15">
      <c r="I452" s="3">
        <v>445</v>
      </c>
      <c r="J452" s="3">
        <f t="shared" si="9"/>
        <v>3.5958333333333332</v>
      </c>
    </row>
    <row r="453" spans="9:10" x14ac:dyDescent="0.15">
      <c r="I453" s="3">
        <v>446</v>
      </c>
      <c r="J453" s="3">
        <f t="shared" si="9"/>
        <v>3.5958333333333332</v>
      </c>
    </row>
    <row r="454" spans="9:10" x14ac:dyDescent="0.15">
      <c r="I454" s="3">
        <v>447</v>
      </c>
      <c r="J454" s="3">
        <f t="shared" si="9"/>
        <v>3.5958333333333332</v>
      </c>
    </row>
    <row r="455" spans="9:10" x14ac:dyDescent="0.15">
      <c r="I455" s="3">
        <v>448</v>
      </c>
      <c r="J455" s="3">
        <f t="shared" si="9"/>
        <v>3.5958333333333332</v>
      </c>
    </row>
    <row r="456" spans="9:10" x14ac:dyDescent="0.15">
      <c r="I456" s="3">
        <v>449</v>
      </c>
      <c r="J456" s="3">
        <f t="shared" si="9"/>
        <v>3.5958333333333332</v>
      </c>
    </row>
    <row r="457" spans="9:10" x14ac:dyDescent="0.15">
      <c r="I457" s="3">
        <v>450</v>
      </c>
      <c r="J457" s="3">
        <f t="shared" ref="J457:J520" si="10">IF(I457&lt;$I$4,1,IF(I457&gt;$J$4,$G$4,($G$4-1)*($K$4+$L$4*((I457-$I$4)/($J$4-$I$4))^1+$M$4*((I457-$I$4)/($J$4-$I$4))^2+$N$4*((I457-$I$4)/($J$4-$I$4))^3+$O$4*((I457-$I$4)/($J$4-$I$4))^4)+1))</f>
        <v>3.5958333333333332</v>
      </c>
    </row>
    <row r="458" spans="9:10" x14ac:dyDescent="0.15">
      <c r="I458" s="3">
        <v>451</v>
      </c>
      <c r="J458" s="3">
        <f t="shared" si="10"/>
        <v>3.5958333333333332</v>
      </c>
    </row>
    <row r="459" spans="9:10" x14ac:dyDescent="0.15">
      <c r="I459" s="3">
        <v>452</v>
      </c>
      <c r="J459" s="3">
        <f t="shared" si="10"/>
        <v>3.5958333333333332</v>
      </c>
    </row>
    <row r="460" spans="9:10" x14ac:dyDescent="0.15">
      <c r="I460" s="3">
        <v>453</v>
      </c>
      <c r="J460" s="3">
        <f t="shared" si="10"/>
        <v>3.5958333333333332</v>
      </c>
    </row>
    <row r="461" spans="9:10" x14ac:dyDescent="0.15">
      <c r="I461" s="3">
        <v>454</v>
      </c>
      <c r="J461" s="3">
        <f t="shared" si="10"/>
        <v>3.5958333333333332</v>
      </c>
    </row>
    <row r="462" spans="9:10" x14ac:dyDescent="0.15">
      <c r="I462" s="3">
        <v>455</v>
      </c>
      <c r="J462" s="3">
        <f t="shared" si="10"/>
        <v>3.5958333333333332</v>
      </c>
    </row>
    <row r="463" spans="9:10" x14ac:dyDescent="0.15">
      <c r="I463" s="3">
        <v>456</v>
      </c>
      <c r="J463" s="3">
        <f t="shared" si="10"/>
        <v>3.5958333333333332</v>
      </c>
    </row>
    <row r="464" spans="9:10" x14ac:dyDescent="0.15">
      <c r="I464" s="3">
        <v>457</v>
      </c>
      <c r="J464" s="3">
        <f t="shared" si="10"/>
        <v>3.5958333333333332</v>
      </c>
    </row>
    <row r="465" spans="9:10" x14ac:dyDescent="0.15">
      <c r="I465" s="3">
        <v>458</v>
      </c>
      <c r="J465" s="3">
        <f t="shared" si="10"/>
        <v>3.5958333333333332</v>
      </c>
    </row>
    <row r="466" spans="9:10" x14ac:dyDescent="0.15">
      <c r="I466" s="3">
        <v>459</v>
      </c>
      <c r="J466" s="3">
        <f t="shared" si="10"/>
        <v>3.5958333333333332</v>
      </c>
    </row>
    <row r="467" spans="9:10" x14ac:dyDescent="0.15">
      <c r="I467" s="3">
        <v>460</v>
      </c>
      <c r="J467" s="3">
        <f t="shared" si="10"/>
        <v>3.5958333333333332</v>
      </c>
    </row>
    <row r="468" spans="9:10" x14ac:dyDescent="0.15">
      <c r="I468" s="3">
        <v>461</v>
      </c>
      <c r="J468" s="3">
        <f t="shared" si="10"/>
        <v>3.5958333333333332</v>
      </c>
    </row>
    <row r="469" spans="9:10" x14ac:dyDescent="0.15">
      <c r="I469" s="3">
        <v>462</v>
      </c>
      <c r="J469" s="3">
        <f t="shared" si="10"/>
        <v>3.5958333333333332</v>
      </c>
    </row>
    <row r="470" spans="9:10" x14ac:dyDescent="0.15">
      <c r="I470" s="3">
        <v>463</v>
      </c>
      <c r="J470" s="3">
        <f t="shared" si="10"/>
        <v>3.5958333333333332</v>
      </c>
    </row>
    <row r="471" spans="9:10" x14ac:dyDescent="0.15">
      <c r="I471" s="3">
        <v>464</v>
      </c>
      <c r="J471" s="3">
        <f t="shared" si="10"/>
        <v>3.5958333333333332</v>
      </c>
    </row>
    <row r="472" spans="9:10" x14ac:dyDescent="0.15">
      <c r="I472" s="3">
        <v>465</v>
      </c>
      <c r="J472" s="3">
        <f t="shared" si="10"/>
        <v>3.5958333333333332</v>
      </c>
    </row>
    <row r="473" spans="9:10" x14ac:dyDescent="0.15">
      <c r="I473" s="3">
        <v>466</v>
      </c>
      <c r="J473" s="3">
        <f t="shared" si="10"/>
        <v>3.5958333333333332</v>
      </c>
    </row>
    <row r="474" spans="9:10" x14ac:dyDescent="0.15">
      <c r="I474" s="3">
        <v>467</v>
      </c>
      <c r="J474" s="3">
        <f t="shared" si="10"/>
        <v>3.5958333333333332</v>
      </c>
    </row>
    <row r="475" spans="9:10" x14ac:dyDescent="0.15">
      <c r="I475" s="3">
        <v>468</v>
      </c>
      <c r="J475" s="3">
        <f t="shared" si="10"/>
        <v>3.5958333333333332</v>
      </c>
    </row>
    <row r="476" spans="9:10" x14ac:dyDescent="0.15">
      <c r="I476" s="3">
        <v>469</v>
      </c>
      <c r="J476" s="3">
        <f t="shared" si="10"/>
        <v>3.5958333333333332</v>
      </c>
    </row>
    <row r="477" spans="9:10" x14ac:dyDescent="0.15">
      <c r="I477" s="3">
        <v>470</v>
      </c>
      <c r="J477" s="3">
        <f t="shared" si="10"/>
        <v>3.5958333333333332</v>
      </c>
    </row>
    <row r="478" spans="9:10" x14ac:dyDescent="0.15">
      <c r="I478" s="3">
        <v>471</v>
      </c>
      <c r="J478" s="3">
        <f t="shared" si="10"/>
        <v>3.5958333333333332</v>
      </c>
    </row>
    <row r="479" spans="9:10" x14ac:dyDescent="0.15">
      <c r="I479" s="3">
        <v>472</v>
      </c>
      <c r="J479" s="3">
        <f t="shared" si="10"/>
        <v>3.5958333333333332</v>
      </c>
    </row>
    <row r="480" spans="9:10" x14ac:dyDescent="0.15">
      <c r="I480" s="3">
        <v>473</v>
      </c>
      <c r="J480" s="3">
        <f t="shared" si="10"/>
        <v>3.5958333333333332</v>
      </c>
    </row>
    <row r="481" spans="9:10" x14ac:dyDescent="0.15">
      <c r="I481" s="3">
        <v>474</v>
      </c>
      <c r="J481" s="3">
        <f t="shared" si="10"/>
        <v>3.5958333333333332</v>
      </c>
    </row>
    <row r="482" spans="9:10" x14ac:dyDescent="0.15">
      <c r="I482" s="3">
        <v>475</v>
      </c>
      <c r="J482" s="3">
        <f t="shared" si="10"/>
        <v>3.5958333333333332</v>
      </c>
    </row>
    <row r="483" spans="9:10" x14ac:dyDescent="0.15">
      <c r="I483" s="3">
        <v>476</v>
      </c>
      <c r="J483" s="3">
        <f t="shared" si="10"/>
        <v>3.5958333333333332</v>
      </c>
    </row>
    <row r="484" spans="9:10" x14ac:dyDescent="0.15">
      <c r="I484" s="3">
        <v>477</v>
      </c>
      <c r="J484" s="3">
        <f t="shared" si="10"/>
        <v>3.5958333333333332</v>
      </c>
    </row>
    <row r="485" spans="9:10" x14ac:dyDescent="0.15">
      <c r="I485" s="3">
        <v>478</v>
      </c>
      <c r="J485" s="3">
        <f t="shared" si="10"/>
        <v>3.5958333333333332</v>
      </c>
    </row>
    <row r="486" spans="9:10" x14ac:dyDescent="0.15">
      <c r="I486" s="3">
        <v>479</v>
      </c>
      <c r="J486" s="3">
        <f t="shared" si="10"/>
        <v>3.5958333333333332</v>
      </c>
    </row>
    <row r="487" spans="9:10" x14ac:dyDescent="0.15">
      <c r="I487" s="3">
        <v>480</v>
      </c>
      <c r="J487" s="3">
        <f t="shared" si="10"/>
        <v>3.5958333333333332</v>
      </c>
    </row>
    <row r="488" spans="9:10" x14ac:dyDescent="0.15">
      <c r="I488" s="3">
        <v>481</v>
      </c>
      <c r="J488" s="3">
        <f t="shared" si="10"/>
        <v>3.5958333333333332</v>
      </c>
    </row>
    <row r="489" spans="9:10" x14ac:dyDescent="0.15">
      <c r="I489" s="3">
        <v>482</v>
      </c>
      <c r="J489" s="3">
        <f t="shared" si="10"/>
        <v>3.5958333333333332</v>
      </c>
    </row>
    <row r="490" spans="9:10" x14ac:dyDescent="0.15">
      <c r="I490" s="3">
        <v>483</v>
      </c>
      <c r="J490" s="3">
        <f t="shared" si="10"/>
        <v>3.5958333333333332</v>
      </c>
    </row>
    <row r="491" spans="9:10" x14ac:dyDescent="0.15">
      <c r="I491" s="3">
        <v>484</v>
      </c>
      <c r="J491" s="3">
        <f t="shared" si="10"/>
        <v>3.5958333333333332</v>
      </c>
    </row>
    <row r="492" spans="9:10" x14ac:dyDescent="0.15">
      <c r="I492" s="3">
        <v>485</v>
      </c>
      <c r="J492" s="3">
        <f t="shared" si="10"/>
        <v>3.5958333333333332</v>
      </c>
    </row>
    <row r="493" spans="9:10" x14ac:dyDescent="0.15">
      <c r="I493" s="3">
        <v>486</v>
      </c>
      <c r="J493" s="3">
        <f t="shared" si="10"/>
        <v>3.5958333333333332</v>
      </c>
    </row>
    <row r="494" spans="9:10" x14ac:dyDescent="0.15">
      <c r="I494" s="3">
        <v>487</v>
      </c>
      <c r="J494" s="3">
        <f t="shared" si="10"/>
        <v>3.5958333333333332</v>
      </c>
    </row>
    <row r="495" spans="9:10" x14ac:dyDescent="0.15">
      <c r="I495" s="3">
        <v>488</v>
      </c>
      <c r="J495" s="3">
        <f t="shared" si="10"/>
        <v>3.5958333333333332</v>
      </c>
    </row>
    <row r="496" spans="9:10" x14ac:dyDescent="0.15">
      <c r="I496" s="3">
        <v>489</v>
      </c>
      <c r="J496" s="3">
        <f t="shared" si="10"/>
        <v>3.5958333333333332</v>
      </c>
    </row>
    <row r="497" spans="9:10" x14ac:dyDescent="0.15">
      <c r="I497" s="3">
        <v>490</v>
      </c>
      <c r="J497" s="3">
        <f t="shared" si="10"/>
        <v>3.5958333333333332</v>
      </c>
    </row>
    <row r="498" spans="9:10" x14ac:dyDescent="0.15">
      <c r="I498" s="3">
        <v>491</v>
      </c>
      <c r="J498" s="3">
        <f t="shared" si="10"/>
        <v>3.5958333333333332</v>
      </c>
    </row>
    <row r="499" spans="9:10" x14ac:dyDescent="0.15">
      <c r="I499" s="3">
        <v>492</v>
      </c>
      <c r="J499" s="3">
        <f t="shared" si="10"/>
        <v>3.5958333333333332</v>
      </c>
    </row>
    <row r="500" spans="9:10" x14ac:dyDescent="0.15">
      <c r="I500" s="3">
        <v>493</v>
      </c>
      <c r="J500" s="3">
        <f t="shared" si="10"/>
        <v>3.5958333333333332</v>
      </c>
    </row>
    <row r="501" spans="9:10" x14ac:dyDescent="0.15">
      <c r="I501" s="3">
        <v>494</v>
      </c>
      <c r="J501" s="3">
        <f t="shared" si="10"/>
        <v>3.5958333333333332</v>
      </c>
    </row>
    <row r="502" spans="9:10" x14ac:dyDescent="0.15">
      <c r="I502" s="3">
        <v>495</v>
      </c>
      <c r="J502" s="3">
        <f t="shared" si="10"/>
        <v>3.5958333333333332</v>
      </c>
    </row>
    <row r="503" spans="9:10" x14ac:dyDescent="0.15">
      <c r="I503" s="3">
        <v>496</v>
      </c>
      <c r="J503" s="3">
        <f t="shared" si="10"/>
        <v>3.5958333333333332</v>
      </c>
    </row>
    <row r="504" spans="9:10" x14ac:dyDescent="0.15">
      <c r="I504" s="3">
        <v>497</v>
      </c>
      <c r="J504" s="3">
        <f t="shared" si="10"/>
        <v>3.5958333333333332</v>
      </c>
    </row>
    <row r="505" spans="9:10" x14ac:dyDescent="0.15">
      <c r="I505" s="3">
        <v>498</v>
      </c>
      <c r="J505" s="3">
        <f t="shared" si="10"/>
        <v>3.5958333333333332</v>
      </c>
    </row>
    <row r="506" spans="9:10" x14ac:dyDescent="0.15">
      <c r="I506" s="3">
        <v>499</v>
      </c>
      <c r="J506" s="3">
        <f t="shared" si="10"/>
        <v>3.5958333333333332</v>
      </c>
    </row>
    <row r="507" spans="9:10" x14ac:dyDescent="0.15">
      <c r="I507" s="3">
        <v>500</v>
      </c>
      <c r="J507" s="3">
        <f t="shared" si="10"/>
        <v>3.5958333333333332</v>
      </c>
    </row>
    <row r="508" spans="9:10" x14ac:dyDescent="0.15">
      <c r="I508" s="3">
        <v>501</v>
      </c>
      <c r="J508" s="3">
        <f t="shared" si="10"/>
        <v>3.5958333333333332</v>
      </c>
    </row>
    <row r="509" spans="9:10" x14ac:dyDescent="0.15">
      <c r="I509" s="3">
        <v>502</v>
      </c>
      <c r="J509" s="3">
        <f t="shared" si="10"/>
        <v>3.5958333333333332</v>
      </c>
    </row>
    <row r="510" spans="9:10" x14ac:dyDescent="0.15">
      <c r="I510" s="3">
        <v>503</v>
      </c>
      <c r="J510" s="3">
        <f t="shared" si="10"/>
        <v>3.5958333333333332</v>
      </c>
    </row>
    <row r="511" spans="9:10" x14ac:dyDescent="0.15">
      <c r="I511" s="3">
        <v>504</v>
      </c>
      <c r="J511" s="3">
        <f t="shared" si="10"/>
        <v>3.5958333333333332</v>
      </c>
    </row>
    <row r="512" spans="9:10" x14ac:dyDescent="0.15">
      <c r="I512" s="3">
        <v>505</v>
      </c>
      <c r="J512" s="3">
        <f t="shared" si="10"/>
        <v>3.5958333333333332</v>
      </c>
    </row>
    <row r="513" spans="9:10" x14ac:dyDescent="0.15">
      <c r="I513" s="3">
        <v>506</v>
      </c>
      <c r="J513" s="3">
        <f t="shared" si="10"/>
        <v>3.5958333333333332</v>
      </c>
    </row>
    <row r="514" spans="9:10" x14ac:dyDescent="0.15">
      <c r="I514" s="3">
        <v>507</v>
      </c>
      <c r="J514" s="3">
        <f t="shared" si="10"/>
        <v>3.5958333333333332</v>
      </c>
    </row>
    <row r="515" spans="9:10" x14ac:dyDescent="0.15">
      <c r="I515" s="3">
        <v>508</v>
      </c>
      <c r="J515" s="3">
        <f t="shared" si="10"/>
        <v>3.5958333333333332</v>
      </c>
    </row>
    <row r="516" spans="9:10" x14ac:dyDescent="0.15">
      <c r="I516" s="3">
        <v>509</v>
      </c>
      <c r="J516" s="3">
        <f t="shared" si="10"/>
        <v>3.5958333333333332</v>
      </c>
    </row>
    <row r="517" spans="9:10" x14ac:dyDescent="0.15">
      <c r="I517" s="3">
        <v>510</v>
      </c>
      <c r="J517" s="3">
        <f t="shared" si="10"/>
        <v>3.5958333333333332</v>
      </c>
    </row>
    <row r="518" spans="9:10" x14ac:dyDescent="0.15">
      <c r="I518" s="3">
        <v>511</v>
      </c>
      <c r="J518" s="3">
        <f t="shared" si="10"/>
        <v>3.5958333333333332</v>
      </c>
    </row>
    <row r="519" spans="9:10" x14ac:dyDescent="0.15">
      <c r="I519" s="3">
        <v>512</v>
      </c>
      <c r="J519" s="3">
        <f t="shared" si="10"/>
        <v>3.5958333333333332</v>
      </c>
    </row>
    <row r="520" spans="9:10" x14ac:dyDescent="0.15">
      <c r="I520" s="3">
        <v>513</v>
      </c>
      <c r="J520" s="3">
        <f t="shared" si="10"/>
        <v>3.5958333333333332</v>
      </c>
    </row>
    <row r="521" spans="9:10" x14ac:dyDescent="0.15">
      <c r="I521" s="3">
        <v>514</v>
      </c>
      <c r="J521" s="3">
        <f t="shared" ref="J521:J557" si="11">IF(I521&lt;$I$4,1,IF(I521&gt;$J$4,$G$4,($G$4-1)*($K$4+$L$4*((I521-$I$4)/($J$4-$I$4))^1+$M$4*((I521-$I$4)/($J$4-$I$4))^2+$N$4*((I521-$I$4)/($J$4-$I$4))^3+$O$4*((I521-$I$4)/($J$4-$I$4))^4)+1))</f>
        <v>3.5958333333333332</v>
      </c>
    </row>
    <row r="522" spans="9:10" x14ac:dyDescent="0.15">
      <c r="I522" s="3">
        <v>515</v>
      </c>
      <c r="J522" s="3">
        <f t="shared" si="11"/>
        <v>3.5958333333333332</v>
      </c>
    </row>
    <row r="523" spans="9:10" x14ac:dyDescent="0.15">
      <c r="I523" s="3">
        <v>516</v>
      </c>
      <c r="J523" s="3">
        <f t="shared" si="11"/>
        <v>3.5958333333333332</v>
      </c>
    </row>
    <row r="524" spans="9:10" x14ac:dyDescent="0.15">
      <c r="I524" s="3">
        <v>517</v>
      </c>
      <c r="J524" s="3">
        <f t="shared" si="11"/>
        <v>3.5958333333333332</v>
      </c>
    </row>
    <row r="525" spans="9:10" x14ac:dyDescent="0.15">
      <c r="I525" s="3">
        <v>518</v>
      </c>
      <c r="J525" s="3">
        <f t="shared" si="11"/>
        <v>3.5958333333333332</v>
      </c>
    </row>
    <row r="526" spans="9:10" x14ac:dyDescent="0.15">
      <c r="I526" s="3">
        <v>519</v>
      </c>
      <c r="J526" s="3">
        <f t="shared" si="11"/>
        <v>3.5958333333333332</v>
      </c>
    </row>
    <row r="527" spans="9:10" x14ac:dyDescent="0.15">
      <c r="I527" s="3">
        <v>520</v>
      </c>
      <c r="J527" s="3">
        <f t="shared" si="11"/>
        <v>3.5958333333333332</v>
      </c>
    </row>
    <row r="528" spans="9:10" x14ac:dyDescent="0.15">
      <c r="I528" s="3">
        <v>521</v>
      </c>
      <c r="J528" s="3">
        <f t="shared" si="11"/>
        <v>3.5958333333333332</v>
      </c>
    </row>
    <row r="529" spans="9:10" x14ac:dyDescent="0.15">
      <c r="I529" s="3">
        <v>522</v>
      </c>
      <c r="J529" s="3">
        <f t="shared" si="11"/>
        <v>3.5958333333333332</v>
      </c>
    </row>
    <row r="530" spans="9:10" x14ac:dyDescent="0.15">
      <c r="I530" s="3">
        <v>523</v>
      </c>
      <c r="J530" s="3">
        <f t="shared" si="11"/>
        <v>3.5958333333333332</v>
      </c>
    </row>
    <row r="531" spans="9:10" x14ac:dyDescent="0.15">
      <c r="I531" s="3">
        <v>524</v>
      </c>
      <c r="J531" s="3">
        <f t="shared" si="11"/>
        <v>3.5958333333333332</v>
      </c>
    </row>
    <row r="532" spans="9:10" x14ac:dyDescent="0.15">
      <c r="I532" s="3">
        <v>525</v>
      </c>
      <c r="J532" s="3">
        <f t="shared" si="11"/>
        <v>3.5958333333333332</v>
      </c>
    </row>
    <row r="533" spans="9:10" x14ac:dyDescent="0.15">
      <c r="I533" s="3">
        <v>526</v>
      </c>
      <c r="J533" s="3">
        <f t="shared" si="11"/>
        <v>3.5958333333333332</v>
      </c>
    </row>
    <row r="534" spans="9:10" x14ac:dyDescent="0.15">
      <c r="I534" s="3">
        <v>527</v>
      </c>
      <c r="J534" s="3">
        <f t="shared" si="11"/>
        <v>3.5958333333333332</v>
      </c>
    </row>
    <row r="535" spans="9:10" x14ac:dyDescent="0.15">
      <c r="I535" s="3">
        <v>528</v>
      </c>
      <c r="J535" s="3">
        <f t="shared" si="11"/>
        <v>3.5958333333333332</v>
      </c>
    </row>
    <row r="536" spans="9:10" x14ac:dyDescent="0.15">
      <c r="I536" s="3">
        <v>529</v>
      </c>
      <c r="J536" s="3">
        <f t="shared" si="11"/>
        <v>3.5958333333333332</v>
      </c>
    </row>
    <row r="537" spans="9:10" x14ac:dyDescent="0.15">
      <c r="I537" s="3">
        <v>530</v>
      </c>
      <c r="J537" s="3">
        <f t="shared" si="11"/>
        <v>3.5958333333333332</v>
      </c>
    </row>
    <row r="538" spans="9:10" x14ac:dyDescent="0.15">
      <c r="I538" s="3">
        <v>531</v>
      </c>
      <c r="J538" s="3">
        <f t="shared" si="11"/>
        <v>3.5958333333333332</v>
      </c>
    </row>
    <row r="539" spans="9:10" x14ac:dyDescent="0.15">
      <c r="I539" s="3">
        <v>532</v>
      </c>
      <c r="J539" s="3">
        <f t="shared" si="11"/>
        <v>3.5958333333333332</v>
      </c>
    </row>
    <row r="540" spans="9:10" x14ac:dyDescent="0.15">
      <c r="I540" s="3">
        <v>533</v>
      </c>
      <c r="J540" s="3">
        <f t="shared" si="11"/>
        <v>3.5958333333333332</v>
      </c>
    </row>
    <row r="541" spans="9:10" x14ac:dyDescent="0.15">
      <c r="I541" s="3">
        <v>534</v>
      </c>
      <c r="J541" s="3">
        <f t="shared" si="11"/>
        <v>3.5958333333333332</v>
      </c>
    </row>
    <row r="542" spans="9:10" x14ac:dyDescent="0.15">
      <c r="I542" s="3">
        <v>535</v>
      </c>
      <c r="J542" s="3">
        <f t="shared" si="11"/>
        <v>3.5958333333333332</v>
      </c>
    </row>
    <row r="543" spans="9:10" x14ac:dyDescent="0.15">
      <c r="I543" s="3">
        <v>536</v>
      </c>
      <c r="J543" s="3">
        <f t="shared" si="11"/>
        <v>3.5958333333333332</v>
      </c>
    </row>
    <row r="544" spans="9:10" x14ac:dyDescent="0.15">
      <c r="I544" s="3">
        <v>537</v>
      </c>
      <c r="J544" s="3">
        <f t="shared" si="11"/>
        <v>3.5958333333333332</v>
      </c>
    </row>
    <row r="545" spans="9:10" x14ac:dyDescent="0.15">
      <c r="I545" s="3">
        <v>538</v>
      </c>
      <c r="J545" s="3">
        <f t="shared" si="11"/>
        <v>3.5958333333333332</v>
      </c>
    </row>
    <row r="546" spans="9:10" x14ac:dyDescent="0.15">
      <c r="I546" s="3">
        <v>539</v>
      </c>
      <c r="J546" s="3">
        <f t="shared" si="11"/>
        <v>3.5958333333333332</v>
      </c>
    </row>
    <row r="547" spans="9:10" x14ac:dyDescent="0.15">
      <c r="I547" s="3">
        <v>540</v>
      </c>
      <c r="J547" s="3">
        <f t="shared" si="11"/>
        <v>3.5958333333333332</v>
      </c>
    </row>
    <row r="548" spans="9:10" x14ac:dyDescent="0.15">
      <c r="I548" s="3">
        <v>541</v>
      </c>
      <c r="J548" s="3">
        <f t="shared" si="11"/>
        <v>3.5958333333333332</v>
      </c>
    </row>
    <row r="549" spans="9:10" x14ac:dyDescent="0.15">
      <c r="I549" s="3">
        <v>542</v>
      </c>
      <c r="J549" s="3">
        <f t="shared" si="11"/>
        <v>3.5958333333333332</v>
      </c>
    </row>
    <row r="550" spans="9:10" x14ac:dyDescent="0.15">
      <c r="I550" s="3">
        <v>543</v>
      </c>
      <c r="J550" s="3">
        <f t="shared" si="11"/>
        <v>3.5958333333333332</v>
      </c>
    </row>
    <row r="551" spans="9:10" x14ac:dyDescent="0.15">
      <c r="I551" s="3">
        <v>544</v>
      </c>
      <c r="J551" s="3">
        <f t="shared" si="11"/>
        <v>3.5958333333333332</v>
      </c>
    </row>
    <row r="552" spans="9:10" x14ac:dyDescent="0.15">
      <c r="I552" s="3">
        <v>545</v>
      </c>
      <c r="J552" s="3">
        <f t="shared" si="11"/>
        <v>3.5958333333333332</v>
      </c>
    </row>
    <row r="553" spans="9:10" x14ac:dyDescent="0.15">
      <c r="I553" s="3">
        <v>546</v>
      </c>
      <c r="J553" s="3">
        <f t="shared" si="11"/>
        <v>3.5958333333333332</v>
      </c>
    </row>
    <row r="554" spans="9:10" x14ac:dyDescent="0.15">
      <c r="I554" s="3">
        <v>547</v>
      </c>
      <c r="J554" s="3">
        <f t="shared" si="11"/>
        <v>3.5958333333333332</v>
      </c>
    </row>
    <row r="555" spans="9:10" x14ac:dyDescent="0.15">
      <c r="I555" s="3">
        <v>548</v>
      </c>
      <c r="J555" s="3">
        <f t="shared" si="11"/>
        <v>3.5958333333333332</v>
      </c>
    </row>
    <row r="556" spans="9:10" x14ac:dyDescent="0.15">
      <c r="I556" s="3">
        <v>549</v>
      </c>
      <c r="J556" s="3">
        <f t="shared" si="11"/>
        <v>3.5958333333333332</v>
      </c>
    </row>
    <row r="557" spans="9:10" x14ac:dyDescent="0.15">
      <c r="I557" s="3">
        <v>550</v>
      </c>
      <c r="J557" s="3">
        <f t="shared" si="11"/>
        <v>3.5958333333333332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018"/>
  <sheetViews>
    <sheetView tabSelected="1" topLeftCell="A2" workbookViewId="0">
      <selection activeCell="K19" sqref="K19"/>
    </sheetView>
  </sheetViews>
  <sheetFormatPr defaultRowHeight="13.5" x14ac:dyDescent="0.15"/>
  <cols>
    <col min="1" max="16384" width="9" style="11"/>
  </cols>
  <sheetData>
    <row r="2" spans="1:24" x14ac:dyDescent="0.15">
      <c r="A2" s="2" t="s">
        <v>25</v>
      </c>
      <c r="B2" s="2" t="s">
        <v>26</v>
      </c>
    </row>
    <row r="3" spans="1:24" x14ac:dyDescent="0.15">
      <c r="A3" s="12">
        <v>100</v>
      </c>
      <c r="B3" s="12">
        <v>2000</v>
      </c>
    </row>
    <row r="4" spans="1:24" x14ac:dyDescent="0.15">
      <c r="J4" s="11" t="s">
        <v>91</v>
      </c>
    </row>
    <row r="5" spans="1:24" x14ac:dyDescent="0.15">
      <c r="A5" s="2" t="s">
        <v>27</v>
      </c>
      <c r="B5" s="2" t="s">
        <v>28</v>
      </c>
      <c r="C5" s="2" t="s">
        <v>29</v>
      </c>
      <c r="D5" s="2" t="s">
        <v>30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88</v>
      </c>
      <c r="L5" s="11" t="s">
        <v>42</v>
      </c>
    </row>
    <row r="6" spans="1:24" x14ac:dyDescent="0.15">
      <c r="A6" s="12">
        <v>1</v>
      </c>
      <c r="B6" s="12">
        <v>200</v>
      </c>
      <c r="C6" s="12">
        <v>1.2</v>
      </c>
      <c r="D6" s="12">
        <f>SUM($C$6:C6)</f>
        <v>1.2</v>
      </c>
      <c r="E6" s="12">
        <v>0</v>
      </c>
      <c r="F6" s="12">
        <v>0.3</v>
      </c>
      <c r="G6" s="12">
        <v>0.3</v>
      </c>
      <c r="H6" s="12">
        <v>0.3</v>
      </c>
      <c r="I6" s="12">
        <f>1-SUM(E6:H6)</f>
        <v>0.10000000000000009</v>
      </c>
      <c r="J6" s="13">
        <v>1</v>
      </c>
      <c r="L6" s="2" t="s">
        <v>44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S6" s="9" t="s">
        <v>82</v>
      </c>
      <c r="U6" s="10" t="s">
        <v>84</v>
      </c>
      <c r="W6" s="2" t="s">
        <v>89</v>
      </c>
      <c r="X6" s="2" t="s">
        <v>90</v>
      </c>
    </row>
    <row r="7" spans="1:24" x14ac:dyDescent="0.15">
      <c r="A7" s="12">
        <f>B6+1</f>
        <v>201</v>
      </c>
      <c r="B7" s="12">
        <f>B6+200</f>
        <v>400</v>
      </c>
      <c r="C7" s="12">
        <v>2</v>
      </c>
      <c r="D7" s="12">
        <f>SUM($C$6:C7)</f>
        <v>3.2</v>
      </c>
      <c r="E7" s="12">
        <v>0</v>
      </c>
      <c r="F7" s="12">
        <v>0.9</v>
      </c>
      <c r="G7" s="12">
        <v>0.1</v>
      </c>
      <c r="H7" s="12">
        <v>0</v>
      </c>
      <c r="I7" s="12">
        <f t="shared" ref="I7:I15" si="0">1-SUM(E7:H7)</f>
        <v>0</v>
      </c>
      <c r="J7" s="13">
        <v>1.2</v>
      </c>
      <c r="L7" s="12">
        <v>1000</v>
      </c>
      <c r="M7" s="12">
        <v>1E-3</v>
      </c>
      <c r="N7" s="12">
        <v>0.1</v>
      </c>
      <c r="O7" s="12">
        <v>0.2</v>
      </c>
      <c r="P7" s="12">
        <v>0.3</v>
      </c>
      <c r="Q7" s="12">
        <f>1-SUM(M7:P7)</f>
        <v>0.39900000000000002</v>
      </c>
      <c r="S7" s="11">
        <v>90</v>
      </c>
      <c r="U7" s="11">
        <f>B3*S7/60/60/24</f>
        <v>2.0833333333333335</v>
      </c>
      <c r="W7" s="12">
        <v>1</v>
      </c>
      <c r="X7" s="12">
        <f>SUMIF($E$19:$E$2018,"&lt;="&amp;W7,$L$19:$L$2018)</f>
        <v>183</v>
      </c>
    </row>
    <row r="8" spans="1:24" x14ac:dyDescent="0.15">
      <c r="A8" s="12">
        <f t="shared" ref="A8:A14" si="1">B7+1</f>
        <v>401</v>
      </c>
      <c r="B8" s="12">
        <f t="shared" ref="B8:B14" si="2">B7+200</f>
        <v>600</v>
      </c>
      <c r="C8" s="12">
        <v>3</v>
      </c>
      <c r="D8" s="12">
        <f>SUM($C$6:C8)</f>
        <v>6.2</v>
      </c>
      <c r="E8" s="12">
        <v>0</v>
      </c>
      <c r="F8" s="12">
        <v>0.9</v>
      </c>
      <c r="G8" s="12">
        <v>0.1</v>
      </c>
      <c r="H8" s="12">
        <v>0</v>
      </c>
      <c r="I8" s="12">
        <f t="shared" si="0"/>
        <v>0</v>
      </c>
      <c r="J8" s="13">
        <v>1.4</v>
      </c>
      <c r="W8" s="12">
        <v>2</v>
      </c>
      <c r="X8" s="12">
        <f t="shared" ref="X8:X12" si="3">SUMIF($E$19:$E$2018,"&lt;="&amp;W8,$L$19:$L$2018)</f>
        <v>300.79999999999905</v>
      </c>
    </row>
    <row r="9" spans="1:24" x14ac:dyDescent="0.15">
      <c r="A9" s="12">
        <f t="shared" si="1"/>
        <v>601</v>
      </c>
      <c r="B9" s="12">
        <f t="shared" si="2"/>
        <v>800</v>
      </c>
      <c r="C9" s="12">
        <v>4</v>
      </c>
      <c r="D9" s="12">
        <f>SUM($C$6:C9)</f>
        <v>10.199999999999999</v>
      </c>
      <c r="E9" s="12">
        <v>0</v>
      </c>
      <c r="F9" s="12">
        <v>0.9</v>
      </c>
      <c r="G9" s="12">
        <v>0.1</v>
      </c>
      <c r="H9" s="12">
        <v>0</v>
      </c>
      <c r="I9" s="12">
        <f t="shared" si="0"/>
        <v>0</v>
      </c>
      <c r="J9" s="13">
        <v>1.6</v>
      </c>
      <c r="L9" s="11" t="s">
        <v>43</v>
      </c>
      <c r="W9" s="12">
        <v>3</v>
      </c>
      <c r="X9" s="12">
        <f t="shared" si="3"/>
        <v>417.19999999999794</v>
      </c>
    </row>
    <row r="10" spans="1:24" x14ac:dyDescent="0.15">
      <c r="A10" s="12">
        <f t="shared" si="1"/>
        <v>801</v>
      </c>
      <c r="B10" s="12">
        <f t="shared" si="2"/>
        <v>1000</v>
      </c>
      <c r="C10" s="12">
        <v>5</v>
      </c>
      <c r="D10" s="12">
        <f>SUM($C$6:C10)</f>
        <v>15.2</v>
      </c>
      <c r="E10" s="12">
        <v>0</v>
      </c>
      <c r="F10" s="12">
        <v>0.9</v>
      </c>
      <c r="G10" s="12">
        <v>0.1</v>
      </c>
      <c r="H10" s="12">
        <v>0</v>
      </c>
      <c r="I10" s="12">
        <f t="shared" si="0"/>
        <v>0</v>
      </c>
      <c r="J10" s="13">
        <v>1.8</v>
      </c>
      <c r="L10" s="2" t="s">
        <v>44</v>
      </c>
      <c r="M10" s="2" t="s">
        <v>33</v>
      </c>
      <c r="N10" s="2" t="s">
        <v>34</v>
      </c>
      <c r="O10" s="2" t="s">
        <v>35</v>
      </c>
      <c r="P10" s="2" t="s">
        <v>36</v>
      </c>
      <c r="Q10" s="2" t="s">
        <v>37</v>
      </c>
      <c r="W10" s="12">
        <v>7</v>
      </c>
      <c r="X10" s="12">
        <f t="shared" si="3"/>
        <v>788.79999999999416</v>
      </c>
    </row>
    <row r="11" spans="1:24" x14ac:dyDescent="0.15">
      <c r="A11" s="12">
        <f t="shared" si="1"/>
        <v>1001</v>
      </c>
      <c r="B11" s="12">
        <f t="shared" si="2"/>
        <v>1200</v>
      </c>
      <c r="C11" s="12">
        <v>7</v>
      </c>
      <c r="D11" s="12">
        <f>SUM($C$6:C11)</f>
        <v>22.2</v>
      </c>
      <c r="E11" s="12">
        <v>0</v>
      </c>
      <c r="F11" s="12">
        <v>0.9</v>
      </c>
      <c r="G11" s="12">
        <v>0.1</v>
      </c>
      <c r="H11" s="12">
        <v>0</v>
      </c>
      <c r="I11" s="12">
        <f t="shared" si="0"/>
        <v>0</v>
      </c>
      <c r="J11" s="13">
        <v>2</v>
      </c>
      <c r="L11" s="12">
        <v>500</v>
      </c>
      <c r="M11" s="12">
        <v>0.01</v>
      </c>
      <c r="N11" s="12">
        <v>0.2</v>
      </c>
      <c r="O11" s="12">
        <v>0.3</v>
      </c>
      <c r="P11" s="12">
        <v>0.3</v>
      </c>
      <c r="Q11" s="12">
        <f>1-SUM(M11:P11)</f>
        <v>0.18999999999999995</v>
      </c>
      <c r="W11" s="12">
        <v>14</v>
      </c>
      <c r="X11" s="12">
        <f t="shared" si="3"/>
        <v>1318.9999999999895</v>
      </c>
    </row>
    <row r="12" spans="1:24" x14ac:dyDescent="0.15">
      <c r="A12" s="12">
        <f t="shared" si="1"/>
        <v>1201</v>
      </c>
      <c r="B12" s="12">
        <f t="shared" si="2"/>
        <v>1400</v>
      </c>
      <c r="C12" s="12">
        <v>10</v>
      </c>
      <c r="D12" s="12">
        <f>SUM($C$6:C12)</f>
        <v>32.200000000000003</v>
      </c>
      <c r="E12" s="12">
        <v>0</v>
      </c>
      <c r="F12" s="12">
        <v>0.9</v>
      </c>
      <c r="G12" s="12">
        <v>0.1</v>
      </c>
      <c r="H12" s="12">
        <v>0</v>
      </c>
      <c r="I12" s="12">
        <f t="shared" si="0"/>
        <v>0</v>
      </c>
      <c r="J12" s="13">
        <v>2.2000000000000002</v>
      </c>
      <c r="W12" s="12">
        <v>30</v>
      </c>
      <c r="X12" s="12">
        <f t="shared" si="3"/>
        <v>2149.7999999999843</v>
      </c>
    </row>
    <row r="13" spans="1:24" x14ac:dyDescent="0.15">
      <c r="A13" s="12">
        <f t="shared" si="1"/>
        <v>1401</v>
      </c>
      <c r="B13" s="12">
        <f t="shared" si="2"/>
        <v>1600</v>
      </c>
      <c r="C13" s="12">
        <v>14</v>
      </c>
      <c r="D13" s="12">
        <f>SUM($C$6:C13)</f>
        <v>46.2</v>
      </c>
      <c r="E13" s="12">
        <v>0</v>
      </c>
      <c r="F13" s="12">
        <v>0.9</v>
      </c>
      <c r="G13" s="12">
        <v>0.1</v>
      </c>
      <c r="H13" s="12">
        <v>0</v>
      </c>
      <c r="I13" s="12">
        <f t="shared" si="0"/>
        <v>0</v>
      </c>
      <c r="J13" s="13">
        <v>2.4</v>
      </c>
    </row>
    <row r="14" spans="1:24" x14ac:dyDescent="0.15">
      <c r="A14" s="12">
        <f t="shared" si="1"/>
        <v>1601</v>
      </c>
      <c r="B14" s="12">
        <f t="shared" si="2"/>
        <v>1800</v>
      </c>
      <c r="C14" s="12">
        <v>19</v>
      </c>
      <c r="D14" s="12">
        <f>SUM($C$6:C14)</f>
        <v>65.2</v>
      </c>
      <c r="E14" s="12">
        <v>0</v>
      </c>
      <c r="F14" s="12">
        <v>0.95</v>
      </c>
      <c r="G14" s="12">
        <v>0.05</v>
      </c>
      <c r="H14" s="12">
        <v>0</v>
      </c>
      <c r="I14" s="12">
        <f t="shared" si="0"/>
        <v>0</v>
      </c>
      <c r="J14" s="13">
        <v>2.6</v>
      </c>
      <c r="S14" s="11" t="s">
        <v>96</v>
      </c>
      <c r="U14" t="s">
        <v>97</v>
      </c>
    </row>
    <row r="15" spans="1:24" x14ac:dyDescent="0.15">
      <c r="A15" s="12">
        <f>B14+1</f>
        <v>1801</v>
      </c>
      <c r="B15" s="12">
        <f>B14+200</f>
        <v>2000</v>
      </c>
      <c r="C15" s="12">
        <f>A3-SUM(C6:C14)</f>
        <v>34.799999999999997</v>
      </c>
      <c r="D15" s="12">
        <f>SUM($C$6:C15)</f>
        <v>100</v>
      </c>
      <c r="E15" s="12">
        <v>0</v>
      </c>
      <c r="F15" s="12">
        <v>1</v>
      </c>
      <c r="G15" s="12">
        <v>0</v>
      </c>
      <c r="H15" s="12">
        <v>0</v>
      </c>
      <c r="I15" s="12">
        <f t="shared" si="0"/>
        <v>0</v>
      </c>
      <c r="J15" s="13">
        <v>2.8</v>
      </c>
      <c r="S15" s="11">
        <f>[1]人物技能基础!$F$4</f>
        <v>0.6</v>
      </c>
      <c r="U15" s="11">
        <f>[2]关卡!$F$2</f>
        <v>0.8</v>
      </c>
    </row>
    <row r="17" spans="1:20" x14ac:dyDescent="0.15">
      <c r="A17" s="2" t="s">
        <v>31</v>
      </c>
      <c r="B17" s="2" t="s">
        <v>32</v>
      </c>
      <c r="C17" s="2" t="s">
        <v>38</v>
      </c>
      <c r="D17" s="2" t="s">
        <v>39</v>
      </c>
      <c r="E17" s="2" t="s">
        <v>40</v>
      </c>
      <c r="F17" s="2" t="s">
        <v>49</v>
      </c>
      <c r="G17" s="2" t="s">
        <v>51</v>
      </c>
      <c r="H17" s="2" t="s">
        <v>52</v>
      </c>
      <c r="I17" s="2" t="s">
        <v>50</v>
      </c>
      <c r="J17" s="2" t="s">
        <v>92</v>
      </c>
      <c r="K17" s="2" t="s">
        <v>83</v>
      </c>
      <c r="L17" s="2" t="s">
        <v>86</v>
      </c>
      <c r="M17" s="2" t="s">
        <v>87</v>
      </c>
      <c r="N17" s="2" t="s">
        <v>93</v>
      </c>
      <c r="O17" s="2" t="s">
        <v>94</v>
      </c>
      <c r="P17" s="2" t="s">
        <v>95</v>
      </c>
      <c r="Q17" s="2" t="s">
        <v>98</v>
      </c>
      <c r="R17" s="2" t="s">
        <v>99</v>
      </c>
      <c r="T17" s="9" t="s">
        <v>85</v>
      </c>
    </row>
    <row r="18" spans="1:20" x14ac:dyDescent="0.15">
      <c r="A18" s="12">
        <v>0</v>
      </c>
      <c r="B18" s="12"/>
      <c r="C18" s="12"/>
      <c r="D18" s="12"/>
      <c r="E18" s="12"/>
      <c r="F18" s="12">
        <f>F19*0.9</f>
        <v>0.94504503377244375</v>
      </c>
      <c r="G18" s="12">
        <f>G19*0.9</f>
        <v>4.5450337668803433</v>
      </c>
      <c r="H18" s="12">
        <f>INT(F18*60*60/1000)*1000</f>
        <v>3000</v>
      </c>
      <c r="I18" s="12">
        <f>INT(G18*60*60/100)*100</f>
        <v>16300</v>
      </c>
      <c r="J18" s="12">
        <v>1</v>
      </c>
      <c r="K18" s="12"/>
      <c r="L18" s="12"/>
      <c r="M18" s="12"/>
      <c r="N18" s="12">
        <v>1</v>
      </c>
      <c r="O18" s="12"/>
      <c r="P18" s="12"/>
      <c r="Q18" s="12"/>
      <c r="R18" s="12"/>
    </row>
    <row r="19" spans="1:20" x14ac:dyDescent="0.15">
      <c r="A19" s="12">
        <v>1</v>
      </c>
      <c r="B19" s="12">
        <f>MATCH($A19,$A$5:$A$15,1)-1</f>
        <v>1</v>
      </c>
      <c r="C19" s="12">
        <f>INDEX($C$5:$C$15,$B19+1)*(INDEX($E$5:$E$15,$B19+1)+INDEX($F$5:$F$15,$B19+1)*(($A19-INDEX($A$5:$A$15,$B19+1)+1)/(INDEX($B$5:$B$15,$B19+1)-INDEX($A$5:$A$15,$B19+1)+1))^1+INDEX($G$5:$G$15,$B19+1)*(($A19-INDEX($A$5:$A$15,$B19+1)+1)/(INDEX($B$5:$B$15,$B19+1)-INDEX($A$5:$A$15,$B19+1)+1))^2+INDEX($H$5:$H$15,$B19+1)*(($A19-INDEX($A$5:$A$15,$B19+1)+1)/(INDEX($B$5:$B$15,$B19+1)-INDEX($A$5:$A$15,$B19+1)+1))^3+INDEX($I$5:$I$15,$B19+1)*(($A19-INDEX($A$5:$A$15,$B19+1)+1)/(INDEX($B$5:$B$15,$B19+1)-INDEX($A$5:$A$15,$B19+1)+1))^4)</f>
        <v>1.8090450749999997E-3</v>
      </c>
      <c r="D19" s="12">
        <f>IF(ISNA(MATCH(A19,$A$6:$A$15,0)),C19-C17,C19)</f>
        <v>1.8090450749999997E-3</v>
      </c>
      <c r="E19" s="12">
        <f>SUM($D$19:D19)</f>
        <v>1.8090450749999997E-3</v>
      </c>
      <c r="F19" s="12">
        <f t="shared" ref="F19:F82" si="4">$L$7*($M$7+$N$7*($A19/$B$3)^1+$O$7*($A19/$B$3)^2+$P$7*($A19/$B$3)^3+$Q$7*($A19/$B$3)^4)</f>
        <v>1.0500500375249375</v>
      </c>
      <c r="G19" s="12">
        <f t="shared" ref="G19:G82" si="5">$L$11*($M$11+$N$11*($A19/$B$3)^1+$O$11*($A19/$B$3)^2+$P$11*($A19/$B$3)^3+$Q$11*($A19/$B$3)^4)</f>
        <v>5.0500375187559365</v>
      </c>
      <c r="H19" s="12">
        <f>INT(F19*60*60/100)*100</f>
        <v>3700</v>
      </c>
      <c r="I19" s="12">
        <f>INT(G19*60*60/100)*100</f>
        <v>18100</v>
      </c>
      <c r="J19" s="12">
        <f>IF(A19&lt;[3]关卡对接!$A$4,INDEX([3]关卡对接!$C$7:$C$141,A19),MATCH(E19,人物经验!$H$24:$H$573,1))</f>
        <v>45</v>
      </c>
      <c r="K19" s="12">
        <f>IF([3]关卡对接!F7="",INT(INDEX(人物经验!$J$24:$J$573,关卡!J19)*关卡!$S$7),[3]关卡对接!F7)</f>
        <v>168</v>
      </c>
      <c r="L19" s="12">
        <f>VLOOKUP(A19,$A$5:$J$15,10,1)</f>
        <v>1</v>
      </c>
      <c r="M19" s="12">
        <f>L19/[4]货币基础!$B$4</f>
        <v>100</v>
      </c>
      <c r="N19" s="12">
        <f>IF(A19&lt;[3]关卡对接!$A$4,INDEX([3]关卡对接!$E$7:$E$141,A19),MATCH(E19,人物经验!$H$24:$H$573,1))</f>
        <v>30</v>
      </c>
      <c r="O19" s="12">
        <v>1</v>
      </c>
      <c r="P19" s="12">
        <v>0.75</v>
      </c>
      <c r="Q19" s="12">
        <f>INT(P19/$S$15/O19*VLOOKUP(J19,[1]人物技能基础!$N$3:$O$553,2,0)*$U$15)</f>
        <v>3</v>
      </c>
      <c r="R19" s="12">
        <f>INT(Q19*12.5)</f>
        <v>37</v>
      </c>
    </row>
    <row r="20" spans="1:20" x14ac:dyDescent="0.15">
      <c r="A20" s="12">
        <v>2</v>
      </c>
      <c r="B20" s="12">
        <f t="shared" ref="B20:B83" si="6">MATCH($A20,$A$5:$A$15,1)-1</f>
        <v>1</v>
      </c>
      <c r="C20" s="12">
        <f t="shared" ref="C20:C83" si="7">INDEX($C$5:$C$15,$B20+1)*(INDEX($E$5:$E$15,$B20+1)+INDEX($F$5:$F$15,$B20+1)*(($A20-INDEX($A$5:$A$15,$B20+1)+1)/(INDEX($B$5:$B$15,$B20+1)-INDEX($A$5:$A$15,$B20+1)+1))^1+INDEX($G$5:$G$15,$B20+1)*(($A20-INDEX($A$5:$A$15,$B20+1)+1)/(INDEX($B$5:$B$15,$B20+1)-INDEX($A$5:$A$15,$B20+1)+1))^2+INDEX($H$5:$H$15,$B20+1)*(($A20-INDEX($A$5:$A$15,$B20+1)+1)/(INDEX($B$5:$B$15,$B20+1)-INDEX($A$5:$A$15,$B20+1)+1))^3+INDEX($I$5:$I$15,$B20+1)*(($A20-INDEX($A$5:$A$15,$B20+1)+1)/(INDEX($B$5:$B$15,$B20+1)-INDEX($A$5:$A$15,$B20+1)+1))^4)</f>
        <v>3.6363611999999999E-3</v>
      </c>
      <c r="D20" s="12">
        <f t="shared" ref="D20:D83" si="8">IF(ISNA(MATCH(A20,$A$6:$A$15,0)),C20-C19,C20)</f>
        <v>1.8273161250000002E-3</v>
      </c>
      <c r="E20" s="12">
        <f>SUM($D$19:D20)</f>
        <v>3.6363611999999999E-3</v>
      </c>
      <c r="F20" s="12">
        <f t="shared" si="4"/>
        <v>1.1002003003990002</v>
      </c>
      <c r="G20" s="12">
        <f t="shared" si="5"/>
        <v>5.1001501500950006</v>
      </c>
      <c r="H20" s="12">
        <f t="shared" ref="H20:H83" si="9">INT(F20*60*60/100)*100</f>
        <v>3900</v>
      </c>
      <c r="I20" s="12">
        <f t="shared" ref="I20:I83" si="10">INT(G20*60*60/100)*100</f>
        <v>18300</v>
      </c>
      <c r="J20" s="12">
        <f>IF(A20&lt;[3]关卡对接!$A$4,INDEX([3]关卡对接!$C$7:$C$141,A20),MATCH(E20,人物经验!$H$24:$H$573,1))</f>
        <v>47</v>
      </c>
      <c r="K20" s="12">
        <f>IF([3]关卡对接!F8="",INT(INDEX(人物经验!$J$24:$J$573,关卡!J20)*关卡!$S$7),[3]关卡对接!F8)</f>
        <v>90</v>
      </c>
      <c r="L20" s="12">
        <f t="shared" ref="L20:L83" si="11">VLOOKUP(A20,$A$5:$J$15,10,1)</f>
        <v>1</v>
      </c>
      <c r="M20" s="12">
        <f>L20/[4]货币基础!$B$4</f>
        <v>100</v>
      </c>
      <c r="N20" s="12">
        <f>IF(A20&lt;[3]关卡对接!$A$4,INDEX([3]关卡对接!$E$7:$E$141,A20),MATCH(E20,人物经验!$H$24:$H$573,1))</f>
        <v>32</v>
      </c>
      <c r="O20" s="12">
        <f>INDEX([2]关卡!$G$6:$G$2005,A20)</f>
        <v>1</v>
      </c>
      <c r="P20" s="12">
        <v>0.75</v>
      </c>
      <c r="Q20" s="12">
        <f>INT(P20/$S$15/O20*VLOOKUP(J20,[1]人物技能基础!$N$3:$O$553,2,0)*$U$15)</f>
        <v>3</v>
      </c>
      <c r="R20" s="12">
        <f t="shared" ref="R20:R83" si="12">INT(Q20*12.5)</f>
        <v>37</v>
      </c>
    </row>
    <row r="21" spans="1:20" x14ac:dyDescent="0.15">
      <c r="A21" s="12">
        <v>3</v>
      </c>
      <c r="B21" s="12">
        <f t="shared" si="6"/>
        <v>1</v>
      </c>
      <c r="C21" s="12">
        <f t="shared" si="7"/>
        <v>5.4822210749999991E-3</v>
      </c>
      <c r="D21" s="12">
        <f t="shared" si="8"/>
        <v>1.8458598749999991E-3</v>
      </c>
      <c r="E21" s="12">
        <f>SUM($D$19:D21)</f>
        <v>5.4822210749999991E-3</v>
      </c>
      <c r="F21" s="12">
        <f t="shared" si="4"/>
        <v>1.1504510145199376</v>
      </c>
      <c r="G21" s="12">
        <f t="shared" si="5"/>
        <v>5.1503380067309381</v>
      </c>
      <c r="H21" s="12">
        <f t="shared" si="9"/>
        <v>4100</v>
      </c>
      <c r="I21" s="12">
        <f t="shared" si="10"/>
        <v>18500</v>
      </c>
      <c r="J21" s="12">
        <f>IF(A21&lt;[3]关卡对接!$A$4,INDEX([3]关卡对接!$C$7:$C$141,A21),MATCH(E21,人物经验!$H$24:$H$573,1))</f>
        <v>48</v>
      </c>
      <c r="K21" s="12">
        <f>IF([3]关卡对接!F9="",INT(INDEX(人物经验!$J$24:$J$573,关卡!J21)*关卡!$S$7),[3]关卡对接!F9)</f>
        <v>94</v>
      </c>
      <c r="L21" s="12">
        <f t="shared" si="11"/>
        <v>1</v>
      </c>
      <c r="M21" s="12">
        <f>L21/[4]货币基础!$B$4</f>
        <v>100</v>
      </c>
      <c r="N21" s="12">
        <f>IF(A21&lt;[3]关卡对接!$A$4,INDEX([3]关卡对接!$E$7:$E$141,A21),MATCH(E21,人物经验!$H$24:$H$573,1))</f>
        <v>33</v>
      </c>
      <c r="O21" s="12">
        <f>INDEX([2]关卡!$G$6:$G$2005,A21)</f>
        <v>1</v>
      </c>
      <c r="P21" s="12">
        <v>0.75</v>
      </c>
      <c r="Q21" s="12">
        <f>INT(P21/$S$15/O21*VLOOKUP(J21,[1]人物技能基础!$N$3:$O$553,2,0)*$U$15)</f>
        <v>3</v>
      </c>
      <c r="R21" s="12">
        <f t="shared" si="12"/>
        <v>37</v>
      </c>
    </row>
    <row r="22" spans="1:20" x14ac:dyDescent="0.15">
      <c r="A22" s="12">
        <v>4</v>
      </c>
      <c r="B22" s="12">
        <f t="shared" si="6"/>
        <v>1</v>
      </c>
      <c r="C22" s="12">
        <f t="shared" si="7"/>
        <v>7.3468991999999997E-3</v>
      </c>
      <c r="D22" s="12">
        <f t="shared" si="8"/>
        <v>1.8646781250000006E-3</v>
      </c>
      <c r="E22" s="12">
        <f>SUM($D$19:D22)</f>
        <v>7.3468991999999997E-3</v>
      </c>
      <c r="F22" s="12">
        <f t="shared" si="4"/>
        <v>1.2008024063840002</v>
      </c>
      <c r="G22" s="12">
        <f t="shared" si="5"/>
        <v>5.2006012015200005</v>
      </c>
      <c r="H22" s="12">
        <f t="shared" si="9"/>
        <v>4300</v>
      </c>
      <c r="I22" s="12">
        <f t="shared" si="10"/>
        <v>18700</v>
      </c>
      <c r="J22" s="12">
        <f>IF(A22&lt;[3]关卡对接!$A$4,INDEX([3]关卡对接!$C$7:$C$141,A22),MATCH(E22,人物经验!$H$24:$H$573,1))</f>
        <v>60</v>
      </c>
      <c r="K22" s="12">
        <f>IF([3]关卡对接!F10="",INT(INDEX(人物经验!$J$24:$J$573,关卡!J22)*关卡!$S$7),[3]关卡对接!F10)</f>
        <v>423</v>
      </c>
      <c r="L22" s="12">
        <f t="shared" si="11"/>
        <v>1</v>
      </c>
      <c r="M22" s="12">
        <f>L22/[4]货币基础!$B$4</f>
        <v>100</v>
      </c>
      <c r="N22" s="12">
        <f>IF(A22&lt;[3]关卡对接!$A$4,INDEX([3]关卡对接!$E$7:$E$141,A22),MATCH(E22,人物经验!$H$24:$H$573,1))</f>
        <v>52</v>
      </c>
      <c r="O22" s="12">
        <f>INDEX([2]关卡!$G$6:$G$2005,A22)</f>
        <v>1.25</v>
      </c>
      <c r="P22" s="13">
        <v>1</v>
      </c>
      <c r="Q22" s="12">
        <f>INT(P22/$S$15/O22*VLOOKUP(J22,[1]人物技能基础!$N$3:$O$553,2,0)*$U$15)</f>
        <v>3</v>
      </c>
      <c r="R22" s="12">
        <f t="shared" si="12"/>
        <v>37</v>
      </c>
    </row>
    <row r="23" spans="1:20" x14ac:dyDescent="0.15">
      <c r="A23" s="12">
        <v>5</v>
      </c>
      <c r="B23" s="12">
        <f t="shared" si="6"/>
        <v>1</v>
      </c>
      <c r="C23" s="12">
        <f t="shared" si="7"/>
        <v>9.2306718750000006E-3</v>
      </c>
      <c r="D23" s="12">
        <f t="shared" si="8"/>
        <v>1.8837726750000009E-3</v>
      </c>
      <c r="E23" s="12">
        <f>SUM($D$19:D23)</f>
        <v>9.2306718750000006E-3</v>
      </c>
      <c r="F23" s="12">
        <f t="shared" si="4"/>
        <v>1.2512547030859373</v>
      </c>
      <c r="G23" s="12">
        <f t="shared" si="5"/>
        <v>5.2509398474609377</v>
      </c>
      <c r="H23" s="12">
        <f t="shared" si="9"/>
        <v>4500</v>
      </c>
      <c r="I23" s="12">
        <f t="shared" si="10"/>
        <v>18900</v>
      </c>
      <c r="J23" s="12">
        <f>IF(A23&lt;[3]关卡对接!$A$4,INDEX([3]关卡对接!$C$7:$C$141,A23),MATCH(E23,人物经验!$H$24:$H$573,1))</f>
        <v>62</v>
      </c>
      <c r="K23" s="12">
        <f>IF([3]关卡对接!F11="",INT(INDEX(人物经验!$J$24:$J$573,关卡!J23)*关卡!$S$7),[3]关卡对接!F11)</f>
        <v>467</v>
      </c>
      <c r="L23" s="12">
        <f t="shared" si="11"/>
        <v>1</v>
      </c>
      <c r="M23" s="12">
        <f>L23/[4]货币基础!$B$4</f>
        <v>100</v>
      </c>
      <c r="N23" s="12">
        <f>IF(A23&lt;[3]关卡对接!$A$4,INDEX([3]关卡对接!$E$7:$E$141,A23),MATCH(E23,人物经验!$H$24:$H$573,1))</f>
        <v>54</v>
      </c>
      <c r="O23" s="12">
        <f>INDEX([2]关卡!$G$6:$G$2005,A23)</f>
        <v>1.5</v>
      </c>
      <c r="P23" s="13">
        <v>1</v>
      </c>
      <c r="Q23" s="12">
        <f>INT(P23/$S$15/O23*VLOOKUP(J23,[1]人物技能基础!$N$3:$O$553,2,0)*$U$15)</f>
        <v>3</v>
      </c>
      <c r="R23" s="12">
        <f t="shared" si="12"/>
        <v>37</v>
      </c>
    </row>
    <row r="24" spans="1:20" x14ac:dyDescent="0.15">
      <c r="A24" s="12">
        <v>6</v>
      </c>
      <c r="B24" s="12">
        <f t="shared" si="6"/>
        <v>1</v>
      </c>
      <c r="C24" s="12">
        <f t="shared" si="7"/>
        <v>1.11338172E-2</v>
      </c>
      <c r="D24" s="12">
        <f t="shared" si="8"/>
        <v>1.9031453249999993E-3</v>
      </c>
      <c r="E24" s="12">
        <f>SUM($D$19:D24)</f>
        <v>1.11338172E-2</v>
      </c>
      <c r="F24" s="12">
        <f t="shared" si="4"/>
        <v>1.3018081323189998</v>
      </c>
      <c r="G24" s="12">
        <f t="shared" si="5"/>
        <v>5.3013540576949998</v>
      </c>
      <c r="H24" s="12">
        <f t="shared" si="9"/>
        <v>4600</v>
      </c>
      <c r="I24" s="12">
        <f t="shared" si="10"/>
        <v>19000</v>
      </c>
      <c r="J24" s="12">
        <f>IF(A24&lt;[3]关卡对接!$A$4,INDEX([3]关卡对接!$C$7:$C$141,A24),MATCH(E24,人物经验!$H$24:$H$573,1))</f>
        <v>64</v>
      </c>
      <c r="K24" s="12">
        <f>IF([3]关卡对接!F12="",INT(INDEX(人物经验!$J$24:$J$573,关卡!J24)*关卡!$S$7),[3]关卡对接!F12)</f>
        <v>507</v>
      </c>
      <c r="L24" s="12">
        <f t="shared" si="11"/>
        <v>1</v>
      </c>
      <c r="M24" s="12">
        <f>L24/[4]货币基础!$B$4</f>
        <v>100</v>
      </c>
      <c r="N24" s="12">
        <f>IF(A24&lt;[3]关卡对接!$A$4,INDEX([3]关卡对接!$E$7:$E$141,A24),MATCH(E24,人物经验!$H$24:$H$573,1))</f>
        <v>56</v>
      </c>
      <c r="O24" s="12">
        <f>INDEX([2]关卡!$G$6:$G$2005,A24)</f>
        <v>1.75</v>
      </c>
      <c r="P24" s="13">
        <v>1.25</v>
      </c>
      <c r="Q24" s="12">
        <f>INT(P24/$S$15/O24*VLOOKUP(J24,[1]人物技能基础!$N$3:$O$553,2,0)*$U$15)</f>
        <v>3</v>
      </c>
      <c r="R24" s="12">
        <f t="shared" si="12"/>
        <v>37</v>
      </c>
    </row>
    <row r="25" spans="1:20" x14ac:dyDescent="0.15">
      <c r="A25" s="12">
        <v>7</v>
      </c>
      <c r="B25" s="12">
        <f t="shared" si="6"/>
        <v>1</v>
      </c>
      <c r="C25" s="12">
        <f t="shared" si="7"/>
        <v>1.3056615075000002E-2</v>
      </c>
      <c r="D25" s="12">
        <f t="shared" si="8"/>
        <v>1.9227978750000017E-3</v>
      </c>
      <c r="E25" s="12">
        <f>SUM($D$19:D25)</f>
        <v>1.3056615075000002E-2</v>
      </c>
      <c r="F25" s="12">
        <f t="shared" si="4"/>
        <v>1.3524629223749376</v>
      </c>
      <c r="G25" s="12">
        <f t="shared" si="5"/>
        <v>5.3518439455059381</v>
      </c>
      <c r="H25" s="12">
        <f t="shared" si="9"/>
        <v>4800</v>
      </c>
      <c r="I25" s="12">
        <f t="shared" si="10"/>
        <v>19200</v>
      </c>
      <c r="J25" s="12">
        <f>IF(A25&lt;[3]关卡对接!$A$4,INDEX([3]关卡对接!$C$7:$C$141,A25),MATCH(E25,人物经验!$H$24:$H$573,1))</f>
        <v>66</v>
      </c>
      <c r="K25" s="12">
        <f>IF([3]关卡对接!F13="",INT(INDEX(人物经验!$J$24:$J$573,关卡!J25)*关卡!$S$7),[3]关卡对接!F13)</f>
        <v>275</v>
      </c>
      <c r="L25" s="12">
        <f t="shared" si="11"/>
        <v>1</v>
      </c>
      <c r="M25" s="12">
        <f>L25/[4]货币基础!$B$4</f>
        <v>100</v>
      </c>
      <c r="N25" s="12">
        <f>IF(A25&lt;[3]关卡对接!$A$4,INDEX([3]关卡对接!$E$7:$E$141,A25),MATCH(E25,人物经验!$H$24:$H$573,1))</f>
        <v>59</v>
      </c>
      <c r="O25" s="12">
        <f>INDEX([2]关卡!$G$6:$G$2005,A25)</f>
        <v>2</v>
      </c>
      <c r="P25" s="13">
        <v>1.25</v>
      </c>
      <c r="Q25" s="12">
        <f>INT(P25/$S$15/O25*VLOOKUP(J25,[1]人物技能基础!$N$3:$O$553,2,0)*$U$15)</f>
        <v>3</v>
      </c>
      <c r="R25" s="12">
        <f t="shared" si="12"/>
        <v>37</v>
      </c>
    </row>
    <row r="26" spans="1:20" x14ac:dyDescent="0.15">
      <c r="A26" s="12">
        <v>8</v>
      </c>
      <c r="B26" s="12">
        <f t="shared" si="6"/>
        <v>1</v>
      </c>
      <c r="C26" s="12">
        <f t="shared" si="7"/>
        <v>1.4999347200000001E-2</v>
      </c>
      <c r="D26" s="12">
        <f t="shared" si="8"/>
        <v>1.942732124999999E-3</v>
      </c>
      <c r="E26" s="12">
        <f>SUM($D$19:D26)</f>
        <v>1.4999347200000001E-2</v>
      </c>
      <c r="F26" s="12">
        <f t="shared" si="4"/>
        <v>1.4032193021440003</v>
      </c>
      <c r="G26" s="12">
        <f t="shared" si="5"/>
        <v>5.4024096243199997</v>
      </c>
      <c r="H26" s="12">
        <f t="shared" si="9"/>
        <v>5000</v>
      </c>
      <c r="I26" s="12">
        <f t="shared" si="10"/>
        <v>19400</v>
      </c>
      <c r="J26" s="12">
        <f>IF(A26&lt;[3]关卡对接!$A$4,INDEX([3]关卡对接!$C$7:$C$141,A26),MATCH(E26,人物经验!$H$24:$H$573,1))</f>
        <v>67</v>
      </c>
      <c r="K26" s="12">
        <f>IF([3]关卡对接!F14="",INT(INDEX(人物经验!$J$24:$J$573,关卡!J26)*关卡!$S$7),[3]关卡对接!F14)</f>
        <v>284</v>
      </c>
      <c r="L26" s="12">
        <f t="shared" si="11"/>
        <v>1</v>
      </c>
      <c r="M26" s="12">
        <f>L26/[4]货币基础!$B$4</f>
        <v>100</v>
      </c>
      <c r="N26" s="12">
        <f>IF(A26&lt;[3]关卡对接!$A$4,INDEX([3]关卡对接!$E$7:$E$141,A26),MATCH(E26,人物经验!$H$24:$H$573,1))</f>
        <v>60</v>
      </c>
      <c r="O26" s="12">
        <f>INDEX([2]关卡!$G$6:$G$2005,A26)</f>
        <v>2.25</v>
      </c>
      <c r="P26" s="13">
        <v>1.5</v>
      </c>
      <c r="Q26" s="12">
        <f>INT(P26/$S$15/O26*VLOOKUP(J26,[1]人物技能基础!$N$3:$O$553,2,0)*$U$15)</f>
        <v>3</v>
      </c>
      <c r="R26" s="12">
        <f t="shared" si="12"/>
        <v>37</v>
      </c>
    </row>
    <row r="27" spans="1:20" x14ac:dyDescent="0.15">
      <c r="A27" s="12">
        <v>9</v>
      </c>
      <c r="B27" s="12">
        <f t="shared" si="6"/>
        <v>1</v>
      </c>
      <c r="C27" s="12">
        <f t="shared" si="7"/>
        <v>1.6962297075E-2</v>
      </c>
      <c r="D27" s="12">
        <f t="shared" si="8"/>
        <v>1.9629498749999998E-3</v>
      </c>
      <c r="E27" s="12">
        <f>SUM($D$19:D27)</f>
        <v>1.6962297075E-2</v>
      </c>
      <c r="F27" s="12">
        <f t="shared" si="4"/>
        <v>1.4540775011149376</v>
      </c>
      <c r="G27" s="12">
        <f t="shared" si="5"/>
        <v>5.4530512077059372</v>
      </c>
      <c r="H27" s="12">
        <f t="shared" si="9"/>
        <v>5200</v>
      </c>
      <c r="I27" s="12">
        <f t="shared" si="10"/>
        <v>19600</v>
      </c>
      <c r="J27" s="12">
        <f>IF(A27&lt;[3]关卡对接!$A$4,INDEX([3]关卡对接!$C$7:$C$141,A27),MATCH(E27,人物经验!$H$24:$H$573,1))</f>
        <v>69</v>
      </c>
      <c r="K27" s="12">
        <f>IF([3]关卡对接!F15="",INT(INDEX(人物经验!$J$24:$J$573,关卡!J27)*关卡!$S$7),[3]关卡对接!F15)</f>
        <v>157</v>
      </c>
      <c r="L27" s="12">
        <f t="shared" si="11"/>
        <v>1</v>
      </c>
      <c r="M27" s="12">
        <f>L27/[4]货币基础!$B$4</f>
        <v>100</v>
      </c>
      <c r="N27" s="12">
        <f>IF(A27&lt;[3]关卡对接!$A$4,INDEX([3]关卡对接!$E$7:$E$141,A27),MATCH(E27,人物经验!$H$24:$H$573,1))</f>
        <v>63</v>
      </c>
      <c r="O27" s="12">
        <f>INDEX([2]关卡!$G$6:$G$2005,A27)</f>
        <v>2.5</v>
      </c>
      <c r="P27" s="13">
        <v>2</v>
      </c>
      <c r="Q27" s="12">
        <f>INT(P27/$S$15/O27*VLOOKUP(J27,[1]人物技能基础!$N$3:$O$553,2,0)*$U$15)</f>
        <v>3</v>
      </c>
      <c r="R27" s="12">
        <f t="shared" si="12"/>
        <v>37</v>
      </c>
    </row>
    <row r="28" spans="1:20" x14ac:dyDescent="0.15">
      <c r="A28" s="12">
        <v>10</v>
      </c>
      <c r="B28" s="12">
        <f t="shared" si="6"/>
        <v>1</v>
      </c>
      <c r="C28" s="12">
        <f t="shared" si="7"/>
        <v>1.8945750000000001E-2</v>
      </c>
      <c r="D28" s="12">
        <f t="shared" si="8"/>
        <v>1.9834529250000003E-3</v>
      </c>
      <c r="E28" s="12">
        <f>SUM($D$19:D28)</f>
        <v>1.8945750000000001E-2</v>
      </c>
      <c r="F28" s="12">
        <f t="shared" si="4"/>
        <v>1.505037749375</v>
      </c>
      <c r="G28" s="12">
        <f t="shared" si="5"/>
        <v>5.503768809374999</v>
      </c>
      <c r="H28" s="12">
        <f t="shared" si="9"/>
        <v>5400</v>
      </c>
      <c r="I28" s="12">
        <f t="shared" si="10"/>
        <v>19800</v>
      </c>
      <c r="J28" s="12">
        <f>IF(A28&lt;[3]关卡对接!$A$4,INDEX([3]关卡对接!$C$7:$C$141,A28),MATCH(E28,人物经验!$H$24:$H$573,1))</f>
        <v>70</v>
      </c>
      <c r="K28" s="12">
        <f>IF([3]关卡对接!F16="",INT(INDEX(人物经验!$J$24:$J$573,关卡!J28)*关卡!$S$7),[3]关卡对接!F16)</f>
        <v>334</v>
      </c>
      <c r="L28" s="12">
        <f t="shared" si="11"/>
        <v>1</v>
      </c>
      <c r="M28" s="12">
        <f>L28/[4]货币基础!$B$4</f>
        <v>100</v>
      </c>
      <c r="N28" s="12">
        <f>IF(A28&lt;[3]关卡对接!$A$4,INDEX([3]关卡对接!$E$7:$E$141,A28),MATCH(E28,人物经验!$H$24:$H$573,1))</f>
        <v>64</v>
      </c>
      <c r="O28" s="12">
        <f>INDEX([2]关卡!$G$6:$G$2005,A28)</f>
        <v>2.75</v>
      </c>
      <c r="P28" s="13">
        <v>2</v>
      </c>
      <c r="Q28" s="12">
        <f>INT(P28/$S$15/O28*VLOOKUP(J28,[1]人物技能基础!$N$3:$O$553,2,0)*$U$15)</f>
        <v>3</v>
      </c>
      <c r="R28" s="12">
        <f t="shared" si="12"/>
        <v>37</v>
      </c>
    </row>
    <row r="29" spans="1:20" x14ac:dyDescent="0.15">
      <c r="A29" s="12">
        <v>11</v>
      </c>
      <c r="B29" s="12">
        <f t="shared" si="6"/>
        <v>1</v>
      </c>
      <c r="C29" s="12">
        <f t="shared" si="7"/>
        <v>2.0949993074999996E-2</v>
      </c>
      <c r="D29" s="12">
        <f t="shared" si="8"/>
        <v>2.0042430749999951E-3</v>
      </c>
      <c r="E29" s="12">
        <f>SUM($D$19:D29)</f>
        <v>2.0949993074999996E-2</v>
      </c>
      <c r="F29" s="12">
        <f t="shared" si="4"/>
        <v>1.5561002776099377</v>
      </c>
      <c r="G29" s="12">
        <f t="shared" si="5"/>
        <v>5.5545625431809373</v>
      </c>
      <c r="H29" s="12">
        <f t="shared" si="9"/>
        <v>5600</v>
      </c>
      <c r="I29" s="12">
        <f t="shared" si="10"/>
        <v>19900</v>
      </c>
      <c r="J29" s="12">
        <f>IF(A29&lt;[3]关卡对接!$A$4,INDEX([3]关卡对接!$C$7:$C$141,A29),MATCH(E29,人物经验!$H$24:$H$573,1))</f>
        <v>72</v>
      </c>
      <c r="K29" s="12">
        <f>IF([3]关卡对接!F17="",INT(INDEX(人物经验!$J$24:$J$573,关卡!J29)*关卡!$S$7),[3]关卡对接!F17)</f>
        <v>298</v>
      </c>
      <c r="L29" s="12">
        <f t="shared" si="11"/>
        <v>1</v>
      </c>
      <c r="M29" s="12">
        <f>L29/[4]货币基础!$B$4</f>
        <v>100</v>
      </c>
      <c r="N29" s="12">
        <f>IF(A29&lt;[3]关卡对接!$A$4,INDEX([3]关卡对接!$E$7:$E$141,A29),MATCH(E29,人物经验!$H$24:$H$573,1))</f>
        <v>67</v>
      </c>
      <c r="O29" s="12">
        <f>INDEX([2]关卡!$G$6:$G$2005,A29)</f>
        <v>3</v>
      </c>
      <c r="P29" s="13">
        <v>2</v>
      </c>
      <c r="Q29" s="12">
        <f>INT(P29/$S$15/O29*VLOOKUP(J29,[1]人物技能基础!$N$3:$O$553,2,0)*$U$15)</f>
        <v>3</v>
      </c>
      <c r="R29" s="12">
        <f t="shared" si="12"/>
        <v>37</v>
      </c>
    </row>
    <row r="30" spans="1:20" x14ac:dyDescent="0.15">
      <c r="A30" s="12">
        <v>12</v>
      </c>
      <c r="B30" s="12">
        <f t="shared" si="6"/>
        <v>1</v>
      </c>
      <c r="C30" s="12">
        <f t="shared" si="7"/>
        <v>2.2975315200000002E-2</v>
      </c>
      <c r="D30" s="12">
        <f t="shared" si="8"/>
        <v>2.0253221250000064E-3</v>
      </c>
      <c r="E30" s="12">
        <f>SUM($D$19:D30)</f>
        <v>2.2975315200000002E-2</v>
      </c>
      <c r="F30" s="12">
        <f t="shared" si="4"/>
        <v>1.6072653171040001</v>
      </c>
      <c r="G30" s="12">
        <f t="shared" si="5"/>
        <v>5.6054325231200002</v>
      </c>
      <c r="H30" s="12">
        <f t="shared" si="9"/>
        <v>5700</v>
      </c>
      <c r="I30" s="12">
        <f t="shared" si="10"/>
        <v>20100</v>
      </c>
      <c r="J30" s="12">
        <f>IF(A30&lt;[3]关卡对接!$A$4,INDEX([3]关卡对接!$C$7:$C$141,A30),MATCH(E30,人物经验!$H$24:$H$573,1))</f>
        <v>73</v>
      </c>
      <c r="K30" s="12">
        <f>IF([3]关卡对接!F18="",INT(INDEX(人物经验!$J$24:$J$573,关卡!J30)*关卡!$S$7),[3]关卡对接!F18)</f>
        <v>267</v>
      </c>
      <c r="L30" s="12">
        <f t="shared" si="11"/>
        <v>1</v>
      </c>
      <c r="M30" s="12">
        <f>L30/[4]货币基础!$B$4</f>
        <v>100</v>
      </c>
      <c r="N30" s="12">
        <f>IF(A30&lt;[3]关卡对接!$A$4,INDEX([3]关卡对接!$E$7:$E$141,A30),MATCH(E30,人物经验!$H$24:$H$573,1))</f>
        <v>68</v>
      </c>
      <c r="O30" s="12">
        <f>INDEX([2]关卡!$G$6:$G$2005,A30)</f>
        <v>3</v>
      </c>
      <c r="P30" s="13">
        <v>2</v>
      </c>
      <c r="Q30" s="12">
        <f>INT(P30/$S$15/O30*VLOOKUP(J30,[1]人物技能基础!$N$3:$O$553,2,0)*$U$15)</f>
        <v>3</v>
      </c>
      <c r="R30" s="12">
        <f t="shared" si="12"/>
        <v>37</v>
      </c>
    </row>
    <row r="31" spans="1:20" x14ac:dyDescent="0.15">
      <c r="A31" s="12">
        <v>13</v>
      </c>
      <c r="B31" s="12">
        <f t="shared" si="6"/>
        <v>1</v>
      </c>
      <c r="C31" s="12">
        <f t="shared" si="7"/>
        <v>2.5022007074999998E-2</v>
      </c>
      <c r="D31" s="12">
        <f t="shared" si="8"/>
        <v>2.0466918749999959E-3</v>
      </c>
      <c r="E31" s="12">
        <f>SUM($D$19:D31)</f>
        <v>2.5022007074999998E-2</v>
      </c>
      <c r="F31" s="12">
        <f t="shared" si="4"/>
        <v>1.6585330997399375</v>
      </c>
      <c r="G31" s="12">
        <f t="shared" si="5"/>
        <v>5.6563788633309384</v>
      </c>
      <c r="H31" s="12">
        <f t="shared" si="9"/>
        <v>5900</v>
      </c>
      <c r="I31" s="12">
        <f t="shared" si="10"/>
        <v>20300</v>
      </c>
      <c r="J31" s="12">
        <f>IF(A31&lt;[3]关卡对接!$A$4,INDEX([3]关卡对接!$C$7:$C$141,A31),MATCH(E31,人物经验!$H$24:$H$573,1))</f>
        <v>74</v>
      </c>
      <c r="K31" s="12">
        <f>IF([3]关卡对接!F19="",INT(INDEX(人物经验!$J$24:$J$573,关卡!J31)*关卡!$S$7),[3]关卡对接!F19)</f>
        <v>244</v>
      </c>
      <c r="L31" s="12">
        <f t="shared" si="11"/>
        <v>1</v>
      </c>
      <c r="M31" s="12">
        <f>L31/[4]货币基础!$B$4</f>
        <v>100</v>
      </c>
      <c r="N31" s="12">
        <f>IF(A31&lt;[3]关卡对接!$A$4,INDEX([3]关卡对接!$E$7:$E$141,A31),MATCH(E31,人物经验!$H$24:$H$573,1))</f>
        <v>70</v>
      </c>
      <c r="O31" s="12">
        <f>INDEX([2]关卡!$G$6:$G$2005,A31)</f>
        <v>3</v>
      </c>
      <c r="P31" s="13">
        <v>2</v>
      </c>
      <c r="Q31" s="12">
        <f>INT(P31/$S$15/O31*VLOOKUP(J31,[1]人物技能基础!$N$3:$O$553,2,0)*$U$15)</f>
        <v>3</v>
      </c>
      <c r="R31" s="12">
        <f t="shared" si="12"/>
        <v>37</v>
      </c>
    </row>
    <row r="32" spans="1:20" x14ac:dyDescent="0.15">
      <c r="A32" s="12">
        <v>14</v>
      </c>
      <c r="B32" s="12">
        <f t="shared" si="6"/>
        <v>1</v>
      </c>
      <c r="C32" s="12">
        <f t="shared" si="7"/>
        <v>2.70903612E-2</v>
      </c>
      <c r="D32" s="12">
        <f t="shared" si="8"/>
        <v>2.0683541250000013E-3</v>
      </c>
      <c r="E32" s="12">
        <f>SUM($D$19:D32)</f>
        <v>2.70903612E-2</v>
      </c>
      <c r="F32" s="12">
        <f t="shared" si="4"/>
        <v>1.709903857999</v>
      </c>
      <c r="G32" s="12">
        <f t="shared" si="5"/>
        <v>5.7074016780950005</v>
      </c>
      <c r="H32" s="12">
        <f t="shared" si="9"/>
        <v>6100</v>
      </c>
      <c r="I32" s="12">
        <f t="shared" si="10"/>
        <v>20500</v>
      </c>
      <c r="J32" s="12">
        <f>IF(A32&lt;[3]关卡对接!$A$4,INDEX([3]关卡对接!$C$7:$C$141,A32),MATCH(E32,人物经验!$H$24:$H$573,1))</f>
        <v>75</v>
      </c>
      <c r="K32" s="12">
        <f>IF([3]关卡对接!F20="",INT(INDEX(人物经验!$J$24:$J$573,关卡!J32)*关卡!$S$7),[3]关卡对接!F20)</f>
        <v>253</v>
      </c>
      <c r="L32" s="12">
        <f t="shared" si="11"/>
        <v>1</v>
      </c>
      <c r="M32" s="12">
        <f>L32/[4]货币基础!$B$4</f>
        <v>100</v>
      </c>
      <c r="N32" s="12">
        <f>IF(A32&lt;[3]关卡对接!$A$4,INDEX([3]关卡对接!$E$7:$E$141,A32),MATCH(E32,人物经验!$H$24:$H$573,1))</f>
        <v>71</v>
      </c>
      <c r="O32" s="12">
        <f>INDEX([2]关卡!$G$6:$G$2005,A32)</f>
        <v>3</v>
      </c>
      <c r="P32" s="13">
        <v>2</v>
      </c>
      <c r="Q32" s="12">
        <f>INT(P32/$S$15/O32*VLOOKUP(J32,[1]人物技能基础!$N$3:$O$553,2,0)*$U$15)</f>
        <v>3</v>
      </c>
      <c r="R32" s="12">
        <f t="shared" si="12"/>
        <v>37</v>
      </c>
    </row>
    <row r="33" spans="1:18" x14ac:dyDescent="0.15">
      <c r="A33" s="12">
        <v>15</v>
      </c>
      <c r="B33" s="12">
        <f t="shared" si="6"/>
        <v>1</v>
      </c>
      <c r="C33" s="12">
        <f t="shared" si="7"/>
        <v>2.9180671875000001E-2</v>
      </c>
      <c r="D33" s="12">
        <f t="shared" si="8"/>
        <v>2.0903106750000018E-3</v>
      </c>
      <c r="E33" s="12">
        <f>SUM($D$19:D33)</f>
        <v>2.9180671875000001E-2</v>
      </c>
      <c r="F33" s="12">
        <f t="shared" si="4"/>
        <v>1.7613778249609373</v>
      </c>
      <c r="G33" s="12">
        <f t="shared" si="5"/>
        <v>5.7585010818359361</v>
      </c>
      <c r="H33" s="12">
        <f t="shared" si="9"/>
        <v>6300</v>
      </c>
      <c r="I33" s="12">
        <f t="shared" si="10"/>
        <v>20700</v>
      </c>
      <c r="J33" s="12">
        <f>IF(A33&lt;[3]关卡对接!$A$4,INDEX([3]关卡对接!$C$7:$C$141,A33),MATCH(E33,人物经验!$H$24:$H$573,1))</f>
        <v>76</v>
      </c>
      <c r="K33" s="12">
        <f>IF([3]关卡对接!F21="",INT(INDEX(人物经验!$J$24:$J$573,关卡!J33)*关卡!$S$7),[3]关卡对接!F21)</f>
        <v>269</v>
      </c>
      <c r="L33" s="12">
        <f t="shared" si="11"/>
        <v>1</v>
      </c>
      <c r="M33" s="12">
        <f>L33/[4]货币基础!$B$4</f>
        <v>100</v>
      </c>
      <c r="N33" s="12">
        <f>IF(A33&lt;[3]关卡对接!$A$4,INDEX([3]关卡对接!$E$7:$E$141,A33),MATCH(E33,人物经验!$H$24:$H$573,1))</f>
        <v>73</v>
      </c>
      <c r="O33" s="12">
        <f>INDEX([2]关卡!$G$6:$G$2005,A33)</f>
        <v>3</v>
      </c>
      <c r="P33" s="13">
        <v>2</v>
      </c>
      <c r="Q33" s="12">
        <f>INT(P33/$S$15/O33*VLOOKUP(J33,[1]人物技能基础!$N$3:$O$553,2,0)*$U$15)</f>
        <v>3</v>
      </c>
      <c r="R33" s="12">
        <f t="shared" si="12"/>
        <v>37</v>
      </c>
    </row>
    <row r="34" spans="1:18" x14ac:dyDescent="0.15">
      <c r="A34" s="12">
        <v>16</v>
      </c>
      <c r="B34" s="12">
        <f t="shared" si="6"/>
        <v>1</v>
      </c>
      <c r="C34" s="12">
        <f t="shared" si="7"/>
        <v>3.1293235199999998E-2</v>
      </c>
      <c r="D34" s="12">
        <f t="shared" si="8"/>
        <v>2.112563324999997E-3</v>
      </c>
      <c r="E34" s="12">
        <f>SUM($D$19:D34)</f>
        <v>3.1293235199999998E-2</v>
      </c>
      <c r="F34" s="12">
        <f t="shared" si="4"/>
        <v>1.8129552343040001</v>
      </c>
      <c r="G34" s="12">
        <f t="shared" si="5"/>
        <v>5.8096771891200012</v>
      </c>
      <c r="H34" s="12">
        <f t="shared" si="9"/>
        <v>6500</v>
      </c>
      <c r="I34" s="12">
        <f t="shared" si="10"/>
        <v>20900</v>
      </c>
      <c r="J34" s="12">
        <f>IF(A34&lt;[3]关卡对接!$A$4,INDEX([3]关卡对接!$C$7:$C$141,A34),MATCH(E34,人物经验!$H$24:$H$573,1))</f>
        <v>76</v>
      </c>
      <c r="K34" s="12">
        <f>IF([3]关卡对接!F22="",INT(INDEX(人物经验!$J$24:$J$573,关卡!J34)*关卡!$S$7),[3]关卡对接!F22)</f>
        <v>272</v>
      </c>
      <c r="L34" s="12">
        <f t="shared" si="11"/>
        <v>1</v>
      </c>
      <c r="M34" s="12">
        <f>L34/[4]货币基础!$B$4</f>
        <v>100</v>
      </c>
      <c r="N34" s="12">
        <f>IF(A34&lt;[3]关卡对接!$A$4,INDEX([3]关卡对接!$E$7:$E$141,A34),MATCH(E34,人物经验!$H$24:$H$573,1))</f>
        <v>73</v>
      </c>
      <c r="O34" s="12">
        <f>INDEX([2]关卡!$G$6:$G$2005,A34)</f>
        <v>3</v>
      </c>
      <c r="P34" s="13">
        <v>2</v>
      </c>
      <c r="Q34" s="12">
        <f>INT(P34/$S$15/O34*VLOOKUP(J34,[1]人物技能基础!$N$3:$O$553,2,0)*$U$15)</f>
        <v>3</v>
      </c>
      <c r="R34" s="12">
        <f t="shared" si="12"/>
        <v>37</v>
      </c>
    </row>
    <row r="35" spans="1:18" x14ac:dyDescent="0.15">
      <c r="A35" s="12">
        <v>17</v>
      </c>
      <c r="B35" s="12">
        <f t="shared" si="6"/>
        <v>1</v>
      </c>
      <c r="C35" s="12">
        <f t="shared" si="7"/>
        <v>3.3428349074999995E-2</v>
      </c>
      <c r="D35" s="12">
        <f t="shared" si="8"/>
        <v>2.1351138749999971E-3</v>
      </c>
      <c r="E35" s="12">
        <f>SUM($D$19:D35)</f>
        <v>3.3428349074999995E-2</v>
      </c>
      <c r="F35" s="12">
        <f t="shared" si="4"/>
        <v>1.8646363203049376</v>
      </c>
      <c r="G35" s="12">
        <f t="shared" si="5"/>
        <v>5.8609301146559387</v>
      </c>
      <c r="H35" s="12">
        <f t="shared" si="9"/>
        <v>6700</v>
      </c>
      <c r="I35" s="12">
        <f t="shared" si="10"/>
        <v>21000</v>
      </c>
      <c r="J35" s="12">
        <f>IF(A35&lt;[3]关卡对接!$A$4,INDEX([3]关卡对接!$C$7:$C$141,A35),MATCH(E35,人物经验!$H$24:$H$573,1))</f>
        <v>77</v>
      </c>
      <c r="K35" s="12">
        <f>IF([3]关卡对接!F23="",INT(INDEX(人物经验!$J$24:$J$573,关卡!J35)*关卡!$S$7),[3]关卡对接!F23)</f>
        <v>371</v>
      </c>
      <c r="L35" s="12">
        <f t="shared" si="11"/>
        <v>1</v>
      </c>
      <c r="M35" s="12">
        <f>L35/[4]货币基础!$B$4</f>
        <v>100</v>
      </c>
      <c r="N35" s="12">
        <f>IF(A35&lt;[3]关卡对接!$A$4,INDEX([3]关卡对接!$E$7:$E$141,A35),MATCH(E35,人物经验!$H$24:$H$573,1))</f>
        <v>74</v>
      </c>
      <c r="O35" s="12">
        <f>INDEX([2]关卡!$G$6:$G$2005,A35)</f>
        <v>3</v>
      </c>
      <c r="P35" s="13">
        <v>2</v>
      </c>
      <c r="Q35" s="12">
        <f>INT(P35/$S$15/O35*VLOOKUP(J35,[1]人物技能基础!$N$3:$O$553,2,0)*$U$15)</f>
        <v>3</v>
      </c>
      <c r="R35" s="12">
        <f t="shared" si="12"/>
        <v>37</v>
      </c>
    </row>
    <row r="36" spans="1:18" x14ac:dyDescent="0.15">
      <c r="A36" s="12">
        <v>18</v>
      </c>
      <c r="B36" s="12">
        <f t="shared" si="6"/>
        <v>1</v>
      </c>
      <c r="C36" s="12">
        <f t="shared" si="7"/>
        <v>3.558631319999999E-2</v>
      </c>
      <c r="D36" s="12">
        <f t="shared" si="8"/>
        <v>2.1579641249999948E-3</v>
      </c>
      <c r="E36" s="12">
        <f>SUM($D$19:D36)</f>
        <v>3.558631319999999E-2</v>
      </c>
      <c r="F36" s="12">
        <f t="shared" si="4"/>
        <v>1.9164213178390002</v>
      </c>
      <c r="G36" s="12">
        <f t="shared" si="5"/>
        <v>5.9122599732949999</v>
      </c>
      <c r="H36" s="12">
        <f t="shared" si="9"/>
        <v>6800</v>
      </c>
      <c r="I36" s="12">
        <f t="shared" si="10"/>
        <v>21200</v>
      </c>
      <c r="J36" s="12">
        <f>IF(A36&lt;[3]关卡对接!$A$4,INDEX([3]关卡对接!$C$7:$C$141,A36),MATCH(E36,人物经验!$H$24:$H$573,1))</f>
        <v>78</v>
      </c>
      <c r="K36" s="12">
        <f>IF([3]关卡对接!F24="",INT(INDEX(人物经验!$J$24:$J$573,关卡!J36)*关卡!$S$7),[3]关卡对接!F24)</f>
        <v>494</v>
      </c>
      <c r="L36" s="12">
        <f t="shared" si="11"/>
        <v>1</v>
      </c>
      <c r="M36" s="12">
        <f>L36/[4]货币基础!$B$4</f>
        <v>100</v>
      </c>
      <c r="N36" s="12">
        <f>IF(A36&lt;[3]关卡对接!$A$4,INDEX([3]关卡对接!$E$7:$E$141,A36),MATCH(E36,人物经验!$H$24:$H$573,1))</f>
        <v>76</v>
      </c>
      <c r="O36" s="12">
        <f>INDEX([2]关卡!$G$6:$G$2005,A36)</f>
        <v>3</v>
      </c>
      <c r="P36" s="13">
        <v>2</v>
      </c>
      <c r="Q36" s="12">
        <f>INT(P36/$S$15/O36*VLOOKUP(J36,[1]人物技能基础!$N$3:$O$553,2,0)*$U$15)</f>
        <v>3</v>
      </c>
      <c r="R36" s="12">
        <f t="shared" si="12"/>
        <v>37</v>
      </c>
    </row>
    <row r="37" spans="1:18" x14ac:dyDescent="0.15">
      <c r="A37" s="12">
        <v>19</v>
      </c>
      <c r="B37" s="12">
        <f t="shared" si="6"/>
        <v>1</v>
      </c>
      <c r="C37" s="12">
        <f t="shared" si="7"/>
        <v>3.7767429074999997E-2</v>
      </c>
      <c r="D37" s="12">
        <f t="shared" si="8"/>
        <v>2.1811158750000073E-3</v>
      </c>
      <c r="E37" s="12">
        <f>SUM($D$19:D37)</f>
        <v>3.7767429074999997E-2</v>
      </c>
      <c r="F37" s="12">
        <f t="shared" si="4"/>
        <v>1.9683104623799372</v>
      </c>
      <c r="G37" s="12">
        <f t="shared" si="5"/>
        <v>5.9636668800309378</v>
      </c>
      <c r="H37" s="12">
        <f t="shared" si="9"/>
        <v>7000</v>
      </c>
      <c r="I37" s="12">
        <f t="shared" si="10"/>
        <v>21400</v>
      </c>
      <c r="J37" s="12">
        <f>IF(A37&lt;[3]关卡对接!$A$4,INDEX([3]关卡对接!$C$7:$C$141,A37),MATCH(E37,人物经验!$H$24:$H$573,1))</f>
        <v>93</v>
      </c>
      <c r="K37" s="12">
        <f>IF([3]关卡对接!F25="",INT(INDEX(人物经验!$J$24:$J$573,关卡!J37)*关卡!$S$7),[3]关卡对接!F25)</f>
        <v>235</v>
      </c>
      <c r="L37" s="12">
        <f t="shared" si="11"/>
        <v>1</v>
      </c>
      <c r="M37" s="12">
        <f>L37/[4]货币基础!$B$4</f>
        <v>100</v>
      </c>
      <c r="N37" s="12">
        <f>IF(A37&lt;[3]关卡对接!$A$4,INDEX([3]关卡对接!$E$7:$E$141,A37),MATCH(E37,人物经验!$H$24:$H$573,1))</f>
        <v>93</v>
      </c>
      <c r="O37" s="12">
        <f>INDEX([2]关卡!$G$6:$G$2005,A37)</f>
        <v>3</v>
      </c>
      <c r="P37" s="13">
        <v>2</v>
      </c>
      <c r="Q37" s="12">
        <f>INT(P37/$S$15/O37*VLOOKUP(J37,[1]人物技能基础!$N$3:$O$553,2,0)*$U$15)</f>
        <v>3</v>
      </c>
      <c r="R37" s="12">
        <f t="shared" si="12"/>
        <v>37</v>
      </c>
    </row>
    <row r="38" spans="1:18" x14ac:dyDescent="0.15">
      <c r="A38" s="12">
        <v>20</v>
      </c>
      <c r="B38" s="12">
        <f t="shared" si="6"/>
        <v>1</v>
      </c>
      <c r="C38" s="12">
        <f t="shared" si="7"/>
        <v>3.9972000000000008E-2</v>
      </c>
      <c r="D38" s="12">
        <f t="shared" si="8"/>
        <v>2.2045709250000101E-3</v>
      </c>
      <c r="E38" s="12">
        <f>SUM($D$19:D38)</f>
        <v>3.9972000000000008E-2</v>
      </c>
      <c r="F38" s="12">
        <f t="shared" si="4"/>
        <v>2.0203039899999999</v>
      </c>
      <c r="G38" s="12">
        <f t="shared" si="5"/>
        <v>6.0151509499999998</v>
      </c>
      <c r="H38" s="12">
        <f t="shared" si="9"/>
        <v>7200</v>
      </c>
      <c r="I38" s="12">
        <f t="shared" si="10"/>
        <v>21600</v>
      </c>
      <c r="J38" s="12">
        <f>IF(A38&lt;[3]关卡对接!$A$4,INDEX([3]关卡对接!$C$7:$C$141,A38),MATCH(E38,人物经验!$H$24:$H$573,1))</f>
        <v>85</v>
      </c>
      <c r="K38" s="12">
        <f>IF([3]关卡对接!F26="",INT(INDEX(人物经验!$J$24:$J$573,关卡!J38)*关卡!$S$7),[3]关卡对接!F26)</f>
        <v>261</v>
      </c>
      <c r="L38" s="12">
        <f t="shared" si="11"/>
        <v>1</v>
      </c>
      <c r="M38" s="12">
        <f>L38/[4]货币基础!$B$4</f>
        <v>100</v>
      </c>
      <c r="N38" s="12">
        <f>IF(A38&lt;[3]关卡对接!$A$4,INDEX([3]关卡对接!$E$7:$E$141,A38),MATCH(E38,人物经验!$H$24:$H$573,1))</f>
        <v>85</v>
      </c>
      <c r="O38" s="12">
        <f>INDEX([2]关卡!$G$6:$G$2005,A38)</f>
        <v>3</v>
      </c>
      <c r="P38" s="13">
        <v>2</v>
      </c>
      <c r="Q38" s="12">
        <f>INT(P38/$S$15/O38*VLOOKUP(J38,[1]人物技能基础!$N$3:$O$553,2,0)*$U$15)</f>
        <v>3</v>
      </c>
      <c r="R38" s="12">
        <f t="shared" si="12"/>
        <v>37</v>
      </c>
    </row>
    <row r="39" spans="1:18" x14ac:dyDescent="0.15">
      <c r="A39" s="12">
        <v>21</v>
      </c>
      <c r="B39" s="12">
        <f t="shared" si="6"/>
        <v>1</v>
      </c>
      <c r="C39" s="12">
        <f t="shared" si="7"/>
        <v>4.2200331074999993E-2</v>
      </c>
      <c r="D39" s="12">
        <f t="shared" si="8"/>
        <v>2.2283310749999855E-3</v>
      </c>
      <c r="E39" s="12">
        <f>SUM($D$19:D39)</f>
        <v>4.2200331074999993E-2</v>
      </c>
      <c r="F39" s="12">
        <f t="shared" si="4"/>
        <v>2.0724021373699375</v>
      </c>
      <c r="G39" s="12">
        <f t="shared" si="5"/>
        <v>6.0667122984809376</v>
      </c>
      <c r="H39" s="12">
        <f t="shared" si="9"/>
        <v>7400</v>
      </c>
      <c r="I39" s="12">
        <f t="shared" si="10"/>
        <v>21800</v>
      </c>
      <c r="J39" s="12">
        <f>IF(A39&lt;[3]关卡对接!$A$4,INDEX([3]关卡对接!$C$7:$C$141,A39),MATCH(E39,人物经验!$H$24:$H$573,1))</f>
        <v>86</v>
      </c>
      <c r="K39" s="12">
        <f>IF([3]关卡对接!F27="",INT(INDEX(人物经验!$J$24:$J$573,关卡!J39)*关卡!$S$7),[3]关卡对接!F27)</f>
        <v>291</v>
      </c>
      <c r="L39" s="12">
        <f t="shared" si="11"/>
        <v>1</v>
      </c>
      <c r="M39" s="12">
        <f>L39/[4]货币基础!$B$4</f>
        <v>100</v>
      </c>
      <c r="N39" s="12">
        <f>IF(A39&lt;[3]关卡对接!$A$4,INDEX([3]关卡对接!$E$7:$E$141,A39),MATCH(E39,人物经验!$H$24:$H$573,1))</f>
        <v>86</v>
      </c>
      <c r="O39" s="12">
        <f>INDEX([2]关卡!$G$6:$G$2005,A39)</f>
        <v>3</v>
      </c>
      <c r="P39" s="13">
        <v>3</v>
      </c>
      <c r="Q39" s="12">
        <f>INT(P39/$S$15/O39*VLOOKUP(J39,[1]人物技能基础!$N$3:$O$553,2,0)*$U$15)</f>
        <v>4</v>
      </c>
      <c r="R39" s="12">
        <f t="shared" si="12"/>
        <v>50</v>
      </c>
    </row>
    <row r="40" spans="1:18" x14ac:dyDescent="0.15">
      <c r="A40" s="12">
        <v>22</v>
      </c>
      <c r="B40" s="12">
        <f t="shared" si="6"/>
        <v>1</v>
      </c>
      <c r="C40" s="12">
        <f t="shared" si="7"/>
        <v>4.4452729200000006E-2</v>
      </c>
      <c r="D40" s="12">
        <f t="shared" si="8"/>
        <v>2.252398125000013E-3</v>
      </c>
      <c r="E40" s="12">
        <f>SUM($D$19:D40)</f>
        <v>4.4452729200000006E-2</v>
      </c>
      <c r="F40" s="12">
        <f t="shared" si="4"/>
        <v>2.1246051417590004</v>
      </c>
      <c r="G40" s="12">
        <f t="shared" si="5"/>
        <v>6.1183510408949999</v>
      </c>
      <c r="H40" s="12">
        <f t="shared" si="9"/>
        <v>7600</v>
      </c>
      <c r="I40" s="12">
        <f t="shared" si="10"/>
        <v>22000</v>
      </c>
      <c r="J40" s="12">
        <f>IF(A40&lt;[3]关卡对接!$A$4,INDEX([3]关卡对接!$C$7:$C$141,A40),MATCH(E40,人物经验!$H$24:$H$573,1))</f>
        <v>87</v>
      </c>
      <c r="K40" s="12">
        <f>IF([3]关卡对接!F28="",INT(INDEX(人物经验!$J$24:$J$573,关卡!J40)*关卡!$S$7),[3]关卡对接!F28)</f>
        <v>330</v>
      </c>
      <c r="L40" s="12">
        <f t="shared" si="11"/>
        <v>1</v>
      </c>
      <c r="M40" s="12">
        <f>L40/[4]货币基础!$B$4</f>
        <v>100</v>
      </c>
      <c r="N40" s="12">
        <f>IF(A40&lt;[3]关卡对接!$A$4,INDEX([3]关卡对接!$E$7:$E$141,A40),MATCH(E40,人物经验!$H$24:$H$573,1))</f>
        <v>87</v>
      </c>
      <c r="O40" s="12">
        <f>INDEX([2]关卡!$G$6:$G$2005,A40)</f>
        <v>3</v>
      </c>
      <c r="P40" s="13">
        <v>3</v>
      </c>
      <c r="Q40" s="12">
        <f>INT(P40/$S$15/O40*VLOOKUP(J40,[1]人物技能基础!$N$3:$O$553,2,0)*$U$15)</f>
        <v>4</v>
      </c>
      <c r="R40" s="12">
        <f t="shared" si="12"/>
        <v>50</v>
      </c>
    </row>
    <row r="41" spans="1:18" x14ac:dyDescent="0.15">
      <c r="A41" s="12">
        <v>23</v>
      </c>
      <c r="B41" s="12">
        <f t="shared" si="6"/>
        <v>1</v>
      </c>
      <c r="C41" s="12">
        <f t="shared" si="7"/>
        <v>4.6729503074999998E-2</v>
      </c>
      <c r="D41" s="12">
        <f t="shared" si="8"/>
        <v>2.2767738749999919E-3</v>
      </c>
      <c r="E41" s="12">
        <f>SUM($D$19:D41)</f>
        <v>4.6729503074999998E-2</v>
      </c>
      <c r="F41" s="12">
        <f t="shared" si="4"/>
        <v>2.1769132410349372</v>
      </c>
      <c r="G41" s="12">
        <f t="shared" si="5"/>
        <v>6.1700672928059372</v>
      </c>
      <c r="H41" s="12">
        <f t="shared" si="9"/>
        <v>7800</v>
      </c>
      <c r="I41" s="12">
        <f t="shared" si="10"/>
        <v>22200</v>
      </c>
      <c r="J41" s="12">
        <f>IF(A41&lt;[3]关卡对接!$A$4,INDEX([3]关卡对接!$C$7:$C$141,A41),MATCH(E41,人物经验!$H$24:$H$573,1))</f>
        <v>88</v>
      </c>
      <c r="K41" s="12">
        <f>IF([3]关卡对接!F29="",INT(INDEX(人物经验!$J$24:$J$573,关卡!J41)*关卡!$S$7),[3]关卡对接!F29)</f>
        <v>210</v>
      </c>
      <c r="L41" s="12">
        <f t="shared" si="11"/>
        <v>1</v>
      </c>
      <c r="M41" s="12">
        <f>L41/[4]货币基础!$B$4</f>
        <v>100</v>
      </c>
      <c r="N41" s="12">
        <f>IF(A41&lt;[3]关卡对接!$A$4,INDEX([3]关卡对接!$E$7:$E$141,A41),MATCH(E41,人物经验!$H$24:$H$573,1))</f>
        <v>88</v>
      </c>
      <c r="O41" s="12">
        <f>INDEX([2]关卡!$G$6:$G$2005,A41)</f>
        <v>3</v>
      </c>
      <c r="P41" s="13">
        <v>3</v>
      </c>
      <c r="Q41" s="12">
        <f>INT(P41/$S$15/O41*VLOOKUP(J41,[1]人物技能基础!$N$3:$O$553,2,0)*$U$15)</f>
        <v>4</v>
      </c>
      <c r="R41" s="12">
        <f t="shared" si="12"/>
        <v>50</v>
      </c>
    </row>
    <row r="42" spans="1:18" x14ac:dyDescent="0.15">
      <c r="A42" s="12">
        <v>24</v>
      </c>
      <c r="B42" s="12">
        <f t="shared" si="6"/>
        <v>1</v>
      </c>
      <c r="C42" s="12">
        <f t="shared" si="7"/>
        <v>4.9030963199999993E-2</v>
      </c>
      <c r="D42" s="12">
        <f t="shared" si="8"/>
        <v>2.3014601249999947E-3</v>
      </c>
      <c r="E42" s="12">
        <f>SUM($D$19:D42)</f>
        <v>4.9030963199999993E-2</v>
      </c>
      <c r="F42" s="12">
        <f t="shared" si="4"/>
        <v>2.2293266736639996</v>
      </c>
      <c r="G42" s="12">
        <f t="shared" si="5"/>
        <v>6.2218611699200004</v>
      </c>
      <c r="H42" s="12">
        <f t="shared" si="9"/>
        <v>8000</v>
      </c>
      <c r="I42" s="12">
        <f t="shared" si="10"/>
        <v>22300</v>
      </c>
      <c r="J42" s="12">
        <f>IF(A42&lt;[3]关卡对接!$A$4,INDEX([3]关卡对接!$C$7:$C$141,A42),MATCH(E42,人物经验!$H$24:$H$573,1))</f>
        <v>89</v>
      </c>
      <c r="K42" s="12">
        <f>IF([3]关卡对接!F30="",INT(INDEX(人物经验!$J$24:$J$573,关卡!J42)*关卡!$S$7),[3]关卡对接!F30)</f>
        <v>214</v>
      </c>
      <c r="L42" s="12">
        <f t="shared" si="11"/>
        <v>1</v>
      </c>
      <c r="M42" s="12">
        <f>L42/[4]货币基础!$B$4</f>
        <v>100</v>
      </c>
      <c r="N42" s="12">
        <f>IF(A42&lt;[3]关卡对接!$A$4,INDEX([3]关卡对接!$E$7:$E$141,A42),MATCH(E42,人物经验!$H$24:$H$573,1))</f>
        <v>89</v>
      </c>
      <c r="O42" s="12">
        <f>INDEX([2]关卡!$G$6:$G$2005,A42)</f>
        <v>3</v>
      </c>
      <c r="P42" s="13">
        <v>3</v>
      </c>
      <c r="Q42" s="12">
        <f>INT(P42/$S$15/O42*VLOOKUP(J42,[1]人物技能基础!$N$3:$O$553,2,0)*$U$15)</f>
        <v>4</v>
      </c>
      <c r="R42" s="12">
        <f t="shared" si="12"/>
        <v>50</v>
      </c>
    </row>
    <row r="43" spans="1:18" x14ac:dyDescent="0.15">
      <c r="A43" s="12">
        <v>25</v>
      </c>
      <c r="B43" s="12">
        <f t="shared" si="6"/>
        <v>1</v>
      </c>
      <c r="C43" s="12">
        <f t="shared" si="7"/>
        <v>5.1357421874999996E-2</v>
      </c>
      <c r="D43" s="12">
        <f t="shared" si="8"/>
        <v>2.3264586750000038E-3</v>
      </c>
      <c r="E43" s="12">
        <f>SUM($D$19:D43)</f>
        <v>5.1357421874999996E-2</v>
      </c>
      <c r="F43" s="12">
        <f t="shared" si="4"/>
        <v>2.2818456787109378</v>
      </c>
      <c r="G43" s="12">
        <f t="shared" si="5"/>
        <v>6.2737327880859386</v>
      </c>
      <c r="H43" s="12">
        <f t="shared" si="9"/>
        <v>8200</v>
      </c>
      <c r="I43" s="12">
        <f t="shared" si="10"/>
        <v>22500</v>
      </c>
      <c r="J43" s="12">
        <f>IF(A43&lt;[3]关卡对接!$A$4,INDEX([3]关卡对接!$C$7:$C$141,A43),MATCH(E43,人物经验!$H$24:$H$573,1))</f>
        <v>90</v>
      </c>
      <c r="K43" s="12">
        <f>IF([3]关卡对接!F31="",INT(INDEX(人物经验!$J$24:$J$573,关卡!J43)*关卡!$S$7),[3]关卡对接!F31)</f>
        <v>214</v>
      </c>
      <c r="L43" s="12">
        <f t="shared" si="11"/>
        <v>1</v>
      </c>
      <c r="M43" s="12">
        <f>L43/[4]货币基础!$B$4</f>
        <v>100</v>
      </c>
      <c r="N43" s="12">
        <f>IF(A43&lt;[3]关卡对接!$A$4,INDEX([3]关卡对接!$E$7:$E$141,A43),MATCH(E43,人物经验!$H$24:$H$573,1))</f>
        <v>90</v>
      </c>
      <c r="O43" s="12">
        <f>INDEX([2]关卡!$G$6:$G$2005,A43)</f>
        <v>3</v>
      </c>
      <c r="P43" s="13">
        <v>3</v>
      </c>
      <c r="Q43" s="12">
        <f>INT(P43/$S$15/O43*VLOOKUP(J43,[1]人物技能基础!$N$3:$O$553,2,0)*$U$15)</f>
        <v>4</v>
      </c>
      <c r="R43" s="12">
        <f t="shared" si="12"/>
        <v>50</v>
      </c>
    </row>
    <row r="44" spans="1:18" x14ac:dyDescent="0.15">
      <c r="A44" s="12">
        <v>26</v>
      </c>
      <c r="B44" s="12">
        <f t="shared" si="6"/>
        <v>1</v>
      </c>
      <c r="C44" s="12">
        <f t="shared" si="7"/>
        <v>5.3709193200000005E-2</v>
      </c>
      <c r="D44" s="12">
        <f t="shared" si="8"/>
        <v>2.3517713250000086E-3</v>
      </c>
      <c r="E44" s="12">
        <f>SUM($D$19:D44)</f>
        <v>5.3709193200000005E-2</v>
      </c>
      <c r="F44" s="12">
        <f t="shared" si="4"/>
        <v>2.3344704958390001</v>
      </c>
      <c r="G44" s="12">
        <f t="shared" si="5"/>
        <v>6.3256822632950005</v>
      </c>
      <c r="H44" s="12">
        <f t="shared" si="9"/>
        <v>8400</v>
      </c>
      <c r="I44" s="12">
        <f t="shared" si="10"/>
        <v>22700</v>
      </c>
      <c r="J44" s="12">
        <f>IF(A44&lt;[3]关卡对接!$A$4,INDEX([3]关卡对接!$C$7:$C$141,A44),MATCH(E44,人物经验!$H$24:$H$573,1))</f>
        <v>91</v>
      </c>
      <c r="K44" s="12">
        <f>IF([3]关卡对接!F32="",INT(INDEX(人物经验!$J$24:$J$573,关卡!J44)*关卡!$S$7),[3]关卡对接!F32)</f>
        <v>219</v>
      </c>
      <c r="L44" s="12">
        <f t="shared" si="11"/>
        <v>1</v>
      </c>
      <c r="M44" s="12">
        <f>L44/[4]货币基础!$B$4</f>
        <v>100</v>
      </c>
      <c r="N44" s="12">
        <f>IF(A44&lt;[3]关卡对接!$A$4,INDEX([3]关卡对接!$E$7:$E$141,A44),MATCH(E44,人物经验!$H$24:$H$573,1))</f>
        <v>91</v>
      </c>
      <c r="O44" s="12">
        <f>INDEX([2]关卡!$G$6:$G$2005,A44)</f>
        <v>3</v>
      </c>
      <c r="P44" s="13">
        <v>3</v>
      </c>
      <c r="Q44" s="12">
        <f>INT(P44/$S$15/O44*VLOOKUP(J44,[1]人物技能基础!$N$3:$O$553,2,0)*$U$15)</f>
        <v>4</v>
      </c>
      <c r="R44" s="12">
        <f t="shared" si="12"/>
        <v>50</v>
      </c>
    </row>
    <row r="45" spans="1:18" x14ac:dyDescent="0.15">
      <c r="A45" s="12">
        <v>27</v>
      </c>
      <c r="B45" s="12">
        <f t="shared" si="6"/>
        <v>1</v>
      </c>
      <c r="C45" s="12">
        <f t="shared" si="7"/>
        <v>5.6086593075000003E-2</v>
      </c>
      <c r="D45" s="12">
        <f t="shared" si="8"/>
        <v>2.3773998749999983E-3</v>
      </c>
      <c r="E45" s="12">
        <f>SUM($D$19:D45)</f>
        <v>5.6086593075000003E-2</v>
      </c>
      <c r="F45" s="12">
        <f t="shared" si="4"/>
        <v>2.3872013653099375</v>
      </c>
      <c r="G45" s="12">
        <f t="shared" si="5"/>
        <v>6.3777097116809376</v>
      </c>
      <c r="H45" s="12">
        <f t="shared" si="9"/>
        <v>8500</v>
      </c>
      <c r="I45" s="12">
        <f t="shared" si="10"/>
        <v>22900</v>
      </c>
      <c r="J45" s="12">
        <f>IF(A45&lt;[3]关卡对接!$A$4,INDEX([3]关卡对接!$C$7:$C$141,A45),MATCH(E45,人物经验!$H$24:$H$573,1))</f>
        <v>92</v>
      </c>
      <c r="K45" s="12">
        <f>IF([3]关卡对接!F33="",INT(INDEX(人物经验!$J$24:$J$573,关卡!J45)*关卡!$S$7),[3]关卡对接!F33)</f>
        <v>219</v>
      </c>
      <c r="L45" s="12">
        <f t="shared" si="11"/>
        <v>1</v>
      </c>
      <c r="M45" s="12">
        <f>L45/[4]货币基础!$B$4</f>
        <v>100</v>
      </c>
      <c r="N45" s="12">
        <f>IF(A45&lt;[3]关卡对接!$A$4,INDEX([3]关卡对接!$E$7:$E$141,A45),MATCH(E45,人物经验!$H$24:$H$573,1))</f>
        <v>92</v>
      </c>
      <c r="O45" s="12">
        <f>INDEX([2]关卡!$G$6:$G$2005,A45)</f>
        <v>3</v>
      </c>
      <c r="P45" s="13">
        <v>3</v>
      </c>
      <c r="Q45" s="12">
        <f>INT(P45/$S$15/O45*VLOOKUP(J45,[1]人物技能基础!$N$3:$O$553,2,0)*$U$15)</f>
        <v>4</v>
      </c>
      <c r="R45" s="12">
        <f t="shared" si="12"/>
        <v>50</v>
      </c>
    </row>
    <row r="46" spans="1:18" x14ac:dyDescent="0.15">
      <c r="A46" s="12">
        <v>28</v>
      </c>
      <c r="B46" s="12">
        <f t="shared" si="6"/>
        <v>1</v>
      </c>
      <c r="C46" s="12">
        <f t="shared" si="7"/>
        <v>5.8489939200000007E-2</v>
      </c>
      <c r="D46" s="12">
        <f t="shared" si="8"/>
        <v>2.4033461250000041E-3</v>
      </c>
      <c r="E46" s="12">
        <f>SUM($D$19:D46)</f>
        <v>5.8489939200000007E-2</v>
      </c>
      <c r="F46" s="12">
        <f t="shared" si="4"/>
        <v>2.4400385279840004</v>
      </c>
      <c r="G46" s="12">
        <f t="shared" si="5"/>
        <v>6.4298152495199998</v>
      </c>
      <c r="H46" s="12">
        <f t="shared" si="9"/>
        <v>8700</v>
      </c>
      <c r="I46" s="12">
        <f t="shared" si="10"/>
        <v>23100</v>
      </c>
      <c r="J46" s="12">
        <f>IF(A46&lt;[3]关卡对接!$A$4,INDEX([3]关卡对接!$C$7:$C$141,A46),MATCH(E46,人物经验!$H$24:$H$573,1))</f>
        <v>93</v>
      </c>
      <c r="K46" s="12">
        <f>IF([3]关卡对接!F34="",INT(INDEX(人物经验!$J$24:$J$573,关卡!J46)*关卡!$S$7),[3]关卡对接!F34)</f>
        <v>224</v>
      </c>
      <c r="L46" s="12">
        <f t="shared" si="11"/>
        <v>1</v>
      </c>
      <c r="M46" s="12">
        <f>L46/[4]货币基础!$B$4</f>
        <v>100</v>
      </c>
      <c r="N46" s="12">
        <f>IF(A46&lt;[3]关卡对接!$A$4,INDEX([3]关卡对接!$E$7:$E$141,A46),MATCH(E46,人物经验!$H$24:$H$573,1))</f>
        <v>93</v>
      </c>
      <c r="O46" s="12">
        <f>INDEX([2]关卡!$G$6:$G$2005,A46)</f>
        <v>3</v>
      </c>
      <c r="P46" s="13">
        <v>3</v>
      </c>
      <c r="Q46" s="12">
        <f>INT(P46/$S$15/O46*VLOOKUP(J46,[1]人物技能基础!$N$3:$O$553,2,0)*$U$15)</f>
        <v>4</v>
      </c>
      <c r="R46" s="12">
        <f t="shared" si="12"/>
        <v>50</v>
      </c>
    </row>
    <row r="47" spans="1:18" x14ac:dyDescent="0.15">
      <c r="A47" s="12">
        <v>29</v>
      </c>
      <c r="B47" s="12">
        <f t="shared" si="6"/>
        <v>1</v>
      </c>
      <c r="C47" s="12">
        <f t="shared" si="7"/>
        <v>6.0919551074999995E-2</v>
      </c>
      <c r="D47" s="12">
        <f t="shared" si="8"/>
        <v>2.4296118749999873E-3</v>
      </c>
      <c r="E47" s="12">
        <f>SUM($D$19:D47)</f>
        <v>6.0919551074999995E-2</v>
      </c>
      <c r="F47" s="12">
        <f t="shared" si="4"/>
        <v>2.4929822253199374</v>
      </c>
      <c r="G47" s="12">
        <f t="shared" si="5"/>
        <v>6.4819989932309365</v>
      </c>
      <c r="H47" s="12">
        <f t="shared" si="9"/>
        <v>8900</v>
      </c>
      <c r="I47" s="12">
        <f t="shared" si="10"/>
        <v>23300</v>
      </c>
      <c r="J47" s="12">
        <f>IF(A47&lt;[3]关卡对接!$A$4,INDEX([3]关卡对接!$C$7:$C$141,A47),MATCH(E47,人物经验!$H$24:$H$573,1))</f>
        <v>94</v>
      </c>
      <c r="K47" s="12">
        <f>IF([3]关卡对接!F35="",INT(INDEX(人物经验!$J$24:$J$573,关卡!J47)*关卡!$S$7),[3]关卡对接!F35)</f>
        <v>229</v>
      </c>
      <c r="L47" s="12">
        <f t="shared" si="11"/>
        <v>1</v>
      </c>
      <c r="M47" s="12">
        <f>L47/[4]货币基础!$B$4</f>
        <v>100</v>
      </c>
      <c r="N47" s="12">
        <f>IF(A47&lt;[3]关卡对接!$A$4,INDEX([3]关卡对接!$E$7:$E$141,A47),MATCH(E47,人物经验!$H$24:$H$573,1))</f>
        <v>94</v>
      </c>
      <c r="O47" s="12">
        <f>INDEX([2]关卡!$G$6:$G$2005,A47)</f>
        <v>3</v>
      </c>
      <c r="P47" s="13">
        <v>3</v>
      </c>
      <c r="Q47" s="12">
        <f>INT(P47/$S$15/O47*VLOOKUP(J47,[1]人物技能基础!$N$3:$O$553,2,0)*$U$15)</f>
        <v>4</v>
      </c>
      <c r="R47" s="12">
        <f t="shared" si="12"/>
        <v>50</v>
      </c>
    </row>
    <row r="48" spans="1:18" x14ac:dyDescent="0.15">
      <c r="A48" s="12">
        <v>30</v>
      </c>
      <c r="B48" s="12">
        <f t="shared" si="6"/>
        <v>1</v>
      </c>
      <c r="C48" s="12">
        <f t="shared" si="7"/>
        <v>6.3375749999999995E-2</v>
      </c>
      <c r="D48" s="12">
        <f t="shared" si="8"/>
        <v>2.4561989249999999E-3</v>
      </c>
      <c r="E48" s="12">
        <f>SUM($D$19:D48)</f>
        <v>6.3375749999999995E-2</v>
      </c>
      <c r="F48" s="12">
        <f t="shared" si="4"/>
        <v>2.546032699375</v>
      </c>
      <c r="G48" s="12">
        <f t="shared" si="5"/>
        <v>6.5342610593749999</v>
      </c>
      <c r="H48" s="12">
        <f t="shared" si="9"/>
        <v>9100</v>
      </c>
      <c r="I48" s="12">
        <f t="shared" si="10"/>
        <v>23500</v>
      </c>
      <c r="J48" s="12">
        <f>IF(A48&lt;[3]关卡对接!$A$4,INDEX([3]关卡对接!$C$7:$C$141,A48),MATCH(E48,人物经验!$H$24:$H$573,1))</f>
        <v>93</v>
      </c>
      <c r="K48" s="12">
        <f>IF([3]关卡对接!F36="",INT(INDEX(人物经验!$J$24:$J$573,关卡!J48)*关卡!$S$7),[3]关卡对接!F36)</f>
        <v>224</v>
      </c>
      <c r="L48" s="12">
        <f t="shared" si="11"/>
        <v>1</v>
      </c>
      <c r="M48" s="12">
        <f>L48/[4]货币基础!$B$4</f>
        <v>100</v>
      </c>
      <c r="N48" s="12">
        <f>IF(A48&lt;[3]关卡对接!$A$4,INDEX([3]关卡对接!$E$7:$E$141,A48),MATCH(E48,人物经验!$H$24:$H$573,1))</f>
        <v>93</v>
      </c>
      <c r="O48" s="12">
        <f>INDEX([2]关卡!$G$6:$G$2005,A48)</f>
        <v>3</v>
      </c>
      <c r="P48" s="13">
        <v>3</v>
      </c>
      <c r="Q48" s="12">
        <f>INT(P48/$S$15/O48*VLOOKUP(J48,[1]人物技能基础!$N$3:$O$553,2,0)*$U$15)</f>
        <v>4</v>
      </c>
      <c r="R48" s="12">
        <f t="shared" si="12"/>
        <v>50</v>
      </c>
    </row>
    <row r="49" spans="1:18" x14ac:dyDescent="0.15">
      <c r="A49" s="12">
        <v>31</v>
      </c>
      <c r="B49" s="12">
        <f t="shared" si="6"/>
        <v>1</v>
      </c>
      <c r="C49" s="12">
        <f t="shared" si="7"/>
        <v>6.5858859074999998E-2</v>
      </c>
      <c r="D49" s="12">
        <f t="shared" si="8"/>
        <v>2.4831090750000034E-3</v>
      </c>
      <c r="E49" s="12">
        <f>SUM($D$19:D49)</f>
        <v>6.5858859074999998E-2</v>
      </c>
      <c r="F49" s="12">
        <f t="shared" si="4"/>
        <v>2.5991901928049379</v>
      </c>
      <c r="G49" s="12">
        <f t="shared" si="5"/>
        <v>6.5866015646559379</v>
      </c>
      <c r="H49" s="12">
        <f t="shared" si="9"/>
        <v>9300</v>
      </c>
      <c r="I49" s="12">
        <f t="shared" si="10"/>
        <v>23700</v>
      </c>
      <c r="J49" s="12">
        <f>IF(A49&lt;[3]关卡对接!$A$4,INDEX([3]关卡对接!$C$7:$C$141,A49),MATCH(E49,人物经验!$H$24:$H$573,1))</f>
        <v>95</v>
      </c>
      <c r="K49" s="12">
        <f>IF([3]关卡对接!F37="",INT(INDEX(人物经验!$J$24:$J$573,关卡!J49)*关卡!$S$7),[3]关卡对接!F37)</f>
        <v>229</v>
      </c>
      <c r="L49" s="12">
        <f t="shared" si="11"/>
        <v>1</v>
      </c>
      <c r="M49" s="12">
        <f>L49/[4]货币基础!$B$4</f>
        <v>100</v>
      </c>
      <c r="N49" s="12">
        <f>IF(A49&lt;[3]关卡对接!$A$4,INDEX([3]关卡对接!$E$7:$E$141,A49),MATCH(E49,人物经验!$H$24:$H$573,1))</f>
        <v>95</v>
      </c>
      <c r="O49" s="12">
        <f>INDEX([2]关卡!$G$6:$G$2005,A49)</f>
        <v>3</v>
      </c>
      <c r="P49" s="13">
        <v>4</v>
      </c>
      <c r="Q49" s="12">
        <f>INT(P49/$S$15/O49*VLOOKUP(J49,[1]人物技能基础!$N$3:$O$553,2,0)*$U$15)</f>
        <v>6</v>
      </c>
      <c r="R49" s="12">
        <f t="shared" si="12"/>
        <v>75</v>
      </c>
    </row>
    <row r="50" spans="1:18" x14ac:dyDescent="0.15">
      <c r="A50" s="12">
        <v>32</v>
      </c>
      <c r="B50" s="12">
        <f t="shared" si="6"/>
        <v>1</v>
      </c>
      <c r="C50" s="12">
        <f t="shared" si="7"/>
        <v>6.8369203199999992E-2</v>
      </c>
      <c r="D50" s="12">
        <f t="shared" si="8"/>
        <v>2.5103441249999942E-3</v>
      </c>
      <c r="E50" s="12">
        <f>SUM($D$19:D50)</f>
        <v>6.8369203199999992E-2</v>
      </c>
      <c r="F50" s="12">
        <f t="shared" si="4"/>
        <v>2.6524549488639999</v>
      </c>
      <c r="G50" s="12">
        <f t="shared" si="5"/>
        <v>6.6390206259199998</v>
      </c>
      <c r="H50" s="12">
        <f t="shared" si="9"/>
        <v>9500</v>
      </c>
      <c r="I50" s="12">
        <f t="shared" si="10"/>
        <v>23900</v>
      </c>
      <c r="J50" s="12">
        <f>IF(A50&lt;[3]关卡对接!$A$4,INDEX([3]关卡对接!$C$7:$C$141,A50),MATCH(E50,人物经验!$H$24:$H$573,1))</f>
        <v>97</v>
      </c>
      <c r="K50" s="12">
        <f>IF([3]关卡对接!F38="",INT(INDEX(人物经验!$J$24:$J$573,关卡!J50)*关卡!$S$7),[3]关卡对接!F38)</f>
        <v>233</v>
      </c>
      <c r="L50" s="12">
        <f t="shared" si="11"/>
        <v>1</v>
      </c>
      <c r="M50" s="12">
        <f>L50/[4]货币基础!$B$4</f>
        <v>100</v>
      </c>
      <c r="N50" s="12">
        <f>IF(A50&lt;[3]关卡对接!$A$4,INDEX([3]关卡对接!$E$7:$E$141,A50),MATCH(E50,人物经验!$H$24:$H$573,1))</f>
        <v>97</v>
      </c>
      <c r="O50" s="12">
        <f>INDEX([2]关卡!$G$6:$G$2005,A50)</f>
        <v>3</v>
      </c>
      <c r="P50" s="13">
        <v>4</v>
      </c>
      <c r="Q50" s="12">
        <f>INT(P50/$S$15/O50*VLOOKUP(J50,[1]人物技能基础!$N$3:$O$553,2,0)*$U$15)</f>
        <v>6</v>
      </c>
      <c r="R50" s="12">
        <f t="shared" si="12"/>
        <v>75</v>
      </c>
    </row>
    <row r="51" spans="1:18" x14ac:dyDescent="0.15">
      <c r="A51" s="12">
        <v>33</v>
      </c>
      <c r="B51" s="12">
        <f t="shared" si="6"/>
        <v>1</v>
      </c>
      <c r="C51" s="12">
        <f t="shared" si="7"/>
        <v>7.0907109075000002E-2</v>
      </c>
      <c r="D51" s="12">
        <f t="shared" si="8"/>
        <v>2.53790587500001E-3</v>
      </c>
      <c r="E51" s="12">
        <f>SUM($D$19:D51)</f>
        <v>7.0907109075000002E-2</v>
      </c>
      <c r="F51" s="12">
        <f t="shared" si="4"/>
        <v>2.7058272114049378</v>
      </c>
      <c r="G51" s="12">
        <f t="shared" si="5"/>
        <v>6.6915183601559374</v>
      </c>
      <c r="H51" s="12">
        <f t="shared" si="9"/>
        <v>9700</v>
      </c>
      <c r="I51" s="12">
        <f t="shared" si="10"/>
        <v>24000</v>
      </c>
      <c r="J51" s="12">
        <f>IF(A51&lt;[3]关卡对接!$A$4,INDEX([3]关卡对接!$C$7:$C$141,A51),MATCH(E51,人物经验!$H$24:$H$573,1))</f>
        <v>98</v>
      </c>
      <c r="K51" s="12">
        <f>IF([3]关卡对接!F39="",INT(INDEX(人物经验!$J$24:$J$573,关卡!J51)*关卡!$S$7),[3]关卡对接!F39)</f>
        <v>238</v>
      </c>
      <c r="L51" s="12">
        <f t="shared" si="11"/>
        <v>1</v>
      </c>
      <c r="M51" s="12">
        <f>L51/[4]货币基础!$B$4</f>
        <v>100</v>
      </c>
      <c r="N51" s="12">
        <f>IF(A51&lt;[3]关卡对接!$A$4,INDEX([3]关卡对接!$E$7:$E$141,A51),MATCH(E51,人物经验!$H$24:$H$573,1))</f>
        <v>98</v>
      </c>
      <c r="O51" s="12">
        <f>INDEX([2]关卡!$G$6:$G$2005,A51)</f>
        <v>3</v>
      </c>
      <c r="P51" s="13">
        <v>4</v>
      </c>
      <c r="Q51" s="12">
        <f>INT(P51/$S$15/O51*VLOOKUP(J51,[1]人物技能基础!$N$3:$O$553,2,0)*$U$15)</f>
        <v>6</v>
      </c>
      <c r="R51" s="12">
        <f t="shared" si="12"/>
        <v>75</v>
      </c>
    </row>
    <row r="52" spans="1:18" x14ac:dyDescent="0.15">
      <c r="A52" s="12">
        <v>34</v>
      </c>
      <c r="B52" s="12">
        <f t="shared" si="6"/>
        <v>1</v>
      </c>
      <c r="C52" s="12">
        <f t="shared" si="7"/>
        <v>7.3472905200000008E-2</v>
      </c>
      <c r="D52" s="12">
        <f t="shared" si="8"/>
        <v>2.5657961250000055E-3</v>
      </c>
      <c r="E52" s="12">
        <f>SUM($D$19:D52)</f>
        <v>7.3472905200000008E-2</v>
      </c>
      <c r="F52" s="12">
        <f t="shared" si="4"/>
        <v>2.7593072248790005</v>
      </c>
      <c r="G52" s="12">
        <f t="shared" si="5"/>
        <v>6.7440948844950004</v>
      </c>
      <c r="H52" s="12">
        <f t="shared" si="9"/>
        <v>9900</v>
      </c>
      <c r="I52" s="12">
        <f t="shared" si="10"/>
        <v>24200</v>
      </c>
      <c r="J52" s="12">
        <f>IF(A52&lt;[3]关卡对接!$A$4,INDEX([3]关卡对接!$C$7:$C$141,A52),MATCH(E52,人物经验!$H$24:$H$573,1))</f>
        <v>100</v>
      </c>
      <c r="K52" s="12">
        <f>IF([3]关卡对接!F40="",INT(INDEX(人物经验!$J$24:$J$573,关卡!J52)*关卡!$S$7),[3]关卡对接!F40)</f>
        <v>243</v>
      </c>
      <c r="L52" s="12">
        <f t="shared" si="11"/>
        <v>1</v>
      </c>
      <c r="M52" s="12">
        <f>L52/[4]货币基础!$B$4</f>
        <v>100</v>
      </c>
      <c r="N52" s="12">
        <f>IF(A52&lt;[3]关卡对接!$A$4,INDEX([3]关卡对接!$E$7:$E$141,A52),MATCH(E52,人物经验!$H$24:$H$573,1))</f>
        <v>100</v>
      </c>
      <c r="O52" s="12">
        <f>INDEX([2]关卡!$G$6:$G$2005,A52)</f>
        <v>3</v>
      </c>
      <c r="P52" s="13">
        <v>4</v>
      </c>
      <c r="Q52" s="12">
        <f>INT(P52/$S$15/O52*VLOOKUP(J52,[1]人物技能基础!$N$3:$O$553,2,0)*$U$15)</f>
        <v>6</v>
      </c>
      <c r="R52" s="12">
        <f t="shared" si="12"/>
        <v>75</v>
      </c>
    </row>
    <row r="53" spans="1:18" x14ac:dyDescent="0.15">
      <c r="A53" s="12">
        <v>35</v>
      </c>
      <c r="B53" s="12">
        <f t="shared" si="6"/>
        <v>1</v>
      </c>
      <c r="C53" s="12">
        <f t="shared" si="7"/>
        <v>7.6066921874999985E-2</v>
      </c>
      <c r="D53" s="12">
        <f t="shared" si="8"/>
        <v>2.5940166749999771E-3</v>
      </c>
      <c r="E53" s="12">
        <f>SUM($D$19:D53)</f>
        <v>7.6066921874999985E-2</v>
      </c>
      <c r="F53" s="12">
        <f t="shared" si="4"/>
        <v>2.8128952343359375</v>
      </c>
      <c r="G53" s="12">
        <f t="shared" si="5"/>
        <v>6.7967503162109386</v>
      </c>
      <c r="H53" s="12">
        <f t="shared" si="9"/>
        <v>10100</v>
      </c>
      <c r="I53" s="12">
        <f t="shared" si="10"/>
        <v>24400</v>
      </c>
      <c r="J53" s="12">
        <f>IF(A53&lt;[3]关卡对接!$A$4,INDEX([3]关卡对接!$C$7:$C$141,A53),MATCH(E53,人物经验!$H$24:$H$573,1))</f>
        <v>101</v>
      </c>
      <c r="K53" s="12">
        <f>IF([3]关卡对接!F41="",INT(INDEX(人物经验!$J$24:$J$573,关卡!J53)*关卡!$S$7),[3]关卡对接!F41)</f>
        <v>248</v>
      </c>
      <c r="L53" s="12">
        <f t="shared" si="11"/>
        <v>1</v>
      </c>
      <c r="M53" s="12">
        <f>L53/[4]货币基础!$B$4</f>
        <v>100</v>
      </c>
      <c r="N53" s="12">
        <f>IF(A53&lt;[3]关卡对接!$A$4,INDEX([3]关卡对接!$E$7:$E$141,A53),MATCH(E53,人物经验!$H$24:$H$573,1))</f>
        <v>101</v>
      </c>
      <c r="O53" s="12">
        <f>INDEX([2]关卡!$G$6:$G$2005,A53)</f>
        <v>3</v>
      </c>
      <c r="P53" s="13">
        <v>4</v>
      </c>
      <c r="Q53" s="12">
        <f>INT(P53/$S$15/O53*VLOOKUP(J53,[1]人物技能基础!$N$3:$O$553,2,0)*$U$15)</f>
        <v>6</v>
      </c>
      <c r="R53" s="12">
        <f t="shared" si="12"/>
        <v>75</v>
      </c>
    </row>
    <row r="54" spans="1:18" x14ac:dyDescent="0.15">
      <c r="A54" s="12">
        <v>36</v>
      </c>
      <c r="B54" s="12">
        <f t="shared" si="6"/>
        <v>1</v>
      </c>
      <c r="C54" s="12">
        <f t="shared" si="7"/>
        <v>7.8689491200000003E-2</v>
      </c>
      <c r="D54" s="12">
        <f t="shared" si="8"/>
        <v>2.6225693250000182E-3</v>
      </c>
      <c r="E54" s="12">
        <f>SUM($D$19:D54)</f>
        <v>7.8689491200000003E-2</v>
      </c>
      <c r="F54" s="12">
        <f t="shared" si="4"/>
        <v>2.8665914854239993</v>
      </c>
      <c r="G54" s="12">
        <f t="shared" si="5"/>
        <v>6.8494847727200003</v>
      </c>
      <c r="H54" s="12">
        <f t="shared" si="9"/>
        <v>10300</v>
      </c>
      <c r="I54" s="12">
        <f t="shared" si="10"/>
        <v>24600</v>
      </c>
      <c r="J54" s="12">
        <f>IF(A54&lt;[3]关卡对接!$A$4,INDEX([3]关卡对接!$C$7:$C$141,A54),MATCH(E54,人物经验!$H$24:$H$573,1))</f>
        <v>103</v>
      </c>
      <c r="K54" s="12">
        <f>IF([3]关卡对接!F42="",INT(INDEX(人物经验!$J$24:$J$573,关卡!J54)*关卡!$S$7),[3]关卡对接!F42)</f>
        <v>253</v>
      </c>
      <c r="L54" s="12">
        <f t="shared" si="11"/>
        <v>1</v>
      </c>
      <c r="M54" s="12">
        <f>L54/[4]货币基础!$B$4</f>
        <v>100</v>
      </c>
      <c r="N54" s="12">
        <f>IF(A54&lt;[3]关卡对接!$A$4,INDEX([3]关卡对接!$E$7:$E$141,A54),MATCH(E54,人物经验!$H$24:$H$573,1))</f>
        <v>103</v>
      </c>
      <c r="O54" s="12">
        <f>INDEX([2]关卡!$G$6:$G$2005,A54)</f>
        <v>3</v>
      </c>
      <c r="P54" s="13">
        <v>4</v>
      </c>
      <c r="Q54" s="12">
        <f>INT(P54/$S$15/O54*VLOOKUP(J54,[1]人物技能基础!$N$3:$O$553,2,0)*$U$15)</f>
        <v>6</v>
      </c>
      <c r="R54" s="12">
        <f t="shared" si="12"/>
        <v>75</v>
      </c>
    </row>
    <row r="55" spans="1:18" x14ac:dyDescent="0.15">
      <c r="A55" s="12">
        <v>37</v>
      </c>
      <c r="B55" s="12">
        <f t="shared" si="6"/>
        <v>1</v>
      </c>
      <c r="C55" s="12">
        <f t="shared" si="7"/>
        <v>8.1340947075000003E-2</v>
      </c>
      <c r="D55" s="12">
        <f t="shared" si="8"/>
        <v>2.651455875E-3</v>
      </c>
      <c r="E55" s="12">
        <f>SUM($D$19:D55)</f>
        <v>8.1340947075000003E-2</v>
      </c>
      <c r="F55" s="12">
        <f t="shared" si="4"/>
        <v>2.9203962243899375</v>
      </c>
      <c r="G55" s="12">
        <f t="shared" si="5"/>
        <v>6.9022983715809376</v>
      </c>
      <c r="H55" s="12">
        <f t="shared" si="9"/>
        <v>10500</v>
      </c>
      <c r="I55" s="12">
        <f t="shared" si="10"/>
        <v>24800</v>
      </c>
      <c r="J55" s="12">
        <f>IF(A55&lt;[3]关卡对接!$A$4,INDEX([3]关卡对接!$C$7:$C$141,A55),MATCH(E55,人物经验!$H$24:$H$573,1))</f>
        <v>104</v>
      </c>
      <c r="K55" s="12">
        <f>IF([3]关卡对接!F43="",INT(INDEX(人物经验!$J$24:$J$573,关卡!J55)*关卡!$S$7),[3]关卡对接!F43)</f>
        <v>257</v>
      </c>
      <c r="L55" s="12">
        <f t="shared" si="11"/>
        <v>1</v>
      </c>
      <c r="M55" s="12">
        <f>L55/[4]货币基础!$B$4</f>
        <v>100</v>
      </c>
      <c r="N55" s="12">
        <f>IF(A55&lt;[3]关卡对接!$A$4,INDEX([3]关卡对接!$E$7:$E$141,A55),MATCH(E55,人物经验!$H$24:$H$573,1))</f>
        <v>104</v>
      </c>
      <c r="O55" s="12">
        <f>INDEX([2]关卡!$G$6:$G$2005,A55)</f>
        <v>3</v>
      </c>
      <c r="P55" s="13">
        <v>4</v>
      </c>
      <c r="Q55" s="12">
        <f>INT(P55/$S$15/O55*VLOOKUP(J55,[1]人物技能基础!$N$3:$O$553,2,0)*$U$15)</f>
        <v>6</v>
      </c>
      <c r="R55" s="12">
        <f t="shared" si="12"/>
        <v>75</v>
      </c>
    </row>
    <row r="56" spans="1:18" x14ac:dyDescent="0.15">
      <c r="A56" s="12">
        <v>38</v>
      </c>
      <c r="B56" s="12">
        <f t="shared" si="6"/>
        <v>1</v>
      </c>
      <c r="C56" s="12">
        <f t="shared" si="7"/>
        <v>8.4021625199999991E-2</v>
      </c>
      <c r="D56" s="12">
        <f t="shared" si="8"/>
        <v>2.6806781249999884E-3</v>
      </c>
      <c r="E56" s="12">
        <f>SUM($D$19:D56)</f>
        <v>8.4021625199999991E-2</v>
      </c>
      <c r="F56" s="12">
        <f t="shared" si="4"/>
        <v>2.9743096980790003</v>
      </c>
      <c r="G56" s="12">
        <f t="shared" si="5"/>
        <v>6.9551912304950001</v>
      </c>
      <c r="H56" s="12">
        <f t="shared" si="9"/>
        <v>10700</v>
      </c>
      <c r="I56" s="12">
        <f t="shared" si="10"/>
        <v>25000</v>
      </c>
      <c r="J56" s="12">
        <f>IF(A56&lt;[3]关卡对接!$A$4,INDEX([3]关卡对接!$C$7:$C$141,A56),MATCH(E56,人物经验!$H$24:$H$573,1))</f>
        <v>105</v>
      </c>
      <c r="K56" s="12">
        <f>IF([3]关卡对接!F44="",INT(INDEX(人物经验!$J$24:$J$573,关卡!J56)*关卡!$S$7),[3]关卡对接!F44)</f>
        <v>262</v>
      </c>
      <c r="L56" s="12">
        <f t="shared" si="11"/>
        <v>1</v>
      </c>
      <c r="M56" s="12">
        <f>L56/[4]货币基础!$B$4</f>
        <v>100</v>
      </c>
      <c r="N56" s="12">
        <f>IF(A56&lt;[3]关卡对接!$A$4,INDEX([3]关卡对接!$E$7:$E$141,A56),MATCH(E56,人物经验!$H$24:$H$573,1))</f>
        <v>105</v>
      </c>
      <c r="O56" s="12">
        <f>INDEX([2]关卡!$G$6:$G$2005,A56)</f>
        <v>3</v>
      </c>
      <c r="P56" s="13">
        <v>4</v>
      </c>
      <c r="Q56" s="12">
        <f>INT(P56/$S$15/O56*VLOOKUP(J56,[1]人物技能基础!$N$3:$O$553,2,0)*$U$15)</f>
        <v>6</v>
      </c>
      <c r="R56" s="12">
        <f t="shared" si="12"/>
        <v>75</v>
      </c>
    </row>
    <row r="57" spans="1:18" x14ac:dyDescent="0.15">
      <c r="A57" s="12">
        <v>39</v>
      </c>
      <c r="B57" s="12">
        <f t="shared" si="6"/>
        <v>1</v>
      </c>
      <c r="C57" s="12">
        <f t="shared" si="7"/>
        <v>8.6731863074999999E-2</v>
      </c>
      <c r="D57" s="12">
        <f t="shared" si="8"/>
        <v>2.7102378750000072E-3</v>
      </c>
      <c r="E57" s="12">
        <f>SUM($D$19:D57)</f>
        <v>8.6731863074999999E-2</v>
      </c>
      <c r="F57" s="12">
        <f t="shared" si="4"/>
        <v>3.0283321539349375</v>
      </c>
      <c r="G57" s="12">
        <f t="shared" si="5"/>
        <v>7.0081634673059385</v>
      </c>
      <c r="H57" s="12">
        <f t="shared" si="9"/>
        <v>10900</v>
      </c>
      <c r="I57" s="12">
        <f t="shared" si="10"/>
        <v>25200</v>
      </c>
      <c r="J57" s="12">
        <f>IF(A57&lt;[3]关卡对接!$A$4,INDEX([3]关卡对接!$C$7:$C$141,A57),MATCH(E57,人物经验!$H$24:$H$573,1))</f>
        <v>107</v>
      </c>
      <c r="K57" s="12">
        <f>IF([3]关卡对接!F45="",INT(INDEX(人物经验!$J$24:$J$573,关卡!J57)*关卡!$S$7),[3]关卡对接!F45)</f>
        <v>267</v>
      </c>
      <c r="L57" s="12">
        <f t="shared" si="11"/>
        <v>1</v>
      </c>
      <c r="M57" s="12">
        <f>L57/[4]货币基础!$B$4</f>
        <v>100</v>
      </c>
      <c r="N57" s="12">
        <f>IF(A57&lt;[3]关卡对接!$A$4,INDEX([3]关卡对接!$E$7:$E$141,A57),MATCH(E57,人物经验!$H$24:$H$573,1))</f>
        <v>107</v>
      </c>
      <c r="O57" s="12">
        <f>INDEX([2]关卡!$G$6:$G$2005,A57)</f>
        <v>3</v>
      </c>
      <c r="P57" s="13">
        <v>4</v>
      </c>
      <c r="Q57" s="12">
        <f>INT(P57/$S$15/O57*VLOOKUP(J57,[1]人物技能基础!$N$3:$O$553,2,0)*$U$15)</f>
        <v>6</v>
      </c>
      <c r="R57" s="12">
        <f t="shared" si="12"/>
        <v>75</v>
      </c>
    </row>
    <row r="58" spans="1:18" x14ac:dyDescent="0.15">
      <c r="A58" s="12">
        <v>40</v>
      </c>
      <c r="B58" s="12">
        <f t="shared" si="6"/>
        <v>1</v>
      </c>
      <c r="C58" s="12">
        <f t="shared" si="7"/>
        <v>8.9471999999999982E-2</v>
      </c>
      <c r="D58" s="12">
        <f t="shared" si="8"/>
        <v>2.7401369249999835E-3</v>
      </c>
      <c r="E58" s="12">
        <f>SUM($D$19:D58)</f>
        <v>8.9471999999999982E-2</v>
      </c>
      <c r="F58" s="12">
        <f t="shared" si="4"/>
        <v>3.0824638400000004</v>
      </c>
      <c r="G58" s="12">
        <f t="shared" si="5"/>
        <v>7.0612152000000004</v>
      </c>
      <c r="H58" s="12">
        <f t="shared" si="9"/>
        <v>11000</v>
      </c>
      <c r="I58" s="12">
        <f t="shared" si="10"/>
        <v>25400</v>
      </c>
      <c r="J58" s="12">
        <f>IF(A58&lt;[3]关卡对接!$A$4,INDEX([3]关卡对接!$C$7:$C$141,A58),MATCH(E58,人物经验!$H$24:$H$573,1))</f>
        <v>108</v>
      </c>
      <c r="K58" s="12">
        <f>IF([3]关卡对接!F46="",INT(INDEX(人物经验!$J$24:$J$573,关卡!J58)*关卡!$S$7),[3]关卡对接!F46)</f>
        <v>272</v>
      </c>
      <c r="L58" s="12">
        <f t="shared" si="11"/>
        <v>1</v>
      </c>
      <c r="M58" s="12">
        <f>L58/[4]货币基础!$B$4</f>
        <v>100</v>
      </c>
      <c r="N58" s="12">
        <f>IF(A58&lt;[3]关卡对接!$A$4,INDEX([3]关卡对接!$E$7:$E$141,A58),MATCH(E58,人物经验!$H$24:$H$573,1))</f>
        <v>108</v>
      </c>
      <c r="O58" s="12">
        <f>INDEX([2]关卡!$G$6:$G$2005,A58)</f>
        <v>3</v>
      </c>
      <c r="P58" s="13">
        <v>4</v>
      </c>
      <c r="Q58" s="12">
        <f>INT(P58/$S$15/O58*VLOOKUP(J58,[1]人物技能基础!$N$3:$O$553,2,0)*$U$15)</f>
        <v>6</v>
      </c>
      <c r="R58" s="12">
        <f t="shared" si="12"/>
        <v>75</v>
      </c>
    </row>
    <row r="59" spans="1:18" x14ac:dyDescent="0.15">
      <c r="A59" s="12">
        <v>41</v>
      </c>
      <c r="B59" s="12">
        <f t="shared" si="6"/>
        <v>1</v>
      </c>
      <c r="C59" s="12">
        <f t="shared" si="7"/>
        <v>9.2242377074999979E-2</v>
      </c>
      <c r="D59" s="12">
        <f t="shared" si="8"/>
        <v>2.7703770749999967E-3</v>
      </c>
      <c r="E59" s="12">
        <f>SUM($D$19:D59)</f>
        <v>9.2242377074999979E-2</v>
      </c>
      <c r="F59" s="12">
        <f t="shared" si="4"/>
        <v>3.1367050049149379</v>
      </c>
      <c r="G59" s="12">
        <f t="shared" si="5"/>
        <v>7.1143465467059377</v>
      </c>
      <c r="H59" s="12">
        <f t="shared" si="9"/>
        <v>11200</v>
      </c>
      <c r="I59" s="12">
        <f t="shared" si="10"/>
        <v>25600</v>
      </c>
      <c r="J59" s="12">
        <f>IF(A59&lt;[3]关卡对接!$A$4,INDEX([3]关卡对接!$C$7:$C$141,A59),MATCH(E59,人物经验!$H$24:$H$573,1))</f>
        <v>109</v>
      </c>
      <c r="K59" s="12">
        <f>IF([3]关卡对接!F47="",INT(INDEX(人物经验!$J$24:$J$573,关卡!J59)*关卡!$S$7),[3]关卡对接!F47)</f>
        <v>277</v>
      </c>
      <c r="L59" s="12">
        <f t="shared" si="11"/>
        <v>1</v>
      </c>
      <c r="M59" s="12">
        <f>L59/[4]货币基础!$B$4</f>
        <v>100</v>
      </c>
      <c r="N59" s="12">
        <f>IF(A59&lt;[3]关卡对接!$A$4,INDEX([3]关卡对接!$E$7:$E$141,A59),MATCH(E59,人物经验!$H$24:$H$573,1))</f>
        <v>109</v>
      </c>
      <c r="O59" s="12">
        <f>INDEX([2]关卡!$G$6:$G$2005,A59)</f>
        <v>3</v>
      </c>
      <c r="P59" s="13">
        <v>5</v>
      </c>
      <c r="Q59" s="12">
        <f>INT(P59/$S$15/O59*VLOOKUP(J59,[1]人物技能基础!$N$3:$O$553,2,0)*$U$15)</f>
        <v>8</v>
      </c>
      <c r="R59" s="12">
        <f t="shared" si="12"/>
        <v>100</v>
      </c>
    </row>
    <row r="60" spans="1:18" x14ac:dyDescent="0.15">
      <c r="A60" s="12">
        <v>42</v>
      </c>
      <c r="B60" s="12">
        <f t="shared" si="6"/>
        <v>1</v>
      </c>
      <c r="C60" s="12">
        <f t="shared" si="7"/>
        <v>9.504333719999998E-2</v>
      </c>
      <c r="D60" s="12">
        <f t="shared" si="8"/>
        <v>2.8009601250000016E-3</v>
      </c>
      <c r="E60" s="12">
        <f>SUM($D$19:D60)</f>
        <v>9.504333719999998E-2</v>
      </c>
      <c r="F60" s="12">
        <f t="shared" si="4"/>
        <v>3.1910558979190005</v>
      </c>
      <c r="G60" s="12">
        <f t="shared" si="5"/>
        <v>7.1675576256950011</v>
      </c>
      <c r="H60" s="12">
        <f t="shared" si="9"/>
        <v>11400</v>
      </c>
      <c r="I60" s="12">
        <f t="shared" si="10"/>
        <v>25800</v>
      </c>
      <c r="J60" s="12">
        <f>IF(A60&lt;[3]关卡对接!$A$4,INDEX([3]关卡对接!$C$7:$C$141,A60),MATCH(E60,人物经验!$H$24:$H$573,1))</f>
        <v>111</v>
      </c>
      <c r="K60" s="12">
        <f>IF([3]关卡对接!F48="",INT(INDEX(人物经验!$J$24:$J$573,关卡!J60)*关卡!$S$7),[3]关卡对接!F48)</f>
        <v>282</v>
      </c>
      <c r="L60" s="12">
        <f t="shared" si="11"/>
        <v>1</v>
      </c>
      <c r="M60" s="12">
        <f>L60/[4]货币基础!$B$4</f>
        <v>100</v>
      </c>
      <c r="N60" s="12">
        <f>IF(A60&lt;[3]关卡对接!$A$4,INDEX([3]关卡对接!$E$7:$E$141,A60),MATCH(E60,人物经验!$H$24:$H$573,1))</f>
        <v>111</v>
      </c>
      <c r="O60" s="12">
        <f>INDEX([2]关卡!$G$6:$G$2005,A60)</f>
        <v>3</v>
      </c>
      <c r="P60" s="13">
        <v>5</v>
      </c>
      <c r="Q60" s="12">
        <f>INT(P60/$S$15/O60*VLOOKUP(J60,[1]人物技能基础!$N$3:$O$553,2,0)*$U$15)</f>
        <v>8</v>
      </c>
      <c r="R60" s="12">
        <f t="shared" si="12"/>
        <v>100</v>
      </c>
    </row>
    <row r="61" spans="1:18" x14ac:dyDescent="0.15">
      <c r="A61" s="12">
        <v>43</v>
      </c>
      <c r="B61" s="12">
        <f t="shared" si="6"/>
        <v>1</v>
      </c>
      <c r="C61" s="12">
        <f t="shared" si="7"/>
        <v>9.7875225075000016E-2</v>
      </c>
      <c r="D61" s="12">
        <f t="shared" si="8"/>
        <v>2.8318878750000359E-3</v>
      </c>
      <c r="E61" s="12">
        <f>SUM($D$19:D61)</f>
        <v>9.7875225075000016E-2</v>
      </c>
      <c r="F61" s="12">
        <f t="shared" si="4"/>
        <v>3.2455167688499373</v>
      </c>
      <c r="G61" s="12">
        <f t="shared" si="5"/>
        <v>7.2208485553809378</v>
      </c>
      <c r="H61" s="12">
        <f t="shared" si="9"/>
        <v>11600</v>
      </c>
      <c r="I61" s="12">
        <f t="shared" si="10"/>
        <v>25900</v>
      </c>
      <c r="J61" s="12">
        <f>IF(A61&lt;[3]关卡对接!$A$4,INDEX([3]关卡对接!$C$7:$C$141,A61),MATCH(E61,人物经验!$H$24:$H$573,1))</f>
        <v>112</v>
      </c>
      <c r="K61" s="12">
        <f>IF([3]关卡对接!F49="",INT(INDEX(人物经验!$J$24:$J$573,关卡!J61)*关卡!$S$7),[3]关卡对接!F49)</f>
        <v>287</v>
      </c>
      <c r="L61" s="12">
        <f t="shared" si="11"/>
        <v>1</v>
      </c>
      <c r="M61" s="12">
        <f>L61/[4]货币基础!$B$4</f>
        <v>100</v>
      </c>
      <c r="N61" s="12">
        <f>IF(A61&lt;[3]关卡对接!$A$4,INDEX([3]关卡对接!$E$7:$E$141,A61),MATCH(E61,人物经验!$H$24:$H$573,1))</f>
        <v>112</v>
      </c>
      <c r="O61" s="12">
        <f>INDEX([2]关卡!$G$6:$G$2005,A61)</f>
        <v>3</v>
      </c>
      <c r="P61" s="13">
        <v>5</v>
      </c>
      <c r="Q61" s="12">
        <f>INT(P61/$S$15/O61*VLOOKUP(J61,[1]人物技能基础!$N$3:$O$553,2,0)*$U$15)</f>
        <v>8</v>
      </c>
      <c r="R61" s="12">
        <f t="shared" si="12"/>
        <v>100</v>
      </c>
    </row>
    <row r="62" spans="1:18" x14ac:dyDescent="0.15">
      <c r="A62" s="12">
        <v>44</v>
      </c>
      <c r="B62" s="12">
        <f t="shared" si="6"/>
        <v>1</v>
      </c>
      <c r="C62" s="12">
        <f t="shared" si="7"/>
        <v>0.10073838720000002</v>
      </c>
      <c r="D62" s="12">
        <f t="shared" si="8"/>
        <v>2.8631621249999989E-3</v>
      </c>
      <c r="E62" s="12">
        <f>SUM($D$19:D62)</f>
        <v>0.10073838720000002</v>
      </c>
      <c r="F62" s="12">
        <f t="shared" si="4"/>
        <v>3.3000878681440002</v>
      </c>
      <c r="G62" s="12">
        <f t="shared" si="5"/>
        <v>7.2742194543199989</v>
      </c>
      <c r="H62" s="12">
        <f t="shared" si="9"/>
        <v>11800</v>
      </c>
      <c r="I62" s="12">
        <f t="shared" si="10"/>
        <v>26100</v>
      </c>
      <c r="J62" s="12">
        <f>IF(A62&lt;[3]关卡对接!$A$4,INDEX([3]关卡对接!$C$7:$C$141,A62),MATCH(E62,人物经验!$H$24:$H$573,1))</f>
        <v>113</v>
      </c>
      <c r="K62" s="12">
        <f>IF([3]关卡对接!F50="",INT(INDEX(人物经验!$J$24:$J$573,关卡!J62)*关卡!$S$7),[3]关卡对接!F50)</f>
        <v>292</v>
      </c>
      <c r="L62" s="12">
        <f t="shared" si="11"/>
        <v>1</v>
      </c>
      <c r="M62" s="12">
        <f>L62/[4]货币基础!$B$4</f>
        <v>100</v>
      </c>
      <c r="N62" s="12">
        <f>IF(A62&lt;[3]关卡对接!$A$4,INDEX([3]关卡对接!$E$7:$E$141,A62),MATCH(E62,人物经验!$H$24:$H$573,1))</f>
        <v>113</v>
      </c>
      <c r="O62" s="12">
        <f>INDEX([2]关卡!$G$6:$G$2005,A62)</f>
        <v>3</v>
      </c>
      <c r="P62" s="13">
        <v>5</v>
      </c>
      <c r="Q62" s="12">
        <f>INT(P62/$S$15/O62*VLOOKUP(J62,[1]人物技能基础!$N$3:$O$553,2,0)*$U$15)</f>
        <v>8</v>
      </c>
      <c r="R62" s="12">
        <f t="shared" si="12"/>
        <v>100</v>
      </c>
    </row>
    <row r="63" spans="1:18" x14ac:dyDescent="0.15">
      <c r="A63" s="12">
        <v>45</v>
      </c>
      <c r="B63" s="12">
        <f t="shared" si="6"/>
        <v>1</v>
      </c>
      <c r="C63" s="12">
        <f t="shared" si="7"/>
        <v>0.103633171875</v>
      </c>
      <c r="D63" s="12">
        <f t="shared" si="8"/>
        <v>2.8947846749999839E-3</v>
      </c>
      <c r="E63" s="12">
        <f>SUM($D$19:D63)</f>
        <v>0.103633171875</v>
      </c>
      <c r="F63" s="12">
        <f t="shared" si="4"/>
        <v>3.3547694468359373</v>
      </c>
      <c r="G63" s="12">
        <f t="shared" si="5"/>
        <v>7.3276704412109366</v>
      </c>
      <c r="H63" s="12">
        <f t="shared" si="9"/>
        <v>12000</v>
      </c>
      <c r="I63" s="12">
        <f t="shared" si="10"/>
        <v>26300</v>
      </c>
      <c r="J63" s="12">
        <f>IF(A63&lt;[3]关卡对接!$A$4,INDEX([3]关卡对接!$C$7:$C$141,A63),MATCH(E63,人物经验!$H$24:$H$573,1))</f>
        <v>115</v>
      </c>
      <c r="K63" s="12">
        <f>IF([3]关卡对接!F51="",INT(INDEX(人物经验!$J$24:$J$573,关卡!J63)*关卡!$S$7),[3]关卡对接!F51)</f>
        <v>297</v>
      </c>
      <c r="L63" s="12">
        <f t="shared" si="11"/>
        <v>1</v>
      </c>
      <c r="M63" s="12">
        <f>L63/[4]货币基础!$B$4</f>
        <v>100</v>
      </c>
      <c r="N63" s="12">
        <f>IF(A63&lt;[3]关卡对接!$A$4,INDEX([3]关卡对接!$E$7:$E$141,A63),MATCH(E63,人物经验!$H$24:$H$573,1))</f>
        <v>115</v>
      </c>
      <c r="O63" s="12">
        <f>INDEX([2]关卡!$G$6:$G$2005,A63)</f>
        <v>3</v>
      </c>
      <c r="P63" s="13">
        <v>5</v>
      </c>
      <c r="Q63" s="12">
        <f>INT(P63/$S$15/O63*VLOOKUP(J63,[1]人物技能基础!$N$3:$O$553,2,0)*$U$15)</f>
        <v>8</v>
      </c>
      <c r="R63" s="12">
        <f t="shared" si="12"/>
        <v>100</v>
      </c>
    </row>
    <row r="64" spans="1:18" x14ac:dyDescent="0.15">
      <c r="A64" s="12">
        <v>46</v>
      </c>
      <c r="B64" s="12">
        <f t="shared" si="6"/>
        <v>1</v>
      </c>
      <c r="C64" s="12">
        <f t="shared" si="7"/>
        <v>0.1065599292</v>
      </c>
      <c r="D64" s="12">
        <f t="shared" si="8"/>
        <v>2.9267573250000012E-3</v>
      </c>
      <c r="E64" s="12">
        <f>SUM($D$19:D64)</f>
        <v>0.1065599292</v>
      </c>
      <c r="F64" s="12">
        <f t="shared" si="4"/>
        <v>3.409561756559</v>
      </c>
      <c r="G64" s="12">
        <f t="shared" si="5"/>
        <v>7.3812016348949996</v>
      </c>
      <c r="H64" s="12">
        <f t="shared" si="9"/>
        <v>12200</v>
      </c>
      <c r="I64" s="12">
        <f t="shared" si="10"/>
        <v>26500</v>
      </c>
      <c r="J64" s="12">
        <f>IF(A64&lt;[3]关卡对接!$A$4,INDEX([3]关卡对接!$C$7:$C$141,A64),MATCH(E64,人物经验!$H$24:$H$573,1))</f>
        <v>116</v>
      </c>
      <c r="K64" s="12">
        <f>IF([3]关卡对接!F52="",INT(INDEX(人物经验!$J$24:$J$573,关卡!J64)*关卡!$S$7),[3]关卡对接!F52)</f>
        <v>301</v>
      </c>
      <c r="L64" s="12">
        <f t="shared" si="11"/>
        <v>1</v>
      </c>
      <c r="M64" s="12">
        <f>L64/[4]货币基础!$B$4</f>
        <v>100</v>
      </c>
      <c r="N64" s="12">
        <f>IF(A64&lt;[3]关卡对接!$A$4,INDEX([3]关卡对接!$E$7:$E$141,A64),MATCH(E64,人物经验!$H$24:$H$573,1))</f>
        <v>116</v>
      </c>
      <c r="O64" s="12">
        <f>INDEX([2]关卡!$G$6:$G$2005,A64)</f>
        <v>3</v>
      </c>
      <c r="P64" s="13">
        <v>5</v>
      </c>
      <c r="Q64" s="12">
        <f>INT(P64/$S$15/O64*VLOOKUP(J64,[1]人物技能基础!$N$3:$O$553,2,0)*$U$15)</f>
        <v>8</v>
      </c>
      <c r="R64" s="12">
        <f t="shared" si="12"/>
        <v>100</v>
      </c>
    </row>
    <row r="65" spans="1:18" x14ac:dyDescent="0.15">
      <c r="A65" s="12">
        <v>47</v>
      </c>
      <c r="B65" s="12">
        <f t="shared" si="6"/>
        <v>1</v>
      </c>
      <c r="C65" s="12">
        <f t="shared" si="7"/>
        <v>0.10951901107499999</v>
      </c>
      <c r="D65" s="12">
        <f t="shared" si="8"/>
        <v>2.9590818749999914E-3</v>
      </c>
      <c r="E65" s="12">
        <f>SUM($D$19:D65)</f>
        <v>0.10951901107499999</v>
      </c>
      <c r="F65" s="12">
        <f t="shared" si="4"/>
        <v>3.4644650495449381</v>
      </c>
      <c r="G65" s="12">
        <f t="shared" si="5"/>
        <v>7.4348131543559388</v>
      </c>
      <c r="H65" s="12">
        <f t="shared" si="9"/>
        <v>12400</v>
      </c>
      <c r="I65" s="12">
        <f t="shared" si="10"/>
        <v>26700</v>
      </c>
      <c r="J65" s="12">
        <f>IF(A65&lt;[3]关卡对接!$A$4,INDEX([3]关卡对接!$C$7:$C$141,A65),MATCH(E65,人物经验!$H$24:$H$573,1))</f>
        <v>117</v>
      </c>
      <c r="K65" s="12">
        <f>IF([3]关卡对接!F53="",INT(INDEX(人物经验!$J$24:$J$573,关卡!J65)*关卡!$S$7),[3]关卡对接!F53)</f>
        <v>306</v>
      </c>
      <c r="L65" s="12">
        <f t="shared" si="11"/>
        <v>1</v>
      </c>
      <c r="M65" s="12">
        <f>L65/[4]货币基础!$B$4</f>
        <v>100</v>
      </c>
      <c r="N65" s="12">
        <f>IF(A65&lt;[3]关卡对接!$A$4,INDEX([3]关卡对接!$E$7:$E$141,A65),MATCH(E65,人物经验!$H$24:$H$573,1))</f>
        <v>117</v>
      </c>
      <c r="O65" s="12">
        <f>INDEX([2]关卡!$G$6:$G$2005,A65)</f>
        <v>3</v>
      </c>
      <c r="P65" s="13">
        <v>5</v>
      </c>
      <c r="Q65" s="12">
        <f>INT(P65/$S$15/O65*VLOOKUP(J65,[1]人物技能基础!$N$3:$O$553,2,0)*$U$15)</f>
        <v>8</v>
      </c>
      <c r="R65" s="12">
        <f t="shared" si="12"/>
        <v>100</v>
      </c>
    </row>
    <row r="66" spans="1:18" x14ac:dyDescent="0.15">
      <c r="A66" s="12">
        <v>48</v>
      </c>
      <c r="B66" s="12">
        <f t="shared" si="6"/>
        <v>1</v>
      </c>
      <c r="C66" s="12">
        <f t="shared" si="7"/>
        <v>0.1125107712</v>
      </c>
      <c r="D66" s="12">
        <f t="shared" si="8"/>
        <v>2.9917601250000064E-3</v>
      </c>
      <c r="E66" s="12">
        <f>SUM($D$19:D66)</f>
        <v>0.1125107712</v>
      </c>
      <c r="F66" s="12">
        <f t="shared" si="4"/>
        <v>3.5194795786240007</v>
      </c>
      <c r="G66" s="12">
        <f t="shared" si="5"/>
        <v>7.4885051187200009</v>
      </c>
      <c r="H66" s="12">
        <f t="shared" si="9"/>
        <v>12600</v>
      </c>
      <c r="I66" s="12">
        <f t="shared" si="10"/>
        <v>26900</v>
      </c>
      <c r="J66" s="12">
        <f>IF(A66&lt;[3]关卡对接!$A$4,INDEX([3]关卡对接!$C$7:$C$141,A66),MATCH(E66,人物经验!$H$24:$H$573,1))</f>
        <v>119</v>
      </c>
      <c r="K66" s="12">
        <f>IF([3]关卡对接!F54="",INT(INDEX(人物经验!$J$24:$J$573,关卡!J66)*关卡!$S$7),[3]关卡对接!F54)</f>
        <v>311</v>
      </c>
      <c r="L66" s="12">
        <f t="shared" si="11"/>
        <v>1</v>
      </c>
      <c r="M66" s="12">
        <f>L66/[4]货币基础!$B$4</f>
        <v>100</v>
      </c>
      <c r="N66" s="12">
        <f>IF(A66&lt;[3]关卡对接!$A$4,INDEX([3]关卡对接!$E$7:$E$141,A66),MATCH(E66,人物经验!$H$24:$H$573,1))</f>
        <v>119</v>
      </c>
      <c r="O66" s="12">
        <f>INDEX([2]关卡!$G$6:$G$2005,A66)</f>
        <v>3</v>
      </c>
      <c r="P66" s="13">
        <v>5</v>
      </c>
      <c r="Q66" s="12">
        <f>INT(P66/$S$15/O66*VLOOKUP(J66,[1]人物技能基础!$N$3:$O$553,2,0)*$U$15)</f>
        <v>8</v>
      </c>
      <c r="R66" s="12">
        <f t="shared" si="12"/>
        <v>100</v>
      </c>
    </row>
    <row r="67" spans="1:18" x14ac:dyDescent="0.15">
      <c r="A67" s="12">
        <v>49</v>
      </c>
      <c r="B67" s="12">
        <f t="shared" si="6"/>
        <v>1</v>
      </c>
      <c r="C67" s="12">
        <f t="shared" si="7"/>
        <v>0.11553556507499999</v>
      </c>
      <c r="D67" s="12">
        <f t="shared" si="8"/>
        <v>3.024793874999987E-3</v>
      </c>
      <c r="E67" s="12">
        <f>SUM($D$19:D67)</f>
        <v>0.11553556507499999</v>
      </c>
      <c r="F67" s="12">
        <f t="shared" si="4"/>
        <v>3.574605597224938</v>
      </c>
      <c r="G67" s="12">
        <f t="shared" si="5"/>
        <v>7.5422776472559372</v>
      </c>
      <c r="H67" s="12">
        <f t="shared" si="9"/>
        <v>12800</v>
      </c>
      <c r="I67" s="12">
        <f t="shared" si="10"/>
        <v>27100</v>
      </c>
      <c r="J67" s="12">
        <f>IF(A67&lt;[3]关卡对接!$A$4,INDEX([3]关卡对接!$C$7:$C$141,A67),MATCH(E67,人物经验!$H$24:$H$573,1))</f>
        <v>120</v>
      </c>
      <c r="K67" s="12">
        <f>IF([3]关卡对接!F55="",INT(INDEX(人物经验!$J$24:$J$573,关卡!J67)*关卡!$S$7),[3]关卡对接!F55)</f>
        <v>316</v>
      </c>
      <c r="L67" s="12">
        <f t="shared" si="11"/>
        <v>1</v>
      </c>
      <c r="M67" s="12">
        <f>L67/[4]货币基础!$B$4</f>
        <v>100</v>
      </c>
      <c r="N67" s="12">
        <f>IF(A67&lt;[3]关卡对接!$A$4,INDEX([3]关卡对接!$E$7:$E$141,A67),MATCH(E67,人物经验!$H$24:$H$573,1))</f>
        <v>120</v>
      </c>
      <c r="O67" s="12">
        <f>INDEX([2]关卡!$G$6:$G$2005,A67)</f>
        <v>3</v>
      </c>
      <c r="P67" s="13">
        <v>5</v>
      </c>
      <c r="Q67" s="12">
        <f>INT(P67/$S$15/O67*VLOOKUP(J67,[1]人物技能基础!$N$3:$O$553,2,0)*$U$15)</f>
        <v>8</v>
      </c>
      <c r="R67" s="12">
        <f t="shared" si="12"/>
        <v>100</v>
      </c>
    </row>
    <row r="68" spans="1:18" x14ac:dyDescent="0.15">
      <c r="A68" s="12">
        <v>50</v>
      </c>
      <c r="B68" s="12">
        <f t="shared" si="6"/>
        <v>1</v>
      </c>
      <c r="C68" s="12">
        <f t="shared" si="7"/>
        <v>0.11859375</v>
      </c>
      <c r="D68" s="12">
        <f t="shared" si="8"/>
        <v>3.0581849250000126E-3</v>
      </c>
      <c r="E68" s="12">
        <f>SUM($D$19:D68)</f>
        <v>0.11859375</v>
      </c>
      <c r="F68" s="12">
        <f t="shared" si="4"/>
        <v>3.6298433593750006</v>
      </c>
      <c r="G68" s="12">
        <f t="shared" si="5"/>
        <v>7.5961308593750001</v>
      </c>
      <c r="H68" s="12">
        <f t="shared" si="9"/>
        <v>13000</v>
      </c>
      <c r="I68" s="12">
        <f t="shared" si="10"/>
        <v>27300</v>
      </c>
      <c r="J68" s="12">
        <f>IF(A68&lt;[3]关卡对接!$A$4,INDEX([3]关卡对接!$C$7:$C$141,A68),MATCH(E68,人物经验!$H$24:$H$573,1))</f>
        <v>121</v>
      </c>
      <c r="K68" s="12">
        <f>IF([3]关卡对接!F56="",INT(INDEX(人物经验!$J$24:$J$573,关卡!J68)*关卡!$S$7),[3]关卡对接!F56)</f>
        <v>321</v>
      </c>
      <c r="L68" s="12">
        <f t="shared" si="11"/>
        <v>1</v>
      </c>
      <c r="M68" s="12">
        <f>L68/[4]货币基础!$B$4</f>
        <v>100</v>
      </c>
      <c r="N68" s="12">
        <f>IF(A68&lt;[3]关卡对接!$A$4,INDEX([3]关卡对接!$E$7:$E$141,A68),MATCH(E68,人物经验!$H$24:$H$573,1))</f>
        <v>121</v>
      </c>
      <c r="O68" s="12">
        <f>INDEX([2]关卡!$G$6:$G$2005,A68)</f>
        <v>3</v>
      </c>
      <c r="P68" s="13">
        <v>5</v>
      </c>
      <c r="Q68" s="12">
        <f>INT(P68/$S$15/O68*VLOOKUP(J68,[1]人物技能基础!$N$3:$O$553,2,0)*$U$15)</f>
        <v>8</v>
      </c>
      <c r="R68" s="12">
        <f t="shared" si="12"/>
        <v>100</v>
      </c>
    </row>
    <row r="69" spans="1:18" x14ac:dyDescent="0.15">
      <c r="A69" s="12">
        <v>51</v>
      </c>
      <c r="B69" s="12">
        <f t="shared" si="6"/>
        <v>1</v>
      </c>
      <c r="C69" s="12">
        <f t="shared" si="7"/>
        <v>0.12168568507499999</v>
      </c>
      <c r="D69" s="12">
        <f t="shared" si="8"/>
        <v>3.0919350749999963E-3</v>
      </c>
      <c r="E69" s="12">
        <f>SUM($D$19:D69)</f>
        <v>0.12168568507499999</v>
      </c>
      <c r="F69" s="12">
        <f t="shared" si="4"/>
        <v>3.6851931196999379</v>
      </c>
      <c r="G69" s="12">
        <f t="shared" si="5"/>
        <v>7.6500648746309379</v>
      </c>
      <c r="H69" s="12">
        <f t="shared" si="9"/>
        <v>13200</v>
      </c>
      <c r="I69" s="12">
        <f t="shared" si="10"/>
        <v>27500</v>
      </c>
      <c r="J69" s="12">
        <f>IF(A69&lt;[3]关卡对接!$A$4,INDEX([3]关卡对接!$C$7:$C$141,A69),MATCH(E69,人物经验!$H$24:$H$573,1))</f>
        <v>122</v>
      </c>
      <c r="K69" s="12">
        <f>IF([3]关卡对接!F57="",INT(INDEX(人物经验!$J$24:$J$573,关卡!J69)*关卡!$S$7),[3]关卡对接!F57)</f>
        <v>326</v>
      </c>
      <c r="L69" s="12">
        <f t="shared" si="11"/>
        <v>1</v>
      </c>
      <c r="M69" s="12">
        <f>L69/[4]货币基础!$B$4</f>
        <v>100</v>
      </c>
      <c r="N69" s="12">
        <f>IF(A69&lt;[3]关卡对接!$A$4,INDEX([3]关卡对接!$E$7:$E$141,A69),MATCH(E69,人物经验!$H$24:$H$573,1))</f>
        <v>122</v>
      </c>
      <c r="O69" s="12">
        <f>INDEX([2]关卡!$G$6:$G$2005,A69)</f>
        <v>3</v>
      </c>
      <c r="P69" s="13">
        <v>6</v>
      </c>
      <c r="Q69" s="12">
        <f>INT(P69/$S$15/O69*VLOOKUP(J69,[1]人物技能基础!$N$3:$O$553,2,0)*$U$15)</f>
        <v>9</v>
      </c>
      <c r="R69" s="12">
        <f t="shared" si="12"/>
        <v>112</v>
      </c>
    </row>
    <row r="70" spans="1:18" x14ac:dyDescent="0.15">
      <c r="A70" s="12">
        <v>52</v>
      </c>
      <c r="B70" s="12">
        <f t="shared" si="6"/>
        <v>1</v>
      </c>
      <c r="C70" s="12">
        <f t="shared" si="7"/>
        <v>0.1248117312</v>
      </c>
      <c r="D70" s="12">
        <f t="shared" si="8"/>
        <v>3.1260461250000038E-3</v>
      </c>
      <c r="E70" s="12">
        <f>SUM($D$19:D70)</f>
        <v>0.1248117312</v>
      </c>
      <c r="F70" s="12">
        <f t="shared" si="4"/>
        <v>3.7406551334239997</v>
      </c>
      <c r="G70" s="12">
        <f t="shared" si="5"/>
        <v>7.704079812719999</v>
      </c>
      <c r="H70" s="12">
        <f t="shared" si="9"/>
        <v>13400</v>
      </c>
      <c r="I70" s="12">
        <f t="shared" si="10"/>
        <v>27700</v>
      </c>
      <c r="J70" s="12">
        <f>IF(A70&lt;[3]关卡对接!$A$4,INDEX([3]关卡对接!$C$7:$C$141,A70),MATCH(E70,人物经验!$H$24:$H$573,1))</f>
        <v>124</v>
      </c>
      <c r="K70" s="12">
        <f>IF([3]关卡对接!F58="",INT(INDEX(人物经验!$J$24:$J$573,关卡!J70)*关卡!$S$7),[3]关卡对接!F58)</f>
        <v>331</v>
      </c>
      <c r="L70" s="12">
        <f t="shared" si="11"/>
        <v>1</v>
      </c>
      <c r="M70" s="12">
        <f>L70/[4]货币基础!$B$4</f>
        <v>100</v>
      </c>
      <c r="N70" s="12">
        <f>IF(A70&lt;[3]关卡对接!$A$4,INDEX([3]关卡对接!$E$7:$E$141,A70),MATCH(E70,人物经验!$H$24:$H$573,1))</f>
        <v>124</v>
      </c>
      <c r="O70" s="12">
        <f>INDEX([2]关卡!$G$6:$G$2005,A70)</f>
        <v>3</v>
      </c>
      <c r="P70" s="13">
        <v>6</v>
      </c>
      <c r="Q70" s="12">
        <f>INT(P70/$S$15/O70*VLOOKUP(J70,[1]人物技能基础!$N$3:$O$553,2,0)*$U$15)</f>
        <v>9</v>
      </c>
      <c r="R70" s="12">
        <f t="shared" si="12"/>
        <v>112</v>
      </c>
    </row>
    <row r="71" spans="1:18" x14ac:dyDescent="0.15">
      <c r="A71" s="12">
        <v>53</v>
      </c>
      <c r="B71" s="12">
        <f t="shared" si="6"/>
        <v>1</v>
      </c>
      <c r="C71" s="12">
        <f t="shared" si="7"/>
        <v>0.12797225107499999</v>
      </c>
      <c r="D71" s="12">
        <f t="shared" si="8"/>
        <v>3.1605198749999897E-3</v>
      </c>
      <c r="E71" s="12">
        <f>SUM($D$19:D71)</f>
        <v>0.12797225107499999</v>
      </c>
      <c r="F71" s="12">
        <f t="shared" si="4"/>
        <v>3.7962296563699374</v>
      </c>
      <c r="G71" s="12">
        <f t="shared" si="5"/>
        <v>7.7581757934809383</v>
      </c>
      <c r="H71" s="12">
        <f t="shared" si="9"/>
        <v>13600</v>
      </c>
      <c r="I71" s="12">
        <f t="shared" si="10"/>
        <v>27900</v>
      </c>
      <c r="J71" s="12">
        <f>IF(A71&lt;[3]关卡对接!$A$4,INDEX([3]关卡对接!$C$7:$C$141,A71),MATCH(E71,人物经验!$H$24:$H$573,1))</f>
        <v>125</v>
      </c>
      <c r="K71" s="12">
        <f>IF([3]关卡对接!F59="",INT(INDEX(人物经验!$J$24:$J$573,关卡!J71)*关卡!$S$7),[3]关卡对接!F59)</f>
        <v>336</v>
      </c>
      <c r="L71" s="12">
        <f t="shared" si="11"/>
        <v>1</v>
      </c>
      <c r="M71" s="12">
        <f>L71/[4]货币基础!$B$4</f>
        <v>100</v>
      </c>
      <c r="N71" s="12">
        <f>IF(A71&lt;[3]关卡对接!$A$4,INDEX([3]关卡对接!$E$7:$E$141,A71),MATCH(E71,人物经验!$H$24:$H$573,1))</f>
        <v>125</v>
      </c>
      <c r="O71" s="12">
        <f>INDEX([2]关卡!$G$6:$G$2005,A71)</f>
        <v>3</v>
      </c>
      <c r="P71" s="13">
        <v>6</v>
      </c>
      <c r="Q71" s="12">
        <f>INT(P71/$S$15/O71*VLOOKUP(J71,[1]人物技能基础!$N$3:$O$553,2,0)*$U$15)</f>
        <v>9</v>
      </c>
      <c r="R71" s="12">
        <f t="shared" si="12"/>
        <v>112</v>
      </c>
    </row>
    <row r="72" spans="1:18" x14ac:dyDescent="0.15">
      <c r="A72" s="12">
        <v>54</v>
      </c>
      <c r="B72" s="12">
        <f t="shared" si="6"/>
        <v>1</v>
      </c>
      <c r="C72" s="12">
        <f t="shared" si="7"/>
        <v>0.13116760920000001</v>
      </c>
      <c r="D72" s="12">
        <f t="shared" si="8"/>
        <v>3.1953581250000196E-3</v>
      </c>
      <c r="E72" s="12">
        <f>SUM($D$19:D72)</f>
        <v>0.13116760920000001</v>
      </c>
      <c r="F72" s="12">
        <f t="shared" si="4"/>
        <v>3.8519169449590005</v>
      </c>
      <c r="G72" s="12">
        <f t="shared" si="5"/>
        <v>7.8123529368949995</v>
      </c>
      <c r="H72" s="12">
        <f t="shared" si="9"/>
        <v>13800</v>
      </c>
      <c r="I72" s="12">
        <f t="shared" si="10"/>
        <v>28100</v>
      </c>
      <c r="J72" s="12">
        <f>IF(A72&lt;[3]关卡对接!$A$4,INDEX([3]关卡对接!$C$7:$C$141,A72),MATCH(E72,人物经验!$H$24:$H$573,1))</f>
        <v>126</v>
      </c>
      <c r="K72" s="12">
        <f>IF([3]关卡对接!F60="",INT(INDEX(人物经验!$J$24:$J$573,关卡!J72)*关卡!$S$7),[3]关卡对接!F60)</f>
        <v>341</v>
      </c>
      <c r="L72" s="12">
        <f t="shared" si="11"/>
        <v>1</v>
      </c>
      <c r="M72" s="12">
        <f>L72/[4]货币基础!$B$4</f>
        <v>100</v>
      </c>
      <c r="N72" s="12">
        <f>IF(A72&lt;[3]关卡对接!$A$4,INDEX([3]关卡对接!$E$7:$E$141,A72),MATCH(E72,人物经验!$H$24:$H$573,1))</f>
        <v>126</v>
      </c>
      <c r="O72" s="12">
        <f>INDEX([2]关卡!$G$6:$G$2005,A72)</f>
        <v>3</v>
      </c>
      <c r="P72" s="13">
        <v>6</v>
      </c>
      <c r="Q72" s="12">
        <f>INT(P72/$S$15/O72*VLOOKUP(J72,[1]人物技能基础!$N$3:$O$553,2,0)*$U$15)</f>
        <v>9</v>
      </c>
      <c r="R72" s="12">
        <f t="shared" si="12"/>
        <v>112</v>
      </c>
    </row>
    <row r="73" spans="1:18" x14ac:dyDescent="0.15">
      <c r="A73" s="12">
        <v>55</v>
      </c>
      <c r="B73" s="12">
        <f t="shared" si="6"/>
        <v>1</v>
      </c>
      <c r="C73" s="12">
        <f t="shared" si="7"/>
        <v>0.134398171875</v>
      </c>
      <c r="D73" s="12">
        <f t="shared" si="8"/>
        <v>3.2305626749999927E-3</v>
      </c>
      <c r="E73" s="12">
        <f>SUM($D$19:D73)</f>
        <v>0.134398171875</v>
      </c>
      <c r="F73" s="12">
        <f t="shared" si="4"/>
        <v>3.9077172562109377</v>
      </c>
      <c r="G73" s="12">
        <f t="shared" si="5"/>
        <v>7.8666113630859389</v>
      </c>
      <c r="H73" s="12">
        <f t="shared" si="9"/>
        <v>14000</v>
      </c>
      <c r="I73" s="12">
        <f t="shared" si="10"/>
        <v>28300</v>
      </c>
      <c r="J73" s="12">
        <f>IF(A73&lt;[3]关卡对接!$A$4,INDEX([3]关卡对接!$C$7:$C$141,A73),MATCH(E73,人物经验!$H$24:$H$573,1))</f>
        <v>127</v>
      </c>
      <c r="K73" s="12">
        <f>IF([3]关卡对接!F61="",INT(INDEX(人物经验!$J$24:$J$573,关卡!J73)*关卡!$S$7),[3]关卡对接!F61)</f>
        <v>346</v>
      </c>
      <c r="L73" s="12">
        <f t="shared" si="11"/>
        <v>1</v>
      </c>
      <c r="M73" s="12">
        <f>L73/[4]货币基础!$B$4</f>
        <v>100</v>
      </c>
      <c r="N73" s="12">
        <f>IF(A73&lt;[3]关卡对接!$A$4,INDEX([3]关卡对接!$E$7:$E$141,A73),MATCH(E73,人物经验!$H$24:$H$573,1))</f>
        <v>127</v>
      </c>
      <c r="O73" s="12">
        <f>INDEX([2]关卡!$G$6:$G$2005,A73)</f>
        <v>3</v>
      </c>
      <c r="P73" s="13">
        <v>6</v>
      </c>
      <c r="Q73" s="12">
        <f>INT(P73/$S$15/O73*VLOOKUP(J73,[1]人物技能基础!$N$3:$O$553,2,0)*$U$15)</f>
        <v>9</v>
      </c>
      <c r="R73" s="12">
        <f t="shared" si="12"/>
        <v>112</v>
      </c>
    </row>
    <row r="74" spans="1:18" x14ac:dyDescent="0.15">
      <c r="A74" s="12">
        <v>56</v>
      </c>
      <c r="B74" s="12">
        <f t="shared" si="6"/>
        <v>1</v>
      </c>
      <c r="C74" s="12">
        <f t="shared" si="7"/>
        <v>0.1376643072</v>
      </c>
      <c r="D74" s="12">
        <f t="shared" si="8"/>
        <v>3.2661353250000025E-3</v>
      </c>
      <c r="E74" s="12">
        <f>SUM($D$19:D74)</f>
        <v>0.1376643072</v>
      </c>
      <c r="F74" s="12">
        <f t="shared" si="4"/>
        <v>3.963630847744001</v>
      </c>
      <c r="G74" s="12">
        <f t="shared" si="5"/>
        <v>7.9209511923200013</v>
      </c>
      <c r="H74" s="12">
        <f t="shared" si="9"/>
        <v>14200</v>
      </c>
      <c r="I74" s="12">
        <f t="shared" si="10"/>
        <v>28500</v>
      </c>
      <c r="J74" s="12">
        <f>IF(A74&lt;[3]关卡对接!$A$4,INDEX([3]关卡对接!$C$7:$C$141,A74),MATCH(E74,人物经验!$H$24:$H$573,1))</f>
        <v>128</v>
      </c>
      <c r="K74" s="12">
        <f>IF([3]关卡对接!F62="",INT(INDEX(人物经验!$J$24:$J$573,关卡!J74)*关卡!$S$7),[3]关卡对接!F62)</f>
        <v>351</v>
      </c>
      <c r="L74" s="12">
        <f t="shared" si="11"/>
        <v>1</v>
      </c>
      <c r="M74" s="12">
        <f>L74/[4]货币基础!$B$4</f>
        <v>100</v>
      </c>
      <c r="N74" s="12">
        <f>IF(A74&lt;[3]关卡对接!$A$4,INDEX([3]关卡对接!$E$7:$E$141,A74),MATCH(E74,人物经验!$H$24:$H$573,1))</f>
        <v>128</v>
      </c>
      <c r="O74" s="12">
        <f>INDEX([2]关卡!$G$6:$G$2005,A74)</f>
        <v>3</v>
      </c>
      <c r="P74" s="13">
        <v>6</v>
      </c>
      <c r="Q74" s="12">
        <f>INT(P74/$S$15/O74*VLOOKUP(J74,[1]人物技能基础!$N$3:$O$553,2,0)*$U$15)</f>
        <v>9</v>
      </c>
      <c r="R74" s="12">
        <f t="shared" si="12"/>
        <v>112</v>
      </c>
    </row>
    <row r="75" spans="1:18" x14ac:dyDescent="0.15">
      <c r="A75" s="12">
        <v>57</v>
      </c>
      <c r="B75" s="12">
        <f t="shared" si="6"/>
        <v>1</v>
      </c>
      <c r="C75" s="12">
        <f t="shared" si="7"/>
        <v>0.14096638507499998</v>
      </c>
      <c r="D75" s="12">
        <f t="shared" si="8"/>
        <v>3.3020778749999757E-3</v>
      </c>
      <c r="E75" s="12">
        <f>SUM($D$19:D75)</f>
        <v>0.14096638507499998</v>
      </c>
      <c r="F75" s="12">
        <f t="shared" si="4"/>
        <v>4.0196579777749379</v>
      </c>
      <c r="G75" s="12">
        <f t="shared" si="5"/>
        <v>7.9753725450059356</v>
      </c>
      <c r="H75" s="12">
        <f t="shared" si="9"/>
        <v>14400</v>
      </c>
      <c r="I75" s="12">
        <f t="shared" si="10"/>
        <v>28700</v>
      </c>
      <c r="J75" s="12">
        <f>IF(A75&lt;[3]关卡对接!$A$4,INDEX([3]关卡对接!$C$7:$C$141,A75),MATCH(E75,人物经验!$H$24:$H$573,1))</f>
        <v>129</v>
      </c>
      <c r="K75" s="12">
        <f>IF([3]关卡对接!F63="",INT(INDEX(人物经验!$J$24:$J$573,关卡!J75)*关卡!$S$7),[3]关卡对接!F63)</f>
        <v>356</v>
      </c>
      <c r="L75" s="12">
        <f t="shared" si="11"/>
        <v>1</v>
      </c>
      <c r="M75" s="12">
        <f>L75/[4]货币基础!$B$4</f>
        <v>100</v>
      </c>
      <c r="N75" s="12">
        <f>IF(A75&lt;[3]关卡对接!$A$4,INDEX([3]关卡对接!$E$7:$E$141,A75),MATCH(E75,人物经验!$H$24:$H$573,1))</f>
        <v>129</v>
      </c>
      <c r="O75" s="12">
        <f>INDEX([2]关卡!$G$6:$G$2005,A75)</f>
        <v>3</v>
      </c>
      <c r="P75" s="13">
        <v>6</v>
      </c>
      <c r="Q75" s="12">
        <f>INT(P75/$S$15/O75*VLOOKUP(J75,[1]人物技能基础!$N$3:$O$553,2,0)*$U$15)</f>
        <v>9</v>
      </c>
      <c r="R75" s="12">
        <f t="shared" si="12"/>
        <v>112</v>
      </c>
    </row>
    <row r="76" spans="1:18" x14ac:dyDescent="0.15">
      <c r="A76" s="12">
        <v>58</v>
      </c>
      <c r="B76" s="12">
        <f t="shared" si="6"/>
        <v>1</v>
      </c>
      <c r="C76" s="12">
        <f t="shared" si="7"/>
        <v>0.14430477719999998</v>
      </c>
      <c r="D76" s="12">
        <f t="shared" si="8"/>
        <v>3.3383921250000059E-3</v>
      </c>
      <c r="E76" s="12">
        <f>SUM($D$19:D76)</f>
        <v>0.14430477719999998</v>
      </c>
      <c r="F76" s="12">
        <f t="shared" si="4"/>
        <v>4.075798905119</v>
      </c>
      <c r="G76" s="12">
        <f t="shared" si="5"/>
        <v>8.0298755416950005</v>
      </c>
      <c r="H76" s="12">
        <f t="shared" si="9"/>
        <v>14600</v>
      </c>
      <c r="I76" s="12">
        <f t="shared" si="10"/>
        <v>28900</v>
      </c>
      <c r="J76" s="12">
        <f>IF(A76&lt;[3]关卡对接!$A$4,INDEX([3]关卡对接!$C$7:$C$141,A76),MATCH(E76,人物经验!$H$24:$H$573,1))</f>
        <v>130</v>
      </c>
      <c r="K76" s="12">
        <f>IF([3]关卡对接!F64="",INT(INDEX(人物经验!$J$24:$J$573,关卡!J76)*关卡!$S$7),[3]关卡对接!F64)</f>
        <v>361</v>
      </c>
      <c r="L76" s="12">
        <f t="shared" si="11"/>
        <v>1</v>
      </c>
      <c r="M76" s="12">
        <f>L76/[4]货币基础!$B$4</f>
        <v>100</v>
      </c>
      <c r="N76" s="12">
        <f>IF(A76&lt;[3]关卡对接!$A$4,INDEX([3]关卡对接!$E$7:$E$141,A76),MATCH(E76,人物经验!$H$24:$H$573,1))</f>
        <v>130</v>
      </c>
      <c r="O76" s="12">
        <f>INDEX([2]关卡!$G$6:$G$2005,A76)</f>
        <v>3</v>
      </c>
      <c r="P76" s="13">
        <v>6</v>
      </c>
      <c r="Q76" s="12">
        <f>INT(P76/$S$15/O76*VLOOKUP(J76,[1]人物技能基础!$N$3:$O$553,2,0)*$U$15)</f>
        <v>9</v>
      </c>
      <c r="R76" s="12">
        <f t="shared" si="12"/>
        <v>112</v>
      </c>
    </row>
    <row r="77" spans="1:18" x14ac:dyDescent="0.15">
      <c r="A77" s="12">
        <v>59</v>
      </c>
      <c r="B77" s="12">
        <f t="shared" si="6"/>
        <v>1</v>
      </c>
      <c r="C77" s="12">
        <f t="shared" si="7"/>
        <v>0.14767985707499998</v>
      </c>
      <c r="D77" s="12">
        <f t="shared" si="8"/>
        <v>3.3750798749999922E-3</v>
      </c>
      <c r="E77" s="12">
        <f>SUM($D$19:D77)</f>
        <v>0.14767985707499998</v>
      </c>
      <c r="F77" s="12">
        <f t="shared" si="4"/>
        <v>4.1320538891899377</v>
      </c>
      <c r="G77" s="12">
        <f t="shared" si="5"/>
        <v>8.0844603030809363</v>
      </c>
      <c r="H77" s="12">
        <f t="shared" si="9"/>
        <v>14800</v>
      </c>
      <c r="I77" s="12">
        <f t="shared" si="10"/>
        <v>29100</v>
      </c>
      <c r="J77" s="12">
        <f>IF(A77&lt;[3]关卡对接!$A$4,INDEX([3]关卡对接!$C$7:$C$141,A77),MATCH(E77,人物经验!$H$24:$H$573,1))</f>
        <v>131</v>
      </c>
      <c r="K77" s="12">
        <f>IF([3]关卡对接!F65="",INT(INDEX(人物经验!$J$24:$J$573,关卡!J77)*关卡!$S$7),[3]关卡对接!F65)</f>
        <v>366</v>
      </c>
      <c r="L77" s="12">
        <f t="shared" si="11"/>
        <v>1</v>
      </c>
      <c r="M77" s="12">
        <f>L77/[4]货币基础!$B$4</f>
        <v>100</v>
      </c>
      <c r="N77" s="12">
        <f>IF(A77&lt;[3]关卡对接!$A$4,INDEX([3]关卡对接!$E$7:$E$141,A77),MATCH(E77,人物经验!$H$24:$H$573,1))</f>
        <v>131</v>
      </c>
      <c r="O77" s="12">
        <f>INDEX([2]关卡!$G$6:$G$2005,A77)</f>
        <v>3</v>
      </c>
      <c r="P77" s="13">
        <v>6</v>
      </c>
      <c r="Q77" s="12">
        <f>INT(P77/$S$15/O77*VLOOKUP(J77,[1]人物技能基础!$N$3:$O$553,2,0)*$U$15)</f>
        <v>9</v>
      </c>
      <c r="R77" s="12">
        <f t="shared" si="12"/>
        <v>112</v>
      </c>
    </row>
    <row r="78" spans="1:18" x14ac:dyDescent="0.15">
      <c r="A78" s="12">
        <v>60</v>
      </c>
      <c r="B78" s="12">
        <f t="shared" si="6"/>
        <v>1</v>
      </c>
      <c r="C78" s="12">
        <f t="shared" si="7"/>
        <v>0.15109199999999998</v>
      </c>
      <c r="D78" s="12">
        <f t="shared" si="8"/>
        <v>3.4121429250000002E-3</v>
      </c>
      <c r="E78" s="12">
        <f>SUM($D$19:D78)</f>
        <v>0.15109199999999998</v>
      </c>
      <c r="F78" s="12">
        <f t="shared" si="4"/>
        <v>4.1884231899999991</v>
      </c>
      <c r="G78" s="12">
        <f t="shared" si="5"/>
        <v>8.1391269500000014</v>
      </c>
      <c r="H78" s="12">
        <f t="shared" si="9"/>
        <v>15000</v>
      </c>
      <c r="I78" s="12">
        <f t="shared" si="10"/>
        <v>29300</v>
      </c>
      <c r="J78" s="12">
        <f>IF(A78&lt;[3]关卡对接!$A$4,INDEX([3]关卡对接!$C$7:$C$141,A78),MATCH(E78,人物经验!$H$24:$H$573,1))</f>
        <v>132</v>
      </c>
      <c r="K78" s="12">
        <f>IF([3]关卡对接!F66="",INT(INDEX(人物经验!$J$24:$J$573,关卡!J78)*关卡!$S$7),[3]关卡对接!F66)</f>
        <v>371</v>
      </c>
      <c r="L78" s="12">
        <f t="shared" si="11"/>
        <v>1</v>
      </c>
      <c r="M78" s="12">
        <f>L78/[4]货币基础!$B$4</f>
        <v>100</v>
      </c>
      <c r="N78" s="12">
        <f>IF(A78&lt;[3]关卡对接!$A$4,INDEX([3]关卡对接!$E$7:$E$141,A78),MATCH(E78,人物经验!$H$24:$H$573,1))</f>
        <v>132</v>
      </c>
      <c r="O78" s="12">
        <f>INDEX([2]关卡!$G$6:$G$2005,A78)</f>
        <v>3</v>
      </c>
      <c r="P78" s="13">
        <v>6</v>
      </c>
      <c r="Q78" s="12">
        <f>INT(P78/$S$15/O78*VLOOKUP(J78,[1]人物技能基础!$N$3:$O$553,2,0)*$U$15)</f>
        <v>9</v>
      </c>
      <c r="R78" s="12">
        <f t="shared" si="12"/>
        <v>112</v>
      </c>
    </row>
    <row r="79" spans="1:18" x14ac:dyDescent="0.15">
      <c r="A79" s="12">
        <v>61</v>
      </c>
      <c r="B79" s="12">
        <f t="shared" si="6"/>
        <v>1</v>
      </c>
      <c r="C79" s="12">
        <f t="shared" si="7"/>
        <v>0.15454158307500002</v>
      </c>
      <c r="D79" s="12">
        <f t="shared" si="8"/>
        <v>3.44958307500004E-3</v>
      </c>
      <c r="E79" s="12">
        <f>SUM($D$19:D79)</f>
        <v>0.15454158307500002</v>
      </c>
      <c r="F79" s="12">
        <f t="shared" si="4"/>
        <v>4.2449070681599377</v>
      </c>
      <c r="G79" s="12">
        <f t="shared" si="5"/>
        <v>8.1938756034309375</v>
      </c>
      <c r="H79" s="12">
        <f t="shared" si="9"/>
        <v>15200</v>
      </c>
      <c r="I79" s="12">
        <f t="shared" si="10"/>
        <v>29400</v>
      </c>
      <c r="J79" s="12">
        <f>IF(A79&lt;[3]关卡对接!$A$4,INDEX([3]关卡对接!$C$7:$C$141,A79),MATCH(E79,人物经验!$H$24:$H$573,1))</f>
        <v>133</v>
      </c>
      <c r="K79" s="12">
        <f>IF([3]关卡对接!F67="",INT(INDEX(人物经验!$J$24:$J$573,关卡!J79)*关卡!$S$7),[3]关卡对接!F67)</f>
        <v>376</v>
      </c>
      <c r="L79" s="12">
        <f t="shared" si="11"/>
        <v>1</v>
      </c>
      <c r="M79" s="12">
        <f>L79/[4]货币基础!$B$4</f>
        <v>100</v>
      </c>
      <c r="N79" s="12">
        <f>IF(A79&lt;[3]关卡对接!$A$4,INDEX([3]关卡对接!$E$7:$E$141,A79),MATCH(E79,人物经验!$H$24:$H$573,1))</f>
        <v>133</v>
      </c>
      <c r="O79" s="12">
        <f>INDEX([2]关卡!$G$6:$G$2005,A79)</f>
        <v>3</v>
      </c>
      <c r="P79" s="13">
        <v>6</v>
      </c>
      <c r="Q79" s="12">
        <f>INT(P79/$S$15/O79*VLOOKUP(J79,[1]人物技能基础!$N$3:$O$553,2,0)*$U$15)</f>
        <v>9</v>
      </c>
      <c r="R79" s="12">
        <f t="shared" si="12"/>
        <v>112</v>
      </c>
    </row>
    <row r="80" spans="1:18" x14ac:dyDescent="0.15">
      <c r="A80" s="12">
        <v>62</v>
      </c>
      <c r="B80" s="12">
        <f t="shared" si="6"/>
        <v>1</v>
      </c>
      <c r="C80" s="12">
        <f t="shared" si="7"/>
        <v>0.1580289852</v>
      </c>
      <c r="D80" s="12">
        <f t="shared" si="8"/>
        <v>3.4874021249999831E-3</v>
      </c>
      <c r="E80" s="12">
        <f>SUM($D$19:D80)</f>
        <v>0.1580289852</v>
      </c>
      <c r="F80" s="12">
        <f t="shared" si="4"/>
        <v>4.3015057848790006</v>
      </c>
      <c r="G80" s="12">
        <f t="shared" si="5"/>
        <v>8.2487063844949997</v>
      </c>
      <c r="H80" s="12">
        <f t="shared" si="9"/>
        <v>15400</v>
      </c>
      <c r="I80" s="12">
        <f t="shared" si="10"/>
        <v>29600</v>
      </c>
      <c r="J80" s="12">
        <f>IF(A80&lt;[3]关卡对接!$A$4,INDEX([3]关卡对接!$C$7:$C$141,A80),MATCH(E80,人物经验!$H$24:$H$573,1))</f>
        <v>134</v>
      </c>
      <c r="K80" s="12">
        <f>IF([3]关卡对接!F68="",INT(INDEX(人物经验!$J$24:$J$573,关卡!J80)*关卡!$S$7),[3]关卡对接!F68)</f>
        <v>382</v>
      </c>
      <c r="L80" s="12">
        <f t="shared" si="11"/>
        <v>1</v>
      </c>
      <c r="M80" s="12">
        <f>L80/[4]货币基础!$B$4</f>
        <v>100</v>
      </c>
      <c r="N80" s="12">
        <f>IF(A80&lt;[3]关卡对接!$A$4,INDEX([3]关卡对接!$E$7:$E$141,A80),MATCH(E80,人物经验!$H$24:$H$573,1))</f>
        <v>134</v>
      </c>
      <c r="O80" s="12">
        <f>INDEX([2]关卡!$G$6:$G$2005,A80)</f>
        <v>3</v>
      </c>
      <c r="P80" s="13">
        <v>6</v>
      </c>
      <c r="Q80" s="12">
        <f>INT(P80/$S$15/O80*VLOOKUP(J80,[1]人物技能基础!$N$3:$O$553,2,0)*$U$15)</f>
        <v>9</v>
      </c>
      <c r="R80" s="12">
        <f t="shared" si="12"/>
        <v>112</v>
      </c>
    </row>
    <row r="81" spans="1:18" x14ac:dyDescent="0.15">
      <c r="A81" s="12">
        <v>63</v>
      </c>
      <c r="B81" s="12">
        <f t="shared" si="6"/>
        <v>1</v>
      </c>
      <c r="C81" s="12">
        <f t="shared" si="7"/>
        <v>0.16155458707500001</v>
      </c>
      <c r="D81" s="12">
        <f t="shared" si="8"/>
        <v>3.5256018750000062E-3</v>
      </c>
      <c r="E81" s="12">
        <f>SUM($D$19:D81)</f>
        <v>0.16155458707500001</v>
      </c>
      <c r="F81" s="12">
        <f t="shared" si="4"/>
        <v>4.3582196019649375</v>
      </c>
      <c r="G81" s="12">
        <f t="shared" si="5"/>
        <v>8.3036194144559374</v>
      </c>
      <c r="H81" s="12">
        <f t="shared" si="9"/>
        <v>15600</v>
      </c>
      <c r="I81" s="12">
        <f t="shared" si="10"/>
        <v>29800</v>
      </c>
      <c r="J81" s="12">
        <f>IF(A81&lt;[3]关卡对接!$A$4,INDEX([3]关卡对接!$C$7:$C$141,A81),MATCH(E81,人物经验!$H$24:$H$573,1))</f>
        <v>135</v>
      </c>
      <c r="K81" s="12">
        <f>IF([3]关卡对接!F69="",INT(INDEX(人物经验!$J$24:$J$573,关卡!J81)*关卡!$S$7),[3]关卡对接!F69)</f>
        <v>387</v>
      </c>
      <c r="L81" s="12">
        <f t="shared" si="11"/>
        <v>1</v>
      </c>
      <c r="M81" s="12">
        <f>L81/[4]货币基础!$B$4</f>
        <v>100</v>
      </c>
      <c r="N81" s="12">
        <f>IF(A81&lt;[3]关卡对接!$A$4,INDEX([3]关卡对接!$E$7:$E$141,A81),MATCH(E81,人物经验!$H$24:$H$573,1))</f>
        <v>135</v>
      </c>
      <c r="O81" s="12">
        <f>INDEX([2]关卡!$G$6:$G$2005,A81)</f>
        <v>3</v>
      </c>
      <c r="P81" s="13">
        <v>6</v>
      </c>
      <c r="Q81" s="12">
        <f>INT(P81/$S$15/O81*VLOOKUP(J81,[1]人物技能基础!$N$3:$O$553,2,0)*$U$15)</f>
        <v>9</v>
      </c>
      <c r="R81" s="12">
        <f t="shared" si="12"/>
        <v>112</v>
      </c>
    </row>
    <row r="82" spans="1:18" x14ac:dyDescent="0.15">
      <c r="A82" s="12">
        <v>64</v>
      </c>
      <c r="B82" s="12">
        <f t="shared" si="6"/>
        <v>1</v>
      </c>
      <c r="C82" s="12">
        <f t="shared" si="7"/>
        <v>0.16511877119999999</v>
      </c>
      <c r="D82" s="12">
        <f t="shared" si="8"/>
        <v>3.5641841249999806E-3</v>
      </c>
      <c r="E82" s="12">
        <f>SUM($D$19:D82)</f>
        <v>0.16511877119999999</v>
      </c>
      <c r="F82" s="12">
        <f t="shared" si="4"/>
        <v>4.4150487818239998</v>
      </c>
      <c r="G82" s="12">
        <f t="shared" si="5"/>
        <v>8.358614814720001</v>
      </c>
      <c r="H82" s="12">
        <f t="shared" si="9"/>
        <v>15800</v>
      </c>
      <c r="I82" s="12">
        <f t="shared" si="10"/>
        <v>30000</v>
      </c>
      <c r="J82" s="12">
        <f>IF(A82&lt;[3]关卡对接!$A$4,INDEX([3]关卡对接!$C$7:$C$141,A82),MATCH(E82,人物经验!$H$24:$H$573,1))</f>
        <v>136</v>
      </c>
      <c r="K82" s="12">
        <f>IF([3]关卡对接!F70="",INT(INDEX(人物经验!$J$24:$J$573,关卡!J82)*关卡!$S$7),[3]关卡对接!F70)</f>
        <v>392</v>
      </c>
      <c r="L82" s="12">
        <f t="shared" si="11"/>
        <v>1</v>
      </c>
      <c r="M82" s="12">
        <f>L82/[4]货币基础!$B$4</f>
        <v>100</v>
      </c>
      <c r="N82" s="12">
        <f>IF(A82&lt;[3]关卡对接!$A$4,INDEX([3]关卡对接!$E$7:$E$141,A82),MATCH(E82,人物经验!$H$24:$H$573,1))</f>
        <v>136</v>
      </c>
      <c r="O82" s="12">
        <f>INDEX([2]关卡!$G$6:$G$2005,A82)</f>
        <v>3</v>
      </c>
      <c r="P82" s="13">
        <v>6</v>
      </c>
      <c r="Q82" s="12">
        <f>INT(P82/$S$15/O82*VLOOKUP(J82,[1]人物技能基础!$N$3:$O$553,2,0)*$U$15)</f>
        <v>9</v>
      </c>
      <c r="R82" s="12">
        <f t="shared" si="12"/>
        <v>112</v>
      </c>
    </row>
    <row r="83" spans="1:18" x14ac:dyDescent="0.15">
      <c r="A83" s="12">
        <v>65</v>
      </c>
      <c r="B83" s="12">
        <f t="shared" si="6"/>
        <v>1</v>
      </c>
      <c r="C83" s="12">
        <f t="shared" si="7"/>
        <v>0.16872192187500001</v>
      </c>
      <c r="D83" s="12">
        <f t="shared" si="8"/>
        <v>3.6031506750000275E-3</v>
      </c>
      <c r="E83" s="12">
        <f>SUM($D$19:D83)</f>
        <v>0.16872192187500001</v>
      </c>
      <c r="F83" s="12">
        <f t="shared" ref="F83:F146" si="13">$L$7*($M$7+$N$7*($A83/$B$3)^1+$O$7*($A83/$B$3)^2+$P$7*($A83/$B$3)^3+$Q$7*($A83/$B$3)^4)</f>
        <v>4.471993587460938</v>
      </c>
      <c r="G83" s="12">
        <f t="shared" ref="G83:G146" si="14">$L$11*($M$11+$N$11*($A83/$B$3)^1+$O$11*($A83/$B$3)^2+$P$11*($A83/$B$3)^3+$Q$11*($A83/$B$3)^4)</f>
        <v>8.4136927068359384</v>
      </c>
      <c r="H83" s="12">
        <f t="shared" si="9"/>
        <v>16000</v>
      </c>
      <c r="I83" s="12">
        <f t="shared" si="10"/>
        <v>30200</v>
      </c>
      <c r="J83" s="12">
        <f>IF(A83&lt;[3]关卡对接!$A$4,INDEX([3]关卡对接!$C$7:$C$141,A83),MATCH(E83,人物经验!$H$24:$H$573,1))</f>
        <v>137</v>
      </c>
      <c r="K83" s="12">
        <f>IF([3]关卡对接!F71="",INT(INDEX(人物经验!$J$24:$J$573,关卡!J83)*关卡!$S$7),[3]关卡对接!F71)</f>
        <v>397</v>
      </c>
      <c r="L83" s="12">
        <f t="shared" si="11"/>
        <v>1</v>
      </c>
      <c r="M83" s="12">
        <f>L83/[4]货币基础!$B$4</f>
        <v>100</v>
      </c>
      <c r="N83" s="12">
        <f>IF(A83&lt;[3]关卡对接!$A$4,INDEX([3]关卡对接!$E$7:$E$141,A83),MATCH(E83,人物经验!$H$24:$H$573,1))</f>
        <v>137</v>
      </c>
      <c r="O83" s="12">
        <f>INDEX([2]关卡!$G$6:$G$2005,A83)</f>
        <v>3</v>
      </c>
      <c r="P83" s="13">
        <v>6</v>
      </c>
      <c r="Q83" s="12">
        <f>INT(P83/$S$15/O83*VLOOKUP(J83,[1]人物技能基础!$N$3:$O$553,2,0)*$U$15)</f>
        <v>9</v>
      </c>
      <c r="R83" s="12">
        <f t="shared" si="12"/>
        <v>112</v>
      </c>
    </row>
    <row r="84" spans="1:18" x14ac:dyDescent="0.15">
      <c r="A84" s="12">
        <v>66</v>
      </c>
      <c r="B84" s="12">
        <f t="shared" ref="B84:B147" si="15">MATCH($A84,$A$5:$A$15,1)-1</f>
        <v>1</v>
      </c>
      <c r="C84" s="12">
        <f t="shared" ref="C84:C147" si="16">INDEX($C$5:$C$15,$B84+1)*(INDEX($E$5:$E$15,$B84+1)+INDEX($F$5:$F$15,$B84+1)*(($A84-INDEX($A$5:$A$15,$B84+1)+1)/(INDEX($B$5:$B$15,$B84+1)-INDEX($A$5:$A$15,$B84+1)+1))^1+INDEX($G$5:$G$15,$B84+1)*(($A84-INDEX($A$5:$A$15,$B84+1)+1)/(INDEX($B$5:$B$15,$B84+1)-INDEX($A$5:$A$15,$B84+1)+1))^2+INDEX($H$5:$H$15,$B84+1)*(($A84-INDEX($A$5:$A$15,$B84+1)+1)/(INDEX($B$5:$B$15,$B84+1)-INDEX($A$5:$A$15,$B84+1)+1))^3+INDEX($I$5:$I$15,$B84+1)*(($A84-INDEX($A$5:$A$15,$B84+1)+1)/(INDEX($B$5:$B$15,$B84+1)-INDEX($A$5:$A$15,$B84+1)+1))^4)</f>
        <v>0.1723644252</v>
      </c>
      <c r="D84" s="12">
        <f t="shared" ref="D84:D147" si="17">IF(ISNA(MATCH(A84,$A$6:$A$15,0)),C84-C83,C84)</f>
        <v>3.6425033249999905E-3</v>
      </c>
      <c r="E84" s="12">
        <f>SUM($D$19:D84)</f>
        <v>0.1723644252</v>
      </c>
      <c r="F84" s="12">
        <f t="shared" si="13"/>
        <v>4.5290542824789997</v>
      </c>
      <c r="G84" s="12">
        <f t="shared" si="14"/>
        <v>8.4688532124949987</v>
      </c>
      <c r="H84" s="12">
        <f t="shared" ref="H84:H147" si="18">INT(F84*60*60/100)*100</f>
        <v>16300</v>
      </c>
      <c r="I84" s="12">
        <f t="shared" ref="I84:I147" si="19">INT(G84*60*60/100)*100</f>
        <v>30400</v>
      </c>
      <c r="J84" s="12">
        <f>IF(A84&lt;[3]关卡对接!$A$4,INDEX([3]关卡对接!$C$7:$C$141,A84),MATCH(E84,人物经验!$H$24:$H$573,1))</f>
        <v>138</v>
      </c>
      <c r="K84" s="12">
        <f>IF([3]关卡对接!F72="",INT(INDEX(人物经验!$J$24:$J$573,关卡!J84)*关卡!$S$7),[3]关卡对接!F72)</f>
        <v>402</v>
      </c>
      <c r="L84" s="12">
        <f t="shared" ref="L84:L147" si="20">VLOOKUP(A84,$A$5:$J$15,10,1)</f>
        <v>1</v>
      </c>
      <c r="M84" s="12">
        <f>L84/[4]货币基础!$B$4</f>
        <v>100</v>
      </c>
      <c r="N84" s="12">
        <f>IF(A84&lt;[3]关卡对接!$A$4,INDEX([3]关卡对接!$E$7:$E$141,A84),MATCH(E84,人物经验!$H$24:$H$573,1))</f>
        <v>138</v>
      </c>
      <c r="O84" s="12">
        <f>INDEX([2]关卡!$G$6:$G$2005,A84)</f>
        <v>3</v>
      </c>
      <c r="P84" s="13">
        <v>6</v>
      </c>
      <c r="Q84" s="12">
        <f>INT(P84/$S$15/O84*VLOOKUP(J84,[1]人物技能基础!$N$3:$O$553,2,0)*$U$15)</f>
        <v>9</v>
      </c>
      <c r="R84" s="12">
        <f t="shared" ref="R84:R147" si="21">INT(Q84*12.5)</f>
        <v>112</v>
      </c>
    </row>
    <row r="85" spans="1:18" x14ac:dyDescent="0.15">
      <c r="A85" s="12">
        <v>67</v>
      </c>
      <c r="B85" s="12">
        <f t="shared" si="15"/>
        <v>1</v>
      </c>
      <c r="C85" s="12">
        <f t="shared" si="16"/>
        <v>0.176046669075</v>
      </c>
      <c r="D85" s="12">
        <f t="shared" si="17"/>
        <v>3.6822438749999908E-3</v>
      </c>
      <c r="E85" s="12">
        <f>SUM($D$19:D85)</f>
        <v>0.176046669075</v>
      </c>
      <c r="F85" s="12">
        <f t="shared" si="13"/>
        <v>4.5862311310799386</v>
      </c>
      <c r="G85" s="12">
        <f t="shared" si="14"/>
        <v>8.5240964535309374</v>
      </c>
      <c r="H85" s="12">
        <f t="shared" si="18"/>
        <v>16500</v>
      </c>
      <c r="I85" s="12">
        <f t="shared" si="19"/>
        <v>30600</v>
      </c>
      <c r="J85" s="12">
        <f>IF(A85&lt;[3]关卡对接!$A$4,INDEX([3]关卡对接!$C$7:$C$141,A85),MATCH(E85,人物经验!$H$24:$H$573,1))</f>
        <v>139</v>
      </c>
      <c r="K85" s="12">
        <f>IF([3]关卡对接!F73="",INT(INDEX(人物经验!$J$24:$J$573,关卡!J85)*关卡!$S$7),[3]关卡对接!F73)</f>
        <v>407</v>
      </c>
      <c r="L85" s="12">
        <f t="shared" si="20"/>
        <v>1</v>
      </c>
      <c r="M85" s="12">
        <f>L85/[4]货币基础!$B$4</f>
        <v>100</v>
      </c>
      <c r="N85" s="12">
        <f>IF(A85&lt;[3]关卡对接!$A$4,INDEX([3]关卡对接!$E$7:$E$141,A85),MATCH(E85,人物经验!$H$24:$H$573,1))</f>
        <v>139</v>
      </c>
      <c r="O85" s="12">
        <f>INDEX([2]关卡!$G$6:$G$2005,A85)</f>
        <v>3</v>
      </c>
      <c r="P85" s="13">
        <v>6</v>
      </c>
      <c r="Q85" s="12">
        <f>INT(P85/$S$15/O85*VLOOKUP(J85,[1]人物技能基础!$N$3:$O$553,2,0)*$U$15)</f>
        <v>9</v>
      </c>
      <c r="R85" s="12">
        <f t="shared" si="21"/>
        <v>112</v>
      </c>
    </row>
    <row r="86" spans="1:18" x14ac:dyDescent="0.15">
      <c r="A86" s="12">
        <v>68</v>
      </c>
      <c r="B86" s="12">
        <f t="shared" si="15"/>
        <v>1</v>
      </c>
      <c r="C86" s="12">
        <f t="shared" si="16"/>
        <v>0.17976904320000001</v>
      </c>
      <c r="D86" s="12">
        <f t="shared" si="17"/>
        <v>3.7223741250000109E-3</v>
      </c>
      <c r="E86" s="12">
        <f>SUM($D$19:D86)</f>
        <v>0.17976904320000001</v>
      </c>
      <c r="F86" s="12">
        <f t="shared" si="13"/>
        <v>4.6435243980639997</v>
      </c>
      <c r="G86" s="12">
        <f t="shared" si="14"/>
        <v>8.5794225519200022</v>
      </c>
      <c r="H86" s="12">
        <f t="shared" si="18"/>
        <v>16700</v>
      </c>
      <c r="I86" s="12">
        <f t="shared" si="19"/>
        <v>30800</v>
      </c>
      <c r="J86" s="12">
        <f>IF(A86&lt;[3]关卡对接!$A$4,INDEX([3]关卡对接!$C$7:$C$141,A86),MATCH(E86,人物经验!$H$24:$H$573,1))</f>
        <v>140</v>
      </c>
      <c r="K86" s="12">
        <f>IF([3]关卡对接!F74="",INT(INDEX(人物经验!$J$24:$J$573,关卡!J86)*关卡!$S$7),[3]关卡对接!F74)</f>
        <v>412</v>
      </c>
      <c r="L86" s="12">
        <f t="shared" si="20"/>
        <v>1</v>
      </c>
      <c r="M86" s="12">
        <f>L86/[4]货币基础!$B$4</f>
        <v>100</v>
      </c>
      <c r="N86" s="12">
        <f>IF(A86&lt;[3]关卡对接!$A$4,INDEX([3]关卡对接!$E$7:$E$141,A86),MATCH(E86,人物经验!$H$24:$H$573,1))</f>
        <v>140</v>
      </c>
      <c r="O86" s="12">
        <f>INDEX([2]关卡!$G$6:$G$2005,A86)</f>
        <v>3</v>
      </c>
      <c r="P86" s="13">
        <v>6</v>
      </c>
      <c r="Q86" s="12">
        <f>INT(P86/$S$15/O86*VLOOKUP(J86,[1]人物技能基础!$N$3:$O$553,2,0)*$U$15)</f>
        <v>9</v>
      </c>
      <c r="R86" s="12">
        <f t="shared" si="21"/>
        <v>112</v>
      </c>
    </row>
    <row r="87" spans="1:18" x14ac:dyDescent="0.15">
      <c r="A87" s="12">
        <v>69</v>
      </c>
      <c r="B87" s="12">
        <f t="shared" si="15"/>
        <v>1</v>
      </c>
      <c r="C87" s="12">
        <f t="shared" si="16"/>
        <v>0.18353193907499996</v>
      </c>
      <c r="D87" s="12">
        <f t="shared" si="17"/>
        <v>3.7628958749999497E-3</v>
      </c>
      <c r="E87" s="12">
        <f>SUM($D$19:D87)</f>
        <v>0.18353193907499996</v>
      </c>
      <c r="F87" s="12">
        <f t="shared" si="13"/>
        <v>4.7009343488299384</v>
      </c>
      <c r="G87" s="12">
        <f t="shared" si="14"/>
        <v>8.6348316297809387</v>
      </c>
      <c r="H87" s="12">
        <f t="shared" si="18"/>
        <v>16900</v>
      </c>
      <c r="I87" s="12">
        <f t="shared" si="19"/>
        <v>31000</v>
      </c>
      <c r="J87" s="12">
        <f>IF(A87&lt;[3]关卡对接!$A$4,INDEX([3]关卡对接!$C$7:$C$141,A87),MATCH(E87,人物经验!$H$24:$H$573,1))</f>
        <v>141</v>
      </c>
      <c r="K87" s="12">
        <f>IF([3]关卡对接!F75="",INT(INDEX(人物经验!$J$24:$J$573,关卡!J87)*关卡!$S$7),[3]关卡对接!F75)</f>
        <v>417</v>
      </c>
      <c r="L87" s="12">
        <f t="shared" si="20"/>
        <v>1</v>
      </c>
      <c r="M87" s="12">
        <f>L87/[4]货币基础!$B$4</f>
        <v>100</v>
      </c>
      <c r="N87" s="12">
        <f>IF(A87&lt;[3]关卡对接!$A$4,INDEX([3]关卡对接!$E$7:$E$141,A87),MATCH(E87,人物经验!$H$24:$H$573,1))</f>
        <v>141</v>
      </c>
      <c r="O87" s="12">
        <f>INDEX([2]关卡!$G$6:$G$2005,A87)</f>
        <v>3</v>
      </c>
      <c r="P87" s="13">
        <v>6</v>
      </c>
      <c r="Q87" s="12">
        <f>INT(P87/$S$15/O87*VLOOKUP(J87,[1]人物技能基础!$N$3:$O$553,2,0)*$U$15)</f>
        <v>9</v>
      </c>
      <c r="R87" s="12">
        <f t="shared" si="21"/>
        <v>112</v>
      </c>
    </row>
    <row r="88" spans="1:18" x14ac:dyDescent="0.15">
      <c r="A88" s="12">
        <v>70</v>
      </c>
      <c r="B88" s="12">
        <f t="shared" si="15"/>
        <v>1</v>
      </c>
      <c r="C88" s="12">
        <f t="shared" si="16"/>
        <v>0.18733575</v>
      </c>
      <c r="D88" s="12">
        <f t="shared" si="17"/>
        <v>3.8038109250000396E-3</v>
      </c>
      <c r="E88" s="12">
        <f>SUM($D$19:D88)</f>
        <v>0.18733575</v>
      </c>
      <c r="F88" s="12">
        <f t="shared" si="13"/>
        <v>4.7584612493750011</v>
      </c>
      <c r="G88" s="12">
        <f t="shared" si="14"/>
        <v>8.6903238093749984</v>
      </c>
      <c r="H88" s="12">
        <f t="shared" si="18"/>
        <v>17100</v>
      </c>
      <c r="I88" s="12">
        <f t="shared" si="19"/>
        <v>31200</v>
      </c>
      <c r="J88" s="12">
        <f>IF(A88&lt;[3]关卡对接!$A$4,INDEX([3]关卡对接!$C$7:$C$141,A88),MATCH(E88,人物经验!$H$24:$H$573,1))</f>
        <v>142</v>
      </c>
      <c r="K88" s="12">
        <f>IF([3]关卡对接!F76="",INT(INDEX(人物经验!$J$24:$J$573,关卡!J88)*关卡!$S$7),[3]关卡对接!F76)</f>
        <v>423</v>
      </c>
      <c r="L88" s="12">
        <f t="shared" si="20"/>
        <v>1</v>
      </c>
      <c r="M88" s="12">
        <f>L88/[4]货币基础!$B$4</f>
        <v>100</v>
      </c>
      <c r="N88" s="12">
        <f>IF(A88&lt;[3]关卡对接!$A$4,INDEX([3]关卡对接!$E$7:$E$141,A88),MATCH(E88,人物经验!$H$24:$H$573,1))</f>
        <v>142</v>
      </c>
      <c r="O88" s="12">
        <f>INDEX([2]关卡!$G$6:$G$2005,A88)</f>
        <v>3</v>
      </c>
      <c r="P88" s="13">
        <v>6</v>
      </c>
      <c r="Q88" s="12">
        <f>INT(P88/$S$15/O88*VLOOKUP(J88,[1]人物技能基础!$N$3:$O$553,2,0)*$U$15)</f>
        <v>9</v>
      </c>
      <c r="R88" s="12">
        <f t="shared" si="21"/>
        <v>112</v>
      </c>
    </row>
    <row r="89" spans="1:18" x14ac:dyDescent="0.15">
      <c r="A89" s="12">
        <v>71</v>
      </c>
      <c r="B89" s="12">
        <f t="shared" si="15"/>
        <v>1</v>
      </c>
      <c r="C89" s="12">
        <f t="shared" si="16"/>
        <v>0.19118087107499998</v>
      </c>
      <c r="D89" s="12">
        <f t="shared" si="17"/>
        <v>3.8451210749999853E-3</v>
      </c>
      <c r="E89" s="12">
        <f>SUM($D$19:D89)</f>
        <v>0.19118087107499998</v>
      </c>
      <c r="F89" s="12">
        <f t="shared" si="13"/>
        <v>4.8161053662949369</v>
      </c>
      <c r="G89" s="12">
        <f t="shared" si="14"/>
        <v>8.7458992131059379</v>
      </c>
      <c r="H89" s="12">
        <f t="shared" si="18"/>
        <v>17300</v>
      </c>
      <c r="I89" s="12">
        <f t="shared" si="19"/>
        <v>31400</v>
      </c>
      <c r="J89" s="12">
        <f>IF(A89&lt;[3]关卡对接!$A$4,INDEX([3]关卡对接!$C$7:$C$141,A89),MATCH(E89,人物经验!$H$24:$H$573,1))</f>
        <v>143</v>
      </c>
      <c r="K89" s="12">
        <f>IF([3]关卡对接!F77="",INT(INDEX(人物经验!$J$24:$J$573,关卡!J89)*关卡!$S$7),[3]关卡对接!F77)</f>
        <v>428</v>
      </c>
      <c r="L89" s="12">
        <f t="shared" si="20"/>
        <v>1</v>
      </c>
      <c r="M89" s="12">
        <f>L89/[4]货币基础!$B$4</f>
        <v>100</v>
      </c>
      <c r="N89" s="12">
        <f>IF(A89&lt;[3]关卡对接!$A$4,INDEX([3]关卡对接!$E$7:$E$141,A89),MATCH(E89,人物经验!$H$24:$H$573,1))</f>
        <v>143</v>
      </c>
      <c r="O89" s="12">
        <f>INDEX([2]关卡!$G$6:$G$2005,A89)</f>
        <v>3</v>
      </c>
      <c r="P89" s="13">
        <v>6</v>
      </c>
      <c r="Q89" s="12">
        <f>INT(P89/$S$15/O89*VLOOKUP(J89,[1]人物技能基础!$N$3:$O$553,2,0)*$U$15)</f>
        <v>9</v>
      </c>
      <c r="R89" s="12">
        <f t="shared" si="21"/>
        <v>112</v>
      </c>
    </row>
    <row r="90" spans="1:18" x14ac:dyDescent="0.15">
      <c r="A90" s="12">
        <v>72</v>
      </c>
      <c r="B90" s="12">
        <f t="shared" si="15"/>
        <v>1</v>
      </c>
      <c r="C90" s="12">
        <f t="shared" si="16"/>
        <v>0.1950676992</v>
      </c>
      <c r="D90" s="12">
        <f t="shared" si="17"/>
        <v>3.8868281250000192E-3</v>
      </c>
      <c r="E90" s="12">
        <f>SUM($D$19:D90)</f>
        <v>0.1950676992</v>
      </c>
      <c r="F90" s="12">
        <f t="shared" si="13"/>
        <v>4.873866966784</v>
      </c>
      <c r="G90" s="12">
        <f t="shared" si="14"/>
        <v>8.8015579635200005</v>
      </c>
      <c r="H90" s="12">
        <f t="shared" si="18"/>
        <v>17500</v>
      </c>
      <c r="I90" s="12">
        <f t="shared" si="19"/>
        <v>31600</v>
      </c>
      <c r="J90" s="12">
        <f>IF(A90&lt;[3]关卡对接!$A$4,INDEX([3]关卡对接!$C$7:$C$141,A90),MATCH(E90,人物经验!$H$24:$H$573,1))</f>
        <v>144</v>
      </c>
      <c r="K90" s="12">
        <f>IF([3]关卡对接!F78="",INT(INDEX(人物经验!$J$24:$J$573,关卡!J90)*关卡!$S$7),[3]关卡对接!F78)</f>
        <v>433</v>
      </c>
      <c r="L90" s="12">
        <f t="shared" si="20"/>
        <v>1</v>
      </c>
      <c r="M90" s="12">
        <f>L90/[4]货币基础!$B$4</f>
        <v>100</v>
      </c>
      <c r="N90" s="12">
        <f>IF(A90&lt;[3]关卡对接!$A$4,INDEX([3]关卡对接!$E$7:$E$141,A90),MATCH(E90,人物经验!$H$24:$H$573,1))</f>
        <v>144</v>
      </c>
      <c r="O90" s="12">
        <f>INDEX([2]关卡!$G$6:$G$2005,A90)</f>
        <v>3</v>
      </c>
      <c r="P90" s="13">
        <v>6</v>
      </c>
      <c r="Q90" s="12">
        <f>INT(P90/$S$15/O90*VLOOKUP(J90,[1]人物技能基础!$N$3:$O$553,2,0)*$U$15)</f>
        <v>9</v>
      </c>
      <c r="R90" s="12">
        <f t="shared" si="21"/>
        <v>112</v>
      </c>
    </row>
    <row r="91" spans="1:18" x14ac:dyDescent="0.15">
      <c r="A91" s="12">
        <v>73</v>
      </c>
      <c r="B91" s="12">
        <f t="shared" si="15"/>
        <v>1</v>
      </c>
      <c r="C91" s="12">
        <f t="shared" si="16"/>
        <v>0.19899663307499998</v>
      </c>
      <c r="D91" s="12">
        <f t="shared" si="17"/>
        <v>3.9289338749999847E-3</v>
      </c>
      <c r="E91" s="12">
        <f>SUM($D$19:D91)</f>
        <v>0.19899663307499998</v>
      </c>
      <c r="F91" s="12">
        <f t="shared" si="13"/>
        <v>4.9317463186349366</v>
      </c>
      <c r="G91" s="12">
        <f t="shared" si="14"/>
        <v>8.8573001833059362</v>
      </c>
      <c r="H91" s="12">
        <f t="shared" si="18"/>
        <v>17700</v>
      </c>
      <c r="I91" s="12">
        <f t="shared" si="19"/>
        <v>31800</v>
      </c>
      <c r="J91" s="12">
        <f>IF(A91&lt;[3]关卡对接!$A$4,INDEX([3]关卡对接!$C$7:$C$141,A91),MATCH(E91,人物经验!$H$24:$H$573,1))</f>
        <v>144</v>
      </c>
      <c r="K91" s="12">
        <f>IF([3]关卡对接!F79="",INT(INDEX(人物经验!$J$24:$J$573,关卡!J91)*关卡!$S$7),[3]关卡对接!F79)</f>
        <v>433</v>
      </c>
      <c r="L91" s="12">
        <f t="shared" si="20"/>
        <v>1</v>
      </c>
      <c r="M91" s="12">
        <f>L91/[4]货币基础!$B$4</f>
        <v>100</v>
      </c>
      <c r="N91" s="12">
        <f>IF(A91&lt;[3]关卡对接!$A$4,INDEX([3]关卡对接!$E$7:$E$141,A91),MATCH(E91,人物经验!$H$24:$H$573,1))</f>
        <v>144</v>
      </c>
      <c r="O91" s="12">
        <f>INDEX([2]关卡!$G$6:$G$2005,A91)</f>
        <v>3</v>
      </c>
      <c r="P91" s="13">
        <v>6</v>
      </c>
      <c r="Q91" s="12">
        <f>INT(P91/$S$15/O91*VLOOKUP(J91,[1]人物技能基础!$N$3:$O$553,2,0)*$U$15)</f>
        <v>9</v>
      </c>
      <c r="R91" s="12">
        <f t="shared" si="21"/>
        <v>112</v>
      </c>
    </row>
    <row r="92" spans="1:18" x14ac:dyDescent="0.15">
      <c r="A92" s="12">
        <v>74</v>
      </c>
      <c r="B92" s="12">
        <f t="shared" si="15"/>
        <v>1</v>
      </c>
      <c r="C92" s="12">
        <f t="shared" si="16"/>
        <v>0.20296807319999996</v>
      </c>
      <c r="D92" s="12">
        <f t="shared" si="17"/>
        <v>3.9714401249999753E-3</v>
      </c>
      <c r="E92" s="12">
        <f>SUM($D$19:D92)</f>
        <v>0.20296807319999996</v>
      </c>
      <c r="F92" s="12">
        <f t="shared" si="13"/>
        <v>4.989743690239</v>
      </c>
      <c r="G92" s="12">
        <f t="shared" si="14"/>
        <v>8.9131259952949993</v>
      </c>
      <c r="H92" s="12">
        <f t="shared" si="18"/>
        <v>17900</v>
      </c>
      <c r="I92" s="12">
        <f t="shared" si="19"/>
        <v>32000</v>
      </c>
      <c r="J92" s="12">
        <f>IF(A92&lt;[3]关卡对接!$A$4,INDEX([3]关卡对接!$C$7:$C$141,A92),MATCH(E92,人物经验!$H$24:$H$573,1))</f>
        <v>145</v>
      </c>
      <c r="K92" s="12">
        <f>IF([3]关卡对接!F80="",INT(INDEX(人物经验!$J$24:$J$573,关卡!J92)*关卡!$S$7),[3]关卡对接!F80)</f>
        <v>443</v>
      </c>
      <c r="L92" s="12">
        <f t="shared" si="20"/>
        <v>1</v>
      </c>
      <c r="M92" s="12">
        <f>L92/[4]货币基础!$B$4</f>
        <v>100</v>
      </c>
      <c r="N92" s="12">
        <f>IF(A92&lt;[3]关卡对接!$A$4,INDEX([3]关卡对接!$E$7:$E$141,A92),MATCH(E92,人物经验!$H$24:$H$573,1))</f>
        <v>145</v>
      </c>
      <c r="O92" s="12">
        <f>INDEX([2]关卡!$G$6:$G$2005,A92)</f>
        <v>3</v>
      </c>
      <c r="P92" s="13">
        <v>6</v>
      </c>
      <c r="Q92" s="12">
        <f>INT(P92/$S$15/O92*VLOOKUP(J92,[1]人物技能基础!$N$3:$O$553,2,0)*$U$15)</f>
        <v>9</v>
      </c>
      <c r="R92" s="12">
        <f t="shared" si="21"/>
        <v>112</v>
      </c>
    </row>
    <row r="93" spans="1:18" x14ac:dyDescent="0.15">
      <c r="A93" s="12">
        <v>75</v>
      </c>
      <c r="B93" s="12">
        <f t="shared" si="15"/>
        <v>1</v>
      </c>
      <c r="C93" s="12">
        <f t="shared" si="16"/>
        <v>0.20698242187499996</v>
      </c>
      <c r="D93" s="12">
        <f t="shared" si="17"/>
        <v>4.0143486750000013E-3</v>
      </c>
      <c r="E93" s="12">
        <f>SUM($D$19:D93)</f>
        <v>0.20698242187499996</v>
      </c>
      <c r="F93" s="12">
        <f t="shared" si="13"/>
        <v>5.0478593505859379</v>
      </c>
      <c r="G93" s="12">
        <f t="shared" si="14"/>
        <v>8.9690355224609384</v>
      </c>
      <c r="H93" s="12">
        <f t="shared" si="18"/>
        <v>18100</v>
      </c>
      <c r="I93" s="12">
        <f t="shared" si="19"/>
        <v>32200</v>
      </c>
      <c r="J93" s="12">
        <f>IF(A93&lt;[3]关卡对接!$A$4,INDEX([3]关卡对接!$C$7:$C$141,A93),MATCH(E93,人物经验!$H$24:$H$573,1))</f>
        <v>146</v>
      </c>
      <c r="K93" s="12">
        <f>IF([3]关卡对接!F81="",INT(INDEX(人物经验!$J$24:$J$573,关卡!J93)*关卡!$S$7),[3]关卡对接!F81)</f>
        <v>449</v>
      </c>
      <c r="L93" s="12">
        <f t="shared" si="20"/>
        <v>1</v>
      </c>
      <c r="M93" s="12">
        <f>L93/[4]货币基础!$B$4</f>
        <v>100</v>
      </c>
      <c r="N93" s="12">
        <f>IF(A93&lt;[3]关卡对接!$A$4,INDEX([3]关卡对接!$E$7:$E$141,A93),MATCH(E93,人物经验!$H$24:$H$573,1))</f>
        <v>146</v>
      </c>
      <c r="O93" s="12">
        <f>INDEX([2]关卡!$G$6:$G$2005,A93)</f>
        <v>3</v>
      </c>
      <c r="P93" s="13">
        <v>6</v>
      </c>
      <c r="Q93" s="12">
        <f>INT(P93/$S$15/O93*VLOOKUP(J93,[1]人物技能基础!$N$3:$O$553,2,0)*$U$15)</f>
        <v>9</v>
      </c>
      <c r="R93" s="12">
        <f t="shared" si="21"/>
        <v>112</v>
      </c>
    </row>
    <row r="94" spans="1:18" x14ac:dyDescent="0.15">
      <c r="A94" s="12">
        <v>76</v>
      </c>
      <c r="B94" s="12">
        <f t="shared" si="15"/>
        <v>1</v>
      </c>
      <c r="C94" s="12">
        <f t="shared" si="16"/>
        <v>0.21104008319999998</v>
      </c>
      <c r="D94" s="12">
        <f t="shared" si="17"/>
        <v>4.0576613250000171E-3</v>
      </c>
      <c r="E94" s="12">
        <f>SUM($D$19:D94)</f>
        <v>0.21104008319999998</v>
      </c>
      <c r="F94" s="12">
        <f t="shared" si="13"/>
        <v>5.1060935692640008</v>
      </c>
      <c r="G94" s="12">
        <f t="shared" si="14"/>
        <v>9.0250288879200014</v>
      </c>
      <c r="H94" s="12">
        <f t="shared" si="18"/>
        <v>18300</v>
      </c>
      <c r="I94" s="12">
        <f t="shared" si="19"/>
        <v>32400</v>
      </c>
      <c r="J94" s="12">
        <f>IF(A94&lt;[3]关卡对接!$A$4,INDEX([3]关卡对接!$C$7:$C$141,A94),MATCH(E94,人物经验!$H$24:$H$573,1))</f>
        <v>147</v>
      </c>
      <c r="K94" s="12">
        <f>IF([3]关卡对接!F82="",INT(INDEX(人物经验!$J$24:$J$573,关卡!J94)*关卡!$S$7),[3]关卡对接!F82)</f>
        <v>454</v>
      </c>
      <c r="L94" s="12">
        <f t="shared" si="20"/>
        <v>1</v>
      </c>
      <c r="M94" s="12">
        <f>L94/[4]货币基础!$B$4</f>
        <v>100</v>
      </c>
      <c r="N94" s="12">
        <f>IF(A94&lt;[3]关卡对接!$A$4,INDEX([3]关卡对接!$E$7:$E$141,A94),MATCH(E94,人物经验!$H$24:$H$573,1))</f>
        <v>147</v>
      </c>
      <c r="O94" s="12">
        <f>INDEX([2]关卡!$G$6:$G$2005,A94)</f>
        <v>3</v>
      </c>
      <c r="P94" s="13">
        <v>6</v>
      </c>
      <c r="Q94" s="12">
        <f>INT(P94/$S$15/O94*VLOOKUP(J94,[1]人物技能基础!$N$3:$O$553,2,0)*$U$15)</f>
        <v>9</v>
      </c>
      <c r="R94" s="12">
        <f t="shared" si="21"/>
        <v>112</v>
      </c>
    </row>
    <row r="95" spans="1:18" x14ac:dyDescent="0.15">
      <c r="A95" s="12">
        <v>77</v>
      </c>
      <c r="B95" s="12">
        <f t="shared" si="15"/>
        <v>1</v>
      </c>
      <c r="C95" s="12">
        <f t="shared" si="16"/>
        <v>0.21514146307499996</v>
      </c>
      <c r="D95" s="12">
        <f t="shared" si="17"/>
        <v>4.1013798749999775E-3</v>
      </c>
      <c r="E95" s="12">
        <f>SUM($D$19:D95)</f>
        <v>0.21514146307499996</v>
      </c>
      <c r="F95" s="12">
        <f t="shared" si="13"/>
        <v>5.1644466164599372</v>
      </c>
      <c r="G95" s="12">
        <f t="shared" si="14"/>
        <v>9.0811062149309372</v>
      </c>
      <c r="H95" s="12">
        <f t="shared" si="18"/>
        <v>18500</v>
      </c>
      <c r="I95" s="12">
        <f t="shared" si="19"/>
        <v>32600</v>
      </c>
      <c r="J95" s="12">
        <f>IF(A95&lt;[3]关卡对接!$A$4,INDEX([3]关卡对接!$C$7:$C$141,A95),MATCH(E95,人物经验!$H$24:$H$573,1))</f>
        <v>148</v>
      </c>
      <c r="K95" s="12">
        <f>IF([3]关卡对接!F83="",INT(INDEX(人物经验!$J$24:$J$573,关卡!J95)*关卡!$S$7),[3]关卡对接!F83)</f>
        <v>459</v>
      </c>
      <c r="L95" s="12">
        <f t="shared" si="20"/>
        <v>1</v>
      </c>
      <c r="M95" s="12">
        <f>L95/[4]货币基础!$B$4</f>
        <v>100</v>
      </c>
      <c r="N95" s="12">
        <f>IF(A95&lt;[3]关卡对接!$A$4,INDEX([3]关卡对接!$E$7:$E$141,A95),MATCH(E95,人物经验!$H$24:$H$573,1))</f>
        <v>148</v>
      </c>
      <c r="O95" s="12">
        <f>INDEX([2]关卡!$G$6:$G$2005,A95)</f>
        <v>3</v>
      </c>
      <c r="P95" s="13">
        <v>6</v>
      </c>
      <c r="Q95" s="12">
        <f>INT(P95/$S$15/O95*VLOOKUP(J95,[1]人物技能基础!$N$3:$O$553,2,0)*$U$15)</f>
        <v>9</v>
      </c>
      <c r="R95" s="12">
        <f t="shared" si="21"/>
        <v>112</v>
      </c>
    </row>
    <row r="96" spans="1:18" x14ac:dyDescent="0.15">
      <c r="A96" s="12">
        <v>78</v>
      </c>
      <c r="B96" s="12">
        <f t="shared" si="15"/>
        <v>1</v>
      </c>
      <c r="C96" s="12">
        <f t="shared" si="16"/>
        <v>0.21928696919999999</v>
      </c>
      <c r="D96" s="12">
        <f t="shared" si="17"/>
        <v>4.1455061250000313E-3</v>
      </c>
      <c r="E96" s="12">
        <f>SUM($D$19:D96)</f>
        <v>0.21928696919999999</v>
      </c>
      <c r="F96" s="12">
        <f t="shared" si="13"/>
        <v>5.2229187629589999</v>
      </c>
      <c r="G96" s="12">
        <f t="shared" si="14"/>
        <v>9.1372676268950013</v>
      </c>
      <c r="H96" s="12">
        <f t="shared" si="18"/>
        <v>18800</v>
      </c>
      <c r="I96" s="12">
        <f t="shared" si="19"/>
        <v>32800</v>
      </c>
      <c r="J96" s="12">
        <f>IF(A96&lt;[3]关卡对接!$A$4,INDEX([3]关卡对接!$C$7:$C$141,A96),MATCH(E96,人物经验!$H$24:$H$573,1))</f>
        <v>149</v>
      </c>
      <c r="K96" s="12">
        <f>IF([3]关卡对接!F84="",INT(INDEX(人物经验!$J$24:$J$573,关卡!J96)*关卡!$S$7),[3]关卡对接!F84)</f>
        <v>464</v>
      </c>
      <c r="L96" s="12">
        <f t="shared" si="20"/>
        <v>1</v>
      </c>
      <c r="M96" s="12">
        <f>L96/[4]货币基础!$B$4</f>
        <v>100</v>
      </c>
      <c r="N96" s="12">
        <f>IF(A96&lt;[3]关卡对接!$A$4,INDEX([3]关卡对接!$E$7:$E$141,A96),MATCH(E96,人物经验!$H$24:$H$573,1))</f>
        <v>149</v>
      </c>
      <c r="O96" s="12">
        <f>INDEX([2]关卡!$G$6:$G$2005,A96)</f>
        <v>3</v>
      </c>
      <c r="P96" s="13">
        <v>6</v>
      </c>
      <c r="Q96" s="12">
        <f>INT(P96/$S$15/O96*VLOOKUP(J96,[1]人物技能基础!$N$3:$O$553,2,0)*$U$15)</f>
        <v>9</v>
      </c>
      <c r="R96" s="12">
        <f t="shared" si="21"/>
        <v>112</v>
      </c>
    </row>
    <row r="97" spans="1:18" x14ac:dyDescent="0.15">
      <c r="A97" s="12">
        <v>79</v>
      </c>
      <c r="B97" s="12">
        <f t="shared" si="15"/>
        <v>1</v>
      </c>
      <c r="C97" s="12">
        <f t="shared" si="16"/>
        <v>0.22347701107499998</v>
      </c>
      <c r="D97" s="12">
        <f t="shared" si="17"/>
        <v>4.1900418749999946E-3</v>
      </c>
      <c r="E97" s="12">
        <f>SUM($D$19:D97)</f>
        <v>0.22347701107499998</v>
      </c>
      <c r="F97" s="12">
        <f t="shared" si="13"/>
        <v>5.2815102801449392</v>
      </c>
      <c r="G97" s="12">
        <f t="shared" si="14"/>
        <v>9.193513247355936</v>
      </c>
      <c r="H97" s="12">
        <f t="shared" si="18"/>
        <v>19000</v>
      </c>
      <c r="I97" s="12">
        <f t="shared" si="19"/>
        <v>33000</v>
      </c>
      <c r="J97" s="12">
        <f>IF(A97&lt;[3]关卡对接!$A$4,INDEX([3]关卡对接!$C$7:$C$141,A97),MATCH(E97,人物经验!$H$24:$H$573,1))</f>
        <v>149</v>
      </c>
      <c r="K97" s="12">
        <f>IF([3]关卡对接!F85="",INT(INDEX(人物经验!$J$24:$J$573,关卡!J97)*关卡!$S$7),[3]关卡对接!F85)</f>
        <v>464</v>
      </c>
      <c r="L97" s="12">
        <f t="shared" si="20"/>
        <v>1</v>
      </c>
      <c r="M97" s="12">
        <f>L97/[4]货币基础!$B$4</f>
        <v>100</v>
      </c>
      <c r="N97" s="12">
        <f>IF(A97&lt;[3]关卡对接!$A$4,INDEX([3]关卡对接!$E$7:$E$141,A97),MATCH(E97,人物经验!$H$24:$H$573,1))</f>
        <v>149</v>
      </c>
      <c r="O97" s="12">
        <f>INDEX([2]关卡!$G$6:$G$2005,A97)</f>
        <v>3</v>
      </c>
      <c r="P97" s="13">
        <v>6</v>
      </c>
      <c r="Q97" s="12">
        <f>INT(P97/$S$15/O97*VLOOKUP(J97,[1]人物技能基础!$N$3:$O$553,2,0)*$U$15)</f>
        <v>9</v>
      </c>
      <c r="R97" s="12">
        <f t="shared" si="21"/>
        <v>112</v>
      </c>
    </row>
    <row r="98" spans="1:18" x14ac:dyDescent="0.15">
      <c r="A98" s="12">
        <v>80</v>
      </c>
      <c r="B98" s="12">
        <f t="shared" si="15"/>
        <v>1</v>
      </c>
      <c r="C98" s="12">
        <f t="shared" si="16"/>
        <v>0.227712</v>
      </c>
      <c r="D98" s="12">
        <f t="shared" si="17"/>
        <v>4.2349889250000161E-3</v>
      </c>
      <c r="E98" s="12">
        <f>SUM($D$19:D98)</f>
        <v>0.227712</v>
      </c>
      <c r="F98" s="12">
        <f t="shared" si="13"/>
        <v>5.3402214399999997</v>
      </c>
      <c r="G98" s="12">
        <f t="shared" si="14"/>
        <v>9.2498432000000008</v>
      </c>
      <c r="H98" s="12">
        <f t="shared" si="18"/>
        <v>19200</v>
      </c>
      <c r="I98" s="12">
        <f t="shared" si="19"/>
        <v>33200</v>
      </c>
      <c r="J98" s="12">
        <f>IF(A98&lt;[3]关卡对接!$A$4,INDEX([3]关卡对接!$C$7:$C$141,A98),MATCH(E98,人物经验!$H$24:$H$573,1))</f>
        <v>150</v>
      </c>
      <c r="K98" s="12">
        <f>IF([3]关卡对接!F86="",INT(INDEX(人物经验!$J$24:$J$573,关卡!J98)*关卡!$S$7),[3]关卡对接!F86)</f>
        <v>475</v>
      </c>
      <c r="L98" s="12">
        <f t="shared" si="20"/>
        <v>1</v>
      </c>
      <c r="M98" s="12">
        <f>L98/[4]货币基础!$B$4</f>
        <v>100</v>
      </c>
      <c r="N98" s="12">
        <f>IF(A98&lt;[3]关卡对接!$A$4,INDEX([3]关卡对接!$E$7:$E$141,A98),MATCH(E98,人物经验!$H$24:$H$573,1))</f>
        <v>150</v>
      </c>
      <c r="O98" s="12">
        <f>INDEX([2]关卡!$G$6:$G$2005,A98)</f>
        <v>3</v>
      </c>
      <c r="P98" s="13">
        <v>6</v>
      </c>
      <c r="Q98" s="12">
        <f>INT(P98/$S$15/O98*VLOOKUP(J98,[1]人物技能基础!$N$3:$O$553,2,0)*$U$15)</f>
        <v>9</v>
      </c>
      <c r="R98" s="12">
        <f t="shared" si="21"/>
        <v>112</v>
      </c>
    </row>
    <row r="99" spans="1:18" x14ac:dyDescent="0.15">
      <c r="A99" s="12">
        <v>81</v>
      </c>
      <c r="B99" s="12">
        <f t="shared" si="15"/>
        <v>1</v>
      </c>
      <c r="C99" s="12">
        <f t="shared" si="16"/>
        <v>0.23199234907499999</v>
      </c>
      <c r="D99" s="12">
        <f t="shared" si="17"/>
        <v>4.2803490749999951E-3</v>
      </c>
      <c r="E99" s="12">
        <f>SUM($D$19:D99)</f>
        <v>0.23199234907499999</v>
      </c>
      <c r="F99" s="12">
        <f t="shared" si="13"/>
        <v>5.3990525151049376</v>
      </c>
      <c r="G99" s="12">
        <f t="shared" si="14"/>
        <v>9.3062576086559403</v>
      </c>
      <c r="H99" s="12">
        <f t="shared" si="18"/>
        <v>19400</v>
      </c>
      <c r="I99" s="12">
        <f t="shared" si="19"/>
        <v>33500</v>
      </c>
      <c r="J99" s="12">
        <f>IF(A99&lt;[3]关卡对接!$A$4,INDEX([3]关卡对接!$C$7:$C$141,A99),MATCH(E99,人物经验!$H$24:$H$573,1))</f>
        <v>151</v>
      </c>
      <c r="K99" s="12">
        <f>IF([3]关卡对接!F87="",INT(INDEX(人物经验!$J$24:$J$573,关卡!J99)*关卡!$S$7),[3]关卡对接!F87)</f>
        <v>480</v>
      </c>
      <c r="L99" s="12">
        <f t="shared" si="20"/>
        <v>1</v>
      </c>
      <c r="M99" s="12">
        <f>L99/[4]货币基础!$B$4</f>
        <v>100</v>
      </c>
      <c r="N99" s="12">
        <f>IF(A99&lt;[3]关卡对接!$A$4,INDEX([3]关卡对接!$E$7:$E$141,A99),MATCH(E99,人物经验!$H$24:$H$573,1))</f>
        <v>151</v>
      </c>
      <c r="O99" s="12">
        <f>INDEX([2]关卡!$G$6:$G$2005,A99)</f>
        <v>3</v>
      </c>
      <c r="P99" s="13">
        <v>6</v>
      </c>
      <c r="Q99" s="12">
        <f>INT(P99/$S$15/O99*VLOOKUP(J99,[1]人物技能基础!$N$3:$O$553,2,0)*$U$15)</f>
        <v>9</v>
      </c>
      <c r="R99" s="12">
        <f t="shared" si="21"/>
        <v>112</v>
      </c>
    </row>
    <row r="100" spans="1:18" x14ac:dyDescent="0.15">
      <c r="A100" s="12">
        <v>82</v>
      </c>
      <c r="B100" s="12">
        <f t="shared" si="15"/>
        <v>1</v>
      </c>
      <c r="C100" s="12">
        <f t="shared" si="16"/>
        <v>0.23631847319999993</v>
      </c>
      <c r="D100" s="12">
        <f t="shared" si="17"/>
        <v>4.3261241249999416E-3</v>
      </c>
      <c r="E100" s="12">
        <f>SUM($D$19:D100)</f>
        <v>0.23631847319999993</v>
      </c>
      <c r="F100" s="12">
        <f t="shared" si="13"/>
        <v>5.458003778639001</v>
      </c>
      <c r="G100" s="12">
        <f t="shared" si="14"/>
        <v>9.362756597295002</v>
      </c>
      <c r="H100" s="12">
        <f t="shared" si="18"/>
        <v>19600</v>
      </c>
      <c r="I100" s="12">
        <f t="shared" si="19"/>
        <v>33700</v>
      </c>
      <c r="J100" s="12">
        <f>IF(A100&lt;[3]关卡对接!$A$4,INDEX([3]关卡对接!$C$7:$C$141,A100),MATCH(E100,人物经验!$H$24:$H$573,1))</f>
        <v>152</v>
      </c>
      <c r="K100" s="12">
        <f>IF([3]关卡对接!F88="",INT(INDEX(人物经验!$J$24:$J$573,关卡!J100)*关卡!$S$7),[3]关卡对接!F88)</f>
        <v>485</v>
      </c>
      <c r="L100" s="12">
        <f t="shared" si="20"/>
        <v>1</v>
      </c>
      <c r="M100" s="12">
        <f>L100/[4]货币基础!$B$4</f>
        <v>100</v>
      </c>
      <c r="N100" s="12">
        <f>IF(A100&lt;[3]关卡对接!$A$4,INDEX([3]关卡对接!$E$7:$E$141,A100),MATCH(E100,人物经验!$H$24:$H$573,1))</f>
        <v>152</v>
      </c>
      <c r="O100" s="12">
        <f>INDEX([2]关卡!$G$6:$G$2005,A100)</f>
        <v>3</v>
      </c>
      <c r="P100" s="13">
        <v>6</v>
      </c>
      <c r="Q100" s="12">
        <f>INT(P100/$S$15/O100*VLOOKUP(J100,[1]人物技能基础!$N$3:$O$553,2,0)*$U$15)</f>
        <v>9</v>
      </c>
      <c r="R100" s="12">
        <f t="shared" si="21"/>
        <v>112</v>
      </c>
    </row>
    <row r="101" spans="1:18" x14ac:dyDescent="0.15">
      <c r="A101" s="12">
        <v>83</v>
      </c>
      <c r="B101" s="12">
        <f t="shared" si="15"/>
        <v>1</v>
      </c>
      <c r="C101" s="12">
        <f t="shared" si="16"/>
        <v>0.24069078907499997</v>
      </c>
      <c r="D101" s="12">
        <f t="shared" si="17"/>
        <v>4.3723158750000324E-3</v>
      </c>
      <c r="E101" s="12">
        <f>SUM($D$19:D101)</f>
        <v>0.24069078907499997</v>
      </c>
      <c r="F101" s="12">
        <f t="shared" si="13"/>
        <v>5.517075504379938</v>
      </c>
      <c r="G101" s="12">
        <f t="shared" si="14"/>
        <v>9.419340290030938</v>
      </c>
      <c r="H101" s="12">
        <f t="shared" si="18"/>
        <v>19800</v>
      </c>
      <c r="I101" s="12">
        <f t="shared" si="19"/>
        <v>33900</v>
      </c>
      <c r="J101" s="12">
        <f>IF(A101&lt;[3]关卡对接!$A$4,INDEX([3]关卡对接!$C$7:$C$141,A101),MATCH(E101,人物经验!$H$24:$H$573,1))</f>
        <v>153</v>
      </c>
      <c r="K101" s="12">
        <f>IF([3]关卡对接!F89="",INT(INDEX(人物经验!$J$24:$J$573,关卡!J101)*关卡!$S$7),[3]关卡对接!F89)</f>
        <v>491</v>
      </c>
      <c r="L101" s="12">
        <f t="shared" si="20"/>
        <v>1</v>
      </c>
      <c r="M101" s="12">
        <f>L101/[4]货币基础!$B$4</f>
        <v>100</v>
      </c>
      <c r="N101" s="12">
        <f>IF(A101&lt;[3]关卡对接!$A$4,INDEX([3]关卡对接!$E$7:$E$141,A101),MATCH(E101,人物经验!$H$24:$H$573,1))</f>
        <v>153</v>
      </c>
      <c r="O101" s="12">
        <f>INDEX([2]关卡!$G$6:$G$2005,A101)</f>
        <v>3</v>
      </c>
      <c r="P101" s="13">
        <v>6</v>
      </c>
      <c r="Q101" s="12">
        <f>INT(P101/$S$15/O101*VLOOKUP(J101,[1]人物技能基础!$N$3:$O$553,2,0)*$U$15)</f>
        <v>9</v>
      </c>
      <c r="R101" s="12">
        <f t="shared" si="21"/>
        <v>112</v>
      </c>
    </row>
    <row r="102" spans="1:18" x14ac:dyDescent="0.15">
      <c r="A102" s="12">
        <v>84</v>
      </c>
      <c r="B102" s="12">
        <f t="shared" si="15"/>
        <v>1</v>
      </c>
      <c r="C102" s="12">
        <f t="shared" si="16"/>
        <v>0.24510971519999999</v>
      </c>
      <c r="D102" s="12">
        <f t="shared" si="17"/>
        <v>4.4189261250000278E-3</v>
      </c>
      <c r="E102" s="12">
        <f>SUM($D$19:D102)</f>
        <v>0.24510971519999999</v>
      </c>
      <c r="F102" s="12">
        <f t="shared" si="13"/>
        <v>5.5762679667040009</v>
      </c>
      <c r="G102" s="12">
        <f t="shared" si="14"/>
        <v>9.476008811119998</v>
      </c>
      <c r="H102" s="12">
        <f t="shared" si="18"/>
        <v>20000</v>
      </c>
      <c r="I102" s="12">
        <f t="shared" si="19"/>
        <v>34100</v>
      </c>
      <c r="J102" s="12">
        <f>IF(A102&lt;[3]关卡对接!$A$4,INDEX([3]关卡对接!$C$7:$C$141,A102),MATCH(E102,人物经验!$H$24:$H$573,1))</f>
        <v>153</v>
      </c>
      <c r="K102" s="12">
        <f>IF([3]关卡对接!F90="",INT(INDEX(人物经验!$J$24:$J$573,关卡!J102)*关卡!$S$7),[3]关卡对接!F90)</f>
        <v>491</v>
      </c>
      <c r="L102" s="12">
        <f t="shared" si="20"/>
        <v>1</v>
      </c>
      <c r="M102" s="12">
        <f>L102/[4]货币基础!$B$4</f>
        <v>100</v>
      </c>
      <c r="N102" s="12">
        <f>IF(A102&lt;[3]关卡对接!$A$4,INDEX([3]关卡对接!$E$7:$E$141,A102),MATCH(E102,人物经验!$H$24:$H$573,1))</f>
        <v>153</v>
      </c>
      <c r="O102" s="12">
        <f>INDEX([2]关卡!$G$6:$G$2005,A102)</f>
        <v>3</v>
      </c>
      <c r="P102" s="13">
        <v>6</v>
      </c>
      <c r="Q102" s="12">
        <f>INT(P102/$S$15/O102*VLOOKUP(J102,[1]人物技能基础!$N$3:$O$553,2,0)*$U$15)</f>
        <v>9</v>
      </c>
      <c r="R102" s="12">
        <f t="shared" si="21"/>
        <v>112</v>
      </c>
    </row>
    <row r="103" spans="1:18" x14ac:dyDescent="0.15">
      <c r="A103" s="12">
        <v>85</v>
      </c>
      <c r="B103" s="12">
        <f t="shared" si="15"/>
        <v>1</v>
      </c>
      <c r="C103" s="12">
        <f t="shared" si="16"/>
        <v>0.24957567187500002</v>
      </c>
      <c r="D103" s="12">
        <f t="shared" si="17"/>
        <v>4.4659566750000212E-3</v>
      </c>
      <c r="E103" s="12">
        <f>SUM($D$19:D103)</f>
        <v>0.24957567187500002</v>
      </c>
      <c r="F103" s="12">
        <f t="shared" si="13"/>
        <v>5.6355814405859386</v>
      </c>
      <c r="G103" s="12">
        <f t="shared" si="14"/>
        <v>9.5327622849609384</v>
      </c>
      <c r="H103" s="12">
        <f t="shared" si="18"/>
        <v>20200</v>
      </c>
      <c r="I103" s="12">
        <f t="shared" si="19"/>
        <v>34300</v>
      </c>
      <c r="J103" s="12">
        <f>IF(A103&lt;[3]关卡对接!$A$4,INDEX([3]关卡对接!$C$7:$C$141,A103),MATCH(E103,人物经验!$H$24:$H$573,1))</f>
        <v>154</v>
      </c>
      <c r="K103" s="12">
        <f>IF([3]关卡对接!F91="",INT(INDEX(人物经验!$J$24:$J$573,关卡!J103)*关卡!$S$7),[3]关卡对接!F91)</f>
        <v>501</v>
      </c>
      <c r="L103" s="12">
        <f t="shared" si="20"/>
        <v>1</v>
      </c>
      <c r="M103" s="12">
        <f>L103/[4]货币基础!$B$4</f>
        <v>100</v>
      </c>
      <c r="N103" s="12">
        <f>IF(A103&lt;[3]关卡对接!$A$4,INDEX([3]关卡对接!$E$7:$E$141,A103),MATCH(E103,人物经验!$H$24:$H$573,1))</f>
        <v>154</v>
      </c>
      <c r="O103" s="12">
        <f>INDEX([2]关卡!$G$6:$G$2005,A103)</f>
        <v>3</v>
      </c>
      <c r="P103" s="13">
        <v>6</v>
      </c>
      <c r="Q103" s="12">
        <f>INT(P103/$S$15/O103*VLOOKUP(J103,[1]人物技能基础!$N$3:$O$553,2,0)*$U$15)</f>
        <v>9</v>
      </c>
      <c r="R103" s="12">
        <f t="shared" si="21"/>
        <v>112</v>
      </c>
    </row>
    <row r="104" spans="1:18" x14ac:dyDescent="0.15">
      <c r="A104" s="12">
        <v>86</v>
      </c>
      <c r="B104" s="12">
        <f t="shared" si="15"/>
        <v>1</v>
      </c>
      <c r="C104" s="12">
        <f t="shared" si="16"/>
        <v>0.25408908119999996</v>
      </c>
      <c r="D104" s="12">
        <f t="shared" si="17"/>
        <v>4.5134093249999396E-3</v>
      </c>
      <c r="E104" s="12">
        <f>SUM($D$19:D104)</f>
        <v>0.25408908119999996</v>
      </c>
      <c r="F104" s="12">
        <f t="shared" si="13"/>
        <v>5.6950162015990005</v>
      </c>
      <c r="G104" s="12">
        <f t="shared" si="14"/>
        <v>9.5896008360949967</v>
      </c>
      <c r="H104" s="12">
        <f t="shared" si="18"/>
        <v>20500</v>
      </c>
      <c r="I104" s="12">
        <f t="shared" si="19"/>
        <v>34500</v>
      </c>
      <c r="J104" s="12">
        <f>IF(A104&lt;[3]关卡对接!$A$4,INDEX([3]关卡对接!$C$7:$C$141,A104),MATCH(E104,人物经验!$H$24:$H$573,1))</f>
        <v>155</v>
      </c>
      <c r="K104" s="12">
        <f>IF([3]关卡对接!F92="",INT(INDEX(人物经验!$J$24:$J$573,关卡!J104)*关卡!$S$7),[3]关卡对接!F92)</f>
        <v>507</v>
      </c>
      <c r="L104" s="12">
        <f t="shared" si="20"/>
        <v>1</v>
      </c>
      <c r="M104" s="12">
        <f>L104/[4]货币基础!$B$4</f>
        <v>100</v>
      </c>
      <c r="N104" s="12">
        <f>IF(A104&lt;[3]关卡对接!$A$4,INDEX([3]关卡对接!$E$7:$E$141,A104),MATCH(E104,人物经验!$H$24:$H$573,1))</f>
        <v>155</v>
      </c>
      <c r="O104" s="12">
        <f>INDEX([2]关卡!$G$6:$G$2005,A104)</f>
        <v>3</v>
      </c>
      <c r="P104" s="13">
        <v>6</v>
      </c>
      <c r="Q104" s="12">
        <f>INT(P104/$S$15/O104*VLOOKUP(J104,[1]人物技能基础!$N$3:$O$553,2,0)*$U$15)</f>
        <v>9</v>
      </c>
      <c r="R104" s="12">
        <f t="shared" si="21"/>
        <v>112</v>
      </c>
    </row>
    <row r="105" spans="1:18" x14ac:dyDescent="0.15">
      <c r="A105" s="12">
        <v>87</v>
      </c>
      <c r="B105" s="12">
        <f t="shared" si="15"/>
        <v>1</v>
      </c>
      <c r="C105" s="12">
        <f t="shared" si="16"/>
        <v>0.258650367075</v>
      </c>
      <c r="D105" s="12">
        <f t="shared" si="17"/>
        <v>4.5612858750000429E-3</v>
      </c>
      <c r="E105" s="12">
        <f>SUM($D$19:D105)</f>
        <v>0.258650367075</v>
      </c>
      <c r="F105" s="12">
        <f t="shared" si="13"/>
        <v>5.754572525914937</v>
      </c>
      <c r="G105" s="12">
        <f t="shared" si="14"/>
        <v>9.6465245892059386</v>
      </c>
      <c r="H105" s="12">
        <f t="shared" si="18"/>
        <v>20700</v>
      </c>
      <c r="I105" s="12">
        <f t="shared" si="19"/>
        <v>34700</v>
      </c>
      <c r="J105" s="12">
        <f>IF(A105&lt;[3]关卡对接!$A$4,INDEX([3]关卡对接!$C$7:$C$141,A105),MATCH(E105,人物经验!$H$24:$H$573,1))</f>
        <v>156</v>
      </c>
      <c r="K105" s="12">
        <f>IF([3]关卡对接!F93="",INT(INDEX(人物经验!$J$24:$J$573,关卡!J105)*关卡!$S$7),[3]关卡对接!F93)</f>
        <v>512</v>
      </c>
      <c r="L105" s="12">
        <f t="shared" si="20"/>
        <v>1</v>
      </c>
      <c r="M105" s="12">
        <f>L105/[4]货币基础!$B$4</f>
        <v>100</v>
      </c>
      <c r="N105" s="12">
        <f>IF(A105&lt;[3]关卡对接!$A$4,INDEX([3]关卡对接!$E$7:$E$141,A105),MATCH(E105,人物经验!$H$24:$H$573,1))</f>
        <v>156</v>
      </c>
      <c r="O105" s="12">
        <f>INDEX([2]关卡!$G$6:$G$2005,A105)</f>
        <v>3</v>
      </c>
      <c r="P105" s="13">
        <v>6</v>
      </c>
      <c r="Q105" s="12">
        <f>INT(P105/$S$15/O105*VLOOKUP(J105,[1]人物技能基础!$N$3:$O$553,2,0)*$U$15)</f>
        <v>9</v>
      </c>
      <c r="R105" s="12">
        <f t="shared" si="21"/>
        <v>112</v>
      </c>
    </row>
    <row r="106" spans="1:18" x14ac:dyDescent="0.15">
      <c r="A106" s="12">
        <v>88</v>
      </c>
      <c r="B106" s="12">
        <f t="shared" si="15"/>
        <v>1</v>
      </c>
      <c r="C106" s="12">
        <f t="shared" si="16"/>
        <v>0.26325995520000001</v>
      </c>
      <c r="D106" s="12">
        <f t="shared" si="17"/>
        <v>4.6095881250000081E-3</v>
      </c>
      <c r="E106" s="12">
        <f>SUM($D$19:D106)</f>
        <v>0.26325995520000001</v>
      </c>
      <c r="F106" s="12">
        <f t="shared" si="13"/>
        <v>5.814250690304001</v>
      </c>
      <c r="G106" s="12">
        <f t="shared" si="14"/>
        <v>9.7035336691199987</v>
      </c>
      <c r="H106" s="12">
        <f t="shared" si="18"/>
        <v>20900</v>
      </c>
      <c r="I106" s="12">
        <f t="shared" si="19"/>
        <v>34900</v>
      </c>
      <c r="J106" s="12">
        <f>IF(A106&lt;[3]关卡对接!$A$4,INDEX([3]关卡对接!$C$7:$C$141,A106),MATCH(E106,人物经验!$H$24:$H$573,1))</f>
        <v>157</v>
      </c>
      <c r="K106" s="12">
        <f>IF([3]关卡对接!F94="",INT(INDEX(人物经验!$J$24:$J$573,关卡!J106)*关卡!$S$7),[3]关卡对接!F94)</f>
        <v>517</v>
      </c>
      <c r="L106" s="12">
        <f t="shared" si="20"/>
        <v>1</v>
      </c>
      <c r="M106" s="12">
        <f>L106/[4]货币基础!$B$4</f>
        <v>100</v>
      </c>
      <c r="N106" s="12">
        <f>IF(A106&lt;[3]关卡对接!$A$4,INDEX([3]关卡对接!$E$7:$E$141,A106),MATCH(E106,人物经验!$H$24:$H$573,1))</f>
        <v>157</v>
      </c>
      <c r="O106" s="12">
        <f>INDEX([2]关卡!$G$6:$G$2005,A106)</f>
        <v>3</v>
      </c>
      <c r="P106" s="13">
        <v>6</v>
      </c>
      <c r="Q106" s="12">
        <f>INT(P106/$S$15/O106*VLOOKUP(J106,[1]人物技能基础!$N$3:$O$553,2,0)*$U$15)</f>
        <v>9</v>
      </c>
      <c r="R106" s="12">
        <f t="shared" si="21"/>
        <v>112</v>
      </c>
    </row>
    <row r="107" spans="1:18" x14ac:dyDescent="0.15">
      <c r="A107" s="12">
        <v>89</v>
      </c>
      <c r="B107" s="12">
        <f t="shared" si="15"/>
        <v>1</v>
      </c>
      <c r="C107" s="12">
        <f t="shared" si="16"/>
        <v>0.26791827307499999</v>
      </c>
      <c r="D107" s="12">
        <f t="shared" si="17"/>
        <v>4.6583178749999843E-3</v>
      </c>
      <c r="E107" s="12">
        <f>SUM($D$19:D107)</f>
        <v>0.26791827307499999</v>
      </c>
      <c r="F107" s="12">
        <f t="shared" si="13"/>
        <v>5.8740509721349374</v>
      </c>
      <c r="G107" s="12">
        <f t="shared" si="14"/>
        <v>9.7606282008059377</v>
      </c>
      <c r="H107" s="12">
        <f t="shared" si="18"/>
        <v>21100</v>
      </c>
      <c r="I107" s="12">
        <f t="shared" si="19"/>
        <v>35100</v>
      </c>
      <c r="J107" s="12">
        <f>IF(A107&lt;[3]关卡对接!$A$4,INDEX([3]关卡对接!$C$7:$C$141,A107),MATCH(E107,人物经验!$H$24:$H$573,1))</f>
        <v>157</v>
      </c>
      <c r="K107" s="12">
        <f>IF([3]关卡对接!F95="",INT(INDEX(人物经验!$J$24:$J$573,关卡!J107)*关卡!$S$7),[3]关卡对接!F95)</f>
        <v>517</v>
      </c>
      <c r="L107" s="12">
        <f t="shared" si="20"/>
        <v>1</v>
      </c>
      <c r="M107" s="12">
        <f>L107/[4]货币基础!$B$4</f>
        <v>100</v>
      </c>
      <c r="N107" s="12">
        <f>IF(A107&lt;[3]关卡对接!$A$4,INDEX([3]关卡对接!$E$7:$E$141,A107),MATCH(E107,人物经验!$H$24:$H$573,1))</f>
        <v>157</v>
      </c>
      <c r="O107" s="12">
        <f>INDEX([2]关卡!$G$6:$G$2005,A107)</f>
        <v>3</v>
      </c>
      <c r="P107" s="13">
        <v>6</v>
      </c>
      <c r="Q107" s="12">
        <f>INT(P107/$S$15/O107*VLOOKUP(J107,[1]人物技能基础!$N$3:$O$553,2,0)*$U$15)</f>
        <v>9</v>
      </c>
      <c r="R107" s="12">
        <f t="shared" si="21"/>
        <v>112</v>
      </c>
    </row>
    <row r="108" spans="1:18" x14ac:dyDescent="0.15">
      <c r="A108" s="12">
        <v>90</v>
      </c>
      <c r="B108" s="12">
        <f t="shared" si="15"/>
        <v>1</v>
      </c>
      <c r="C108" s="12">
        <f t="shared" si="16"/>
        <v>0.27262575</v>
      </c>
      <c r="D108" s="12">
        <f t="shared" si="17"/>
        <v>4.7074769250000092E-3</v>
      </c>
      <c r="E108" s="12">
        <f>SUM($D$19:D108)</f>
        <v>0.27262575</v>
      </c>
      <c r="F108" s="12">
        <f t="shared" si="13"/>
        <v>5.9339736493749999</v>
      </c>
      <c r="G108" s="12">
        <f t="shared" si="14"/>
        <v>9.8178083093749979</v>
      </c>
      <c r="H108" s="12">
        <f t="shared" si="18"/>
        <v>21300</v>
      </c>
      <c r="I108" s="12">
        <f t="shared" si="19"/>
        <v>35300</v>
      </c>
      <c r="J108" s="12">
        <f>IF(A108&lt;[3]关卡对接!$A$4,INDEX([3]关卡对接!$C$7:$C$141,A108),MATCH(E108,人物经验!$H$24:$H$573,1))</f>
        <v>158</v>
      </c>
      <c r="K108" s="12">
        <f>IF([3]关卡对接!F96="",INT(INDEX(人物经验!$J$24:$J$573,关卡!J108)*关卡!$S$7),[3]关卡对接!F96)</f>
        <v>528</v>
      </c>
      <c r="L108" s="12">
        <f t="shared" si="20"/>
        <v>1</v>
      </c>
      <c r="M108" s="12">
        <f>L108/[4]货币基础!$B$4</f>
        <v>100</v>
      </c>
      <c r="N108" s="12">
        <f>IF(A108&lt;[3]关卡对接!$A$4,INDEX([3]关卡对接!$E$7:$E$141,A108),MATCH(E108,人物经验!$H$24:$H$573,1))</f>
        <v>158</v>
      </c>
      <c r="O108" s="12">
        <f>INDEX([2]关卡!$G$6:$G$2005,A108)</f>
        <v>3</v>
      </c>
      <c r="P108" s="13">
        <v>6</v>
      </c>
      <c r="Q108" s="12">
        <f>INT(P108/$S$15/O108*VLOOKUP(J108,[1]人物技能基础!$N$3:$O$553,2,0)*$U$15)</f>
        <v>9</v>
      </c>
      <c r="R108" s="12">
        <f t="shared" si="21"/>
        <v>112</v>
      </c>
    </row>
    <row r="109" spans="1:18" x14ac:dyDescent="0.15">
      <c r="A109" s="12">
        <v>91</v>
      </c>
      <c r="B109" s="12">
        <f t="shared" si="15"/>
        <v>1</v>
      </c>
      <c r="C109" s="12">
        <f t="shared" si="16"/>
        <v>0.27738281707500001</v>
      </c>
      <c r="D109" s="12">
        <f t="shared" si="17"/>
        <v>4.7570670750000099E-3</v>
      </c>
      <c r="E109" s="12">
        <f>SUM($D$19:D109)</f>
        <v>0.27738281707500001</v>
      </c>
      <c r="F109" s="12">
        <f t="shared" si="13"/>
        <v>5.9940190005899376</v>
      </c>
      <c r="G109" s="12">
        <f t="shared" si="14"/>
        <v>9.8750741200809351</v>
      </c>
      <c r="H109" s="12">
        <f t="shared" si="18"/>
        <v>21500</v>
      </c>
      <c r="I109" s="12">
        <f t="shared" si="19"/>
        <v>35500</v>
      </c>
      <c r="J109" s="12">
        <f>IF(A109&lt;[3]关卡对接!$A$4,INDEX([3]关卡对接!$C$7:$C$141,A109),MATCH(E109,人物经验!$H$24:$H$573,1))</f>
        <v>159</v>
      </c>
      <c r="K109" s="12">
        <f>IF([3]关卡对接!F97="",INT(INDEX(人物经验!$J$24:$J$573,关卡!J109)*关卡!$S$7),[3]关卡对接!F97)</f>
        <v>534</v>
      </c>
      <c r="L109" s="12">
        <f t="shared" si="20"/>
        <v>1</v>
      </c>
      <c r="M109" s="12">
        <f>L109/[4]货币基础!$B$4</f>
        <v>100</v>
      </c>
      <c r="N109" s="12">
        <f>IF(A109&lt;[3]关卡对接!$A$4,INDEX([3]关卡对接!$E$7:$E$141,A109),MATCH(E109,人物经验!$H$24:$H$573,1))</f>
        <v>159</v>
      </c>
      <c r="O109" s="12">
        <f>INDEX([2]关卡!$G$6:$G$2005,A109)</f>
        <v>3</v>
      </c>
      <c r="P109" s="13">
        <v>6</v>
      </c>
      <c r="Q109" s="12">
        <f>INT(P109/$S$15/O109*VLOOKUP(J109,[1]人物技能基础!$N$3:$O$553,2,0)*$U$15)</f>
        <v>9</v>
      </c>
      <c r="R109" s="12">
        <f t="shared" si="21"/>
        <v>112</v>
      </c>
    </row>
    <row r="110" spans="1:18" x14ac:dyDescent="0.15">
      <c r="A110" s="12">
        <v>92</v>
      </c>
      <c r="B110" s="12">
        <f t="shared" si="15"/>
        <v>1</v>
      </c>
      <c r="C110" s="12">
        <f t="shared" si="16"/>
        <v>0.28218990719999998</v>
      </c>
      <c r="D110" s="12">
        <f t="shared" si="17"/>
        <v>4.8070901249999687E-3</v>
      </c>
      <c r="E110" s="12">
        <f>SUM($D$19:D110)</f>
        <v>0.28218990719999998</v>
      </c>
      <c r="F110" s="12">
        <f t="shared" si="13"/>
        <v>6.0541873049440005</v>
      </c>
      <c r="G110" s="12">
        <f t="shared" si="14"/>
        <v>9.9324257583200026</v>
      </c>
      <c r="H110" s="12">
        <f t="shared" si="18"/>
        <v>21700</v>
      </c>
      <c r="I110" s="12">
        <f t="shared" si="19"/>
        <v>35700</v>
      </c>
      <c r="J110" s="12">
        <f>IF(A110&lt;[3]关卡对接!$A$4,INDEX([3]关卡对接!$C$7:$C$141,A110),MATCH(E110,人物经验!$H$24:$H$573,1))</f>
        <v>160</v>
      </c>
      <c r="K110" s="12">
        <f>IF([3]关卡对接!F98="",INT(INDEX(人物经验!$J$24:$J$573,关卡!J110)*关卡!$S$7),[3]关卡对接!F98)</f>
        <v>539</v>
      </c>
      <c r="L110" s="12">
        <f t="shared" si="20"/>
        <v>1</v>
      </c>
      <c r="M110" s="12">
        <f>L110/[4]货币基础!$B$4</f>
        <v>100</v>
      </c>
      <c r="N110" s="12">
        <f>IF(A110&lt;[3]关卡对接!$A$4,INDEX([3]关卡对接!$E$7:$E$141,A110),MATCH(E110,人物经验!$H$24:$H$573,1))</f>
        <v>160</v>
      </c>
      <c r="O110" s="12">
        <f>INDEX([2]关卡!$G$6:$G$2005,A110)</f>
        <v>3</v>
      </c>
      <c r="P110" s="13">
        <v>6</v>
      </c>
      <c r="Q110" s="12">
        <f>INT(P110/$S$15/O110*VLOOKUP(J110,[1]人物技能基础!$N$3:$O$553,2,0)*$U$15)</f>
        <v>9</v>
      </c>
      <c r="R110" s="12">
        <f t="shared" si="21"/>
        <v>112</v>
      </c>
    </row>
    <row r="111" spans="1:18" x14ac:dyDescent="0.15">
      <c r="A111" s="12">
        <v>93</v>
      </c>
      <c r="B111" s="12">
        <f t="shared" si="15"/>
        <v>1</v>
      </c>
      <c r="C111" s="12">
        <f t="shared" si="16"/>
        <v>0.28704745507500007</v>
      </c>
      <c r="D111" s="12">
        <f t="shared" si="17"/>
        <v>4.85754787500009E-3</v>
      </c>
      <c r="E111" s="12">
        <f>SUM($D$19:D111)</f>
        <v>0.28704745507500007</v>
      </c>
      <c r="F111" s="12">
        <f t="shared" si="13"/>
        <v>6.1144788421999374</v>
      </c>
      <c r="G111" s="12">
        <f t="shared" si="14"/>
        <v>9.989863349630939</v>
      </c>
      <c r="H111" s="12">
        <f t="shared" si="18"/>
        <v>22000</v>
      </c>
      <c r="I111" s="12">
        <f t="shared" si="19"/>
        <v>35900</v>
      </c>
      <c r="J111" s="12">
        <f>IF(A111&lt;[3]关卡对接!$A$4,INDEX([3]关卡对接!$C$7:$C$141,A111),MATCH(E111,人物经验!$H$24:$H$573,1))</f>
        <v>160</v>
      </c>
      <c r="K111" s="12">
        <f>IF([3]关卡对接!F99="",INT(INDEX(人物经验!$J$24:$J$573,关卡!J111)*关卡!$S$7),[3]关卡对接!F99)</f>
        <v>539</v>
      </c>
      <c r="L111" s="12">
        <f t="shared" si="20"/>
        <v>1</v>
      </c>
      <c r="M111" s="12">
        <f>L111/[4]货币基础!$B$4</f>
        <v>100</v>
      </c>
      <c r="N111" s="12">
        <f>IF(A111&lt;[3]关卡对接!$A$4,INDEX([3]关卡对接!$E$7:$E$141,A111),MATCH(E111,人物经验!$H$24:$H$573,1))</f>
        <v>160</v>
      </c>
      <c r="O111" s="12">
        <f>INDEX([2]关卡!$G$6:$G$2005,A111)</f>
        <v>3</v>
      </c>
      <c r="P111" s="13">
        <v>6</v>
      </c>
      <c r="Q111" s="12">
        <f>INT(P111/$S$15/O111*VLOOKUP(J111,[1]人物技能基础!$N$3:$O$553,2,0)*$U$15)</f>
        <v>9</v>
      </c>
      <c r="R111" s="12">
        <f t="shared" si="21"/>
        <v>112</v>
      </c>
    </row>
    <row r="112" spans="1:18" x14ac:dyDescent="0.15">
      <c r="A112" s="12">
        <v>94</v>
      </c>
      <c r="B112" s="12">
        <f t="shared" si="15"/>
        <v>1</v>
      </c>
      <c r="C112" s="12">
        <f t="shared" si="16"/>
        <v>0.29195589719999998</v>
      </c>
      <c r="D112" s="12">
        <f t="shared" si="17"/>
        <v>4.9084421249999122E-3</v>
      </c>
      <c r="E112" s="12">
        <f>SUM($D$19:D112)</f>
        <v>0.29195589719999998</v>
      </c>
      <c r="F112" s="12">
        <f t="shared" si="13"/>
        <v>6.174893892719</v>
      </c>
      <c r="G112" s="12">
        <f t="shared" si="14"/>
        <v>10.047387019695</v>
      </c>
      <c r="H112" s="12">
        <f t="shared" si="18"/>
        <v>22200</v>
      </c>
      <c r="I112" s="12">
        <f t="shared" si="19"/>
        <v>36100</v>
      </c>
      <c r="J112" s="12">
        <f>IF(A112&lt;[3]关卡对接!$A$4,INDEX([3]关卡对接!$C$7:$C$141,A112),MATCH(E112,人物经验!$H$24:$H$573,1))</f>
        <v>161</v>
      </c>
      <c r="K112" s="12">
        <f>IF([3]关卡对接!F100="",INT(INDEX(人物经验!$J$24:$J$573,关卡!J112)*关卡!$S$7),[3]关卡对接!F100)</f>
        <v>550</v>
      </c>
      <c r="L112" s="12">
        <f t="shared" si="20"/>
        <v>1</v>
      </c>
      <c r="M112" s="12">
        <f>L112/[4]货币基础!$B$4</f>
        <v>100</v>
      </c>
      <c r="N112" s="12">
        <f>IF(A112&lt;[3]关卡对接!$A$4,INDEX([3]关卡对接!$E$7:$E$141,A112),MATCH(E112,人物经验!$H$24:$H$573,1))</f>
        <v>161</v>
      </c>
      <c r="O112" s="12">
        <f>INDEX([2]关卡!$G$6:$G$2005,A112)</f>
        <v>3</v>
      </c>
      <c r="P112" s="13">
        <v>6</v>
      </c>
      <c r="Q112" s="12">
        <f>INT(P112/$S$15/O112*VLOOKUP(J112,[1]人物技能基础!$N$3:$O$553,2,0)*$U$15)</f>
        <v>9</v>
      </c>
      <c r="R112" s="12">
        <f t="shared" si="21"/>
        <v>112</v>
      </c>
    </row>
    <row r="113" spans="1:18" x14ac:dyDescent="0.15">
      <c r="A113" s="12">
        <v>95</v>
      </c>
      <c r="B113" s="12">
        <f t="shared" si="15"/>
        <v>1</v>
      </c>
      <c r="C113" s="12">
        <f t="shared" si="16"/>
        <v>0.29691567187499995</v>
      </c>
      <c r="D113" s="12">
        <f t="shared" si="17"/>
        <v>4.9597746749999727E-3</v>
      </c>
      <c r="E113" s="12">
        <f>SUM($D$19:D113)</f>
        <v>0.29691567187499995</v>
      </c>
      <c r="F113" s="12">
        <f t="shared" si="13"/>
        <v>6.2354327374609388</v>
      </c>
      <c r="G113" s="12">
        <f t="shared" si="14"/>
        <v>10.104996894335939</v>
      </c>
      <c r="H113" s="12">
        <f t="shared" si="18"/>
        <v>22400</v>
      </c>
      <c r="I113" s="12">
        <f t="shared" si="19"/>
        <v>36300</v>
      </c>
      <c r="J113" s="12">
        <f>IF(A113&lt;[3]关卡对接!$A$4,INDEX([3]关卡对接!$C$7:$C$141,A113),MATCH(E113,人物经验!$H$24:$H$573,1))</f>
        <v>162</v>
      </c>
      <c r="K113" s="12">
        <f>IF([3]关卡对接!F101="",INT(INDEX(人物经验!$J$24:$J$573,关卡!J113)*关卡!$S$7),[3]关卡对接!F101)</f>
        <v>555</v>
      </c>
      <c r="L113" s="12">
        <f t="shared" si="20"/>
        <v>1</v>
      </c>
      <c r="M113" s="12">
        <f>L113/[4]货币基础!$B$4</f>
        <v>100</v>
      </c>
      <c r="N113" s="12">
        <f>IF(A113&lt;[3]关卡对接!$A$4,INDEX([3]关卡对接!$E$7:$E$141,A113),MATCH(E113,人物经验!$H$24:$H$573,1))</f>
        <v>162</v>
      </c>
      <c r="O113" s="12">
        <f>INDEX([2]关卡!$G$6:$G$2005,A113)</f>
        <v>3</v>
      </c>
      <c r="P113" s="13">
        <v>6</v>
      </c>
      <c r="Q113" s="12">
        <f>INT(P113/$S$15/O113*VLOOKUP(J113,[1]人物技能基础!$N$3:$O$553,2,0)*$U$15)</f>
        <v>9</v>
      </c>
      <c r="R113" s="12">
        <f t="shared" si="21"/>
        <v>112</v>
      </c>
    </row>
    <row r="114" spans="1:18" x14ac:dyDescent="0.15">
      <c r="A114" s="12">
        <v>96</v>
      </c>
      <c r="B114" s="12">
        <f t="shared" si="15"/>
        <v>1</v>
      </c>
      <c r="C114" s="12">
        <f t="shared" si="16"/>
        <v>0.30192721919999999</v>
      </c>
      <c r="D114" s="12">
        <f t="shared" si="17"/>
        <v>5.011547325000032E-3</v>
      </c>
      <c r="E114" s="12">
        <f>SUM($D$19:D114)</f>
        <v>0.30192721919999999</v>
      </c>
      <c r="F114" s="12">
        <f t="shared" si="13"/>
        <v>6.2960956579840008</v>
      </c>
      <c r="G114" s="12">
        <f t="shared" si="14"/>
        <v>10.162693099519998</v>
      </c>
      <c r="H114" s="12">
        <f t="shared" si="18"/>
        <v>22600</v>
      </c>
      <c r="I114" s="12">
        <f t="shared" si="19"/>
        <v>36500</v>
      </c>
      <c r="J114" s="12">
        <f>IF(A114&lt;[3]关卡对接!$A$4,INDEX([3]关卡对接!$C$7:$C$141,A114),MATCH(E114,人物经验!$H$24:$H$573,1))</f>
        <v>162</v>
      </c>
      <c r="K114" s="12">
        <f>IF([3]关卡对接!F102="",INT(INDEX(人物经验!$J$24:$J$573,关卡!J114)*关卡!$S$7),[3]关卡对接!F102)</f>
        <v>555</v>
      </c>
      <c r="L114" s="12">
        <f t="shared" si="20"/>
        <v>1</v>
      </c>
      <c r="M114" s="12">
        <f>L114/[4]货币基础!$B$4</f>
        <v>100</v>
      </c>
      <c r="N114" s="12">
        <f>IF(A114&lt;[3]关卡对接!$A$4,INDEX([3]关卡对接!$E$7:$E$141,A114),MATCH(E114,人物经验!$H$24:$H$573,1))</f>
        <v>162</v>
      </c>
      <c r="O114" s="12">
        <f>INDEX([2]关卡!$G$6:$G$2005,A114)</f>
        <v>3</v>
      </c>
      <c r="P114" s="13">
        <v>6</v>
      </c>
      <c r="Q114" s="12">
        <f>INT(P114/$S$15/O114*VLOOKUP(J114,[1]人物技能基础!$N$3:$O$553,2,0)*$U$15)</f>
        <v>9</v>
      </c>
      <c r="R114" s="12">
        <f t="shared" si="21"/>
        <v>112</v>
      </c>
    </row>
    <row r="115" spans="1:18" x14ac:dyDescent="0.15">
      <c r="A115" s="12">
        <v>97</v>
      </c>
      <c r="B115" s="12">
        <f t="shared" si="15"/>
        <v>1</v>
      </c>
      <c r="C115" s="12">
        <f t="shared" si="16"/>
        <v>0.306990981075</v>
      </c>
      <c r="D115" s="12">
        <f t="shared" si="17"/>
        <v>5.0637618750000168E-3</v>
      </c>
      <c r="E115" s="12">
        <f>SUM($D$19:D115)</f>
        <v>0.306990981075</v>
      </c>
      <c r="F115" s="12">
        <f t="shared" si="13"/>
        <v>6.3568829364449373</v>
      </c>
      <c r="G115" s="12">
        <f t="shared" si="14"/>
        <v>10.220475761355939</v>
      </c>
      <c r="H115" s="12">
        <f t="shared" si="18"/>
        <v>22800</v>
      </c>
      <c r="I115" s="12">
        <f t="shared" si="19"/>
        <v>36700</v>
      </c>
      <c r="J115" s="12">
        <f>IF(A115&lt;[3]关卡对接!$A$4,INDEX([3]关卡对接!$C$7:$C$141,A115),MATCH(E115,人物经验!$H$24:$H$573,1))</f>
        <v>163</v>
      </c>
      <c r="K115" s="12">
        <f>IF([3]关卡对接!F103="",INT(INDEX(人物经验!$J$24:$J$573,关卡!J115)*关卡!$S$7),[3]关卡对接!F103)</f>
        <v>566</v>
      </c>
      <c r="L115" s="12">
        <f t="shared" si="20"/>
        <v>1</v>
      </c>
      <c r="M115" s="12">
        <f>L115/[4]货币基础!$B$4</f>
        <v>100</v>
      </c>
      <c r="N115" s="12">
        <f>IF(A115&lt;[3]关卡对接!$A$4,INDEX([3]关卡对接!$E$7:$E$141,A115),MATCH(E115,人物经验!$H$24:$H$573,1))</f>
        <v>163</v>
      </c>
      <c r="O115" s="12">
        <f>INDEX([2]关卡!$G$6:$G$2005,A115)</f>
        <v>3</v>
      </c>
      <c r="P115" s="13">
        <v>6</v>
      </c>
      <c r="Q115" s="12">
        <f>INT(P115/$S$15/O115*VLOOKUP(J115,[1]人物技能基础!$N$3:$O$553,2,0)*$U$15)</f>
        <v>9</v>
      </c>
      <c r="R115" s="12">
        <f t="shared" si="21"/>
        <v>112</v>
      </c>
    </row>
    <row r="116" spans="1:18" x14ac:dyDescent="0.15">
      <c r="A116" s="12">
        <v>98</v>
      </c>
      <c r="B116" s="12">
        <f t="shared" si="15"/>
        <v>1</v>
      </c>
      <c r="C116" s="12">
        <f t="shared" si="16"/>
        <v>0.31210740119999997</v>
      </c>
      <c r="D116" s="12">
        <f t="shared" si="17"/>
        <v>5.1164201249999652E-3</v>
      </c>
      <c r="E116" s="12">
        <f>SUM($D$19:D116)</f>
        <v>0.31210740119999997</v>
      </c>
      <c r="F116" s="12">
        <f t="shared" si="13"/>
        <v>6.4177948555990003</v>
      </c>
      <c r="G116" s="12">
        <f t="shared" si="14"/>
        <v>10.278345006095</v>
      </c>
      <c r="H116" s="12">
        <f t="shared" si="18"/>
        <v>23100</v>
      </c>
      <c r="I116" s="12">
        <f t="shared" si="19"/>
        <v>37000</v>
      </c>
      <c r="J116" s="12">
        <f>IF(A116&lt;[3]关卡对接!$A$4,INDEX([3]关卡对接!$C$7:$C$141,A116),MATCH(E116,人物经验!$H$24:$H$573,1))</f>
        <v>164</v>
      </c>
      <c r="K116" s="12">
        <f>IF([3]关卡对接!F104="",INT(INDEX(人物经验!$J$24:$J$573,关卡!J116)*关卡!$S$7),[3]关卡对接!F104)</f>
        <v>572</v>
      </c>
      <c r="L116" s="12">
        <f t="shared" si="20"/>
        <v>1</v>
      </c>
      <c r="M116" s="12">
        <f>L116/[4]货币基础!$B$4</f>
        <v>100</v>
      </c>
      <c r="N116" s="12">
        <f>IF(A116&lt;[3]关卡对接!$A$4,INDEX([3]关卡对接!$E$7:$E$141,A116),MATCH(E116,人物经验!$H$24:$H$573,1))</f>
        <v>164</v>
      </c>
      <c r="O116" s="12">
        <f>INDEX([2]关卡!$G$6:$G$2005,A116)</f>
        <v>3</v>
      </c>
      <c r="P116" s="13">
        <v>6</v>
      </c>
      <c r="Q116" s="12">
        <f>INT(P116/$S$15/O116*VLOOKUP(J116,[1]人物技能基础!$N$3:$O$553,2,0)*$U$15)</f>
        <v>9</v>
      </c>
      <c r="R116" s="12">
        <f t="shared" si="21"/>
        <v>112</v>
      </c>
    </row>
    <row r="117" spans="1:18" x14ac:dyDescent="0.15">
      <c r="A117" s="12">
        <v>99</v>
      </c>
      <c r="B117" s="12">
        <f t="shared" si="15"/>
        <v>1</v>
      </c>
      <c r="C117" s="12">
        <f t="shared" si="16"/>
        <v>0.31727692507499999</v>
      </c>
      <c r="D117" s="12">
        <f t="shared" si="17"/>
        <v>5.1695238750000261E-3</v>
      </c>
      <c r="E117" s="12">
        <f>SUM($D$19:D117)</f>
        <v>0.31727692507499999</v>
      </c>
      <c r="F117" s="12">
        <f t="shared" si="13"/>
        <v>6.4788316987999375</v>
      </c>
      <c r="G117" s="12">
        <f t="shared" si="14"/>
        <v>10.336300960130938</v>
      </c>
      <c r="H117" s="12">
        <f t="shared" si="18"/>
        <v>23300</v>
      </c>
      <c r="I117" s="12">
        <f t="shared" si="19"/>
        <v>37200</v>
      </c>
      <c r="J117" s="12">
        <f>IF(A117&lt;[3]关卡对接!$A$4,INDEX([3]关卡对接!$C$7:$C$141,A117),MATCH(E117,人物经验!$H$24:$H$573,1))</f>
        <v>164</v>
      </c>
      <c r="K117" s="12">
        <f>IF([3]关卡对接!F105="",INT(INDEX(人物经验!$J$24:$J$573,关卡!J117)*关卡!$S$7),[3]关卡对接!F105)</f>
        <v>572</v>
      </c>
      <c r="L117" s="12">
        <f t="shared" si="20"/>
        <v>1</v>
      </c>
      <c r="M117" s="12">
        <f>L117/[4]货币基础!$B$4</f>
        <v>100</v>
      </c>
      <c r="N117" s="12">
        <f>IF(A117&lt;[3]关卡对接!$A$4,INDEX([3]关卡对接!$E$7:$E$141,A117),MATCH(E117,人物经验!$H$24:$H$573,1))</f>
        <v>164</v>
      </c>
      <c r="O117" s="12">
        <f>INDEX([2]关卡!$G$6:$G$2005,A117)</f>
        <v>3</v>
      </c>
      <c r="P117" s="13">
        <v>6</v>
      </c>
      <c r="Q117" s="12">
        <f>INT(P117/$S$15/O117*VLOOKUP(J117,[1]人物技能基础!$N$3:$O$553,2,0)*$U$15)</f>
        <v>9</v>
      </c>
      <c r="R117" s="12">
        <f t="shared" si="21"/>
        <v>112</v>
      </c>
    </row>
    <row r="118" spans="1:18" x14ac:dyDescent="0.15">
      <c r="A118" s="12">
        <v>100</v>
      </c>
      <c r="B118" s="12">
        <f t="shared" si="15"/>
        <v>1</v>
      </c>
      <c r="C118" s="12">
        <f t="shared" si="16"/>
        <v>0.3224999999999999</v>
      </c>
      <c r="D118" s="12">
        <f t="shared" si="17"/>
        <v>5.2230749249999042E-3</v>
      </c>
      <c r="E118" s="12">
        <f>SUM($D$19:D118)</f>
        <v>0.3224999999999999</v>
      </c>
      <c r="F118" s="12">
        <f t="shared" si="13"/>
        <v>6.5399937500000016</v>
      </c>
      <c r="G118" s="12">
        <f t="shared" si="14"/>
        <v>10.394343750000001</v>
      </c>
      <c r="H118" s="12">
        <f t="shared" si="18"/>
        <v>23500</v>
      </c>
      <c r="I118" s="12">
        <f t="shared" si="19"/>
        <v>37400</v>
      </c>
      <c r="J118" s="12">
        <f>IF(A118&lt;[3]关卡对接!$A$4,INDEX([3]关卡对接!$C$7:$C$141,A118),MATCH(E118,人物经验!$H$24:$H$573,1))</f>
        <v>165</v>
      </c>
      <c r="K118" s="12">
        <f>IF([3]关卡对接!F106="",INT(INDEX(人物经验!$J$24:$J$573,关卡!J118)*关卡!$S$7),[3]关卡对接!F106)</f>
        <v>583</v>
      </c>
      <c r="L118" s="12">
        <f t="shared" si="20"/>
        <v>1</v>
      </c>
      <c r="M118" s="12">
        <f>L118/[4]货币基础!$B$4</f>
        <v>100</v>
      </c>
      <c r="N118" s="12">
        <f>IF(A118&lt;[3]关卡对接!$A$4,INDEX([3]关卡对接!$E$7:$E$141,A118),MATCH(E118,人物经验!$H$24:$H$573,1))</f>
        <v>165</v>
      </c>
      <c r="O118" s="12">
        <f>INDEX([2]关卡!$G$6:$G$2005,A118)</f>
        <v>3</v>
      </c>
      <c r="P118" s="13">
        <v>6</v>
      </c>
      <c r="Q118" s="12">
        <f>INT(P118/$S$15/O118*VLOOKUP(J118,[1]人物技能基础!$N$3:$O$553,2,0)*$U$15)</f>
        <v>9</v>
      </c>
      <c r="R118" s="12">
        <f t="shared" si="21"/>
        <v>112</v>
      </c>
    </row>
    <row r="119" spans="1:18" x14ac:dyDescent="0.15">
      <c r="A119" s="12">
        <v>101</v>
      </c>
      <c r="B119" s="12">
        <f t="shared" si="15"/>
        <v>1</v>
      </c>
      <c r="C119" s="12">
        <f t="shared" si="16"/>
        <v>0.32777707507499992</v>
      </c>
      <c r="D119" s="12">
        <f t="shared" si="17"/>
        <v>5.2770750750000261E-3</v>
      </c>
      <c r="E119" s="12">
        <f>SUM($D$19:D119)</f>
        <v>0.32777707507499992</v>
      </c>
      <c r="F119" s="12">
        <f t="shared" si="13"/>
        <v>6.6012812937499383</v>
      </c>
      <c r="G119" s="12">
        <f t="shared" si="14"/>
        <v>10.452473502380938</v>
      </c>
      <c r="H119" s="12">
        <f t="shared" si="18"/>
        <v>23700</v>
      </c>
      <c r="I119" s="12">
        <f t="shared" si="19"/>
        <v>37600</v>
      </c>
      <c r="J119" s="12">
        <f>IF(A119&lt;[3]关卡对接!$A$4,INDEX([3]关卡对接!$C$7:$C$141,A119),MATCH(E119,人物经验!$H$24:$H$573,1))</f>
        <v>166</v>
      </c>
      <c r="K119" s="12">
        <f>IF([3]关卡对接!F107="",INT(INDEX(人物经验!$J$24:$J$573,关卡!J119)*关卡!$S$7),[3]关卡对接!F107)</f>
        <v>588</v>
      </c>
      <c r="L119" s="12">
        <f t="shared" si="20"/>
        <v>1</v>
      </c>
      <c r="M119" s="12">
        <f>L119/[4]货币基础!$B$4</f>
        <v>100</v>
      </c>
      <c r="N119" s="12">
        <f>IF(A119&lt;[3]关卡对接!$A$4,INDEX([3]关卡对接!$E$7:$E$141,A119),MATCH(E119,人物经验!$H$24:$H$573,1))</f>
        <v>166</v>
      </c>
      <c r="O119" s="12">
        <f>INDEX([2]关卡!$G$6:$G$2005,A119)</f>
        <v>3</v>
      </c>
      <c r="P119" s="13">
        <v>6</v>
      </c>
      <c r="Q119" s="12">
        <f>INT(P119/$S$15/O119*VLOOKUP(J119,[1]人物技能基础!$N$3:$O$553,2,0)*$U$15)</f>
        <v>9</v>
      </c>
      <c r="R119" s="12">
        <f t="shared" si="21"/>
        <v>112</v>
      </c>
    </row>
    <row r="120" spans="1:18" x14ac:dyDescent="0.15">
      <c r="A120" s="12">
        <v>102</v>
      </c>
      <c r="B120" s="12">
        <f t="shared" si="15"/>
        <v>1</v>
      </c>
      <c r="C120" s="12">
        <f t="shared" si="16"/>
        <v>0.33310860119999997</v>
      </c>
      <c r="D120" s="12">
        <f t="shared" si="17"/>
        <v>5.3315261250000412E-3</v>
      </c>
      <c r="E120" s="12">
        <f>SUM($D$19:D120)</f>
        <v>0.33310860119999997</v>
      </c>
      <c r="F120" s="12">
        <f t="shared" si="13"/>
        <v>6.6626946151990003</v>
      </c>
      <c r="G120" s="12">
        <f t="shared" si="14"/>
        <v>10.510690344095002</v>
      </c>
      <c r="H120" s="12">
        <f t="shared" si="18"/>
        <v>23900</v>
      </c>
      <c r="I120" s="12">
        <f t="shared" si="19"/>
        <v>37800</v>
      </c>
      <c r="J120" s="12">
        <f>IF(A120&lt;[3]关卡对接!$A$4,INDEX([3]关卡对接!$C$7:$C$141,A120),MATCH(E120,人物经验!$H$24:$H$573,1))</f>
        <v>166</v>
      </c>
      <c r="K120" s="12">
        <f>IF([3]关卡对接!F108="",INT(INDEX(人物经验!$J$24:$J$573,关卡!J120)*关卡!$S$7),[3]关卡对接!F108)</f>
        <v>588</v>
      </c>
      <c r="L120" s="12">
        <f t="shared" si="20"/>
        <v>1</v>
      </c>
      <c r="M120" s="12">
        <f>L120/[4]货币基础!$B$4</f>
        <v>100</v>
      </c>
      <c r="N120" s="12">
        <f>IF(A120&lt;[3]关卡对接!$A$4,INDEX([3]关卡对接!$E$7:$E$141,A120),MATCH(E120,人物经验!$H$24:$H$573,1))</f>
        <v>166</v>
      </c>
      <c r="O120" s="12">
        <f>INDEX([2]关卡!$G$6:$G$2005,A120)</f>
        <v>3</v>
      </c>
      <c r="P120" s="13">
        <v>6</v>
      </c>
      <c r="Q120" s="12">
        <f>INT(P120/$S$15/O120*VLOOKUP(J120,[1]人物技能基础!$N$3:$O$553,2,0)*$U$15)</f>
        <v>9</v>
      </c>
      <c r="R120" s="12">
        <f t="shared" si="21"/>
        <v>112</v>
      </c>
    </row>
    <row r="121" spans="1:18" x14ac:dyDescent="0.15">
      <c r="A121" s="12">
        <v>103</v>
      </c>
      <c r="B121" s="12">
        <f t="shared" si="15"/>
        <v>1</v>
      </c>
      <c r="C121" s="12">
        <f t="shared" si="16"/>
        <v>0.33849503107499995</v>
      </c>
      <c r="D121" s="12">
        <f t="shared" si="17"/>
        <v>5.3864298749999873E-3</v>
      </c>
      <c r="E121" s="12">
        <f>SUM($D$19:D121)</f>
        <v>0.33849503107499995</v>
      </c>
      <c r="F121" s="12">
        <f t="shared" si="13"/>
        <v>6.7242340000949383</v>
      </c>
      <c r="G121" s="12">
        <f t="shared" si="14"/>
        <v>10.568994402105936</v>
      </c>
      <c r="H121" s="12">
        <f t="shared" si="18"/>
        <v>24200</v>
      </c>
      <c r="I121" s="12">
        <f t="shared" si="19"/>
        <v>38000</v>
      </c>
      <c r="J121" s="12">
        <f>IF(A121&lt;[3]关卡对接!$A$4,INDEX([3]关卡对接!$C$7:$C$141,A121),MATCH(E121,人物经验!$H$24:$H$573,1))</f>
        <v>167</v>
      </c>
      <c r="K121" s="12">
        <f>IF([3]关卡对接!F109="",INT(INDEX(人物经验!$J$24:$J$573,关卡!J121)*关卡!$S$7),[3]关卡对接!F109)</f>
        <v>599</v>
      </c>
      <c r="L121" s="12">
        <f t="shared" si="20"/>
        <v>1</v>
      </c>
      <c r="M121" s="12">
        <f>L121/[4]货币基础!$B$4</f>
        <v>100</v>
      </c>
      <c r="N121" s="12">
        <f>IF(A121&lt;[3]关卡对接!$A$4,INDEX([3]关卡对接!$E$7:$E$141,A121),MATCH(E121,人物经验!$H$24:$H$573,1))</f>
        <v>167</v>
      </c>
      <c r="O121" s="12">
        <f>INDEX([2]关卡!$G$6:$G$2005,A121)</f>
        <v>3</v>
      </c>
      <c r="P121" s="13">
        <v>6</v>
      </c>
      <c r="Q121" s="12">
        <f>INT(P121/$S$15/O121*VLOOKUP(J121,[1]人物技能基础!$N$3:$O$553,2,0)*$U$15)</f>
        <v>9</v>
      </c>
      <c r="R121" s="12">
        <f t="shared" si="21"/>
        <v>112</v>
      </c>
    </row>
    <row r="122" spans="1:18" x14ac:dyDescent="0.15">
      <c r="A122" s="12">
        <v>104</v>
      </c>
      <c r="B122" s="12">
        <f t="shared" si="15"/>
        <v>1</v>
      </c>
      <c r="C122" s="12">
        <f t="shared" si="16"/>
        <v>0.34393681920000002</v>
      </c>
      <c r="D122" s="12">
        <f t="shared" si="17"/>
        <v>5.4417881250000688E-3</v>
      </c>
      <c r="E122" s="12">
        <f>SUM($D$19:D122)</f>
        <v>0.34393681920000002</v>
      </c>
      <c r="F122" s="12">
        <f t="shared" si="13"/>
        <v>6.7858997347839995</v>
      </c>
      <c r="G122" s="12">
        <f t="shared" si="14"/>
        <v>10.627385803520001</v>
      </c>
      <c r="H122" s="12">
        <f t="shared" si="18"/>
        <v>24400</v>
      </c>
      <c r="I122" s="12">
        <f t="shared" si="19"/>
        <v>38200</v>
      </c>
      <c r="J122" s="12">
        <f>IF(A122&lt;[3]关卡对接!$A$4,INDEX([3]关卡对接!$C$7:$C$141,A122),MATCH(E122,人物经验!$H$24:$H$573,1))</f>
        <v>168</v>
      </c>
      <c r="K122" s="12">
        <f>IF([3]关卡对接!F110="",INT(INDEX(人物经验!$J$24:$J$573,关卡!J122)*关卡!$S$7),[3]关卡对接!F110)</f>
        <v>605</v>
      </c>
      <c r="L122" s="12">
        <f t="shared" si="20"/>
        <v>1</v>
      </c>
      <c r="M122" s="12">
        <f>L122/[4]货币基础!$B$4</f>
        <v>100</v>
      </c>
      <c r="N122" s="12">
        <f>IF(A122&lt;[3]关卡对接!$A$4,INDEX([3]关卡对接!$E$7:$E$141,A122),MATCH(E122,人物经验!$H$24:$H$573,1))</f>
        <v>168</v>
      </c>
      <c r="O122" s="12">
        <f>INDEX([2]关卡!$G$6:$G$2005,A122)</f>
        <v>3</v>
      </c>
      <c r="P122" s="13">
        <v>6</v>
      </c>
      <c r="Q122" s="12">
        <f>INT(P122/$S$15/O122*VLOOKUP(J122,[1]人物技能基础!$N$3:$O$553,2,0)*$U$15)</f>
        <v>9</v>
      </c>
      <c r="R122" s="12">
        <f t="shared" si="21"/>
        <v>112</v>
      </c>
    </row>
    <row r="123" spans="1:18" x14ac:dyDescent="0.15">
      <c r="A123" s="12">
        <v>105</v>
      </c>
      <c r="B123" s="12">
        <f t="shared" si="15"/>
        <v>1</v>
      </c>
      <c r="C123" s="12">
        <f t="shared" si="16"/>
        <v>0.34943442187500001</v>
      </c>
      <c r="D123" s="12">
        <f t="shared" si="17"/>
        <v>5.4976026749999907E-3</v>
      </c>
      <c r="E123" s="12">
        <f>SUM($D$19:D123)</f>
        <v>0.34943442187500001</v>
      </c>
      <c r="F123" s="12">
        <f t="shared" si="13"/>
        <v>6.8476921062109373</v>
      </c>
      <c r="G123" s="12">
        <f t="shared" si="14"/>
        <v>10.685864675585938</v>
      </c>
      <c r="H123" s="12">
        <f t="shared" si="18"/>
        <v>24600</v>
      </c>
      <c r="I123" s="12">
        <f t="shared" si="19"/>
        <v>38400</v>
      </c>
      <c r="J123" s="12">
        <f>IF(A123&lt;[3]关卡对接!$A$4,INDEX([3]关卡对接!$C$7:$C$141,A123),MATCH(E123,人物经验!$H$24:$H$573,1))</f>
        <v>168</v>
      </c>
      <c r="K123" s="12">
        <f>IF([3]关卡对接!F111="",INT(INDEX(人物经验!$J$24:$J$573,关卡!J123)*关卡!$S$7),[3]关卡对接!F111)</f>
        <v>605</v>
      </c>
      <c r="L123" s="12">
        <f t="shared" si="20"/>
        <v>1</v>
      </c>
      <c r="M123" s="12">
        <f>L123/[4]货币基础!$B$4</f>
        <v>100</v>
      </c>
      <c r="N123" s="12">
        <f>IF(A123&lt;[3]关卡对接!$A$4,INDEX([3]关卡对接!$E$7:$E$141,A123),MATCH(E123,人物经验!$H$24:$H$573,1))</f>
        <v>168</v>
      </c>
      <c r="O123" s="12">
        <f>INDEX([2]关卡!$G$6:$G$2005,A123)</f>
        <v>3</v>
      </c>
      <c r="P123" s="13">
        <v>6</v>
      </c>
      <c r="Q123" s="12">
        <f>INT(P123/$S$15/O123*VLOOKUP(J123,[1]人物技能基础!$N$3:$O$553,2,0)*$U$15)</f>
        <v>9</v>
      </c>
      <c r="R123" s="12">
        <f t="shared" si="21"/>
        <v>112</v>
      </c>
    </row>
    <row r="124" spans="1:18" x14ac:dyDescent="0.15">
      <c r="A124" s="12">
        <v>106</v>
      </c>
      <c r="B124" s="12">
        <f t="shared" si="15"/>
        <v>1</v>
      </c>
      <c r="C124" s="12">
        <f t="shared" si="16"/>
        <v>0.35498829720000008</v>
      </c>
      <c r="D124" s="12">
        <f t="shared" si="17"/>
        <v>5.5538753250000683E-3</v>
      </c>
      <c r="E124" s="12">
        <f>SUM($D$19:D124)</f>
        <v>0.35498829720000008</v>
      </c>
      <c r="F124" s="12">
        <f t="shared" si="13"/>
        <v>6.9096114019190003</v>
      </c>
      <c r="G124" s="12">
        <f t="shared" si="14"/>
        <v>10.744431145695</v>
      </c>
      <c r="H124" s="12">
        <f t="shared" si="18"/>
        <v>24800</v>
      </c>
      <c r="I124" s="12">
        <f t="shared" si="19"/>
        <v>38600</v>
      </c>
      <c r="J124" s="12">
        <f>IF(A124&lt;[3]关卡对接!$A$4,INDEX([3]关卡对接!$C$7:$C$141,A124),MATCH(E124,人物经验!$H$24:$H$573,1))</f>
        <v>169</v>
      </c>
      <c r="K124" s="12">
        <f>IF([3]关卡对接!F112="",INT(INDEX(人物经验!$J$24:$J$573,关卡!J124)*关卡!$S$7),[3]关卡对接!F112)</f>
        <v>616</v>
      </c>
      <c r="L124" s="12">
        <f t="shared" si="20"/>
        <v>1</v>
      </c>
      <c r="M124" s="12">
        <f>L124/[4]货币基础!$B$4</f>
        <v>100</v>
      </c>
      <c r="N124" s="12">
        <f>IF(A124&lt;[3]关卡对接!$A$4,INDEX([3]关卡对接!$E$7:$E$141,A124),MATCH(E124,人物经验!$H$24:$H$573,1))</f>
        <v>169</v>
      </c>
      <c r="O124" s="12">
        <f>INDEX([2]关卡!$G$6:$G$2005,A124)</f>
        <v>3</v>
      </c>
      <c r="P124" s="13">
        <v>6</v>
      </c>
      <c r="Q124" s="12">
        <f>INT(P124/$S$15/O124*VLOOKUP(J124,[1]人物技能基础!$N$3:$O$553,2,0)*$U$15)</f>
        <v>9</v>
      </c>
      <c r="R124" s="12">
        <f t="shared" si="21"/>
        <v>112</v>
      </c>
    </row>
    <row r="125" spans="1:18" x14ac:dyDescent="0.15">
      <c r="A125" s="12">
        <v>107</v>
      </c>
      <c r="B125" s="12">
        <f t="shared" si="15"/>
        <v>1</v>
      </c>
      <c r="C125" s="12">
        <f t="shared" si="16"/>
        <v>0.36059890507499998</v>
      </c>
      <c r="D125" s="12">
        <f t="shared" si="17"/>
        <v>5.6106078749998956E-3</v>
      </c>
      <c r="E125" s="12">
        <f>SUM($D$19:D125)</f>
        <v>0.36059890507499998</v>
      </c>
      <c r="F125" s="12">
        <f t="shared" si="13"/>
        <v>6.9716579100499372</v>
      </c>
      <c r="G125" s="12">
        <f t="shared" si="14"/>
        <v>10.803085341380939</v>
      </c>
      <c r="H125" s="12">
        <f t="shared" si="18"/>
        <v>25000</v>
      </c>
      <c r="I125" s="12">
        <f t="shared" si="19"/>
        <v>38800</v>
      </c>
      <c r="J125" s="12">
        <f>IF(A125&lt;[3]关卡对接!$A$4,INDEX([3]关卡对接!$C$7:$C$141,A125),MATCH(E125,人物经验!$H$24:$H$573,1))</f>
        <v>170</v>
      </c>
      <c r="K125" s="12">
        <f>IF([3]关卡对接!F113="",INT(INDEX(人物经验!$J$24:$J$573,关卡!J125)*关卡!$S$7),[3]关卡对接!F113)</f>
        <v>621</v>
      </c>
      <c r="L125" s="12">
        <f t="shared" si="20"/>
        <v>1</v>
      </c>
      <c r="M125" s="12">
        <f>L125/[4]货币基础!$B$4</f>
        <v>100</v>
      </c>
      <c r="N125" s="12">
        <f>IF(A125&lt;[3]关卡对接!$A$4,INDEX([3]关卡对接!$E$7:$E$141,A125),MATCH(E125,人物经验!$H$24:$H$573,1))</f>
        <v>170</v>
      </c>
      <c r="O125" s="12">
        <f>INDEX([2]关卡!$G$6:$G$2005,A125)</f>
        <v>3</v>
      </c>
      <c r="P125" s="13">
        <v>6</v>
      </c>
      <c r="Q125" s="12">
        <f>INT(P125/$S$15/O125*VLOOKUP(J125,[1]人物技能基础!$N$3:$O$553,2,0)*$U$15)</f>
        <v>9</v>
      </c>
      <c r="R125" s="12">
        <f t="shared" si="21"/>
        <v>112</v>
      </c>
    </row>
    <row r="126" spans="1:18" x14ac:dyDescent="0.15">
      <c r="A126" s="12">
        <v>108</v>
      </c>
      <c r="B126" s="12">
        <f t="shared" si="15"/>
        <v>1</v>
      </c>
      <c r="C126" s="12">
        <f t="shared" si="16"/>
        <v>0.36626670720000004</v>
      </c>
      <c r="D126" s="12">
        <f t="shared" si="17"/>
        <v>5.6678021250000654E-3</v>
      </c>
      <c r="E126" s="12">
        <f>SUM($D$19:D126)</f>
        <v>0.36626670720000004</v>
      </c>
      <c r="F126" s="12">
        <f t="shared" si="13"/>
        <v>7.0338319193440002</v>
      </c>
      <c r="G126" s="12">
        <f t="shared" si="14"/>
        <v>10.86182739032</v>
      </c>
      <c r="H126" s="12">
        <f t="shared" si="18"/>
        <v>25300</v>
      </c>
      <c r="I126" s="12">
        <f t="shared" si="19"/>
        <v>39100</v>
      </c>
      <c r="J126" s="12">
        <f>IF(A126&lt;[3]关卡对接!$A$4,INDEX([3]关卡对接!$C$7:$C$141,A126),MATCH(E126,人物经验!$H$24:$H$573,1))</f>
        <v>170</v>
      </c>
      <c r="K126" s="12">
        <f>IF([3]关卡对接!F114="",INT(INDEX(人物经验!$J$24:$J$573,关卡!J126)*关卡!$S$7),[3]关卡对接!F114)</f>
        <v>621</v>
      </c>
      <c r="L126" s="12">
        <f t="shared" si="20"/>
        <v>1</v>
      </c>
      <c r="M126" s="12">
        <f>L126/[4]货币基础!$B$4</f>
        <v>100</v>
      </c>
      <c r="N126" s="12">
        <f>IF(A126&lt;[3]关卡对接!$A$4,INDEX([3]关卡对接!$E$7:$E$141,A126),MATCH(E126,人物经验!$H$24:$H$573,1))</f>
        <v>170</v>
      </c>
      <c r="O126" s="12">
        <f>INDEX([2]关卡!$G$6:$G$2005,A126)</f>
        <v>3</v>
      </c>
      <c r="P126" s="13">
        <v>6</v>
      </c>
      <c r="Q126" s="12">
        <f>INT(P126/$S$15/O126*VLOOKUP(J126,[1]人物技能基础!$N$3:$O$553,2,0)*$U$15)</f>
        <v>9</v>
      </c>
      <c r="R126" s="12">
        <f t="shared" si="21"/>
        <v>112</v>
      </c>
    </row>
    <row r="127" spans="1:18" x14ac:dyDescent="0.15">
      <c r="A127" s="12">
        <v>109</v>
      </c>
      <c r="B127" s="12">
        <f t="shared" si="15"/>
        <v>1</v>
      </c>
      <c r="C127" s="12">
        <f t="shared" si="16"/>
        <v>0.37199216707499999</v>
      </c>
      <c r="D127" s="12">
        <f t="shared" si="17"/>
        <v>5.7254598749999497E-3</v>
      </c>
      <c r="E127" s="12">
        <f>SUM($D$19:D127)</f>
        <v>0.37199216707499999</v>
      </c>
      <c r="F127" s="12">
        <f t="shared" si="13"/>
        <v>7.096133719139937</v>
      </c>
      <c r="G127" s="12">
        <f t="shared" si="14"/>
        <v>10.920657420330938</v>
      </c>
      <c r="H127" s="12">
        <f t="shared" si="18"/>
        <v>25500</v>
      </c>
      <c r="I127" s="12">
        <f t="shared" si="19"/>
        <v>39300</v>
      </c>
      <c r="J127" s="12">
        <f>IF(A127&lt;[3]关卡对接!$A$4,INDEX([3]关卡对接!$C$7:$C$141,A127),MATCH(E127,人物经验!$H$24:$H$573,1))</f>
        <v>171</v>
      </c>
      <c r="K127" s="12">
        <f>IF([3]关卡对接!F115="",INT(INDEX(人物经验!$J$24:$J$573,关卡!J127)*关卡!$S$7),[3]关卡对接!F115)</f>
        <v>633</v>
      </c>
      <c r="L127" s="12">
        <f t="shared" si="20"/>
        <v>1</v>
      </c>
      <c r="M127" s="12">
        <f>L127/[4]货币基础!$B$4</f>
        <v>100</v>
      </c>
      <c r="N127" s="12">
        <f>IF(A127&lt;[3]关卡对接!$A$4,INDEX([3]关卡对接!$E$7:$E$141,A127),MATCH(E127,人物经验!$H$24:$H$573,1))</f>
        <v>171</v>
      </c>
      <c r="O127" s="12">
        <f>INDEX([2]关卡!$G$6:$G$2005,A127)</f>
        <v>3</v>
      </c>
      <c r="P127" s="13">
        <v>6</v>
      </c>
      <c r="Q127" s="12">
        <f>INT(P127/$S$15/O127*VLOOKUP(J127,[1]人物技能基础!$N$3:$O$553,2,0)*$U$15)</f>
        <v>9</v>
      </c>
      <c r="R127" s="12">
        <f t="shared" si="21"/>
        <v>112</v>
      </c>
    </row>
    <row r="128" spans="1:18" x14ac:dyDescent="0.15">
      <c r="A128" s="12">
        <v>110</v>
      </c>
      <c r="B128" s="12">
        <f t="shared" si="15"/>
        <v>1</v>
      </c>
      <c r="C128" s="12">
        <f t="shared" si="16"/>
        <v>0.37777575000000008</v>
      </c>
      <c r="D128" s="12">
        <f t="shared" si="17"/>
        <v>5.7835829250000859E-3</v>
      </c>
      <c r="E128" s="12">
        <f>SUM($D$19:D128)</f>
        <v>0.37777575000000008</v>
      </c>
      <c r="F128" s="12">
        <f t="shared" si="13"/>
        <v>7.1585635993750003</v>
      </c>
      <c r="G128" s="12">
        <f t="shared" si="14"/>
        <v>10.979575559375</v>
      </c>
      <c r="H128" s="12">
        <f t="shared" si="18"/>
        <v>25700</v>
      </c>
      <c r="I128" s="12">
        <f t="shared" si="19"/>
        <v>39500</v>
      </c>
      <c r="J128" s="12">
        <f>IF(A128&lt;[3]关卡对接!$A$4,INDEX([3]关卡对接!$C$7:$C$141,A128),MATCH(E128,人物经验!$H$24:$H$573,1))</f>
        <v>172</v>
      </c>
      <c r="K128" s="12">
        <f>IF([3]关卡对接!F116="",INT(INDEX(人物经验!$J$24:$J$573,关卡!J128)*关卡!$S$7),[3]关卡对接!F116)</f>
        <v>638</v>
      </c>
      <c r="L128" s="12">
        <f t="shared" si="20"/>
        <v>1</v>
      </c>
      <c r="M128" s="12">
        <f>L128/[4]货币基础!$B$4</f>
        <v>100</v>
      </c>
      <c r="N128" s="12">
        <f>IF(A128&lt;[3]关卡对接!$A$4,INDEX([3]关卡对接!$E$7:$E$141,A128),MATCH(E128,人物经验!$H$24:$H$573,1))</f>
        <v>172</v>
      </c>
      <c r="O128" s="12">
        <f>INDEX([2]关卡!$G$6:$G$2005,A128)</f>
        <v>3</v>
      </c>
      <c r="P128" s="13">
        <v>6</v>
      </c>
      <c r="Q128" s="12">
        <f>INT(P128/$S$15/O128*VLOOKUP(J128,[1]人物技能基础!$N$3:$O$553,2,0)*$U$15)</f>
        <v>9</v>
      </c>
      <c r="R128" s="12">
        <f t="shared" si="21"/>
        <v>112</v>
      </c>
    </row>
    <row r="129" spans="1:18" x14ac:dyDescent="0.15">
      <c r="A129" s="12">
        <v>111</v>
      </c>
      <c r="B129" s="12">
        <f t="shared" si="15"/>
        <v>1</v>
      </c>
      <c r="C129" s="12">
        <f t="shared" si="16"/>
        <v>0.38361792307500003</v>
      </c>
      <c r="D129" s="12">
        <f t="shared" si="17"/>
        <v>5.8421730749999568E-3</v>
      </c>
      <c r="E129" s="12">
        <f>SUM($D$19:D129)</f>
        <v>0.38361792307500003</v>
      </c>
      <c r="F129" s="12">
        <f t="shared" si="13"/>
        <v>7.2211218505849368</v>
      </c>
      <c r="G129" s="12">
        <f t="shared" si="14"/>
        <v>11.038581935555939</v>
      </c>
      <c r="H129" s="12">
        <f t="shared" si="18"/>
        <v>25900</v>
      </c>
      <c r="I129" s="12">
        <f t="shared" si="19"/>
        <v>39700</v>
      </c>
      <c r="J129" s="12">
        <f>IF(A129&lt;[3]关卡对接!$A$4,INDEX([3]关卡对接!$C$7:$C$141,A129),MATCH(E129,人物经验!$H$24:$H$573,1))</f>
        <v>172</v>
      </c>
      <c r="K129" s="12">
        <f>IF([3]关卡对接!F117="",INT(INDEX(人物经验!$J$24:$J$573,关卡!J129)*关卡!$S$7),[3]关卡对接!F117)</f>
        <v>638</v>
      </c>
      <c r="L129" s="12">
        <f t="shared" si="20"/>
        <v>1</v>
      </c>
      <c r="M129" s="12">
        <f>L129/[4]货币基础!$B$4</f>
        <v>100</v>
      </c>
      <c r="N129" s="12">
        <f>IF(A129&lt;[3]关卡对接!$A$4,INDEX([3]关卡对接!$E$7:$E$141,A129),MATCH(E129,人物经验!$H$24:$H$573,1))</f>
        <v>172</v>
      </c>
      <c r="O129" s="12">
        <f>INDEX([2]关卡!$G$6:$G$2005,A129)</f>
        <v>3</v>
      </c>
      <c r="P129" s="13">
        <v>6</v>
      </c>
      <c r="Q129" s="12">
        <f>INT(P129/$S$15/O129*VLOOKUP(J129,[1]人物技能基础!$N$3:$O$553,2,0)*$U$15)</f>
        <v>9</v>
      </c>
      <c r="R129" s="12">
        <f t="shared" si="21"/>
        <v>112</v>
      </c>
    </row>
    <row r="130" spans="1:18" x14ac:dyDescent="0.15">
      <c r="A130" s="12">
        <v>112</v>
      </c>
      <c r="B130" s="12">
        <f t="shared" si="15"/>
        <v>1</v>
      </c>
      <c r="C130" s="12">
        <f t="shared" si="16"/>
        <v>0.38951915520000008</v>
      </c>
      <c r="D130" s="12">
        <f t="shared" si="17"/>
        <v>5.9012321250000443E-3</v>
      </c>
      <c r="E130" s="12">
        <f>SUM($D$19:D130)</f>
        <v>0.38951915520000008</v>
      </c>
      <c r="F130" s="12">
        <f t="shared" si="13"/>
        <v>7.2838087639040019</v>
      </c>
      <c r="G130" s="12">
        <f t="shared" si="14"/>
        <v>11.097676677120001</v>
      </c>
      <c r="H130" s="12">
        <f t="shared" si="18"/>
        <v>26200</v>
      </c>
      <c r="I130" s="12">
        <f t="shared" si="19"/>
        <v>39900</v>
      </c>
      <c r="J130" s="12">
        <f>IF(A130&lt;[3]关卡对接!$A$4,INDEX([3]关卡对接!$C$7:$C$141,A130),MATCH(E130,人物经验!$H$24:$H$573,1))</f>
        <v>173</v>
      </c>
      <c r="K130" s="12">
        <f>IF([3]关卡对接!F118="",INT(INDEX(人物经验!$J$24:$J$573,关卡!J130)*关卡!$S$7),[3]关卡对接!F118)</f>
        <v>649</v>
      </c>
      <c r="L130" s="12">
        <f t="shared" si="20"/>
        <v>1</v>
      </c>
      <c r="M130" s="12">
        <f>L130/[4]货币基础!$B$4</f>
        <v>100</v>
      </c>
      <c r="N130" s="12">
        <f>IF(A130&lt;[3]关卡对接!$A$4,INDEX([3]关卡对接!$E$7:$E$141,A130),MATCH(E130,人物经验!$H$24:$H$573,1))</f>
        <v>173</v>
      </c>
      <c r="O130" s="12">
        <f>INDEX([2]关卡!$G$6:$G$2005,A130)</f>
        <v>3</v>
      </c>
      <c r="P130" s="13">
        <v>6</v>
      </c>
      <c r="Q130" s="12">
        <f>INT(P130/$S$15/O130*VLOOKUP(J130,[1]人物技能基础!$N$3:$O$553,2,0)*$U$15)</f>
        <v>9</v>
      </c>
      <c r="R130" s="12">
        <f t="shared" si="21"/>
        <v>112</v>
      </c>
    </row>
    <row r="131" spans="1:18" x14ac:dyDescent="0.15">
      <c r="A131" s="12">
        <v>113</v>
      </c>
      <c r="B131" s="12">
        <f t="shared" si="15"/>
        <v>1</v>
      </c>
      <c r="C131" s="12">
        <f t="shared" si="16"/>
        <v>0.39547991707500002</v>
      </c>
      <c r="D131" s="12">
        <f t="shared" si="17"/>
        <v>5.9607618749999425E-3</v>
      </c>
      <c r="E131" s="12">
        <f>SUM($D$19:D131)</f>
        <v>0.39547991707500002</v>
      </c>
      <c r="F131" s="12">
        <f t="shared" si="13"/>
        <v>7.3466246310649375</v>
      </c>
      <c r="G131" s="12">
        <f t="shared" si="14"/>
        <v>11.156859912455939</v>
      </c>
      <c r="H131" s="12">
        <f t="shared" si="18"/>
        <v>26400</v>
      </c>
      <c r="I131" s="12">
        <f t="shared" si="19"/>
        <v>40100</v>
      </c>
      <c r="J131" s="12">
        <f>IF(A131&lt;[3]关卡对接!$A$4,INDEX([3]关卡对接!$C$7:$C$141,A131),MATCH(E131,人物经验!$H$24:$H$573,1))</f>
        <v>174</v>
      </c>
      <c r="K131" s="12">
        <f>IF([3]关卡对接!F119="",INT(INDEX(人物经验!$J$24:$J$573,关卡!J131)*关卡!$S$7),[3]关卡对接!F119)</f>
        <v>655</v>
      </c>
      <c r="L131" s="12">
        <f t="shared" si="20"/>
        <v>1</v>
      </c>
      <c r="M131" s="12">
        <f>L131/[4]货币基础!$B$4</f>
        <v>100</v>
      </c>
      <c r="N131" s="12">
        <f>IF(A131&lt;[3]关卡对接!$A$4,INDEX([3]关卡对接!$E$7:$E$141,A131),MATCH(E131,人物经验!$H$24:$H$573,1))</f>
        <v>174</v>
      </c>
      <c r="O131" s="12">
        <f>INDEX([2]关卡!$G$6:$G$2005,A131)</f>
        <v>3</v>
      </c>
      <c r="P131" s="13">
        <v>6</v>
      </c>
      <c r="Q131" s="12">
        <f>INT(P131/$S$15/O131*VLOOKUP(J131,[1]人物技能基础!$N$3:$O$553,2,0)*$U$15)</f>
        <v>9</v>
      </c>
      <c r="R131" s="12">
        <f t="shared" si="21"/>
        <v>112</v>
      </c>
    </row>
    <row r="132" spans="1:18" x14ac:dyDescent="0.15">
      <c r="A132" s="12">
        <v>114</v>
      </c>
      <c r="B132" s="12">
        <f t="shared" si="15"/>
        <v>1</v>
      </c>
      <c r="C132" s="12">
        <f t="shared" si="16"/>
        <v>0.40150068119999993</v>
      </c>
      <c r="D132" s="12">
        <f t="shared" si="17"/>
        <v>6.0207641249999111E-3</v>
      </c>
      <c r="E132" s="12">
        <f>SUM($D$19:D132)</f>
        <v>0.40150068119999993</v>
      </c>
      <c r="F132" s="12">
        <f t="shared" si="13"/>
        <v>7.4095697443990005</v>
      </c>
      <c r="G132" s="12">
        <f t="shared" si="14"/>
        <v>11.216131770095</v>
      </c>
      <c r="H132" s="12">
        <f t="shared" si="18"/>
        <v>26600</v>
      </c>
      <c r="I132" s="12">
        <f t="shared" si="19"/>
        <v>40300</v>
      </c>
      <c r="J132" s="12">
        <f>IF(A132&lt;[3]关卡对接!$A$4,INDEX([3]关卡对接!$C$7:$C$141,A132),MATCH(E132,人物经验!$H$24:$H$573,1))</f>
        <v>174</v>
      </c>
      <c r="K132" s="12">
        <f>IF([3]关卡对接!F120="",INT(INDEX(人物经验!$J$24:$J$573,关卡!J132)*关卡!$S$7),[3]关卡对接!F120)</f>
        <v>655</v>
      </c>
      <c r="L132" s="12">
        <f t="shared" si="20"/>
        <v>1</v>
      </c>
      <c r="M132" s="12">
        <f>L132/[4]货币基础!$B$4</f>
        <v>100</v>
      </c>
      <c r="N132" s="12">
        <f>IF(A132&lt;[3]关卡对接!$A$4,INDEX([3]关卡对接!$E$7:$E$141,A132),MATCH(E132,人物经验!$H$24:$H$573,1))</f>
        <v>174</v>
      </c>
      <c r="O132" s="12">
        <f>INDEX([2]关卡!$G$6:$G$2005,A132)</f>
        <v>3</v>
      </c>
      <c r="P132" s="13">
        <v>6</v>
      </c>
      <c r="Q132" s="12">
        <f>INT(P132/$S$15/O132*VLOOKUP(J132,[1]人物技能基础!$N$3:$O$553,2,0)*$U$15)</f>
        <v>9</v>
      </c>
      <c r="R132" s="12">
        <f t="shared" si="21"/>
        <v>112</v>
      </c>
    </row>
    <row r="133" spans="1:18" x14ac:dyDescent="0.15">
      <c r="A133" s="12">
        <v>115</v>
      </c>
      <c r="B133" s="12">
        <f t="shared" si="15"/>
        <v>1</v>
      </c>
      <c r="C133" s="12">
        <f t="shared" si="16"/>
        <v>0.40758192187499992</v>
      </c>
      <c r="D133" s="12">
        <f t="shared" si="17"/>
        <v>6.0812406749999881E-3</v>
      </c>
      <c r="E133" s="12">
        <f>SUM($D$19:D133)</f>
        <v>0.40758192187499992</v>
      </c>
      <c r="F133" s="12">
        <f t="shared" si="13"/>
        <v>7.4726443968359391</v>
      </c>
      <c r="G133" s="12">
        <f t="shared" si="14"/>
        <v>11.275492378710938</v>
      </c>
      <c r="H133" s="12">
        <f t="shared" si="18"/>
        <v>26900</v>
      </c>
      <c r="I133" s="12">
        <f t="shared" si="19"/>
        <v>40500</v>
      </c>
      <c r="J133" s="12">
        <f>IF(A133&lt;[3]关卡对接!$A$4,INDEX([3]关卡对接!$C$7:$C$141,A133),MATCH(E133,人物经验!$H$24:$H$573,1))</f>
        <v>175</v>
      </c>
      <c r="K133" s="12">
        <f>IF([3]关卡对接!F121="",INT(INDEX(人物经验!$J$24:$J$573,关卡!J133)*关卡!$S$7),[3]关卡对接!F121)</f>
        <v>666</v>
      </c>
      <c r="L133" s="12">
        <f t="shared" si="20"/>
        <v>1</v>
      </c>
      <c r="M133" s="12">
        <f>L133/[4]货币基础!$B$4</f>
        <v>100</v>
      </c>
      <c r="N133" s="12">
        <f>IF(A133&lt;[3]关卡对接!$A$4,INDEX([3]关卡对接!$E$7:$E$141,A133),MATCH(E133,人物经验!$H$24:$H$573,1))</f>
        <v>175</v>
      </c>
      <c r="O133" s="12">
        <f>INDEX([2]关卡!$G$6:$G$2005,A133)</f>
        <v>3</v>
      </c>
      <c r="P133" s="13">
        <v>6</v>
      </c>
      <c r="Q133" s="12">
        <f>INT(P133/$S$15/O133*VLOOKUP(J133,[1]人物技能基础!$N$3:$O$553,2,0)*$U$15)</f>
        <v>9</v>
      </c>
      <c r="R133" s="12">
        <f t="shared" si="21"/>
        <v>112</v>
      </c>
    </row>
    <row r="134" spans="1:18" x14ac:dyDescent="0.15">
      <c r="A134" s="12">
        <v>116</v>
      </c>
      <c r="B134" s="12">
        <f t="shared" si="15"/>
        <v>1</v>
      </c>
      <c r="C134" s="12">
        <f t="shared" si="16"/>
        <v>0.41372411520000002</v>
      </c>
      <c r="D134" s="12">
        <f t="shared" si="17"/>
        <v>6.1421933250001004E-3</v>
      </c>
      <c r="E134" s="12">
        <f>SUM($D$19:D134)</f>
        <v>0.41372411520000002</v>
      </c>
      <c r="F134" s="12">
        <f t="shared" si="13"/>
        <v>7.535848881904001</v>
      </c>
      <c r="G134" s="12">
        <f t="shared" si="14"/>
        <v>11.334941867120001</v>
      </c>
      <c r="H134" s="12">
        <f t="shared" si="18"/>
        <v>27100</v>
      </c>
      <c r="I134" s="12">
        <f t="shared" si="19"/>
        <v>40800</v>
      </c>
      <c r="J134" s="12">
        <f>IF(A134&lt;[3]关卡对接!$A$4,INDEX([3]关卡对接!$C$7:$C$141,A134),MATCH(E134,人物经验!$H$24:$H$573,1))</f>
        <v>176</v>
      </c>
      <c r="K134" s="12">
        <f>IF([3]关卡对接!F122="",INT(INDEX(人物经验!$J$24:$J$573,关卡!J134)*关卡!$S$7),[3]关卡对接!F122)</f>
        <v>672</v>
      </c>
      <c r="L134" s="12">
        <f t="shared" si="20"/>
        <v>1</v>
      </c>
      <c r="M134" s="12">
        <f>L134/[4]货币基础!$B$4</f>
        <v>100</v>
      </c>
      <c r="N134" s="12">
        <f>IF(A134&lt;[3]关卡对接!$A$4,INDEX([3]关卡对接!$E$7:$E$141,A134),MATCH(E134,人物经验!$H$24:$H$573,1))</f>
        <v>176</v>
      </c>
      <c r="O134" s="12">
        <f>INDEX([2]关卡!$G$6:$G$2005,A134)</f>
        <v>3</v>
      </c>
      <c r="P134" s="13">
        <v>6</v>
      </c>
      <c r="Q134" s="12">
        <f>INT(P134/$S$15/O134*VLOOKUP(J134,[1]人物技能基础!$N$3:$O$553,2,0)*$U$15)</f>
        <v>9</v>
      </c>
      <c r="R134" s="12">
        <f t="shared" si="21"/>
        <v>112</v>
      </c>
    </row>
    <row r="135" spans="1:18" x14ac:dyDescent="0.15">
      <c r="A135" s="12">
        <v>117</v>
      </c>
      <c r="B135" s="12">
        <f t="shared" si="15"/>
        <v>1</v>
      </c>
      <c r="C135" s="12">
        <f t="shared" si="16"/>
        <v>0.41992773907499997</v>
      </c>
      <c r="D135" s="12">
        <f t="shared" si="17"/>
        <v>6.2036238749999528E-3</v>
      </c>
      <c r="E135" s="12">
        <f>SUM($D$19:D135)</f>
        <v>0.41992773907499997</v>
      </c>
      <c r="F135" s="12">
        <f t="shared" si="13"/>
        <v>7.5991834937299396</v>
      </c>
      <c r="G135" s="12">
        <f t="shared" si="14"/>
        <v>11.394480364280939</v>
      </c>
      <c r="H135" s="12">
        <f t="shared" si="18"/>
        <v>27300</v>
      </c>
      <c r="I135" s="12">
        <f t="shared" si="19"/>
        <v>41000</v>
      </c>
      <c r="J135" s="12">
        <f>IF(A135&lt;[3]关卡对接!$A$4,INDEX([3]关卡对接!$C$7:$C$141,A135),MATCH(E135,人物经验!$H$24:$H$573,1))</f>
        <v>176</v>
      </c>
      <c r="K135" s="12">
        <f>IF([3]关卡对接!F123="",INT(INDEX(人物经验!$J$24:$J$573,关卡!J135)*关卡!$S$7),[3]关卡对接!F123)</f>
        <v>672</v>
      </c>
      <c r="L135" s="12">
        <f t="shared" si="20"/>
        <v>1</v>
      </c>
      <c r="M135" s="12">
        <f>L135/[4]货币基础!$B$4</f>
        <v>100</v>
      </c>
      <c r="N135" s="12">
        <f>IF(A135&lt;[3]关卡对接!$A$4,INDEX([3]关卡对接!$E$7:$E$141,A135),MATCH(E135,人物经验!$H$24:$H$573,1))</f>
        <v>176</v>
      </c>
      <c r="O135" s="12">
        <f>INDEX([2]关卡!$G$6:$G$2005,A135)</f>
        <v>3</v>
      </c>
      <c r="P135" s="13">
        <v>6</v>
      </c>
      <c r="Q135" s="12">
        <f>INT(P135/$S$15/O135*VLOOKUP(J135,[1]人物技能基础!$N$3:$O$553,2,0)*$U$15)</f>
        <v>9</v>
      </c>
      <c r="R135" s="12">
        <f t="shared" si="21"/>
        <v>112</v>
      </c>
    </row>
    <row r="136" spans="1:18" x14ac:dyDescent="0.15">
      <c r="A136" s="12">
        <v>118</v>
      </c>
      <c r="B136" s="12">
        <f t="shared" si="15"/>
        <v>1</v>
      </c>
      <c r="C136" s="12">
        <f t="shared" si="16"/>
        <v>0.42619327319999994</v>
      </c>
      <c r="D136" s="12">
        <f t="shared" si="17"/>
        <v>6.2655341249999719E-3</v>
      </c>
      <c r="E136" s="12">
        <f>SUM($D$19:D136)</f>
        <v>0.42619327319999994</v>
      </c>
      <c r="F136" s="12">
        <f t="shared" si="13"/>
        <v>7.6626485270389999</v>
      </c>
      <c r="G136" s="12">
        <f t="shared" si="14"/>
        <v>11.454107999295001</v>
      </c>
      <c r="H136" s="12">
        <f t="shared" si="18"/>
        <v>27500</v>
      </c>
      <c r="I136" s="12">
        <f t="shared" si="19"/>
        <v>41200</v>
      </c>
      <c r="J136" s="12">
        <f>IF(A136&lt;[3]关卡对接!$A$4,INDEX([3]关卡对接!$C$7:$C$141,A136),MATCH(E136,人物经验!$H$24:$H$573,1))</f>
        <v>177</v>
      </c>
      <c r="K136" s="12">
        <f>IF([3]关卡对接!F124="",INT(INDEX(人物经验!$J$24:$J$573,关卡!J136)*关卡!$S$7),[3]关卡对接!F124)</f>
        <v>683</v>
      </c>
      <c r="L136" s="12">
        <f t="shared" si="20"/>
        <v>1</v>
      </c>
      <c r="M136" s="12">
        <f>L136/[4]货币基础!$B$4</f>
        <v>100</v>
      </c>
      <c r="N136" s="12">
        <f>IF(A136&lt;[3]关卡对接!$A$4,INDEX([3]关卡对接!$E$7:$E$141,A136),MATCH(E136,人物经验!$H$24:$H$573,1))</f>
        <v>177</v>
      </c>
      <c r="O136" s="12">
        <f>INDEX([2]关卡!$G$6:$G$2005,A136)</f>
        <v>3</v>
      </c>
      <c r="P136" s="13">
        <v>6</v>
      </c>
      <c r="Q136" s="12">
        <f>INT(P136/$S$15/O136*VLOOKUP(J136,[1]人物技能基础!$N$3:$O$553,2,0)*$U$15)</f>
        <v>9</v>
      </c>
      <c r="R136" s="12">
        <f t="shared" si="21"/>
        <v>112</v>
      </c>
    </row>
    <row r="137" spans="1:18" x14ac:dyDescent="0.15">
      <c r="A137" s="12">
        <v>119</v>
      </c>
      <c r="B137" s="12">
        <f t="shared" si="15"/>
        <v>1</v>
      </c>
      <c r="C137" s="12">
        <f t="shared" si="16"/>
        <v>0.43252119907500003</v>
      </c>
      <c r="D137" s="12">
        <f t="shared" si="17"/>
        <v>6.3279258750000844E-3</v>
      </c>
      <c r="E137" s="12">
        <f>SUM($D$19:D137)</f>
        <v>0.43252119907500003</v>
      </c>
      <c r="F137" s="12">
        <f t="shared" si="13"/>
        <v>7.7262442771549384</v>
      </c>
      <c r="G137" s="12">
        <f t="shared" si="14"/>
        <v>11.513824901405938</v>
      </c>
      <c r="H137" s="12">
        <f t="shared" si="18"/>
        <v>27800</v>
      </c>
      <c r="I137" s="12">
        <f t="shared" si="19"/>
        <v>41400</v>
      </c>
      <c r="J137" s="12">
        <f>IF(A137&lt;[3]关卡对接!$A$4,INDEX([3]关卡对接!$C$7:$C$141,A137),MATCH(E137,人物经验!$H$24:$H$573,1))</f>
        <v>178</v>
      </c>
      <c r="K137" s="12">
        <f>IF([3]关卡对接!F125="",INT(INDEX(人物经验!$J$24:$J$573,关卡!J137)*关卡!$S$7),[3]关卡对接!F125)</f>
        <v>689</v>
      </c>
      <c r="L137" s="12">
        <f t="shared" si="20"/>
        <v>1</v>
      </c>
      <c r="M137" s="12">
        <f>L137/[4]货币基础!$B$4</f>
        <v>100</v>
      </c>
      <c r="N137" s="12">
        <f>IF(A137&lt;[3]关卡对接!$A$4,INDEX([3]关卡对接!$E$7:$E$141,A137),MATCH(E137,人物经验!$H$24:$H$573,1))</f>
        <v>178</v>
      </c>
      <c r="O137" s="12">
        <f>INDEX([2]关卡!$G$6:$G$2005,A137)</f>
        <v>3</v>
      </c>
      <c r="P137" s="13">
        <v>6</v>
      </c>
      <c r="Q137" s="12">
        <f>INT(P137/$S$15/O137*VLOOKUP(J137,[1]人物技能基础!$N$3:$O$553,2,0)*$U$15)</f>
        <v>9</v>
      </c>
      <c r="R137" s="12">
        <f t="shared" si="21"/>
        <v>112</v>
      </c>
    </row>
    <row r="138" spans="1:18" x14ac:dyDescent="0.15">
      <c r="A138" s="12">
        <v>120</v>
      </c>
      <c r="B138" s="12">
        <f t="shared" si="15"/>
        <v>1</v>
      </c>
      <c r="C138" s="12">
        <f t="shared" si="16"/>
        <v>0.43891200000000002</v>
      </c>
      <c r="D138" s="12">
        <f t="shared" si="17"/>
        <v>6.3908009249999953E-3</v>
      </c>
      <c r="E138" s="12">
        <f>SUM($D$19:D138)</f>
        <v>0.43891200000000002</v>
      </c>
      <c r="F138" s="12">
        <f t="shared" si="13"/>
        <v>7.7899710400000002</v>
      </c>
      <c r="G138" s="12">
        <f t="shared" si="14"/>
        <v>11.573631199999999</v>
      </c>
      <c r="H138" s="12">
        <f t="shared" si="18"/>
        <v>28000</v>
      </c>
      <c r="I138" s="12">
        <f t="shared" si="19"/>
        <v>41600</v>
      </c>
      <c r="J138" s="12">
        <f>IF(A138&lt;[3]关卡对接!$A$4,INDEX([3]关卡对接!$C$7:$C$141,A138),MATCH(E138,人物经验!$H$24:$H$573,1))</f>
        <v>179</v>
      </c>
      <c r="K138" s="12">
        <f>IF([3]关卡对接!F126="",INT(INDEX(人物经验!$J$24:$J$573,关卡!J138)*关卡!$S$7),[3]关卡对接!F126)</f>
        <v>695</v>
      </c>
      <c r="L138" s="12">
        <f t="shared" si="20"/>
        <v>1</v>
      </c>
      <c r="M138" s="12">
        <f>L138/[4]货币基础!$B$4</f>
        <v>100</v>
      </c>
      <c r="N138" s="12">
        <f>IF(A138&lt;[3]关卡对接!$A$4,INDEX([3]关卡对接!$E$7:$E$141,A138),MATCH(E138,人物经验!$H$24:$H$573,1))</f>
        <v>179</v>
      </c>
      <c r="O138" s="12">
        <f>INDEX([2]关卡!$G$6:$G$2005,A138)</f>
        <v>3</v>
      </c>
      <c r="P138" s="13">
        <v>6</v>
      </c>
      <c r="Q138" s="12">
        <f>INT(P138/$S$15/O138*VLOOKUP(J138,[1]人物技能基础!$N$3:$O$553,2,0)*$U$15)</f>
        <v>9</v>
      </c>
      <c r="R138" s="12">
        <f t="shared" si="21"/>
        <v>112</v>
      </c>
    </row>
    <row r="139" spans="1:18" x14ac:dyDescent="0.15">
      <c r="A139" s="12">
        <v>121</v>
      </c>
      <c r="B139" s="12">
        <f t="shared" si="15"/>
        <v>1</v>
      </c>
      <c r="C139" s="12">
        <f t="shared" si="16"/>
        <v>0.44536616107499993</v>
      </c>
      <c r="D139" s="12">
        <f t="shared" si="17"/>
        <v>6.454161074999909E-3</v>
      </c>
      <c r="E139" s="12">
        <f>SUM($D$19:D139)</f>
        <v>0.44536616107499993</v>
      </c>
      <c r="F139" s="12">
        <f t="shared" si="13"/>
        <v>7.8538291120949371</v>
      </c>
      <c r="G139" s="12">
        <f t="shared" si="14"/>
        <v>11.633527024605938</v>
      </c>
      <c r="H139" s="12">
        <f t="shared" si="18"/>
        <v>28200</v>
      </c>
      <c r="I139" s="12">
        <f t="shared" si="19"/>
        <v>41800</v>
      </c>
      <c r="J139" s="12">
        <f>IF(A139&lt;[3]关卡对接!$A$4,INDEX([3]关卡对接!$C$7:$C$141,A139),MATCH(E139,人物经验!$H$24:$H$573,1))</f>
        <v>179</v>
      </c>
      <c r="K139" s="12">
        <f>IF([3]关卡对接!F127="",INT(INDEX(人物经验!$J$24:$J$573,关卡!J139)*关卡!$S$7),[3]关卡对接!F127)</f>
        <v>695</v>
      </c>
      <c r="L139" s="12">
        <f t="shared" si="20"/>
        <v>1</v>
      </c>
      <c r="M139" s="12">
        <f>L139/[4]货币基础!$B$4</f>
        <v>100</v>
      </c>
      <c r="N139" s="12">
        <f>IF(A139&lt;[3]关卡对接!$A$4,INDEX([3]关卡对接!$E$7:$E$141,A139),MATCH(E139,人物经验!$H$24:$H$573,1))</f>
        <v>179</v>
      </c>
      <c r="O139" s="12">
        <f>INDEX([2]关卡!$G$6:$G$2005,A139)</f>
        <v>3</v>
      </c>
      <c r="P139" s="13">
        <v>6</v>
      </c>
      <c r="Q139" s="12">
        <f>INT(P139/$S$15/O139*VLOOKUP(J139,[1]人物技能基础!$N$3:$O$553,2,0)*$U$15)</f>
        <v>9</v>
      </c>
      <c r="R139" s="12">
        <f t="shared" si="21"/>
        <v>112</v>
      </c>
    </row>
    <row r="140" spans="1:18" x14ac:dyDescent="0.15">
      <c r="A140" s="12">
        <v>122</v>
      </c>
      <c r="B140" s="12">
        <f t="shared" si="15"/>
        <v>1</v>
      </c>
      <c r="C140" s="12">
        <f t="shared" si="16"/>
        <v>0.45188416920000002</v>
      </c>
      <c r="D140" s="12">
        <f t="shared" si="17"/>
        <v>6.5180081250000854E-3</v>
      </c>
      <c r="E140" s="12">
        <f>SUM($D$19:D140)</f>
        <v>0.45188416920000002</v>
      </c>
      <c r="F140" s="12">
        <f t="shared" si="13"/>
        <v>7.9178187905590001</v>
      </c>
      <c r="G140" s="12">
        <f t="shared" si="14"/>
        <v>11.693512504895002</v>
      </c>
      <c r="H140" s="12">
        <f t="shared" si="18"/>
        <v>28500</v>
      </c>
      <c r="I140" s="12">
        <f t="shared" si="19"/>
        <v>42000</v>
      </c>
      <c r="J140" s="12">
        <f>IF(A140&lt;[3]关卡对接!$A$4,INDEX([3]关卡对接!$C$7:$C$141,A140),MATCH(E140,人物经验!$H$24:$H$573,1))</f>
        <v>180</v>
      </c>
      <c r="K140" s="12">
        <f>IF([3]关卡对接!F128="",INT(INDEX(人物经验!$J$24:$J$573,关卡!J140)*关卡!$S$7),[3]关卡对接!F128)</f>
        <v>706</v>
      </c>
      <c r="L140" s="12">
        <f t="shared" si="20"/>
        <v>1</v>
      </c>
      <c r="M140" s="12">
        <f>L140/[4]货币基础!$B$4</f>
        <v>100</v>
      </c>
      <c r="N140" s="12">
        <f>IF(A140&lt;[3]关卡对接!$A$4,INDEX([3]关卡对接!$E$7:$E$141,A140),MATCH(E140,人物经验!$H$24:$H$573,1))</f>
        <v>180</v>
      </c>
      <c r="O140" s="12">
        <f>INDEX([2]关卡!$G$6:$G$2005,A140)</f>
        <v>3</v>
      </c>
      <c r="P140" s="13">
        <v>6</v>
      </c>
      <c r="Q140" s="12">
        <f>INT(P140/$S$15/O140*VLOOKUP(J140,[1]人物技能基础!$N$3:$O$553,2,0)*$U$15)</f>
        <v>9</v>
      </c>
      <c r="R140" s="12">
        <f t="shared" si="21"/>
        <v>112</v>
      </c>
    </row>
    <row r="141" spans="1:18" x14ac:dyDescent="0.15">
      <c r="A141" s="12">
        <v>123</v>
      </c>
      <c r="B141" s="12">
        <f t="shared" si="15"/>
        <v>1</v>
      </c>
      <c r="C141" s="12">
        <f t="shared" si="16"/>
        <v>0.45846651307499997</v>
      </c>
      <c r="D141" s="12">
        <f t="shared" si="17"/>
        <v>6.5823438749999519E-3</v>
      </c>
      <c r="E141" s="12">
        <f>SUM($D$19:D141)</f>
        <v>0.45846651307499997</v>
      </c>
      <c r="F141" s="12">
        <f t="shared" si="13"/>
        <v>7.9819403731099383</v>
      </c>
      <c r="G141" s="12">
        <f t="shared" si="14"/>
        <v>11.753587770680939</v>
      </c>
      <c r="H141" s="12">
        <f t="shared" si="18"/>
        <v>28700</v>
      </c>
      <c r="I141" s="12">
        <f t="shared" si="19"/>
        <v>42300</v>
      </c>
      <c r="J141" s="12">
        <f>IF(A141&lt;[3]关卡对接!$A$4,INDEX([3]关卡对接!$C$7:$C$141,A141),MATCH(E141,人物经验!$H$24:$H$573,1))</f>
        <v>180</v>
      </c>
      <c r="K141" s="12">
        <f>IF([3]关卡对接!F129="",INT(INDEX(人物经验!$J$24:$J$573,关卡!J141)*关卡!$S$7),[3]关卡对接!F129)</f>
        <v>706</v>
      </c>
      <c r="L141" s="12">
        <f t="shared" si="20"/>
        <v>1</v>
      </c>
      <c r="M141" s="12">
        <f>L141/[4]货币基础!$B$4</f>
        <v>100</v>
      </c>
      <c r="N141" s="12">
        <f>IF(A141&lt;[3]关卡对接!$A$4,INDEX([3]关卡对接!$E$7:$E$141,A141),MATCH(E141,人物经验!$H$24:$H$573,1))</f>
        <v>180</v>
      </c>
      <c r="O141" s="12">
        <f>INDEX([2]关卡!$G$6:$G$2005,A141)</f>
        <v>3</v>
      </c>
      <c r="P141" s="13">
        <v>6</v>
      </c>
      <c r="Q141" s="12">
        <f>INT(P141/$S$15/O141*VLOOKUP(J141,[1]人物技能基础!$N$3:$O$553,2,0)*$U$15)</f>
        <v>9</v>
      </c>
      <c r="R141" s="12">
        <f t="shared" si="21"/>
        <v>112</v>
      </c>
    </row>
    <row r="142" spans="1:18" x14ac:dyDescent="0.15">
      <c r="A142" s="12">
        <v>124</v>
      </c>
      <c r="B142" s="12">
        <f t="shared" si="15"/>
        <v>1</v>
      </c>
      <c r="C142" s="12">
        <f t="shared" si="16"/>
        <v>0.46511368320000002</v>
      </c>
      <c r="D142" s="12">
        <f t="shared" si="17"/>
        <v>6.6471701250000459E-3</v>
      </c>
      <c r="E142" s="12">
        <f>SUM($D$19:D142)</f>
        <v>0.46511368320000002</v>
      </c>
      <c r="F142" s="12">
        <f t="shared" si="13"/>
        <v>8.0461941580640008</v>
      </c>
      <c r="G142" s="12">
        <f t="shared" si="14"/>
        <v>11.813752951920003</v>
      </c>
      <c r="H142" s="12">
        <f t="shared" si="18"/>
        <v>28900</v>
      </c>
      <c r="I142" s="12">
        <f t="shared" si="19"/>
        <v>42500</v>
      </c>
      <c r="J142" s="12">
        <f>IF(A142&lt;[3]关卡对接!$A$4,INDEX([3]关卡对接!$C$7:$C$141,A142),MATCH(E142,人物经验!$H$24:$H$573,1))</f>
        <v>181</v>
      </c>
      <c r="K142" s="12">
        <f>IF([3]关卡对接!F130="",INT(INDEX(人物经验!$J$24:$J$573,关卡!J142)*关卡!$S$7),[3]关卡对接!F130)</f>
        <v>718</v>
      </c>
      <c r="L142" s="12">
        <f t="shared" si="20"/>
        <v>1</v>
      </c>
      <c r="M142" s="12">
        <f>L142/[4]货币基础!$B$4</f>
        <v>100</v>
      </c>
      <c r="N142" s="12">
        <f>IF(A142&lt;[3]关卡对接!$A$4,INDEX([3]关卡对接!$E$7:$E$141,A142),MATCH(E142,人物经验!$H$24:$H$573,1))</f>
        <v>181</v>
      </c>
      <c r="O142" s="12">
        <f>INDEX([2]关卡!$G$6:$G$2005,A142)</f>
        <v>3</v>
      </c>
      <c r="P142" s="13">
        <v>6</v>
      </c>
      <c r="Q142" s="12">
        <f>INT(P142/$S$15/O142*VLOOKUP(J142,[1]人物技能基础!$N$3:$O$553,2,0)*$U$15)</f>
        <v>9</v>
      </c>
      <c r="R142" s="12">
        <f t="shared" si="21"/>
        <v>112</v>
      </c>
    </row>
    <row r="143" spans="1:18" x14ac:dyDescent="0.15">
      <c r="A143" s="12">
        <v>125</v>
      </c>
      <c r="B143" s="12">
        <f t="shared" si="15"/>
        <v>1</v>
      </c>
      <c r="C143" s="12">
        <f t="shared" si="16"/>
        <v>0.47182617187499998</v>
      </c>
      <c r="D143" s="12">
        <f t="shared" si="17"/>
        <v>6.7124886749999613E-3</v>
      </c>
      <c r="E143" s="12">
        <f>SUM($D$19:D143)</f>
        <v>0.47182617187499998</v>
      </c>
      <c r="F143" s="12">
        <f t="shared" si="13"/>
        <v>8.1105804443359375</v>
      </c>
      <c r="G143" s="12">
        <f t="shared" si="14"/>
        <v>11.874008178710938</v>
      </c>
      <c r="H143" s="12">
        <f t="shared" si="18"/>
        <v>29100</v>
      </c>
      <c r="I143" s="12">
        <f t="shared" si="19"/>
        <v>42700</v>
      </c>
      <c r="J143" s="12">
        <f>IF(A143&lt;[3]关卡对接!$A$4,INDEX([3]关卡对接!$C$7:$C$141,A143),MATCH(E143,人物经验!$H$24:$H$573,1))</f>
        <v>182</v>
      </c>
      <c r="K143" s="12">
        <f>IF([3]关卡对接!F131="",INT(INDEX(人物经验!$J$24:$J$573,关卡!J143)*关卡!$S$7),[3]关卡对接!F131)</f>
        <v>724</v>
      </c>
      <c r="L143" s="12">
        <f t="shared" si="20"/>
        <v>1</v>
      </c>
      <c r="M143" s="12">
        <f>L143/[4]货币基础!$B$4</f>
        <v>100</v>
      </c>
      <c r="N143" s="12">
        <f>IF(A143&lt;[3]关卡对接!$A$4,INDEX([3]关卡对接!$E$7:$E$141,A143),MATCH(E143,人物经验!$H$24:$H$573,1))</f>
        <v>182</v>
      </c>
      <c r="O143" s="12">
        <f>INDEX([2]关卡!$G$6:$G$2005,A143)</f>
        <v>3</v>
      </c>
      <c r="P143" s="13">
        <v>6</v>
      </c>
      <c r="Q143" s="12">
        <f>INT(P143/$S$15/O143*VLOOKUP(J143,[1]人物技能基础!$N$3:$O$553,2,0)*$U$15)</f>
        <v>9</v>
      </c>
      <c r="R143" s="12">
        <f t="shared" si="21"/>
        <v>112</v>
      </c>
    </row>
    <row r="144" spans="1:18" x14ac:dyDescent="0.15">
      <c r="A144" s="12">
        <v>126</v>
      </c>
      <c r="B144" s="12">
        <f t="shared" si="15"/>
        <v>1</v>
      </c>
      <c r="C144" s="12">
        <f t="shared" si="16"/>
        <v>0.47860447320000005</v>
      </c>
      <c r="D144" s="12">
        <f t="shared" si="17"/>
        <v>6.778301325000069E-3</v>
      </c>
      <c r="E144" s="12">
        <f>SUM($D$19:D144)</f>
        <v>0.47860447320000005</v>
      </c>
      <c r="F144" s="12">
        <f t="shared" si="13"/>
        <v>8.1750995314390007</v>
      </c>
      <c r="G144" s="12">
        <f t="shared" si="14"/>
        <v>11.934353581294999</v>
      </c>
      <c r="H144" s="12">
        <f t="shared" si="18"/>
        <v>29400</v>
      </c>
      <c r="I144" s="12">
        <f t="shared" si="19"/>
        <v>42900</v>
      </c>
      <c r="J144" s="12">
        <f>IF(A144&lt;[3]关卡对接!$A$4,INDEX([3]关卡对接!$C$7:$C$141,A144),MATCH(E144,人物经验!$H$24:$H$573,1))</f>
        <v>182</v>
      </c>
      <c r="K144" s="12">
        <f>IF([3]关卡对接!F132="",INT(INDEX(人物经验!$J$24:$J$573,关卡!J144)*关卡!$S$7),[3]关卡对接!F132)</f>
        <v>724</v>
      </c>
      <c r="L144" s="12">
        <f t="shared" si="20"/>
        <v>1</v>
      </c>
      <c r="M144" s="12">
        <f>L144/[4]货币基础!$B$4</f>
        <v>100</v>
      </c>
      <c r="N144" s="12">
        <f>IF(A144&lt;[3]关卡对接!$A$4,INDEX([3]关卡对接!$E$7:$E$141,A144),MATCH(E144,人物经验!$H$24:$H$573,1))</f>
        <v>182</v>
      </c>
      <c r="O144" s="12">
        <f>INDEX([2]关卡!$G$6:$G$2005,A144)</f>
        <v>3</v>
      </c>
      <c r="P144" s="13">
        <v>6</v>
      </c>
      <c r="Q144" s="12">
        <f>INT(P144/$S$15/O144*VLOOKUP(J144,[1]人物技能基础!$N$3:$O$553,2,0)*$U$15)</f>
        <v>9</v>
      </c>
      <c r="R144" s="12">
        <f t="shared" si="21"/>
        <v>112</v>
      </c>
    </row>
    <row r="145" spans="1:18" x14ac:dyDescent="0.15">
      <c r="A145" s="12">
        <v>127</v>
      </c>
      <c r="B145" s="12">
        <f t="shared" si="15"/>
        <v>1</v>
      </c>
      <c r="C145" s="12">
        <f t="shared" si="16"/>
        <v>0.48544908307500001</v>
      </c>
      <c r="D145" s="12">
        <f t="shared" si="17"/>
        <v>6.8446098749999629E-3</v>
      </c>
      <c r="E145" s="12">
        <f>SUM($D$19:D145)</f>
        <v>0.48544908307500001</v>
      </c>
      <c r="F145" s="12">
        <f t="shared" si="13"/>
        <v>8.2397517194849392</v>
      </c>
      <c r="G145" s="12">
        <f t="shared" si="14"/>
        <v>11.994789290055937</v>
      </c>
      <c r="H145" s="12">
        <f t="shared" si="18"/>
        <v>29600</v>
      </c>
      <c r="I145" s="12">
        <f t="shared" si="19"/>
        <v>43100</v>
      </c>
      <c r="J145" s="12">
        <f>IF(A145&lt;[3]关卡对接!$A$4,INDEX([3]关卡对接!$C$7:$C$141,A145),MATCH(E145,人物经验!$H$24:$H$573,1))</f>
        <v>183</v>
      </c>
      <c r="K145" s="12">
        <f>IF([3]关卡对接!F133="",INT(INDEX(人物经验!$J$24:$J$573,关卡!J145)*关卡!$S$7),[3]关卡对接!F133)</f>
        <v>735</v>
      </c>
      <c r="L145" s="12">
        <f t="shared" si="20"/>
        <v>1</v>
      </c>
      <c r="M145" s="12">
        <f>L145/[4]货币基础!$B$4</f>
        <v>100</v>
      </c>
      <c r="N145" s="12">
        <f>IF(A145&lt;[3]关卡对接!$A$4,INDEX([3]关卡对接!$E$7:$E$141,A145),MATCH(E145,人物经验!$H$24:$H$573,1))</f>
        <v>183</v>
      </c>
      <c r="O145" s="12">
        <f>INDEX([2]关卡!$G$6:$G$2005,A145)</f>
        <v>3</v>
      </c>
      <c r="P145" s="13">
        <v>6</v>
      </c>
      <c r="Q145" s="12">
        <f>INT(P145/$S$15/O145*VLOOKUP(J145,[1]人物技能基础!$N$3:$O$553,2,0)*$U$15)</f>
        <v>9</v>
      </c>
      <c r="R145" s="12">
        <f t="shared" si="21"/>
        <v>112</v>
      </c>
    </row>
    <row r="146" spans="1:18" x14ac:dyDescent="0.15">
      <c r="A146" s="12">
        <v>128</v>
      </c>
      <c r="B146" s="12">
        <f t="shared" si="15"/>
        <v>1</v>
      </c>
      <c r="C146" s="12">
        <f t="shared" si="16"/>
        <v>0.49236049920000002</v>
      </c>
      <c r="D146" s="12">
        <f t="shared" si="17"/>
        <v>6.9114161250000139E-3</v>
      </c>
      <c r="E146" s="12">
        <f>SUM($D$19:D146)</f>
        <v>0.49236049920000002</v>
      </c>
      <c r="F146" s="12">
        <f t="shared" si="13"/>
        <v>8.3045373091840009</v>
      </c>
      <c r="G146" s="12">
        <f t="shared" si="14"/>
        <v>12.055315435519999</v>
      </c>
      <c r="H146" s="12">
        <f t="shared" si="18"/>
        <v>29800</v>
      </c>
      <c r="I146" s="12">
        <f t="shared" si="19"/>
        <v>43300</v>
      </c>
      <c r="J146" s="12">
        <f>IF(A146&lt;[3]关卡对接!$A$4,INDEX([3]关卡对接!$C$7:$C$141,A146),MATCH(E146,人物经验!$H$24:$H$573,1))</f>
        <v>183</v>
      </c>
      <c r="K146" s="12">
        <f>IF([3]关卡对接!F134="",INT(INDEX(人物经验!$J$24:$J$573,关卡!J146)*关卡!$S$7),[3]关卡对接!F134)</f>
        <v>735</v>
      </c>
      <c r="L146" s="12">
        <f t="shared" si="20"/>
        <v>1</v>
      </c>
      <c r="M146" s="12">
        <f>L146/[4]货币基础!$B$4</f>
        <v>100</v>
      </c>
      <c r="N146" s="12">
        <f>IF(A146&lt;[3]关卡对接!$A$4,INDEX([3]关卡对接!$E$7:$E$141,A146),MATCH(E146,人物经验!$H$24:$H$573,1))</f>
        <v>183</v>
      </c>
      <c r="O146" s="12">
        <f>INDEX([2]关卡!$G$6:$G$2005,A146)</f>
        <v>3</v>
      </c>
      <c r="P146" s="13">
        <v>6</v>
      </c>
      <c r="Q146" s="12">
        <f>INT(P146/$S$15/O146*VLOOKUP(J146,[1]人物技能基础!$N$3:$O$553,2,0)*$U$15)</f>
        <v>9</v>
      </c>
      <c r="R146" s="12">
        <f t="shared" si="21"/>
        <v>112</v>
      </c>
    </row>
    <row r="147" spans="1:18" x14ac:dyDescent="0.15">
      <c r="A147" s="12">
        <v>129</v>
      </c>
      <c r="B147" s="12">
        <f t="shared" si="15"/>
        <v>1</v>
      </c>
      <c r="C147" s="12">
        <f t="shared" si="16"/>
        <v>0.49933922107499995</v>
      </c>
      <c r="D147" s="12">
        <f t="shared" si="17"/>
        <v>6.9787218749999269E-3</v>
      </c>
      <c r="E147" s="12">
        <f>SUM($D$19:D147)</f>
        <v>0.49933922107499995</v>
      </c>
      <c r="F147" s="12">
        <f t="shared" ref="F147:F210" si="22">$L$7*($M$7+$N$7*($A147/$B$3)^1+$O$7*($A147/$B$3)^2+$P$7*($A147/$B$3)^3+$Q$7*($A147/$B$3)^4)</f>
        <v>8.3694566018449397</v>
      </c>
      <c r="G147" s="12">
        <f t="shared" ref="G147:G210" si="23">$L$11*($M$11+$N$11*($A147/$B$3)^1+$O$11*($A147/$B$3)^2+$P$11*($A147/$B$3)^3+$Q$11*($A147/$B$3)^4)</f>
        <v>12.11593214835594</v>
      </c>
      <c r="H147" s="12">
        <f t="shared" si="18"/>
        <v>30100</v>
      </c>
      <c r="I147" s="12">
        <f t="shared" si="19"/>
        <v>43600</v>
      </c>
      <c r="J147" s="12">
        <f>IF(A147&lt;[3]关卡对接!$A$4,INDEX([3]关卡对接!$C$7:$C$141,A147),MATCH(E147,人物经验!$H$24:$H$573,1))</f>
        <v>184</v>
      </c>
      <c r="K147" s="12">
        <f>IF([3]关卡对接!F135="",INT(INDEX(人物经验!$J$24:$J$573,关卡!J147)*关卡!$S$7),[3]关卡对接!F135)</f>
        <v>747</v>
      </c>
      <c r="L147" s="12">
        <f t="shared" si="20"/>
        <v>1</v>
      </c>
      <c r="M147" s="12">
        <f>L147/[4]货币基础!$B$4</f>
        <v>100</v>
      </c>
      <c r="N147" s="12">
        <f>IF(A147&lt;[3]关卡对接!$A$4,INDEX([3]关卡对接!$E$7:$E$141,A147),MATCH(E147,人物经验!$H$24:$H$573,1))</f>
        <v>184</v>
      </c>
      <c r="O147" s="12">
        <f>INDEX([2]关卡!$G$6:$G$2005,A147)</f>
        <v>3</v>
      </c>
      <c r="P147" s="13">
        <v>6</v>
      </c>
      <c r="Q147" s="12">
        <f>INT(P147/$S$15/O147*VLOOKUP(J147,[1]人物技能基础!$N$3:$O$553,2,0)*$U$15)</f>
        <v>9</v>
      </c>
      <c r="R147" s="12">
        <f t="shared" si="21"/>
        <v>112</v>
      </c>
    </row>
    <row r="148" spans="1:18" x14ac:dyDescent="0.15">
      <c r="A148" s="12">
        <v>130</v>
      </c>
      <c r="B148" s="12">
        <f t="shared" ref="B148:B211" si="24">MATCH($A148,$A$5:$A$15,1)-1</f>
        <v>1</v>
      </c>
      <c r="C148" s="12">
        <f t="shared" ref="C148:C211" si="25">INDEX($C$5:$C$15,$B148+1)*(INDEX($E$5:$E$15,$B148+1)+INDEX($F$5:$F$15,$B148+1)*(($A148-INDEX($A$5:$A$15,$B148+1)+1)/(INDEX($B$5:$B$15,$B148+1)-INDEX($A$5:$A$15,$B148+1)+1))^1+INDEX($G$5:$G$15,$B148+1)*(($A148-INDEX($A$5:$A$15,$B148+1)+1)/(INDEX($B$5:$B$15,$B148+1)-INDEX($A$5:$A$15,$B148+1)+1))^2+INDEX($H$5:$H$15,$B148+1)*(($A148-INDEX($A$5:$A$15,$B148+1)+1)/(INDEX($B$5:$B$15,$B148+1)-INDEX($A$5:$A$15,$B148+1)+1))^3+INDEX($I$5:$I$15,$B148+1)*(($A148-INDEX($A$5:$A$15,$B148+1)+1)/(INDEX($B$5:$B$15,$B148+1)-INDEX($A$5:$A$15,$B148+1)+1))^4)</f>
        <v>0.50638574999999997</v>
      </c>
      <c r="D148" s="12">
        <f t="shared" ref="D148:D211" si="26">IF(ISNA(MATCH(A148,$A$6:$A$15,0)),C148-C147,C148)</f>
        <v>7.0465289250000174E-3</v>
      </c>
      <c r="E148" s="12">
        <f>SUM($D$19:D148)</f>
        <v>0.50638574999999997</v>
      </c>
      <c r="F148" s="12">
        <f t="shared" si="22"/>
        <v>8.4345098993749996</v>
      </c>
      <c r="G148" s="12">
        <f t="shared" si="23"/>
        <v>12.176639559375001</v>
      </c>
      <c r="H148" s="12">
        <f t="shared" ref="H148:H211" si="27">INT(F148*60*60/100)*100</f>
        <v>30300</v>
      </c>
      <c r="I148" s="12">
        <f t="shared" ref="I148:I211" si="28">INT(G148*60*60/100)*100</f>
        <v>43800</v>
      </c>
      <c r="J148" s="12">
        <f>IF(A148&lt;[3]关卡对接!$A$4,INDEX([3]关卡对接!$C$7:$C$141,A148),MATCH(E148,人物经验!$H$24:$H$573,1))</f>
        <v>184</v>
      </c>
      <c r="K148" s="12">
        <f>IF([3]关卡对接!F136="",INT(INDEX(人物经验!$J$24:$J$573,关卡!J148)*关卡!$S$7),[3]关卡对接!F136)</f>
        <v>747</v>
      </c>
      <c r="L148" s="12">
        <f t="shared" ref="L148:L211" si="29">VLOOKUP(A148,$A$5:$J$15,10,1)</f>
        <v>1</v>
      </c>
      <c r="M148" s="12">
        <f>L148/[4]货币基础!$B$4</f>
        <v>100</v>
      </c>
      <c r="N148" s="12">
        <f>IF(A148&lt;[3]关卡对接!$A$4,INDEX([3]关卡对接!$E$7:$E$141,A148),MATCH(E148,人物经验!$H$24:$H$573,1))</f>
        <v>184</v>
      </c>
      <c r="O148" s="12">
        <f>INDEX([2]关卡!$G$6:$G$2005,A148)</f>
        <v>3</v>
      </c>
      <c r="P148" s="13">
        <v>6</v>
      </c>
      <c r="Q148" s="12">
        <f>INT(P148/$S$15/O148*VLOOKUP(J148,[1]人物技能基础!$N$3:$O$553,2,0)*$U$15)</f>
        <v>9</v>
      </c>
      <c r="R148" s="12">
        <f t="shared" ref="R148:R211" si="30">INT(Q148*12.5)</f>
        <v>112</v>
      </c>
    </row>
    <row r="149" spans="1:18" x14ac:dyDescent="0.15">
      <c r="A149" s="12">
        <v>131</v>
      </c>
      <c r="B149" s="12">
        <f t="shared" si="24"/>
        <v>1</v>
      </c>
      <c r="C149" s="12">
        <f t="shared" si="25"/>
        <v>0.51350058907500007</v>
      </c>
      <c r="D149" s="12">
        <f t="shared" si="26"/>
        <v>7.1148390750001012E-3</v>
      </c>
      <c r="E149" s="12">
        <f>SUM($D$19:D149)</f>
        <v>0.51350058907500007</v>
      </c>
      <c r="F149" s="12">
        <f t="shared" si="22"/>
        <v>8.4996975042799381</v>
      </c>
      <c r="G149" s="12">
        <f t="shared" si="23"/>
        <v>12.237437799530939</v>
      </c>
      <c r="H149" s="12">
        <f t="shared" si="27"/>
        <v>30500</v>
      </c>
      <c r="I149" s="12">
        <f t="shared" si="28"/>
        <v>44000</v>
      </c>
      <c r="J149" s="12">
        <f>IF(A149&lt;[3]关卡对接!$A$4,INDEX([3]关卡对接!$C$7:$C$141,A149),MATCH(E149,人物经验!$H$24:$H$573,1))</f>
        <v>185</v>
      </c>
      <c r="K149" s="12">
        <f>IF([3]关卡对接!F137="",INT(INDEX(人物经验!$J$24:$J$573,关卡!J149)*关卡!$S$7),[3]关卡对接!F137)</f>
        <v>759</v>
      </c>
      <c r="L149" s="12">
        <f t="shared" si="29"/>
        <v>1</v>
      </c>
      <c r="M149" s="12">
        <f>L149/[4]货币基础!$B$4</f>
        <v>100</v>
      </c>
      <c r="N149" s="12">
        <f>IF(A149&lt;[3]关卡对接!$A$4,INDEX([3]关卡对接!$E$7:$E$141,A149),MATCH(E149,人物经验!$H$24:$H$573,1))</f>
        <v>185</v>
      </c>
      <c r="O149" s="12">
        <f>INDEX([2]关卡!$G$6:$G$2005,A149)</f>
        <v>3</v>
      </c>
      <c r="P149" s="13">
        <v>6</v>
      </c>
      <c r="Q149" s="12">
        <f>INT(P149/$S$15/O149*VLOOKUP(J149,[1]人物技能基础!$N$3:$O$553,2,0)*$U$15)</f>
        <v>9</v>
      </c>
      <c r="R149" s="12">
        <f t="shared" si="30"/>
        <v>112</v>
      </c>
    </row>
    <row r="150" spans="1:18" x14ac:dyDescent="0.15">
      <c r="A150" s="12">
        <v>132</v>
      </c>
      <c r="B150" s="12">
        <f t="shared" si="24"/>
        <v>1</v>
      </c>
      <c r="C150" s="12">
        <f t="shared" si="25"/>
        <v>0.52068424320000006</v>
      </c>
      <c r="D150" s="12">
        <f t="shared" si="26"/>
        <v>7.1836541249999941E-3</v>
      </c>
      <c r="E150" s="12">
        <f>SUM($D$19:D150)</f>
        <v>0.52068424320000006</v>
      </c>
      <c r="F150" s="12">
        <f t="shared" si="22"/>
        <v>8.5650197196640026</v>
      </c>
      <c r="G150" s="12">
        <f t="shared" si="23"/>
        <v>12.29832699992</v>
      </c>
      <c r="H150" s="12">
        <f t="shared" si="27"/>
        <v>30800</v>
      </c>
      <c r="I150" s="12">
        <f t="shared" si="28"/>
        <v>44200</v>
      </c>
      <c r="J150" s="12">
        <f>IF(A150&lt;[3]关卡对接!$A$4,INDEX([3]关卡对接!$C$7:$C$141,A150),MATCH(E150,人物经验!$H$24:$H$573,1))</f>
        <v>186</v>
      </c>
      <c r="K150" s="12">
        <f>IF([3]关卡对接!F138="",INT(INDEX(人物经验!$J$24:$J$573,关卡!J150)*关卡!$S$7),[3]关卡对接!F138)</f>
        <v>764</v>
      </c>
      <c r="L150" s="12">
        <f t="shared" si="29"/>
        <v>1</v>
      </c>
      <c r="M150" s="12">
        <f>L150/[4]货币基础!$B$4</f>
        <v>100</v>
      </c>
      <c r="N150" s="12">
        <f>IF(A150&lt;[3]关卡对接!$A$4,INDEX([3]关卡对接!$E$7:$E$141,A150),MATCH(E150,人物经验!$H$24:$H$573,1))</f>
        <v>186</v>
      </c>
      <c r="O150" s="12">
        <f>INDEX([2]关卡!$G$6:$G$2005,A150)</f>
        <v>3</v>
      </c>
      <c r="P150" s="13">
        <v>6</v>
      </c>
      <c r="Q150" s="12">
        <f>INT(P150/$S$15/O150*VLOOKUP(J150,[1]人物技能基础!$N$3:$O$553,2,0)*$U$15)</f>
        <v>9</v>
      </c>
      <c r="R150" s="12">
        <f t="shared" si="30"/>
        <v>112</v>
      </c>
    </row>
    <row r="151" spans="1:18" x14ac:dyDescent="0.15">
      <c r="A151" s="12">
        <v>133</v>
      </c>
      <c r="B151" s="12">
        <f t="shared" si="24"/>
        <v>1</v>
      </c>
      <c r="C151" s="12">
        <f t="shared" si="25"/>
        <v>0.52793721907500002</v>
      </c>
      <c r="D151" s="12">
        <f t="shared" si="26"/>
        <v>7.2529758749999562E-3</v>
      </c>
      <c r="E151" s="12">
        <f>SUM($D$19:D151)</f>
        <v>0.52793721907500002</v>
      </c>
      <c r="F151" s="12">
        <f t="shared" si="22"/>
        <v>8.6304768492299395</v>
      </c>
      <c r="G151" s="12">
        <f t="shared" si="23"/>
        <v>12.359307291780938</v>
      </c>
      <c r="H151" s="12">
        <f t="shared" si="27"/>
        <v>31000</v>
      </c>
      <c r="I151" s="12">
        <f t="shared" si="28"/>
        <v>44400</v>
      </c>
      <c r="J151" s="12">
        <f>IF(A151&lt;[3]关卡对接!$A$4,INDEX([3]关卡对接!$C$7:$C$141,A151),MATCH(E151,人物经验!$H$24:$H$573,1))</f>
        <v>186</v>
      </c>
      <c r="K151" s="12">
        <f>IF([3]关卡对接!F139="",INT(INDEX(人物经验!$J$24:$J$573,关卡!J151)*关卡!$S$7),[3]关卡对接!F139)</f>
        <v>764</v>
      </c>
      <c r="L151" s="12">
        <f t="shared" si="29"/>
        <v>1</v>
      </c>
      <c r="M151" s="12">
        <f>L151/[4]货币基础!$B$4</f>
        <v>100</v>
      </c>
      <c r="N151" s="12">
        <f>IF(A151&lt;[3]关卡对接!$A$4,INDEX([3]关卡对接!$E$7:$E$141,A151),MATCH(E151,人物经验!$H$24:$H$573,1))</f>
        <v>186</v>
      </c>
      <c r="O151" s="12">
        <f>INDEX([2]关卡!$G$6:$G$2005,A151)</f>
        <v>3</v>
      </c>
      <c r="P151" s="13">
        <v>6</v>
      </c>
      <c r="Q151" s="12">
        <f>INT(P151/$S$15/O151*VLOOKUP(J151,[1]人物技能基础!$N$3:$O$553,2,0)*$U$15)</f>
        <v>9</v>
      </c>
      <c r="R151" s="12">
        <f t="shared" si="30"/>
        <v>112</v>
      </c>
    </row>
    <row r="152" spans="1:18" x14ac:dyDescent="0.15">
      <c r="A152" s="12">
        <v>134</v>
      </c>
      <c r="B152" s="12">
        <f t="shared" si="24"/>
        <v>1</v>
      </c>
      <c r="C152" s="12">
        <f t="shared" si="25"/>
        <v>0.53526002520000004</v>
      </c>
      <c r="D152" s="12">
        <f t="shared" si="26"/>
        <v>7.3228061250000254E-3</v>
      </c>
      <c r="E152" s="12">
        <f>SUM($D$19:D152)</f>
        <v>0.53526002520000004</v>
      </c>
      <c r="F152" s="12">
        <f t="shared" si="22"/>
        <v>8.6960691972790016</v>
      </c>
      <c r="G152" s="12">
        <f t="shared" si="23"/>
        <v>12.420378806495002</v>
      </c>
      <c r="H152" s="12">
        <f t="shared" si="27"/>
        <v>31300</v>
      </c>
      <c r="I152" s="12">
        <f t="shared" si="28"/>
        <v>44700</v>
      </c>
      <c r="J152" s="12">
        <f>IF(A152&lt;[3]关卡对接!$A$4,INDEX([3]关卡对接!$C$7:$C$141,A152),MATCH(E152,人物经验!$H$24:$H$573,1))</f>
        <v>187</v>
      </c>
      <c r="K152" s="12">
        <f>IF([3]关卡对接!F140="",INT(INDEX(人物经验!$J$24:$J$573,关卡!J152)*关卡!$S$7),[3]关卡对接!F140)</f>
        <v>776</v>
      </c>
      <c r="L152" s="12">
        <f t="shared" si="29"/>
        <v>1</v>
      </c>
      <c r="M152" s="12">
        <f>L152/[4]货币基础!$B$4</f>
        <v>100</v>
      </c>
      <c r="N152" s="12">
        <f>IF(A152&lt;[3]关卡对接!$A$4,INDEX([3]关卡对接!$E$7:$E$141,A152),MATCH(E152,人物经验!$H$24:$H$573,1))</f>
        <v>187</v>
      </c>
      <c r="O152" s="12">
        <f>INDEX([2]关卡!$G$6:$G$2005,A152)</f>
        <v>3</v>
      </c>
      <c r="P152" s="13">
        <v>6</v>
      </c>
      <c r="Q152" s="12">
        <f>INT(P152/$S$15/O152*VLOOKUP(J152,[1]人物技能基础!$N$3:$O$553,2,0)*$U$15)</f>
        <v>9</v>
      </c>
      <c r="R152" s="12">
        <f t="shared" si="30"/>
        <v>112</v>
      </c>
    </row>
    <row r="153" spans="1:18" x14ac:dyDescent="0.15">
      <c r="A153" s="12">
        <v>135</v>
      </c>
      <c r="B153" s="12">
        <f t="shared" si="24"/>
        <v>1</v>
      </c>
      <c r="C153" s="12">
        <f t="shared" si="25"/>
        <v>0.54265317187500006</v>
      </c>
      <c r="D153" s="12">
        <f t="shared" si="26"/>
        <v>7.3931466750000174E-3</v>
      </c>
      <c r="E153" s="12">
        <f>SUM($D$19:D153)</f>
        <v>0.54265317187500006</v>
      </c>
      <c r="F153" s="12">
        <f t="shared" si="22"/>
        <v>8.7617970687109388</v>
      </c>
      <c r="G153" s="12">
        <f t="shared" si="23"/>
        <v>12.481541675585937</v>
      </c>
      <c r="H153" s="12">
        <f t="shared" si="27"/>
        <v>31500</v>
      </c>
      <c r="I153" s="12">
        <f t="shared" si="28"/>
        <v>44900</v>
      </c>
      <c r="J153" s="12">
        <f>IF(A153&lt;[3]关卡对接!$A$4,INDEX([3]关卡对接!$C$7:$C$141,A153),MATCH(E153,人物经验!$H$24:$H$573,1))</f>
        <v>187</v>
      </c>
      <c r="K153" s="12">
        <f>IF([3]关卡对接!F141="",INT(INDEX(人物经验!$J$24:$J$573,关卡!J153)*关卡!$S$7),[3]关卡对接!F141)</f>
        <v>776</v>
      </c>
      <c r="L153" s="12">
        <f t="shared" si="29"/>
        <v>1</v>
      </c>
      <c r="M153" s="12">
        <f>L153/[4]货币基础!$B$4</f>
        <v>100</v>
      </c>
      <c r="N153" s="12">
        <f>IF(A153&lt;[3]关卡对接!$A$4,INDEX([3]关卡对接!$E$7:$E$141,A153),MATCH(E153,人物经验!$H$24:$H$573,1))</f>
        <v>187</v>
      </c>
      <c r="O153" s="12">
        <f>INDEX([2]关卡!$G$6:$G$2005,A153)</f>
        <v>3</v>
      </c>
      <c r="P153" s="13">
        <v>6</v>
      </c>
      <c r="Q153" s="12">
        <f>INT(P153/$S$15/O153*VLOOKUP(J153,[1]人物技能基础!$N$3:$O$553,2,0)*$U$15)</f>
        <v>9</v>
      </c>
      <c r="R153" s="12">
        <f t="shared" si="30"/>
        <v>112</v>
      </c>
    </row>
    <row r="154" spans="1:18" x14ac:dyDescent="0.15">
      <c r="A154" s="12">
        <v>136</v>
      </c>
      <c r="B154" s="12">
        <f t="shared" si="24"/>
        <v>1</v>
      </c>
      <c r="C154" s="12">
        <f t="shared" si="25"/>
        <v>0.55011717120000003</v>
      </c>
      <c r="D154" s="12">
        <f t="shared" si="26"/>
        <v>7.4639993249999703E-3</v>
      </c>
      <c r="E154" s="12">
        <f>SUM($D$19:D154)</f>
        <v>0.55011717120000003</v>
      </c>
      <c r="F154" s="12">
        <f t="shared" si="22"/>
        <v>8.8276607690240017</v>
      </c>
      <c r="G154" s="12">
        <f t="shared" si="23"/>
        <v>12.542796030720003</v>
      </c>
      <c r="H154" s="12">
        <f t="shared" si="27"/>
        <v>31700</v>
      </c>
      <c r="I154" s="12">
        <f t="shared" si="28"/>
        <v>45100</v>
      </c>
      <c r="J154" s="12">
        <f>IF(A154&lt;[3]关卡对接!$A$4,INDEX([3]关卡对接!$C$7:$C$141,A154),MATCH(E154,人物经验!$H$24:$H$573,1))</f>
        <v>188</v>
      </c>
      <c r="K154" s="12">
        <f>IF([3]关卡对接!F142="",INT(INDEX(人物经验!$J$24:$J$573,关卡!J154)*关卡!$S$7),[3]关卡对接!F142)</f>
        <v>788</v>
      </c>
      <c r="L154" s="12">
        <f t="shared" si="29"/>
        <v>1</v>
      </c>
      <c r="M154" s="12">
        <f>L154/[4]货币基础!$B$4</f>
        <v>100</v>
      </c>
      <c r="N154" s="12">
        <f>IF(A154&lt;[3]关卡对接!$A$4,INDEX([3]关卡对接!$E$7:$E$141,A154),MATCH(E154,人物经验!$H$24:$H$573,1))</f>
        <v>188</v>
      </c>
      <c r="O154" s="12">
        <f>INDEX([2]关卡!$G$6:$G$2005,A154)</f>
        <v>3</v>
      </c>
      <c r="P154" s="13">
        <v>6</v>
      </c>
      <c r="Q154" s="12">
        <f>INT(P154/$S$15/O154*VLOOKUP(J154,[1]人物技能基础!$N$3:$O$553,2,0)*$U$15)</f>
        <v>9</v>
      </c>
      <c r="R154" s="12">
        <f t="shared" si="30"/>
        <v>112</v>
      </c>
    </row>
    <row r="155" spans="1:18" x14ac:dyDescent="0.15">
      <c r="A155" s="12">
        <v>137</v>
      </c>
      <c r="B155" s="12">
        <f t="shared" si="24"/>
        <v>1</v>
      </c>
      <c r="C155" s="12">
        <f t="shared" si="25"/>
        <v>0.55765253707500018</v>
      </c>
      <c r="D155" s="12">
        <f t="shared" si="26"/>
        <v>7.535365875000144E-3</v>
      </c>
      <c r="E155" s="12">
        <f>SUM($D$19:D155)</f>
        <v>0.55765253707500018</v>
      </c>
      <c r="F155" s="12">
        <f t="shared" si="22"/>
        <v>8.8936606043149382</v>
      </c>
      <c r="G155" s="12">
        <f t="shared" si="23"/>
        <v>12.604142003705938</v>
      </c>
      <c r="H155" s="12">
        <f t="shared" si="27"/>
        <v>32000</v>
      </c>
      <c r="I155" s="12">
        <f t="shared" si="28"/>
        <v>45300</v>
      </c>
      <c r="J155" s="12">
        <f>IF(A155&lt;[3]关卡对接!$A$4,INDEX([3]关卡对接!$C$7:$C$141,A155),MATCH(E155,人物经验!$H$24:$H$573,1))</f>
        <v>189</v>
      </c>
      <c r="K155" s="12">
        <f>IF([3]关卡对接!F143="",INT(INDEX(人物经验!$J$24:$J$573,关卡!J155)*关卡!$S$7),[3]关卡对接!F143)</f>
        <v>794</v>
      </c>
      <c r="L155" s="12">
        <f t="shared" si="29"/>
        <v>1</v>
      </c>
      <c r="M155" s="12">
        <f>L155/[4]货币基础!$B$4</f>
        <v>100</v>
      </c>
      <c r="N155" s="12">
        <f>IF(A155&lt;[3]关卡对接!$A$4,INDEX([3]关卡对接!$E$7:$E$141,A155),MATCH(E155,人物经验!$H$24:$H$573,1))</f>
        <v>189</v>
      </c>
      <c r="O155" s="12">
        <f>INDEX([2]关卡!$G$6:$G$2005,A155)</f>
        <v>3</v>
      </c>
      <c r="P155" s="13">
        <v>6</v>
      </c>
      <c r="Q155" s="12">
        <f>INT(P155/$S$15/O155*VLOOKUP(J155,[1]人物技能基础!$N$3:$O$553,2,0)*$U$15)</f>
        <v>9</v>
      </c>
      <c r="R155" s="12">
        <f t="shared" si="30"/>
        <v>112</v>
      </c>
    </row>
    <row r="156" spans="1:18" x14ac:dyDescent="0.15">
      <c r="A156" s="12">
        <v>138</v>
      </c>
      <c r="B156" s="12">
        <f t="shared" si="24"/>
        <v>1</v>
      </c>
      <c r="C156" s="12">
        <f t="shared" si="25"/>
        <v>0.56525978519999998</v>
      </c>
      <c r="D156" s="12">
        <f t="shared" si="26"/>
        <v>7.6072481249997992E-3</v>
      </c>
      <c r="E156" s="12">
        <f>SUM($D$19:D156)</f>
        <v>0.56525978519999998</v>
      </c>
      <c r="F156" s="12">
        <f t="shared" si="22"/>
        <v>8.9597968812790025</v>
      </c>
      <c r="G156" s="12">
        <f t="shared" si="23"/>
        <v>12.665579726495</v>
      </c>
      <c r="H156" s="12">
        <f t="shared" si="27"/>
        <v>32200</v>
      </c>
      <c r="I156" s="12">
        <f t="shared" si="28"/>
        <v>45500</v>
      </c>
      <c r="J156" s="12">
        <f>IF(A156&lt;[3]关卡对接!$A$4,INDEX([3]关卡对接!$C$7:$C$141,A156),MATCH(E156,人物经验!$H$24:$H$573,1))</f>
        <v>189</v>
      </c>
      <c r="K156" s="12">
        <f>IF([3]关卡对接!F144="",INT(INDEX(人物经验!$J$24:$J$573,关卡!J156)*关卡!$S$7),[3]关卡对接!F144)</f>
        <v>794</v>
      </c>
      <c r="L156" s="12">
        <f t="shared" si="29"/>
        <v>1</v>
      </c>
      <c r="M156" s="12">
        <f>L156/[4]货币基础!$B$4</f>
        <v>100</v>
      </c>
      <c r="N156" s="12">
        <f>IF(A156&lt;[3]关卡对接!$A$4,INDEX([3]关卡对接!$E$7:$E$141,A156),MATCH(E156,人物经验!$H$24:$H$573,1))</f>
        <v>189</v>
      </c>
      <c r="O156" s="12">
        <f>INDEX([2]关卡!$G$6:$G$2005,A156)</f>
        <v>3</v>
      </c>
      <c r="P156" s="13">
        <v>6</v>
      </c>
      <c r="Q156" s="12">
        <f>INT(P156/$S$15/O156*VLOOKUP(J156,[1]人物技能基础!$N$3:$O$553,2,0)*$U$15)</f>
        <v>9</v>
      </c>
      <c r="R156" s="12">
        <f t="shared" si="30"/>
        <v>112</v>
      </c>
    </row>
    <row r="157" spans="1:18" x14ac:dyDescent="0.15">
      <c r="A157" s="12">
        <v>139</v>
      </c>
      <c r="B157" s="12">
        <f t="shared" si="24"/>
        <v>1</v>
      </c>
      <c r="C157" s="12">
        <f t="shared" si="25"/>
        <v>0.57293943307499995</v>
      </c>
      <c r="D157" s="12">
        <f t="shared" si="26"/>
        <v>7.679647874999973E-3</v>
      </c>
      <c r="E157" s="12">
        <f>SUM($D$19:D157)</f>
        <v>0.57293943307499995</v>
      </c>
      <c r="F157" s="12">
        <f t="shared" si="22"/>
        <v>9.0260699072099406</v>
      </c>
      <c r="G157" s="12">
        <f t="shared" si="23"/>
        <v>12.727109331180941</v>
      </c>
      <c r="H157" s="12">
        <f t="shared" si="27"/>
        <v>32400</v>
      </c>
      <c r="I157" s="12">
        <f t="shared" si="28"/>
        <v>45800</v>
      </c>
      <c r="J157" s="12">
        <f>IF(A157&lt;[3]关卡对接!$A$4,INDEX([3]关卡对接!$C$7:$C$141,A157),MATCH(E157,人物经验!$H$24:$H$573,1))</f>
        <v>190</v>
      </c>
      <c r="K157" s="12">
        <f>IF([3]关卡对接!F145="",INT(INDEX(人物经验!$J$24:$J$573,关卡!J157)*关卡!$S$7),[3]关卡对接!F145)</f>
        <v>806</v>
      </c>
      <c r="L157" s="12">
        <f t="shared" si="29"/>
        <v>1</v>
      </c>
      <c r="M157" s="12">
        <f>L157/[4]货币基础!$B$4</f>
        <v>100</v>
      </c>
      <c r="N157" s="12">
        <f>IF(A157&lt;[3]关卡对接!$A$4,INDEX([3]关卡对接!$E$7:$E$141,A157),MATCH(E157,人物经验!$H$24:$H$573,1))</f>
        <v>190</v>
      </c>
      <c r="O157" s="12">
        <f>INDEX([2]关卡!$G$6:$G$2005,A157)</f>
        <v>3</v>
      </c>
      <c r="P157" s="13">
        <v>6</v>
      </c>
      <c r="Q157" s="12">
        <f>INT(P157/$S$15/O157*VLOOKUP(J157,[1]人物技能基础!$N$3:$O$553,2,0)*$U$15)</f>
        <v>9</v>
      </c>
      <c r="R157" s="12">
        <f t="shared" si="30"/>
        <v>112</v>
      </c>
    </row>
    <row r="158" spans="1:18" x14ac:dyDescent="0.15">
      <c r="A158" s="12">
        <v>140</v>
      </c>
      <c r="B158" s="12">
        <f t="shared" si="24"/>
        <v>1</v>
      </c>
      <c r="C158" s="12">
        <f t="shared" si="25"/>
        <v>0.58069199999999999</v>
      </c>
      <c r="D158" s="12">
        <f t="shared" si="26"/>
        <v>7.7525669250000373E-3</v>
      </c>
      <c r="E158" s="12">
        <f>SUM($D$19:D158)</f>
        <v>0.58069199999999999</v>
      </c>
      <c r="F158" s="12">
        <f t="shared" si="22"/>
        <v>9.0924799899999993</v>
      </c>
      <c r="G158" s="12">
        <f t="shared" si="23"/>
        <v>12.788730949999998</v>
      </c>
      <c r="H158" s="12">
        <f t="shared" si="27"/>
        <v>32700</v>
      </c>
      <c r="I158" s="12">
        <f t="shared" si="28"/>
        <v>46000</v>
      </c>
      <c r="J158" s="12">
        <f>IF(A158&lt;[3]关卡对接!$A$4,INDEX([3]关卡对接!$C$7:$C$141,A158),MATCH(E158,人物经验!$H$24:$H$573,1))</f>
        <v>190</v>
      </c>
      <c r="K158" s="12">
        <f>IF([3]关卡对接!F146="",INT(INDEX(人物经验!$J$24:$J$573,关卡!J158)*关卡!$S$7),[3]关卡对接!F146)</f>
        <v>806</v>
      </c>
      <c r="L158" s="12">
        <f t="shared" si="29"/>
        <v>1</v>
      </c>
      <c r="M158" s="12">
        <f>L158/[4]货币基础!$B$4</f>
        <v>100</v>
      </c>
      <c r="N158" s="12">
        <f>IF(A158&lt;[3]关卡对接!$A$4,INDEX([3]关卡对接!$E$7:$E$141,A158),MATCH(E158,人物经验!$H$24:$H$573,1))</f>
        <v>190</v>
      </c>
      <c r="O158" s="12">
        <f>INDEX([2]关卡!$G$6:$G$2005,A158)</f>
        <v>3</v>
      </c>
      <c r="P158" s="13">
        <v>6</v>
      </c>
      <c r="Q158" s="12">
        <f>INT(P158/$S$15/O158*VLOOKUP(J158,[1]人物技能基础!$N$3:$O$553,2,0)*$U$15)</f>
        <v>9</v>
      </c>
      <c r="R158" s="12">
        <f t="shared" si="30"/>
        <v>112</v>
      </c>
    </row>
    <row r="159" spans="1:18" x14ac:dyDescent="0.15">
      <c r="A159" s="12">
        <v>141</v>
      </c>
      <c r="B159" s="12">
        <f t="shared" si="24"/>
        <v>1</v>
      </c>
      <c r="C159" s="12">
        <f t="shared" si="25"/>
        <v>0.5885180070749999</v>
      </c>
      <c r="D159" s="12">
        <f t="shared" si="26"/>
        <v>7.8260070749999189E-3</v>
      </c>
      <c r="E159" s="12">
        <f>SUM($D$19:D159)</f>
        <v>0.5885180070749999</v>
      </c>
      <c r="F159" s="12">
        <f t="shared" si="22"/>
        <v>9.1590274381399368</v>
      </c>
      <c r="G159" s="12">
        <f t="shared" si="23"/>
        <v>12.850444715330935</v>
      </c>
      <c r="H159" s="12">
        <f t="shared" si="27"/>
        <v>32900</v>
      </c>
      <c r="I159" s="12">
        <f t="shared" si="28"/>
        <v>46200</v>
      </c>
      <c r="J159" s="12">
        <f>IF(A159&lt;[3]关卡对接!$A$4,INDEX([3]关卡对接!$C$7:$C$141,A159),MATCH(E159,人物经验!$H$24:$H$573,1))</f>
        <v>191</v>
      </c>
      <c r="K159" s="12">
        <f>IF([3]关卡对接!F147="",INT(INDEX(人物经验!$J$24:$J$573,关卡!J159)*关卡!$S$7),[3]关卡对接!F147)</f>
        <v>818</v>
      </c>
      <c r="L159" s="12">
        <f t="shared" si="29"/>
        <v>1</v>
      </c>
      <c r="M159" s="12">
        <f>L159/[4]货币基础!$B$4</f>
        <v>100</v>
      </c>
      <c r="N159" s="12">
        <f>IF(A159&lt;[3]关卡对接!$A$4,INDEX([3]关卡对接!$E$7:$E$141,A159),MATCH(E159,人物经验!$H$24:$H$573,1))</f>
        <v>191</v>
      </c>
      <c r="O159" s="12">
        <f>INDEX([2]关卡!$G$6:$G$2005,A159)</f>
        <v>3</v>
      </c>
      <c r="P159" s="13">
        <v>6</v>
      </c>
      <c r="Q159" s="12">
        <f>INT(P159/$S$15/O159*VLOOKUP(J159,[1]人物技能基础!$N$3:$O$553,2,0)*$U$15)</f>
        <v>9</v>
      </c>
      <c r="R159" s="12">
        <f t="shared" si="30"/>
        <v>112</v>
      </c>
    </row>
    <row r="160" spans="1:18" x14ac:dyDescent="0.15">
      <c r="A160" s="12">
        <v>142</v>
      </c>
      <c r="B160" s="12">
        <f t="shared" si="24"/>
        <v>1</v>
      </c>
      <c r="C160" s="12">
        <f t="shared" si="25"/>
        <v>0.5964179772</v>
      </c>
      <c r="D160" s="12">
        <f t="shared" si="26"/>
        <v>7.8999701250000998E-3</v>
      </c>
      <c r="E160" s="12">
        <f>SUM($D$19:D160)</f>
        <v>0.5964179772</v>
      </c>
      <c r="F160" s="12">
        <f t="shared" si="22"/>
        <v>9.2257125607189998</v>
      </c>
      <c r="G160" s="12">
        <f t="shared" si="23"/>
        <v>12.912250759695002</v>
      </c>
      <c r="H160" s="12">
        <f t="shared" si="27"/>
        <v>33200</v>
      </c>
      <c r="I160" s="12">
        <f t="shared" si="28"/>
        <v>46400</v>
      </c>
      <c r="J160" s="12">
        <f>IF(A160&lt;[3]关卡对接!$A$4,INDEX([3]关卡对接!$C$7:$C$141,A160),MATCH(E160,人物经验!$H$24:$H$573,1))</f>
        <v>192</v>
      </c>
      <c r="K160" s="12">
        <f>IF([3]关卡对接!F148="",INT(INDEX(人物经验!$J$24:$J$573,关卡!J160)*关卡!$S$7),[3]关卡对接!F148)</f>
        <v>824</v>
      </c>
      <c r="L160" s="12">
        <f t="shared" si="29"/>
        <v>1</v>
      </c>
      <c r="M160" s="12">
        <f>L160/[4]货币基础!$B$4</f>
        <v>100</v>
      </c>
      <c r="N160" s="12">
        <f>IF(A160&lt;[3]关卡对接!$A$4,INDEX([3]关卡对接!$E$7:$E$141,A160),MATCH(E160,人物经验!$H$24:$H$573,1))</f>
        <v>192</v>
      </c>
      <c r="O160" s="12">
        <f>INDEX([2]关卡!$G$6:$G$2005,A160)</f>
        <v>3</v>
      </c>
      <c r="P160" s="13">
        <v>6</v>
      </c>
      <c r="Q160" s="12">
        <f>INT(P160/$S$15/O160*VLOOKUP(J160,[1]人物技能基础!$N$3:$O$553,2,0)*$U$15)</f>
        <v>9</v>
      </c>
      <c r="R160" s="12">
        <f t="shared" si="30"/>
        <v>112</v>
      </c>
    </row>
    <row r="161" spans="1:18" x14ac:dyDescent="0.15">
      <c r="A161" s="12">
        <v>143</v>
      </c>
      <c r="B161" s="12">
        <f t="shared" si="24"/>
        <v>1</v>
      </c>
      <c r="C161" s="12">
        <f t="shared" si="25"/>
        <v>0.60439243507499985</v>
      </c>
      <c r="D161" s="12">
        <f t="shared" si="26"/>
        <v>7.9744578749998407E-3</v>
      </c>
      <c r="E161" s="12">
        <f>SUM($D$19:D161)</f>
        <v>0.60439243507499985</v>
      </c>
      <c r="F161" s="12">
        <f t="shared" si="22"/>
        <v>9.2925356674249375</v>
      </c>
      <c r="G161" s="12">
        <f t="shared" si="23"/>
        <v>12.974149215755938</v>
      </c>
      <c r="H161" s="12">
        <f t="shared" si="27"/>
        <v>33400</v>
      </c>
      <c r="I161" s="12">
        <f t="shared" si="28"/>
        <v>46700</v>
      </c>
      <c r="J161" s="12">
        <f>IF(A161&lt;[3]关卡对接!$A$4,INDEX([3]关卡对接!$C$7:$C$141,A161),MATCH(E161,人物经验!$H$24:$H$573,1))</f>
        <v>192</v>
      </c>
      <c r="K161" s="12">
        <f>IF([3]关卡对接!F149="",INT(INDEX(人物经验!$J$24:$J$573,关卡!J161)*关卡!$S$7),[3]关卡对接!F149)</f>
        <v>824</v>
      </c>
      <c r="L161" s="12">
        <f t="shared" si="29"/>
        <v>1</v>
      </c>
      <c r="M161" s="12">
        <f>L161/[4]货币基础!$B$4</f>
        <v>100</v>
      </c>
      <c r="N161" s="12">
        <f>IF(A161&lt;[3]关卡对接!$A$4,INDEX([3]关卡对接!$E$7:$E$141,A161),MATCH(E161,人物经验!$H$24:$H$573,1))</f>
        <v>192</v>
      </c>
      <c r="O161" s="12">
        <f>INDEX([2]关卡!$G$6:$G$2005,A161)</f>
        <v>3</v>
      </c>
      <c r="P161" s="13">
        <v>6</v>
      </c>
      <c r="Q161" s="12">
        <f>INT(P161/$S$15/O161*VLOOKUP(J161,[1]人物技能基础!$N$3:$O$553,2,0)*$U$15)</f>
        <v>9</v>
      </c>
      <c r="R161" s="12">
        <f t="shared" si="30"/>
        <v>112</v>
      </c>
    </row>
    <row r="162" spans="1:18" x14ac:dyDescent="0.15">
      <c r="A162" s="12">
        <v>144</v>
      </c>
      <c r="B162" s="12">
        <f t="shared" si="24"/>
        <v>1</v>
      </c>
      <c r="C162" s="12">
        <f t="shared" si="25"/>
        <v>0.61244190719999991</v>
      </c>
      <c r="D162" s="12">
        <f t="shared" si="26"/>
        <v>8.0494721250000678E-3</v>
      </c>
      <c r="E162" s="12">
        <f>SUM($D$19:D162)</f>
        <v>0.61244190719999991</v>
      </c>
      <c r="F162" s="12">
        <f t="shared" si="22"/>
        <v>9.3594970685439964</v>
      </c>
      <c r="G162" s="12">
        <f t="shared" si="23"/>
        <v>13.036140216319998</v>
      </c>
      <c r="H162" s="12">
        <f t="shared" si="27"/>
        <v>33600</v>
      </c>
      <c r="I162" s="12">
        <f t="shared" si="28"/>
        <v>46900</v>
      </c>
      <c r="J162" s="12">
        <f>IF(A162&lt;[3]关卡对接!$A$4,INDEX([3]关卡对接!$C$7:$C$141,A162),MATCH(E162,人物经验!$H$24:$H$573,1))</f>
        <v>193</v>
      </c>
      <c r="K162" s="12">
        <f>IF([3]关卡对接!F150="",INT(INDEX(人物经验!$J$24:$J$573,关卡!J162)*关卡!$S$7),[3]关卡对接!F150)</f>
        <v>836</v>
      </c>
      <c r="L162" s="12">
        <f t="shared" si="29"/>
        <v>1</v>
      </c>
      <c r="M162" s="12">
        <f>L162/[4]货币基础!$B$4</f>
        <v>100</v>
      </c>
      <c r="N162" s="12">
        <f>IF(A162&lt;[3]关卡对接!$A$4,INDEX([3]关卡对接!$E$7:$E$141,A162),MATCH(E162,人物经验!$H$24:$H$573,1))</f>
        <v>193</v>
      </c>
      <c r="O162" s="12">
        <f>INDEX([2]关卡!$G$6:$G$2005,A162)</f>
        <v>3</v>
      </c>
      <c r="P162" s="13">
        <v>6</v>
      </c>
      <c r="Q162" s="12">
        <f>INT(P162/$S$15/O162*VLOOKUP(J162,[1]人物技能基础!$N$3:$O$553,2,0)*$U$15)</f>
        <v>9</v>
      </c>
      <c r="R162" s="12">
        <f t="shared" si="30"/>
        <v>112</v>
      </c>
    </row>
    <row r="163" spans="1:18" x14ac:dyDescent="0.15">
      <c r="A163" s="12">
        <v>145</v>
      </c>
      <c r="B163" s="12">
        <f t="shared" si="24"/>
        <v>1</v>
      </c>
      <c r="C163" s="12">
        <f t="shared" si="25"/>
        <v>0.62056692187499995</v>
      </c>
      <c r="D163" s="12">
        <f t="shared" si="26"/>
        <v>8.1250146750000418E-3</v>
      </c>
      <c r="E163" s="12">
        <f>SUM($D$19:D163)</f>
        <v>0.62056692187499995</v>
      </c>
      <c r="F163" s="12">
        <f t="shared" si="22"/>
        <v>9.4265970749609362</v>
      </c>
      <c r="G163" s="12">
        <f t="shared" si="23"/>
        <v>13.098223894335938</v>
      </c>
      <c r="H163" s="12">
        <f t="shared" si="27"/>
        <v>33900</v>
      </c>
      <c r="I163" s="12">
        <f t="shared" si="28"/>
        <v>47100</v>
      </c>
      <c r="J163" s="12">
        <f>IF(A163&lt;[3]关卡对接!$A$4,INDEX([3]关卡对接!$C$7:$C$141,A163),MATCH(E163,人物经验!$H$24:$H$573,1))</f>
        <v>194</v>
      </c>
      <c r="K163" s="12">
        <f>IF([3]关卡对接!F151="",INT(INDEX(人物经验!$J$24:$J$573,关卡!J163)*关卡!$S$7),[3]关卡对接!F151)</f>
        <v>842</v>
      </c>
      <c r="L163" s="12">
        <f t="shared" si="29"/>
        <v>1</v>
      </c>
      <c r="M163" s="12">
        <f>L163/[4]货币基础!$B$4</f>
        <v>100</v>
      </c>
      <c r="N163" s="12">
        <f>IF(A163&lt;[3]关卡对接!$A$4,INDEX([3]关卡对接!$E$7:$E$141,A163),MATCH(E163,人物经验!$H$24:$H$573,1))</f>
        <v>194</v>
      </c>
      <c r="O163" s="12">
        <f>INDEX([2]关卡!$G$6:$G$2005,A163)</f>
        <v>3</v>
      </c>
      <c r="P163" s="13">
        <v>6</v>
      </c>
      <c r="Q163" s="12">
        <f>INT(P163/$S$15/O163*VLOOKUP(J163,[1]人物技能基础!$N$3:$O$553,2,0)*$U$15)</f>
        <v>9</v>
      </c>
      <c r="R163" s="12">
        <f t="shared" si="30"/>
        <v>112</v>
      </c>
    </row>
    <row r="164" spans="1:18" x14ac:dyDescent="0.15">
      <c r="A164" s="12">
        <v>146</v>
      </c>
      <c r="B164" s="12">
        <f t="shared" si="24"/>
        <v>1</v>
      </c>
      <c r="C164" s="12">
        <f t="shared" si="25"/>
        <v>0.62876800919999987</v>
      </c>
      <c r="D164" s="12">
        <f t="shared" si="26"/>
        <v>8.2010873249999117E-3</v>
      </c>
      <c r="E164" s="12">
        <f>SUM($D$19:D164)</f>
        <v>0.62876800919999987</v>
      </c>
      <c r="F164" s="12">
        <f t="shared" si="22"/>
        <v>9.4938359981590015</v>
      </c>
      <c r="G164" s="12">
        <f t="shared" si="23"/>
        <v>13.160400382895</v>
      </c>
      <c r="H164" s="12">
        <f t="shared" si="27"/>
        <v>34100</v>
      </c>
      <c r="I164" s="12">
        <f t="shared" si="28"/>
        <v>47300</v>
      </c>
      <c r="J164" s="12">
        <f>IF(A164&lt;[3]关卡对接!$A$4,INDEX([3]关卡对接!$C$7:$C$141,A164),MATCH(E164,人物经验!$H$24:$H$573,1))</f>
        <v>194</v>
      </c>
      <c r="K164" s="12">
        <f>IF([3]关卡对接!F152="",INT(INDEX(人物经验!$J$24:$J$573,关卡!J164)*关卡!$S$7),[3]关卡对接!F152)</f>
        <v>842</v>
      </c>
      <c r="L164" s="12">
        <f t="shared" si="29"/>
        <v>1</v>
      </c>
      <c r="M164" s="12">
        <f>L164/[4]货币基础!$B$4</f>
        <v>100</v>
      </c>
      <c r="N164" s="12">
        <f>IF(A164&lt;[3]关卡对接!$A$4,INDEX([3]关卡对接!$E$7:$E$141,A164),MATCH(E164,人物经验!$H$24:$H$573,1))</f>
        <v>194</v>
      </c>
      <c r="O164" s="12">
        <f>INDEX([2]关卡!$G$6:$G$2005,A164)</f>
        <v>3</v>
      </c>
      <c r="P164" s="13">
        <v>6</v>
      </c>
      <c r="Q164" s="12">
        <f>INT(P164/$S$15/O164*VLOOKUP(J164,[1]人物技能基础!$N$3:$O$553,2,0)*$U$15)</f>
        <v>9</v>
      </c>
      <c r="R164" s="12">
        <f t="shared" si="30"/>
        <v>112</v>
      </c>
    </row>
    <row r="165" spans="1:18" x14ac:dyDescent="0.15">
      <c r="A165" s="12">
        <v>147</v>
      </c>
      <c r="B165" s="12">
        <f t="shared" si="24"/>
        <v>1</v>
      </c>
      <c r="C165" s="12">
        <f t="shared" si="25"/>
        <v>0.63704570107500003</v>
      </c>
      <c r="D165" s="12">
        <f t="shared" si="26"/>
        <v>8.2776918750001593E-3</v>
      </c>
      <c r="E165" s="12">
        <f>SUM($D$19:D165)</f>
        <v>0.63704570107500003</v>
      </c>
      <c r="F165" s="12">
        <f t="shared" si="22"/>
        <v>9.5612141502199375</v>
      </c>
      <c r="G165" s="12">
        <f t="shared" si="23"/>
        <v>13.222669815230937</v>
      </c>
      <c r="H165" s="12">
        <f t="shared" si="27"/>
        <v>34400</v>
      </c>
      <c r="I165" s="12">
        <f t="shared" si="28"/>
        <v>47600</v>
      </c>
      <c r="J165" s="12">
        <f>IF(A165&lt;[3]关卡对接!$A$4,INDEX([3]关卡对接!$C$7:$C$141,A165),MATCH(E165,人物经验!$H$24:$H$573,1))</f>
        <v>195</v>
      </c>
      <c r="K165" s="12">
        <f>IF([3]关卡对接!F153="",INT(INDEX(人物经验!$J$24:$J$573,关卡!J165)*关卡!$S$7),[3]关卡对接!F153)</f>
        <v>854</v>
      </c>
      <c r="L165" s="12">
        <f t="shared" si="29"/>
        <v>1</v>
      </c>
      <c r="M165" s="12">
        <f>L165/[4]货币基础!$B$4</f>
        <v>100</v>
      </c>
      <c r="N165" s="12">
        <f>IF(A165&lt;[3]关卡对接!$A$4,INDEX([3]关卡对接!$E$7:$E$141,A165),MATCH(E165,人物经验!$H$24:$H$573,1))</f>
        <v>195</v>
      </c>
      <c r="O165" s="12">
        <f>INDEX([2]关卡!$G$6:$G$2005,A165)</f>
        <v>3</v>
      </c>
      <c r="P165" s="13">
        <v>6</v>
      </c>
      <c r="Q165" s="12">
        <f>INT(P165/$S$15/O165*VLOOKUP(J165,[1]人物技能基础!$N$3:$O$553,2,0)*$U$15)</f>
        <v>9</v>
      </c>
      <c r="R165" s="12">
        <f t="shared" si="30"/>
        <v>112</v>
      </c>
    </row>
    <row r="166" spans="1:18" x14ac:dyDescent="0.15">
      <c r="A166" s="12">
        <v>148</v>
      </c>
      <c r="B166" s="12">
        <f t="shared" si="24"/>
        <v>1</v>
      </c>
      <c r="C166" s="12">
        <f t="shared" si="25"/>
        <v>0.64540053119999985</v>
      </c>
      <c r="D166" s="12">
        <f t="shared" si="26"/>
        <v>8.3548301249998236E-3</v>
      </c>
      <c r="E166" s="12">
        <f>SUM($D$19:D166)</f>
        <v>0.64540053119999985</v>
      </c>
      <c r="F166" s="12">
        <f t="shared" si="22"/>
        <v>9.628731843824001</v>
      </c>
      <c r="G166" s="12">
        <f t="shared" si="23"/>
        <v>13.285032324720001</v>
      </c>
      <c r="H166" s="12">
        <f t="shared" si="27"/>
        <v>34600</v>
      </c>
      <c r="I166" s="12">
        <f t="shared" si="28"/>
        <v>47800</v>
      </c>
      <c r="J166" s="12">
        <f>IF(A166&lt;[3]关卡对接!$A$4,INDEX([3]关卡对接!$C$7:$C$141,A166),MATCH(E166,人物经验!$H$24:$H$573,1))</f>
        <v>195</v>
      </c>
      <c r="K166" s="12">
        <f>IF([3]关卡对接!F154="",INT(INDEX(人物经验!$J$24:$J$573,关卡!J166)*关卡!$S$7),[3]关卡对接!F154)</f>
        <v>854</v>
      </c>
      <c r="L166" s="12">
        <f t="shared" si="29"/>
        <v>1</v>
      </c>
      <c r="M166" s="12">
        <f>L166/[4]货币基础!$B$4</f>
        <v>100</v>
      </c>
      <c r="N166" s="12">
        <f>IF(A166&lt;[3]关卡对接!$A$4,INDEX([3]关卡对接!$E$7:$E$141,A166),MATCH(E166,人物经验!$H$24:$H$573,1))</f>
        <v>195</v>
      </c>
      <c r="O166" s="12">
        <f>INDEX([2]关卡!$G$6:$G$2005,A166)</f>
        <v>3</v>
      </c>
      <c r="P166" s="13">
        <v>6</v>
      </c>
      <c r="Q166" s="12">
        <f>INT(P166/$S$15/O166*VLOOKUP(J166,[1]人物技能基础!$N$3:$O$553,2,0)*$U$15)</f>
        <v>9</v>
      </c>
      <c r="R166" s="12">
        <f t="shared" si="30"/>
        <v>112</v>
      </c>
    </row>
    <row r="167" spans="1:18" x14ac:dyDescent="0.15">
      <c r="A167" s="12">
        <v>149</v>
      </c>
      <c r="B167" s="12">
        <f t="shared" si="24"/>
        <v>1</v>
      </c>
      <c r="C167" s="12">
        <f t="shared" si="25"/>
        <v>0.65383303507500001</v>
      </c>
      <c r="D167" s="12">
        <f t="shared" si="26"/>
        <v>8.4325038750001635E-3</v>
      </c>
      <c r="E167" s="12">
        <f>SUM($D$19:D167)</f>
        <v>0.65383303507500001</v>
      </c>
      <c r="F167" s="12">
        <f t="shared" si="22"/>
        <v>9.6963893922499373</v>
      </c>
      <c r="G167" s="12">
        <f t="shared" si="23"/>
        <v>13.347488044880935</v>
      </c>
      <c r="H167" s="12">
        <f t="shared" si="27"/>
        <v>34900</v>
      </c>
      <c r="I167" s="12">
        <f t="shared" si="28"/>
        <v>48000</v>
      </c>
      <c r="J167" s="12">
        <f>IF(A167&lt;[3]关卡对接!$A$4,INDEX([3]关卡对接!$C$7:$C$141,A167),MATCH(E167,人物经验!$H$24:$H$573,1))</f>
        <v>196</v>
      </c>
      <c r="K167" s="12">
        <f>IF([3]关卡对接!F155="",INT(INDEX(人物经验!$J$24:$J$573,关卡!J167)*关卡!$S$7),[3]关卡对接!F155)</f>
        <v>866</v>
      </c>
      <c r="L167" s="12">
        <f t="shared" si="29"/>
        <v>1</v>
      </c>
      <c r="M167" s="12">
        <f>L167/[4]货币基础!$B$4</f>
        <v>100</v>
      </c>
      <c r="N167" s="12">
        <f>IF(A167&lt;[3]关卡对接!$A$4,INDEX([3]关卡对接!$E$7:$E$141,A167),MATCH(E167,人物经验!$H$24:$H$573,1))</f>
        <v>196</v>
      </c>
      <c r="O167" s="12">
        <f>INDEX([2]关卡!$G$6:$G$2005,A167)</f>
        <v>3</v>
      </c>
      <c r="P167" s="13">
        <v>6</v>
      </c>
      <c r="Q167" s="12">
        <f>INT(P167/$S$15/O167*VLOOKUP(J167,[1]人物技能基础!$N$3:$O$553,2,0)*$U$15)</f>
        <v>9</v>
      </c>
      <c r="R167" s="12">
        <f t="shared" si="30"/>
        <v>112</v>
      </c>
    </row>
    <row r="168" spans="1:18" x14ac:dyDescent="0.15">
      <c r="A168" s="12">
        <v>150</v>
      </c>
      <c r="B168" s="12">
        <f t="shared" si="24"/>
        <v>1</v>
      </c>
      <c r="C168" s="12">
        <f t="shared" si="25"/>
        <v>0.6623437499999999</v>
      </c>
      <c r="D168" s="12">
        <f t="shared" si="26"/>
        <v>8.5107149249998848E-3</v>
      </c>
      <c r="E168" s="12">
        <f>SUM($D$19:D168)</f>
        <v>0.6623437499999999</v>
      </c>
      <c r="F168" s="12">
        <f t="shared" si="22"/>
        <v>9.7641871093749995</v>
      </c>
      <c r="G168" s="12">
        <f t="shared" si="23"/>
        <v>13.410037109375002</v>
      </c>
      <c r="H168" s="12">
        <f t="shared" si="27"/>
        <v>35100</v>
      </c>
      <c r="I168" s="12">
        <f t="shared" si="28"/>
        <v>48200</v>
      </c>
      <c r="J168" s="12">
        <f>IF(A168&lt;[3]关卡对接!$A$4,INDEX([3]关卡对接!$C$7:$C$141,A168),MATCH(E168,人物经验!$H$24:$H$573,1))</f>
        <v>197</v>
      </c>
      <c r="K168" s="12">
        <f>IF([3]关卡对接!F156="",INT(INDEX(人物经验!$J$24:$J$573,关卡!J168)*关卡!$S$7),[3]关卡对接!F156)</f>
        <v>872</v>
      </c>
      <c r="L168" s="12">
        <f t="shared" si="29"/>
        <v>1</v>
      </c>
      <c r="M168" s="12">
        <f>L168/[4]货币基础!$B$4</f>
        <v>100</v>
      </c>
      <c r="N168" s="12">
        <f>IF(A168&lt;[3]关卡对接!$A$4,INDEX([3]关卡对接!$E$7:$E$141,A168),MATCH(E168,人物经验!$H$24:$H$573,1))</f>
        <v>197</v>
      </c>
      <c r="O168" s="12">
        <f>INDEX([2]关卡!$G$6:$G$2005,A168)</f>
        <v>3</v>
      </c>
      <c r="P168" s="13">
        <v>6</v>
      </c>
      <c r="Q168" s="12">
        <f>INT(P168/$S$15/O168*VLOOKUP(J168,[1]人物技能基础!$N$3:$O$553,2,0)*$U$15)</f>
        <v>9</v>
      </c>
      <c r="R168" s="12">
        <f t="shared" si="30"/>
        <v>112</v>
      </c>
    </row>
    <row r="169" spans="1:18" x14ac:dyDescent="0.15">
      <c r="A169" s="12">
        <v>151</v>
      </c>
      <c r="B169" s="12">
        <f t="shared" si="24"/>
        <v>1</v>
      </c>
      <c r="C169" s="12">
        <f t="shared" si="25"/>
        <v>0.67093321507500003</v>
      </c>
      <c r="D169" s="12">
        <f t="shared" si="26"/>
        <v>8.5894650750001356E-3</v>
      </c>
      <c r="E169" s="12">
        <f>SUM($D$19:D169)</f>
        <v>0.67093321507500003</v>
      </c>
      <c r="F169" s="12">
        <f t="shared" si="22"/>
        <v>9.8321253096749377</v>
      </c>
      <c r="G169" s="12">
        <f t="shared" si="23"/>
        <v>13.472679652005938</v>
      </c>
      <c r="H169" s="12">
        <f t="shared" si="27"/>
        <v>35300</v>
      </c>
      <c r="I169" s="12">
        <f t="shared" si="28"/>
        <v>48500</v>
      </c>
      <c r="J169" s="12">
        <f>IF(A169&lt;[3]关卡对接!$A$4,INDEX([3]关卡对接!$C$7:$C$141,A169),MATCH(E169,人物经验!$H$24:$H$573,1))</f>
        <v>197</v>
      </c>
      <c r="K169" s="12">
        <f>IF([3]关卡对接!F157="",INT(INDEX(人物经验!$J$24:$J$573,关卡!J169)*关卡!$S$7),[3]关卡对接!F157)</f>
        <v>872</v>
      </c>
      <c r="L169" s="12">
        <f t="shared" si="29"/>
        <v>1</v>
      </c>
      <c r="M169" s="12">
        <f>L169/[4]货币基础!$B$4</f>
        <v>100</v>
      </c>
      <c r="N169" s="12">
        <f>IF(A169&lt;[3]关卡对接!$A$4,INDEX([3]关卡对接!$E$7:$E$141,A169),MATCH(E169,人物经验!$H$24:$H$573,1))</f>
        <v>197</v>
      </c>
      <c r="O169" s="12">
        <f>INDEX([2]关卡!$G$6:$G$2005,A169)</f>
        <v>3</v>
      </c>
      <c r="P169" s="13">
        <v>6</v>
      </c>
      <c r="Q169" s="12">
        <f>INT(P169/$S$15/O169*VLOOKUP(J169,[1]人物技能基础!$N$3:$O$553,2,0)*$U$15)</f>
        <v>9</v>
      </c>
      <c r="R169" s="12">
        <f t="shared" si="30"/>
        <v>112</v>
      </c>
    </row>
    <row r="170" spans="1:18" x14ac:dyDescent="0.15">
      <c r="A170" s="12">
        <v>152</v>
      </c>
      <c r="B170" s="12">
        <f t="shared" si="24"/>
        <v>1</v>
      </c>
      <c r="C170" s="12">
        <f t="shared" si="25"/>
        <v>0.67960197119999999</v>
      </c>
      <c r="D170" s="12">
        <f t="shared" si="26"/>
        <v>8.6687561249999545E-3</v>
      </c>
      <c r="E170" s="12">
        <f>SUM($D$19:D170)</f>
        <v>0.67960197119999999</v>
      </c>
      <c r="F170" s="12">
        <f t="shared" si="22"/>
        <v>9.9002043082239997</v>
      </c>
      <c r="G170" s="12">
        <f t="shared" si="23"/>
        <v>13.53541580672</v>
      </c>
      <c r="H170" s="12">
        <f t="shared" si="27"/>
        <v>35600</v>
      </c>
      <c r="I170" s="12">
        <f t="shared" si="28"/>
        <v>48700</v>
      </c>
      <c r="J170" s="12">
        <f>IF(A170&lt;[3]关卡对接!$A$4,INDEX([3]关卡对接!$C$7:$C$141,A170),MATCH(E170,人物经验!$H$24:$H$573,1))</f>
        <v>198</v>
      </c>
      <c r="K170" s="12">
        <f>IF([3]关卡对接!F158="",INT(INDEX(人物经验!$J$24:$J$573,关卡!J170)*关卡!$S$7),[3]关卡对接!F158)</f>
        <v>884</v>
      </c>
      <c r="L170" s="12">
        <f t="shared" si="29"/>
        <v>1</v>
      </c>
      <c r="M170" s="12">
        <f>L170/[4]货币基础!$B$4</f>
        <v>100</v>
      </c>
      <c r="N170" s="12">
        <f>IF(A170&lt;[3]关卡对接!$A$4,INDEX([3]关卡对接!$E$7:$E$141,A170),MATCH(E170,人物经验!$H$24:$H$573,1))</f>
        <v>198</v>
      </c>
      <c r="O170" s="12">
        <f>INDEX([2]关卡!$G$6:$G$2005,A170)</f>
        <v>3</v>
      </c>
      <c r="P170" s="13">
        <v>6</v>
      </c>
      <c r="Q170" s="12">
        <f>INT(P170/$S$15/O170*VLOOKUP(J170,[1]人物技能基础!$N$3:$O$553,2,0)*$U$15)</f>
        <v>9</v>
      </c>
      <c r="R170" s="12">
        <f t="shared" si="30"/>
        <v>112</v>
      </c>
    </row>
    <row r="171" spans="1:18" x14ac:dyDescent="0.15">
      <c r="A171" s="12">
        <v>153</v>
      </c>
      <c r="B171" s="12">
        <f t="shared" si="24"/>
        <v>1</v>
      </c>
      <c r="C171" s="12">
        <f t="shared" si="25"/>
        <v>0.68835056107499992</v>
      </c>
      <c r="D171" s="12">
        <f t="shared" si="26"/>
        <v>8.7485898749999347E-3</v>
      </c>
      <c r="E171" s="12">
        <f>SUM($D$19:D171)</f>
        <v>0.68835056107499992</v>
      </c>
      <c r="F171" s="12">
        <f t="shared" si="22"/>
        <v>9.9684244206949391</v>
      </c>
      <c r="G171" s="12">
        <f t="shared" si="23"/>
        <v>13.598245707605937</v>
      </c>
      <c r="H171" s="12">
        <f t="shared" si="27"/>
        <v>35800</v>
      </c>
      <c r="I171" s="12">
        <f t="shared" si="28"/>
        <v>48900</v>
      </c>
      <c r="J171" s="12">
        <f>IF(A171&lt;[3]关卡对接!$A$4,INDEX([3]关卡对接!$C$7:$C$141,A171),MATCH(E171,人物经验!$H$24:$H$573,1))</f>
        <v>199</v>
      </c>
      <c r="K171" s="12">
        <f>IF([3]关卡对接!F159="",INT(INDEX(人物经验!$J$24:$J$573,关卡!J171)*关卡!$S$7),[3]关卡对接!F159)</f>
        <v>891</v>
      </c>
      <c r="L171" s="12">
        <f t="shared" si="29"/>
        <v>1</v>
      </c>
      <c r="M171" s="12">
        <f>L171/[4]货币基础!$B$4</f>
        <v>100</v>
      </c>
      <c r="N171" s="12">
        <f>IF(A171&lt;[3]关卡对接!$A$4,INDEX([3]关卡对接!$E$7:$E$141,A171),MATCH(E171,人物经验!$H$24:$H$573,1))</f>
        <v>199</v>
      </c>
      <c r="O171" s="12">
        <f>INDEX([2]关卡!$G$6:$G$2005,A171)</f>
        <v>3</v>
      </c>
      <c r="P171" s="13">
        <v>6</v>
      </c>
      <c r="Q171" s="12">
        <f>INT(P171/$S$15/O171*VLOOKUP(J171,[1]人物技能基础!$N$3:$O$553,2,0)*$U$15)</f>
        <v>9</v>
      </c>
      <c r="R171" s="12">
        <f t="shared" si="30"/>
        <v>112</v>
      </c>
    </row>
    <row r="172" spans="1:18" x14ac:dyDescent="0.15">
      <c r="A172" s="12">
        <v>154</v>
      </c>
      <c r="B172" s="12">
        <f t="shared" si="24"/>
        <v>1</v>
      </c>
      <c r="C172" s="12">
        <f t="shared" si="25"/>
        <v>0.69717952920000004</v>
      </c>
      <c r="D172" s="12">
        <f t="shared" si="26"/>
        <v>8.828968125000114E-3</v>
      </c>
      <c r="E172" s="12">
        <f>SUM($D$19:D172)</f>
        <v>0.69717952920000004</v>
      </c>
      <c r="F172" s="12">
        <f t="shared" si="22"/>
        <v>10.036785963359002</v>
      </c>
      <c r="G172" s="12">
        <f t="shared" si="23"/>
        <v>13.661169488895</v>
      </c>
      <c r="H172" s="12">
        <f t="shared" si="27"/>
        <v>36100</v>
      </c>
      <c r="I172" s="12">
        <f t="shared" si="28"/>
        <v>49100</v>
      </c>
      <c r="J172" s="12">
        <f>IF(A172&lt;[3]关卡对接!$A$4,INDEX([3]关卡对接!$C$7:$C$141,A172),MATCH(E172,人物经验!$H$24:$H$573,1))</f>
        <v>199</v>
      </c>
      <c r="K172" s="12">
        <f>IF([3]关卡对接!F160="",INT(INDEX(人物经验!$J$24:$J$573,关卡!J172)*关卡!$S$7),[3]关卡对接!F160)</f>
        <v>891</v>
      </c>
      <c r="L172" s="12">
        <f t="shared" si="29"/>
        <v>1</v>
      </c>
      <c r="M172" s="12">
        <f>L172/[4]货币基础!$B$4</f>
        <v>100</v>
      </c>
      <c r="N172" s="12">
        <f>IF(A172&lt;[3]关卡对接!$A$4,INDEX([3]关卡对接!$E$7:$E$141,A172),MATCH(E172,人物经验!$H$24:$H$573,1))</f>
        <v>199</v>
      </c>
      <c r="O172" s="12">
        <f>INDEX([2]关卡!$G$6:$G$2005,A172)</f>
        <v>3</v>
      </c>
      <c r="P172" s="13">
        <v>6</v>
      </c>
      <c r="Q172" s="12">
        <f>INT(P172/$S$15/O172*VLOOKUP(J172,[1]人物技能基础!$N$3:$O$553,2,0)*$U$15)</f>
        <v>9</v>
      </c>
      <c r="R172" s="12">
        <f t="shared" si="30"/>
        <v>112</v>
      </c>
    </row>
    <row r="173" spans="1:18" x14ac:dyDescent="0.15">
      <c r="A173" s="12">
        <v>155</v>
      </c>
      <c r="B173" s="12">
        <f t="shared" si="24"/>
        <v>1</v>
      </c>
      <c r="C173" s="12">
        <f t="shared" si="25"/>
        <v>0.70608942187500012</v>
      </c>
      <c r="D173" s="12">
        <f t="shared" si="26"/>
        <v>8.9098926750000862E-3</v>
      </c>
      <c r="E173" s="12">
        <f>SUM($D$19:D173)</f>
        <v>0.70608942187500012</v>
      </c>
      <c r="F173" s="12">
        <f t="shared" si="22"/>
        <v>10.105289253085939</v>
      </c>
      <c r="G173" s="12">
        <f t="shared" si="23"/>
        <v>13.724187284960939</v>
      </c>
      <c r="H173" s="12">
        <f t="shared" si="27"/>
        <v>36300</v>
      </c>
      <c r="I173" s="12">
        <f t="shared" si="28"/>
        <v>49400</v>
      </c>
      <c r="J173" s="12">
        <f>IF(A173&lt;[3]关卡对接!$A$4,INDEX([3]关卡对接!$C$7:$C$141,A173),MATCH(E173,人物经验!$H$24:$H$573,1))</f>
        <v>200</v>
      </c>
      <c r="K173" s="12">
        <f>IF([3]关卡对接!F161="",INT(INDEX(人物经验!$J$24:$J$573,关卡!J173)*关卡!$S$7),[3]关卡对接!F161)</f>
        <v>903</v>
      </c>
      <c r="L173" s="12">
        <f t="shared" si="29"/>
        <v>1</v>
      </c>
      <c r="M173" s="12">
        <f>L173/[4]货币基础!$B$4</f>
        <v>100</v>
      </c>
      <c r="N173" s="12">
        <f>IF(A173&lt;[3]关卡对接!$A$4,INDEX([3]关卡对接!$E$7:$E$141,A173),MATCH(E173,人物经验!$H$24:$H$573,1))</f>
        <v>200</v>
      </c>
      <c r="O173" s="12">
        <f>INDEX([2]关卡!$G$6:$G$2005,A173)</f>
        <v>3</v>
      </c>
      <c r="P173" s="13">
        <v>6</v>
      </c>
      <c r="Q173" s="12">
        <f>INT(P173/$S$15/O173*VLOOKUP(J173,[1]人物技能基础!$N$3:$O$553,2,0)*$U$15)</f>
        <v>9</v>
      </c>
      <c r="R173" s="12">
        <f t="shared" si="30"/>
        <v>112</v>
      </c>
    </row>
    <row r="174" spans="1:18" x14ac:dyDescent="0.15">
      <c r="A174" s="12">
        <v>156</v>
      </c>
      <c r="B174" s="12">
        <f t="shared" si="24"/>
        <v>1</v>
      </c>
      <c r="C174" s="12">
        <f t="shared" si="25"/>
        <v>0.7150807871999999</v>
      </c>
      <c r="D174" s="12">
        <f t="shared" si="26"/>
        <v>8.9913653249997783E-3</v>
      </c>
      <c r="E174" s="12">
        <f>SUM($D$19:D174)</f>
        <v>0.7150807871999999</v>
      </c>
      <c r="F174" s="12">
        <f t="shared" si="22"/>
        <v>10.173934607344</v>
      </c>
      <c r="G174" s="12">
        <f t="shared" si="23"/>
        <v>13.78729923032</v>
      </c>
      <c r="H174" s="12">
        <f t="shared" si="27"/>
        <v>36600</v>
      </c>
      <c r="I174" s="12">
        <f t="shared" si="28"/>
        <v>49600</v>
      </c>
      <c r="J174" s="12">
        <f>IF(A174&lt;[3]关卡对接!$A$4,INDEX([3]关卡对接!$C$7:$C$141,A174),MATCH(E174,人物经验!$H$24:$H$573,1))</f>
        <v>201</v>
      </c>
      <c r="K174" s="12">
        <f>IF([3]关卡对接!F162="",INT(INDEX(人物经验!$J$24:$J$573,关卡!J174)*关卡!$S$7),[3]关卡对接!F162)</f>
        <v>909</v>
      </c>
      <c r="L174" s="12">
        <f t="shared" si="29"/>
        <v>1</v>
      </c>
      <c r="M174" s="12">
        <f>L174/[4]货币基础!$B$4</f>
        <v>100</v>
      </c>
      <c r="N174" s="12">
        <f>IF(A174&lt;[3]关卡对接!$A$4,INDEX([3]关卡对接!$E$7:$E$141,A174),MATCH(E174,人物经验!$H$24:$H$573,1))</f>
        <v>201</v>
      </c>
      <c r="O174" s="12">
        <f>INDEX([2]关卡!$G$6:$G$2005,A174)</f>
        <v>3</v>
      </c>
      <c r="P174" s="13">
        <v>6</v>
      </c>
      <c r="Q174" s="12">
        <f>INT(P174/$S$15/O174*VLOOKUP(J174,[1]人物技能基础!$N$3:$O$553,2,0)*$U$15)</f>
        <v>9</v>
      </c>
      <c r="R174" s="12">
        <f t="shared" si="30"/>
        <v>112</v>
      </c>
    </row>
    <row r="175" spans="1:18" x14ac:dyDescent="0.15">
      <c r="A175" s="12">
        <v>157</v>
      </c>
      <c r="B175" s="12">
        <f t="shared" si="24"/>
        <v>1</v>
      </c>
      <c r="C175" s="12">
        <f t="shared" si="25"/>
        <v>0.72415417507500013</v>
      </c>
      <c r="D175" s="12">
        <f t="shared" si="26"/>
        <v>9.0733878750002273E-3</v>
      </c>
      <c r="E175" s="12">
        <f>SUM($D$19:D175)</f>
        <v>0.72415417507500013</v>
      </c>
      <c r="F175" s="12">
        <f t="shared" si="22"/>
        <v>10.242722344199937</v>
      </c>
      <c r="G175" s="12">
        <f t="shared" si="23"/>
        <v>13.850505459630938</v>
      </c>
      <c r="H175" s="12">
        <f t="shared" si="27"/>
        <v>36800</v>
      </c>
      <c r="I175" s="12">
        <f t="shared" si="28"/>
        <v>49800</v>
      </c>
      <c r="J175" s="12">
        <f>IF(A175&lt;[3]关卡对接!$A$4,INDEX([3]关卡对接!$C$7:$C$141,A175),MATCH(E175,人物经验!$H$24:$H$573,1))</f>
        <v>201</v>
      </c>
      <c r="K175" s="12">
        <f>IF([3]关卡对接!F163="",INT(INDEX(人物经验!$J$24:$J$573,关卡!J175)*关卡!$S$7),[3]关卡对接!F163)</f>
        <v>909</v>
      </c>
      <c r="L175" s="12">
        <f t="shared" si="29"/>
        <v>1</v>
      </c>
      <c r="M175" s="12">
        <f>L175/[4]货币基础!$B$4</f>
        <v>100</v>
      </c>
      <c r="N175" s="12">
        <f>IF(A175&lt;[3]关卡对接!$A$4,INDEX([3]关卡对接!$E$7:$E$141,A175),MATCH(E175,人物经验!$H$24:$H$573,1))</f>
        <v>201</v>
      </c>
      <c r="O175" s="12">
        <f>INDEX([2]关卡!$G$6:$G$2005,A175)</f>
        <v>3</v>
      </c>
      <c r="P175" s="13">
        <v>6</v>
      </c>
      <c r="Q175" s="12">
        <f>INT(P175/$S$15/O175*VLOOKUP(J175,[1]人物技能基础!$N$3:$O$553,2,0)*$U$15)</f>
        <v>9</v>
      </c>
      <c r="R175" s="12">
        <f t="shared" si="30"/>
        <v>112</v>
      </c>
    </row>
    <row r="176" spans="1:18" x14ac:dyDescent="0.15">
      <c r="A176" s="12">
        <v>158</v>
      </c>
      <c r="B176" s="12">
        <f t="shared" si="24"/>
        <v>1</v>
      </c>
      <c r="C176" s="12">
        <f t="shared" si="25"/>
        <v>0.73331013720000005</v>
      </c>
      <c r="D176" s="12">
        <f t="shared" si="26"/>
        <v>9.1559621249999168E-3</v>
      </c>
      <c r="E176" s="12">
        <f>SUM($D$19:D176)</f>
        <v>0.73331013720000005</v>
      </c>
      <c r="F176" s="12">
        <f t="shared" si="22"/>
        <v>10.311652782319001</v>
      </c>
      <c r="G176" s="12">
        <f t="shared" si="23"/>
        <v>13.913806107695001</v>
      </c>
      <c r="H176" s="12">
        <f t="shared" si="27"/>
        <v>37100</v>
      </c>
      <c r="I176" s="12">
        <f t="shared" si="28"/>
        <v>50000</v>
      </c>
      <c r="J176" s="12">
        <f>IF(A176&lt;[3]关卡对接!$A$4,INDEX([3]关卡对接!$C$7:$C$141,A176),MATCH(E176,人物经验!$H$24:$H$573,1))</f>
        <v>202</v>
      </c>
      <c r="K176" s="12">
        <f>IF([3]关卡对接!F164="",INT(INDEX(人物经验!$J$24:$J$573,关卡!J176)*关卡!$S$7),[3]关卡对接!F164)</f>
        <v>921</v>
      </c>
      <c r="L176" s="12">
        <f t="shared" si="29"/>
        <v>1</v>
      </c>
      <c r="M176" s="12">
        <f>L176/[4]货币基础!$B$4</f>
        <v>100</v>
      </c>
      <c r="N176" s="12">
        <f>IF(A176&lt;[3]关卡对接!$A$4,INDEX([3]关卡对接!$E$7:$E$141,A176),MATCH(E176,人物经验!$H$24:$H$573,1))</f>
        <v>202</v>
      </c>
      <c r="O176" s="12">
        <f>INDEX([2]关卡!$G$6:$G$2005,A176)</f>
        <v>3</v>
      </c>
      <c r="P176" s="13">
        <v>6</v>
      </c>
      <c r="Q176" s="12">
        <f>INT(P176/$S$15/O176*VLOOKUP(J176,[1]人物技能基础!$N$3:$O$553,2,0)*$U$15)</f>
        <v>9</v>
      </c>
      <c r="R176" s="12">
        <f t="shared" si="30"/>
        <v>112</v>
      </c>
    </row>
    <row r="177" spans="1:18" x14ac:dyDescent="0.15">
      <c r="A177" s="12">
        <v>159</v>
      </c>
      <c r="B177" s="12">
        <f t="shared" si="24"/>
        <v>1</v>
      </c>
      <c r="C177" s="12">
        <f t="shared" si="25"/>
        <v>0.74254922707500004</v>
      </c>
      <c r="D177" s="12">
        <f t="shared" si="26"/>
        <v>9.239089874999995E-3</v>
      </c>
      <c r="E177" s="12">
        <f>SUM($D$19:D177)</f>
        <v>0.74254922707500004</v>
      </c>
      <c r="F177" s="12">
        <f t="shared" si="22"/>
        <v>10.380726240964936</v>
      </c>
      <c r="G177" s="12">
        <f t="shared" si="23"/>
        <v>13.977201309455937</v>
      </c>
      <c r="H177" s="12">
        <f t="shared" si="27"/>
        <v>37300</v>
      </c>
      <c r="I177" s="12">
        <f t="shared" si="28"/>
        <v>50300</v>
      </c>
      <c r="J177" s="12">
        <f>IF(A177&lt;[3]关卡对接!$A$4,INDEX([3]关卡对接!$C$7:$C$141,A177),MATCH(E177,人物经验!$H$24:$H$573,1))</f>
        <v>203</v>
      </c>
      <c r="K177" s="12">
        <f>IF([3]关卡对接!F165="",INT(INDEX(人物经验!$J$24:$J$573,关卡!J177)*关卡!$S$7),[3]关卡对接!F165)</f>
        <v>928</v>
      </c>
      <c r="L177" s="12">
        <f t="shared" si="29"/>
        <v>1</v>
      </c>
      <c r="M177" s="12">
        <f>L177/[4]货币基础!$B$4</f>
        <v>100</v>
      </c>
      <c r="N177" s="12">
        <f>IF(A177&lt;[3]关卡对接!$A$4,INDEX([3]关卡对接!$E$7:$E$141,A177),MATCH(E177,人物经验!$H$24:$H$573,1))</f>
        <v>203</v>
      </c>
      <c r="O177" s="12">
        <f>INDEX([2]关卡!$G$6:$G$2005,A177)</f>
        <v>3</v>
      </c>
      <c r="P177" s="13">
        <v>6</v>
      </c>
      <c r="Q177" s="12">
        <f>INT(P177/$S$15/O177*VLOOKUP(J177,[1]人物技能基础!$N$3:$O$553,2,0)*$U$15)</f>
        <v>9</v>
      </c>
      <c r="R177" s="12">
        <f t="shared" si="30"/>
        <v>112</v>
      </c>
    </row>
    <row r="178" spans="1:18" x14ac:dyDescent="0.15">
      <c r="A178" s="12">
        <v>160</v>
      </c>
      <c r="B178" s="12">
        <f t="shared" si="24"/>
        <v>1</v>
      </c>
      <c r="C178" s="12">
        <f t="shared" si="25"/>
        <v>0.75187200000000021</v>
      </c>
      <c r="D178" s="12">
        <f t="shared" si="26"/>
        <v>9.3227729250001667E-3</v>
      </c>
      <c r="E178" s="12">
        <f>SUM($D$19:D178)</f>
        <v>0.75187200000000021</v>
      </c>
      <c r="F178" s="12">
        <f t="shared" si="22"/>
        <v>10.449943040000001</v>
      </c>
      <c r="G178" s="12">
        <f t="shared" si="23"/>
        <v>14.040691200000001</v>
      </c>
      <c r="H178" s="12">
        <f t="shared" si="27"/>
        <v>37600</v>
      </c>
      <c r="I178" s="12">
        <f t="shared" si="28"/>
        <v>50500</v>
      </c>
      <c r="J178" s="12">
        <f>IF(A178&lt;[3]关卡对接!$A$4,INDEX([3]关卡对接!$C$7:$C$141,A178),MATCH(E178,人物经验!$H$24:$H$573,1))</f>
        <v>204</v>
      </c>
      <c r="K178" s="12">
        <f>IF([3]关卡对接!F166="",INT(INDEX(人物经验!$J$24:$J$573,关卡!J178)*关卡!$S$7),[3]关卡对接!F166)</f>
        <v>934</v>
      </c>
      <c r="L178" s="12">
        <f t="shared" si="29"/>
        <v>1</v>
      </c>
      <c r="M178" s="12">
        <f>L178/[4]货币基础!$B$4</f>
        <v>100</v>
      </c>
      <c r="N178" s="12">
        <f>IF(A178&lt;[3]关卡对接!$A$4,INDEX([3]关卡对接!$E$7:$E$141,A178),MATCH(E178,人物经验!$H$24:$H$573,1))</f>
        <v>204</v>
      </c>
      <c r="O178" s="12">
        <f>INDEX([2]关卡!$G$6:$G$2005,A178)</f>
        <v>3</v>
      </c>
      <c r="P178" s="13">
        <v>6</v>
      </c>
      <c r="Q178" s="12">
        <f>INT(P178/$S$15/O178*VLOOKUP(J178,[1]人物技能基础!$N$3:$O$553,2,0)*$U$15)</f>
        <v>9</v>
      </c>
      <c r="R178" s="12">
        <f t="shared" si="30"/>
        <v>112</v>
      </c>
    </row>
    <row r="179" spans="1:18" x14ac:dyDescent="0.15">
      <c r="A179" s="12">
        <v>161</v>
      </c>
      <c r="B179" s="12">
        <f t="shared" si="24"/>
        <v>1</v>
      </c>
      <c r="C179" s="12">
        <f t="shared" si="25"/>
        <v>0.76127901307500012</v>
      </c>
      <c r="D179" s="12">
        <f t="shared" si="26"/>
        <v>9.4070130749999148E-3</v>
      </c>
      <c r="E179" s="12">
        <f>SUM($D$19:D179)</f>
        <v>0.76127901307500012</v>
      </c>
      <c r="F179" s="12">
        <f t="shared" si="22"/>
        <v>10.519303499884936</v>
      </c>
      <c r="G179" s="12">
        <f t="shared" si="23"/>
        <v>14.104275914555938</v>
      </c>
      <c r="H179" s="12">
        <f t="shared" si="27"/>
        <v>37800</v>
      </c>
      <c r="I179" s="12">
        <f t="shared" si="28"/>
        <v>50700</v>
      </c>
      <c r="J179" s="12">
        <f>IF(A179&lt;[3]关卡对接!$A$4,INDEX([3]关卡对接!$C$7:$C$141,A179),MATCH(E179,人物经验!$H$24:$H$573,1))</f>
        <v>204</v>
      </c>
      <c r="K179" s="12">
        <f>IF([3]关卡对接!F167="",INT(INDEX(人物经验!$J$24:$J$573,关卡!J179)*关卡!$S$7),[3]关卡对接!F167)</f>
        <v>934</v>
      </c>
      <c r="L179" s="12">
        <f t="shared" si="29"/>
        <v>1</v>
      </c>
      <c r="M179" s="12">
        <f>L179/[4]货币基础!$B$4</f>
        <v>100</v>
      </c>
      <c r="N179" s="12">
        <f>IF(A179&lt;[3]关卡对接!$A$4,INDEX([3]关卡对接!$E$7:$E$141,A179),MATCH(E179,人物经验!$H$24:$H$573,1))</f>
        <v>204</v>
      </c>
      <c r="O179" s="12">
        <f>INDEX([2]关卡!$G$6:$G$2005,A179)</f>
        <v>3</v>
      </c>
      <c r="P179" s="13">
        <v>6</v>
      </c>
      <c r="Q179" s="12">
        <f>INT(P179/$S$15/O179*VLOOKUP(J179,[1]人物技能基础!$N$3:$O$553,2,0)*$U$15)</f>
        <v>9</v>
      </c>
      <c r="R179" s="12">
        <f t="shared" si="30"/>
        <v>112</v>
      </c>
    </row>
    <row r="180" spans="1:18" x14ac:dyDescent="0.15">
      <c r="A180" s="12">
        <v>162</v>
      </c>
      <c r="B180" s="12">
        <f t="shared" si="24"/>
        <v>1</v>
      </c>
      <c r="C180" s="12">
        <f t="shared" si="25"/>
        <v>0.77077082520000018</v>
      </c>
      <c r="D180" s="12">
        <f t="shared" si="26"/>
        <v>9.4918121250000542E-3</v>
      </c>
      <c r="E180" s="12">
        <f>SUM($D$19:D180)</f>
        <v>0.77077082520000018</v>
      </c>
      <c r="F180" s="12">
        <f t="shared" si="22"/>
        <v>10.588807941678999</v>
      </c>
      <c r="G180" s="12">
        <f t="shared" si="23"/>
        <v>14.167955588495001</v>
      </c>
      <c r="H180" s="12">
        <f t="shared" si="27"/>
        <v>38100</v>
      </c>
      <c r="I180" s="12">
        <f t="shared" si="28"/>
        <v>51000</v>
      </c>
      <c r="J180" s="12">
        <f>IF(A180&lt;[3]关卡对接!$A$4,INDEX([3]关卡对接!$C$7:$C$141,A180),MATCH(E180,人物经验!$H$24:$H$573,1))</f>
        <v>205</v>
      </c>
      <c r="K180" s="12">
        <f>IF([3]关卡对接!F168="",INT(INDEX(人物经验!$J$24:$J$573,关卡!J180)*关卡!$S$7),[3]关卡对接!F168)</f>
        <v>946</v>
      </c>
      <c r="L180" s="12">
        <f t="shared" si="29"/>
        <v>1</v>
      </c>
      <c r="M180" s="12">
        <f>L180/[4]货币基础!$B$4</f>
        <v>100</v>
      </c>
      <c r="N180" s="12">
        <f>IF(A180&lt;[3]关卡对接!$A$4,INDEX([3]关卡对接!$E$7:$E$141,A180),MATCH(E180,人物经验!$H$24:$H$573,1))</f>
        <v>205</v>
      </c>
      <c r="O180" s="12">
        <f>INDEX([2]关卡!$G$6:$G$2005,A180)</f>
        <v>3</v>
      </c>
      <c r="P180" s="13">
        <v>6</v>
      </c>
      <c r="Q180" s="12">
        <f>INT(P180/$S$15/O180*VLOOKUP(J180,[1]人物技能基础!$N$3:$O$553,2,0)*$U$15)</f>
        <v>9</v>
      </c>
      <c r="R180" s="12">
        <f t="shared" si="30"/>
        <v>112</v>
      </c>
    </row>
    <row r="181" spans="1:18" x14ac:dyDescent="0.15">
      <c r="A181" s="12">
        <v>163</v>
      </c>
      <c r="B181" s="12">
        <f t="shared" si="24"/>
        <v>1</v>
      </c>
      <c r="C181" s="12">
        <f t="shared" si="25"/>
        <v>0.78034799707500002</v>
      </c>
      <c r="D181" s="12">
        <f t="shared" si="26"/>
        <v>9.5771718749998458E-3</v>
      </c>
      <c r="E181" s="12">
        <f>SUM($D$19:D181)</f>
        <v>0.78034799707500002</v>
      </c>
      <c r="F181" s="12">
        <f t="shared" si="22"/>
        <v>10.658456687039939</v>
      </c>
      <c r="G181" s="12">
        <f t="shared" si="23"/>
        <v>14.231730357330939</v>
      </c>
      <c r="H181" s="12">
        <f t="shared" si="27"/>
        <v>38300</v>
      </c>
      <c r="I181" s="12">
        <f t="shared" si="28"/>
        <v>51200</v>
      </c>
      <c r="J181" s="12">
        <f>IF(A181&lt;[3]关卡对接!$A$4,INDEX([3]关卡对接!$C$7:$C$141,A181),MATCH(E181,人物经验!$H$24:$H$573,1))</f>
        <v>206</v>
      </c>
      <c r="K181" s="12">
        <f>IF([3]关卡对接!F169="",INT(INDEX(人物经验!$J$24:$J$573,关卡!J181)*关卡!$S$7),[3]关卡对接!F169)</f>
        <v>952</v>
      </c>
      <c r="L181" s="12">
        <f t="shared" si="29"/>
        <v>1</v>
      </c>
      <c r="M181" s="12">
        <f>L181/[4]货币基础!$B$4</f>
        <v>100</v>
      </c>
      <c r="N181" s="12">
        <f>IF(A181&lt;[3]关卡对接!$A$4,INDEX([3]关卡对接!$E$7:$E$141,A181),MATCH(E181,人物经验!$H$24:$H$573,1))</f>
        <v>206</v>
      </c>
      <c r="O181" s="12">
        <f>INDEX([2]关卡!$G$6:$G$2005,A181)</f>
        <v>3</v>
      </c>
      <c r="P181" s="13">
        <v>6</v>
      </c>
      <c r="Q181" s="12">
        <f>INT(P181/$S$15/O181*VLOOKUP(J181,[1]人物技能基础!$N$3:$O$553,2,0)*$U$15)</f>
        <v>9</v>
      </c>
      <c r="R181" s="12">
        <f t="shared" si="30"/>
        <v>112</v>
      </c>
    </row>
    <row r="182" spans="1:18" x14ac:dyDescent="0.15">
      <c r="A182" s="12">
        <v>164</v>
      </c>
      <c r="B182" s="12">
        <f t="shared" si="24"/>
        <v>1</v>
      </c>
      <c r="C182" s="12">
        <f t="shared" si="25"/>
        <v>0.7900110911999999</v>
      </c>
      <c r="D182" s="12">
        <f t="shared" si="26"/>
        <v>9.6630941249998825E-3</v>
      </c>
      <c r="E182" s="12">
        <f>SUM($D$19:D182)</f>
        <v>0.7900110911999999</v>
      </c>
      <c r="F182" s="12">
        <f t="shared" si="22"/>
        <v>10.728250058224001</v>
      </c>
      <c r="G182" s="12">
        <f t="shared" si="23"/>
        <v>14.29560035672</v>
      </c>
      <c r="H182" s="12">
        <f t="shared" si="27"/>
        <v>38600</v>
      </c>
      <c r="I182" s="12">
        <f t="shared" si="28"/>
        <v>51400</v>
      </c>
      <c r="J182" s="12">
        <f>IF(A182&lt;[3]关卡对接!$A$4,INDEX([3]关卡对接!$C$7:$C$141,A182),MATCH(E182,人物经验!$H$24:$H$573,1))</f>
        <v>206</v>
      </c>
      <c r="K182" s="12">
        <f>IF([3]关卡对接!F170="",INT(INDEX(人物经验!$J$24:$J$573,关卡!J182)*关卡!$S$7),[3]关卡对接!F170)</f>
        <v>952</v>
      </c>
      <c r="L182" s="12">
        <f t="shared" si="29"/>
        <v>1</v>
      </c>
      <c r="M182" s="12">
        <f>L182/[4]货币基础!$B$4</f>
        <v>100</v>
      </c>
      <c r="N182" s="12">
        <f>IF(A182&lt;[3]关卡对接!$A$4,INDEX([3]关卡对接!$E$7:$E$141,A182),MATCH(E182,人物经验!$H$24:$H$573,1))</f>
        <v>206</v>
      </c>
      <c r="O182" s="12">
        <f>INDEX([2]关卡!$G$6:$G$2005,A182)</f>
        <v>3</v>
      </c>
      <c r="P182" s="13">
        <v>6</v>
      </c>
      <c r="Q182" s="12">
        <f>INT(P182/$S$15/O182*VLOOKUP(J182,[1]人物技能基础!$N$3:$O$553,2,0)*$U$15)</f>
        <v>9</v>
      </c>
      <c r="R182" s="12">
        <f t="shared" si="30"/>
        <v>112</v>
      </c>
    </row>
    <row r="183" spans="1:18" x14ac:dyDescent="0.15">
      <c r="A183" s="12">
        <v>165</v>
      </c>
      <c r="B183" s="12">
        <f t="shared" si="24"/>
        <v>1</v>
      </c>
      <c r="C183" s="12">
        <f t="shared" si="25"/>
        <v>0.799760671875</v>
      </c>
      <c r="D183" s="12">
        <f t="shared" si="26"/>
        <v>9.7495806750000913E-3</v>
      </c>
      <c r="E183" s="12">
        <f>SUM($D$19:D183)</f>
        <v>0.799760671875</v>
      </c>
      <c r="F183" s="12">
        <f t="shared" si="22"/>
        <v>10.798188378085937</v>
      </c>
      <c r="G183" s="12">
        <f t="shared" si="23"/>
        <v>14.359565722460937</v>
      </c>
      <c r="H183" s="12">
        <f t="shared" si="27"/>
        <v>38800</v>
      </c>
      <c r="I183" s="12">
        <f t="shared" si="28"/>
        <v>51600</v>
      </c>
      <c r="J183" s="12">
        <f>IF(A183&lt;[3]关卡对接!$A$4,INDEX([3]关卡对接!$C$7:$C$141,A183),MATCH(E183,人物经验!$H$24:$H$573,1))</f>
        <v>207</v>
      </c>
      <c r="K183" s="12">
        <f>IF([3]关卡对接!F171="",INT(INDEX(人物经验!$J$24:$J$573,关卡!J183)*关卡!$S$7),[3]关卡对接!F171)</f>
        <v>965</v>
      </c>
      <c r="L183" s="12">
        <f t="shared" si="29"/>
        <v>1</v>
      </c>
      <c r="M183" s="12">
        <f>L183/[4]货币基础!$B$4</f>
        <v>100</v>
      </c>
      <c r="N183" s="12">
        <f>IF(A183&lt;[3]关卡对接!$A$4,INDEX([3]关卡对接!$E$7:$E$141,A183),MATCH(E183,人物经验!$H$24:$H$573,1))</f>
        <v>207</v>
      </c>
      <c r="O183" s="12">
        <f>INDEX([2]关卡!$G$6:$G$2005,A183)</f>
        <v>3</v>
      </c>
      <c r="P183" s="13">
        <v>6</v>
      </c>
      <c r="Q183" s="12">
        <f>INT(P183/$S$15/O183*VLOOKUP(J183,[1]人物技能基础!$N$3:$O$553,2,0)*$U$15)</f>
        <v>9</v>
      </c>
      <c r="R183" s="12">
        <f t="shared" si="30"/>
        <v>112</v>
      </c>
    </row>
    <row r="184" spans="1:18" x14ac:dyDescent="0.15">
      <c r="A184" s="12">
        <v>166</v>
      </c>
      <c r="B184" s="12">
        <f t="shared" si="24"/>
        <v>1</v>
      </c>
      <c r="C184" s="12">
        <f t="shared" si="25"/>
        <v>0.80959730519999995</v>
      </c>
      <c r="D184" s="12">
        <f t="shared" si="26"/>
        <v>9.8366333249999549E-3</v>
      </c>
      <c r="E184" s="12">
        <f>SUM($D$19:D184)</f>
        <v>0.80959730519999995</v>
      </c>
      <c r="F184" s="12">
        <f t="shared" si="22"/>
        <v>10.868271970078998</v>
      </c>
      <c r="G184" s="12">
        <f t="shared" si="23"/>
        <v>14.423626590495001</v>
      </c>
      <c r="H184" s="12">
        <f t="shared" si="27"/>
        <v>39100</v>
      </c>
      <c r="I184" s="12">
        <f t="shared" si="28"/>
        <v>51900</v>
      </c>
      <c r="J184" s="12">
        <f>IF(A184&lt;[3]关卡对接!$A$4,INDEX([3]关卡对接!$C$7:$C$141,A184),MATCH(E184,人物经验!$H$24:$H$573,1))</f>
        <v>208</v>
      </c>
      <c r="K184" s="12">
        <f>IF([3]关卡对接!F172="",INT(INDEX(人物经验!$J$24:$J$573,关卡!J184)*关卡!$S$7),[3]关卡对接!F172)</f>
        <v>971</v>
      </c>
      <c r="L184" s="12">
        <f t="shared" si="29"/>
        <v>1</v>
      </c>
      <c r="M184" s="12">
        <f>L184/[4]货币基础!$B$4</f>
        <v>100</v>
      </c>
      <c r="N184" s="12">
        <f>IF(A184&lt;[3]关卡对接!$A$4,INDEX([3]关卡对接!$E$7:$E$141,A184),MATCH(E184,人物经验!$H$24:$H$573,1))</f>
        <v>208</v>
      </c>
      <c r="O184" s="12">
        <f>INDEX([2]关卡!$G$6:$G$2005,A184)</f>
        <v>3</v>
      </c>
      <c r="P184" s="13">
        <v>6</v>
      </c>
      <c r="Q184" s="12">
        <f>INT(P184/$S$15/O184*VLOOKUP(J184,[1]人物技能基础!$N$3:$O$553,2,0)*$U$15)</f>
        <v>9</v>
      </c>
      <c r="R184" s="12">
        <f t="shared" si="30"/>
        <v>112</v>
      </c>
    </row>
    <row r="185" spans="1:18" x14ac:dyDescent="0.15">
      <c r="A185" s="12">
        <v>167</v>
      </c>
      <c r="B185" s="12">
        <f t="shared" si="24"/>
        <v>1</v>
      </c>
      <c r="C185" s="12">
        <f t="shared" si="25"/>
        <v>0.81952155907499991</v>
      </c>
      <c r="D185" s="12">
        <f t="shared" si="26"/>
        <v>9.9242538749999554E-3</v>
      </c>
      <c r="E185" s="12">
        <f>SUM($D$19:D185)</f>
        <v>0.81952155907499991</v>
      </c>
      <c r="F185" s="12">
        <f t="shared" si="22"/>
        <v>10.938501158254939</v>
      </c>
      <c r="G185" s="12">
        <f t="shared" si="23"/>
        <v>14.48778309690594</v>
      </c>
      <c r="H185" s="12">
        <f t="shared" si="27"/>
        <v>39300</v>
      </c>
      <c r="I185" s="12">
        <f t="shared" si="28"/>
        <v>52100</v>
      </c>
      <c r="J185" s="12">
        <f>IF(A185&lt;[3]关卡对接!$A$4,INDEX([3]关卡对接!$C$7:$C$141,A185),MATCH(E185,人物经验!$H$24:$H$573,1))</f>
        <v>209</v>
      </c>
      <c r="K185" s="12">
        <f>IF([3]关卡对接!F173="",INT(INDEX(人物经验!$J$24:$J$573,关卡!J185)*关卡!$S$7),[3]关卡对接!F173)</f>
        <v>978</v>
      </c>
      <c r="L185" s="12">
        <f t="shared" si="29"/>
        <v>1</v>
      </c>
      <c r="M185" s="12">
        <f>L185/[4]货币基础!$B$4</f>
        <v>100</v>
      </c>
      <c r="N185" s="12">
        <f>IF(A185&lt;[3]关卡对接!$A$4,INDEX([3]关卡对接!$E$7:$E$141,A185),MATCH(E185,人物经验!$H$24:$H$573,1))</f>
        <v>209</v>
      </c>
      <c r="O185" s="12">
        <f>INDEX([2]关卡!$G$6:$G$2005,A185)</f>
        <v>3</v>
      </c>
      <c r="P185" s="13">
        <v>6</v>
      </c>
      <c r="Q185" s="12">
        <f>INT(P185/$S$15/O185*VLOOKUP(J185,[1]人物技能基础!$N$3:$O$553,2,0)*$U$15)</f>
        <v>9</v>
      </c>
      <c r="R185" s="12">
        <f t="shared" si="30"/>
        <v>112</v>
      </c>
    </row>
    <row r="186" spans="1:18" x14ac:dyDescent="0.15">
      <c r="A186" s="12">
        <v>168</v>
      </c>
      <c r="B186" s="12">
        <f t="shared" si="24"/>
        <v>1</v>
      </c>
      <c r="C186" s="12">
        <f t="shared" si="25"/>
        <v>0.82953400319999993</v>
      </c>
      <c r="D186" s="12">
        <f t="shared" si="26"/>
        <v>1.001244412500002E-2</v>
      </c>
      <c r="E186" s="12">
        <f>SUM($D$19:D186)</f>
        <v>0.82953400319999993</v>
      </c>
      <c r="F186" s="12">
        <f t="shared" si="22"/>
        <v>11.008876267264004</v>
      </c>
      <c r="G186" s="12">
        <f t="shared" si="23"/>
        <v>14.552035377920003</v>
      </c>
      <c r="H186" s="12">
        <f t="shared" si="27"/>
        <v>39600</v>
      </c>
      <c r="I186" s="12">
        <f t="shared" si="28"/>
        <v>52300</v>
      </c>
      <c r="J186" s="12">
        <f>IF(A186&lt;[3]关卡对接!$A$4,INDEX([3]关卡对接!$C$7:$C$141,A186),MATCH(E186,人物经验!$H$24:$H$573,1))</f>
        <v>209</v>
      </c>
      <c r="K186" s="12">
        <f>IF([3]关卡对接!F174="",INT(INDEX(人物经验!$J$24:$J$573,关卡!J186)*关卡!$S$7),[3]关卡对接!F174)</f>
        <v>978</v>
      </c>
      <c r="L186" s="12">
        <f t="shared" si="29"/>
        <v>1</v>
      </c>
      <c r="M186" s="12">
        <f>L186/[4]货币基础!$B$4</f>
        <v>100</v>
      </c>
      <c r="N186" s="12">
        <f>IF(A186&lt;[3]关卡对接!$A$4,INDEX([3]关卡对接!$E$7:$E$141,A186),MATCH(E186,人物经验!$H$24:$H$573,1))</f>
        <v>209</v>
      </c>
      <c r="O186" s="12">
        <f>INDEX([2]关卡!$G$6:$G$2005,A186)</f>
        <v>3</v>
      </c>
      <c r="P186" s="13">
        <v>6</v>
      </c>
      <c r="Q186" s="12">
        <f>INT(P186/$S$15/O186*VLOOKUP(J186,[1]人物技能基础!$N$3:$O$553,2,0)*$U$15)</f>
        <v>9</v>
      </c>
      <c r="R186" s="12">
        <f t="shared" si="30"/>
        <v>112</v>
      </c>
    </row>
    <row r="187" spans="1:18" x14ac:dyDescent="0.15">
      <c r="A187" s="12">
        <v>169</v>
      </c>
      <c r="B187" s="12">
        <f t="shared" si="24"/>
        <v>1</v>
      </c>
      <c r="C187" s="12">
        <f t="shared" si="25"/>
        <v>0.83963520907499978</v>
      </c>
      <c r="D187" s="12">
        <f t="shared" si="26"/>
        <v>1.0101205874999852E-2</v>
      </c>
      <c r="E187" s="12">
        <f>SUM($D$19:D187)</f>
        <v>0.83963520907499978</v>
      </c>
      <c r="F187" s="12">
        <f t="shared" si="22"/>
        <v>11.079397622354938</v>
      </c>
      <c r="G187" s="12">
        <f t="shared" si="23"/>
        <v>14.616383569905938</v>
      </c>
      <c r="H187" s="12">
        <f t="shared" si="27"/>
        <v>39800</v>
      </c>
      <c r="I187" s="12">
        <f t="shared" si="28"/>
        <v>52600</v>
      </c>
      <c r="J187" s="12">
        <f>IF(A187&lt;[3]关卡对接!$A$4,INDEX([3]关卡对接!$C$7:$C$141,A187),MATCH(E187,人物经验!$H$24:$H$573,1))</f>
        <v>210</v>
      </c>
      <c r="K187" s="12">
        <f>IF([3]关卡对接!F175="",INT(INDEX(人物经验!$J$24:$J$573,关卡!J187)*关卡!$S$7),[3]关卡对接!F175)</f>
        <v>990</v>
      </c>
      <c r="L187" s="12">
        <f t="shared" si="29"/>
        <v>1</v>
      </c>
      <c r="M187" s="12">
        <f>L187/[4]货币基础!$B$4</f>
        <v>100</v>
      </c>
      <c r="N187" s="12">
        <f>IF(A187&lt;[3]关卡对接!$A$4,INDEX([3]关卡对接!$E$7:$E$141,A187),MATCH(E187,人物经验!$H$24:$H$573,1))</f>
        <v>210</v>
      </c>
      <c r="O187" s="12">
        <f>INDEX([2]关卡!$G$6:$G$2005,A187)</f>
        <v>3</v>
      </c>
      <c r="P187" s="13">
        <v>6</v>
      </c>
      <c r="Q187" s="12">
        <f>INT(P187/$S$15/O187*VLOOKUP(J187,[1]人物技能基础!$N$3:$O$553,2,0)*$U$15)</f>
        <v>9</v>
      </c>
      <c r="R187" s="12">
        <f t="shared" si="30"/>
        <v>112</v>
      </c>
    </row>
    <row r="188" spans="1:18" x14ac:dyDescent="0.15">
      <c r="A188" s="12">
        <v>170</v>
      </c>
      <c r="B188" s="12">
        <f t="shared" si="24"/>
        <v>1</v>
      </c>
      <c r="C188" s="12">
        <f t="shared" si="25"/>
        <v>0.84982574999999994</v>
      </c>
      <c r="D188" s="12">
        <f t="shared" si="26"/>
        <v>1.0190540925000158E-2</v>
      </c>
      <c r="E188" s="12">
        <f>SUM($D$19:D188)</f>
        <v>0.84982574999999994</v>
      </c>
      <c r="F188" s="12">
        <f t="shared" si="22"/>
        <v>11.150065549375</v>
      </c>
      <c r="G188" s="12">
        <f t="shared" si="23"/>
        <v>14.680827809375002</v>
      </c>
      <c r="H188" s="12">
        <f t="shared" si="27"/>
        <v>40100</v>
      </c>
      <c r="I188" s="12">
        <f t="shared" si="28"/>
        <v>52800</v>
      </c>
      <c r="J188" s="12">
        <f>IF(A188&lt;[3]关卡对接!$A$4,INDEX([3]关卡对接!$C$7:$C$141,A188),MATCH(E188,人物经验!$H$24:$H$573,1))</f>
        <v>211</v>
      </c>
      <c r="K188" s="12">
        <f>IF([3]关卡对接!F176="",INT(INDEX(人物经验!$J$24:$J$573,关卡!J188)*关卡!$S$7),[3]关卡对接!F176)</f>
        <v>997</v>
      </c>
      <c r="L188" s="12">
        <f t="shared" si="29"/>
        <v>1</v>
      </c>
      <c r="M188" s="12">
        <f>L188/[4]货币基础!$B$4</f>
        <v>100</v>
      </c>
      <c r="N188" s="12">
        <f>IF(A188&lt;[3]关卡对接!$A$4,INDEX([3]关卡对接!$E$7:$E$141,A188),MATCH(E188,人物经验!$H$24:$H$573,1))</f>
        <v>211</v>
      </c>
      <c r="O188" s="12">
        <f>INDEX([2]关卡!$G$6:$G$2005,A188)</f>
        <v>3</v>
      </c>
      <c r="P188" s="13">
        <v>6</v>
      </c>
      <c r="Q188" s="12">
        <f>INT(P188/$S$15/O188*VLOOKUP(J188,[1]人物技能基础!$N$3:$O$553,2,0)*$U$15)</f>
        <v>9</v>
      </c>
      <c r="R188" s="12">
        <f t="shared" si="30"/>
        <v>112</v>
      </c>
    </row>
    <row r="189" spans="1:18" x14ac:dyDescent="0.15">
      <c r="A189" s="12">
        <v>171</v>
      </c>
      <c r="B189" s="12">
        <f t="shared" si="24"/>
        <v>1</v>
      </c>
      <c r="C189" s="12">
        <f t="shared" si="25"/>
        <v>0.86010620107499991</v>
      </c>
      <c r="D189" s="12">
        <f t="shared" si="26"/>
        <v>1.0280451074999974E-2</v>
      </c>
      <c r="E189" s="12">
        <f>SUM($D$19:D189)</f>
        <v>0.86010620107499991</v>
      </c>
      <c r="F189" s="12">
        <f t="shared" si="22"/>
        <v>11.220880374769939</v>
      </c>
      <c r="G189" s="12">
        <f t="shared" si="23"/>
        <v>14.745368232980937</v>
      </c>
      <c r="H189" s="12">
        <f t="shared" si="27"/>
        <v>40300</v>
      </c>
      <c r="I189" s="12">
        <f t="shared" si="28"/>
        <v>53000</v>
      </c>
      <c r="J189" s="12">
        <f>IF(A189&lt;[3]关卡对接!$A$4,INDEX([3]关卡对接!$C$7:$C$141,A189),MATCH(E189,人物经验!$H$24:$H$573,1))</f>
        <v>212</v>
      </c>
      <c r="K189" s="12">
        <f>IF([3]关卡对接!F177="",INT(INDEX(人物经验!$J$24:$J$573,关卡!J189)*关卡!$S$7),[3]关卡对接!F177)</f>
        <v>1003</v>
      </c>
      <c r="L189" s="12">
        <f t="shared" si="29"/>
        <v>1</v>
      </c>
      <c r="M189" s="12">
        <f>L189/[4]货币基础!$B$4</f>
        <v>100</v>
      </c>
      <c r="N189" s="12">
        <f>IF(A189&lt;[3]关卡对接!$A$4,INDEX([3]关卡对接!$E$7:$E$141,A189),MATCH(E189,人物经验!$H$24:$H$573,1))</f>
        <v>212</v>
      </c>
      <c r="O189" s="12">
        <f>INDEX([2]关卡!$G$6:$G$2005,A189)</f>
        <v>3</v>
      </c>
      <c r="P189" s="13">
        <v>6</v>
      </c>
      <c r="Q189" s="12">
        <f>INT(P189/$S$15/O189*VLOOKUP(J189,[1]人物技能基础!$N$3:$O$553,2,0)*$U$15)</f>
        <v>9</v>
      </c>
      <c r="R189" s="12">
        <f t="shared" si="30"/>
        <v>112</v>
      </c>
    </row>
    <row r="190" spans="1:18" x14ac:dyDescent="0.15">
      <c r="A190" s="12">
        <v>172</v>
      </c>
      <c r="B190" s="12">
        <f t="shared" si="24"/>
        <v>1</v>
      </c>
      <c r="C190" s="12">
        <f t="shared" si="25"/>
        <v>0.87047713919999992</v>
      </c>
      <c r="D190" s="12">
        <f t="shared" si="26"/>
        <v>1.0370938125000007E-2</v>
      </c>
      <c r="E190" s="12">
        <f>SUM($D$19:D190)</f>
        <v>0.87047713919999992</v>
      </c>
      <c r="F190" s="12">
        <f t="shared" si="22"/>
        <v>11.291842425584001</v>
      </c>
      <c r="G190" s="12">
        <f t="shared" si="23"/>
        <v>14.81000497752</v>
      </c>
      <c r="H190" s="12">
        <f t="shared" si="27"/>
        <v>40600</v>
      </c>
      <c r="I190" s="12">
        <f t="shared" si="28"/>
        <v>53300</v>
      </c>
      <c r="J190" s="12">
        <f>IF(A190&lt;[3]关卡对接!$A$4,INDEX([3]关卡对接!$C$7:$C$141,A190),MATCH(E190,人物经验!$H$24:$H$573,1))</f>
        <v>212</v>
      </c>
      <c r="K190" s="12">
        <f>IF([3]关卡对接!F178="",INT(INDEX(人物经验!$J$24:$J$573,关卡!J190)*关卡!$S$7),[3]关卡对接!F178)</f>
        <v>1003</v>
      </c>
      <c r="L190" s="12">
        <f t="shared" si="29"/>
        <v>1</v>
      </c>
      <c r="M190" s="12">
        <f>L190/[4]货币基础!$B$4</f>
        <v>100</v>
      </c>
      <c r="N190" s="12">
        <f>IF(A190&lt;[3]关卡对接!$A$4,INDEX([3]关卡对接!$E$7:$E$141,A190),MATCH(E190,人物经验!$H$24:$H$573,1))</f>
        <v>212</v>
      </c>
      <c r="O190" s="12">
        <f>INDEX([2]关卡!$G$6:$G$2005,A190)</f>
        <v>3</v>
      </c>
      <c r="P190" s="13">
        <v>6</v>
      </c>
      <c r="Q190" s="12">
        <f>INT(P190/$S$15/O190*VLOOKUP(J190,[1]人物技能基础!$N$3:$O$553,2,0)*$U$15)</f>
        <v>9</v>
      </c>
      <c r="R190" s="12">
        <f t="shared" si="30"/>
        <v>112</v>
      </c>
    </row>
    <row r="191" spans="1:18" x14ac:dyDescent="0.15">
      <c r="A191" s="12">
        <v>173</v>
      </c>
      <c r="B191" s="12">
        <f t="shared" si="24"/>
        <v>1</v>
      </c>
      <c r="C191" s="12">
        <f t="shared" si="25"/>
        <v>0.8809391430750001</v>
      </c>
      <c r="D191" s="12">
        <f t="shared" si="26"/>
        <v>1.0462003875000181E-2</v>
      </c>
      <c r="E191" s="12">
        <f>SUM($D$19:D191)</f>
        <v>0.8809391430750001</v>
      </c>
      <c r="F191" s="12">
        <f t="shared" si="22"/>
        <v>11.362952029459935</v>
      </c>
      <c r="G191" s="12">
        <f t="shared" si="23"/>
        <v>14.874738179930938</v>
      </c>
      <c r="H191" s="12">
        <f t="shared" si="27"/>
        <v>40900</v>
      </c>
      <c r="I191" s="12">
        <f t="shared" si="28"/>
        <v>53500</v>
      </c>
      <c r="J191" s="12">
        <f>IF(A191&lt;[3]关卡对接!$A$4,INDEX([3]关卡对接!$C$7:$C$141,A191),MATCH(E191,人物经验!$H$24:$H$573,1))</f>
        <v>213</v>
      </c>
      <c r="K191" s="12">
        <f>IF([3]关卡对接!F179="",INT(INDEX(人物经验!$J$24:$J$573,关卡!J191)*关卡!$S$7),[3]关卡对接!F179)</f>
        <v>1016</v>
      </c>
      <c r="L191" s="12">
        <f t="shared" si="29"/>
        <v>1</v>
      </c>
      <c r="M191" s="12">
        <f>L191/[4]货币基础!$B$4</f>
        <v>100</v>
      </c>
      <c r="N191" s="12">
        <f>IF(A191&lt;[3]关卡对接!$A$4,INDEX([3]关卡对接!$E$7:$E$141,A191),MATCH(E191,人物经验!$H$24:$H$573,1))</f>
        <v>213</v>
      </c>
      <c r="O191" s="12">
        <f>INDEX([2]关卡!$G$6:$G$2005,A191)</f>
        <v>3</v>
      </c>
      <c r="P191" s="13">
        <v>6</v>
      </c>
      <c r="Q191" s="12">
        <f>INT(P191/$S$15/O191*VLOOKUP(J191,[1]人物技能基础!$N$3:$O$553,2,0)*$U$15)</f>
        <v>9</v>
      </c>
      <c r="R191" s="12">
        <f t="shared" si="30"/>
        <v>112</v>
      </c>
    </row>
    <row r="192" spans="1:18" x14ac:dyDescent="0.15">
      <c r="A192" s="12">
        <v>174</v>
      </c>
      <c r="B192" s="12">
        <f t="shared" si="24"/>
        <v>1</v>
      </c>
      <c r="C192" s="12">
        <f t="shared" si="25"/>
        <v>0.89149279319999997</v>
      </c>
      <c r="D192" s="12">
        <f t="shared" si="26"/>
        <v>1.0553650124999869E-2</v>
      </c>
      <c r="E192" s="12">
        <f>SUM($D$19:D192)</f>
        <v>0.89149279319999997</v>
      </c>
      <c r="F192" s="12">
        <f t="shared" si="22"/>
        <v>11.434209514638999</v>
      </c>
      <c r="G192" s="12">
        <f t="shared" si="23"/>
        <v>14.939567977295001</v>
      </c>
      <c r="H192" s="12">
        <f t="shared" si="27"/>
        <v>41100</v>
      </c>
      <c r="I192" s="12">
        <f t="shared" si="28"/>
        <v>53700</v>
      </c>
      <c r="J192" s="12">
        <f>IF(A192&lt;[3]关卡对接!$A$4,INDEX([3]关卡对接!$C$7:$C$141,A192),MATCH(E192,人物经验!$H$24:$H$573,1))</f>
        <v>214</v>
      </c>
      <c r="K192" s="12">
        <f>IF([3]关卡对接!F180="",INT(INDEX(人物经验!$J$24:$J$573,关卡!J192)*关卡!$S$7),[3]关卡对接!F180)</f>
        <v>1022</v>
      </c>
      <c r="L192" s="12">
        <f t="shared" si="29"/>
        <v>1</v>
      </c>
      <c r="M192" s="12">
        <f>L192/[4]货币基础!$B$4</f>
        <v>100</v>
      </c>
      <c r="N192" s="12">
        <f>IF(A192&lt;[3]关卡对接!$A$4,INDEX([3]关卡对接!$E$7:$E$141,A192),MATCH(E192,人物经验!$H$24:$H$573,1))</f>
        <v>214</v>
      </c>
      <c r="O192" s="12">
        <f>INDEX([2]关卡!$G$6:$G$2005,A192)</f>
        <v>3</v>
      </c>
      <c r="P192" s="13">
        <v>6</v>
      </c>
      <c r="Q192" s="12">
        <f>INT(P192/$S$15/O192*VLOOKUP(J192,[1]人物技能基础!$N$3:$O$553,2,0)*$U$15)</f>
        <v>9</v>
      </c>
      <c r="R192" s="12">
        <f t="shared" si="30"/>
        <v>112</v>
      </c>
    </row>
    <row r="193" spans="1:18" x14ac:dyDescent="0.15">
      <c r="A193" s="12">
        <v>175</v>
      </c>
      <c r="B193" s="12">
        <f t="shared" si="24"/>
        <v>1</v>
      </c>
      <c r="C193" s="12">
        <f t="shared" si="25"/>
        <v>0.90213867187499996</v>
      </c>
      <c r="D193" s="12">
        <f t="shared" si="26"/>
        <v>1.0645878674999998E-2</v>
      </c>
      <c r="E193" s="12">
        <f>SUM($D$19:D193)</f>
        <v>0.90213867187499996</v>
      </c>
      <c r="F193" s="12">
        <f t="shared" si="22"/>
        <v>11.505615209960936</v>
      </c>
      <c r="G193" s="12">
        <f t="shared" si="23"/>
        <v>15.004494506835936</v>
      </c>
      <c r="H193" s="12">
        <f t="shared" si="27"/>
        <v>41400</v>
      </c>
      <c r="I193" s="12">
        <f t="shared" si="28"/>
        <v>54000</v>
      </c>
      <c r="J193" s="12">
        <f>IF(A193&lt;[3]关卡对接!$A$4,INDEX([3]关卡对接!$C$7:$C$141,A193),MATCH(E193,人物经验!$H$24:$H$573,1))</f>
        <v>215</v>
      </c>
      <c r="K193" s="12">
        <f>IF([3]关卡对接!F181="",INT(INDEX(人物经验!$J$24:$J$573,关卡!J193)*关卡!$S$7),[3]关卡对接!F181)</f>
        <v>1029</v>
      </c>
      <c r="L193" s="12">
        <f t="shared" si="29"/>
        <v>1</v>
      </c>
      <c r="M193" s="12">
        <f>L193/[4]货币基础!$B$4</f>
        <v>100</v>
      </c>
      <c r="N193" s="12">
        <f>IF(A193&lt;[3]关卡对接!$A$4,INDEX([3]关卡对接!$E$7:$E$141,A193),MATCH(E193,人物经验!$H$24:$H$573,1))</f>
        <v>215</v>
      </c>
      <c r="O193" s="12">
        <f>INDEX([2]关卡!$G$6:$G$2005,A193)</f>
        <v>3</v>
      </c>
      <c r="P193" s="13">
        <v>6</v>
      </c>
      <c r="Q193" s="12">
        <f>INT(P193/$S$15/O193*VLOOKUP(J193,[1]人物技能基础!$N$3:$O$553,2,0)*$U$15)</f>
        <v>9</v>
      </c>
      <c r="R193" s="12">
        <f t="shared" si="30"/>
        <v>112</v>
      </c>
    </row>
    <row r="194" spans="1:18" x14ac:dyDescent="0.15">
      <c r="A194" s="12">
        <v>176</v>
      </c>
      <c r="B194" s="12">
        <f t="shared" si="24"/>
        <v>1</v>
      </c>
      <c r="C194" s="12">
        <f t="shared" si="25"/>
        <v>0.91287736320000001</v>
      </c>
      <c r="D194" s="12">
        <f t="shared" si="26"/>
        <v>1.0738691325000049E-2</v>
      </c>
      <c r="E194" s="12">
        <f>SUM($D$19:D194)</f>
        <v>0.91287736320000001</v>
      </c>
      <c r="F194" s="12">
        <f t="shared" si="22"/>
        <v>11.577169444863999</v>
      </c>
      <c r="G194" s="12">
        <f t="shared" si="23"/>
        <v>15.06951790592</v>
      </c>
      <c r="H194" s="12">
        <f t="shared" si="27"/>
        <v>41600</v>
      </c>
      <c r="I194" s="12">
        <f t="shared" si="28"/>
        <v>54200</v>
      </c>
      <c r="J194" s="12">
        <f>IF(A194&lt;[3]关卡对接!$A$4,INDEX([3]关卡对接!$C$7:$C$141,A194),MATCH(E194,人物经验!$H$24:$H$573,1))</f>
        <v>216</v>
      </c>
      <c r="K194" s="12">
        <f>IF([3]关卡对接!F182="",INT(INDEX(人物经验!$J$24:$J$573,关卡!J194)*关卡!$S$7),[3]关卡对接!F182)</f>
        <v>1035</v>
      </c>
      <c r="L194" s="12">
        <f t="shared" si="29"/>
        <v>1</v>
      </c>
      <c r="M194" s="12">
        <f>L194/[4]货币基础!$B$4</f>
        <v>100</v>
      </c>
      <c r="N194" s="12">
        <f>IF(A194&lt;[3]关卡对接!$A$4,INDEX([3]关卡对接!$E$7:$E$141,A194),MATCH(E194,人物经验!$H$24:$H$573,1))</f>
        <v>216</v>
      </c>
      <c r="O194" s="12">
        <f>INDEX([2]关卡!$G$6:$G$2005,A194)</f>
        <v>3</v>
      </c>
      <c r="P194" s="13">
        <v>6</v>
      </c>
      <c r="Q194" s="12">
        <f>INT(P194/$S$15/O194*VLOOKUP(J194,[1]人物技能基础!$N$3:$O$553,2,0)*$U$15)</f>
        <v>9</v>
      </c>
      <c r="R194" s="12">
        <f t="shared" si="30"/>
        <v>112</v>
      </c>
    </row>
    <row r="195" spans="1:18" x14ac:dyDescent="0.15">
      <c r="A195" s="12">
        <v>177</v>
      </c>
      <c r="B195" s="12">
        <f t="shared" si="24"/>
        <v>1</v>
      </c>
      <c r="C195" s="12">
        <f t="shared" si="25"/>
        <v>0.9237094530750003</v>
      </c>
      <c r="D195" s="12">
        <f t="shared" si="26"/>
        <v>1.0832089875000284E-2</v>
      </c>
      <c r="E195" s="12">
        <f>SUM($D$19:D195)</f>
        <v>0.9237094530750003</v>
      </c>
      <c r="F195" s="12">
        <f t="shared" si="22"/>
        <v>11.648872549384938</v>
      </c>
      <c r="G195" s="12">
        <f t="shared" si="23"/>
        <v>15.134638312055937</v>
      </c>
      <c r="H195" s="12">
        <f t="shared" si="27"/>
        <v>41900</v>
      </c>
      <c r="I195" s="12">
        <f t="shared" si="28"/>
        <v>54400</v>
      </c>
      <c r="J195" s="12">
        <f>IF(A195&lt;[3]关卡对接!$A$4,INDEX([3]关卡对接!$C$7:$C$141,A195),MATCH(E195,人物经验!$H$24:$H$573,1))</f>
        <v>216</v>
      </c>
      <c r="K195" s="12">
        <f>IF([3]关卡对接!F183="",INT(INDEX(人物经验!$J$24:$J$573,关卡!J195)*关卡!$S$7),[3]关卡对接!F183)</f>
        <v>1035</v>
      </c>
      <c r="L195" s="12">
        <f t="shared" si="29"/>
        <v>1</v>
      </c>
      <c r="M195" s="12">
        <f>L195/[4]货币基础!$B$4</f>
        <v>100</v>
      </c>
      <c r="N195" s="12">
        <f>IF(A195&lt;[3]关卡对接!$A$4,INDEX([3]关卡对接!$E$7:$E$141,A195),MATCH(E195,人物经验!$H$24:$H$573,1))</f>
        <v>216</v>
      </c>
      <c r="O195" s="12">
        <f>INDEX([2]关卡!$G$6:$G$2005,A195)</f>
        <v>3</v>
      </c>
      <c r="P195" s="13">
        <v>6</v>
      </c>
      <c r="Q195" s="12">
        <f>INT(P195/$S$15/O195*VLOOKUP(J195,[1]人物技能基础!$N$3:$O$553,2,0)*$U$15)</f>
        <v>9</v>
      </c>
      <c r="R195" s="12">
        <f t="shared" si="30"/>
        <v>112</v>
      </c>
    </row>
    <row r="196" spans="1:18" x14ac:dyDescent="0.15">
      <c r="A196" s="12">
        <v>178</v>
      </c>
      <c r="B196" s="12">
        <f t="shared" si="24"/>
        <v>1</v>
      </c>
      <c r="C196" s="12">
        <f t="shared" si="25"/>
        <v>0.93463552920000004</v>
      </c>
      <c r="D196" s="12">
        <f t="shared" si="26"/>
        <v>1.092607612499974E-2</v>
      </c>
      <c r="E196" s="12">
        <f>SUM($D$19:D196)</f>
        <v>0.93463552920000004</v>
      </c>
      <c r="F196" s="12">
        <f t="shared" si="22"/>
        <v>11.720724854159</v>
      </c>
      <c r="G196" s="12">
        <f t="shared" si="23"/>
        <v>15.199855862894999</v>
      </c>
      <c r="H196" s="12">
        <f t="shared" si="27"/>
        <v>42100</v>
      </c>
      <c r="I196" s="12">
        <f t="shared" si="28"/>
        <v>54700</v>
      </c>
      <c r="J196" s="12">
        <f>IF(A196&lt;[3]关卡对接!$A$4,INDEX([3]关卡对接!$C$7:$C$141,A196),MATCH(E196,人物经验!$H$24:$H$573,1))</f>
        <v>217</v>
      </c>
      <c r="K196" s="12">
        <f>IF([3]关卡对接!F184="",INT(INDEX(人物经验!$J$24:$J$573,关卡!J196)*关卡!$S$7),[3]关卡对接!F184)</f>
        <v>1048</v>
      </c>
      <c r="L196" s="12">
        <f t="shared" si="29"/>
        <v>1</v>
      </c>
      <c r="M196" s="12">
        <f>L196/[4]货币基础!$B$4</f>
        <v>100</v>
      </c>
      <c r="N196" s="12">
        <f>IF(A196&lt;[3]关卡对接!$A$4,INDEX([3]关卡对接!$E$7:$E$141,A196),MATCH(E196,人物经验!$H$24:$H$573,1))</f>
        <v>217</v>
      </c>
      <c r="O196" s="12">
        <f>INDEX([2]关卡!$G$6:$G$2005,A196)</f>
        <v>3</v>
      </c>
      <c r="P196" s="13">
        <v>6</v>
      </c>
      <c r="Q196" s="12">
        <f>INT(P196/$S$15/O196*VLOOKUP(J196,[1]人物技能基础!$N$3:$O$553,2,0)*$U$15)</f>
        <v>9</v>
      </c>
      <c r="R196" s="12">
        <f t="shared" si="30"/>
        <v>112</v>
      </c>
    </row>
    <row r="197" spans="1:18" x14ac:dyDescent="0.15">
      <c r="A197" s="12">
        <v>179</v>
      </c>
      <c r="B197" s="12">
        <f t="shared" si="24"/>
        <v>1</v>
      </c>
      <c r="C197" s="12">
        <f t="shared" si="25"/>
        <v>0.94565618107499994</v>
      </c>
      <c r="D197" s="12">
        <f t="shared" si="26"/>
        <v>1.1020651874999898E-2</v>
      </c>
      <c r="E197" s="12">
        <f>SUM($D$19:D197)</f>
        <v>0.94565618107499994</v>
      </c>
      <c r="F197" s="12">
        <f t="shared" si="22"/>
        <v>11.79272669041994</v>
      </c>
      <c r="G197" s="12">
        <f t="shared" si="23"/>
        <v>15.265170696230937</v>
      </c>
      <c r="H197" s="12">
        <f t="shared" si="27"/>
        <v>42400</v>
      </c>
      <c r="I197" s="12">
        <f t="shared" si="28"/>
        <v>54900</v>
      </c>
      <c r="J197" s="12">
        <f>IF(A197&lt;[3]关卡对接!$A$4,INDEX([3]关卡对接!$C$7:$C$141,A197),MATCH(E197,人物经验!$H$24:$H$573,1))</f>
        <v>218</v>
      </c>
      <c r="K197" s="12">
        <f>IF([3]关卡对接!F185="",INT(INDEX(人物经验!$J$24:$J$573,关卡!J197)*关卡!$S$7),[3]关卡对接!F185)</f>
        <v>1054</v>
      </c>
      <c r="L197" s="12">
        <f t="shared" si="29"/>
        <v>1</v>
      </c>
      <c r="M197" s="12">
        <f>L197/[4]货币基础!$B$4</f>
        <v>100</v>
      </c>
      <c r="N197" s="12">
        <f>IF(A197&lt;[3]关卡对接!$A$4,INDEX([3]关卡对接!$E$7:$E$141,A197),MATCH(E197,人物经验!$H$24:$H$573,1))</f>
        <v>218</v>
      </c>
      <c r="O197" s="12">
        <f>INDEX([2]关卡!$G$6:$G$2005,A197)</f>
        <v>3</v>
      </c>
      <c r="P197" s="13">
        <v>6</v>
      </c>
      <c r="Q197" s="12">
        <f>INT(P197/$S$15/O197*VLOOKUP(J197,[1]人物技能基础!$N$3:$O$553,2,0)*$U$15)</f>
        <v>9</v>
      </c>
      <c r="R197" s="12">
        <f t="shared" si="30"/>
        <v>112</v>
      </c>
    </row>
    <row r="198" spans="1:18" x14ac:dyDescent="0.15">
      <c r="A198" s="12">
        <v>180</v>
      </c>
      <c r="B198" s="12">
        <f t="shared" si="24"/>
        <v>1</v>
      </c>
      <c r="C198" s="12">
        <f t="shared" si="25"/>
        <v>0.95677200000000007</v>
      </c>
      <c r="D198" s="12">
        <f t="shared" si="26"/>
        <v>1.1115818925000132E-2</v>
      </c>
      <c r="E198" s="12">
        <f>SUM($D$19:D198)</f>
        <v>0.95677200000000007</v>
      </c>
      <c r="F198" s="12">
        <f t="shared" si="22"/>
        <v>11.864878389999998</v>
      </c>
      <c r="G198" s="12">
        <f t="shared" si="23"/>
        <v>15.33058295</v>
      </c>
      <c r="H198" s="12">
        <f t="shared" si="27"/>
        <v>42700</v>
      </c>
      <c r="I198" s="12">
        <f t="shared" si="28"/>
        <v>55100</v>
      </c>
      <c r="J198" s="12">
        <f>IF(A198&lt;[3]关卡对接!$A$4,INDEX([3]关卡对接!$C$7:$C$141,A198),MATCH(E198,人物经验!$H$24:$H$573,1))</f>
        <v>219</v>
      </c>
      <c r="K198" s="12">
        <f>IF([3]关卡对接!F186="",INT(INDEX(人物经验!$J$24:$J$573,关卡!J198)*关卡!$S$7),[3]关卡对接!F186)</f>
        <v>1061</v>
      </c>
      <c r="L198" s="12">
        <f t="shared" si="29"/>
        <v>1</v>
      </c>
      <c r="M198" s="12">
        <f>L198/[4]货币基础!$B$4</f>
        <v>100</v>
      </c>
      <c r="N198" s="12">
        <f>IF(A198&lt;[3]关卡对接!$A$4,INDEX([3]关卡对接!$E$7:$E$141,A198),MATCH(E198,人物经验!$H$24:$H$573,1))</f>
        <v>219</v>
      </c>
      <c r="O198" s="12">
        <f>INDEX([2]关卡!$G$6:$G$2005,A198)</f>
        <v>3</v>
      </c>
      <c r="P198" s="13">
        <v>6</v>
      </c>
      <c r="Q198" s="12">
        <f>INT(P198/$S$15/O198*VLOOKUP(J198,[1]人物技能基础!$N$3:$O$553,2,0)*$U$15)</f>
        <v>9</v>
      </c>
      <c r="R198" s="12">
        <f t="shared" si="30"/>
        <v>112</v>
      </c>
    </row>
    <row r="199" spans="1:18" x14ac:dyDescent="0.15">
      <c r="A199" s="12">
        <v>181</v>
      </c>
      <c r="B199" s="12">
        <f t="shared" si="24"/>
        <v>1</v>
      </c>
      <c r="C199" s="12">
        <f t="shared" si="25"/>
        <v>0.96798357907499999</v>
      </c>
      <c r="D199" s="12">
        <f t="shared" si="26"/>
        <v>1.1211579074999922E-2</v>
      </c>
      <c r="E199" s="12">
        <f>SUM($D$19:D199)</f>
        <v>0.96798357907499999</v>
      </c>
      <c r="F199" s="12">
        <f t="shared" si="22"/>
        <v>11.937180285329937</v>
      </c>
      <c r="G199" s="12">
        <f t="shared" si="23"/>
        <v>15.396092762280938</v>
      </c>
      <c r="H199" s="12">
        <f t="shared" si="27"/>
        <v>42900</v>
      </c>
      <c r="I199" s="12">
        <f t="shared" si="28"/>
        <v>55400</v>
      </c>
      <c r="J199" s="12">
        <f>IF(A199&lt;[3]关卡对接!$A$4,INDEX([3]关卡对接!$C$7:$C$141,A199),MATCH(E199,人物经验!$H$24:$H$573,1))</f>
        <v>220</v>
      </c>
      <c r="K199" s="12">
        <f>IF([3]关卡对接!F187="",INT(INDEX(人物经验!$J$24:$J$573,关卡!J199)*关卡!$S$7),[3]关卡对接!F187)</f>
        <v>1067</v>
      </c>
      <c r="L199" s="12">
        <f t="shared" si="29"/>
        <v>1</v>
      </c>
      <c r="M199" s="12">
        <f>L199/[4]货币基础!$B$4</f>
        <v>100</v>
      </c>
      <c r="N199" s="12">
        <f>IF(A199&lt;[3]关卡对接!$A$4,INDEX([3]关卡对接!$E$7:$E$141,A199),MATCH(E199,人物经验!$H$24:$H$573,1))</f>
        <v>220</v>
      </c>
      <c r="O199" s="12">
        <f>INDEX([2]关卡!$G$6:$G$2005,A199)</f>
        <v>3</v>
      </c>
      <c r="P199" s="13">
        <v>6</v>
      </c>
      <c r="Q199" s="12">
        <f>INT(P199/$S$15/O199*VLOOKUP(J199,[1]人物技能基础!$N$3:$O$553,2,0)*$U$15)</f>
        <v>9</v>
      </c>
      <c r="R199" s="12">
        <f t="shared" si="30"/>
        <v>112</v>
      </c>
    </row>
    <row r="200" spans="1:18" x14ac:dyDescent="0.15">
      <c r="A200" s="12">
        <v>182</v>
      </c>
      <c r="B200" s="12">
        <f t="shared" si="24"/>
        <v>1</v>
      </c>
      <c r="C200" s="12">
        <f t="shared" si="25"/>
        <v>0.97929151320000019</v>
      </c>
      <c r="D200" s="12">
        <f t="shared" si="26"/>
        <v>1.1307934125000196E-2</v>
      </c>
      <c r="E200" s="12">
        <f>SUM($D$19:D200)</f>
        <v>0.97929151320000019</v>
      </c>
      <c r="F200" s="12">
        <f t="shared" si="22"/>
        <v>12.009632709439002</v>
      </c>
      <c r="G200" s="12">
        <f t="shared" si="23"/>
        <v>15.461700271295003</v>
      </c>
      <c r="H200" s="12">
        <f t="shared" si="27"/>
        <v>43200</v>
      </c>
      <c r="I200" s="12">
        <f t="shared" si="28"/>
        <v>55600</v>
      </c>
      <c r="J200" s="12">
        <f>IF(A200&lt;[3]关卡对接!$A$4,INDEX([3]关卡对接!$C$7:$C$141,A200),MATCH(E200,人物经验!$H$24:$H$573,1))</f>
        <v>221</v>
      </c>
      <c r="K200" s="12">
        <f>IF([3]关卡对接!F188="",INT(INDEX(人物经验!$J$24:$J$573,关卡!J200)*关卡!$S$7),[3]关卡对接!F188)</f>
        <v>1074</v>
      </c>
      <c r="L200" s="12">
        <f t="shared" si="29"/>
        <v>1</v>
      </c>
      <c r="M200" s="12">
        <f>L200/[4]货币基础!$B$4</f>
        <v>100</v>
      </c>
      <c r="N200" s="12">
        <f>IF(A200&lt;[3]关卡对接!$A$4,INDEX([3]关卡对接!$E$7:$E$141,A200),MATCH(E200,人物经验!$H$24:$H$573,1))</f>
        <v>221</v>
      </c>
      <c r="O200" s="12">
        <f>INDEX([2]关卡!$G$6:$G$2005,A200)</f>
        <v>3</v>
      </c>
      <c r="P200" s="13">
        <v>6</v>
      </c>
      <c r="Q200" s="12">
        <f>INT(P200/$S$15/O200*VLOOKUP(J200,[1]人物技能基础!$N$3:$O$553,2,0)*$U$15)</f>
        <v>9</v>
      </c>
      <c r="R200" s="12">
        <f t="shared" si="30"/>
        <v>112</v>
      </c>
    </row>
    <row r="201" spans="1:18" x14ac:dyDescent="0.15">
      <c r="A201" s="12">
        <v>183</v>
      </c>
      <c r="B201" s="12">
        <f t="shared" si="24"/>
        <v>1</v>
      </c>
      <c r="C201" s="12">
        <f t="shared" si="25"/>
        <v>0.99069639907500018</v>
      </c>
      <c r="D201" s="12">
        <f t="shared" si="26"/>
        <v>1.1404885874999993E-2</v>
      </c>
      <c r="E201" s="12">
        <f>SUM($D$19:D201)</f>
        <v>0.99069639907500018</v>
      </c>
      <c r="F201" s="12">
        <f t="shared" si="22"/>
        <v>12.082235995954939</v>
      </c>
      <c r="G201" s="12">
        <f t="shared" si="23"/>
        <v>15.527405615405936</v>
      </c>
      <c r="H201" s="12">
        <f t="shared" si="27"/>
        <v>43400</v>
      </c>
      <c r="I201" s="12">
        <f t="shared" si="28"/>
        <v>55800</v>
      </c>
      <c r="J201" s="12">
        <f>IF(A201&lt;[3]关卡对接!$A$4,INDEX([3]关卡对接!$C$7:$C$141,A201),MATCH(E201,人物经验!$H$24:$H$573,1))</f>
        <v>221</v>
      </c>
      <c r="K201" s="12">
        <f>IF([3]关卡对接!F189="",INT(INDEX(人物经验!$J$24:$J$573,关卡!J201)*关卡!$S$7),[3]关卡对接!F189)</f>
        <v>1074</v>
      </c>
      <c r="L201" s="12">
        <f t="shared" si="29"/>
        <v>1</v>
      </c>
      <c r="M201" s="12">
        <f>L201/[4]货币基础!$B$4</f>
        <v>100</v>
      </c>
      <c r="N201" s="12">
        <f>IF(A201&lt;[3]关卡对接!$A$4,INDEX([3]关卡对接!$E$7:$E$141,A201),MATCH(E201,人物经验!$H$24:$H$573,1))</f>
        <v>221</v>
      </c>
      <c r="O201" s="12">
        <f>INDEX([2]关卡!$G$6:$G$2005,A201)</f>
        <v>3</v>
      </c>
      <c r="P201" s="13">
        <v>6</v>
      </c>
      <c r="Q201" s="12">
        <f>INT(P201/$S$15/O201*VLOOKUP(J201,[1]人物技能基础!$N$3:$O$553,2,0)*$U$15)</f>
        <v>9</v>
      </c>
      <c r="R201" s="12">
        <f t="shared" si="30"/>
        <v>112</v>
      </c>
    </row>
    <row r="202" spans="1:18" x14ac:dyDescent="0.15">
      <c r="A202" s="12">
        <v>184</v>
      </c>
      <c r="B202" s="12">
        <f t="shared" si="24"/>
        <v>1</v>
      </c>
      <c r="C202" s="12">
        <f t="shared" si="25"/>
        <v>1.0021988352</v>
      </c>
      <c r="D202" s="12">
        <f t="shared" si="26"/>
        <v>1.1502436124999793E-2</v>
      </c>
      <c r="E202" s="12">
        <f>SUM($D$19:D202)</f>
        <v>1.0021988352</v>
      </c>
      <c r="F202" s="12">
        <f t="shared" si="22"/>
        <v>12.154990479103999</v>
      </c>
      <c r="G202" s="12">
        <f t="shared" si="23"/>
        <v>15.59320893312</v>
      </c>
      <c r="H202" s="12">
        <f t="shared" si="27"/>
        <v>43700</v>
      </c>
      <c r="I202" s="12">
        <f t="shared" si="28"/>
        <v>56100</v>
      </c>
      <c r="J202" s="12">
        <f>IF(A202&lt;[3]关卡对接!$A$4,INDEX([3]关卡对接!$C$7:$C$141,A202),MATCH(E202,人物经验!$H$24:$H$573,1))</f>
        <v>222</v>
      </c>
      <c r="K202" s="12">
        <f>IF([3]关卡对接!F190="",INT(INDEX(人物经验!$J$24:$J$573,关卡!J202)*关卡!$S$7),[3]关卡对接!F190)</f>
        <v>1087</v>
      </c>
      <c r="L202" s="12">
        <f t="shared" si="29"/>
        <v>1</v>
      </c>
      <c r="M202" s="12">
        <f>L202/[4]货币基础!$B$4</f>
        <v>100</v>
      </c>
      <c r="N202" s="12">
        <f>IF(A202&lt;[3]关卡对接!$A$4,INDEX([3]关卡对接!$E$7:$E$141,A202),MATCH(E202,人物经验!$H$24:$H$573,1))</f>
        <v>222</v>
      </c>
      <c r="O202" s="12">
        <f>INDEX([2]关卡!$G$6:$G$2005,A202)</f>
        <v>3</v>
      </c>
      <c r="P202" s="13">
        <v>6</v>
      </c>
      <c r="Q202" s="12">
        <f>INT(P202/$S$15/O202*VLOOKUP(J202,[1]人物技能基础!$N$3:$O$553,2,0)*$U$15)</f>
        <v>9</v>
      </c>
      <c r="R202" s="12">
        <f t="shared" si="30"/>
        <v>112</v>
      </c>
    </row>
    <row r="203" spans="1:18" x14ac:dyDescent="0.15">
      <c r="A203" s="12">
        <v>185</v>
      </c>
      <c r="B203" s="12">
        <f t="shared" si="24"/>
        <v>1</v>
      </c>
      <c r="C203" s="12">
        <f t="shared" si="25"/>
        <v>1.0137994218750002</v>
      </c>
      <c r="D203" s="12">
        <f t="shared" si="26"/>
        <v>1.1600586675000191E-2</v>
      </c>
      <c r="E203" s="12">
        <f>SUM($D$19:D203)</f>
        <v>1.0137994218750002</v>
      </c>
      <c r="F203" s="12">
        <f t="shared" si="22"/>
        <v>12.227896493710936</v>
      </c>
      <c r="G203" s="12">
        <f t="shared" si="23"/>
        <v>15.659110363085937</v>
      </c>
      <c r="H203" s="12">
        <f t="shared" si="27"/>
        <v>44000</v>
      </c>
      <c r="I203" s="12">
        <f t="shared" si="28"/>
        <v>56300</v>
      </c>
      <c r="J203" s="12">
        <f>IF(A203&lt;[3]关卡对接!$A$4,INDEX([3]关卡对接!$C$7:$C$141,A203),MATCH(E203,人物经验!$H$24:$H$573,1))</f>
        <v>223</v>
      </c>
      <c r="K203" s="12">
        <f>IF([3]关卡对接!F191="",INT(INDEX(人物经验!$J$24:$J$573,关卡!J203)*关卡!$S$7),[3]关卡对接!F191)</f>
        <v>1093</v>
      </c>
      <c r="L203" s="12">
        <f t="shared" si="29"/>
        <v>1</v>
      </c>
      <c r="M203" s="12">
        <f>L203/[4]货币基础!$B$4</f>
        <v>100</v>
      </c>
      <c r="N203" s="12">
        <f>IF(A203&lt;[3]关卡对接!$A$4,INDEX([3]关卡对接!$E$7:$E$141,A203),MATCH(E203,人物经验!$H$24:$H$573,1))</f>
        <v>223</v>
      </c>
      <c r="O203" s="12">
        <f>INDEX([2]关卡!$G$6:$G$2005,A203)</f>
        <v>3</v>
      </c>
      <c r="P203" s="13">
        <v>6</v>
      </c>
      <c r="Q203" s="12">
        <f>INT(P203/$S$15/O203*VLOOKUP(J203,[1]人物技能基础!$N$3:$O$553,2,0)*$U$15)</f>
        <v>9</v>
      </c>
      <c r="R203" s="12">
        <f t="shared" si="30"/>
        <v>112</v>
      </c>
    </row>
    <row r="204" spans="1:18" x14ac:dyDescent="0.15">
      <c r="A204" s="12">
        <v>186</v>
      </c>
      <c r="B204" s="12">
        <f t="shared" si="24"/>
        <v>1</v>
      </c>
      <c r="C204" s="12">
        <f t="shared" si="25"/>
        <v>1.0254987612000002</v>
      </c>
      <c r="D204" s="12">
        <f t="shared" si="26"/>
        <v>1.1699339325000002E-2</v>
      </c>
      <c r="E204" s="12">
        <f>SUM($D$19:D204)</f>
        <v>1.0254987612000002</v>
      </c>
      <c r="F204" s="12">
        <f t="shared" si="22"/>
        <v>12.300954375199</v>
      </c>
      <c r="G204" s="12">
        <f t="shared" si="23"/>
        <v>15.725110044094999</v>
      </c>
      <c r="H204" s="12">
        <f t="shared" si="27"/>
        <v>44200</v>
      </c>
      <c r="I204" s="12">
        <f t="shared" si="28"/>
        <v>56600</v>
      </c>
      <c r="J204" s="12">
        <f>IF(A204&lt;[3]关卡对接!$A$4,INDEX([3]关卡对接!$C$7:$C$141,A204),MATCH(E204,人物经验!$H$24:$H$573,1))</f>
        <v>224</v>
      </c>
      <c r="K204" s="12">
        <f>IF([3]关卡对接!F192="",INT(INDEX(人物经验!$J$24:$J$573,关卡!J204)*关卡!$S$7),[3]关卡对接!F192)</f>
        <v>1100</v>
      </c>
      <c r="L204" s="12">
        <f t="shared" si="29"/>
        <v>1</v>
      </c>
      <c r="M204" s="12">
        <f>L204/[4]货币基础!$B$4</f>
        <v>100</v>
      </c>
      <c r="N204" s="12">
        <f>IF(A204&lt;[3]关卡对接!$A$4,INDEX([3]关卡对接!$E$7:$E$141,A204),MATCH(E204,人物经验!$H$24:$H$573,1))</f>
        <v>224</v>
      </c>
      <c r="O204" s="12">
        <f>INDEX([2]关卡!$G$6:$G$2005,A204)</f>
        <v>3</v>
      </c>
      <c r="P204" s="13">
        <v>6</v>
      </c>
      <c r="Q204" s="12">
        <f>INT(P204/$S$15/O204*VLOOKUP(J204,[1]人物技能基础!$N$3:$O$553,2,0)*$U$15)</f>
        <v>9</v>
      </c>
      <c r="R204" s="12">
        <f t="shared" si="30"/>
        <v>112</v>
      </c>
    </row>
    <row r="205" spans="1:18" x14ac:dyDescent="0.15">
      <c r="A205" s="12">
        <v>187</v>
      </c>
      <c r="B205" s="12">
        <f t="shared" si="24"/>
        <v>1</v>
      </c>
      <c r="C205" s="12">
        <f t="shared" si="25"/>
        <v>1.0372974570750002</v>
      </c>
      <c r="D205" s="12">
        <f t="shared" si="26"/>
        <v>1.1798695875000043E-2</v>
      </c>
      <c r="E205" s="12">
        <f>SUM($D$19:D205)</f>
        <v>1.0372974570750002</v>
      </c>
      <c r="F205" s="12">
        <f t="shared" si="22"/>
        <v>12.37416445958994</v>
      </c>
      <c r="G205" s="12">
        <f t="shared" si="23"/>
        <v>15.79120811508094</v>
      </c>
      <c r="H205" s="12">
        <f t="shared" si="27"/>
        <v>44500</v>
      </c>
      <c r="I205" s="12">
        <f t="shared" si="28"/>
        <v>56800</v>
      </c>
      <c r="J205" s="12">
        <f>IF(A205&lt;[3]关卡对接!$A$4,INDEX([3]关卡对接!$C$7:$C$141,A205),MATCH(E205,人物经验!$H$24:$H$573,1))</f>
        <v>225</v>
      </c>
      <c r="K205" s="12">
        <f>IF([3]关卡对接!F193="",INT(INDEX(人物经验!$J$24:$J$573,关卡!J205)*关卡!$S$7),[3]关卡对接!F193)</f>
        <v>1107</v>
      </c>
      <c r="L205" s="12">
        <f t="shared" si="29"/>
        <v>1</v>
      </c>
      <c r="M205" s="12">
        <f>L205/[4]货币基础!$B$4</f>
        <v>100</v>
      </c>
      <c r="N205" s="12">
        <f>IF(A205&lt;[3]关卡对接!$A$4,INDEX([3]关卡对接!$E$7:$E$141,A205),MATCH(E205,人物经验!$H$24:$H$573,1))</f>
        <v>225</v>
      </c>
      <c r="O205" s="12">
        <f>INDEX([2]关卡!$G$6:$G$2005,A205)</f>
        <v>3</v>
      </c>
      <c r="P205" s="13">
        <v>6</v>
      </c>
      <c r="Q205" s="12">
        <f>INT(P205/$S$15/O205*VLOOKUP(J205,[1]人物技能基础!$N$3:$O$553,2,0)*$U$15)</f>
        <v>9</v>
      </c>
      <c r="R205" s="12">
        <f t="shared" si="30"/>
        <v>112</v>
      </c>
    </row>
    <row r="206" spans="1:18" x14ac:dyDescent="0.15">
      <c r="A206" s="12">
        <v>188</v>
      </c>
      <c r="B206" s="12">
        <f t="shared" si="24"/>
        <v>1</v>
      </c>
      <c r="C206" s="12">
        <f t="shared" si="25"/>
        <v>1.0491961152</v>
      </c>
      <c r="D206" s="12">
        <f t="shared" si="26"/>
        <v>1.1898658124999795E-2</v>
      </c>
      <c r="E206" s="12">
        <f>SUM($D$19:D206)</f>
        <v>1.0491961152</v>
      </c>
      <c r="F206" s="12">
        <f t="shared" si="22"/>
        <v>12.447527083503999</v>
      </c>
      <c r="G206" s="12">
        <f t="shared" si="23"/>
        <v>15.857404715119999</v>
      </c>
      <c r="H206" s="12">
        <f t="shared" si="27"/>
        <v>44800</v>
      </c>
      <c r="I206" s="12">
        <f t="shared" si="28"/>
        <v>57000</v>
      </c>
      <c r="J206" s="12">
        <f>IF(A206&lt;[3]关卡对接!$A$4,INDEX([3]关卡对接!$C$7:$C$141,A206),MATCH(E206,人物经验!$H$24:$H$573,1))</f>
        <v>226</v>
      </c>
      <c r="K206" s="12">
        <f>IF([3]关卡对接!F194="",INT(INDEX(人物经验!$J$24:$J$573,关卡!J206)*关卡!$S$7),[3]关卡对接!F194)</f>
        <v>1113</v>
      </c>
      <c r="L206" s="12">
        <f t="shared" si="29"/>
        <v>1</v>
      </c>
      <c r="M206" s="12">
        <f>L206/[4]货币基础!$B$4</f>
        <v>100</v>
      </c>
      <c r="N206" s="12">
        <f>IF(A206&lt;[3]关卡对接!$A$4,INDEX([3]关卡对接!$E$7:$E$141,A206),MATCH(E206,人物经验!$H$24:$H$573,1))</f>
        <v>226</v>
      </c>
      <c r="O206" s="12">
        <f>INDEX([2]关卡!$G$6:$G$2005,A206)</f>
        <v>3</v>
      </c>
      <c r="P206" s="13">
        <v>6</v>
      </c>
      <c r="Q206" s="12">
        <f>INT(P206/$S$15/O206*VLOOKUP(J206,[1]人物技能基础!$N$3:$O$553,2,0)*$U$15)</f>
        <v>9</v>
      </c>
      <c r="R206" s="12">
        <f t="shared" si="30"/>
        <v>112</v>
      </c>
    </row>
    <row r="207" spans="1:18" x14ac:dyDescent="0.15">
      <c r="A207" s="12">
        <v>189</v>
      </c>
      <c r="B207" s="12">
        <f t="shared" si="24"/>
        <v>1</v>
      </c>
      <c r="C207" s="12">
        <f t="shared" si="25"/>
        <v>1.0611953430750001</v>
      </c>
      <c r="D207" s="12">
        <f t="shared" si="26"/>
        <v>1.1999227875000074E-2</v>
      </c>
      <c r="E207" s="12">
        <f>SUM($D$19:D207)</f>
        <v>1.0611953430750001</v>
      </c>
      <c r="F207" s="12">
        <f t="shared" si="22"/>
        <v>12.52104258415994</v>
      </c>
      <c r="G207" s="12">
        <f t="shared" si="23"/>
        <v>15.923699983430941</v>
      </c>
      <c r="H207" s="12">
        <f t="shared" si="27"/>
        <v>45000</v>
      </c>
      <c r="I207" s="12">
        <f t="shared" si="28"/>
        <v>57300</v>
      </c>
      <c r="J207" s="12">
        <f>IF(A207&lt;[3]关卡对接!$A$4,INDEX([3]关卡对接!$C$7:$C$141,A207),MATCH(E207,人物经验!$H$24:$H$573,1))</f>
        <v>227</v>
      </c>
      <c r="K207" s="12">
        <f>IF([3]关卡对接!F195="",INT(INDEX(人物经验!$J$24:$J$573,关卡!J207)*关卡!$S$7),[3]关卡对接!F195)</f>
        <v>1120</v>
      </c>
      <c r="L207" s="12">
        <f t="shared" si="29"/>
        <v>1</v>
      </c>
      <c r="M207" s="12">
        <f>L207/[4]货币基础!$B$4</f>
        <v>100</v>
      </c>
      <c r="N207" s="12">
        <f>IF(A207&lt;[3]关卡对接!$A$4,INDEX([3]关卡对接!$E$7:$E$141,A207),MATCH(E207,人物经验!$H$24:$H$573,1))</f>
        <v>227</v>
      </c>
      <c r="O207" s="12">
        <f>INDEX([2]关卡!$G$6:$G$2005,A207)</f>
        <v>3</v>
      </c>
      <c r="P207" s="13">
        <v>6</v>
      </c>
      <c r="Q207" s="12">
        <f>INT(P207/$S$15/O207*VLOOKUP(J207,[1]人物技能基础!$N$3:$O$553,2,0)*$U$15)</f>
        <v>9</v>
      </c>
      <c r="R207" s="12">
        <f t="shared" si="30"/>
        <v>112</v>
      </c>
    </row>
    <row r="208" spans="1:18" x14ac:dyDescent="0.15">
      <c r="A208" s="12">
        <v>190</v>
      </c>
      <c r="B208" s="12">
        <f t="shared" si="24"/>
        <v>1</v>
      </c>
      <c r="C208" s="12">
        <f t="shared" si="25"/>
        <v>1.07329575</v>
      </c>
      <c r="D208" s="12">
        <f t="shared" si="26"/>
        <v>1.2100406924999918E-2</v>
      </c>
      <c r="E208" s="12">
        <f>SUM($D$19:D208)</f>
        <v>1.07329575</v>
      </c>
      <c r="F208" s="12">
        <f t="shared" si="22"/>
        <v>12.594711299375003</v>
      </c>
      <c r="G208" s="12">
        <f t="shared" si="23"/>
        <v>15.990094059375002</v>
      </c>
      <c r="H208" s="12">
        <f t="shared" si="27"/>
        <v>45300</v>
      </c>
      <c r="I208" s="12">
        <f t="shared" si="28"/>
        <v>57500</v>
      </c>
      <c r="J208" s="12">
        <f>IF(A208&lt;[3]关卡对接!$A$4,INDEX([3]关卡对接!$C$7:$C$141,A208),MATCH(E208,人物经验!$H$24:$H$573,1))</f>
        <v>228</v>
      </c>
      <c r="K208" s="12">
        <f>IF([3]关卡对接!F196="",INT(INDEX(人物经验!$J$24:$J$573,关卡!J208)*关卡!$S$7),[3]关卡对接!F196)</f>
        <v>1126</v>
      </c>
      <c r="L208" s="12">
        <f t="shared" si="29"/>
        <v>1</v>
      </c>
      <c r="M208" s="12">
        <f>L208/[4]货币基础!$B$4</f>
        <v>100</v>
      </c>
      <c r="N208" s="12">
        <f>IF(A208&lt;[3]关卡对接!$A$4,INDEX([3]关卡对接!$E$7:$E$141,A208),MATCH(E208,人物经验!$H$24:$H$573,1))</f>
        <v>228</v>
      </c>
      <c r="O208" s="12">
        <f>INDEX([2]关卡!$G$6:$G$2005,A208)</f>
        <v>3</v>
      </c>
      <c r="P208" s="13">
        <v>6</v>
      </c>
      <c r="Q208" s="12">
        <f>INT(P208/$S$15/O208*VLOOKUP(J208,[1]人物技能基础!$N$3:$O$553,2,0)*$U$15)</f>
        <v>9</v>
      </c>
      <c r="R208" s="12">
        <f t="shared" si="30"/>
        <v>112</v>
      </c>
    </row>
    <row r="209" spans="1:18" x14ac:dyDescent="0.15">
      <c r="A209" s="12">
        <v>191</v>
      </c>
      <c r="B209" s="12">
        <f t="shared" si="24"/>
        <v>1</v>
      </c>
      <c r="C209" s="12">
        <f t="shared" si="25"/>
        <v>1.0854979470749999</v>
      </c>
      <c r="D209" s="12">
        <f t="shared" si="26"/>
        <v>1.2202197074999921E-2</v>
      </c>
      <c r="E209" s="12">
        <f>SUM($D$19:D209)</f>
        <v>1.0854979470749999</v>
      </c>
      <c r="F209" s="12">
        <f t="shared" si="22"/>
        <v>12.668533567564939</v>
      </c>
      <c r="G209" s="12">
        <f t="shared" si="23"/>
        <v>16.056587082455938</v>
      </c>
      <c r="H209" s="12">
        <f t="shared" si="27"/>
        <v>45600</v>
      </c>
      <c r="I209" s="12">
        <f t="shared" si="28"/>
        <v>57800</v>
      </c>
      <c r="J209" s="12">
        <f>IF(A209&lt;[3]关卡对接!$A$4,INDEX([3]关卡对接!$C$7:$C$141,A209),MATCH(E209,人物经验!$H$24:$H$573,1))</f>
        <v>229</v>
      </c>
      <c r="K209" s="12">
        <f>IF([3]关卡对接!F197="",INT(INDEX(人物经验!$J$24:$J$573,关卡!J209)*关卡!$S$7),[3]关卡对接!F197)</f>
        <v>1133</v>
      </c>
      <c r="L209" s="12">
        <f t="shared" si="29"/>
        <v>1</v>
      </c>
      <c r="M209" s="12">
        <f>L209/[4]货币基础!$B$4</f>
        <v>100</v>
      </c>
      <c r="N209" s="12">
        <f>IF(A209&lt;[3]关卡对接!$A$4,INDEX([3]关卡对接!$E$7:$E$141,A209),MATCH(E209,人物经验!$H$24:$H$573,1))</f>
        <v>229</v>
      </c>
      <c r="O209" s="12">
        <f>INDEX([2]关卡!$G$6:$G$2005,A209)</f>
        <v>3</v>
      </c>
      <c r="P209" s="13">
        <v>6</v>
      </c>
      <c r="Q209" s="12">
        <f>INT(P209/$S$15/O209*VLOOKUP(J209,[1]人物技能基础!$N$3:$O$553,2,0)*$U$15)</f>
        <v>9</v>
      </c>
      <c r="R209" s="12">
        <f t="shared" si="30"/>
        <v>112</v>
      </c>
    </row>
    <row r="210" spans="1:18" x14ac:dyDescent="0.15">
      <c r="A210" s="12">
        <v>192</v>
      </c>
      <c r="B210" s="12">
        <f t="shared" si="24"/>
        <v>1</v>
      </c>
      <c r="C210" s="12">
        <f t="shared" si="25"/>
        <v>1.0978025471999999</v>
      </c>
      <c r="D210" s="12">
        <f t="shared" si="26"/>
        <v>1.2304600125000009E-2</v>
      </c>
      <c r="E210" s="12">
        <f>SUM($D$19:D210)</f>
        <v>1.0978025471999999</v>
      </c>
      <c r="F210" s="12">
        <f t="shared" si="22"/>
        <v>12.742509727744002</v>
      </c>
      <c r="G210" s="12">
        <f t="shared" si="23"/>
        <v>16.123179192320002</v>
      </c>
      <c r="H210" s="12">
        <f t="shared" si="27"/>
        <v>45800</v>
      </c>
      <c r="I210" s="12">
        <f t="shared" si="28"/>
        <v>58000</v>
      </c>
      <c r="J210" s="12">
        <f>IF(A210&lt;[3]关卡对接!$A$4,INDEX([3]关卡对接!$C$7:$C$141,A210),MATCH(E210,人物经验!$H$24:$H$573,1))</f>
        <v>229</v>
      </c>
      <c r="K210" s="12">
        <f>IF([3]关卡对接!F198="",INT(INDEX(人物经验!$J$24:$J$573,关卡!J210)*关卡!$S$7),[3]关卡对接!F198)</f>
        <v>1133</v>
      </c>
      <c r="L210" s="12">
        <f t="shared" si="29"/>
        <v>1</v>
      </c>
      <c r="M210" s="12">
        <f>L210/[4]货币基础!$B$4</f>
        <v>100</v>
      </c>
      <c r="N210" s="12">
        <f>IF(A210&lt;[3]关卡对接!$A$4,INDEX([3]关卡对接!$E$7:$E$141,A210),MATCH(E210,人物经验!$H$24:$H$573,1))</f>
        <v>229</v>
      </c>
      <c r="O210" s="12">
        <f>INDEX([2]关卡!$G$6:$G$2005,A210)</f>
        <v>3</v>
      </c>
      <c r="P210" s="13">
        <v>6</v>
      </c>
      <c r="Q210" s="12">
        <f>INT(P210/$S$15/O210*VLOOKUP(J210,[1]人物技能基础!$N$3:$O$553,2,0)*$U$15)</f>
        <v>9</v>
      </c>
      <c r="R210" s="12">
        <f t="shared" si="30"/>
        <v>112</v>
      </c>
    </row>
    <row r="211" spans="1:18" x14ac:dyDescent="0.15">
      <c r="A211" s="12">
        <v>193</v>
      </c>
      <c r="B211" s="12">
        <f t="shared" si="24"/>
        <v>1</v>
      </c>
      <c r="C211" s="12">
        <f t="shared" si="25"/>
        <v>1.110210165075</v>
      </c>
      <c r="D211" s="12">
        <f t="shared" si="26"/>
        <v>1.240761787500011E-2</v>
      </c>
      <c r="E211" s="12">
        <f>SUM($D$19:D211)</f>
        <v>1.110210165075</v>
      </c>
      <c r="F211" s="12">
        <f t="shared" ref="F211:F274" si="31">$L$7*($M$7+$N$7*($A211/$B$3)^1+$O$7*($A211/$B$3)^2+$P$7*($A211/$B$3)^3+$Q$7*($A211/$B$3)^4)</f>
        <v>12.816640119524937</v>
      </c>
      <c r="G211" s="12">
        <f t="shared" ref="G211:G274" si="32">$L$11*($M$11+$N$11*($A211/$B$3)^1+$O$11*($A211/$B$3)^2+$P$11*($A211/$B$3)^3+$Q$11*($A211/$B$3)^4)</f>
        <v>16.189870528755936</v>
      </c>
      <c r="H211" s="12">
        <f t="shared" si="27"/>
        <v>46100</v>
      </c>
      <c r="I211" s="12">
        <f t="shared" si="28"/>
        <v>58200</v>
      </c>
      <c r="J211" s="12">
        <f>IF(A211&lt;[3]关卡对接!$A$4,INDEX([3]关卡对接!$C$7:$C$141,A211),MATCH(E211,人物经验!$H$24:$H$573,1))</f>
        <v>230</v>
      </c>
      <c r="K211" s="12">
        <f>IF([3]关卡对接!F199="",INT(INDEX(人物经验!$J$24:$J$573,关卡!J211)*关卡!$S$7),[3]关卡对接!F199)</f>
        <v>1146</v>
      </c>
      <c r="L211" s="12">
        <f t="shared" si="29"/>
        <v>1</v>
      </c>
      <c r="M211" s="12">
        <f>L211/[4]货币基础!$B$4</f>
        <v>100</v>
      </c>
      <c r="N211" s="12">
        <f>IF(A211&lt;[3]关卡对接!$A$4,INDEX([3]关卡对接!$E$7:$E$141,A211),MATCH(E211,人物经验!$H$24:$H$573,1))</f>
        <v>230</v>
      </c>
      <c r="O211" s="12">
        <f>INDEX([2]关卡!$G$6:$G$2005,A211)</f>
        <v>3</v>
      </c>
      <c r="P211" s="13">
        <v>6</v>
      </c>
      <c r="Q211" s="12">
        <f>INT(P211/$S$15/O211*VLOOKUP(J211,[1]人物技能基础!$N$3:$O$553,2,0)*$U$15)</f>
        <v>9</v>
      </c>
      <c r="R211" s="12">
        <f t="shared" si="30"/>
        <v>112</v>
      </c>
    </row>
    <row r="212" spans="1:18" x14ac:dyDescent="0.15">
      <c r="A212" s="12">
        <v>194</v>
      </c>
      <c r="B212" s="12">
        <f t="shared" ref="B212:B275" si="33">MATCH($A212,$A$5:$A$15,1)-1</f>
        <v>1</v>
      </c>
      <c r="C212" s="12">
        <f t="shared" ref="C212:C275" si="34">INDEX($C$5:$C$15,$B212+1)*(INDEX($E$5:$E$15,$B212+1)+INDEX($F$5:$F$15,$B212+1)*(($A212-INDEX($A$5:$A$15,$B212+1)+1)/(INDEX($B$5:$B$15,$B212+1)-INDEX($A$5:$A$15,$B212+1)+1))^1+INDEX($G$5:$G$15,$B212+1)*(($A212-INDEX($A$5:$A$15,$B212+1)+1)/(INDEX($B$5:$B$15,$B212+1)-INDEX($A$5:$A$15,$B212+1)+1))^2+INDEX($H$5:$H$15,$B212+1)*(($A212-INDEX($A$5:$A$15,$B212+1)+1)/(INDEX($B$5:$B$15,$B212+1)-INDEX($A$5:$A$15,$B212+1)+1))^3+INDEX($I$5:$I$15,$B212+1)*(($A212-INDEX($A$5:$A$15,$B212+1)+1)/(INDEX($B$5:$B$15,$B212+1)-INDEX($A$5:$A$15,$B212+1)+1))^4)</f>
        <v>1.1227214172</v>
      </c>
      <c r="D212" s="12">
        <f t="shared" ref="D212:D275" si="35">IF(ISNA(MATCH(A212,$A$6:$A$15,0)),C212-C211,C212)</f>
        <v>1.2511252124999928E-2</v>
      </c>
      <c r="E212" s="12">
        <f>SUM($D$19:D212)</f>
        <v>1.1227214172</v>
      </c>
      <c r="F212" s="12">
        <f t="shared" si="31"/>
        <v>12.890925083119001</v>
      </c>
      <c r="G212" s="12">
        <f t="shared" si="32"/>
        <v>16.256661231695002</v>
      </c>
      <c r="H212" s="12">
        <f t="shared" ref="H212:H275" si="36">INT(F212*60*60/100)*100</f>
        <v>46400</v>
      </c>
      <c r="I212" s="12">
        <f t="shared" ref="I212:I275" si="37">INT(G212*60*60/100)*100</f>
        <v>58500</v>
      </c>
      <c r="J212" s="12">
        <f>IF(A212&lt;[3]关卡对接!$A$4,INDEX([3]关卡对接!$C$7:$C$141,A212),MATCH(E212,人物经验!$H$24:$H$573,1))</f>
        <v>231</v>
      </c>
      <c r="K212" s="12">
        <f>IF([3]关卡对接!F200="",INT(INDEX(人物经验!$J$24:$J$573,关卡!J212)*关卡!$S$7),[3]关卡对接!F200)</f>
        <v>1153</v>
      </c>
      <c r="L212" s="12">
        <f t="shared" ref="L212:L275" si="38">VLOOKUP(A212,$A$5:$J$15,10,1)</f>
        <v>1</v>
      </c>
      <c r="M212" s="12">
        <f>L212/[4]货币基础!$B$4</f>
        <v>100</v>
      </c>
      <c r="N212" s="12">
        <f>IF(A212&lt;[3]关卡对接!$A$4,INDEX([3]关卡对接!$E$7:$E$141,A212),MATCH(E212,人物经验!$H$24:$H$573,1))</f>
        <v>231</v>
      </c>
      <c r="O212" s="12">
        <f>INDEX([2]关卡!$G$6:$G$2005,A212)</f>
        <v>3</v>
      </c>
      <c r="P212" s="13">
        <v>6</v>
      </c>
      <c r="Q212" s="12">
        <f>INT(P212/$S$15/O212*VLOOKUP(J212,[1]人物技能基础!$N$3:$O$553,2,0)*$U$15)</f>
        <v>9</v>
      </c>
      <c r="R212" s="12">
        <f t="shared" ref="R212:R275" si="39">INT(Q212*12.5)</f>
        <v>112</v>
      </c>
    </row>
    <row r="213" spans="1:18" x14ac:dyDescent="0.15">
      <c r="A213" s="12">
        <v>195</v>
      </c>
      <c r="B213" s="12">
        <f t="shared" si="33"/>
        <v>1</v>
      </c>
      <c r="C213" s="12">
        <f t="shared" si="34"/>
        <v>1.1353369218749998</v>
      </c>
      <c r="D213" s="12">
        <f t="shared" si="35"/>
        <v>1.2615504674999833E-2</v>
      </c>
      <c r="E213" s="12">
        <f>SUM($D$19:D213)</f>
        <v>1.1353369218749998</v>
      </c>
      <c r="F213" s="12">
        <f t="shared" si="31"/>
        <v>12.965364959335941</v>
      </c>
      <c r="G213" s="12">
        <f t="shared" si="32"/>
        <v>16.323551441210942</v>
      </c>
      <c r="H213" s="12">
        <f t="shared" si="36"/>
        <v>46600</v>
      </c>
      <c r="I213" s="12">
        <f t="shared" si="37"/>
        <v>58700</v>
      </c>
      <c r="J213" s="12">
        <f>IF(A213&lt;[3]关卡对接!$A$4,INDEX([3]关卡对接!$C$7:$C$141,A213),MATCH(E213,人物经验!$H$24:$H$573,1))</f>
        <v>232</v>
      </c>
      <c r="K213" s="12">
        <f>IF([3]关卡对接!F201="",INT(INDEX(人物经验!$J$24:$J$573,关卡!J213)*关卡!$S$7),[3]关卡对接!F201)</f>
        <v>1160</v>
      </c>
      <c r="L213" s="12">
        <f t="shared" si="38"/>
        <v>1</v>
      </c>
      <c r="M213" s="12">
        <f>L213/[4]货币基础!$B$4</f>
        <v>100</v>
      </c>
      <c r="N213" s="12">
        <f>IF(A213&lt;[3]关卡对接!$A$4,INDEX([3]关卡对接!$E$7:$E$141,A213),MATCH(E213,人物经验!$H$24:$H$573,1))</f>
        <v>232</v>
      </c>
      <c r="O213" s="12">
        <f>INDEX([2]关卡!$G$6:$G$2005,A213)</f>
        <v>3</v>
      </c>
      <c r="P213" s="13">
        <v>6</v>
      </c>
      <c r="Q213" s="12">
        <f>INT(P213/$S$15/O213*VLOOKUP(J213,[1]人物技能基础!$N$3:$O$553,2,0)*$U$15)</f>
        <v>9</v>
      </c>
      <c r="R213" s="12">
        <f t="shared" si="39"/>
        <v>112</v>
      </c>
    </row>
    <row r="214" spans="1:18" x14ac:dyDescent="0.15">
      <c r="A214" s="12">
        <v>196</v>
      </c>
      <c r="B214" s="12">
        <f t="shared" si="33"/>
        <v>1</v>
      </c>
      <c r="C214" s="12">
        <f t="shared" si="34"/>
        <v>1.1480572992</v>
      </c>
      <c r="D214" s="12">
        <f t="shared" si="35"/>
        <v>1.2720377325000198E-2</v>
      </c>
      <c r="E214" s="12">
        <f>SUM($D$19:D214)</f>
        <v>1.1480572992</v>
      </c>
      <c r="F214" s="12">
        <f t="shared" si="31"/>
        <v>13.039960089584001</v>
      </c>
      <c r="G214" s="12">
        <f t="shared" si="32"/>
        <v>16.390541297519999</v>
      </c>
      <c r="H214" s="12">
        <f t="shared" si="36"/>
        <v>46900</v>
      </c>
      <c r="I214" s="12">
        <f t="shared" si="37"/>
        <v>59000</v>
      </c>
      <c r="J214" s="12">
        <f>IF(A214&lt;[3]关卡对接!$A$4,INDEX([3]关卡对接!$C$7:$C$141,A214),MATCH(E214,人物经验!$H$24:$H$573,1))</f>
        <v>233</v>
      </c>
      <c r="K214" s="12">
        <f>IF([3]关卡对接!F202="",INT(INDEX(人物经验!$J$24:$J$573,关卡!J214)*关卡!$S$7),[3]关卡对接!F202)</f>
        <v>1166</v>
      </c>
      <c r="L214" s="12">
        <f t="shared" si="38"/>
        <v>1</v>
      </c>
      <c r="M214" s="12">
        <f>L214/[4]货币基础!$B$4</f>
        <v>100</v>
      </c>
      <c r="N214" s="12">
        <f>IF(A214&lt;[3]关卡对接!$A$4,INDEX([3]关卡对接!$E$7:$E$141,A214),MATCH(E214,人物经验!$H$24:$H$573,1))</f>
        <v>233</v>
      </c>
      <c r="O214" s="12">
        <f>INDEX([2]关卡!$G$6:$G$2005,A214)</f>
        <v>3</v>
      </c>
      <c r="P214" s="13">
        <v>6</v>
      </c>
      <c r="Q214" s="12">
        <f>INT(P214/$S$15/O214*VLOOKUP(J214,[1]人物技能基础!$N$3:$O$553,2,0)*$U$15)</f>
        <v>9</v>
      </c>
      <c r="R214" s="12">
        <f t="shared" si="39"/>
        <v>112</v>
      </c>
    </row>
    <row r="215" spans="1:18" x14ac:dyDescent="0.15">
      <c r="A215" s="12">
        <v>197</v>
      </c>
      <c r="B215" s="12">
        <f t="shared" si="33"/>
        <v>1</v>
      </c>
      <c r="C215" s="12">
        <f t="shared" si="34"/>
        <v>1.1608831710749998</v>
      </c>
      <c r="D215" s="12">
        <f t="shared" si="35"/>
        <v>1.2825871874999839E-2</v>
      </c>
      <c r="E215" s="12">
        <f>SUM($D$19:D215)</f>
        <v>1.1608831710749998</v>
      </c>
      <c r="F215" s="12">
        <f t="shared" si="31"/>
        <v>13.114710815869939</v>
      </c>
      <c r="G215" s="12">
        <f t="shared" si="32"/>
        <v>16.457630940980941</v>
      </c>
      <c r="H215" s="12">
        <f t="shared" si="36"/>
        <v>47200</v>
      </c>
      <c r="I215" s="12">
        <f t="shared" si="37"/>
        <v>59200</v>
      </c>
      <c r="J215" s="12">
        <f>IF(A215&lt;[3]关卡对接!$A$4,INDEX([3]关卡对接!$C$7:$C$141,A215),MATCH(E215,人物经验!$H$24:$H$573,1))</f>
        <v>234</v>
      </c>
      <c r="K215" s="12">
        <f>IF([3]关卡对接!F203="",INT(INDEX(人物经验!$J$24:$J$573,关卡!J215)*关卡!$S$7),[3]关卡对接!F203)</f>
        <v>1173</v>
      </c>
      <c r="L215" s="12">
        <f t="shared" si="38"/>
        <v>1</v>
      </c>
      <c r="M215" s="12">
        <f>L215/[4]货币基础!$B$4</f>
        <v>100</v>
      </c>
      <c r="N215" s="12">
        <f>IF(A215&lt;[3]关卡对接!$A$4,INDEX([3]关卡对接!$E$7:$E$141,A215),MATCH(E215,人物经验!$H$24:$H$573,1))</f>
        <v>234</v>
      </c>
      <c r="O215" s="12">
        <f>INDEX([2]关卡!$G$6:$G$2005,A215)</f>
        <v>3</v>
      </c>
      <c r="P215" s="13">
        <v>6</v>
      </c>
      <c r="Q215" s="12">
        <f>INT(P215/$S$15/O215*VLOOKUP(J215,[1]人物技能基础!$N$3:$O$553,2,0)*$U$15)</f>
        <v>9</v>
      </c>
      <c r="R215" s="12">
        <f t="shared" si="39"/>
        <v>112</v>
      </c>
    </row>
    <row r="216" spans="1:18" x14ac:dyDescent="0.15">
      <c r="A216" s="12">
        <v>198</v>
      </c>
      <c r="B216" s="12">
        <f t="shared" si="33"/>
        <v>1</v>
      </c>
      <c r="C216" s="12">
        <f t="shared" si="34"/>
        <v>1.1738151611999998</v>
      </c>
      <c r="D216" s="12">
        <f t="shared" si="35"/>
        <v>1.2931990125000015E-2</v>
      </c>
      <c r="E216" s="12">
        <f>SUM($D$19:D216)</f>
        <v>1.1738151611999998</v>
      </c>
      <c r="F216" s="12">
        <f t="shared" si="31"/>
        <v>13.189617480799001</v>
      </c>
      <c r="G216" s="12">
        <f t="shared" si="32"/>
        <v>16.524820512094998</v>
      </c>
      <c r="H216" s="12">
        <f t="shared" si="36"/>
        <v>47400</v>
      </c>
      <c r="I216" s="12">
        <f t="shared" si="37"/>
        <v>59400</v>
      </c>
      <c r="J216" s="12">
        <f>IF(A216&lt;[3]关卡对接!$A$4,INDEX([3]关卡对接!$C$7:$C$141,A216),MATCH(E216,人物经验!$H$24:$H$573,1))</f>
        <v>235</v>
      </c>
      <c r="K216" s="12">
        <f>IF([3]关卡对接!F204="",INT(INDEX(人物经验!$J$24:$J$573,关卡!J216)*关卡!$S$7),[3]关卡对接!F204)</f>
        <v>1180</v>
      </c>
      <c r="L216" s="12">
        <f t="shared" si="38"/>
        <v>1</v>
      </c>
      <c r="M216" s="12">
        <f>L216/[4]货币基础!$B$4</f>
        <v>100</v>
      </c>
      <c r="N216" s="12">
        <f>IF(A216&lt;[3]关卡对接!$A$4,INDEX([3]关卡对接!$E$7:$E$141,A216),MATCH(E216,人物经验!$H$24:$H$573,1))</f>
        <v>235</v>
      </c>
      <c r="O216" s="12">
        <f>INDEX([2]关卡!$G$6:$G$2005,A216)</f>
        <v>3</v>
      </c>
      <c r="P216" s="13">
        <v>6</v>
      </c>
      <c r="Q216" s="12">
        <f>INT(P216/$S$15/O216*VLOOKUP(J216,[1]人物技能基础!$N$3:$O$553,2,0)*$U$15)</f>
        <v>9</v>
      </c>
      <c r="R216" s="12">
        <f t="shared" si="39"/>
        <v>112</v>
      </c>
    </row>
    <row r="217" spans="1:18" x14ac:dyDescent="0.15">
      <c r="A217" s="12">
        <v>199</v>
      </c>
      <c r="B217" s="12">
        <f t="shared" si="33"/>
        <v>1</v>
      </c>
      <c r="C217" s="12">
        <f t="shared" si="34"/>
        <v>1.1868538950750001</v>
      </c>
      <c r="D217" s="12">
        <f t="shared" si="35"/>
        <v>1.3038733875000208E-2</v>
      </c>
      <c r="E217" s="12">
        <f>SUM($D$19:D217)</f>
        <v>1.1868538950750001</v>
      </c>
      <c r="F217" s="12">
        <f t="shared" si="31"/>
        <v>13.264680427574937</v>
      </c>
      <c r="G217" s="12">
        <f t="shared" si="32"/>
        <v>16.592110151505942</v>
      </c>
      <c r="H217" s="12">
        <f t="shared" si="36"/>
        <v>47700</v>
      </c>
      <c r="I217" s="12">
        <f t="shared" si="37"/>
        <v>59700</v>
      </c>
      <c r="J217" s="12">
        <f>IF(A217&lt;[3]关卡对接!$A$4,INDEX([3]关卡对接!$C$7:$C$141,A217),MATCH(E217,人物经验!$H$24:$H$573,1))</f>
        <v>236</v>
      </c>
      <c r="K217" s="12">
        <f>IF([3]关卡对接!F205="",INT(INDEX(人物经验!$J$24:$J$573,关卡!J217)*关卡!$S$7),[3]关卡对接!F205)</f>
        <v>1187</v>
      </c>
      <c r="L217" s="12">
        <f t="shared" si="38"/>
        <v>1</v>
      </c>
      <c r="M217" s="12">
        <f>L217/[4]货币基础!$B$4</f>
        <v>100</v>
      </c>
      <c r="N217" s="12">
        <f>IF(A217&lt;[3]关卡对接!$A$4,INDEX([3]关卡对接!$E$7:$E$141,A217),MATCH(E217,人物经验!$H$24:$H$573,1))</f>
        <v>236</v>
      </c>
      <c r="O217" s="12">
        <f>INDEX([2]关卡!$G$6:$G$2005,A217)</f>
        <v>3</v>
      </c>
      <c r="P217" s="13">
        <v>6</v>
      </c>
      <c r="Q217" s="12">
        <f>INT(P217/$S$15/O217*VLOOKUP(J217,[1]人物技能基础!$N$3:$O$553,2,0)*$U$15)</f>
        <v>9</v>
      </c>
      <c r="R217" s="12">
        <f t="shared" si="39"/>
        <v>112</v>
      </c>
    </row>
    <row r="218" spans="1:18" x14ac:dyDescent="0.15">
      <c r="A218" s="12">
        <v>200</v>
      </c>
      <c r="B218" s="12">
        <f t="shared" si="33"/>
        <v>1</v>
      </c>
      <c r="C218" s="12">
        <f t="shared" si="34"/>
        <v>1.2</v>
      </c>
      <c r="D218" s="12">
        <f t="shared" si="35"/>
        <v>1.3146104924999902E-2</v>
      </c>
      <c r="E218" s="12">
        <f>SUM($D$19:D218)</f>
        <v>1.2</v>
      </c>
      <c r="F218" s="12">
        <f t="shared" si="31"/>
        <v>13.339900000000004</v>
      </c>
      <c r="G218" s="12">
        <f t="shared" si="32"/>
        <v>16.659500000000005</v>
      </c>
      <c r="H218" s="12">
        <f t="shared" si="36"/>
        <v>48000</v>
      </c>
      <c r="I218" s="12">
        <f t="shared" si="37"/>
        <v>59900</v>
      </c>
      <c r="J218" s="12">
        <f>IF(A218&lt;[3]关卡对接!$A$4,INDEX([3]关卡对接!$C$7:$C$141,A218),MATCH(E218,人物经验!$H$24:$H$573,1))</f>
        <v>237</v>
      </c>
      <c r="K218" s="12">
        <f>IF([3]关卡对接!F206="",INT(INDEX(人物经验!$J$24:$J$573,关卡!J218)*关卡!$S$7),[3]关卡对接!F206)</f>
        <v>1193</v>
      </c>
      <c r="L218" s="12">
        <f t="shared" si="38"/>
        <v>1</v>
      </c>
      <c r="M218" s="12">
        <f>L218/[4]货币基础!$B$4</f>
        <v>100</v>
      </c>
      <c r="N218" s="12">
        <f>IF(A218&lt;[3]关卡对接!$A$4,INDEX([3]关卡对接!$E$7:$E$141,A218),MATCH(E218,人物经验!$H$24:$H$573,1))</f>
        <v>237</v>
      </c>
      <c r="O218" s="12">
        <f>INDEX([2]关卡!$G$6:$G$2005,A218)</f>
        <v>3</v>
      </c>
      <c r="P218" s="13">
        <v>6</v>
      </c>
      <c r="Q218" s="12">
        <f>INT(P218/$S$15/O218*VLOOKUP(J218,[1]人物技能基础!$N$3:$O$553,2,0)*$U$15)</f>
        <v>9</v>
      </c>
      <c r="R218" s="12">
        <f t="shared" si="39"/>
        <v>112</v>
      </c>
    </row>
    <row r="219" spans="1:18" x14ac:dyDescent="0.15">
      <c r="A219" s="12">
        <v>201</v>
      </c>
      <c r="B219" s="12">
        <f t="shared" si="33"/>
        <v>2</v>
      </c>
      <c r="C219" s="12">
        <f t="shared" si="34"/>
        <v>9.0050000000000009E-3</v>
      </c>
      <c r="D219" s="12">
        <f t="shared" si="35"/>
        <v>9.0050000000000009E-3</v>
      </c>
      <c r="E219" s="12">
        <f>SUM($D$19:D219)</f>
        <v>1.2090049999999999</v>
      </c>
      <c r="F219" s="12">
        <f t="shared" si="31"/>
        <v>13.41527654247494</v>
      </c>
      <c r="G219" s="12">
        <f t="shared" si="32"/>
        <v>16.726990198505938</v>
      </c>
      <c r="H219" s="12">
        <f t="shared" si="36"/>
        <v>48200</v>
      </c>
      <c r="I219" s="12">
        <f t="shared" si="37"/>
        <v>60200</v>
      </c>
      <c r="J219" s="12">
        <f>IF(A219&lt;[3]关卡对接!$A$4,INDEX([3]关卡对接!$C$7:$C$141,A219),MATCH(E219,人物经验!$H$24:$H$573,1))</f>
        <v>238</v>
      </c>
      <c r="K219" s="12">
        <f>IF([3]关卡对接!F207="",INT(INDEX(人物经验!$J$24:$J$573,关卡!J219)*关卡!$S$7),[3]关卡对接!F207)</f>
        <v>1200</v>
      </c>
      <c r="L219" s="12">
        <f t="shared" si="38"/>
        <v>1.2</v>
      </c>
      <c r="M219" s="12">
        <f>L219/[4]货币基础!$B$4</f>
        <v>120</v>
      </c>
      <c r="N219" s="12">
        <f>IF(A219&lt;[3]关卡对接!$A$4,INDEX([3]关卡对接!$E$7:$E$141,A219),MATCH(E219,人物经验!$H$24:$H$573,1))</f>
        <v>238</v>
      </c>
      <c r="O219" s="12">
        <f>INDEX([2]关卡!$G$6:$G$2005,A219)</f>
        <v>3</v>
      </c>
      <c r="P219" s="13">
        <v>6</v>
      </c>
      <c r="Q219" s="12">
        <f>INT(P219/$S$15/O219*VLOOKUP(J219,[1]人物技能基础!$N$3:$O$553,2,0)*$U$15)</f>
        <v>9</v>
      </c>
      <c r="R219" s="12">
        <f t="shared" si="39"/>
        <v>112</v>
      </c>
    </row>
    <row r="220" spans="1:18" x14ac:dyDescent="0.15">
      <c r="A220" s="12">
        <v>202</v>
      </c>
      <c r="B220" s="12">
        <f t="shared" si="33"/>
        <v>2</v>
      </c>
      <c r="C220" s="12">
        <f t="shared" si="34"/>
        <v>1.8020000000000001E-2</v>
      </c>
      <c r="D220" s="12">
        <f t="shared" si="35"/>
        <v>9.0150000000000004E-3</v>
      </c>
      <c r="E220" s="12">
        <f>SUM($D$19:D220)</f>
        <v>1.2180199999999999</v>
      </c>
      <c r="F220" s="12">
        <f t="shared" si="31"/>
        <v>13.490810399999003</v>
      </c>
      <c r="G220" s="12">
        <f t="shared" si="32"/>
        <v>16.794580888095005</v>
      </c>
      <c r="H220" s="12">
        <f t="shared" si="36"/>
        <v>48500</v>
      </c>
      <c r="I220" s="12">
        <f t="shared" si="37"/>
        <v>60400</v>
      </c>
      <c r="J220" s="12">
        <f>IF(A220&lt;[3]关卡对接!$A$4,INDEX([3]关卡对接!$C$7:$C$141,A220),MATCH(E220,人物经验!$H$24:$H$573,1))</f>
        <v>239</v>
      </c>
      <c r="K220" s="12">
        <f>IF([3]关卡对接!F208="",INT(INDEX(人物经验!$J$24:$J$573,关卡!J220)*关卡!$S$7),[3]关卡对接!F208)</f>
        <v>1207</v>
      </c>
      <c r="L220" s="12">
        <f t="shared" si="38"/>
        <v>1.2</v>
      </c>
      <c r="M220" s="12">
        <f>L220/[4]货币基础!$B$4</f>
        <v>120</v>
      </c>
      <c r="N220" s="12">
        <f>IF(A220&lt;[3]关卡对接!$A$4,INDEX([3]关卡对接!$E$7:$E$141,A220),MATCH(E220,人物经验!$H$24:$H$573,1))</f>
        <v>239</v>
      </c>
      <c r="O220" s="12">
        <f>INDEX([2]关卡!$G$6:$G$2005,A220)</f>
        <v>3</v>
      </c>
      <c r="P220" s="13">
        <v>6</v>
      </c>
      <c r="Q220" s="12">
        <f>INT(P220/$S$15/O220*VLOOKUP(J220,[1]人物技能基础!$N$3:$O$553,2,0)*$U$15)</f>
        <v>9</v>
      </c>
      <c r="R220" s="12">
        <f t="shared" si="39"/>
        <v>112</v>
      </c>
    </row>
    <row r="221" spans="1:18" x14ac:dyDescent="0.15">
      <c r="A221" s="12">
        <v>203</v>
      </c>
      <c r="B221" s="12">
        <f t="shared" si="33"/>
        <v>2</v>
      </c>
      <c r="C221" s="12">
        <f t="shared" si="34"/>
        <v>2.7045E-2</v>
      </c>
      <c r="D221" s="12">
        <f t="shared" si="35"/>
        <v>9.0249999999999983E-3</v>
      </c>
      <c r="E221" s="12">
        <f>SUM($D$19:D221)</f>
        <v>1.2270449999999999</v>
      </c>
      <c r="F221" s="12">
        <f t="shared" si="31"/>
        <v>13.566501918169937</v>
      </c>
      <c r="G221" s="12">
        <f t="shared" si="32"/>
        <v>16.862272209980937</v>
      </c>
      <c r="H221" s="12">
        <f t="shared" si="36"/>
        <v>48800</v>
      </c>
      <c r="I221" s="12">
        <f t="shared" si="37"/>
        <v>60700</v>
      </c>
      <c r="J221" s="12">
        <f>IF(A221&lt;[3]关卡对接!$A$4,INDEX([3]关卡对接!$C$7:$C$141,A221),MATCH(E221,人物经验!$H$24:$H$573,1))</f>
        <v>239</v>
      </c>
      <c r="K221" s="12">
        <f>IF([3]关卡对接!F209="",INT(INDEX(人物经验!$J$24:$J$573,关卡!J221)*关卡!$S$7),[3]关卡对接!F209)</f>
        <v>1207</v>
      </c>
      <c r="L221" s="12">
        <f t="shared" si="38"/>
        <v>1.2</v>
      </c>
      <c r="M221" s="12">
        <f>L221/[4]货币基础!$B$4</f>
        <v>120</v>
      </c>
      <c r="N221" s="12">
        <f>IF(A221&lt;[3]关卡对接!$A$4,INDEX([3]关卡对接!$E$7:$E$141,A221),MATCH(E221,人物经验!$H$24:$H$573,1))</f>
        <v>239</v>
      </c>
      <c r="O221" s="12">
        <f>INDEX([2]关卡!$G$6:$G$2005,A221)</f>
        <v>3</v>
      </c>
      <c r="P221" s="13">
        <v>6</v>
      </c>
      <c r="Q221" s="12">
        <f>INT(P221/$S$15/O221*VLOOKUP(J221,[1]人物技能基础!$N$3:$O$553,2,0)*$U$15)</f>
        <v>9</v>
      </c>
      <c r="R221" s="12">
        <f t="shared" si="39"/>
        <v>112</v>
      </c>
    </row>
    <row r="222" spans="1:18" x14ac:dyDescent="0.15">
      <c r="A222" s="12">
        <v>204</v>
      </c>
      <c r="B222" s="12">
        <f t="shared" si="33"/>
        <v>2</v>
      </c>
      <c r="C222" s="12">
        <f t="shared" si="34"/>
        <v>3.6080000000000001E-2</v>
      </c>
      <c r="D222" s="12">
        <f t="shared" si="35"/>
        <v>9.0350000000000014E-3</v>
      </c>
      <c r="E222" s="12">
        <f>SUM($D$19:D222)</f>
        <v>1.2360799999999998</v>
      </c>
      <c r="F222" s="12">
        <f t="shared" si="31"/>
        <v>13.642351443184003</v>
      </c>
      <c r="G222" s="12">
        <f t="shared" si="32"/>
        <v>16.930064305519998</v>
      </c>
      <c r="H222" s="12">
        <f t="shared" si="36"/>
        <v>49100</v>
      </c>
      <c r="I222" s="12">
        <f t="shared" si="37"/>
        <v>60900</v>
      </c>
      <c r="J222" s="12">
        <f>IF(A222&lt;[3]关卡对接!$A$4,INDEX([3]关卡对接!$C$7:$C$141,A222),MATCH(E222,人物经验!$H$24:$H$573,1))</f>
        <v>240</v>
      </c>
      <c r="K222" s="12">
        <f>IF([3]关卡对接!F210="",INT(INDEX(人物经验!$J$24:$J$573,关卡!J222)*关卡!$S$7),[3]关卡对接!F210)</f>
        <v>1220</v>
      </c>
      <c r="L222" s="12">
        <f t="shared" si="38"/>
        <v>1.2</v>
      </c>
      <c r="M222" s="12">
        <f>L222/[4]货币基础!$B$4</f>
        <v>120</v>
      </c>
      <c r="N222" s="12">
        <f>IF(A222&lt;[3]关卡对接!$A$4,INDEX([3]关卡对接!$E$7:$E$141,A222),MATCH(E222,人物经验!$H$24:$H$573,1))</f>
        <v>240</v>
      </c>
      <c r="O222" s="12">
        <f>INDEX([2]关卡!$G$6:$G$2005,A222)</f>
        <v>3</v>
      </c>
      <c r="P222" s="13">
        <v>6</v>
      </c>
      <c r="Q222" s="12">
        <f>INT(P222/$S$15/O222*VLOOKUP(J222,[1]人物技能基础!$N$3:$O$553,2,0)*$U$15)</f>
        <v>9</v>
      </c>
      <c r="R222" s="12">
        <f t="shared" si="39"/>
        <v>112</v>
      </c>
    </row>
    <row r="223" spans="1:18" x14ac:dyDescent="0.15">
      <c r="A223" s="12">
        <v>205</v>
      </c>
      <c r="B223" s="12">
        <f t="shared" si="33"/>
        <v>2</v>
      </c>
      <c r="C223" s="12">
        <f t="shared" si="34"/>
        <v>4.5125000000000005E-2</v>
      </c>
      <c r="D223" s="12">
        <f t="shared" si="35"/>
        <v>9.0450000000000044E-3</v>
      </c>
      <c r="E223" s="12">
        <f>SUM($D$19:D223)</f>
        <v>1.2451249999999998</v>
      </c>
      <c r="F223" s="12">
        <f t="shared" si="31"/>
        <v>13.718359321835935</v>
      </c>
      <c r="G223" s="12">
        <f t="shared" si="32"/>
        <v>16.997957316210936</v>
      </c>
      <c r="H223" s="12">
        <f t="shared" si="36"/>
        <v>49300</v>
      </c>
      <c r="I223" s="12">
        <f t="shared" si="37"/>
        <v>61100</v>
      </c>
      <c r="J223" s="12">
        <f>IF(A223&lt;[3]关卡对接!$A$4,INDEX([3]关卡对接!$C$7:$C$141,A223),MATCH(E223,人物经验!$H$24:$H$573,1))</f>
        <v>241</v>
      </c>
      <c r="K223" s="12">
        <f>IF([3]关卡对接!F211="",INT(INDEX(人物经验!$J$24:$J$573,关卡!J223)*关卡!$S$7),[3]关卡对接!F211)</f>
        <v>1227</v>
      </c>
      <c r="L223" s="12">
        <f t="shared" si="38"/>
        <v>1.2</v>
      </c>
      <c r="M223" s="12">
        <f>L223/[4]货币基础!$B$4</f>
        <v>120</v>
      </c>
      <c r="N223" s="12">
        <f>IF(A223&lt;[3]关卡对接!$A$4,INDEX([3]关卡对接!$E$7:$E$141,A223),MATCH(E223,人物经验!$H$24:$H$573,1))</f>
        <v>241</v>
      </c>
      <c r="O223" s="12">
        <f>INDEX([2]关卡!$G$6:$G$2005,A223)</f>
        <v>3</v>
      </c>
      <c r="P223" s="13">
        <v>6</v>
      </c>
      <c r="Q223" s="12">
        <f>INT(P223/$S$15/O223*VLOOKUP(J223,[1]人物技能基础!$N$3:$O$553,2,0)*$U$15)</f>
        <v>9</v>
      </c>
      <c r="R223" s="12">
        <f t="shared" si="39"/>
        <v>112</v>
      </c>
    </row>
    <row r="224" spans="1:18" x14ac:dyDescent="0.15">
      <c r="A224" s="12">
        <v>206</v>
      </c>
      <c r="B224" s="12">
        <f t="shared" si="33"/>
        <v>2</v>
      </c>
      <c r="C224" s="12">
        <f t="shared" si="34"/>
        <v>5.4179999999999999E-2</v>
      </c>
      <c r="D224" s="12">
        <f t="shared" si="35"/>
        <v>9.0549999999999936E-3</v>
      </c>
      <c r="E224" s="12">
        <f>SUM($D$19:D224)</f>
        <v>1.2541799999999999</v>
      </c>
      <c r="F224" s="12">
        <f t="shared" si="31"/>
        <v>13.794525901519002</v>
      </c>
      <c r="G224" s="12">
        <f t="shared" si="32"/>
        <v>17.065951383694998</v>
      </c>
      <c r="H224" s="12">
        <f t="shared" si="36"/>
        <v>49600</v>
      </c>
      <c r="I224" s="12">
        <f t="shared" si="37"/>
        <v>61400</v>
      </c>
      <c r="J224" s="12">
        <f>IF(A224&lt;[3]关卡对接!$A$4,INDEX([3]关卡对接!$C$7:$C$141,A224),MATCH(E224,人物经验!$H$24:$H$573,1))</f>
        <v>241</v>
      </c>
      <c r="K224" s="12">
        <f>IF([3]关卡对接!F212="",INT(INDEX(人物经验!$J$24:$J$573,关卡!J224)*关卡!$S$7),[3]关卡对接!F212)</f>
        <v>1227</v>
      </c>
      <c r="L224" s="12">
        <f t="shared" si="38"/>
        <v>1.2</v>
      </c>
      <c r="M224" s="12">
        <f>L224/[4]货币基础!$B$4</f>
        <v>120</v>
      </c>
      <c r="N224" s="12">
        <f>IF(A224&lt;[3]关卡对接!$A$4,INDEX([3]关卡对接!$E$7:$E$141,A224),MATCH(E224,人物经验!$H$24:$H$573,1))</f>
        <v>241</v>
      </c>
      <c r="O224" s="12">
        <f>INDEX([2]关卡!$G$6:$G$2005,A224)</f>
        <v>3</v>
      </c>
      <c r="P224" s="13">
        <v>6</v>
      </c>
      <c r="Q224" s="12">
        <f>INT(P224/$S$15/O224*VLOOKUP(J224,[1]人物技能基础!$N$3:$O$553,2,0)*$U$15)</f>
        <v>9</v>
      </c>
      <c r="R224" s="12">
        <f t="shared" si="39"/>
        <v>112</v>
      </c>
    </row>
    <row r="225" spans="1:18" x14ac:dyDescent="0.15">
      <c r="A225" s="12">
        <v>207</v>
      </c>
      <c r="B225" s="12">
        <f t="shared" si="33"/>
        <v>2</v>
      </c>
      <c r="C225" s="12">
        <f t="shared" si="34"/>
        <v>6.324500000000001E-2</v>
      </c>
      <c r="D225" s="12">
        <f t="shared" si="35"/>
        <v>9.0650000000000105E-3</v>
      </c>
      <c r="E225" s="12">
        <f>SUM($D$19:D225)</f>
        <v>1.263245</v>
      </c>
      <c r="F225" s="12">
        <f t="shared" si="31"/>
        <v>13.870851530224936</v>
      </c>
      <c r="G225" s="12">
        <f t="shared" si="32"/>
        <v>17.134046649755934</v>
      </c>
      <c r="H225" s="12">
        <f t="shared" si="36"/>
        <v>49900</v>
      </c>
      <c r="I225" s="12">
        <f t="shared" si="37"/>
        <v>61600</v>
      </c>
      <c r="J225" s="12">
        <f>IF(A225&lt;[3]关卡对接!$A$4,INDEX([3]关卡对接!$C$7:$C$141,A225),MATCH(E225,人物经验!$H$24:$H$573,1))</f>
        <v>242</v>
      </c>
      <c r="K225" s="12">
        <f>IF([3]关卡对接!F213="",INT(INDEX(人物经验!$J$24:$J$573,关卡!J225)*关卡!$S$7),[3]关卡对接!F213)</f>
        <v>1241</v>
      </c>
      <c r="L225" s="12">
        <f t="shared" si="38"/>
        <v>1.2</v>
      </c>
      <c r="M225" s="12">
        <f>L225/[4]货币基础!$B$4</f>
        <v>120</v>
      </c>
      <c r="N225" s="12">
        <f>IF(A225&lt;[3]关卡对接!$A$4,INDEX([3]关卡对接!$E$7:$E$141,A225),MATCH(E225,人物经验!$H$24:$H$573,1))</f>
        <v>242</v>
      </c>
      <c r="O225" s="12">
        <f>INDEX([2]关卡!$G$6:$G$2005,A225)</f>
        <v>3</v>
      </c>
      <c r="P225" s="13">
        <v>6</v>
      </c>
      <c r="Q225" s="12">
        <f>INT(P225/$S$15/O225*VLOOKUP(J225,[1]人物技能基础!$N$3:$O$553,2,0)*$U$15)</f>
        <v>9</v>
      </c>
      <c r="R225" s="12">
        <f t="shared" si="39"/>
        <v>112</v>
      </c>
    </row>
    <row r="226" spans="1:18" x14ac:dyDescent="0.15">
      <c r="A226" s="12">
        <v>208</v>
      </c>
      <c r="B226" s="12">
        <f t="shared" si="33"/>
        <v>2</v>
      </c>
      <c r="C226" s="12">
        <f t="shared" si="34"/>
        <v>7.2320000000000009E-2</v>
      </c>
      <c r="D226" s="12">
        <f t="shared" si="35"/>
        <v>9.0749999999999997E-3</v>
      </c>
      <c r="E226" s="12">
        <f>SUM($D$19:D226)</f>
        <v>1.2723199999999999</v>
      </c>
      <c r="F226" s="12">
        <f t="shared" si="31"/>
        <v>13.947336556544</v>
      </c>
      <c r="G226" s="12">
        <f t="shared" si="32"/>
        <v>17.202243256319999</v>
      </c>
      <c r="H226" s="12">
        <f t="shared" si="36"/>
        <v>50200</v>
      </c>
      <c r="I226" s="12">
        <f t="shared" si="37"/>
        <v>61900</v>
      </c>
      <c r="J226" s="12">
        <f>IF(A226&lt;[3]关卡对接!$A$4,INDEX([3]关卡对接!$C$7:$C$141,A226),MATCH(E226,人物经验!$H$24:$H$573,1))</f>
        <v>243</v>
      </c>
      <c r="K226" s="12">
        <f>IF([3]关卡对接!F214="",INT(INDEX(人物经验!$J$24:$J$573,关卡!J226)*关卡!$S$7),[3]关卡对接!F214)</f>
        <v>1248</v>
      </c>
      <c r="L226" s="12">
        <f t="shared" si="38"/>
        <v>1.2</v>
      </c>
      <c r="M226" s="12">
        <f>L226/[4]货币基础!$B$4</f>
        <v>120</v>
      </c>
      <c r="N226" s="12">
        <f>IF(A226&lt;[3]关卡对接!$A$4,INDEX([3]关卡对接!$E$7:$E$141,A226),MATCH(E226,人物经验!$H$24:$H$573,1))</f>
        <v>243</v>
      </c>
      <c r="O226" s="12">
        <f>INDEX([2]关卡!$G$6:$G$2005,A226)</f>
        <v>3</v>
      </c>
      <c r="P226" s="13">
        <v>6</v>
      </c>
      <c r="Q226" s="12">
        <f>INT(P226/$S$15/O226*VLOOKUP(J226,[1]人物技能基础!$N$3:$O$553,2,0)*$U$15)</f>
        <v>9</v>
      </c>
      <c r="R226" s="12">
        <f t="shared" si="39"/>
        <v>112</v>
      </c>
    </row>
    <row r="227" spans="1:18" x14ac:dyDescent="0.15">
      <c r="A227" s="12">
        <v>209</v>
      </c>
      <c r="B227" s="12">
        <f t="shared" si="33"/>
        <v>2</v>
      </c>
      <c r="C227" s="12">
        <f t="shared" si="34"/>
        <v>8.1405000000000005E-2</v>
      </c>
      <c r="D227" s="12">
        <f t="shared" si="35"/>
        <v>9.0849999999999959E-3</v>
      </c>
      <c r="E227" s="12">
        <f>SUM($D$19:D227)</f>
        <v>1.2814049999999999</v>
      </c>
      <c r="F227" s="12">
        <f t="shared" si="31"/>
        <v>14.02398132966494</v>
      </c>
      <c r="G227" s="12">
        <f t="shared" si="32"/>
        <v>17.270541345455939</v>
      </c>
      <c r="H227" s="12">
        <f t="shared" si="36"/>
        <v>50400</v>
      </c>
      <c r="I227" s="12">
        <f t="shared" si="37"/>
        <v>62100</v>
      </c>
      <c r="J227" s="12">
        <f>IF(A227&lt;[3]关卡对接!$A$4,INDEX([3]关卡对接!$C$7:$C$141,A227),MATCH(E227,人物经验!$H$24:$H$573,1))</f>
        <v>243</v>
      </c>
      <c r="K227" s="12">
        <f>IF([3]关卡对接!F215="",INT(INDEX(人物经验!$J$24:$J$573,关卡!J227)*关卡!$S$7),[3]关卡对接!F215)</f>
        <v>1248</v>
      </c>
      <c r="L227" s="12">
        <f t="shared" si="38"/>
        <v>1.2</v>
      </c>
      <c r="M227" s="12">
        <f>L227/[4]货币基础!$B$4</f>
        <v>120</v>
      </c>
      <c r="N227" s="12">
        <f>IF(A227&lt;[3]关卡对接!$A$4,INDEX([3]关卡对接!$E$7:$E$141,A227),MATCH(E227,人物经验!$H$24:$H$573,1))</f>
        <v>243</v>
      </c>
      <c r="O227" s="12">
        <f>INDEX([2]关卡!$G$6:$G$2005,A227)</f>
        <v>3</v>
      </c>
      <c r="P227" s="13">
        <v>6</v>
      </c>
      <c r="Q227" s="12">
        <f>INT(P227/$S$15/O227*VLOOKUP(J227,[1]人物技能基础!$N$3:$O$553,2,0)*$U$15)</f>
        <v>9</v>
      </c>
      <c r="R227" s="12">
        <f t="shared" si="39"/>
        <v>112</v>
      </c>
    </row>
    <row r="228" spans="1:18" x14ac:dyDescent="0.15">
      <c r="A228" s="12">
        <v>210</v>
      </c>
      <c r="B228" s="12">
        <f t="shared" si="33"/>
        <v>2</v>
      </c>
      <c r="C228" s="12">
        <f t="shared" si="34"/>
        <v>9.0500000000000011E-2</v>
      </c>
      <c r="D228" s="12">
        <f t="shared" si="35"/>
        <v>9.0950000000000059E-3</v>
      </c>
      <c r="E228" s="12">
        <f>SUM($D$19:D228)</f>
        <v>1.2905</v>
      </c>
      <c r="F228" s="12">
        <f t="shared" si="31"/>
        <v>14.100786199374999</v>
      </c>
      <c r="G228" s="12">
        <f t="shared" si="32"/>
        <v>17.338941059374999</v>
      </c>
      <c r="H228" s="12">
        <f t="shared" si="36"/>
        <v>50700</v>
      </c>
      <c r="I228" s="12">
        <f t="shared" si="37"/>
        <v>62400</v>
      </c>
      <c r="J228" s="12">
        <f>IF(A228&lt;[3]关卡对接!$A$4,INDEX([3]关卡对接!$C$7:$C$141,A228),MATCH(E228,人物经验!$H$24:$H$573,1))</f>
        <v>244</v>
      </c>
      <c r="K228" s="12">
        <f>IF([3]关卡对接!F216="",INT(INDEX(人物经验!$J$24:$J$573,关卡!J228)*关卡!$S$7),[3]关卡对接!F216)</f>
        <v>1262</v>
      </c>
      <c r="L228" s="12">
        <f t="shared" si="38"/>
        <v>1.2</v>
      </c>
      <c r="M228" s="12">
        <f>L228/[4]货币基础!$B$4</f>
        <v>120</v>
      </c>
      <c r="N228" s="12">
        <f>IF(A228&lt;[3]关卡对接!$A$4,INDEX([3]关卡对接!$E$7:$E$141,A228),MATCH(E228,人物经验!$H$24:$H$573,1))</f>
        <v>244</v>
      </c>
      <c r="O228" s="12">
        <f>INDEX([2]关卡!$G$6:$G$2005,A228)</f>
        <v>3</v>
      </c>
      <c r="P228" s="13">
        <v>6</v>
      </c>
      <c r="Q228" s="12">
        <f>INT(P228/$S$15/O228*VLOOKUP(J228,[1]人物技能基础!$N$3:$O$553,2,0)*$U$15)</f>
        <v>9</v>
      </c>
      <c r="R228" s="12">
        <f t="shared" si="39"/>
        <v>112</v>
      </c>
    </row>
    <row r="229" spans="1:18" x14ac:dyDescent="0.15">
      <c r="A229" s="12">
        <v>211</v>
      </c>
      <c r="B229" s="12">
        <f t="shared" si="33"/>
        <v>2</v>
      </c>
      <c r="C229" s="12">
        <f t="shared" si="34"/>
        <v>9.9604999999999999E-2</v>
      </c>
      <c r="D229" s="12">
        <f t="shared" si="35"/>
        <v>9.1049999999999881E-3</v>
      </c>
      <c r="E229" s="12">
        <f>SUM($D$19:D229)</f>
        <v>1.2996049999999999</v>
      </c>
      <c r="F229" s="12">
        <f t="shared" si="31"/>
        <v>14.177751516059939</v>
      </c>
      <c r="G229" s="12">
        <f t="shared" si="32"/>
        <v>17.407442540430939</v>
      </c>
      <c r="H229" s="12">
        <f t="shared" si="36"/>
        <v>51000</v>
      </c>
      <c r="I229" s="12">
        <f t="shared" si="37"/>
        <v>62600</v>
      </c>
      <c r="J229" s="12">
        <f>IF(A229&lt;[3]关卡对接!$A$4,INDEX([3]关卡对接!$C$7:$C$141,A229),MATCH(E229,人物经验!$H$24:$H$573,1))</f>
        <v>245</v>
      </c>
      <c r="K229" s="12">
        <f>IF([3]关卡对接!F217="",INT(INDEX(人物经验!$J$24:$J$573,关卡!J229)*关卡!$S$7),[3]关卡对接!F217)</f>
        <v>1269</v>
      </c>
      <c r="L229" s="12">
        <f t="shared" si="38"/>
        <v>1.2</v>
      </c>
      <c r="M229" s="12">
        <f>L229/[4]货币基础!$B$4</f>
        <v>120</v>
      </c>
      <c r="N229" s="12">
        <f>IF(A229&lt;[3]关卡对接!$A$4,INDEX([3]关卡对接!$E$7:$E$141,A229),MATCH(E229,人物经验!$H$24:$H$573,1))</f>
        <v>245</v>
      </c>
      <c r="O229" s="12">
        <f>INDEX([2]关卡!$G$6:$G$2005,A229)</f>
        <v>3</v>
      </c>
      <c r="P229" s="13">
        <v>6</v>
      </c>
      <c r="Q229" s="12">
        <f>INT(P229/$S$15/O229*VLOOKUP(J229,[1]人物技能基础!$N$3:$O$553,2,0)*$U$15)</f>
        <v>9</v>
      </c>
      <c r="R229" s="12">
        <f t="shared" si="39"/>
        <v>112</v>
      </c>
    </row>
    <row r="230" spans="1:18" x14ac:dyDescent="0.15">
      <c r="A230" s="12">
        <v>212</v>
      </c>
      <c r="B230" s="12">
        <f t="shared" si="33"/>
        <v>2</v>
      </c>
      <c r="C230" s="12">
        <f t="shared" si="34"/>
        <v>0.10872</v>
      </c>
      <c r="D230" s="12">
        <f t="shared" si="35"/>
        <v>9.1149999999999981E-3</v>
      </c>
      <c r="E230" s="12">
        <f>SUM($D$19:D230)</f>
        <v>1.3087199999999999</v>
      </c>
      <c r="F230" s="12">
        <f t="shared" si="31"/>
        <v>14.254877630703998</v>
      </c>
      <c r="G230" s="12">
        <f t="shared" si="32"/>
        <v>17.476045931119998</v>
      </c>
      <c r="H230" s="12">
        <f t="shared" si="36"/>
        <v>51300</v>
      </c>
      <c r="I230" s="12">
        <f t="shared" si="37"/>
        <v>62900</v>
      </c>
      <c r="J230" s="12">
        <f>IF(A230&lt;[3]关卡对接!$A$4,INDEX([3]关卡对接!$C$7:$C$141,A230),MATCH(E230,人物经验!$H$24:$H$573,1))</f>
        <v>245</v>
      </c>
      <c r="K230" s="12">
        <f>IF([3]关卡对接!F218="",INT(INDEX(人物经验!$J$24:$J$573,关卡!J230)*关卡!$S$7),[3]关卡对接!F218)</f>
        <v>1269</v>
      </c>
      <c r="L230" s="12">
        <f t="shared" si="38"/>
        <v>1.2</v>
      </c>
      <c r="M230" s="12">
        <f>L230/[4]货币基础!$B$4</f>
        <v>120</v>
      </c>
      <c r="N230" s="12">
        <f>IF(A230&lt;[3]关卡对接!$A$4,INDEX([3]关卡对接!$E$7:$E$141,A230),MATCH(E230,人物经验!$H$24:$H$573,1))</f>
        <v>245</v>
      </c>
      <c r="O230" s="12">
        <f>INDEX([2]关卡!$G$6:$G$2005,A230)</f>
        <v>3</v>
      </c>
      <c r="P230" s="13">
        <v>6</v>
      </c>
      <c r="Q230" s="12">
        <f>INT(P230/$S$15/O230*VLOOKUP(J230,[1]人物技能基础!$N$3:$O$553,2,0)*$U$15)</f>
        <v>9</v>
      </c>
      <c r="R230" s="12">
        <f t="shared" si="39"/>
        <v>112</v>
      </c>
    </row>
    <row r="231" spans="1:18" x14ac:dyDescent="0.15">
      <c r="A231" s="12">
        <v>213</v>
      </c>
      <c r="B231" s="12">
        <f t="shared" si="33"/>
        <v>2</v>
      </c>
      <c r="C231" s="12">
        <f t="shared" si="34"/>
        <v>0.11784500000000001</v>
      </c>
      <c r="D231" s="12">
        <f t="shared" si="35"/>
        <v>9.1250000000000081E-3</v>
      </c>
      <c r="E231" s="12">
        <f>SUM($D$19:D231)</f>
        <v>1.3178449999999999</v>
      </c>
      <c r="F231" s="12">
        <f t="shared" si="31"/>
        <v>14.332164894889939</v>
      </c>
      <c r="G231" s="12">
        <f t="shared" si="32"/>
        <v>17.544751374080938</v>
      </c>
      <c r="H231" s="12">
        <f t="shared" si="36"/>
        <v>51500</v>
      </c>
      <c r="I231" s="12">
        <f t="shared" si="37"/>
        <v>63100</v>
      </c>
      <c r="J231" s="12">
        <f>IF(A231&lt;[3]关卡对接!$A$4,INDEX([3]关卡对接!$C$7:$C$141,A231),MATCH(E231,人物经验!$H$24:$H$573,1))</f>
        <v>246</v>
      </c>
      <c r="K231" s="12">
        <f>IF([3]关卡对接!F219="",INT(INDEX(人物经验!$J$24:$J$573,关卡!J231)*关卡!$S$7),[3]关卡对接!F219)</f>
        <v>1282</v>
      </c>
      <c r="L231" s="12">
        <f t="shared" si="38"/>
        <v>1.2</v>
      </c>
      <c r="M231" s="12">
        <f>L231/[4]货币基础!$B$4</f>
        <v>120</v>
      </c>
      <c r="N231" s="12">
        <f>IF(A231&lt;[3]关卡对接!$A$4,INDEX([3]关卡对接!$E$7:$E$141,A231),MATCH(E231,人物经验!$H$24:$H$573,1))</f>
        <v>246</v>
      </c>
      <c r="O231" s="12">
        <f>INDEX([2]关卡!$G$6:$G$2005,A231)</f>
        <v>3</v>
      </c>
      <c r="P231" s="13">
        <v>6</v>
      </c>
      <c r="Q231" s="12">
        <f>INT(P231/$S$15/O231*VLOOKUP(J231,[1]人物技能基础!$N$3:$O$553,2,0)*$U$15)</f>
        <v>9</v>
      </c>
      <c r="R231" s="12">
        <f t="shared" si="39"/>
        <v>112</v>
      </c>
    </row>
    <row r="232" spans="1:18" x14ac:dyDescent="0.15">
      <c r="A232" s="12">
        <v>214</v>
      </c>
      <c r="B232" s="12">
        <f t="shared" si="33"/>
        <v>2</v>
      </c>
      <c r="C232" s="12">
        <f t="shared" si="34"/>
        <v>0.12698000000000004</v>
      </c>
      <c r="D232" s="12">
        <f t="shared" si="35"/>
        <v>9.135000000000032E-3</v>
      </c>
      <c r="E232" s="12">
        <f>SUM($D$19:D232)</f>
        <v>1.32698</v>
      </c>
      <c r="F232" s="12">
        <f t="shared" si="31"/>
        <v>14.409613660799002</v>
      </c>
      <c r="G232" s="12">
        <f t="shared" si="32"/>
        <v>17.613559012094999</v>
      </c>
      <c r="H232" s="12">
        <f t="shared" si="36"/>
        <v>51800</v>
      </c>
      <c r="I232" s="12">
        <f t="shared" si="37"/>
        <v>63400</v>
      </c>
      <c r="J232" s="12">
        <f>IF(A232&lt;[3]关卡对接!$A$4,INDEX([3]关卡对接!$C$7:$C$141,A232),MATCH(E232,人物经验!$H$24:$H$573,1))</f>
        <v>247</v>
      </c>
      <c r="K232" s="12">
        <f>IF([3]关卡对接!F220="",INT(INDEX(人物经验!$J$24:$J$573,关卡!J232)*关卡!$S$7),[3]关卡对接!F220)</f>
        <v>1289</v>
      </c>
      <c r="L232" s="12">
        <f t="shared" si="38"/>
        <v>1.2</v>
      </c>
      <c r="M232" s="12">
        <f>L232/[4]货币基础!$B$4</f>
        <v>120</v>
      </c>
      <c r="N232" s="12">
        <f>IF(A232&lt;[3]关卡对接!$A$4,INDEX([3]关卡对接!$E$7:$E$141,A232),MATCH(E232,人物经验!$H$24:$H$573,1))</f>
        <v>247</v>
      </c>
      <c r="O232" s="12">
        <f>INDEX([2]关卡!$G$6:$G$2005,A232)</f>
        <v>3</v>
      </c>
      <c r="P232" s="13">
        <v>6</v>
      </c>
      <c r="Q232" s="12">
        <f>INT(P232/$S$15/O232*VLOOKUP(J232,[1]人物技能基础!$N$3:$O$553,2,0)*$U$15)</f>
        <v>9</v>
      </c>
      <c r="R232" s="12">
        <f t="shared" si="39"/>
        <v>112</v>
      </c>
    </row>
    <row r="233" spans="1:18" x14ac:dyDescent="0.15">
      <c r="A233" s="12">
        <v>215</v>
      </c>
      <c r="B233" s="12">
        <f t="shared" si="33"/>
        <v>2</v>
      </c>
      <c r="C233" s="12">
        <f t="shared" si="34"/>
        <v>0.136125</v>
      </c>
      <c r="D233" s="12">
        <f t="shared" si="35"/>
        <v>9.1449999999999587E-3</v>
      </c>
      <c r="E233" s="12">
        <f>SUM($D$19:D233)</f>
        <v>1.336125</v>
      </c>
      <c r="F233" s="12">
        <f t="shared" si="31"/>
        <v>14.487224281210938</v>
      </c>
      <c r="G233" s="12">
        <f t="shared" si="32"/>
        <v>17.68246898808594</v>
      </c>
      <c r="H233" s="12">
        <f t="shared" si="36"/>
        <v>52100</v>
      </c>
      <c r="I233" s="12">
        <f t="shared" si="37"/>
        <v>63600</v>
      </c>
      <c r="J233" s="12">
        <f>IF(A233&lt;[3]关卡对接!$A$4,INDEX([3]关卡对接!$C$7:$C$141,A233),MATCH(E233,人物经验!$H$24:$H$573,1))</f>
        <v>247</v>
      </c>
      <c r="K233" s="12">
        <f>IF([3]关卡对接!F221="",INT(INDEX(人物经验!$J$24:$J$573,关卡!J233)*关卡!$S$7),[3]关卡对接!F221)</f>
        <v>1289</v>
      </c>
      <c r="L233" s="12">
        <f t="shared" si="38"/>
        <v>1.2</v>
      </c>
      <c r="M233" s="12">
        <f>L233/[4]货币基础!$B$4</f>
        <v>120</v>
      </c>
      <c r="N233" s="12">
        <f>IF(A233&lt;[3]关卡对接!$A$4,INDEX([3]关卡对接!$E$7:$E$141,A233),MATCH(E233,人物经验!$H$24:$H$573,1))</f>
        <v>247</v>
      </c>
      <c r="O233" s="12">
        <f>INDEX([2]关卡!$G$6:$G$2005,A233)</f>
        <v>3</v>
      </c>
      <c r="P233" s="13">
        <v>6</v>
      </c>
      <c r="Q233" s="12">
        <f>INT(P233/$S$15/O233*VLOOKUP(J233,[1]人物技能基础!$N$3:$O$553,2,0)*$U$15)</f>
        <v>9</v>
      </c>
      <c r="R233" s="12">
        <f t="shared" si="39"/>
        <v>112</v>
      </c>
    </row>
    <row r="234" spans="1:18" x14ac:dyDescent="0.15">
      <c r="A234" s="12">
        <v>216</v>
      </c>
      <c r="B234" s="12">
        <f t="shared" si="33"/>
        <v>2</v>
      </c>
      <c r="C234" s="12">
        <f t="shared" si="34"/>
        <v>0.14528000000000002</v>
      </c>
      <c r="D234" s="12">
        <f t="shared" si="35"/>
        <v>9.1550000000000242E-3</v>
      </c>
      <c r="E234" s="12">
        <f>SUM($D$19:D234)</f>
        <v>1.34528</v>
      </c>
      <c r="F234" s="12">
        <f t="shared" si="31"/>
        <v>14.564997109504001</v>
      </c>
      <c r="G234" s="12">
        <f t="shared" si="32"/>
        <v>17.751481445120003</v>
      </c>
      <c r="H234" s="12">
        <f t="shared" si="36"/>
        <v>52400</v>
      </c>
      <c r="I234" s="12">
        <f t="shared" si="37"/>
        <v>63900</v>
      </c>
      <c r="J234" s="12">
        <f>IF(A234&lt;[3]关卡对接!$A$4,INDEX([3]关卡对接!$C$7:$C$141,A234),MATCH(E234,人物经验!$H$24:$H$573,1))</f>
        <v>248</v>
      </c>
      <c r="K234" s="12">
        <f>IF([3]关卡对接!F222="",INT(INDEX(人物经验!$J$24:$J$573,关卡!J234)*关卡!$S$7),[3]关卡对接!F222)</f>
        <v>1303</v>
      </c>
      <c r="L234" s="12">
        <f t="shared" si="38"/>
        <v>1.2</v>
      </c>
      <c r="M234" s="12">
        <f>L234/[4]货币基础!$B$4</f>
        <v>120</v>
      </c>
      <c r="N234" s="12">
        <f>IF(A234&lt;[3]关卡对接!$A$4,INDEX([3]关卡对接!$E$7:$E$141,A234),MATCH(E234,人物经验!$H$24:$H$573,1))</f>
        <v>248</v>
      </c>
      <c r="O234" s="12">
        <f>INDEX([2]关卡!$G$6:$G$2005,A234)</f>
        <v>3</v>
      </c>
      <c r="P234" s="13">
        <v>6</v>
      </c>
      <c r="Q234" s="12">
        <f>INT(P234/$S$15/O234*VLOOKUP(J234,[1]人物技能基础!$N$3:$O$553,2,0)*$U$15)</f>
        <v>9</v>
      </c>
      <c r="R234" s="12">
        <f t="shared" si="39"/>
        <v>112</v>
      </c>
    </row>
    <row r="235" spans="1:18" x14ac:dyDescent="0.15">
      <c r="A235" s="12">
        <v>217</v>
      </c>
      <c r="B235" s="12">
        <f t="shared" si="33"/>
        <v>2</v>
      </c>
      <c r="C235" s="12">
        <f t="shared" si="34"/>
        <v>0.15444500000000003</v>
      </c>
      <c r="D235" s="12">
        <f t="shared" si="35"/>
        <v>9.1650000000000065E-3</v>
      </c>
      <c r="E235" s="12">
        <f>SUM($D$19:D235)</f>
        <v>1.3544450000000001</v>
      </c>
      <c r="F235" s="12">
        <f t="shared" si="31"/>
        <v>14.642932499654936</v>
      </c>
      <c r="G235" s="12">
        <f t="shared" si="32"/>
        <v>17.820596526405936</v>
      </c>
      <c r="H235" s="12">
        <f t="shared" si="36"/>
        <v>52700</v>
      </c>
      <c r="I235" s="12">
        <f t="shared" si="37"/>
        <v>64100</v>
      </c>
      <c r="J235" s="12">
        <f>IF(A235&lt;[3]关卡对接!$A$4,INDEX([3]关卡对接!$C$7:$C$141,A235),MATCH(E235,人物经验!$H$24:$H$573,1))</f>
        <v>249</v>
      </c>
      <c r="K235" s="12">
        <f>IF([3]关卡对接!F223="",INT(INDEX(人物经验!$J$24:$J$573,关卡!J235)*关卡!$S$7),[3]关卡对接!F223)</f>
        <v>1310</v>
      </c>
      <c r="L235" s="12">
        <f t="shared" si="38"/>
        <v>1.2</v>
      </c>
      <c r="M235" s="12">
        <f>L235/[4]货币基础!$B$4</f>
        <v>120</v>
      </c>
      <c r="N235" s="12">
        <f>IF(A235&lt;[3]关卡对接!$A$4,INDEX([3]关卡对接!$E$7:$E$141,A235),MATCH(E235,人物经验!$H$24:$H$573,1))</f>
        <v>249</v>
      </c>
      <c r="O235" s="12">
        <f>INDEX([2]关卡!$G$6:$G$2005,A235)</f>
        <v>3</v>
      </c>
      <c r="P235" s="13">
        <v>6</v>
      </c>
      <c r="Q235" s="12">
        <f>INT(P235/$S$15/O235*VLOOKUP(J235,[1]人物技能基础!$N$3:$O$553,2,0)*$U$15)</f>
        <v>9</v>
      </c>
      <c r="R235" s="12">
        <f t="shared" si="39"/>
        <v>112</v>
      </c>
    </row>
    <row r="236" spans="1:18" x14ac:dyDescent="0.15">
      <c r="A236" s="12">
        <v>218</v>
      </c>
      <c r="B236" s="12">
        <f t="shared" si="33"/>
        <v>2</v>
      </c>
      <c r="C236" s="12">
        <f t="shared" si="34"/>
        <v>0.16362000000000002</v>
      </c>
      <c r="D236" s="12">
        <f t="shared" si="35"/>
        <v>9.1749999999999887E-3</v>
      </c>
      <c r="E236" s="12">
        <f>SUM($D$19:D236)</f>
        <v>1.3636200000000001</v>
      </c>
      <c r="F236" s="12">
        <f t="shared" si="31"/>
        <v>14.721030806239</v>
      </c>
      <c r="G236" s="12">
        <f t="shared" si="32"/>
        <v>17.889814375295</v>
      </c>
      <c r="H236" s="12">
        <f t="shared" si="36"/>
        <v>52900</v>
      </c>
      <c r="I236" s="12">
        <f t="shared" si="37"/>
        <v>64400</v>
      </c>
      <c r="J236" s="12">
        <f>IF(A236&lt;[3]关卡对接!$A$4,INDEX([3]关卡对接!$C$7:$C$141,A236),MATCH(E236,人物经验!$H$24:$H$573,1))</f>
        <v>249</v>
      </c>
      <c r="K236" s="12">
        <f>IF([3]关卡对接!F224="",INT(INDEX(人物经验!$J$24:$J$573,关卡!J236)*关卡!$S$7),[3]关卡对接!F224)</f>
        <v>1310</v>
      </c>
      <c r="L236" s="12">
        <f t="shared" si="38"/>
        <v>1.2</v>
      </c>
      <c r="M236" s="12">
        <f>L236/[4]货币基础!$B$4</f>
        <v>120</v>
      </c>
      <c r="N236" s="12">
        <f>IF(A236&lt;[3]关卡对接!$A$4,INDEX([3]关卡对接!$E$7:$E$141,A236),MATCH(E236,人物经验!$H$24:$H$573,1))</f>
        <v>249</v>
      </c>
      <c r="O236" s="12">
        <f>INDEX([2]关卡!$G$6:$G$2005,A236)</f>
        <v>3</v>
      </c>
      <c r="P236" s="13">
        <v>6</v>
      </c>
      <c r="Q236" s="12">
        <f>INT(P236/$S$15/O236*VLOOKUP(J236,[1]人物技能基础!$N$3:$O$553,2,0)*$U$15)</f>
        <v>9</v>
      </c>
      <c r="R236" s="12">
        <f t="shared" si="39"/>
        <v>112</v>
      </c>
    </row>
    <row r="237" spans="1:18" x14ac:dyDescent="0.15">
      <c r="A237" s="12">
        <v>219</v>
      </c>
      <c r="B237" s="12">
        <f t="shared" si="33"/>
        <v>2</v>
      </c>
      <c r="C237" s="12">
        <f t="shared" si="34"/>
        <v>0.17280500000000001</v>
      </c>
      <c r="D237" s="12">
        <f t="shared" si="35"/>
        <v>9.1849999999999987E-3</v>
      </c>
      <c r="E237" s="12">
        <f>SUM($D$19:D237)</f>
        <v>1.3728050000000001</v>
      </c>
      <c r="F237" s="12">
        <f t="shared" si="31"/>
        <v>14.79929238442994</v>
      </c>
      <c r="G237" s="12">
        <f t="shared" si="32"/>
        <v>17.959135135280942</v>
      </c>
      <c r="H237" s="12">
        <f t="shared" si="36"/>
        <v>53200</v>
      </c>
      <c r="I237" s="12">
        <f t="shared" si="37"/>
        <v>64600</v>
      </c>
      <c r="J237" s="12">
        <f>IF(A237&lt;[3]关卡对接!$A$4,INDEX([3]关卡对接!$C$7:$C$141,A237),MATCH(E237,人物经验!$H$24:$H$573,1))</f>
        <v>250</v>
      </c>
      <c r="K237" s="12">
        <f>IF([3]关卡对接!F225="",INT(INDEX(人物经验!$J$24:$J$573,关卡!J237)*关卡!$S$7),[3]关卡对接!F225)</f>
        <v>1324</v>
      </c>
      <c r="L237" s="12">
        <f t="shared" si="38"/>
        <v>1.2</v>
      </c>
      <c r="M237" s="12">
        <f>L237/[4]货币基础!$B$4</f>
        <v>120</v>
      </c>
      <c r="N237" s="12">
        <f>IF(A237&lt;[3]关卡对接!$A$4,INDEX([3]关卡对接!$E$7:$E$141,A237),MATCH(E237,人物经验!$H$24:$H$573,1))</f>
        <v>250</v>
      </c>
      <c r="O237" s="12">
        <f>INDEX([2]关卡!$G$6:$G$2005,A237)</f>
        <v>3</v>
      </c>
      <c r="P237" s="13">
        <v>6</v>
      </c>
      <c r="Q237" s="12">
        <f>INT(P237/$S$15/O237*VLOOKUP(J237,[1]人物技能基础!$N$3:$O$553,2,0)*$U$15)</f>
        <v>9</v>
      </c>
      <c r="R237" s="12">
        <f t="shared" si="39"/>
        <v>112</v>
      </c>
    </row>
    <row r="238" spans="1:18" x14ac:dyDescent="0.15">
      <c r="A238" s="12">
        <v>220</v>
      </c>
      <c r="B238" s="12">
        <f t="shared" si="33"/>
        <v>2</v>
      </c>
      <c r="C238" s="12">
        <f t="shared" si="34"/>
        <v>0.18200000000000002</v>
      </c>
      <c r="D238" s="12">
        <f t="shared" si="35"/>
        <v>9.1950000000000087E-3</v>
      </c>
      <c r="E238" s="12">
        <f>SUM($D$19:D238)</f>
        <v>1.3820000000000001</v>
      </c>
      <c r="F238" s="12">
        <f t="shared" si="31"/>
        <v>14.877717590000001</v>
      </c>
      <c r="G238" s="12">
        <f t="shared" si="32"/>
        <v>18.028558949999997</v>
      </c>
      <c r="H238" s="12">
        <f t="shared" si="36"/>
        <v>53500</v>
      </c>
      <c r="I238" s="12">
        <f t="shared" si="37"/>
        <v>64900</v>
      </c>
      <c r="J238" s="12">
        <f>IF(A238&lt;[3]关卡对接!$A$4,INDEX([3]关卡对接!$C$7:$C$141,A238),MATCH(E238,人物经验!$H$24:$H$573,1))</f>
        <v>250</v>
      </c>
      <c r="K238" s="12">
        <f>IF([3]关卡对接!F226="",INT(INDEX(人物经验!$J$24:$J$573,关卡!J238)*关卡!$S$7),[3]关卡对接!F226)</f>
        <v>1324</v>
      </c>
      <c r="L238" s="12">
        <f t="shared" si="38"/>
        <v>1.2</v>
      </c>
      <c r="M238" s="12">
        <f>L238/[4]货币基础!$B$4</f>
        <v>120</v>
      </c>
      <c r="N238" s="12">
        <f>IF(A238&lt;[3]关卡对接!$A$4,INDEX([3]关卡对接!$E$7:$E$141,A238),MATCH(E238,人物经验!$H$24:$H$573,1))</f>
        <v>250</v>
      </c>
      <c r="O238" s="12">
        <f>INDEX([2]关卡!$G$6:$G$2005,A238)</f>
        <v>3</v>
      </c>
      <c r="P238" s="13">
        <v>6</v>
      </c>
      <c r="Q238" s="12">
        <f>INT(P238/$S$15/O238*VLOOKUP(J238,[1]人物技能基础!$N$3:$O$553,2,0)*$U$15)</f>
        <v>9</v>
      </c>
      <c r="R238" s="12">
        <f t="shared" si="39"/>
        <v>112</v>
      </c>
    </row>
    <row r="239" spans="1:18" x14ac:dyDescent="0.15">
      <c r="A239" s="12">
        <v>221</v>
      </c>
      <c r="B239" s="12">
        <f t="shared" si="33"/>
        <v>2</v>
      </c>
      <c r="C239" s="12">
        <f t="shared" si="34"/>
        <v>0.19120500000000001</v>
      </c>
      <c r="D239" s="12">
        <f t="shared" si="35"/>
        <v>9.204999999999991E-3</v>
      </c>
      <c r="E239" s="12">
        <f>SUM($D$19:D239)</f>
        <v>1.391205</v>
      </c>
      <c r="F239" s="12">
        <f t="shared" si="31"/>
        <v>14.956306779319942</v>
      </c>
      <c r="G239" s="12">
        <f t="shared" si="32"/>
        <v>18.098085963230943</v>
      </c>
      <c r="H239" s="12">
        <f t="shared" si="36"/>
        <v>53800</v>
      </c>
      <c r="I239" s="12">
        <f t="shared" si="37"/>
        <v>65100</v>
      </c>
      <c r="J239" s="12">
        <f>IF(A239&lt;[3]关卡对接!$A$4,INDEX([3]关卡对接!$C$7:$C$141,A239),MATCH(E239,人物经验!$H$24:$H$573,1))</f>
        <v>251</v>
      </c>
      <c r="K239" s="12">
        <f>IF([3]关卡对接!F227="",INT(INDEX(人物经验!$J$24:$J$573,关卡!J239)*关卡!$S$7),[3]关卡对接!F227)</f>
        <v>1338</v>
      </c>
      <c r="L239" s="12">
        <f t="shared" si="38"/>
        <v>1.2</v>
      </c>
      <c r="M239" s="12">
        <f>L239/[4]货币基础!$B$4</f>
        <v>120</v>
      </c>
      <c r="N239" s="12">
        <f>IF(A239&lt;[3]关卡对接!$A$4,INDEX([3]关卡对接!$E$7:$E$141,A239),MATCH(E239,人物经验!$H$24:$H$573,1))</f>
        <v>251</v>
      </c>
      <c r="O239" s="12">
        <f>INDEX([2]关卡!$G$6:$G$2005,A239)</f>
        <v>3</v>
      </c>
      <c r="P239" s="13">
        <v>6</v>
      </c>
      <c r="Q239" s="12">
        <f>INT(P239/$S$15/O239*VLOOKUP(J239,[1]人物技能基础!$N$3:$O$553,2,0)*$U$15)</f>
        <v>9</v>
      </c>
      <c r="R239" s="12">
        <f t="shared" si="39"/>
        <v>112</v>
      </c>
    </row>
    <row r="240" spans="1:18" x14ac:dyDescent="0.15">
      <c r="A240" s="12">
        <v>222</v>
      </c>
      <c r="B240" s="12">
        <f t="shared" si="33"/>
        <v>2</v>
      </c>
      <c r="C240" s="12">
        <f t="shared" si="34"/>
        <v>0.20042000000000001</v>
      </c>
      <c r="D240" s="12">
        <f t="shared" si="35"/>
        <v>9.215000000000001E-3</v>
      </c>
      <c r="E240" s="12">
        <f>SUM($D$19:D240)</f>
        <v>1.40042</v>
      </c>
      <c r="F240" s="12">
        <f t="shared" si="31"/>
        <v>15.035060309359</v>
      </c>
      <c r="G240" s="12">
        <f t="shared" si="32"/>
        <v>18.167716318894996</v>
      </c>
      <c r="H240" s="12">
        <f t="shared" si="36"/>
        <v>54100</v>
      </c>
      <c r="I240" s="12">
        <f t="shared" si="37"/>
        <v>65400</v>
      </c>
      <c r="J240" s="12">
        <f>IF(A240&lt;[3]关卡对接!$A$4,INDEX([3]关卡对接!$C$7:$C$141,A240),MATCH(E240,人物经验!$H$24:$H$573,1))</f>
        <v>251</v>
      </c>
      <c r="K240" s="12">
        <f>IF([3]关卡对接!F228="",INT(INDEX(人物经验!$J$24:$J$573,关卡!J240)*关卡!$S$7),[3]关卡对接!F228)</f>
        <v>1338</v>
      </c>
      <c r="L240" s="12">
        <f t="shared" si="38"/>
        <v>1.2</v>
      </c>
      <c r="M240" s="12">
        <f>L240/[4]货币基础!$B$4</f>
        <v>120</v>
      </c>
      <c r="N240" s="12">
        <f>IF(A240&lt;[3]关卡对接!$A$4,INDEX([3]关卡对接!$E$7:$E$141,A240),MATCH(E240,人物经验!$H$24:$H$573,1))</f>
        <v>251</v>
      </c>
      <c r="O240" s="12">
        <f>INDEX([2]关卡!$G$6:$G$2005,A240)</f>
        <v>3</v>
      </c>
      <c r="P240" s="13">
        <v>6</v>
      </c>
      <c r="Q240" s="12">
        <f>INT(P240/$S$15/O240*VLOOKUP(J240,[1]人物技能基础!$N$3:$O$553,2,0)*$U$15)</f>
        <v>9</v>
      </c>
      <c r="R240" s="12">
        <f t="shared" si="39"/>
        <v>112</v>
      </c>
    </row>
    <row r="241" spans="1:18" x14ac:dyDescent="0.15">
      <c r="A241" s="12">
        <v>223</v>
      </c>
      <c r="B241" s="12">
        <f t="shared" si="33"/>
        <v>2</v>
      </c>
      <c r="C241" s="12">
        <f t="shared" si="34"/>
        <v>0.20964500000000003</v>
      </c>
      <c r="D241" s="12">
        <f t="shared" si="35"/>
        <v>9.225000000000011E-3</v>
      </c>
      <c r="E241" s="12">
        <f>SUM($D$19:D241)</f>
        <v>1.409645</v>
      </c>
      <c r="F241" s="12">
        <f t="shared" si="31"/>
        <v>15.11397853768494</v>
      </c>
      <c r="G241" s="12">
        <f t="shared" si="32"/>
        <v>18.237450161055939</v>
      </c>
      <c r="H241" s="12">
        <f t="shared" si="36"/>
        <v>54400</v>
      </c>
      <c r="I241" s="12">
        <f t="shared" si="37"/>
        <v>65600</v>
      </c>
      <c r="J241" s="12">
        <f>IF(A241&lt;[3]关卡对接!$A$4,INDEX([3]关卡对接!$C$7:$C$141,A241),MATCH(E241,人物经验!$H$24:$H$573,1))</f>
        <v>251</v>
      </c>
      <c r="K241" s="12">
        <f>IF([3]关卡对接!F229="",INT(INDEX(人物经验!$J$24:$J$573,关卡!J241)*关卡!$S$7),[3]关卡对接!F229)</f>
        <v>1338</v>
      </c>
      <c r="L241" s="12">
        <f t="shared" si="38"/>
        <v>1.2</v>
      </c>
      <c r="M241" s="12">
        <f>L241/[4]货币基础!$B$4</f>
        <v>120</v>
      </c>
      <c r="N241" s="12">
        <f>IF(A241&lt;[3]关卡对接!$A$4,INDEX([3]关卡对接!$E$7:$E$141,A241),MATCH(E241,人物经验!$H$24:$H$573,1))</f>
        <v>251</v>
      </c>
      <c r="O241" s="12">
        <f>INDEX([2]关卡!$G$6:$G$2005,A241)</f>
        <v>3</v>
      </c>
      <c r="P241" s="13">
        <v>6</v>
      </c>
      <c r="Q241" s="12">
        <f>INT(P241/$S$15/O241*VLOOKUP(J241,[1]人物技能基础!$N$3:$O$553,2,0)*$U$15)</f>
        <v>9</v>
      </c>
      <c r="R241" s="12">
        <f t="shared" si="39"/>
        <v>112</v>
      </c>
    </row>
    <row r="242" spans="1:18" x14ac:dyDescent="0.15">
      <c r="A242" s="12">
        <v>224</v>
      </c>
      <c r="B242" s="12">
        <f t="shared" si="33"/>
        <v>2</v>
      </c>
      <c r="C242" s="12">
        <f t="shared" si="34"/>
        <v>0.21887999999999999</v>
      </c>
      <c r="D242" s="12">
        <f t="shared" si="35"/>
        <v>9.2349999999999655E-3</v>
      </c>
      <c r="E242" s="12">
        <f>SUM($D$19:D242)</f>
        <v>1.4188799999999999</v>
      </c>
      <c r="F242" s="12">
        <f t="shared" si="31"/>
        <v>15.193061822464003</v>
      </c>
      <c r="G242" s="12">
        <f t="shared" si="32"/>
        <v>18.307287633920005</v>
      </c>
      <c r="H242" s="12">
        <f t="shared" si="36"/>
        <v>54600</v>
      </c>
      <c r="I242" s="12">
        <f t="shared" si="37"/>
        <v>65900</v>
      </c>
      <c r="J242" s="12">
        <f>IF(A242&lt;[3]关卡对接!$A$4,INDEX([3]关卡对接!$C$7:$C$141,A242),MATCH(E242,人物经验!$H$24:$H$573,1))</f>
        <v>252</v>
      </c>
      <c r="K242" s="12">
        <f>IF([3]关卡对接!F230="",INT(INDEX(人物经验!$J$24:$J$573,关卡!J242)*关卡!$S$7),[3]关卡对接!F230)</f>
        <v>1360</v>
      </c>
      <c r="L242" s="12">
        <f t="shared" si="38"/>
        <v>1.2</v>
      </c>
      <c r="M242" s="12">
        <f>L242/[4]货币基础!$B$4</f>
        <v>120</v>
      </c>
      <c r="N242" s="12">
        <f>IF(A242&lt;[3]关卡对接!$A$4,INDEX([3]关卡对接!$E$7:$E$141,A242),MATCH(E242,人物经验!$H$24:$H$573,1))</f>
        <v>252</v>
      </c>
      <c r="O242" s="12">
        <f>INDEX([2]关卡!$G$6:$G$2005,A242)</f>
        <v>3</v>
      </c>
      <c r="P242" s="13">
        <v>6</v>
      </c>
      <c r="Q242" s="12">
        <f>INT(P242/$S$15/O242*VLOOKUP(J242,[1]人物技能基础!$N$3:$O$553,2,0)*$U$15)</f>
        <v>9</v>
      </c>
      <c r="R242" s="12">
        <f t="shared" si="39"/>
        <v>112</v>
      </c>
    </row>
    <row r="243" spans="1:18" x14ac:dyDescent="0.15">
      <c r="A243" s="12">
        <v>225</v>
      </c>
      <c r="B243" s="12">
        <f t="shared" si="33"/>
        <v>2</v>
      </c>
      <c r="C243" s="12">
        <f t="shared" si="34"/>
        <v>0.22812499999999999</v>
      </c>
      <c r="D243" s="12">
        <f t="shared" si="35"/>
        <v>9.2450000000000032E-3</v>
      </c>
      <c r="E243" s="12">
        <f>SUM($D$19:D243)</f>
        <v>1.4281249999999999</v>
      </c>
      <c r="F243" s="12">
        <f t="shared" si="31"/>
        <v>15.272310522460938</v>
      </c>
      <c r="G243" s="12">
        <f t="shared" si="32"/>
        <v>18.377228881835936</v>
      </c>
      <c r="H243" s="12">
        <f t="shared" si="36"/>
        <v>54900</v>
      </c>
      <c r="I243" s="12">
        <f t="shared" si="37"/>
        <v>66100</v>
      </c>
      <c r="J243" s="12">
        <f>IF(A243&lt;[3]关卡对接!$A$4,INDEX([3]关卡对接!$C$7:$C$141,A243),MATCH(E243,人物经验!$H$24:$H$573,1))</f>
        <v>252</v>
      </c>
      <c r="K243" s="12">
        <f>IF([3]关卡对接!F231="",INT(INDEX(人物经验!$J$24:$J$573,关卡!J243)*关卡!$S$7),[3]关卡对接!F231)</f>
        <v>1360</v>
      </c>
      <c r="L243" s="12">
        <f t="shared" si="38"/>
        <v>1.2</v>
      </c>
      <c r="M243" s="12">
        <f>L243/[4]货币基础!$B$4</f>
        <v>120</v>
      </c>
      <c r="N243" s="12">
        <f>IF(A243&lt;[3]关卡对接!$A$4,INDEX([3]关卡对接!$E$7:$E$141,A243),MATCH(E243,人物经验!$H$24:$H$573,1))</f>
        <v>252</v>
      </c>
      <c r="O243" s="12">
        <f>INDEX([2]关卡!$G$6:$G$2005,A243)</f>
        <v>3</v>
      </c>
      <c r="P243" s="13">
        <v>6</v>
      </c>
      <c r="Q243" s="12">
        <f>INT(P243/$S$15/O243*VLOOKUP(J243,[1]人物技能基础!$N$3:$O$553,2,0)*$U$15)</f>
        <v>9</v>
      </c>
      <c r="R243" s="12">
        <f t="shared" si="39"/>
        <v>112</v>
      </c>
    </row>
    <row r="244" spans="1:18" x14ac:dyDescent="0.15">
      <c r="A244" s="12">
        <v>226</v>
      </c>
      <c r="B244" s="12">
        <f t="shared" si="33"/>
        <v>2</v>
      </c>
      <c r="C244" s="12">
        <f t="shared" si="34"/>
        <v>0.23738000000000001</v>
      </c>
      <c r="D244" s="12">
        <f t="shared" si="35"/>
        <v>9.2550000000000132E-3</v>
      </c>
      <c r="E244" s="12">
        <f>SUM($D$19:D244)</f>
        <v>1.4373799999999999</v>
      </c>
      <c r="F244" s="12">
        <f t="shared" si="31"/>
        <v>15.351724997039002</v>
      </c>
      <c r="G244" s="12">
        <f t="shared" si="32"/>
        <v>18.447274049295</v>
      </c>
      <c r="H244" s="12">
        <f t="shared" si="36"/>
        <v>55200</v>
      </c>
      <c r="I244" s="12">
        <f t="shared" si="37"/>
        <v>66400</v>
      </c>
      <c r="J244" s="12">
        <f>IF(A244&lt;[3]关卡对接!$A$4,INDEX([3]关卡对接!$C$7:$C$141,A244),MATCH(E244,人物经验!$H$24:$H$573,1))</f>
        <v>252</v>
      </c>
      <c r="K244" s="12">
        <f>IF([3]关卡对接!F232="",INT(INDEX(人物经验!$J$24:$J$573,关卡!J244)*关卡!$S$7),[3]关卡对接!F232)</f>
        <v>1360</v>
      </c>
      <c r="L244" s="12">
        <f t="shared" si="38"/>
        <v>1.2</v>
      </c>
      <c r="M244" s="12">
        <f>L244/[4]货币基础!$B$4</f>
        <v>120</v>
      </c>
      <c r="N244" s="12">
        <f>IF(A244&lt;[3]关卡对接!$A$4,INDEX([3]关卡对接!$E$7:$E$141,A244),MATCH(E244,人物经验!$H$24:$H$573,1))</f>
        <v>252</v>
      </c>
      <c r="O244" s="12">
        <f>INDEX([2]关卡!$G$6:$G$2005,A244)</f>
        <v>3</v>
      </c>
      <c r="P244" s="13">
        <v>6</v>
      </c>
      <c r="Q244" s="12">
        <f>INT(P244/$S$15/O244*VLOOKUP(J244,[1]人物技能基础!$N$3:$O$553,2,0)*$U$15)</f>
        <v>9</v>
      </c>
      <c r="R244" s="12">
        <f t="shared" si="39"/>
        <v>112</v>
      </c>
    </row>
    <row r="245" spans="1:18" x14ac:dyDescent="0.15">
      <c r="A245" s="12">
        <v>227</v>
      </c>
      <c r="B245" s="12">
        <f t="shared" si="33"/>
        <v>2</v>
      </c>
      <c r="C245" s="12">
        <f t="shared" si="34"/>
        <v>0.24664500000000003</v>
      </c>
      <c r="D245" s="12">
        <f t="shared" si="35"/>
        <v>9.2650000000000232E-3</v>
      </c>
      <c r="E245" s="12">
        <f>SUM($D$19:D245)</f>
        <v>1.446645</v>
      </c>
      <c r="F245" s="12">
        <f t="shared" si="31"/>
        <v>15.431305606159938</v>
      </c>
      <c r="G245" s="12">
        <f t="shared" si="32"/>
        <v>18.517423280930938</v>
      </c>
      <c r="H245" s="12">
        <f t="shared" si="36"/>
        <v>55500</v>
      </c>
      <c r="I245" s="12">
        <f t="shared" si="37"/>
        <v>66600</v>
      </c>
      <c r="J245" s="12">
        <f>IF(A245&lt;[3]关卡对接!$A$4,INDEX([3]关卡对接!$C$7:$C$141,A245),MATCH(E245,人物经验!$H$24:$H$573,1))</f>
        <v>253</v>
      </c>
      <c r="K245" s="12">
        <f>IF([3]关卡对接!F233="",INT(INDEX(人物经验!$J$24:$J$573,关卡!J245)*关卡!$S$7),[3]关卡对接!F233)</f>
        <v>1381</v>
      </c>
      <c r="L245" s="12">
        <f t="shared" si="38"/>
        <v>1.2</v>
      </c>
      <c r="M245" s="12">
        <f>L245/[4]货币基础!$B$4</f>
        <v>120</v>
      </c>
      <c r="N245" s="12">
        <f>IF(A245&lt;[3]关卡对接!$A$4,INDEX([3]关卡对接!$E$7:$E$141,A245),MATCH(E245,人物经验!$H$24:$H$573,1))</f>
        <v>253</v>
      </c>
      <c r="O245" s="12">
        <f>INDEX([2]关卡!$G$6:$G$2005,A245)</f>
        <v>3</v>
      </c>
      <c r="P245" s="13">
        <v>6</v>
      </c>
      <c r="Q245" s="12">
        <f>INT(P245/$S$15/O245*VLOOKUP(J245,[1]人物技能基础!$N$3:$O$553,2,0)*$U$15)</f>
        <v>9</v>
      </c>
      <c r="R245" s="12">
        <f t="shared" si="39"/>
        <v>112</v>
      </c>
    </row>
    <row r="246" spans="1:18" x14ac:dyDescent="0.15">
      <c r="A246" s="12">
        <v>228</v>
      </c>
      <c r="B246" s="12">
        <f t="shared" si="33"/>
        <v>2</v>
      </c>
      <c r="C246" s="12">
        <f t="shared" si="34"/>
        <v>0.25592000000000004</v>
      </c>
      <c r="D246" s="12">
        <f t="shared" si="35"/>
        <v>9.2750000000000055E-3</v>
      </c>
      <c r="E246" s="12">
        <f>SUM($D$19:D246)</f>
        <v>1.4559199999999999</v>
      </c>
      <c r="F246" s="12">
        <f t="shared" si="31"/>
        <v>15.511052710384</v>
      </c>
      <c r="G246" s="12">
        <f t="shared" si="32"/>
        <v>18.587676721520005</v>
      </c>
      <c r="H246" s="12">
        <f t="shared" si="36"/>
        <v>55800</v>
      </c>
      <c r="I246" s="12">
        <f t="shared" si="37"/>
        <v>66900</v>
      </c>
      <c r="J246" s="12">
        <f>IF(A246&lt;[3]关卡对接!$A$4,INDEX([3]关卡对接!$C$7:$C$141,A246),MATCH(E246,人物经验!$H$24:$H$573,1))</f>
        <v>253</v>
      </c>
      <c r="K246" s="12">
        <f>IF([3]关卡对接!F234="",INT(INDEX(人物经验!$J$24:$J$573,关卡!J246)*关卡!$S$7),[3]关卡对接!F234)</f>
        <v>1381</v>
      </c>
      <c r="L246" s="12">
        <f t="shared" si="38"/>
        <v>1.2</v>
      </c>
      <c r="M246" s="12">
        <f>L246/[4]货币基础!$B$4</f>
        <v>120</v>
      </c>
      <c r="N246" s="12">
        <f>IF(A246&lt;[3]关卡对接!$A$4,INDEX([3]关卡对接!$E$7:$E$141,A246),MATCH(E246,人物经验!$H$24:$H$573,1))</f>
        <v>253</v>
      </c>
      <c r="O246" s="12">
        <f>INDEX([2]关卡!$G$6:$G$2005,A246)</f>
        <v>3</v>
      </c>
      <c r="P246" s="13">
        <v>6</v>
      </c>
      <c r="Q246" s="12">
        <f>INT(P246/$S$15/O246*VLOOKUP(J246,[1]人物技能基础!$N$3:$O$553,2,0)*$U$15)</f>
        <v>9</v>
      </c>
      <c r="R246" s="12">
        <f t="shared" si="39"/>
        <v>112</v>
      </c>
    </row>
    <row r="247" spans="1:18" x14ac:dyDescent="0.15">
      <c r="A247" s="12">
        <v>229</v>
      </c>
      <c r="B247" s="12">
        <f t="shared" si="33"/>
        <v>2</v>
      </c>
      <c r="C247" s="12">
        <f t="shared" si="34"/>
        <v>0.26520500000000002</v>
      </c>
      <c r="D247" s="12">
        <f t="shared" si="35"/>
        <v>9.2849999999999877E-3</v>
      </c>
      <c r="E247" s="12">
        <f>SUM($D$19:D247)</f>
        <v>1.4652049999999999</v>
      </c>
      <c r="F247" s="12">
        <f t="shared" si="31"/>
        <v>15.590966670869943</v>
      </c>
      <c r="G247" s="12">
        <f t="shared" si="32"/>
        <v>18.658034515980944</v>
      </c>
      <c r="H247" s="12">
        <f t="shared" si="36"/>
        <v>56100</v>
      </c>
      <c r="I247" s="12">
        <f t="shared" si="37"/>
        <v>67100</v>
      </c>
      <c r="J247" s="12">
        <f>IF(A247&lt;[3]关卡对接!$A$4,INDEX([3]关卡对接!$C$7:$C$141,A247),MATCH(E247,人物经验!$H$24:$H$573,1))</f>
        <v>253</v>
      </c>
      <c r="K247" s="12">
        <f>IF([3]关卡对接!F235="",INT(INDEX(人物经验!$J$24:$J$573,关卡!J247)*关卡!$S$7),[3]关卡对接!F235)</f>
        <v>1381</v>
      </c>
      <c r="L247" s="12">
        <f t="shared" si="38"/>
        <v>1.2</v>
      </c>
      <c r="M247" s="12">
        <f>L247/[4]货币基础!$B$4</f>
        <v>120</v>
      </c>
      <c r="N247" s="12">
        <f>IF(A247&lt;[3]关卡对接!$A$4,INDEX([3]关卡对接!$E$7:$E$141,A247),MATCH(E247,人物经验!$H$24:$H$573,1))</f>
        <v>253</v>
      </c>
      <c r="O247" s="12">
        <f>INDEX([2]关卡!$G$6:$G$2005,A247)</f>
        <v>3</v>
      </c>
      <c r="P247" s="13">
        <v>6</v>
      </c>
      <c r="Q247" s="12">
        <f>INT(P247/$S$15/O247*VLOOKUP(J247,[1]人物技能基础!$N$3:$O$553,2,0)*$U$15)</f>
        <v>9</v>
      </c>
      <c r="R247" s="12">
        <f t="shared" si="39"/>
        <v>112</v>
      </c>
    </row>
    <row r="248" spans="1:18" x14ac:dyDescent="0.15">
      <c r="A248" s="12">
        <v>230</v>
      </c>
      <c r="B248" s="12">
        <f t="shared" si="33"/>
        <v>2</v>
      </c>
      <c r="C248" s="12">
        <f t="shared" si="34"/>
        <v>0.27450000000000002</v>
      </c>
      <c r="D248" s="12">
        <f t="shared" si="35"/>
        <v>9.2949999999999977E-3</v>
      </c>
      <c r="E248" s="12">
        <f>SUM($D$19:D248)</f>
        <v>1.4744999999999999</v>
      </c>
      <c r="F248" s="12">
        <f t="shared" si="31"/>
        <v>15.671047849375002</v>
      </c>
      <c r="G248" s="12">
        <f t="shared" si="32"/>
        <v>18.728496809374999</v>
      </c>
      <c r="H248" s="12">
        <f t="shared" si="36"/>
        <v>56400</v>
      </c>
      <c r="I248" s="12">
        <f t="shared" si="37"/>
        <v>67400</v>
      </c>
      <c r="J248" s="12">
        <f>IF(A248&lt;[3]关卡对接!$A$4,INDEX([3]关卡对接!$C$7:$C$141,A248),MATCH(E248,人物经验!$H$24:$H$573,1))</f>
        <v>254</v>
      </c>
      <c r="K248" s="12">
        <f>IF([3]关卡对接!F236="",INT(INDEX(人物经验!$J$24:$J$573,关卡!J248)*关卡!$S$7),[3]关卡对接!F236)</f>
        <v>1403</v>
      </c>
      <c r="L248" s="12">
        <f t="shared" si="38"/>
        <v>1.2</v>
      </c>
      <c r="M248" s="12">
        <f>L248/[4]货币基础!$B$4</f>
        <v>120</v>
      </c>
      <c r="N248" s="12">
        <f>IF(A248&lt;[3]关卡对接!$A$4,INDEX([3]关卡对接!$E$7:$E$141,A248),MATCH(E248,人物经验!$H$24:$H$573,1))</f>
        <v>254</v>
      </c>
      <c r="O248" s="12">
        <f>INDEX([2]关卡!$G$6:$G$2005,A248)</f>
        <v>3</v>
      </c>
      <c r="P248" s="13">
        <v>6</v>
      </c>
      <c r="Q248" s="12">
        <f>INT(P248/$S$15/O248*VLOOKUP(J248,[1]人物技能基础!$N$3:$O$553,2,0)*$U$15)</f>
        <v>9</v>
      </c>
      <c r="R248" s="12">
        <f t="shared" si="39"/>
        <v>112</v>
      </c>
    </row>
    <row r="249" spans="1:18" x14ac:dyDescent="0.15">
      <c r="A249" s="12">
        <v>231</v>
      </c>
      <c r="B249" s="12">
        <f t="shared" si="33"/>
        <v>2</v>
      </c>
      <c r="C249" s="12">
        <f t="shared" si="34"/>
        <v>0.28380500000000003</v>
      </c>
      <c r="D249" s="12">
        <f t="shared" si="35"/>
        <v>9.3050000000000077E-3</v>
      </c>
      <c r="E249" s="12">
        <f>SUM($D$19:D249)</f>
        <v>1.4838049999999998</v>
      </c>
      <c r="F249" s="12">
        <f t="shared" si="31"/>
        <v>15.751296608254941</v>
      </c>
      <c r="G249" s="12">
        <f t="shared" si="32"/>
        <v>18.79906374690594</v>
      </c>
      <c r="H249" s="12">
        <f t="shared" si="36"/>
        <v>56700</v>
      </c>
      <c r="I249" s="12">
        <f t="shared" si="37"/>
        <v>67600</v>
      </c>
      <c r="J249" s="12">
        <f>IF(A249&lt;[3]关卡对接!$A$4,INDEX([3]关卡对接!$C$7:$C$141,A249),MATCH(E249,人物经验!$H$24:$H$573,1))</f>
        <v>254</v>
      </c>
      <c r="K249" s="12">
        <f>IF([3]关卡对接!F237="",INT(INDEX(人物经验!$J$24:$J$573,关卡!J249)*关卡!$S$7),[3]关卡对接!F237)</f>
        <v>1403</v>
      </c>
      <c r="L249" s="12">
        <f t="shared" si="38"/>
        <v>1.2</v>
      </c>
      <c r="M249" s="12">
        <f>L249/[4]货币基础!$B$4</f>
        <v>120</v>
      </c>
      <c r="N249" s="12">
        <f>IF(A249&lt;[3]关卡对接!$A$4,INDEX([3]关卡对接!$E$7:$E$141,A249),MATCH(E249,人物经验!$H$24:$H$573,1))</f>
        <v>254</v>
      </c>
      <c r="O249" s="12">
        <f>INDEX([2]关卡!$G$6:$G$2005,A249)</f>
        <v>3</v>
      </c>
      <c r="P249" s="13">
        <v>6</v>
      </c>
      <c r="Q249" s="12">
        <f>INT(P249/$S$15/O249*VLOOKUP(J249,[1]人物技能基础!$N$3:$O$553,2,0)*$U$15)</f>
        <v>9</v>
      </c>
      <c r="R249" s="12">
        <f t="shared" si="39"/>
        <v>112</v>
      </c>
    </row>
    <row r="250" spans="1:18" x14ac:dyDescent="0.15">
      <c r="A250" s="12">
        <v>232</v>
      </c>
      <c r="B250" s="12">
        <f t="shared" si="33"/>
        <v>2</v>
      </c>
      <c r="C250" s="12">
        <f t="shared" si="34"/>
        <v>0.29312000000000005</v>
      </c>
      <c r="D250" s="12">
        <f t="shared" si="35"/>
        <v>9.3150000000000177E-3</v>
      </c>
      <c r="E250" s="12">
        <f>SUM($D$19:D250)</f>
        <v>1.4931199999999998</v>
      </c>
      <c r="F250" s="12">
        <f t="shared" si="31"/>
        <v>15.831713310464002</v>
      </c>
      <c r="G250" s="12">
        <f t="shared" si="32"/>
        <v>18.869735473919999</v>
      </c>
      <c r="H250" s="12">
        <f t="shared" si="36"/>
        <v>56900</v>
      </c>
      <c r="I250" s="12">
        <f t="shared" si="37"/>
        <v>67900</v>
      </c>
      <c r="J250" s="12">
        <f>IF(A250&lt;[3]关卡对接!$A$4,INDEX([3]关卡对接!$C$7:$C$141,A250),MATCH(E250,人物经验!$H$24:$H$573,1))</f>
        <v>254</v>
      </c>
      <c r="K250" s="12">
        <f>IF([3]关卡对接!F238="",INT(INDEX(人物经验!$J$24:$J$573,关卡!J250)*关卡!$S$7),[3]关卡对接!F238)</f>
        <v>1403</v>
      </c>
      <c r="L250" s="12">
        <f t="shared" si="38"/>
        <v>1.2</v>
      </c>
      <c r="M250" s="12">
        <f>L250/[4]货币基础!$B$4</f>
        <v>120</v>
      </c>
      <c r="N250" s="12">
        <f>IF(A250&lt;[3]关卡对接!$A$4,INDEX([3]关卡对接!$E$7:$E$141,A250),MATCH(E250,人物经验!$H$24:$H$573,1))</f>
        <v>254</v>
      </c>
      <c r="O250" s="12">
        <f>INDEX([2]关卡!$G$6:$G$2005,A250)</f>
        <v>3</v>
      </c>
      <c r="P250" s="13">
        <v>6</v>
      </c>
      <c r="Q250" s="12">
        <f>INT(P250/$S$15/O250*VLOOKUP(J250,[1]人物技能基础!$N$3:$O$553,2,0)*$U$15)</f>
        <v>9</v>
      </c>
      <c r="R250" s="12">
        <f t="shared" si="39"/>
        <v>112</v>
      </c>
    </row>
    <row r="251" spans="1:18" x14ac:dyDescent="0.15">
      <c r="A251" s="12">
        <v>233</v>
      </c>
      <c r="B251" s="12">
        <f t="shared" si="33"/>
        <v>2</v>
      </c>
      <c r="C251" s="12">
        <f t="shared" si="34"/>
        <v>0.30244500000000002</v>
      </c>
      <c r="D251" s="12">
        <f t="shared" si="35"/>
        <v>9.3249999999999722E-3</v>
      </c>
      <c r="E251" s="12">
        <f>SUM($D$19:D251)</f>
        <v>1.5024449999999998</v>
      </c>
      <c r="F251" s="12">
        <f t="shared" si="31"/>
        <v>15.912298319554941</v>
      </c>
      <c r="G251" s="12">
        <f t="shared" si="32"/>
        <v>18.940512135905941</v>
      </c>
      <c r="H251" s="12">
        <f t="shared" si="36"/>
        <v>57200</v>
      </c>
      <c r="I251" s="12">
        <f t="shared" si="37"/>
        <v>68100</v>
      </c>
      <c r="J251" s="12">
        <f>IF(A251&lt;[3]关卡对接!$A$4,INDEX([3]关卡对接!$C$7:$C$141,A251),MATCH(E251,人物经验!$H$24:$H$573,1))</f>
        <v>255</v>
      </c>
      <c r="K251" s="12">
        <f>IF([3]关卡对接!F239="",INT(INDEX(人物经验!$J$24:$J$573,关卡!J251)*关卡!$S$7),[3]关卡对接!F239)</f>
        <v>1424</v>
      </c>
      <c r="L251" s="12">
        <f t="shared" si="38"/>
        <v>1.2</v>
      </c>
      <c r="M251" s="12">
        <f>L251/[4]货币基础!$B$4</f>
        <v>120</v>
      </c>
      <c r="N251" s="12">
        <f>IF(A251&lt;[3]关卡对接!$A$4,INDEX([3]关卡对接!$E$7:$E$141,A251),MATCH(E251,人物经验!$H$24:$H$573,1))</f>
        <v>255</v>
      </c>
      <c r="O251" s="12">
        <f>INDEX([2]关卡!$G$6:$G$2005,A251)</f>
        <v>3</v>
      </c>
      <c r="P251" s="13">
        <v>6</v>
      </c>
      <c r="Q251" s="12">
        <f>INT(P251/$S$15/O251*VLOOKUP(J251,[1]人物技能基础!$N$3:$O$553,2,0)*$U$15)</f>
        <v>9</v>
      </c>
      <c r="R251" s="12">
        <f t="shared" si="39"/>
        <v>112</v>
      </c>
    </row>
    <row r="252" spans="1:18" x14ac:dyDescent="0.15">
      <c r="A252" s="12">
        <v>234</v>
      </c>
      <c r="B252" s="12">
        <f t="shared" si="33"/>
        <v>2</v>
      </c>
      <c r="C252" s="12">
        <f t="shared" si="34"/>
        <v>0.31178000000000006</v>
      </c>
      <c r="D252" s="12">
        <f t="shared" si="35"/>
        <v>9.3350000000000377E-3</v>
      </c>
      <c r="E252" s="12">
        <f>SUM($D$19:D252)</f>
        <v>1.5117799999999999</v>
      </c>
      <c r="F252" s="12">
        <f t="shared" si="31"/>
        <v>15.993051999679004</v>
      </c>
      <c r="G252" s="12">
        <f t="shared" si="32"/>
        <v>19.011393878495003</v>
      </c>
      <c r="H252" s="12">
        <f t="shared" si="36"/>
        <v>57500</v>
      </c>
      <c r="I252" s="12">
        <f t="shared" si="37"/>
        <v>68400</v>
      </c>
      <c r="J252" s="12">
        <f>IF(A252&lt;[3]关卡对接!$A$4,INDEX([3]关卡对接!$C$7:$C$141,A252),MATCH(E252,人物经验!$H$24:$H$573,1))</f>
        <v>255</v>
      </c>
      <c r="K252" s="12">
        <f>IF([3]关卡对接!F240="",INT(INDEX(人物经验!$J$24:$J$573,关卡!J252)*关卡!$S$7),[3]关卡对接!F240)</f>
        <v>1424</v>
      </c>
      <c r="L252" s="12">
        <f t="shared" si="38"/>
        <v>1.2</v>
      </c>
      <c r="M252" s="12">
        <f>L252/[4]货币基础!$B$4</f>
        <v>120</v>
      </c>
      <c r="N252" s="12">
        <f>IF(A252&lt;[3]关卡对接!$A$4,INDEX([3]关卡对接!$E$7:$E$141,A252),MATCH(E252,人物经验!$H$24:$H$573,1))</f>
        <v>255</v>
      </c>
      <c r="O252" s="12">
        <f>INDEX([2]关卡!$G$6:$G$2005,A252)</f>
        <v>3</v>
      </c>
      <c r="P252" s="13">
        <v>6</v>
      </c>
      <c r="Q252" s="12">
        <f>INT(P252/$S$15/O252*VLOOKUP(J252,[1]人物技能基础!$N$3:$O$553,2,0)*$U$15)</f>
        <v>9</v>
      </c>
      <c r="R252" s="12">
        <f t="shared" si="39"/>
        <v>112</v>
      </c>
    </row>
    <row r="253" spans="1:18" x14ac:dyDescent="0.15">
      <c r="A253" s="12">
        <v>235</v>
      </c>
      <c r="B253" s="12">
        <f t="shared" si="33"/>
        <v>2</v>
      </c>
      <c r="C253" s="12">
        <f t="shared" si="34"/>
        <v>0.32112499999999999</v>
      </c>
      <c r="D253" s="12">
        <f t="shared" si="35"/>
        <v>9.3449999999999367E-3</v>
      </c>
      <c r="E253" s="12">
        <f>SUM($D$19:D253)</f>
        <v>1.5211249999999998</v>
      </c>
      <c r="F253" s="12">
        <f t="shared" si="31"/>
        <v>16.07397471558594</v>
      </c>
      <c r="G253" s="12">
        <f t="shared" si="32"/>
        <v>19.082380847460943</v>
      </c>
      <c r="H253" s="12">
        <f t="shared" si="36"/>
        <v>57800</v>
      </c>
      <c r="I253" s="12">
        <f t="shared" si="37"/>
        <v>68600</v>
      </c>
      <c r="J253" s="12">
        <f>IF(A253&lt;[3]关卡对接!$A$4,INDEX([3]关卡对接!$C$7:$C$141,A253),MATCH(E253,人物经验!$H$24:$H$573,1))</f>
        <v>255</v>
      </c>
      <c r="K253" s="12">
        <f>IF([3]关卡对接!F241="",INT(INDEX(人物经验!$J$24:$J$573,关卡!J253)*关卡!$S$7),[3]关卡对接!F241)</f>
        <v>1424</v>
      </c>
      <c r="L253" s="12">
        <f t="shared" si="38"/>
        <v>1.2</v>
      </c>
      <c r="M253" s="12">
        <f>L253/[4]货币基础!$B$4</f>
        <v>120</v>
      </c>
      <c r="N253" s="12">
        <f>IF(A253&lt;[3]关卡对接!$A$4,INDEX([3]关卡对接!$E$7:$E$141,A253),MATCH(E253,人物经验!$H$24:$H$573,1))</f>
        <v>255</v>
      </c>
      <c r="O253" s="12">
        <f>INDEX([2]关卡!$G$6:$G$2005,A253)</f>
        <v>3</v>
      </c>
      <c r="P253" s="13">
        <v>6</v>
      </c>
      <c r="Q253" s="12">
        <f>INT(P253/$S$15/O253*VLOOKUP(J253,[1]人物技能基础!$N$3:$O$553,2,0)*$U$15)</f>
        <v>9</v>
      </c>
      <c r="R253" s="12">
        <f t="shared" si="39"/>
        <v>112</v>
      </c>
    </row>
    <row r="254" spans="1:18" x14ac:dyDescent="0.15">
      <c r="A254" s="12">
        <v>236</v>
      </c>
      <c r="B254" s="12">
        <f t="shared" si="33"/>
        <v>2</v>
      </c>
      <c r="C254" s="12">
        <f t="shared" si="34"/>
        <v>0.33048</v>
      </c>
      <c r="D254" s="12">
        <f t="shared" si="35"/>
        <v>9.3550000000000022E-3</v>
      </c>
      <c r="E254" s="12">
        <f>SUM($D$19:D254)</f>
        <v>1.5304799999999998</v>
      </c>
      <c r="F254" s="12">
        <f t="shared" si="31"/>
        <v>16.155066832624001</v>
      </c>
      <c r="G254" s="12">
        <f t="shared" si="32"/>
        <v>19.15347318872</v>
      </c>
      <c r="H254" s="12">
        <f t="shared" si="36"/>
        <v>58100</v>
      </c>
      <c r="I254" s="12">
        <f t="shared" si="37"/>
        <v>68900</v>
      </c>
      <c r="J254" s="12">
        <f>IF(A254&lt;[3]关卡对接!$A$4,INDEX([3]关卡对接!$C$7:$C$141,A254),MATCH(E254,人物经验!$H$24:$H$573,1))</f>
        <v>256</v>
      </c>
      <c r="K254" s="12">
        <f>IF([3]关卡对接!F242="",INT(INDEX(人物经验!$J$24:$J$573,关卡!J254)*关卡!$S$7),[3]关卡对接!F242)</f>
        <v>1446</v>
      </c>
      <c r="L254" s="12">
        <f t="shared" si="38"/>
        <v>1.2</v>
      </c>
      <c r="M254" s="12">
        <f>L254/[4]货币基础!$B$4</f>
        <v>120</v>
      </c>
      <c r="N254" s="12">
        <f>IF(A254&lt;[3]关卡对接!$A$4,INDEX([3]关卡对接!$E$7:$E$141,A254),MATCH(E254,人物经验!$H$24:$H$573,1))</f>
        <v>256</v>
      </c>
      <c r="O254" s="12">
        <f>INDEX([2]关卡!$G$6:$G$2005,A254)</f>
        <v>3</v>
      </c>
      <c r="P254" s="13">
        <v>6</v>
      </c>
      <c r="Q254" s="12">
        <f>INT(P254/$S$15/O254*VLOOKUP(J254,[1]人物技能基础!$N$3:$O$553,2,0)*$U$15)</f>
        <v>9</v>
      </c>
      <c r="R254" s="12">
        <f t="shared" si="39"/>
        <v>112</v>
      </c>
    </row>
    <row r="255" spans="1:18" x14ac:dyDescent="0.15">
      <c r="A255" s="12">
        <v>237</v>
      </c>
      <c r="B255" s="12">
        <f t="shared" si="33"/>
        <v>2</v>
      </c>
      <c r="C255" s="12">
        <f t="shared" si="34"/>
        <v>0.33984500000000001</v>
      </c>
      <c r="D255" s="12">
        <f t="shared" si="35"/>
        <v>9.3650000000000122E-3</v>
      </c>
      <c r="E255" s="12">
        <f>SUM($D$19:D255)</f>
        <v>1.5398449999999999</v>
      </c>
      <c r="F255" s="12">
        <f t="shared" si="31"/>
        <v>16.236328716739941</v>
      </c>
      <c r="G255" s="12">
        <f t="shared" si="32"/>
        <v>19.22467104833094</v>
      </c>
      <c r="H255" s="12">
        <f t="shared" si="36"/>
        <v>58400</v>
      </c>
      <c r="I255" s="12">
        <f t="shared" si="37"/>
        <v>69200</v>
      </c>
      <c r="J255" s="12">
        <f>IF(A255&lt;[3]关卡对接!$A$4,INDEX([3]关卡对接!$C$7:$C$141,A255),MATCH(E255,人物经验!$H$24:$H$573,1))</f>
        <v>256</v>
      </c>
      <c r="K255" s="12">
        <f>IF([3]关卡对接!F243="",INT(INDEX(人物经验!$J$24:$J$573,关卡!J255)*关卡!$S$7),[3]关卡对接!F243)</f>
        <v>1446</v>
      </c>
      <c r="L255" s="12">
        <f t="shared" si="38"/>
        <v>1.2</v>
      </c>
      <c r="M255" s="12">
        <f>L255/[4]货币基础!$B$4</f>
        <v>120</v>
      </c>
      <c r="N255" s="12">
        <f>IF(A255&lt;[3]关卡对接!$A$4,INDEX([3]关卡对接!$E$7:$E$141,A255),MATCH(E255,人物经验!$H$24:$H$573,1))</f>
        <v>256</v>
      </c>
      <c r="O255" s="12">
        <f>INDEX([2]关卡!$G$6:$G$2005,A255)</f>
        <v>3</v>
      </c>
      <c r="P255" s="13">
        <v>6</v>
      </c>
      <c r="Q255" s="12">
        <f>INT(P255/$S$15/O255*VLOOKUP(J255,[1]人物技能基础!$N$3:$O$553,2,0)*$U$15)</f>
        <v>9</v>
      </c>
      <c r="R255" s="12">
        <f t="shared" si="39"/>
        <v>112</v>
      </c>
    </row>
    <row r="256" spans="1:18" x14ac:dyDescent="0.15">
      <c r="A256" s="12">
        <v>238</v>
      </c>
      <c r="B256" s="12">
        <f t="shared" si="33"/>
        <v>2</v>
      </c>
      <c r="C256" s="12">
        <f t="shared" si="34"/>
        <v>0.34922000000000003</v>
      </c>
      <c r="D256" s="12">
        <f t="shared" si="35"/>
        <v>9.3750000000000222E-3</v>
      </c>
      <c r="E256" s="12">
        <f>SUM($D$19:D256)</f>
        <v>1.54922</v>
      </c>
      <c r="F256" s="12">
        <f t="shared" si="31"/>
        <v>16.317760734479002</v>
      </c>
      <c r="G256" s="12">
        <f t="shared" si="32"/>
        <v>19.295974572494998</v>
      </c>
      <c r="H256" s="12">
        <f t="shared" si="36"/>
        <v>58700</v>
      </c>
      <c r="I256" s="12">
        <f t="shared" si="37"/>
        <v>69400</v>
      </c>
      <c r="J256" s="12">
        <f>IF(A256&lt;[3]关卡对接!$A$4,INDEX([3]关卡对接!$C$7:$C$141,A256),MATCH(E256,人物经验!$H$24:$H$573,1))</f>
        <v>256</v>
      </c>
      <c r="K256" s="12">
        <f>IF([3]关卡对接!F244="",INT(INDEX(人物经验!$J$24:$J$573,关卡!J256)*关卡!$S$7),[3]关卡对接!F244)</f>
        <v>1446</v>
      </c>
      <c r="L256" s="12">
        <f t="shared" si="38"/>
        <v>1.2</v>
      </c>
      <c r="M256" s="12">
        <f>L256/[4]货币基础!$B$4</f>
        <v>120</v>
      </c>
      <c r="N256" s="12">
        <f>IF(A256&lt;[3]关卡对接!$A$4,INDEX([3]关卡对接!$E$7:$E$141,A256),MATCH(E256,人物经验!$H$24:$H$573,1))</f>
        <v>256</v>
      </c>
      <c r="O256" s="12">
        <f>INDEX([2]关卡!$G$6:$G$2005,A256)</f>
        <v>3</v>
      </c>
      <c r="P256" s="13">
        <v>6</v>
      </c>
      <c r="Q256" s="12">
        <f>INT(P256/$S$15/O256*VLOOKUP(J256,[1]人物技能基础!$N$3:$O$553,2,0)*$U$15)</f>
        <v>9</v>
      </c>
      <c r="R256" s="12">
        <f t="shared" si="39"/>
        <v>112</v>
      </c>
    </row>
    <row r="257" spans="1:18" x14ac:dyDescent="0.15">
      <c r="A257" s="12">
        <v>239</v>
      </c>
      <c r="B257" s="12">
        <f t="shared" si="33"/>
        <v>2</v>
      </c>
      <c r="C257" s="12">
        <f t="shared" si="34"/>
        <v>0.35860500000000006</v>
      </c>
      <c r="D257" s="12">
        <f t="shared" si="35"/>
        <v>9.3850000000000322E-3</v>
      </c>
      <c r="E257" s="12">
        <f>SUM($D$19:D257)</f>
        <v>1.558605</v>
      </c>
      <c r="F257" s="12">
        <f t="shared" si="31"/>
        <v>16.399363252984934</v>
      </c>
      <c r="G257" s="12">
        <f t="shared" si="32"/>
        <v>19.36738390755594</v>
      </c>
      <c r="H257" s="12">
        <f t="shared" si="36"/>
        <v>59000</v>
      </c>
      <c r="I257" s="12">
        <f t="shared" si="37"/>
        <v>69700</v>
      </c>
      <c r="J257" s="12">
        <f>IF(A257&lt;[3]关卡对接!$A$4,INDEX([3]关卡对接!$C$7:$C$141,A257),MATCH(E257,人物经验!$H$24:$H$573,1))</f>
        <v>257</v>
      </c>
      <c r="K257" s="12">
        <f>IF([3]关卡对接!F245="",INT(INDEX(人物经验!$J$24:$J$573,关卡!J257)*关卡!$S$7),[3]关卡对接!F245)</f>
        <v>1468</v>
      </c>
      <c r="L257" s="12">
        <f t="shared" si="38"/>
        <v>1.2</v>
      </c>
      <c r="M257" s="12">
        <f>L257/[4]货币基础!$B$4</f>
        <v>120</v>
      </c>
      <c r="N257" s="12">
        <f>IF(A257&lt;[3]关卡对接!$A$4,INDEX([3]关卡对接!$E$7:$E$141,A257),MATCH(E257,人物经验!$H$24:$H$573,1))</f>
        <v>257</v>
      </c>
      <c r="O257" s="12">
        <f>INDEX([2]关卡!$G$6:$G$2005,A257)</f>
        <v>3</v>
      </c>
      <c r="P257" s="13">
        <v>6</v>
      </c>
      <c r="Q257" s="12">
        <f>INT(P257/$S$15/O257*VLOOKUP(J257,[1]人物技能基础!$N$3:$O$553,2,0)*$U$15)</f>
        <v>9</v>
      </c>
      <c r="R257" s="12">
        <f t="shared" si="39"/>
        <v>112</v>
      </c>
    </row>
    <row r="258" spans="1:18" x14ac:dyDescent="0.15">
      <c r="A258" s="12">
        <v>240</v>
      </c>
      <c r="B258" s="12">
        <f t="shared" si="33"/>
        <v>2</v>
      </c>
      <c r="C258" s="12">
        <f t="shared" si="34"/>
        <v>0.36800000000000005</v>
      </c>
      <c r="D258" s="12">
        <f t="shared" si="35"/>
        <v>9.3949999999999867E-3</v>
      </c>
      <c r="E258" s="12">
        <f>SUM($D$19:D258)</f>
        <v>1.5680000000000001</v>
      </c>
      <c r="F258" s="12">
        <f t="shared" si="31"/>
        <v>16.481136640000003</v>
      </c>
      <c r="G258" s="12">
        <f t="shared" si="32"/>
        <v>19.438899200000002</v>
      </c>
      <c r="H258" s="12">
        <f t="shared" si="36"/>
        <v>59300</v>
      </c>
      <c r="I258" s="12">
        <f t="shared" si="37"/>
        <v>69900</v>
      </c>
      <c r="J258" s="12">
        <f>IF(A258&lt;[3]关卡对接!$A$4,INDEX([3]关卡对接!$C$7:$C$141,A258),MATCH(E258,人物经验!$H$24:$H$573,1))</f>
        <v>257</v>
      </c>
      <c r="K258" s="12">
        <f>IF([3]关卡对接!F246="",INT(INDEX(人物经验!$J$24:$J$573,关卡!J258)*关卡!$S$7),[3]关卡对接!F246)</f>
        <v>1468</v>
      </c>
      <c r="L258" s="12">
        <f t="shared" si="38"/>
        <v>1.2</v>
      </c>
      <c r="M258" s="12">
        <f>L258/[4]货币基础!$B$4</f>
        <v>120</v>
      </c>
      <c r="N258" s="12">
        <f>IF(A258&lt;[3]关卡对接!$A$4,INDEX([3]关卡对接!$E$7:$E$141,A258),MATCH(E258,人物经验!$H$24:$H$573,1))</f>
        <v>257</v>
      </c>
      <c r="O258" s="12">
        <f>INDEX([2]关卡!$G$6:$G$2005,A258)</f>
        <v>3</v>
      </c>
      <c r="P258" s="13">
        <v>6</v>
      </c>
      <c r="Q258" s="12">
        <f>INT(P258/$S$15/O258*VLOOKUP(J258,[1]人物技能基础!$N$3:$O$553,2,0)*$U$15)</f>
        <v>9</v>
      </c>
      <c r="R258" s="12">
        <f t="shared" si="39"/>
        <v>112</v>
      </c>
    </row>
    <row r="259" spans="1:18" x14ac:dyDescent="0.15">
      <c r="A259" s="12">
        <v>241</v>
      </c>
      <c r="B259" s="12">
        <f t="shared" si="33"/>
        <v>2</v>
      </c>
      <c r="C259" s="12">
        <f t="shared" si="34"/>
        <v>0.37740499999999999</v>
      </c>
      <c r="D259" s="12">
        <f t="shared" si="35"/>
        <v>9.4049999999999412E-3</v>
      </c>
      <c r="E259" s="12">
        <f>SUM($D$19:D259)</f>
        <v>1.5774049999999999</v>
      </c>
      <c r="F259" s="12">
        <f t="shared" si="31"/>
        <v>16.563081263864937</v>
      </c>
      <c r="G259" s="12">
        <f t="shared" si="32"/>
        <v>19.510520596455937</v>
      </c>
      <c r="H259" s="12">
        <f t="shared" si="36"/>
        <v>59600</v>
      </c>
      <c r="I259" s="12">
        <f t="shared" si="37"/>
        <v>70200</v>
      </c>
      <c r="J259" s="12">
        <f>IF(A259&lt;[3]关卡对接!$A$4,INDEX([3]关卡对接!$C$7:$C$141,A259),MATCH(E259,人物经验!$H$24:$H$573,1))</f>
        <v>257</v>
      </c>
      <c r="K259" s="12">
        <f>IF([3]关卡对接!F247="",INT(INDEX(人物经验!$J$24:$J$573,关卡!J259)*关卡!$S$7),[3]关卡对接!F247)</f>
        <v>1468</v>
      </c>
      <c r="L259" s="12">
        <f t="shared" si="38"/>
        <v>1.2</v>
      </c>
      <c r="M259" s="12">
        <f>L259/[4]货币基础!$B$4</f>
        <v>120</v>
      </c>
      <c r="N259" s="12">
        <f>IF(A259&lt;[3]关卡对接!$A$4,INDEX([3]关卡对接!$E$7:$E$141,A259),MATCH(E259,人物经验!$H$24:$H$573,1))</f>
        <v>257</v>
      </c>
      <c r="O259" s="12">
        <f>INDEX([2]关卡!$G$6:$G$2005,A259)</f>
        <v>3</v>
      </c>
      <c r="P259" s="13">
        <v>6</v>
      </c>
      <c r="Q259" s="12">
        <f>INT(P259/$S$15/O259*VLOOKUP(J259,[1]人物技能基础!$N$3:$O$553,2,0)*$U$15)</f>
        <v>9</v>
      </c>
      <c r="R259" s="12">
        <f t="shared" si="39"/>
        <v>112</v>
      </c>
    </row>
    <row r="260" spans="1:18" x14ac:dyDescent="0.15">
      <c r="A260" s="12">
        <v>242</v>
      </c>
      <c r="B260" s="12">
        <f t="shared" si="33"/>
        <v>2</v>
      </c>
      <c r="C260" s="12">
        <f t="shared" si="34"/>
        <v>0.38682</v>
      </c>
      <c r="D260" s="12">
        <f t="shared" si="35"/>
        <v>9.4150000000000067E-3</v>
      </c>
      <c r="E260" s="12">
        <f>SUM($D$19:D260)</f>
        <v>1.5868199999999999</v>
      </c>
      <c r="F260" s="12">
        <f t="shared" si="31"/>
        <v>16.645197493518999</v>
      </c>
      <c r="G260" s="12">
        <f t="shared" si="32"/>
        <v>19.582248243695002</v>
      </c>
      <c r="H260" s="12">
        <f t="shared" si="36"/>
        <v>59900</v>
      </c>
      <c r="I260" s="12">
        <f t="shared" si="37"/>
        <v>70400</v>
      </c>
      <c r="J260" s="12">
        <f>IF(A260&lt;[3]关卡对接!$A$4,INDEX([3]关卡对接!$C$7:$C$141,A260),MATCH(E260,人物经验!$H$24:$H$573,1))</f>
        <v>258</v>
      </c>
      <c r="K260" s="12">
        <f>IF([3]关卡对接!F248="",INT(INDEX(人物经验!$J$24:$J$573,关卡!J260)*关卡!$S$7),[3]关卡对接!F248)</f>
        <v>1490</v>
      </c>
      <c r="L260" s="12">
        <f t="shared" si="38"/>
        <v>1.2</v>
      </c>
      <c r="M260" s="12">
        <f>L260/[4]货币基础!$B$4</f>
        <v>120</v>
      </c>
      <c r="N260" s="12">
        <f>IF(A260&lt;[3]关卡对接!$A$4,INDEX([3]关卡对接!$E$7:$E$141,A260),MATCH(E260,人物经验!$H$24:$H$573,1))</f>
        <v>258</v>
      </c>
      <c r="O260" s="12">
        <f>INDEX([2]关卡!$G$6:$G$2005,A260)</f>
        <v>3</v>
      </c>
      <c r="P260" s="13">
        <v>6</v>
      </c>
      <c r="Q260" s="12">
        <f>INT(P260/$S$15/O260*VLOOKUP(J260,[1]人物技能基础!$N$3:$O$553,2,0)*$U$15)</f>
        <v>9</v>
      </c>
      <c r="R260" s="12">
        <f t="shared" si="39"/>
        <v>112</v>
      </c>
    </row>
    <row r="261" spans="1:18" x14ac:dyDescent="0.15">
      <c r="A261" s="12">
        <v>243</v>
      </c>
      <c r="B261" s="12">
        <f t="shared" si="33"/>
        <v>2</v>
      </c>
      <c r="C261" s="12">
        <f t="shared" si="34"/>
        <v>0.39624500000000001</v>
      </c>
      <c r="D261" s="12">
        <f t="shared" si="35"/>
        <v>9.4250000000000167E-3</v>
      </c>
      <c r="E261" s="12">
        <f>SUM($D$19:D261)</f>
        <v>1.5962449999999999</v>
      </c>
      <c r="F261" s="12">
        <f t="shared" si="31"/>
        <v>16.72748569849994</v>
      </c>
      <c r="G261" s="12">
        <f t="shared" si="32"/>
        <v>19.654082288630942</v>
      </c>
      <c r="H261" s="12">
        <f t="shared" si="36"/>
        <v>60200</v>
      </c>
      <c r="I261" s="12">
        <f t="shared" si="37"/>
        <v>70700</v>
      </c>
      <c r="J261" s="12">
        <f>IF(A261&lt;[3]关卡对接!$A$4,INDEX([3]关卡对接!$C$7:$C$141,A261),MATCH(E261,人物经验!$H$24:$H$573,1))</f>
        <v>258</v>
      </c>
      <c r="K261" s="12">
        <f>IF([3]关卡对接!F249="",INT(INDEX(人物经验!$J$24:$J$573,关卡!J261)*关卡!$S$7),[3]关卡对接!F249)</f>
        <v>1490</v>
      </c>
      <c r="L261" s="12">
        <f t="shared" si="38"/>
        <v>1.2</v>
      </c>
      <c r="M261" s="12">
        <f>L261/[4]货币基础!$B$4</f>
        <v>120</v>
      </c>
      <c r="N261" s="12">
        <f>IF(A261&lt;[3]关卡对接!$A$4,INDEX([3]关卡对接!$E$7:$E$141,A261),MATCH(E261,人物经验!$H$24:$H$573,1))</f>
        <v>258</v>
      </c>
      <c r="O261" s="12">
        <f>INDEX([2]关卡!$G$6:$G$2005,A261)</f>
        <v>3</v>
      </c>
      <c r="P261" s="13">
        <v>6</v>
      </c>
      <c r="Q261" s="12">
        <f>INT(P261/$S$15/O261*VLOOKUP(J261,[1]人物技能基础!$N$3:$O$553,2,0)*$U$15)</f>
        <v>9</v>
      </c>
      <c r="R261" s="12">
        <f t="shared" si="39"/>
        <v>112</v>
      </c>
    </row>
    <row r="262" spans="1:18" x14ac:dyDescent="0.15">
      <c r="A262" s="12">
        <v>244</v>
      </c>
      <c r="B262" s="12">
        <f t="shared" si="33"/>
        <v>2</v>
      </c>
      <c r="C262" s="12">
        <f t="shared" si="34"/>
        <v>0.40568000000000004</v>
      </c>
      <c r="D262" s="12">
        <f t="shared" si="35"/>
        <v>9.4350000000000267E-3</v>
      </c>
      <c r="E262" s="12">
        <f>SUM($D$19:D262)</f>
        <v>1.60568</v>
      </c>
      <c r="F262" s="12">
        <f t="shared" si="31"/>
        <v>16.809946248943998</v>
      </c>
      <c r="G262" s="12">
        <f t="shared" si="32"/>
        <v>19.726022878320002</v>
      </c>
      <c r="H262" s="12">
        <f t="shared" si="36"/>
        <v>60500</v>
      </c>
      <c r="I262" s="12">
        <f t="shared" si="37"/>
        <v>71000</v>
      </c>
      <c r="J262" s="12">
        <f>IF(A262&lt;[3]关卡对接!$A$4,INDEX([3]关卡对接!$C$7:$C$141,A262),MATCH(E262,人物经验!$H$24:$H$573,1))</f>
        <v>258</v>
      </c>
      <c r="K262" s="12">
        <f>IF([3]关卡对接!F250="",INT(INDEX(人物经验!$J$24:$J$573,关卡!J262)*关卡!$S$7),[3]关卡对接!F250)</f>
        <v>1490</v>
      </c>
      <c r="L262" s="12">
        <f t="shared" si="38"/>
        <v>1.2</v>
      </c>
      <c r="M262" s="12">
        <f>L262/[4]货币基础!$B$4</f>
        <v>120</v>
      </c>
      <c r="N262" s="12">
        <f>IF(A262&lt;[3]关卡对接!$A$4,INDEX([3]关卡对接!$E$7:$E$141,A262),MATCH(E262,人物经验!$H$24:$H$573,1))</f>
        <v>258</v>
      </c>
      <c r="O262" s="12">
        <f>INDEX([2]关卡!$G$6:$G$2005,A262)</f>
        <v>3</v>
      </c>
      <c r="P262" s="13">
        <v>6</v>
      </c>
      <c r="Q262" s="12">
        <f>INT(P262/$S$15/O262*VLOOKUP(J262,[1]人物技能基础!$N$3:$O$553,2,0)*$U$15)</f>
        <v>9</v>
      </c>
      <c r="R262" s="12">
        <f t="shared" si="39"/>
        <v>112</v>
      </c>
    </row>
    <row r="263" spans="1:18" x14ac:dyDescent="0.15">
      <c r="A263" s="12">
        <v>245</v>
      </c>
      <c r="B263" s="12">
        <f t="shared" si="33"/>
        <v>2</v>
      </c>
      <c r="C263" s="12">
        <f t="shared" si="34"/>
        <v>0.41512500000000002</v>
      </c>
      <c r="D263" s="12">
        <f t="shared" si="35"/>
        <v>9.4449999999999812E-3</v>
      </c>
      <c r="E263" s="12">
        <f>SUM($D$19:D263)</f>
        <v>1.6151249999999999</v>
      </c>
      <c r="F263" s="12">
        <f t="shared" si="31"/>
        <v>16.892579515585936</v>
      </c>
      <c r="G263" s="12">
        <f t="shared" si="32"/>
        <v>19.79807015996094</v>
      </c>
      <c r="H263" s="12">
        <f t="shared" si="36"/>
        <v>60800</v>
      </c>
      <c r="I263" s="12">
        <f t="shared" si="37"/>
        <v>71200</v>
      </c>
      <c r="J263" s="12">
        <f>IF(A263&lt;[3]关卡对接!$A$4,INDEX([3]关卡对接!$C$7:$C$141,A263),MATCH(E263,人物经验!$H$24:$H$573,1))</f>
        <v>259</v>
      </c>
      <c r="K263" s="12">
        <f>IF([3]关卡对接!F251="",INT(INDEX(人物经验!$J$24:$J$573,关卡!J263)*关卡!$S$7),[3]关卡对接!F251)</f>
        <v>1512</v>
      </c>
      <c r="L263" s="12">
        <f t="shared" si="38"/>
        <v>1.2</v>
      </c>
      <c r="M263" s="12">
        <f>L263/[4]货币基础!$B$4</f>
        <v>120</v>
      </c>
      <c r="N263" s="12">
        <f>IF(A263&lt;[3]关卡对接!$A$4,INDEX([3]关卡对接!$E$7:$E$141,A263),MATCH(E263,人物经验!$H$24:$H$573,1))</f>
        <v>259</v>
      </c>
      <c r="O263" s="12">
        <f>INDEX([2]关卡!$G$6:$G$2005,A263)</f>
        <v>3</v>
      </c>
      <c r="P263" s="13">
        <v>6</v>
      </c>
      <c r="Q263" s="12">
        <f>INT(P263/$S$15/O263*VLOOKUP(J263,[1]人物技能基础!$N$3:$O$553,2,0)*$U$15)</f>
        <v>9</v>
      </c>
      <c r="R263" s="12">
        <f t="shared" si="39"/>
        <v>112</v>
      </c>
    </row>
    <row r="264" spans="1:18" x14ac:dyDescent="0.15">
      <c r="A264" s="12">
        <v>246</v>
      </c>
      <c r="B264" s="12">
        <f t="shared" si="33"/>
        <v>2</v>
      </c>
      <c r="C264" s="12">
        <f t="shared" si="34"/>
        <v>0.42458000000000001</v>
      </c>
      <c r="D264" s="12">
        <f t="shared" si="35"/>
        <v>9.4549999999999912E-3</v>
      </c>
      <c r="E264" s="12">
        <f>SUM($D$19:D264)</f>
        <v>1.6245799999999999</v>
      </c>
      <c r="F264" s="12">
        <f t="shared" si="31"/>
        <v>16.975385869758998</v>
      </c>
      <c r="G264" s="12">
        <f t="shared" si="32"/>
        <v>19.870224280895002</v>
      </c>
      <c r="H264" s="12">
        <f t="shared" si="36"/>
        <v>61100</v>
      </c>
      <c r="I264" s="12">
        <f t="shared" si="37"/>
        <v>71500</v>
      </c>
      <c r="J264" s="12">
        <f>IF(A264&lt;[3]关卡对接!$A$4,INDEX([3]关卡对接!$C$7:$C$141,A264),MATCH(E264,人物经验!$H$24:$H$573,1))</f>
        <v>259</v>
      </c>
      <c r="K264" s="12">
        <f>IF([3]关卡对接!F252="",INT(INDEX(人物经验!$J$24:$J$573,关卡!J264)*关卡!$S$7),[3]关卡对接!F252)</f>
        <v>1512</v>
      </c>
      <c r="L264" s="12">
        <f t="shared" si="38"/>
        <v>1.2</v>
      </c>
      <c r="M264" s="12">
        <f>L264/[4]货币基础!$B$4</f>
        <v>120</v>
      </c>
      <c r="N264" s="12">
        <f>IF(A264&lt;[3]关卡对接!$A$4,INDEX([3]关卡对接!$E$7:$E$141,A264),MATCH(E264,人物经验!$H$24:$H$573,1))</f>
        <v>259</v>
      </c>
      <c r="O264" s="12">
        <f>INDEX([2]关卡!$G$6:$G$2005,A264)</f>
        <v>3</v>
      </c>
      <c r="P264" s="13">
        <v>6</v>
      </c>
      <c r="Q264" s="12">
        <f>INT(P264/$S$15/O264*VLOOKUP(J264,[1]人物技能基础!$N$3:$O$553,2,0)*$U$15)</f>
        <v>9</v>
      </c>
      <c r="R264" s="12">
        <f t="shared" si="39"/>
        <v>112</v>
      </c>
    </row>
    <row r="265" spans="1:18" x14ac:dyDescent="0.15">
      <c r="A265" s="12">
        <v>247</v>
      </c>
      <c r="B265" s="12">
        <f t="shared" si="33"/>
        <v>2</v>
      </c>
      <c r="C265" s="12">
        <f t="shared" si="34"/>
        <v>0.43404500000000001</v>
      </c>
      <c r="D265" s="12">
        <f t="shared" si="35"/>
        <v>9.4650000000000012E-3</v>
      </c>
      <c r="E265" s="12">
        <f>SUM($D$19:D265)</f>
        <v>1.634045</v>
      </c>
      <c r="F265" s="12">
        <f t="shared" si="31"/>
        <v>17.058365683394936</v>
      </c>
      <c r="G265" s="12">
        <f t="shared" si="32"/>
        <v>19.942485388605938</v>
      </c>
      <c r="H265" s="12">
        <f t="shared" si="36"/>
        <v>61400</v>
      </c>
      <c r="I265" s="12">
        <f t="shared" si="37"/>
        <v>71700</v>
      </c>
      <c r="J265" s="12">
        <f>IF(A265&lt;[3]关卡对接!$A$4,INDEX([3]关卡对接!$C$7:$C$141,A265),MATCH(E265,人物经验!$H$24:$H$573,1))</f>
        <v>259</v>
      </c>
      <c r="K265" s="12">
        <f>IF([3]关卡对接!F253="",INT(INDEX(人物经验!$J$24:$J$573,关卡!J265)*关卡!$S$7),[3]关卡对接!F253)</f>
        <v>1512</v>
      </c>
      <c r="L265" s="12">
        <f t="shared" si="38"/>
        <v>1.2</v>
      </c>
      <c r="M265" s="12">
        <f>L265/[4]货币基础!$B$4</f>
        <v>120</v>
      </c>
      <c r="N265" s="12">
        <f>IF(A265&lt;[3]关卡对接!$A$4,INDEX([3]关卡对接!$E$7:$E$141,A265),MATCH(E265,人物经验!$H$24:$H$573,1))</f>
        <v>259</v>
      </c>
      <c r="O265" s="12">
        <f>INDEX([2]关卡!$G$6:$G$2005,A265)</f>
        <v>3</v>
      </c>
      <c r="P265" s="13">
        <v>6</v>
      </c>
      <c r="Q265" s="12">
        <f>INT(P265/$S$15/O265*VLOOKUP(J265,[1]人物技能基础!$N$3:$O$553,2,0)*$U$15)</f>
        <v>9</v>
      </c>
      <c r="R265" s="12">
        <f t="shared" si="39"/>
        <v>112</v>
      </c>
    </row>
    <row r="266" spans="1:18" x14ac:dyDescent="0.15">
      <c r="A266" s="12">
        <v>248</v>
      </c>
      <c r="B266" s="12">
        <f t="shared" si="33"/>
        <v>2</v>
      </c>
      <c r="C266" s="12">
        <f t="shared" si="34"/>
        <v>0.44351999999999997</v>
      </c>
      <c r="D266" s="12">
        <f t="shared" si="35"/>
        <v>9.4749999999999557E-3</v>
      </c>
      <c r="E266" s="12">
        <f>SUM($D$19:D266)</f>
        <v>1.6435199999999999</v>
      </c>
      <c r="F266" s="12">
        <f t="shared" si="31"/>
        <v>17.141519329024</v>
      </c>
      <c r="G266" s="12">
        <f t="shared" si="32"/>
        <v>20.014853630720005</v>
      </c>
      <c r="H266" s="12">
        <f t="shared" si="36"/>
        <v>61700</v>
      </c>
      <c r="I266" s="12">
        <f t="shared" si="37"/>
        <v>72000</v>
      </c>
      <c r="J266" s="12">
        <f>IF(A266&lt;[3]关卡对接!$A$4,INDEX([3]关卡对接!$C$7:$C$141,A266),MATCH(E266,人物经验!$H$24:$H$573,1))</f>
        <v>259</v>
      </c>
      <c r="K266" s="12">
        <f>IF([3]关卡对接!F254="",INT(INDEX(人物经验!$J$24:$J$573,关卡!J266)*关卡!$S$7),[3]关卡对接!F254)</f>
        <v>1512</v>
      </c>
      <c r="L266" s="12">
        <f t="shared" si="38"/>
        <v>1.2</v>
      </c>
      <c r="M266" s="12">
        <f>L266/[4]货币基础!$B$4</f>
        <v>120</v>
      </c>
      <c r="N266" s="12">
        <f>IF(A266&lt;[3]关卡对接!$A$4,INDEX([3]关卡对接!$E$7:$E$141,A266),MATCH(E266,人物经验!$H$24:$H$573,1))</f>
        <v>259</v>
      </c>
      <c r="O266" s="12">
        <f>INDEX([2]关卡!$G$6:$G$2005,A266)</f>
        <v>3</v>
      </c>
      <c r="P266" s="13">
        <v>6</v>
      </c>
      <c r="Q266" s="12">
        <f>INT(P266/$S$15/O266*VLOOKUP(J266,[1]人物技能基础!$N$3:$O$553,2,0)*$U$15)</f>
        <v>9</v>
      </c>
      <c r="R266" s="12">
        <f t="shared" si="39"/>
        <v>112</v>
      </c>
    </row>
    <row r="267" spans="1:18" x14ac:dyDescent="0.15">
      <c r="A267" s="12">
        <v>249</v>
      </c>
      <c r="B267" s="12">
        <f t="shared" si="33"/>
        <v>2</v>
      </c>
      <c r="C267" s="12">
        <f t="shared" si="34"/>
        <v>0.45300499999999999</v>
      </c>
      <c r="D267" s="12">
        <f t="shared" si="35"/>
        <v>9.4850000000000212E-3</v>
      </c>
      <c r="E267" s="12">
        <f>SUM($D$19:D267)</f>
        <v>1.6530049999999998</v>
      </c>
      <c r="F267" s="12">
        <f t="shared" si="31"/>
        <v>17.224847179774937</v>
      </c>
      <c r="G267" s="12">
        <f t="shared" si="32"/>
        <v>20.087329155005939</v>
      </c>
      <c r="H267" s="12">
        <f t="shared" si="36"/>
        <v>62000</v>
      </c>
      <c r="I267" s="12">
        <f t="shared" si="37"/>
        <v>72300</v>
      </c>
      <c r="J267" s="12">
        <f>IF(A267&lt;[3]关卡对接!$A$4,INDEX([3]关卡对接!$C$7:$C$141,A267),MATCH(E267,人物经验!$H$24:$H$573,1))</f>
        <v>260</v>
      </c>
      <c r="K267" s="12">
        <f>IF([3]关卡对接!F255="",INT(INDEX(人物经验!$J$24:$J$573,关卡!J267)*关卡!$S$7),[3]关卡对接!F255)</f>
        <v>1542</v>
      </c>
      <c r="L267" s="12">
        <f t="shared" si="38"/>
        <v>1.2</v>
      </c>
      <c r="M267" s="12">
        <f>L267/[4]货币基础!$B$4</f>
        <v>120</v>
      </c>
      <c r="N267" s="12">
        <f>IF(A267&lt;[3]关卡对接!$A$4,INDEX([3]关卡对接!$E$7:$E$141,A267),MATCH(E267,人物经验!$H$24:$H$573,1))</f>
        <v>260</v>
      </c>
      <c r="O267" s="12">
        <f>INDEX([2]关卡!$G$6:$G$2005,A267)</f>
        <v>3</v>
      </c>
      <c r="P267" s="13">
        <v>6</v>
      </c>
      <c r="Q267" s="12">
        <f>INT(P267/$S$15/O267*VLOOKUP(J267,[1]人物技能基础!$N$3:$O$553,2,0)*$U$15)</f>
        <v>9</v>
      </c>
      <c r="R267" s="12">
        <f t="shared" si="39"/>
        <v>112</v>
      </c>
    </row>
    <row r="268" spans="1:18" x14ac:dyDescent="0.15">
      <c r="A268" s="12">
        <v>250</v>
      </c>
      <c r="B268" s="12">
        <f t="shared" si="33"/>
        <v>2</v>
      </c>
      <c r="C268" s="12">
        <f t="shared" si="34"/>
        <v>0.46250000000000002</v>
      </c>
      <c r="D268" s="12">
        <f t="shared" si="35"/>
        <v>9.4950000000000312E-3</v>
      </c>
      <c r="E268" s="12">
        <f>SUM($D$19:D268)</f>
        <v>1.6624999999999999</v>
      </c>
      <c r="F268" s="12">
        <f t="shared" si="31"/>
        <v>17.308349609375004</v>
      </c>
      <c r="G268" s="12">
        <f t="shared" si="32"/>
        <v>20.159912109375</v>
      </c>
      <c r="H268" s="12">
        <f t="shared" si="36"/>
        <v>62300</v>
      </c>
      <c r="I268" s="12">
        <f t="shared" si="37"/>
        <v>72500</v>
      </c>
      <c r="J268" s="12">
        <f>IF(A268&lt;[3]关卡对接!$A$4,INDEX([3]关卡对接!$C$7:$C$141,A268),MATCH(E268,人物经验!$H$24:$H$573,1))</f>
        <v>260</v>
      </c>
      <c r="K268" s="12">
        <f>IF([3]关卡对接!F256="",INT(INDEX(人物经验!$J$24:$J$573,关卡!J268)*关卡!$S$7),[3]关卡对接!F256)</f>
        <v>1542</v>
      </c>
      <c r="L268" s="12">
        <f t="shared" si="38"/>
        <v>1.2</v>
      </c>
      <c r="M268" s="12">
        <f>L268/[4]货币基础!$B$4</f>
        <v>120</v>
      </c>
      <c r="N268" s="12">
        <f>IF(A268&lt;[3]关卡对接!$A$4,INDEX([3]关卡对接!$E$7:$E$141,A268),MATCH(E268,人物经验!$H$24:$H$573,1))</f>
        <v>260</v>
      </c>
      <c r="O268" s="12">
        <f>INDEX([2]关卡!$G$6:$G$2005,A268)</f>
        <v>3</v>
      </c>
      <c r="P268" s="13">
        <v>6</v>
      </c>
      <c r="Q268" s="12">
        <f>INT(P268/$S$15/O268*VLOOKUP(J268,[1]人物技能基础!$N$3:$O$553,2,0)*$U$15)</f>
        <v>9</v>
      </c>
      <c r="R268" s="12">
        <f t="shared" si="39"/>
        <v>112</v>
      </c>
    </row>
    <row r="269" spans="1:18" x14ac:dyDescent="0.15">
      <c r="A269" s="12">
        <v>251</v>
      </c>
      <c r="B269" s="12">
        <f t="shared" si="33"/>
        <v>2</v>
      </c>
      <c r="C269" s="12">
        <f t="shared" si="34"/>
        <v>0.47200500000000001</v>
      </c>
      <c r="D269" s="12">
        <f t="shared" si="35"/>
        <v>9.5049999999999857E-3</v>
      </c>
      <c r="E269" s="12">
        <f>SUM($D$19:D269)</f>
        <v>1.672005</v>
      </c>
      <c r="F269" s="12">
        <f t="shared" si="31"/>
        <v>17.39202699214994</v>
      </c>
      <c r="G269" s="12">
        <f t="shared" si="32"/>
        <v>20.232602641880938</v>
      </c>
      <c r="H269" s="12">
        <f t="shared" si="36"/>
        <v>62600</v>
      </c>
      <c r="I269" s="12">
        <f t="shared" si="37"/>
        <v>72800</v>
      </c>
      <c r="J269" s="12">
        <f>IF(A269&lt;[3]关卡对接!$A$4,INDEX([3]关卡对接!$C$7:$C$141,A269),MATCH(E269,人物经验!$H$24:$H$573,1))</f>
        <v>260</v>
      </c>
      <c r="K269" s="12">
        <f>IF([3]关卡对接!F257="",INT(INDEX(人物经验!$J$24:$J$573,关卡!J269)*关卡!$S$7),[3]关卡对接!F257)</f>
        <v>1542</v>
      </c>
      <c r="L269" s="12">
        <f t="shared" si="38"/>
        <v>1.2</v>
      </c>
      <c r="M269" s="12">
        <f>L269/[4]货币基础!$B$4</f>
        <v>120</v>
      </c>
      <c r="N269" s="12">
        <f>IF(A269&lt;[3]关卡对接!$A$4,INDEX([3]关卡对接!$E$7:$E$141,A269),MATCH(E269,人物经验!$H$24:$H$573,1))</f>
        <v>260</v>
      </c>
      <c r="O269" s="12">
        <f>INDEX([2]关卡!$G$6:$G$2005,A269)</f>
        <v>3</v>
      </c>
      <c r="P269" s="13">
        <v>6</v>
      </c>
      <c r="Q269" s="12">
        <f>INT(P269/$S$15/O269*VLOOKUP(J269,[1]人物技能基础!$N$3:$O$553,2,0)*$U$15)</f>
        <v>9</v>
      </c>
      <c r="R269" s="12">
        <f t="shared" si="39"/>
        <v>112</v>
      </c>
    </row>
    <row r="270" spans="1:18" x14ac:dyDescent="0.15">
      <c r="A270" s="12">
        <v>252</v>
      </c>
      <c r="B270" s="12">
        <f t="shared" si="33"/>
        <v>2</v>
      </c>
      <c r="C270" s="12">
        <f t="shared" si="34"/>
        <v>0.48152</v>
      </c>
      <c r="D270" s="12">
        <f t="shared" si="35"/>
        <v>9.5149999999999957E-3</v>
      </c>
      <c r="E270" s="12">
        <f>SUM($D$19:D270)</f>
        <v>1.6815199999999999</v>
      </c>
      <c r="F270" s="12">
        <f t="shared" si="31"/>
        <v>17.475879703023999</v>
      </c>
      <c r="G270" s="12">
        <f t="shared" si="32"/>
        <v>20.305400900719999</v>
      </c>
      <c r="H270" s="12">
        <f t="shared" si="36"/>
        <v>62900</v>
      </c>
      <c r="I270" s="12">
        <f t="shared" si="37"/>
        <v>73000</v>
      </c>
      <c r="J270" s="12">
        <f>IF(A270&lt;[3]关卡对接!$A$4,INDEX([3]关卡对接!$C$7:$C$141,A270),MATCH(E270,人物经验!$H$24:$H$573,1))</f>
        <v>260</v>
      </c>
      <c r="K270" s="12">
        <f>IF([3]关卡对接!F258="",INT(INDEX(人物经验!$J$24:$J$573,关卡!J270)*关卡!$S$7),[3]关卡对接!F258)</f>
        <v>1542</v>
      </c>
      <c r="L270" s="12">
        <f t="shared" si="38"/>
        <v>1.2</v>
      </c>
      <c r="M270" s="12">
        <f>L270/[4]货币基础!$B$4</f>
        <v>120</v>
      </c>
      <c r="N270" s="12">
        <f>IF(A270&lt;[3]关卡对接!$A$4,INDEX([3]关卡对接!$E$7:$E$141,A270),MATCH(E270,人物经验!$H$24:$H$573,1))</f>
        <v>260</v>
      </c>
      <c r="O270" s="12">
        <f>INDEX([2]关卡!$G$6:$G$2005,A270)</f>
        <v>3</v>
      </c>
      <c r="P270" s="13">
        <v>6</v>
      </c>
      <c r="Q270" s="12">
        <f>INT(P270/$S$15/O270*VLOOKUP(J270,[1]人物技能基础!$N$3:$O$553,2,0)*$U$15)</f>
        <v>9</v>
      </c>
      <c r="R270" s="12">
        <f t="shared" si="39"/>
        <v>112</v>
      </c>
    </row>
    <row r="271" spans="1:18" x14ac:dyDescent="0.15">
      <c r="A271" s="12">
        <v>253</v>
      </c>
      <c r="B271" s="12">
        <f t="shared" si="33"/>
        <v>2</v>
      </c>
      <c r="C271" s="12">
        <f t="shared" si="34"/>
        <v>0.49104500000000006</v>
      </c>
      <c r="D271" s="12">
        <f t="shared" si="35"/>
        <v>9.5250000000000612E-3</v>
      </c>
      <c r="E271" s="12">
        <f>SUM($D$19:D271)</f>
        <v>1.6910449999999999</v>
      </c>
      <c r="F271" s="12">
        <f t="shared" si="31"/>
        <v>17.559908117519942</v>
      </c>
      <c r="G271" s="12">
        <f t="shared" si="32"/>
        <v>20.378307034230939</v>
      </c>
      <c r="H271" s="12">
        <f t="shared" si="36"/>
        <v>63200</v>
      </c>
      <c r="I271" s="12">
        <f t="shared" si="37"/>
        <v>73300</v>
      </c>
      <c r="J271" s="12">
        <f>IF(A271&lt;[3]关卡对接!$A$4,INDEX([3]关卡对接!$C$7:$C$141,A271),MATCH(E271,人物经验!$H$24:$H$573,1))</f>
        <v>261</v>
      </c>
      <c r="K271" s="12">
        <f>IF([3]关卡对接!F259="",INT(INDEX(人物经验!$J$24:$J$573,关卡!J271)*关卡!$S$7),[3]关卡对接!F259)</f>
        <v>1572</v>
      </c>
      <c r="L271" s="12">
        <f t="shared" si="38"/>
        <v>1.2</v>
      </c>
      <c r="M271" s="12">
        <f>L271/[4]货币基础!$B$4</f>
        <v>120</v>
      </c>
      <c r="N271" s="12">
        <f>IF(A271&lt;[3]关卡对接!$A$4,INDEX([3]关卡对接!$E$7:$E$141,A271),MATCH(E271,人物经验!$H$24:$H$573,1))</f>
        <v>261</v>
      </c>
      <c r="O271" s="12">
        <f>INDEX([2]关卡!$G$6:$G$2005,A271)</f>
        <v>3</v>
      </c>
      <c r="P271" s="13">
        <v>6</v>
      </c>
      <c r="Q271" s="12">
        <f>INT(P271/$S$15/O271*VLOOKUP(J271,[1]人物技能基础!$N$3:$O$553,2,0)*$U$15)</f>
        <v>9</v>
      </c>
      <c r="R271" s="12">
        <f t="shared" si="39"/>
        <v>112</v>
      </c>
    </row>
    <row r="272" spans="1:18" x14ac:dyDescent="0.15">
      <c r="A272" s="12">
        <v>254</v>
      </c>
      <c r="B272" s="12">
        <f t="shared" si="33"/>
        <v>2</v>
      </c>
      <c r="C272" s="12">
        <f t="shared" si="34"/>
        <v>0.50058000000000002</v>
      </c>
      <c r="D272" s="12">
        <f t="shared" si="35"/>
        <v>9.5349999999999602E-3</v>
      </c>
      <c r="E272" s="12">
        <f>SUM($D$19:D272)</f>
        <v>1.70058</v>
      </c>
      <c r="F272" s="12">
        <f t="shared" si="31"/>
        <v>17.644112611759006</v>
      </c>
      <c r="G272" s="12">
        <f t="shared" si="32"/>
        <v>20.451321190895001</v>
      </c>
      <c r="H272" s="12">
        <f t="shared" si="36"/>
        <v>63500</v>
      </c>
      <c r="I272" s="12">
        <f t="shared" si="37"/>
        <v>73600</v>
      </c>
      <c r="J272" s="12">
        <f>IF(A272&lt;[3]关卡对接!$A$4,INDEX([3]关卡对接!$C$7:$C$141,A272),MATCH(E272,人物经验!$H$24:$H$573,1))</f>
        <v>261</v>
      </c>
      <c r="K272" s="12">
        <f>IF([3]关卡对接!F260="",INT(INDEX(人物经验!$J$24:$J$573,关卡!J272)*关卡!$S$7),[3]关卡对接!F260)</f>
        <v>1572</v>
      </c>
      <c r="L272" s="12">
        <f t="shared" si="38"/>
        <v>1.2</v>
      </c>
      <c r="M272" s="12">
        <f>L272/[4]货币基础!$B$4</f>
        <v>120</v>
      </c>
      <c r="N272" s="12">
        <f>IF(A272&lt;[3]关卡对接!$A$4,INDEX([3]关卡对接!$E$7:$E$141,A272),MATCH(E272,人物经验!$H$24:$H$573,1))</f>
        <v>261</v>
      </c>
      <c r="O272" s="12">
        <f>INDEX([2]关卡!$G$6:$G$2005,A272)</f>
        <v>3</v>
      </c>
      <c r="P272" s="13">
        <v>6</v>
      </c>
      <c r="Q272" s="12">
        <f>INT(P272/$S$15/O272*VLOOKUP(J272,[1]人物技能基础!$N$3:$O$553,2,0)*$U$15)</f>
        <v>9</v>
      </c>
      <c r="R272" s="12">
        <f t="shared" si="39"/>
        <v>112</v>
      </c>
    </row>
    <row r="273" spans="1:18" x14ac:dyDescent="0.15">
      <c r="A273" s="12">
        <v>255</v>
      </c>
      <c r="B273" s="12">
        <f t="shared" si="33"/>
        <v>2</v>
      </c>
      <c r="C273" s="12">
        <f t="shared" si="34"/>
        <v>0.51012500000000005</v>
      </c>
      <c r="D273" s="12">
        <f t="shared" si="35"/>
        <v>9.5450000000000257E-3</v>
      </c>
      <c r="E273" s="12">
        <f>SUM($D$19:D273)</f>
        <v>1.7101250000000001</v>
      </c>
      <c r="F273" s="12">
        <f t="shared" si="31"/>
        <v>17.72849356246094</v>
      </c>
      <c r="G273" s="12">
        <f t="shared" si="32"/>
        <v>20.524443519335943</v>
      </c>
      <c r="H273" s="12">
        <f t="shared" si="36"/>
        <v>63800</v>
      </c>
      <c r="I273" s="12">
        <f t="shared" si="37"/>
        <v>73800</v>
      </c>
      <c r="J273" s="12">
        <f>IF(A273&lt;[3]关卡对接!$A$4,INDEX([3]关卡对接!$C$7:$C$141,A273),MATCH(E273,人物经验!$H$24:$H$573,1))</f>
        <v>261</v>
      </c>
      <c r="K273" s="12">
        <f>IF([3]关卡对接!F261="",INT(INDEX(人物经验!$J$24:$J$573,关卡!J273)*关卡!$S$7),[3]关卡对接!F261)</f>
        <v>1572</v>
      </c>
      <c r="L273" s="12">
        <f t="shared" si="38"/>
        <v>1.2</v>
      </c>
      <c r="M273" s="12">
        <f>L273/[4]货币基础!$B$4</f>
        <v>120</v>
      </c>
      <c r="N273" s="12">
        <f>IF(A273&lt;[3]关卡对接!$A$4,INDEX([3]关卡对接!$E$7:$E$141,A273),MATCH(E273,人物经验!$H$24:$H$573,1))</f>
        <v>261</v>
      </c>
      <c r="O273" s="12">
        <f>INDEX([2]关卡!$G$6:$G$2005,A273)</f>
        <v>3</v>
      </c>
      <c r="P273" s="13">
        <v>6</v>
      </c>
      <c r="Q273" s="12">
        <f>INT(P273/$S$15/O273*VLOOKUP(J273,[1]人物技能基础!$N$3:$O$553,2,0)*$U$15)</f>
        <v>9</v>
      </c>
      <c r="R273" s="12">
        <f t="shared" si="39"/>
        <v>112</v>
      </c>
    </row>
    <row r="274" spans="1:18" x14ac:dyDescent="0.15">
      <c r="A274" s="12">
        <v>256</v>
      </c>
      <c r="B274" s="12">
        <f t="shared" si="33"/>
        <v>2</v>
      </c>
      <c r="C274" s="12">
        <f t="shared" si="34"/>
        <v>0.51968000000000014</v>
      </c>
      <c r="D274" s="12">
        <f t="shared" si="35"/>
        <v>9.5550000000000912E-3</v>
      </c>
      <c r="E274" s="12">
        <f>SUM($D$19:D274)</f>
        <v>1.7196800000000003</v>
      </c>
      <c r="F274" s="12">
        <f t="shared" si="31"/>
        <v>17.813051346943997</v>
      </c>
      <c r="G274" s="12">
        <f t="shared" si="32"/>
        <v>20.597674168320001</v>
      </c>
      <c r="H274" s="12">
        <f t="shared" si="36"/>
        <v>64100</v>
      </c>
      <c r="I274" s="12">
        <f t="shared" si="37"/>
        <v>74100</v>
      </c>
      <c r="J274" s="12">
        <f>IF(A274&lt;[3]关卡对接!$A$4,INDEX([3]关卡对接!$C$7:$C$141,A274),MATCH(E274,人物经验!$H$24:$H$573,1))</f>
        <v>262</v>
      </c>
      <c r="K274" s="12">
        <f>IF([3]关卡对接!F262="",INT(INDEX(人物经验!$J$24:$J$573,关卡!J274)*关卡!$S$7),[3]关卡对接!F262)</f>
        <v>1595</v>
      </c>
      <c r="L274" s="12">
        <f t="shared" si="38"/>
        <v>1.2</v>
      </c>
      <c r="M274" s="12">
        <f>L274/[4]货币基础!$B$4</f>
        <v>120</v>
      </c>
      <c r="N274" s="12">
        <f>IF(A274&lt;[3]关卡对接!$A$4,INDEX([3]关卡对接!$E$7:$E$141,A274),MATCH(E274,人物经验!$H$24:$H$573,1))</f>
        <v>262</v>
      </c>
      <c r="O274" s="12">
        <f>INDEX([2]关卡!$G$6:$G$2005,A274)</f>
        <v>3</v>
      </c>
      <c r="P274" s="13">
        <v>6</v>
      </c>
      <c r="Q274" s="12">
        <f>INT(P274/$S$15/O274*VLOOKUP(J274,[1]人物技能基础!$N$3:$O$553,2,0)*$U$15)</f>
        <v>9</v>
      </c>
      <c r="R274" s="12">
        <f t="shared" si="39"/>
        <v>112</v>
      </c>
    </row>
    <row r="275" spans="1:18" x14ac:dyDescent="0.15">
      <c r="A275" s="12">
        <v>257</v>
      </c>
      <c r="B275" s="12">
        <f t="shared" si="33"/>
        <v>2</v>
      </c>
      <c r="C275" s="12">
        <f t="shared" si="34"/>
        <v>0.52924499999999997</v>
      </c>
      <c r="D275" s="12">
        <f t="shared" si="35"/>
        <v>9.5649999999998236E-3</v>
      </c>
      <c r="E275" s="12">
        <f>SUM($D$19:D275)</f>
        <v>1.7292450000000001</v>
      </c>
      <c r="F275" s="12">
        <f t="shared" ref="F275:F338" si="40">$L$7*($M$7+$N$7*($A275/$B$3)^1+$O$7*($A275/$B$3)^2+$P$7*($A275/$B$3)^3+$Q$7*($A275/$B$3)^4)</f>
        <v>17.897786343124938</v>
      </c>
      <c r="G275" s="12">
        <f t="shared" ref="G275:G338" si="41">$L$11*($M$11+$N$11*($A275/$B$3)^1+$O$11*($A275/$B$3)^2+$P$11*($A275/$B$3)^3+$Q$11*($A275/$B$3)^4)</f>
        <v>20.671013286755937</v>
      </c>
      <c r="H275" s="12">
        <f t="shared" si="36"/>
        <v>64400</v>
      </c>
      <c r="I275" s="12">
        <f t="shared" si="37"/>
        <v>74400</v>
      </c>
      <c r="J275" s="12">
        <f>IF(A275&lt;[3]关卡对接!$A$4,INDEX([3]关卡对接!$C$7:$C$141,A275),MATCH(E275,人物经验!$H$24:$H$573,1))</f>
        <v>262</v>
      </c>
      <c r="K275" s="12">
        <f>IF([3]关卡对接!F263="",INT(INDEX(人物经验!$J$24:$J$573,关卡!J275)*关卡!$S$7),[3]关卡对接!F263)</f>
        <v>1595</v>
      </c>
      <c r="L275" s="12">
        <f t="shared" si="38"/>
        <v>1.2</v>
      </c>
      <c r="M275" s="12">
        <f>L275/[4]货币基础!$B$4</f>
        <v>120</v>
      </c>
      <c r="N275" s="12">
        <f>IF(A275&lt;[3]关卡对接!$A$4,INDEX([3]关卡对接!$E$7:$E$141,A275),MATCH(E275,人物经验!$H$24:$H$573,1))</f>
        <v>262</v>
      </c>
      <c r="O275" s="12">
        <f>INDEX([2]关卡!$G$6:$G$2005,A275)</f>
        <v>3</v>
      </c>
      <c r="P275" s="13">
        <v>6</v>
      </c>
      <c r="Q275" s="12">
        <f>INT(P275/$S$15/O275*VLOOKUP(J275,[1]人物技能基础!$N$3:$O$553,2,0)*$U$15)</f>
        <v>9</v>
      </c>
      <c r="R275" s="12">
        <f t="shared" si="39"/>
        <v>112</v>
      </c>
    </row>
    <row r="276" spans="1:18" x14ac:dyDescent="0.15">
      <c r="A276" s="12">
        <v>258</v>
      </c>
      <c r="B276" s="12">
        <f t="shared" ref="B276:B339" si="42">MATCH($A276,$A$5:$A$15,1)-1</f>
        <v>2</v>
      </c>
      <c r="C276" s="12">
        <f t="shared" ref="C276:C339" si="43">INDEX($C$5:$C$15,$B276+1)*(INDEX($E$5:$E$15,$B276+1)+INDEX($F$5:$F$15,$B276+1)*(($A276-INDEX($A$5:$A$15,$B276+1)+1)/(INDEX($B$5:$B$15,$B276+1)-INDEX($A$5:$A$15,$B276+1)+1))^1+INDEX($G$5:$G$15,$B276+1)*(($A276-INDEX($A$5:$A$15,$B276+1)+1)/(INDEX($B$5:$B$15,$B276+1)-INDEX($A$5:$A$15,$B276+1)+1))^2+INDEX($H$5:$H$15,$B276+1)*(($A276-INDEX($A$5:$A$15,$B276+1)+1)/(INDEX($B$5:$B$15,$B276+1)-INDEX($A$5:$A$15,$B276+1)+1))^3+INDEX($I$5:$I$15,$B276+1)*(($A276-INDEX($A$5:$A$15,$B276+1)+1)/(INDEX($B$5:$B$15,$B276+1)-INDEX($A$5:$A$15,$B276+1)+1))^4)</f>
        <v>0.53881999999999997</v>
      </c>
      <c r="D276" s="12">
        <f t="shared" ref="D276:D339" si="44">IF(ISNA(MATCH(A276,$A$6:$A$15,0)),C276-C275,C276)</f>
        <v>9.5750000000000002E-3</v>
      </c>
      <c r="E276" s="12">
        <f>SUM($D$19:D276)</f>
        <v>1.73882</v>
      </c>
      <c r="F276" s="12">
        <f t="shared" si="40"/>
        <v>17.982698929519007</v>
      </c>
      <c r="G276" s="12">
        <f t="shared" si="41"/>
        <v>20.744461023694999</v>
      </c>
      <c r="H276" s="12">
        <f t="shared" ref="H276:H339" si="45">INT(F276*60*60/100)*100</f>
        <v>64700</v>
      </c>
      <c r="I276" s="12">
        <f t="shared" ref="I276:I339" si="46">INT(G276*60*60/100)*100</f>
        <v>74600</v>
      </c>
      <c r="J276" s="12">
        <f>IF(A276&lt;[3]关卡对接!$A$4,INDEX([3]关卡对接!$C$7:$C$141,A276),MATCH(E276,人物经验!$H$24:$H$573,1))</f>
        <v>262</v>
      </c>
      <c r="K276" s="12">
        <f>IF([3]关卡对接!F264="",INT(INDEX(人物经验!$J$24:$J$573,关卡!J276)*关卡!$S$7),[3]关卡对接!F264)</f>
        <v>1595</v>
      </c>
      <c r="L276" s="12">
        <f t="shared" ref="L276:L339" si="47">VLOOKUP(A276,$A$5:$J$15,10,1)</f>
        <v>1.2</v>
      </c>
      <c r="M276" s="12">
        <f>L276/[4]货币基础!$B$4</f>
        <v>120</v>
      </c>
      <c r="N276" s="12">
        <f>IF(A276&lt;[3]关卡对接!$A$4,INDEX([3]关卡对接!$E$7:$E$141,A276),MATCH(E276,人物经验!$H$24:$H$573,1))</f>
        <v>262</v>
      </c>
      <c r="O276" s="12">
        <f>INDEX([2]关卡!$G$6:$G$2005,A276)</f>
        <v>3</v>
      </c>
      <c r="P276" s="13">
        <v>6</v>
      </c>
      <c r="Q276" s="12">
        <f>INT(P276/$S$15/O276*VLOOKUP(J276,[1]人物技能基础!$N$3:$O$553,2,0)*$U$15)</f>
        <v>9</v>
      </c>
      <c r="R276" s="12">
        <f t="shared" ref="R276:R339" si="48">INT(Q276*12.5)</f>
        <v>112</v>
      </c>
    </row>
    <row r="277" spans="1:18" x14ac:dyDescent="0.15">
      <c r="A277" s="12">
        <v>259</v>
      </c>
      <c r="B277" s="12">
        <f t="shared" si="42"/>
        <v>2</v>
      </c>
      <c r="C277" s="12">
        <f t="shared" si="43"/>
        <v>0.54840500000000003</v>
      </c>
      <c r="D277" s="12">
        <f t="shared" si="44"/>
        <v>9.5850000000000657E-3</v>
      </c>
      <c r="E277" s="12">
        <f>SUM($D$19:D277)</f>
        <v>1.748405</v>
      </c>
      <c r="F277" s="12">
        <f t="shared" si="40"/>
        <v>18.067789485239938</v>
      </c>
      <c r="G277" s="12">
        <f t="shared" si="41"/>
        <v>20.818017528330937</v>
      </c>
      <c r="H277" s="12">
        <f t="shared" si="45"/>
        <v>65000</v>
      </c>
      <c r="I277" s="12">
        <f t="shared" si="46"/>
        <v>74900</v>
      </c>
      <c r="J277" s="12">
        <f>IF(A277&lt;[3]关卡对接!$A$4,INDEX([3]关卡对接!$C$7:$C$141,A277),MATCH(E277,人物经验!$H$24:$H$573,1))</f>
        <v>262</v>
      </c>
      <c r="K277" s="12">
        <f>IF([3]关卡对接!F265="",INT(INDEX(人物经验!$J$24:$J$573,关卡!J277)*关卡!$S$7),[3]关卡对接!F265)</f>
        <v>1595</v>
      </c>
      <c r="L277" s="12">
        <f t="shared" si="47"/>
        <v>1.2</v>
      </c>
      <c r="M277" s="12">
        <f>L277/[4]货币基础!$B$4</f>
        <v>120</v>
      </c>
      <c r="N277" s="12">
        <f>IF(A277&lt;[3]关卡对接!$A$4,INDEX([3]关卡对接!$E$7:$E$141,A277),MATCH(E277,人物经验!$H$24:$H$573,1))</f>
        <v>262</v>
      </c>
      <c r="O277" s="12">
        <f>INDEX([2]关卡!$G$6:$G$2005,A277)</f>
        <v>3</v>
      </c>
      <c r="P277" s="13">
        <v>6</v>
      </c>
      <c r="Q277" s="12">
        <f>INT(P277/$S$15/O277*VLOOKUP(J277,[1]人物技能基础!$N$3:$O$553,2,0)*$U$15)</f>
        <v>9</v>
      </c>
      <c r="R277" s="12">
        <f t="shared" si="48"/>
        <v>112</v>
      </c>
    </row>
    <row r="278" spans="1:18" x14ac:dyDescent="0.15">
      <c r="A278" s="12">
        <v>260</v>
      </c>
      <c r="B278" s="12">
        <f t="shared" si="42"/>
        <v>2</v>
      </c>
      <c r="C278" s="12">
        <f t="shared" si="43"/>
        <v>0.55800000000000005</v>
      </c>
      <c r="D278" s="12">
        <f t="shared" si="44"/>
        <v>9.5950000000000202E-3</v>
      </c>
      <c r="E278" s="12">
        <f>SUM($D$19:D278)</f>
        <v>1.758</v>
      </c>
      <c r="F278" s="12">
        <f t="shared" si="40"/>
        <v>18.153058390000002</v>
      </c>
      <c r="G278" s="12">
        <f t="shared" si="41"/>
        <v>20.891682950000003</v>
      </c>
      <c r="H278" s="12">
        <f t="shared" si="45"/>
        <v>65300</v>
      </c>
      <c r="I278" s="12">
        <f t="shared" si="46"/>
        <v>75200</v>
      </c>
      <c r="J278" s="12">
        <f>IF(A278&lt;[3]关卡对接!$A$4,INDEX([3]关卡对接!$C$7:$C$141,A278),MATCH(E278,人物经验!$H$24:$H$573,1))</f>
        <v>263</v>
      </c>
      <c r="K278" s="12">
        <f>IF([3]关卡对接!F266="",INT(INDEX(人物经验!$J$24:$J$573,关卡!J278)*关卡!$S$7),[3]关卡对接!F266)</f>
        <v>1626</v>
      </c>
      <c r="L278" s="12">
        <f t="shared" si="47"/>
        <v>1.2</v>
      </c>
      <c r="M278" s="12">
        <f>L278/[4]货币基础!$B$4</f>
        <v>120</v>
      </c>
      <c r="N278" s="12">
        <f>IF(A278&lt;[3]关卡对接!$A$4,INDEX([3]关卡对接!$E$7:$E$141,A278),MATCH(E278,人物经验!$H$24:$H$573,1))</f>
        <v>263</v>
      </c>
      <c r="O278" s="12">
        <f>INDEX([2]关卡!$G$6:$G$2005,A278)</f>
        <v>3</v>
      </c>
      <c r="P278" s="13">
        <v>6</v>
      </c>
      <c r="Q278" s="12">
        <f>INT(P278/$S$15/O278*VLOOKUP(J278,[1]人物技能基础!$N$3:$O$553,2,0)*$U$15)</f>
        <v>9</v>
      </c>
      <c r="R278" s="12">
        <f t="shared" si="48"/>
        <v>112</v>
      </c>
    </row>
    <row r="279" spans="1:18" x14ac:dyDescent="0.15">
      <c r="A279" s="12">
        <v>261</v>
      </c>
      <c r="B279" s="12">
        <f t="shared" si="42"/>
        <v>2</v>
      </c>
      <c r="C279" s="12">
        <f t="shared" si="43"/>
        <v>0.56760500000000003</v>
      </c>
      <c r="D279" s="12">
        <f t="shared" si="44"/>
        <v>9.6049999999999747E-3</v>
      </c>
      <c r="E279" s="12">
        <f>SUM($D$19:D279)</f>
        <v>1.7676050000000001</v>
      </c>
      <c r="F279" s="12">
        <f t="shared" si="40"/>
        <v>18.238506024109942</v>
      </c>
      <c r="G279" s="12">
        <f t="shared" si="41"/>
        <v>20.965457438180938</v>
      </c>
      <c r="H279" s="12">
        <f t="shared" si="45"/>
        <v>65600</v>
      </c>
      <c r="I279" s="12">
        <f t="shared" si="46"/>
        <v>75400</v>
      </c>
      <c r="J279" s="12">
        <f>IF(A279&lt;[3]关卡对接!$A$4,INDEX([3]关卡对接!$C$7:$C$141,A279),MATCH(E279,人物经验!$H$24:$H$573,1))</f>
        <v>263</v>
      </c>
      <c r="K279" s="12">
        <f>IF([3]关卡对接!F267="",INT(INDEX(人物经验!$J$24:$J$573,关卡!J279)*关卡!$S$7),[3]关卡对接!F267)</f>
        <v>1626</v>
      </c>
      <c r="L279" s="12">
        <f t="shared" si="47"/>
        <v>1.2</v>
      </c>
      <c r="M279" s="12">
        <f>L279/[4]货币基础!$B$4</f>
        <v>120</v>
      </c>
      <c r="N279" s="12">
        <f>IF(A279&lt;[3]关卡对接!$A$4,INDEX([3]关卡对接!$E$7:$E$141,A279),MATCH(E279,人物经验!$H$24:$H$573,1))</f>
        <v>263</v>
      </c>
      <c r="O279" s="12">
        <f>INDEX([2]关卡!$G$6:$G$2005,A279)</f>
        <v>3</v>
      </c>
      <c r="P279" s="13">
        <v>6</v>
      </c>
      <c r="Q279" s="12">
        <f>INT(P279/$S$15/O279*VLOOKUP(J279,[1]人物技能基础!$N$3:$O$553,2,0)*$U$15)</f>
        <v>9</v>
      </c>
      <c r="R279" s="12">
        <f t="shared" si="48"/>
        <v>112</v>
      </c>
    </row>
    <row r="280" spans="1:18" x14ac:dyDescent="0.15">
      <c r="A280" s="12">
        <v>262</v>
      </c>
      <c r="B280" s="12">
        <f t="shared" si="42"/>
        <v>2</v>
      </c>
      <c r="C280" s="12">
        <f t="shared" si="43"/>
        <v>0.57722000000000007</v>
      </c>
      <c r="D280" s="12">
        <f t="shared" si="44"/>
        <v>9.6150000000000402E-3</v>
      </c>
      <c r="E280" s="12">
        <f>SUM($D$19:D280)</f>
        <v>1.7772200000000002</v>
      </c>
      <c r="F280" s="12">
        <f t="shared" si="40"/>
        <v>18.324132768479</v>
      </c>
      <c r="G280" s="12">
        <f t="shared" si="41"/>
        <v>21.039341142495005</v>
      </c>
      <c r="H280" s="12">
        <f t="shared" si="45"/>
        <v>65900</v>
      </c>
      <c r="I280" s="12">
        <f t="shared" si="46"/>
        <v>75700</v>
      </c>
      <c r="J280" s="12">
        <f>IF(A280&lt;[3]关卡对接!$A$4,INDEX([3]关卡对接!$C$7:$C$141,A280),MATCH(E280,人物经验!$H$24:$H$573,1))</f>
        <v>263</v>
      </c>
      <c r="K280" s="12">
        <f>IF([3]关卡对接!F268="",INT(INDEX(人物经验!$J$24:$J$573,关卡!J280)*关卡!$S$7),[3]关卡对接!F268)</f>
        <v>1626</v>
      </c>
      <c r="L280" s="12">
        <f t="shared" si="47"/>
        <v>1.2</v>
      </c>
      <c r="M280" s="12">
        <f>L280/[4]货币基础!$B$4</f>
        <v>120</v>
      </c>
      <c r="N280" s="12">
        <f>IF(A280&lt;[3]关卡对接!$A$4,INDEX([3]关卡对接!$E$7:$E$141,A280),MATCH(E280,人物经验!$H$24:$H$573,1))</f>
        <v>263</v>
      </c>
      <c r="O280" s="12">
        <f>INDEX([2]关卡!$G$6:$G$2005,A280)</f>
        <v>3</v>
      </c>
      <c r="P280" s="13">
        <v>6</v>
      </c>
      <c r="Q280" s="12">
        <f>INT(P280/$S$15/O280*VLOOKUP(J280,[1]人物技能基础!$N$3:$O$553,2,0)*$U$15)</f>
        <v>9</v>
      </c>
      <c r="R280" s="12">
        <f t="shared" si="48"/>
        <v>112</v>
      </c>
    </row>
    <row r="281" spans="1:18" x14ac:dyDescent="0.15">
      <c r="A281" s="12">
        <v>263</v>
      </c>
      <c r="B281" s="12">
        <f t="shared" si="42"/>
        <v>2</v>
      </c>
      <c r="C281" s="12">
        <f t="shared" si="43"/>
        <v>0.58684500000000006</v>
      </c>
      <c r="D281" s="12">
        <f t="shared" si="44"/>
        <v>9.6249999999999947E-3</v>
      </c>
      <c r="E281" s="12">
        <f>SUM($D$19:D281)</f>
        <v>1.7868450000000002</v>
      </c>
      <c r="F281" s="12">
        <f t="shared" si="40"/>
        <v>18.409939004614941</v>
      </c>
      <c r="G281" s="12">
        <f t="shared" si="41"/>
        <v>21.11333421270594</v>
      </c>
      <c r="H281" s="12">
        <f t="shared" si="45"/>
        <v>66200</v>
      </c>
      <c r="I281" s="12">
        <f t="shared" si="46"/>
        <v>76000</v>
      </c>
      <c r="J281" s="12">
        <f>IF(A281&lt;[3]关卡对接!$A$4,INDEX([3]关卡对接!$C$7:$C$141,A281),MATCH(E281,人物经验!$H$24:$H$573,1))</f>
        <v>263</v>
      </c>
      <c r="K281" s="12">
        <f>IF([3]关卡对接!F269="",INT(INDEX(人物经验!$J$24:$J$573,关卡!J281)*关卡!$S$7),[3]关卡对接!F269)</f>
        <v>1626</v>
      </c>
      <c r="L281" s="12">
        <f t="shared" si="47"/>
        <v>1.2</v>
      </c>
      <c r="M281" s="12">
        <f>L281/[4]货币基础!$B$4</f>
        <v>120</v>
      </c>
      <c r="N281" s="12">
        <f>IF(A281&lt;[3]关卡对接!$A$4,INDEX([3]关卡对接!$E$7:$E$141,A281),MATCH(E281,人物经验!$H$24:$H$573,1))</f>
        <v>263</v>
      </c>
      <c r="O281" s="12">
        <f>INDEX([2]关卡!$G$6:$G$2005,A281)</f>
        <v>3</v>
      </c>
      <c r="P281" s="13">
        <v>6</v>
      </c>
      <c r="Q281" s="12">
        <f>INT(P281/$S$15/O281*VLOOKUP(J281,[1]人物技能基础!$N$3:$O$553,2,0)*$U$15)</f>
        <v>9</v>
      </c>
      <c r="R281" s="12">
        <f t="shared" si="48"/>
        <v>112</v>
      </c>
    </row>
    <row r="282" spans="1:18" x14ac:dyDescent="0.15">
      <c r="A282" s="12">
        <v>264</v>
      </c>
      <c r="B282" s="12">
        <f t="shared" si="42"/>
        <v>2</v>
      </c>
      <c r="C282" s="12">
        <f t="shared" si="43"/>
        <v>0.59648000000000012</v>
      </c>
      <c r="D282" s="12">
        <f t="shared" si="44"/>
        <v>9.6350000000000602E-3</v>
      </c>
      <c r="E282" s="12">
        <f>SUM($D$19:D282)</f>
        <v>1.7964800000000003</v>
      </c>
      <c r="F282" s="12">
        <f t="shared" si="40"/>
        <v>18.495925114624001</v>
      </c>
      <c r="G282" s="12">
        <f t="shared" si="41"/>
        <v>21.18743679872</v>
      </c>
      <c r="H282" s="12">
        <f t="shared" si="45"/>
        <v>66500</v>
      </c>
      <c r="I282" s="12">
        <f t="shared" si="46"/>
        <v>76200</v>
      </c>
      <c r="J282" s="12">
        <f>IF(A282&lt;[3]关卡对接!$A$4,INDEX([3]关卡对接!$C$7:$C$141,A282),MATCH(E282,人物经验!$H$24:$H$573,1))</f>
        <v>264</v>
      </c>
      <c r="K282" s="12">
        <f>IF([3]关卡对接!F270="",INT(INDEX(人物经验!$J$24:$J$573,关卡!J282)*关卡!$S$7),[3]关卡对接!F270)</f>
        <v>1656</v>
      </c>
      <c r="L282" s="12">
        <f t="shared" si="47"/>
        <v>1.2</v>
      </c>
      <c r="M282" s="12">
        <f>L282/[4]货币基础!$B$4</f>
        <v>120</v>
      </c>
      <c r="N282" s="12">
        <f>IF(A282&lt;[3]关卡对接!$A$4,INDEX([3]关卡对接!$E$7:$E$141,A282),MATCH(E282,人物经验!$H$24:$H$573,1))</f>
        <v>264</v>
      </c>
      <c r="O282" s="12">
        <f>INDEX([2]关卡!$G$6:$G$2005,A282)</f>
        <v>3</v>
      </c>
      <c r="P282" s="13">
        <v>6</v>
      </c>
      <c r="Q282" s="12">
        <f>INT(P282/$S$15/O282*VLOOKUP(J282,[1]人物技能基础!$N$3:$O$553,2,0)*$U$15)</f>
        <v>9</v>
      </c>
      <c r="R282" s="12">
        <f t="shared" si="48"/>
        <v>112</v>
      </c>
    </row>
    <row r="283" spans="1:18" x14ac:dyDescent="0.15">
      <c r="A283" s="12">
        <v>265</v>
      </c>
      <c r="B283" s="12">
        <f t="shared" si="42"/>
        <v>2</v>
      </c>
      <c r="C283" s="12">
        <f t="shared" si="43"/>
        <v>0.60612500000000002</v>
      </c>
      <c r="D283" s="12">
        <f t="shared" si="44"/>
        <v>9.6449999999999037E-3</v>
      </c>
      <c r="E283" s="12">
        <f>SUM($D$19:D283)</f>
        <v>1.8061250000000002</v>
      </c>
      <c r="F283" s="12">
        <f t="shared" si="40"/>
        <v>18.582091481210941</v>
      </c>
      <c r="G283" s="12">
        <f t="shared" si="41"/>
        <v>21.261649050585941</v>
      </c>
      <c r="H283" s="12">
        <f t="shared" si="45"/>
        <v>66800</v>
      </c>
      <c r="I283" s="12">
        <f t="shared" si="46"/>
        <v>76500</v>
      </c>
      <c r="J283" s="12">
        <f>IF(A283&lt;[3]关卡对接!$A$4,INDEX([3]关卡对接!$C$7:$C$141,A283),MATCH(E283,人物经验!$H$24:$H$573,1))</f>
        <v>264</v>
      </c>
      <c r="K283" s="12">
        <f>IF([3]关卡对接!F271="",INT(INDEX(人物经验!$J$24:$J$573,关卡!J283)*关卡!$S$7),[3]关卡对接!F271)</f>
        <v>1656</v>
      </c>
      <c r="L283" s="12">
        <f t="shared" si="47"/>
        <v>1.2</v>
      </c>
      <c r="M283" s="12">
        <f>L283/[4]货币基础!$B$4</f>
        <v>120</v>
      </c>
      <c r="N283" s="12">
        <f>IF(A283&lt;[3]关卡对接!$A$4,INDEX([3]关卡对接!$E$7:$E$141,A283),MATCH(E283,人物经验!$H$24:$H$573,1))</f>
        <v>264</v>
      </c>
      <c r="O283" s="12">
        <f>INDEX([2]关卡!$G$6:$G$2005,A283)</f>
        <v>3</v>
      </c>
      <c r="P283" s="13">
        <v>6</v>
      </c>
      <c r="Q283" s="12">
        <f>INT(P283/$S$15/O283*VLOOKUP(J283,[1]人物技能基础!$N$3:$O$553,2,0)*$U$15)</f>
        <v>9</v>
      </c>
      <c r="R283" s="12">
        <f t="shared" si="48"/>
        <v>112</v>
      </c>
    </row>
    <row r="284" spans="1:18" x14ac:dyDescent="0.15">
      <c r="A284" s="12">
        <v>266</v>
      </c>
      <c r="B284" s="12">
        <f t="shared" si="42"/>
        <v>2</v>
      </c>
      <c r="C284" s="12">
        <f t="shared" si="43"/>
        <v>0.61578000000000011</v>
      </c>
      <c r="D284" s="12">
        <f t="shared" si="44"/>
        <v>9.6550000000000802E-3</v>
      </c>
      <c r="E284" s="12">
        <f>SUM($D$19:D284)</f>
        <v>1.8157800000000002</v>
      </c>
      <c r="F284" s="12">
        <f t="shared" si="40"/>
        <v>18.668438487679001</v>
      </c>
      <c r="G284" s="12">
        <f t="shared" si="41"/>
        <v>21.335971118494999</v>
      </c>
      <c r="H284" s="12">
        <f t="shared" si="45"/>
        <v>67200</v>
      </c>
      <c r="I284" s="12">
        <f t="shared" si="46"/>
        <v>76800</v>
      </c>
      <c r="J284" s="12">
        <f>IF(A284&lt;[3]关卡对接!$A$4,INDEX([3]关卡对接!$C$7:$C$141,A284),MATCH(E284,人物经验!$H$24:$H$573,1))</f>
        <v>264</v>
      </c>
      <c r="K284" s="12">
        <f>IF([3]关卡对接!F272="",INT(INDEX(人物经验!$J$24:$J$573,关卡!J284)*关卡!$S$7),[3]关卡对接!F272)</f>
        <v>1656</v>
      </c>
      <c r="L284" s="12">
        <f t="shared" si="47"/>
        <v>1.2</v>
      </c>
      <c r="M284" s="12">
        <f>L284/[4]货币基础!$B$4</f>
        <v>120</v>
      </c>
      <c r="N284" s="12">
        <f>IF(A284&lt;[3]关卡对接!$A$4,INDEX([3]关卡对接!$E$7:$E$141,A284),MATCH(E284,人物经验!$H$24:$H$573,1))</f>
        <v>264</v>
      </c>
      <c r="O284" s="12">
        <f>INDEX([2]关卡!$G$6:$G$2005,A284)</f>
        <v>3</v>
      </c>
      <c r="P284" s="13">
        <v>6</v>
      </c>
      <c r="Q284" s="12">
        <f>INT(P284/$S$15/O284*VLOOKUP(J284,[1]人物技能基础!$N$3:$O$553,2,0)*$U$15)</f>
        <v>9</v>
      </c>
      <c r="R284" s="12">
        <f t="shared" si="48"/>
        <v>112</v>
      </c>
    </row>
    <row r="285" spans="1:18" x14ac:dyDescent="0.15">
      <c r="A285" s="12">
        <v>267</v>
      </c>
      <c r="B285" s="12">
        <f t="shared" si="42"/>
        <v>2</v>
      </c>
      <c r="C285" s="12">
        <f t="shared" si="43"/>
        <v>0.62544500000000014</v>
      </c>
      <c r="D285" s="12">
        <f t="shared" si="44"/>
        <v>9.6650000000000347E-3</v>
      </c>
      <c r="E285" s="12">
        <f>SUM($D$19:D285)</f>
        <v>1.8254450000000002</v>
      </c>
      <c r="F285" s="12">
        <f t="shared" si="40"/>
        <v>18.75496651792994</v>
      </c>
      <c r="G285" s="12">
        <f t="shared" si="41"/>
        <v>21.41040315278094</v>
      </c>
      <c r="H285" s="12">
        <f t="shared" si="45"/>
        <v>67500</v>
      </c>
      <c r="I285" s="12">
        <f t="shared" si="46"/>
        <v>77000</v>
      </c>
      <c r="J285" s="12">
        <f>IF(A285&lt;[3]关卡对接!$A$4,INDEX([3]关卡对接!$C$7:$C$141,A285),MATCH(E285,人物经验!$H$24:$H$573,1))</f>
        <v>264</v>
      </c>
      <c r="K285" s="12">
        <f>IF([3]关卡对接!F273="",INT(INDEX(人物经验!$J$24:$J$573,关卡!J285)*关卡!$S$7),[3]关卡对接!F273)</f>
        <v>1656</v>
      </c>
      <c r="L285" s="12">
        <f t="shared" si="47"/>
        <v>1.2</v>
      </c>
      <c r="M285" s="12">
        <f>L285/[4]货币基础!$B$4</f>
        <v>120</v>
      </c>
      <c r="N285" s="12">
        <f>IF(A285&lt;[3]关卡对接!$A$4,INDEX([3]关卡对接!$E$7:$E$141,A285),MATCH(E285,人物经验!$H$24:$H$573,1))</f>
        <v>264</v>
      </c>
      <c r="O285" s="12">
        <f>INDEX([2]关卡!$G$6:$G$2005,A285)</f>
        <v>3</v>
      </c>
      <c r="P285" s="13">
        <v>6</v>
      </c>
      <c r="Q285" s="12">
        <f>INT(P285/$S$15/O285*VLOOKUP(J285,[1]人物技能基础!$N$3:$O$553,2,0)*$U$15)</f>
        <v>9</v>
      </c>
      <c r="R285" s="12">
        <f t="shared" si="48"/>
        <v>112</v>
      </c>
    </row>
    <row r="286" spans="1:18" x14ac:dyDescent="0.15">
      <c r="A286" s="12">
        <v>268</v>
      </c>
      <c r="B286" s="12">
        <f t="shared" si="42"/>
        <v>2</v>
      </c>
      <c r="C286" s="12">
        <f t="shared" si="43"/>
        <v>0.63512000000000013</v>
      </c>
      <c r="D286" s="12">
        <f t="shared" si="44"/>
        <v>9.6749999999999892E-3</v>
      </c>
      <c r="E286" s="12">
        <f>SUM($D$19:D286)</f>
        <v>1.8351200000000003</v>
      </c>
      <c r="F286" s="12">
        <f t="shared" si="40"/>
        <v>18.841675956464009</v>
      </c>
      <c r="G286" s="12">
        <f t="shared" si="41"/>
        <v>21.484945303920007</v>
      </c>
      <c r="H286" s="12">
        <f t="shared" si="45"/>
        <v>67800</v>
      </c>
      <c r="I286" s="12">
        <f t="shared" si="46"/>
        <v>77300</v>
      </c>
      <c r="J286" s="12">
        <f>IF(A286&lt;[3]关卡对接!$A$4,INDEX([3]关卡对接!$C$7:$C$141,A286),MATCH(E286,人物经验!$H$24:$H$573,1))</f>
        <v>265</v>
      </c>
      <c r="K286" s="12">
        <f>IF([3]关卡对接!F274="",INT(INDEX(人物经验!$J$24:$J$573,关卡!J286)*关卡!$S$7),[3]关卡对接!F274)</f>
        <v>1687</v>
      </c>
      <c r="L286" s="12">
        <f t="shared" si="47"/>
        <v>1.2</v>
      </c>
      <c r="M286" s="12">
        <f>L286/[4]货币基础!$B$4</f>
        <v>120</v>
      </c>
      <c r="N286" s="12">
        <f>IF(A286&lt;[3]关卡对接!$A$4,INDEX([3]关卡对接!$E$7:$E$141,A286),MATCH(E286,人物经验!$H$24:$H$573,1))</f>
        <v>265</v>
      </c>
      <c r="O286" s="12">
        <f>INDEX([2]关卡!$G$6:$G$2005,A286)</f>
        <v>3</v>
      </c>
      <c r="P286" s="13">
        <v>6</v>
      </c>
      <c r="Q286" s="12">
        <f>INT(P286/$S$15/O286*VLOOKUP(J286,[1]人物技能基础!$N$3:$O$553,2,0)*$U$15)</f>
        <v>9</v>
      </c>
      <c r="R286" s="12">
        <f t="shared" si="48"/>
        <v>112</v>
      </c>
    </row>
    <row r="287" spans="1:18" x14ac:dyDescent="0.15">
      <c r="A287" s="12">
        <v>269</v>
      </c>
      <c r="B287" s="12">
        <f t="shared" si="42"/>
        <v>2</v>
      </c>
      <c r="C287" s="12">
        <f t="shared" si="43"/>
        <v>0.64480499999999996</v>
      </c>
      <c r="D287" s="12">
        <f t="shared" si="44"/>
        <v>9.6849999999998326E-3</v>
      </c>
      <c r="E287" s="12">
        <f>SUM($D$19:D287)</f>
        <v>1.844805</v>
      </c>
      <c r="F287" s="12">
        <f t="shared" si="40"/>
        <v>18.92856718837994</v>
      </c>
      <c r="G287" s="12">
        <f t="shared" si="41"/>
        <v>21.559597722530938</v>
      </c>
      <c r="H287" s="12">
        <f t="shared" si="45"/>
        <v>68100</v>
      </c>
      <c r="I287" s="12">
        <f t="shared" si="46"/>
        <v>77600</v>
      </c>
      <c r="J287" s="12">
        <f>IF(A287&lt;[3]关卡对接!$A$4,INDEX([3]关卡对接!$C$7:$C$141,A287),MATCH(E287,人物经验!$H$24:$H$573,1))</f>
        <v>265</v>
      </c>
      <c r="K287" s="12">
        <f>IF([3]关卡对接!F275="",INT(INDEX(人物经验!$J$24:$J$573,关卡!J287)*关卡!$S$7),[3]关卡对接!F275)</f>
        <v>1687</v>
      </c>
      <c r="L287" s="12">
        <f t="shared" si="47"/>
        <v>1.2</v>
      </c>
      <c r="M287" s="12">
        <f>L287/[4]货币基础!$B$4</f>
        <v>120</v>
      </c>
      <c r="N287" s="12">
        <f>IF(A287&lt;[3]关卡对接!$A$4,INDEX([3]关卡对接!$E$7:$E$141,A287),MATCH(E287,人物经验!$H$24:$H$573,1))</f>
        <v>265</v>
      </c>
      <c r="O287" s="12">
        <f>INDEX([2]关卡!$G$6:$G$2005,A287)</f>
        <v>3</v>
      </c>
      <c r="P287" s="13">
        <v>6</v>
      </c>
      <c r="Q287" s="12">
        <f>INT(P287/$S$15/O287*VLOOKUP(J287,[1]人物技能基础!$N$3:$O$553,2,0)*$U$15)</f>
        <v>9</v>
      </c>
      <c r="R287" s="12">
        <f t="shared" si="48"/>
        <v>112</v>
      </c>
    </row>
    <row r="288" spans="1:18" x14ac:dyDescent="0.15">
      <c r="A288" s="12">
        <v>270</v>
      </c>
      <c r="B288" s="12">
        <f t="shared" si="42"/>
        <v>2</v>
      </c>
      <c r="C288" s="12">
        <f t="shared" si="43"/>
        <v>0.65449999999999997</v>
      </c>
      <c r="D288" s="12">
        <f t="shared" si="44"/>
        <v>9.6950000000000092E-3</v>
      </c>
      <c r="E288" s="12">
        <f>SUM($D$19:D288)</f>
        <v>1.8545</v>
      </c>
      <c r="F288" s="12">
        <f t="shared" si="40"/>
        <v>19.015640599375001</v>
      </c>
      <c r="G288" s="12">
        <f t="shared" si="41"/>
        <v>21.634360559375004</v>
      </c>
      <c r="H288" s="12">
        <f t="shared" si="45"/>
        <v>68400</v>
      </c>
      <c r="I288" s="12">
        <f t="shared" si="46"/>
        <v>77800</v>
      </c>
      <c r="J288" s="12">
        <f>IF(A288&lt;[3]关卡对接!$A$4,INDEX([3]关卡对接!$C$7:$C$141,A288),MATCH(E288,人物经验!$H$24:$H$573,1))</f>
        <v>265</v>
      </c>
      <c r="K288" s="12">
        <f>IF([3]关卡对接!F276="",INT(INDEX(人物经验!$J$24:$J$573,关卡!J288)*关卡!$S$7),[3]关卡对接!F276)</f>
        <v>1687</v>
      </c>
      <c r="L288" s="12">
        <f t="shared" si="47"/>
        <v>1.2</v>
      </c>
      <c r="M288" s="12">
        <f>L288/[4]货币基础!$B$4</f>
        <v>120</v>
      </c>
      <c r="N288" s="12">
        <f>IF(A288&lt;[3]关卡对接!$A$4,INDEX([3]关卡对接!$E$7:$E$141,A288),MATCH(E288,人物经验!$H$24:$H$573,1))</f>
        <v>265</v>
      </c>
      <c r="O288" s="12">
        <f>INDEX([2]关卡!$G$6:$G$2005,A288)</f>
        <v>3</v>
      </c>
      <c r="P288" s="13">
        <v>6</v>
      </c>
      <c r="Q288" s="12">
        <f>INT(P288/$S$15/O288*VLOOKUP(J288,[1]人物技能基础!$N$3:$O$553,2,0)*$U$15)</f>
        <v>9</v>
      </c>
      <c r="R288" s="12">
        <f t="shared" si="48"/>
        <v>112</v>
      </c>
    </row>
    <row r="289" spans="1:18" x14ac:dyDescent="0.15">
      <c r="A289" s="12">
        <v>271</v>
      </c>
      <c r="B289" s="12">
        <f t="shared" si="42"/>
        <v>2</v>
      </c>
      <c r="C289" s="12">
        <f t="shared" si="43"/>
        <v>0.66420500000000005</v>
      </c>
      <c r="D289" s="12">
        <f t="shared" si="44"/>
        <v>9.7050000000000747E-3</v>
      </c>
      <c r="E289" s="12">
        <f>SUM($D$19:D289)</f>
        <v>1.8642050000000001</v>
      </c>
      <c r="F289" s="12">
        <f t="shared" si="40"/>
        <v>19.102896575744936</v>
      </c>
      <c r="G289" s="12">
        <f t="shared" si="41"/>
        <v>21.709233965355939</v>
      </c>
      <c r="H289" s="12">
        <f t="shared" si="45"/>
        <v>68700</v>
      </c>
      <c r="I289" s="12">
        <f t="shared" si="46"/>
        <v>78100</v>
      </c>
      <c r="J289" s="12">
        <f>IF(A289&lt;[3]关卡对接!$A$4,INDEX([3]关卡对接!$C$7:$C$141,A289),MATCH(E289,人物经验!$H$24:$H$573,1))</f>
        <v>265</v>
      </c>
      <c r="K289" s="12">
        <f>IF([3]关卡对接!F277="",INT(INDEX(人物经验!$J$24:$J$573,关卡!J289)*关卡!$S$7),[3]关卡对接!F277)</f>
        <v>1687</v>
      </c>
      <c r="L289" s="12">
        <f t="shared" si="47"/>
        <v>1.2</v>
      </c>
      <c r="M289" s="12">
        <f>L289/[4]货币基础!$B$4</f>
        <v>120</v>
      </c>
      <c r="N289" s="12">
        <f>IF(A289&lt;[3]关卡对接!$A$4,INDEX([3]关卡对接!$E$7:$E$141,A289),MATCH(E289,人物经验!$H$24:$H$573,1))</f>
        <v>265</v>
      </c>
      <c r="O289" s="12">
        <f>INDEX([2]关卡!$G$6:$G$2005,A289)</f>
        <v>3</v>
      </c>
      <c r="P289" s="13">
        <v>6</v>
      </c>
      <c r="Q289" s="12">
        <f>INT(P289/$S$15/O289*VLOOKUP(J289,[1]人物技能基础!$N$3:$O$553,2,0)*$U$15)</f>
        <v>9</v>
      </c>
      <c r="R289" s="12">
        <f t="shared" si="48"/>
        <v>112</v>
      </c>
    </row>
    <row r="290" spans="1:18" x14ac:dyDescent="0.15">
      <c r="A290" s="12">
        <v>272</v>
      </c>
      <c r="B290" s="12">
        <f t="shared" si="42"/>
        <v>2</v>
      </c>
      <c r="C290" s="12">
        <f t="shared" si="43"/>
        <v>0.67392000000000007</v>
      </c>
      <c r="D290" s="12">
        <f t="shared" si="44"/>
        <v>9.7150000000000292E-3</v>
      </c>
      <c r="E290" s="12">
        <f>SUM($D$19:D290)</f>
        <v>1.87392</v>
      </c>
      <c r="F290" s="12">
        <f t="shared" si="40"/>
        <v>19.190335504384002</v>
      </c>
      <c r="G290" s="12">
        <f t="shared" si="41"/>
        <v>21.78421809152</v>
      </c>
      <c r="H290" s="12">
        <f t="shared" si="45"/>
        <v>69000</v>
      </c>
      <c r="I290" s="12">
        <f t="shared" si="46"/>
        <v>78400</v>
      </c>
      <c r="J290" s="12">
        <f>IF(A290&lt;[3]关卡对接!$A$4,INDEX([3]关卡对接!$C$7:$C$141,A290),MATCH(E290,人物经验!$H$24:$H$573,1))</f>
        <v>266</v>
      </c>
      <c r="K290" s="12">
        <f>IF([3]关卡对接!F278="",INT(INDEX(人物经验!$J$24:$J$573,关卡!J290)*关卡!$S$7),[3]关卡对接!F278)</f>
        <v>1719</v>
      </c>
      <c r="L290" s="12">
        <f t="shared" si="47"/>
        <v>1.2</v>
      </c>
      <c r="M290" s="12">
        <f>L290/[4]货币基础!$B$4</f>
        <v>120</v>
      </c>
      <c r="N290" s="12">
        <f>IF(A290&lt;[3]关卡对接!$A$4,INDEX([3]关卡对接!$E$7:$E$141,A290),MATCH(E290,人物经验!$H$24:$H$573,1))</f>
        <v>266</v>
      </c>
      <c r="O290" s="12">
        <f>INDEX([2]关卡!$G$6:$G$2005,A290)</f>
        <v>3</v>
      </c>
      <c r="P290" s="13">
        <v>6</v>
      </c>
      <c r="Q290" s="12">
        <f>INT(P290/$S$15/O290*VLOOKUP(J290,[1]人物技能基础!$N$3:$O$553,2,0)*$U$15)</f>
        <v>9</v>
      </c>
      <c r="R290" s="12">
        <f t="shared" si="48"/>
        <v>112</v>
      </c>
    </row>
    <row r="291" spans="1:18" x14ac:dyDescent="0.15">
      <c r="A291" s="12">
        <v>273</v>
      </c>
      <c r="B291" s="12">
        <f t="shared" si="42"/>
        <v>2</v>
      </c>
      <c r="C291" s="12">
        <f t="shared" si="43"/>
        <v>0.68364500000000006</v>
      </c>
      <c r="D291" s="12">
        <f t="shared" si="44"/>
        <v>9.7249999999999837E-3</v>
      </c>
      <c r="E291" s="12">
        <f>SUM($D$19:D291)</f>
        <v>1.883645</v>
      </c>
      <c r="F291" s="12">
        <f t="shared" si="40"/>
        <v>19.277957772784937</v>
      </c>
      <c r="G291" s="12">
        <f t="shared" si="41"/>
        <v>21.859313089055942</v>
      </c>
      <c r="H291" s="12">
        <f t="shared" si="45"/>
        <v>69400</v>
      </c>
      <c r="I291" s="12">
        <f t="shared" si="46"/>
        <v>78600</v>
      </c>
      <c r="J291" s="12">
        <f>IF(A291&lt;[3]关卡对接!$A$4,INDEX([3]关卡对接!$C$7:$C$141,A291),MATCH(E291,人物经验!$H$24:$H$573,1))</f>
        <v>266</v>
      </c>
      <c r="K291" s="12">
        <f>IF([3]关卡对接!F279="",INT(INDEX(人物经验!$J$24:$J$573,关卡!J291)*关卡!$S$7),[3]关卡对接!F279)</f>
        <v>1719</v>
      </c>
      <c r="L291" s="12">
        <f t="shared" si="47"/>
        <v>1.2</v>
      </c>
      <c r="M291" s="12">
        <f>L291/[4]货币基础!$B$4</f>
        <v>120</v>
      </c>
      <c r="N291" s="12">
        <f>IF(A291&lt;[3]关卡对接!$A$4,INDEX([3]关卡对接!$E$7:$E$141,A291),MATCH(E291,人物经验!$H$24:$H$573,1))</f>
        <v>266</v>
      </c>
      <c r="O291" s="12">
        <f>INDEX([2]关卡!$G$6:$G$2005,A291)</f>
        <v>3</v>
      </c>
      <c r="P291" s="13">
        <v>6</v>
      </c>
      <c r="Q291" s="12">
        <f>INT(P291/$S$15/O291*VLOOKUP(J291,[1]人物技能基础!$N$3:$O$553,2,0)*$U$15)</f>
        <v>9</v>
      </c>
      <c r="R291" s="12">
        <f t="shared" si="48"/>
        <v>112</v>
      </c>
    </row>
    <row r="292" spans="1:18" x14ac:dyDescent="0.15">
      <c r="A292" s="12">
        <v>274</v>
      </c>
      <c r="B292" s="12">
        <f t="shared" si="42"/>
        <v>2</v>
      </c>
      <c r="C292" s="12">
        <f t="shared" si="43"/>
        <v>0.69338</v>
      </c>
      <c r="D292" s="12">
        <f t="shared" si="44"/>
        <v>9.7349999999999381E-3</v>
      </c>
      <c r="E292" s="12">
        <f>SUM($D$19:D292)</f>
        <v>1.8933800000000001</v>
      </c>
      <c r="F292" s="12">
        <f t="shared" si="40"/>
        <v>19.365763769039003</v>
      </c>
      <c r="G292" s="12">
        <f t="shared" si="41"/>
        <v>21.934519109295003</v>
      </c>
      <c r="H292" s="12">
        <f t="shared" si="45"/>
        <v>69700</v>
      </c>
      <c r="I292" s="12">
        <f t="shared" si="46"/>
        <v>78900</v>
      </c>
      <c r="J292" s="12">
        <f>IF(A292&lt;[3]关卡对接!$A$4,INDEX([3]关卡对接!$C$7:$C$141,A292),MATCH(E292,人物经验!$H$24:$H$573,1))</f>
        <v>266</v>
      </c>
      <c r="K292" s="12">
        <f>IF([3]关卡对接!F280="",INT(INDEX(人物经验!$J$24:$J$573,关卡!J292)*关卡!$S$7),[3]关卡对接!F280)</f>
        <v>1719</v>
      </c>
      <c r="L292" s="12">
        <f t="shared" si="47"/>
        <v>1.2</v>
      </c>
      <c r="M292" s="12">
        <f>L292/[4]货币基础!$B$4</f>
        <v>120</v>
      </c>
      <c r="N292" s="12">
        <f>IF(A292&lt;[3]关卡对接!$A$4,INDEX([3]关卡对接!$E$7:$E$141,A292),MATCH(E292,人物经验!$H$24:$H$573,1))</f>
        <v>266</v>
      </c>
      <c r="O292" s="12">
        <f>INDEX([2]关卡!$G$6:$G$2005,A292)</f>
        <v>3</v>
      </c>
      <c r="P292" s="13">
        <v>6</v>
      </c>
      <c r="Q292" s="12">
        <f>INT(P292/$S$15/O292*VLOOKUP(J292,[1]人物技能基础!$N$3:$O$553,2,0)*$U$15)</f>
        <v>9</v>
      </c>
      <c r="R292" s="12">
        <f t="shared" si="48"/>
        <v>112</v>
      </c>
    </row>
    <row r="293" spans="1:18" x14ac:dyDescent="0.15">
      <c r="A293" s="12">
        <v>275</v>
      </c>
      <c r="B293" s="12">
        <f t="shared" si="42"/>
        <v>2</v>
      </c>
      <c r="C293" s="12">
        <f t="shared" si="43"/>
        <v>0.703125</v>
      </c>
      <c r="D293" s="12">
        <f t="shared" si="44"/>
        <v>9.7450000000000037E-3</v>
      </c>
      <c r="E293" s="12">
        <f>SUM($D$19:D293)</f>
        <v>1.9031250000000002</v>
      </c>
      <c r="F293" s="12">
        <f t="shared" si="40"/>
        <v>19.45375388183594</v>
      </c>
      <c r="G293" s="12">
        <f t="shared" si="41"/>
        <v>22.009836303710941</v>
      </c>
      <c r="H293" s="12">
        <f t="shared" si="45"/>
        <v>70000</v>
      </c>
      <c r="I293" s="12">
        <f t="shared" si="46"/>
        <v>79200</v>
      </c>
      <c r="J293" s="12">
        <f>IF(A293&lt;[3]关卡对接!$A$4,INDEX([3]关卡对接!$C$7:$C$141,A293),MATCH(E293,人物经验!$H$24:$H$573,1))</f>
        <v>266</v>
      </c>
      <c r="K293" s="12">
        <f>IF([3]关卡对接!F281="",INT(INDEX(人物经验!$J$24:$J$573,关卡!J293)*关卡!$S$7),[3]关卡对接!F281)</f>
        <v>1719</v>
      </c>
      <c r="L293" s="12">
        <f t="shared" si="47"/>
        <v>1.2</v>
      </c>
      <c r="M293" s="12">
        <f>L293/[4]货币基础!$B$4</f>
        <v>120</v>
      </c>
      <c r="N293" s="12">
        <f>IF(A293&lt;[3]关卡对接!$A$4,INDEX([3]关卡对接!$E$7:$E$141,A293),MATCH(E293,人物经验!$H$24:$H$573,1))</f>
        <v>266</v>
      </c>
      <c r="O293" s="12">
        <f>INDEX([2]关卡!$G$6:$G$2005,A293)</f>
        <v>3</v>
      </c>
      <c r="P293" s="13">
        <v>6</v>
      </c>
      <c r="Q293" s="12">
        <f>INT(P293/$S$15/O293*VLOOKUP(J293,[1]人物技能基础!$N$3:$O$553,2,0)*$U$15)</f>
        <v>9</v>
      </c>
      <c r="R293" s="12">
        <f t="shared" si="48"/>
        <v>112</v>
      </c>
    </row>
    <row r="294" spans="1:18" x14ac:dyDescent="0.15">
      <c r="A294" s="12">
        <v>276</v>
      </c>
      <c r="B294" s="12">
        <f t="shared" si="42"/>
        <v>2</v>
      </c>
      <c r="C294" s="12">
        <f t="shared" si="43"/>
        <v>0.71288000000000007</v>
      </c>
      <c r="D294" s="12">
        <f t="shared" si="44"/>
        <v>9.7550000000000692E-3</v>
      </c>
      <c r="E294" s="12">
        <f>SUM($D$19:D294)</f>
        <v>1.9128800000000004</v>
      </c>
      <c r="F294" s="12">
        <f t="shared" si="40"/>
        <v>19.541928500464</v>
      </c>
      <c r="G294" s="12">
        <f t="shared" si="41"/>
        <v>22.085264823920003</v>
      </c>
      <c r="H294" s="12">
        <f t="shared" si="45"/>
        <v>70300</v>
      </c>
      <c r="I294" s="12">
        <f t="shared" si="46"/>
        <v>79500</v>
      </c>
      <c r="J294" s="12">
        <f>IF(A294&lt;[3]关卡对接!$A$4,INDEX([3]关卡对接!$C$7:$C$141,A294),MATCH(E294,人物经验!$H$24:$H$573,1))</f>
        <v>267</v>
      </c>
      <c r="K294" s="12">
        <f>IF([3]关卡对接!F282="",INT(INDEX(人物经验!$J$24:$J$573,关卡!J294)*关卡!$S$7),[3]关卡对接!F282)</f>
        <v>1750</v>
      </c>
      <c r="L294" s="12">
        <f t="shared" si="47"/>
        <v>1.2</v>
      </c>
      <c r="M294" s="12">
        <f>L294/[4]货币基础!$B$4</f>
        <v>120</v>
      </c>
      <c r="N294" s="12">
        <f>IF(A294&lt;[3]关卡对接!$A$4,INDEX([3]关卡对接!$E$7:$E$141,A294),MATCH(E294,人物经验!$H$24:$H$573,1))</f>
        <v>267</v>
      </c>
      <c r="O294" s="12">
        <f>INDEX([2]关卡!$G$6:$G$2005,A294)</f>
        <v>3</v>
      </c>
      <c r="P294" s="13">
        <v>6</v>
      </c>
      <c r="Q294" s="12">
        <f>INT(P294/$S$15/O294*VLOOKUP(J294,[1]人物技能基础!$N$3:$O$553,2,0)*$U$15)</f>
        <v>9</v>
      </c>
      <c r="R294" s="12">
        <f t="shared" si="48"/>
        <v>112</v>
      </c>
    </row>
    <row r="295" spans="1:18" x14ac:dyDescent="0.15">
      <c r="A295" s="12">
        <v>277</v>
      </c>
      <c r="B295" s="12">
        <f t="shared" si="42"/>
        <v>2</v>
      </c>
      <c r="C295" s="12">
        <f t="shared" si="43"/>
        <v>0.72264500000000009</v>
      </c>
      <c r="D295" s="12">
        <f t="shared" si="44"/>
        <v>9.7650000000000237E-3</v>
      </c>
      <c r="E295" s="12">
        <f>SUM($D$19:D295)</f>
        <v>1.9226450000000004</v>
      </c>
      <c r="F295" s="12">
        <f t="shared" si="40"/>
        <v>19.630288014809942</v>
      </c>
      <c r="G295" s="12">
        <f t="shared" si="41"/>
        <v>22.160804821680941</v>
      </c>
      <c r="H295" s="12">
        <f t="shared" si="45"/>
        <v>70600</v>
      </c>
      <c r="I295" s="12">
        <f t="shared" si="46"/>
        <v>79700</v>
      </c>
      <c r="J295" s="12">
        <f>IF(A295&lt;[3]关卡对接!$A$4,INDEX([3]关卡对接!$C$7:$C$141,A295),MATCH(E295,人物经验!$H$24:$H$573,1))</f>
        <v>267</v>
      </c>
      <c r="K295" s="12">
        <f>IF([3]关卡对接!F283="",INT(INDEX(人物经验!$J$24:$J$573,关卡!J295)*关卡!$S$7),[3]关卡对接!F283)</f>
        <v>1750</v>
      </c>
      <c r="L295" s="12">
        <f t="shared" si="47"/>
        <v>1.2</v>
      </c>
      <c r="M295" s="12">
        <f>L295/[4]货币基础!$B$4</f>
        <v>120</v>
      </c>
      <c r="N295" s="12">
        <f>IF(A295&lt;[3]关卡对接!$A$4,INDEX([3]关卡对接!$E$7:$E$141,A295),MATCH(E295,人物经验!$H$24:$H$573,1))</f>
        <v>267</v>
      </c>
      <c r="O295" s="12">
        <f>INDEX([2]关卡!$G$6:$G$2005,A295)</f>
        <v>3</v>
      </c>
      <c r="P295" s="13">
        <v>6</v>
      </c>
      <c r="Q295" s="12">
        <f>INT(P295/$S$15/O295*VLOOKUP(J295,[1]人物技能基础!$N$3:$O$553,2,0)*$U$15)</f>
        <v>9</v>
      </c>
      <c r="R295" s="12">
        <f t="shared" si="48"/>
        <v>112</v>
      </c>
    </row>
    <row r="296" spans="1:18" x14ac:dyDescent="0.15">
      <c r="A296" s="12">
        <v>278</v>
      </c>
      <c r="B296" s="12">
        <f t="shared" si="42"/>
        <v>2</v>
      </c>
      <c r="C296" s="12">
        <f t="shared" si="43"/>
        <v>0.73242000000000007</v>
      </c>
      <c r="D296" s="12">
        <f t="shared" si="44"/>
        <v>9.7749999999999782E-3</v>
      </c>
      <c r="E296" s="12">
        <f>SUM($D$19:D296)</f>
        <v>1.9324200000000005</v>
      </c>
      <c r="F296" s="12">
        <f t="shared" si="40"/>
        <v>19.718832815359004</v>
      </c>
      <c r="G296" s="12">
        <f t="shared" si="41"/>
        <v>22.236456448895005</v>
      </c>
      <c r="H296" s="12">
        <f t="shared" si="45"/>
        <v>70900</v>
      </c>
      <c r="I296" s="12">
        <f t="shared" si="46"/>
        <v>80000</v>
      </c>
      <c r="J296" s="12">
        <f>IF(A296&lt;[3]关卡对接!$A$4,INDEX([3]关卡对接!$C$7:$C$141,A296),MATCH(E296,人物经验!$H$24:$H$573,1))</f>
        <v>267</v>
      </c>
      <c r="K296" s="12">
        <f>IF([3]关卡对接!F284="",INT(INDEX(人物经验!$J$24:$J$573,关卡!J296)*关卡!$S$7),[3]关卡对接!F284)</f>
        <v>1750</v>
      </c>
      <c r="L296" s="12">
        <f t="shared" si="47"/>
        <v>1.2</v>
      </c>
      <c r="M296" s="12">
        <f>L296/[4]货币基础!$B$4</f>
        <v>120</v>
      </c>
      <c r="N296" s="12">
        <f>IF(A296&lt;[3]关卡对接!$A$4,INDEX([3]关卡对接!$E$7:$E$141,A296),MATCH(E296,人物经验!$H$24:$H$573,1))</f>
        <v>267</v>
      </c>
      <c r="O296" s="12">
        <f>INDEX([2]关卡!$G$6:$G$2005,A296)</f>
        <v>3</v>
      </c>
      <c r="P296" s="13">
        <v>6</v>
      </c>
      <c r="Q296" s="12">
        <f>INT(P296/$S$15/O296*VLOOKUP(J296,[1]人物技能基础!$N$3:$O$553,2,0)*$U$15)</f>
        <v>9</v>
      </c>
      <c r="R296" s="12">
        <f t="shared" si="48"/>
        <v>112</v>
      </c>
    </row>
    <row r="297" spans="1:18" x14ac:dyDescent="0.15">
      <c r="A297" s="12">
        <v>279</v>
      </c>
      <c r="B297" s="12">
        <f t="shared" si="42"/>
        <v>2</v>
      </c>
      <c r="C297" s="12">
        <f t="shared" si="43"/>
        <v>0.74220500000000011</v>
      </c>
      <c r="D297" s="12">
        <f t="shared" si="44"/>
        <v>9.7850000000000437E-3</v>
      </c>
      <c r="E297" s="12">
        <f>SUM($D$19:D297)</f>
        <v>1.9422050000000004</v>
      </c>
      <c r="F297" s="12">
        <f t="shared" si="40"/>
        <v>19.807563293194942</v>
      </c>
      <c r="G297" s="12">
        <f t="shared" si="41"/>
        <v>22.312219857605935</v>
      </c>
      <c r="H297" s="12">
        <f t="shared" si="45"/>
        <v>71300</v>
      </c>
      <c r="I297" s="12">
        <f t="shared" si="46"/>
        <v>80300</v>
      </c>
      <c r="J297" s="12">
        <f>IF(A297&lt;[3]关卡对接!$A$4,INDEX([3]关卡对接!$C$7:$C$141,A297),MATCH(E297,人物经验!$H$24:$H$573,1))</f>
        <v>267</v>
      </c>
      <c r="K297" s="12">
        <f>IF([3]关卡对接!F285="",INT(INDEX(人物经验!$J$24:$J$573,关卡!J297)*关卡!$S$7),[3]关卡对接!F285)</f>
        <v>1750</v>
      </c>
      <c r="L297" s="12">
        <f t="shared" si="47"/>
        <v>1.2</v>
      </c>
      <c r="M297" s="12">
        <f>L297/[4]货币基础!$B$4</f>
        <v>120</v>
      </c>
      <c r="N297" s="12">
        <f>IF(A297&lt;[3]关卡对接!$A$4,INDEX([3]关卡对接!$E$7:$E$141,A297),MATCH(E297,人物经验!$H$24:$H$573,1))</f>
        <v>267</v>
      </c>
      <c r="O297" s="12">
        <f>INDEX([2]关卡!$G$6:$G$2005,A297)</f>
        <v>3</v>
      </c>
      <c r="P297" s="13">
        <v>6</v>
      </c>
      <c r="Q297" s="12">
        <f>INT(P297/$S$15/O297*VLOOKUP(J297,[1]人物技能基础!$N$3:$O$553,2,0)*$U$15)</f>
        <v>9</v>
      </c>
      <c r="R297" s="12">
        <f t="shared" si="48"/>
        <v>112</v>
      </c>
    </row>
    <row r="298" spans="1:18" x14ac:dyDescent="0.15">
      <c r="A298" s="12">
        <v>280</v>
      </c>
      <c r="B298" s="12">
        <f t="shared" si="42"/>
        <v>2</v>
      </c>
      <c r="C298" s="12">
        <f t="shared" si="43"/>
        <v>0.75200000000000011</v>
      </c>
      <c r="D298" s="12">
        <f t="shared" si="44"/>
        <v>9.7949999999999982E-3</v>
      </c>
      <c r="E298" s="12">
        <f>SUM($D$19:D298)</f>
        <v>1.9520000000000004</v>
      </c>
      <c r="F298" s="12">
        <f t="shared" si="40"/>
        <v>19.896479840000001</v>
      </c>
      <c r="G298" s="12">
        <f t="shared" si="41"/>
        <v>22.388095200000006</v>
      </c>
      <c r="H298" s="12">
        <f t="shared" si="45"/>
        <v>71600</v>
      </c>
      <c r="I298" s="12">
        <f t="shared" si="46"/>
        <v>80500</v>
      </c>
      <c r="J298" s="12">
        <f>IF(A298&lt;[3]关卡对接!$A$4,INDEX([3]关卡对接!$C$7:$C$141,A298),MATCH(E298,人物经验!$H$24:$H$573,1))</f>
        <v>267</v>
      </c>
      <c r="K298" s="12">
        <f>IF([3]关卡对接!F286="",INT(INDEX(人物经验!$J$24:$J$573,关卡!J298)*关卡!$S$7),[3]关卡对接!F286)</f>
        <v>1750</v>
      </c>
      <c r="L298" s="12">
        <f t="shared" si="47"/>
        <v>1.2</v>
      </c>
      <c r="M298" s="12">
        <f>L298/[4]货币基础!$B$4</f>
        <v>120</v>
      </c>
      <c r="N298" s="12">
        <f>IF(A298&lt;[3]关卡对接!$A$4,INDEX([3]关卡对接!$E$7:$E$141,A298),MATCH(E298,人物经验!$H$24:$H$573,1))</f>
        <v>267</v>
      </c>
      <c r="O298" s="12">
        <f>INDEX([2]关卡!$G$6:$G$2005,A298)</f>
        <v>3</v>
      </c>
      <c r="P298" s="13">
        <v>6</v>
      </c>
      <c r="Q298" s="12">
        <f>INT(P298/$S$15/O298*VLOOKUP(J298,[1]人物技能基础!$N$3:$O$553,2,0)*$U$15)</f>
        <v>9</v>
      </c>
      <c r="R298" s="12">
        <f t="shared" si="48"/>
        <v>112</v>
      </c>
    </row>
    <row r="299" spans="1:18" x14ac:dyDescent="0.15">
      <c r="A299" s="12">
        <v>281</v>
      </c>
      <c r="B299" s="12">
        <f t="shared" si="42"/>
        <v>2</v>
      </c>
      <c r="C299" s="12">
        <f t="shared" si="43"/>
        <v>0.76180500000000007</v>
      </c>
      <c r="D299" s="12">
        <f t="shared" si="44"/>
        <v>9.8049999999999526E-3</v>
      </c>
      <c r="E299" s="12">
        <f>SUM($D$19:D299)</f>
        <v>1.9618050000000005</v>
      </c>
      <c r="F299" s="12">
        <f t="shared" si="40"/>
        <v>19.985582848054939</v>
      </c>
      <c r="G299" s="12">
        <f t="shared" si="41"/>
        <v>22.464082628405937</v>
      </c>
      <c r="H299" s="12">
        <f t="shared" si="45"/>
        <v>71900</v>
      </c>
      <c r="I299" s="12">
        <f t="shared" si="46"/>
        <v>80800</v>
      </c>
      <c r="J299" s="12">
        <f>IF(A299&lt;[3]关卡对接!$A$4,INDEX([3]关卡对接!$C$7:$C$141,A299),MATCH(E299,人物经验!$H$24:$H$573,1))</f>
        <v>268</v>
      </c>
      <c r="K299" s="12">
        <f>IF([3]关卡对接!F287="",INT(INDEX(人物经验!$J$24:$J$573,关卡!J299)*关卡!$S$7),[3]关卡对接!F287)</f>
        <v>1790</v>
      </c>
      <c r="L299" s="12">
        <f t="shared" si="47"/>
        <v>1.2</v>
      </c>
      <c r="M299" s="12">
        <f>L299/[4]货币基础!$B$4</f>
        <v>120</v>
      </c>
      <c r="N299" s="12">
        <f>IF(A299&lt;[3]关卡对接!$A$4,INDEX([3]关卡对接!$E$7:$E$141,A299),MATCH(E299,人物经验!$H$24:$H$573,1))</f>
        <v>268</v>
      </c>
      <c r="O299" s="12">
        <f>INDEX([2]关卡!$G$6:$G$2005,A299)</f>
        <v>3</v>
      </c>
      <c r="P299" s="13">
        <v>6</v>
      </c>
      <c r="Q299" s="12">
        <f>INT(P299/$S$15/O299*VLOOKUP(J299,[1]人物技能基础!$N$3:$O$553,2,0)*$U$15)</f>
        <v>9</v>
      </c>
      <c r="R299" s="12">
        <f t="shared" si="48"/>
        <v>112</v>
      </c>
    </row>
    <row r="300" spans="1:18" x14ac:dyDescent="0.15">
      <c r="A300" s="12">
        <v>282</v>
      </c>
      <c r="B300" s="12">
        <f t="shared" si="42"/>
        <v>2</v>
      </c>
      <c r="C300" s="12">
        <f t="shared" si="43"/>
        <v>0.77161999999999997</v>
      </c>
      <c r="D300" s="12">
        <f t="shared" si="44"/>
        <v>9.8149999999999071E-3</v>
      </c>
      <c r="E300" s="12">
        <f>SUM($D$19:D300)</f>
        <v>1.9716200000000004</v>
      </c>
      <c r="F300" s="12">
        <f t="shared" si="40"/>
        <v>20.074872710238996</v>
      </c>
      <c r="G300" s="12">
        <f t="shared" si="41"/>
        <v>22.540182295295001</v>
      </c>
      <c r="H300" s="12">
        <f t="shared" si="45"/>
        <v>72200</v>
      </c>
      <c r="I300" s="12">
        <f t="shared" si="46"/>
        <v>81100</v>
      </c>
      <c r="J300" s="12">
        <f>IF(A300&lt;[3]关卡对接!$A$4,INDEX([3]关卡对接!$C$7:$C$141,A300),MATCH(E300,人物经验!$H$24:$H$573,1))</f>
        <v>268</v>
      </c>
      <c r="K300" s="12">
        <f>IF([3]关卡对接!F288="",INT(INDEX(人物经验!$J$24:$J$573,关卡!J300)*关卡!$S$7),[3]关卡对接!F288)</f>
        <v>1790</v>
      </c>
      <c r="L300" s="12">
        <f t="shared" si="47"/>
        <v>1.2</v>
      </c>
      <c r="M300" s="12">
        <f>L300/[4]货币基础!$B$4</f>
        <v>120</v>
      </c>
      <c r="N300" s="12">
        <f>IF(A300&lt;[3]关卡对接!$A$4,INDEX([3]关卡对接!$E$7:$E$141,A300),MATCH(E300,人物经验!$H$24:$H$573,1))</f>
        <v>268</v>
      </c>
      <c r="O300" s="12">
        <f>INDEX([2]关卡!$G$6:$G$2005,A300)</f>
        <v>3</v>
      </c>
      <c r="P300" s="13">
        <v>6</v>
      </c>
      <c r="Q300" s="12">
        <f>INT(P300/$S$15/O300*VLOOKUP(J300,[1]人物技能基础!$N$3:$O$553,2,0)*$U$15)</f>
        <v>9</v>
      </c>
      <c r="R300" s="12">
        <f t="shared" si="48"/>
        <v>112</v>
      </c>
    </row>
    <row r="301" spans="1:18" x14ac:dyDescent="0.15">
      <c r="A301" s="12">
        <v>283</v>
      </c>
      <c r="B301" s="12">
        <f t="shared" si="42"/>
        <v>2</v>
      </c>
      <c r="C301" s="12">
        <f t="shared" si="43"/>
        <v>0.78144499999999995</v>
      </c>
      <c r="D301" s="12">
        <f t="shared" si="44"/>
        <v>9.8249999999999726E-3</v>
      </c>
      <c r="E301" s="12">
        <f>SUM($D$19:D301)</f>
        <v>1.9814450000000003</v>
      </c>
      <c r="F301" s="12">
        <f t="shared" si="40"/>
        <v>20.164349820029937</v>
      </c>
      <c r="G301" s="12">
        <f t="shared" si="41"/>
        <v>22.616394353280935</v>
      </c>
      <c r="H301" s="12">
        <f t="shared" si="45"/>
        <v>72500</v>
      </c>
      <c r="I301" s="12">
        <f t="shared" si="46"/>
        <v>81400</v>
      </c>
      <c r="J301" s="12">
        <f>IF(A301&lt;[3]关卡对接!$A$4,INDEX([3]关卡对接!$C$7:$C$141,A301),MATCH(E301,人物经验!$H$24:$H$573,1))</f>
        <v>268</v>
      </c>
      <c r="K301" s="12">
        <f>IF([3]关卡对接!F289="",INT(INDEX(人物经验!$J$24:$J$573,关卡!J301)*关卡!$S$7),[3]关卡对接!F289)</f>
        <v>1790</v>
      </c>
      <c r="L301" s="12">
        <f t="shared" si="47"/>
        <v>1.2</v>
      </c>
      <c r="M301" s="12">
        <f>L301/[4]货币基础!$B$4</f>
        <v>120</v>
      </c>
      <c r="N301" s="12">
        <f>IF(A301&lt;[3]关卡对接!$A$4,INDEX([3]关卡对接!$E$7:$E$141,A301),MATCH(E301,人物经验!$H$24:$H$573,1))</f>
        <v>268</v>
      </c>
      <c r="O301" s="12">
        <f>INDEX([2]关卡!$G$6:$G$2005,A301)</f>
        <v>3</v>
      </c>
      <c r="P301" s="13">
        <v>6</v>
      </c>
      <c r="Q301" s="12">
        <f>INT(P301/$S$15/O301*VLOOKUP(J301,[1]人物技能基础!$N$3:$O$553,2,0)*$U$15)</f>
        <v>9</v>
      </c>
      <c r="R301" s="12">
        <f t="shared" si="48"/>
        <v>112</v>
      </c>
    </row>
    <row r="302" spans="1:18" x14ac:dyDescent="0.15">
      <c r="A302" s="12">
        <v>284</v>
      </c>
      <c r="B302" s="12">
        <f t="shared" si="42"/>
        <v>2</v>
      </c>
      <c r="C302" s="12">
        <f t="shared" si="43"/>
        <v>0.79127999999999998</v>
      </c>
      <c r="D302" s="12">
        <f t="shared" si="44"/>
        <v>9.8350000000000382E-3</v>
      </c>
      <c r="E302" s="12">
        <f>SUM($D$19:D302)</f>
        <v>1.9912800000000004</v>
      </c>
      <c r="F302" s="12">
        <f t="shared" si="40"/>
        <v>20.254014571503998</v>
      </c>
      <c r="G302" s="12">
        <f t="shared" si="41"/>
        <v>22.692718955119997</v>
      </c>
      <c r="H302" s="12">
        <f t="shared" si="45"/>
        <v>72900</v>
      </c>
      <c r="I302" s="12">
        <f t="shared" si="46"/>
        <v>81600</v>
      </c>
      <c r="J302" s="12">
        <f>IF(A302&lt;[3]关卡对接!$A$4,INDEX([3]关卡对接!$C$7:$C$141,A302),MATCH(E302,人物经验!$H$24:$H$573,1))</f>
        <v>268</v>
      </c>
      <c r="K302" s="12">
        <f>IF([3]关卡对接!F290="",INT(INDEX(人物经验!$J$24:$J$573,关卡!J302)*关卡!$S$7),[3]关卡对接!F290)</f>
        <v>1790</v>
      </c>
      <c r="L302" s="12">
        <f t="shared" si="47"/>
        <v>1.2</v>
      </c>
      <c r="M302" s="12">
        <f>L302/[4]货币基础!$B$4</f>
        <v>120</v>
      </c>
      <c r="N302" s="12">
        <f>IF(A302&lt;[3]关卡对接!$A$4,INDEX([3]关卡对接!$E$7:$E$141,A302),MATCH(E302,人物经验!$H$24:$H$573,1))</f>
        <v>268</v>
      </c>
      <c r="O302" s="12">
        <f>INDEX([2]关卡!$G$6:$G$2005,A302)</f>
        <v>3</v>
      </c>
      <c r="P302" s="13">
        <v>6</v>
      </c>
      <c r="Q302" s="12">
        <f>INT(P302/$S$15/O302*VLOOKUP(J302,[1]人物技能基础!$N$3:$O$553,2,0)*$U$15)</f>
        <v>9</v>
      </c>
      <c r="R302" s="12">
        <f t="shared" si="48"/>
        <v>112</v>
      </c>
    </row>
    <row r="303" spans="1:18" x14ac:dyDescent="0.15">
      <c r="A303" s="12">
        <v>285</v>
      </c>
      <c r="B303" s="12">
        <f t="shared" si="42"/>
        <v>2</v>
      </c>
      <c r="C303" s="12">
        <f t="shared" si="43"/>
        <v>0.80112499999999998</v>
      </c>
      <c r="D303" s="12">
        <f t="shared" si="44"/>
        <v>9.8449999999999926E-3</v>
      </c>
      <c r="E303" s="12">
        <f>SUM($D$19:D303)</f>
        <v>2.0011250000000005</v>
      </c>
      <c r="F303" s="12">
        <f t="shared" si="40"/>
        <v>20.343867359335935</v>
      </c>
      <c r="G303" s="12">
        <f t="shared" si="41"/>
        <v>22.769156253710936</v>
      </c>
      <c r="H303" s="12">
        <f t="shared" si="45"/>
        <v>73200</v>
      </c>
      <c r="I303" s="12">
        <f t="shared" si="46"/>
        <v>81900</v>
      </c>
      <c r="J303" s="12">
        <f>IF(A303&lt;[3]关卡对接!$A$4,INDEX([3]关卡对接!$C$7:$C$141,A303),MATCH(E303,人物经验!$H$24:$H$573,1))</f>
        <v>269</v>
      </c>
      <c r="K303" s="12">
        <f>IF([3]关卡对接!F291="",INT(INDEX(人物经验!$J$24:$J$573,关卡!J303)*关卡!$S$7),[3]关卡对接!F291)</f>
        <v>1822</v>
      </c>
      <c r="L303" s="12">
        <f t="shared" si="47"/>
        <v>1.2</v>
      </c>
      <c r="M303" s="12">
        <f>L303/[4]货币基础!$B$4</f>
        <v>120</v>
      </c>
      <c r="N303" s="12">
        <f>IF(A303&lt;[3]关卡对接!$A$4,INDEX([3]关卡对接!$E$7:$E$141,A303),MATCH(E303,人物经验!$H$24:$H$573,1))</f>
        <v>269</v>
      </c>
      <c r="O303" s="12">
        <f>INDEX([2]关卡!$G$6:$G$2005,A303)</f>
        <v>3</v>
      </c>
      <c r="P303" s="13">
        <v>6</v>
      </c>
      <c r="Q303" s="12">
        <f>INT(P303/$S$15/O303*VLOOKUP(J303,[1]人物技能基础!$N$3:$O$553,2,0)*$U$15)</f>
        <v>9</v>
      </c>
      <c r="R303" s="12">
        <f t="shared" si="48"/>
        <v>112</v>
      </c>
    </row>
    <row r="304" spans="1:18" x14ac:dyDescent="0.15">
      <c r="A304" s="12">
        <v>286</v>
      </c>
      <c r="B304" s="12">
        <f t="shared" si="42"/>
        <v>2</v>
      </c>
      <c r="C304" s="12">
        <f t="shared" si="43"/>
        <v>0.81098000000000003</v>
      </c>
      <c r="D304" s="12">
        <f t="shared" si="44"/>
        <v>9.8550000000000582E-3</v>
      </c>
      <c r="E304" s="12">
        <f>SUM($D$19:D304)</f>
        <v>2.0109800000000004</v>
      </c>
      <c r="F304" s="12">
        <f t="shared" si="40"/>
        <v>20.433908578798995</v>
      </c>
      <c r="G304" s="12">
        <f t="shared" si="41"/>
        <v>22.845706402095001</v>
      </c>
      <c r="H304" s="12">
        <f t="shared" si="45"/>
        <v>73500</v>
      </c>
      <c r="I304" s="12">
        <f t="shared" si="46"/>
        <v>82200</v>
      </c>
      <c r="J304" s="12">
        <f>IF(A304&lt;[3]关卡对接!$A$4,INDEX([3]关卡对接!$C$7:$C$141,A304),MATCH(E304,人物经验!$H$24:$H$573,1))</f>
        <v>269</v>
      </c>
      <c r="K304" s="12">
        <f>IF([3]关卡对接!F292="",INT(INDEX(人物经验!$J$24:$J$573,关卡!J304)*关卡!$S$7),[3]关卡对接!F292)</f>
        <v>1822</v>
      </c>
      <c r="L304" s="12">
        <f t="shared" si="47"/>
        <v>1.2</v>
      </c>
      <c r="M304" s="12">
        <f>L304/[4]货币基础!$B$4</f>
        <v>120</v>
      </c>
      <c r="N304" s="12">
        <f>IF(A304&lt;[3]关卡对接!$A$4,INDEX([3]关卡对接!$E$7:$E$141,A304),MATCH(E304,人物经验!$H$24:$H$573,1))</f>
        <v>269</v>
      </c>
      <c r="O304" s="12">
        <f>INDEX([2]关卡!$G$6:$G$2005,A304)</f>
        <v>3</v>
      </c>
      <c r="P304" s="13">
        <v>6</v>
      </c>
      <c r="Q304" s="12">
        <f>INT(P304/$S$15/O304*VLOOKUP(J304,[1]人物技能基础!$N$3:$O$553,2,0)*$U$15)</f>
        <v>9</v>
      </c>
      <c r="R304" s="12">
        <f t="shared" si="48"/>
        <v>112</v>
      </c>
    </row>
    <row r="305" spans="1:18" x14ac:dyDescent="0.15">
      <c r="A305" s="12">
        <v>287</v>
      </c>
      <c r="B305" s="12">
        <f t="shared" si="42"/>
        <v>2</v>
      </c>
      <c r="C305" s="12">
        <f t="shared" si="43"/>
        <v>0.82084500000000005</v>
      </c>
      <c r="D305" s="12">
        <f t="shared" si="44"/>
        <v>9.8650000000000126E-3</v>
      </c>
      <c r="E305" s="12">
        <f>SUM($D$19:D305)</f>
        <v>2.0208450000000004</v>
      </c>
      <c r="F305" s="12">
        <f t="shared" si="40"/>
        <v>20.524138625764934</v>
      </c>
      <c r="G305" s="12">
        <f t="shared" si="41"/>
        <v>22.92236955345594</v>
      </c>
      <c r="H305" s="12">
        <f t="shared" si="45"/>
        <v>73800</v>
      </c>
      <c r="I305" s="12">
        <f t="shared" si="46"/>
        <v>82500</v>
      </c>
      <c r="J305" s="12">
        <f>IF(A305&lt;[3]关卡对接!$A$4,INDEX([3]关卡对接!$C$7:$C$141,A305),MATCH(E305,人物经验!$H$24:$H$573,1))</f>
        <v>269</v>
      </c>
      <c r="K305" s="12">
        <f>IF([3]关卡对接!F293="",INT(INDEX(人物经验!$J$24:$J$573,关卡!J305)*关卡!$S$7),[3]关卡对接!F293)</f>
        <v>1822</v>
      </c>
      <c r="L305" s="12">
        <f t="shared" si="47"/>
        <v>1.2</v>
      </c>
      <c r="M305" s="12">
        <f>L305/[4]货币基础!$B$4</f>
        <v>120</v>
      </c>
      <c r="N305" s="12">
        <f>IF(A305&lt;[3]关卡对接!$A$4,INDEX([3]关卡对接!$E$7:$E$141,A305),MATCH(E305,人物经验!$H$24:$H$573,1))</f>
        <v>269</v>
      </c>
      <c r="O305" s="12">
        <f>INDEX([2]关卡!$G$6:$G$2005,A305)</f>
        <v>3</v>
      </c>
      <c r="P305" s="13">
        <v>6</v>
      </c>
      <c r="Q305" s="12">
        <f>INT(P305/$S$15/O305*VLOOKUP(J305,[1]人物技能基础!$N$3:$O$553,2,0)*$U$15)</f>
        <v>9</v>
      </c>
      <c r="R305" s="12">
        <f t="shared" si="48"/>
        <v>112</v>
      </c>
    </row>
    <row r="306" spans="1:18" x14ac:dyDescent="0.15">
      <c r="A306" s="12">
        <v>288</v>
      </c>
      <c r="B306" s="12">
        <f t="shared" si="42"/>
        <v>2</v>
      </c>
      <c r="C306" s="12">
        <f t="shared" si="43"/>
        <v>0.83072000000000001</v>
      </c>
      <c r="D306" s="12">
        <f t="shared" si="44"/>
        <v>9.8749999999999671E-3</v>
      </c>
      <c r="E306" s="12">
        <f>SUM($D$19:D306)</f>
        <v>2.0307200000000005</v>
      </c>
      <c r="F306" s="12">
        <f t="shared" si="40"/>
        <v>20.614557896704003</v>
      </c>
      <c r="G306" s="12">
        <f t="shared" si="41"/>
        <v>22.999145861119999</v>
      </c>
      <c r="H306" s="12">
        <f t="shared" si="45"/>
        <v>74200</v>
      </c>
      <c r="I306" s="12">
        <f t="shared" si="46"/>
        <v>82700</v>
      </c>
      <c r="J306" s="12">
        <f>IF(A306&lt;[3]关卡对接!$A$4,INDEX([3]关卡对接!$C$7:$C$141,A306),MATCH(E306,人物经验!$H$24:$H$573,1))</f>
        <v>269</v>
      </c>
      <c r="K306" s="12">
        <f>IF([3]关卡对接!F294="",INT(INDEX(人物经验!$J$24:$J$573,关卡!J306)*关卡!$S$7),[3]关卡对接!F294)</f>
        <v>1822</v>
      </c>
      <c r="L306" s="12">
        <f t="shared" si="47"/>
        <v>1.2</v>
      </c>
      <c r="M306" s="12">
        <f>L306/[4]货币基础!$B$4</f>
        <v>120</v>
      </c>
      <c r="N306" s="12">
        <f>IF(A306&lt;[3]关卡对接!$A$4,INDEX([3]关卡对接!$E$7:$E$141,A306),MATCH(E306,人物经验!$H$24:$H$573,1))</f>
        <v>269</v>
      </c>
      <c r="O306" s="12">
        <f>INDEX([2]关卡!$G$6:$G$2005,A306)</f>
        <v>3</v>
      </c>
      <c r="P306" s="13">
        <v>6</v>
      </c>
      <c r="Q306" s="12">
        <f>INT(P306/$S$15/O306*VLOOKUP(J306,[1]人物技能基础!$N$3:$O$553,2,0)*$U$15)</f>
        <v>9</v>
      </c>
      <c r="R306" s="12">
        <f t="shared" si="48"/>
        <v>112</v>
      </c>
    </row>
    <row r="307" spans="1:18" x14ac:dyDescent="0.15">
      <c r="A307" s="12">
        <v>289</v>
      </c>
      <c r="B307" s="12">
        <f t="shared" si="42"/>
        <v>2</v>
      </c>
      <c r="C307" s="12">
        <f t="shared" si="43"/>
        <v>0.84060500000000005</v>
      </c>
      <c r="D307" s="12">
        <f t="shared" si="44"/>
        <v>9.8850000000000326E-3</v>
      </c>
      <c r="E307" s="12">
        <f>SUM($D$19:D307)</f>
        <v>2.0406050000000007</v>
      </c>
      <c r="F307" s="12">
        <f t="shared" si="40"/>
        <v>20.705166788684938</v>
      </c>
      <c r="G307" s="12">
        <f t="shared" si="41"/>
        <v>23.076035478555941</v>
      </c>
      <c r="H307" s="12">
        <f t="shared" si="45"/>
        <v>74500</v>
      </c>
      <c r="I307" s="12">
        <f t="shared" si="46"/>
        <v>83000</v>
      </c>
      <c r="J307" s="12">
        <f>IF(A307&lt;[3]关卡对接!$A$4,INDEX([3]关卡对接!$C$7:$C$141,A307),MATCH(E307,人物经验!$H$24:$H$573,1))</f>
        <v>269</v>
      </c>
      <c r="K307" s="12">
        <f>IF([3]关卡对接!F295="",INT(INDEX(人物经验!$J$24:$J$573,关卡!J307)*关卡!$S$7),[3]关卡对接!F295)</f>
        <v>1822</v>
      </c>
      <c r="L307" s="12">
        <f t="shared" si="47"/>
        <v>1.2</v>
      </c>
      <c r="M307" s="12">
        <f>L307/[4]货币基础!$B$4</f>
        <v>120</v>
      </c>
      <c r="N307" s="12">
        <f>IF(A307&lt;[3]关卡对接!$A$4,INDEX([3]关卡对接!$E$7:$E$141,A307),MATCH(E307,人物经验!$H$24:$H$573,1))</f>
        <v>269</v>
      </c>
      <c r="O307" s="12">
        <f>INDEX([2]关卡!$G$6:$G$2005,A307)</f>
        <v>3</v>
      </c>
      <c r="P307" s="13">
        <v>6</v>
      </c>
      <c r="Q307" s="12">
        <f>INT(P307/$S$15/O307*VLOOKUP(J307,[1]人物技能基础!$N$3:$O$553,2,0)*$U$15)</f>
        <v>9</v>
      </c>
      <c r="R307" s="12">
        <f t="shared" si="48"/>
        <v>112</v>
      </c>
    </row>
    <row r="308" spans="1:18" x14ac:dyDescent="0.15">
      <c r="A308" s="12">
        <v>290</v>
      </c>
      <c r="B308" s="12">
        <f t="shared" si="42"/>
        <v>2</v>
      </c>
      <c r="C308" s="12">
        <f t="shared" si="43"/>
        <v>0.85050000000000003</v>
      </c>
      <c r="D308" s="12">
        <f t="shared" si="44"/>
        <v>9.8949999999999871E-3</v>
      </c>
      <c r="E308" s="12">
        <f>SUM($D$19:D308)</f>
        <v>2.0505000000000004</v>
      </c>
      <c r="F308" s="12">
        <f t="shared" si="40"/>
        <v>20.795965699375003</v>
      </c>
      <c r="G308" s="12">
        <f t="shared" si="41"/>
        <v>23.153038559375002</v>
      </c>
      <c r="H308" s="12">
        <f t="shared" si="45"/>
        <v>74800</v>
      </c>
      <c r="I308" s="12">
        <f t="shared" si="46"/>
        <v>83300</v>
      </c>
      <c r="J308" s="12">
        <f>IF(A308&lt;[3]关卡对接!$A$4,INDEX([3]关卡对接!$C$7:$C$141,A308),MATCH(E308,人物经验!$H$24:$H$573,1))</f>
        <v>270</v>
      </c>
      <c r="K308" s="12">
        <f>IF([3]关卡对接!F296="",INT(INDEX(人物经验!$J$24:$J$573,关卡!J308)*关卡!$S$7),[3]关卡对接!F296)</f>
        <v>1863</v>
      </c>
      <c r="L308" s="12">
        <f t="shared" si="47"/>
        <v>1.2</v>
      </c>
      <c r="M308" s="12">
        <f>L308/[4]货币基础!$B$4</f>
        <v>120</v>
      </c>
      <c r="N308" s="12">
        <f>IF(A308&lt;[3]关卡对接!$A$4,INDEX([3]关卡对接!$E$7:$E$141,A308),MATCH(E308,人物经验!$H$24:$H$573,1))</f>
        <v>270</v>
      </c>
      <c r="O308" s="12">
        <f>INDEX([2]关卡!$G$6:$G$2005,A308)</f>
        <v>3</v>
      </c>
      <c r="P308" s="13">
        <v>6</v>
      </c>
      <c r="Q308" s="12">
        <f>INT(P308/$S$15/O308*VLOOKUP(J308,[1]人物技能基础!$N$3:$O$553,2,0)*$U$15)</f>
        <v>9</v>
      </c>
      <c r="R308" s="12">
        <f t="shared" si="48"/>
        <v>112</v>
      </c>
    </row>
    <row r="309" spans="1:18" x14ac:dyDescent="0.15">
      <c r="A309" s="12">
        <v>291</v>
      </c>
      <c r="B309" s="12">
        <f t="shared" si="42"/>
        <v>2</v>
      </c>
      <c r="C309" s="12">
        <f t="shared" si="43"/>
        <v>0.86040500000000009</v>
      </c>
      <c r="D309" s="12">
        <f t="shared" si="44"/>
        <v>9.9050000000000527E-3</v>
      </c>
      <c r="E309" s="12">
        <f>SUM($D$19:D309)</f>
        <v>2.0604050000000003</v>
      </c>
      <c r="F309" s="12">
        <f t="shared" si="40"/>
        <v>20.886955027039939</v>
      </c>
      <c r="G309" s="12">
        <f t="shared" si="41"/>
        <v>23.230155257330935</v>
      </c>
      <c r="H309" s="12">
        <f t="shared" si="45"/>
        <v>75100</v>
      </c>
      <c r="I309" s="12">
        <f t="shared" si="46"/>
        <v>83600</v>
      </c>
      <c r="J309" s="12">
        <f>IF(A309&lt;[3]关卡对接!$A$4,INDEX([3]关卡对接!$C$7:$C$141,A309),MATCH(E309,人物经验!$H$24:$H$573,1))</f>
        <v>270</v>
      </c>
      <c r="K309" s="12">
        <f>IF([3]关卡对接!F297="",INT(INDEX(人物经验!$J$24:$J$573,关卡!J309)*关卡!$S$7),[3]关卡对接!F297)</f>
        <v>1863</v>
      </c>
      <c r="L309" s="12">
        <f t="shared" si="47"/>
        <v>1.2</v>
      </c>
      <c r="M309" s="12">
        <f>L309/[4]货币基础!$B$4</f>
        <v>120</v>
      </c>
      <c r="N309" s="12">
        <f>IF(A309&lt;[3]关卡对接!$A$4,INDEX([3]关卡对接!$E$7:$E$141,A309),MATCH(E309,人物经验!$H$24:$H$573,1))</f>
        <v>270</v>
      </c>
      <c r="O309" s="12">
        <f>INDEX([2]关卡!$G$6:$G$2005,A309)</f>
        <v>3</v>
      </c>
      <c r="P309" s="13">
        <v>6</v>
      </c>
      <c r="Q309" s="12">
        <f>INT(P309/$S$15/O309*VLOOKUP(J309,[1]人物技能基础!$N$3:$O$553,2,0)*$U$15)</f>
        <v>9</v>
      </c>
      <c r="R309" s="12">
        <f t="shared" si="48"/>
        <v>112</v>
      </c>
    </row>
    <row r="310" spans="1:18" x14ac:dyDescent="0.15">
      <c r="A310" s="12">
        <v>292</v>
      </c>
      <c r="B310" s="12">
        <f t="shared" si="42"/>
        <v>2</v>
      </c>
      <c r="C310" s="12">
        <f t="shared" si="43"/>
        <v>0.87032000000000009</v>
      </c>
      <c r="D310" s="12">
        <f t="shared" si="44"/>
        <v>9.9150000000000071E-3</v>
      </c>
      <c r="E310" s="12">
        <f>SUM($D$19:D310)</f>
        <v>2.0703200000000002</v>
      </c>
      <c r="F310" s="12">
        <f t="shared" si="40"/>
        <v>20.978135170543997</v>
      </c>
      <c r="G310" s="12">
        <f t="shared" si="41"/>
        <v>23.30738572632</v>
      </c>
      <c r="H310" s="12">
        <f t="shared" si="45"/>
        <v>75500</v>
      </c>
      <c r="I310" s="12">
        <f t="shared" si="46"/>
        <v>83900</v>
      </c>
      <c r="J310" s="12">
        <f>IF(A310&lt;[3]关卡对接!$A$4,INDEX([3]关卡对接!$C$7:$C$141,A310),MATCH(E310,人物经验!$H$24:$H$573,1))</f>
        <v>270</v>
      </c>
      <c r="K310" s="12">
        <f>IF([3]关卡对接!F298="",INT(INDEX(人物经验!$J$24:$J$573,关卡!J310)*关卡!$S$7),[3]关卡对接!F298)</f>
        <v>1863</v>
      </c>
      <c r="L310" s="12">
        <f t="shared" si="47"/>
        <v>1.2</v>
      </c>
      <c r="M310" s="12">
        <f>L310/[4]货币基础!$B$4</f>
        <v>120</v>
      </c>
      <c r="N310" s="12">
        <f>IF(A310&lt;[3]关卡对接!$A$4,INDEX([3]关卡对接!$E$7:$E$141,A310),MATCH(E310,人物经验!$H$24:$H$573,1))</f>
        <v>270</v>
      </c>
      <c r="O310" s="12">
        <f>INDEX([2]关卡!$G$6:$G$2005,A310)</f>
        <v>3</v>
      </c>
      <c r="P310" s="13">
        <v>6</v>
      </c>
      <c r="Q310" s="12">
        <f>INT(P310/$S$15/O310*VLOOKUP(J310,[1]人物技能基础!$N$3:$O$553,2,0)*$U$15)</f>
        <v>9</v>
      </c>
      <c r="R310" s="12">
        <f t="shared" si="48"/>
        <v>112</v>
      </c>
    </row>
    <row r="311" spans="1:18" x14ac:dyDescent="0.15">
      <c r="A311" s="12">
        <v>293</v>
      </c>
      <c r="B311" s="12">
        <f t="shared" si="42"/>
        <v>2</v>
      </c>
      <c r="C311" s="12">
        <f t="shared" si="43"/>
        <v>0.88024500000000006</v>
      </c>
      <c r="D311" s="12">
        <f t="shared" si="44"/>
        <v>9.9249999999999616E-3</v>
      </c>
      <c r="E311" s="12">
        <f>SUM($D$19:D311)</f>
        <v>2.0802450000000001</v>
      </c>
      <c r="F311" s="12">
        <f t="shared" si="40"/>
        <v>21.069506529349937</v>
      </c>
      <c r="G311" s="12">
        <f t="shared" si="41"/>
        <v>23.384730120380937</v>
      </c>
      <c r="H311" s="12">
        <f t="shared" si="45"/>
        <v>75800</v>
      </c>
      <c r="I311" s="12">
        <f t="shared" si="46"/>
        <v>84100</v>
      </c>
      <c r="J311" s="12">
        <f>IF(A311&lt;[3]关卡对接!$A$4,INDEX([3]关卡对接!$C$7:$C$141,A311),MATCH(E311,人物经验!$H$24:$H$573,1))</f>
        <v>270</v>
      </c>
      <c r="K311" s="12">
        <f>IF([3]关卡对接!F299="",INT(INDEX(人物经验!$J$24:$J$573,关卡!J311)*关卡!$S$7),[3]关卡对接!F299)</f>
        <v>1863</v>
      </c>
      <c r="L311" s="12">
        <f t="shared" si="47"/>
        <v>1.2</v>
      </c>
      <c r="M311" s="12">
        <f>L311/[4]货币基础!$B$4</f>
        <v>120</v>
      </c>
      <c r="N311" s="12">
        <f>IF(A311&lt;[3]关卡对接!$A$4,INDEX([3]关卡对接!$E$7:$E$141,A311),MATCH(E311,人物经验!$H$24:$H$573,1))</f>
        <v>270</v>
      </c>
      <c r="O311" s="12">
        <f>INDEX([2]关卡!$G$6:$G$2005,A311)</f>
        <v>3</v>
      </c>
      <c r="P311" s="13">
        <v>6</v>
      </c>
      <c r="Q311" s="12">
        <f>INT(P311/$S$15/O311*VLOOKUP(J311,[1]人物技能基础!$N$3:$O$553,2,0)*$U$15)</f>
        <v>9</v>
      </c>
      <c r="R311" s="12">
        <f t="shared" si="48"/>
        <v>112</v>
      </c>
    </row>
    <row r="312" spans="1:18" x14ac:dyDescent="0.15">
      <c r="A312" s="12">
        <v>294</v>
      </c>
      <c r="B312" s="12">
        <f t="shared" si="42"/>
        <v>2</v>
      </c>
      <c r="C312" s="12">
        <f t="shared" si="43"/>
        <v>0.89017999999999997</v>
      </c>
      <c r="D312" s="12">
        <f t="shared" si="44"/>
        <v>9.9349999999999161E-3</v>
      </c>
      <c r="E312" s="12">
        <f>SUM($D$19:D312)</f>
        <v>2.0901800000000001</v>
      </c>
      <c r="F312" s="12">
        <f t="shared" si="40"/>
        <v>21.161069503518998</v>
      </c>
      <c r="G312" s="12">
        <f t="shared" si="41"/>
        <v>23.462188593695</v>
      </c>
      <c r="H312" s="12">
        <f t="shared" si="45"/>
        <v>76100</v>
      </c>
      <c r="I312" s="12">
        <f t="shared" si="46"/>
        <v>84400</v>
      </c>
      <c r="J312" s="12">
        <f>IF(A312&lt;[3]关卡对接!$A$4,INDEX([3]关卡对接!$C$7:$C$141,A312),MATCH(E312,人物经验!$H$24:$H$573,1))</f>
        <v>270</v>
      </c>
      <c r="K312" s="12">
        <f>IF([3]关卡对接!F300="",INT(INDEX(人物经验!$J$24:$J$573,关卡!J312)*关卡!$S$7),[3]关卡对接!F300)</f>
        <v>1863</v>
      </c>
      <c r="L312" s="12">
        <f t="shared" si="47"/>
        <v>1.2</v>
      </c>
      <c r="M312" s="12">
        <f>L312/[4]货币基础!$B$4</f>
        <v>120</v>
      </c>
      <c r="N312" s="12">
        <f>IF(A312&lt;[3]关卡对接!$A$4,INDEX([3]关卡对接!$E$7:$E$141,A312),MATCH(E312,人物经验!$H$24:$H$573,1))</f>
        <v>270</v>
      </c>
      <c r="O312" s="12">
        <f>INDEX([2]关卡!$G$6:$G$2005,A312)</f>
        <v>3</v>
      </c>
      <c r="P312" s="13">
        <v>6</v>
      </c>
      <c r="Q312" s="12">
        <f>INT(P312/$S$15/O312*VLOOKUP(J312,[1]人物技能基础!$N$3:$O$553,2,0)*$U$15)</f>
        <v>9</v>
      </c>
      <c r="R312" s="12">
        <f t="shared" si="48"/>
        <v>112</v>
      </c>
    </row>
    <row r="313" spans="1:18" x14ac:dyDescent="0.15">
      <c r="A313" s="12">
        <v>295</v>
      </c>
      <c r="B313" s="12">
        <f t="shared" si="42"/>
        <v>2</v>
      </c>
      <c r="C313" s="12">
        <f t="shared" si="43"/>
        <v>0.90012499999999995</v>
      </c>
      <c r="D313" s="12">
        <f t="shared" si="44"/>
        <v>9.9449999999999816E-3</v>
      </c>
      <c r="E313" s="12">
        <f>SUM($D$19:D313)</f>
        <v>2.1001250000000002</v>
      </c>
      <c r="F313" s="12">
        <f t="shared" si="40"/>
        <v>21.252824493710939</v>
      </c>
      <c r="G313" s="12">
        <f t="shared" si="41"/>
        <v>23.539761300585941</v>
      </c>
      <c r="H313" s="12">
        <f t="shared" si="45"/>
        <v>76500</v>
      </c>
      <c r="I313" s="12">
        <f t="shared" si="46"/>
        <v>84700</v>
      </c>
      <c r="J313" s="12">
        <f>IF(A313&lt;[3]关卡对接!$A$4,INDEX([3]关卡对接!$C$7:$C$141,A313),MATCH(E313,人物经验!$H$24:$H$573,1))</f>
        <v>271</v>
      </c>
      <c r="K313" s="12">
        <f>IF([3]关卡对接!F301="",INT(INDEX(人物经验!$J$24:$J$573,关卡!J313)*关卡!$S$7),[3]关卡对接!F301)</f>
        <v>1904</v>
      </c>
      <c r="L313" s="12">
        <f t="shared" si="47"/>
        <v>1.2</v>
      </c>
      <c r="M313" s="12">
        <f>L313/[4]货币基础!$B$4</f>
        <v>120</v>
      </c>
      <c r="N313" s="12">
        <f>IF(A313&lt;[3]关卡对接!$A$4,INDEX([3]关卡对接!$E$7:$E$141,A313),MATCH(E313,人物经验!$H$24:$H$573,1))</f>
        <v>271</v>
      </c>
      <c r="O313" s="12">
        <f>INDEX([2]关卡!$G$6:$G$2005,A313)</f>
        <v>3</v>
      </c>
      <c r="P313" s="13">
        <v>6</v>
      </c>
      <c r="Q313" s="12">
        <f>INT(P313/$S$15/O313*VLOOKUP(J313,[1]人物技能基础!$N$3:$O$553,2,0)*$U$15)</f>
        <v>9</v>
      </c>
      <c r="R313" s="12">
        <f t="shared" si="48"/>
        <v>112</v>
      </c>
    </row>
    <row r="314" spans="1:18" x14ac:dyDescent="0.15">
      <c r="A314" s="12">
        <v>296</v>
      </c>
      <c r="B314" s="12">
        <f t="shared" si="42"/>
        <v>2</v>
      </c>
      <c r="C314" s="12">
        <f t="shared" si="43"/>
        <v>0.91008</v>
      </c>
      <c r="D314" s="12">
        <f t="shared" si="44"/>
        <v>9.9550000000000471E-3</v>
      </c>
      <c r="E314" s="12">
        <f>SUM($D$19:D314)</f>
        <v>2.1100800000000004</v>
      </c>
      <c r="F314" s="12">
        <f t="shared" si="40"/>
        <v>21.344771901184</v>
      </c>
      <c r="G314" s="12">
        <f t="shared" si="41"/>
        <v>23.617448395519997</v>
      </c>
      <c r="H314" s="12">
        <f t="shared" si="45"/>
        <v>76800</v>
      </c>
      <c r="I314" s="12">
        <f t="shared" si="46"/>
        <v>85000</v>
      </c>
      <c r="J314" s="12">
        <f>IF(A314&lt;[3]关卡对接!$A$4,INDEX([3]关卡对接!$C$7:$C$141,A314),MATCH(E314,人物经验!$H$24:$H$573,1))</f>
        <v>271</v>
      </c>
      <c r="K314" s="12">
        <f>IF([3]关卡对接!F302="",INT(INDEX(人物经验!$J$24:$J$573,关卡!J314)*关卡!$S$7),[3]关卡对接!F302)</f>
        <v>1904</v>
      </c>
      <c r="L314" s="12">
        <f t="shared" si="47"/>
        <v>1.2</v>
      </c>
      <c r="M314" s="12">
        <f>L314/[4]货币基础!$B$4</f>
        <v>120</v>
      </c>
      <c r="N314" s="12">
        <f>IF(A314&lt;[3]关卡对接!$A$4,INDEX([3]关卡对接!$E$7:$E$141,A314),MATCH(E314,人物经验!$H$24:$H$573,1))</f>
        <v>271</v>
      </c>
      <c r="O314" s="12">
        <f>INDEX([2]关卡!$G$6:$G$2005,A314)</f>
        <v>3</v>
      </c>
      <c r="P314" s="13">
        <v>6</v>
      </c>
      <c r="Q314" s="12">
        <f>INT(P314/$S$15/O314*VLOOKUP(J314,[1]人物技能基础!$N$3:$O$553,2,0)*$U$15)</f>
        <v>9</v>
      </c>
      <c r="R314" s="12">
        <f t="shared" si="48"/>
        <v>112</v>
      </c>
    </row>
    <row r="315" spans="1:18" x14ac:dyDescent="0.15">
      <c r="A315" s="12">
        <v>297</v>
      </c>
      <c r="B315" s="12">
        <f t="shared" si="42"/>
        <v>2</v>
      </c>
      <c r="C315" s="12">
        <f t="shared" si="43"/>
        <v>0.920045</v>
      </c>
      <c r="D315" s="12">
        <f t="shared" si="44"/>
        <v>9.9650000000000016E-3</v>
      </c>
      <c r="E315" s="12">
        <f>SUM($D$19:D315)</f>
        <v>2.1200450000000002</v>
      </c>
      <c r="F315" s="12">
        <f t="shared" si="40"/>
        <v>21.436912127794937</v>
      </c>
      <c r="G315" s="12">
        <f t="shared" si="41"/>
        <v>23.695250033105939</v>
      </c>
      <c r="H315" s="12">
        <f t="shared" si="45"/>
        <v>77100</v>
      </c>
      <c r="I315" s="12">
        <f t="shared" si="46"/>
        <v>85300</v>
      </c>
      <c r="J315" s="12">
        <f>IF(A315&lt;[3]关卡对接!$A$4,INDEX([3]关卡对接!$C$7:$C$141,A315),MATCH(E315,人物经验!$H$24:$H$573,1))</f>
        <v>271</v>
      </c>
      <c r="K315" s="12">
        <f>IF([3]关卡对接!F303="",INT(INDEX(人物经验!$J$24:$J$573,关卡!J315)*关卡!$S$7),[3]关卡对接!F303)</f>
        <v>1904</v>
      </c>
      <c r="L315" s="12">
        <f t="shared" si="47"/>
        <v>1.2</v>
      </c>
      <c r="M315" s="12">
        <f>L315/[4]货币基础!$B$4</f>
        <v>120</v>
      </c>
      <c r="N315" s="12">
        <f>IF(A315&lt;[3]关卡对接!$A$4,INDEX([3]关卡对接!$E$7:$E$141,A315),MATCH(E315,人物经验!$H$24:$H$573,1))</f>
        <v>271</v>
      </c>
      <c r="O315" s="12">
        <f>INDEX([2]关卡!$G$6:$G$2005,A315)</f>
        <v>3</v>
      </c>
      <c r="P315" s="13">
        <v>6</v>
      </c>
      <c r="Q315" s="12">
        <f>INT(P315/$S$15/O315*VLOOKUP(J315,[1]人物技能基础!$N$3:$O$553,2,0)*$U$15)</f>
        <v>9</v>
      </c>
      <c r="R315" s="12">
        <f t="shared" si="48"/>
        <v>112</v>
      </c>
    </row>
    <row r="316" spans="1:18" x14ac:dyDescent="0.15">
      <c r="A316" s="12">
        <v>298</v>
      </c>
      <c r="B316" s="12">
        <f t="shared" si="42"/>
        <v>2</v>
      </c>
      <c r="C316" s="12">
        <f t="shared" si="43"/>
        <v>0.93001999999999996</v>
      </c>
      <c r="D316" s="12">
        <f t="shared" si="44"/>
        <v>9.9749999999999561E-3</v>
      </c>
      <c r="E316" s="12">
        <f>SUM($D$19:D316)</f>
        <v>2.13002</v>
      </c>
      <c r="F316" s="12">
        <f t="shared" si="40"/>
        <v>21.529245575999003</v>
      </c>
      <c r="G316" s="12">
        <f t="shared" si="41"/>
        <v>23.773166368095001</v>
      </c>
      <c r="H316" s="12">
        <f t="shared" si="45"/>
        <v>77500</v>
      </c>
      <c r="I316" s="12">
        <f t="shared" si="46"/>
        <v>85500</v>
      </c>
      <c r="J316" s="12">
        <f>IF(A316&lt;[3]关卡对接!$A$4,INDEX([3]关卡对接!$C$7:$C$141,A316),MATCH(E316,人物经验!$H$24:$H$573,1))</f>
        <v>271</v>
      </c>
      <c r="K316" s="12">
        <f>IF([3]关卡对接!F304="",INT(INDEX(人物经验!$J$24:$J$573,关卡!J316)*关卡!$S$7),[3]关卡对接!F304)</f>
        <v>1904</v>
      </c>
      <c r="L316" s="12">
        <f t="shared" si="47"/>
        <v>1.2</v>
      </c>
      <c r="M316" s="12">
        <f>L316/[4]货币基础!$B$4</f>
        <v>120</v>
      </c>
      <c r="N316" s="12">
        <f>IF(A316&lt;[3]关卡对接!$A$4,INDEX([3]关卡对接!$E$7:$E$141,A316),MATCH(E316,人物经验!$H$24:$H$573,1))</f>
        <v>271</v>
      </c>
      <c r="O316" s="12">
        <f>INDEX([2]关卡!$G$6:$G$2005,A316)</f>
        <v>3</v>
      </c>
      <c r="P316" s="13">
        <v>6</v>
      </c>
      <c r="Q316" s="12">
        <f>INT(P316/$S$15/O316*VLOOKUP(J316,[1]人物技能基础!$N$3:$O$553,2,0)*$U$15)</f>
        <v>9</v>
      </c>
      <c r="R316" s="12">
        <f t="shared" si="48"/>
        <v>112</v>
      </c>
    </row>
    <row r="317" spans="1:18" x14ac:dyDescent="0.15">
      <c r="A317" s="12">
        <v>299</v>
      </c>
      <c r="B317" s="12">
        <f t="shared" si="42"/>
        <v>2</v>
      </c>
      <c r="C317" s="12">
        <f t="shared" si="43"/>
        <v>0.94000499999999998</v>
      </c>
      <c r="D317" s="12">
        <f t="shared" si="44"/>
        <v>9.9850000000000216E-3</v>
      </c>
      <c r="E317" s="12">
        <f>SUM($D$19:D317)</f>
        <v>2.1400049999999999</v>
      </c>
      <c r="F317" s="12">
        <f t="shared" si="40"/>
        <v>21.621772648849937</v>
      </c>
      <c r="G317" s="12">
        <f t="shared" si="41"/>
        <v>23.851197555380935</v>
      </c>
      <c r="H317" s="12">
        <f t="shared" si="45"/>
        <v>77800</v>
      </c>
      <c r="I317" s="12">
        <f t="shared" si="46"/>
        <v>85800</v>
      </c>
      <c r="J317" s="12">
        <f>IF(A317&lt;[3]关卡对接!$A$4,INDEX([3]关卡对接!$C$7:$C$141,A317),MATCH(E317,人物经验!$H$24:$H$573,1))</f>
        <v>271</v>
      </c>
      <c r="K317" s="12">
        <f>IF([3]关卡对接!F305="",INT(INDEX(人物经验!$J$24:$J$573,关卡!J317)*关卡!$S$7),[3]关卡对接!F305)</f>
        <v>1904</v>
      </c>
      <c r="L317" s="12">
        <f t="shared" si="47"/>
        <v>1.2</v>
      </c>
      <c r="M317" s="12">
        <f>L317/[4]货币基础!$B$4</f>
        <v>120</v>
      </c>
      <c r="N317" s="12">
        <f>IF(A317&lt;[3]关卡对接!$A$4,INDEX([3]关卡对接!$E$7:$E$141,A317),MATCH(E317,人物经验!$H$24:$H$573,1))</f>
        <v>271</v>
      </c>
      <c r="O317" s="12">
        <f>INDEX([2]关卡!$G$6:$G$2005,A317)</f>
        <v>3</v>
      </c>
      <c r="P317" s="13">
        <v>6</v>
      </c>
      <c r="Q317" s="12">
        <f>INT(P317/$S$15/O317*VLOOKUP(J317,[1]人物技能基础!$N$3:$O$553,2,0)*$U$15)</f>
        <v>9</v>
      </c>
      <c r="R317" s="12">
        <f t="shared" si="48"/>
        <v>112</v>
      </c>
    </row>
    <row r="318" spans="1:18" x14ac:dyDescent="0.15">
      <c r="A318" s="12">
        <v>300</v>
      </c>
      <c r="B318" s="12">
        <f t="shared" si="42"/>
        <v>2</v>
      </c>
      <c r="C318" s="12">
        <f t="shared" si="43"/>
        <v>0.95000000000000007</v>
      </c>
      <c r="D318" s="12">
        <f t="shared" si="44"/>
        <v>9.9950000000000871E-3</v>
      </c>
      <c r="E318" s="12">
        <f>SUM($D$19:D318)</f>
        <v>2.15</v>
      </c>
      <c r="F318" s="12">
        <f t="shared" si="40"/>
        <v>21.714493750000003</v>
      </c>
      <c r="G318" s="12">
        <f t="shared" si="41"/>
        <v>23.929343749999997</v>
      </c>
      <c r="H318" s="12">
        <f t="shared" si="45"/>
        <v>78100</v>
      </c>
      <c r="I318" s="12">
        <f t="shared" si="46"/>
        <v>86100</v>
      </c>
      <c r="J318" s="12">
        <f>IF(A318&lt;[3]关卡对接!$A$4,INDEX([3]关卡对接!$C$7:$C$141,A318),MATCH(E318,人物经验!$H$24:$H$573,1))</f>
        <v>272</v>
      </c>
      <c r="K318" s="12">
        <f>IF([3]关卡对接!F306="",INT(INDEX(人物经验!$J$24:$J$573,关卡!J318)*关卡!$S$7),[3]关卡对接!F306)</f>
        <v>1945</v>
      </c>
      <c r="L318" s="12">
        <f t="shared" si="47"/>
        <v>1.2</v>
      </c>
      <c r="M318" s="12">
        <f>L318/[4]货币基础!$B$4</f>
        <v>120</v>
      </c>
      <c r="N318" s="12">
        <f>IF(A318&lt;[3]关卡对接!$A$4,INDEX([3]关卡对接!$E$7:$E$141,A318),MATCH(E318,人物经验!$H$24:$H$573,1))</f>
        <v>272</v>
      </c>
      <c r="O318" s="12">
        <f>INDEX([2]关卡!$G$6:$G$2005,A318)</f>
        <v>3</v>
      </c>
      <c r="P318" s="13">
        <v>6</v>
      </c>
      <c r="Q318" s="12">
        <f>INT(P318/$S$15/O318*VLOOKUP(J318,[1]人物技能基础!$N$3:$O$553,2,0)*$U$15)</f>
        <v>9</v>
      </c>
      <c r="R318" s="12">
        <f t="shared" si="48"/>
        <v>112</v>
      </c>
    </row>
    <row r="319" spans="1:18" x14ac:dyDescent="0.15">
      <c r="A319" s="12">
        <v>301</v>
      </c>
      <c r="B319" s="12">
        <f t="shared" si="42"/>
        <v>2</v>
      </c>
      <c r="C319" s="12">
        <f t="shared" si="43"/>
        <v>0.960005</v>
      </c>
      <c r="D319" s="12">
        <f t="shared" si="44"/>
        <v>1.0004999999999931E-2</v>
      </c>
      <c r="E319" s="12">
        <f>SUM($D$19:D319)</f>
        <v>2.160005</v>
      </c>
      <c r="F319" s="12">
        <f t="shared" si="40"/>
        <v>21.80740928369994</v>
      </c>
      <c r="G319" s="12">
        <f t="shared" si="41"/>
        <v>24.007605107130939</v>
      </c>
      <c r="H319" s="12">
        <f t="shared" si="45"/>
        <v>78500</v>
      </c>
      <c r="I319" s="12">
        <f t="shared" si="46"/>
        <v>86400</v>
      </c>
      <c r="J319" s="12">
        <f>IF(A319&lt;[3]关卡对接!$A$4,INDEX([3]关卡对接!$C$7:$C$141,A319),MATCH(E319,人物经验!$H$24:$H$573,1))</f>
        <v>272</v>
      </c>
      <c r="K319" s="12">
        <f>IF([3]关卡对接!F307="",INT(INDEX(人物经验!$J$24:$J$573,关卡!J319)*关卡!$S$7),[3]关卡对接!F307)</f>
        <v>1945</v>
      </c>
      <c r="L319" s="12">
        <f t="shared" si="47"/>
        <v>1.2</v>
      </c>
      <c r="M319" s="12">
        <f>L319/[4]货币基础!$B$4</f>
        <v>120</v>
      </c>
      <c r="N319" s="12">
        <f>IF(A319&lt;[3]关卡对接!$A$4,INDEX([3]关卡对接!$E$7:$E$141,A319),MATCH(E319,人物经验!$H$24:$H$573,1))</f>
        <v>272</v>
      </c>
      <c r="O319" s="12">
        <f>INDEX([2]关卡!$G$6:$G$2005,A319)</f>
        <v>3</v>
      </c>
      <c r="P319" s="13">
        <v>6</v>
      </c>
      <c r="Q319" s="12">
        <f>INT(P319/$S$15/O319*VLOOKUP(J319,[1]人物技能基础!$N$3:$O$553,2,0)*$U$15)</f>
        <v>9</v>
      </c>
      <c r="R319" s="12">
        <f t="shared" si="48"/>
        <v>112</v>
      </c>
    </row>
    <row r="320" spans="1:18" x14ac:dyDescent="0.15">
      <c r="A320" s="12">
        <v>302</v>
      </c>
      <c r="B320" s="12">
        <f t="shared" si="42"/>
        <v>2</v>
      </c>
      <c r="C320" s="12">
        <f t="shared" si="43"/>
        <v>0.97001999999999999</v>
      </c>
      <c r="D320" s="12">
        <f t="shared" si="44"/>
        <v>1.0014999999999996E-2</v>
      </c>
      <c r="E320" s="12">
        <f>SUM($D$19:D320)</f>
        <v>2.1700200000000001</v>
      </c>
      <c r="F320" s="12">
        <f t="shared" si="40"/>
        <v>21.900519654798998</v>
      </c>
      <c r="G320" s="12">
        <f t="shared" si="41"/>
        <v>24.085981782095001</v>
      </c>
      <c r="H320" s="12">
        <f t="shared" si="45"/>
        <v>78800</v>
      </c>
      <c r="I320" s="12">
        <f t="shared" si="46"/>
        <v>86700</v>
      </c>
      <c r="J320" s="12">
        <f>IF(A320&lt;[3]关卡对接!$A$4,INDEX([3]关卡对接!$C$7:$C$141,A320),MATCH(E320,人物经验!$H$24:$H$573,1))</f>
        <v>272</v>
      </c>
      <c r="K320" s="12">
        <f>IF([3]关卡对接!F308="",INT(INDEX(人物经验!$J$24:$J$573,关卡!J320)*关卡!$S$7),[3]关卡对接!F308)</f>
        <v>1945</v>
      </c>
      <c r="L320" s="12">
        <f t="shared" si="47"/>
        <v>1.2</v>
      </c>
      <c r="M320" s="12">
        <f>L320/[4]货币基础!$B$4</f>
        <v>120</v>
      </c>
      <c r="N320" s="12">
        <f>IF(A320&lt;[3]关卡对接!$A$4,INDEX([3]关卡对接!$E$7:$E$141,A320),MATCH(E320,人物经验!$H$24:$H$573,1))</f>
        <v>272</v>
      </c>
      <c r="O320" s="12">
        <f>INDEX([2]关卡!$G$6:$G$2005,A320)</f>
        <v>3</v>
      </c>
      <c r="P320" s="13">
        <v>6</v>
      </c>
      <c r="Q320" s="12">
        <f>INT(P320/$S$15/O320*VLOOKUP(J320,[1]人物技能基础!$N$3:$O$553,2,0)*$U$15)</f>
        <v>9</v>
      </c>
      <c r="R320" s="12">
        <f t="shared" si="48"/>
        <v>112</v>
      </c>
    </row>
    <row r="321" spans="1:18" x14ac:dyDescent="0.15">
      <c r="A321" s="12">
        <v>303</v>
      </c>
      <c r="B321" s="12">
        <f t="shared" si="42"/>
        <v>2</v>
      </c>
      <c r="C321" s="12">
        <f t="shared" si="43"/>
        <v>0.98004500000000005</v>
      </c>
      <c r="D321" s="12">
        <f t="shared" si="44"/>
        <v>1.0025000000000062E-2</v>
      </c>
      <c r="E321" s="12">
        <f>SUM($D$19:D321)</f>
        <v>2.1800450000000002</v>
      </c>
      <c r="F321" s="12">
        <f t="shared" si="40"/>
        <v>21.993825268744938</v>
      </c>
      <c r="G321" s="12">
        <f t="shared" si="41"/>
        <v>24.164473930355935</v>
      </c>
      <c r="H321" s="12">
        <f t="shared" si="45"/>
        <v>79100</v>
      </c>
      <c r="I321" s="12">
        <f t="shared" si="46"/>
        <v>86900</v>
      </c>
      <c r="J321" s="12">
        <f>IF(A321&lt;[3]关卡对接!$A$4,INDEX([3]关卡对接!$C$7:$C$141,A321),MATCH(E321,人物经验!$H$24:$H$573,1))</f>
        <v>272</v>
      </c>
      <c r="K321" s="12">
        <f>IF([3]关卡对接!F309="",INT(INDEX(人物经验!$J$24:$J$573,关卡!J321)*关卡!$S$7),[3]关卡对接!F309)</f>
        <v>1945</v>
      </c>
      <c r="L321" s="12">
        <f t="shared" si="47"/>
        <v>1.2</v>
      </c>
      <c r="M321" s="12">
        <f>L321/[4]货币基础!$B$4</f>
        <v>120</v>
      </c>
      <c r="N321" s="12">
        <f>IF(A321&lt;[3]关卡对接!$A$4,INDEX([3]关卡对接!$E$7:$E$141,A321),MATCH(E321,人物经验!$H$24:$H$573,1))</f>
        <v>272</v>
      </c>
      <c r="O321" s="12">
        <f>INDEX([2]关卡!$G$6:$G$2005,A321)</f>
        <v>3</v>
      </c>
      <c r="P321" s="13">
        <v>6</v>
      </c>
      <c r="Q321" s="12">
        <f>INT(P321/$S$15/O321*VLOOKUP(J321,[1]人物技能基础!$N$3:$O$553,2,0)*$U$15)</f>
        <v>9</v>
      </c>
      <c r="R321" s="12">
        <f t="shared" si="48"/>
        <v>112</v>
      </c>
    </row>
    <row r="322" spans="1:18" x14ac:dyDescent="0.15">
      <c r="A322" s="12">
        <v>304</v>
      </c>
      <c r="B322" s="12">
        <f t="shared" si="42"/>
        <v>2</v>
      </c>
      <c r="C322" s="12">
        <f t="shared" si="43"/>
        <v>0.99008000000000007</v>
      </c>
      <c r="D322" s="12">
        <f t="shared" si="44"/>
        <v>1.0035000000000016E-2</v>
      </c>
      <c r="E322" s="12">
        <f>SUM($D$19:D322)</f>
        <v>2.19008</v>
      </c>
      <c r="F322" s="12">
        <f t="shared" si="40"/>
        <v>22.087326531584001</v>
      </c>
      <c r="G322" s="12">
        <f t="shared" si="41"/>
        <v>24.243081707520002</v>
      </c>
      <c r="H322" s="12">
        <f t="shared" si="45"/>
        <v>79500</v>
      </c>
      <c r="I322" s="12">
        <f t="shared" si="46"/>
        <v>87200</v>
      </c>
      <c r="J322" s="12">
        <f>IF(A322&lt;[3]关卡对接!$A$4,INDEX([3]关卡对接!$C$7:$C$141,A322),MATCH(E322,人物经验!$H$24:$H$573,1))</f>
        <v>272</v>
      </c>
      <c r="K322" s="12">
        <f>IF([3]关卡对接!F310="",INT(INDEX(人物经验!$J$24:$J$573,关卡!J322)*关卡!$S$7),[3]关卡对接!F310)</f>
        <v>1945</v>
      </c>
      <c r="L322" s="12">
        <f t="shared" si="47"/>
        <v>1.2</v>
      </c>
      <c r="M322" s="12">
        <f>L322/[4]货币基础!$B$4</f>
        <v>120</v>
      </c>
      <c r="N322" s="12">
        <f>IF(A322&lt;[3]关卡对接!$A$4,INDEX([3]关卡对接!$E$7:$E$141,A322),MATCH(E322,人物经验!$H$24:$H$573,1))</f>
        <v>272</v>
      </c>
      <c r="O322" s="12">
        <f>INDEX([2]关卡!$G$6:$G$2005,A322)</f>
        <v>3</v>
      </c>
      <c r="P322" s="13">
        <v>6</v>
      </c>
      <c r="Q322" s="12">
        <f>INT(P322/$S$15/O322*VLOOKUP(J322,[1]人物技能基础!$N$3:$O$553,2,0)*$U$15)</f>
        <v>9</v>
      </c>
      <c r="R322" s="12">
        <f t="shared" si="48"/>
        <v>112</v>
      </c>
    </row>
    <row r="323" spans="1:18" x14ac:dyDescent="0.15">
      <c r="A323" s="12">
        <v>305</v>
      </c>
      <c r="B323" s="12">
        <f t="shared" si="42"/>
        <v>2</v>
      </c>
      <c r="C323" s="12">
        <f t="shared" si="43"/>
        <v>1.0001250000000002</v>
      </c>
      <c r="D323" s="12">
        <f t="shared" si="44"/>
        <v>1.0045000000000082E-2</v>
      </c>
      <c r="E323" s="12">
        <f>SUM($D$19:D323)</f>
        <v>2.2001249999999999</v>
      </c>
      <c r="F323" s="12">
        <f t="shared" si="40"/>
        <v>22.18102384996094</v>
      </c>
      <c r="G323" s="12">
        <f t="shared" si="41"/>
        <v>24.321805269335936</v>
      </c>
      <c r="H323" s="12">
        <f t="shared" si="45"/>
        <v>79800</v>
      </c>
      <c r="I323" s="12">
        <f t="shared" si="46"/>
        <v>87500</v>
      </c>
      <c r="J323" s="12">
        <f>IF(A323&lt;[3]关卡对接!$A$4,INDEX([3]关卡对接!$C$7:$C$141,A323),MATCH(E323,人物经验!$H$24:$H$573,1))</f>
        <v>273</v>
      </c>
      <c r="K323" s="12">
        <f>IF([3]关卡对接!F311="",INT(INDEX(人物经验!$J$24:$J$573,关卡!J323)*关卡!$S$7),[3]关卡对接!F311)</f>
        <v>1987</v>
      </c>
      <c r="L323" s="12">
        <f t="shared" si="47"/>
        <v>1.2</v>
      </c>
      <c r="M323" s="12">
        <f>L323/[4]货币基础!$B$4</f>
        <v>120</v>
      </c>
      <c r="N323" s="12">
        <f>IF(A323&lt;[3]关卡对接!$A$4,INDEX([3]关卡对接!$E$7:$E$141,A323),MATCH(E323,人物经验!$H$24:$H$573,1))</f>
        <v>273</v>
      </c>
      <c r="O323" s="12">
        <f>INDEX([2]关卡!$G$6:$G$2005,A323)</f>
        <v>3</v>
      </c>
      <c r="P323" s="13">
        <v>6</v>
      </c>
      <c r="Q323" s="12">
        <f>INT(P323/$S$15/O323*VLOOKUP(J323,[1]人物技能基础!$N$3:$O$553,2,0)*$U$15)</f>
        <v>9</v>
      </c>
      <c r="R323" s="12">
        <f t="shared" si="48"/>
        <v>112</v>
      </c>
    </row>
    <row r="324" spans="1:18" x14ac:dyDescent="0.15">
      <c r="A324" s="12">
        <v>306</v>
      </c>
      <c r="B324" s="12">
        <f t="shared" si="42"/>
        <v>2</v>
      </c>
      <c r="C324" s="12">
        <f t="shared" si="43"/>
        <v>1.0101800000000001</v>
      </c>
      <c r="D324" s="12">
        <f t="shared" si="44"/>
        <v>1.0054999999999925E-2</v>
      </c>
      <c r="E324" s="12">
        <f>SUM($D$19:D324)</f>
        <v>2.2101799999999998</v>
      </c>
      <c r="F324" s="12">
        <f t="shared" si="40"/>
        <v>22.274917631119003</v>
      </c>
      <c r="G324" s="12">
        <f t="shared" si="41"/>
        <v>24.400644771695003</v>
      </c>
      <c r="H324" s="12">
        <f t="shared" si="45"/>
        <v>80100</v>
      </c>
      <c r="I324" s="12">
        <f t="shared" si="46"/>
        <v>87800</v>
      </c>
      <c r="J324" s="12">
        <f>IF(A324&lt;[3]关卡对接!$A$4,INDEX([3]关卡对接!$C$7:$C$141,A324),MATCH(E324,人物经验!$H$24:$H$573,1))</f>
        <v>273</v>
      </c>
      <c r="K324" s="12">
        <f>IF([3]关卡对接!F312="",INT(INDEX(人物经验!$J$24:$J$573,关卡!J324)*关卡!$S$7),[3]关卡对接!F312)</f>
        <v>1987</v>
      </c>
      <c r="L324" s="12">
        <f t="shared" si="47"/>
        <v>1.2</v>
      </c>
      <c r="M324" s="12">
        <f>L324/[4]货币基础!$B$4</f>
        <v>120</v>
      </c>
      <c r="N324" s="12">
        <f>IF(A324&lt;[3]关卡对接!$A$4,INDEX([3]关卡对接!$E$7:$E$141,A324),MATCH(E324,人物经验!$H$24:$H$573,1))</f>
        <v>273</v>
      </c>
      <c r="O324" s="12">
        <f>INDEX([2]关卡!$G$6:$G$2005,A324)</f>
        <v>3</v>
      </c>
      <c r="P324" s="13">
        <v>6</v>
      </c>
      <c r="Q324" s="12">
        <f>INT(P324/$S$15/O324*VLOOKUP(J324,[1]人物技能基础!$N$3:$O$553,2,0)*$U$15)</f>
        <v>9</v>
      </c>
      <c r="R324" s="12">
        <f t="shared" si="48"/>
        <v>112</v>
      </c>
    </row>
    <row r="325" spans="1:18" x14ac:dyDescent="0.15">
      <c r="A325" s="12">
        <v>307</v>
      </c>
      <c r="B325" s="12">
        <f t="shared" si="42"/>
        <v>2</v>
      </c>
      <c r="C325" s="12">
        <f t="shared" si="43"/>
        <v>1.0202450000000001</v>
      </c>
      <c r="D325" s="12">
        <f t="shared" si="44"/>
        <v>1.0064999999999991E-2</v>
      </c>
      <c r="E325" s="12">
        <f>SUM($D$19:D325)</f>
        <v>2.2202449999999998</v>
      </c>
      <c r="F325" s="12">
        <f t="shared" si="40"/>
        <v>22.369008282899937</v>
      </c>
      <c r="G325" s="12">
        <f t="shared" si="41"/>
        <v>24.479600370630934</v>
      </c>
      <c r="H325" s="12">
        <f t="shared" si="45"/>
        <v>80500</v>
      </c>
      <c r="I325" s="12">
        <f t="shared" si="46"/>
        <v>88100</v>
      </c>
      <c r="J325" s="12">
        <f>IF(A325&lt;[3]关卡对接!$A$4,INDEX([3]关卡对接!$C$7:$C$141,A325),MATCH(E325,人物经验!$H$24:$H$573,1))</f>
        <v>273</v>
      </c>
      <c r="K325" s="12">
        <f>IF([3]关卡对接!F313="",INT(INDEX(人物经验!$J$24:$J$573,关卡!J325)*关卡!$S$7),[3]关卡对接!F313)</f>
        <v>1987</v>
      </c>
      <c r="L325" s="12">
        <f t="shared" si="47"/>
        <v>1.2</v>
      </c>
      <c r="M325" s="12">
        <f>L325/[4]货币基础!$B$4</f>
        <v>120</v>
      </c>
      <c r="N325" s="12">
        <f>IF(A325&lt;[3]关卡对接!$A$4,INDEX([3]关卡对接!$E$7:$E$141,A325),MATCH(E325,人物经验!$H$24:$H$573,1))</f>
        <v>273</v>
      </c>
      <c r="O325" s="12">
        <f>INDEX([2]关卡!$G$6:$G$2005,A325)</f>
        <v>3</v>
      </c>
      <c r="P325" s="13">
        <v>6</v>
      </c>
      <c r="Q325" s="12">
        <f>INT(P325/$S$15/O325*VLOOKUP(J325,[1]人物技能基础!$N$3:$O$553,2,0)*$U$15)</f>
        <v>9</v>
      </c>
      <c r="R325" s="12">
        <f t="shared" si="48"/>
        <v>112</v>
      </c>
    </row>
    <row r="326" spans="1:18" x14ac:dyDescent="0.15">
      <c r="A326" s="12">
        <v>308</v>
      </c>
      <c r="B326" s="12">
        <f t="shared" si="42"/>
        <v>2</v>
      </c>
      <c r="C326" s="12">
        <f t="shared" si="43"/>
        <v>1.0303200000000001</v>
      </c>
      <c r="D326" s="12">
        <f t="shared" si="44"/>
        <v>1.0075000000000056E-2</v>
      </c>
      <c r="E326" s="12">
        <f>SUM($D$19:D326)</f>
        <v>2.2303199999999999</v>
      </c>
      <c r="F326" s="12">
        <f t="shared" si="40"/>
        <v>22.463296213744002</v>
      </c>
      <c r="G326" s="12">
        <f t="shared" si="41"/>
        <v>24.558672222319998</v>
      </c>
      <c r="H326" s="12">
        <f t="shared" si="45"/>
        <v>80800</v>
      </c>
      <c r="I326" s="12">
        <f t="shared" si="46"/>
        <v>88400</v>
      </c>
      <c r="J326" s="12">
        <f>IF(A326&lt;[3]关卡对接!$A$4,INDEX([3]关卡对接!$C$7:$C$141,A326),MATCH(E326,人物经验!$H$24:$H$573,1))</f>
        <v>273</v>
      </c>
      <c r="K326" s="12">
        <f>IF([3]关卡对接!F314="",INT(INDEX(人物经验!$J$24:$J$573,关卡!J326)*关卡!$S$7),[3]关卡对接!F314)</f>
        <v>1987</v>
      </c>
      <c r="L326" s="12">
        <f t="shared" si="47"/>
        <v>1.2</v>
      </c>
      <c r="M326" s="12">
        <f>L326/[4]货币基础!$B$4</f>
        <v>120</v>
      </c>
      <c r="N326" s="12">
        <f>IF(A326&lt;[3]关卡对接!$A$4,INDEX([3]关卡对接!$E$7:$E$141,A326),MATCH(E326,人物经验!$H$24:$H$573,1))</f>
        <v>273</v>
      </c>
      <c r="O326" s="12">
        <f>INDEX([2]关卡!$G$6:$G$2005,A326)</f>
        <v>3</v>
      </c>
      <c r="P326" s="13">
        <v>6</v>
      </c>
      <c r="Q326" s="12">
        <f>INT(P326/$S$15/O326*VLOOKUP(J326,[1]人物技能基础!$N$3:$O$553,2,0)*$U$15)</f>
        <v>9</v>
      </c>
      <c r="R326" s="12">
        <f t="shared" si="48"/>
        <v>112</v>
      </c>
    </row>
    <row r="327" spans="1:18" x14ac:dyDescent="0.15">
      <c r="A327" s="12">
        <v>309</v>
      </c>
      <c r="B327" s="12">
        <f t="shared" si="42"/>
        <v>2</v>
      </c>
      <c r="C327" s="12">
        <f t="shared" si="43"/>
        <v>1.040405</v>
      </c>
      <c r="D327" s="12">
        <f t="shared" si="44"/>
        <v>1.00849999999999E-2</v>
      </c>
      <c r="E327" s="12">
        <f>SUM($D$19:D327)</f>
        <v>2.240405</v>
      </c>
      <c r="F327" s="12">
        <f t="shared" si="40"/>
        <v>22.55778183268994</v>
      </c>
      <c r="G327" s="12">
        <f t="shared" si="41"/>
        <v>24.637860483080935</v>
      </c>
      <c r="H327" s="12">
        <f t="shared" si="45"/>
        <v>81200</v>
      </c>
      <c r="I327" s="12">
        <f t="shared" si="46"/>
        <v>88600</v>
      </c>
      <c r="J327" s="12">
        <f>IF(A327&lt;[3]关卡对接!$A$4,INDEX([3]关卡对接!$C$7:$C$141,A327),MATCH(E327,人物经验!$H$24:$H$573,1))</f>
        <v>273</v>
      </c>
      <c r="K327" s="12">
        <f>IF([3]关卡对接!F315="",INT(INDEX(人物经验!$J$24:$J$573,关卡!J327)*关卡!$S$7),[3]关卡对接!F315)</f>
        <v>1987</v>
      </c>
      <c r="L327" s="12">
        <f t="shared" si="47"/>
        <v>1.2</v>
      </c>
      <c r="M327" s="12">
        <f>L327/[4]货币基础!$B$4</f>
        <v>120</v>
      </c>
      <c r="N327" s="12">
        <f>IF(A327&lt;[3]关卡对接!$A$4,INDEX([3]关卡对接!$E$7:$E$141,A327),MATCH(E327,人物经验!$H$24:$H$573,1))</f>
        <v>273</v>
      </c>
      <c r="O327" s="12">
        <f>INDEX([2]关卡!$G$6:$G$2005,A327)</f>
        <v>3</v>
      </c>
      <c r="P327" s="13">
        <v>6</v>
      </c>
      <c r="Q327" s="12">
        <f>INT(P327/$S$15/O327*VLOOKUP(J327,[1]人物技能基础!$N$3:$O$553,2,0)*$U$15)</f>
        <v>9</v>
      </c>
      <c r="R327" s="12">
        <f t="shared" si="48"/>
        <v>112</v>
      </c>
    </row>
    <row r="328" spans="1:18" x14ac:dyDescent="0.15">
      <c r="A328" s="12">
        <v>310</v>
      </c>
      <c r="B328" s="12">
        <f t="shared" si="42"/>
        <v>2</v>
      </c>
      <c r="C328" s="12">
        <f t="shared" si="43"/>
        <v>1.0505000000000002</v>
      </c>
      <c r="D328" s="12">
        <f t="shared" si="44"/>
        <v>1.0095000000000187E-2</v>
      </c>
      <c r="E328" s="12">
        <f>SUM($D$19:D328)</f>
        <v>2.2505000000000002</v>
      </c>
      <c r="F328" s="12">
        <f t="shared" si="40"/>
        <v>22.652465549375002</v>
      </c>
      <c r="G328" s="12">
        <f t="shared" si="41"/>
        <v>24.717165309375002</v>
      </c>
      <c r="H328" s="12">
        <f t="shared" si="45"/>
        <v>81500</v>
      </c>
      <c r="I328" s="12">
        <f t="shared" si="46"/>
        <v>88900</v>
      </c>
      <c r="J328" s="12">
        <f>IF(A328&lt;[3]关卡对接!$A$4,INDEX([3]关卡对接!$C$7:$C$141,A328),MATCH(E328,人物经验!$H$24:$H$573,1))</f>
        <v>274</v>
      </c>
      <c r="K328" s="12">
        <f>IF([3]关卡对接!F316="",INT(INDEX(人物经验!$J$24:$J$573,关卡!J328)*关卡!$S$7),[3]关卡对接!F316)</f>
        <v>2030</v>
      </c>
      <c r="L328" s="12">
        <f t="shared" si="47"/>
        <v>1.2</v>
      </c>
      <c r="M328" s="12">
        <f>L328/[4]货币基础!$B$4</f>
        <v>120</v>
      </c>
      <c r="N328" s="12">
        <f>IF(A328&lt;[3]关卡对接!$A$4,INDEX([3]关卡对接!$E$7:$E$141,A328),MATCH(E328,人物经验!$H$24:$H$573,1))</f>
        <v>274</v>
      </c>
      <c r="O328" s="12">
        <f>INDEX([2]关卡!$G$6:$G$2005,A328)</f>
        <v>3</v>
      </c>
      <c r="P328" s="13">
        <v>6</v>
      </c>
      <c r="Q328" s="12">
        <f>INT(P328/$S$15/O328*VLOOKUP(J328,[1]人物技能基础!$N$3:$O$553,2,0)*$U$15)</f>
        <v>9</v>
      </c>
      <c r="R328" s="12">
        <f t="shared" si="48"/>
        <v>112</v>
      </c>
    </row>
    <row r="329" spans="1:18" x14ac:dyDescent="0.15">
      <c r="A329" s="12">
        <v>311</v>
      </c>
      <c r="B329" s="12">
        <f t="shared" si="42"/>
        <v>2</v>
      </c>
      <c r="C329" s="12">
        <f t="shared" si="43"/>
        <v>1.060605</v>
      </c>
      <c r="D329" s="12">
        <f t="shared" si="44"/>
        <v>1.0104999999999809E-2</v>
      </c>
      <c r="E329" s="12">
        <f>SUM($D$19:D329)</f>
        <v>2.260605</v>
      </c>
      <c r="F329" s="12">
        <f t="shared" si="40"/>
        <v>22.747347774034942</v>
      </c>
      <c r="G329" s="12">
        <f t="shared" si="41"/>
        <v>24.796586857805941</v>
      </c>
      <c r="H329" s="12">
        <f t="shared" si="45"/>
        <v>81800</v>
      </c>
      <c r="I329" s="12">
        <f t="shared" si="46"/>
        <v>89200</v>
      </c>
      <c r="J329" s="12">
        <f>IF(A329&lt;[3]关卡对接!$A$4,INDEX([3]关卡对接!$C$7:$C$141,A329),MATCH(E329,人物经验!$H$24:$H$573,1))</f>
        <v>274</v>
      </c>
      <c r="K329" s="12">
        <f>IF([3]关卡对接!F317="",INT(INDEX(人物经验!$J$24:$J$573,关卡!J329)*关卡!$S$7),[3]关卡对接!F317)</f>
        <v>2030</v>
      </c>
      <c r="L329" s="12">
        <f t="shared" si="47"/>
        <v>1.2</v>
      </c>
      <c r="M329" s="12">
        <f>L329/[4]货币基础!$B$4</f>
        <v>120</v>
      </c>
      <c r="N329" s="12">
        <f>IF(A329&lt;[3]关卡对接!$A$4,INDEX([3]关卡对接!$E$7:$E$141,A329),MATCH(E329,人物经验!$H$24:$H$573,1))</f>
        <v>274</v>
      </c>
      <c r="O329" s="12">
        <f>INDEX([2]关卡!$G$6:$G$2005,A329)</f>
        <v>3</v>
      </c>
      <c r="P329" s="13">
        <v>6</v>
      </c>
      <c r="Q329" s="12">
        <f>INT(P329/$S$15/O329*VLOOKUP(J329,[1]人物技能基础!$N$3:$O$553,2,0)*$U$15)</f>
        <v>9</v>
      </c>
      <c r="R329" s="12">
        <f t="shared" si="48"/>
        <v>112</v>
      </c>
    </row>
    <row r="330" spans="1:18" x14ac:dyDescent="0.15">
      <c r="A330" s="12">
        <v>312</v>
      </c>
      <c r="B330" s="12">
        <f t="shared" si="42"/>
        <v>2</v>
      </c>
      <c r="C330" s="12">
        <f t="shared" si="43"/>
        <v>1.0707200000000003</v>
      </c>
      <c r="D330" s="12">
        <f t="shared" si="44"/>
        <v>1.0115000000000318E-2</v>
      </c>
      <c r="E330" s="12">
        <f>SUM($D$19:D330)</f>
        <v>2.2707200000000003</v>
      </c>
      <c r="F330" s="12">
        <f t="shared" si="40"/>
        <v>22.842428917503998</v>
      </c>
      <c r="G330" s="12">
        <f t="shared" si="41"/>
        <v>24.876125285120001</v>
      </c>
      <c r="H330" s="12">
        <f t="shared" si="45"/>
        <v>82200</v>
      </c>
      <c r="I330" s="12">
        <f t="shared" si="46"/>
        <v>89500</v>
      </c>
      <c r="J330" s="12">
        <f>IF(A330&lt;[3]关卡对接!$A$4,INDEX([3]关卡对接!$C$7:$C$141,A330),MATCH(E330,人物经验!$H$24:$H$573,1))</f>
        <v>274</v>
      </c>
      <c r="K330" s="12">
        <f>IF([3]关卡对接!F318="",INT(INDEX(人物经验!$J$24:$J$573,关卡!J330)*关卡!$S$7),[3]关卡对接!F318)</f>
        <v>2030</v>
      </c>
      <c r="L330" s="12">
        <f t="shared" si="47"/>
        <v>1.2</v>
      </c>
      <c r="M330" s="12">
        <f>L330/[4]货币基础!$B$4</f>
        <v>120</v>
      </c>
      <c r="N330" s="12">
        <f>IF(A330&lt;[3]关卡对接!$A$4,INDEX([3]关卡对接!$E$7:$E$141,A330),MATCH(E330,人物经验!$H$24:$H$573,1))</f>
        <v>274</v>
      </c>
      <c r="O330" s="12">
        <f>INDEX([2]关卡!$G$6:$G$2005,A330)</f>
        <v>3</v>
      </c>
      <c r="P330" s="13">
        <v>6</v>
      </c>
      <c r="Q330" s="12">
        <f>INT(P330/$S$15/O330*VLOOKUP(J330,[1]人物技能基础!$N$3:$O$553,2,0)*$U$15)</f>
        <v>9</v>
      </c>
      <c r="R330" s="12">
        <f t="shared" si="48"/>
        <v>112</v>
      </c>
    </row>
    <row r="331" spans="1:18" x14ac:dyDescent="0.15">
      <c r="A331" s="12">
        <v>313</v>
      </c>
      <c r="B331" s="12">
        <f t="shared" si="42"/>
        <v>2</v>
      </c>
      <c r="C331" s="12">
        <f t="shared" si="43"/>
        <v>1.0808449999999998</v>
      </c>
      <c r="D331" s="12">
        <f t="shared" si="44"/>
        <v>1.0124999999999496E-2</v>
      </c>
      <c r="E331" s="12">
        <f>SUM($D$19:D331)</f>
        <v>2.2808449999999998</v>
      </c>
      <c r="F331" s="12">
        <f t="shared" si="40"/>
        <v>22.937709391214941</v>
      </c>
      <c r="G331" s="12">
        <f t="shared" si="41"/>
        <v>24.955780748205939</v>
      </c>
      <c r="H331" s="12">
        <f t="shared" si="45"/>
        <v>82500</v>
      </c>
      <c r="I331" s="12">
        <f t="shared" si="46"/>
        <v>89800</v>
      </c>
      <c r="J331" s="12">
        <f>IF(A331&lt;[3]关卡对接!$A$4,INDEX([3]关卡对接!$C$7:$C$141,A331),MATCH(E331,人物经验!$H$24:$H$573,1))</f>
        <v>274</v>
      </c>
      <c r="K331" s="12">
        <f>IF([3]关卡对接!F319="",INT(INDEX(人物经验!$J$24:$J$573,关卡!J331)*关卡!$S$7),[3]关卡对接!F319)</f>
        <v>2030</v>
      </c>
      <c r="L331" s="12">
        <f t="shared" si="47"/>
        <v>1.2</v>
      </c>
      <c r="M331" s="12">
        <f>L331/[4]货币基础!$B$4</f>
        <v>120</v>
      </c>
      <c r="N331" s="12">
        <f>IF(A331&lt;[3]关卡对接!$A$4,INDEX([3]关卡对接!$E$7:$E$141,A331),MATCH(E331,人物经验!$H$24:$H$573,1))</f>
        <v>274</v>
      </c>
      <c r="O331" s="12">
        <f>INDEX([2]关卡!$G$6:$G$2005,A331)</f>
        <v>3</v>
      </c>
      <c r="P331" s="13">
        <v>6</v>
      </c>
      <c r="Q331" s="12">
        <f>INT(P331/$S$15/O331*VLOOKUP(J331,[1]人物技能基础!$N$3:$O$553,2,0)*$U$15)</f>
        <v>9</v>
      </c>
      <c r="R331" s="12">
        <f t="shared" si="48"/>
        <v>112</v>
      </c>
    </row>
    <row r="332" spans="1:18" x14ac:dyDescent="0.15">
      <c r="A332" s="12">
        <v>314</v>
      </c>
      <c r="B332" s="12">
        <f t="shared" si="42"/>
        <v>2</v>
      </c>
      <c r="C332" s="12">
        <f t="shared" si="43"/>
        <v>1.0909800000000001</v>
      </c>
      <c r="D332" s="12">
        <f t="shared" si="44"/>
        <v>1.0135000000000227E-2</v>
      </c>
      <c r="E332" s="12">
        <f>SUM($D$19:D332)</f>
        <v>2.2909800000000002</v>
      </c>
      <c r="F332" s="12">
        <f t="shared" si="40"/>
        <v>23.033189607199006</v>
      </c>
      <c r="G332" s="12">
        <f t="shared" si="41"/>
        <v>25.035553404094998</v>
      </c>
      <c r="H332" s="12">
        <f t="shared" si="45"/>
        <v>82900</v>
      </c>
      <c r="I332" s="12">
        <f t="shared" si="46"/>
        <v>90100</v>
      </c>
      <c r="J332" s="12">
        <f>IF(A332&lt;[3]关卡对接!$A$4,INDEX([3]关卡对接!$C$7:$C$141,A332),MATCH(E332,人物经验!$H$24:$H$573,1))</f>
        <v>274</v>
      </c>
      <c r="K332" s="12">
        <f>IF([3]关卡对接!F320="",INT(INDEX(人物经验!$J$24:$J$573,关卡!J332)*关卡!$S$7),[3]关卡对接!F320)</f>
        <v>2030</v>
      </c>
      <c r="L332" s="12">
        <f t="shared" si="47"/>
        <v>1.2</v>
      </c>
      <c r="M332" s="12">
        <f>L332/[4]货币基础!$B$4</f>
        <v>120</v>
      </c>
      <c r="N332" s="12">
        <f>IF(A332&lt;[3]关卡对接!$A$4,INDEX([3]关卡对接!$E$7:$E$141,A332),MATCH(E332,人物经验!$H$24:$H$573,1))</f>
        <v>274</v>
      </c>
      <c r="O332" s="12">
        <f>INDEX([2]关卡!$G$6:$G$2005,A332)</f>
        <v>3</v>
      </c>
      <c r="P332" s="13">
        <v>6</v>
      </c>
      <c r="Q332" s="12">
        <f>INT(P332/$S$15/O332*VLOOKUP(J332,[1]人物技能基础!$N$3:$O$553,2,0)*$U$15)</f>
        <v>9</v>
      </c>
      <c r="R332" s="12">
        <f t="shared" si="48"/>
        <v>112</v>
      </c>
    </row>
    <row r="333" spans="1:18" x14ac:dyDescent="0.15">
      <c r="A333" s="12">
        <v>315</v>
      </c>
      <c r="B333" s="12">
        <f t="shared" si="42"/>
        <v>2</v>
      </c>
      <c r="C333" s="12">
        <f t="shared" si="43"/>
        <v>1.1011249999999999</v>
      </c>
      <c r="D333" s="12">
        <f t="shared" si="44"/>
        <v>1.0144999999999849E-2</v>
      </c>
      <c r="E333" s="12">
        <f>SUM($D$19:D333)</f>
        <v>2.3011249999999999</v>
      </c>
      <c r="F333" s="12">
        <f t="shared" si="40"/>
        <v>23.128869978085937</v>
      </c>
      <c r="G333" s="12">
        <f t="shared" si="41"/>
        <v>25.115443409960942</v>
      </c>
      <c r="H333" s="12">
        <f t="shared" si="45"/>
        <v>83200</v>
      </c>
      <c r="I333" s="12">
        <f t="shared" si="46"/>
        <v>90400</v>
      </c>
      <c r="J333" s="12">
        <f>IF(A333&lt;[3]关卡对接!$A$4,INDEX([3]关卡对接!$C$7:$C$141,A333),MATCH(E333,人物经验!$H$24:$H$573,1))</f>
        <v>274</v>
      </c>
      <c r="K333" s="12">
        <f>IF([3]关卡对接!F321="",INT(INDEX(人物经验!$J$24:$J$573,关卡!J333)*关卡!$S$7),[3]关卡对接!F321)</f>
        <v>2030</v>
      </c>
      <c r="L333" s="12">
        <f t="shared" si="47"/>
        <v>1.2</v>
      </c>
      <c r="M333" s="12">
        <f>L333/[4]货币基础!$B$4</f>
        <v>120</v>
      </c>
      <c r="N333" s="12">
        <f>IF(A333&lt;[3]关卡对接!$A$4,INDEX([3]关卡对接!$E$7:$E$141,A333),MATCH(E333,人物经验!$H$24:$H$573,1))</f>
        <v>274</v>
      </c>
      <c r="O333" s="12">
        <f>INDEX([2]关卡!$G$6:$G$2005,A333)</f>
        <v>3</v>
      </c>
      <c r="P333" s="13">
        <v>6</v>
      </c>
      <c r="Q333" s="12">
        <f>INT(P333/$S$15/O333*VLOOKUP(J333,[1]人物技能基础!$N$3:$O$553,2,0)*$U$15)</f>
        <v>9</v>
      </c>
      <c r="R333" s="12">
        <f t="shared" si="48"/>
        <v>112</v>
      </c>
    </row>
    <row r="334" spans="1:18" x14ac:dyDescent="0.15">
      <c r="A334" s="12">
        <v>316</v>
      </c>
      <c r="B334" s="12">
        <f t="shared" si="42"/>
        <v>2</v>
      </c>
      <c r="C334" s="12">
        <f t="shared" si="43"/>
        <v>1.11128</v>
      </c>
      <c r="D334" s="12">
        <f t="shared" si="44"/>
        <v>1.0155000000000136E-2</v>
      </c>
      <c r="E334" s="12">
        <f>SUM($D$19:D334)</f>
        <v>2.31128</v>
      </c>
      <c r="F334" s="12">
        <f t="shared" si="40"/>
        <v>23.224750917104</v>
      </c>
      <c r="G334" s="12">
        <f t="shared" si="41"/>
        <v>25.195450923120006</v>
      </c>
      <c r="H334" s="12">
        <f t="shared" si="45"/>
        <v>83600</v>
      </c>
      <c r="I334" s="12">
        <f t="shared" si="46"/>
        <v>90700</v>
      </c>
      <c r="J334" s="12">
        <f>IF(A334&lt;[3]关卡对接!$A$4,INDEX([3]关卡对接!$C$7:$C$141,A334),MATCH(E334,人物经验!$H$24:$H$573,1))</f>
        <v>275</v>
      </c>
      <c r="K334" s="12">
        <f>IF([3]关卡对接!F322="",INT(INDEX(人物经验!$J$24:$J$573,关卡!J334)*关卡!$S$7),[3]关卡对接!F322)</f>
        <v>2081</v>
      </c>
      <c r="L334" s="12">
        <f t="shared" si="47"/>
        <v>1.2</v>
      </c>
      <c r="M334" s="12">
        <f>L334/[4]货币基础!$B$4</f>
        <v>120</v>
      </c>
      <c r="N334" s="12">
        <f>IF(A334&lt;[3]关卡对接!$A$4,INDEX([3]关卡对接!$E$7:$E$141,A334),MATCH(E334,人物经验!$H$24:$H$573,1))</f>
        <v>275</v>
      </c>
      <c r="O334" s="12">
        <f>INDEX([2]关卡!$G$6:$G$2005,A334)</f>
        <v>3</v>
      </c>
      <c r="P334" s="13">
        <v>6</v>
      </c>
      <c r="Q334" s="12">
        <f>INT(P334/$S$15/O334*VLOOKUP(J334,[1]人物技能基础!$N$3:$O$553,2,0)*$U$15)</f>
        <v>9</v>
      </c>
      <c r="R334" s="12">
        <f t="shared" si="48"/>
        <v>112</v>
      </c>
    </row>
    <row r="335" spans="1:18" x14ac:dyDescent="0.15">
      <c r="A335" s="12">
        <v>317</v>
      </c>
      <c r="B335" s="12">
        <f t="shared" si="42"/>
        <v>2</v>
      </c>
      <c r="C335" s="12">
        <f t="shared" si="43"/>
        <v>1.121445</v>
      </c>
      <c r="D335" s="12">
        <f t="shared" si="44"/>
        <v>1.016499999999998E-2</v>
      </c>
      <c r="E335" s="12">
        <f>SUM($D$19:D335)</f>
        <v>2.3214449999999998</v>
      </c>
      <c r="F335" s="12">
        <f t="shared" si="40"/>
        <v>23.320832838079937</v>
      </c>
      <c r="G335" s="12">
        <f t="shared" si="41"/>
        <v>25.275576101030939</v>
      </c>
      <c r="H335" s="12">
        <f t="shared" si="45"/>
        <v>83900</v>
      </c>
      <c r="I335" s="12">
        <f t="shared" si="46"/>
        <v>90900</v>
      </c>
      <c r="J335" s="12">
        <f>IF(A335&lt;[3]关卡对接!$A$4,INDEX([3]关卡对接!$C$7:$C$141,A335),MATCH(E335,人物经验!$H$24:$H$573,1))</f>
        <v>275</v>
      </c>
      <c r="K335" s="12">
        <f>IF([3]关卡对接!F323="",INT(INDEX(人物经验!$J$24:$J$573,关卡!J335)*关卡!$S$7),[3]关卡对接!F323)</f>
        <v>2081</v>
      </c>
      <c r="L335" s="12">
        <f t="shared" si="47"/>
        <v>1.2</v>
      </c>
      <c r="M335" s="12">
        <f>L335/[4]货币基础!$B$4</f>
        <v>120</v>
      </c>
      <c r="N335" s="12">
        <f>IF(A335&lt;[3]关卡对接!$A$4,INDEX([3]关卡对接!$E$7:$E$141,A335),MATCH(E335,人物经验!$H$24:$H$573,1))</f>
        <v>275</v>
      </c>
      <c r="O335" s="12">
        <f>INDEX([2]关卡!$G$6:$G$2005,A335)</f>
        <v>3</v>
      </c>
      <c r="P335" s="13">
        <v>6</v>
      </c>
      <c r="Q335" s="12">
        <f>INT(P335/$S$15/O335*VLOOKUP(J335,[1]人物技能基础!$N$3:$O$553,2,0)*$U$15)</f>
        <v>9</v>
      </c>
      <c r="R335" s="12">
        <f t="shared" si="48"/>
        <v>112</v>
      </c>
    </row>
    <row r="336" spans="1:18" x14ac:dyDescent="0.15">
      <c r="A336" s="12">
        <v>318</v>
      </c>
      <c r="B336" s="12">
        <f t="shared" si="42"/>
        <v>2</v>
      </c>
      <c r="C336" s="12">
        <f t="shared" si="43"/>
        <v>1.1316200000000001</v>
      </c>
      <c r="D336" s="12">
        <f t="shared" si="44"/>
        <v>1.0175000000000045E-2</v>
      </c>
      <c r="E336" s="12">
        <f>SUM($D$19:D336)</f>
        <v>2.33162</v>
      </c>
      <c r="F336" s="12">
        <f t="shared" si="40"/>
        <v>23.417116155439004</v>
      </c>
      <c r="G336" s="12">
        <f t="shared" si="41"/>
        <v>25.355819101295001</v>
      </c>
      <c r="H336" s="12">
        <f t="shared" si="45"/>
        <v>84300</v>
      </c>
      <c r="I336" s="12">
        <f t="shared" si="46"/>
        <v>91200</v>
      </c>
      <c r="J336" s="12">
        <f>IF(A336&lt;[3]关卡对接!$A$4,INDEX([3]关卡对接!$C$7:$C$141,A336),MATCH(E336,人物经验!$H$24:$H$573,1))</f>
        <v>275</v>
      </c>
      <c r="K336" s="12">
        <f>IF([3]关卡对接!F324="",INT(INDEX(人物经验!$J$24:$J$573,关卡!J336)*关卡!$S$7),[3]关卡对接!F324)</f>
        <v>2081</v>
      </c>
      <c r="L336" s="12">
        <f t="shared" si="47"/>
        <v>1.2</v>
      </c>
      <c r="M336" s="12">
        <f>L336/[4]货币基础!$B$4</f>
        <v>120</v>
      </c>
      <c r="N336" s="12">
        <f>IF(A336&lt;[3]关卡对接!$A$4,INDEX([3]关卡对接!$E$7:$E$141,A336),MATCH(E336,人物经验!$H$24:$H$573,1))</f>
        <v>275</v>
      </c>
      <c r="O336" s="12">
        <f>INDEX([2]关卡!$G$6:$G$2005,A336)</f>
        <v>3</v>
      </c>
      <c r="P336" s="13">
        <v>6</v>
      </c>
      <c r="Q336" s="12">
        <f>INT(P336/$S$15/O336*VLOOKUP(J336,[1]人物技能基础!$N$3:$O$553,2,0)*$U$15)</f>
        <v>9</v>
      </c>
      <c r="R336" s="12">
        <f t="shared" si="48"/>
        <v>112</v>
      </c>
    </row>
    <row r="337" spans="1:18" x14ac:dyDescent="0.15">
      <c r="A337" s="12">
        <v>319</v>
      </c>
      <c r="B337" s="12">
        <f t="shared" si="42"/>
        <v>2</v>
      </c>
      <c r="C337" s="12">
        <f t="shared" si="43"/>
        <v>1.141805</v>
      </c>
      <c r="D337" s="12">
        <f t="shared" si="44"/>
        <v>1.0184999999999889E-2</v>
      </c>
      <c r="E337" s="12">
        <f>SUM($D$19:D337)</f>
        <v>2.3418049999999999</v>
      </c>
      <c r="F337" s="12">
        <f t="shared" si="40"/>
        <v>23.513601284204938</v>
      </c>
      <c r="G337" s="12">
        <f t="shared" si="41"/>
        <v>25.436180081655941</v>
      </c>
      <c r="H337" s="12">
        <f t="shared" si="45"/>
        <v>84600</v>
      </c>
      <c r="I337" s="12">
        <f t="shared" si="46"/>
        <v>91500</v>
      </c>
      <c r="J337" s="12">
        <f>IF(A337&lt;[3]关卡对接!$A$4,INDEX([3]关卡对接!$C$7:$C$141,A337),MATCH(E337,人物经验!$H$24:$H$573,1))</f>
        <v>275</v>
      </c>
      <c r="K337" s="12">
        <f>IF([3]关卡对接!F325="",INT(INDEX(人物经验!$J$24:$J$573,关卡!J337)*关卡!$S$7),[3]关卡对接!F325)</f>
        <v>2081</v>
      </c>
      <c r="L337" s="12">
        <f t="shared" si="47"/>
        <v>1.2</v>
      </c>
      <c r="M337" s="12">
        <f>L337/[4]货币基础!$B$4</f>
        <v>120</v>
      </c>
      <c r="N337" s="12">
        <f>IF(A337&lt;[3]关卡对接!$A$4,INDEX([3]关卡对接!$E$7:$E$141,A337),MATCH(E337,人物经验!$H$24:$H$573,1))</f>
        <v>275</v>
      </c>
      <c r="O337" s="12">
        <f>INDEX([2]关卡!$G$6:$G$2005,A337)</f>
        <v>3</v>
      </c>
      <c r="P337" s="13">
        <v>6</v>
      </c>
      <c r="Q337" s="12">
        <f>INT(P337/$S$15/O337*VLOOKUP(J337,[1]人物技能基础!$N$3:$O$553,2,0)*$U$15)</f>
        <v>9</v>
      </c>
      <c r="R337" s="12">
        <f t="shared" si="48"/>
        <v>112</v>
      </c>
    </row>
    <row r="338" spans="1:18" x14ac:dyDescent="0.15">
      <c r="A338" s="12">
        <v>320</v>
      </c>
      <c r="B338" s="12">
        <f t="shared" si="42"/>
        <v>2</v>
      </c>
      <c r="C338" s="12">
        <f t="shared" si="43"/>
        <v>1.1520000000000001</v>
      </c>
      <c r="D338" s="12">
        <f t="shared" si="44"/>
        <v>1.0195000000000176E-2</v>
      </c>
      <c r="E338" s="12">
        <f>SUM($D$19:D338)</f>
        <v>2.3520000000000003</v>
      </c>
      <c r="F338" s="12">
        <f t="shared" si="40"/>
        <v>23.61028864</v>
      </c>
      <c r="G338" s="12">
        <f t="shared" si="41"/>
        <v>25.516659200000003</v>
      </c>
      <c r="H338" s="12">
        <f t="shared" si="45"/>
        <v>84900</v>
      </c>
      <c r="I338" s="12">
        <f t="shared" si="46"/>
        <v>91800</v>
      </c>
      <c r="J338" s="12">
        <f>IF(A338&lt;[3]关卡对接!$A$4,INDEX([3]关卡对接!$C$7:$C$141,A338),MATCH(E338,人物经验!$H$24:$H$573,1))</f>
        <v>275</v>
      </c>
      <c r="K338" s="12">
        <f>IF([3]关卡对接!F326="",INT(INDEX(人物经验!$J$24:$J$573,关卡!J338)*关卡!$S$7),[3]关卡对接!F326)</f>
        <v>2081</v>
      </c>
      <c r="L338" s="12">
        <f t="shared" si="47"/>
        <v>1.2</v>
      </c>
      <c r="M338" s="12">
        <f>L338/[4]货币基础!$B$4</f>
        <v>120</v>
      </c>
      <c r="N338" s="12">
        <f>IF(A338&lt;[3]关卡对接!$A$4,INDEX([3]关卡对接!$E$7:$E$141,A338),MATCH(E338,人物经验!$H$24:$H$573,1))</f>
        <v>275</v>
      </c>
      <c r="O338" s="12">
        <f>INDEX([2]关卡!$G$6:$G$2005,A338)</f>
        <v>3</v>
      </c>
      <c r="P338" s="13">
        <v>6</v>
      </c>
      <c r="Q338" s="12">
        <f>INT(P338/$S$15/O338*VLOOKUP(J338,[1]人物技能基础!$N$3:$O$553,2,0)*$U$15)</f>
        <v>9</v>
      </c>
      <c r="R338" s="12">
        <f t="shared" si="48"/>
        <v>112</v>
      </c>
    </row>
    <row r="339" spans="1:18" x14ac:dyDescent="0.15">
      <c r="A339" s="12">
        <v>321</v>
      </c>
      <c r="B339" s="12">
        <f t="shared" si="42"/>
        <v>2</v>
      </c>
      <c r="C339" s="12">
        <f t="shared" si="43"/>
        <v>1.1622049999999999</v>
      </c>
      <c r="D339" s="12">
        <f t="shared" si="44"/>
        <v>1.0204999999999798E-2</v>
      </c>
      <c r="E339" s="12">
        <f>SUM($D$19:D339)</f>
        <v>2.3622050000000003</v>
      </c>
      <c r="F339" s="12">
        <f t="shared" ref="F339:F402" si="49">$L$7*($M$7+$N$7*($A339/$B$3)^1+$O$7*($A339/$B$3)^2+$P$7*($A339/$B$3)^3+$Q$7*($A339/$B$3)^4)</f>
        <v>23.707178639044944</v>
      </c>
      <c r="G339" s="12">
        <f t="shared" ref="G339:G402" si="50">$L$11*($M$11+$N$11*($A339/$B$3)^1+$O$11*($A339/$B$3)^2+$P$11*($A339/$B$3)^3+$Q$11*($A339/$B$3)^4)</f>
        <v>25.597256614355938</v>
      </c>
      <c r="H339" s="12">
        <f t="shared" si="45"/>
        <v>85300</v>
      </c>
      <c r="I339" s="12">
        <f t="shared" si="46"/>
        <v>92100</v>
      </c>
      <c r="J339" s="12">
        <f>IF(A339&lt;[3]关卡对接!$A$4,INDEX([3]关卡对接!$C$7:$C$141,A339),MATCH(E339,人物经验!$H$24:$H$573,1))</f>
        <v>276</v>
      </c>
      <c r="K339" s="12">
        <f>IF([3]关卡对接!F327="",INT(INDEX(人物经验!$J$24:$J$573,关卡!J339)*关卡!$S$7),[3]关卡对接!F327)</f>
        <v>2124</v>
      </c>
      <c r="L339" s="12">
        <f t="shared" si="47"/>
        <v>1.2</v>
      </c>
      <c r="M339" s="12">
        <f>L339/[4]货币基础!$B$4</f>
        <v>120</v>
      </c>
      <c r="N339" s="12">
        <f>IF(A339&lt;[3]关卡对接!$A$4,INDEX([3]关卡对接!$E$7:$E$141,A339),MATCH(E339,人物经验!$H$24:$H$573,1))</f>
        <v>276</v>
      </c>
      <c r="O339" s="12">
        <f>INDEX([2]关卡!$G$6:$G$2005,A339)</f>
        <v>3</v>
      </c>
      <c r="P339" s="13">
        <v>6</v>
      </c>
      <c r="Q339" s="12">
        <f>INT(P339/$S$15/O339*VLOOKUP(J339,[1]人物技能基础!$N$3:$O$553,2,0)*$U$15)</f>
        <v>9</v>
      </c>
      <c r="R339" s="12">
        <f t="shared" si="48"/>
        <v>112</v>
      </c>
    </row>
    <row r="340" spans="1:18" x14ac:dyDescent="0.15">
      <c r="A340" s="12">
        <v>322</v>
      </c>
      <c r="B340" s="12">
        <f t="shared" ref="B340:B403" si="51">MATCH($A340,$A$5:$A$15,1)-1</f>
        <v>2</v>
      </c>
      <c r="C340" s="12">
        <f t="shared" ref="C340:C403" si="52">INDEX($C$5:$C$15,$B340+1)*(INDEX($E$5:$E$15,$B340+1)+INDEX($F$5:$F$15,$B340+1)*(($A340-INDEX($A$5:$A$15,$B340+1)+1)/(INDEX($B$5:$B$15,$B340+1)-INDEX($A$5:$A$15,$B340+1)+1))^1+INDEX($G$5:$G$15,$B340+1)*(($A340-INDEX($A$5:$A$15,$B340+1)+1)/(INDEX($B$5:$B$15,$B340+1)-INDEX($A$5:$A$15,$B340+1)+1))^2+INDEX($H$5:$H$15,$B340+1)*(($A340-INDEX($A$5:$A$15,$B340+1)+1)/(INDEX($B$5:$B$15,$B340+1)-INDEX($A$5:$A$15,$B340+1)+1))^3+INDEX($I$5:$I$15,$B340+1)*(($A340-INDEX($A$5:$A$15,$B340+1)+1)/(INDEX($B$5:$B$15,$B340+1)-INDEX($A$5:$A$15,$B340+1)+1))^4)</f>
        <v>1.17242</v>
      </c>
      <c r="D340" s="12">
        <f t="shared" ref="D340:D403" si="53">IF(ISNA(MATCH(A340,$A$6:$A$15,0)),C340-C339,C340)</f>
        <v>1.0215000000000085E-2</v>
      </c>
      <c r="E340" s="12">
        <f>SUM($D$19:D340)</f>
        <v>2.3724200000000004</v>
      </c>
      <c r="F340" s="12">
        <f t="shared" si="49"/>
        <v>23.804271698159003</v>
      </c>
      <c r="G340" s="12">
        <f t="shared" si="50"/>
        <v>25.677972482895001</v>
      </c>
      <c r="H340" s="12">
        <f t="shared" ref="H340:H403" si="54">INT(F340*60*60/100)*100</f>
        <v>85600</v>
      </c>
      <c r="I340" s="12">
        <f t="shared" ref="I340:I403" si="55">INT(G340*60*60/100)*100</f>
        <v>92400</v>
      </c>
      <c r="J340" s="12">
        <f>IF(A340&lt;[3]关卡对接!$A$4,INDEX([3]关卡对接!$C$7:$C$141,A340),MATCH(E340,人物经验!$H$24:$H$573,1))</f>
        <v>276</v>
      </c>
      <c r="K340" s="12">
        <f>IF([3]关卡对接!F328="",INT(INDEX(人物经验!$J$24:$J$573,关卡!J340)*关卡!$S$7),[3]关卡对接!F328)</f>
        <v>2124</v>
      </c>
      <c r="L340" s="12">
        <f t="shared" ref="L340:L403" si="56">VLOOKUP(A340,$A$5:$J$15,10,1)</f>
        <v>1.2</v>
      </c>
      <c r="M340" s="12">
        <f>L340/[4]货币基础!$B$4</f>
        <v>120</v>
      </c>
      <c r="N340" s="12">
        <f>IF(A340&lt;[3]关卡对接!$A$4,INDEX([3]关卡对接!$E$7:$E$141,A340),MATCH(E340,人物经验!$H$24:$H$573,1))</f>
        <v>276</v>
      </c>
      <c r="O340" s="12">
        <f>INDEX([2]关卡!$G$6:$G$2005,A340)</f>
        <v>3</v>
      </c>
      <c r="P340" s="13">
        <v>6</v>
      </c>
      <c r="Q340" s="12">
        <f>INT(P340/$S$15/O340*VLOOKUP(J340,[1]人物技能基础!$N$3:$O$553,2,0)*$U$15)</f>
        <v>9</v>
      </c>
      <c r="R340" s="12">
        <f t="shared" ref="R340:R403" si="57">INT(Q340*12.5)</f>
        <v>112</v>
      </c>
    </row>
    <row r="341" spans="1:18" x14ac:dyDescent="0.15">
      <c r="A341" s="12">
        <v>323</v>
      </c>
      <c r="B341" s="12">
        <f t="shared" si="51"/>
        <v>2</v>
      </c>
      <c r="C341" s="12">
        <f t="shared" si="52"/>
        <v>1.1826449999999999</v>
      </c>
      <c r="D341" s="12">
        <f t="shared" si="53"/>
        <v>1.0224999999999929E-2</v>
      </c>
      <c r="E341" s="12">
        <f>SUM($D$19:D341)</f>
        <v>2.3826450000000001</v>
      </c>
      <c r="F341" s="12">
        <f t="shared" si="49"/>
        <v>23.901568234759942</v>
      </c>
      <c r="G341" s="12">
        <f t="shared" si="50"/>
        <v>25.75880696393094</v>
      </c>
      <c r="H341" s="12">
        <f t="shared" si="54"/>
        <v>86000</v>
      </c>
      <c r="I341" s="12">
        <f t="shared" si="55"/>
        <v>92700</v>
      </c>
      <c r="J341" s="12">
        <f>IF(A341&lt;[3]关卡对接!$A$4,INDEX([3]关卡对接!$C$7:$C$141,A341),MATCH(E341,人物经验!$H$24:$H$573,1))</f>
        <v>276</v>
      </c>
      <c r="K341" s="12">
        <f>IF([3]关卡对接!F329="",INT(INDEX(人物经验!$J$24:$J$573,关卡!J341)*关卡!$S$7),[3]关卡对接!F329)</f>
        <v>2124</v>
      </c>
      <c r="L341" s="12">
        <f t="shared" si="56"/>
        <v>1.2</v>
      </c>
      <c r="M341" s="12">
        <f>L341/[4]货币基础!$B$4</f>
        <v>120</v>
      </c>
      <c r="N341" s="12">
        <f>IF(A341&lt;[3]关卡对接!$A$4,INDEX([3]关卡对接!$E$7:$E$141,A341),MATCH(E341,人物经验!$H$24:$H$573,1))</f>
        <v>276</v>
      </c>
      <c r="O341" s="12">
        <f>INDEX([2]关卡!$G$6:$G$2005,A341)</f>
        <v>3</v>
      </c>
      <c r="P341" s="13">
        <v>6</v>
      </c>
      <c r="Q341" s="12">
        <f>INT(P341/$S$15/O341*VLOOKUP(J341,[1]人物技能基础!$N$3:$O$553,2,0)*$U$15)</f>
        <v>9</v>
      </c>
      <c r="R341" s="12">
        <f t="shared" si="57"/>
        <v>112</v>
      </c>
    </row>
    <row r="342" spans="1:18" x14ac:dyDescent="0.15">
      <c r="A342" s="12">
        <v>324</v>
      </c>
      <c r="B342" s="12">
        <f t="shared" si="51"/>
        <v>2</v>
      </c>
      <c r="C342" s="12">
        <f t="shared" si="52"/>
        <v>1.1928800000000002</v>
      </c>
      <c r="D342" s="12">
        <f t="shared" si="53"/>
        <v>1.0235000000000216E-2</v>
      </c>
      <c r="E342" s="12">
        <f>SUM($D$19:D342)</f>
        <v>2.3928800000000003</v>
      </c>
      <c r="F342" s="12">
        <f t="shared" si="49"/>
        <v>23.999068666864002</v>
      </c>
      <c r="G342" s="12">
        <f t="shared" si="50"/>
        <v>25.839760215920002</v>
      </c>
      <c r="H342" s="12">
        <f t="shared" si="54"/>
        <v>86300</v>
      </c>
      <c r="I342" s="12">
        <f t="shared" si="55"/>
        <v>93000</v>
      </c>
      <c r="J342" s="12">
        <f>IF(A342&lt;[3]关卡对接!$A$4,INDEX([3]关卡对接!$C$7:$C$141,A342),MATCH(E342,人物经验!$H$24:$H$573,1))</f>
        <v>276</v>
      </c>
      <c r="K342" s="12">
        <f>IF([3]关卡对接!F330="",INT(INDEX(人物经验!$J$24:$J$573,关卡!J342)*关卡!$S$7),[3]关卡对接!F330)</f>
        <v>2124</v>
      </c>
      <c r="L342" s="12">
        <f t="shared" si="56"/>
        <v>1.2</v>
      </c>
      <c r="M342" s="12">
        <f>L342/[4]货币基础!$B$4</f>
        <v>120</v>
      </c>
      <c r="N342" s="12">
        <f>IF(A342&lt;[3]关卡对接!$A$4,INDEX([3]关卡对接!$E$7:$E$141,A342),MATCH(E342,人物经验!$H$24:$H$573,1))</f>
        <v>276</v>
      </c>
      <c r="O342" s="12">
        <f>INDEX([2]关卡!$G$6:$G$2005,A342)</f>
        <v>3</v>
      </c>
      <c r="P342" s="13">
        <v>6</v>
      </c>
      <c r="Q342" s="12">
        <f>INT(P342/$S$15/O342*VLOOKUP(J342,[1]人物技能基础!$N$3:$O$553,2,0)*$U$15)</f>
        <v>9</v>
      </c>
      <c r="R342" s="12">
        <f t="shared" si="57"/>
        <v>112</v>
      </c>
    </row>
    <row r="343" spans="1:18" x14ac:dyDescent="0.15">
      <c r="A343" s="12">
        <v>325</v>
      </c>
      <c r="B343" s="12">
        <f t="shared" si="51"/>
        <v>2</v>
      </c>
      <c r="C343" s="12">
        <f t="shared" si="52"/>
        <v>1.203125</v>
      </c>
      <c r="D343" s="12">
        <f t="shared" si="53"/>
        <v>1.0244999999999838E-2</v>
      </c>
      <c r="E343" s="12">
        <f>SUM($D$19:D343)</f>
        <v>2.4031250000000002</v>
      </c>
      <c r="F343" s="12">
        <f t="shared" si="49"/>
        <v>24.096773413085941</v>
      </c>
      <c r="G343" s="12">
        <f t="shared" si="50"/>
        <v>25.920832397460938</v>
      </c>
      <c r="H343" s="12">
        <f t="shared" si="54"/>
        <v>86700</v>
      </c>
      <c r="I343" s="12">
        <f t="shared" si="55"/>
        <v>93300</v>
      </c>
      <c r="J343" s="12">
        <f>IF(A343&lt;[3]关卡对接!$A$4,INDEX([3]关卡对接!$C$7:$C$141,A343),MATCH(E343,人物经验!$H$24:$H$573,1))</f>
        <v>276</v>
      </c>
      <c r="K343" s="12">
        <f>IF([3]关卡对接!F331="",INT(INDEX(人物经验!$J$24:$J$573,关卡!J343)*关卡!$S$7),[3]关卡对接!F331)</f>
        <v>2124</v>
      </c>
      <c r="L343" s="12">
        <f t="shared" si="56"/>
        <v>1.2</v>
      </c>
      <c r="M343" s="12">
        <f>L343/[4]货币基础!$B$4</f>
        <v>120</v>
      </c>
      <c r="N343" s="12">
        <f>IF(A343&lt;[3]关卡对接!$A$4,INDEX([3]关卡对接!$E$7:$E$141,A343),MATCH(E343,人物经验!$H$24:$H$573,1))</f>
        <v>276</v>
      </c>
      <c r="O343" s="12">
        <f>INDEX([2]关卡!$G$6:$G$2005,A343)</f>
        <v>3</v>
      </c>
      <c r="P343" s="13">
        <v>6</v>
      </c>
      <c r="Q343" s="12">
        <f>INT(P343/$S$15/O343*VLOOKUP(J343,[1]人物技能基础!$N$3:$O$553,2,0)*$U$15)</f>
        <v>9</v>
      </c>
      <c r="R343" s="12">
        <f t="shared" si="57"/>
        <v>112</v>
      </c>
    </row>
    <row r="344" spans="1:18" x14ac:dyDescent="0.15">
      <c r="A344" s="12">
        <v>326</v>
      </c>
      <c r="B344" s="12">
        <f t="shared" si="51"/>
        <v>2</v>
      </c>
      <c r="C344" s="12">
        <f t="shared" si="52"/>
        <v>1.2133800000000001</v>
      </c>
      <c r="D344" s="12">
        <f t="shared" si="53"/>
        <v>1.0255000000000125E-2</v>
      </c>
      <c r="E344" s="12">
        <f>SUM($D$19:D344)</f>
        <v>2.4133800000000001</v>
      </c>
      <c r="F344" s="12">
        <f t="shared" si="49"/>
        <v>24.194682892639005</v>
      </c>
      <c r="G344" s="12">
        <f t="shared" si="50"/>
        <v>26.002023667295006</v>
      </c>
      <c r="H344" s="12">
        <f t="shared" si="54"/>
        <v>87100</v>
      </c>
      <c r="I344" s="12">
        <f t="shared" si="55"/>
        <v>93600</v>
      </c>
      <c r="J344" s="12">
        <f>IF(A344&lt;[3]关卡对接!$A$4,INDEX([3]关卡对接!$C$7:$C$141,A344),MATCH(E344,人物经验!$H$24:$H$573,1))</f>
        <v>276</v>
      </c>
      <c r="K344" s="12">
        <f>IF([3]关卡对接!F332="",INT(INDEX(人物经验!$J$24:$J$573,关卡!J344)*关卡!$S$7),[3]关卡对接!F332)</f>
        <v>2124</v>
      </c>
      <c r="L344" s="12">
        <f t="shared" si="56"/>
        <v>1.2</v>
      </c>
      <c r="M344" s="12">
        <f>L344/[4]货币基础!$B$4</f>
        <v>120</v>
      </c>
      <c r="N344" s="12">
        <f>IF(A344&lt;[3]关卡对接!$A$4,INDEX([3]关卡对接!$E$7:$E$141,A344),MATCH(E344,人物经验!$H$24:$H$573,1))</f>
        <v>276</v>
      </c>
      <c r="O344" s="12">
        <f>INDEX([2]关卡!$G$6:$G$2005,A344)</f>
        <v>3</v>
      </c>
      <c r="P344" s="13">
        <v>6</v>
      </c>
      <c r="Q344" s="12">
        <f>INT(P344/$S$15/O344*VLOOKUP(J344,[1]人物技能基础!$N$3:$O$553,2,0)*$U$15)</f>
        <v>9</v>
      </c>
      <c r="R344" s="12">
        <f t="shared" si="57"/>
        <v>112</v>
      </c>
    </row>
    <row r="345" spans="1:18" x14ac:dyDescent="0.15">
      <c r="A345" s="12">
        <v>327</v>
      </c>
      <c r="B345" s="12">
        <f t="shared" si="51"/>
        <v>2</v>
      </c>
      <c r="C345" s="12">
        <f t="shared" si="52"/>
        <v>1.2236450000000001</v>
      </c>
      <c r="D345" s="12">
        <f t="shared" si="53"/>
        <v>1.0264999999999969E-2</v>
      </c>
      <c r="E345" s="12">
        <f>SUM($D$19:D345)</f>
        <v>2.423645</v>
      </c>
      <c r="F345" s="12">
        <f t="shared" si="49"/>
        <v>24.292797525334937</v>
      </c>
      <c r="G345" s="12">
        <f t="shared" si="50"/>
        <v>26.083334184305937</v>
      </c>
      <c r="H345" s="12">
        <f t="shared" si="54"/>
        <v>87400</v>
      </c>
      <c r="I345" s="12">
        <f t="shared" si="55"/>
        <v>93900</v>
      </c>
      <c r="J345" s="12">
        <f>IF(A345&lt;[3]关卡对接!$A$4,INDEX([3]关卡对接!$C$7:$C$141,A345),MATCH(E345,人物经验!$H$24:$H$573,1))</f>
        <v>277</v>
      </c>
      <c r="K345" s="12">
        <f>IF([3]关卡对接!F333="",INT(INDEX(人物经验!$J$24:$J$573,关卡!J345)*关卡!$S$7),[3]关卡对接!F333)</f>
        <v>2177</v>
      </c>
      <c r="L345" s="12">
        <f t="shared" si="56"/>
        <v>1.2</v>
      </c>
      <c r="M345" s="12">
        <f>L345/[4]货币基础!$B$4</f>
        <v>120</v>
      </c>
      <c r="N345" s="12">
        <f>IF(A345&lt;[3]关卡对接!$A$4,INDEX([3]关卡对接!$E$7:$E$141,A345),MATCH(E345,人物经验!$H$24:$H$573,1))</f>
        <v>277</v>
      </c>
      <c r="O345" s="12">
        <f>INDEX([2]关卡!$G$6:$G$2005,A345)</f>
        <v>3</v>
      </c>
      <c r="P345" s="13">
        <v>6</v>
      </c>
      <c r="Q345" s="12">
        <f>INT(P345/$S$15/O345*VLOOKUP(J345,[1]人物技能基础!$N$3:$O$553,2,0)*$U$15)</f>
        <v>9</v>
      </c>
      <c r="R345" s="12">
        <f t="shared" si="57"/>
        <v>112</v>
      </c>
    </row>
    <row r="346" spans="1:18" x14ac:dyDescent="0.15">
      <c r="A346" s="12">
        <v>328</v>
      </c>
      <c r="B346" s="12">
        <f t="shared" si="51"/>
        <v>2</v>
      </c>
      <c r="C346" s="12">
        <f t="shared" si="52"/>
        <v>1.2339200000000001</v>
      </c>
      <c r="D346" s="12">
        <f t="shared" si="53"/>
        <v>1.0275000000000034E-2</v>
      </c>
      <c r="E346" s="12">
        <f>SUM($D$19:D346)</f>
        <v>2.4339200000000001</v>
      </c>
      <c r="F346" s="12">
        <f t="shared" si="49"/>
        <v>24.391117731584004</v>
      </c>
      <c r="G346" s="12">
        <f t="shared" si="50"/>
        <v>26.16476410752</v>
      </c>
      <c r="H346" s="12">
        <f t="shared" si="54"/>
        <v>87800</v>
      </c>
      <c r="I346" s="12">
        <f t="shared" si="55"/>
        <v>94100</v>
      </c>
      <c r="J346" s="12">
        <f>IF(A346&lt;[3]关卡对接!$A$4,INDEX([3]关卡对接!$C$7:$C$141,A346),MATCH(E346,人物经验!$H$24:$H$573,1))</f>
        <v>277</v>
      </c>
      <c r="K346" s="12">
        <f>IF([3]关卡对接!F334="",INT(INDEX(人物经验!$J$24:$J$573,关卡!J346)*关卡!$S$7),[3]关卡对接!F334)</f>
        <v>2177</v>
      </c>
      <c r="L346" s="12">
        <f t="shared" si="56"/>
        <v>1.2</v>
      </c>
      <c r="M346" s="12">
        <f>L346/[4]货币基础!$B$4</f>
        <v>120</v>
      </c>
      <c r="N346" s="12">
        <f>IF(A346&lt;[3]关卡对接!$A$4,INDEX([3]关卡对接!$E$7:$E$141,A346),MATCH(E346,人物经验!$H$24:$H$573,1))</f>
        <v>277</v>
      </c>
      <c r="O346" s="12">
        <f>INDEX([2]关卡!$G$6:$G$2005,A346)</f>
        <v>3</v>
      </c>
      <c r="P346" s="13">
        <v>6</v>
      </c>
      <c r="Q346" s="12">
        <f>INT(P346/$S$15/O346*VLOOKUP(J346,[1]人物技能基础!$N$3:$O$553,2,0)*$U$15)</f>
        <v>9</v>
      </c>
      <c r="R346" s="12">
        <f t="shared" si="57"/>
        <v>112</v>
      </c>
    </row>
    <row r="347" spans="1:18" x14ac:dyDescent="0.15">
      <c r="A347" s="12">
        <v>329</v>
      </c>
      <c r="B347" s="12">
        <f t="shared" si="51"/>
        <v>2</v>
      </c>
      <c r="C347" s="12">
        <f t="shared" si="52"/>
        <v>1.244205</v>
      </c>
      <c r="D347" s="12">
        <f t="shared" si="53"/>
        <v>1.0284999999999878E-2</v>
      </c>
      <c r="E347" s="12">
        <f>SUM($D$19:D347)</f>
        <v>2.4442050000000002</v>
      </c>
      <c r="F347" s="12">
        <f t="shared" si="49"/>
        <v>24.489643932394941</v>
      </c>
      <c r="G347" s="12">
        <f t="shared" si="50"/>
        <v>26.246313596105942</v>
      </c>
      <c r="H347" s="12">
        <f t="shared" si="54"/>
        <v>88100</v>
      </c>
      <c r="I347" s="12">
        <f t="shared" si="55"/>
        <v>94400</v>
      </c>
      <c r="J347" s="12">
        <f>IF(A347&lt;[3]关卡对接!$A$4,INDEX([3]关卡对接!$C$7:$C$141,A347),MATCH(E347,人物经验!$H$24:$H$573,1))</f>
        <v>277</v>
      </c>
      <c r="K347" s="12">
        <f>IF([3]关卡对接!F335="",INT(INDEX(人物经验!$J$24:$J$573,关卡!J347)*关卡!$S$7),[3]关卡对接!F335)</f>
        <v>2177</v>
      </c>
      <c r="L347" s="12">
        <f t="shared" si="56"/>
        <v>1.2</v>
      </c>
      <c r="M347" s="12">
        <f>L347/[4]货币基础!$B$4</f>
        <v>120</v>
      </c>
      <c r="N347" s="12">
        <f>IF(A347&lt;[3]关卡对接!$A$4,INDEX([3]关卡对接!$E$7:$E$141,A347),MATCH(E347,人物经验!$H$24:$H$573,1))</f>
        <v>277</v>
      </c>
      <c r="O347" s="12">
        <f>INDEX([2]关卡!$G$6:$G$2005,A347)</f>
        <v>3</v>
      </c>
      <c r="P347" s="13">
        <v>6</v>
      </c>
      <c r="Q347" s="12">
        <f>INT(P347/$S$15/O347*VLOOKUP(J347,[1]人物技能基础!$N$3:$O$553,2,0)*$U$15)</f>
        <v>9</v>
      </c>
      <c r="R347" s="12">
        <f t="shared" si="57"/>
        <v>112</v>
      </c>
    </row>
    <row r="348" spans="1:18" x14ac:dyDescent="0.15">
      <c r="A348" s="12">
        <v>330</v>
      </c>
      <c r="B348" s="12">
        <f t="shared" si="51"/>
        <v>2</v>
      </c>
      <c r="C348" s="12">
        <f t="shared" si="52"/>
        <v>1.2545000000000002</v>
      </c>
      <c r="D348" s="12">
        <f t="shared" si="53"/>
        <v>1.0295000000000165E-2</v>
      </c>
      <c r="E348" s="12">
        <f>SUM($D$19:D348)</f>
        <v>2.4545000000000003</v>
      </c>
      <c r="F348" s="12">
        <f t="shared" si="49"/>
        <v>24.588376549375003</v>
      </c>
      <c r="G348" s="12">
        <f t="shared" si="50"/>
        <v>26.327982809375001</v>
      </c>
      <c r="H348" s="12">
        <f t="shared" si="54"/>
        <v>88500</v>
      </c>
      <c r="I348" s="12">
        <f t="shared" si="55"/>
        <v>94700</v>
      </c>
      <c r="J348" s="12">
        <f>IF(A348&lt;[3]关卡对接!$A$4,INDEX([3]关卡对接!$C$7:$C$141,A348),MATCH(E348,人物经验!$H$24:$H$573,1))</f>
        <v>277</v>
      </c>
      <c r="K348" s="12">
        <f>IF([3]关卡对接!F336="",INT(INDEX(人物经验!$J$24:$J$573,关卡!J348)*关卡!$S$7),[3]关卡对接!F336)</f>
        <v>2177</v>
      </c>
      <c r="L348" s="12">
        <f t="shared" si="56"/>
        <v>1.2</v>
      </c>
      <c r="M348" s="12">
        <f>L348/[4]货币基础!$B$4</f>
        <v>120</v>
      </c>
      <c r="N348" s="12">
        <f>IF(A348&lt;[3]关卡对接!$A$4,INDEX([3]关卡对接!$E$7:$E$141,A348),MATCH(E348,人物经验!$H$24:$H$573,1))</f>
        <v>277</v>
      </c>
      <c r="O348" s="12">
        <f>INDEX([2]关卡!$G$6:$G$2005,A348)</f>
        <v>3</v>
      </c>
      <c r="P348" s="13">
        <v>6</v>
      </c>
      <c r="Q348" s="12">
        <f>INT(P348/$S$15/O348*VLOOKUP(J348,[1]人物技能基础!$N$3:$O$553,2,0)*$U$15)</f>
        <v>9</v>
      </c>
      <c r="R348" s="12">
        <f t="shared" si="57"/>
        <v>112</v>
      </c>
    </row>
    <row r="349" spans="1:18" x14ac:dyDescent="0.15">
      <c r="A349" s="12">
        <v>331</v>
      </c>
      <c r="B349" s="12">
        <f t="shared" si="51"/>
        <v>2</v>
      </c>
      <c r="C349" s="12">
        <f t="shared" si="52"/>
        <v>1.264805</v>
      </c>
      <c r="D349" s="12">
        <f t="shared" si="53"/>
        <v>1.0304999999999787E-2</v>
      </c>
      <c r="E349" s="12">
        <f>SUM($D$19:D349)</f>
        <v>2.4648050000000001</v>
      </c>
      <c r="F349" s="12">
        <f t="shared" si="49"/>
        <v>24.687316004729944</v>
      </c>
      <c r="G349" s="12">
        <f t="shared" si="50"/>
        <v>26.409771906780936</v>
      </c>
      <c r="H349" s="12">
        <f t="shared" si="54"/>
        <v>88800</v>
      </c>
      <c r="I349" s="12">
        <f t="shared" si="55"/>
        <v>95000</v>
      </c>
      <c r="J349" s="12">
        <f>IF(A349&lt;[3]关卡对接!$A$4,INDEX([3]关卡对接!$C$7:$C$141,A349),MATCH(E349,人物经验!$H$24:$H$573,1))</f>
        <v>277</v>
      </c>
      <c r="K349" s="12">
        <f>IF([3]关卡对接!F337="",INT(INDEX(人物经验!$J$24:$J$573,关卡!J349)*关卡!$S$7),[3]关卡对接!F337)</f>
        <v>2177</v>
      </c>
      <c r="L349" s="12">
        <f t="shared" si="56"/>
        <v>1.2</v>
      </c>
      <c r="M349" s="12">
        <f>L349/[4]货币基础!$B$4</f>
        <v>120</v>
      </c>
      <c r="N349" s="12">
        <f>IF(A349&lt;[3]关卡对接!$A$4,INDEX([3]关卡对接!$E$7:$E$141,A349),MATCH(E349,人物经验!$H$24:$H$573,1))</f>
        <v>277</v>
      </c>
      <c r="O349" s="12">
        <f>INDEX([2]关卡!$G$6:$G$2005,A349)</f>
        <v>3</v>
      </c>
      <c r="P349" s="13">
        <v>6</v>
      </c>
      <c r="Q349" s="12">
        <f>INT(P349/$S$15/O349*VLOOKUP(J349,[1]人物技能基础!$N$3:$O$553,2,0)*$U$15)</f>
        <v>9</v>
      </c>
      <c r="R349" s="12">
        <f t="shared" si="57"/>
        <v>112</v>
      </c>
    </row>
    <row r="350" spans="1:18" x14ac:dyDescent="0.15">
      <c r="A350" s="12">
        <v>332</v>
      </c>
      <c r="B350" s="12">
        <f t="shared" si="51"/>
        <v>2</v>
      </c>
      <c r="C350" s="12">
        <f t="shared" si="52"/>
        <v>1.2751200000000003</v>
      </c>
      <c r="D350" s="12">
        <f t="shared" si="53"/>
        <v>1.0315000000000296E-2</v>
      </c>
      <c r="E350" s="12">
        <f>SUM($D$19:D350)</f>
        <v>2.4751200000000004</v>
      </c>
      <c r="F350" s="12">
        <f t="shared" si="49"/>
        <v>24.786462721264002</v>
      </c>
      <c r="G350" s="12">
        <f t="shared" si="50"/>
        <v>26.491681047920004</v>
      </c>
      <c r="H350" s="12">
        <f t="shared" si="54"/>
        <v>89200</v>
      </c>
      <c r="I350" s="12">
        <f t="shared" si="55"/>
        <v>95300</v>
      </c>
      <c r="J350" s="12">
        <f>IF(A350&lt;[3]关卡对接!$A$4,INDEX([3]关卡对接!$C$7:$C$141,A350),MATCH(E350,人物经验!$H$24:$H$573,1))</f>
        <v>277</v>
      </c>
      <c r="K350" s="12">
        <f>IF([3]关卡对接!F338="",INT(INDEX(人物经验!$J$24:$J$573,关卡!J350)*关卡!$S$7),[3]关卡对接!F338)</f>
        <v>2177</v>
      </c>
      <c r="L350" s="12">
        <f t="shared" si="56"/>
        <v>1.2</v>
      </c>
      <c r="M350" s="12">
        <f>L350/[4]货币基础!$B$4</f>
        <v>120</v>
      </c>
      <c r="N350" s="12">
        <f>IF(A350&lt;[3]关卡对接!$A$4,INDEX([3]关卡对接!$E$7:$E$141,A350),MATCH(E350,人物经验!$H$24:$H$573,1))</f>
        <v>277</v>
      </c>
      <c r="O350" s="12">
        <f>INDEX([2]关卡!$G$6:$G$2005,A350)</f>
        <v>3</v>
      </c>
      <c r="P350" s="13">
        <v>6</v>
      </c>
      <c r="Q350" s="12">
        <f>INT(P350/$S$15/O350*VLOOKUP(J350,[1]人物技能基础!$N$3:$O$553,2,0)*$U$15)</f>
        <v>9</v>
      </c>
      <c r="R350" s="12">
        <f t="shared" si="57"/>
        <v>112</v>
      </c>
    </row>
    <row r="351" spans="1:18" x14ac:dyDescent="0.15">
      <c r="A351" s="12">
        <v>333</v>
      </c>
      <c r="B351" s="12">
        <f t="shared" si="51"/>
        <v>2</v>
      </c>
      <c r="C351" s="12">
        <f t="shared" si="52"/>
        <v>1.2854450000000002</v>
      </c>
      <c r="D351" s="12">
        <f t="shared" si="53"/>
        <v>1.0324999999999918E-2</v>
      </c>
      <c r="E351" s="12">
        <f>SUM($D$19:D351)</f>
        <v>2.4854450000000003</v>
      </c>
      <c r="F351" s="12">
        <f t="shared" si="49"/>
        <v>24.885817122379944</v>
      </c>
      <c r="G351" s="12">
        <f t="shared" si="50"/>
        <v>26.573710392530941</v>
      </c>
      <c r="H351" s="12">
        <f t="shared" si="54"/>
        <v>89500</v>
      </c>
      <c r="I351" s="12">
        <f t="shared" si="55"/>
        <v>95600</v>
      </c>
      <c r="J351" s="12">
        <f>IF(A351&lt;[3]关卡对接!$A$4,INDEX([3]关卡对接!$C$7:$C$141,A351),MATCH(E351,人物经验!$H$24:$H$573,1))</f>
        <v>278</v>
      </c>
      <c r="K351" s="12">
        <f>IF([3]关卡对接!F339="",INT(INDEX(人物经验!$J$24:$J$573,关卡!J351)*关卡!$S$7),[3]关卡对接!F339)</f>
        <v>2230</v>
      </c>
      <c r="L351" s="12">
        <f t="shared" si="56"/>
        <v>1.2</v>
      </c>
      <c r="M351" s="12">
        <f>L351/[4]货币基础!$B$4</f>
        <v>120</v>
      </c>
      <c r="N351" s="12">
        <f>IF(A351&lt;[3]关卡对接!$A$4,INDEX([3]关卡对接!$E$7:$E$141,A351),MATCH(E351,人物经验!$H$24:$H$573,1))</f>
        <v>278</v>
      </c>
      <c r="O351" s="12">
        <f>INDEX([2]关卡!$G$6:$G$2005,A351)</f>
        <v>3</v>
      </c>
      <c r="P351" s="13">
        <v>6</v>
      </c>
      <c r="Q351" s="12">
        <f>INT(P351/$S$15/O351*VLOOKUP(J351,[1]人物技能基础!$N$3:$O$553,2,0)*$U$15)</f>
        <v>9</v>
      </c>
      <c r="R351" s="12">
        <f t="shared" si="57"/>
        <v>112</v>
      </c>
    </row>
    <row r="352" spans="1:18" x14ac:dyDescent="0.15">
      <c r="A352" s="12">
        <v>334</v>
      </c>
      <c r="B352" s="12">
        <f t="shared" si="51"/>
        <v>2</v>
      </c>
      <c r="C352" s="12">
        <f t="shared" si="52"/>
        <v>1.2957800000000002</v>
      </c>
      <c r="D352" s="12">
        <f t="shared" si="53"/>
        <v>1.0334999999999983E-2</v>
      </c>
      <c r="E352" s="12">
        <f>SUM($D$19:D352)</f>
        <v>2.4957800000000003</v>
      </c>
      <c r="F352" s="12">
        <f t="shared" si="49"/>
        <v>24.985379632079006</v>
      </c>
      <c r="G352" s="12">
        <f t="shared" si="50"/>
        <v>26.655860100495008</v>
      </c>
      <c r="H352" s="12">
        <f t="shared" si="54"/>
        <v>89900</v>
      </c>
      <c r="I352" s="12">
        <f t="shared" si="55"/>
        <v>95900</v>
      </c>
      <c r="J352" s="12">
        <f>IF(A352&lt;[3]关卡对接!$A$4,INDEX([3]关卡对接!$C$7:$C$141,A352),MATCH(E352,人物经验!$H$24:$H$573,1))</f>
        <v>278</v>
      </c>
      <c r="K352" s="12">
        <f>IF([3]关卡对接!F340="",INT(INDEX(人物经验!$J$24:$J$573,关卡!J352)*关卡!$S$7),[3]关卡对接!F340)</f>
        <v>2230</v>
      </c>
      <c r="L352" s="12">
        <f t="shared" si="56"/>
        <v>1.2</v>
      </c>
      <c r="M352" s="12">
        <f>L352/[4]货币基础!$B$4</f>
        <v>120</v>
      </c>
      <c r="N352" s="12">
        <f>IF(A352&lt;[3]关卡对接!$A$4,INDEX([3]关卡对接!$E$7:$E$141,A352),MATCH(E352,人物经验!$H$24:$H$573,1))</f>
        <v>278</v>
      </c>
      <c r="O352" s="12">
        <f>INDEX([2]关卡!$G$6:$G$2005,A352)</f>
        <v>3</v>
      </c>
      <c r="P352" s="13">
        <v>6</v>
      </c>
      <c r="Q352" s="12">
        <f>INT(P352/$S$15/O352*VLOOKUP(J352,[1]人物技能基础!$N$3:$O$553,2,0)*$U$15)</f>
        <v>9</v>
      </c>
      <c r="R352" s="12">
        <f t="shared" si="57"/>
        <v>112</v>
      </c>
    </row>
    <row r="353" spans="1:18" x14ac:dyDescent="0.15">
      <c r="A353" s="12">
        <v>335</v>
      </c>
      <c r="B353" s="12">
        <f t="shared" si="51"/>
        <v>2</v>
      </c>
      <c r="C353" s="12">
        <f t="shared" si="52"/>
        <v>1.3061250000000002</v>
      </c>
      <c r="D353" s="12">
        <f t="shared" si="53"/>
        <v>1.0345000000000049E-2</v>
      </c>
      <c r="E353" s="12">
        <f>SUM($D$19:D353)</f>
        <v>2.5061250000000004</v>
      </c>
      <c r="F353" s="12">
        <f t="shared" si="49"/>
        <v>25.085150674960943</v>
      </c>
      <c r="G353" s="12">
        <f t="shared" si="50"/>
        <v>26.73813033183594</v>
      </c>
      <c r="H353" s="12">
        <f t="shared" si="54"/>
        <v>90300</v>
      </c>
      <c r="I353" s="12">
        <f t="shared" si="55"/>
        <v>96200</v>
      </c>
      <c r="J353" s="12">
        <f>IF(A353&lt;[3]关卡对接!$A$4,INDEX([3]关卡对接!$C$7:$C$141,A353),MATCH(E353,人物经验!$H$24:$H$573,1))</f>
        <v>278</v>
      </c>
      <c r="K353" s="12">
        <f>IF([3]关卡对接!F341="",INT(INDEX(人物经验!$J$24:$J$573,关卡!J353)*关卡!$S$7),[3]关卡对接!F341)</f>
        <v>2230</v>
      </c>
      <c r="L353" s="12">
        <f t="shared" si="56"/>
        <v>1.2</v>
      </c>
      <c r="M353" s="12">
        <f>L353/[4]货币基础!$B$4</f>
        <v>120</v>
      </c>
      <c r="N353" s="12">
        <f>IF(A353&lt;[3]关卡对接!$A$4,INDEX([3]关卡对接!$E$7:$E$141,A353),MATCH(E353,人物经验!$H$24:$H$573,1))</f>
        <v>278</v>
      </c>
      <c r="O353" s="12">
        <f>INDEX([2]关卡!$G$6:$G$2005,A353)</f>
        <v>3</v>
      </c>
      <c r="P353" s="13">
        <v>6</v>
      </c>
      <c r="Q353" s="12">
        <f>INT(P353/$S$15/O353*VLOOKUP(J353,[1]人物技能基础!$N$3:$O$553,2,0)*$U$15)</f>
        <v>9</v>
      </c>
      <c r="R353" s="12">
        <f t="shared" si="57"/>
        <v>112</v>
      </c>
    </row>
    <row r="354" spans="1:18" x14ac:dyDescent="0.15">
      <c r="A354" s="12">
        <v>336</v>
      </c>
      <c r="B354" s="12">
        <f t="shared" si="51"/>
        <v>2</v>
      </c>
      <c r="C354" s="12">
        <f t="shared" si="52"/>
        <v>1.3164800000000003</v>
      </c>
      <c r="D354" s="12">
        <f t="shared" si="53"/>
        <v>1.0355000000000114E-2</v>
      </c>
      <c r="E354" s="12">
        <f>SUM($D$19:D354)</f>
        <v>2.5164800000000005</v>
      </c>
      <c r="F354" s="12">
        <f t="shared" si="49"/>
        <v>25.185130676224002</v>
      </c>
      <c r="G354" s="12">
        <f t="shared" si="50"/>
        <v>26.820521246720006</v>
      </c>
      <c r="H354" s="12">
        <f t="shared" si="54"/>
        <v>90600</v>
      </c>
      <c r="I354" s="12">
        <f t="shared" si="55"/>
        <v>96500</v>
      </c>
      <c r="J354" s="12">
        <f>IF(A354&lt;[3]关卡对接!$A$4,INDEX([3]关卡对接!$C$7:$C$141,A354),MATCH(E354,人物经验!$H$24:$H$573,1))</f>
        <v>278</v>
      </c>
      <c r="K354" s="12">
        <f>IF([3]关卡对接!F342="",INT(INDEX(人物经验!$J$24:$J$573,关卡!J354)*关卡!$S$7),[3]关卡对接!F342)</f>
        <v>2230</v>
      </c>
      <c r="L354" s="12">
        <f t="shared" si="56"/>
        <v>1.2</v>
      </c>
      <c r="M354" s="12">
        <f>L354/[4]货币基础!$B$4</f>
        <v>120</v>
      </c>
      <c r="N354" s="12">
        <f>IF(A354&lt;[3]关卡对接!$A$4,INDEX([3]关卡对接!$E$7:$E$141,A354),MATCH(E354,人物经验!$H$24:$H$573,1))</f>
        <v>278</v>
      </c>
      <c r="O354" s="12">
        <f>INDEX([2]关卡!$G$6:$G$2005,A354)</f>
        <v>3</v>
      </c>
      <c r="P354" s="13">
        <v>6</v>
      </c>
      <c r="Q354" s="12">
        <f>INT(P354/$S$15/O354*VLOOKUP(J354,[1]人物技能基础!$N$3:$O$553,2,0)*$U$15)</f>
        <v>9</v>
      </c>
      <c r="R354" s="12">
        <f t="shared" si="57"/>
        <v>112</v>
      </c>
    </row>
    <row r="355" spans="1:18" x14ac:dyDescent="0.15">
      <c r="A355" s="12">
        <v>337</v>
      </c>
      <c r="B355" s="12">
        <f t="shared" si="51"/>
        <v>2</v>
      </c>
      <c r="C355" s="12">
        <f t="shared" si="52"/>
        <v>1.3268450000000001</v>
      </c>
      <c r="D355" s="12">
        <f t="shared" si="53"/>
        <v>1.0364999999999736E-2</v>
      </c>
      <c r="E355" s="12">
        <f>SUM($D$19:D355)</f>
        <v>2.5268450000000002</v>
      </c>
      <c r="F355" s="12">
        <f t="shared" si="49"/>
        <v>25.28532006166494</v>
      </c>
      <c r="G355" s="12">
        <f t="shared" si="50"/>
        <v>26.903033005455942</v>
      </c>
      <c r="H355" s="12">
        <f t="shared" si="54"/>
        <v>91000</v>
      </c>
      <c r="I355" s="12">
        <f t="shared" si="55"/>
        <v>96800</v>
      </c>
      <c r="J355" s="12">
        <f>IF(A355&lt;[3]关卡对接!$A$4,INDEX([3]关卡对接!$C$7:$C$141,A355),MATCH(E355,人物经验!$H$24:$H$573,1))</f>
        <v>278</v>
      </c>
      <c r="K355" s="12">
        <f>IF([3]关卡对接!F343="",INT(INDEX(人物经验!$J$24:$J$573,关卡!J355)*关卡!$S$7),[3]关卡对接!F343)</f>
        <v>2230</v>
      </c>
      <c r="L355" s="12">
        <f t="shared" si="56"/>
        <v>1.2</v>
      </c>
      <c r="M355" s="12">
        <f>L355/[4]货币基础!$B$4</f>
        <v>120</v>
      </c>
      <c r="N355" s="12">
        <f>IF(A355&lt;[3]关卡对接!$A$4,INDEX([3]关卡对接!$E$7:$E$141,A355),MATCH(E355,人物经验!$H$24:$H$573,1))</f>
        <v>278</v>
      </c>
      <c r="O355" s="12">
        <f>INDEX([2]关卡!$G$6:$G$2005,A355)</f>
        <v>3</v>
      </c>
      <c r="P355" s="13">
        <v>6</v>
      </c>
      <c r="Q355" s="12">
        <f>INT(P355/$S$15/O355*VLOOKUP(J355,[1]人物技能基础!$N$3:$O$553,2,0)*$U$15)</f>
        <v>9</v>
      </c>
      <c r="R355" s="12">
        <f t="shared" si="57"/>
        <v>112</v>
      </c>
    </row>
    <row r="356" spans="1:18" x14ac:dyDescent="0.15">
      <c r="A356" s="12">
        <v>338</v>
      </c>
      <c r="B356" s="12">
        <f t="shared" si="51"/>
        <v>2</v>
      </c>
      <c r="C356" s="12">
        <f t="shared" si="52"/>
        <v>1.3372200000000001</v>
      </c>
      <c r="D356" s="12">
        <f t="shared" si="53"/>
        <v>1.0375000000000023E-2</v>
      </c>
      <c r="E356" s="12">
        <f>SUM($D$19:D356)</f>
        <v>2.5372200000000005</v>
      </c>
      <c r="F356" s="12">
        <f t="shared" si="49"/>
        <v>25.385719257679003</v>
      </c>
      <c r="G356" s="12">
        <f t="shared" si="50"/>
        <v>26.985665768495004</v>
      </c>
      <c r="H356" s="12">
        <f t="shared" si="54"/>
        <v>91300</v>
      </c>
      <c r="I356" s="12">
        <f t="shared" si="55"/>
        <v>97100</v>
      </c>
      <c r="J356" s="12">
        <f>IF(A356&lt;[3]关卡对接!$A$4,INDEX([3]关卡对接!$C$7:$C$141,A356),MATCH(E356,人物经验!$H$24:$H$573,1))</f>
        <v>278</v>
      </c>
      <c r="K356" s="12">
        <f>IF([3]关卡对接!F344="",INT(INDEX(人物经验!$J$24:$J$573,关卡!J356)*关卡!$S$7),[3]关卡对接!F344)</f>
        <v>2230</v>
      </c>
      <c r="L356" s="12">
        <f t="shared" si="56"/>
        <v>1.2</v>
      </c>
      <c r="M356" s="12">
        <f>L356/[4]货币基础!$B$4</f>
        <v>120</v>
      </c>
      <c r="N356" s="12">
        <f>IF(A356&lt;[3]关卡对接!$A$4,INDEX([3]关卡对接!$E$7:$E$141,A356),MATCH(E356,人物经验!$H$24:$H$573,1))</f>
        <v>278</v>
      </c>
      <c r="O356" s="12">
        <f>INDEX([2]关卡!$G$6:$G$2005,A356)</f>
        <v>3</v>
      </c>
      <c r="P356" s="13">
        <v>6</v>
      </c>
      <c r="Q356" s="12">
        <f>INT(P356/$S$15/O356*VLOOKUP(J356,[1]人物技能基础!$N$3:$O$553,2,0)*$U$15)</f>
        <v>9</v>
      </c>
      <c r="R356" s="12">
        <f t="shared" si="57"/>
        <v>112</v>
      </c>
    </row>
    <row r="357" spans="1:18" x14ac:dyDescent="0.15">
      <c r="A357" s="12">
        <v>339</v>
      </c>
      <c r="B357" s="12">
        <f t="shared" si="51"/>
        <v>2</v>
      </c>
      <c r="C357" s="12">
        <f t="shared" si="52"/>
        <v>1.3476049999999999</v>
      </c>
      <c r="D357" s="12">
        <f t="shared" si="53"/>
        <v>1.0384999999999867E-2</v>
      </c>
      <c r="E357" s="12">
        <f>SUM($D$19:D357)</f>
        <v>2.5476050000000003</v>
      </c>
      <c r="F357" s="12">
        <f t="shared" si="49"/>
        <v>25.486328691259942</v>
      </c>
      <c r="G357" s="12">
        <f t="shared" si="50"/>
        <v>27.068419696430944</v>
      </c>
      <c r="H357" s="12">
        <f t="shared" si="54"/>
        <v>91700</v>
      </c>
      <c r="I357" s="12">
        <f t="shared" si="55"/>
        <v>97400</v>
      </c>
      <c r="J357" s="12">
        <f>IF(A357&lt;[3]关卡对接!$A$4,INDEX([3]关卡对接!$C$7:$C$141,A357),MATCH(E357,人物经验!$H$24:$H$573,1))</f>
        <v>279</v>
      </c>
      <c r="K357" s="12">
        <f>IF([3]关卡对接!F345="",INT(INDEX(人物经验!$J$24:$J$573,关卡!J357)*关卡!$S$7),[3]关卡对接!F345)</f>
        <v>2284</v>
      </c>
      <c r="L357" s="12">
        <f t="shared" si="56"/>
        <v>1.2</v>
      </c>
      <c r="M357" s="12">
        <f>L357/[4]货币基础!$B$4</f>
        <v>120</v>
      </c>
      <c r="N357" s="12">
        <f>IF(A357&lt;[3]关卡对接!$A$4,INDEX([3]关卡对接!$E$7:$E$141,A357),MATCH(E357,人物经验!$H$24:$H$573,1))</f>
        <v>279</v>
      </c>
      <c r="O357" s="12">
        <f>INDEX([2]关卡!$G$6:$G$2005,A357)</f>
        <v>3</v>
      </c>
      <c r="P357" s="13">
        <v>6</v>
      </c>
      <c r="Q357" s="12">
        <f>INT(P357/$S$15/O357*VLOOKUP(J357,[1]人物技能基础!$N$3:$O$553,2,0)*$U$15)</f>
        <v>9</v>
      </c>
      <c r="R357" s="12">
        <f t="shared" si="57"/>
        <v>112</v>
      </c>
    </row>
    <row r="358" spans="1:18" x14ac:dyDescent="0.15">
      <c r="A358" s="12">
        <v>340</v>
      </c>
      <c r="B358" s="12">
        <f t="shared" si="51"/>
        <v>2</v>
      </c>
      <c r="C358" s="12">
        <f t="shared" si="52"/>
        <v>1.3580000000000001</v>
      </c>
      <c r="D358" s="12">
        <f t="shared" si="53"/>
        <v>1.0395000000000154E-2</v>
      </c>
      <c r="E358" s="12">
        <f>SUM($D$19:D358)</f>
        <v>2.5580000000000007</v>
      </c>
      <c r="F358" s="12">
        <f t="shared" si="49"/>
        <v>25.587148790000004</v>
      </c>
      <c r="G358" s="12">
        <f t="shared" si="50"/>
        <v>27.151294950000004</v>
      </c>
      <c r="H358" s="12">
        <f t="shared" si="54"/>
        <v>92100</v>
      </c>
      <c r="I358" s="12">
        <f t="shared" si="55"/>
        <v>97700</v>
      </c>
      <c r="J358" s="12">
        <f>IF(A358&lt;[3]关卡对接!$A$4,INDEX([3]关卡对接!$C$7:$C$141,A358),MATCH(E358,人物经验!$H$24:$H$573,1))</f>
        <v>279</v>
      </c>
      <c r="K358" s="12">
        <f>IF([3]关卡对接!F346="",INT(INDEX(人物经验!$J$24:$J$573,关卡!J358)*关卡!$S$7),[3]关卡对接!F346)</f>
        <v>2284</v>
      </c>
      <c r="L358" s="12">
        <f t="shared" si="56"/>
        <v>1.2</v>
      </c>
      <c r="M358" s="12">
        <f>L358/[4]货币基础!$B$4</f>
        <v>120</v>
      </c>
      <c r="N358" s="12">
        <f>IF(A358&lt;[3]关卡对接!$A$4,INDEX([3]关卡对接!$E$7:$E$141,A358),MATCH(E358,人物经验!$H$24:$H$573,1))</f>
        <v>279</v>
      </c>
      <c r="O358" s="12">
        <f>INDEX([2]关卡!$G$6:$G$2005,A358)</f>
        <v>3</v>
      </c>
      <c r="P358" s="13">
        <v>6</v>
      </c>
      <c r="Q358" s="12">
        <f>INT(P358/$S$15/O358*VLOOKUP(J358,[1]人物技能基础!$N$3:$O$553,2,0)*$U$15)</f>
        <v>9</v>
      </c>
      <c r="R358" s="12">
        <f t="shared" si="57"/>
        <v>112</v>
      </c>
    </row>
    <row r="359" spans="1:18" x14ac:dyDescent="0.15">
      <c r="A359" s="12">
        <v>341</v>
      </c>
      <c r="B359" s="12">
        <f t="shared" si="51"/>
        <v>2</v>
      </c>
      <c r="C359" s="12">
        <f t="shared" si="52"/>
        <v>1.3684049999999999</v>
      </c>
      <c r="D359" s="12">
        <f t="shared" si="53"/>
        <v>1.0404999999999776E-2</v>
      </c>
      <c r="E359" s="12">
        <f>SUM($D$19:D359)</f>
        <v>2.5684050000000003</v>
      </c>
      <c r="F359" s="12">
        <f t="shared" si="49"/>
        <v>25.688179982089942</v>
      </c>
      <c r="G359" s="12">
        <f t="shared" si="50"/>
        <v>27.234291690080941</v>
      </c>
      <c r="H359" s="12">
        <f t="shared" si="54"/>
        <v>92400</v>
      </c>
      <c r="I359" s="12">
        <f t="shared" si="55"/>
        <v>98000</v>
      </c>
      <c r="J359" s="12">
        <f>IF(A359&lt;[3]关卡对接!$A$4,INDEX([3]关卡对接!$C$7:$C$141,A359),MATCH(E359,人物经验!$H$24:$H$573,1))</f>
        <v>279</v>
      </c>
      <c r="K359" s="12">
        <f>IF([3]关卡对接!F347="",INT(INDEX(人物经验!$J$24:$J$573,关卡!J359)*关卡!$S$7),[3]关卡对接!F347)</f>
        <v>2284</v>
      </c>
      <c r="L359" s="12">
        <f t="shared" si="56"/>
        <v>1.2</v>
      </c>
      <c r="M359" s="12">
        <f>L359/[4]货币基础!$B$4</f>
        <v>120</v>
      </c>
      <c r="N359" s="12">
        <f>IF(A359&lt;[3]关卡对接!$A$4,INDEX([3]关卡对接!$E$7:$E$141,A359),MATCH(E359,人物经验!$H$24:$H$573,1))</f>
        <v>279</v>
      </c>
      <c r="O359" s="12">
        <f>INDEX([2]关卡!$G$6:$G$2005,A359)</f>
        <v>3</v>
      </c>
      <c r="P359" s="13">
        <v>6</v>
      </c>
      <c r="Q359" s="12">
        <f>INT(P359/$S$15/O359*VLOOKUP(J359,[1]人物技能基础!$N$3:$O$553,2,0)*$U$15)</f>
        <v>9</v>
      </c>
      <c r="R359" s="12">
        <f t="shared" si="57"/>
        <v>112</v>
      </c>
    </row>
    <row r="360" spans="1:18" x14ac:dyDescent="0.15">
      <c r="A360" s="12">
        <v>342</v>
      </c>
      <c r="B360" s="12">
        <f t="shared" si="51"/>
        <v>2</v>
      </c>
      <c r="C360" s="12">
        <f t="shared" si="52"/>
        <v>1.3788199999999999</v>
      </c>
      <c r="D360" s="12">
        <f t="shared" si="53"/>
        <v>1.0415000000000063E-2</v>
      </c>
      <c r="E360" s="12">
        <f>SUM($D$19:D360)</f>
        <v>2.5788200000000003</v>
      </c>
      <c r="F360" s="12">
        <f t="shared" si="49"/>
        <v>25.789422696319001</v>
      </c>
      <c r="G360" s="12">
        <f t="shared" si="50"/>
        <v>27.317410077695001</v>
      </c>
      <c r="H360" s="12">
        <f t="shared" si="54"/>
        <v>92800</v>
      </c>
      <c r="I360" s="12">
        <f t="shared" si="55"/>
        <v>98300</v>
      </c>
      <c r="J360" s="12">
        <f>IF(A360&lt;[3]关卡对接!$A$4,INDEX([3]关卡对接!$C$7:$C$141,A360),MATCH(E360,人物经验!$H$24:$H$573,1))</f>
        <v>279</v>
      </c>
      <c r="K360" s="12">
        <f>IF([3]关卡对接!F348="",INT(INDEX(人物经验!$J$24:$J$573,关卡!J360)*关卡!$S$7),[3]关卡对接!F348)</f>
        <v>2284</v>
      </c>
      <c r="L360" s="12">
        <f t="shared" si="56"/>
        <v>1.2</v>
      </c>
      <c r="M360" s="12">
        <f>L360/[4]货币基础!$B$4</f>
        <v>120</v>
      </c>
      <c r="N360" s="12">
        <f>IF(A360&lt;[3]关卡对接!$A$4,INDEX([3]关卡对接!$E$7:$E$141,A360),MATCH(E360,人物经验!$H$24:$H$573,1))</f>
        <v>279</v>
      </c>
      <c r="O360" s="12">
        <f>INDEX([2]关卡!$G$6:$G$2005,A360)</f>
        <v>3</v>
      </c>
      <c r="P360" s="13">
        <v>6</v>
      </c>
      <c r="Q360" s="12">
        <f>INT(P360/$S$15/O360*VLOOKUP(J360,[1]人物技能基础!$N$3:$O$553,2,0)*$U$15)</f>
        <v>9</v>
      </c>
      <c r="R360" s="12">
        <f t="shared" si="57"/>
        <v>112</v>
      </c>
    </row>
    <row r="361" spans="1:18" x14ac:dyDescent="0.15">
      <c r="A361" s="12">
        <v>343</v>
      </c>
      <c r="B361" s="12">
        <f t="shared" si="51"/>
        <v>2</v>
      </c>
      <c r="C361" s="12">
        <f t="shared" si="52"/>
        <v>1.3892449999999998</v>
      </c>
      <c r="D361" s="12">
        <f t="shared" si="53"/>
        <v>1.0424999999999907E-2</v>
      </c>
      <c r="E361" s="12">
        <f>SUM($D$19:D361)</f>
        <v>2.589245</v>
      </c>
      <c r="F361" s="12">
        <f t="shared" si="49"/>
        <v>25.890877362074942</v>
      </c>
      <c r="G361" s="12">
        <f t="shared" si="50"/>
        <v>27.400650274005944</v>
      </c>
      <c r="H361" s="12">
        <f t="shared" si="54"/>
        <v>93200</v>
      </c>
      <c r="I361" s="12">
        <f t="shared" si="55"/>
        <v>98600</v>
      </c>
      <c r="J361" s="12">
        <f>IF(A361&lt;[3]关卡对接!$A$4,INDEX([3]关卡对接!$C$7:$C$141,A361),MATCH(E361,人物经验!$H$24:$H$573,1))</f>
        <v>279</v>
      </c>
      <c r="K361" s="12">
        <f>IF([3]关卡对接!F349="",INT(INDEX(人物经验!$J$24:$J$573,关卡!J361)*关卡!$S$7),[3]关卡对接!F349)</f>
        <v>2284</v>
      </c>
      <c r="L361" s="12">
        <f t="shared" si="56"/>
        <v>1.2</v>
      </c>
      <c r="M361" s="12">
        <f>L361/[4]货币基础!$B$4</f>
        <v>120</v>
      </c>
      <c r="N361" s="12">
        <f>IF(A361&lt;[3]关卡对接!$A$4,INDEX([3]关卡对接!$E$7:$E$141,A361),MATCH(E361,人物经验!$H$24:$H$573,1))</f>
        <v>279</v>
      </c>
      <c r="O361" s="12">
        <f>INDEX([2]关卡!$G$6:$G$2005,A361)</f>
        <v>3</v>
      </c>
      <c r="P361" s="13">
        <v>6</v>
      </c>
      <c r="Q361" s="12">
        <f>INT(P361/$S$15/O361*VLOOKUP(J361,[1]人物技能基础!$N$3:$O$553,2,0)*$U$15)</f>
        <v>9</v>
      </c>
      <c r="R361" s="12">
        <f t="shared" si="57"/>
        <v>112</v>
      </c>
    </row>
    <row r="362" spans="1:18" x14ac:dyDescent="0.15">
      <c r="A362" s="12">
        <v>344</v>
      </c>
      <c r="B362" s="12">
        <f t="shared" si="51"/>
        <v>2</v>
      </c>
      <c r="C362" s="12">
        <f t="shared" si="52"/>
        <v>1.39968</v>
      </c>
      <c r="D362" s="12">
        <f t="shared" si="53"/>
        <v>1.0435000000000194E-2</v>
      </c>
      <c r="E362" s="12">
        <f>SUM($D$19:D362)</f>
        <v>2.5996800000000002</v>
      </c>
      <c r="F362" s="12">
        <f t="shared" si="49"/>
        <v>25.992544409344003</v>
      </c>
      <c r="G362" s="12">
        <f t="shared" si="50"/>
        <v>27.484012440320001</v>
      </c>
      <c r="H362" s="12">
        <f t="shared" si="54"/>
        <v>93500</v>
      </c>
      <c r="I362" s="12">
        <f t="shared" si="55"/>
        <v>98900</v>
      </c>
      <c r="J362" s="12">
        <f>IF(A362&lt;[3]关卡对接!$A$4,INDEX([3]关卡对接!$C$7:$C$141,A362),MATCH(E362,人物经验!$H$24:$H$573,1))</f>
        <v>279</v>
      </c>
      <c r="K362" s="12">
        <f>IF([3]关卡对接!F350="",INT(INDEX(人物经验!$J$24:$J$573,关卡!J362)*关卡!$S$7),[3]关卡对接!F350)</f>
        <v>2284</v>
      </c>
      <c r="L362" s="12">
        <f t="shared" si="56"/>
        <v>1.2</v>
      </c>
      <c r="M362" s="12">
        <f>L362/[4]货币基础!$B$4</f>
        <v>120</v>
      </c>
      <c r="N362" s="12">
        <f>IF(A362&lt;[3]关卡对接!$A$4,INDEX([3]关卡对接!$E$7:$E$141,A362),MATCH(E362,人物经验!$H$24:$H$573,1))</f>
        <v>279</v>
      </c>
      <c r="O362" s="12">
        <f>INDEX([2]关卡!$G$6:$G$2005,A362)</f>
        <v>3</v>
      </c>
      <c r="P362" s="13">
        <v>6</v>
      </c>
      <c r="Q362" s="12">
        <f>INT(P362/$S$15/O362*VLOOKUP(J362,[1]人物技能基础!$N$3:$O$553,2,0)*$U$15)</f>
        <v>9</v>
      </c>
      <c r="R362" s="12">
        <f t="shared" si="57"/>
        <v>112</v>
      </c>
    </row>
    <row r="363" spans="1:18" x14ac:dyDescent="0.15">
      <c r="A363" s="12">
        <v>345</v>
      </c>
      <c r="B363" s="12">
        <f t="shared" si="51"/>
        <v>2</v>
      </c>
      <c r="C363" s="12">
        <f t="shared" si="52"/>
        <v>1.4101249999999999</v>
      </c>
      <c r="D363" s="12">
        <f t="shared" si="53"/>
        <v>1.0444999999999816E-2</v>
      </c>
      <c r="E363" s="12">
        <f>SUM($D$19:D363)</f>
        <v>2.610125</v>
      </c>
      <c r="F363" s="12">
        <f t="shared" si="49"/>
        <v>26.094424268710934</v>
      </c>
      <c r="G363" s="12">
        <f t="shared" si="50"/>
        <v>27.567496738085936</v>
      </c>
      <c r="H363" s="12">
        <f t="shared" si="54"/>
        <v>93900</v>
      </c>
      <c r="I363" s="12">
        <f t="shared" si="55"/>
        <v>99200</v>
      </c>
      <c r="J363" s="12">
        <f>IF(A363&lt;[3]关卡对接!$A$4,INDEX([3]关卡对接!$C$7:$C$141,A363),MATCH(E363,人物经验!$H$24:$H$573,1))</f>
        <v>280</v>
      </c>
      <c r="K363" s="12">
        <f>IF([3]关卡对接!F351="",INT(INDEX(人物经验!$J$24:$J$573,关卡!J363)*关卡!$S$7),[3]关卡对接!F351)</f>
        <v>2339</v>
      </c>
      <c r="L363" s="12">
        <f t="shared" si="56"/>
        <v>1.2</v>
      </c>
      <c r="M363" s="12">
        <f>L363/[4]货币基础!$B$4</f>
        <v>120</v>
      </c>
      <c r="N363" s="12">
        <f>IF(A363&lt;[3]关卡对接!$A$4,INDEX([3]关卡对接!$E$7:$E$141,A363),MATCH(E363,人物经验!$H$24:$H$573,1))</f>
        <v>280</v>
      </c>
      <c r="O363" s="12">
        <f>INDEX([2]关卡!$G$6:$G$2005,A363)</f>
        <v>3</v>
      </c>
      <c r="P363" s="13">
        <v>6</v>
      </c>
      <c r="Q363" s="12">
        <f>INT(P363/$S$15/O363*VLOOKUP(J363,[1]人物技能基础!$N$3:$O$553,2,0)*$U$15)</f>
        <v>9</v>
      </c>
      <c r="R363" s="12">
        <f t="shared" si="57"/>
        <v>112</v>
      </c>
    </row>
    <row r="364" spans="1:18" x14ac:dyDescent="0.15">
      <c r="A364" s="12">
        <v>346</v>
      </c>
      <c r="B364" s="12">
        <f t="shared" si="51"/>
        <v>2</v>
      </c>
      <c r="C364" s="12">
        <f t="shared" si="52"/>
        <v>1.42058</v>
      </c>
      <c r="D364" s="12">
        <f t="shared" si="53"/>
        <v>1.0455000000000103E-2</v>
      </c>
      <c r="E364" s="12">
        <f>SUM($D$19:D364)</f>
        <v>2.6205800000000004</v>
      </c>
      <c r="F364" s="12">
        <f t="shared" si="49"/>
        <v>26.196517371359</v>
      </c>
      <c r="G364" s="12">
        <f t="shared" si="50"/>
        <v>27.651103328895001</v>
      </c>
      <c r="H364" s="12">
        <f t="shared" si="54"/>
        <v>94300</v>
      </c>
      <c r="I364" s="12">
        <f t="shared" si="55"/>
        <v>99500</v>
      </c>
      <c r="J364" s="12">
        <f>IF(A364&lt;[3]关卡对接!$A$4,INDEX([3]关卡对接!$C$7:$C$141,A364),MATCH(E364,人物经验!$H$24:$H$573,1))</f>
        <v>280</v>
      </c>
      <c r="K364" s="12">
        <f>IF([3]关卡对接!F352="",INT(INDEX(人物经验!$J$24:$J$573,关卡!J364)*关卡!$S$7),[3]关卡对接!F352)</f>
        <v>2339</v>
      </c>
      <c r="L364" s="12">
        <f t="shared" si="56"/>
        <v>1.2</v>
      </c>
      <c r="M364" s="12">
        <f>L364/[4]货币基础!$B$4</f>
        <v>120</v>
      </c>
      <c r="N364" s="12">
        <f>IF(A364&lt;[3]关卡对接!$A$4,INDEX([3]关卡对接!$E$7:$E$141,A364),MATCH(E364,人物经验!$H$24:$H$573,1))</f>
        <v>280</v>
      </c>
      <c r="O364" s="12">
        <f>INDEX([2]关卡!$G$6:$G$2005,A364)</f>
        <v>3</v>
      </c>
      <c r="P364" s="13">
        <v>6</v>
      </c>
      <c r="Q364" s="12">
        <f>INT(P364/$S$15/O364*VLOOKUP(J364,[1]人物技能基础!$N$3:$O$553,2,0)*$U$15)</f>
        <v>9</v>
      </c>
      <c r="R364" s="12">
        <f t="shared" si="57"/>
        <v>112</v>
      </c>
    </row>
    <row r="365" spans="1:18" x14ac:dyDescent="0.15">
      <c r="A365" s="12">
        <v>347</v>
      </c>
      <c r="B365" s="12">
        <f t="shared" si="51"/>
        <v>2</v>
      </c>
      <c r="C365" s="12">
        <f t="shared" si="52"/>
        <v>1.4310449999999999</v>
      </c>
      <c r="D365" s="12">
        <f t="shared" si="53"/>
        <v>1.0464999999999947E-2</v>
      </c>
      <c r="E365" s="12">
        <f>SUM($D$19:D365)</f>
        <v>2.6310450000000003</v>
      </c>
      <c r="F365" s="12">
        <f t="shared" si="49"/>
        <v>26.29882414906994</v>
      </c>
      <c r="G365" s="12">
        <f t="shared" si="50"/>
        <v>27.734832374480941</v>
      </c>
      <c r="H365" s="12">
        <f t="shared" si="54"/>
        <v>94600</v>
      </c>
      <c r="I365" s="12">
        <f t="shared" si="55"/>
        <v>99800</v>
      </c>
      <c r="J365" s="12">
        <f>IF(A365&lt;[3]关卡对接!$A$4,INDEX([3]关卡对接!$C$7:$C$141,A365),MATCH(E365,人物经验!$H$24:$H$573,1))</f>
        <v>280</v>
      </c>
      <c r="K365" s="12">
        <f>IF([3]关卡对接!F353="",INT(INDEX(人物经验!$J$24:$J$573,关卡!J365)*关卡!$S$7),[3]关卡对接!F353)</f>
        <v>2339</v>
      </c>
      <c r="L365" s="12">
        <f t="shared" si="56"/>
        <v>1.2</v>
      </c>
      <c r="M365" s="12">
        <f>L365/[4]货币基础!$B$4</f>
        <v>120</v>
      </c>
      <c r="N365" s="12">
        <f>IF(A365&lt;[3]关卡对接!$A$4,INDEX([3]关卡对接!$E$7:$E$141,A365),MATCH(E365,人物经验!$H$24:$H$573,1))</f>
        <v>280</v>
      </c>
      <c r="O365" s="12">
        <f>INDEX([2]关卡!$G$6:$G$2005,A365)</f>
        <v>3</v>
      </c>
      <c r="P365" s="13">
        <v>6</v>
      </c>
      <c r="Q365" s="12">
        <f>INT(P365/$S$15/O365*VLOOKUP(J365,[1]人物技能基础!$N$3:$O$553,2,0)*$U$15)</f>
        <v>9</v>
      </c>
      <c r="R365" s="12">
        <f t="shared" si="57"/>
        <v>112</v>
      </c>
    </row>
    <row r="366" spans="1:18" x14ac:dyDescent="0.15">
      <c r="A366" s="12">
        <v>348</v>
      </c>
      <c r="B366" s="12">
        <f t="shared" si="51"/>
        <v>2</v>
      </c>
      <c r="C366" s="12">
        <f t="shared" si="52"/>
        <v>1.4415200000000001</v>
      </c>
      <c r="D366" s="12">
        <f t="shared" si="53"/>
        <v>1.0475000000000234E-2</v>
      </c>
      <c r="E366" s="12">
        <f>SUM($D$19:D366)</f>
        <v>2.6415200000000008</v>
      </c>
      <c r="F366" s="12">
        <f t="shared" si="49"/>
        <v>26.401345034223997</v>
      </c>
      <c r="G366" s="12">
        <f t="shared" si="50"/>
        <v>27.818684036719997</v>
      </c>
      <c r="H366" s="12">
        <f t="shared" si="54"/>
        <v>95000</v>
      </c>
      <c r="I366" s="12">
        <f t="shared" si="55"/>
        <v>100100</v>
      </c>
      <c r="J366" s="12">
        <f>IF(A366&lt;[3]关卡对接!$A$4,INDEX([3]关卡对接!$C$7:$C$141,A366),MATCH(E366,人物经验!$H$24:$H$573,1))</f>
        <v>280</v>
      </c>
      <c r="K366" s="12">
        <f>IF([3]关卡对接!F354="",INT(INDEX(人物经验!$J$24:$J$573,关卡!J366)*关卡!$S$7),[3]关卡对接!F354)</f>
        <v>2339</v>
      </c>
      <c r="L366" s="12">
        <f t="shared" si="56"/>
        <v>1.2</v>
      </c>
      <c r="M366" s="12">
        <f>L366/[4]货币基础!$B$4</f>
        <v>120</v>
      </c>
      <c r="N366" s="12">
        <f>IF(A366&lt;[3]关卡对接!$A$4,INDEX([3]关卡对接!$E$7:$E$141,A366),MATCH(E366,人物经验!$H$24:$H$573,1))</f>
        <v>280</v>
      </c>
      <c r="O366" s="12">
        <f>INDEX([2]关卡!$G$6:$G$2005,A366)</f>
        <v>3</v>
      </c>
      <c r="P366" s="13">
        <v>6</v>
      </c>
      <c r="Q366" s="12">
        <f>INT(P366/$S$15/O366*VLOOKUP(J366,[1]人物技能基础!$N$3:$O$553,2,0)*$U$15)</f>
        <v>9</v>
      </c>
      <c r="R366" s="12">
        <f t="shared" si="57"/>
        <v>112</v>
      </c>
    </row>
    <row r="367" spans="1:18" x14ac:dyDescent="0.15">
      <c r="A367" s="12">
        <v>349</v>
      </c>
      <c r="B367" s="12">
        <f t="shared" si="51"/>
        <v>2</v>
      </c>
      <c r="C367" s="12">
        <f t="shared" si="52"/>
        <v>1.452005</v>
      </c>
      <c r="D367" s="12">
        <f t="shared" si="53"/>
        <v>1.0484999999999856E-2</v>
      </c>
      <c r="E367" s="12">
        <f>SUM($D$19:D367)</f>
        <v>2.6520050000000008</v>
      </c>
      <c r="F367" s="12">
        <f t="shared" si="49"/>
        <v>26.504080459799937</v>
      </c>
      <c r="G367" s="12">
        <f t="shared" si="50"/>
        <v>27.90265847763094</v>
      </c>
      <c r="H367" s="12">
        <f t="shared" si="54"/>
        <v>95400</v>
      </c>
      <c r="I367" s="12">
        <f t="shared" si="55"/>
        <v>100400</v>
      </c>
      <c r="J367" s="12">
        <f>IF(A367&lt;[3]关卡对接!$A$4,INDEX([3]关卡对接!$C$7:$C$141,A367),MATCH(E367,人物经验!$H$24:$H$573,1))</f>
        <v>280</v>
      </c>
      <c r="K367" s="12">
        <f>IF([3]关卡对接!F355="",INT(INDEX(人物经验!$J$24:$J$573,关卡!J367)*关卡!$S$7),[3]关卡对接!F355)</f>
        <v>2339</v>
      </c>
      <c r="L367" s="12">
        <f t="shared" si="56"/>
        <v>1.2</v>
      </c>
      <c r="M367" s="12">
        <f>L367/[4]货币基础!$B$4</f>
        <v>120</v>
      </c>
      <c r="N367" s="12">
        <f>IF(A367&lt;[3]关卡对接!$A$4,INDEX([3]关卡对接!$E$7:$E$141,A367),MATCH(E367,人物经验!$H$24:$H$573,1))</f>
        <v>280</v>
      </c>
      <c r="O367" s="12">
        <f>INDEX([2]关卡!$G$6:$G$2005,A367)</f>
        <v>3</v>
      </c>
      <c r="P367" s="13">
        <v>6</v>
      </c>
      <c r="Q367" s="12">
        <f>INT(P367/$S$15/O367*VLOOKUP(J367,[1]人物技能基础!$N$3:$O$553,2,0)*$U$15)</f>
        <v>9</v>
      </c>
      <c r="R367" s="12">
        <f t="shared" si="57"/>
        <v>112</v>
      </c>
    </row>
    <row r="368" spans="1:18" x14ac:dyDescent="0.15">
      <c r="A368" s="12">
        <v>350</v>
      </c>
      <c r="B368" s="12">
        <f t="shared" si="51"/>
        <v>2</v>
      </c>
      <c r="C368" s="12">
        <f t="shared" si="52"/>
        <v>1.4625000000000001</v>
      </c>
      <c r="D368" s="12">
        <f t="shared" si="53"/>
        <v>1.0495000000000143E-2</v>
      </c>
      <c r="E368" s="12">
        <f>SUM($D$19:D368)</f>
        <v>2.662500000000001</v>
      </c>
      <c r="F368" s="12">
        <f t="shared" si="49"/>
        <v>26.607030859374998</v>
      </c>
      <c r="G368" s="12">
        <f t="shared" si="50"/>
        <v>27.986755859375002</v>
      </c>
      <c r="H368" s="12">
        <f t="shared" si="54"/>
        <v>95700</v>
      </c>
      <c r="I368" s="12">
        <f t="shared" si="55"/>
        <v>100700</v>
      </c>
      <c r="J368" s="12">
        <f>IF(A368&lt;[3]关卡对接!$A$4,INDEX([3]关卡对接!$C$7:$C$141,A368),MATCH(E368,人物经验!$H$24:$H$573,1))</f>
        <v>280</v>
      </c>
      <c r="K368" s="12">
        <f>IF([3]关卡对接!F356="",INT(INDEX(人物经验!$J$24:$J$573,关卡!J368)*关卡!$S$7),[3]关卡对接!F356)</f>
        <v>2339</v>
      </c>
      <c r="L368" s="12">
        <f t="shared" si="56"/>
        <v>1.2</v>
      </c>
      <c r="M368" s="12">
        <f>L368/[4]货币基础!$B$4</f>
        <v>120</v>
      </c>
      <c r="N368" s="12">
        <f>IF(A368&lt;[3]关卡对接!$A$4,INDEX([3]关卡对接!$E$7:$E$141,A368),MATCH(E368,人物经验!$H$24:$H$573,1))</f>
        <v>280</v>
      </c>
      <c r="O368" s="12">
        <f>INDEX([2]关卡!$G$6:$G$2005,A368)</f>
        <v>3</v>
      </c>
      <c r="P368" s="13">
        <v>6</v>
      </c>
      <c r="Q368" s="12">
        <f>INT(P368/$S$15/O368*VLOOKUP(J368,[1]人物技能基础!$N$3:$O$553,2,0)*$U$15)</f>
        <v>9</v>
      </c>
      <c r="R368" s="12">
        <f t="shared" si="57"/>
        <v>112</v>
      </c>
    </row>
    <row r="369" spans="1:18" x14ac:dyDescent="0.15">
      <c r="A369" s="12">
        <v>351</v>
      </c>
      <c r="B369" s="12">
        <f t="shared" si="51"/>
        <v>2</v>
      </c>
      <c r="C369" s="12">
        <f t="shared" si="52"/>
        <v>1.4730049999999999</v>
      </c>
      <c r="D369" s="12">
        <f t="shared" si="53"/>
        <v>1.0504999999999765E-2</v>
      </c>
      <c r="E369" s="12">
        <f>SUM($D$19:D369)</f>
        <v>2.6730050000000007</v>
      </c>
      <c r="F369" s="12">
        <f t="shared" si="49"/>
        <v>26.710196667124936</v>
      </c>
      <c r="G369" s="12">
        <f t="shared" si="50"/>
        <v>28.070976344255936</v>
      </c>
      <c r="H369" s="12">
        <f t="shared" si="54"/>
        <v>96100</v>
      </c>
      <c r="I369" s="12">
        <f t="shared" si="55"/>
        <v>101000</v>
      </c>
      <c r="J369" s="12">
        <f>IF(A369&lt;[3]关卡对接!$A$4,INDEX([3]关卡对接!$C$7:$C$141,A369),MATCH(E369,人物经验!$H$24:$H$573,1))</f>
        <v>281</v>
      </c>
      <c r="K369" s="12">
        <f>IF([3]关卡对接!F357="",INT(INDEX(人物经验!$J$24:$J$573,关卡!J369)*关卡!$S$7),[3]关卡对接!F357)</f>
        <v>2394</v>
      </c>
      <c r="L369" s="12">
        <f t="shared" si="56"/>
        <v>1.2</v>
      </c>
      <c r="M369" s="12">
        <f>L369/[4]货币基础!$B$4</f>
        <v>120</v>
      </c>
      <c r="N369" s="12">
        <f>IF(A369&lt;[3]关卡对接!$A$4,INDEX([3]关卡对接!$E$7:$E$141,A369),MATCH(E369,人物经验!$H$24:$H$573,1))</f>
        <v>281</v>
      </c>
      <c r="O369" s="12">
        <f>INDEX([2]关卡!$G$6:$G$2005,A369)</f>
        <v>3</v>
      </c>
      <c r="P369" s="13">
        <v>6</v>
      </c>
      <c r="Q369" s="12">
        <f>INT(P369/$S$15/O369*VLOOKUP(J369,[1]人物技能基础!$N$3:$O$553,2,0)*$U$15)</f>
        <v>9</v>
      </c>
      <c r="R369" s="12">
        <f t="shared" si="57"/>
        <v>112</v>
      </c>
    </row>
    <row r="370" spans="1:18" x14ac:dyDescent="0.15">
      <c r="A370" s="12">
        <v>352</v>
      </c>
      <c r="B370" s="12">
        <f t="shared" si="51"/>
        <v>2</v>
      </c>
      <c r="C370" s="12">
        <f t="shared" si="52"/>
        <v>1.4835200000000002</v>
      </c>
      <c r="D370" s="12">
        <f t="shared" si="53"/>
        <v>1.0515000000000274E-2</v>
      </c>
      <c r="E370" s="12">
        <f>SUM($D$19:D370)</f>
        <v>2.683520000000001</v>
      </c>
      <c r="F370" s="12">
        <f t="shared" si="49"/>
        <v>26.813578317824</v>
      </c>
      <c r="G370" s="12">
        <f t="shared" si="50"/>
        <v>28.15532009472</v>
      </c>
      <c r="H370" s="12">
        <f t="shared" si="54"/>
        <v>96500</v>
      </c>
      <c r="I370" s="12">
        <f t="shared" si="55"/>
        <v>101300</v>
      </c>
      <c r="J370" s="12">
        <f>IF(A370&lt;[3]关卡对接!$A$4,INDEX([3]关卡对接!$C$7:$C$141,A370),MATCH(E370,人物经验!$H$24:$H$573,1))</f>
        <v>281</v>
      </c>
      <c r="K370" s="12">
        <f>IF([3]关卡对接!F358="",INT(INDEX(人物经验!$J$24:$J$573,关卡!J370)*关卡!$S$7),[3]关卡对接!F358)</f>
        <v>2394</v>
      </c>
      <c r="L370" s="12">
        <f t="shared" si="56"/>
        <v>1.2</v>
      </c>
      <c r="M370" s="12">
        <f>L370/[4]货币基础!$B$4</f>
        <v>120</v>
      </c>
      <c r="N370" s="12">
        <f>IF(A370&lt;[3]关卡对接!$A$4,INDEX([3]关卡对接!$E$7:$E$141,A370),MATCH(E370,人物经验!$H$24:$H$573,1))</f>
        <v>281</v>
      </c>
      <c r="O370" s="12">
        <f>INDEX([2]关卡!$G$6:$G$2005,A370)</f>
        <v>3</v>
      </c>
      <c r="P370" s="13">
        <v>6</v>
      </c>
      <c r="Q370" s="12">
        <f>INT(P370/$S$15/O370*VLOOKUP(J370,[1]人物技能基础!$N$3:$O$553,2,0)*$U$15)</f>
        <v>9</v>
      </c>
      <c r="R370" s="12">
        <f t="shared" si="57"/>
        <v>112</v>
      </c>
    </row>
    <row r="371" spans="1:18" x14ac:dyDescent="0.15">
      <c r="A371" s="12">
        <v>353</v>
      </c>
      <c r="B371" s="12">
        <f t="shared" si="51"/>
        <v>2</v>
      </c>
      <c r="C371" s="12">
        <f t="shared" si="52"/>
        <v>1.4940450000000001</v>
      </c>
      <c r="D371" s="12">
        <f t="shared" si="53"/>
        <v>1.0524999999999896E-2</v>
      </c>
      <c r="E371" s="12">
        <f>SUM($D$19:D371)</f>
        <v>2.6940450000000009</v>
      </c>
      <c r="F371" s="12">
        <f t="shared" si="49"/>
        <v>26.917176246844935</v>
      </c>
      <c r="G371" s="12">
        <f t="shared" si="50"/>
        <v>28.239787273355933</v>
      </c>
      <c r="H371" s="12">
        <f t="shared" si="54"/>
        <v>96900</v>
      </c>
      <c r="I371" s="12">
        <f t="shared" si="55"/>
        <v>101600</v>
      </c>
      <c r="J371" s="12">
        <f>IF(A371&lt;[3]关卡对接!$A$4,INDEX([3]关卡对接!$C$7:$C$141,A371),MATCH(E371,人物经验!$H$24:$H$573,1))</f>
        <v>281</v>
      </c>
      <c r="K371" s="12">
        <f>IF([3]关卡对接!F359="",INT(INDEX(人物经验!$J$24:$J$573,关卡!J371)*关卡!$S$7),[3]关卡对接!F359)</f>
        <v>2394</v>
      </c>
      <c r="L371" s="12">
        <f t="shared" si="56"/>
        <v>1.2</v>
      </c>
      <c r="M371" s="12">
        <f>L371/[4]货币基础!$B$4</f>
        <v>120</v>
      </c>
      <c r="N371" s="12">
        <f>IF(A371&lt;[3]关卡对接!$A$4,INDEX([3]关卡对接!$E$7:$E$141,A371),MATCH(E371,人物经验!$H$24:$H$573,1))</f>
        <v>281</v>
      </c>
      <c r="O371" s="12">
        <f>INDEX([2]关卡!$G$6:$G$2005,A371)</f>
        <v>3</v>
      </c>
      <c r="P371" s="13">
        <v>6</v>
      </c>
      <c r="Q371" s="12">
        <f>INT(P371/$S$15/O371*VLOOKUP(J371,[1]人物技能基础!$N$3:$O$553,2,0)*$U$15)</f>
        <v>9</v>
      </c>
      <c r="R371" s="12">
        <f t="shared" si="57"/>
        <v>112</v>
      </c>
    </row>
    <row r="372" spans="1:18" x14ac:dyDescent="0.15">
      <c r="A372" s="12">
        <v>354</v>
      </c>
      <c r="B372" s="12">
        <f t="shared" si="51"/>
        <v>2</v>
      </c>
      <c r="C372" s="12">
        <f t="shared" si="52"/>
        <v>1.50458</v>
      </c>
      <c r="D372" s="12">
        <f t="shared" si="53"/>
        <v>1.0534999999999961E-2</v>
      </c>
      <c r="E372" s="12">
        <f>SUM($D$19:D372)</f>
        <v>2.7045800000000009</v>
      </c>
      <c r="F372" s="12">
        <f t="shared" si="49"/>
        <v>27.020990890158998</v>
      </c>
      <c r="G372" s="12">
        <f t="shared" si="50"/>
        <v>28.324378042895002</v>
      </c>
      <c r="H372" s="12">
        <f t="shared" si="54"/>
        <v>97200</v>
      </c>
      <c r="I372" s="12">
        <f t="shared" si="55"/>
        <v>101900</v>
      </c>
      <c r="J372" s="12">
        <f>IF(A372&lt;[3]关卡对接!$A$4,INDEX([3]关卡对接!$C$7:$C$141,A372),MATCH(E372,人物经验!$H$24:$H$573,1))</f>
        <v>281</v>
      </c>
      <c r="K372" s="12">
        <f>IF([3]关卡对接!F360="",INT(INDEX(人物经验!$J$24:$J$573,关卡!J372)*关卡!$S$7),[3]关卡对接!F360)</f>
        <v>2394</v>
      </c>
      <c r="L372" s="12">
        <f t="shared" si="56"/>
        <v>1.2</v>
      </c>
      <c r="M372" s="12">
        <f>L372/[4]货币基础!$B$4</f>
        <v>120</v>
      </c>
      <c r="N372" s="12">
        <f>IF(A372&lt;[3]关卡对接!$A$4,INDEX([3]关卡对接!$E$7:$E$141,A372),MATCH(E372,人物经验!$H$24:$H$573,1))</f>
        <v>281</v>
      </c>
      <c r="O372" s="12">
        <f>INDEX([2]关卡!$G$6:$G$2005,A372)</f>
        <v>3</v>
      </c>
      <c r="P372" s="13">
        <v>6</v>
      </c>
      <c r="Q372" s="12">
        <f>INT(P372/$S$15/O372*VLOOKUP(J372,[1]人物技能基础!$N$3:$O$553,2,0)*$U$15)</f>
        <v>9</v>
      </c>
      <c r="R372" s="12">
        <f t="shared" si="57"/>
        <v>112</v>
      </c>
    </row>
    <row r="373" spans="1:18" x14ac:dyDescent="0.15">
      <c r="A373" s="12">
        <v>355</v>
      </c>
      <c r="B373" s="12">
        <f t="shared" si="51"/>
        <v>2</v>
      </c>
      <c r="C373" s="12">
        <f t="shared" si="52"/>
        <v>1.5151250000000001</v>
      </c>
      <c r="D373" s="12">
        <f t="shared" si="53"/>
        <v>1.0545000000000027E-2</v>
      </c>
      <c r="E373" s="12">
        <f>SUM($D$19:D373)</f>
        <v>2.7151250000000009</v>
      </c>
      <c r="F373" s="12">
        <f t="shared" si="49"/>
        <v>27.125022684335939</v>
      </c>
      <c r="G373" s="12">
        <f t="shared" si="50"/>
        <v>28.409092566210937</v>
      </c>
      <c r="H373" s="12">
        <f t="shared" si="54"/>
        <v>97600</v>
      </c>
      <c r="I373" s="12">
        <f t="shared" si="55"/>
        <v>102200</v>
      </c>
      <c r="J373" s="12">
        <f>IF(A373&lt;[3]关卡对接!$A$4,INDEX([3]关卡对接!$C$7:$C$141,A373),MATCH(E373,人物经验!$H$24:$H$573,1))</f>
        <v>281</v>
      </c>
      <c r="K373" s="12">
        <f>IF([3]关卡对接!F361="",INT(INDEX(人物经验!$J$24:$J$573,关卡!J373)*关卡!$S$7),[3]关卡对接!F361)</f>
        <v>2394</v>
      </c>
      <c r="L373" s="12">
        <f t="shared" si="56"/>
        <v>1.2</v>
      </c>
      <c r="M373" s="12">
        <f>L373/[4]货币基础!$B$4</f>
        <v>120</v>
      </c>
      <c r="N373" s="12">
        <f>IF(A373&lt;[3]关卡对接!$A$4,INDEX([3]关卡对接!$E$7:$E$141,A373),MATCH(E373,人物经验!$H$24:$H$573,1))</f>
        <v>281</v>
      </c>
      <c r="O373" s="12">
        <f>INDEX([2]关卡!$G$6:$G$2005,A373)</f>
        <v>3</v>
      </c>
      <c r="P373" s="13">
        <v>6</v>
      </c>
      <c r="Q373" s="12">
        <f>INT(P373/$S$15/O373*VLOOKUP(J373,[1]人物技能基础!$N$3:$O$553,2,0)*$U$15)</f>
        <v>9</v>
      </c>
      <c r="R373" s="12">
        <f t="shared" si="57"/>
        <v>112</v>
      </c>
    </row>
    <row r="374" spans="1:18" x14ac:dyDescent="0.15">
      <c r="A374" s="12">
        <v>356</v>
      </c>
      <c r="B374" s="12">
        <f t="shared" si="51"/>
        <v>2</v>
      </c>
      <c r="C374" s="12">
        <f t="shared" si="52"/>
        <v>1.5256800000000001</v>
      </c>
      <c r="D374" s="12">
        <f t="shared" si="53"/>
        <v>1.0555000000000092E-2</v>
      </c>
      <c r="E374" s="12">
        <f>SUM($D$19:D374)</f>
        <v>2.725680000000001</v>
      </c>
      <c r="F374" s="12">
        <f t="shared" si="49"/>
        <v>27.229272066544002</v>
      </c>
      <c r="G374" s="12">
        <f t="shared" si="50"/>
        <v>28.49393100632</v>
      </c>
      <c r="H374" s="12">
        <f t="shared" si="54"/>
        <v>98000</v>
      </c>
      <c r="I374" s="12">
        <f t="shared" si="55"/>
        <v>102500</v>
      </c>
      <c r="J374" s="12">
        <f>IF(A374&lt;[3]关卡对接!$A$4,INDEX([3]关卡对接!$C$7:$C$141,A374),MATCH(E374,人物经验!$H$24:$H$573,1))</f>
        <v>281</v>
      </c>
      <c r="K374" s="12">
        <f>IF([3]关卡对接!F362="",INT(INDEX(人物经验!$J$24:$J$573,关卡!J374)*关卡!$S$7),[3]关卡对接!F362)</f>
        <v>2394</v>
      </c>
      <c r="L374" s="12">
        <f t="shared" si="56"/>
        <v>1.2</v>
      </c>
      <c r="M374" s="12">
        <f>L374/[4]货币基础!$B$4</f>
        <v>120</v>
      </c>
      <c r="N374" s="12">
        <f>IF(A374&lt;[3]关卡对接!$A$4,INDEX([3]关卡对接!$E$7:$E$141,A374),MATCH(E374,人物经验!$H$24:$H$573,1))</f>
        <v>281</v>
      </c>
      <c r="O374" s="12">
        <f>INDEX([2]关卡!$G$6:$G$2005,A374)</f>
        <v>3</v>
      </c>
      <c r="P374" s="13">
        <v>6</v>
      </c>
      <c r="Q374" s="12">
        <f>INT(P374/$S$15/O374*VLOOKUP(J374,[1]人物技能基础!$N$3:$O$553,2,0)*$U$15)</f>
        <v>9</v>
      </c>
      <c r="R374" s="12">
        <f t="shared" si="57"/>
        <v>112</v>
      </c>
    </row>
    <row r="375" spans="1:18" x14ac:dyDescent="0.15">
      <c r="A375" s="12">
        <v>357</v>
      </c>
      <c r="B375" s="12">
        <f t="shared" si="51"/>
        <v>2</v>
      </c>
      <c r="C375" s="12">
        <f t="shared" si="52"/>
        <v>1.5362450000000001</v>
      </c>
      <c r="D375" s="12">
        <f t="shared" si="53"/>
        <v>1.0564999999999936E-2</v>
      </c>
      <c r="E375" s="12">
        <f>SUM($D$19:D375)</f>
        <v>2.7362450000000011</v>
      </c>
      <c r="F375" s="12">
        <f t="shared" si="49"/>
        <v>27.333739474549937</v>
      </c>
      <c r="G375" s="12">
        <f t="shared" si="50"/>
        <v>28.578893526380938</v>
      </c>
      <c r="H375" s="12">
        <f t="shared" si="54"/>
        <v>98400</v>
      </c>
      <c r="I375" s="12">
        <f t="shared" si="55"/>
        <v>102800</v>
      </c>
      <c r="J375" s="12">
        <f>IF(A375&lt;[3]关卡对接!$A$4,INDEX([3]关卡对接!$C$7:$C$141,A375),MATCH(E375,人物经验!$H$24:$H$573,1))</f>
        <v>281</v>
      </c>
      <c r="K375" s="12">
        <f>IF([3]关卡对接!F363="",INT(INDEX(人物经验!$J$24:$J$573,关卡!J375)*关卡!$S$7),[3]关卡对接!F363)</f>
        <v>2394</v>
      </c>
      <c r="L375" s="12">
        <f t="shared" si="56"/>
        <v>1.2</v>
      </c>
      <c r="M375" s="12">
        <f>L375/[4]货币基础!$B$4</f>
        <v>120</v>
      </c>
      <c r="N375" s="12">
        <f>IF(A375&lt;[3]关卡对接!$A$4,INDEX([3]关卡对接!$E$7:$E$141,A375),MATCH(E375,人物经验!$H$24:$H$573,1))</f>
        <v>281</v>
      </c>
      <c r="O375" s="12">
        <f>INDEX([2]关卡!$G$6:$G$2005,A375)</f>
        <v>3</v>
      </c>
      <c r="P375" s="13">
        <v>6</v>
      </c>
      <c r="Q375" s="12">
        <f>INT(P375/$S$15/O375*VLOOKUP(J375,[1]人物技能基础!$N$3:$O$553,2,0)*$U$15)</f>
        <v>9</v>
      </c>
      <c r="R375" s="12">
        <f t="shared" si="57"/>
        <v>112</v>
      </c>
    </row>
    <row r="376" spans="1:18" x14ac:dyDescent="0.15">
      <c r="A376" s="12">
        <v>358</v>
      </c>
      <c r="B376" s="12">
        <f t="shared" si="51"/>
        <v>2</v>
      </c>
      <c r="C376" s="12">
        <f t="shared" si="52"/>
        <v>1.5468200000000001</v>
      </c>
      <c r="D376" s="12">
        <f t="shared" si="53"/>
        <v>1.0575000000000001E-2</v>
      </c>
      <c r="E376" s="12">
        <f>SUM($D$19:D376)</f>
        <v>2.7468200000000014</v>
      </c>
      <c r="F376" s="12">
        <f t="shared" si="49"/>
        <v>27.438425346719001</v>
      </c>
      <c r="G376" s="12">
        <f t="shared" si="50"/>
        <v>28.663980289695001</v>
      </c>
      <c r="H376" s="12">
        <f t="shared" si="54"/>
        <v>98700</v>
      </c>
      <c r="I376" s="12">
        <f t="shared" si="55"/>
        <v>103100</v>
      </c>
      <c r="J376" s="12">
        <f>IF(A376&lt;[3]关卡对接!$A$4,INDEX([3]关卡对接!$C$7:$C$141,A376),MATCH(E376,人物经验!$H$24:$H$573,1))</f>
        <v>282</v>
      </c>
      <c r="K376" s="12">
        <f>IF([3]关卡对接!F364="",INT(INDEX(人物经验!$J$24:$J$573,关卡!J376)*关卡!$S$7),[3]关卡对接!F364)</f>
        <v>2460</v>
      </c>
      <c r="L376" s="12">
        <f t="shared" si="56"/>
        <v>1.2</v>
      </c>
      <c r="M376" s="12">
        <f>L376/[4]货币基础!$B$4</f>
        <v>120</v>
      </c>
      <c r="N376" s="12">
        <f>IF(A376&lt;[3]关卡对接!$A$4,INDEX([3]关卡对接!$E$7:$E$141,A376),MATCH(E376,人物经验!$H$24:$H$573,1))</f>
        <v>282</v>
      </c>
      <c r="O376" s="12">
        <f>INDEX([2]关卡!$G$6:$G$2005,A376)</f>
        <v>3</v>
      </c>
      <c r="P376" s="13">
        <v>6</v>
      </c>
      <c r="Q376" s="12">
        <f>INT(P376/$S$15/O376*VLOOKUP(J376,[1]人物技能基础!$N$3:$O$553,2,0)*$U$15)</f>
        <v>9</v>
      </c>
      <c r="R376" s="12">
        <f t="shared" si="57"/>
        <v>112</v>
      </c>
    </row>
    <row r="377" spans="1:18" x14ac:dyDescent="0.15">
      <c r="A377" s="12">
        <v>359</v>
      </c>
      <c r="B377" s="12">
        <f t="shared" si="51"/>
        <v>2</v>
      </c>
      <c r="C377" s="12">
        <f t="shared" si="52"/>
        <v>1.5574050000000002</v>
      </c>
      <c r="D377" s="12">
        <f t="shared" si="53"/>
        <v>1.0585000000000067E-2</v>
      </c>
      <c r="E377" s="12">
        <f>SUM($D$19:D377)</f>
        <v>2.7574050000000012</v>
      </c>
      <c r="F377" s="12">
        <f t="shared" si="49"/>
        <v>27.543330122014936</v>
      </c>
      <c r="G377" s="12">
        <f t="shared" si="50"/>
        <v>28.749191459705941</v>
      </c>
      <c r="H377" s="12">
        <f t="shared" si="54"/>
        <v>99100</v>
      </c>
      <c r="I377" s="12">
        <f t="shared" si="55"/>
        <v>103400</v>
      </c>
      <c r="J377" s="12">
        <f>IF(A377&lt;[3]关卡对接!$A$4,INDEX([3]关卡对接!$C$7:$C$141,A377),MATCH(E377,人物经验!$H$24:$H$573,1))</f>
        <v>282</v>
      </c>
      <c r="K377" s="12">
        <f>IF([3]关卡对接!F365="",INT(INDEX(人物经验!$J$24:$J$573,关卡!J377)*关卡!$S$7),[3]关卡对接!F365)</f>
        <v>2460</v>
      </c>
      <c r="L377" s="12">
        <f t="shared" si="56"/>
        <v>1.2</v>
      </c>
      <c r="M377" s="12">
        <f>L377/[4]货币基础!$B$4</f>
        <v>120</v>
      </c>
      <c r="N377" s="12">
        <f>IF(A377&lt;[3]关卡对接!$A$4,INDEX([3]关卡对接!$E$7:$E$141,A377),MATCH(E377,人物经验!$H$24:$H$573,1))</f>
        <v>282</v>
      </c>
      <c r="O377" s="12">
        <f>INDEX([2]关卡!$G$6:$G$2005,A377)</f>
        <v>3</v>
      </c>
      <c r="P377" s="13">
        <v>6</v>
      </c>
      <c r="Q377" s="12">
        <f>INT(P377/$S$15/O377*VLOOKUP(J377,[1]人物技能基础!$N$3:$O$553,2,0)*$U$15)</f>
        <v>9</v>
      </c>
      <c r="R377" s="12">
        <f t="shared" si="57"/>
        <v>112</v>
      </c>
    </row>
    <row r="378" spans="1:18" x14ac:dyDescent="0.15">
      <c r="A378" s="12">
        <v>360</v>
      </c>
      <c r="B378" s="12">
        <f t="shared" si="51"/>
        <v>2</v>
      </c>
      <c r="C378" s="12">
        <f t="shared" si="52"/>
        <v>1.5680000000000003</v>
      </c>
      <c r="D378" s="12">
        <f t="shared" si="53"/>
        <v>1.0595000000000132E-2</v>
      </c>
      <c r="E378" s="12">
        <f>SUM($D$19:D378)</f>
        <v>2.7680000000000016</v>
      </c>
      <c r="F378" s="12">
        <f t="shared" si="49"/>
        <v>27.64845424</v>
      </c>
      <c r="G378" s="12">
        <f t="shared" si="50"/>
        <v>28.834527199999997</v>
      </c>
      <c r="H378" s="12">
        <f t="shared" si="54"/>
        <v>99500</v>
      </c>
      <c r="I378" s="12">
        <f t="shared" si="55"/>
        <v>103800</v>
      </c>
      <c r="J378" s="12">
        <f>IF(A378&lt;[3]关卡对接!$A$4,INDEX([3]关卡对接!$C$7:$C$141,A378),MATCH(E378,人物经验!$H$24:$H$573,1))</f>
        <v>282</v>
      </c>
      <c r="K378" s="12">
        <f>IF([3]关卡对接!F366="",INT(INDEX(人物经验!$J$24:$J$573,关卡!J378)*关卡!$S$7),[3]关卡对接!F366)</f>
        <v>2460</v>
      </c>
      <c r="L378" s="12">
        <f t="shared" si="56"/>
        <v>1.2</v>
      </c>
      <c r="M378" s="12">
        <f>L378/[4]货币基础!$B$4</f>
        <v>120</v>
      </c>
      <c r="N378" s="12">
        <f>IF(A378&lt;[3]关卡对接!$A$4,INDEX([3]关卡对接!$E$7:$E$141,A378),MATCH(E378,人物经验!$H$24:$H$573,1))</f>
        <v>282</v>
      </c>
      <c r="O378" s="12">
        <f>INDEX([2]关卡!$G$6:$G$2005,A378)</f>
        <v>3</v>
      </c>
      <c r="P378" s="13">
        <v>6</v>
      </c>
      <c r="Q378" s="12">
        <f>INT(P378/$S$15/O378*VLOOKUP(J378,[1]人物技能基础!$N$3:$O$553,2,0)*$U$15)</f>
        <v>9</v>
      </c>
      <c r="R378" s="12">
        <f t="shared" si="57"/>
        <v>112</v>
      </c>
    </row>
    <row r="379" spans="1:18" x14ac:dyDescent="0.15">
      <c r="A379" s="12">
        <v>361</v>
      </c>
      <c r="B379" s="12">
        <f t="shared" si="51"/>
        <v>2</v>
      </c>
      <c r="C379" s="12">
        <f t="shared" si="52"/>
        <v>1.578605</v>
      </c>
      <c r="D379" s="12">
        <f t="shared" si="53"/>
        <v>1.0604999999999754E-2</v>
      </c>
      <c r="E379" s="12">
        <f>SUM($D$19:D379)</f>
        <v>2.7786050000000015</v>
      </c>
      <c r="F379" s="12">
        <f t="shared" si="49"/>
        <v>27.753798140834938</v>
      </c>
      <c r="G379" s="12">
        <f t="shared" si="50"/>
        <v>28.91998767430594</v>
      </c>
      <c r="H379" s="12">
        <f t="shared" si="54"/>
        <v>99900</v>
      </c>
      <c r="I379" s="12">
        <f t="shared" si="55"/>
        <v>104100</v>
      </c>
      <c r="J379" s="12">
        <f>IF(A379&lt;[3]关卡对接!$A$4,INDEX([3]关卡对接!$C$7:$C$141,A379),MATCH(E379,人物经验!$H$24:$H$573,1))</f>
        <v>282</v>
      </c>
      <c r="K379" s="12">
        <f>IF([3]关卡对接!F367="",INT(INDEX(人物经验!$J$24:$J$573,关卡!J379)*关卡!$S$7),[3]关卡对接!F367)</f>
        <v>2460</v>
      </c>
      <c r="L379" s="12">
        <f t="shared" si="56"/>
        <v>1.2</v>
      </c>
      <c r="M379" s="12">
        <f>L379/[4]货币基础!$B$4</f>
        <v>120</v>
      </c>
      <c r="N379" s="12">
        <f>IF(A379&lt;[3]关卡对接!$A$4,INDEX([3]关卡对接!$E$7:$E$141,A379),MATCH(E379,人物经验!$H$24:$H$573,1))</f>
        <v>282</v>
      </c>
      <c r="O379" s="12">
        <f>INDEX([2]关卡!$G$6:$G$2005,A379)</f>
        <v>3</v>
      </c>
      <c r="P379" s="13">
        <v>6</v>
      </c>
      <c r="Q379" s="12">
        <f>INT(P379/$S$15/O379*VLOOKUP(J379,[1]人物技能基础!$N$3:$O$553,2,0)*$U$15)</f>
        <v>9</v>
      </c>
      <c r="R379" s="12">
        <f t="shared" si="57"/>
        <v>112</v>
      </c>
    </row>
    <row r="380" spans="1:18" x14ac:dyDescent="0.15">
      <c r="A380" s="12">
        <v>362</v>
      </c>
      <c r="B380" s="12">
        <f t="shared" si="51"/>
        <v>2</v>
      </c>
      <c r="C380" s="12">
        <f t="shared" si="52"/>
        <v>1.5892200000000003</v>
      </c>
      <c r="D380" s="12">
        <f t="shared" si="53"/>
        <v>1.0615000000000263E-2</v>
      </c>
      <c r="E380" s="12">
        <f>SUM($D$19:D380)</f>
        <v>2.789220000000002</v>
      </c>
      <c r="F380" s="12">
        <f t="shared" si="49"/>
        <v>27.859362265279003</v>
      </c>
      <c r="G380" s="12">
        <f t="shared" si="50"/>
        <v>29.005573046495002</v>
      </c>
      <c r="H380" s="12">
        <f t="shared" si="54"/>
        <v>100200</v>
      </c>
      <c r="I380" s="12">
        <f t="shared" si="55"/>
        <v>104400</v>
      </c>
      <c r="J380" s="12">
        <f>IF(A380&lt;[3]关卡对接!$A$4,INDEX([3]关卡对接!$C$7:$C$141,A380),MATCH(E380,人物经验!$H$24:$H$573,1))</f>
        <v>282</v>
      </c>
      <c r="K380" s="12">
        <f>IF([3]关卡对接!F368="",INT(INDEX(人物经验!$J$24:$J$573,关卡!J380)*关卡!$S$7),[3]关卡对接!F368)</f>
        <v>2460</v>
      </c>
      <c r="L380" s="12">
        <f t="shared" si="56"/>
        <v>1.2</v>
      </c>
      <c r="M380" s="12">
        <f>L380/[4]货币基础!$B$4</f>
        <v>120</v>
      </c>
      <c r="N380" s="12">
        <f>IF(A380&lt;[3]关卡对接!$A$4,INDEX([3]关卡对接!$E$7:$E$141,A380),MATCH(E380,人物经验!$H$24:$H$573,1))</f>
        <v>282</v>
      </c>
      <c r="O380" s="12">
        <f>INDEX([2]关卡!$G$6:$G$2005,A380)</f>
        <v>3</v>
      </c>
      <c r="P380" s="13">
        <v>6</v>
      </c>
      <c r="Q380" s="12">
        <f>INT(P380/$S$15/O380*VLOOKUP(J380,[1]人物技能基础!$N$3:$O$553,2,0)*$U$15)</f>
        <v>9</v>
      </c>
      <c r="R380" s="12">
        <f t="shared" si="57"/>
        <v>112</v>
      </c>
    </row>
    <row r="381" spans="1:18" x14ac:dyDescent="0.15">
      <c r="A381" s="12">
        <v>363</v>
      </c>
      <c r="B381" s="12">
        <f t="shared" si="51"/>
        <v>2</v>
      </c>
      <c r="C381" s="12">
        <f t="shared" si="52"/>
        <v>1.5998449999999997</v>
      </c>
      <c r="D381" s="12">
        <f t="shared" si="53"/>
        <v>1.062499999999944E-2</v>
      </c>
      <c r="E381" s="12">
        <f>SUM($D$19:D381)</f>
        <v>2.7998450000000012</v>
      </c>
      <c r="F381" s="12">
        <f t="shared" si="49"/>
        <v>27.965147054689936</v>
      </c>
      <c r="G381" s="12">
        <f t="shared" si="50"/>
        <v>29.091283480580937</v>
      </c>
      <c r="H381" s="12">
        <f t="shared" si="54"/>
        <v>100600</v>
      </c>
      <c r="I381" s="12">
        <f t="shared" si="55"/>
        <v>104700</v>
      </c>
      <c r="J381" s="12">
        <f>IF(A381&lt;[3]关卡对接!$A$4,INDEX([3]关卡对接!$C$7:$C$141,A381),MATCH(E381,人物经验!$H$24:$H$573,1))</f>
        <v>282</v>
      </c>
      <c r="K381" s="12">
        <f>IF([3]关卡对接!F369="",INT(INDEX(人物经验!$J$24:$J$573,关卡!J381)*关卡!$S$7),[3]关卡对接!F369)</f>
        <v>2460</v>
      </c>
      <c r="L381" s="12">
        <f t="shared" si="56"/>
        <v>1.2</v>
      </c>
      <c r="M381" s="12">
        <f>L381/[4]货币基础!$B$4</f>
        <v>120</v>
      </c>
      <c r="N381" s="12">
        <f>IF(A381&lt;[3]关卡对接!$A$4,INDEX([3]关卡对接!$E$7:$E$141,A381),MATCH(E381,人物经验!$H$24:$H$573,1))</f>
        <v>282</v>
      </c>
      <c r="O381" s="12">
        <f>INDEX([2]关卡!$G$6:$G$2005,A381)</f>
        <v>3</v>
      </c>
      <c r="P381" s="13">
        <v>6</v>
      </c>
      <c r="Q381" s="12">
        <f>INT(P381/$S$15/O381*VLOOKUP(J381,[1]人物技能基础!$N$3:$O$553,2,0)*$U$15)</f>
        <v>9</v>
      </c>
      <c r="R381" s="12">
        <f t="shared" si="57"/>
        <v>112</v>
      </c>
    </row>
    <row r="382" spans="1:18" x14ac:dyDescent="0.15">
      <c r="A382" s="12">
        <v>364</v>
      </c>
      <c r="B382" s="12">
        <f t="shared" si="51"/>
        <v>2</v>
      </c>
      <c r="C382" s="12">
        <f t="shared" si="52"/>
        <v>1.6104799999999999</v>
      </c>
      <c r="D382" s="12">
        <f t="shared" si="53"/>
        <v>1.0635000000000172E-2</v>
      </c>
      <c r="E382" s="12">
        <f>SUM($D$19:D382)</f>
        <v>2.8104800000000014</v>
      </c>
      <c r="F382" s="12">
        <f t="shared" si="49"/>
        <v>28.071152951024001</v>
      </c>
      <c r="G382" s="12">
        <f t="shared" si="50"/>
        <v>29.177119140720002</v>
      </c>
      <c r="H382" s="12">
        <f t="shared" si="54"/>
        <v>101000</v>
      </c>
      <c r="I382" s="12">
        <f t="shared" si="55"/>
        <v>105000</v>
      </c>
      <c r="J382" s="12">
        <f>IF(A382&lt;[3]关卡对接!$A$4,INDEX([3]关卡对接!$C$7:$C$141,A382),MATCH(E382,人物经验!$H$24:$H$573,1))</f>
        <v>283</v>
      </c>
      <c r="K382" s="12">
        <f>IF([3]关卡对接!F370="",INT(INDEX(人物经验!$J$24:$J$573,关卡!J382)*关卡!$S$7),[3]关卡对接!F370)</f>
        <v>2516</v>
      </c>
      <c r="L382" s="12">
        <f t="shared" si="56"/>
        <v>1.2</v>
      </c>
      <c r="M382" s="12">
        <f>L382/[4]货币基础!$B$4</f>
        <v>120</v>
      </c>
      <c r="N382" s="12">
        <f>IF(A382&lt;[3]关卡对接!$A$4,INDEX([3]关卡对接!$E$7:$E$141,A382),MATCH(E382,人物经验!$H$24:$H$573,1))</f>
        <v>283</v>
      </c>
      <c r="O382" s="12">
        <f>INDEX([2]关卡!$G$6:$G$2005,A382)</f>
        <v>3</v>
      </c>
      <c r="P382" s="13">
        <v>6</v>
      </c>
      <c r="Q382" s="12">
        <f>INT(P382/$S$15/O382*VLOOKUP(J382,[1]人物技能基础!$N$3:$O$553,2,0)*$U$15)</f>
        <v>9</v>
      </c>
      <c r="R382" s="12">
        <f t="shared" si="57"/>
        <v>112</v>
      </c>
    </row>
    <row r="383" spans="1:18" x14ac:dyDescent="0.15">
      <c r="A383" s="12">
        <v>365</v>
      </c>
      <c r="B383" s="12">
        <f t="shared" si="51"/>
        <v>2</v>
      </c>
      <c r="C383" s="12">
        <f t="shared" si="52"/>
        <v>1.6211249999999999</v>
      </c>
      <c r="D383" s="12">
        <f t="shared" si="53"/>
        <v>1.0645000000000016E-2</v>
      </c>
      <c r="E383" s="12">
        <f>SUM($D$19:D383)</f>
        <v>2.8211250000000012</v>
      </c>
      <c r="F383" s="12">
        <f t="shared" si="49"/>
        <v>28.177380396835936</v>
      </c>
      <c r="G383" s="12">
        <f t="shared" si="50"/>
        <v>29.263080191210936</v>
      </c>
      <c r="H383" s="12">
        <f t="shared" si="54"/>
        <v>101400</v>
      </c>
      <c r="I383" s="12">
        <f t="shared" si="55"/>
        <v>105300</v>
      </c>
      <c r="J383" s="12">
        <f>IF(A383&lt;[3]关卡对接!$A$4,INDEX([3]关卡对接!$C$7:$C$141,A383),MATCH(E383,人物经验!$H$24:$H$573,1))</f>
        <v>283</v>
      </c>
      <c r="K383" s="12">
        <f>IF([3]关卡对接!F371="",INT(INDEX(人物经验!$J$24:$J$573,关卡!J383)*关卡!$S$7),[3]关卡对接!F371)</f>
        <v>2516</v>
      </c>
      <c r="L383" s="12">
        <f t="shared" si="56"/>
        <v>1.2</v>
      </c>
      <c r="M383" s="12">
        <f>L383/[4]货币基础!$B$4</f>
        <v>120</v>
      </c>
      <c r="N383" s="12">
        <f>IF(A383&lt;[3]关卡对接!$A$4,INDEX([3]关卡对接!$E$7:$E$141,A383),MATCH(E383,人物经验!$H$24:$H$573,1))</f>
        <v>283</v>
      </c>
      <c r="O383" s="12">
        <f>INDEX([2]关卡!$G$6:$G$2005,A383)</f>
        <v>3</v>
      </c>
      <c r="P383" s="13">
        <v>6</v>
      </c>
      <c r="Q383" s="12">
        <f>INT(P383/$S$15/O383*VLOOKUP(J383,[1]人物技能基础!$N$3:$O$553,2,0)*$U$15)</f>
        <v>9</v>
      </c>
      <c r="R383" s="12">
        <f t="shared" si="57"/>
        <v>112</v>
      </c>
    </row>
    <row r="384" spans="1:18" x14ac:dyDescent="0.15">
      <c r="A384" s="12">
        <v>366</v>
      </c>
      <c r="B384" s="12">
        <f t="shared" si="51"/>
        <v>2</v>
      </c>
      <c r="C384" s="12">
        <f t="shared" si="52"/>
        <v>1.63178</v>
      </c>
      <c r="D384" s="12">
        <f t="shared" si="53"/>
        <v>1.0655000000000081E-2</v>
      </c>
      <c r="E384" s="12">
        <f>SUM($D$19:D384)</f>
        <v>2.8317800000000011</v>
      </c>
      <c r="F384" s="12">
        <f t="shared" si="49"/>
        <v>28.283829835279001</v>
      </c>
      <c r="G384" s="12">
        <f t="shared" si="50"/>
        <v>29.349166796494998</v>
      </c>
      <c r="H384" s="12">
        <f t="shared" si="54"/>
        <v>101800</v>
      </c>
      <c r="I384" s="12">
        <f t="shared" si="55"/>
        <v>105600</v>
      </c>
      <c r="J384" s="12">
        <f>IF(A384&lt;[3]关卡对接!$A$4,INDEX([3]关卡对接!$C$7:$C$141,A384),MATCH(E384,人物经验!$H$24:$H$573,1))</f>
        <v>283</v>
      </c>
      <c r="K384" s="12">
        <f>IF([3]关卡对接!F372="",INT(INDEX(人物经验!$J$24:$J$573,关卡!J384)*关卡!$S$7),[3]关卡对接!F372)</f>
        <v>2516</v>
      </c>
      <c r="L384" s="12">
        <f t="shared" si="56"/>
        <v>1.2</v>
      </c>
      <c r="M384" s="12">
        <f>L384/[4]货币基础!$B$4</f>
        <v>120</v>
      </c>
      <c r="N384" s="12">
        <f>IF(A384&lt;[3]关卡对接!$A$4,INDEX([3]关卡对接!$E$7:$E$141,A384),MATCH(E384,人物经验!$H$24:$H$573,1))</f>
        <v>283</v>
      </c>
      <c r="O384" s="12">
        <f>INDEX([2]关卡!$G$6:$G$2005,A384)</f>
        <v>3</v>
      </c>
      <c r="P384" s="13">
        <v>6</v>
      </c>
      <c r="Q384" s="12">
        <f>INT(P384/$S$15/O384*VLOOKUP(J384,[1]人物技能基础!$N$3:$O$553,2,0)*$U$15)</f>
        <v>9</v>
      </c>
      <c r="R384" s="12">
        <f t="shared" si="57"/>
        <v>112</v>
      </c>
    </row>
    <row r="385" spans="1:18" x14ac:dyDescent="0.15">
      <c r="A385" s="12">
        <v>367</v>
      </c>
      <c r="B385" s="12">
        <f t="shared" si="51"/>
        <v>2</v>
      </c>
      <c r="C385" s="12">
        <f t="shared" si="52"/>
        <v>1.6424449999999999</v>
      </c>
      <c r="D385" s="12">
        <f t="shared" si="53"/>
        <v>1.0664999999999925E-2</v>
      </c>
      <c r="E385" s="12">
        <f>SUM($D$19:D385)</f>
        <v>2.842445000000001</v>
      </c>
      <c r="F385" s="12">
        <f t="shared" si="49"/>
        <v>28.390501710104939</v>
      </c>
      <c r="G385" s="12">
        <f t="shared" si="50"/>
        <v>29.435379121155936</v>
      </c>
      <c r="H385" s="12">
        <f t="shared" si="54"/>
        <v>102200</v>
      </c>
      <c r="I385" s="12">
        <f t="shared" si="55"/>
        <v>105900</v>
      </c>
      <c r="J385" s="12">
        <f>IF(A385&lt;[3]关卡对接!$A$4,INDEX([3]关卡对接!$C$7:$C$141,A385),MATCH(E385,人物经验!$H$24:$H$573,1))</f>
        <v>283</v>
      </c>
      <c r="K385" s="12">
        <f>IF([3]关卡对接!F373="",INT(INDEX(人物经验!$J$24:$J$573,关卡!J385)*关卡!$S$7),[3]关卡对接!F373)</f>
        <v>2516</v>
      </c>
      <c r="L385" s="12">
        <f t="shared" si="56"/>
        <v>1.2</v>
      </c>
      <c r="M385" s="12">
        <f>L385/[4]货币基础!$B$4</f>
        <v>120</v>
      </c>
      <c r="N385" s="12">
        <f>IF(A385&lt;[3]关卡对接!$A$4,INDEX([3]关卡对接!$E$7:$E$141,A385),MATCH(E385,人物经验!$H$24:$H$573,1))</f>
        <v>283</v>
      </c>
      <c r="O385" s="12">
        <f>INDEX([2]关卡!$G$6:$G$2005,A385)</f>
        <v>3</v>
      </c>
      <c r="P385" s="13">
        <v>6</v>
      </c>
      <c r="Q385" s="12">
        <f>INT(P385/$S$15/O385*VLOOKUP(J385,[1]人物技能基础!$N$3:$O$553,2,0)*$U$15)</f>
        <v>9</v>
      </c>
      <c r="R385" s="12">
        <f t="shared" si="57"/>
        <v>112</v>
      </c>
    </row>
    <row r="386" spans="1:18" x14ac:dyDescent="0.15">
      <c r="A386" s="12">
        <v>368</v>
      </c>
      <c r="B386" s="12">
        <f t="shared" si="51"/>
        <v>2</v>
      </c>
      <c r="C386" s="12">
        <f t="shared" si="52"/>
        <v>1.6531199999999999</v>
      </c>
      <c r="D386" s="12">
        <f t="shared" si="53"/>
        <v>1.067499999999999E-2</v>
      </c>
      <c r="E386" s="12">
        <f>SUM($D$19:D386)</f>
        <v>2.853120000000001</v>
      </c>
      <c r="F386" s="12">
        <f t="shared" si="49"/>
        <v>28.497396465663996</v>
      </c>
      <c r="G386" s="12">
        <f t="shared" si="50"/>
        <v>29.521717329920001</v>
      </c>
      <c r="H386" s="12">
        <f t="shared" si="54"/>
        <v>102500</v>
      </c>
      <c r="I386" s="12">
        <f t="shared" si="55"/>
        <v>106200</v>
      </c>
      <c r="J386" s="12">
        <f>IF(A386&lt;[3]关卡对接!$A$4,INDEX([3]关卡对接!$C$7:$C$141,A386),MATCH(E386,人物经验!$H$24:$H$573,1))</f>
        <v>283</v>
      </c>
      <c r="K386" s="12">
        <f>IF([3]关卡对接!F374="",INT(INDEX(人物经验!$J$24:$J$573,关卡!J386)*关卡!$S$7),[3]关卡对接!F374)</f>
        <v>2516</v>
      </c>
      <c r="L386" s="12">
        <f t="shared" si="56"/>
        <v>1.2</v>
      </c>
      <c r="M386" s="12">
        <f>L386/[4]货币基础!$B$4</f>
        <v>120</v>
      </c>
      <c r="N386" s="12">
        <f>IF(A386&lt;[3]关卡对接!$A$4,INDEX([3]关卡对接!$E$7:$E$141,A386),MATCH(E386,人物经验!$H$24:$H$573,1))</f>
        <v>283</v>
      </c>
      <c r="O386" s="12">
        <f>INDEX([2]关卡!$G$6:$G$2005,A386)</f>
        <v>3</v>
      </c>
      <c r="P386" s="13">
        <v>6</v>
      </c>
      <c r="Q386" s="12">
        <f>INT(P386/$S$15/O386*VLOOKUP(J386,[1]人物技能基础!$N$3:$O$553,2,0)*$U$15)</f>
        <v>9</v>
      </c>
      <c r="R386" s="12">
        <f t="shared" si="57"/>
        <v>112</v>
      </c>
    </row>
    <row r="387" spans="1:18" x14ac:dyDescent="0.15">
      <c r="A387" s="12">
        <v>369</v>
      </c>
      <c r="B387" s="12">
        <f t="shared" si="51"/>
        <v>2</v>
      </c>
      <c r="C387" s="12">
        <f t="shared" si="52"/>
        <v>1.663805</v>
      </c>
      <c r="D387" s="12">
        <f t="shared" si="53"/>
        <v>1.0685000000000056E-2</v>
      </c>
      <c r="E387" s="12">
        <f>SUM($D$19:D387)</f>
        <v>2.863805000000001</v>
      </c>
      <c r="F387" s="12">
        <f t="shared" si="49"/>
        <v>28.604514546904937</v>
      </c>
      <c r="G387" s="12">
        <f t="shared" si="50"/>
        <v>29.608181587655938</v>
      </c>
      <c r="H387" s="12">
        <f t="shared" si="54"/>
        <v>102900</v>
      </c>
      <c r="I387" s="12">
        <f t="shared" si="55"/>
        <v>106500</v>
      </c>
      <c r="J387" s="12">
        <f>IF(A387&lt;[3]关卡对接!$A$4,INDEX([3]关卡对接!$C$7:$C$141,A387),MATCH(E387,人物经验!$H$24:$H$573,1))</f>
        <v>283</v>
      </c>
      <c r="K387" s="12">
        <f>IF([3]关卡对接!F375="",INT(INDEX(人物经验!$J$24:$J$573,关卡!J387)*关卡!$S$7),[3]关卡对接!F375)</f>
        <v>2516</v>
      </c>
      <c r="L387" s="12">
        <f t="shared" si="56"/>
        <v>1.2</v>
      </c>
      <c r="M387" s="12">
        <f>L387/[4]货币基础!$B$4</f>
        <v>120</v>
      </c>
      <c r="N387" s="12">
        <f>IF(A387&lt;[3]关卡对接!$A$4,INDEX([3]关卡对接!$E$7:$E$141,A387),MATCH(E387,人物经验!$H$24:$H$573,1))</f>
        <v>283</v>
      </c>
      <c r="O387" s="12">
        <f>INDEX([2]关卡!$G$6:$G$2005,A387)</f>
        <v>3</v>
      </c>
      <c r="P387" s="13">
        <v>6</v>
      </c>
      <c r="Q387" s="12">
        <f>INT(P387/$S$15/O387*VLOOKUP(J387,[1]人物技能基础!$N$3:$O$553,2,0)*$U$15)</f>
        <v>9</v>
      </c>
      <c r="R387" s="12">
        <f t="shared" si="57"/>
        <v>112</v>
      </c>
    </row>
    <row r="388" spans="1:18" x14ac:dyDescent="0.15">
      <c r="A388" s="12">
        <v>370</v>
      </c>
      <c r="B388" s="12">
        <f t="shared" si="51"/>
        <v>2</v>
      </c>
      <c r="C388" s="12">
        <f t="shared" si="52"/>
        <v>1.6745000000000001</v>
      </c>
      <c r="D388" s="12">
        <f t="shared" si="53"/>
        <v>1.0695000000000121E-2</v>
      </c>
      <c r="E388" s="12">
        <f>SUM($D$19:D388)</f>
        <v>2.8745000000000012</v>
      </c>
      <c r="F388" s="12">
        <f t="shared" si="49"/>
        <v>28.711856399374998</v>
      </c>
      <c r="G388" s="12">
        <f t="shared" si="50"/>
        <v>29.694772059374998</v>
      </c>
      <c r="H388" s="12">
        <f t="shared" si="54"/>
        <v>103300</v>
      </c>
      <c r="I388" s="12">
        <f t="shared" si="55"/>
        <v>106900</v>
      </c>
      <c r="J388" s="12">
        <f>IF(A388&lt;[3]关卡对接!$A$4,INDEX([3]关卡对接!$C$7:$C$141,A388),MATCH(E388,人物经验!$H$24:$H$573,1))</f>
        <v>283</v>
      </c>
      <c r="K388" s="12">
        <f>IF([3]关卡对接!F376="",INT(INDEX(人物经验!$J$24:$J$573,关卡!J388)*关卡!$S$7),[3]关卡对接!F376)</f>
        <v>2516</v>
      </c>
      <c r="L388" s="12">
        <f t="shared" si="56"/>
        <v>1.2</v>
      </c>
      <c r="M388" s="12">
        <f>L388/[4]货币基础!$B$4</f>
        <v>120</v>
      </c>
      <c r="N388" s="12">
        <f>IF(A388&lt;[3]关卡对接!$A$4,INDEX([3]关卡对接!$E$7:$E$141,A388),MATCH(E388,人物经验!$H$24:$H$573,1))</f>
        <v>283</v>
      </c>
      <c r="O388" s="12">
        <f>INDEX([2]关卡!$G$6:$G$2005,A388)</f>
        <v>3</v>
      </c>
      <c r="P388" s="13">
        <v>6</v>
      </c>
      <c r="Q388" s="12">
        <f>INT(P388/$S$15/O388*VLOOKUP(J388,[1]人物技能基础!$N$3:$O$553,2,0)*$U$15)</f>
        <v>9</v>
      </c>
      <c r="R388" s="12">
        <f t="shared" si="57"/>
        <v>112</v>
      </c>
    </row>
    <row r="389" spans="1:18" x14ac:dyDescent="0.15">
      <c r="A389" s="12">
        <v>371</v>
      </c>
      <c r="B389" s="12">
        <f t="shared" si="51"/>
        <v>2</v>
      </c>
      <c r="C389" s="12">
        <f t="shared" si="52"/>
        <v>1.6852049999999998</v>
      </c>
      <c r="D389" s="12">
        <f t="shared" si="53"/>
        <v>1.0704999999999742E-2</v>
      </c>
      <c r="E389" s="12">
        <f>SUM($D$19:D389)</f>
        <v>2.8852050000000009</v>
      </c>
      <c r="F389" s="12">
        <f t="shared" si="49"/>
        <v>28.819422469219937</v>
      </c>
      <c r="G389" s="12">
        <f t="shared" si="50"/>
        <v>29.781488910230941</v>
      </c>
      <c r="H389" s="12">
        <f t="shared" si="54"/>
        <v>103700</v>
      </c>
      <c r="I389" s="12">
        <f t="shared" si="55"/>
        <v>107200</v>
      </c>
      <c r="J389" s="12">
        <f>IF(A389&lt;[3]关卡对接!$A$4,INDEX([3]关卡对接!$C$7:$C$141,A389),MATCH(E389,人物经验!$H$24:$H$573,1))</f>
        <v>284</v>
      </c>
      <c r="K389" s="12">
        <f>IF([3]关卡对接!F377="",INT(INDEX(人物经验!$J$24:$J$573,关卡!J389)*关卡!$S$7),[3]关卡对接!F377)</f>
        <v>2584</v>
      </c>
      <c r="L389" s="12">
        <f t="shared" si="56"/>
        <v>1.2</v>
      </c>
      <c r="M389" s="12">
        <f>L389/[4]货币基础!$B$4</f>
        <v>120</v>
      </c>
      <c r="N389" s="12">
        <f>IF(A389&lt;[3]关卡对接!$A$4,INDEX([3]关卡对接!$E$7:$E$141,A389),MATCH(E389,人物经验!$H$24:$H$573,1))</f>
        <v>284</v>
      </c>
      <c r="O389" s="12">
        <f>INDEX([2]关卡!$G$6:$G$2005,A389)</f>
        <v>3</v>
      </c>
      <c r="P389" s="13">
        <v>6</v>
      </c>
      <c r="Q389" s="12">
        <f>INT(P389/$S$15/O389*VLOOKUP(J389,[1]人物技能基础!$N$3:$O$553,2,0)*$U$15)</f>
        <v>9</v>
      </c>
      <c r="R389" s="12">
        <f t="shared" si="57"/>
        <v>112</v>
      </c>
    </row>
    <row r="390" spans="1:18" x14ac:dyDescent="0.15">
      <c r="A390" s="12">
        <v>372</v>
      </c>
      <c r="B390" s="12">
        <f t="shared" si="51"/>
        <v>2</v>
      </c>
      <c r="C390" s="12">
        <f t="shared" si="52"/>
        <v>1.6959200000000001</v>
      </c>
      <c r="D390" s="12">
        <f t="shared" si="53"/>
        <v>1.0715000000000252E-2</v>
      </c>
      <c r="E390" s="12">
        <f>SUM($D$19:D390)</f>
        <v>2.8959200000000012</v>
      </c>
      <c r="F390" s="12">
        <f t="shared" si="49"/>
        <v>28.927213203184003</v>
      </c>
      <c r="G390" s="12">
        <f t="shared" si="50"/>
        <v>29.868332305520003</v>
      </c>
      <c r="H390" s="12">
        <f t="shared" si="54"/>
        <v>104100</v>
      </c>
      <c r="I390" s="12">
        <f t="shared" si="55"/>
        <v>107500</v>
      </c>
      <c r="J390" s="12">
        <f>IF(A390&lt;[3]关卡对接!$A$4,INDEX([3]关卡对接!$C$7:$C$141,A390),MATCH(E390,人物经验!$H$24:$H$573,1))</f>
        <v>284</v>
      </c>
      <c r="K390" s="12">
        <f>IF([3]关卡对接!F378="",INT(INDEX(人物经验!$J$24:$J$573,关卡!J390)*关卡!$S$7),[3]关卡对接!F378)</f>
        <v>2584</v>
      </c>
      <c r="L390" s="12">
        <f t="shared" si="56"/>
        <v>1.2</v>
      </c>
      <c r="M390" s="12">
        <f>L390/[4]货币基础!$B$4</f>
        <v>120</v>
      </c>
      <c r="N390" s="12">
        <f>IF(A390&lt;[3]关卡对接!$A$4,INDEX([3]关卡对接!$E$7:$E$141,A390),MATCH(E390,人物经验!$H$24:$H$573,1))</f>
        <v>284</v>
      </c>
      <c r="O390" s="12">
        <f>INDEX([2]关卡!$G$6:$G$2005,A390)</f>
        <v>3</v>
      </c>
      <c r="P390" s="13">
        <v>6</v>
      </c>
      <c r="Q390" s="12">
        <f>INT(P390/$S$15/O390*VLOOKUP(J390,[1]人物技能基础!$N$3:$O$553,2,0)*$U$15)</f>
        <v>9</v>
      </c>
      <c r="R390" s="12">
        <f t="shared" si="57"/>
        <v>112</v>
      </c>
    </row>
    <row r="391" spans="1:18" x14ac:dyDescent="0.15">
      <c r="A391" s="12">
        <v>373</v>
      </c>
      <c r="B391" s="12">
        <f t="shared" si="51"/>
        <v>2</v>
      </c>
      <c r="C391" s="12">
        <f t="shared" si="52"/>
        <v>1.706645</v>
      </c>
      <c r="D391" s="12">
        <f t="shared" si="53"/>
        <v>1.0724999999999874E-2</v>
      </c>
      <c r="E391" s="12">
        <f>SUM($D$19:D391)</f>
        <v>2.906645000000001</v>
      </c>
      <c r="F391" s="12">
        <f t="shared" si="49"/>
        <v>29.035229048609938</v>
      </c>
      <c r="G391" s="12">
        <f t="shared" si="50"/>
        <v>29.955302410680936</v>
      </c>
      <c r="H391" s="12">
        <f t="shared" si="54"/>
        <v>104500</v>
      </c>
      <c r="I391" s="12">
        <f t="shared" si="55"/>
        <v>107800</v>
      </c>
      <c r="J391" s="12">
        <f>IF(A391&lt;[3]关卡对接!$A$4,INDEX([3]关卡对接!$C$7:$C$141,A391),MATCH(E391,人物经验!$H$24:$H$573,1))</f>
        <v>284</v>
      </c>
      <c r="K391" s="12">
        <f>IF([3]关卡对接!F379="",INT(INDEX(人物经验!$J$24:$J$573,关卡!J391)*关卡!$S$7),[3]关卡对接!F379)</f>
        <v>2584</v>
      </c>
      <c r="L391" s="12">
        <f t="shared" si="56"/>
        <v>1.2</v>
      </c>
      <c r="M391" s="12">
        <f>L391/[4]货币基础!$B$4</f>
        <v>120</v>
      </c>
      <c r="N391" s="12">
        <f>IF(A391&lt;[3]关卡对接!$A$4,INDEX([3]关卡对接!$E$7:$E$141,A391),MATCH(E391,人物经验!$H$24:$H$573,1))</f>
        <v>284</v>
      </c>
      <c r="O391" s="12">
        <f>INDEX([2]关卡!$G$6:$G$2005,A391)</f>
        <v>3</v>
      </c>
      <c r="P391" s="13">
        <v>6</v>
      </c>
      <c r="Q391" s="12">
        <f>INT(P391/$S$15/O391*VLOOKUP(J391,[1]人物技能基础!$N$3:$O$553,2,0)*$U$15)</f>
        <v>9</v>
      </c>
      <c r="R391" s="12">
        <f t="shared" si="57"/>
        <v>112</v>
      </c>
    </row>
    <row r="392" spans="1:18" x14ac:dyDescent="0.15">
      <c r="A392" s="12">
        <v>374</v>
      </c>
      <c r="B392" s="12">
        <f t="shared" si="51"/>
        <v>2</v>
      </c>
      <c r="C392" s="12">
        <f t="shared" si="52"/>
        <v>1.7173800000000001</v>
      </c>
      <c r="D392" s="12">
        <f t="shared" si="53"/>
        <v>1.0735000000000161E-2</v>
      </c>
      <c r="E392" s="12">
        <f>SUM($D$19:D392)</f>
        <v>2.9173800000000014</v>
      </c>
      <c r="F392" s="12">
        <f t="shared" si="49"/>
        <v>29.143470453439008</v>
      </c>
      <c r="G392" s="12">
        <f t="shared" si="50"/>
        <v>30.042399391295</v>
      </c>
      <c r="H392" s="12">
        <f t="shared" si="54"/>
        <v>104900</v>
      </c>
      <c r="I392" s="12">
        <f t="shared" si="55"/>
        <v>108100</v>
      </c>
      <c r="J392" s="12">
        <f>IF(A392&lt;[3]关卡对接!$A$4,INDEX([3]关卡对接!$C$7:$C$141,A392),MATCH(E392,人物经验!$H$24:$H$573,1))</f>
        <v>284</v>
      </c>
      <c r="K392" s="12">
        <f>IF([3]关卡对接!F380="",INT(INDEX(人物经验!$J$24:$J$573,关卡!J392)*关卡!$S$7),[3]关卡对接!F380)</f>
        <v>2584</v>
      </c>
      <c r="L392" s="12">
        <f t="shared" si="56"/>
        <v>1.2</v>
      </c>
      <c r="M392" s="12">
        <f>L392/[4]货币基础!$B$4</f>
        <v>120</v>
      </c>
      <c r="N392" s="12">
        <f>IF(A392&lt;[3]关卡对接!$A$4,INDEX([3]关卡对接!$E$7:$E$141,A392),MATCH(E392,人物经验!$H$24:$H$573,1))</f>
        <v>284</v>
      </c>
      <c r="O392" s="12">
        <f>INDEX([2]关卡!$G$6:$G$2005,A392)</f>
        <v>3</v>
      </c>
      <c r="P392" s="13">
        <v>6</v>
      </c>
      <c r="Q392" s="12">
        <f>INT(P392/$S$15/O392*VLOOKUP(J392,[1]人物技能基础!$N$3:$O$553,2,0)*$U$15)</f>
        <v>9</v>
      </c>
      <c r="R392" s="12">
        <f t="shared" si="57"/>
        <v>112</v>
      </c>
    </row>
    <row r="393" spans="1:18" x14ac:dyDescent="0.15">
      <c r="A393" s="12">
        <v>375</v>
      </c>
      <c r="B393" s="12">
        <f t="shared" si="51"/>
        <v>2</v>
      </c>
      <c r="C393" s="12">
        <f t="shared" si="52"/>
        <v>1.7281249999999999</v>
      </c>
      <c r="D393" s="12">
        <f t="shared" si="53"/>
        <v>1.0744999999999783E-2</v>
      </c>
      <c r="E393" s="12">
        <f>SUM($D$19:D393)</f>
        <v>2.9281250000000014</v>
      </c>
      <c r="F393" s="12">
        <f t="shared" si="49"/>
        <v>29.251937866210938</v>
      </c>
      <c r="G393" s="12">
        <f t="shared" si="50"/>
        <v>30.129623413085938</v>
      </c>
      <c r="H393" s="12">
        <f t="shared" si="54"/>
        <v>105300</v>
      </c>
      <c r="I393" s="12">
        <f t="shared" si="55"/>
        <v>108400</v>
      </c>
      <c r="J393" s="12">
        <f>IF(A393&lt;[3]关卡对接!$A$4,INDEX([3]关卡对接!$C$7:$C$141,A393),MATCH(E393,人物经验!$H$24:$H$573,1))</f>
        <v>284</v>
      </c>
      <c r="K393" s="12">
        <f>IF([3]关卡对接!F381="",INT(INDEX(人物经验!$J$24:$J$573,关卡!J393)*关卡!$S$7),[3]关卡对接!F381)</f>
        <v>2584</v>
      </c>
      <c r="L393" s="12">
        <f t="shared" si="56"/>
        <v>1.2</v>
      </c>
      <c r="M393" s="12">
        <f>L393/[4]货币基础!$B$4</f>
        <v>120</v>
      </c>
      <c r="N393" s="12">
        <f>IF(A393&lt;[3]关卡对接!$A$4,INDEX([3]关卡对接!$E$7:$E$141,A393),MATCH(E393,人物经验!$H$24:$H$573,1))</f>
        <v>284</v>
      </c>
      <c r="O393" s="12">
        <f>INDEX([2]关卡!$G$6:$G$2005,A393)</f>
        <v>3</v>
      </c>
      <c r="P393" s="13">
        <v>6</v>
      </c>
      <c r="Q393" s="12">
        <f>INT(P393/$S$15/O393*VLOOKUP(J393,[1]人物技能基础!$N$3:$O$553,2,0)*$U$15)</f>
        <v>9</v>
      </c>
      <c r="R393" s="12">
        <f t="shared" si="57"/>
        <v>112</v>
      </c>
    </row>
    <row r="394" spans="1:18" x14ac:dyDescent="0.15">
      <c r="A394" s="12">
        <v>376</v>
      </c>
      <c r="B394" s="12">
        <f t="shared" si="51"/>
        <v>2</v>
      </c>
      <c r="C394" s="12">
        <f t="shared" si="52"/>
        <v>1.73888</v>
      </c>
      <c r="D394" s="12">
        <f t="shared" si="53"/>
        <v>1.075500000000007E-2</v>
      </c>
      <c r="E394" s="12">
        <f>SUM($D$19:D394)</f>
        <v>2.9388800000000015</v>
      </c>
      <c r="F394" s="12">
        <f t="shared" si="49"/>
        <v>29.360631736064004</v>
      </c>
      <c r="G394" s="12">
        <f t="shared" si="50"/>
        <v>30.21697464192</v>
      </c>
      <c r="H394" s="12">
        <f t="shared" si="54"/>
        <v>105600</v>
      </c>
      <c r="I394" s="12">
        <f t="shared" si="55"/>
        <v>108700</v>
      </c>
      <c r="J394" s="12">
        <f>IF(A394&lt;[3]关卡对接!$A$4,INDEX([3]关卡对接!$C$7:$C$141,A394),MATCH(E394,人物经验!$H$24:$H$573,1))</f>
        <v>284</v>
      </c>
      <c r="K394" s="12">
        <f>IF([3]关卡对接!F382="",INT(INDEX(人物经验!$J$24:$J$573,关卡!J394)*关卡!$S$7),[3]关卡对接!F382)</f>
        <v>2584</v>
      </c>
      <c r="L394" s="12">
        <f t="shared" si="56"/>
        <v>1.2</v>
      </c>
      <c r="M394" s="12">
        <f>L394/[4]货币基础!$B$4</f>
        <v>120</v>
      </c>
      <c r="N394" s="12">
        <f>IF(A394&lt;[3]关卡对接!$A$4,INDEX([3]关卡对接!$E$7:$E$141,A394),MATCH(E394,人物经验!$H$24:$H$573,1))</f>
        <v>284</v>
      </c>
      <c r="O394" s="12">
        <f>INDEX([2]关卡!$G$6:$G$2005,A394)</f>
        <v>3</v>
      </c>
      <c r="P394" s="13">
        <v>6</v>
      </c>
      <c r="Q394" s="12">
        <f>INT(P394/$S$15/O394*VLOOKUP(J394,[1]人物技能基础!$N$3:$O$553,2,0)*$U$15)</f>
        <v>9</v>
      </c>
      <c r="R394" s="12">
        <f t="shared" si="57"/>
        <v>112</v>
      </c>
    </row>
    <row r="395" spans="1:18" x14ac:dyDescent="0.15">
      <c r="A395" s="12">
        <v>377</v>
      </c>
      <c r="B395" s="12">
        <f t="shared" si="51"/>
        <v>2</v>
      </c>
      <c r="C395" s="12">
        <f t="shared" si="52"/>
        <v>1.7496450000000001</v>
      </c>
      <c r="D395" s="12">
        <f t="shared" si="53"/>
        <v>1.0765000000000136E-2</v>
      </c>
      <c r="E395" s="12">
        <f>SUM($D$19:D395)</f>
        <v>2.9496450000000016</v>
      </c>
      <c r="F395" s="12">
        <f t="shared" si="49"/>
        <v>29.469552512734939</v>
      </c>
      <c r="G395" s="12">
        <f t="shared" si="50"/>
        <v>30.304453243805938</v>
      </c>
      <c r="H395" s="12">
        <f t="shared" si="54"/>
        <v>106000</v>
      </c>
      <c r="I395" s="12">
        <f t="shared" si="55"/>
        <v>109000</v>
      </c>
      <c r="J395" s="12">
        <f>IF(A395&lt;[3]关卡对接!$A$4,INDEX([3]关卡对接!$C$7:$C$141,A395),MATCH(E395,人物经验!$H$24:$H$573,1))</f>
        <v>284</v>
      </c>
      <c r="K395" s="12">
        <f>IF([3]关卡对接!F383="",INT(INDEX(人物经验!$J$24:$J$573,关卡!J395)*关卡!$S$7),[3]关卡对接!F383)</f>
        <v>2584</v>
      </c>
      <c r="L395" s="12">
        <f t="shared" si="56"/>
        <v>1.2</v>
      </c>
      <c r="M395" s="12">
        <f>L395/[4]货币基础!$B$4</f>
        <v>120</v>
      </c>
      <c r="N395" s="12">
        <f>IF(A395&lt;[3]关卡对接!$A$4,INDEX([3]关卡对接!$E$7:$E$141,A395),MATCH(E395,人物经验!$H$24:$H$573,1))</f>
        <v>284</v>
      </c>
      <c r="O395" s="12">
        <f>INDEX([2]关卡!$G$6:$G$2005,A395)</f>
        <v>3</v>
      </c>
      <c r="P395" s="13">
        <v>6</v>
      </c>
      <c r="Q395" s="12">
        <f>INT(P395/$S$15/O395*VLOOKUP(J395,[1]人物技能基础!$N$3:$O$553,2,0)*$U$15)</f>
        <v>9</v>
      </c>
      <c r="R395" s="12">
        <f t="shared" si="57"/>
        <v>112</v>
      </c>
    </row>
    <row r="396" spans="1:18" x14ac:dyDescent="0.15">
      <c r="A396" s="12">
        <v>378</v>
      </c>
      <c r="B396" s="12">
        <f t="shared" si="51"/>
        <v>2</v>
      </c>
      <c r="C396" s="12">
        <f t="shared" si="52"/>
        <v>1.7604200000000001</v>
      </c>
      <c r="D396" s="12">
        <f t="shared" si="53"/>
        <v>1.0774999999999979E-2</v>
      </c>
      <c r="E396" s="12">
        <f>SUM($D$19:D396)</f>
        <v>2.9604200000000018</v>
      </c>
      <c r="F396" s="12">
        <f t="shared" si="49"/>
        <v>29.578700646559</v>
      </c>
      <c r="G396" s="12">
        <f t="shared" si="50"/>
        <v>30.392059384894999</v>
      </c>
      <c r="H396" s="12">
        <f t="shared" si="54"/>
        <v>106400</v>
      </c>
      <c r="I396" s="12">
        <f t="shared" si="55"/>
        <v>109400</v>
      </c>
      <c r="J396" s="12">
        <f>IF(A396&lt;[3]关卡对接!$A$4,INDEX([3]关卡对接!$C$7:$C$141,A396),MATCH(E396,人物经验!$H$24:$H$573,1))</f>
        <v>285</v>
      </c>
      <c r="K396" s="12">
        <f>IF([3]关卡对接!F384="",INT(INDEX(人物经验!$J$24:$J$573,关卡!J396)*关卡!$S$7),[3]关卡对接!F384)</f>
        <v>2652</v>
      </c>
      <c r="L396" s="12">
        <f t="shared" si="56"/>
        <v>1.2</v>
      </c>
      <c r="M396" s="12">
        <f>L396/[4]货币基础!$B$4</f>
        <v>120</v>
      </c>
      <c r="N396" s="12">
        <f>IF(A396&lt;[3]关卡对接!$A$4,INDEX([3]关卡对接!$E$7:$E$141,A396),MATCH(E396,人物经验!$H$24:$H$573,1))</f>
        <v>285</v>
      </c>
      <c r="O396" s="12">
        <f>INDEX([2]关卡!$G$6:$G$2005,A396)</f>
        <v>3</v>
      </c>
      <c r="P396" s="13">
        <v>6</v>
      </c>
      <c r="Q396" s="12">
        <f>INT(P396/$S$15/O396*VLOOKUP(J396,[1]人物技能基础!$N$3:$O$553,2,0)*$U$15)</f>
        <v>9</v>
      </c>
      <c r="R396" s="12">
        <f t="shared" si="57"/>
        <v>112</v>
      </c>
    </row>
    <row r="397" spans="1:18" x14ac:dyDescent="0.15">
      <c r="A397" s="12">
        <v>379</v>
      </c>
      <c r="B397" s="12">
        <f t="shared" si="51"/>
        <v>2</v>
      </c>
      <c r="C397" s="12">
        <f t="shared" si="52"/>
        <v>1.7712049999999999</v>
      </c>
      <c r="D397" s="12">
        <f t="shared" si="53"/>
        <v>1.0784999999999823E-2</v>
      </c>
      <c r="E397" s="12">
        <f>SUM($D$19:D397)</f>
        <v>2.9712050000000017</v>
      </c>
      <c r="F397" s="12">
        <f t="shared" si="49"/>
        <v>29.68807658846994</v>
      </c>
      <c r="G397" s="12">
        <f t="shared" si="50"/>
        <v>30.47979323148094</v>
      </c>
      <c r="H397" s="12">
        <f t="shared" si="54"/>
        <v>106800</v>
      </c>
      <c r="I397" s="12">
        <f t="shared" si="55"/>
        <v>109700</v>
      </c>
      <c r="J397" s="12">
        <f>IF(A397&lt;[3]关卡对接!$A$4,INDEX([3]关卡对接!$C$7:$C$141,A397),MATCH(E397,人物经验!$H$24:$H$573,1))</f>
        <v>285</v>
      </c>
      <c r="K397" s="12">
        <f>IF([3]关卡对接!F385="",INT(INDEX(人物经验!$J$24:$J$573,关卡!J397)*关卡!$S$7),[3]关卡对接!F385)</f>
        <v>2652</v>
      </c>
      <c r="L397" s="12">
        <f t="shared" si="56"/>
        <v>1.2</v>
      </c>
      <c r="M397" s="12">
        <f>L397/[4]货币基础!$B$4</f>
        <v>120</v>
      </c>
      <c r="N397" s="12">
        <f>IF(A397&lt;[3]关卡对接!$A$4,INDEX([3]关卡对接!$E$7:$E$141,A397),MATCH(E397,人物经验!$H$24:$H$573,1))</f>
        <v>285</v>
      </c>
      <c r="O397" s="12">
        <f>INDEX([2]关卡!$G$6:$G$2005,A397)</f>
        <v>3</v>
      </c>
      <c r="P397" s="13">
        <v>6</v>
      </c>
      <c r="Q397" s="12">
        <f>INT(P397/$S$15/O397*VLOOKUP(J397,[1]人物技能基础!$N$3:$O$553,2,0)*$U$15)</f>
        <v>9</v>
      </c>
      <c r="R397" s="12">
        <f t="shared" si="57"/>
        <v>112</v>
      </c>
    </row>
    <row r="398" spans="1:18" x14ac:dyDescent="0.15">
      <c r="A398" s="12">
        <v>380</v>
      </c>
      <c r="B398" s="12">
        <f t="shared" si="51"/>
        <v>2</v>
      </c>
      <c r="C398" s="12">
        <f t="shared" si="52"/>
        <v>1.782</v>
      </c>
      <c r="D398" s="12">
        <f t="shared" si="53"/>
        <v>1.079500000000011E-2</v>
      </c>
      <c r="E398" s="12">
        <f>SUM($D$19:D398)</f>
        <v>2.982000000000002</v>
      </c>
      <c r="F398" s="12">
        <f t="shared" si="49"/>
        <v>29.797680790000001</v>
      </c>
      <c r="G398" s="12">
        <f t="shared" si="50"/>
        <v>30.567654950000005</v>
      </c>
      <c r="H398" s="12">
        <f t="shared" si="54"/>
        <v>107200</v>
      </c>
      <c r="I398" s="12">
        <f t="shared" si="55"/>
        <v>110000</v>
      </c>
      <c r="J398" s="12">
        <f>IF(A398&lt;[3]关卡对接!$A$4,INDEX([3]关卡对接!$C$7:$C$141,A398),MATCH(E398,人物经验!$H$24:$H$573,1))</f>
        <v>285</v>
      </c>
      <c r="K398" s="12">
        <f>IF([3]关卡对接!F386="",INT(INDEX(人物经验!$J$24:$J$573,关卡!J398)*关卡!$S$7),[3]关卡对接!F386)</f>
        <v>2652</v>
      </c>
      <c r="L398" s="12">
        <f t="shared" si="56"/>
        <v>1.2</v>
      </c>
      <c r="M398" s="12">
        <f>L398/[4]货币基础!$B$4</f>
        <v>120</v>
      </c>
      <c r="N398" s="12">
        <f>IF(A398&lt;[3]关卡对接!$A$4,INDEX([3]关卡对接!$E$7:$E$141,A398),MATCH(E398,人物经验!$H$24:$H$573,1))</f>
        <v>285</v>
      </c>
      <c r="O398" s="12">
        <f>INDEX([2]关卡!$G$6:$G$2005,A398)</f>
        <v>3</v>
      </c>
      <c r="P398" s="13">
        <v>6</v>
      </c>
      <c r="Q398" s="12">
        <f>INT(P398/$S$15/O398*VLOOKUP(J398,[1]人物技能基础!$N$3:$O$553,2,0)*$U$15)</f>
        <v>9</v>
      </c>
      <c r="R398" s="12">
        <f t="shared" si="57"/>
        <v>112</v>
      </c>
    </row>
    <row r="399" spans="1:18" x14ac:dyDescent="0.15">
      <c r="A399" s="12">
        <v>381</v>
      </c>
      <c r="B399" s="12">
        <f t="shared" si="51"/>
        <v>2</v>
      </c>
      <c r="C399" s="12">
        <f t="shared" si="52"/>
        <v>1.792805</v>
      </c>
      <c r="D399" s="12">
        <f t="shared" si="53"/>
        <v>1.0804999999999954E-2</v>
      </c>
      <c r="E399" s="12">
        <f>SUM($D$19:D399)</f>
        <v>2.9928050000000019</v>
      </c>
      <c r="F399" s="12">
        <f t="shared" si="49"/>
        <v>29.907513703279943</v>
      </c>
      <c r="G399" s="12">
        <f t="shared" si="50"/>
        <v>30.655644707030945</v>
      </c>
      <c r="H399" s="12">
        <f t="shared" si="54"/>
        <v>107600</v>
      </c>
      <c r="I399" s="12">
        <f t="shared" si="55"/>
        <v>110300</v>
      </c>
      <c r="J399" s="12">
        <f>IF(A399&lt;[3]关卡对接!$A$4,INDEX([3]关卡对接!$C$7:$C$141,A399),MATCH(E399,人物经验!$H$24:$H$573,1))</f>
        <v>285</v>
      </c>
      <c r="K399" s="12">
        <f>IF([3]关卡对接!F387="",INT(INDEX(人物经验!$J$24:$J$573,关卡!J399)*关卡!$S$7),[3]关卡对接!F387)</f>
        <v>2652</v>
      </c>
      <c r="L399" s="12">
        <f t="shared" si="56"/>
        <v>1.2</v>
      </c>
      <c r="M399" s="12">
        <f>L399/[4]货币基础!$B$4</f>
        <v>120</v>
      </c>
      <c r="N399" s="12">
        <f>IF(A399&lt;[3]关卡对接!$A$4,INDEX([3]关卡对接!$E$7:$E$141,A399),MATCH(E399,人物经验!$H$24:$H$573,1))</f>
        <v>285</v>
      </c>
      <c r="O399" s="12">
        <f>INDEX([2]关卡!$G$6:$G$2005,A399)</f>
        <v>3</v>
      </c>
      <c r="P399" s="13">
        <v>6</v>
      </c>
      <c r="Q399" s="12">
        <f>INT(P399/$S$15/O399*VLOOKUP(J399,[1]人物技能基础!$N$3:$O$553,2,0)*$U$15)</f>
        <v>9</v>
      </c>
      <c r="R399" s="12">
        <f t="shared" si="57"/>
        <v>112</v>
      </c>
    </row>
    <row r="400" spans="1:18" x14ac:dyDescent="0.15">
      <c r="A400" s="12">
        <v>382</v>
      </c>
      <c r="B400" s="12">
        <f t="shared" si="51"/>
        <v>2</v>
      </c>
      <c r="C400" s="12">
        <f t="shared" si="52"/>
        <v>1.8036200000000002</v>
      </c>
      <c r="D400" s="12">
        <f t="shared" si="53"/>
        <v>1.0815000000000241E-2</v>
      </c>
      <c r="E400" s="12">
        <f>SUM($D$19:D400)</f>
        <v>3.0036200000000024</v>
      </c>
      <c r="F400" s="12">
        <f t="shared" si="49"/>
        <v>30.017575781039003</v>
      </c>
      <c r="G400" s="12">
        <f t="shared" si="50"/>
        <v>30.743762669295002</v>
      </c>
      <c r="H400" s="12">
        <f t="shared" si="54"/>
        <v>108000</v>
      </c>
      <c r="I400" s="12">
        <f t="shared" si="55"/>
        <v>110600</v>
      </c>
      <c r="J400" s="12">
        <f>IF(A400&lt;[3]关卡对接!$A$4,INDEX([3]关卡对接!$C$7:$C$141,A400),MATCH(E400,人物经验!$H$24:$H$573,1))</f>
        <v>285</v>
      </c>
      <c r="K400" s="12">
        <f>IF([3]关卡对接!F388="",INT(INDEX(人物经验!$J$24:$J$573,关卡!J400)*关卡!$S$7),[3]关卡对接!F388)</f>
        <v>2652</v>
      </c>
      <c r="L400" s="12">
        <f t="shared" si="56"/>
        <v>1.2</v>
      </c>
      <c r="M400" s="12">
        <f>L400/[4]货币基础!$B$4</f>
        <v>120</v>
      </c>
      <c r="N400" s="12">
        <f>IF(A400&lt;[3]关卡对接!$A$4,INDEX([3]关卡对接!$E$7:$E$141,A400),MATCH(E400,人物经验!$H$24:$H$573,1))</f>
        <v>285</v>
      </c>
      <c r="O400" s="12">
        <f>INDEX([2]关卡!$G$6:$G$2005,A400)</f>
        <v>3</v>
      </c>
      <c r="P400" s="13">
        <v>6</v>
      </c>
      <c r="Q400" s="12">
        <f>INT(P400/$S$15/O400*VLOOKUP(J400,[1]人物技能基础!$N$3:$O$553,2,0)*$U$15)</f>
        <v>9</v>
      </c>
      <c r="R400" s="12">
        <f t="shared" si="57"/>
        <v>112</v>
      </c>
    </row>
    <row r="401" spans="1:18" x14ac:dyDescent="0.15">
      <c r="A401" s="12">
        <v>383</v>
      </c>
      <c r="B401" s="12">
        <f t="shared" si="51"/>
        <v>2</v>
      </c>
      <c r="C401" s="12">
        <f t="shared" si="52"/>
        <v>1.8144450000000001</v>
      </c>
      <c r="D401" s="12">
        <f t="shared" si="53"/>
        <v>1.0824999999999863E-2</v>
      </c>
      <c r="E401" s="12">
        <f>SUM($D$19:D401)</f>
        <v>3.014445000000002</v>
      </c>
      <c r="F401" s="12">
        <f t="shared" si="49"/>
        <v>30.127867476604937</v>
      </c>
      <c r="G401" s="12">
        <f t="shared" si="50"/>
        <v>30.832009003655941</v>
      </c>
      <c r="H401" s="12">
        <f t="shared" si="54"/>
        <v>108400</v>
      </c>
      <c r="I401" s="12">
        <f t="shared" si="55"/>
        <v>110900</v>
      </c>
      <c r="J401" s="12">
        <f>IF(A401&lt;[3]关卡对接!$A$4,INDEX([3]关卡对接!$C$7:$C$141,A401),MATCH(E401,人物经验!$H$24:$H$573,1))</f>
        <v>285</v>
      </c>
      <c r="K401" s="12">
        <f>IF([3]关卡对接!F389="",INT(INDEX(人物经验!$J$24:$J$573,关卡!J401)*关卡!$S$7),[3]关卡对接!F389)</f>
        <v>2652</v>
      </c>
      <c r="L401" s="12">
        <f t="shared" si="56"/>
        <v>1.2</v>
      </c>
      <c r="M401" s="12">
        <f>L401/[4]货币基础!$B$4</f>
        <v>120</v>
      </c>
      <c r="N401" s="12">
        <f>IF(A401&lt;[3]关卡对接!$A$4,INDEX([3]关卡对接!$E$7:$E$141,A401),MATCH(E401,人物经验!$H$24:$H$573,1))</f>
        <v>285</v>
      </c>
      <c r="O401" s="12">
        <f>INDEX([2]关卡!$G$6:$G$2005,A401)</f>
        <v>3</v>
      </c>
      <c r="P401" s="13">
        <v>6</v>
      </c>
      <c r="Q401" s="12">
        <f>INT(P401/$S$15/O401*VLOOKUP(J401,[1]人物技能基础!$N$3:$O$553,2,0)*$U$15)</f>
        <v>9</v>
      </c>
      <c r="R401" s="12">
        <f t="shared" si="57"/>
        <v>112</v>
      </c>
    </row>
    <row r="402" spans="1:18" x14ac:dyDescent="0.15">
      <c r="A402" s="12">
        <v>384</v>
      </c>
      <c r="B402" s="12">
        <f t="shared" si="51"/>
        <v>2</v>
      </c>
      <c r="C402" s="12">
        <f t="shared" si="52"/>
        <v>1.8252800000000002</v>
      </c>
      <c r="D402" s="12">
        <f t="shared" si="53"/>
        <v>1.083500000000015E-2</v>
      </c>
      <c r="E402" s="12">
        <f>SUM($D$19:D402)</f>
        <v>3.0252800000000022</v>
      </c>
      <c r="F402" s="12">
        <f t="shared" si="49"/>
        <v>30.238389243904003</v>
      </c>
      <c r="G402" s="12">
        <f t="shared" si="50"/>
        <v>30.920383877120003</v>
      </c>
      <c r="H402" s="12">
        <f t="shared" si="54"/>
        <v>108800</v>
      </c>
      <c r="I402" s="12">
        <f t="shared" si="55"/>
        <v>111300</v>
      </c>
      <c r="J402" s="12">
        <f>IF(A402&lt;[3]关卡对接!$A$4,INDEX([3]关卡对接!$C$7:$C$141,A402),MATCH(E402,人物经验!$H$24:$H$573,1))</f>
        <v>285</v>
      </c>
      <c r="K402" s="12">
        <f>IF([3]关卡对接!F390="",INT(INDEX(人物经验!$J$24:$J$573,关卡!J402)*关卡!$S$7),[3]关卡对接!F390)</f>
        <v>2652</v>
      </c>
      <c r="L402" s="12">
        <f t="shared" si="56"/>
        <v>1.2</v>
      </c>
      <c r="M402" s="12">
        <f>L402/[4]货币基础!$B$4</f>
        <v>120</v>
      </c>
      <c r="N402" s="12">
        <f>IF(A402&lt;[3]关卡对接!$A$4,INDEX([3]关卡对接!$E$7:$E$141,A402),MATCH(E402,人物经验!$H$24:$H$573,1))</f>
        <v>285</v>
      </c>
      <c r="O402" s="12">
        <f>INDEX([2]关卡!$G$6:$G$2005,A402)</f>
        <v>3</v>
      </c>
      <c r="P402" s="13">
        <v>6</v>
      </c>
      <c r="Q402" s="12">
        <f>INT(P402/$S$15/O402*VLOOKUP(J402,[1]人物技能基础!$N$3:$O$553,2,0)*$U$15)</f>
        <v>9</v>
      </c>
      <c r="R402" s="12">
        <f t="shared" si="57"/>
        <v>112</v>
      </c>
    </row>
    <row r="403" spans="1:18" x14ac:dyDescent="0.15">
      <c r="A403" s="12">
        <v>385</v>
      </c>
      <c r="B403" s="12">
        <f t="shared" si="51"/>
        <v>2</v>
      </c>
      <c r="C403" s="12">
        <f t="shared" si="52"/>
        <v>1.836125</v>
      </c>
      <c r="D403" s="12">
        <f t="shared" si="53"/>
        <v>1.0844999999999771E-2</v>
      </c>
      <c r="E403" s="12">
        <f>SUM($D$19:D403)</f>
        <v>3.036125000000002</v>
      </c>
      <c r="F403" s="12">
        <f t="shared" ref="F403:F466" si="58">$L$7*($M$7+$N$7*($A403/$B$3)^1+$O$7*($A403/$B$3)^2+$P$7*($A403/$B$3)^3+$Q$7*($A403/$B$3)^4)</f>
        <v>30.349141537460941</v>
      </c>
      <c r="G403" s="12">
        <f t="shared" ref="G403:G466" si="59">$L$11*($M$11+$N$11*($A403/$B$3)^1+$O$11*($A403/$B$3)^2+$P$11*($A403/$B$3)^3+$Q$11*($A403/$B$3)^4)</f>
        <v>31.008887456835939</v>
      </c>
      <c r="H403" s="12">
        <f t="shared" si="54"/>
        <v>109200</v>
      </c>
      <c r="I403" s="12">
        <f t="shared" si="55"/>
        <v>111600</v>
      </c>
      <c r="J403" s="12">
        <f>IF(A403&lt;[3]关卡对接!$A$4,INDEX([3]关卡对接!$C$7:$C$141,A403),MATCH(E403,人物经验!$H$24:$H$573,1))</f>
        <v>286</v>
      </c>
      <c r="K403" s="12">
        <f>IF([3]关卡对接!F391="",INT(INDEX(人物经验!$J$24:$J$573,关卡!J403)*关卡!$S$7),[3]关卡对接!F391)</f>
        <v>2721</v>
      </c>
      <c r="L403" s="12">
        <f t="shared" si="56"/>
        <v>1.2</v>
      </c>
      <c r="M403" s="12">
        <f>L403/[4]货币基础!$B$4</f>
        <v>120</v>
      </c>
      <c r="N403" s="12">
        <f>IF(A403&lt;[3]关卡对接!$A$4,INDEX([3]关卡对接!$E$7:$E$141,A403),MATCH(E403,人物经验!$H$24:$H$573,1))</f>
        <v>286</v>
      </c>
      <c r="O403" s="12">
        <f>INDEX([2]关卡!$G$6:$G$2005,A403)</f>
        <v>3</v>
      </c>
      <c r="P403" s="13">
        <v>6</v>
      </c>
      <c r="Q403" s="12">
        <f>INT(P403/$S$15/O403*VLOOKUP(J403,[1]人物技能基础!$N$3:$O$553,2,0)*$U$15)</f>
        <v>9</v>
      </c>
      <c r="R403" s="12">
        <f t="shared" si="57"/>
        <v>112</v>
      </c>
    </row>
    <row r="404" spans="1:18" x14ac:dyDescent="0.15">
      <c r="A404" s="12">
        <v>386</v>
      </c>
      <c r="B404" s="12">
        <f t="shared" ref="B404:B467" si="60">MATCH($A404,$A$5:$A$15,1)-1</f>
        <v>2</v>
      </c>
      <c r="C404" s="12">
        <f t="shared" ref="C404:C467" si="61">INDEX($C$5:$C$15,$B404+1)*(INDEX($E$5:$E$15,$B404+1)+INDEX($F$5:$F$15,$B404+1)*(($A404-INDEX($A$5:$A$15,$B404+1)+1)/(INDEX($B$5:$B$15,$B404+1)-INDEX($A$5:$A$15,$B404+1)+1))^1+INDEX($G$5:$G$15,$B404+1)*(($A404-INDEX($A$5:$A$15,$B404+1)+1)/(INDEX($B$5:$B$15,$B404+1)-INDEX($A$5:$A$15,$B404+1)+1))^2+INDEX($H$5:$H$15,$B404+1)*(($A404-INDEX($A$5:$A$15,$B404+1)+1)/(INDEX($B$5:$B$15,$B404+1)-INDEX($A$5:$A$15,$B404+1)+1))^3+INDEX($I$5:$I$15,$B404+1)*(($A404-INDEX($A$5:$A$15,$B404+1)+1)/(INDEX($B$5:$B$15,$B404+1)-INDEX($A$5:$A$15,$B404+1)+1))^4)</f>
        <v>1.8469800000000003</v>
      </c>
      <c r="D404" s="12">
        <f t="shared" ref="D404:D467" si="62">IF(ISNA(MATCH(A404,$A$6:$A$15,0)),C404-C403,C404)</f>
        <v>1.0855000000000281E-2</v>
      </c>
      <c r="E404" s="12">
        <f>SUM($D$19:D404)</f>
        <v>3.0469800000000022</v>
      </c>
      <c r="F404" s="12">
        <f t="shared" si="58"/>
        <v>30.460124812399005</v>
      </c>
      <c r="G404" s="12">
        <f t="shared" si="59"/>
        <v>31.097519910095006</v>
      </c>
      <c r="H404" s="12">
        <f t="shared" ref="H404:H467" si="63">INT(F404*60*60/100)*100</f>
        <v>109600</v>
      </c>
      <c r="I404" s="12">
        <f t="shared" ref="I404:I467" si="64">INT(G404*60*60/100)*100</f>
        <v>111900</v>
      </c>
      <c r="J404" s="12">
        <f>IF(A404&lt;[3]关卡对接!$A$4,INDEX([3]关卡对接!$C$7:$C$141,A404),MATCH(E404,人物经验!$H$24:$H$573,1))</f>
        <v>286</v>
      </c>
      <c r="K404" s="12">
        <f>IF([3]关卡对接!F392="",INT(INDEX(人物经验!$J$24:$J$573,关卡!J404)*关卡!$S$7),[3]关卡对接!F392)</f>
        <v>2721</v>
      </c>
      <c r="L404" s="12">
        <f t="shared" ref="L404:L467" si="65">VLOOKUP(A404,$A$5:$J$15,10,1)</f>
        <v>1.2</v>
      </c>
      <c r="M404" s="12">
        <f>L404/[4]货币基础!$B$4</f>
        <v>120</v>
      </c>
      <c r="N404" s="12">
        <f>IF(A404&lt;[3]关卡对接!$A$4,INDEX([3]关卡对接!$E$7:$E$141,A404),MATCH(E404,人物经验!$H$24:$H$573,1))</f>
        <v>286</v>
      </c>
      <c r="O404" s="12">
        <f>INDEX([2]关卡!$G$6:$G$2005,A404)</f>
        <v>3</v>
      </c>
      <c r="P404" s="13">
        <v>6</v>
      </c>
      <c r="Q404" s="12">
        <f>INT(P404/$S$15/O404*VLOOKUP(J404,[1]人物技能基础!$N$3:$O$553,2,0)*$U$15)</f>
        <v>9</v>
      </c>
      <c r="R404" s="12">
        <f t="shared" ref="R404:R467" si="66">INT(Q404*12.5)</f>
        <v>112</v>
      </c>
    </row>
    <row r="405" spans="1:18" x14ac:dyDescent="0.15">
      <c r="A405" s="12">
        <v>387</v>
      </c>
      <c r="B405" s="12">
        <f t="shared" si="60"/>
        <v>2</v>
      </c>
      <c r="C405" s="12">
        <f t="shared" si="61"/>
        <v>1.8578450000000002</v>
      </c>
      <c r="D405" s="12">
        <f t="shared" si="62"/>
        <v>1.0864999999999903E-2</v>
      </c>
      <c r="E405" s="12">
        <f>SUM($D$19:D405)</f>
        <v>3.0578450000000021</v>
      </c>
      <c r="F405" s="12">
        <f t="shared" si="58"/>
        <v>30.571339524439942</v>
      </c>
      <c r="G405" s="12">
        <f t="shared" si="59"/>
        <v>31.186281404330941</v>
      </c>
      <c r="H405" s="12">
        <f t="shared" si="63"/>
        <v>110000</v>
      </c>
      <c r="I405" s="12">
        <f t="shared" si="64"/>
        <v>112200</v>
      </c>
      <c r="J405" s="12">
        <f>IF(A405&lt;[3]关卡对接!$A$4,INDEX([3]关卡对接!$C$7:$C$141,A405),MATCH(E405,人物经验!$H$24:$H$573,1))</f>
        <v>286</v>
      </c>
      <c r="K405" s="12">
        <f>IF([3]关卡对接!F393="",INT(INDEX(人物经验!$J$24:$J$573,关卡!J405)*关卡!$S$7),[3]关卡对接!F393)</f>
        <v>2721</v>
      </c>
      <c r="L405" s="12">
        <f t="shared" si="65"/>
        <v>1.2</v>
      </c>
      <c r="M405" s="12">
        <f>L405/[4]货币基础!$B$4</f>
        <v>120</v>
      </c>
      <c r="N405" s="12">
        <f>IF(A405&lt;[3]关卡对接!$A$4,INDEX([3]关卡对接!$E$7:$E$141,A405),MATCH(E405,人物经验!$H$24:$H$573,1))</f>
        <v>286</v>
      </c>
      <c r="O405" s="12">
        <f>INDEX([2]关卡!$G$6:$G$2005,A405)</f>
        <v>3</v>
      </c>
      <c r="P405" s="13">
        <v>6</v>
      </c>
      <c r="Q405" s="12">
        <f>INT(P405/$S$15/O405*VLOOKUP(J405,[1]人物技能基础!$N$3:$O$553,2,0)*$U$15)</f>
        <v>9</v>
      </c>
      <c r="R405" s="12">
        <f t="shared" si="66"/>
        <v>112</v>
      </c>
    </row>
    <row r="406" spans="1:18" x14ac:dyDescent="0.15">
      <c r="A406" s="12">
        <v>388</v>
      </c>
      <c r="B406" s="12">
        <f t="shared" si="60"/>
        <v>2</v>
      </c>
      <c r="C406" s="12">
        <f t="shared" si="61"/>
        <v>1.8687199999999999</v>
      </c>
      <c r="D406" s="12">
        <f t="shared" si="62"/>
        <v>1.0874999999999746E-2</v>
      </c>
      <c r="E406" s="12">
        <f>SUM($D$19:D406)</f>
        <v>3.0687200000000017</v>
      </c>
      <c r="F406" s="12">
        <f t="shared" si="58"/>
        <v>30.682786129904006</v>
      </c>
      <c r="G406" s="12">
        <f t="shared" si="59"/>
        <v>31.275172107120003</v>
      </c>
      <c r="H406" s="12">
        <f t="shared" si="63"/>
        <v>110400</v>
      </c>
      <c r="I406" s="12">
        <f t="shared" si="64"/>
        <v>112500</v>
      </c>
      <c r="J406" s="12">
        <f>IF(A406&lt;[3]关卡对接!$A$4,INDEX([3]关卡对接!$C$7:$C$141,A406),MATCH(E406,人物经验!$H$24:$H$573,1))</f>
        <v>286</v>
      </c>
      <c r="K406" s="12">
        <f>IF([3]关卡对接!F394="",INT(INDEX(人物经验!$J$24:$J$573,关卡!J406)*关卡!$S$7),[3]关卡对接!F394)</f>
        <v>2721</v>
      </c>
      <c r="L406" s="12">
        <f t="shared" si="65"/>
        <v>1.2</v>
      </c>
      <c r="M406" s="12">
        <f>L406/[4]货币基础!$B$4</f>
        <v>120</v>
      </c>
      <c r="N406" s="12">
        <f>IF(A406&lt;[3]关卡对接!$A$4,INDEX([3]关卡对接!$E$7:$E$141,A406),MATCH(E406,人物经验!$H$24:$H$573,1))</f>
        <v>286</v>
      </c>
      <c r="O406" s="12">
        <f>INDEX([2]关卡!$G$6:$G$2005,A406)</f>
        <v>3</v>
      </c>
      <c r="P406" s="13">
        <v>6</v>
      </c>
      <c r="Q406" s="12">
        <f>INT(P406/$S$15/O406*VLOOKUP(J406,[1]人物技能基础!$N$3:$O$553,2,0)*$U$15)</f>
        <v>9</v>
      </c>
      <c r="R406" s="12">
        <f t="shared" si="66"/>
        <v>112</v>
      </c>
    </row>
    <row r="407" spans="1:18" x14ac:dyDescent="0.15">
      <c r="A407" s="12">
        <v>389</v>
      </c>
      <c r="B407" s="12">
        <f t="shared" si="60"/>
        <v>2</v>
      </c>
      <c r="C407" s="12">
        <f t="shared" si="61"/>
        <v>1.8796049999999997</v>
      </c>
      <c r="D407" s="12">
        <f t="shared" si="62"/>
        <v>1.0884999999999811E-2</v>
      </c>
      <c r="E407" s="12">
        <f>SUM($D$19:D407)</f>
        <v>3.0796050000000017</v>
      </c>
      <c r="F407" s="12">
        <f t="shared" si="58"/>
        <v>30.794465085709941</v>
      </c>
      <c r="G407" s="12">
        <f t="shared" si="59"/>
        <v>31.364192186180937</v>
      </c>
      <c r="H407" s="12">
        <f t="shared" si="63"/>
        <v>110800</v>
      </c>
      <c r="I407" s="12">
        <f t="shared" si="64"/>
        <v>112900</v>
      </c>
      <c r="J407" s="12">
        <f>IF(A407&lt;[3]关卡对接!$A$4,INDEX([3]关卡对接!$C$7:$C$141,A407),MATCH(E407,人物经验!$H$24:$H$573,1))</f>
        <v>286</v>
      </c>
      <c r="K407" s="12">
        <f>IF([3]关卡对接!F395="",INT(INDEX(人物经验!$J$24:$J$573,关卡!J407)*关卡!$S$7),[3]关卡对接!F395)</f>
        <v>2721</v>
      </c>
      <c r="L407" s="12">
        <f t="shared" si="65"/>
        <v>1.2</v>
      </c>
      <c r="M407" s="12">
        <f>L407/[4]货币基础!$B$4</f>
        <v>120</v>
      </c>
      <c r="N407" s="12">
        <f>IF(A407&lt;[3]关卡对接!$A$4,INDEX([3]关卡对接!$E$7:$E$141,A407),MATCH(E407,人物经验!$H$24:$H$573,1))</f>
        <v>286</v>
      </c>
      <c r="O407" s="12">
        <f>INDEX([2]关卡!$G$6:$G$2005,A407)</f>
        <v>3</v>
      </c>
      <c r="P407" s="13">
        <v>6</v>
      </c>
      <c r="Q407" s="12">
        <f>INT(P407/$S$15/O407*VLOOKUP(J407,[1]人物技能基础!$N$3:$O$553,2,0)*$U$15)</f>
        <v>9</v>
      </c>
      <c r="R407" s="12">
        <f t="shared" si="66"/>
        <v>112</v>
      </c>
    </row>
    <row r="408" spans="1:18" x14ac:dyDescent="0.15">
      <c r="A408" s="12">
        <v>390</v>
      </c>
      <c r="B408" s="12">
        <f t="shared" si="60"/>
        <v>2</v>
      </c>
      <c r="C408" s="12">
        <f t="shared" si="61"/>
        <v>1.8904999999999998</v>
      </c>
      <c r="D408" s="12">
        <f t="shared" si="62"/>
        <v>1.0895000000000099E-2</v>
      </c>
      <c r="E408" s="12">
        <f>SUM($D$19:D408)</f>
        <v>3.0905000000000018</v>
      </c>
      <c r="F408" s="12">
        <f t="shared" si="58"/>
        <v>30.906376849375004</v>
      </c>
      <c r="G408" s="12">
        <f t="shared" si="59"/>
        <v>31.453341809375008</v>
      </c>
      <c r="H408" s="12">
        <f t="shared" si="63"/>
        <v>111200</v>
      </c>
      <c r="I408" s="12">
        <f t="shared" si="64"/>
        <v>113200</v>
      </c>
      <c r="J408" s="12">
        <f>IF(A408&lt;[3]关卡对接!$A$4,INDEX([3]关卡对接!$C$7:$C$141,A408),MATCH(E408,人物经验!$H$24:$H$573,1))</f>
        <v>286</v>
      </c>
      <c r="K408" s="12">
        <f>IF([3]关卡对接!F396="",INT(INDEX(人物经验!$J$24:$J$573,关卡!J408)*关卡!$S$7),[3]关卡对接!F396)</f>
        <v>2721</v>
      </c>
      <c r="L408" s="12">
        <f t="shared" si="65"/>
        <v>1.2</v>
      </c>
      <c r="M408" s="12">
        <f>L408/[4]货币基础!$B$4</f>
        <v>120</v>
      </c>
      <c r="N408" s="12">
        <f>IF(A408&lt;[3]关卡对接!$A$4,INDEX([3]关卡对接!$E$7:$E$141,A408),MATCH(E408,人物经验!$H$24:$H$573,1))</f>
        <v>286</v>
      </c>
      <c r="O408" s="12">
        <f>INDEX([2]关卡!$G$6:$G$2005,A408)</f>
        <v>3</v>
      </c>
      <c r="P408" s="13">
        <v>6</v>
      </c>
      <c r="Q408" s="12">
        <f>INT(P408/$S$15/O408*VLOOKUP(J408,[1]人物技能基础!$N$3:$O$553,2,0)*$U$15)</f>
        <v>9</v>
      </c>
      <c r="R408" s="12">
        <f t="shared" si="66"/>
        <v>112</v>
      </c>
    </row>
    <row r="409" spans="1:18" x14ac:dyDescent="0.15">
      <c r="A409" s="12">
        <v>391</v>
      </c>
      <c r="B409" s="12">
        <f t="shared" si="60"/>
        <v>2</v>
      </c>
      <c r="C409" s="12">
        <f t="shared" si="61"/>
        <v>1.9014049999999998</v>
      </c>
      <c r="D409" s="12">
        <f t="shared" si="62"/>
        <v>1.0904999999999943E-2</v>
      </c>
      <c r="E409" s="12">
        <f>SUM($D$19:D409)</f>
        <v>3.1014050000000015</v>
      </c>
      <c r="F409" s="12">
        <f t="shared" si="58"/>
        <v>31.018521879014944</v>
      </c>
      <c r="G409" s="12">
        <f t="shared" si="59"/>
        <v>31.542621144705933</v>
      </c>
      <c r="H409" s="12">
        <f t="shared" si="63"/>
        <v>111600</v>
      </c>
      <c r="I409" s="12">
        <f t="shared" si="64"/>
        <v>113500</v>
      </c>
      <c r="J409" s="12">
        <f>IF(A409&lt;[3]关卡对接!$A$4,INDEX([3]关卡对接!$C$7:$C$141,A409),MATCH(E409,人物经验!$H$24:$H$573,1))</f>
        <v>286</v>
      </c>
      <c r="K409" s="12">
        <f>IF([3]关卡对接!F397="",INT(INDEX(人物经验!$J$24:$J$573,关卡!J409)*关卡!$S$7),[3]关卡对接!F397)</f>
        <v>2721</v>
      </c>
      <c r="L409" s="12">
        <f t="shared" si="65"/>
        <v>1.2</v>
      </c>
      <c r="M409" s="12">
        <f>L409/[4]货币基础!$B$4</f>
        <v>120</v>
      </c>
      <c r="N409" s="12">
        <f>IF(A409&lt;[3]关卡对接!$A$4,INDEX([3]关卡对接!$E$7:$E$141,A409),MATCH(E409,人物经验!$H$24:$H$573,1))</f>
        <v>286</v>
      </c>
      <c r="O409" s="12">
        <f>INDEX([2]关卡!$G$6:$G$2005,A409)</f>
        <v>3</v>
      </c>
      <c r="P409" s="13">
        <v>6</v>
      </c>
      <c r="Q409" s="12">
        <f>INT(P409/$S$15/O409*VLOOKUP(J409,[1]人物技能基础!$N$3:$O$553,2,0)*$U$15)</f>
        <v>9</v>
      </c>
      <c r="R409" s="12">
        <f t="shared" si="66"/>
        <v>112</v>
      </c>
    </row>
    <row r="410" spans="1:18" x14ac:dyDescent="0.15">
      <c r="A410" s="12">
        <v>392</v>
      </c>
      <c r="B410" s="12">
        <f t="shared" si="60"/>
        <v>2</v>
      </c>
      <c r="C410" s="12">
        <f t="shared" si="61"/>
        <v>1.91232</v>
      </c>
      <c r="D410" s="12">
        <f t="shared" si="62"/>
        <v>1.091500000000023E-2</v>
      </c>
      <c r="E410" s="12">
        <f>SUM($D$19:D410)</f>
        <v>3.1123200000000018</v>
      </c>
      <c r="F410" s="12">
        <f t="shared" si="58"/>
        <v>31.130900633344005</v>
      </c>
      <c r="G410" s="12">
        <f t="shared" si="59"/>
        <v>31.632030360320002</v>
      </c>
      <c r="H410" s="12">
        <f t="shared" si="63"/>
        <v>112000</v>
      </c>
      <c r="I410" s="12">
        <f t="shared" si="64"/>
        <v>113800</v>
      </c>
      <c r="J410" s="12">
        <f>IF(A410&lt;[3]关卡对接!$A$4,INDEX([3]关卡对接!$C$7:$C$141,A410),MATCH(E410,人物经验!$H$24:$H$573,1))</f>
        <v>287</v>
      </c>
      <c r="K410" s="12">
        <f>IF([3]关卡对接!F398="",INT(INDEX(人物经验!$J$24:$J$573,关卡!J410)*关卡!$S$7),[3]关卡对接!F398)</f>
        <v>2791</v>
      </c>
      <c r="L410" s="12">
        <f t="shared" si="65"/>
        <v>1.2</v>
      </c>
      <c r="M410" s="12">
        <f>L410/[4]货币基础!$B$4</f>
        <v>120</v>
      </c>
      <c r="N410" s="12">
        <f>IF(A410&lt;[3]关卡对接!$A$4,INDEX([3]关卡对接!$E$7:$E$141,A410),MATCH(E410,人物经验!$H$24:$H$573,1))</f>
        <v>287</v>
      </c>
      <c r="O410" s="12">
        <f>INDEX([2]关卡!$G$6:$G$2005,A410)</f>
        <v>3</v>
      </c>
      <c r="P410" s="13">
        <v>6</v>
      </c>
      <c r="Q410" s="12">
        <f>INT(P410/$S$15/O410*VLOOKUP(J410,[1]人物技能基础!$N$3:$O$553,2,0)*$U$15)</f>
        <v>9</v>
      </c>
      <c r="R410" s="12">
        <f t="shared" si="66"/>
        <v>112</v>
      </c>
    </row>
    <row r="411" spans="1:18" x14ac:dyDescent="0.15">
      <c r="A411" s="12">
        <v>393</v>
      </c>
      <c r="B411" s="12">
        <f t="shared" si="60"/>
        <v>2</v>
      </c>
      <c r="C411" s="12">
        <f t="shared" si="61"/>
        <v>1.9232449999999999</v>
      </c>
      <c r="D411" s="12">
        <f t="shared" si="62"/>
        <v>1.0924999999999851E-2</v>
      </c>
      <c r="E411" s="12">
        <f>SUM($D$19:D411)</f>
        <v>3.1232450000000016</v>
      </c>
      <c r="F411" s="12">
        <f t="shared" si="58"/>
        <v>31.243513571674939</v>
      </c>
      <c r="G411" s="12">
        <f t="shared" si="59"/>
        <v>31.721569624505939</v>
      </c>
      <c r="H411" s="12">
        <f t="shared" si="63"/>
        <v>112400</v>
      </c>
      <c r="I411" s="12">
        <f t="shared" si="64"/>
        <v>114100</v>
      </c>
      <c r="J411" s="12">
        <f>IF(A411&lt;[3]关卡对接!$A$4,INDEX([3]关卡对接!$C$7:$C$141,A411),MATCH(E411,人物经验!$H$24:$H$573,1))</f>
        <v>287</v>
      </c>
      <c r="K411" s="12">
        <f>IF([3]关卡对接!F399="",INT(INDEX(人物经验!$J$24:$J$573,关卡!J411)*关卡!$S$7),[3]关卡对接!F399)</f>
        <v>2791</v>
      </c>
      <c r="L411" s="12">
        <f t="shared" si="65"/>
        <v>1.2</v>
      </c>
      <c r="M411" s="12">
        <f>L411/[4]货币基础!$B$4</f>
        <v>120</v>
      </c>
      <c r="N411" s="12">
        <f>IF(A411&lt;[3]关卡对接!$A$4,INDEX([3]关卡对接!$E$7:$E$141,A411),MATCH(E411,人物经验!$H$24:$H$573,1))</f>
        <v>287</v>
      </c>
      <c r="O411" s="12">
        <f>INDEX([2]关卡!$G$6:$G$2005,A411)</f>
        <v>3</v>
      </c>
      <c r="P411" s="13">
        <v>6</v>
      </c>
      <c r="Q411" s="12">
        <f>INT(P411/$S$15/O411*VLOOKUP(J411,[1]人物技能基础!$N$3:$O$553,2,0)*$U$15)</f>
        <v>9</v>
      </c>
      <c r="R411" s="12">
        <f t="shared" si="66"/>
        <v>112</v>
      </c>
    </row>
    <row r="412" spans="1:18" x14ac:dyDescent="0.15">
      <c r="A412" s="12">
        <v>394</v>
      </c>
      <c r="B412" s="12">
        <f t="shared" si="60"/>
        <v>2</v>
      </c>
      <c r="C412" s="12">
        <f t="shared" si="61"/>
        <v>1.93418</v>
      </c>
      <c r="D412" s="12">
        <f t="shared" si="62"/>
        <v>1.0935000000000139E-2</v>
      </c>
      <c r="E412" s="12">
        <f>SUM($D$19:D412)</f>
        <v>3.1341800000000015</v>
      </c>
      <c r="F412" s="12">
        <f t="shared" si="58"/>
        <v>31.356361153919003</v>
      </c>
      <c r="G412" s="12">
        <f t="shared" si="59"/>
        <v>31.811239105695005</v>
      </c>
      <c r="H412" s="12">
        <f t="shared" si="63"/>
        <v>112800</v>
      </c>
      <c r="I412" s="12">
        <f t="shared" si="64"/>
        <v>114500</v>
      </c>
      <c r="J412" s="12">
        <f>IF(A412&lt;[3]关卡对接!$A$4,INDEX([3]关卡对接!$C$7:$C$141,A412),MATCH(E412,人物经验!$H$24:$H$573,1))</f>
        <v>287</v>
      </c>
      <c r="K412" s="12">
        <f>IF([3]关卡对接!F400="",INT(INDEX(人物经验!$J$24:$J$573,关卡!J412)*关卡!$S$7),[3]关卡对接!F400)</f>
        <v>2791</v>
      </c>
      <c r="L412" s="12">
        <f t="shared" si="65"/>
        <v>1.2</v>
      </c>
      <c r="M412" s="12">
        <f>L412/[4]货币基础!$B$4</f>
        <v>120</v>
      </c>
      <c r="N412" s="12">
        <f>IF(A412&lt;[3]关卡对接!$A$4,INDEX([3]关卡对接!$E$7:$E$141,A412),MATCH(E412,人物经验!$H$24:$H$573,1))</f>
        <v>287</v>
      </c>
      <c r="O412" s="12">
        <f>INDEX([2]关卡!$G$6:$G$2005,A412)</f>
        <v>3</v>
      </c>
      <c r="P412" s="13">
        <v>6</v>
      </c>
      <c r="Q412" s="12">
        <f>INT(P412/$S$15/O412*VLOOKUP(J412,[1]人物技能基础!$N$3:$O$553,2,0)*$U$15)</f>
        <v>9</v>
      </c>
      <c r="R412" s="12">
        <f t="shared" si="66"/>
        <v>112</v>
      </c>
    </row>
    <row r="413" spans="1:18" x14ac:dyDescent="0.15">
      <c r="A413" s="12">
        <v>395</v>
      </c>
      <c r="B413" s="12">
        <f t="shared" si="60"/>
        <v>2</v>
      </c>
      <c r="C413" s="12">
        <f t="shared" si="61"/>
        <v>1.945125</v>
      </c>
      <c r="D413" s="12">
        <f t="shared" si="62"/>
        <v>1.0944999999999983E-2</v>
      </c>
      <c r="E413" s="12">
        <f>SUM($D$19:D413)</f>
        <v>3.1451250000000015</v>
      </c>
      <c r="F413" s="12">
        <f t="shared" si="58"/>
        <v>31.469443840585949</v>
      </c>
      <c r="G413" s="12">
        <f t="shared" si="59"/>
        <v>31.901038972460945</v>
      </c>
      <c r="H413" s="12">
        <f t="shared" si="63"/>
        <v>113200</v>
      </c>
      <c r="I413" s="12">
        <f t="shared" si="64"/>
        <v>114800</v>
      </c>
      <c r="J413" s="12">
        <f>IF(A413&lt;[3]关卡对接!$A$4,INDEX([3]关卡对接!$C$7:$C$141,A413),MATCH(E413,人物经验!$H$24:$H$573,1))</f>
        <v>287</v>
      </c>
      <c r="K413" s="12">
        <f>IF([3]关卡对接!F401="",INT(INDEX(人物经验!$J$24:$J$573,关卡!J413)*关卡!$S$7),[3]关卡对接!F401)</f>
        <v>2791</v>
      </c>
      <c r="L413" s="12">
        <f t="shared" si="65"/>
        <v>1.2</v>
      </c>
      <c r="M413" s="12">
        <f>L413/[4]货币基础!$B$4</f>
        <v>120</v>
      </c>
      <c r="N413" s="12">
        <f>IF(A413&lt;[3]关卡对接!$A$4,INDEX([3]关卡对接!$E$7:$E$141,A413),MATCH(E413,人物经验!$H$24:$H$573,1))</f>
        <v>287</v>
      </c>
      <c r="O413" s="12">
        <f>INDEX([2]关卡!$G$6:$G$2005,A413)</f>
        <v>3</v>
      </c>
      <c r="P413" s="13">
        <v>6</v>
      </c>
      <c r="Q413" s="12">
        <f>INT(P413/$S$15/O413*VLOOKUP(J413,[1]人物技能基础!$N$3:$O$553,2,0)*$U$15)</f>
        <v>9</v>
      </c>
      <c r="R413" s="12">
        <f t="shared" si="66"/>
        <v>112</v>
      </c>
    </row>
    <row r="414" spans="1:18" x14ac:dyDescent="0.15">
      <c r="A414" s="12">
        <v>396</v>
      </c>
      <c r="B414" s="12">
        <f t="shared" si="60"/>
        <v>2</v>
      </c>
      <c r="C414" s="12">
        <f t="shared" si="61"/>
        <v>1.95608</v>
      </c>
      <c r="D414" s="12">
        <f t="shared" si="62"/>
        <v>1.0955000000000048E-2</v>
      </c>
      <c r="E414" s="12">
        <f>SUM($D$19:D414)</f>
        <v>3.1560800000000016</v>
      </c>
      <c r="F414" s="12">
        <f t="shared" si="58"/>
        <v>31.582762092784002</v>
      </c>
      <c r="G414" s="12">
        <f t="shared" si="59"/>
        <v>31.990969393520004</v>
      </c>
      <c r="H414" s="12">
        <f t="shared" si="63"/>
        <v>113600</v>
      </c>
      <c r="I414" s="12">
        <f t="shared" si="64"/>
        <v>115100</v>
      </c>
      <c r="J414" s="12">
        <f>IF(A414&lt;[3]关卡对接!$A$4,INDEX([3]关卡对接!$C$7:$C$141,A414),MATCH(E414,人物经验!$H$24:$H$573,1))</f>
        <v>287</v>
      </c>
      <c r="K414" s="12">
        <f>IF([3]关卡对接!F402="",INT(INDEX(人物经验!$J$24:$J$573,关卡!J414)*关卡!$S$7),[3]关卡对接!F402)</f>
        <v>2791</v>
      </c>
      <c r="L414" s="12">
        <f t="shared" si="65"/>
        <v>1.2</v>
      </c>
      <c r="M414" s="12">
        <f>L414/[4]货币基础!$B$4</f>
        <v>120</v>
      </c>
      <c r="N414" s="12">
        <f>IF(A414&lt;[3]关卡对接!$A$4,INDEX([3]关卡对接!$E$7:$E$141,A414),MATCH(E414,人物经验!$H$24:$H$573,1))</f>
        <v>287</v>
      </c>
      <c r="O414" s="12">
        <f>INDEX([2]关卡!$G$6:$G$2005,A414)</f>
        <v>3</v>
      </c>
      <c r="P414" s="13">
        <v>6</v>
      </c>
      <c r="Q414" s="12">
        <f>INT(P414/$S$15/O414*VLOOKUP(J414,[1]人物技能基础!$N$3:$O$553,2,0)*$U$15)</f>
        <v>9</v>
      </c>
      <c r="R414" s="12">
        <f t="shared" si="66"/>
        <v>112</v>
      </c>
    </row>
    <row r="415" spans="1:18" x14ac:dyDescent="0.15">
      <c r="A415" s="12">
        <v>397</v>
      </c>
      <c r="B415" s="12">
        <f t="shared" si="60"/>
        <v>2</v>
      </c>
      <c r="C415" s="12">
        <f t="shared" si="61"/>
        <v>1.9670449999999999</v>
      </c>
      <c r="D415" s="12">
        <f t="shared" si="62"/>
        <v>1.0964999999999892E-2</v>
      </c>
      <c r="E415" s="12">
        <f>SUM($D$19:D415)</f>
        <v>3.1670450000000017</v>
      </c>
      <c r="F415" s="12">
        <f t="shared" si="58"/>
        <v>31.696316372219943</v>
      </c>
      <c r="G415" s="12">
        <f t="shared" si="59"/>
        <v>32.081030537730939</v>
      </c>
      <c r="H415" s="12">
        <f t="shared" si="63"/>
        <v>114100</v>
      </c>
      <c r="I415" s="12">
        <f t="shared" si="64"/>
        <v>115400</v>
      </c>
      <c r="J415" s="12">
        <f>IF(A415&lt;[3]关卡对接!$A$4,INDEX([3]关卡对接!$C$7:$C$141,A415),MATCH(E415,人物经验!$H$24:$H$573,1))</f>
        <v>287</v>
      </c>
      <c r="K415" s="12">
        <f>IF([3]关卡对接!F403="",INT(INDEX(人物经验!$J$24:$J$573,关卡!J415)*关卡!$S$7),[3]关卡对接!F403)</f>
        <v>2791</v>
      </c>
      <c r="L415" s="12">
        <f t="shared" si="65"/>
        <v>1.2</v>
      </c>
      <c r="M415" s="12">
        <f>L415/[4]货币基础!$B$4</f>
        <v>120</v>
      </c>
      <c r="N415" s="12">
        <f>IF(A415&lt;[3]关卡对接!$A$4,INDEX([3]关卡对接!$E$7:$E$141,A415),MATCH(E415,人物经验!$H$24:$H$573,1))</f>
        <v>287</v>
      </c>
      <c r="O415" s="12">
        <f>INDEX([2]关卡!$G$6:$G$2005,A415)</f>
        <v>3</v>
      </c>
      <c r="P415" s="13">
        <v>6</v>
      </c>
      <c r="Q415" s="12">
        <f>INT(P415/$S$15/O415*VLOOKUP(J415,[1]人物技能基础!$N$3:$O$553,2,0)*$U$15)</f>
        <v>9</v>
      </c>
      <c r="R415" s="12">
        <f t="shared" si="66"/>
        <v>112</v>
      </c>
    </row>
    <row r="416" spans="1:18" x14ac:dyDescent="0.15">
      <c r="A416" s="12">
        <v>398</v>
      </c>
      <c r="B416" s="12">
        <f t="shared" si="60"/>
        <v>2</v>
      </c>
      <c r="C416" s="12">
        <f t="shared" si="61"/>
        <v>1.9780200000000001</v>
      </c>
      <c r="D416" s="12">
        <f t="shared" si="62"/>
        <v>1.0975000000000179E-2</v>
      </c>
      <c r="E416" s="12">
        <f>SUM($D$19:D416)</f>
        <v>3.1780200000000018</v>
      </c>
      <c r="F416" s="12">
        <f t="shared" si="58"/>
        <v>31.810107141199001</v>
      </c>
      <c r="G416" s="12">
        <f t="shared" si="59"/>
        <v>32.171222574094998</v>
      </c>
      <c r="H416" s="12">
        <f t="shared" si="63"/>
        <v>114500</v>
      </c>
      <c r="I416" s="12">
        <f t="shared" si="64"/>
        <v>115800</v>
      </c>
      <c r="J416" s="12">
        <f>IF(A416&lt;[3]关卡对接!$A$4,INDEX([3]关卡对接!$C$7:$C$141,A416),MATCH(E416,人物经验!$H$24:$H$573,1))</f>
        <v>287</v>
      </c>
      <c r="K416" s="12">
        <f>IF([3]关卡对接!F404="",INT(INDEX(人物经验!$J$24:$J$573,关卡!J416)*关卡!$S$7),[3]关卡对接!F404)</f>
        <v>2791</v>
      </c>
      <c r="L416" s="12">
        <f t="shared" si="65"/>
        <v>1.2</v>
      </c>
      <c r="M416" s="12">
        <f>L416/[4]货币基础!$B$4</f>
        <v>120</v>
      </c>
      <c r="N416" s="12">
        <f>IF(A416&lt;[3]关卡对接!$A$4,INDEX([3]关卡对接!$E$7:$E$141,A416),MATCH(E416,人物经验!$H$24:$H$573,1))</f>
        <v>287</v>
      </c>
      <c r="O416" s="12">
        <f>INDEX([2]关卡!$G$6:$G$2005,A416)</f>
        <v>3</v>
      </c>
      <c r="P416" s="13">
        <v>6</v>
      </c>
      <c r="Q416" s="12">
        <f>INT(P416/$S$15/O416*VLOOKUP(J416,[1]人物技能基础!$N$3:$O$553,2,0)*$U$15)</f>
        <v>9</v>
      </c>
      <c r="R416" s="12">
        <f t="shared" si="66"/>
        <v>112</v>
      </c>
    </row>
    <row r="417" spans="1:18" x14ac:dyDescent="0.15">
      <c r="A417" s="12">
        <v>399</v>
      </c>
      <c r="B417" s="12">
        <f t="shared" si="60"/>
        <v>2</v>
      </c>
      <c r="C417" s="12">
        <f t="shared" si="61"/>
        <v>1.9890049999999999</v>
      </c>
      <c r="D417" s="12">
        <f t="shared" si="62"/>
        <v>1.09849999999998E-2</v>
      </c>
      <c r="E417" s="12">
        <f>SUM($D$19:D417)</f>
        <v>3.1890050000000016</v>
      </c>
      <c r="F417" s="12">
        <f t="shared" si="58"/>
        <v>31.92413486262495</v>
      </c>
      <c r="G417" s="12">
        <f t="shared" si="59"/>
        <v>32.26154567175594</v>
      </c>
      <c r="H417" s="12">
        <f t="shared" si="63"/>
        <v>114900</v>
      </c>
      <c r="I417" s="12">
        <f t="shared" si="64"/>
        <v>116100</v>
      </c>
      <c r="J417" s="12">
        <f>IF(A417&lt;[3]关卡对接!$A$4,INDEX([3]关卡对接!$C$7:$C$141,A417),MATCH(E417,人物经验!$H$24:$H$573,1))</f>
        <v>287</v>
      </c>
      <c r="K417" s="12">
        <f>IF([3]关卡对接!F405="",INT(INDEX(人物经验!$J$24:$J$573,关卡!J417)*关卡!$S$7),[3]关卡对接!F405)</f>
        <v>2791</v>
      </c>
      <c r="L417" s="12">
        <f t="shared" si="65"/>
        <v>1.2</v>
      </c>
      <c r="M417" s="12">
        <f>L417/[4]货币基础!$B$4</f>
        <v>120</v>
      </c>
      <c r="N417" s="12">
        <f>IF(A417&lt;[3]关卡对接!$A$4,INDEX([3]关卡对接!$E$7:$E$141,A417),MATCH(E417,人物经验!$H$24:$H$573,1))</f>
        <v>287</v>
      </c>
      <c r="O417" s="12">
        <f>INDEX([2]关卡!$G$6:$G$2005,A417)</f>
        <v>3</v>
      </c>
      <c r="P417" s="13">
        <v>6</v>
      </c>
      <c r="Q417" s="12">
        <f>INT(P417/$S$15/O417*VLOOKUP(J417,[1]人物技能基础!$N$3:$O$553,2,0)*$U$15)</f>
        <v>9</v>
      </c>
      <c r="R417" s="12">
        <f t="shared" si="66"/>
        <v>112</v>
      </c>
    </row>
    <row r="418" spans="1:18" x14ac:dyDescent="0.15">
      <c r="A418" s="12">
        <v>400</v>
      </c>
      <c r="B418" s="12">
        <f t="shared" si="60"/>
        <v>2</v>
      </c>
      <c r="C418" s="12">
        <f t="shared" si="61"/>
        <v>2</v>
      </c>
      <c r="D418" s="12">
        <f t="shared" si="62"/>
        <v>1.0995000000000088E-2</v>
      </c>
      <c r="E418" s="12">
        <f>SUM($D$19:D418)</f>
        <v>3.200000000000002</v>
      </c>
      <c r="F418" s="12">
        <f t="shared" si="58"/>
        <v>32.038400000000003</v>
      </c>
      <c r="G418" s="12">
        <f t="shared" si="59"/>
        <v>32.352000000000004</v>
      </c>
      <c r="H418" s="12">
        <f t="shared" si="63"/>
        <v>115300</v>
      </c>
      <c r="I418" s="12">
        <f t="shared" si="64"/>
        <v>116400</v>
      </c>
      <c r="J418" s="12">
        <f>IF(A418&lt;[3]关卡对接!$A$4,INDEX([3]关卡对接!$C$7:$C$141,A418),MATCH(E418,人物经验!$H$24:$H$573,1))</f>
        <v>288</v>
      </c>
      <c r="K418" s="12">
        <f>IF([3]关卡对接!F406="",INT(INDEX(人物经验!$J$24:$J$573,关卡!J418)*关卡!$S$7),[3]关卡对接!F406)</f>
        <v>2873</v>
      </c>
      <c r="L418" s="12">
        <f t="shared" si="65"/>
        <v>1.2</v>
      </c>
      <c r="M418" s="12">
        <f>L418/[4]货币基础!$B$4</f>
        <v>120</v>
      </c>
      <c r="N418" s="12">
        <f>IF(A418&lt;[3]关卡对接!$A$4,INDEX([3]关卡对接!$E$7:$E$141,A418),MATCH(E418,人物经验!$H$24:$H$573,1))</f>
        <v>288</v>
      </c>
      <c r="O418" s="12">
        <f>INDEX([2]关卡!$G$6:$G$2005,A418)</f>
        <v>3</v>
      </c>
      <c r="P418" s="13">
        <v>6</v>
      </c>
      <c r="Q418" s="12">
        <f>INT(P418/$S$15/O418*VLOOKUP(J418,[1]人物技能基础!$N$3:$O$553,2,0)*$U$15)</f>
        <v>9</v>
      </c>
      <c r="R418" s="12">
        <f t="shared" si="66"/>
        <v>112</v>
      </c>
    </row>
    <row r="419" spans="1:18" x14ac:dyDescent="0.15">
      <c r="A419" s="12">
        <v>401</v>
      </c>
      <c r="B419" s="12">
        <f t="shared" si="60"/>
        <v>3</v>
      </c>
      <c r="C419" s="12">
        <f t="shared" si="61"/>
        <v>1.3507500000000002E-2</v>
      </c>
      <c r="D419" s="12">
        <f t="shared" si="62"/>
        <v>1.3507500000000002E-2</v>
      </c>
      <c r="E419" s="12">
        <f>SUM($D$19:D419)</f>
        <v>3.2135075000000017</v>
      </c>
      <c r="F419" s="12">
        <f t="shared" si="58"/>
        <v>32.152903017424947</v>
      </c>
      <c r="G419" s="12">
        <f t="shared" si="59"/>
        <v>32.442585728255935</v>
      </c>
      <c r="H419" s="12">
        <f t="shared" si="63"/>
        <v>115700</v>
      </c>
      <c r="I419" s="12">
        <f t="shared" si="64"/>
        <v>116700</v>
      </c>
      <c r="J419" s="12">
        <f>IF(A419&lt;[3]关卡对接!$A$4,INDEX([3]关卡对接!$C$7:$C$141,A419),MATCH(E419,人物经验!$H$24:$H$573,1))</f>
        <v>288</v>
      </c>
      <c r="K419" s="12">
        <f>IF([3]关卡对接!F407="",INT(INDEX(人物经验!$J$24:$J$573,关卡!J419)*关卡!$S$7),[3]关卡对接!F407)</f>
        <v>2873</v>
      </c>
      <c r="L419" s="12">
        <f t="shared" si="65"/>
        <v>1.4</v>
      </c>
      <c r="M419" s="12">
        <f>L419/[4]货币基础!$B$4</f>
        <v>140</v>
      </c>
      <c r="N419" s="12">
        <f>IF(A419&lt;[3]关卡对接!$A$4,INDEX([3]关卡对接!$E$7:$E$141,A419),MATCH(E419,人物经验!$H$24:$H$573,1))</f>
        <v>288</v>
      </c>
      <c r="O419" s="12">
        <f>INDEX([2]关卡!$G$6:$G$2005,A419)</f>
        <v>3</v>
      </c>
      <c r="P419" s="13">
        <v>6</v>
      </c>
      <c r="Q419" s="12">
        <f>INT(P419/$S$15/O419*VLOOKUP(J419,[1]人物技能基础!$N$3:$O$553,2,0)*$U$15)</f>
        <v>9</v>
      </c>
      <c r="R419" s="12">
        <f t="shared" si="66"/>
        <v>112</v>
      </c>
    </row>
    <row r="420" spans="1:18" x14ac:dyDescent="0.15">
      <c r="A420" s="12">
        <v>402</v>
      </c>
      <c r="B420" s="12">
        <f t="shared" si="60"/>
        <v>3</v>
      </c>
      <c r="C420" s="12">
        <f t="shared" si="61"/>
        <v>2.7030000000000002E-2</v>
      </c>
      <c r="D420" s="12">
        <f t="shared" si="62"/>
        <v>1.35225E-2</v>
      </c>
      <c r="E420" s="12">
        <f>SUM($D$19:D420)</f>
        <v>3.2270300000000018</v>
      </c>
      <c r="F420" s="12">
        <f t="shared" si="58"/>
        <v>32.267644379599005</v>
      </c>
      <c r="G420" s="12">
        <f t="shared" si="59"/>
        <v>32.533303026095005</v>
      </c>
      <c r="H420" s="12">
        <f t="shared" si="63"/>
        <v>116100</v>
      </c>
      <c r="I420" s="12">
        <f t="shared" si="64"/>
        <v>117100</v>
      </c>
      <c r="J420" s="12">
        <f>IF(A420&lt;[3]关卡对接!$A$4,INDEX([3]关卡对接!$C$7:$C$141,A420),MATCH(E420,人物经验!$H$24:$H$573,1))</f>
        <v>288</v>
      </c>
      <c r="K420" s="12">
        <f>IF([3]关卡对接!F408="",INT(INDEX(人物经验!$J$24:$J$573,关卡!J420)*关卡!$S$7),[3]关卡对接!F408)</f>
        <v>2873</v>
      </c>
      <c r="L420" s="12">
        <f t="shared" si="65"/>
        <v>1.4</v>
      </c>
      <c r="M420" s="12">
        <f>L420/[4]货币基础!$B$4</f>
        <v>140</v>
      </c>
      <c r="N420" s="12">
        <f>IF(A420&lt;[3]关卡对接!$A$4,INDEX([3]关卡对接!$E$7:$E$141,A420),MATCH(E420,人物经验!$H$24:$H$573,1))</f>
        <v>288</v>
      </c>
      <c r="O420" s="12">
        <f>INDEX([2]关卡!$G$6:$G$2005,A420)</f>
        <v>3</v>
      </c>
      <c r="P420" s="13">
        <v>6</v>
      </c>
      <c r="Q420" s="12">
        <f>INT(P420/$S$15/O420*VLOOKUP(J420,[1]人物技能基础!$N$3:$O$553,2,0)*$U$15)</f>
        <v>9</v>
      </c>
      <c r="R420" s="12">
        <f t="shared" si="66"/>
        <v>112</v>
      </c>
    </row>
    <row r="421" spans="1:18" x14ac:dyDescent="0.15">
      <c r="A421" s="12">
        <v>403</v>
      </c>
      <c r="B421" s="12">
        <f t="shared" si="60"/>
        <v>3</v>
      </c>
      <c r="C421" s="12">
        <f t="shared" si="61"/>
        <v>4.0567499999999999E-2</v>
      </c>
      <c r="D421" s="12">
        <f t="shared" si="62"/>
        <v>1.3537499999999997E-2</v>
      </c>
      <c r="E421" s="12">
        <f>SUM($D$19:D421)</f>
        <v>3.2405675000000018</v>
      </c>
      <c r="F421" s="12">
        <f t="shared" si="58"/>
        <v>32.382624551819944</v>
      </c>
      <c r="G421" s="12">
        <f t="shared" si="59"/>
        <v>32.624152063230937</v>
      </c>
      <c r="H421" s="12">
        <f t="shared" si="63"/>
        <v>116500</v>
      </c>
      <c r="I421" s="12">
        <f t="shared" si="64"/>
        <v>117400</v>
      </c>
      <c r="J421" s="12">
        <f>IF(A421&lt;[3]关卡对接!$A$4,INDEX([3]关卡对接!$C$7:$C$141,A421),MATCH(E421,人物经验!$H$24:$H$573,1))</f>
        <v>288</v>
      </c>
      <c r="K421" s="12">
        <f>IF([3]关卡对接!F409="",INT(INDEX(人物经验!$J$24:$J$573,关卡!J421)*关卡!$S$7),[3]关卡对接!F409)</f>
        <v>2873</v>
      </c>
      <c r="L421" s="12">
        <f t="shared" si="65"/>
        <v>1.4</v>
      </c>
      <c r="M421" s="12">
        <f>L421/[4]货币基础!$B$4</f>
        <v>140</v>
      </c>
      <c r="N421" s="12">
        <f>IF(A421&lt;[3]关卡对接!$A$4,INDEX([3]关卡对接!$E$7:$E$141,A421),MATCH(E421,人物经验!$H$24:$H$573,1))</f>
        <v>288</v>
      </c>
      <c r="O421" s="12">
        <f>INDEX([2]关卡!$G$6:$G$2005,A421)</f>
        <v>3</v>
      </c>
      <c r="P421" s="13">
        <v>6</v>
      </c>
      <c r="Q421" s="12">
        <f>INT(P421/$S$15/O421*VLOOKUP(J421,[1]人物技能基础!$N$3:$O$553,2,0)*$U$15)</f>
        <v>9</v>
      </c>
      <c r="R421" s="12">
        <f t="shared" si="66"/>
        <v>112</v>
      </c>
    </row>
    <row r="422" spans="1:18" x14ac:dyDescent="0.15">
      <c r="A422" s="12">
        <v>404</v>
      </c>
      <c r="B422" s="12">
        <f t="shared" si="60"/>
        <v>3</v>
      </c>
      <c r="C422" s="12">
        <f t="shared" si="61"/>
        <v>5.4120000000000001E-2</v>
      </c>
      <c r="D422" s="12">
        <f t="shared" si="62"/>
        <v>1.3552500000000002E-2</v>
      </c>
      <c r="E422" s="12">
        <f>SUM($D$19:D422)</f>
        <v>3.2541200000000017</v>
      </c>
      <c r="F422" s="12">
        <f t="shared" si="58"/>
        <v>32.497843999984013</v>
      </c>
      <c r="G422" s="12">
        <f t="shared" si="59"/>
        <v>32.715133009520002</v>
      </c>
      <c r="H422" s="12">
        <f t="shared" si="63"/>
        <v>116900</v>
      </c>
      <c r="I422" s="12">
        <f t="shared" si="64"/>
        <v>117700</v>
      </c>
      <c r="J422" s="12">
        <f>IF(A422&lt;[3]关卡对接!$A$4,INDEX([3]关卡对接!$C$7:$C$141,A422),MATCH(E422,人物经验!$H$24:$H$573,1))</f>
        <v>288</v>
      </c>
      <c r="K422" s="12">
        <f>IF([3]关卡对接!F410="",INT(INDEX(人物经验!$J$24:$J$573,关卡!J422)*关卡!$S$7),[3]关卡对接!F410)</f>
        <v>2873</v>
      </c>
      <c r="L422" s="12">
        <f t="shared" si="65"/>
        <v>1.4</v>
      </c>
      <c r="M422" s="12">
        <f>L422/[4]货币基础!$B$4</f>
        <v>140</v>
      </c>
      <c r="N422" s="12">
        <f>IF(A422&lt;[3]关卡对接!$A$4,INDEX([3]关卡对接!$E$7:$E$141,A422),MATCH(E422,人物经验!$H$24:$H$573,1))</f>
        <v>288</v>
      </c>
      <c r="O422" s="12">
        <f>INDEX([2]关卡!$G$6:$G$2005,A422)</f>
        <v>3</v>
      </c>
      <c r="P422" s="13">
        <v>6</v>
      </c>
      <c r="Q422" s="12">
        <f>INT(P422/$S$15/O422*VLOOKUP(J422,[1]人物技能基础!$N$3:$O$553,2,0)*$U$15)</f>
        <v>9</v>
      </c>
      <c r="R422" s="12">
        <f t="shared" si="66"/>
        <v>112</v>
      </c>
    </row>
    <row r="423" spans="1:18" x14ac:dyDescent="0.15">
      <c r="A423" s="12">
        <v>405</v>
      </c>
      <c r="B423" s="12">
        <f t="shared" si="60"/>
        <v>3</v>
      </c>
      <c r="C423" s="12">
        <f t="shared" si="61"/>
        <v>6.7687500000000012E-2</v>
      </c>
      <c r="D423" s="12">
        <f t="shared" si="62"/>
        <v>1.356750000000001E-2</v>
      </c>
      <c r="E423" s="12">
        <f>SUM($D$19:D423)</f>
        <v>3.2676875000000019</v>
      </c>
      <c r="F423" s="12">
        <f t="shared" si="58"/>
        <v>32.613303190585945</v>
      </c>
      <c r="G423" s="12">
        <f t="shared" si="59"/>
        <v>32.806246034960942</v>
      </c>
      <c r="H423" s="12">
        <f t="shared" si="63"/>
        <v>117400</v>
      </c>
      <c r="I423" s="12">
        <f t="shared" si="64"/>
        <v>118100</v>
      </c>
      <c r="J423" s="12">
        <f>IF(A423&lt;[3]关卡对接!$A$4,INDEX([3]关卡对接!$C$7:$C$141,A423),MATCH(E423,人物经验!$H$24:$H$573,1))</f>
        <v>288</v>
      </c>
      <c r="K423" s="12">
        <f>IF([3]关卡对接!F411="",INT(INDEX(人物经验!$J$24:$J$573,关卡!J423)*关卡!$S$7),[3]关卡对接!F411)</f>
        <v>2873</v>
      </c>
      <c r="L423" s="12">
        <f t="shared" si="65"/>
        <v>1.4</v>
      </c>
      <c r="M423" s="12">
        <f>L423/[4]货币基础!$B$4</f>
        <v>140</v>
      </c>
      <c r="N423" s="12">
        <f>IF(A423&lt;[3]关卡对接!$A$4,INDEX([3]关卡对接!$E$7:$E$141,A423),MATCH(E423,人物经验!$H$24:$H$573,1))</f>
        <v>288</v>
      </c>
      <c r="O423" s="12">
        <f>INDEX([2]关卡!$G$6:$G$2005,A423)</f>
        <v>3</v>
      </c>
      <c r="P423" s="13">
        <v>6</v>
      </c>
      <c r="Q423" s="12">
        <f>INT(P423/$S$15/O423*VLOOKUP(J423,[1]人物技能基础!$N$3:$O$553,2,0)*$U$15)</f>
        <v>9</v>
      </c>
      <c r="R423" s="12">
        <f t="shared" si="66"/>
        <v>112</v>
      </c>
    </row>
    <row r="424" spans="1:18" x14ac:dyDescent="0.15">
      <c r="A424" s="12">
        <v>406</v>
      </c>
      <c r="B424" s="12">
        <f t="shared" si="60"/>
        <v>3</v>
      </c>
      <c r="C424" s="12">
        <f t="shared" si="61"/>
        <v>8.1269999999999995E-2</v>
      </c>
      <c r="D424" s="12">
        <f t="shared" si="62"/>
        <v>1.3582499999999983E-2</v>
      </c>
      <c r="E424" s="12">
        <f>SUM($D$19:D424)</f>
        <v>3.2812700000000019</v>
      </c>
      <c r="F424" s="12">
        <f t="shared" si="58"/>
        <v>32.729002590718999</v>
      </c>
      <c r="G424" s="12">
        <f t="shared" si="59"/>
        <v>32.897491309694999</v>
      </c>
      <c r="H424" s="12">
        <f t="shared" si="63"/>
        <v>117800</v>
      </c>
      <c r="I424" s="12">
        <f t="shared" si="64"/>
        <v>118400</v>
      </c>
      <c r="J424" s="12">
        <f>IF(A424&lt;[3]关卡对接!$A$4,INDEX([3]关卡对接!$C$7:$C$141,A424),MATCH(E424,人物经验!$H$24:$H$573,1))</f>
        <v>289</v>
      </c>
      <c r="K424" s="12">
        <f>IF([3]关卡对接!F412="",INT(INDEX(人物经验!$J$24:$J$573,关卡!J424)*关卡!$S$7),[3]关卡对接!F412)</f>
        <v>2935</v>
      </c>
      <c r="L424" s="12">
        <f t="shared" si="65"/>
        <v>1.4</v>
      </c>
      <c r="M424" s="12">
        <f>L424/[4]货币基础!$B$4</f>
        <v>140</v>
      </c>
      <c r="N424" s="12">
        <f>IF(A424&lt;[3]关卡对接!$A$4,INDEX([3]关卡对接!$E$7:$E$141,A424),MATCH(E424,人物经验!$H$24:$H$573,1))</f>
        <v>289</v>
      </c>
      <c r="O424" s="12">
        <f>INDEX([2]关卡!$G$6:$G$2005,A424)</f>
        <v>3</v>
      </c>
      <c r="P424" s="13">
        <v>6</v>
      </c>
      <c r="Q424" s="12">
        <f>INT(P424/$S$15/O424*VLOOKUP(J424,[1]人物技能基础!$N$3:$O$553,2,0)*$U$15)</f>
        <v>9</v>
      </c>
      <c r="R424" s="12">
        <f t="shared" si="66"/>
        <v>112</v>
      </c>
    </row>
    <row r="425" spans="1:18" x14ac:dyDescent="0.15">
      <c r="A425" s="12">
        <v>407</v>
      </c>
      <c r="B425" s="12">
        <f t="shared" si="60"/>
        <v>3</v>
      </c>
      <c r="C425" s="12">
        <f t="shared" si="61"/>
        <v>9.4867500000000021E-2</v>
      </c>
      <c r="D425" s="12">
        <f t="shared" si="62"/>
        <v>1.3597500000000026E-2</v>
      </c>
      <c r="E425" s="12">
        <f>SUM($D$19:D425)</f>
        <v>3.2948675000000018</v>
      </c>
      <c r="F425" s="12">
        <f t="shared" si="58"/>
        <v>32.844942668074935</v>
      </c>
      <c r="G425" s="12">
        <f t="shared" si="59"/>
        <v>32.988869004005942</v>
      </c>
      <c r="H425" s="12">
        <f t="shared" si="63"/>
        <v>118200</v>
      </c>
      <c r="I425" s="12">
        <f t="shared" si="64"/>
        <v>118700</v>
      </c>
      <c r="J425" s="12">
        <f>IF(A425&lt;[3]关卡对接!$A$4,INDEX([3]关卡对接!$C$7:$C$141,A425),MATCH(E425,人物经验!$H$24:$H$573,1))</f>
        <v>289</v>
      </c>
      <c r="K425" s="12">
        <f>IF([3]关卡对接!F413="",INT(INDEX(人物经验!$J$24:$J$573,关卡!J425)*关卡!$S$7),[3]关卡对接!F413)</f>
        <v>2935</v>
      </c>
      <c r="L425" s="12">
        <f t="shared" si="65"/>
        <v>1.4</v>
      </c>
      <c r="M425" s="12">
        <f>L425/[4]货币基础!$B$4</f>
        <v>140</v>
      </c>
      <c r="N425" s="12">
        <f>IF(A425&lt;[3]关卡对接!$A$4,INDEX([3]关卡对接!$E$7:$E$141,A425),MATCH(E425,人物经验!$H$24:$H$573,1))</f>
        <v>289</v>
      </c>
      <c r="O425" s="12">
        <f>INDEX([2]关卡!$G$6:$G$2005,A425)</f>
        <v>3</v>
      </c>
      <c r="P425" s="13">
        <v>6</v>
      </c>
      <c r="Q425" s="12">
        <f>INT(P425/$S$15/O425*VLOOKUP(J425,[1]人物技能基础!$N$3:$O$553,2,0)*$U$15)</f>
        <v>9</v>
      </c>
      <c r="R425" s="12">
        <f t="shared" si="66"/>
        <v>112</v>
      </c>
    </row>
    <row r="426" spans="1:18" x14ac:dyDescent="0.15">
      <c r="A426" s="12">
        <v>408</v>
      </c>
      <c r="B426" s="12">
        <f t="shared" si="60"/>
        <v>3</v>
      </c>
      <c r="C426" s="12">
        <f t="shared" si="61"/>
        <v>0.10848000000000002</v>
      </c>
      <c r="D426" s="12">
        <f t="shared" si="62"/>
        <v>1.36125E-2</v>
      </c>
      <c r="E426" s="12">
        <f>SUM($D$19:D426)</f>
        <v>3.3084800000000016</v>
      </c>
      <c r="F426" s="12">
        <f t="shared" si="58"/>
        <v>32.961123890944002</v>
      </c>
      <c r="G426" s="12">
        <f t="shared" si="59"/>
        <v>33.080379288320003</v>
      </c>
      <c r="H426" s="12">
        <f t="shared" si="63"/>
        <v>118600</v>
      </c>
      <c r="I426" s="12">
        <f t="shared" si="64"/>
        <v>119000</v>
      </c>
      <c r="J426" s="12">
        <f>IF(A426&lt;[3]关卡对接!$A$4,INDEX([3]关卡对接!$C$7:$C$141,A426),MATCH(E426,人物经验!$H$24:$H$573,1))</f>
        <v>289</v>
      </c>
      <c r="K426" s="12">
        <f>IF([3]关卡对接!F414="",INT(INDEX(人物经验!$J$24:$J$573,关卡!J426)*关卡!$S$7),[3]关卡对接!F414)</f>
        <v>2935</v>
      </c>
      <c r="L426" s="12">
        <f t="shared" si="65"/>
        <v>1.4</v>
      </c>
      <c r="M426" s="12">
        <f>L426/[4]货币基础!$B$4</f>
        <v>140</v>
      </c>
      <c r="N426" s="12">
        <f>IF(A426&lt;[3]关卡对接!$A$4,INDEX([3]关卡对接!$E$7:$E$141,A426),MATCH(E426,人物经验!$H$24:$H$573,1))</f>
        <v>289</v>
      </c>
      <c r="O426" s="12">
        <f>INDEX([2]关卡!$G$6:$G$2005,A426)</f>
        <v>3</v>
      </c>
      <c r="P426" s="13">
        <v>6</v>
      </c>
      <c r="Q426" s="12">
        <f>INT(P426/$S$15/O426*VLOOKUP(J426,[1]人物技能基础!$N$3:$O$553,2,0)*$U$15)</f>
        <v>9</v>
      </c>
      <c r="R426" s="12">
        <f t="shared" si="66"/>
        <v>112</v>
      </c>
    </row>
    <row r="427" spans="1:18" x14ac:dyDescent="0.15">
      <c r="A427" s="12">
        <v>409</v>
      </c>
      <c r="B427" s="12">
        <f t="shared" si="60"/>
        <v>3</v>
      </c>
      <c r="C427" s="12">
        <f t="shared" si="61"/>
        <v>0.12210750000000001</v>
      </c>
      <c r="D427" s="12">
        <f t="shared" si="62"/>
        <v>1.3627499999999987E-2</v>
      </c>
      <c r="E427" s="12">
        <f>SUM($D$19:D427)</f>
        <v>3.3221075000000018</v>
      </c>
      <c r="F427" s="12">
        <f t="shared" si="58"/>
        <v>33.077546728214941</v>
      </c>
      <c r="G427" s="12">
        <f t="shared" si="59"/>
        <v>33.172022333205945</v>
      </c>
      <c r="H427" s="12">
        <f t="shared" si="63"/>
        <v>119000</v>
      </c>
      <c r="I427" s="12">
        <f t="shared" si="64"/>
        <v>119400</v>
      </c>
      <c r="J427" s="12">
        <f>IF(A427&lt;[3]关卡对接!$A$4,INDEX([3]关卡对接!$C$7:$C$141,A427),MATCH(E427,人物经验!$H$24:$H$573,1))</f>
        <v>289</v>
      </c>
      <c r="K427" s="12">
        <f>IF([3]关卡对接!F415="",INT(INDEX(人物经验!$J$24:$J$573,关卡!J427)*关卡!$S$7),[3]关卡对接!F415)</f>
        <v>2935</v>
      </c>
      <c r="L427" s="12">
        <f t="shared" si="65"/>
        <v>1.4</v>
      </c>
      <c r="M427" s="12">
        <f>L427/[4]货币基础!$B$4</f>
        <v>140</v>
      </c>
      <c r="N427" s="12">
        <f>IF(A427&lt;[3]关卡对接!$A$4,INDEX([3]关卡对接!$E$7:$E$141,A427),MATCH(E427,人物经验!$H$24:$H$573,1))</f>
        <v>289</v>
      </c>
      <c r="O427" s="12">
        <f>INDEX([2]关卡!$G$6:$G$2005,A427)</f>
        <v>3</v>
      </c>
      <c r="P427" s="13">
        <v>6</v>
      </c>
      <c r="Q427" s="12">
        <f>INT(P427/$S$15/O427*VLOOKUP(J427,[1]人物技能基础!$N$3:$O$553,2,0)*$U$15)</f>
        <v>9</v>
      </c>
      <c r="R427" s="12">
        <f t="shared" si="66"/>
        <v>112</v>
      </c>
    </row>
    <row r="428" spans="1:18" x14ac:dyDescent="0.15">
      <c r="A428" s="12">
        <v>410</v>
      </c>
      <c r="B428" s="12">
        <f t="shared" si="60"/>
        <v>3</v>
      </c>
      <c r="C428" s="12">
        <f t="shared" si="61"/>
        <v>0.13575000000000001</v>
      </c>
      <c r="D428" s="12">
        <f t="shared" si="62"/>
        <v>1.3642500000000002E-2</v>
      </c>
      <c r="E428" s="12">
        <f>SUM($D$19:D428)</f>
        <v>3.3357500000000018</v>
      </c>
      <c r="F428" s="12">
        <f t="shared" si="58"/>
        <v>33.194211649374999</v>
      </c>
      <c r="G428" s="12">
        <f t="shared" si="59"/>
        <v>33.263798309374998</v>
      </c>
      <c r="H428" s="12">
        <f t="shared" si="63"/>
        <v>119400</v>
      </c>
      <c r="I428" s="12">
        <f t="shared" si="64"/>
        <v>119700</v>
      </c>
      <c r="J428" s="12">
        <f>IF(A428&lt;[3]关卡对接!$A$4,INDEX([3]关卡对接!$C$7:$C$141,A428),MATCH(E428,人物经验!$H$24:$H$573,1))</f>
        <v>289</v>
      </c>
      <c r="K428" s="12">
        <f>IF([3]关卡对接!F416="",INT(INDEX(人物经验!$J$24:$J$573,关卡!J428)*关卡!$S$7),[3]关卡对接!F416)</f>
        <v>2935</v>
      </c>
      <c r="L428" s="12">
        <f t="shared" si="65"/>
        <v>1.4</v>
      </c>
      <c r="M428" s="12">
        <f>L428/[4]货币基础!$B$4</f>
        <v>140</v>
      </c>
      <c r="N428" s="12">
        <f>IF(A428&lt;[3]关卡对接!$A$4,INDEX([3]关卡对接!$E$7:$E$141,A428),MATCH(E428,人物经验!$H$24:$H$573,1))</f>
        <v>289</v>
      </c>
      <c r="O428" s="12">
        <f>INDEX([2]关卡!$G$6:$G$2005,A428)</f>
        <v>3</v>
      </c>
      <c r="P428" s="13">
        <v>6</v>
      </c>
      <c r="Q428" s="12">
        <f>INT(P428/$S$15/O428*VLOOKUP(J428,[1]人物技能基础!$N$3:$O$553,2,0)*$U$15)</f>
        <v>9</v>
      </c>
      <c r="R428" s="12">
        <f t="shared" si="66"/>
        <v>112</v>
      </c>
    </row>
    <row r="429" spans="1:18" x14ac:dyDescent="0.15">
      <c r="A429" s="12">
        <v>411</v>
      </c>
      <c r="B429" s="12">
        <f t="shared" si="60"/>
        <v>3</v>
      </c>
      <c r="C429" s="12">
        <f t="shared" si="61"/>
        <v>0.1494075</v>
      </c>
      <c r="D429" s="12">
        <f t="shared" si="62"/>
        <v>1.3657499999999989E-2</v>
      </c>
      <c r="E429" s="12">
        <f>SUM($D$19:D429)</f>
        <v>3.3494075000000016</v>
      </c>
      <c r="F429" s="12">
        <f t="shared" si="58"/>
        <v>33.311119124509936</v>
      </c>
      <c r="G429" s="12">
        <f t="shared" si="59"/>
        <v>33.355707387680937</v>
      </c>
      <c r="H429" s="12">
        <f t="shared" si="63"/>
        <v>119900</v>
      </c>
      <c r="I429" s="12">
        <f t="shared" si="64"/>
        <v>120000</v>
      </c>
      <c r="J429" s="12">
        <f>IF(A429&lt;[3]关卡对接!$A$4,INDEX([3]关卡对接!$C$7:$C$141,A429),MATCH(E429,人物经验!$H$24:$H$573,1))</f>
        <v>289</v>
      </c>
      <c r="K429" s="12">
        <f>IF([3]关卡对接!F417="",INT(INDEX(人物经验!$J$24:$J$573,关卡!J429)*关卡!$S$7),[3]关卡对接!F417)</f>
        <v>2935</v>
      </c>
      <c r="L429" s="12">
        <f t="shared" si="65"/>
        <v>1.4</v>
      </c>
      <c r="M429" s="12">
        <f>L429/[4]货币基础!$B$4</f>
        <v>140</v>
      </c>
      <c r="N429" s="12">
        <f>IF(A429&lt;[3]关卡对接!$A$4,INDEX([3]关卡对接!$E$7:$E$141,A429),MATCH(E429,人物经验!$H$24:$H$573,1))</f>
        <v>289</v>
      </c>
      <c r="O429" s="12">
        <f>INDEX([2]关卡!$G$6:$G$2005,A429)</f>
        <v>3</v>
      </c>
      <c r="P429" s="13">
        <v>6</v>
      </c>
      <c r="Q429" s="12">
        <f>INT(P429/$S$15/O429*VLOOKUP(J429,[1]人物技能基础!$N$3:$O$553,2,0)*$U$15)</f>
        <v>9</v>
      </c>
      <c r="R429" s="12">
        <f t="shared" si="66"/>
        <v>112</v>
      </c>
    </row>
    <row r="430" spans="1:18" x14ac:dyDescent="0.15">
      <c r="A430" s="12">
        <v>412</v>
      </c>
      <c r="B430" s="12">
        <f t="shared" si="60"/>
        <v>3</v>
      </c>
      <c r="C430" s="12">
        <f t="shared" si="61"/>
        <v>0.16308</v>
      </c>
      <c r="D430" s="12">
        <f t="shared" si="62"/>
        <v>1.3672500000000004E-2</v>
      </c>
      <c r="E430" s="12">
        <f>SUM($D$19:D430)</f>
        <v>3.3630800000000018</v>
      </c>
      <c r="F430" s="12">
        <f t="shared" si="58"/>
        <v>33.428269624304001</v>
      </c>
      <c r="G430" s="12">
        <f t="shared" si="59"/>
        <v>33.447749739119999</v>
      </c>
      <c r="H430" s="12">
        <f t="shared" si="63"/>
        <v>120300</v>
      </c>
      <c r="I430" s="12">
        <f t="shared" si="64"/>
        <v>120400</v>
      </c>
      <c r="J430" s="12">
        <f>IF(A430&lt;[3]关卡对接!$A$4,INDEX([3]关卡对接!$C$7:$C$141,A430),MATCH(E430,人物经验!$H$24:$H$573,1))</f>
        <v>290</v>
      </c>
      <c r="K430" s="12">
        <f>IF([3]关卡对接!F418="",INT(INDEX(人物经验!$J$24:$J$573,关卡!J430)*关卡!$S$7),[3]关卡对接!F418)</f>
        <v>2998</v>
      </c>
      <c r="L430" s="12">
        <f t="shared" si="65"/>
        <v>1.4</v>
      </c>
      <c r="M430" s="12">
        <f>L430/[4]货币基础!$B$4</f>
        <v>140</v>
      </c>
      <c r="N430" s="12">
        <f>IF(A430&lt;[3]关卡对接!$A$4,INDEX([3]关卡对接!$E$7:$E$141,A430),MATCH(E430,人物经验!$H$24:$H$573,1))</f>
        <v>290</v>
      </c>
      <c r="O430" s="12">
        <f>INDEX([2]关卡!$G$6:$G$2005,A430)</f>
        <v>3</v>
      </c>
      <c r="P430" s="13">
        <v>6</v>
      </c>
      <c r="Q430" s="12">
        <f>INT(P430/$S$15/O430*VLOOKUP(J430,[1]人物技能基础!$N$3:$O$553,2,0)*$U$15)</f>
        <v>9</v>
      </c>
      <c r="R430" s="12">
        <f t="shared" si="66"/>
        <v>112</v>
      </c>
    </row>
    <row r="431" spans="1:18" x14ac:dyDescent="0.15">
      <c r="A431" s="12">
        <v>413</v>
      </c>
      <c r="B431" s="12">
        <f t="shared" si="60"/>
        <v>3</v>
      </c>
      <c r="C431" s="12">
        <f t="shared" si="61"/>
        <v>0.17676750000000002</v>
      </c>
      <c r="D431" s="12">
        <f t="shared" si="62"/>
        <v>1.3687500000000019E-2</v>
      </c>
      <c r="E431" s="12">
        <f>SUM($D$19:D431)</f>
        <v>3.3767675000000019</v>
      </c>
      <c r="F431" s="12">
        <f t="shared" si="58"/>
        <v>33.545663620039939</v>
      </c>
      <c r="G431" s="12">
        <f t="shared" si="59"/>
        <v>33.539925534830935</v>
      </c>
      <c r="H431" s="12">
        <f t="shared" si="63"/>
        <v>120700</v>
      </c>
      <c r="I431" s="12">
        <f t="shared" si="64"/>
        <v>120700</v>
      </c>
      <c r="J431" s="12">
        <f>IF(A431&lt;[3]关卡对接!$A$4,INDEX([3]关卡对接!$C$7:$C$141,A431),MATCH(E431,人物经验!$H$24:$H$573,1))</f>
        <v>290</v>
      </c>
      <c r="K431" s="12">
        <f>IF([3]关卡对接!F419="",INT(INDEX(人物经验!$J$24:$J$573,关卡!J431)*关卡!$S$7),[3]关卡对接!F419)</f>
        <v>2998</v>
      </c>
      <c r="L431" s="12">
        <f t="shared" si="65"/>
        <v>1.4</v>
      </c>
      <c r="M431" s="12">
        <f>L431/[4]货币基础!$B$4</f>
        <v>140</v>
      </c>
      <c r="N431" s="12">
        <f>IF(A431&lt;[3]关卡对接!$A$4,INDEX([3]关卡对接!$E$7:$E$141,A431),MATCH(E431,人物经验!$H$24:$H$573,1))</f>
        <v>290</v>
      </c>
      <c r="O431" s="12">
        <f>INDEX([2]关卡!$G$6:$G$2005,A431)</f>
        <v>3</v>
      </c>
      <c r="P431" s="13">
        <v>6</v>
      </c>
      <c r="Q431" s="12">
        <f>INT(P431/$S$15/O431*VLOOKUP(J431,[1]人物技能基础!$N$3:$O$553,2,0)*$U$15)</f>
        <v>9</v>
      </c>
      <c r="R431" s="12">
        <f t="shared" si="66"/>
        <v>112</v>
      </c>
    </row>
    <row r="432" spans="1:18" x14ac:dyDescent="0.15">
      <c r="A432" s="12">
        <v>414</v>
      </c>
      <c r="B432" s="12">
        <f t="shared" si="60"/>
        <v>3</v>
      </c>
      <c r="C432" s="12">
        <f t="shared" si="61"/>
        <v>0.19047000000000006</v>
      </c>
      <c r="D432" s="12">
        <f t="shared" si="62"/>
        <v>1.3702500000000034E-2</v>
      </c>
      <c r="E432" s="12">
        <f>SUM($D$19:D432)</f>
        <v>3.3904700000000019</v>
      </c>
      <c r="F432" s="12">
        <f t="shared" si="58"/>
        <v>33.663301583599001</v>
      </c>
      <c r="G432" s="12">
        <f t="shared" si="59"/>
        <v>33.632234946094997</v>
      </c>
      <c r="H432" s="12">
        <f t="shared" si="63"/>
        <v>121100</v>
      </c>
      <c r="I432" s="12">
        <f t="shared" si="64"/>
        <v>121000</v>
      </c>
      <c r="J432" s="12">
        <f>IF(A432&lt;[3]关卡对接!$A$4,INDEX([3]关卡对接!$C$7:$C$141,A432),MATCH(E432,人物经验!$H$24:$H$573,1))</f>
        <v>290</v>
      </c>
      <c r="K432" s="12">
        <f>IF([3]关卡对接!F420="",INT(INDEX(人物经验!$J$24:$J$573,关卡!J432)*关卡!$S$7),[3]关卡对接!F420)</f>
        <v>2998</v>
      </c>
      <c r="L432" s="12">
        <f t="shared" si="65"/>
        <v>1.4</v>
      </c>
      <c r="M432" s="12">
        <f>L432/[4]货币基础!$B$4</f>
        <v>140</v>
      </c>
      <c r="N432" s="12">
        <f>IF(A432&lt;[3]关卡对接!$A$4,INDEX([3]关卡对接!$E$7:$E$141,A432),MATCH(E432,人物经验!$H$24:$H$573,1))</f>
        <v>290</v>
      </c>
      <c r="O432" s="12">
        <f>INDEX([2]关卡!$G$6:$G$2005,A432)</f>
        <v>3</v>
      </c>
      <c r="P432" s="13">
        <v>6</v>
      </c>
      <c r="Q432" s="12">
        <f>INT(P432/$S$15/O432*VLOOKUP(J432,[1]人物技能基础!$N$3:$O$553,2,0)*$U$15)</f>
        <v>9</v>
      </c>
      <c r="R432" s="12">
        <f t="shared" si="66"/>
        <v>112</v>
      </c>
    </row>
    <row r="433" spans="1:18" x14ac:dyDescent="0.15">
      <c r="A433" s="12">
        <v>415</v>
      </c>
      <c r="B433" s="12">
        <f t="shared" si="60"/>
        <v>3</v>
      </c>
      <c r="C433" s="12">
        <f t="shared" si="61"/>
        <v>0.20418749999999999</v>
      </c>
      <c r="D433" s="12">
        <f t="shared" si="62"/>
        <v>1.3717499999999938E-2</v>
      </c>
      <c r="E433" s="12">
        <f>SUM($D$19:D433)</f>
        <v>3.4041875000000017</v>
      </c>
      <c r="F433" s="12">
        <f t="shared" si="58"/>
        <v>33.781183987460942</v>
      </c>
      <c r="G433" s="12">
        <f t="shared" si="59"/>
        <v>33.724678144335932</v>
      </c>
      <c r="H433" s="12">
        <f t="shared" si="63"/>
        <v>121600</v>
      </c>
      <c r="I433" s="12">
        <f t="shared" si="64"/>
        <v>121400</v>
      </c>
      <c r="J433" s="12">
        <f>IF(A433&lt;[3]关卡对接!$A$4,INDEX([3]关卡对接!$C$7:$C$141,A433),MATCH(E433,人物经验!$H$24:$H$573,1))</f>
        <v>290</v>
      </c>
      <c r="K433" s="12">
        <f>IF([3]关卡对接!F421="",INT(INDEX(人物经验!$J$24:$J$573,关卡!J433)*关卡!$S$7),[3]关卡对接!F421)</f>
        <v>2998</v>
      </c>
      <c r="L433" s="12">
        <f t="shared" si="65"/>
        <v>1.4</v>
      </c>
      <c r="M433" s="12">
        <f>L433/[4]货币基础!$B$4</f>
        <v>140</v>
      </c>
      <c r="N433" s="12">
        <f>IF(A433&lt;[3]关卡对接!$A$4,INDEX([3]关卡对接!$E$7:$E$141,A433),MATCH(E433,人物经验!$H$24:$H$573,1))</f>
        <v>290</v>
      </c>
      <c r="O433" s="12">
        <f>INDEX([2]关卡!$G$6:$G$2005,A433)</f>
        <v>3</v>
      </c>
      <c r="P433" s="13">
        <v>6</v>
      </c>
      <c r="Q433" s="12">
        <f>INT(P433/$S$15/O433*VLOOKUP(J433,[1]人物技能基础!$N$3:$O$553,2,0)*$U$15)</f>
        <v>9</v>
      </c>
      <c r="R433" s="12">
        <f t="shared" si="66"/>
        <v>112</v>
      </c>
    </row>
    <row r="434" spans="1:18" x14ac:dyDescent="0.15">
      <c r="A434" s="12">
        <v>416</v>
      </c>
      <c r="B434" s="12">
        <f t="shared" si="60"/>
        <v>3</v>
      </c>
      <c r="C434" s="12">
        <f t="shared" si="61"/>
        <v>0.21792000000000003</v>
      </c>
      <c r="D434" s="12">
        <f t="shared" si="62"/>
        <v>1.3732500000000036E-2</v>
      </c>
      <c r="E434" s="12">
        <f>SUM($D$19:D434)</f>
        <v>3.4179200000000018</v>
      </c>
      <c r="F434" s="12">
        <f t="shared" si="58"/>
        <v>33.899311304704</v>
      </c>
      <c r="G434" s="12">
        <f t="shared" si="59"/>
        <v>33.817255301119999</v>
      </c>
      <c r="H434" s="12">
        <f t="shared" si="63"/>
        <v>122000</v>
      </c>
      <c r="I434" s="12">
        <f t="shared" si="64"/>
        <v>121700</v>
      </c>
      <c r="J434" s="12">
        <f>IF(A434&lt;[3]关卡对接!$A$4,INDEX([3]关卡对接!$C$7:$C$141,A434),MATCH(E434,人物经验!$H$24:$H$573,1))</f>
        <v>290</v>
      </c>
      <c r="K434" s="12">
        <f>IF([3]关卡对接!F422="",INT(INDEX(人物经验!$J$24:$J$573,关卡!J434)*关卡!$S$7),[3]关卡对接!F422)</f>
        <v>2998</v>
      </c>
      <c r="L434" s="12">
        <f t="shared" si="65"/>
        <v>1.4</v>
      </c>
      <c r="M434" s="12">
        <f>L434/[4]货币基础!$B$4</f>
        <v>140</v>
      </c>
      <c r="N434" s="12">
        <f>IF(A434&lt;[3]关卡对接!$A$4,INDEX([3]关卡对接!$E$7:$E$141,A434),MATCH(E434,人物经验!$H$24:$H$573,1))</f>
        <v>290</v>
      </c>
      <c r="O434" s="12">
        <f>INDEX([2]关卡!$G$6:$G$2005,A434)</f>
        <v>3</v>
      </c>
      <c r="P434" s="13">
        <v>6</v>
      </c>
      <c r="Q434" s="12">
        <f>INT(P434/$S$15/O434*VLOOKUP(J434,[1]人物技能基础!$N$3:$O$553,2,0)*$U$15)</f>
        <v>9</v>
      </c>
      <c r="R434" s="12">
        <f t="shared" si="66"/>
        <v>112</v>
      </c>
    </row>
    <row r="435" spans="1:18" x14ac:dyDescent="0.15">
      <c r="A435" s="12">
        <v>417</v>
      </c>
      <c r="B435" s="12">
        <f t="shared" si="60"/>
        <v>3</v>
      </c>
      <c r="C435" s="12">
        <f t="shared" si="61"/>
        <v>0.23166750000000003</v>
      </c>
      <c r="D435" s="12">
        <f t="shared" si="62"/>
        <v>1.3747499999999996E-2</v>
      </c>
      <c r="E435" s="12">
        <f>SUM($D$19:D435)</f>
        <v>3.4316675000000019</v>
      </c>
      <c r="F435" s="12">
        <f t="shared" si="58"/>
        <v>34.017684009004945</v>
      </c>
      <c r="G435" s="12">
        <f t="shared" si="59"/>
        <v>33.909966588155939</v>
      </c>
      <c r="H435" s="12">
        <f t="shared" si="63"/>
        <v>122400</v>
      </c>
      <c r="I435" s="12">
        <f t="shared" si="64"/>
        <v>122000</v>
      </c>
      <c r="J435" s="12">
        <f>IF(A435&lt;[3]关卡对接!$A$4,INDEX([3]关卡对接!$C$7:$C$141,A435),MATCH(E435,人物经验!$H$24:$H$573,1))</f>
        <v>290</v>
      </c>
      <c r="K435" s="12">
        <f>IF([3]关卡对接!F423="",INT(INDEX(人物经验!$J$24:$J$573,关卡!J435)*关卡!$S$7),[3]关卡对接!F423)</f>
        <v>2998</v>
      </c>
      <c r="L435" s="12">
        <f t="shared" si="65"/>
        <v>1.4</v>
      </c>
      <c r="M435" s="12">
        <f>L435/[4]货币基础!$B$4</f>
        <v>140</v>
      </c>
      <c r="N435" s="12">
        <f>IF(A435&lt;[3]关卡对接!$A$4,INDEX([3]关卡对接!$E$7:$E$141,A435),MATCH(E435,人物经验!$H$24:$H$573,1))</f>
        <v>290</v>
      </c>
      <c r="O435" s="12">
        <f>INDEX([2]关卡!$G$6:$G$2005,A435)</f>
        <v>3</v>
      </c>
      <c r="P435" s="13">
        <v>6</v>
      </c>
      <c r="Q435" s="12">
        <f>INT(P435/$S$15/O435*VLOOKUP(J435,[1]人物技能基础!$N$3:$O$553,2,0)*$U$15)</f>
        <v>9</v>
      </c>
      <c r="R435" s="12">
        <f t="shared" si="66"/>
        <v>112</v>
      </c>
    </row>
    <row r="436" spans="1:18" x14ac:dyDescent="0.15">
      <c r="A436" s="12">
        <v>418</v>
      </c>
      <c r="B436" s="12">
        <f t="shared" si="60"/>
        <v>3</v>
      </c>
      <c r="C436" s="12">
        <f t="shared" si="61"/>
        <v>0.24543000000000004</v>
      </c>
      <c r="D436" s="12">
        <f t="shared" si="62"/>
        <v>1.3762500000000011E-2</v>
      </c>
      <c r="E436" s="12">
        <f>SUM($D$19:D436)</f>
        <v>3.4454300000000018</v>
      </c>
      <c r="F436" s="12">
        <f t="shared" si="58"/>
        <v>34.136302574639004</v>
      </c>
      <c r="G436" s="12">
        <f t="shared" si="59"/>
        <v>34.002812177294999</v>
      </c>
      <c r="H436" s="12">
        <f t="shared" si="63"/>
        <v>122800</v>
      </c>
      <c r="I436" s="12">
        <f t="shared" si="64"/>
        <v>122400</v>
      </c>
      <c r="J436" s="12">
        <f>IF(A436&lt;[3]关卡对接!$A$4,INDEX([3]关卡对接!$C$7:$C$141,A436),MATCH(E436,人物经验!$H$24:$H$573,1))</f>
        <v>290</v>
      </c>
      <c r="K436" s="12">
        <f>IF([3]关卡对接!F424="",INT(INDEX(人物经验!$J$24:$J$573,关卡!J436)*关卡!$S$7),[3]关卡对接!F424)</f>
        <v>2998</v>
      </c>
      <c r="L436" s="12">
        <f t="shared" si="65"/>
        <v>1.4</v>
      </c>
      <c r="M436" s="12">
        <f>L436/[4]货币基础!$B$4</f>
        <v>140</v>
      </c>
      <c r="N436" s="12">
        <f>IF(A436&lt;[3]关卡对接!$A$4,INDEX([3]关卡对接!$E$7:$E$141,A436),MATCH(E436,人物经验!$H$24:$H$573,1))</f>
        <v>290</v>
      </c>
      <c r="O436" s="12">
        <f>INDEX([2]关卡!$G$6:$G$2005,A436)</f>
        <v>3</v>
      </c>
      <c r="P436" s="13">
        <v>6</v>
      </c>
      <c r="Q436" s="12">
        <f>INT(P436/$S$15/O436*VLOOKUP(J436,[1]人物技能基础!$N$3:$O$553,2,0)*$U$15)</f>
        <v>9</v>
      </c>
      <c r="R436" s="12">
        <f t="shared" si="66"/>
        <v>112</v>
      </c>
    </row>
    <row r="437" spans="1:18" x14ac:dyDescent="0.15">
      <c r="A437" s="12">
        <v>419</v>
      </c>
      <c r="B437" s="12">
        <f t="shared" si="60"/>
        <v>3</v>
      </c>
      <c r="C437" s="12">
        <f t="shared" si="61"/>
        <v>0.25920750000000004</v>
      </c>
      <c r="D437" s="12">
        <f t="shared" si="62"/>
        <v>1.3777499999999998E-2</v>
      </c>
      <c r="E437" s="12">
        <f>SUM($D$19:D437)</f>
        <v>3.4592075000000015</v>
      </c>
      <c r="F437" s="12">
        <f t="shared" si="58"/>
        <v>34.255167476479933</v>
      </c>
      <c r="G437" s="12">
        <f t="shared" si="59"/>
        <v>34.095792240530933</v>
      </c>
      <c r="H437" s="12">
        <f t="shared" si="63"/>
        <v>123300</v>
      </c>
      <c r="I437" s="12">
        <f t="shared" si="64"/>
        <v>122700</v>
      </c>
      <c r="J437" s="12">
        <f>IF(A437&lt;[3]关卡对接!$A$4,INDEX([3]关卡对接!$C$7:$C$141,A437),MATCH(E437,人物经验!$H$24:$H$573,1))</f>
        <v>291</v>
      </c>
      <c r="K437" s="12">
        <f>IF([3]关卡对接!F425="",INT(INDEX(人物经验!$J$24:$J$573,关卡!J437)*关卡!$S$7),[3]关卡对接!F425)</f>
        <v>3072</v>
      </c>
      <c r="L437" s="12">
        <f t="shared" si="65"/>
        <v>1.4</v>
      </c>
      <c r="M437" s="12">
        <f>L437/[4]货币基础!$B$4</f>
        <v>140</v>
      </c>
      <c r="N437" s="12">
        <f>IF(A437&lt;[3]关卡对接!$A$4,INDEX([3]关卡对接!$E$7:$E$141,A437),MATCH(E437,人物经验!$H$24:$H$573,1))</f>
        <v>291</v>
      </c>
      <c r="O437" s="12">
        <f>INDEX([2]关卡!$G$6:$G$2005,A437)</f>
        <v>3</v>
      </c>
      <c r="P437" s="13">
        <v>6</v>
      </c>
      <c r="Q437" s="12">
        <f>INT(P437/$S$15/O437*VLOOKUP(J437,[1]人物技能基础!$N$3:$O$553,2,0)*$U$15)</f>
        <v>9</v>
      </c>
      <c r="R437" s="12">
        <f t="shared" si="66"/>
        <v>112</v>
      </c>
    </row>
    <row r="438" spans="1:18" x14ac:dyDescent="0.15">
      <c r="A438" s="12">
        <v>420</v>
      </c>
      <c r="B438" s="12">
        <f t="shared" si="60"/>
        <v>3</v>
      </c>
      <c r="C438" s="12">
        <f t="shared" si="61"/>
        <v>0.27300000000000002</v>
      </c>
      <c r="D438" s="12">
        <f t="shared" si="62"/>
        <v>1.3792499999999985E-2</v>
      </c>
      <c r="E438" s="12">
        <f>SUM($D$19:D438)</f>
        <v>3.4730000000000016</v>
      </c>
      <c r="F438" s="12">
        <f t="shared" si="58"/>
        <v>34.374279189999996</v>
      </c>
      <c r="G438" s="12">
        <f t="shared" si="59"/>
        <v>34.188906949999996</v>
      </c>
      <c r="H438" s="12">
        <f t="shared" si="63"/>
        <v>123700</v>
      </c>
      <c r="I438" s="12">
        <f t="shared" si="64"/>
        <v>123000</v>
      </c>
      <c r="J438" s="12">
        <f>IF(A438&lt;[3]关卡对接!$A$4,INDEX([3]关卡对接!$C$7:$C$141,A438),MATCH(E438,人物经验!$H$24:$H$573,1))</f>
        <v>291</v>
      </c>
      <c r="K438" s="12">
        <f>IF([3]关卡对接!F426="",INT(INDEX(人物经验!$J$24:$J$573,关卡!J438)*关卡!$S$7),[3]关卡对接!F426)</f>
        <v>3072</v>
      </c>
      <c r="L438" s="12">
        <f t="shared" si="65"/>
        <v>1.4</v>
      </c>
      <c r="M438" s="12">
        <f>L438/[4]货币基础!$B$4</f>
        <v>140</v>
      </c>
      <c r="N438" s="12">
        <f>IF(A438&lt;[3]关卡对接!$A$4,INDEX([3]关卡对接!$E$7:$E$141,A438),MATCH(E438,人物经验!$H$24:$H$573,1))</f>
        <v>291</v>
      </c>
      <c r="O438" s="12">
        <f>INDEX([2]关卡!$G$6:$G$2005,A438)</f>
        <v>3</v>
      </c>
      <c r="P438" s="13">
        <v>6</v>
      </c>
      <c r="Q438" s="12">
        <f>INT(P438/$S$15/O438*VLOOKUP(J438,[1]人物技能基础!$N$3:$O$553,2,0)*$U$15)</f>
        <v>9</v>
      </c>
      <c r="R438" s="12">
        <f t="shared" si="66"/>
        <v>112</v>
      </c>
    </row>
    <row r="439" spans="1:18" x14ac:dyDescent="0.15">
      <c r="A439" s="12">
        <v>421</v>
      </c>
      <c r="B439" s="12">
        <f t="shared" si="60"/>
        <v>3</v>
      </c>
      <c r="C439" s="12">
        <f t="shared" si="61"/>
        <v>0.28680749999999999</v>
      </c>
      <c r="D439" s="12">
        <f t="shared" si="62"/>
        <v>1.3807499999999973E-2</v>
      </c>
      <c r="E439" s="12">
        <f>SUM($D$19:D439)</f>
        <v>3.4868075000000016</v>
      </c>
      <c r="F439" s="12">
        <f t="shared" si="58"/>
        <v>34.493638191269937</v>
      </c>
      <c r="G439" s="12">
        <f t="shared" si="59"/>
        <v>34.282156477980934</v>
      </c>
      <c r="H439" s="12">
        <f t="shared" si="63"/>
        <v>124100</v>
      </c>
      <c r="I439" s="12">
        <f t="shared" si="64"/>
        <v>123400</v>
      </c>
      <c r="J439" s="12">
        <f>IF(A439&lt;[3]关卡对接!$A$4,INDEX([3]关卡对接!$C$7:$C$141,A439),MATCH(E439,人物经验!$H$24:$H$573,1))</f>
        <v>291</v>
      </c>
      <c r="K439" s="12">
        <f>IF([3]关卡对接!F427="",INT(INDEX(人物经验!$J$24:$J$573,关卡!J439)*关卡!$S$7),[3]关卡对接!F427)</f>
        <v>3072</v>
      </c>
      <c r="L439" s="12">
        <f t="shared" si="65"/>
        <v>1.4</v>
      </c>
      <c r="M439" s="12">
        <f>L439/[4]货币基础!$B$4</f>
        <v>140</v>
      </c>
      <c r="N439" s="12">
        <f>IF(A439&lt;[3]关卡对接!$A$4,INDEX([3]关卡对接!$E$7:$E$141,A439),MATCH(E439,人物经验!$H$24:$H$573,1))</f>
        <v>291</v>
      </c>
      <c r="O439" s="12">
        <f>INDEX([2]关卡!$G$6:$G$2005,A439)</f>
        <v>3</v>
      </c>
      <c r="P439" s="13">
        <v>6</v>
      </c>
      <c r="Q439" s="12">
        <f>INT(P439/$S$15/O439*VLOOKUP(J439,[1]人物技能基础!$N$3:$O$553,2,0)*$U$15)</f>
        <v>9</v>
      </c>
      <c r="R439" s="12">
        <f t="shared" si="66"/>
        <v>112</v>
      </c>
    </row>
    <row r="440" spans="1:18" x14ac:dyDescent="0.15">
      <c r="A440" s="12">
        <v>422</v>
      </c>
      <c r="B440" s="12">
        <f t="shared" si="60"/>
        <v>3</v>
      </c>
      <c r="C440" s="12">
        <f t="shared" si="61"/>
        <v>0.30063000000000001</v>
      </c>
      <c r="D440" s="12">
        <f t="shared" si="62"/>
        <v>1.3822500000000015E-2</v>
      </c>
      <c r="E440" s="12">
        <f>SUM($D$19:D440)</f>
        <v>3.5006300000000015</v>
      </c>
      <c r="F440" s="12">
        <f t="shared" si="58"/>
        <v>34.613244956959008</v>
      </c>
      <c r="G440" s="12">
        <f t="shared" si="59"/>
        <v>34.375540996894998</v>
      </c>
      <c r="H440" s="12">
        <f t="shared" si="63"/>
        <v>124600</v>
      </c>
      <c r="I440" s="12">
        <f t="shared" si="64"/>
        <v>123700</v>
      </c>
      <c r="J440" s="12">
        <f>IF(A440&lt;[3]关卡对接!$A$4,INDEX([3]关卡对接!$C$7:$C$141,A440),MATCH(E440,人物经验!$H$24:$H$573,1))</f>
        <v>291</v>
      </c>
      <c r="K440" s="12">
        <f>IF([3]关卡对接!F428="",INT(INDEX(人物经验!$J$24:$J$573,关卡!J440)*关卡!$S$7),[3]关卡对接!F428)</f>
        <v>3072</v>
      </c>
      <c r="L440" s="12">
        <f t="shared" si="65"/>
        <v>1.4</v>
      </c>
      <c r="M440" s="12">
        <f>L440/[4]货币基础!$B$4</f>
        <v>140</v>
      </c>
      <c r="N440" s="12">
        <f>IF(A440&lt;[3]关卡对接!$A$4,INDEX([3]关卡对接!$E$7:$E$141,A440),MATCH(E440,人物经验!$H$24:$H$573,1))</f>
        <v>291</v>
      </c>
      <c r="O440" s="12">
        <f>INDEX([2]关卡!$G$6:$G$2005,A440)</f>
        <v>3</v>
      </c>
      <c r="P440" s="13">
        <v>6</v>
      </c>
      <c r="Q440" s="12">
        <f>INT(P440/$S$15/O440*VLOOKUP(J440,[1]人物技能基础!$N$3:$O$553,2,0)*$U$15)</f>
        <v>9</v>
      </c>
      <c r="R440" s="12">
        <f t="shared" si="66"/>
        <v>112</v>
      </c>
    </row>
    <row r="441" spans="1:18" x14ac:dyDescent="0.15">
      <c r="A441" s="12">
        <v>423</v>
      </c>
      <c r="B441" s="12">
        <f t="shared" si="60"/>
        <v>3</v>
      </c>
      <c r="C441" s="12">
        <f t="shared" si="61"/>
        <v>0.31446750000000001</v>
      </c>
      <c r="D441" s="12">
        <f t="shared" si="62"/>
        <v>1.3837500000000003E-2</v>
      </c>
      <c r="E441" s="12">
        <f>SUM($D$19:D441)</f>
        <v>3.5144675000000016</v>
      </c>
      <c r="F441" s="12">
        <f t="shared" si="58"/>
        <v>34.73309996433494</v>
      </c>
      <c r="G441" s="12">
        <f t="shared" si="59"/>
        <v>34.46906067930594</v>
      </c>
      <c r="H441" s="12">
        <f t="shared" si="63"/>
        <v>125000</v>
      </c>
      <c r="I441" s="12">
        <f t="shared" si="64"/>
        <v>124000</v>
      </c>
      <c r="J441" s="12">
        <f>IF(A441&lt;[3]关卡对接!$A$4,INDEX([3]关卡对接!$C$7:$C$141,A441),MATCH(E441,人物经验!$H$24:$H$573,1))</f>
        <v>291</v>
      </c>
      <c r="K441" s="12">
        <f>IF([3]关卡对接!F429="",INT(INDEX(人物经验!$J$24:$J$573,关卡!J441)*关卡!$S$7),[3]关卡对接!F429)</f>
        <v>3072</v>
      </c>
      <c r="L441" s="12">
        <f t="shared" si="65"/>
        <v>1.4</v>
      </c>
      <c r="M441" s="12">
        <f>L441/[4]货币基础!$B$4</f>
        <v>140</v>
      </c>
      <c r="N441" s="12">
        <f>IF(A441&lt;[3]关卡对接!$A$4,INDEX([3]关卡对接!$E$7:$E$141,A441),MATCH(E441,人物经验!$H$24:$H$573,1))</f>
        <v>291</v>
      </c>
      <c r="O441" s="12">
        <f>INDEX([2]关卡!$G$6:$G$2005,A441)</f>
        <v>3</v>
      </c>
      <c r="P441" s="13">
        <v>6</v>
      </c>
      <c r="Q441" s="12">
        <f>INT(P441/$S$15/O441*VLOOKUP(J441,[1]人物技能基础!$N$3:$O$553,2,0)*$U$15)</f>
        <v>9</v>
      </c>
      <c r="R441" s="12">
        <f t="shared" si="66"/>
        <v>112</v>
      </c>
    </row>
    <row r="442" spans="1:18" x14ac:dyDescent="0.15">
      <c r="A442" s="12">
        <v>424</v>
      </c>
      <c r="B442" s="12">
        <f t="shared" si="60"/>
        <v>3</v>
      </c>
      <c r="C442" s="12">
        <f t="shared" si="61"/>
        <v>0.32832</v>
      </c>
      <c r="D442" s="12">
        <f t="shared" si="62"/>
        <v>1.385249999999999E-2</v>
      </c>
      <c r="E442" s="12">
        <f>SUM($D$19:D442)</f>
        <v>3.5283200000000017</v>
      </c>
      <c r="F442" s="12">
        <f t="shared" si="58"/>
        <v>34.853203691264</v>
      </c>
      <c r="G442" s="12">
        <f t="shared" si="59"/>
        <v>34.562715697919998</v>
      </c>
      <c r="H442" s="12">
        <f t="shared" si="63"/>
        <v>125400</v>
      </c>
      <c r="I442" s="12">
        <f t="shared" si="64"/>
        <v>124400</v>
      </c>
      <c r="J442" s="12">
        <f>IF(A442&lt;[3]关卡对接!$A$4,INDEX([3]关卡对接!$C$7:$C$141,A442),MATCH(E442,人物经验!$H$24:$H$573,1))</f>
        <v>291</v>
      </c>
      <c r="K442" s="12">
        <f>IF([3]关卡对接!F430="",INT(INDEX(人物经验!$J$24:$J$573,关卡!J442)*关卡!$S$7),[3]关卡对接!F430)</f>
        <v>3072</v>
      </c>
      <c r="L442" s="12">
        <f t="shared" si="65"/>
        <v>1.4</v>
      </c>
      <c r="M442" s="12">
        <f>L442/[4]货币基础!$B$4</f>
        <v>140</v>
      </c>
      <c r="N442" s="12">
        <f>IF(A442&lt;[3]关卡对接!$A$4,INDEX([3]关卡对接!$E$7:$E$141,A442),MATCH(E442,人物经验!$H$24:$H$573,1))</f>
        <v>291</v>
      </c>
      <c r="O442" s="12">
        <f>INDEX([2]关卡!$G$6:$G$2005,A442)</f>
        <v>3</v>
      </c>
      <c r="P442" s="13">
        <v>6</v>
      </c>
      <c r="Q442" s="12">
        <f>INT(P442/$S$15/O442*VLOOKUP(J442,[1]人物技能基础!$N$3:$O$553,2,0)*$U$15)</f>
        <v>9</v>
      </c>
      <c r="R442" s="12">
        <f t="shared" si="66"/>
        <v>112</v>
      </c>
    </row>
    <row r="443" spans="1:18" x14ac:dyDescent="0.15">
      <c r="A443" s="12">
        <v>425</v>
      </c>
      <c r="B443" s="12">
        <f t="shared" si="60"/>
        <v>3</v>
      </c>
      <c r="C443" s="12">
        <f t="shared" si="61"/>
        <v>0.34218749999999998</v>
      </c>
      <c r="D443" s="12">
        <f t="shared" si="62"/>
        <v>1.3867499999999977E-2</v>
      </c>
      <c r="E443" s="12">
        <f>SUM($D$19:D443)</f>
        <v>3.5421875000000016</v>
      </c>
      <c r="F443" s="12">
        <f t="shared" si="58"/>
        <v>34.973556616210942</v>
      </c>
      <c r="G443" s="12">
        <f t="shared" si="59"/>
        <v>34.656506225585943</v>
      </c>
      <c r="H443" s="12">
        <f t="shared" si="63"/>
        <v>125900</v>
      </c>
      <c r="I443" s="12">
        <f t="shared" si="64"/>
        <v>124700</v>
      </c>
      <c r="J443" s="12">
        <f>IF(A443&lt;[3]关卡对接!$A$4,INDEX([3]关卡对接!$C$7:$C$141,A443),MATCH(E443,人物经验!$H$24:$H$573,1))</f>
        <v>292</v>
      </c>
      <c r="K443" s="12">
        <f>IF([3]关卡对接!F431="",INT(INDEX(人物经验!$J$24:$J$573,关卡!J443)*关卡!$S$7),[3]关卡对接!F431)</f>
        <v>3136</v>
      </c>
      <c r="L443" s="12">
        <f t="shared" si="65"/>
        <v>1.4</v>
      </c>
      <c r="M443" s="12">
        <f>L443/[4]货币基础!$B$4</f>
        <v>140</v>
      </c>
      <c r="N443" s="12">
        <f>IF(A443&lt;[3]关卡对接!$A$4,INDEX([3]关卡对接!$E$7:$E$141,A443),MATCH(E443,人物经验!$H$24:$H$573,1))</f>
        <v>292</v>
      </c>
      <c r="O443" s="12">
        <f>INDEX([2]关卡!$G$6:$G$2005,A443)</f>
        <v>3</v>
      </c>
      <c r="P443" s="13">
        <v>6</v>
      </c>
      <c r="Q443" s="12">
        <f>INT(P443/$S$15/O443*VLOOKUP(J443,[1]人物技能基础!$N$3:$O$553,2,0)*$U$15)</f>
        <v>9</v>
      </c>
      <c r="R443" s="12">
        <f t="shared" si="66"/>
        <v>112</v>
      </c>
    </row>
    <row r="444" spans="1:18" x14ac:dyDescent="0.15">
      <c r="A444" s="12">
        <v>426</v>
      </c>
      <c r="B444" s="12">
        <f t="shared" si="60"/>
        <v>3</v>
      </c>
      <c r="C444" s="12">
        <f t="shared" si="61"/>
        <v>0.35607</v>
      </c>
      <c r="D444" s="12">
        <f t="shared" si="62"/>
        <v>1.388250000000002E-2</v>
      </c>
      <c r="E444" s="12">
        <f>SUM($D$19:D444)</f>
        <v>3.5560700000000018</v>
      </c>
      <c r="F444" s="12">
        <f t="shared" si="58"/>
        <v>35.094159218239</v>
      </c>
      <c r="G444" s="12">
        <f t="shared" si="59"/>
        <v>34.750432435294989</v>
      </c>
      <c r="H444" s="12">
        <f t="shared" si="63"/>
        <v>126300</v>
      </c>
      <c r="I444" s="12">
        <f t="shared" si="64"/>
        <v>125100</v>
      </c>
      <c r="J444" s="12">
        <f>IF(A444&lt;[3]关卡对接!$A$4,INDEX([3]关卡对接!$C$7:$C$141,A444),MATCH(E444,人物经验!$H$24:$H$573,1))</f>
        <v>292</v>
      </c>
      <c r="K444" s="12">
        <f>IF([3]关卡对接!F432="",INT(INDEX(人物经验!$J$24:$J$573,关卡!J444)*关卡!$S$7),[3]关卡对接!F432)</f>
        <v>3136</v>
      </c>
      <c r="L444" s="12">
        <f t="shared" si="65"/>
        <v>1.4</v>
      </c>
      <c r="M444" s="12">
        <f>L444/[4]货币基础!$B$4</f>
        <v>140</v>
      </c>
      <c r="N444" s="12">
        <f>IF(A444&lt;[3]关卡对接!$A$4,INDEX([3]关卡对接!$E$7:$E$141,A444),MATCH(E444,人物经验!$H$24:$H$573,1))</f>
        <v>292</v>
      </c>
      <c r="O444" s="12">
        <f>INDEX([2]关卡!$G$6:$G$2005,A444)</f>
        <v>3</v>
      </c>
      <c r="P444" s="13">
        <v>6</v>
      </c>
      <c r="Q444" s="12">
        <f>INT(P444/$S$15/O444*VLOOKUP(J444,[1]人物技能基础!$N$3:$O$553,2,0)*$U$15)</f>
        <v>9</v>
      </c>
      <c r="R444" s="12">
        <f t="shared" si="66"/>
        <v>112</v>
      </c>
    </row>
    <row r="445" spans="1:18" x14ac:dyDescent="0.15">
      <c r="A445" s="12">
        <v>427</v>
      </c>
      <c r="B445" s="12">
        <f t="shared" si="60"/>
        <v>3</v>
      </c>
      <c r="C445" s="12">
        <f t="shared" si="61"/>
        <v>0.36996750000000006</v>
      </c>
      <c r="D445" s="12">
        <f t="shared" si="62"/>
        <v>1.3897500000000063E-2</v>
      </c>
      <c r="E445" s="12">
        <f>SUM($D$19:D445)</f>
        <v>3.569967500000002</v>
      </c>
      <c r="F445" s="12">
        <f t="shared" si="58"/>
        <v>35.215011977009937</v>
      </c>
      <c r="G445" s="12">
        <f t="shared" si="59"/>
        <v>34.844494500180943</v>
      </c>
      <c r="H445" s="12">
        <f t="shared" si="63"/>
        <v>126700</v>
      </c>
      <c r="I445" s="12">
        <f t="shared" si="64"/>
        <v>125400</v>
      </c>
      <c r="J445" s="12">
        <f>IF(A445&lt;[3]关卡对接!$A$4,INDEX([3]关卡对接!$C$7:$C$141,A445),MATCH(E445,人物经验!$H$24:$H$573,1))</f>
        <v>292</v>
      </c>
      <c r="K445" s="12">
        <f>IF([3]关卡对接!F433="",INT(INDEX(人物经验!$J$24:$J$573,关卡!J445)*关卡!$S$7),[3]关卡对接!F433)</f>
        <v>3136</v>
      </c>
      <c r="L445" s="12">
        <f t="shared" si="65"/>
        <v>1.4</v>
      </c>
      <c r="M445" s="12">
        <f>L445/[4]货币基础!$B$4</f>
        <v>140</v>
      </c>
      <c r="N445" s="12">
        <f>IF(A445&lt;[3]关卡对接!$A$4,INDEX([3]关卡对接!$E$7:$E$141,A445),MATCH(E445,人物经验!$H$24:$H$573,1))</f>
        <v>292</v>
      </c>
      <c r="O445" s="12">
        <f>INDEX([2]关卡!$G$6:$G$2005,A445)</f>
        <v>3</v>
      </c>
      <c r="P445" s="13">
        <v>6</v>
      </c>
      <c r="Q445" s="12">
        <f>INT(P445/$S$15/O445*VLOOKUP(J445,[1]人物技能基础!$N$3:$O$553,2,0)*$U$15)</f>
        <v>9</v>
      </c>
      <c r="R445" s="12">
        <f t="shared" si="66"/>
        <v>112</v>
      </c>
    </row>
    <row r="446" spans="1:18" x14ac:dyDescent="0.15">
      <c r="A446" s="12">
        <v>428</v>
      </c>
      <c r="B446" s="12">
        <f t="shared" si="60"/>
        <v>3</v>
      </c>
      <c r="C446" s="12">
        <f t="shared" si="61"/>
        <v>0.38388000000000005</v>
      </c>
      <c r="D446" s="12">
        <f t="shared" si="62"/>
        <v>1.3912499999999994E-2</v>
      </c>
      <c r="E446" s="12">
        <f>SUM($D$19:D446)</f>
        <v>3.583880000000002</v>
      </c>
      <c r="F446" s="12">
        <f t="shared" si="58"/>
        <v>35.336115372784008</v>
      </c>
      <c r="G446" s="12">
        <f t="shared" si="59"/>
        <v>34.938692593520003</v>
      </c>
      <c r="H446" s="12">
        <f t="shared" si="63"/>
        <v>127200</v>
      </c>
      <c r="I446" s="12">
        <f t="shared" si="64"/>
        <v>125700</v>
      </c>
      <c r="J446" s="12">
        <f>IF(A446&lt;[3]关卡对接!$A$4,INDEX([3]关卡对接!$C$7:$C$141,A446),MATCH(E446,人物经验!$H$24:$H$573,1))</f>
        <v>292</v>
      </c>
      <c r="K446" s="12">
        <f>IF([3]关卡对接!F434="",INT(INDEX(人物经验!$J$24:$J$573,关卡!J446)*关卡!$S$7),[3]关卡对接!F434)</f>
        <v>3136</v>
      </c>
      <c r="L446" s="12">
        <f t="shared" si="65"/>
        <v>1.4</v>
      </c>
      <c r="M446" s="12">
        <f>L446/[4]货币基础!$B$4</f>
        <v>140</v>
      </c>
      <c r="N446" s="12">
        <f>IF(A446&lt;[3]关卡对接!$A$4,INDEX([3]关卡对接!$E$7:$E$141,A446),MATCH(E446,人物经验!$H$24:$H$573,1))</f>
        <v>292</v>
      </c>
      <c r="O446" s="12">
        <f>INDEX([2]关卡!$G$6:$G$2005,A446)</f>
        <v>3</v>
      </c>
      <c r="P446" s="13">
        <v>6</v>
      </c>
      <c r="Q446" s="12">
        <f>INT(P446/$S$15/O446*VLOOKUP(J446,[1]人物技能基础!$N$3:$O$553,2,0)*$U$15)</f>
        <v>9</v>
      </c>
      <c r="R446" s="12">
        <f t="shared" si="66"/>
        <v>112</v>
      </c>
    </row>
    <row r="447" spans="1:18" x14ac:dyDescent="0.15">
      <c r="A447" s="12">
        <v>429</v>
      </c>
      <c r="B447" s="12">
        <f t="shared" si="60"/>
        <v>3</v>
      </c>
      <c r="C447" s="12">
        <f t="shared" si="61"/>
        <v>0.39780750000000004</v>
      </c>
      <c r="D447" s="12">
        <f t="shared" si="62"/>
        <v>1.3927499999999982E-2</v>
      </c>
      <c r="E447" s="12">
        <f>SUM($D$19:D447)</f>
        <v>3.5978075000000018</v>
      </c>
      <c r="F447" s="12">
        <f t="shared" si="58"/>
        <v>35.457469886419936</v>
      </c>
      <c r="G447" s="12">
        <f t="shared" si="59"/>
        <v>35.033026888730937</v>
      </c>
      <c r="H447" s="12">
        <f t="shared" si="63"/>
        <v>127600</v>
      </c>
      <c r="I447" s="12">
        <f t="shared" si="64"/>
        <v>126100</v>
      </c>
      <c r="J447" s="12">
        <f>IF(A447&lt;[3]关卡对接!$A$4,INDEX([3]关卡对接!$C$7:$C$141,A447),MATCH(E447,人物经验!$H$24:$H$573,1))</f>
        <v>292</v>
      </c>
      <c r="K447" s="12">
        <f>IF([3]关卡对接!F435="",INT(INDEX(人物经验!$J$24:$J$573,关卡!J447)*关卡!$S$7),[3]关卡对接!F435)</f>
        <v>3136</v>
      </c>
      <c r="L447" s="12">
        <f t="shared" si="65"/>
        <v>1.4</v>
      </c>
      <c r="M447" s="12">
        <f>L447/[4]货币基础!$B$4</f>
        <v>140</v>
      </c>
      <c r="N447" s="12">
        <f>IF(A447&lt;[3]关卡对接!$A$4,INDEX([3]关卡对接!$E$7:$E$141,A447),MATCH(E447,人物经验!$H$24:$H$573,1))</f>
        <v>292</v>
      </c>
      <c r="O447" s="12">
        <f>INDEX([2]关卡!$G$6:$G$2005,A447)</f>
        <v>3</v>
      </c>
      <c r="P447" s="13">
        <v>6</v>
      </c>
      <c r="Q447" s="12">
        <f>INT(P447/$S$15/O447*VLOOKUP(J447,[1]人物技能基础!$N$3:$O$553,2,0)*$U$15)</f>
        <v>9</v>
      </c>
      <c r="R447" s="12">
        <f t="shared" si="66"/>
        <v>112</v>
      </c>
    </row>
    <row r="448" spans="1:18" x14ac:dyDescent="0.15">
      <c r="A448" s="12">
        <v>430</v>
      </c>
      <c r="B448" s="12">
        <f t="shared" si="60"/>
        <v>3</v>
      </c>
      <c r="C448" s="12">
        <f t="shared" si="61"/>
        <v>0.41175000000000006</v>
      </c>
      <c r="D448" s="12">
        <f t="shared" si="62"/>
        <v>1.3942500000000024E-2</v>
      </c>
      <c r="E448" s="12">
        <f>SUM($D$19:D448)</f>
        <v>3.611750000000002</v>
      </c>
      <c r="F448" s="12">
        <f t="shared" si="58"/>
        <v>35.579075999375</v>
      </c>
      <c r="G448" s="12">
        <f t="shared" si="59"/>
        <v>35.127497559375001</v>
      </c>
      <c r="H448" s="12">
        <f t="shared" si="63"/>
        <v>128000</v>
      </c>
      <c r="I448" s="12">
        <f t="shared" si="64"/>
        <v>126400</v>
      </c>
      <c r="J448" s="12">
        <f>IF(A448&lt;[3]关卡对接!$A$4,INDEX([3]关卡对接!$C$7:$C$141,A448),MATCH(E448,人物经验!$H$24:$H$573,1))</f>
        <v>292</v>
      </c>
      <c r="K448" s="12">
        <f>IF([3]关卡对接!F436="",INT(INDEX(人物经验!$J$24:$J$573,关卡!J448)*关卡!$S$7),[3]关卡对接!F436)</f>
        <v>3136</v>
      </c>
      <c r="L448" s="12">
        <f t="shared" si="65"/>
        <v>1.4</v>
      </c>
      <c r="M448" s="12">
        <f>L448/[4]货币基础!$B$4</f>
        <v>140</v>
      </c>
      <c r="N448" s="12">
        <f>IF(A448&lt;[3]关卡对接!$A$4,INDEX([3]关卡对接!$E$7:$E$141,A448),MATCH(E448,人物经验!$H$24:$H$573,1))</f>
        <v>292</v>
      </c>
      <c r="O448" s="12">
        <f>INDEX([2]关卡!$G$6:$G$2005,A448)</f>
        <v>3</v>
      </c>
      <c r="P448" s="13">
        <v>6</v>
      </c>
      <c r="Q448" s="12">
        <f>INT(P448/$S$15/O448*VLOOKUP(J448,[1]人物技能基础!$N$3:$O$553,2,0)*$U$15)</f>
        <v>9</v>
      </c>
      <c r="R448" s="12">
        <f t="shared" si="66"/>
        <v>112</v>
      </c>
    </row>
    <row r="449" spans="1:18" x14ac:dyDescent="0.15">
      <c r="A449" s="12">
        <v>431</v>
      </c>
      <c r="B449" s="12">
        <f t="shared" si="60"/>
        <v>3</v>
      </c>
      <c r="C449" s="12">
        <f t="shared" si="61"/>
        <v>0.42570750000000002</v>
      </c>
      <c r="D449" s="12">
        <f t="shared" si="62"/>
        <v>1.3957499999999956E-2</v>
      </c>
      <c r="E449" s="12">
        <f>SUM($D$19:D449)</f>
        <v>3.6257075000000021</v>
      </c>
      <c r="F449" s="12">
        <f t="shared" si="58"/>
        <v>35.700934193704938</v>
      </c>
      <c r="G449" s="12">
        <f t="shared" si="59"/>
        <v>35.222104779155934</v>
      </c>
      <c r="H449" s="12">
        <f t="shared" si="63"/>
        <v>128500</v>
      </c>
      <c r="I449" s="12">
        <f t="shared" si="64"/>
        <v>126700</v>
      </c>
      <c r="J449" s="12">
        <f>IF(A449&lt;[3]关卡对接!$A$4,INDEX([3]关卡对接!$C$7:$C$141,A449),MATCH(E449,人物经验!$H$24:$H$573,1))</f>
        <v>292</v>
      </c>
      <c r="K449" s="12">
        <f>IF([3]关卡对接!F437="",INT(INDEX(人物经验!$J$24:$J$573,关卡!J449)*关卡!$S$7),[3]关卡对接!F437)</f>
        <v>3136</v>
      </c>
      <c r="L449" s="12">
        <f t="shared" si="65"/>
        <v>1.4</v>
      </c>
      <c r="M449" s="12">
        <f>L449/[4]货币基础!$B$4</f>
        <v>140</v>
      </c>
      <c r="N449" s="12">
        <f>IF(A449&lt;[3]关卡对接!$A$4,INDEX([3]关卡对接!$E$7:$E$141,A449),MATCH(E449,人物经验!$H$24:$H$573,1))</f>
        <v>292</v>
      </c>
      <c r="O449" s="12">
        <f>INDEX([2]关卡!$G$6:$G$2005,A449)</f>
        <v>3</v>
      </c>
      <c r="P449" s="13">
        <v>6</v>
      </c>
      <c r="Q449" s="12">
        <f>INT(P449/$S$15/O449*VLOOKUP(J449,[1]人物技能基础!$N$3:$O$553,2,0)*$U$15)</f>
        <v>9</v>
      </c>
      <c r="R449" s="12">
        <f t="shared" si="66"/>
        <v>112</v>
      </c>
    </row>
    <row r="450" spans="1:18" x14ac:dyDescent="0.15">
      <c r="A450" s="12">
        <v>432</v>
      </c>
      <c r="B450" s="12">
        <f t="shared" si="60"/>
        <v>3</v>
      </c>
      <c r="C450" s="12">
        <f t="shared" si="61"/>
        <v>0.43968000000000007</v>
      </c>
      <c r="D450" s="12">
        <f t="shared" si="62"/>
        <v>1.3972500000000054E-2</v>
      </c>
      <c r="E450" s="12">
        <f>SUM($D$19:D450)</f>
        <v>3.639680000000002</v>
      </c>
      <c r="F450" s="12">
        <f t="shared" si="58"/>
        <v>35.823044952063995</v>
      </c>
      <c r="G450" s="12">
        <f t="shared" si="59"/>
        <v>35.316848721920003</v>
      </c>
      <c r="H450" s="12">
        <f t="shared" si="63"/>
        <v>128900</v>
      </c>
      <c r="I450" s="12">
        <f t="shared" si="64"/>
        <v>127100</v>
      </c>
      <c r="J450" s="12">
        <f>IF(A450&lt;[3]关卡对接!$A$4,INDEX([3]关卡对接!$C$7:$C$141,A450),MATCH(E450,人物经验!$H$24:$H$573,1))</f>
        <v>293</v>
      </c>
      <c r="K450" s="12">
        <f>IF([3]关卡对接!F438="",INT(INDEX(人物经验!$J$24:$J$573,关卡!J450)*关卡!$S$7),[3]关卡对接!F438)</f>
        <v>3213</v>
      </c>
      <c r="L450" s="12">
        <f t="shared" si="65"/>
        <v>1.4</v>
      </c>
      <c r="M450" s="12">
        <f>L450/[4]货币基础!$B$4</f>
        <v>140</v>
      </c>
      <c r="N450" s="12">
        <f>IF(A450&lt;[3]关卡对接!$A$4,INDEX([3]关卡对接!$E$7:$E$141,A450),MATCH(E450,人物经验!$H$24:$H$573,1))</f>
        <v>293</v>
      </c>
      <c r="O450" s="12">
        <f>INDEX([2]关卡!$G$6:$G$2005,A450)</f>
        <v>3</v>
      </c>
      <c r="P450" s="13">
        <v>6</v>
      </c>
      <c r="Q450" s="12">
        <f>INT(P450/$S$15/O450*VLOOKUP(J450,[1]人物技能基础!$N$3:$O$553,2,0)*$U$15)</f>
        <v>9</v>
      </c>
      <c r="R450" s="12">
        <f t="shared" si="66"/>
        <v>112</v>
      </c>
    </row>
    <row r="451" spans="1:18" x14ac:dyDescent="0.15">
      <c r="A451" s="12">
        <v>433</v>
      </c>
      <c r="B451" s="12">
        <f t="shared" si="60"/>
        <v>3</v>
      </c>
      <c r="C451" s="12">
        <f t="shared" si="61"/>
        <v>0.4536675</v>
      </c>
      <c r="D451" s="12">
        <f t="shared" si="62"/>
        <v>1.3987499999999931E-2</v>
      </c>
      <c r="E451" s="12">
        <f>SUM($D$19:D451)</f>
        <v>3.6536675000000018</v>
      </c>
      <c r="F451" s="12">
        <f t="shared" si="58"/>
        <v>35.945408757704939</v>
      </c>
      <c r="G451" s="12">
        <f t="shared" si="59"/>
        <v>35.411729561655939</v>
      </c>
      <c r="H451" s="12">
        <f t="shared" si="63"/>
        <v>129400</v>
      </c>
      <c r="I451" s="12">
        <f t="shared" si="64"/>
        <v>127400</v>
      </c>
      <c r="J451" s="12">
        <f>IF(A451&lt;[3]关卡对接!$A$4,INDEX([3]关卡对接!$C$7:$C$141,A451),MATCH(E451,人物经验!$H$24:$H$573,1))</f>
        <v>293</v>
      </c>
      <c r="K451" s="12">
        <f>IF([3]关卡对接!F439="",INT(INDEX(人物经验!$J$24:$J$573,关卡!J451)*关卡!$S$7),[3]关卡对接!F439)</f>
        <v>3213</v>
      </c>
      <c r="L451" s="12">
        <f t="shared" si="65"/>
        <v>1.4</v>
      </c>
      <c r="M451" s="12">
        <f>L451/[4]货币基础!$B$4</f>
        <v>140</v>
      </c>
      <c r="N451" s="12">
        <f>IF(A451&lt;[3]关卡对接!$A$4,INDEX([3]关卡对接!$E$7:$E$141,A451),MATCH(E451,人物经验!$H$24:$H$573,1))</f>
        <v>293</v>
      </c>
      <c r="O451" s="12">
        <f>INDEX([2]关卡!$G$6:$G$2005,A451)</f>
        <v>3</v>
      </c>
      <c r="P451" s="13">
        <v>6</v>
      </c>
      <c r="Q451" s="12">
        <f>INT(P451/$S$15/O451*VLOOKUP(J451,[1]人物技能基础!$N$3:$O$553,2,0)*$U$15)</f>
        <v>9</v>
      </c>
      <c r="R451" s="12">
        <f t="shared" si="66"/>
        <v>112</v>
      </c>
    </row>
    <row r="452" spans="1:18" x14ac:dyDescent="0.15">
      <c r="A452" s="12">
        <v>434</v>
      </c>
      <c r="B452" s="12">
        <f t="shared" si="60"/>
        <v>3</v>
      </c>
      <c r="C452" s="12">
        <f t="shared" si="61"/>
        <v>0.46767000000000009</v>
      </c>
      <c r="D452" s="12">
        <f t="shared" si="62"/>
        <v>1.4002500000000084E-2</v>
      </c>
      <c r="E452" s="12">
        <f>SUM($D$19:D452)</f>
        <v>3.667670000000002</v>
      </c>
      <c r="F452" s="12">
        <f t="shared" si="58"/>
        <v>36.068026094479002</v>
      </c>
      <c r="G452" s="12">
        <f t="shared" si="59"/>
        <v>35.506747472494993</v>
      </c>
      <c r="H452" s="12">
        <f t="shared" si="63"/>
        <v>129800</v>
      </c>
      <c r="I452" s="12">
        <f t="shared" si="64"/>
        <v>127800</v>
      </c>
      <c r="J452" s="12">
        <f>IF(A452&lt;[3]关卡对接!$A$4,INDEX([3]关卡对接!$C$7:$C$141,A452),MATCH(E452,人物经验!$H$24:$H$573,1))</f>
        <v>293</v>
      </c>
      <c r="K452" s="12">
        <f>IF([3]关卡对接!F440="",INT(INDEX(人物经验!$J$24:$J$573,关卡!J452)*关卡!$S$7),[3]关卡对接!F440)</f>
        <v>3213</v>
      </c>
      <c r="L452" s="12">
        <f t="shared" si="65"/>
        <v>1.4</v>
      </c>
      <c r="M452" s="12">
        <f>L452/[4]货币基础!$B$4</f>
        <v>140</v>
      </c>
      <c r="N452" s="12">
        <f>IF(A452&lt;[3]关卡对接!$A$4,INDEX([3]关卡对接!$E$7:$E$141,A452),MATCH(E452,人物经验!$H$24:$H$573,1))</f>
        <v>293</v>
      </c>
      <c r="O452" s="12">
        <f>INDEX([2]关卡!$G$6:$G$2005,A452)</f>
        <v>3</v>
      </c>
      <c r="P452" s="13">
        <v>6</v>
      </c>
      <c r="Q452" s="12">
        <f>INT(P452/$S$15/O452*VLOOKUP(J452,[1]人物技能基础!$N$3:$O$553,2,0)*$U$15)</f>
        <v>9</v>
      </c>
      <c r="R452" s="12">
        <f t="shared" si="66"/>
        <v>112</v>
      </c>
    </row>
    <row r="453" spans="1:18" x14ac:dyDescent="0.15">
      <c r="A453" s="12">
        <v>435</v>
      </c>
      <c r="B453" s="12">
        <f t="shared" si="60"/>
        <v>3</v>
      </c>
      <c r="C453" s="12">
        <f t="shared" si="61"/>
        <v>0.48168749999999999</v>
      </c>
      <c r="D453" s="12">
        <f t="shared" si="62"/>
        <v>1.4017499999999905E-2</v>
      </c>
      <c r="E453" s="12">
        <f>SUM($D$19:D453)</f>
        <v>3.681687500000002</v>
      </c>
      <c r="F453" s="12">
        <f t="shared" si="58"/>
        <v>36.19089744683594</v>
      </c>
      <c r="G453" s="12">
        <f t="shared" si="59"/>
        <v>35.601902628710953</v>
      </c>
      <c r="H453" s="12">
        <f t="shared" si="63"/>
        <v>130200</v>
      </c>
      <c r="I453" s="12">
        <f t="shared" si="64"/>
        <v>128100</v>
      </c>
      <c r="J453" s="12">
        <f>IF(A453&lt;[3]关卡对接!$A$4,INDEX([3]关卡对接!$C$7:$C$141,A453),MATCH(E453,人物经验!$H$24:$H$573,1))</f>
        <v>293</v>
      </c>
      <c r="K453" s="12">
        <f>IF([3]关卡对接!F441="",INT(INDEX(人物经验!$J$24:$J$573,关卡!J453)*关卡!$S$7),[3]关卡对接!F441)</f>
        <v>3213</v>
      </c>
      <c r="L453" s="12">
        <f t="shared" si="65"/>
        <v>1.4</v>
      </c>
      <c r="M453" s="12">
        <f>L453/[4]货币基础!$B$4</f>
        <v>140</v>
      </c>
      <c r="N453" s="12">
        <f>IF(A453&lt;[3]关卡对接!$A$4,INDEX([3]关卡对接!$E$7:$E$141,A453),MATCH(E453,人物经验!$H$24:$H$573,1))</f>
        <v>293</v>
      </c>
      <c r="O453" s="12">
        <f>INDEX([2]关卡!$G$6:$G$2005,A453)</f>
        <v>3</v>
      </c>
      <c r="P453" s="13">
        <v>6</v>
      </c>
      <c r="Q453" s="12">
        <f>INT(P453/$S$15/O453*VLOOKUP(J453,[1]人物技能基础!$N$3:$O$553,2,0)*$U$15)</f>
        <v>9</v>
      </c>
      <c r="R453" s="12">
        <f t="shared" si="66"/>
        <v>112</v>
      </c>
    </row>
    <row r="454" spans="1:18" x14ac:dyDescent="0.15">
      <c r="A454" s="12">
        <v>436</v>
      </c>
      <c r="B454" s="12">
        <f t="shared" si="60"/>
        <v>3</v>
      </c>
      <c r="C454" s="12">
        <f t="shared" si="61"/>
        <v>0.49571999999999999</v>
      </c>
      <c r="D454" s="12">
        <f t="shared" si="62"/>
        <v>1.4032500000000003E-2</v>
      </c>
      <c r="E454" s="12">
        <f>SUM($D$19:D454)</f>
        <v>3.6957200000000019</v>
      </c>
      <c r="F454" s="12">
        <f t="shared" si="58"/>
        <v>36.314023299824001</v>
      </c>
      <c r="G454" s="12">
        <f t="shared" si="59"/>
        <v>35.697195204720003</v>
      </c>
      <c r="H454" s="12">
        <f t="shared" si="63"/>
        <v>130700</v>
      </c>
      <c r="I454" s="12">
        <f t="shared" si="64"/>
        <v>128500</v>
      </c>
      <c r="J454" s="12">
        <f>IF(A454&lt;[3]关卡对接!$A$4,INDEX([3]关卡对接!$C$7:$C$141,A454),MATCH(E454,人物经验!$H$24:$H$573,1))</f>
        <v>293</v>
      </c>
      <c r="K454" s="12">
        <f>IF([3]关卡对接!F442="",INT(INDEX(人物经验!$J$24:$J$573,关卡!J454)*关卡!$S$7),[3]关卡对接!F442)</f>
        <v>3213</v>
      </c>
      <c r="L454" s="12">
        <f t="shared" si="65"/>
        <v>1.4</v>
      </c>
      <c r="M454" s="12">
        <f>L454/[4]货币基础!$B$4</f>
        <v>140</v>
      </c>
      <c r="N454" s="12">
        <f>IF(A454&lt;[3]关卡对接!$A$4,INDEX([3]关卡对接!$E$7:$E$141,A454),MATCH(E454,人物经验!$H$24:$H$573,1))</f>
        <v>293</v>
      </c>
      <c r="O454" s="12">
        <f>INDEX([2]关卡!$G$6:$G$2005,A454)</f>
        <v>3</v>
      </c>
      <c r="P454" s="13">
        <v>6</v>
      </c>
      <c r="Q454" s="12">
        <f>INT(P454/$S$15/O454*VLOOKUP(J454,[1]人物技能基础!$N$3:$O$553,2,0)*$U$15)</f>
        <v>9</v>
      </c>
      <c r="R454" s="12">
        <f t="shared" si="66"/>
        <v>112</v>
      </c>
    </row>
    <row r="455" spans="1:18" x14ac:dyDescent="0.15">
      <c r="A455" s="12">
        <v>437</v>
      </c>
      <c r="B455" s="12">
        <f t="shared" si="60"/>
        <v>3</v>
      </c>
      <c r="C455" s="12">
        <f t="shared" si="61"/>
        <v>0.50976750000000004</v>
      </c>
      <c r="D455" s="12">
        <f t="shared" si="62"/>
        <v>1.4047500000000046E-2</v>
      </c>
      <c r="E455" s="12">
        <f>SUM($D$19:D455)</f>
        <v>3.7097675000000021</v>
      </c>
      <c r="F455" s="12">
        <f t="shared" si="58"/>
        <v>36.437404139089935</v>
      </c>
      <c r="G455" s="12">
        <f t="shared" si="59"/>
        <v>35.792625375080938</v>
      </c>
      <c r="H455" s="12">
        <f t="shared" si="63"/>
        <v>131100</v>
      </c>
      <c r="I455" s="12">
        <f t="shared" si="64"/>
        <v>128800</v>
      </c>
      <c r="J455" s="12">
        <f>IF(A455&lt;[3]关卡对接!$A$4,INDEX([3]关卡对接!$C$7:$C$141,A455),MATCH(E455,人物经验!$H$24:$H$573,1))</f>
        <v>293</v>
      </c>
      <c r="K455" s="12">
        <f>IF([3]关卡对接!F443="",INT(INDEX(人物经验!$J$24:$J$573,关卡!J455)*关卡!$S$7),[3]关卡对接!F443)</f>
        <v>3213</v>
      </c>
      <c r="L455" s="12">
        <f t="shared" si="65"/>
        <v>1.4</v>
      </c>
      <c r="M455" s="12">
        <f>L455/[4]货币基础!$B$4</f>
        <v>140</v>
      </c>
      <c r="N455" s="12">
        <f>IF(A455&lt;[3]关卡对接!$A$4,INDEX([3]关卡对接!$E$7:$E$141,A455),MATCH(E455,人物经验!$H$24:$H$573,1))</f>
        <v>293</v>
      </c>
      <c r="O455" s="12">
        <f>INDEX([2]关卡!$G$6:$G$2005,A455)</f>
        <v>3</v>
      </c>
      <c r="P455" s="13">
        <v>6</v>
      </c>
      <c r="Q455" s="12">
        <f>INT(P455/$S$15/O455*VLOOKUP(J455,[1]人物技能基础!$N$3:$O$553,2,0)*$U$15)</f>
        <v>9</v>
      </c>
      <c r="R455" s="12">
        <f t="shared" si="66"/>
        <v>112</v>
      </c>
    </row>
    <row r="456" spans="1:18" x14ac:dyDescent="0.15">
      <c r="A456" s="12">
        <v>438</v>
      </c>
      <c r="B456" s="12">
        <f t="shared" si="60"/>
        <v>3</v>
      </c>
      <c r="C456" s="12">
        <f t="shared" si="61"/>
        <v>0.52383000000000002</v>
      </c>
      <c r="D456" s="12">
        <f t="shared" si="62"/>
        <v>1.4062499999999978E-2</v>
      </c>
      <c r="E456" s="12">
        <f>SUM($D$19:D456)</f>
        <v>3.7238300000000022</v>
      </c>
      <c r="F456" s="12">
        <f t="shared" si="58"/>
        <v>36.561040450879005</v>
      </c>
      <c r="G456" s="12">
        <f t="shared" si="59"/>
        <v>35.888193314495005</v>
      </c>
      <c r="H456" s="12">
        <f t="shared" si="63"/>
        <v>131600</v>
      </c>
      <c r="I456" s="12">
        <f t="shared" si="64"/>
        <v>129100</v>
      </c>
      <c r="J456" s="12">
        <f>IF(A456&lt;[3]关卡对接!$A$4,INDEX([3]关卡对接!$C$7:$C$141,A456),MATCH(E456,人物经验!$H$24:$H$573,1))</f>
        <v>293</v>
      </c>
      <c r="K456" s="12">
        <f>IF([3]关卡对接!F444="",INT(INDEX(人物经验!$J$24:$J$573,关卡!J456)*关卡!$S$7),[3]关卡对接!F444)</f>
        <v>3213</v>
      </c>
      <c r="L456" s="12">
        <f t="shared" si="65"/>
        <v>1.4</v>
      </c>
      <c r="M456" s="12">
        <f>L456/[4]货币基础!$B$4</f>
        <v>140</v>
      </c>
      <c r="N456" s="12">
        <f>IF(A456&lt;[3]关卡对接!$A$4,INDEX([3]关卡对接!$E$7:$E$141,A456),MATCH(E456,人物经验!$H$24:$H$573,1))</f>
        <v>293</v>
      </c>
      <c r="O456" s="12">
        <f>INDEX([2]关卡!$G$6:$G$2005,A456)</f>
        <v>3</v>
      </c>
      <c r="P456" s="13">
        <v>6</v>
      </c>
      <c r="Q456" s="12">
        <f>INT(P456/$S$15/O456*VLOOKUP(J456,[1]人物技能基础!$N$3:$O$553,2,0)*$U$15)</f>
        <v>9</v>
      </c>
      <c r="R456" s="12">
        <f t="shared" si="66"/>
        <v>112</v>
      </c>
    </row>
    <row r="457" spans="1:18" x14ac:dyDescent="0.15">
      <c r="A457" s="12">
        <v>439</v>
      </c>
      <c r="B457" s="12">
        <f t="shared" si="60"/>
        <v>3</v>
      </c>
      <c r="C457" s="12">
        <f t="shared" si="61"/>
        <v>0.53790750000000009</v>
      </c>
      <c r="D457" s="12">
        <f t="shared" si="62"/>
        <v>1.4077500000000076E-2</v>
      </c>
      <c r="E457" s="12">
        <f>SUM($D$19:D457)</f>
        <v>3.7379075000000022</v>
      </c>
      <c r="F457" s="12">
        <f t="shared" si="58"/>
        <v>36.684932722034944</v>
      </c>
      <c r="G457" s="12">
        <f t="shared" si="59"/>
        <v>35.98389919780594</v>
      </c>
      <c r="H457" s="12">
        <f t="shared" si="63"/>
        <v>132000</v>
      </c>
      <c r="I457" s="12">
        <f t="shared" si="64"/>
        <v>129500</v>
      </c>
      <c r="J457" s="12">
        <f>IF(A457&lt;[3]关卡对接!$A$4,INDEX([3]关卡对接!$C$7:$C$141,A457),MATCH(E457,人物经验!$H$24:$H$573,1))</f>
        <v>294</v>
      </c>
      <c r="K457" s="12">
        <f>IF([3]关卡对接!F445="",INT(INDEX(人物经验!$J$24:$J$573,关卡!J457)*关卡!$S$7),[3]关卡对接!F445)</f>
        <v>3290</v>
      </c>
      <c r="L457" s="12">
        <f t="shared" si="65"/>
        <v>1.4</v>
      </c>
      <c r="M457" s="12">
        <f>L457/[4]货币基础!$B$4</f>
        <v>140</v>
      </c>
      <c r="N457" s="12">
        <f>IF(A457&lt;[3]关卡对接!$A$4,INDEX([3]关卡对接!$E$7:$E$141,A457),MATCH(E457,人物经验!$H$24:$H$573,1))</f>
        <v>294</v>
      </c>
      <c r="O457" s="12">
        <f>INDEX([2]关卡!$G$6:$G$2005,A457)</f>
        <v>3</v>
      </c>
      <c r="P457" s="13">
        <v>6</v>
      </c>
      <c r="Q457" s="12">
        <f>INT(P457/$S$15/O457*VLOOKUP(J457,[1]人物技能基础!$N$3:$O$553,2,0)*$U$15)</f>
        <v>9</v>
      </c>
      <c r="R457" s="12">
        <f t="shared" si="66"/>
        <v>112</v>
      </c>
    </row>
    <row r="458" spans="1:18" x14ac:dyDescent="0.15">
      <c r="A458" s="12">
        <v>440</v>
      </c>
      <c r="B458" s="12">
        <f t="shared" si="60"/>
        <v>3</v>
      </c>
      <c r="C458" s="12">
        <f t="shared" si="61"/>
        <v>0.55200000000000005</v>
      </c>
      <c r="D458" s="12">
        <f t="shared" si="62"/>
        <v>1.4092499999999952E-2</v>
      </c>
      <c r="E458" s="12">
        <f>SUM($D$19:D458)</f>
        <v>3.752000000000002</v>
      </c>
      <c r="F458" s="12">
        <f t="shared" si="58"/>
        <v>36.80908144</v>
      </c>
      <c r="G458" s="12">
        <f t="shared" si="59"/>
        <v>36.079743200000003</v>
      </c>
      <c r="H458" s="12">
        <f t="shared" si="63"/>
        <v>132500</v>
      </c>
      <c r="I458" s="12">
        <f t="shared" si="64"/>
        <v>129800</v>
      </c>
      <c r="J458" s="12">
        <f>IF(A458&lt;[3]关卡对接!$A$4,INDEX([3]关卡对接!$C$7:$C$141,A458),MATCH(E458,人物经验!$H$24:$H$573,1))</f>
        <v>294</v>
      </c>
      <c r="K458" s="12">
        <f>IF([3]关卡对接!F446="",INT(INDEX(人物经验!$J$24:$J$573,关卡!J458)*关卡!$S$7),[3]关卡对接!F446)</f>
        <v>3290</v>
      </c>
      <c r="L458" s="12">
        <f t="shared" si="65"/>
        <v>1.4</v>
      </c>
      <c r="M458" s="12">
        <f>L458/[4]货币基础!$B$4</f>
        <v>140</v>
      </c>
      <c r="N458" s="12">
        <f>IF(A458&lt;[3]关卡对接!$A$4,INDEX([3]关卡对接!$E$7:$E$141,A458),MATCH(E458,人物经验!$H$24:$H$573,1))</f>
        <v>294</v>
      </c>
      <c r="O458" s="12">
        <f>INDEX([2]关卡!$G$6:$G$2005,A458)</f>
        <v>3</v>
      </c>
      <c r="P458" s="13">
        <v>6</v>
      </c>
      <c r="Q458" s="12">
        <f>INT(P458/$S$15/O458*VLOOKUP(J458,[1]人物技能基础!$N$3:$O$553,2,0)*$U$15)</f>
        <v>9</v>
      </c>
      <c r="R458" s="12">
        <f t="shared" si="66"/>
        <v>112</v>
      </c>
    </row>
    <row r="459" spans="1:18" x14ac:dyDescent="0.15">
      <c r="A459" s="12">
        <v>441</v>
      </c>
      <c r="B459" s="12">
        <f t="shared" si="60"/>
        <v>3</v>
      </c>
      <c r="C459" s="12">
        <f t="shared" si="61"/>
        <v>0.56610749999999999</v>
      </c>
      <c r="D459" s="12">
        <f t="shared" si="62"/>
        <v>1.410749999999994E-2</v>
      </c>
      <c r="E459" s="12">
        <f>SUM($D$19:D459)</f>
        <v>3.7661075000000022</v>
      </c>
      <c r="F459" s="12">
        <f t="shared" si="58"/>
        <v>36.933487092814929</v>
      </c>
      <c r="G459" s="12">
        <f t="shared" si="59"/>
        <v>36.175725496205935</v>
      </c>
      <c r="H459" s="12">
        <f t="shared" si="63"/>
        <v>132900</v>
      </c>
      <c r="I459" s="12">
        <f t="shared" si="64"/>
        <v>130200</v>
      </c>
      <c r="J459" s="12">
        <f>IF(A459&lt;[3]关卡对接!$A$4,INDEX([3]关卡对接!$C$7:$C$141,A459),MATCH(E459,人物经验!$H$24:$H$573,1))</f>
        <v>294</v>
      </c>
      <c r="K459" s="12">
        <f>IF([3]关卡对接!F447="",INT(INDEX(人物经验!$J$24:$J$573,关卡!J459)*关卡!$S$7),[3]关卡对接!F447)</f>
        <v>3290</v>
      </c>
      <c r="L459" s="12">
        <f t="shared" si="65"/>
        <v>1.4</v>
      </c>
      <c r="M459" s="12">
        <f>L459/[4]货币基础!$B$4</f>
        <v>140</v>
      </c>
      <c r="N459" s="12">
        <f>IF(A459&lt;[3]关卡对接!$A$4,INDEX([3]关卡对接!$E$7:$E$141,A459),MATCH(E459,人物经验!$H$24:$H$573,1))</f>
        <v>294</v>
      </c>
      <c r="O459" s="12">
        <f>INDEX([2]关卡!$G$6:$G$2005,A459)</f>
        <v>3</v>
      </c>
      <c r="P459" s="13">
        <v>6</v>
      </c>
      <c r="Q459" s="12">
        <f>INT(P459/$S$15/O459*VLOOKUP(J459,[1]人物技能基础!$N$3:$O$553,2,0)*$U$15)</f>
        <v>9</v>
      </c>
      <c r="R459" s="12">
        <f t="shared" si="66"/>
        <v>112</v>
      </c>
    </row>
    <row r="460" spans="1:18" x14ac:dyDescent="0.15">
      <c r="A460" s="12">
        <v>442</v>
      </c>
      <c r="B460" s="12">
        <f t="shared" si="60"/>
        <v>3</v>
      </c>
      <c r="C460" s="12">
        <f t="shared" si="61"/>
        <v>0.58023000000000002</v>
      </c>
      <c r="D460" s="12">
        <f t="shared" si="62"/>
        <v>1.4122500000000038E-2</v>
      </c>
      <c r="E460" s="12">
        <f>SUM($D$19:D460)</f>
        <v>3.7802300000000022</v>
      </c>
      <c r="F460" s="12">
        <f t="shared" si="58"/>
        <v>37.058150169119003</v>
      </c>
      <c r="G460" s="12">
        <f t="shared" si="59"/>
        <v>36.271846261695003</v>
      </c>
      <c r="H460" s="12">
        <f t="shared" si="63"/>
        <v>133400</v>
      </c>
      <c r="I460" s="12">
        <f t="shared" si="64"/>
        <v>130500</v>
      </c>
      <c r="J460" s="12">
        <f>IF(A460&lt;[3]关卡对接!$A$4,INDEX([3]关卡对接!$C$7:$C$141,A460),MATCH(E460,人物经验!$H$24:$H$573,1))</f>
        <v>294</v>
      </c>
      <c r="K460" s="12">
        <f>IF([3]关卡对接!F448="",INT(INDEX(人物经验!$J$24:$J$573,关卡!J460)*关卡!$S$7),[3]关卡对接!F448)</f>
        <v>3290</v>
      </c>
      <c r="L460" s="12">
        <f t="shared" si="65"/>
        <v>1.4</v>
      </c>
      <c r="M460" s="12">
        <f>L460/[4]货币基础!$B$4</f>
        <v>140</v>
      </c>
      <c r="N460" s="12">
        <f>IF(A460&lt;[3]关卡对接!$A$4,INDEX([3]关卡对接!$E$7:$E$141,A460),MATCH(E460,人物经验!$H$24:$H$573,1))</f>
        <v>294</v>
      </c>
      <c r="O460" s="12">
        <f>INDEX([2]关卡!$G$6:$G$2005,A460)</f>
        <v>3</v>
      </c>
      <c r="P460" s="13">
        <v>6</v>
      </c>
      <c r="Q460" s="12">
        <f>INT(P460/$S$15/O460*VLOOKUP(J460,[1]人物技能基础!$N$3:$O$553,2,0)*$U$15)</f>
        <v>9</v>
      </c>
      <c r="R460" s="12">
        <f t="shared" si="66"/>
        <v>112</v>
      </c>
    </row>
    <row r="461" spans="1:18" x14ac:dyDescent="0.15">
      <c r="A461" s="12">
        <v>443</v>
      </c>
      <c r="B461" s="12">
        <f t="shared" si="60"/>
        <v>3</v>
      </c>
      <c r="C461" s="12">
        <f t="shared" si="61"/>
        <v>0.59436750000000005</v>
      </c>
      <c r="D461" s="12">
        <f t="shared" si="62"/>
        <v>1.4137500000000025E-2</v>
      </c>
      <c r="E461" s="12">
        <f>SUM($D$19:D461)</f>
        <v>3.7943675000000021</v>
      </c>
      <c r="F461" s="12">
        <f t="shared" si="58"/>
        <v>37.183071158149943</v>
      </c>
      <c r="G461" s="12">
        <f t="shared" si="59"/>
        <v>36.36810567188094</v>
      </c>
      <c r="H461" s="12">
        <f t="shared" si="63"/>
        <v>133800</v>
      </c>
      <c r="I461" s="12">
        <f t="shared" si="64"/>
        <v>130900</v>
      </c>
      <c r="J461" s="12">
        <f>IF(A461&lt;[3]关卡对接!$A$4,INDEX([3]关卡对接!$C$7:$C$141,A461),MATCH(E461,人物经验!$H$24:$H$573,1))</f>
        <v>294</v>
      </c>
      <c r="K461" s="12">
        <f>IF([3]关卡对接!F449="",INT(INDEX(人物经验!$J$24:$J$573,关卡!J461)*关卡!$S$7),[3]关卡对接!F449)</f>
        <v>3290</v>
      </c>
      <c r="L461" s="12">
        <f t="shared" si="65"/>
        <v>1.4</v>
      </c>
      <c r="M461" s="12">
        <f>L461/[4]货币基础!$B$4</f>
        <v>140</v>
      </c>
      <c r="N461" s="12">
        <f>IF(A461&lt;[3]关卡对接!$A$4,INDEX([3]关卡对接!$E$7:$E$141,A461),MATCH(E461,人物经验!$H$24:$H$573,1))</f>
        <v>294</v>
      </c>
      <c r="O461" s="12">
        <f>INDEX([2]关卡!$G$6:$G$2005,A461)</f>
        <v>3</v>
      </c>
      <c r="P461" s="13">
        <v>6</v>
      </c>
      <c r="Q461" s="12">
        <f>INT(P461/$S$15/O461*VLOOKUP(J461,[1]人物技能基础!$N$3:$O$553,2,0)*$U$15)</f>
        <v>9</v>
      </c>
      <c r="R461" s="12">
        <f t="shared" si="66"/>
        <v>112</v>
      </c>
    </row>
    <row r="462" spans="1:18" x14ac:dyDescent="0.15">
      <c r="A462" s="12">
        <v>444</v>
      </c>
      <c r="B462" s="12">
        <f t="shared" si="60"/>
        <v>3</v>
      </c>
      <c r="C462" s="12">
        <f t="shared" si="61"/>
        <v>0.60852000000000006</v>
      </c>
      <c r="D462" s="12">
        <f t="shared" si="62"/>
        <v>1.4152500000000012E-2</v>
      </c>
      <c r="E462" s="12">
        <f>SUM($D$19:D462)</f>
        <v>3.8085200000000023</v>
      </c>
      <c r="F462" s="12">
        <f t="shared" si="58"/>
        <v>37.308250549744002</v>
      </c>
      <c r="G462" s="12">
        <f t="shared" si="59"/>
        <v>36.464503902319997</v>
      </c>
      <c r="H462" s="12">
        <f t="shared" si="63"/>
        <v>134300</v>
      </c>
      <c r="I462" s="12">
        <f t="shared" si="64"/>
        <v>131200</v>
      </c>
      <c r="J462" s="12">
        <f>IF(A462&lt;[3]关卡对接!$A$4,INDEX([3]关卡对接!$C$7:$C$141,A462),MATCH(E462,人物经验!$H$24:$H$573,1))</f>
        <v>294</v>
      </c>
      <c r="K462" s="12">
        <f>IF([3]关卡对接!F450="",INT(INDEX(人物经验!$J$24:$J$573,关卡!J462)*关卡!$S$7),[3]关卡对接!F450)</f>
        <v>3290</v>
      </c>
      <c r="L462" s="12">
        <f t="shared" si="65"/>
        <v>1.4</v>
      </c>
      <c r="M462" s="12">
        <f>L462/[4]货币基础!$B$4</f>
        <v>140</v>
      </c>
      <c r="N462" s="12">
        <f>IF(A462&lt;[3]关卡对接!$A$4,INDEX([3]关卡对接!$E$7:$E$141,A462),MATCH(E462,人物经验!$H$24:$H$573,1))</f>
        <v>294</v>
      </c>
      <c r="O462" s="12">
        <f>INDEX([2]关卡!$G$6:$G$2005,A462)</f>
        <v>3</v>
      </c>
      <c r="P462" s="13">
        <v>6</v>
      </c>
      <c r="Q462" s="12">
        <f>INT(P462/$S$15/O462*VLOOKUP(J462,[1]人物技能基础!$N$3:$O$553,2,0)*$U$15)</f>
        <v>9</v>
      </c>
      <c r="R462" s="12">
        <f t="shared" si="66"/>
        <v>112</v>
      </c>
    </row>
    <row r="463" spans="1:18" x14ac:dyDescent="0.15">
      <c r="A463" s="12">
        <v>445</v>
      </c>
      <c r="B463" s="12">
        <f t="shared" si="60"/>
        <v>3</v>
      </c>
      <c r="C463" s="12">
        <f t="shared" si="61"/>
        <v>0.62268750000000006</v>
      </c>
      <c r="D463" s="12">
        <f t="shared" si="62"/>
        <v>1.41675E-2</v>
      </c>
      <c r="E463" s="12">
        <f>SUM($D$19:D463)</f>
        <v>3.8226875000000025</v>
      </c>
      <c r="F463" s="12">
        <f t="shared" si="58"/>
        <v>37.433688834335946</v>
      </c>
      <c r="G463" s="12">
        <f t="shared" si="59"/>
        <v>36.56104112871094</v>
      </c>
      <c r="H463" s="12">
        <f t="shared" si="63"/>
        <v>134700</v>
      </c>
      <c r="I463" s="12">
        <f t="shared" si="64"/>
        <v>131600</v>
      </c>
      <c r="J463" s="12">
        <f>IF(A463&lt;[3]关卡对接!$A$4,INDEX([3]关卡对接!$C$7:$C$141,A463),MATCH(E463,人物经验!$H$24:$H$573,1))</f>
        <v>294</v>
      </c>
      <c r="K463" s="12">
        <f>IF([3]关卡对接!F451="",INT(INDEX(人物经验!$J$24:$J$573,关卡!J463)*关卡!$S$7),[3]关卡对接!F451)</f>
        <v>3290</v>
      </c>
      <c r="L463" s="12">
        <f t="shared" si="65"/>
        <v>1.4</v>
      </c>
      <c r="M463" s="12">
        <f>L463/[4]货币基础!$B$4</f>
        <v>140</v>
      </c>
      <c r="N463" s="12">
        <f>IF(A463&lt;[3]关卡对接!$A$4,INDEX([3]关卡对接!$E$7:$E$141,A463),MATCH(E463,人物经验!$H$24:$H$573,1))</f>
        <v>294</v>
      </c>
      <c r="O463" s="12">
        <f>INDEX([2]关卡!$G$6:$G$2005,A463)</f>
        <v>3</v>
      </c>
      <c r="P463" s="13">
        <v>6</v>
      </c>
      <c r="Q463" s="12">
        <f>INT(P463/$S$15/O463*VLOOKUP(J463,[1]人物技能基础!$N$3:$O$553,2,0)*$U$15)</f>
        <v>9</v>
      </c>
      <c r="R463" s="12">
        <f t="shared" si="66"/>
        <v>112</v>
      </c>
    </row>
    <row r="464" spans="1:18" x14ac:dyDescent="0.15">
      <c r="A464" s="12">
        <v>446</v>
      </c>
      <c r="B464" s="12">
        <f t="shared" si="60"/>
        <v>3</v>
      </c>
      <c r="C464" s="12">
        <f t="shared" si="61"/>
        <v>0.63687000000000005</v>
      </c>
      <c r="D464" s="12">
        <f t="shared" si="62"/>
        <v>1.4182499999999987E-2</v>
      </c>
      <c r="E464" s="12">
        <f>SUM($D$19:D464)</f>
        <v>3.8368700000000024</v>
      </c>
      <c r="F464" s="12">
        <f t="shared" si="58"/>
        <v>37.559386502959008</v>
      </c>
      <c r="G464" s="12">
        <f t="shared" si="59"/>
        <v>36.657717526895006</v>
      </c>
      <c r="H464" s="12">
        <f t="shared" si="63"/>
        <v>135200</v>
      </c>
      <c r="I464" s="12">
        <f t="shared" si="64"/>
        <v>131900</v>
      </c>
      <c r="J464" s="12">
        <f>IF(A464&lt;[3]关卡对接!$A$4,INDEX([3]关卡对接!$C$7:$C$141,A464),MATCH(E464,人物经验!$H$24:$H$573,1))</f>
        <v>295</v>
      </c>
      <c r="K464" s="12">
        <f>IF([3]关卡对接!F452="",INT(INDEX(人物经验!$J$24:$J$573,关卡!J464)*关卡!$S$7),[3]关卡对接!F452)</f>
        <v>3369</v>
      </c>
      <c r="L464" s="12">
        <f t="shared" si="65"/>
        <v>1.4</v>
      </c>
      <c r="M464" s="12">
        <f>L464/[4]货币基础!$B$4</f>
        <v>140</v>
      </c>
      <c r="N464" s="12">
        <f>IF(A464&lt;[3]关卡对接!$A$4,INDEX([3]关卡对接!$E$7:$E$141,A464),MATCH(E464,人物经验!$H$24:$H$573,1))</f>
        <v>295</v>
      </c>
      <c r="O464" s="12">
        <f>INDEX([2]关卡!$G$6:$G$2005,A464)</f>
        <v>3</v>
      </c>
      <c r="P464" s="13">
        <v>6</v>
      </c>
      <c r="Q464" s="12">
        <f>INT(P464/$S$15/O464*VLOOKUP(J464,[1]人物技能基础!$N$3:$O$553,2,0)*$U$15)</f>
        <v>9</v>
      </c>
      <c r="R464" s="12">
        <f t="shared" si="66"/>
        <v>112</v>
      </c>
    </row>
    <row r="465" spans="1:18" x14ac:dyDescent="0.15">
      <c r="A465" s="12">
        <v>447</v>
      </c>
      <c r="B465" s="12">
        <f t="shared" si="60"/>
        <v>3</v>
      </c>
      <c r="C465" s="12">
        <f t="shared" si="61"/>
        <v>0.65106750000000002</v>
      </c>
      <c r="D465" s="12">
        <f t="shared" si="62"/>
        <v>1.4197499999999974E-2</v>
      </c>
      <c r="E465" s="12">
        <f>SUM($D$19:D465)</f>
        <v>3.8510675000000023</v>
      </c>
      <c r="F465" s="12">
        <f t="shared" si="58"/>
        <v>37.685344047244946</v>
      </c>
      <c r="G465" s="12">
        <f t="shared" si="59"/>
        <v>36.754533272855937</v>
      </c>
      <c r="H465" s="12">
        <f t="shared" si="63"/>
        <v>135600</v>
      </c>
      <c r="I465" s="12">
        <f t="shared" si="64"/>
        <v>132300</v>
      </c>
      <c r="J465" s="12">
        <f>IF(A465&lt;[3]关卡对接!$A$4,INDEX([3]关卡对接!$C$7:$C$141,A465),MATCH(E465,人物经验!$H$24:$H$573,1))</f>
        <v>295</v>
      </c>
      <c r="K465" s="12">
        <f>IF([3]关卡对接!F453="",INT(INDEX(人物经验!$J$24:$J$573,关卡!J465)*关卡!$S$7),[3]关卡对接!F453)</f>
        <v>3369</v>
      </c>
      <c r="L465" s="12">
        <f t="shared" si="65"/>
        <v>1.4</v>
      </c>
      <c r="M465" s="12">
        <f>L465/[4]货币基础!$B$4</f>
        <v>140</v>
      </c>
      <c r="N465" s="12">
        <f>IF(A465&lt;[3]关卡对接!$A$4,INDEX([3]关卡对接!$E$7:$E$141,A465),MATCH(E465,人物经验!$H$24:$H$573,1))</f>
        <v>295</v>
      </c>
      <c r="O465" s="12">
        <f>INDEX([2]关卡!$G$6:$G$2005,A465)</f>
        <v>3</v>
      </c>
      <c r="P465" s="13">
        <v>6</v>
      </c>
      <c r="Q465" s="12">
        <f>INT(P465/$S$15/O465*VLOOKUP(J465,[1]人物技能基础!$N$3:$O$553,2,0)*$U$15)</f>
        <v>9</v>
      </c>
      <c r="R465" s="12">
        <f t="shared" si="66"/>
        <v>112</v>
      </c>
    </row>
    <row r="466" spans="1:18" x14ac:dyDescent="0.15">
      <c r="A466" s="12">
        <v>448</v>
      </c>
      <c r="B466" s="12">
        <f t="shared" si="60"/>
        <v>3</v>
      </c>
      <c r="C466" s="12">
        <f t="shared" si="61"/>
        <v>0.66527999999999998</v>
      </c>
      <c r="D466" s="12">
        <f t="shared" si="62"/>
        <v>1.4212499999999961E-2</v>
      </c>
      <c r="E466" s="12">
        <f>SUM($D$19:D466)</f>
        <v>3.865280000000002</v>
      </c>
      <c r="F466" s="12">
        <f t="shared" si="58"/>
        <v>37.811561959424004</v>
      </c>
      <c r="G466" s="12">
        <f t="shared" si="59"/>
        <v>36.851488542720006</v>
      </c>
      <c r="H466" s="12">
        <f t="shared" si="63"/>
        <v>136100</v>
      </c>
      <c r="I466" s="12">
        <f t="shared" si="64"/>
        <v>132600</v>
      </c>
      <c r="J466" s="12">
        <f>IF(A466&lt;[3]关卡对接!$A$4,INDEX([3]关卡对接!$C$7:$C$141,A466),MATCH(E466,人物经验!$H$24:$H$573,1))</f>
        <v>295</v>
      </c>
      <c r="K466" s="12">
        <f>IF([3]关卡对接!F454="",INT(INDEX(人物经验!$J$24:$J$573,关卡!J466)*关卡!$S$7),[3]关卡对接!F454)</f>
        <v>3369</v>
      </c>
      <c r="L466" s="12">
        <f t="shared" si="65"/>
        <v>1.4</v>
      </c>
      <c r="M466" s="12">
        <f>L466/[4]货币基础!$B$4</f>
        <v>140</v>
      </c>
      <c r="N466" s="12">
        <f>IF(A466&lt;[3]关卡对接!$A$4,INDEX([3]关卡对接!$E$7:$E$141,A466),MATCH(E466,人物经验!$H$24:$H$573,1))</f>
        <v>295</v>
      </c>
      <c r="O466" s="12">
        <f>INDEX([2]关卡!$G$6:$G$2005,A466)</f>
        <v>3</v>
      </c>
      <c r="P466" s="13">
        <v>6</v>
      </c>
      <c r="Q466" s="12">
        <f>INT(P466/$S$15/O466*VLOOKUP(J466,[1]人物技能基础!$N$3:$O$553,2,0)*$U$15)</f>
        <v>9</v>
      </c>
      <c r="R466" s="12">
        <f t="shared" si="66"/>
        <v>112</v>
      </c>
    </row>
    <row r="467" spans="1:18" x14ac:dyDescent="0.15">
      <c r="A467" s="12">
        <v>449</v>
      </c>
      <c r="B467" s="12">
        <f t="shared" si="60"/>
        <v>3</v>
      </c>
      <c r="C467" s="12">
        <f t="shared" si="61"/>
        <v>0.67950749999999993</v>
      </c>
      <c r="D467" s="12">
        <f t="shared" si="62"/>
        <v>1.4227499999999949E-2</v>
      </c>
      <c r="E467" s="12">
        <f>SUM($D$19:D467)</f>
        <v>3.8795075000000021</v>
      </c>
      <c r="F467" s="12">
        <f t="shared" ref="F467:F530" si="67">$L$7*($M$7+$N$7*($A467/$B$3)^1+$O$7*($A467/$B$3)^2+$P$7*($A467/$B$3)^3+$Q$7*($A467/$B$3)^4)</f>
        <v>37.938040732324943</v>
      </c>
      <c r="G467" s="12">
        <f t="shared" ref="G467:G530" si="68">$L$11*($M$11+$N$11*($A467/$B$3)^1+$O$11*($A467/$B$3)^2+$P$11*($A467/$B$3)^3+$Q$11*($A467/$B$3)^4)</f>
        <v>36.948583512755945</v>
      </c>
      <c r="H467" s="12">
        <f t="shared" si="63"/>
        <v>136500</v>
      </c>
      <c r="I467" s="12">
        <f t="shared" si="64"/>
        <v>133000</v>
      </c>
      <c r="J467" s="12">
        <f>IF(A467&lt;[3]关卡对接!$A$4,INDEX([3]关卡对接!$C$7:$C$141,A467),MATCH(E467,人物经验!$H$24:$H$573,1))</f>
        <v>295</v>
      </c>
      <c r="K467" s="12">
        <f>IF([3]关卡对接!F455="",INT(INDEX(人物经验!$J$24:$J$573,关卡!J467)*关卡!$S$7),[3]关卡对接!F455)</f>
        <v>3369</v>
      </c>
      <c r="L467" s="12">
        <f t="shared" si="65"/>
        <v>1.4</v>
      </c>
      <c r="M467" s="12">
        <f>L467/[4]货币基础!$B$4</f>
        <v>140</v>
      </c>
      <c r="N467" s="12">
        <f>IF(A467&lt;[3]关卡对接!$A$4,INDEX([3]关卡对接!$E$7:$E$141,A467),MATCH(E467,人物经验!$H$24:$H$573,1))</f>
        <v>295</v>
      </c>
      <c r="O467" s="12">
        <f>INDEX([2]关卡!$G$6:$G$2005,A467)</f>
        <v>3</v>
      </c>
      <c r="P467" s="13">
        <v>6</v>
      </c>
      <c r="Q467" s="12">
        <f>INT(P467/$S$15/O467*VLOOKUP(J467,[1]人物技能基础!$N$3:$O$553,2,0)*$U$15)</f>
        <v>9</v>
      </c>
      <c r="R467" s="12">
        <f t="shared" si="66"/>
        <v>112</v>
      </c>
    </row>
    <row r="468" spans="1:18" x14ac:dyDescent="0.15">
      <c r="A468" s="12">
        <v>450</v>
      </c>
      <c r="B468" s="12">
        <f t="shared" ref="B468:B531" si="69">MATCH($A468,$A$5:$A$15,1)-1</f>
        <v>3</v>
      </c>
      <c r="C468" s="12">
        <f t="shared" ref="C468:C531" si="70">INDEX($C$5:$C$15,$B468+1)*(INDEX($E$5:$E$15,$B468+1)+INDEX($F$5:$F$15,$B468+1)*(($A468-INDEX($A$5:$A$15,$B468+1)+1)/(INDEX($B$5:$B$15,$B468+1)-INDEX($A$5:$A$15,$B468+1)+1))^1+INDEX($G$5:$G$15,$B468+1)*(($A468-INDEX($A$5:$A$15,$B468+1)+1)/(INDEX($B$5:$B$15,$B468+1)-INDEX($A$5:$A$15,$B468+1)+1))^2+INDEX($H$5:$H$15,$B468+1)*(($A468-INDEX($A$5:$A$15,$B468+1)+1)/(INDEX($B$5:$B$15,$B468+1)-INDEX($A$5:$A$15,$B468+1)+1))^3+INDEX($I$5:$I$15,$B468+1)*(($A468-INDEX($A$5:$A$15,$B468+1)+1)/(INDEX($B$5:$B$15,$B468+1)-INDEX($A$5:$A$15,$B468+1)+1))^4)</f>
        <v>0.69375000000000009</v>
      </c>
      <c r="D468" s="12">
        <f t="shared" ref="D468:D531" si="71">IF(ISNA(MATCH(A468,$A$6:$A$15,0)),C468-C467,C468)</f>
        <v>1.4242500000000158E-2</v>
      </c>
      <c r="E468" s="12">
        <f>SUM($D$19:D468)</f>
        <v>3.8937500000000025</v>
      </c>
      <c r="F468" s="12">
        <f t="shared" si="67"/>
        <v>38.064780859374999</v>
      </c>
      <c r="G468" s="12">
        <f t="shared" si="68"/>
        <v>37.045818359375012</v>
      </c>
      <c r="H468" s="12">
        <f t="shared" ref="H468:H531" si="72">INT(F468*60*60/100)*100</f>
        <v>137000</v>
      </c>
      <c r="I468" s="12">
        <f t="shared" ref="I468:I531" si="73">INT(G468*60*60/100)*100</f>
        <v>133300</v>
      </c>
      <c r="J468" s="12">
        <f>IF(A468&lt;[3]关卡对接!$A$4,INDEX([3]关卡对接!$C$7:$C$141,A468),MATCH(E468,人物经验!$H$24:$H$573,1))</f>
        <v>295</v>
      </c>
      <c r="K468" s="12">
        <f>IF([3]关卡对接!F456="",INT(INDEX(人物经验!$J$24:$J$573,关卡!J468)*关卡!$S$7),[3]关卡对接!F456)</f>
        <v>3369</v>
      </c>
      <c r="L468" s="12">
        <f t="shared" ref="L468:L531" si="74">VLOOKUP(A468,$A$5:$J$15,10,1)</f>
        <v>1.4</v>
      </c>
      <c r="M468" s="12">
        <f>L468/[4]货币基础!$B$4</f>
        <v>140</v>
      </c>
      <c r="N468" s="12">
        <f>IF(A468&lt;[3]关卡对接!$A$4,INDEX([3]关卡对接!$E$7:$E$141,A468),MATCH(E468,人物经验!$H$24:$H$573,1))</f>
        <v>295</v>
      </c>
      <c r="O468" s="12">
        <f>INDEX([2]关卡!$G$6:$G$2005,A468)</f>
        <v>3</v>
      </c>
      <c r="P468" s="13">
        <v>6</v>
      </c>
      <c r="Q468" s="12">
        <f>INT(P468/$S$15/O468*VLOOKUP(J468,[1]人物技能基础!$N$3:$O$553,2,0)*$U$15)</f>
        <v>9</v>
      </c>
      <c r="R468" s="12">
        <f t="shared" ref="R468:R531" si="75">INT(Q468*12.5)</f>
        <v>112</v>
      </c>
    </row>
    <row r="469" spans="1:18" x14ac:dyDescent="0.15">
      <c r="A469" s="12">
        <v>451</v>
      </c>
      <c r="B469" s="12">
        <f t="shared" si="69"/>
        <v>3</v>
      </c>
      <c r="C469" s="12">
        <f t="shared" si="70"/>
        <v>0.70800750000000001</v>
      </c>
      <c r="D469" s="12">
        <f t="shared" si="71"/>
        <v>1.4257499999999923E-2</v>
      </c>
      <c r="E469" s="12">
        <f>SUM($D$19:D469)</f>
        <v>3.9080075000000023</v>
      </c>
      <c r="F469" s="12">
        <f t="shared" si="67"/>
        <v>38.191782834599941</v>
      </c>
      <c r="G469" s="12">
        <f t="shared" si="68"/>
        <v>37.143193259130939</v>
      </c>
      <c r="H469" s="12">
        <f t="shared" si="72"/>
        <v>137400</v>
      </c>
      <c r="I469" s="12">
        <f t="shared" si="73"/>
        <v>133700</v>
      </c>
      <c r="J469" s="12">
        <f>IF(A469&lt;[3]关卡对接!$A$4,INDEX([3]关卡对接!$C$7:$C$141,A469),MATCH(E469,人物经验!$H$24:$H$573,1))</f>
        <v>295</v>
      </c>
      <c r="K469" s="12">
        <f>IF([3]关卡对接!F457="",INT(INDEX(人物经验!$J$24:$J$573,关卡!J469)*关卡!$S$7),[3]关卡对接!F457)</f>
        <v>3369</v>
      </c>
      <c r="L469" s="12">
        <f t="shared" si="74"/>
        <v>1.4</v>
      </c>
      <c r="M469" s="12">
        <f>L469/[4]货币基础!$B$4</f>
        <v>140</v>
      </c>
      <c r="N469" s="12">
        <f>IF(A469&lt;[3]关卡对接!$A$4,INDEX([3]关卡对接!$E$7:$E$141,A469),MATCH(E469,人物经验!$H$24:$H$573,1))</f>
        <v>295</v>
      </c>
      <c r="O469" s="12">
        <f>INDEX([2]关卡!$G$6:$G$2005,A469)</f>
        <v>3</v>
      </c>
      <c r="P469" s="13">
        <v>6</v>
      </c>
      <c r="Q469" s="12">
        <f>INT(P469/$S$15/O469*VLOOKUP(J469,[1]人物技能基础!$N$3:$O$553,2,0)*$U$15)</f>
        <v>9</v>
      </c>
      <c r="R469" s="12">
        <f t="shared" si="75"/>
        <v>112</v>
      </c>
    </row>
    <row r="470" spans="1:18" x14ac:dyDescent="0.15">
      <c r="A470" s="12">
        <v>452</v>
      </c>
      <c r="B470" s="12">
        <f t="shared" si="69"/>
        <v>3</v>
      </c>
      <c r="C470" s="12">
        <f t="shared" si="70"/>
        <v>0.72228000000000003</v>
      </c>
      <c r="D470" s="12">
        <f t="shared" si="71"/>
        <v>1.4272500000000021E-2</v>
      </c>
      <c r="E470" s="12">
        <f>SUM($D$19:D470)</f>
        <v>3.9222800000000024</v>
      </c>
      <c r="F470" s="12">
        <f t="shared" si="67"/>
        <v>38.319047152624009</v>
      </c>
      <c r="G470" s="12">
        <f t="shared" si="68"/>
        <v>37.240708388720002</v>
      </c>
      <c r="H470" s="12">
        <f t="shared" si="72"/>
        <v>137900</v>
      </c>
      <c r="I470" s="12">
        <f t="shared" si="73"/>
        <v>134000</v>
      </c>
      <c r="J470" s="12">
        <f>IF(A470&lt;[3]关卡对接!$A$4,INDEX([3]关卡对接!$C$7:$C$141,A470),MATCH(E470,人物经验!$H$24:$H$573,1))</f>
        <v>295</v>
      </c>
      <c r="K470" s="12">
        <f>IF([3]关卡对接!F458="",INT(INDEX(人物经验!$J$24:$J$573,关卡!J470)*关卡!$S$7),[3]关卡对接!F458)</f>
        <v>3369</v>
      </c>
      <c r="L470" s="12">
        <f t="shared" si="74"/>
        <v>1.4</v>
      </c>
      <c r="M470" s="12">
        <f>L470/[4]货币基础!$B$4</f>
        <v>140</v>
      </c>
      <c r="N470" s="12">
        <f>IF(A470&lt;[3]关卡对接!$A$4,INDEX([3]关卡对接!$E$7:$E$141,A470),MATCH(E470,人物经验!$H$24:$H$573,1))</f>
        <v>295</v>
      </c>
      <c r="O470" s="12">
        <f>INDEX([2]关卡!$G$6:$G$2005,A470)</f>
        <v>3</v>
      </c>
      <c r="P470" s="13">
        <v>6</v>
      </c>
      <c r="Q470" s="12">
        <f>INT(P470/$S$15/O470*VLOOKUP(J470,[1]人物技能基础!$N$3:$O$553,2,0)*$U$15)</f>
        <v>9</v>
      </c>
      <c r="R470" s="12">
        <f t="shared" si="75"/>
        <v>112</v>
      </c>
    </row>
    <row r="471" spans="1:18" x14ac:dyDescent="0.15">
      <c r="A471" s="12">
        <v>453</v>
      </c>
      <c r="B471" s="12">
        <f t="shared" si="69"/>
        <v>3</v>
      </c>
      <c r="C471" s="12">
        <f t="shared" si="70"/>
        <v>0.73656750000000004</v>
      </c>
      <c r="D471" s="12">
        <f t="shared" si="71"/>
        <v>1.4287500000000009E-2</v>
      </c>
      <c r="E471" s="12">
        <f>SUM($D$19:D471)</f>
        <v>3.9365675000000024</v>
      </c>
      <c r="F471" s="12">
        <f t="shared" si="67"/>
        <v>38.446574308669945</v>
      </c>
      <c r="G471" s="12">
        <f t="shared" si="68"/>
        <v>37.338363924980939</v>
      </c>
      <c r="H471" s="12">
        <f t="shared" si="72"/>
        <v>138400</v>
      </c>
      <c r="I471" s="12">
        <f t="shared" si="73"/>
        <v>134400</v>
      </c>
      <c r="J471" s="12">
        <f>IF(A471&lt;[3]关卡对接!$A$4,INDEX([3]关卡对接!$C$7:$C$141,A471),MATCH(E471,人物经验!$H$24:$H$573,1))</f>
        <v>296</v>
      </c>
      <c r="K471" s="12">
        <f>IF([3]关卡对接!F459="",INT(INDEX(人物经验!$J$24:$J$573,关卡!J471)*关卡!$S$7),[3]关卡对接!F459)</f>
        <v>3448</v>
      </c>
      <c r="L471" s="12">
        <f t="shared" si="74"/>
        <v>1.4</v>
      </c>
      <c r="M471" s="12">
        <f>L471/[4]货币基础!$B$4</f>
        <v>140</v>
      </c>
      <c r="N471" s="12">
        <f>IF(A471&lt;[3]关卡对接!$A$4,INDEX([3]关卡对接!$E$7:$E$141,A471),MATCH(E471,人物经验!$H$24:$H$573,1))</f>
        <v>296</v>
      </c>
      <c r="O471" s="12">
        <f>INDEX([2]关卡!$G$6:$G$2005,A471)</f>
        <v>3</v>
      </c>
      <c r="P471" s="13">
        <v>6</v>
      </c>
      <c r="Q471" s="12">
        <f>INT(P471/$S$15/O471*VLOOKUP(J471,[1]人物技能基础!$N$3:$O$553,2,0)*$U$15)</f>
        <v>9</v>
      </c>
      <c r="R471" s="12">
        <f t="shared" si="75"/>
        <v>112</v>
      </c>
    </row>
    <row r="472" spans="1:18" x14ac:dyDescent="0.15">
      <c r="A472" s="12">
        <v>454</v>
      </c>
      <c r="B472" s="12">
        <f t="shared" si="69"/>
        <v>3</v>
      </c>
      <c r="C472" s="12">
        <f t="shared" si="70"/>
        <v>0.75087000000000004</v>
      </c>
      <c r="D472" s="12">
        <f t="shared" si="71"/>
        <v>1.4302499999999996E-2</v>
      </c>
      <c r="E472" s="12">
        <f>SUM($D$19:D472)</f>
        <v>3.9508700000000023</v>
      </c>
      <c r="F472" s="12">
        <f t="shared" si="67"/>
        <v>38.574364798559003</v>
      </c>
      <c r="G472" s="12">
        <f t="shared" si="68"/>
        <v>37.436160044895004</v>
      </c>
      <c r="H472" s="12">
        <f t="shared" si="72"/>
        <v>138800</v>
      </c>
      <c r="I472" s="12">
        <f t="shared" si="73"/>
        <v>134700</v>
      </c>
      <c r="J472" s="12">
        <f>IF(A472&lt;[3]关卡对接!$A$4,INDEX([3]关卡对接!$C$7:$C$141,A472),MATCH(E472,人物经验!$H$24:$H$573,1))</f>
        <v>296</v>
      </c>
      <c r="K472" s="12">
        <f>IF([3]关卡对接!F460="",INT(INDEX(人物经验!$J$24:$J$573,关卡!J472)*关卡!$S$7),[3]关卡对接!F460)</f>
        <v>3448</v>
      </c>
      <c r="L472" s="12">
        <f t="shared" si="74"/>
        <v>1.4</v>
      </c>
      <c r="M472" s="12">
        <f>L472/[4]货币基础!$B$4</f>
        <v>140</v>
      </c>
      <c r="N472" s="12">
        <f>IF(A472&lt;[3]关卡对接!$A$4,INDEX([3]关卡对接!$E$7:$E$141,A472),MATCH(E472,人物经验!$H$24:$H$573,1))</f>
        <v>296</v>
      </c>
      <c r="O472" s="12">
        <f>INDEX([2]关卡!$G$6:$G$2005,A472)</f>
        <v>3</v>
      </c>
      <c r="P472" s="13">
        <v>6</v>
      </c>
      <c r="Q472" s="12">
        <f>INT(P472/$S$15/O472*VLOOKUP(J472,[1]人物技能基础!$N$3:$O$553,2,0)*$U$15)</f>
        <v>9</v>
      </c>
      <c r="R472" s="12">
        <f t="shared" si="75"/>
        <v>112</v>
      </c>
    </row>
    <row r="473" spans="1:18" x14ac:dyDescent="0.15">
      <c r="A473" s="12">
        <v>455</v>
      </c>
      <c r="B473" s="12">
        <f t="shared" si="69"/>
        <v>3</v>
      </c>
      <c r="C473" s="12">
        <f t="shared" si="70"/>
        <v>0.76518750000000013</v>
      </c>
      <c r="D473" s="12">
        <f t="shared" si="71"/>
        <v>1.4317500000000094E-2</v>
      </c>
      <c r="E473" s="12">
        <f>SUM($D$19:D473)</f>
        <v>3.9651875000000025</v>
      </c>
      <c r="F473" s="12">
        <f t="shared" si="67"/>
        <v>38.702419118710942</v>
      </c>
      <c r="G473" s="12">
        <f t="shared" si="68"/>
        <v>37.534096925585935</v>
      </c>
      <c r="H473" s="12">
        <f t="shared" si="72"/>
        <v>139300</v>
      </c>
      <c r="I473" s="12">
        <f t="shared" si="73"/>
        <v>135100</v>
      </c>
      <c r="J473" s="12">
        <f>IF(A473&lt;[3]关卡对接!$A$4,INDEX([3]关卡对接!$C$7:$C$141,A473),MATCH(E473,人物经验!$H$24:$H$573,1))</f>
        <v>296</v>
      </c>
      <c r="K473" s="12">
        <f>IF([3]关卡对接!F461="",INT(INDEX(人物经验!$J$24:$J$573,关卡!J473)*关卡!$S$7),[3]关卡对接!F461)</f>
        <v>3448</v>
      </c>
      <c r="L473" s="12">
        <f t="shared" si="74"/>
        <v>1.4</v>
      </c>
      <c r="M473" s="12">
        <f>L473/[4]货币基础!$B$4</f>
        <v>140</v>
      </c>
      <c r="N473" s="12">
        <f>IF(A473&lt;[3]关卡对接!$A$4,INDEX([3]关卡对接!$E$7:$E$141,A473),MATCH(E473,人物经验!$H$24:$H$573,1))</f>
        <v>296</v>
      </c>
      <c r="O473" s="12">
        <f>INDEX([2]关卡!$G$6:$G$2005,A473)</f>
        <v>3</v>
      </c>
      <c r="P473" s="13">
        <v>6</v>
      </c>
      <c r="Q473" s="12">
        <f>INT(P473/$S$15/O473*VLOOKUP(J473,[1]人物技能基础!$N$3:$O$553,2,0)*$U$15)</f>
        <v>9</v>
      </c>
      <c r="R473" s="12">
        <f t="shared" si="75"/>
        <v>112</v>
      </c>
    </row>
    <row r="474" spans="1:18" x14ac:dyDescent="0.15">
      <c r="A474" s="12">
        <v>456</v>
      </c>
      <c r="B474" s="12">
        <f t="shared" si="69"/>
        <v>3</v>
      </c>
      <c r="C474" s="12">
        <f t="shared" si="70"/>
        <v>0.77952000000000021</v>
      </c>
      <c r="D474" s="12">
        <f t="shared" si="71"/>
        <v>1.4332500000000081E-2</v>
      </c>
      <c r="E474" s="12">
        <f>SUM($D$19:D474)</f>
        <v>3.9795200000000026</v>
      </c>
      <c r="F474" s="12">
        <f t="shared" si="67"/>
        <v>38.830737766143997</v>
      </c>
      <c r="G474" s="12">
        <f t="shared" si="68"/>
        <v>37.632174744319997</v>
      </c>
      <c r="H474" s="12">
        <f t="shared" si="72"/>
        <v>139700</v>
      </c>
      <c r="I474" s="12">
        <f t="shared" si="73"/>
        <v>135400</v>
      </c>
      <c r="J474" s="12">
        <f>IF(A474&lt;[3]关卡对接!$A$4,INDEX([3]关卡对接!$C$7:$C$141,A474),MATCH(E474,人物经验!$H$24:$H$573,1))</f>
        <v>296</v>
      </c>
      <c r="K474" s="12">
        <f>IF([3]关卡对接!F462="",INT(INDEX(人物经验!$J$24:$J$573,关卡!J474)*关卡!$S$7),[3]关卡对接!F462)</f>
        <v>3448</v>
      </c>
      <c r="L474" s="12">
        <f t="shared" si="74"/>
        <v>1.4</v>
      </c>
      <c r="M474" s="12">
        <f>L474/[4]货币基础!$B$4</f>
        <v>140</v>
      </c>
      <c r="N474" s="12">
        <f>IF(A474&lt;[3]关卡对接!$A$4,INDEX([3]关卡对接!$E$7:$E$141,A474),MATCH(E474,人物经验!$H$24:$H$573,1))</f>
        <v>296</v>
      </c>
      <c r="O474" s="12">
        <f>INDEX([2]关卡!$G$6:$G$2005,A474)</f>
        <v>3</v>
      </c>
      <c r="P474" s="13">
        <v>6</v>
      </c>
      <c r="Q474" s="12">
        <f>INT(P474/$S$15/O474*VLOOKUP(J474,[1]人物技能基础!$N$3:$O$553,2,0)*$U$15)</f>
        <v>9</v>
      </c>
      <c r="R474" s="12">
        <f t="shared" si="75"/>
        <v>112</v>
      </c>
    </row>
    <row r="475" spans="1:18" x14ac:dyDescent="0.15">
      <c r="A475" s="12">
        <v>457</v>
      </c>
      <c r="B475" s="12">
        <f t="shared" si="69"/>
        <v>3</v>
      </c>
      <c r="C475" s="12">
        <f t="shared" si="70"/>
        <v>0.79386749999999995</v>
      </c>
      <c r="D475" s="12">
        <f t="shared" si="71"/>
        <v>1.4347499999999735E-2</v>
      </c>
      <c r="E475" s="12">
        <f>SUM($D$19:D475)</f>
        <v>3.9938675000000021</v>
      </c>
      <c r="F475" s="12">
        <f t="shared" si="67"/>
        <v>38.959321238474942</v>
      </c>
      <c r="G475" s="12">
        <f t="shared" si="68"/>
        <v>37.730393678505934</v>
      </c>
      <c r="H475" s="12">
        <f t="shared" si="72"/>
        <v>140200</v>
      </c>
      <c r="I475" s="12">
        <f t="shared" si="73"/>
        <v>135800</v>
      </c>
      <c r="J475" s="12">
        <f>IF(A475&lt;[3]关卡对接!$A$4,INDEX([3]关卡对接!$C$7:$C$141,A475),MATCH(E475,人物经验!$H$24:$H$573,1))</f>
        <v>296</v>
      </c>
      <c r="K475" s="12">
        <f>IF([3]关卡对接!F463="",INT(INDEX(人物经验!$J$24:$J$573,关卡!J475)*关卡!$S$7),[3]关卡对接!F463)</f>
        <v>3448</v>
      </c>
      <c r="L475" s="12">
        <f t="shared" si="74"/>
        <v>1.4</v>
      </c>
      <c r="M475" s="12">
        <f>L475/[4]货币基础!$B$4</f>
        <v>140</v>
      </c>
      <c r="N475" s="12">
        <f>IF(A475&lt;[3]关卡对接!$A$4,INDEX([3]关卡对接!$E$7:$E$141,A475),MATCH(E475,人物经验!$H$24:$H$573,1))</f>
        <v>296</v>
      </c>
      <c r="O475" s="12">
        <f>INDEX([2]关卡!$G$6:$G$2005,A475)</f>
        <v>3</v>
      </c>
      <c r="P475" s="13">
        <v>6</v>
      </c>
      <c r="Q475" s="12">
        <f>INT(P475/$S$15/O475*VLOOKUP(J475,[1]人物技能基础!$N$3:$O$553,2,0)*$U$15)</f>
        <v>9</v>
      </c>
      <c r="R475" s="12">
        <f t="shared" si="75"/>
        <v>112</v>
      </c>
    </row>
    <row r="476" spans="1:18" x14ac:dyDescent="0.15">
      <c r="A476" s="12">
        <v>458</v>
      </c>
      <c r="B476" s="12">
        <f t="shared" si="69"/>
        <v>3</v>
      </c>
      <c r="C476" s="12">
        <f t="shared" si="70"/>
        <v>0.80823</v>
      </c>
      <c r="D476" s="12">
        <f t="shared" si="71"/>
        <v>1.4362500000000056E-2</v>
      </c>
      <c r="E476" s="12">
        <f>SUM($D$19:D476)</f>
        <v>4.008230000000002</v>
      </c>
      <c r="F476" s="12">
        <f t="shared" si="67"/>
        <v>39.088170033919006</v>
      </c>
      <c r="G476" s="12">
        <f t="shared" si="68"/>
        <v>37.828753905695002</v>
      </c>
      <c r="H476" s="12">
        <f t="shared" si="72"/>
        <v>140700</v>
      </c>
      <c r="I476" s="12">
        <f t="shared" si="73"/>
        <v>136100</v>
      </c>
      <c r="J476" s="12">
        <f>IF(A476&lt;[3]关卡对接!$A$4,INDEX([3]关卡对接!$C$7:$C$141,A476),MATCH(E476,人物经验!$H$24:$H$573,1))</f>
        <v>296</v>
      </c>
      <c r="K476" s="12">
        <f>IF([3]关卡对接!F464="",INT(INDEX(人物经验!$J$24:$J$573,关卡!J476)*关卡!$S$7),[3]关卡对接!F464)</f>
        <v>3448</v>
      </c>
      <c r="L476" s="12">
        <f t="shared" si="74"/>
        <v>1.4</v>
      </c>
      <c r="M476" s="12">
        <f>L476/[4]货币基础!$B$4</f>
        <v>140</v>
      </c>
      <c r="N476" s="12">
        <f>IF(A476&lt;[3]关卡对接!$A$4,INDEX([3]关卡对接!$E$7:$E$141,A476),MATCH(E476,人物经验!$H$24:$H$573,1))</f>
        <v>296</v>
      </c>
      <c r="O476" s="12">
        <f>INDEX([2]关卡!$G$6:$G$2005,A476)</f>
        <v>3</v>
      </c>
      <c r="P476" s="13">
        <v>6</v>
      </c>
      <c r="Q476" s="12">
        <f>INT(P476/$S$15/O476*VLOOKUP(J476,[1]人物技能基础!$N$3:$O$553,2,0)*$U$15)</f>
        <v>9</v>
      </c>
      <c r="R476" s="12">
        <f t="shared" si="75"/>
        <v>112</v>
      </c>
    </row>
    <row r="477" spans="1:18" x14ac:dyDescent="0.15">
      <c r="A477" s="12">
        <v>459</v>
      </c>
      <c r="B477" s="12">
        <f t="shared" si="69"/>
        <v>3</v>
      </c>
      <c r="C477" s="12">
        <f t="shared" si="70"/>
        <v>0.82260750000000005</v>
      </c>
      <c r="D477" s="12">
        <f t="shared" si="71"/>
        <v>1.4377500000000043E-2</v>
      </c>
      <c r="E477" s="12">
        <f>SUM($D$19:D477)</f>
        <v>4.0226075000000021</v>
      </c>
      <c r="F477" s="12">
        <f t="shared" si="67"/>
        <v>39.217284651289937</v>
      </c>
      <c r="G477" s="12">
        <f t="shared" si="68"/>
        <v>37.927255603580939</v>
      </c>
      <c r="H477" s="12">
        <f t="shared" si="72"/>
        <v>141100</v>
      </c>
      <c r="I477" s="12">
        <f t="shared" si="73"/>
        <v>136500</v>
      </c>
      <c r="J477" s="12">
        <f>IF(A477&lt;[3]关卡对接!$A$4,INDEX([3]关卡对接!$C$7:$C$141,A477),MATCH(E477,人物经验!$H$24:$H$573,1))</f>
        <v>296</v>
      </c>
      <c r="K477" s="12">
        <f>IF([3]关卡对接!F465="",INT(INDEX(人物经验!$J$24:$J$573,关卡!J477)*关卡!$S$7),[3]关卡对接!F465)</f>
        <v>3448</v>
      </c>
      <c r="L477" s="12">
        <f t="shared" si="74"/>
        <v>1.4</v>
      </c>
      <c r="M477" s="12">
        <f>L477/[4]货币基础!$B$4</f>
        <v>140</v>
      </c>
      <c r="N477" s="12">
        <f>IF(A477&lt;[3]关卡对接!$A$4,INDEX([3]关卡对接!$E$7:$E$141,A477),MATCH(E477,人物经验!$H$24:$H$573,1))</f>
        <v>296</v>
      </c>
      <c r="O477" s="12">
        <f>INDEX([2]关卡!$G$6:$G$2005,A477)</f>
        <v>3</v>
      </c>
      <c r="P477" s="13">
        <v>6</v>
      </c>
      <c r="Q477" s="12">
        <f>INT(P477/$S$15/O477*VLOOKUP(J477,[1]人物技能基础!$N$3:$O$553,2,0)*$U$15)</f>
        <v>9</v>
      </c>
      <c r="R477" s="12">
        <f t="shared" si="75"/>
        <v>112</v>
      </c>
    </row>
    <row r="478" spans="1:18" x14ac:dyDescent="0.15">
      <c r="A478" s="12">
        <v>460</v>
      </c>
      <c r="B478" s="12">
        <f t="shared" si="69"/>
        <v>3</v>
      </c>
      <c r="C478" s="12">
        <f t="shared" si="70"/>
        <v>0.83700000000000008</v>
      </c>
      <c r="D478" s="12">
        <f t="shared" si="71"/>
        <v>1.439250000000003E-2</v>
      </c>
      <c r="E478" s="12">
        <f>SUM($D$19:D478)</f>
        <v>4.0370000000000026</v>
      </c>
      <c r="F478" s="12">
        <f t="shared" si="67"/>
        <v>39.346665590000001</v>
      </c>
      <c r="G478" s="12">
        <f t="shared" si="68"/>
        <v>38.025898950000006</v>
      </c>
      <c r="H478" s="12">
        <f t="shared" si="72"/>
        <v>141600</v>
      </c>
      <c r="I478" s="12">
        <f t="shared" si="73"/>
        <v>136800</v>
      </c>
      <c r="J478" s="12">
        <f>IF(A478&lt;[3]关卡对接!$A$4,INDEX([3]关卡对接!$C$7:$C$141,A478),MATCH(E478,人物经验!$H$24:$H$573,1))</f>
        <v>297</v>
      </c>
      <c r="K478" s="12">
        <f>IF([3]关卡对接!F466="",INT(INDEX(人物经验!$J$24:$J$573,关卡!J478)*关卡!$S$7),[3]关卡对接!F466)</f>
        <v>3529</v>
      </c>
      <c r="L478" s="12">
        <f t="shared" si="74"/>
        <v>1.4</v>
      </c>
      <c r="M478" s="12">
        <f>L478/[4]货币基础!$B$4</f>
        <v>140</v>
      </c>
      <c r="N478" s="12">
        <f>IF(A478&lt;[3]关卡对接!$A$4,INDEX([3]关卡对接!$E$7:$E$141,A478),MATCH(E478,人物经验!$H$24:$H$573,1))</f>
        <v>297</v>
      </c>
      <c r="O478" s="12">
        <f>INDEX([2]关卡!$G$6:$G$2005,A478)</f>
        <v>3</v>
      </c>
      <c r="P478" s="13">
        <v>6</v>
      </c>
      <c r="Q478" s="12">
        <f>INT(P478/$S$15/O478*VLOOKUP(J478,[1]人物技能基础!$N$3:$O$553,2,0)*$U$15)</f>
        <v>9</v>
      </c>
      <c r="R478" s="12">
        <f t="shared" si="75"/>
        <v>112</v>
      </c>
    </row>
    <row r="479" spans="1:18" x14ac:dyDescent="0.15">
      <c r="A479" s="12">
        <v>461</v>
      </c>
      <c r="B479" s="12">
        <f t="shared" si="69"/>
        <v>3</v>
      </c>
      <c r="C479" s="12">
        <f t="shared" si="70"/>
        <v>0.85140750000000009</v>
      </c>
      <c r="D479" s="12">
        <f t="shared" si="71"/>
        <v>1.4407500000000018E-2</v>
      </c>
      <c r="E479" s="12">
        <f>SUM($D$19:D479)</f>
        <v>4.0514075000000025</v>
      </c>
      <c r="F479" s="12">
        <f t="shared" si="67"/>
        <v>39.476313350059939</v>
      </c>
      <c r="G479" s="12">
        <f t="shared" si="68"/>
        <v>38.124684122930944</v>
      </c>
      <c r="H479" s="12">
        <f t="shared" si="72"/>
        <v>142100</v>
      </c>
      <c r="I479" s="12">
        <f t="shared" si="73"/>
        <v>137200</v>
      </c>
      <c r="J479" s="12">
        <f>IF(A479&lt;[3]关卡对接!$A$4,INDEX([3]关卡对接!$C$7:$C$141,A479),MATCH(E479,人物经验!$H$24:$H$573,1))</f>
        <v>297</v>
      </c>
      <c r="K479" s="12">
        <f>IF([3]关卡对接!F467="",INT(INDEX(人物经验!$J$24:$J$573,关卡!J479)*关卡!$S$7),[3]关卡对接!F467)</f>
        <v>3529</v>
      </c>
      <c r="L479" s="12">
        <f t="shared" si="74"/>
        <v>1.4</v>
      </c>
      <c r="M479" s="12">
        <f>L479/[4]货币基础!$B$4</f>
        <v>140</v>
      </c>
      <c r="N479" s="12">
        <f>IF(A479&lt;[3]关卡对接!$A$4,INDEX([3]关卡对接!$E$7:$E$141,A479),MATCH(E479,人物经验!$H$24:$H$573,1))</f>
        <v>297</v>
      </c>
      <c r="O479" s="12">
        <f>INDEX([2]关卡!$G$6:$G$2005,A479)</f>
        <v>3</v>
      </c>
      <c r="P479" s="13">
        <v>6</v>
      </c>
      <c r="Q479" s="12">
        <f>INT(P479/$S$15/O479*VLOOKUP(J479,[1]人物技能基础!$N$3:$O$553,2,0)*$U$15)</f>
        <v>9</v>
      </c>
      <c r="R479" s="12">
        <f t="shared" si="75"/>
        <v>112</v>
      </c>
    </row>
    <row r="480" spans="1:18" x14ac:dyDescent="0.15">
      <c r="A480" s="12">
        <v>462</v>
      </c>
      <c r="B480" s="12">
        <f t="shared" si="69"/>
        <v>3</v>
      </c>
      <c r="C480" s="12">
        <f t="shared" si="70"/>
        <v>0.8658300000000001</v>
      </c>
      <c r="D480" s="12">
        <f t="shared" si="71"/>
        <v>1.4422500000000005E-2</v>
      </c>
      <c r="E480" s="12">
        <f>SUM($D$19:D480)</f>
        <v>4.0658300000000027</v>
      </c>
      <c r="F480" s="12">
        <f t="shared" si="67"/>
        <v>39.606228432079007</v>
      </c>
      <c r="G480" s="12">
        <f t="shared" si="68"/>
        <v>38.223611300495001</v>
      </c>
      <c r="H480" s="12">
        <f t="shared" si="72"/>
        <v>142500</v>
      </c>
      <c r="I480" s="12">
        <f t="shared" si="73"/>
        <v>137600</v>
      </c>
      <c r="J480" s="12">
        <f>IF(A480&lt;[3]关卡对接!$A$4,INDEX([3]关卡对接!$C$7:$C$141,A480),MATCH(E480,人物经验!$H$24:$H$573,1))</f>
        <v>297</v>
      </c>
      <c r="K480" s="12">
        <f>IF([3]关卡对接!F468="",INT(INDEX(人物经验!$J$24:$J$573,关卡!J480)*关卡!$S$7),[3]关卡对接!F468)</f>
        <v>3529</v>
      </c>
      <c r="L480" s="12">
        <f t="shared" si="74"/>
        <v>1.4</v>
      </c>
      <c r="M480" s="12">
        <f>L480/[4]货币基础!$B$4</f>
        <v>140</v>
      </c>
      <c r="N480" s="12">
        <f>IF(A480&lt;[3]关卡对接!$A$4,INDEX([3]关卡对接!$E$7:$E$141,A480),MATCH(E480,人物经验!$H$24:$H$573,1))</f>
        <v>297</v>
      </c>
      <c r="O480" s="12">
        <f>INDEX([2]关卡!$G$6:$G$2005,A480)</f>
        <v>3</v>
      </c>
      <c r="P480" s="13">
        <v>6</v>
      </c>
      <c r="Q480" s="12">
        <f>INT(P480/$S$15/O480*VLOOKUP(J480,[1]人物技能基础!$N$3:$O$553,2,0)*$U$15)</f>
        <v>9</v>
      </c>
      <c r="R480" s="12">
        <f t="shared" si="75"/>
        <v>112</v>
      </c>
    </row>
    <row r="481" spans="1:18" x14ac:dyDescent="0.15">
      <c r="A481" s="12">
        <v>463</v>
      </c>
      <c r="B481" s="12">
        <f t="shared" si="69"/>
        <v>3</v>
      </c>
      <c r="C481" s="12">
        <f t="shared" si="70"/>
        <v>0.88026750000000009</v>
      </c>
      <c r="D481" s="12">
        <f t="shared" si="71"/>
        <v>1.4437499999999992E-2</v>
      </c>
      <c r="E481" s="12">
        <f>SUM($D$19:D481)</f>
        <v>4.0802675000000024</v>
      </c>
      <c r="F481" s="12">
        <f t="shared" si="67"/>
        <v>39.736411337264947</v>
      </c>
      <c r="G481" s="12">
        <f t="shared" si="68"/>
        <v>38.322680660955946</v>
      </c>
      <c r="H481" s="12">
        <f t="shared" si="72"/>
        <v>143000</v>
      </c>
      <c r="I481" s="12">
        <f t="shared" si="73"/>
        <v>137900</v>
      </c>
      <c r="J481" s="12">
        <f>IF(A481&lt;[3]关卡对接!$A$4,INDEX([3]关卡对接!$C$7:$C$141,A481),MATCH(E481,人物经验!$H$24:$H$573,1))</f>
        <v>297</v>
      </c>
      <c r="K481" s="12">
        <f>IF([3]关卡对接!F469="",INT(INDEX(人物经验!$J$24:$J$573,关卡!J481)*关卡!$S$7),[3]关卡对接!F469)</f>
        <v>3529</v>
      </c>
      <c r="L481" s="12">
        <f t="shared" si="74"/>
        <v>1.4</v>
      </c>
      <c r="M481" s="12">
        <f>L481/[4]货币基础!$B$4</f>
        <v>140</v>
      </c>
      <c r="N481" s="12">
        <f>IF(A481&lt;[3]关卡对接!$A$4,INDEX([3]关卡对接!$E$7:$E$141,A481),MATCH(E481,人物经验!$H$24:$H$573,1))</f>
        <v>297</v>
      </c>
      <c r="O481" s="12">
        <f>INDEX([2]关卡!$G$6:$G$2005,A481)</f>
        <v>3</v>
      </c>
      <c r="P481" s="13">
        <v>6</v>
      </c>
      <c r="Q481" s="12">
        <f>INT(P481/$S$15/O481*VLOOKUP(J481,[1]人物技能基础!$N$3:$O$553,2,0)*$U$15)</f>
        <v>9</v>
      </c>
      <c r="R481" s="12">
        <f t="shared" si="75"/>
        <v>112</v>
      </c>
    </row>
    <row r="482" spans="1:18" x14ac:dyDescent="0.15">
      <c r="A482" s="12">
        <v>464</v>
      </c>
      <c r="B482" s="12">
        <f t="shared" si="69"/>
        <v>3</v>
      </c>
      <c r="C482" s="12">
        <f t="shared" si="70"/>
        <v>0.89472000000000018</v>
      </c>
      <c r="D482" s="12">
        <f t="shared" si="71"/>
        <v>1.445250000000009E-2</v>
      </c>
      <c r="E482" s="12">
        <f>SUM($D$19:D482)</f>
        <v>4.0947200000000024</v>
      </c>
      <c r="F482" s="12">
        <f t="shared" si="67"/>
        <v>39.866862567424008</v>
      </c>
      <c r="G482" s="12">
        <f t="shared" si="68"/>
        <v>38.421892382720003</v>
      </c>
      <c r="H482" s="12">
        <f t="shared" si="72"/>
        <v>143500</v>
      </c>
      <c r="I482" s="12">
        <f t="shared" si="73"/>
        <v>138300</v>
      </c>
      <c r="J482" s="12">
        <f>IF(A482&lt;[3]关卡对接!$A$4,INDEX([3]关卡对接!$C$7:$C$141,A482),MATCH(E482,人物经验!$H$24:$H$573,1))</f>
        <v>297</v>
      </c>
      <c r="K482" s="12">
        <f>IF([3]关卡对接!F470="",INT(INDEX(人物经验!$J$24:$J$573,关卡!J482)*关卡!$S$7),[3]关卡对接!F470)</f>
        <v>3529</v>
      </c>
      <c r="L482" s="12">
        <f t="shared" si="74"/>
        <v>1.4</v>
      </c>
      <c r="M482" s="12">
        <f>L482/[4]货币基础!$B$4</f>
        <v>140</v>
      </c>
      <c r="N482" s="12">
        <f>IF(A482&lt;[3]关卡对接!$A$4,INDEX([3]关卡对接!$E$7:$E$141,A482),MATCH(E482,人物经验!$H$24:$H$573,1))</f>
        <v>297</v>
      </c>
      <c r="O482" s="12">
        <f>INDEX([2]关卡!$G$6:$G$2005,A482)</f>
        <v>3</v>
      </c>
      <c r="P482" s="13">
        <v>6</v>
      </c>
      <c r="Q482" s="12">
        <f>INT(P482/$S$15/O482*VLOOKUP(J482,[1]人物技能基础!$N$3:$O$553,2,0)*$U$15)</f>
        <v>9</v>
      </c>
      <c r="R482" s="12">
        <f t="shared" si="75"/>
        <v>112</v>
      </c>
    </row>
    <row r="483" spans="1:18" x14ac:dyDescent="0.15">
      <c r="A483" s="12">
        <v>465</v>
      </c>
      <c r="B483" s="12">
        <f t="shared" si="69"/>
        <v>3</v>
      </c>
      <c r="C483" s="12">
        <f t="shared" si="70"/>
        <v>0.90918750000000004</v>
      </c>
      <c r="D483" s="12">
        <f t="shared" si="71"/>
        <v>1.4467499999999855E-2</v>
      </c>
      <c r="E483" s="12">
        <f>SUM($D$19:D483)</f>
        <v>4.1091875000000027</v>
      </c>
      <c r="F483" s="12">
        <f t="shared" si="67"/>
        <v>39.997582624960941</v>
      </c>
      <c r="G483" s="12">
        <f t="shared" si="68"/>
        <v>38.521246644335946</v>
      </c>
      <c r="H483" s="12">
        <f t="shared" si="72"/>
        <v>143900</v>
      </c>
      <c r="I483" s="12">
        <f t="shared" si="73"/>
        <v>138600</v>
      </c>
      <c r="J483" s="12">
        <f>IF(A483&lt;[3]关卡对接!$A$4,INDEX([3]关卡对接!$C$7:$C$141,A483),MATCH(E483,人物经验!$H$24:$H$573,1))</f>
        <v>297</v>
      </c>
      <c r="K483" s="12">
        <f>IF([3]关卡对接!F471="",INT(INDEX(人物经验!$J$24:$J$573,关卡!J483)*关卡!$S$7),[3]关卡对接!F471)</f>
        <v>3529</v>
      </c>
      <c r="L483" s="12">
        <f t="shared" si="74"/>
        <v>1.4</v>
      </c>
      <c r="M483" s="12">
        <f>L483/[4]货币基础!$B$4</f>
        <v>140</v>
      </c>
      <c r="N483" s="12">
        <f>IF(A483&lt;[3]关卡对接!$A$4,INDEX([3]关卡对接!$E$7:$E$141,A483),MATCH(E483,人物经验!$H$24:$H$573,1))</f>
        <v>297</v>
      </c>
      <c r="O483" s="12">
        <f>INDEX([2]关卡!$G$6:$G$2005,A483)</f>
        <v>3</v>
      </c>
      <c r="P483" s="13">
        <v>6</v>
      </c>
      <c r="Q483" s="12">
        <f>INT(P483/$S$15/O483*VLOOKUP(J483,[1]人物技能基础!$N$3:$O$553,2,0)*$U$15)</f>
        <v>9</v>
      </c>
      <c r="R483" s="12">
        <f t="shared" si="75"/>
        <v>112</v>
      </c>
    </row>
    <row r="484" spans="1:18" x14ac:dyDescent="0.15">
      <c r="A484" s="12">
        <v>466</v>
      </c>
      <c r="B484" s="12">
        <f t="shared" si="69"/>
        <v>3</v>
      </c>
      <c r="C484" s="12">
        <f t="shared" si="70"/>
        <v>0.92367000000000021</v>
      </c>
      <c r="D484" s="12">
        <f t="shared" si="71"/>
        <v>1.4482500000000176E-2</v>
      </c>
      <c r="E484" s="12">
        <f>SUM($D$19:D484)</f>
        <v>4.1236700000000024</v>
      </c>
      <c r="F484" s="12">
        <f t="shared" si="67"/>
        <v>40.128572012879005</v>
      </c>
      <c r="G484" s="12">
        <f t="shared" si="68"/>
        <v>38.620743624494999</v>
      </c>
      <c r="H484" s="12">
        <f t="shared" si="72"/>
        <v>144400</v>
      </c>
      <c r="I484" s="12">
        <f t="shared" si="73"/>
        <v>139000</v>
      </c>
      <c r="J484" s="12">
        <f>IF(A484&lt;[3]关卡对接!$A$4,INDEX([3]关卡对接!$C$7:$C$141,A484),MATCH(E484,人物经验!$H$24:$H$573,1))</f>
        <v>297</v>
      </c>
      <c r="K484" s="12">
        <f>IF([3]关卡对接!F472="",INT(INDEX(人物经验!$J$24:$J$573,关卡!J484)*关卡!$S$7),[3]关卡对接!F472)</f>
        <v>3529</v>
      </c>
      <c r="L484" s="12">
        <f t="shared" si="74"/>
        <v>1.4</v>
      </c>
      <c r="M484" s="12">
        <f>L484/[4]货币基础!$B$4</f>
        <v>140</v>
      </c>
      <c r="N484" s="12">
        <f>IF(A484&lt;[3]关卡对接!$A$4,INDEX([3]关卡对接!$E$7:$E$141,A484),MATCH(E484,人物经验!$H$24:$H$573,1))</f>
        <v>297</v>
      </c>
      <c r="O484" s="12">
        <f>INDEX([2]关卡!$G$6:$G$2005,A484)</f>
        <v>3</v>
      </c>
      <c r="P484" s="13">
        <v>6</v>
      </c>
      <c r="Q484" s="12">
        <f>INT(P484/$S$15/O484*VLOOKUP(J484,[1]人物技能基础!$N$3:$O$553,2,0)*$U$15)</f>
        <v>9</v>
      </c>
      <c r="R484" s="12">
        <f t="shared" si="75"/>
        <v>112</v>
      </c>
    </row>
    <row r="485" spans="1:18" x14ac:dyDescent="0.15">
      <c r="A485" s="12">
        <v>467</v>
      </c>
      <c r="B485" s="12">
        <f t="shared" si="69"/>
        <v>3</v>
      </c>
      <c r="C485" s="12">
        <f t="shared" si="70"/>
        <v>0.93816750000000027</v>
      </c>
      <c r="D485" s="12">
        <f t="shared" si="71"/>
        <v>1.4497500000000052E-2</v>
      </c>
      <c r="E485" s="12">
        <f>SUM($D$19:D485)</f>
        <v>4.1381675000000024</v>
      </c>
      <c r="F485" s="12">
        <f t="shared" si="67"/>
        <v>40.259831234779945</v>
      </c>
      <c r="G485" s="12">
        <f t="shared" si="68"/>
        <v>38.720383502030948</v>
      </c>
      <c r="H485" s="12">
        <f t="shared" si="72"/>
        <v>144900</v>
      </c>
      <c r="I485" s="12">
        <f t="shared" si="73"/>
        <v>139300</v>
      </c>
      <c r="J485" s="12">
        <f>IF(A485&lt;[3]关卡对接!$A$4,INDEX([3]关卡对接!$C$7:$C$141,A485),MATCH(E485,人物经验!$H$24:$H$573,1))</f>
        <v>297</v>
      </c>
      <c r="K485" s="12">
        <f>IF([3]关卡对接!F473="",INT(INDEX(人物经验!$J$24:$J$573,关卡!J485)*关卡!$S$7),[3]关卡对接!F473)</f>
        <v>3529</v>
      </c>
      <c r="L485" s="12">
        <f t="shared" si="74"/>
        <v>1.4</v>
      </c>
      <c r="M485" s="12">
        <f>L485/[4]货币基础!$B$4</f>
        <v>140</v>
      </c>
      <c r="N485" s="12">
        <f>IF(A485&lt;[3]关卡对接!$A$4,INDEX([3]关卡对接!$E$7:$E$141,A485),MATCH(E485,人物经验!$H$24:$H$573,1))</f>
        <v>297</v>
      </c>
      <c r="O485" s="12">
        <f>INDEX([2]关卡!$G$6:$G$2005,A485)</f>
        <v>3</v>
      </c>
      <c r="P485" s="13">
        <v>6</v>
      </c>
      <c r="Q485" s="12">
        <f>INT(P485/$S$15/O485*VLOOKUP(J485,[1]人物技能基础!$N$3:$O$553,2,0)*$U$15)</f>
        <v>9</v>
      </c>
      <c r="R485" s="12">
        <f t="shared" si="75"/>
        <v>112</v>
      </c>
    </row>
    <row r="486" spans="1:18" x14ac:dyDescent="0.15">
      <c r="A486" s="12">
        <v>468</v>
      </c>
      <c r="B486" s="12">
        <f t="shared" si="69"/>
        <v>3</v>
      </c>
      <c r="C486" s="12">
        <f t="shared" si="70"/>
        <v>0.95268000000000019</v>
      </c>
      <c r="D486" s="12">
        <f t="shared" si="71"/>
        <v>1.4512499999999928E-2</v>
      </c>
      <c r="E486" s="12">
        <f>SUM($D$19:D486)</f>
        <v>4.1526800000000019</v>
      </c>
      <c r="F486" s="12">
        <f t="shared" si="67"/>
        <v>40.391360794864006</v>
      </c>
      <c r="G486" s="12">
        <f t="shared" si="68"/>
        <v>38.82016645592001</v>
      </c>
      <c r="H486" s="12">
        <f t="shared" si="72"/>
        <v>145400</v>
      </c>
      <c r="I486" s="12">
        <f t="shared" si="73"/>
        <v>139700</v>
      </c>
      <c r="J486" s="12">
        <f>IF(A486&lt;[3]关卡对接!$A$4,INDEX([3]关卡对接!$C$7:$C$141,A486),MATCH(E486,人物经验!$H$24:$H$573,1))</f>
        <v>298</v>
      </c>
      <c r="K486" s="12">
        <f>IF([3]关卡对接!F474="",INT(INDEX(人物经验!$J$24:$J$573,关卡!J486)*关卡!$S$7),[3]关卡对接!F474)</f>
        <v>3623</v>
      </c>
      <c r="L486" s="12">
        <f t="shared" si="74"/>
        <v>1.4</v>
      </c>
      <c r="M486" s="12">
        <f>L486/[4]货币基础!$B$4</f>
        <v>140</v>
      </c>
      <c r="N486" s="12">
        <f>IF(A486&lt;[3]关卡对接!$A$4,INDEX([3]关卡对接!$E$7:$E$141,A486),MATCH(E486,人物经验!$H$24:$H$573,1))</f>
        <v>298</v>
      </c>
      <c r="O486" s="12">
        <f>INDEX([2]关卡!$G$6:$G$2005,A486)</f>
        <v>3</v>
      </c>
      <c r="P486" s="13">
        <v>6</v>
      </c>
      <c r="Q486" s="12">
        <f>INT(P486/$S$15/O486*VLOOKUP(J486,[1]人物技能基础!$N$3:$O$553,2,0)*$U$15)</f>
        <v>9</v>
      </c>
      <c r="R486" s="12">
        <f t="shared" si="75"/>
        <v>112</v>
      </c>
    </row>
    <row r="487" spans="1:18" x14ac:dyDescent="0.15">
      <c r="A487" s="12">
        <v>469</v>
      </c>
      <c r="B487" s="12">
        <f t="shared" si="69"/>
        <v>3</v>
      </c>
      <c r="C487" s="12">
        <f t="shared" si="70"/>
        <v>0.9672075</v>
      </c>
      <c r="D487" s="12">
        <f t="shared" si="71"/>
        <v>1.4527499999999804E-2</v>
      </c>
      <c r="E487" s="12">
        <f>SUM($D$19:D487)</f>
        <v>4.1672075000000017</v>
      </c>
      <c r="F487" s="12">
        <f t="shared" si="67"/>
        <v>40.52316119792993</v>
      </c>
      <c r="G487" s="12">
        <f t="shared" si="68"/>
        <v>38.920092665280933</v>
      </c>
      <c r="H487" s="12">
        <f t="shared" si="72"/>
        <v>145800</v>
      </c>
      <c r="I487" s="12">
        <f t="shared" si="73"/>
        <v>140100</v>
      </c>
      <c r="J487" s="12">
        <f>IF(A487&lt;[3]关卡对接!$A$4,INDEX([3]关卡对接!$C$7:$C$141,A487),MATCH(E487,人物经验!$H$24:$H$573,1))</f>
        <v>298</v>
      </c>
      <c r="K487" s="12">
        <f>IF([3]关卡对接!F475="",INT(INDEX(人物经验!$J$24:$J$573,关卡!J487)*关卡!$S$7),[3]关卡对接!F475)</f>
        <v>3623</v>
      </c>
      <c r="L487" s="12">
        <f t="shared" si="74"/>
        <v>1.4</v>
      </c>
      <c r="M487" s="12">
        <f>L487/[4]货币基础!$B$4</f>
        <v>140</v>
      </c>
      <c r="N487" s="12">
        <f>IF(A487&lt;[3]关卡对接!$A$4,INDEX([3]关卡对接!$E$7:$E$141,A487),MATCH(E487,人物经验!$H$24:$H$573,1))</f>
        <v>298</v>
      </c>
      <c r="O487" s="12">
        <f>INDEX([2]关卡!$G$6:$G$2005,A487)</f>
        <v>3</v>
      </c>
      <c r="P487" s="13">
        <v>6</v>
      </c>
      <c r="Q487" s="12">
        <f>INT(P487/$S$15/O487*VLOOKUP(J487,[1]人物技能基础!$N$3:$O$553,2,0)*$U$15)</f>
        <v>9</v>
      </c>
      <c r="R487" s="12">
        <f t="shared" si="75"/>
        <v>112</v>
      </c>
    </row>
    <row r="488" spans="1:18" x14ac:dyDescent="0.15">
      <c r="A488" s="12">
        <v>470</v>
      </c>
      <c r="B488" s="12">
        <f t="shared" si="69"/>
        <v>3</v>
      </c>
      <c r="C488" s="12">
        <f t="shared" si="70"/>
        <v>0.9817499999999999</v>
      </c>
      <c r="D488" s="12">
        <f t="shared" si="71"/>
        <v>1.4542499999999903E-2</v>
      </c>
      <c r="E488" s="12">
        <f>SUM($D$19:D488)</f>
        <v>4.1817500000000019</v>
      </c>
      <c r="F488" s="12">
        <f t="shared" si="67"/>
        <v>40.655232949374998</v>
      </c>
      <c r="G488" s="12">
        <f t="shared" si="68"/>
        <v>39.020162309375003</v>
      </c>
      <c r="H488" s="12">
        <f t="shared" si="72"/>
        <v>146300</v>
      </c>
      <c r="I488" s="12">
        <f t="shared" si="73"/>
        <v>140400</v>
      </c>
      <c r="J488" s="12">
        <f>IF(A488&lt;[3]关卡对接!$A$4,INDEX([3]关卡对接!$C$7:$C$141,A488),MATCH(E488,人物经验!$H$24:$H$573,1))</f>
        <v>298</v>
      </c>
      <c r="K488" s="12">
        <f>IF([3]关卡对接!F476="",INT(INDEX(人物经验!$J$24:$J$573,关卡!J488)*关卡!$S$7),[3]关卡对接!F476)</f>
        <v>3623</v>
      </c>
      <c r="L488" s="12">
        <f t="shared" si="74"/>
        <v>1.4</v>
      </c>
      <c r="M488" s="12">
        <f>L488/[4]货币基础!$B$4</f>
        <v>140</v>
      </c>
      <c r="N488" s="12">
        <f>IF(A488&lt;[3]关卡对接!$A$4,INDEX([3]关卡对接!$E$7:$E$141,A488),MATCH(E488,人物经验!$H$24:$H$573,1))</f>
        <v>298</v>
      </c>
      <c r="O488" s="12">
        <f>INDEX([2]关卡!$G$6:$G$2005,A488)</f>
        <v>3</v>
      </c>
      <c r="P488" s="13">
        <v>6</v>
      </c>
      <c r="Q488" s="12">
        <f>INT(P488/$S$15/O488*VLOOKUP(J488,[1]人物技能基础!$N$3:$O$553,2,0)*$U$15)</f>
        <v>9</v>
      </c>
      <c r="R488" s="12">
        <f t="shared" si="75"/>
        <v>112</v>
      </c>
    </row>
    <row r="489" spans="1:18" x14ac:dyDescent="0.15">
      <c r="A489" s="12">
        <v>471</v>
      </c>
      <c r="B489" s="12">
        <f t="shared" si="69"/>
        <v>3</v>
      </c>
      <c r="C489" s="12">
        <f t="shared" si="70"/>
        <v>0.99630750000000012</v>
      </c>
      <c r="D489" s="12">
        <f t="shared" si="71"/>
        <v>1.4557500000000223E-2</v>
      </c>
      <c r="E489" s="12">
        <f>SUM($D$19:D489)</f>
        <v>4.1963075000000023</v>
      </c>
      <c r="F489" s="12">
        <f t="shared" si="67"/>
        <v>40.787576555194939</v>
      </c>
      <c r="G489" s="12">
        <f t="shared" si="68"/>
        <v>39.12037556760594</v>
      </c>
      <c r="H489" s="12">
        <f t="shared" si="72"/>
        <v>146800</v>
      </c>
      <c r="I489" s="12">
        <f t="shared" si="73"/>
        <v>140800</v>
      </c>
      <c r="J489" s="12">
        <f>IF(A489&lt;[3]关卡对接!$A$4,INDEX([3]关卡对接!$C$7:$C$141,A489),MATCH(E489,人物经验!$H$24:$H$573,1))</f>
        <v>298</v>
      </c>
      <c r="K489" s="12">
        <f>IF([3]关卡对接!F477="",INT(INDEX(人物经验!$J$24:$J$573,关卡!J489)*关卡!$S$7),[3]关卡对接!F477)</f>
        <v>3623</v>
      </c>
      <c r="L489" s="12">
        <f t="shared" si="74"/>
        <v>1.4</v>
      </c>
      <c r="M489" s="12">
        <f>L489/[4]货币基础!$B$4</f>
        <v>140</v>
      </c>
      <c r="N489" s="12">
        <f>IF(A489&lt;[3]关卡对接!$A$4,INDEX([3]关卡对接!$E$7:$E$141,A489),MATCH(E489,人物经验!$H$24:$H$573,1))</f>
        <v>298</v>
      </c>
      <c r="O489" s="12">
        <f>INDEX([2]关卡!$G$6:$G$2005,A489)</f>
        <v>3</v>
      </c>
      <c r="P489" s="13">
        <v>6</v>
      </c>
      <c r="Q489" s="12">
        <f>INT(P489/$S$15/O489*VLOOKUP(J489,[1]人物技能基础!$N$3:$O$553,2,0)*$U$15)</f>
        <v>9</v>
      </c>
      <c r="R489" s="12">
        <f t="shared" si="75"/>
        <v>112</v>
      </c>
    </row>
    <row r="490" spans="1:18" x14ac:dyDescent="0.15">
      <c r="A490" s="12">
        <v>472</v>
      </c>
      <c r="B490" s="12">
        <f t="shared" si="69"/>
        <v>3</v>
      </c>
      <c r="C490" s="12">
        <f t="shared" si="70"/>
        <v>1.0108800000000002</v>
      </c>
      <c r="D490" s="12">
        <f t="shared" si="71"/>
        <v>1.4572500000000099E-2</v>
      </c>
      <c r="E490" s="12">
        <f>SUM($D$19:D490)</f>
        <v>4.2108800000000022</v>
      </c>
      <c r="F490" s="12">
        <f t="shared" si="67"/>
        <v>40.920192521983999</v>
      </c>
      <c r="G490" s="12">
        <f t="shared" si="68"/>
        <v>39.22073261952</v>
      </c>
      <c r="H490" s="12">
        <f t="shared" si="72"/>
        <v>147300</v>
      </c>
      <c r="I490" s="12">
        <f t="shared" si="73"/>
        <v>141100</v>
      </c>
      <c r="J490" s="12">
        <f>IF(A490&lt;[3]关卡对接!$A$4,INDEX([3]关卡对接!$C$7:$C$141,A490),MATCH(E490,人物经验!$H$24:$H$573,1))</f>
        <v>298</v>
      </c>
      <c r="K490" s="12">
        <f>IF([3]关卡对接!F478="",INT(INDEX(人物经验!$J$24:$J$573,关卡!J490)*关卡!$S$7),[3]关卡对接!F478)</f>
        <v>3623</v>
      </c>
      <c r="L490" s="12">
        <f t="shared" si="74"/>
        <v>1.4</v>
      </c>
      <c r="M490" s="12">
        <f>L490/[4]货币基础!$B$4</f>
        <v>140</v>
      </c>
      <c r="N490" s="12">
        <f>IF(A490&lt;[3]关卡对接!$A$4,INDEX([3]关卡对接!$E$7:$E$141,A490),MATCH(E490,人物经验!$H$24:$H$573,1))</f>
        <v>298</v>
      </c>
      <c r="O490" s="12">
        <f>INDEX([2]关卡!$G$6:$G$2005,A490)</f>
        <v>3</v>
      </c>
      <c r="P490" s="13">
        <v>6</v>
      </c>
      <c r="Q490" s="12">
        <f>INT(P490/$S$15/O490*VLOOKUP(J490,[1]人物技能基础!$N$3:$O$553,2,0)*$U$15)</f>
        <v>9</v>
      </c>
      <c r="R490" s="12">
        <f t="shared" si="75"/>
        <v>112</v>
      </c>
    </row>
    <row r="491" spans="1:18" x14ac:dyDescent="0.15">
      <c r="A491" s="12">
        <v>473</v>
      </c>
      <c r="B491" s="12">
        <f t="shared" si="69"/>
        <v>3</v>
      </c>
      <c r="C491" s="12">
        <f t="shared" si="70"/>
        <v>1.0254675</v>
      </c>
      <c r="D491" s="12">
        <f t="shared" si="71"/>
        <v>1.4587499999999753E-2</v>
      </c>
      <c r="E491" s="12">
        <f>SUM($D$19:D491)</f>
        <v>4.2254675000000024</v>
      </c>
      <c r="F491" s="12">
        <f t="shared" si="67"/>
        <v>41.053081356934939</v>
      </c>
      <c r="G491" s="12">
        <f t="shared" si="68"/>
        <v>39.321233644805936</v>
      </c>
      <c r="H491" s="12">
        <f t="shared" si="72"/>
        <v>147700</v>
      </c>
      <c r="I491" s="12">
        <f t="shared" si="73"/>
        <v>141500</v>
      </c>
      <c r="J491" s="12">
        <f>IF(A491&lt;[3]关卡对接!$A$4,INDEX([3]关卡对接!$C$7:$C$141,A491),MATCH(E491,人物经验!$H$24:$H$573,1))</f>
        <v>298</v>
      </c>
      <c r="K491" s="12">
        <f>IF([3]关卡对接!F479="",INT(INDEX(人物经验!$J$24:$J$573,关卡!J491)*关卡!$S$7),[3]关卡对接!F479)</f>
        <v>3623</v>
      </c>
      <c r="L491" s="12">
        <f t="shared" si="74"/>
        <v>1.4</v>
      </c>
      <c r="M491" s="12">
        <f>L491/[4]货币基础!$B$4</f>
        <v>140</v>
      </c>
      <c r="N491" s="12">
        <f>IF(A491&lt;[3]关卡对接!$A$4,INDEX([3]关卡对接!$E$7:$E$141,A491),MATCH(E491,人物经验!$H$24:$H$573,1))</f>
        <v>298</v>
      </c>
      <c r="O491" s="12">
        <f>INDEX([2]关卡!$G$6:$G$2005,A491)</f>
        <v>3</v>
      </c>
      <c r="P491" s="13">
        <v>6</v>
      </c>
      <c r="Q491" s="12">
        <f>INT(P491/$S$15/O491*VLOOKUP(J491,[1]人物技能基础!$N$3:$O$553,2,0)*$U$15)</f>
        <v>9</v>
      </c>
      <c r="R491" s="12">
        <f t="shared" si="75"/>
        <v>112</v>
      </c>
    </row>
    <row r="492" spans="1:18" x14ac:dyDescent="0.15">
      <c r="A492" s="12">
        <v>474</v>
      </c>
      <c r="B492" s="12">
        <f t="shared" si="69"/>
        <v>3</v>
      </c>
      <c r="C492" s="12">
        <f t="shared" si="70"/>
        <v>1.0400700000000001</v>
      </c>
      <c r="D492" s="12">
        <f t="shared" si="71"/>
        <v>1.4602500000000074E-2</v>
      </c>
      <c r="E492" s="12">
        <f>SUM($D$19:D492)</f>
        <v>4.2400700000000029</v>
      </c>
      <c r="F492" s="12">
        <f t="shared" si="67"/>
        <v>41.186243567838993</v>
      </c>
      <c r="G492" s="12">
        <f t="shared" si="68"/>
        <v>39.421878823295003</v>
      </c>
      <c r="H492" s="12">
        <f t="shared" si="72"/>
        <v>148200</v>
      </c>
      <c r="I492" s="12">
        <f t="shared" si="73"/>
        <v>141900</v>
      </c>
      <c r="J492" s="12">
        <f>IF(A492&lt;[3]关卡对接!$A$4,INDEX([3]关卡对接!$C$7:$C$141,A492),MATCH(E492,人物经验!$H$24:$H$573,1))</f>
        <v>298</v>
      </c>
      <c r="K492" s="12">
        <f>IF([3]关卡对接!F480="",INT(INDEX(人物经验!$J$24:$J$573,关卡!J492)*关卡!$S$7),[3]关卡对接!F480)</f>
        <v>3623</v>
      </c>
      <c r="L492" s="12">
        <f t="shared" si="74"/>
        <v>1.4</v>
      </c>
      <c r="M492" s="12">
        <f>L492/[4]货币基础!$B$4</f>
        <v>140</v>
      </c>
      <c r="N492" s="12">
        <f>IF(A492&lt;[3]关卡对接!$A$4,INDEX([3]关卡对接!$E$7:$E$141,A492),MATCH(E492,人物经验!$H$24:$H$573,1))</f>
        <v>298</v>
      </c>
      <c r="O492" s="12">
        <f>INDEX([2]关卡!$G$6:$G$2005,A492)</f>
        <v>3</v>
      </c>
      <c r="P492" s="13">
        <v>6</v>
      </c>
      <c r="Q492" s="12">
        <f>INT(P492/$S$15/O492*VLOOKUP(J492,[1]人物技能基础!$N$3:$O$553,2,0)*$U$15)</f>
        <v>9</v>
      </c>
      <c r="R492" s="12">
        <f t="shared" si="75"/>
        <v>112</v>
      </c>
    </row>
    <row r="493" spans="1:18" x14ac:dyDescent="0.15">
      <c r="A493" s="12">
        <v>475</v>
      </c>
      <c r="B493" s="12">
        <f t="shared" si="69"/>
        <v>3</v>
      </c>
      <c r="C493" s="12">
        <f t="shared" si="70"/>
        <v>1.0546875</v>
      </c>
      <c r="D493" s="12">
        <f t="shared" si="71"/>
        <v>1.461749999999995E-2</v>
      </c>
      <c r="E493" s="12">
        <f>SUM($D$19:D493)</f>
        <v>4.2546875000000028</v>
      </c>
      <c r="F493" s="12">
        <f t="shared" si="67"/>
        <v>41.319679663085935</v>
      </c>
      <c r="G493" s="12">
        <f t="shared" si="68"/>
        <v>39.522668334960933</v>
      </c>
      <c r="H493" s="12">
        <f t="shared" si="72"/>
        <v>148700</v>
      </c>
      <c r="I493" s="12">
        <f t="shared" si="73"/>
        <v>142200</v>
      </c>
      <c r="J493" s="12">
        <f>IF(A493&lt;[3]关卡对接!$A$4,INDEX([3]关卡对接!$C$7:$C$141,A493),MATCH(E493,人物经验!$H$24:$H$573,1))</f>
        <v>299</v>
      </c>
      <c r="K493" s="12">
        <f>IF([3]关卡对接!F481="",INT(INDEX(人物经验!$J$24:$J$573,关卡!J493)*关卡!$S$7),[3]关卡对接!F481)</f>
        <v>3706</v>
      </c>
      <c r="L493" s="12">
        <f t="shared" si="74"/>
        <v>1.4</v>
      </c>
      <c r="M493" s="12">
        <f>L493/[4]货币基础!$B$4</f>
        <v>140</v>
      </c>
      <c r="N493" s="12">
        <f>IF(A493&lt;[3]关卡对接!$A$4,INDEX([3]关卡对接!$E$7:$E$141,A493),MATCH(E493,人物经验!$H$24:$H$573,1))</f>
        <v>299</v>
      </c>
      <c r="O493" s="12">
        <f>INDEX([2]关卡!$G$6:$G$2005,A493)</f>
        <v>3</v>
      </c>
      <c r="P493" s="13">
        <v>6</v>
      </c>
      <c r="Q493" s="12">
        <f>INT(P493/$S$15/O493*VLOOKUP(J493,[1]人物技能基础!$N$3:$O$553,2,0)*$U$15)</f>
        <v>9</v>
      </c>
      <c r="R493" s="12">
        <f t="shared" si="75"/>
        <v>112</v>
      </c>
    </row>
    <row r="494" spans="1:18" x14ac:dyDescent="0.15">
      <c r="A494" s="12">
        <v>476</v>
      </c>
      <c r="B494" s="12">
        <f t="shared" si="69"/>
        <v>3</v>
      </c>
      <c r="C494" s="12">
        <f t="shared" si="70"/>
        <v>1.06932</v>
      </c>
      <c r="D494" s="12">
        <f t="shared" si="71"/>
        <v>1.4632500000000048E-2</v>
      </c>
      <c r="E494" s="12">
        <f>SUM($D$19:D494)</f>
        <v>4.2693200000000031</v>
      </c>
      <c r="F494" s="12">
        <f t="shared" si="67"/>
        <v>41.453390151664003</v>
      </c>
      <c r="G494" s="12">
        <f t="shared" si="68"/>
        <v>39.62360235992</v>
      </c>
      <c r="H494" s="12">
        <f t="shared" si="72"/>
        <v>149200</v>
      </c>
      <c r="I494" s="12">
        <f t="shared" si="73"/>
        <v>142600</v>
      </c>
      <c r="J494" s="12">
        <f>IF(A494&lt;[3]关卡对接!$A$4,INDEX([3]关卡对接!$C$7:$C$141,A494),MATCH(E494,人物经验!$H$24:$H$573,1))</f>
        <v>299</v>
      </c>
      <c r="K494" s="12">
        <f>IF([3]关卡对接!F482="",INT(INDEX(人物经验!$J$24:$J$573,关卡!J494)*关卡!$S$7),[3]关卡对接!F482)</f>
        <v>3706</v>
      </c>
      <c r="L494" s="12">
        <f t="shared" si="74"/>
        <v>1.4</v>
      </c>
      <c r="M494" s="12">
        <f>L494/[4]货币基础!$B$4</f>
        <v>140</v>
      </c>
      <c r="N494" s="12">
        <f>IF(A494&lt;[3]关卡对接!$A$4,INDEX([3]关卡对接!$E$7:$E$141,A494),MATCH(E494,人物经验!$H$24:$H$573,1))</f>
        <v>299</v>
      </c>
      <c r="O494" s="12">
        <f>INDEX([2]关卡!$G$6:$G$2005,A494)</f>
        <v>3</v>
      </c>
      <c r="P494" s="13">
        <v>6</v>
      </c>
      <c r="Q494" s="12">
        <f>INT(P494/$S$15/O494*VLOOKUP(J494,[1]人物技能基础!$N$3:$O$553,2,0)*$U$15)</f>
        <v>9</v>
      </c>
      <c r="R494" s="12">
        <f t="shared" si="75"/>
        <v>112</v>
      </c>
    </row>
    <row r="495" spans="1:18" x14ac:dyDescent="0.15">
      <c r="A495" s="12">
        <v>477</v>
      </c>
      <c r="B495" s="12">
        <f t="shared" si="69"/>
        <v>3</v>
      </c>
      <c r="C495" s="12">
        <f t="shared" si="70"/>
        <v>1.0839675000000002</v>
      </c>
      <c r="D495" s="12">
        <f t="shared" si="71"/>
        <v>1.4647500000000147E-2</v>
      </c>
      <c r="E495" s="12">
        <f>SUM($D$19:D495)</f>
        <v>4.2839675000000028</v>
      </c>
      <c r="F495" s="12">
        <f t="shared" si="67"/>
        <v>41.587375543159936</v>
      </c>
      <c r="G495" s="12">
        <f t="shared" si="68"/>
        <v>39.72468107843094</v>
      </c>
      <c r="H495" s="12">
        <f t="shared" si="72"/>
        <v>149700</v>
      </c>
      <c r="I495" s="12">
        <f t="shared" si="73"/>
        <v>143000</v>
      </c>
      <c r="J495" s="12">
        <f>IF(A495&lt;[3]关卡对接!$A$4,INDEX([3]关卡对接!$C$7:$C$141,A495),MATCH(E495,人物经验!$H$24:$H$573,1))</f>
        <v>299</v>
      </c>
      <c r="K495" s="12">
        <f>IF([3]关卡对接!F483="",INT(INDEX(人物经验!$J$24:$J$573,关卡!J495)*关卡!$S$7),[3]关卡对接!F483)</f>
        <v>3706</v>
      </c>
      <c r="L495" s="12">
        <f t="shared" si="74"/>
        <v>1.4</v>
      </c>
      <c r="M495" s="12">
        <f>L495/[4]货币基础!$B$4</f>
        <v>140</v>
      </c>
      <c r="N495" s="12">
        <f>IF(A495&lt;[3]关卡对接!$A$4,INDEX([3]关卡对接!$E$7:$E$141,A495),MATCH(E495,人物经验!$H$24:$H$573,1))</f>
        <v>299</v>
      </c>
      <c r="O495" s="12">
        <f>INDEX([2]关卡!$G$6:$G$2005,A495)</f>
        <v>3</v>
      </c>
      <c r="P495" s="13">
        <v>6</v>
      </c>
      <c r="Q495" s="12">
        <f>INT(P495/$S$15/O495*VLOOKUP(J495,[1]人物技能基础!$N$3:$O$553,2,0)*$U$15)</f>
        <v>9</v>
      </c>
      <c r="R495" s="12">
        <f t="shared" si="75"/>
        <v>112</v>
      </c>
    </row>
    <row r="496" spans="1:18" x14ac:dyDescent="0.15">
      <c r="A496" s="12">
        <v>478</v>
      </c>
      <c r="B496" s="12">
        <f t="shared" si="69"/>
        <v>3</v>
      </c>
      <c r="C496" s="12">
        <f t="shared" si="70"/>
        <v>1.09863</v>
      </c>
      <c r="D496" s="12">
        <f t="shared" si="71"/>
        <v>1.4662499999999801E-2</v>
      </c>
      <c r="E496" s="12">
        <f>SUM($D$19:D496)</f>
        <v>4.2986300000000028</v>
      </c>
      <c r="F496" s="12">
        <f t="shared" si="67"/>
        <v>41.721636347759002</v>
      </c>
      <c r="G496" s="12">
        <f t="shared" si="68"/>
        <v>39.825904670895</v>
      </c>
      <c r="H496" s="12">
        <f t="shared" si="72"/>
        <v>150100</v>
      </c>
      <c r="I496" s="12">
        <f t="shared" si="73"/>
        <v>143300</v>
      </c>
      <c r="J496" s="12">
        <f>IF(A496&lt;[3]关卡对接!$A$4,INDEX([3]关卡对接!$C$7:$C$141,A496),MATCH(E496,人物经验!$H$24:$H$573,1))</f>
        <v>299</v>
      </c>
      <c r="K496" s="12">
        <f>IF([3]关卡对接!F484="",INT(INDEX(人物经验!$J$24:$J$573,关卡!J496)*关卡!$S$7),[3]关卡对接!F484)</f>
        <v>3706</v>
      </c>
      <c r="L496" s="12">
        <f t="shared" si="74"/>
        <v>1.4</v>
      </c>
      <c r="M496" s="12">
        <f>L496/[4]货币基础!$B$4</f>
        <v>140</v>
      </c>
      <c r="N496" s="12">
        <f>IF(A496&lt;[3]关卡对接!$A$4,INDEX([3]关卡对接!$E$7:$E$141,A496),MATCH(E496,人物经验!$H$24:$H$573,1))</f>
        <v>299</v>
      </c>
      <c r="O496" s="12">
        <f>INDEX([2]关卡!$G$6:$G$2005,A496)</f>
        <v>3</v>
      </c>
      <c r="P496" s="13">
        <v>6</v>
      </c>
      <c r="Q496" s="12">
        <f>INT(P496/$S$15/O496*VLOOKUP(J496,[1]人物技能基础!$N$3:$O$553,2,0)*$U$15)</f>
        <v>9</v>
      </c>
      <c r="R496" s="12">
        <f t="shared" si="75"/>
        <v>112</v>
      </c>
    </row>
    <row r="497" spans="1:18" x14ac:dyDescent="0.15">
      <c r="A497" s="12">
        <v>479</v>
      </c>
      <c r="B497" s="12">
        <f t="shared" si="69"/>
        <v>3</v>
      </c>
      <c r="C497" s="12">
        <f t="shared" si="70"/>
        <v>1.1133075000000001</v>
      </c>
      <c r="D497" s="12">
        <f t="shared" si="71"/>
        <v>1.4677500000000121E-2</v>
      </c>
      <c r="E497" s="12">
        <f>SUM($D$19:D497)</f>
        <v>4.3133075000000032</v>
      </c>
      <c r="F497" s="12">
        <f t="shared" si="67"/>
        <v>41.856173076244936</v>
      </c>
      <c r="G497" s="12">
        <f t="shared" si="68"/>
        <v>39.927273317855935</v>
      </c>
      <c r="H497" s="12">
        <f t="shared" si="72"/>
        <v>150600</v>
      </c>
      <c r="I497" s="12">
        <f t="shared" si="73"/>
        <v>143700</v>
      </c>
      <c r="J497" s="12">
        <f>IF(A497&lt;[3]关卡对接!$A$4,INDEX([3]关卡对接!$C$7:$C$141,A497),MATCH(E497,人物经验!$H$24:$H$573,1))</f>
        <v>299</v>
      </c>
      <c r="K497" s="12">
        <f>IF([3]关卡对接!F485="",INT(INDEX(人物经验!$J$24:$J$573,关卡!J497)*关卡!$S$7),[3]关卡对接!F485)</f>
        <v>3706</v>
      </c>
      <c r="L497" s="12">
        <f t="shared" si="74"/>
        <v>1.4</v>
      </c>
      <c r="M497" s="12">
        <f>L497/[4]货币基础!$B$4</f>
        <v>140</v>
      </c>
      <c r="N497" s="12">
        <f>IF(A497&lt;[3]关卡对接!$A$4,INDEX([3]关卡对接!$E$7:$E$141,A497),MATCH(E497,人物经验!$H$24:$H$573,1))</f>
        <v>299</v>
      </c>
      <c r="O497" s="12">
        <f>INDEX([2]关卡!$G$6:$G$2005,A497)</f>
        <v>3</v>
      </c>
      <c r="P497" s="13">
        <v>6</v>
      </c>
      <c r="Q497" s="12">
        <f>INT(P497/$S$15/O497*VLOOKUP(J497,[1]人物技能基础!$N$3:$O$553,2,0)*$U$15)</f>
        <v>9</v>
      </c>
      <c r="R497" s="12">
        <f t="shared" si="75"/>
        <v>112</v>
      </c>
    </row>
    <row r="498" spans="1:18" x14ac:dyDescent="0.15">
      <c r="A498" s="12">
        <v>480</v>
      </c>
      <c r="B498" s="12">
        <f t="shared" si="69"/>
        <v>3</v>
      </c>
      <c r="C498" s="12">
        <f t="shared" si="70"/>
        <v>1.1280000000000001</v>
      </c>
      <c r="D498" s="12">
        <f t="shared" si="71"/>
        <v>1.4692499999999997E-2</v>
      </c>
      <c r="E498" s="12">
        <f>SUM($D$19:D498)</f>
        <v>4.328000000000003</v>
      </c>
      <c r="F498" s="12">
        <f t="shared" si="67"/>
        <v>41.990986239999998</v>
      </c>
      <c r="G498" s="12">
        <f t="shared" si="68"/>
        <v>40.028787199999996</v>
      </c>
      <c r="H498" s="12">
        <f t="shared" si="72"/>
        <v>151100</v>
      </c>
      <c r="I498" s="12">
        <f t="shared" si="73"/>
        <v>144100</v>
      </c>
      <c r="J498" s="12">
        <f>IF(A498&lt;[3]关卡对接!$A$4,INDEX([3]关卡对接!$C$7:$C$141,A498),MATCH(E498,人物经验!$H$24:$H$573,1))</f>
        <v>299</v>
      </c>
      <c r="K498" s="12">
        <f>IF([3]关卡对接!F486="",INT(INDEX(人物经验!$J$24:$J$573,关卡!J498)*关卡!$S$7),[3]关卡对接!F486)</f>
        <v>3706</v>
      </c>
      <c r="L498" s="12">
        <f t="shared" si="74"/>
        <v>1.4</v>
      </c>
      <c r="M498" s="12">
        <f>L498/[4]货币基础!$B$4</f>
        <v>140</v>
      </c>
      <c r="N498" s="12">
        <f>IF(A498&lt;[3]关卡对接!$A$4,INDEX([3]关卡对接!$E$7:$E$141,A498),MATCH(E498,人物经验!$H$24:$H$573,1))</f>
        <v>299</v>
      </c>
      <c r="O498" s="12">
        <f>INDEX([2]关卡!$G$6:$G$2005,A498)</f>
        <v>3</v>
      </c>
      <c r="P498" s="13">
        <v>6</v>
      </c>
      <c r="Q498" s="12">
        <f>INT(P498/$S$15/O498*VLOOKUP(J498,[1]人物技能基础!$N$3:$O$553,2,0)*$U$15)</f>
        <v>9</v>
      </c>
      <c r="R498" s="12">
        <f t="shared" si="75"/>
        <v>112</v>
      </c>
    </row>
    <row r="499" spans="1:18" x14ac:dyDescent="0.15">
      <c r="A499" s="12">
        <v>481</v>
      </c>
      <c r="B499" s="12">
        <f t="shared" si="69"/>
        <v>3</v>
      </c>
      <c r="C499" s="12">
        <f t="shared" si="70"/>
        <v>1.1427075000000002</v>
      </c>
      <c r="D499" s="12">
        <f t="shared" si="71"/>
        <v>1.4707500000000095E-2</v>
      </c>
      <c r="E499" s="12">
        <f>SUM($D$19:D499)</f>
        <v>4.3427075000000031</v>
      </c>
      <c r="F499" s="12">
        <f t="shared" si="67"/>
        <v>42.126076351004933</v>
      </c>
      <c r="G499" s="12">
        <f t="shared" si="68"/>
        <v>40.130446498155941</v>
      </c>
      <c r="H499" s="12">
        <f t="shared" si="72"/>
        <v>151600</v>
      </c>
      <c r="I499" s="12">
        <f t="shared" si="73"/>
        <v>144400</v>
      </c>
      <c r="J499" s="12">
        <f>IF(A499&lt;[3]关卡对接!$A$4,INDEX([3]关卡对接!$C$7:$C$141,A499),MATCH(E499,人物经验!$H$24:$H$573,1))</f>
        <v>299</v>
      </c>
      <c r="K499" s="12">
        <f>IF([3]关卡对接!F487="",INT(INDEX(人物经验!$J$24:$J$573,关卡!J499)*关卡!$S$7),[3]关卡对接!F487)</f>
        <v>3706</v>
      </c>
      <c r="L499" s="12">
        <f t="shared" si="74"/>
        <v>1.4</v>
      </c>
      <c r="M499" s="12">
        <f>L499/[4]货币基础!$B$4</f>
        <v>140</v>
      </c>
      <c r="N499" s="12">
        <f>IF(A499&lt;[3]关卡对接!$A$4,INDEX([3]关卡对接!$E$7:$E$141,A499),MATCH(E499,人物经验!$H$24:$H$573,1))</f>
        <v>299</v>
      </c>
      <c r="O499" s="12">
        <f>INDEX([2]关卡!$G$6:$G$2005,A499)</f>
        <v>3</v>
      </c>
      <c r="P499" s="13">
        <v>6</v>
      </c>
      <c r="Q499" s="12">
        <f>INT(P499/$S$15/O499*VLOOKUP(J499,[1]人物技能基础!$N$3:$O$553,2,0)*$U$15)</f>
        <v>9</v>
      </c>
      <c r="R499" s="12">
        <f t="shared" si="75"/>
        <v>112</v>
      </c>
    </row>
    <row r="500" spans="1:18" x14ac:dyDescent="0.15">
      <c r="A500" s="12">
        <v>482</v>
      </c>
      <c r="B500" s="12">
        <f t="shared" si="69"/>
        <v>3</v>
      </c>
      <c r="C500" s="12">
        <f t="shared" si="70"/>
        <v>1.15743</v>
      </c>
      <c r="D500" s="12">
        <f t="shared" si="71"/>
        <v>1.472249999999975E-2</v>
      </c>
      <c r="E500" s="12">
        <f>SUM($D$19:D500)</f>
        <v>4.3574300000000026</v>
      </c>
      <c r="F500" s="12">
        <f t="shared" si="67"/>
        <v>42.261443921839003</v>
      </c>
      <c r="G500" s="12">
        <f t="shared" si="68"/>
        <v>40.232251393294995</v>
      </c>
      <c r="H500" s="12">
        <f t="shared" si="72"/>
        <v>152100</v>
      </c>
      <c r="I500" s="12">
        <f t="shared" si="73"/>
        <v>144800</v>
      </c>
      <c r="J500" s="12">
        <f>IF(A500&lt;[3]关卡对接!$A$4,INDEX([3]关卡对接!$C$7:$C$141,A500),MATCH(E500,人物经验!$H$24:$H$573,1))</f>
        <v>299</v>
      </c>
      <c r="K500" s="12">
        <f>IF([3]关卡对接!F488="",INT(INDEX(人物经验!$J$24:$J$573,关卡!J500)*关卡!$S$7),[3]关卡对接!F488)</f>
        <v>3706</v>
      </c>
      <c r="L500" s="12">
        <f t="shared" si="74"/>
        <v>1.4</v>
      </c>
      <c r="M500" s="12">
        <f>L500/[4]货币基础!$B$4</f>
        <v>140</v>
      </c>
      <c r="N500" s="12">
        <f>IF(A500&lt;[3]关卡对接!$A$4,INDEX([3]关卡对接!$E$7:$E$141,A500),MATCH(E500,人物经验!$H$24:$H$573,1))</f>
        <v>299</v>
      </c>
      <c r="O500" s="12">
        <f>INDEX([2]关卡!$G$6:$G$2005,A500)</f>
        <v>3</v>
      </c>
      <c r="P500" s="13">
        <v>6</v>
      </c>
      <c r="Q500" s="12">
        <f>INT(P500/$S$15/O500*VLOOKUP(J500,[1]人物技能基础!$N$3:$O$553,2,0)*$U$15)</f>
        <v>9</v>
      </c>
      <c r="R500" s="12">
        <f t="shared" si="75"/>
        <v>112</v>
      </c>
    </row>
    <row r="501" spans="1:18" x14ac:dyDescent="0.15">
      <c r="A501" s="12">
        <v>483</v>
      </c>
      <c r="B501" s="12">
        <f t="shared" si="69"/>
        <v>3</v>
      </c>
      <c r="C501" s="12">
        <f t="shared" si="70"/>
        <v>1.1721675</v>
      </c>
      <c r="D501" s="12">
        <f t="shared" si="71"/>
        <v>1.473750000000007E-2</v>
      </c>
      <c r="E501" s="12">
        <f>SUM($D$19:D501)</f>
        <v>4.3721675000000024</v>
      </c>
      <c r="F501" s="12">
        <f t="shared" si="67"/>
        <v>42.39708946567994</v>
      </c>
      <c r="G501" s="12">
        <f t="shared" si="68"/>
        <v>40.334202066530942</v>
      </c>
      <c r="H501" s="12">
        <f t="shared" si="72"/>
        <v>152600</v>
      </c>
      <c r="I501" s="12">
        <f t="shared" si="73"/>
        <v>145200</v>
      </c>
      <c r="J501" s="12">
        <f>IF(A501&lt;[3]关卡对接!$A$4,INDEX([3]关卡对接!$C$7:$C$141,A501),MATCH(E501,人物经验!$H$24:$H$573,1))</f>
        <v>300</v>
      </c>
      <c r="K501" s="12">
        <f>IF([3]关卡对接!F489="",INT(INDEX(人物经验!$J$24:$J$573,关卡!J501)*关卡!$S$7),[3]关卡对接!F489)</f>
        <v>3803</v>
      </c>
      <c r="L501" s="12">
        <f t="shared" si="74"/>
        <v>1.4</v>
      </c>
      <c r="M501" s="12">
        <f>L501/[4]货币基础!$B$4</f>
        <v>140</v>
      </c>
      <c r="N501" s="12">
        <f>IF(A501&lt;[3]关卡对接!$A$4,INDEX([3]关卡对接!$E$7:$E$141,A501),MATCH(E501,人物经验!$H$24:$H$573,1))</f>
        <v>300</v>
      </c>
      <c r="O501" s="12">
        <f>INDEX([2]关卡!$G$6:$G$2005,A501)</f>
        <v>3</v>
      </c>
      <c r="P501" s="13">
        <v>6</v>
      </c>
      <c r="Q501" s="12">
        <f>INT(P501/$S$15/O501*VLOOKUP(J501,[1]人物技能基础!$N$3:$O$553,2,0)*$U$15)</f>
        <v>9</v>
      </c>
      <c r="R501" s="12">
        <f t="shared" si="75"/>
        <v>112</v>
      </c>
    </row>
    <row r="502" spans="1:18" x14ac:dyDescent="0.15">
      <c r="A502" s="12">
        <v>484</v>
      </c>
      <c r="B502" s="12">
        <f t="shared" si="69"/>
        <v>3</v>
      </c>
      <c r="C502" s="12">
        <f t="shared" si="70"/>
        <v>1.18692</v>
      </c>
      <c r="D502" s="12">
        <f t="shared" si="71"/>
        <v>1.4752499999999946E-2</v>
      </c>
      <c r="E502" s="12">
        <f>SUM($D$19:D502)</f>
        <v>4.3869200000000026</v>
      </c>
      <c r="F502" s="12">
        <f t="shared" si="67"/>
        <v>42.533013496304001</v>
      </c>
      <c r="G502" s="12">
        <f t="shared" si="68"/>
        <v>40.436298699119995</v>
      </c>
      <c r="H502" s="12">
        <f t="shared" si="72"/>
        <v>153100</v>
      </c>
      <c r="I502" s="12">
        <f t="shared" si="73"/>
        <v>145500</v>
      </c>
      <c r="J502" s="12">
        <f>IF(A502&lt;[3]关卡对接!$A$4,INDEX([3]关卡对接!$C$7:$C$141,A502),MATCH(E502,人物经验!$H$24:$H$573,1))</f>
        <v>300</v>
      </c>
      <c r="K502" s="12">
        <f>IF([3]关卡对接!F490="",INT(INDEX(人物经验!$J$24:$J$573,关卡!J502)*关卡!$S$7),[3]关卡对接!F490)</f>
        <v>3803</v>
      </c>
      <c r="L502" s="12">
        <f t="shared" si="74"/>
        <v>1.4</v>
      </c>
      <c r="M502" s="12">
        <f>L502/[4]货币基础!$B$4</f>
        <v>140</v>
      </c>
      <c r="N502" s="12">
        <f>IF(A502&lt;[3]关卡对接!$A$4,INDEX([3]关卡对接!$E$7:$E$141,A502),MATCH(E502,人物经验!$H$24:$H$573,1))</f>
        <v>300</v>
      </c>
      <c r="O502" s="12">
        <f>INDEX([2]关卡!$G$6:$G$2005,A502)</f>
        <v>3</v>
      </c>
      <c r="P502" s="13">
        <v>6</v>
      </c>
      <c r="Q502" s="12">
        <f>INT(P502/$S$15/O502*VLOOKUP(J502,[1]人物技能基础!$N$3:$O$553,2,0)*$U$15)</f>
        <v>9</v>
      </c>
      <c r="R502" s="12">
        <f t="shared" si="75"/>
        <v>112</v>
      </c>
    </row>
    <row r="503" spans="1:18" x14ac:dyDescent="0.15">
      <c r="A503" s="12">
        <v>485</v>
      </c>
      <c r="B503" s="12">
        <f t="shared" si="69"/>
        <v>3</v>
      </c>
      <c r="C503" s="12">
        <f t="shared" si="70"/>
        <v>1.2016875</v>
      </c>
      <c r="D503" s="12">
        <f t="shared" si="71"/>
        <v>1.4767500000000044E-2</v>
      </c>
      <c r="E503" s="12">
        <f>SUM($D$19:D503)</f>
        <v>4.4016875000000031</v>
      </c>
      <c r="F503" s="12">
        <f t="shared" si="67"/>
        <v>42.66921652808594</v>
      </c>
      <c r="G503" s="12">
        <f t="shared" si="68"/>
        <v>40.538541472460935</v>
      </c>
      <c r="H503" s="12">
        <f t="shared" si="72"/>
        <v>153600</v>
      </c>
      <c r="I503" s="12">
        <f t="shared" si="73"/>
        <v>145900</v>
      </c>
      <c r="J503" s="12">
        <f>IF(A503&lt;[3]关卡对接!$A$4,INDEX([3]关卡对接!$C$7:$C$141,A503),MATCH(E503,人物经验!$H$24:$H$573,1))</f>
        <v>300</v>
      </c>
      <c r="K503" s="12">
        <f>IF([3]关卡对接!F491="",INT(INDEX(人物经验!$J$24:$J$573,关卡!J503)*关卡!$S$7),[3]关卡对接!F491)</f>
        <v>3803</v>
      </c>
      <c r="L503" s="12">
        <f t="shared" si="74"/>
        <v>1.4</v>
      </c>
      <c r="M503" s="12">
        <f>L503/[4]货币基础!$B$4</f>
        <v>140</v>
      </c>
      <c r="N503" s="12">
        <f>IF(A503&lt;[3]关卡对接!$A$4,INDEX([3]关卡对接!$E$7:$E$141,A503),MATCH(E503,人物经验!$H$24:$H$573,1))</f>
        <v>300</v>
      </c>
      <c r="O503" s="12">
        <f>INDEX([2]关卡!$G$6:$G$2005,A503)</f>
        <v>3</v>
      </c>
      <c r="P503" s="13">
        <v>6</v>
      </c>
      <c r="Q503" s="12">
        <f>INT(P503/$S$15/O503*VLOOKUP(J503,[1]人物技能基础!$N$3:$O$553,2,0)*$U$15)</f>
        <v>9</v>
      </c>
      <c r="R503" s="12">
        <f t="shared" si="75"/>
        <v>112</v>
      </c>
    </row>
    <row r="504" spans="1:18" x14ac:dyDescent="0.15">
      <c r="A504" s="12">
        <v>486</v>
      </c>
      <c r="B504" s="12">
        <f t="shared" si="69"/>
        <v>3</v>
      </c>
      <c r="C504" s="12">
        <f t="shared" si="70"/>
        <v>1.2164700000000002</v>
      </c>
      <c r="D504" s="12">
        <f t="shared" si="71"/>
        <v>1.4782500000000143E-2</v>
      </c>
      <c r="E504" s="12">
        <f>SUM($D$19:D504)</f>
        <v>4.416470000000003</v>
      </c>
      <c r="F504" s="12">
        <f t="shared" si="67"/>
        <v>42.805699075999001</v>
      </c>
      <c r="G504" s="12">
        <f t="shared" si="68"/>
        <v>40.640930568095008</v>
      </c>
      <c r="H504" s="12">
        <f t="shared" si="72"/>
        <v>154100</v>
      </c>
      <c r="I504" s="12">
        <f t="shared" si="73"/>
        <v>146300</v>
      </c>
      <c r="J504" s="12">
        <f>IF(A504&lt;[3]关卡对接!$A$4,INDEX([3]关卡对接!$C$7:$C$141,A504),MATCH(E504,人物经验!$H$24:$H$573,1))</f>
        <v>300</v>
      </c>
      <c r="K504" s="12">
        <f>IF([3]关卡对接!F492="",INT(INDEX(人物经验!$J$24:$J$573,关卡!J504)*关卡!$S$7),[3]关卡对接!F492)</f>
        <v>3803</v>
      </c>
      <c r="L504" s="12">
        <f t="shared" si="74"/>
        <v>1.4</v>
      </c>
      <c r="M504" s="12">
        <f>L504/[4]货币基础!$B$4</f>
        <v>140</v>
      </c>
      <c r="N504" s="12">
        <f>IF(A504&lt;[3]关卡对接!$A$4,INDEX([3]关卡对接!$E$7:$E$141,A504),MATCH(E504,人物经验!$H$24:$H$573,1))</f>
        <v>300</v>
      </c>
      <c r="O504" s="12">
        <f>INDEX([2]关卡!$G$6:$G$2005,A504)</f>
        <v>3</v>
      </c>
      <c r="P504" s="13">
        <v>6</v>
      </c>
      <c r="Q504" s="12">
        <f>INT(P504/$S$15/O504*VLOOKUP(J504,[1]人物技能基础!$N$3:$O$553,2,0)*$U$15)</f>
        <v>9</v>
      </c>
      <c r="R504" s="12">
        <f t="shared" si="75"/>
        <v>112</v>
      </c>
    </row>
    <row r="505" spans="1:18" x14ac:dyDescent="0.15">
      <c r="A505" s="12">
        <v>487</v>
      </c>
      <c r="B505" s="12">
        <f t="shared" si="69"/>
        <v>3</v>
      </c>
      <c r="C505" s="12">
        <f t="shared" si="70"/>
        <v>1.2312675</v>
      </c>
      <c r="D505" s="12">
        <f t="shared" si="71"/>
        <v>1.4797499999999797E-2</v>
      </c>
      <c r="E505" s="12">
        <f>SUM($D$19:D505)</f>
        <v>4.4312675000000024</v>
      </c>
      <c r="F505" s="12">
        <f t="shared" si="67"/>
        <v>42.942461655614942</v>
      </c>
      <c r="G505" s="12">
        <f t="shared" si="68"/>
        <v>40.74346616770594</v>
      </c>
      <c r="H505" s="12">
        <f t="shared" si="72"/>
        <v>154500</v>
      </c>
      <c r="I505" s="12">
        <f t="shared" si="73"/>
        <v>146600</v>
      </c>
      <c r="J505" s="12">
        <f>IF(A505&lt;[3]关卡对接!$A$4,INDEX([3]关卡对接!$C$7:$C$141,A505),MATCH(E505,人物经验!$H$24:$H$573,1))</f>
        <v>300</v>
      </c>
      <c r="K505" s="12">
        <f>IF([3]关卡对接!F493="",INT(INDEX(人物经验!$J$24:$J$573,关卡!J505)*关卡!$S$7),[3]关卡对接!F493)</f>
        <v>3803</v>
      </c>
      <c r="L505" s="12">
        <f t="shared" si="74"/>
        <v>1.4</v>
      </c>
      <c r="M505" s="12">
        <f>L505/[4]货币基础!$B$4</f>
        <v>140</v>
      </c>
      <c r="N505" s="12">
        <f>IF(A505&lt;[3]关卡对接!$A$4,INDEX([3]关卡对接!$E$7:$E$141,A505),MATCH(E505,人物经验!$H$24:$H$573,1))</f>
        <v>300</v>
      </c>
      <c r="O505" s="12">
        <f>INDEX([2]关卡!$G$6:$G$2005,A505)</f>
        <v>3</v>
      </c>
      <c r="P505" s="13">
        <v>6</v>
      </c>
      <c r="Q505" s="12">
        <f>INT(P505/$S$15/O505*VLOOKUP(J505,[1]人物技能基础!$N$3:$O$553,2,0)*$U$15)</f>
        <v>9</v>
      </c>
      <c r="R505" s="12">
        <f t="shared" si="75"/>
        <v>112</v>
      </c>
    </row>
    <row r="506" spans="1:18" x14ac:dyDescent="0.15">
      <c r="A506" s="12">
        <v>488</v>
      </c>
      <c r="B506" s="12">
        <f t="shared" si="69"/>
        <v>3</v>
      </c>
      <c r="C506" s="12">
        <f t="shared" si="70"/>
        <v>1.2460800000000001</v>
      </c>
      <c r="D506" s="12">
        <f t="shared" si="71"/>
        <v>1.4812500000000117E-2</v>
      </c>
      <c r="E506" s="12">
        <f>SUM($D$19:D506)</f>
        <v>4.446080000000002</v>
      </c>
      <c r="F506" s="12">
        <f t="shared" si="67"/>
        <v>43.079504783103999</v>
      </c>
      <c r="G506" s="12">
        <f t="shared" si="68"/>
        <v>40.846148453120001</v>
      </c>
      <c r="H506" s="12">
        <f t="shared" si="72"/>
        <v>155000</v>
      </c>
      <c r="I506" s="12">
        <f t="shared" si="73"/>
        <v>147000</v>
      </c>
      <c r="J506" s="12">
        <f>IF(A506&lt;[3]关卡对接!$A$4,INDEX([3]关卡对接!$C$7:$C$141,A506),MATCH(E506,人物经验!$H$24:$H$573,1))</f>
        <v>300</v>
      </c>
      <c r="K506" s="12">
        <f>IF([3]关卡对接!F494="",INT(INDEX(人物经验!$J$24:$J$573,关卡!J506)*关卡!$S$7),[3]关卡对接!F494)</f>
        <v>3803</v>
      </c>
      <c r="L506" s="12">
        <f t="shared" si="74"/>
        <v>1.4</v>
      </c>
      <c r="M506" s="12">
        <f>L506/[4]货币基础!$B$4</f>
        <v>140</v>
      </c>
      <c r="N506" s="12">
        <f>IF(A506&lt;[3]关卡对接!$A$4,INDEX([3]关卡对接!$E$7:$E$141,A506),MATCH(E506,人物经验!$H$24:$H$573,1))</f>
        <v>300</v>
      </c>
      <c r="O506" s="12">
        <f>INDEX([2]关卡!$G$6:$G$2005,A506)</f>
        <v>3</v>
      </c>
      <c r="P506" s="13">
        <v>6</v>
      </c>
      <c r="Q506" s="12">
        <f>INT(P506/$S$15/O506*VLOOKUP(J506,[1]人物技能基础!$N$3:$O$553,2,0)*$U$15)</f>
        <v>9</v>
      </c>
      <c r="R506" s="12">
        <f t="shared" si="75"/>
        <v>112</v>
      </c>
    </row>
    <row r="507" spans="1:18" x14ac:dyDescent="0.15">
      <c r="A507" s="12">
        <v>489</v>
      </c>
      <c r="B507" s="12">
        <f t="shared" si="69"/>
        <v>3</v>
      </c>
      <c r="C507" s="12">
        <f t="shared" si="70"/>
        <v>1.2609075000000001</v>
      </c>
      <c r="D507" s="12">
        <f t="shared" si="71"/>
        <v>1.4827499999999993E-2</v>
      </c>
      <c r="E507" s="12">
        <f>SUM($D$19:D507)</f>
        <v>4.460907500000002</v>
      </c>
      <c r="F507" s="12">
        <f t="shared" si="67"/>
        <v>43.216828975234939</v>
      </c>
      <c r="G507" s="12">
        <f t="shared" si="68"/>
        <v>40.948977606305931</v>
      </c>
      <c r="H507" s="12">
        <f t="shared" si="72"/>
        <v>155500</v>
      </c>
      <c r="I507" s="12">
        <f t="shared" si="73"/>
        <v>147400</v>
      </c>
      <c r="J507" s="12">
        <f>IF(A507&lt;[3]关卡对接!$A$4,INDEX([3]关卡对接!$C$7:$C$141,A507),MATCH(E507,人物经验!$H$24:$H$573,1))</f>
        <v>300</v>
      </c>
      <c r="K507" s="12">
        <f>IF([3]关卡对接!F495="",INT(INDEX(人物经验!$J$24:$J$573,关卡!J507)*关卡!$S$7),[3]关卡对接!F495)</f>
        <v>3803</v>
      </c>
      <c r="L507" s="12">
        <f t="shared" si="74"/>
        <v>1.4</v>
      </c>
      <c r="M507" s="12">
        <f>L507/[4]货币基础!$B$4</f>
        <v>140</v>
      </c>
      <c r="N507" s="12">
        <f>IF(A507&lt;[3]关卡对接!$A$4,INDEX([3]关卡对接!$E$7:$E$141,A507),MATCH(E507,人物经验!$H$24:$H$573,1))</f>
        <v>300</v>
      </c>
      <c r="O507" s="12">
        <f>INDEX([2]关卡!$G$6:$G$2005,A507)</f>
        <v>3</v>
      </c>
      <c r="P507" s="13">
        <v>6</v>
      </c>
      <c r="Q507" s="12">
        <f>INT(P507/$S$15/O507*VLOOKUP(J507,[1]人物技能基础!$N$3:$O$553,2,0)*$U$15)</f>
        <v>9</v>
      </c>
      <c r="R507" s="12">
        <f t="shared" si="75"/>
        <v>112</v>
      </c>
    </row>
    <row r="508" spans="1:18" x14ac:dyDescent="0.15">
      <c r="A508" s="12">
        <v>490</v>
      </c>
      <c r="B508" s="12">
        <f t="shared" si="69"/>
        <v>3</v>
      </c>
      <c r="C508" s="12">
        <f t="shared" si="70"/>
        <v>1.2757499999999999</v>
      </c>
      <c r="D508" s="12">
        <f t="shared" si="71"/>
        <v>1.484249999999987E-2</v>
      </c>
      <c r="E508" s="12">
        <f>SUM($D$19:D508)</f>
        <v>4.4757500000000014</v>
      </c>
      <c r="F508" s="12">
        <f t="shared" si="67"/>
        <v>43.354434749375002</v>
      </c>
      <c r="G508" s="12">
        <f t="shared" si="68"/>
        <v>41.051953809375007</v>
      </c>
      <c r="H508" s="12">
        <f t="shared" si="72"/>
        <v>156000</v>
      </c>
      <c r="I508" s="12">
        <f t="shared" si="73"/>
        <v>147700</v>
      </c>
      <c r="J508" s="12">
        <f>IF(A508&lt;[3]关卡对接!$A$4,INDEX([3]关卡对接!$C$7:$C$141,A508),MATCH(E508,人物经验!$H$24:$H$573,1))</f>
        <v>300</v>
      </c>
      <c r="K508" s="12">
        <f>IF([3]关卡对接!F496="",INT(INDEX(人物经验!$J$24:$J$573,关卡!J508)*关卡!$S$7),[3]关卡对接!F496)</f>
        <v>3803</v>
      </c>
      <c r="L508" s="12">
        <f t="shared" si="74"/>
        <v>1.4</v>
      </c>
      <c r="M508" s="12">
        <f>L508/[4]货币基础!$B$4</f>
        <v>140</v>
      </c>
      <c r="N508" s="12">
        <f>IF(A508&lt;[3]关卡对接!$A$4,INDEX([3]关卡对接!$E$7:$E$141,A508),MATCH(E508,人物经验!$H$24:$H$573,1))</f>
        <v>300</v>
      </c>
      <c r="O508" s="12">
        <f>INDEX([2]关卡!$G$6:$G$2005,A508)</f>
        <v>3</v>
      </c>
      <c r="P508" s="13">
        <v>6</v>
      </c>
      <c r="Q508" s="12">
        <f>INT(P508/$S$15/O508*VLOOKUP(J508,[1]人物技能基础!$N$3:$O$553,2,0)*$U$15)</f>
        <v>9</v>
      </c>
      <c r="R508" s="12">
        <f t="shared" si="75"/>
        <v>112</v>
      </c>
    </row>
    <row r="509" spans="1:18" x14ac:dyDescent="0.15">
      <c r="A509" s="12">
        <v>491</v>
      </c>
      <c r="B509" s="12">
        <f t="shared" si="69"/>
        <v>3</v>
      </c>
      <c r="C509" s="12">
        <f t="shared" si="70"/>
        <v>1.2906075000000001</v>
      </c>
      <c r="D509" s="12">
        <f t="shared" si="71"/>
        <v>1.485750000000019E-2</v>
      </c>
      <c r="E509" s="12">
        <f>SUM($D$19:D509)</f>
        <v>4.4906075000000012</v>
      </c>
      <c r="F509" s="12">
        <f t="shared" si="67"/>
        <v>43.49232262348994</v>
      </c>
      <c r="G509" s="12">
        <f t="shared" si="68"/>
        <v>41.155077244580937</v>
      </c>
      <c r="H509" s="12">
        <f t="shared" si="72"/>
        <v>156500</v>
      </c>
      <c r="I509" s="12">
        <f t="shared" si="73"/>
        <v>148100</v>
      </c>
      <c r="J509" s="12">
        <f>IF(A509&lt;[3]关卡对接!$A$4,INDEX([3]关卡对接!$C$7:$C$141,A509),MATCH(E509,人物经验!$H$24:$H$573,1))</f>
        <v>300</v>
      </c>
      <c r="K509" s="12">
        <f>IF([3]关卡对接!F497="",INT(INDEX(人物经验!$J$24:$J$573,关卡!J509)*关卡!$S$7),[3]关卡对接!F497)</f>
        <v>3803</v>
      </c>
      <c r="L509" s="12">
        <f t="shared" si="74"/>
        <v>1.4</v>
      </c>
      <c r="M509" s="12">
        <f>L509/[4]货币基础!$B$4</f>
        <v>140</v>
      </c>
      <c r="N509" s="12">
        <f>IF(A509&lt;[3]关卡对接!$A$4,INDEX([3]关卡对接!$E$7:$E$141,A509),MATCH(E509,人物经验!$H$24:$H$573,1))</f>
        <v>300</v>
      </c>
      <c r="O509" s="12">
        <f>INDEX([2]关卡!$G$6:$G$2005,A509)</f>
        <v>3</v>
      </c>
      <c r="P509" s="13">
        <v>6</v>
      </c>
      <c r="Q509" s="12">
        <f>INT(P509/$S$15/O509*VLOOKUP(J509,[1]人物技能基础!$N$3:$O$553,2,0)*$U$15)</f>
        <v>9</v>
      </c>
      <c r="R509" s="12">
        <f t="shared" si="75"/>
        <v>112</v>
      </c>
    </row>
    <row r="510" spans="1:18" x14ac:dyDescent="0.15">
      <c r="A510" s="12">
        <v>492</v>
      </c>
      <c r="B510" s="12">
        <f t="shared" si="69"/>
        <v>3</v>
      </c>
      <c r="C510" s="12">
        <f t="shared" si="70"/>
        <v>1.3054800000000002</v>
      </c>
      <c r="D510" s="12">
        <f t="shared" si="71"/>
        <v>1.4872500000000066E-2</v>
      </c>
      <c r="E510" s="12">
        <f>SUM($D$19:D510)</f>
        <v>4.5054800000000013</v>
      </c>
      <c r="F510" s="12">
        <f t="shared" si="67"/>
        <v>43.630493116144009</v>
      </c>
      <c r="G510" s="12">
        <f t="shared" si="68"/>
        <v>41.258348094319999</v>
      </c>
      <c r="H510" s="12">
        <f t="shared" si="72"/>
        <v>157000</v>
      </c>
      <c r="I510" s="12">
        <f t="shared" si="73"/>
        <v>148500</v>
      </c>
      <c r="J510" s="12">
        <f>IF(A510&lt;[3]关卡对接!$A$4,INDEX([3]关卡对接!$C$7:$C$141,A510),MATCH(E510,人物经验!$H$24:$H$573,1))</f>
        <v>301</v>
      </c>
      <c r="K510" s="12">
        <f>IF([3]关卡对接!F498="",INT(INDEX(人物经验!$J$24:$J$573,关卡!J510)*关卡!$S$7),[3]关卡对接!F498)</f>
        <v>3914</v>
      </c>
      <c r="L510" s="12">
        <f t="shared" si="74"/>
        <v>1.4</v>
      </c>
      <c r="M510" s="12">
        <f>L510/[4]货币基础!$B$4</f>
        <v>140</v>
      </c>
      <c r="N510" s="12">
        <f>IF(A510&lt;[3]关卡对接!$A$4,INDEX([3]关卡对接!$E$7:$E$141,A510),MATCH(E510,人物经验!$H$24:$H$573,1))</f>
        <v>301</v>
      </c>
      <c r="O510" s="12">
        <f>INDEX([2]关卡!$G$6:$G$2005,A510)</f>
        <v>3</v>
      </c>
      <c r="P510" s="13">
        <v>6</v>
      </c>
      <c r="Q510" s="12">
        <f>INT(P510/$S$15/O510*VLOOKUP(J510,[1]人物技能基础!$N$3:$O$553,2,0)*$U$15)</f>
        <v>9</v>
      </c>
      <c r="R510" s="12">
        <f t="shared" si="75"/>
        <v>112</v>
      </c>
    </row>
    <row r="511" spans="1:18" x14ac:dyDescent="0.15">
      <c r="A511" s="12">
        <v>493</v>
      </c>
      <c r="B511" s="12">
        <f t="shared" si="69"/>
        <v>3</v>
      </c>
      <c r="C511" s="12">
        <f t="shared" si="70"/>
        <v>1.3203675000000001</v>
      </c>
      <c r="D511" s="12">
        <f t="shared" si="71"/>
        <v>1.4887499999999942E-2</v>
      </c>
      <c r="E511" s="12">
        <f>SUM($D$19:D511)</f>
        <v>4.5203675000000008</v>
      </c>
      <c r="F511" s="12">
        <f t="shared" si="67"/>
        <v>43.768946746499942</v>
      </c>
      <c r="G511" s="12">
        <f t="shared" si="68"/>
        <v>41.36176654113094</v>
      </c>
      <c r="H511" s="12">
        <f t="shared" si="72"/>
        <v>157500</v>
      </c>
      <c r="I511" s="12">
        <f t="shared" si="73"/>
        <v>148900</v>
      </c>
      <c r="J511" s="12">
        <f>IF(A511&lt;[3]关卡对接!$A$4,INDEX([3]关卡对接!$C$7:$C$141,A511),MATCH(E511,人物经验!$H$24:$H$573,1))</f>
        <v>301</v>
      </c>
      <c r="K511" s="12">
        <f>IF([3]关卡对接!F499="",INT(INDEX(人物经验!$J$24:$J$573,关卡!J511)*关卡!$S$7),[3]关卡对接!F499)</f>
        <v>3914</v>
      </c>
      <c r="L511" s="12">
        <f t="shared" si="74"/>
        <v>1.4</v>
      </c>
      <c r="M511" s="12">
        <f>L511/[4]货币基础!$B$4</f>
        <v>140</v>
      </c>
      <c r="N511" s="12">
        <f>IF(A511&lt;[3]关卡对接!$A$4,INDEX([3]关卡对接!$E$7:$E$141,A511),MATCH(E511,人物经验!$H$24:$H$573,1))</f>
        <v>301</v>
      </c>
      <c r="O511" s="12">
        <f>INDEX([2]关卡!$G$6:$G$2005,A511)</f>
        <v>3</v>
      </c>
      <c r="P511" s="13">
        <v>6</v>
      </c>
      <c r="Q511" s="12">
        <f>INT(P511/$S$15/O511*VLOOKUP(J511,[1]人物技能基础!$N$3:$O$553,2,0)*$U$15)</f>
        <v>9</v>
      </c>
      <c r="R511" s="12">
        <f t="shared" si="75"/>
        <v>112</v>
      </c>
    </row>
    <row r="512" spans="1:18" x14ac:dyDescent="0.15">
      <c r="A512" s="12">
        <v>494</v>
      </c>
      <c r="B512" s="12">
        <f t="shared" si="69"/>
        <v>3</v>
      </c>
      <c r="C512" s="12">
        <f t="shared" si="70"/>
        <v>1.33527</v>
      </c>
      <c r="D512" s="12">
        <f t="shared" si="71"/>
        <v>1.4902499999999819E-2</v>
      </c>
      <c r="E512" s="12">
        <f>SUM($D$19:D512)</f>
        <v>4.5352700000000006</v>
      </c>
      <c r="F512" s="12">
        <f t="shared" si="67"/>
        <v>43.907684034319004</v>
      </c>
      <c r="G512" s="12">
        <f t="shared" si="68"/>
        <v>41.465332767694996</v>
      </c>
      <c r="H512" s="12">
        <f t="shared" si="72"/>
        <v>158000</v>
      </c>
      <c r="I512" s="12">
        <f t="shared" si="73"/>
        <v>149200</v>
      </c>
      <c r="J512" s="12">
        <f>IF(A512&lt;[3]关卡对接!$A$4,INDEX([3]关卡对接!$C$7:$C$141,A512),MATCH(E512,人物经验!$H$24:$H$573,1))</f>
        <v>301</v>
      </c>
      <c r="K512" s="12">
        <f>IF([3]关卡对接!F500="",INT(INDEX(人物经验!$J$24:$J$573,关卡!J512)*关卡!$S$7),[3]关卡对接!F500)</f>
        <v>3914</v>
      </c>
      <c r="L512" s="12">
        <f t="shared" si="74"/>
        <v>1.4</v>
      </c>
      <c r="M512" s="12">
        <f>L512/[4]货币基础!$B$4</f>
        <v>140</v>
      </c>
      <c r="N512" s="12">
        <f>IF(A512&lt;[3]关卡对接!$A$4,INDEX([3]关卡对接!$E$7:$E$141,A512),MATCH(E512,人物经验!$H$24:$H$573,1))</f>
        <v>301</v>
      </c>
      <c r="O512" s="12">
        <f>INDEX([2]关卡!$G$6:$G$2005,A512)</f>
        <v>3</v>
      </c>
      <c r="P512" s="13">
        <v>6</v>
      </c>
      <c r="Q512" s="12">
        <f>INT(P512/$S$15/O512*VLOOKUP(J512,[1]人物技能基础!$N$3:$O$553,2,0)*$U$15)</f>
        <v>9</v>
      </c>
      <c r="R512" s="12">
        <f t="shared" si="75"/>
        <v>112</v>
      </c>
    </row>
    <row r="513" spans="1:18" x14ac:dyDescent="0.15">
      <c r="A513" s="12">
        <v>495</v>
      </c>
      <c r="B513" s="12">
        <f t="shared" si="69"/>
        <v>3</v>
      </c>
      <c r="C513" s="12">
        <f t="shared" si="70"/>
        <v>1.3501874999999999</v>
      </c>
      <c r="D513" s="12">
        <f t="shared" si="71"/>
        <v>1.4917499999999917E-2</v>
      </c>
      <c r="E513" s="12">
        <f>SUM($D$19:D513)</f>
        <v>4.5501875000000007</v>
      </c>
      <c r="F513" s="12">
        <f t="shared" si="67"/>
        <v>44.046705499960936</v>
      </c>
      <c r="G513" s="12">
        <f t="shared" si="68"/>
        <v>41.569046956835933</v>
      </c>
      <c r="H513" s="12">
        <f t="shared" si="72"/>
        <v>158500</v>
      </c>
      <c r="I513" s="12">
        <f t="shared" si="73"/>
        <v>149600</v>
      </c>
      <c r="J513" s="12">
        <f>IF(A513&lt;[3]关卡对接!$A$4,INDEX([3]关卡对接!$C$7:$C$141,A513),MATCH(E513,人物经验!$H$24:$H$573,1))</f>
        <v>301</v>
      </c>
      <c r="K513" s="12">
        <f>IF([3]关卡对接!F501="",INT(INDEX(人物经验!$J$24:$J$573,关卡!J513)*关卡!$S$7),[3]关卡对接!F501)</f>
        <v>3914</v>
      </c>
      <c r="L513" s="12">
        <f t="shared" si="74"/>
        <v>1.4</v>
      </c>
      <c r="M513" s="12">
        <f>L513/[4]货币基础!$B$4</f>
        <v>140</v>
      </c>
      <c r="N513" s="12">
        <f>IF(A513&lt;[3]关卡对接!$A$4,INDEX([3]关卡对接!$E$7:$E$141,A513),MATCH(E513,人物经验!$H$24:$H$573,1))</f>
        <v>301</v>
      </c>
      <c r="O513" s="12">
        <f>INDEX([2]关卡!$G$6:$G$2005,A513)</f>
        <v>3</v>
      </c>
      <c r="P513" s="13">
        <v>6</v>
      </c>
      <c r="Q513" s="12">
        <f>INT(P513/$S$15/O513*VLOOKUP(J513,[1]人物技能基础!$N$3:$O$553,2,0)*$U$15)</f>
        <v>9</v>
      </c>
      <c r="R513" s="12">
        <f t="shared" si="75"/>
        <v>112</v>
      </c>
    </row>
    <row r="514" spans="1:18" x14ac:dyDescent="0.15">
      <c r="A514" s="12">
        <v>496</v>
      </c>
      <c r="B514" s="12">
        <f t="shared" si="69"/>
        <v>3</v>
      </c>
      <c r="C514" s="12">
        <f t="shared" si="70"/>
        <v>1.3651200000000001</v>
      </c>
      <c r="D514" s="12">
        <f t="shared" si="71"/>
        <v>1.4932500000000237E-2</v>
      </c>
      <c r="E514" s="12">
        <f>SUM($D$19:D514)</f>
        <v>4.5651200000000012</v>
      </c>
      <c r="F514" s="12">
        <f t="shared" si="67"/>
        <v>44.186011664384004</v>
      </c>
      <c r="G514" s="12">
        <f t="shared" si="68"/>
        <v>41.672909291520007</v>
      </c>
      <c r="H514" s="12">
        <f t="shared" si="72"/>
        <v>159000</v>
      </c>
      <c r="I514" s="12">
        <f t="shared" si="73"/>
        <v>150000</v>
      </c>
      <c r="J514" s="12">
        <f>IF(A514&lt;[3]关卡对接!$A$4,INDEX([3]关卡对接!$C$7:$C$141,A514),MATCH(E514,人物经验!$H$24:$H$573,1))</f>
        <v>301</v>
      </c>
      <c r="K514" s="12">
        <f>IF([3]关卡对接!F502="",INT(INDEX(人物经验!$J$24:$J$573,关卡!J514)*关卡!$S$7),[3]关卡对接!F502)</f>
        <v>3914</v>
      </c>
      <c r="L514" s="12">
        <f t="shared" si="74"/>
        <v>1.4</v>
      </c>
      <c r="M514" s="12">
        <f>L514/[4]货币基础!$B$4</f>
        <v>140</v>
      </c>
      <c r="N514" s="12">
        <f>IF(A514&lt;[3]关卡对接!$A$4,INDEX([3]关卡对接!$E$7:$E$141,A514),MATCH(E514,人物经验!$H$24:$H$573,1))</f>
        <v>301</v>
      </c>
      <c r="O514" s="12">
        <f>INDEX([2]关卡!$G$6:$G$2005,A514)</f>
        <v>3</v>
      </c>
      <c r="P514" s="13">
        <v>6</v>
      </c>
      <c r="Q514" s="12">
        <f>INT(P514/$S$15/O514*VLOOKUP(J514,[1]人物技能基础!$N$3:$O$553,2,0)*$U$15)</f>
        <v>9</v>
      </c>
      <c r="R514" s="12">
        <f t="shared" si="75"/>
        <v>112</v>
      </c>
    </row>
    <row r="515" spans="1:18" x14ac:dyDescent="0.15">
      <c r="A515" s="12">
        <v>497</v>
      </c>
      <c r="B515" s="12">
        <f t="shared" si="69"/>
        <v>3</v>
      </c>
      <c r="C515" s="12">
        <f t="shared" si="70"/>
        <v>1.3800675</v>
      </c>
      <c r="D515" s="12">
        <f t="shared" si="71"/>
        <v>1.4947499999999891E-2</v>
      </c>
      <c r="E515" s="12">
        <f>SUM($D$19:D515)</f>
        <v>4.5800675000000011</v>
      </c>
      <c r="F515" s="12">
        <f t="shared" si="67"/>
        <v>44.325603049144938</v>
      </c>
      <c r="G515" s="12">
        <f t="shared" si="68"/>
        <v>41.776919954855934</v>
      </c>
      <c r="H515" s="12">
        <f t="shared" si="72"/>
        <v>159500</v>
      </c>
      <c r="I515" s="12">
        <f t="shared" si="73"/>
        <v>150300</v>
      </c>
      <c r="J515" s="12">
        <f>IF(A515&lt;[3]关卡对接!$A$4,INDEX([3]关卡对接!$C$7:$C$141,A515),MATCH(E515,人物经验!$H$24:$H$573,1))</f>
        <v>301</v>
      </c>
      <c r="K515" s="12">
        <f>IF([3]关卡对接!F503="",INT(INDEX(人物经验!$J$24:$J$573,关卡!J515)*关卡!$S$7),[3]关卡对接!F503)</f>
        <v>3914</v>
      </c>
      <c r="L515" s="12">
        <f t="shared" si="74"/>
        <v>1.4</v>
      </c>
      <c r="M515" s="12">
        <f>L515/[4]货币基础!$B$4</f>
        <v>140</v>
      </c>
      <c r="N515" s="12">
        <f>IF(A515&lt;[3]关卡对接!$A$4,INDEX([3]关卡对接!$E$7:$E$141,A515),MATCH(E515,人物经验!$H$24:$H$573,1))</f>
        <v>301</v>
      </c>
      <c r="O515" s="12">
        <f>INDEX([2]关卡!$G$6:$G$2005,A515)</f>
        <v>3</v>
      </c>
      <c r="P515" s="13">
        <v>6</v>
      </c>
      <c r="Q515" s="12">
        <f>INT(P515/$S$15/O515*VLOOKUP(J515,[1]人物技能基础!$N$3:$O$553,2,0)*$U$15)</f>
        <v>9</v>
      </c>
      <c r="R515" s="12">
        <f t="shared" si="75"/>
        <v>112</v>
      </c>
    </row>
    <row r="516" spans="1:18" x14ac:dyDescent="0.15">
      <c r="A516" s="12">
        <v>498</v>
      </c>
      <c r="B516" s="12">
        <f t="shared" si="69"/>
        <v>3</v>
      </c>
      <c r="C516" s="12">
        <f t="shared" si="70"/>
        <v>1.39503</v>
      </c>
      <c r="D516" s="12">
        <f t="shared" si="71"/>
        <v>1.496249999999999E-2</v>
      </c>
      <c r="E516" s="12">
        <f>SUM($D$19:D516)</f>
        <v>4.5950300000000013</v>
      </c>
      <c r="F516" s="12">
        <f t="shared" si="67"/>
        <v>44.465480176399005</v>
      </c>
      <c r="G516" s="12">
        <f t="shared" si="68"/>
        <v>41.881079130095003</v>
      </c>
      <c r="H516" s="12">
        <f t="shared" si="72"/>
        <v>160000</v>
      </c>
      <c r="I516" s="12">
        <f t="shared" si="73"/>
        <v>150700</v>
      </c>
      <c r="J516" s="12">
        <f>IF(A516&lt;[3]关卡对接!$A$4,INDEX([3]关卡对接!$C$7:$C$141,A516),MATCH(E516,人物经验!$H$24:$H$573,1))</f>
        <v>301</v>
      </c>
      <c r="K516" s="12">
        <f>IF([3]关卡对接!F504="",INT(INDEX(人物经验!$J$24:$J$573,关卡!J516)*关卡!$S$7),[3]关卡对接!F504)</f>
        <v>3914</v>
      </c>
      <c r="L516" s="12">
        <f t="shared" si="74"/>
        <v>1.4</v>
      </c>
      <c r="M516" s="12">
        <f>L516/[4]货币基础!$B$4</f>
        <v>140</v>
      </c>
      <c r="N516" s="12">
        <f>IF(A516&lt;[3]关卡对接!$A$4,INDEX([3]关卡对接!$E$7:$E$141,A516),MATCH(E516,人物经验!$H$24:$H$573,1))</f>
        <v>301</v>
      </c>
      <c r="O516" s="12">
        <f>INDEX([2]关卡!$G$6:$G$2005,A516)</f>
        <v>3</v>
      </c>
      <c r="P516" s="13">
        <v>6</v>
      </c>
      <c r="Q516" s="12">
        <f>INT(P516/$S$15/O516*VLOOKUP(J516,[1]人物技能基础!$N$3:$O$553,2,0)*$U$15)</f>
        <v>9</v>
      </c>
      <c r="R516" s="12">
        <f t="shared" si="75"/>
        <v>112</v>
      </c>
    </row>
    <row r="517" spans="1:18" x14ac:dyDescent="0.15">
      <c r="A517" s="12">
        <v>499</v>
      </c>
      <c r="B517" s="12">
        <f t="shared" si="69"/>
        <v>3</v>
      </c>
      <c r="C517" s="12">
        <f t="shared" si="70"/>
        <v>1.4100074999999999</v>
      </c>
      <c r="D517" s="12">
        <f t="shared" si="71"/>
        <v>1.4977499999999866E-2</v>
      </c>
      <c r="E517" s="12">
        <f>SUM($D$19:D517)</f>
        <v>4.6100075000000009</v>
      </c>
      <c r="F517" s="12">
        <f t="shared" si="67"/>
        <v>44.605643568899943</v>
      </c>
      <c r="G517" s="12">
        <f t="shared" si="68"/>
        <v>41.985387000630929</v>
      </c>
      <c r="H517" s="12">
        <f t="shared" si="72"/>
        <v>160500</v>
      </c>
      <c r="I517" s="12">
        <f t="shared" si="73"/>
        <v>151100</v>
      </c>
      <c r="J517" s="12">
        <f>IF(A517&lt;[3]关卡对接!$A$4,INDEX([3]关卡对接!$C$7:$C$141,A517),MATCH(E517,人物经验!$H$24:$H$573,1))</f>
        <v>301</v>
      </c>
      <c r="K517" s="12">
        <f>IF([3]关卡对接!F505="",INT(INDEX(人物经验!$J$24:$J$573,关卡!J517)*关卡!$S$7),[3]关卡对接!F505)</f>
        <v>3914</v>
      </c>
      <c r="L517" s="12">
        <f t="shared" si="74"/>
        <v>1.4</v>
      </c>
      <c r="M517" s="12">
        <f>L517/[4]货币基础!$B$4</f>
        <v>140</v>
      </c>
      <c r="N517" s="12">
        <f>IF(A517&lt;[3]关卡对接!$A$4,INDEX([3]关卡对接!$E$7:$E$141,A517),MATCH(E517,人物经验!$H$24:$H$573,1))</f>
        <v>301</v>
      </c>
      <c r="O517" s="12">
        <f>INDEX([2]关卡!$G$6:$G$2005,A517)</f>
        <v>3</v>
      </c>
      <c r="P517" s="13">
        <v>6</v>
      </c>
      <c r="Q517" s="12">
        <f>INT(P517/$S$15/O517*VLOOKUP(J517,[1]人物技能基础!$N$3:$O$553,2,0)*$U$15)</f>
        <v>9</v>
      </c>
      <c r="R517" s="12">
        <f t="shared" si="75"/>
        <v>112</v>
      </c>
    </row>
    <row r="518" spans="1:18" x14ac:dyDescent="0.15">
      <c r="A518" s="12">
        <v>500</v>
      </c>
      <c r="B518" s="12">
        <f t="shared" si="69"/>
        <v>3</v>
      </c>
      <c r="C518" s="12">
        <f t="shared" si="70"/>
        <v>1.425</v>
      </c>
      <c r="D518" s="12">
        <f t="shared" si="71"/>
        <v>1.4992500000000186E-2</v>
      </c>
      <c r="E518" s="12">
        <f>SUM($D$19:D518)</f>
        <v>4.6250000000000009</v>
      </c>
      <c r="F518" s="12">
        <f t="shared" si="67"/>
        <v>44.746093750000007</v>
      </c>
      <c r="G518" s="12">
        <f t="shared" si="68"/>
        <v>42.08984375</v>
      </c>
      <c r="H518" s="12">
        <f t="shared" si="72"/>
        <v>161000</v>
      </c>
      <c r="I518" s="12">
        <f t="shared" si="73"/>
        <v>151500</v>
      </c>
      <c r="J518" s="12">
        <f>IF(A518&lt;[3]关卡对接!$A$4,INDEX([3]关卡对接!$C$7:$C$141,A518),MATCH(E518,人物经验!$H$24:$H$573,1))</f>
        <v>301</v>
      </c>
      <c r="K518" s="12">
        <f>IF([3]关卡对接!F506="",INT(INDEX(人物经验!$J$24:$J$573,关卡!J518)*关卡!$S$7),[3]关卡对接!F506)</f>
        <v>3914</v>
      </c>
      <c r="L518" s="12">
        <f t="shared" si="74"/>
        <v>1.4</v>
      </c>
      <c r="M518" s="12">
        <f>L518/[4]货币基础!$B$4</f>
        <v>140</v>
      </c>
      <c r="N518" s="12">
        <f>IF(A518&lt;[3]关卡对接!$A$4,INDEX([3]关卡对接!$E$7:$E$141,A518),MATCH(E518,人物经验!$H$24:$H$573,1))</f>
        <v>301</v>
      </c>
      <c r="O518" s="12">
        <f>INDEX([2]关卡!$G$6:$G$2005,A518)</f>
        <v>3</v>
      </c>
      <c r="P518" s="13">
        <v>6</v>
      </c>
      <c r="Q518" s="12">
        <f>INT(P518/$S$15/O518*VLOOKUP(J518,[1]人物技能基础!$N$3:$O$553,2,0)*$U$15)</f>
        <v>9</v>
      </c>
      <c r="R518" s="12">
        <f t="shared" si="75"/>
        <v>112</v>
      </c>
    </row>
    <row r="519" spans="1:18" x14ac:dyDescent="0.15">
      <c r="A519" s="12">
        <v>501</v>
      </c>
      <c r="B519" s="12">
        <f t="shared" si="69"/>
        <v>3</v>
      </c>
      <c r="C519" s="12">
        <f t="shared" si="70"/>
        <v>1.4400075000000001</v>
      </c>
      <c r="D519" s="12">
        <f t="shared" si="71"/>
        <v>1.5007500000000062E-2</v>
      </c>
      <c r="E519" s="12">
        <f>SUM($D$19:D519)</f>
        <v>4.6400075000000012</v>
      </c>
      <c r="F519" s="12">
        <f t="shared" si="67"/>
        <v>44.886831243649944</v>
      </c>
      <c r="G519" s="12">
        <f t="shared" si="68"/>
        <v>42.194449561880937</v>
      </c>
      <c r="H519" s="12">
        <f t="shared" si="72"/>
        <v>161500</v>
      </c>
      <c r="I519" s="12">
        <f t="shared" si="73"/>
        <v>151900</v>
      </c>
      <c r="J519" s="12">
        <f>IF(A519&lt;[3]关卡对接!$A$4,INDEX([3]关卡对接!$C$7:$C$141,A519),MATCH(E519,人物经验!$H$24:$H$573,1))</f>
        <v>301</v>
      </c>
      <c r="K519" s="12">
        <f>IF([3]关卡对接!F507="",INT(INDEX(人物经验!$J$24:$J$573,关卡!J519)*关卡!$S$7),[3]关卡对接!F507)</f>
        <v>3914</v>
      </c>
      <c r="L519" s="12">
        <f t="shared" si="74"/>
        <v>1.4</v>
      </c>
      <c r="M519" s="12">
        <f>L519/[4]货币基础!$B$4</f>
        <v>140</v>
      </c>
      <c r="N519" s="12">
        <f>IF(A519&lt;[3]关卡对接!$A$4,INDEX([3]关卡对接!$E$7:$E$141,A519),MATCH(E519,人物经验!$H$24:$H$573,1))</f>
        <v>301</v>
      </c>
      <c r="O519" s="12">
        <f>INDEX([2]关卡!$G$6:$G$2005,A519)</f>
        <v>3</v>
      </c>
      <c r="P519" s="13">
        <v>6</v>
      </c>
      <c r="Q519" s="12">
        <f>INT(P519/$S$15/O519*VLOOKUP(J519,[1]人物技能基础!$N$3:$O$553,2,0)*$U$15)</f>
        <v>9</v>
      </c>
      <c r="R519" s="12">
        <f t="shared" si="75"/>
        <v>112</v>
      </c>
    </row>
    <row r="520" spans="1:18" x14ac:dyDescent="0.15">
      <c r="A520" s="12">
        <v>502</v>
      </c>
      <c r="B520" s="12">
        <f t="shared" si="69"/>
        <v>3</v>
      </c>
      <c r="C520" s="12">
        <f t="shared" si="70"/>
        <v>1.45503</v>
      </c>
      <c r="D520" s="12">
        <f t="shared" si="71"/>
        <v>1.5022499999999939E-2</v>
      </c>
      <c r="E520" s="12">
        <f>SUM($D$19:D520)</f>
        <v>4.6550300000000009</v>
      </c>
      <c r="F520" s="12">
        <f t="shared" si="67"/>
        <v>45.027856574399003</v>
      </c>
      <c r="G520" s="12">
        <f t="shared" si="68"/>
        <v>42.299204620094997</v>
      </c>
      <c r="H520" s="12">
        <f t="shared" si="72"/>
        <v>162100</v>
      </c>
      <c r="I520" s="12">
        <f t="shared" si="73"/>
        <v>152200</v>
      </c>
      <c r="J520" s="12">
        <f>IF(A520&lt;[3]关卡对接!$A$4,INDEX([3]关卡对接!$C$7:$C$141,A520),MATCH(E520,人物经验!$H$24:$H$573,1))</f>
        <v>302</v>
      </c>
      <c r="K520" s="12">
        <f>IF([3]关卡对接!F508="",INT(INDEX(人物经验!$J$24:$J$573,关卡!J520)*关卡!$S$7),[3]关卡对接!F508)</f>
        <v>4039</v>
      </c>
      <c r="L520" s="12">
        <f t="shared" si="74"/>
        <v>1.4</v>
      </c>
      <c r="M520" s="12">
        <f>L520/[4]货币基础!$B$4</f>
        <v>140</v>
      </c>
      <c r="N520" s="12">
        <f>IF(A520&lt;[3]关卡对接!$A$4,INDEX([3]关卡对接!$E$7:$E$141,A520),MATCH(E520,人物经验!$H$24:$H$573,1))</f>
        <v>302</v>
      </c>
      <c r="O520" s="12">
        <f>INDEX([2]关卡!$G$6:$G$2005,A520)</f>
        <v>3</v>
      </c>
      <c r="P520" s="13">
        <v>6</v>
      </c>
      <c r="Q520" s="12">
        <f>INT(P520/$S$15/O520*VLOOKUP(J520,[1]人物技能基础!$N$3:$O$553,2,0)*$U$15)</f>
        <v>9</v>
      </c>
      <c r="R520" s="12">
        <f t="shared" si="75"/>
        <v>112</v>
      </c>
    </row>
    <row r="521" spans="1:18" x14ac:dyDescent="0.15">
      <c r="A521" s="12">
        <v>503</v>
      </c>
      <c r="B521" s="12">
        <f t="shared" si="69"/>
        <v>3</v>
      </c>
      <c r="C521" s="12">
        <f t="shared" si="70"/>
        <v>1.4700675000000001</v>
      </c>
      <c r="D521" s="12">
        <f t="shared" si="71"/>
        <v>1.5037500000000037E-2</v>
      </c>
      <c r="E521" s="12">
        <f>SUM($D$19:D521)</f>
        <v>4.6700675000000009</v>
      </c>
      <c r="F521" s="12">
        <f t="shared" si="67"/>
        <v>45.169170267394932</v>
      </c>
      <c r="G521" s="12">
        <f t="shared" si="68"/>
        <v>42.404109108605937</v>
      </c>
      <c r="H521" s="12">
        <f t="shared" si="72"/>
        <v>162600</v>
      </c>
      <c r="I521" s="12">
        <f t="shared" si="73"/>
        <v>152600</v>
      </c>
      <c r="J521" s="12">
        <f>IF(A521&lt;[3]关卡对接!$A$4,INDEX([3]关卡对接!$C$7:$C$141,A521),MATCH(E521,人物经验!$H$24:$H$573,1))</f>
        <v>302</v>
      </c>
      <c r="K521" s="12">
        <f>IF([3]关卡对接!F509="",INT(INDEX(人物经验!$J$24:$J$573,关卡!J521)*关卡!$S$7),[3]关卡对接!F509)</f>
        <v>4039</v>
      </c>
      <c r="L521" s="12">
        <f t="shared" si="74"/>
        <v>1.4</v>
      </c>
      <c r="M521" s="12">
        <f>L521/[4]货币基础!$B$4</f>
        <v>140</v>
      </c>
      <c r="N521" s="12">
        <f>IF(A521&lt;[3]关卡对接!$A$4,INDEX([3]关卡对接!$E$7:$E$141,A521),MATCH(E521,人物经验!$H$24:$H$573,1))</f>
        <v>302</v>
      </c>
      <c r="O521" s="12">
        <f>INDEX([2]关卡!$G$6:$G$2005,A521)</f>
        <v>3</v>
      </c>
      <c r="P521" s="13">
        <v>6</v>
      </c>
      <c r="Q521" s="12">
        <f>INT(P521/$S$15/O521*VLOOKUP(J521,[1]人物技能基础!$N$3:$O$553,2,0)*$U$15)</f>
        <v>9</v>
      </c>
      <c r="R521" s="12">
        <f t="shared" si="75"/>
        <v>112</v>
      </c>
    </row>
    <row r="522" spans="1:18" x14ac:dyDescent="0.15">
      <c r="A522" s="12">
        <v>504</v>
      </c>
      <c r="B522" s="12">
        <f t="shared" si="69"/>
        <v>3</v>
      </c>
      <c r="C522" s="12">
        <f t="shared" si="70"/>
        <v>1.4851200000000002</v>
      </c>
      <c r="D522" s="12">
        <f t="shared" si="71"/>
        <v>1.5052500000000135E-2</v>
      </c>
      <c r="E522" s="12">
        <f>SUM($D$19:D522)</f>
        <v>4.6851200000000013</v>
      </c>
      <c r="F522" s="12">
        <f t="shared" si="67"/>
        <v>45.310772848383998</v>
      </c>
      <c r="G522" s="12">
        <f t="shared" si="68"/>
        <v>42.509163211519997</v>
      </c>
      <c r="H522" s="12">
        <f t="shared" si="72"/>
        <v>163100</v>
      </c>
      <c r="I522" s="12">
        <f t="shared" si="73"/>
        <v>153000</v>
      </c>
      <c r="J522" s="12">
        <f>IF(A522&lt;[3]关卡对接!$A$4,INDEX([3]关卡对接!$C$7:$C$141,A522),MATCH(E522,人物经验!$H$24:$H$573,1))</f>
        <v>302</v>
      </c>
      <c r="K522" s="12">
        <f>IF([3]关卡对接!F510="",INT(INDEX(人物经验!$J$24:$J$573,关卡!J522)*关卡!$S$7),[3]关卡对接!F510)</f>
        <v>4039</v>
      </c>
      <c r="L522" s="12">
        <f t="shared" si="74"/>
        <v>1.4</v>
      </c>
      <c r="M522" s="12">
        <f>L522/[4]货币基础!$B$4</f>
        <v>140</v>
      </c>
      <c r="N522" s="12">
        <f>IF(A522&lt;[3]关卡对接!$A$4,INDEX([3]关卡对接!$E$7:$E$141,A522),MATCH(E522,人物经验!$H$24:$H$573,1))</f>
        <v>302</v>
      </c>
      <c r="O522" s="12">
        <f>INDEX([2]关卡!$G$6:$G$2005,A522)</f>
        <v>3</v>
      </c>
      <c r="P522" s="13">
        <v>6</v>
      </c>
      <c r="Q522" s="12">
        <f>INT(P522/$S$15/O522*VLOOKUP(J522,[1]人物技能基础!$N$3:$O$553,2,0)*$U$15)</f>
        <v>9</v>
      </c>
      <c r="R522" s="12">
        <f t="shared" si="75"/>
        <v>112</v>
      </c>
    </row>
    <row r="523" spans="1:18" x14ac:dyDescent="0.15">
      <c r="A523" s="12">
        <v>505</v>
      </c>
      <c r="B523" s="12">
        <f t="shared" si="69"/>
        <v>3</v>
      </c>
      <c r="C523" s="12">
        <f t="shared" si="70"/>
        <v>1.5001875000000002</v>
      </c>
      <c r="D523" s="12">
        <f t="shared" si="71"/>
        <v>1.5067500000000011E-2</v>
      </c>
      <c r="E523" s="12">
        <f>SUM($D$19:D523)</f>
        <v>4.7001875000000011</v>
      </c>
      <c r="F523" s="12">
        <f t="shared" si="67"/>
        <v>45.452664843710942</v>
      </c>
      <c r="G523" s="12">
        <f t="shared" si="68"/>
        <v>42.614367113085933</v>
      </c>
      <c r="H523" s="12">
        <f t="shared" si="72"/>
        <v>163600</v>
      </c>
      <c r="I523" s="12">
        <f t="shared" si="73"/>
        <v>153400</v>
      </c>
      <c r="J523" s="12">
        <f>IF(A523&lt;[3]关卡对接!$A$4,INDEX([3]关卡对接!$C$7:$C$141,A523),MATCH(E523,人物经验!$H$24:$H$573,1))</f>
        <v>302</v>
      </c>
      <c r="K523" s="12">
        <f>IF([3]关卡对接!F511="",INT(INDEX(人物经验!$J$24:$J$573,关卡!J523)*关卡!$S$7),[3]关卡对接!F511)</f>
        <v>4039</v>
      </c>
      <c r="L523" s="12">
        <f t="shared" si="74"/>
        <v>1.4</v>
      </c>
      <c r="M523" s="12">
        <f>L523/[4]货币基础!$B$4</f>
        <v>140</v>
      </c>
      <c r="N523" s="12">
        <f>IF(A523&lt;[3]关卡对接!$A$4,INDEX([3]关卡对接!$E$7:$E$141,A523),MATCH(E523,人物经验!$H$24:$H$573,1))</f>
        <v>302</v>
      </c>
      <c r="O523" s="12">
        <f>INDEX([2]关卡!$G$6:$G$2005,A523)</f>
        <v>3</v>
      </c>
      <c r="P523" s="13">
        <v>6</v>
      </c>
      <c r="Q523" s="12">
        <f>INT(P523/$S$15/O523*VLOOKUP(J523,[1]人物技能基础!$N$3:$O$553,2,0)*$U$15)</f>
        <v>9</v>
      </c>
      <c r="R523" s="12">
        <f t="shared" si="75"/>
        <v>112</v>
      </c>
    </row>
    <row r="524" spans="1:18" x14ac:dyDescent="0.15">
      <c r="A524" s="12">
        <v>506</v>
      </c>
      <c r="B524" s="12">
        <f t="shared" si="69"/>
        <v>3</v>
      </c>
      <c r="C524" s="12">
        <f t="shared" si="70"/>
        <v>1.5152700000000001</v>
      </c>
      <c r="D524" s="12">
        <f t="shared" si="71"/>
        <v>1.5082499999999888E-2</v>
      </c>
      <c r="E524" s="12">
        <f>SUM($D$19:D524)</f>
        <v>4.7152700000000012</v>
      </c>
      <c r="F524" s="12">
        <f t="shared" si="67"/>
        <v>45.594846780319003</v>
      </c>
      <c r="G524" s="12">
        <f t="shared" si="68"/>
        <v>42.719720997694999</v>
      </c>
      <c r="H524" s="12">
        <f t="shared" si="72"/>
        <v>164100</v>
      </c>
      <c r="I524" s="12">
        <f t="shared" si="73"/>
        <v>153700</v>
      </c>
      <c r="J524" s="12">
        <f>IF(A524&lt;[3]关卡对接!$A$4,INDEX([3]关卡对接!$C$7:$C$141,A524),MATCH(E524,人物经验!$H$24:$H$573,1))</f>
        <v>302</v>
      </c>
      <c r="K524" s="12">
        <f>IF([3]关卡对接!F512="",INT(INDEX(人物经验!$J$24:$J$573,关卡!J524)*关卡!$S$7),[3]关卡对接!F512)</f>
        <v>4039</v>
      </c>
      <c r="L524" s="12">
        <f t="shared" si="74"/>
        <v>1.4</v>
      </c>
      <c r="M524" s="12">
        <f>L524/[4]货币基础!$B$4</f>
        <v>140</v>
      </c>
      <c r="N524" s="12">
        <f>IF(A524&lt;[3]关卡对接!$A$4,INDEX([3]关卡对接!$E$7:$E$141,A524),MATCH(E524,人物经验!$H$24:$H$573,1))</f>
        <v>302</v>
      </c>
      <c r="O524" s="12">
        <f>INDEX([2]关卡!$G$6:$G$2005,A524)</f>
        <v>3</v>
      </c>
      <c r="P524" s="13">
        <v>6</v>
      </c>
      <c r="Q524" s="12">
        <f>INT(P524/$S$15/O524*VLOOKUP(J524,[1]人物技能基础!$N$3:$O$553,2,0)*$U$15)</f>
        <v>9</v>
      </c>
      <c r="R524" s="12">
        <f t="shared" si="75"/>
        <v>112</v>
      </c>
    </row>
    <row r="525" spans="1:18" x14ac:dyDescent="0.15">
      <c r="A525" s="12">
        <v>507</v>
      </c>
      <c r="B525" s="12">
        <f t="shared" si="69"/>
        <v>3</v>
      </c>
      <c r="C525" s="12">
        <f t="shared" si="70"/>
        <v>1.5303675000000001</v>
      </c>
      <c r="D525" s="12">
        <f t="shared" si="71"/>
        <v>1.5097499999999986E-2</v>
      </c>
      <c r="E525" s="12">
        <f>SUM($D$19:D525)</f>
        <v>4.7303675000000016</v>
      </c>
      <c r="F525" s="12">
        <f t="shared" si="67"/>
        <v>45.737319185749932</v>
      </c>
      <c r="G525" s="12">
        <f t="shared" si="68"/>
        <v>42.825225049880942</v>
      </c>
      <c r="H525" s="12">
        <f t="shared" si="72"/>
        <v>164600</v>
      </c>
      <c r="I525" s="12">
        <f t="shared" si="73"/>
        <v>154100</v>
      </c>
      <c r="J525" s="12">
        <f>IF(A525&lt;[3]关卡对接!$A$4,INDEX([3]关卡对接!$C$7:$C$141,A525),MATCH(E525,人物经验!$H$24:$H$573,1))</f>
        <v>302</v>
      </c>
      <c r="K525" s="12">
        <f>IF([3]关卡对接!F513="",INT(INDEX(人物经验!$J$24:$J$573,关卡!J525)*关卡!$S$7),[3]关卡对接!F513)</f>
        <v>4039</v>
      </c>
      <c r="L525" s="12">
        <f t="shared" si="74"/>
        <v>1.4</v>
      </c>
      <c r="M525" s="12">
        <f>L525/[4]货币基础!$B$4</f>
        <v>140</v>
      </c>
      <c r="N525" s="12">
        <f>IF(A525&lt;[3]关卡对接!$A$4,INDEX([3]关卡对接!$E$7:$E$141,A525),MATCH(E525,人物经验!$H$24:$H$573,1))</f>
        <v>302</v>
      </c>
      <c r="O525" s="12">
        <f>INDEX([2]关卡!$G$6:$G$2005,A525)</f>
        <v>3</v>
      </c>
      <c r="P525" s="13">
        <v>6</v>
      </c>
      <c r="Q525" s="12">
        <f>INT(P525/$S$15/O525*VLOOKUP(J525,[1]人物技能基础!$N$3:$O$553,2,0)*$U$15)</f>
        <v>9</v>
      </c>
      <c r="R525" s="12">
        <f t="shared" si="75"/>
        <v>112</v>
      </c>
    </row>
    <row r="526" spans="1:18" x14ac:dyDescent="0.15">
      <c r="A526" s="12">
        <v>508</v>
      </c>
      <c r="B526" s="12">
        <f t="shared" si="69"/>
        <v>3</v>
      </c>
      <c r="C526" s="12">
        <f t="shared" si="70"/>
        <v>1.5454800000000002</v>
      </c>
      <c r="D526" s="12">
        <f t="shared" si="71"/>
        <v>1.5112500000000084E-2</v>
      </c>
      <c r="E526" s="12">
        <f>SUM($D$19:D526)</f>
        <v>4.7454800000000015</v>
      </c>
      <c r="F526" s="12">
        <f t="shared" si="67"/>
        <v>45.880082588143999</v>
      </c>
      <c r="G526" s="12">
        <f t="shared" si="68"/>
        <v>42.930879454320007</v>
      </c>
      <c r="H526" s="12">
        <f t="shared" si="72"/>
        <v>165100</v>
      </c>
      <c r="I526" s="12">
        <f t="shared" si="73"/>
        <v>154500</v>
      </c>
      <c r="J526" s="12">
        <f>IF(A526&lt;[3]关卡对接!$A$4,INDEX([3]关卡对接!$C$7:$C$141,A526),MATCH(E526,人物经验!$H$24:$H$573,1))</f>
        <v>302</v>
      </c>
      <c r="K526" s="12">
        <f>IF([3]关卡对接!F514="",INT(INDEX(人物经验!$J$24:$J$573,关卡!J526)*关卡!$S$7),[3]关卡对接!F514)</f>
        <v>4039</v>
      </c>
      <c r="L526" s="12">
        <f t="shared" si="74"/>
        <v>1.4</v>
      </c>
      <c r="M526" s="12">
        <f>L526/[4]货币基础!$B$4</f>
        <v>140</v>
      </c>
      <c r="N526" s="12">
        <f>IF(A526&lt;[3]关卡对接!$A$4,INDEX([3]关卡对接!$E$7:$E$141,A526),MATCH(E526,人物经验!$H$24:$H$573,1))</f>
        <v>302</v>
      </c>
      <c r="O526" s="12">
        <f>INDEX([2]关卡!$G$6:$G$2005,A526)</f>
        <v>3</v>
      </c>
      <c r="P526" s="13">
        <v>6</v>
      </c>
      <c r="Q526" s="12">
        <f>INT(P526/$S$15/O526*VLOOKUP(J526,[1]人物技能基础!$N$3:$O$553,2,0)*$U$15)</f>
        <v>9</v>
      </c>
      <c r="R526" s="12">
        <f t="shared" si="75"/>
        <v>112</v>
      </c>
    </row>
    <row r="527" spans="1:18" x14ac:dyDescent="0.15">
      <c r="A527" s="12">
        <v>509</v>
      </c>
      <c r="B527" s="12">
        <f t="shared" si="69"/>
        <v>3</v>
      </c>
      <c r="C527" s="12">
        <f t="shared" si="70"/>
        <v>1.5606075000000001</v>
      </c>
      <c r="D527" s="12">
        <f t="shared" si="71"/>
        <v>1.512749999999996E-2</v>
      </c>
      <c r="E527" s="12">
        <f>SUM($D$19:D527)</f>
        <v>4.7606075000000017</v>
      </c>
      <c r="F527" s="12">
        <f t="shared" si="67"/>
        <v>46.023137516239942</v>
      </c>
      <c r="G527" s="12">
        <f t="shared" si="68"/>
        <v>43.036684395830939</v>
      </c>
      <c r="H527" s="12">
        <f t="shared" si="72"/>
        <v>165600</v>
      </c>
      <c r="I527" s="12">
        <f t="shared" si="73"/>
        <v>154900</v>
      </c>
      <c r="J527" s="12">
        <f>IF(A527&lt;[3]关卡对接!$A$4,INDEX([3]关卡对接!$C$7:$C$141,A527),MATCH(E527,人物经验!$H$24:$H$573,1))</f>
        <v>302</v>
      </c>
      <c r="K527" s="12">
        <f>IF([3]关卡对接!F515="",INT(INDEX(人物经验!$J$24:$J$573,关卡!J527)*关卡!$S$7),[3]关卡对接!F515)</f>
        <v>4039</v>
      </c>
      <c r="L527" s="12">
        <f t="shared" si="74"/>
        <v>1.4</v>
      </c>
      <c r="M527" s="12">
        <f>L527/[4]货币基础!$B$4</f>
        <v>140</v>
      </c>
      <c r="N527" s="12">
        <f>IF(A527&lt;[3]关卡对接!$A$4,INDEX([3]关卡对接!$E$7:$E$141,A527),MATCH(E527,人物经验!$H$24:$H$573,1))</f>
        <v>302</v>
      </c>
      <c r="O527" s="12">
        <f>INDEX([2]关卡!$G$6:$G$2005,A527)</f>
        <v>3</v>
      </c>
      <c r="P527" s="13">
        <v>6</v>
      </c>
      <c r="Q527" s="12">
        <f>INT(P527/$S$15/O527*VLOOKUP(J527,[1]人物技能基础!$N$3:$O$553,2,0)*$U$15)</f>
        <v>9</v>
      </c>
      <c r="R527" s="12">
        <f t="shared" si="75"/>
        <v>112</v>
      </c>
    </row>
    <row r="528" spans="1:18" x14ac:dyDescent="0.15">
      <c r="A528" s="12">
        <v>510</v>
      </c>
      <c r="B528" s="12">
        <f t="shared" si="69"/>
        <v>3</v>
      </c>
      <c r="C528" s="12">
        <f t="shared" si="70"/>
        <v>1.5757500000000002</v>
      </c>
      <c r="D528" s="12">
        <f t="shared" si="71"/>
        <v>1.5142500000000059E-2</v>
      </c>
      <c r="E528" s="12">
        <f>SUM($D$19:D528)</f>
        <v>4.7757500000000022</v>
      </c>
      <c r="F528" s="12">
        <f t="shared" si="67"/>
        <v>46.166484499375002</v>
      </c>
      <c r="G528" s="12">
        <f t="shared" si="68"/>
        <v>43.142640059374997</v>
      </c>
      <c r="H528" s="12">
        <f t="shared" si="72"/>
        <v>166100</v>
      </c>
      <c r="I528" s="12">
        <f t="shared" si="73"/>
        <v>155300</v>
      </c>
      <c r="J528" s="12">
        <f>IF(A528&lt;[3]关卡对接!$A$4,INDEX([3]关卡对接!$C$7:$C$141,A528),MATCH(E528,人物经验!$H$24:$H$573,1))</f>
        <v>302</v>
      </c>
      <c r="K528" s="12">
        <f>IF([3]关卡对接!F516="",INT(INDEX(人物经验!$J$24:$J$573,关卡!J528)*关卡!$S$7),[3]关卡对接!F516)</f>
        <v>4039</v>
      </c>
      <c r="L528" s="12">
        <f t="shared" si="74"/>
        <v>1.4</v>
      </c>
      <c r="M528" s="12">
        <f>L528/[4]货币基础!$B$4</f>
        <v>140</v>
      </c>
      <c r="N528" s="12">
        <f>IF(A528&lt;[3]关卡对接!$A$4,INDEX([3]关卡对接!$E$7:$E$141,A528),MATCH(E528,人物经验!$H$24:$H$573,1))</f>
        <v>302</v>
      </c>
      <c r="O528" s="12">
        <f>INDEX([2]关卡!$G$6:$G$2005,A528)</f>
        <v>3</v>
      </c>
      <c r="P528" s="13">
        <v>6</v>
      </c>
      <c r="Q528" s="12">
        <f>INT(P528/$S$15/O528*VLOOKUP(J528,[1]人物技能基础!$N$3:$O$553,2,0)*$U$15)</f>
        <v>9</v>
      </c>
      <c r="R528" s="12">
        <f t="shared" si="75"/>
        <v>112</v>
      </c>
    </row>
    <row r="529" spans="1:18" x14ac:dyDescent="0.15">
      <c r="A529" s="12">
        <v>511</v>
      </c>
      <c r="B529" s="12">
        <f t="shared" si="69"/>
        <v>3</v>
      </c>
      <c r="C529" s="12">
        <f t="shared" si="70"/>
        <v>1.5909075000000001</v>
      </c>
      <c r="D529" s="12">
        <f t="shared" si="71"/>
        <v>1.5157499999999935E-2</v>
      </c>
      <c r="E529" s="12">
        <f>SUM($D$19:D529)</f>
        <v>4.7909075000000021</v>
      </c>
      <c r="F529" s="12">
        <f t="shared" si="67"/>
        <v>46.310124067484935</v>
      </c>
      <c r="G529" s="12">
        <f t="shared" si="68"/>
        <v>43.24874663005594</v>
      </c>
      <c r="H529" s="12">
        <f t="shared" si="72"/>
        <v>166700</v>
      </c>
      <c r="I529" s="12">
        <f t="shared" si="73"/>
        <v>155600</v>
      </c>
      <c r="J529" s="12">
        <f>IF(A529&lt;[3]关卡对接!$A$4,INDEX([3]关卡对接!$C$7:$C$141,A529),MATCH(E529,人物经验!$H$24:$H$573,1))</f>
        <v>303</v>
      </c>
      <c r="K529" s="12">
        <f>IF([3]关卡对接!F517="",INT(INDEX(人物经验!$J$24:$J$573,关卡!J529)*关卡!$S$7),[3]关卡对接!F517)</f>
        <v>4154</v>
      </c>
      <c r="L529" s="12">
        <f t="shared" si="74"/>
        <v>1.4</v>
      </c>
      <c r="M529" s="12">
        <f>L529/[4]货币基础!$B$4</f>
        <v>140</v>
      </c>
      <c r="N529" s="12">
        <f>IF(A529&lt;[3]关卡对接!$A$4,INDEX([3]关卡对接!$E$7:$E$141,A529),MATCH(E529,人物经验!$H$24:$H$573,1))</f>
        <v>303</v>
      </c>
      <c r="O529" s="12">
        <f>INDEX([2]关卡!$G$6:$G$2005,A529)</f>
        <v>3</v>
      </c>
      <c r="P529" s="13">
        <v>6</v>
      </c>
      <c r="Q529" s="12">
        <f>INT(P529/$S$15/O529*VLOOKUP(J529,[1]人物技能基础!$N$3:$O$553,2,0)*$U$15)</f>
        <v>9</v>
      </c>
      <c r="R529" s="12">
        <f t="shared" si="75"/>
        <v>112</v>
      </c>
    </row>
    <row r="530" spans="1:18" x14ac:dyDescent="0.15">
      <c r="A530" s="12">
        <v>512</v>
      </c>
      <c r="B530" s="12">
        <f t="shared" si="69"/>
        <v>3</v>
      </c>
      <c r="C530" s="12">
        <f t="shared" si="70"/>
        <v>1.6060800000000004</v>
      </c>
      <c r="D530" s="12">
        <f t="shared" si="71"/>
        <v>1.5172500000000255E-2</v>
      </c>
      <c r="E530" s="12">
        <f>SUM($D$19:D530)</f>
        <v>4.8060800000000024</v>
      </c>
      <c r="F530" s="12">
        <f t="shared" si="67"/>
        <v>46.454056751103998</v>
      </c>
      <c r="G530" s="12">
        <f t="shared" si="68"/>
        <v>43.355004293120011</v>
      </c>
      <c r="H530" s="12">
        <f t="shared" si="72"/>
        <v>167200</v>
      </c>
      <c r="I530" s="12">
        <f t="shared" si="73"/>
        <v>156000</v>
      </c>
      <c r="J530" s="12">
        <f>IF(A530&lt;[3]关卡对接!$A$4,INDEX([3]关卡对接!$C$7:$C$141,A530),MATCH(E530,人物经验!$H$24:$H$573,1))</f>
        <v>303</v>
      </c>
      <c r="K530" s="12">
        <f>IF([3]关卡对接!F518="",INT(INDEX(人物经验!$J$24:$J$573,关卡!J530)*关卡!$S$7),[3]关卡对接!F518)</f>
        <v>4154</v>
      </c>
      <c r="L530" s="12">
        <f t="shared" si="74"/>
        <v>1.4</v>
      </c>
      <c r="M530" s="12">
        <f>L530/[4]货币基础!$B$4</f>
        <v>140</v>
      </c>
      <c r="N530" s="12">
        <f>IF(A530&lt;[3]关卡对接!$A$4,INDEX([3]关卡对接!$E$7:$E$141,A530),MATCH(E530,人物经验!$H$24:$H$573,1))</f>
        <v>303</v>
      </c>
      <c r="O530" s="12">
        <f>INDEX([2]关卡!$G$6:$G$2005,A530)</f>
        <v>3</v>
      </c>
      <c r="P530" s="13">
        <v>6</v>
      </c>
      <c r="Q530" s="12">
        <f>INT(P530/$S$15/O530*VLOOKUP(J530,[1]人物技能基础!$N$3:$O$553,2,0)*$U$15)</f>
        <v>9</v>
      </c>
      <c r="R530" s="12">
        <f t="shared" si="75"/>
        <v>112</v>
      </c>
    </row>
    <row r="531" spans="1:18" x14ac:dyDescent="0.15">
      <c r="A531" s="12">
        <v>513</v>
      </c>
      <c r="B531" s="12">
        <f t="shared" si="69"/>
        <v>3</v>
      </c>
      <c r="C531" s="12">
        <f t="shared" si="70"/>
        <v>1.6212674999999996</v>
      </c>
      <c r="D531" s="12">
        <f t="shared" si="71"/>
        <v>1.5187499999999243E-2</v>
      </c>
      <c r="E531" s="12">
        <f>SUM($D$19:D531)</f>
        <v>4.8212675000000011</v>
      </c>
      <c r="F531" s="12">
        <f t="shared" ref="F531:F594" si="76">$L$7*($M$7+$N$7*($A531/$B$3)^1+$O$7*($A531/$B$3)^2+$P$7*($A531/$B$3)^3+$Q$7*($A531/$B$3)^4)</f>
        <v>46.59828308136494</v>
      </c>
      <c r="G531" s="12">
        <f t="shared" ref="G531:G594" si="77">$L$11*($M$11+$N$11*($A531/$B$3)^1+$O$11*($A531/$B$3)^2+$P$11*($A531/$B$3)^3+$Q$11*($A531/$B$3)^4)</f>
        <v>43.461413233955938</v>
      </c>
      <c r="H531" s="12">
        <f t="shared" si="72"/>
        <v>167700</v>
      </c>
      <c r="I531" s="12">
        <f t="shared" si="73"/>
        <v>156400</v>
      </c>
      <c r="J531" s="12">
        <f>IF(A531&lt;[3]关卡对接!$A$4,INDEX([3]关卡对接!$C$7:$C$141,A531),MATCH(E531,人物经验!$H$24:$H$573,1))</f>
        <v>303</v>
      </c>
      <c r="K531" s="12">
        <f>IF([3]关卡对接!F519="",INT(INDEX(人物经验!$J$24:$J$573,关卡!J531)*关卡!$S$7),[3]关卡对接!F519)</f>
        <v>4154</v>
      </c>
      <c r="L531" s="12">
        <f t="shared" si="74"/>
        <v>1.4</v>
      </c>
      <c r="M531" s="12">
        <f>L531/[4]货币基础!$B$4</f>
        <v>140</v>
      </c>
      <c r="N531" s="12">
        <f>IF(A531&lt;[3]关卡对接!$A$4,INDEX([3]关卡对接!$E$7:$E$141,A531),MATCH(E531,人物经验!$H$24:$H$573,1))</f>
        <v>303</v>
      </c>
      <c r="O531" s="12">
        <f>INDEX([2]关卡!$G$6:$G$2005,A531)</f>
        <v>3</v>
      </c>
      <c r="P531" s="13">
        <v>6</v>
      </c>
      <c r="Q531" s="12">
        <f>INT(P531/$S$15/O531*VLOOKUP(J531,[1]人物技能基础!$N$3:$O$553,2,0)*$U$15)</f>
        <v>9</v>
      </c>
      <c r="R531" s="12">
        <f t="shared" si="75"/>
        <v>112</v>
      </c>
    </row>
    <row r="532" spans="1:18" x14ac:dyDescent="0.15">
      <c r="A532" s="12">
        <v>514</v>
      </c>
      <c r="B532" s="12">
        <f t="shared" ref="B532:B595" si="78">MATCH($A532,$A$5:$A$15,1)-1</f>
        <v>3</v>
      </c>
      <c r="C532" s="12">
        <f t="shared" ref="C532:C595" si="79">INDEX($C$5:$C$15,$B532+1)*(INDEX($E$5:$E$15,$B532+1)+INDEX($F$5:$F$15,$B532+1)*(($A532-INDEX($A$5:$A$15,$B532+1)+1)/(INDEX($B$5:$B$15,$B532+1)-INDEX($A$5:$A$15,$B532+1)+1))^1+INDEX($G$5:$G$15,$B532+1)*(($A532-INDEX($A$5:$A$15,$B532+1)+1)/(INDEX($B$5:$B$15,$B532+1)-INDEX($A$5:$A$15,$B532+1)+1))^2+INDEX($H$5:$H$15,$B532+1)*(($A532-INDEX($A$5:$A$15,$B532+1)+1)/(INDEX($B$5:$B$15,$B532+1)-INDEX($A$5:$A$15,$B532+1)+1))^3+INDEX($I$5:$I$15,$B532+1)*(($A532-INDEX($A$5:$A$15,$B532+1)+1)/(INDEX($B$5:$B$15,$B532+1)-INDEX($A$5:$A$15,$B532+1)+1))^4)</f>
        <v>1.6364700000000001</v>
      </c>
      <c r="D532" s="12">
        <f t="shared" ref="D532:D595" si="80">IF(ISNA(MATCH(A532,$A$6:$A$15,0)),C532-C531,C532)</f>
        <v>1.5202500000000452E-2</v>
      </c>
      <c r="E532" s="12">
        <f>SUM($D$19:D532)</f>
        <v>4.836470000000002</v>
      </c>
      <c r="F532" s="12">
        <f t="shared" si="76"/>
        <v>46.742803589998999</v>
      </c>
      <c r="G532" s="12">
        <f t="shared" si="77"/>
        <v>43.567973638095005</v>
      </c>
      <c r="H532" s="12">
        <f t="shared" ref="H532:H595" si="81">INT(F532*60*60/100)*100</f>
        <v>168200</v>
      </c>
      <c r="I532" s="12">
        <f t="shared" ref="I532:I595" si="82">INT(G532*60*60/100)*100</f>
        <v>156800</v>
      </c>
      <c r="J532" s="12">
        <f>IF(A532&lt;[3]关卡对接!$A$4,INDEX([3]关卡对接!$C$7:$C$141,A532),MATCH(E532,人物经验!$H$24:$H$573,1))</f>
        <v>303</v>
      </c>
      <c r="K532" s="12">
        <f>IF([3]关卡对接!F520="",INT(INDEX(人物经验!$J$24:$J$573,关卡!J532)*关卡!$S$7),[3]关卡对接!F520)</f>
        <v>4154</v>
      </c>
      <c r="L532" s="12">
        <f t="shared" ref="L532:L595" si="83">VLOOKUP(A532,$A$5:$J$15,10,1)</f>
        <v>1.4</v>
      </c>
      <c r="M532" s="12">
        <f>L532/[4]货币基础!$B$4</f>
        <v>140</v>
      </c>
      <c r="N532" s="12">
        <f>IF(A532&lt;[3]关卡对接!$A$4,INDEX([3]关卡对接!$E$7:$E$141,A532),MATCH(E532,人物经验!$H$24:$H$573,1))</f>
        <v>303</v>
      </c>
      <c r="O532" s="12">
        <f>INDEX([2]关卡!$G$6:$G$2005,A532)</f>
        <v>3</v>
      </c>
      <c r="P532" s="13">
        <v>6</v>
      </c>
      <c r="Q532" s="12">
        <f>INT(P532/$S$15/O532*VLOOKUP(J532,[1]人物技能基础!$N$3:$O$553,2,0)*$U$15)</f>
        <v>9</v>
      </c>
      <c r="R532" s="12">
        <f t="shared" ref="R532:R595" si="84">INT(Q532*12.5)</f>
        <v>112</v>
      </c>
    </row>
    <row r="533" spans="1:18" x14ac:dyDescent="0.15">
      <c r="A533" s="12">
        <v>515</v>
      </c>
      <c r="B533" s="12">
        <f t="shared" si="78"/>
        <v>3</v>
      </c>
      <c r="C533" s="12">
        <f t="shared" si="79"/>
        <v>1.6516875</v>
      </c>
      <c r="D533" s="12">
        <f t="shared" si="80"/>
        <v>1.5217499999999884E-2</v>
      </c>
      <c r="E533" s="12">
        <f>SUM($D$19:D533)</f>
        <v>4.8516875000000024</v>
      </c>
      <c r="F533" s="12">
        <f t="shared" si="76"/>
        <v>46.887618809335947</v>
      </c>
      <c r="G533" s="12">
        <f t="shared" si="77"/>
        <v>43.674685691210939</v>
      </c>
      <c r="H533" s="12">
        <f t="shared" si="81"/>
        <v>168700</v>
      </c>
      <c r="I533" s="12">
        <f t="shared" si="82"/>
        <v>157200</v>
      </c>
      <c r="J533" s="12">
        <f>IF(A533&lt;[3]关卡对接!$A$4,INDEX([3]关卡对接!$C$7:$C$141,A533),MATCH(E533,人物经验!$H$24:$H$573,1))</f>
        <v>303</v>
      </c>
      <c r="K533" s="12">
        <f>IF([3]关卡对接!F521="",INT(INDEX(人物经验!$J$24:$J$573,关卡!J533)*关卡!$S$7),[3]关卡对接!F521)</f>
        <v>4154</v>
      </c>
      <c r="L533" s="12">
        <f t="shared" si="83"/>
        <v>1.4</v>
      </c>
      <c r="M533" s="12">
        <f>L533/[4]货币基础!$B$4</f>
        <v>140</v>
      </c>
      <c r="N533" s="12">
        <f>IF(A533&lt;[3]关卡对接!$A$4,INDEX([3]关卡对接!$E$7:$E$141,A533),MATCH(E533,人物经验!$H$24:$H$573,1))</f>
        <v>303</v>
      </c>
      <c r="O533" s="12">
        <f>INDEX([2]关卡!$G$6:$G$2005,A533)</f>
        <v>3</v>
      </c>
      <c r="P533" s="13">
        <v>6</v>
      </c>
      <c r="Q533" s="12">
        <f>INT(P533/$S$15/O533*VLOOKUP(J533,[1]人物技能基础!$N$3:$O$553,2,0)*$U$15)</f>
        <v>9</v>
      </c>
      <c r="R533" s="12">
        <f t="shared" si="84"/>
        <v>112</v>
      </c>
    </row>
    <row r="534" spans="1:18" x14ac:dyDescent="0.15">
      <c r="A534" s="12">
        <v>516</v>
      </c>
      <c r="B534" s="12">
        <f t="shared" si="78"/>
        <v>3</v>
      </c>
      <c r="C534" s="12">
        <f t="shared" si="79"/>
        <v>1.6669200000000002</v>
      </c>
      <c r="D534" s="12">
        <f t="shared" si="80"/>
        <v>1.5232500000000204E-2</v>
      </c>
      <c r="E534" s="12">
        <f>SUM($D$19:D534)</f>
        <v>4.8669200000000021</v>
      </c>
      <c r="F534" s="12">
        <f t="shared" si="76"/>
        <v>47.032729272304003</v>
      </c>
      <c r="G534" s="12">
        <f t="shared" si="77"/>
        <v>43.781549579120004</v>
      </c>
      <c r="H534" s="12">
        <f t="shared" si="81"/>
        <v>169300</v>
      </c>
      <c r="I534" s="12">
        <f t="shared" si="82"/>
        <v>157600</v>
      </c>
      <c r="J534" s="12">
        <f>IF(A534&lt;[3]关卡对接!$A$4,INDEX([3]关卡对接!$C$7:$C$141,A534),MATCH(E534,人物经验!$H$24:$H$573,1))</f>
        <v>303</v>
      </c>
      <c r="K534" s="12">
        <f>IF([3]关卡对接!F522="",INT(INDEX(人物经验!$J$24:$J$573,关卡!J534)*关卡!$S$7),[3]关卡对接!F522)</f>
        <v>4154</v>
      </c>
      <c r="L534" s="12">
        <f t="shared" si="83"/>
        <v>1.4</v>
      </c>
      <c r="M534" s="12">
        <f>L534/[4]货币基础!$B$4</f>
        <v>140</v>
      </c>
      <c r="N534" s="12">
        <f>IF(A534&lt;[3]关卡对接!$A$4,INDEX([3]关卡对接!$E$7:$E$141,A534),MATCH(E534,人物经验!$H$24:$H$573,1))</f>
        <v>303</v>
      </c>
      <c r="O534" s="12">
        <f>INDEX([2]关卡!$G$6:$G$2005,A534)</f>
        <v>3</v>
      </c>
      <c r="P534" s="13">
        <v>6</v>
      </c>
      <c r="Q534" s="12">
        <f>INT(P534/$S$15/O534*VLOOKUP(J534,[1]人物技能基础!$N$3:$O$553,2,0)*$U$15)</f>
        <v>9</v>
      </c>
      <c r="R534" s="12">
        <f t="shared" si="84"/>
        <v>112</v>
      </c>
    </row>
    <row r="535" spans="1:18" x14ac:dyDescent="0.15">
      <c r="A535" s="12">
        <v>517</v>
      </c>
      <c r="B535" s="12">
        <f t="shared" si="78"/>
        <v>3</v>
      </c>
      <c r="C535" s="12">
        <f t="shared" si="79"/>
        <v>1.6821675</v>
      </c>
      <c r="D535" s="12">
        <f t="shared" si="80"/>
        <v>1.5247499999999858E-2</v>
      </c>
      <c r="E535" s="12">
        <f>SUM($D$19:D535)</f>
        <v>4.8821675000000022</v>
      </c>
      <c r="F535" s="12">
        <f t="shared" si="76"/>
        <v>47.178135512429932</v>
      </c>
      <c r="G535" s="12">
        <f t="shared" si="77"/>
        <v>43.888565487780937</v>
      </c>
      <c r="H535" s="12">
        <f t="shared" si="81"/>
        <v>169800</v>
      </c>
      <c r="I535" s="12">
        <f t="shared" si="82"/>
        <v>157900</v>
      </c>
      <c r="J535" s="12">
        <f>IF(A535&lt;[3]关卡对接!$A$4,INDEX([3]关卡对接!$C$7:$C$141,A535),MATCH(E535,人物经验!$H$24:$H$573,1))</f>
        <v>303</v>
      </c>
      <c r="K535" s="12">
        <f>IF([3]关卡对接!F523="",INT(INDEX(人物经验!$J$24:$J$573,关卡!J535)*关卡!$S$7),[3]关卡对接!F523)</f>
        <v>4154</v>
      </c>
      <c r="L535" s="12">
        <f t="shared" si="83"/>
        <v>1.4</v>
      </c>
      <c r="M535" s="12">
        <f>L535/[4]货币基础!$B$4</f>
        <v>140</v>
      </c>
      <c r="N535" s="12">
        <f>IF(A535&lt;[3]关卡对接!$A$4,INDEX([3]关卡对接!$E$7:$E$141,A535),MATCH(E535,人物经验!$H$24:$H$573,1))</f>
        <v>303</v>
      </c>
      <c r="O535" s="12">
        <f>INDEX([2]关卡!$G$6:$G$2005,A535)</f>
        <v>3</v>
      </c>
      <c r="P535" s="13">
        <v>6</v>
      </c>
      <c r="Q535" s="12">
        <f>INT(P535/$S$15/O535*VLOOKUP(J535,[1]人物技能基础!$N$3:$O$553,2,0)*$U$15)</f>
        <v>9</v>
      </c>
      <c r="R535" s="12">
        <f t="shared" si="84"/>
        <v>112</v>
      </c>
    </row>
    <row r="536" spans="1:18" x14ac:dyDescent="0.15">
      <c r="A536" s="12">
        <v>518</v>
      </c>
      <c r="B536" s="12">
        <f t="shared" si="78"/>
        <v>3</v>
      </c>
      <c r="C536" s="12">
        <f t="shared" si="79"/>
        <v>1.6974300000000002</v>
      </c>
      <c r="D536" s="12">
        <f t="shared" si="80"/>
        <v>1.5262500000000179E-2</v>
      </c>
      <c r="E536" s="12">
        <f>SUM($D$19:D536)</f>
        <v>4.8974300000000026</v>
      </c>
      <c r="F536" s="12">
        <f t="shared" si="76"/>
        <v>47.323838063839005</v>
      </c>
      <c r="G536" s="12">
        <f t="shared" si="77"/>
        <v>43.995733603295008</v>
      </c>
      <c r="H536" s="12">
        <f t="shared" si="81"/>
        <v>170300</v>
      </c>
      <c r="I536" s="12">
        <f t="shared" si="82"/>
        <v>158300</v>
      </c>
      <c r="J536" s="12">
        <f>IF(A536&lt;[3]关卡对接!$A$4,INDEX([3]关卡对接!$C$7:$C$141,A536),MATCH(E536,人物经验!$H$24:$H$573,1))</f>
        <v>303</v>
      </c>
      <c r="K536" s="12">
        <f>IF([3]关卡对接!F524="",INT(INDEX(人物经验!$J$24:$J$573,关卡!J536)*关卡!$S$7),[3]关卡对接!F524)</f>
        <v>4154</v>
      </c>
      <c r="L536" s="12">
        <f t="shared" si="83"/>
        <v>1.4</v>
      </c>
      <c r="M536" s="12">
        <f>L536/[4]货币基础!$B$4</f>
        <v>140</v>
      </c>
      <c r="N536" s="12">
        <f>IF(A536&lt;[3]关卡对接!$A$4,INDEX([3]关卡对接!$E$7:$E$141,A536),MATCH(E536,人物经验!$H$24:$H$573,1))</f>
        <v>303</v>
      </c>
      <c r="O536" s="12">
        <f>INDEX([2]关卡!$G$6:$G$2005,A536)</f>
        <v>3</v>
      </c>
      <c r="P536" s="13">
        <v>6</v>
      </c>
      <c r="Q536" s="12">
        <f>INT(P536/$S$15/O536*VLOOKUP(J536,[1]人物技能基础!$N$3:$O$553,2,0)*$U$15)</f>
        <v>9</v>
      </c>
      <c r="R536" s="12">
        <f t="shared" si="84"/>
        <v>112</v>
      </c>
    </row>
    <row r="537" spans="1:18" x14ac:dyDescent="0.15">
      <c r="A537" s="12">
        <v>519</v>
      </c>
      <c r="B537" s="12">
        <f t="shared" si="78"/>
        <v>3</v>
      </c>
      <c r="C537" s="12">
        <f t="shared" si="79"/>
        <v>1.7127075</v>
      </c>
      <c r="D537" s="12">
        <f t="shared" si="80"/>
        <v>1.5277499999999833E-2</v>
      </c>
      <c r="E537" s="12">
        <f>SUM($D$19:D537)</f>
        <v>4.9127075000000024</v>
      </c>
      <c r="F537" s="12">
        <f t="shared" si="76"/>
        <v>47.46983746125494</v>
      </c>
      <c r="G537" s="12">
        <f t="shared" si="77"/>
        <v>44.103054111905934</v>
      </c>
      <c r="H537" s="12">
        <f t="shared" si="81"/>
        <v>170800</v>
      </c>
      <c r="I537" s="12">
        <f t="shared" si="82"/>
        <v>158700</v>
      </c>
      <c r="J537" s="12">
        <f>IF(A537&lt;[3]关卡对接!$A$4,INDEX([3]关卡对接!$C$7:$C$141,A537),MATCH(E537,人物经验!$H$24:$H$573,1))</f>
        <v>303</v>
      </c>
      <c r="K537" s="12">
        <f>IF([3]关卡对接!F525="",INT(INDEX(人物经验!$J$24:$J$573,关卡!J537)*关卡!$S$7),[3]关卡对接!F525)</f>
        <v>4154</v>
      </c>
      <c r="L537" s="12">
        <f t="shared" si="83"/>
        <v>1.4</v>
      </c>
      <c r="M537" s="12">
        <f>L537/[4]货币基础!$B$4</f>
        <v>140</v>
      </c>
      <c r="N537" s="12">
        <f>IF(A537&lt;[3]关卡对接!$A$4,INDEX([3]关卡对接!$E$7:$E$141,A537),MATCH(E537,人物经验!$H$24:$H$573,1))</f>
        <v>303</v>
      </c>
      <c r="O537" s="12">
        <f>INDEX([2]关卡!$G$6:$G$2005,A537)</f>
        <v>3</v>
      </c>
      <c r="P537" s="13">
        <v>6</v>
      </c>
      <c r="Q537" s="12">
        <f>INT(P537/$S$15/O537*VLOOKUP(J537,[1]人物技能基础!$N$3:$O$553,2,0)*$U$15)</f>
        <v>9</v>
      </c>
      <c r="R537" s="12">
        <f t="shared" si="84"/>
        <v>112</v>
      </c>
    </row>
    <row r="538" spans="1:18" x14ac:dyDescent="0.15">
      <c r="A538" s="12">
        <v>520</v>
      </c>
      <c r="B538" s="12">
        <f t="shared" si="78"/>
        <v>3</v>
      </c>
      <c r="C538" s="12">
        <f t="shared" si="79"/>
        <v>1.7280000000000002</v>
      </c>
      <c r="D538" s="12">
        <f t="shared" si="80"/>
        <v>1.5292500000000153E-2</v>
      </c>
      <c r="E538" s="12">
        <f>SUM($D$19:D538)</f>
        <v>4.9280000000000026</v>
      </c>
      <c r="F538" s="12">
        <f t="shared" si="76"/>
        <v>47.616134240000008</v>
      </c>
      <c r="G538" s="12">
        <f t="shared" si="77"/>
        <v>44.210527200000001</v>
      </c>
      <c r="H538" s="12">
        <f t="shared" si="81"/>
        <v>171400</v>
      </c>
      <c r="I538" s="12">
        <f t="shared" si="82"/>
        <v>159100</v>
      </c>
      <c r="J538" s="12">
        <f>IF(A538&lt;[3]关卡对接!$A$4,INDEX([3]关卡对接!$C$7:$C$141,A538),MATCH(E538,人物经验!$H$24:$H$573,1))</f>
        <v>304</v>
      </c>
      <c r="K538" s="12">
        <f>IF([3]关卡对接!F526="",INT(INDEX(人物经验!$J$24:$J$573,关卡!J538)*关卡!$S$7),[3]关卡对接!F526)</f>
        <v>4272</v>
      </c>
      <c r="L538" s="12">
        <f t="shared" si="83"/>
        <v>1.4</v>
      </c>
      <c r="M538" s="12">
        <f>L538/[4]货币基础!$B$4</f>
        <v>140</v>
      </c>
      <c r="N538" s="12">
        <f>IF(A538&lt;[3]关卡对接!$A$4,INDEX([3]关卡对接!$E$7:$E$141,A538),MATCH(E538,人物经验!$H$24:$H$573,1))</f>
        <v>304</v>
      </c>
      <c r="O538" s="12">
        <f>INDEX([2]关卡!$G$6:$G$2005,A538)</f>
        <v>3</v>
      </c>
      <c r="P538" s="13">
        <v>6</v>
      </c>
      <c r="Q538" s="12">
        <f>INT(P538/$S$15/O538*VLOOKUP(J538,[1]人物技能基础!$N$3:$O$553,2,0)*$U$15)</f>
        <v>9</v>
      </c>
      <c r="R538" s="12">
        <f t="shared" si="84"/>
        <v>112</v>
      </c>
    </row>
    <row r="539" spans="1:18" x14ac:dyDescent="0.15">
      <c r="A539" s="12">
        <v>521</v>
      </c>
      <c r="B539" s="12">
        <f t="shared" si="78"/>
        <v>3</v>
      </c>
      <c r="C539" s="12">
        <f t="shared" si="79"/>
        <v>1.7433074999999998</v>
      </c>
      <c r="D539" s="12">
        <f t="shared" si="80"/>
        <v>1.5307499999999585E-2</v>
      </c>
      <c r="E539" s="12">
        <f>SUM($D$19:D539)</f>
        <v>4.9433075000000022</v>
      </c>
      <c r="F539" s="12">
        <f t="shared" si="76"/>
        <v>47.762728935994943</v>
      </c>
      <c r="G539" s="12">
        <f t="shared" si="77"/>
        <v>44.318153054105949</v>
      </c>
      <c r="H539" s="12">
        <f t="shared" si="81"/>
        <v>171900</v>
      </c>
      <c r="I539" s="12">
        <f t="shared" si="82"/>
        <v>159500</v>
      </c>
      <c r="J539" s="12">
        <f>IF(A539&lt;[3]关卡对接!$A$4,INDEX([3]关卡对接!$C$7:$C$141,A539),MATCH(E539,人物经验!$H$24:$H$573,1))</f>
        <v>304</v>
      </c>
      <c r="K539" s="12">
        <f>IF([3]关卡对接!F527="",INT(INDEX(人物经验!$J$24:$J$573,关卡!J539)*关卡!$S$7),[3]关卡对接!F527)</f>
        <v>4272</v>
      </c>
      <c r="L539" s="12">
        <f t="shared" si="83"/>
        <v>1.4</v>
      </c>
      <c r="M539" s="12">
        <f>L539/[4]货币基础!$B$4</f>
        <v>140</v>
      </c>
      <c r="N539" s="12">
        <f>IF(A539&lt;[3]关卡对接!$A$4,INDEX([3]关卡对接!$E$7:$E$141,A539),MATCH(E539,人物经验!$H$24:$H$573,1))</f>
        <v>304</v>
      </c>
      <c r="O539" s="12">
        <f>INDEX([2]关卡!$G$6:$G$2005,A539)</f>
        <v>3</v>
      </c>
      <c r="P539" s="13">
        <v>6</v>
      </c>
      <c r="Q539" s="12">
        <f>INT(P539/$S$15/O539*VLOOKUP(J539,[1]人物技能基础!$N$3:$O$553,2,0)*$U$15)</f>
        <v>9</v>
      </c>
      <c r="R539" s="12">
        <f t="shared" si="84"/>
        <v>112</v>
      </c>
    </row>
    <row r="540" spans="1:18" x14ac:dyDescent="0.15">
      <c r="A540" s="12">
        <v>522</v>
      </c>
      <c r="B540" s="12">
        <f t="shared" si="78"/>
        <v>3</v>
      </c>
      <c r="C540" s="12">
        <f t="shared" si="79"/>
        <v>1.7586300000000001</v>
      </c>
      <c r="D540" s="12">
        <f t="shared" si="80"/>
        <v>1.532250000000035E-2</v>
      </c>
      <c r="E540" s="12">
        <f>SUM($D$19:D540)</f>
        <v>4.958630000000003</v>
      </c>
      <c r="F540" s="12">
        <f t="shared" si="76"/>
        <v>47.909622085759004</v>
      </c>
      <c r="G540" s="12">
        <f t="shared" si="77"/>
        <v>44.425931860895005</v>
      </c>
      <c r="H540" s="12">
        <f t="shared" si="81"/>
        <v>172400</v>
      </c>
      <c r="I540" s="12">
        <f t="shared" si="82"/>
        <v>159900</v>
      </c>
      <c r="J540" s="12">
        <f>IF(A540&lt;[3]关卡对接!$A$4,INDEX([3]关卡对接!$C$7:$C$141,A540),MATCH(E540,人物经验!$H$24:$H$573,1))</f>
        <v>304</v>
      </c>
      <c r="K540" s="12">
        <f>IF([3]关卡对接!F528="",INT(INDEX(人物经验!$J$24:$J$573,关卡!J540)*关卡!$S$7),[3]关卡对接!F528)</f>
        <v>4272</v>
      </c>
      <c r="L540" s="12">
        <f t="shared" si="83"/>
        <v>1.4</v>
      </c>
      <c r="M540" s="12">
        <f>L540/[4]货币基础!$B$4</f>
        <v>140</v>
      </c>
      <c r="N540" s="12">
        <f>IF(A540&lt;[3]关卡对接!$A$4,INDEX([3]关卡对接!$E$7:$E$141,A540),MATCH(E540,人物经验!$H$24:$H$573,1))</f>
        <v>304</v>
      </c>
      <c r="O540" s="12">
        <f>INDEX([2]关卡!$G$6:$G$2005,A540)</f>
        <v>3</v>
      </c>
      <c r="P540" s="13">
        <v>6</v>
      </c>
      <c r="Q540" s="12">
        <f>INT(P540/$S$15/O540*VLOOKUP(J540,[1]人物技能基础!$N$3:$O$553,2,0)*$U$15)</f>
        <v>9</v>
      </c>
      <c r="R540" s="12">
        <f t="shared" si="84"/>
        <v>112</v>
      </c>
    </row>
    <row r="541" spans="1:18" x14ac:dyDescent="0.15">
      <c r="A541" s="12">
        <v>523</v>
      </c>
      <c r="B541" s="12">
        <f t="shared" si="78"/>
        <v>3</v>
      </c>
      <c r="C541" s="12">
        <f t="shared" si="79"/>
        <v>1.7739674999999999</v>
      </c>
      <c r="D541" s="12">
        <f t="shared" si="80"/>
        <v>1.5337499999999782E-2</v>
      </c>
      <c r="E541" s="12">
        <f>SUM($D$19:D541)</f>
        <v>4.9739675000000023</v>
      </c>
      <c r="F541" s="12">
        <f t="shared" si="76"/>
        <v>48.056814226409941</v>
      </c>
      <c r="G541" s="12">
        <f t="shared" si="77"/>
        <v>44.533863807180943</v>
      </c>
      <c r="H541" s="12">
        <f t="shared" si="81"/>
        <v>173000</v>
      </c>
      <c r="I541" s="12">
        <f t="shared" si="82"/>
        <v>160300</v>
      </c>
      <c r="J541" s="12">
        <f>IF(A541&lt;[3]关卡对接!$A$4,INDEX([3]关卡对接!$C$7:$C$141,A541),MATCH(E541,人物经验!$H$24:$H$573,1))</f>
        <v>304</v>
      </c>
      <c r="K541" s="12">
        <f>IF([3]关卡对接!F529="",INT(INDEX(人物经验!$J$24:$J$573,关卡!J541)*关卡!$S$7),[3]关卡对接!F529)</f>
        <v>4272</v>
      </c>
      <c r="L541" s="12">
        <f t="shared" si="83"/>
        <v>1.4</v>
      </c>
      <c r="M541" s="12">
        <f>L541/[4]货币基础!$B$4</f>
        <v>140</v>
      </c>
      <c r="N541" s="12">
        <f>IF(A541&lt;[3]关卡对接!$A$4,INDEX([3]关卡对接!$E$7:$E$141,A541),MATCH(E541,人物经验!$H$24:$H$573,1))</f>
        <v>304</v>
      </c>
      <c r="O541" s="12">
        <f>INDEX([2]关卡!$G$6:$G$2005,A541)</f>
        <v>3</v>
      </c>
      <c r="P541" s="13">
        <v>6</v>
      </c>
      <c r="Q541" s="12">
        <f>INT(P541/$S$15/O541*VLOOKUP(J541,[1]人物技能基础!$N$3:$O$553,2,0)*$U$15)</f>
        <v>9</v>
      </c>
      <c r="R541" s="12">
        <f t="shared" si="84"/>
        <v>112</v>
      </c>
    </row>
    <row r="542" spans="1:18" x14ac:dyDescent="0.15">
      <c r="A542" s="12">
        <v>524</v>
      </c>
      <c r="B542" s="12">
        <f t="shared" si="78"/>
        <v>3</v>
      </c>
      <c r="C542" s="12">
        <f t="shared" si="79"/>
        <v>1.7893200000000002</v>
      </c>
      <c r="D542" s="12">
        <f t="shared" si="80"/>
        <v>1.5352500000000324E-2</v>
      </c>
      <c r="E542" s="12">
        <f>SUM($D$19:D542)</f>
        <v>4.9893200000000029</v>
      </c>
      <c r="F542" s="12">
        <f t="shared" si="76"/>
        <v>48.204305895664</v>
      </c>
      <c r="G542" s="12">
        <f t="shared" si="77"/>
        <v>44.641949079920003</v>
      </c>
      <c r="H542" s="12">
        <f t="shared" si="81"/>
        <v>173500</v>
      </c>
      <c r="I542" s="12">
        <f t="shared" si="82"/>
        <v>160700</v>
      </c>
      <c r="J542" s="12">
        <f>IF(A542&lt;[3]关卡对接!$A$4,INDEX([3]关卡对接!$C$7:$C$141,A542),MATCH(E542,人物经验!$H$24:$H$573,1))</f>
        <v>304</v>
      </c>
      <c r="K542" s="12">
        <f>IF([3]关卡对接!F530="",INT(INDEX(人物经验!$J$24:$J$573,关卡!J542)*关卡!$S$7),[3]关卡对接!F530)</f>
        <v>4272</v>
      </c>
      <c r="L542" s="12">
        <f t="shared" si="83"/>
        <v>1.4</v>
      </c>
      <c r="M542" s="12">
        <f>L542/[4]货币基础!$B$4</f>
        <v>140</v>
      </c>
      <c r="N542" s="12">
        <f>IF(A542&lt;[3]关卡对接!$A$4,INDEX([3]关卡对接!$E$7:$E$141,A542),MATCH(E542,人物经验!$H$24:$H$573,1))</f>
        <v>304</v>
      </c>
      <c r="O542" s="12">
        <f>INDEX([2]关卡!$G$6:$G$2005,A542)</f>
        <v>3</v>
      </c>
      <c r="P542" s="13">
        <v>6</v>
      </c>
      <c r="Q542" s="12">
        <f>INT(P542/$S$15/O542*VLOOKUP(J542,[1]人物技能基础!$N$3:$O$553,2,0)*$U$15)</f>
        <v>9</v>
      </c>
      <c r="R542" s="12">
        <f t="shared" si="84"/>
        <v>112</v>
      </c>
    </row>
    <row r="543" spans="1:18" x14ac:dyDescent="0.15">
      <c r="A543" s="12">
        <v>525</v>
      </c>
      <c r="B543" s="12">
        <f t="shared" si="78"/>
        <v>3</v>
      </c>
      <c r="C543" s="12">
        <f t="shared" si="79"/>
        <v>1.8046875</v>
      </c>
      <c r="D543" s="12">
        <f t="shared" si="80"/>
        <v>1.5367499999999756E-2</v>
      </c>
      <c r="E543" s="12">
        <f>SUM($D$19:D543)</f>
        <v>5.0046875000000028</v>
      </c>
      <c r="F543" s="12">
        <f t="shared" si="76"/>
        <v>48.352097631835946</v>
      </c>
      <c r="G543" s="12">
        <f t="shared" si="77"/>
        <v>44.750187866210943</v>
      </c>
      <c r="H543" s="12">
        <f t="shared" si="81"/>
        <v>174000</v>
      </c>
      <c r="I543" s="12">
        <f t="shared" si="82"/>
        <v>161100</v>
      </c>
      <c r="J543" s="12">
        <f>IF(A543&lt;[3]关卡对接!$A$4,INDEX([3]关卡对接!$C$7:$C$141,A543),MATCH(E543,人物经验!$H$24:$H$573,1))</f>
        <v>304</v>
      </c>
      <c r="K543" s="12">
        <f>IF([3]关卡对接!F531="",INT(INDEX(人物经验!$J$24:$J$573,关卡!J543)*关卡!$S$7),[3]关卡对接!F531)</f>
        <v>4272</v>
      </c>
      <c r="L543" s="12">
        <f t="shared" si="83"/>
        <v>1.4</v>
      </c>
      <c r="M543" s="12">
        <f>L543/[4]货币基础!$B$4</f>
        <v>140</v>
      </c>
      <c r="N543" s="12">
        <f>IF(A543&lt;[3]关卡对接!$A$4,INDEX([3]关卡对接!$E$7:$E$141,A543),MATCH(E543,人物经验!$H$24:$H$573,1))</f>
        <v>304</v>
      </c>
      <c r="O543" s="12">
        <f>INDEX([2]关卡!$G$6:$G$2005,A543)</f>
        <v>3</v>
      </c>
      <c r="P543" s="13">
        <v>6</v>
      </c>
      <c r="Q543" s="12">
        <f>INT(P543/$S$15/O543*VLOOKUP(J543,[1]人物技能基础!$N$3:$O$553,2,0)*$U$15)</f>
        <v>9</v>
      </c>
      <c r="R543" s="12">
        <f t="shared" si="84"/>
        <v>112</v>
      </c>
    </row>
    <row r="544" spans="1:18" x14ac:dyDescent="0.15">
      <c r="A544" s="12">
        <v>526</v>
      </c>
      <c r="B544" s="12">
        <f t="shared" si="78"/>
        <v>3</v>
      </c>
      <c r="C544" s="12">
        <f t="shared" si="79"/>
        <v>1.8200700000000003</v>
      </c>
      <c r="D544" s="12">
        <f t="shared" si="80"/>
        <v>1.5382500000000299E-2</v>
      </c>
      <c r="E544" s="12">
        <f>SUM($D$19:D544)</f>
        <v>5.0200700000000031</v>
      </c>
      <c r="F544" s="12">
        <f t="shared" si="76"/>
        <v>48.500189973838999</v>
      </c>
      <c r="G544" s="12">
        <f t="shared" si="77"/>
        <v>44.858580353294997</v>
      </c>
      <c r="H544" s="12">
        <f t="shared" si="81"/>
        <v>174600</v>
      </c>
      <c r="I544" s="12">
        <f t="shared" si="82"/>
        <v>161400</v>
      </c>
      <c r="J544" s="12">
        <f>IF(A544&lt;[3]关卡对接!$A$4,INDEX([3]关卡对接!$C$7:$C$141,A544),MATCH(E544,人物经验!$H$24:$H$573,1))</f>
        <v>304</v>
      </c>
      <c r="K544" s="12">
        <f>IF([3]关卡对接!F532="",INT(INDEX(人物经验!$J$24:$J$573,关卡!J544)*关卡!$S$7),[3]关卡对接!F532)</f>
        <v>4272</v>
      </c>
      <c r="L544" s="12">
        <f t="shared" si="83"/>
        <v>1.4</v>
      </c>
      <c r="M544" s="12">
        <f>L544/[4]货币基础!$B$4</f>
        <v>140</v>
      </c>
      <c r="N544" s="12">
        <f>IF(A544&lt;[3]关卡对接!$A$4,INDEX([3]关卡对接!$E$7:$E$141,A544),MATCH(E544,人物经验!$H$24:$H$573,1))</f>
        <v>304</v>
      </c>
      <c r="O544" s="12">
        <f>INDEX([2]关卡!$G$6:$G$2005,A544)</f>
        <v>3</v>
      </c>
      <c r="P544" s="13">
        <v>6</v>
      </c>
      <c r="Q544" s="12">
        <f>INT(P544/$S$15/O544*VLOOKUP(J544,[1]人物技能基础!$N$3:$O$553,2,0)*$U$15)</f>
        <v>9</v>
      </c>
      <c r="R544" s="12">
        <f t="shared" si="84"/>
        <v>112</v>
      </c>
    </row>
    <row r="545" spans="1:18" x14ac:dyDescent="0.15">
      <c r="A545" s="12">
        <v>527</v>
      </c>
      <c r="B545" s="12">
        <f t="shared" si="78"/>
        <v>3</v>
      </c>
      <c r="C545" s="12">
        <f t="shared" si="79"/>
        <v>1.8354675</v>
      </c>
      <c r="D545" s="12">
        <f t="shared" si="80"/>
        <v>1.5397499999999731E-2</v>
      </c>
      <c r="E545" s="12">
        <f>SUM($D$19:D545)</f>
        <v>5.0354675000000029</v>
      </c>
      <c r="F545" s="12">
        <f t="shared" si="76"/>
        <v>48.648583461184948</v>
      </c>
      <c r="G545" s="12">
        <f t="shared" si="77"/>
        <v>44.967126728555932</v>
      </c>
      <c r="H545" s="12">
        <f t="shared" si="81"/>
        <v>175100</v>
      </c>
      <c r="I545" s="12">
        <f t="shared" si="82"/>
        <v>161800</v>
      </c>
      <c r="J545" s="12">
        <f>IF(A545&lt;[3]关卡对接!$A$4,INDEX([3]关卡对接!$C$7:$C$141,A545),MATCH(E545,人物经验!$H$24:$H$573,1))</f>
        <v>304</v>
      </c>
      <c r="K545" s="12">
        <f>IF([3]关卡对接!F533="",INT(INDEX(人物经验!$J$24:$J$573,关卡!J545)*关卡!$S$7),[3]关卡对接!F533)</f>
        <v>4272</v>
      </c>
      <c r="L545" s="12">
        <f t="shared" si="83"/>
        <v>1.4</v>
      </c>
      <c r="M545" s="12">
        <f>L545/[4]货币基础!$B$4</f>
        <v>140</v>
      </c>
      <c r="N545" s="12">
        <f>IF(A545&lt;[3]关卡对接!$A$4,INDEX([3]关卡对接!$E$7:$E$141,A545),MATCH(E545,人物经验!$H$24:$H$573,1))</f>
        <v>304</v>
      </c>
      <c r="O545" s="12">
        <f>INDEX([2]关卡!$G$6:$G$2005,A545)</f>
        <v>3</v>
      </c>
      <c r="P545" s="13">
        <v>6</v>
      </c>
      <c r="Q545" s="12">
        <f>INT(P545/$S$15/O545*VLOOKUP(J545,[1]人物技能基础!$N$3:$O$553,2,0)*$U$15)</f>
        <v>9</v>
      </c>
      <c r="R545" s="12">
        <f t="shared" si="84"/>
        <v>112</v>
      </c>
    </row>
    <row r="546" spans="1:18" x14ac:dyDescent="0.15">
      <c r="A546" s="12">
        <v>528</v>
      </c>
      <c r="B546" s="12">
        <f t="shared" si="78"/>
        <v>3</v>
      </c>
      <c r="C546" s="12">
        <f t="shared" si="79"/>
        <v>1.8508800000000001</v>
      </c>
      <c r="D546" s="12">
        <f t="shared" si="80"/>
        <v>1.5412500000000051E-2</v>
      </c>
      <c r="E546" s="12">
        <f>SUM($D$19:D546)</f>
        <v>5.0508800000000029</v>
      </c>
      <c r="F546" s="12">
        <f t="shared" si="76"/>
        <v>48.797278633984007</v>
      </c>
      <c r="G546" s="12">
        <f t="shared" si="77"/>
        <v>45.075827179520012</v>
      </c>
      <c r="H546" s="12">
        <f t="shared" si="81"/>
        <v>175600</v>
      </c>
      <c r="I546" s="12">
        <f t="shared" si="82"/>
        <v>162200</v>
      </c>
      <c r="J546" s="12">
        <f>IF(A546&lt;[3]关卡对接!$A$4,INDEX([3]关卡对接!$C$7:$C$141,A546),MATCH(E546,人物经验!$H$24:$H$573,1))</f>
        <v>304</v>
      </c>
      <c r="K546" s="12">
        <f>IF([3]关卡对接!F534="",INT(INDEX(人物经验!$J$24:$J$573,关卡!J546)*关卡!$S$7),[3]关卡对接!F534)</f>
        <v>4272</v>
      </c>
      <c r="L546" s="12">
        <f t="shared" si="83"/>
        <v>1.4</v>
      </c>
      <c r="M546" s="12">
        <f>L546/[4]货币基础!$B$4</f>
        <v>140</v>
      </c>
      <c r="N546" s="12">
        <f>IF(A546&lt;[3]关卡对接!$A$4,INDEX([3]关卡对接!$E$7:$E$141,A546),MATCH(E546,人物经验!$H$24:$H$573,1))</f>
        <v>304</v>
      </c>
      <c r="O546" s="12">
        <f>INDEX([2]关卡!$G$6:$G$2005,A546)</f>
        <v>3</v>
      </c>
      <c r="P546" s="13">
        <v>6</v>
      </c>
      <c r="Q546" s="12">
        <f>INT(P546/$S$15/O546*VLOOKUP(J546,[1]人物技能基础!$N$3:$O$553,2,0)*$U$15)</f>
        <v>9</v>
      </c>
      <c r="R546" s="12">
        <f t="shared" si="84"/>
        <v>112</v>
      </c>
    </row>
    <row r="547" spans="1:18" x14ac:dyDescent="0.15">
      <c r="A547" s="12">
        <v>529</v>
      </c>
      <c r="B547" s="12">
        <f t="shared" si="78"/>
        <v>3</v>
      </c>
      <c r="C547" s="12">
        <f t="shared" si="79"/>
        <v>1.8663075</v>
      </c>
      <c r="D547" s="12">
        <f t="shared" si="80"/>
        <v>1.5427499999999927E-2</v>
      </c>
      <c r="E547" s="12">
        <f>SUM($D$19:D547)</f>
        <v>5.0663075000000024</v>
      </c>
      <c r="F547" s="12">
        <f t="shared" si="76"/>
        <v>48.946276032944937</v>
      </c>
      <c r="G547" s="12">
        <f t="shared" si="77"/>
        <v>45.184681893855931</v>
      </c>
      <c r="H547" s="12">
        <f t="shared" si="81"/>
        <v>176200</v>
      </c>
      <c r="I547" s="12">
        <f t="shared" si="82"/>
        <v>162600</v>
      </c>
      <c r="J547" s="12">
        <f>IF(A547&lt;[3]关卡对接!$A$4,INDEX([3]关卡对接!$C$7:$C$141,A547),MATCH(E547,人物经验!$H$24:$H$573,1))</f>
        <v>305</v>
      </c>
      <c r="K547" s="12">
        <f>IF([3]关卡对接!F535="",INT(INDEX(人物经验!$J$24:$J$573,关卡!J547)*关卡!$S$7),[3]关卡对接!F535)</f>
        <v>4391</v>
      </c>
      <c r="L547" s="12">
        <f t="shared" si="83"/>
        <v>1.4</v>
      </c>
      <c r="M547" s="12">
        <f>L547/[4]货币基础!$B$4</f>
        <v>140</v>
      </c>
      <c r="N547" s="12">
        <f>IF(A547&lt;[3]关卡对接!$A$4,INDEX([3]关卡对接!$E$7:$E$141,A547),MATCH(E547,人物经验!$H$24:$H$573,1))</f>
        <v>305</v>
      </c>
      <c r="O547" s="12">
        <f>INDEX([2]关卡!$G$6:$G$2005,A547)</f>
        <v>3</v>
      </c>
      <c r="P547" s="13">
        <v>6</v>
      </c>
      <c r="Q547" s="12">
        <f>INT(P547/$S$15/O547*VLOOKUP(J547,[1]人物技能基础!$N$3:$O$553,2,0)*$U$15)</f>
        <v>9</v>
      </c>
      <c r="R547" s="12">
        <f t="shared" si="84"/>
        <v>112</v>
      </c>
    </row>
    <row r="548" spans="1:18" x14ac:dyDescent="0.15">
      <c r="A548" s="12">
        <v>530</v>
      </c>
      <c r="B548" s="12">
        <f t="shared" si="78"/>
        <v>3</v>
      </c>
      <c r="C548" s="12">
        <f t="shared" si="79"/>
        <v>1.8817500000000003</v>
      </c>
      <c r="D548" s="12">
        <f t="shared" si="80"/>
        <v>1.5442500000000248E-2</v>
      </c>
      <c r="E548" s="12">
        <f>SUM($D$19:D548)</f>
        <v>5.0817500000000031</v>
      </c>
      <c r="F548" s="12">
        <f t="shared" si="76"/>
        <v>49.095576199375003</v>
      </c>
      <c r="G548" s="12">
        <f t="shared" si="77"/>
        <v>45.293691059375007</v>
      </c>
      <c r="H548" s="12">
        <f t="shared" si="81"/>
        <v>176700</v>
      </c>
      <c r="I548" s="12">
        <f t="shared" si="82"/>
        <v>163000</v>
      </c>
      <c r="J548" s="12">
        <f>IF(A548&lt;[3]关卡对接!$A$4,INDEX([3]关卡对接!$C$7:$C$141,A548),MATCH(E548,人物经验!$H$24:$H$573,1))</f>
        <v>305</v>
      </c>
      <c r="K548" s="12">
        <f>IF([3]关卡对接!F536="",INT(INDEX(人物经验!$J$24:$J$573,关卡!J548)*关卡!$S$7),[3]关卡对接!F536)</f>
        <v>4391</v>
      </c>
      <c r="L548" s="12">
        <f t="shared" si="83"/>
        <v>1.4</v>
      </c>
      <c r="M548" s="12">
        <f>L548/[4]货币基础!$B$4</f>
        <v>140</v>
      </c>
      <c r="N548" s="12">
        <f>IF(A548&lt;[3]关卡对接!$A$4,INDEX([3]关卡对接!$E$7:$E$141,A548),MATCH(E548,人物经验!$H$24:$H$573,1))</f>
        <v>305</v>
      </c>
      <c r="O548" s="12">
        <f>INDEX([2]关卡!$G$6:$G$2005,A548)</f>
        <v>3</v>
      </c>
      <c r="P548" s="13">
        <v>6</v>
      </c>
      <c r="Q548" s="12">
        <f>INT(P548/$S$15/O548*VLOOKUP(J548,[1]人物技能基础!$N$3:$O$553,2,0)*$U$15)</f>
        <v>9</v>
      </c>
      <c r="R548" s="12">
        <f t="shared" si="84"/>
        <v>112</v>
      </c>
    </row>
    <row r="549" spans="1:18" x14ac:dyDescent="0.15">
      <c r="A549" s="12">
        <v>531</v>
      </c>
      <c r="B549" s="12">
        <f t="shared" si="78"/>
        <v>3</v>
      </c>
      <c r="C549" s="12">
        <f t="shared" si="79"/>
        <v>1.8972074999999999</v>
      </c>
      <c r="D549" s="12">
        <f t="shared" si="80"/>
        <v>1.545749999999968E-2</v>
      </c>
      <c r="E549" s="12">
        <f>SUM($D$19:D549)</f>
        <v>5.0972075000000032</v>
      </c>
      <c r="F549" s="12">
        <f t="shared" si="76"/>
        <v>49.245179675179948</v>
      </c>
      <c r="G549" s="12">
        <f t="shared" si="77"/>
        <v>45.402854864030942</v>
      </c>
      <c r="H549" s="12">
        <f t="shared" si="81"/>
        <v>177200</v>
      </c>
      <c r="I549" s="12">
        <f t="shared" si="82"/>
        <v>163400</v>
      </c>
      <c r="J549" s="12">
        <f>IF(A549&lt;[3]关卡对接!$A$4,INDEX([3]关卡对接!$C$7:$C$141,A549),MATCH(E549,人物经验!$H$24:$H$573,1))</f>
        <v>305</v>
      </c>
      <c r="K549" s="12">
        <f>IF([3]关卡对接!F537="",INT(INDEX(人物经验!$J$24:$J$573,关卡!J549)*关卡!$S$7),[3]关卡对接!F537)</f>
        <v>4391</v>
      </c>
      <c r="L549" s="12">
        <f t="shared" si="83"/>
        <v>1.4</v>
      </c>
      <c r="M549" s="12">
        <f>L549/[4]货币基础!$B$4</f>
        <v>140</v>
      </c>
      <c r="N549" s="12">
        <f>IF(A549&lt;[3]关卡对接!$A$4,INDEX([3]关卡对接!$E$7:$E$141,A549),MATCH(E549,人物经验!$H$24:$H$573,1))</f>
        <v>305</v>
      </c>
      <c r="O549" s="12">
        <f>INDEX([2]关卡!$G$6:$G$2005,A549)</f>
        <v>3</v>
      </c>
      <c r="P549" s="13">
        <v>6</v>
      </c>
      <c r="Q549" s="12">
        <f>INT(P549/$S$15/O549*VLOOKUP(J549,[1]人物技能基础!$N$3:$O$553,2,0)*$U$15)</f>
        <v>9</v>
      </c>
      <c r="R549" s="12">
        <f t="shared" si="84"/>
        <v>112</v>
      </c>
    </row>
    <row r="550" spans="1:18" x14ac:dyDescent="0.15">
      <c r="A550" s="12">
        <v>532</v>
      </c>
      <c r="B550" s="12">
        <f t="shared" si="78"/>
        <v>3</v>
      </c>
      <c r="C550" s="12">
        <f t="shared" si="79"/>
        <v>1.9126800000000004</v>
      </c>
      <c r="D550" s="12">
        <f t="shared" si="80"/>
        <v>1.5472500000000444E-2</v>
      </c>
      <c r="E550" s="12">
        <f>SUM($D$19:D550)</f>
        <v>5.1126800000000037</v>
      </c>
      <c r="F550" s="12">
        <f t="shared" si="76"/>
        <v>49.395087002864003</v>
      </c>
      <c r="G550" s="12">
        <f t="shared" si="77"/>
        <v>45.51217349592001</v>
      </c>
      <c r="H550" s="12">
        <f t="shared" si="81"/>
        <v>177800</v>
      </c>
      <c r="I550" s="12">
        <f t="shared" si="82"/>
        <v>163800</v>
      </c>
      <c r="J550" s="12">
        <f>IF(A550&lt;[3]关卡对接!$A$4,INDEX([3]关卡对接!$C$7:$C$141,A550),MATCH(E550,人物经验!$H$24:$H$573,1))</f>
        <v>305</v>
      </c>
      <c r="K550" s="12">
        <f>IF([3]关卡对接!F538="",INT(INDEX(人物经验!$J$24:$J$573,关卡!J550)*关卡!$S$7),[3]关卡对接!F538)</f>
        <v>4391</v>
      </c>
      <c r="L550" s="12">
        <f t="shared" si="83"/>
        <v>1.4</v>
      </c>
      <c r="M550" s="12">
        <f>L550/[4]货币基础!$B$4</f>
        <v>140</v>
      </c>
      <c r="N550" s="12">
        <f>IF(A550&lt;[3]关卡对接!$A$4,INDEX([3]关卡对接!$E$7:$E$141,A550),MATCH(E550,人物经验!$H$24:$H$573,1))</f>
        <v>305</v>
      </c>
      <c r="O550" s="12">
        <f>INDEX([2]关卡!$G$6:$G$2005,A550)</f>
        <v>3</v>
      </c>
      <c r="P550" s="13">
        <v>6</v>
      </c>
      <c r="Q550" s="12">
        <f>INT(P550/$S$15/O550*VLOOKUP(J550,[1]人物技能基础!$N$3:$O$553,2,0)*$U$15)</f>
        <v>9</v>
      </c>
      <c r="R550" s="12">
        <f t="shared" si="84"/>
        <v>112</v>
      </c>
    </row>
    <row r="551" spans="1:18" x14ac:dyDescent="0.15">
      <c r="A551" s="12">
        <v>533</v>
      </c>
      <c r="B551" s="12">
        <f t="shared" si="78"/>
        <v>3</v>
      </c>
      <c r="C551" s="12">
        <f t="shared" si="79"/>
        <v>1.9281675000000003</v>
      </c>
      <c r="D551" s="12">
        <f t="shared" si="80"/>
        <v>1.5487499999999876E-2</v>
      </c>
      <c r="E551" s="12">
        <f>SUM($D$19:D551)</f>
        <v>5.1281675000000035</v>
      </c>
      <c r="F551" s="12">
        <f t="shared" si="76"/>
        <v>49.545298725529946</v>
      </c>
      <c r="G551" s="12">
        <f t="shared" si="77"/>
        <v>45.621647143280939</v>
      </c>
      <c r="H551" s="12">
        <f t="shared" si="81"/>
        <v>178300</v>
      </c>
      <c r="I551" s="12">
        <f t="shared" si="82"/>
        <v>164200</v>
      </c>
      <c r="J551" s="12">
        <f>IF(A551&lt;[3]关卡对接!$A$4,INDEX([3]关卡对接!$C$7:$C$141,A551),MATCH(E551,人物经验!$H$24:$H$573,1))</f>
        <v>305</v>
      </c>
      <c r="K551" s="12">
        <f>IF([3]关卡对接!F539="",INT(INDEX(人物经验!$J$24:$J$573,关卡!J551)*关卡!$S$7),[3]关卡对接!F539)</f>
        <v>4391</v>
      </c>
      <c r="L551" s="12">
        <f t="shared" si="83"/>
        <v>1.4</v>
      </c>
      <c r="M551" s="12">
        <f>L551/[4]货币基础!$B$4</f>
        <v>140</v>
      </c>
      <c r="N551" s="12">
        <f>IF(A551&lt;[3]关卡对接!$A$4,INDEX([3]关卡对接!$E$7:$E$141,A551),MATCH(E551,人物经验!$H$24:$H$573,1))</f>
        <v>305</v>
      </c>
      <c r="O551" s="12">
        <f>INDEX([2]关卡!$G$6:$G$2005,A551)</f>
        <v>3</v>
      </c>
      <c r="P551" s="13">
        <v>6</v>
      </c>
      <c r="Q551" s="12">
        <f>INT(P551/$S$15/O551*VLOOKUP(J551,[1]人物技能基础!$N$3:$O$553,2,0)*$U$15)</f>
        <v>9</v>
      </c>
      <c r="R551" s="12">
        <f t="shared" si="84"/>
        <v>112</v>
      </c>
    </row>
    <row r="552" spans="1:18" x14ac:dyDescent="0.15">
      <c r="A552" s="12">
        <v>534</v>
      </c>
      <c r="B552" s="12">
        <f t="shared" si="78"/>
        <v>3</v>
      </c>
      <c r="C552" s="12">
        <f t="shared" si="79"/>
        <v>1.9436700000000002</v>
      </c>
      <c r="D552" s="12">
        <f t="shared" si="80"/>
        <v>1.5502499999999975E-2</v>
      </c>
      <c r="E552" s="12">
        <f>SUM($D$19:D552)</f>
        <v>5.1436700000000037</v>
      </c>
      <c r="F552" s="12">
        <f t="shared" si="76"/>
        <v>49.695815386879005</v>
      </c>
      <c r="G552" s="12">
        <f t="shared" si="77"/>
        <v>45.731275994495</v>
      </c>
      <c r="H552" s="12">
        <f t="shared" si="81"/>
        <v>178900</v>
      </c>
      <c r="I552" s="12">
        <f t="shared" si="82"/>
        <v>164600</v>
      </c>
      <c r="J552" s="12">
        <f>IF(A552&lt;[3]关卡对接!$A$4,INDEX([3]关卡对接!$C$7:$C$141,A552),MATCH(E552,人物经验!$H$24:$H$573,1))</f>
        <v>305</v>
      </c>
      <c r="K552" s="12">
        <f>IF([3]关卡对接!F540="",INT(INDEX(人物经验!$J$24:$J$573,关卡!J552)*关卡!$S$7),[3]关卡对接!F540)</f>
        <v>4391</v>
      </c>
      <c r="L552" s="12">
        <f t="shared" si="83"/>
        <v>1.4</v>
      </c>
      <c r="M552" s="12">
        <f>L552/[4]货币基础!$B$4</f>
        <v>140</v>
      </c>
      <c r="N552" s="12">
        <f>IF(A552&lt;[3]关卡对接!$A$4,INDEX([3]关卡对接!$E$7:$E$141,A552),MATCH(E552,人物经验!$H$24:$H$573,1))</f>
        <v>305</v>
      </c>
      <c r="O552" s="12">
        <f>INDEX([2]关卡!$G$6:$G$2005,A552)</f>
        <v>3</v>
      </c>
      <c r="P552" s="13">
        <v>6</v>
      </c>
      <c r="Q552" s="12">
        <f>INT(P552/$S$15/O552*VLOOKUP(J552,[1]人物技能基础!$N$3:$O$553,2,0)*$U$15)</f>
        <v>9</v>
      </c>
      <c r="R552" s="12">
        <f t="shared" si="84"/>
        <v>112</v>
      </c>
    </row>
    <row r="553" spans="1:18" x14ac:dyDescent="0.15">
      <c r="A553" s="12">
        <v>535</v>
      </c>
      <c r="B553" s="12">
        <f t="shared" si="78"/>
        <v>3</v>
      </c>
      <c r="C553" s="12">
        <f t="shared" si="79"/>
        <v>1.9591875000000003</v>
      </c>
      <c r="D553" s="12">
        <f t="shared" si="80"/>
        <v>1.5517500000000073E-2</v>
      </c>
      <c r="E553" s="12">
        <f>SUM($D$19:D553)</f>
        <v>5.1591875000000034</v>
      </c>
      <c r="F553" s="12">
        <f t="shared" si="76"/>
        <v>49.846637531210945</v>
      </c>
      <c r="G553" s="12">
        <f t="shared" si="77"/>
        <v>45.841060238085937</v>
      </c>
      <c r="H553" s="12">
        <f t="shared" si="81"/>
        <v>179400</v>
      </c>
      <c r="I553" s="12">
        <f t="shared" si="82"/>
        <v>165000</v>
      </c>
      <c r="J553" s="12">
        <f>IF(A553&lt;[3]关卡对接!$A$4,INDEX([3]关卡对接!$C$7:$C$141,A553),MATCH(E553,人物经验!$H$24:$H$573,1))</f>
        <v>305</v>
      </c>
      <c r="K553" s="12">
        <f>IF([3]关卡对接!F541="",INT(INDEX(人物经验!$J$24:$J$573,关卡!J553)*关卡!$S$7),[3]关卡对接!F541)</f>
        <v>4391</v>
      </c>
      <c r="L553" s="12">
        <f t="shared" si="83"/>
        <v>1.4</v>
      </c>
      <c r="M553" s="12">
        <f>L553/[4]货币基础!$B$4</f>
        <v>140</v>
      </c>
      <c r="N553" s="12">
        <f>IF(A553&lt;[3]关卡对接!$A$4,INDEX([3]关卡对接!$E$7:$E$141,A553),MATCH(E553,人物经验!$H$24:$H$573,1))</f>
        <v>305</v>
      </c>
      <c r="O553" s="12">
        <f>INDEX([2]关卡!$G$6:$G$2005,A553)</f>
        <v>3</v>
      </c>
      <c r="P553" s="13">
        <v>6</v>
      </c>
      <c r="Q553" s="12">
        <f>INT(P553/$S$15/O553*VLOOKUP(J553,[1]人物技能基础!$N$3:$O$553,2,0)*$U$15)</f>
        <v>9</v>
      </c>
      <c r="R553" s="12">
        <f t="shared" si="84"/>
        <v>112</v>
      </c>
    </row>
    <row r="554" spans="1:18" x14ac:dyDescent="0.15">
      <c r="A554" s="12">
        <v>536</v>
      </c>
      <c r="B554" s="12">
        <f t="shared" si="78"/>
        <v>3</v>
      </c>
      <c r="C554" s="12">
        <f t="shared" si="79"/>
        <v>1.9747200000000005</v>
      </c>
      <c r="D554" s="12">
        <f t="shared" si="80"/>
        <v>1.5532500000000171E-2</v>
      </c>
      <c r="E554" s="12">
        <f>SUM($D$19:D554)</f>
        <v>5.1747200000000033</v>
      </c>
      <c r="F554" s="12">
        <f t="shared" si="76"/>
        <v>49.997765703424015</v>
      </c>
      <c r="G554" s="12">
        <f t="shared" si="77"/>
        <v>45.951000062719999</v>
      </c>
      <c r="H554" s="12">
        <f t="shared" si="81"/>
        <v>179900</v>
      </c>
      <c r="I554" s="12">
        <f t="shared" si="82"/>
        <v>165400</v>
      </c>
      <c r="J554" s="12">
        <f>IF(A554&lt;[3]关卡对接!$A$4,INDEX([3]关卡对接!$C$7:$C$141,A554),MATCH(E554,人物经验!$H$24:$H$573,1))</f>
        <v>305</v>
      </c>
      <c r="K554" s="12">
        <f>IF([3]关卡对接!F542="",INT(INDEX(人物经验!$J$24:$J$573,关卡!J554)*关卡!$S$7),[3]关卡对接!F542)</f>
        <v>4391</v>
      </c>
      <c r="L554" s="12">
        <f t="shared" si="83"/>
        <v>1.4</v>
      </c>
      <c r="M554" s="12">
        <f>L554/[4]货币基础!$B$4</f>
        <v>140</v>
      </c>
      <c r="N554" s="12">
        <f>IF(A554&lt;[3]关卡对接!$A$4,INDEX([3]关卡对接!$E$7:$E$141,A554),MATCH(E554,人物经验!$H$24:$H$573,1))</f>
        <v>305</v>
      </c>
      <c r="O554" s="12">
        <f>INDEX([2]关卡!$G$6:$G$2005,A554)</f>
        <v>3</v>
      </c>
      <c r="P554" s="13">
        <v>6</v>
      </c>
      <c r="Q554" s="12">
        <f>INT(P554/$S$15/O554*VLOOKUP(J554,[1]人物技能基础!$N$3:$O$553,2,0)*$U$15)</f>
        <v>9</v>
      </c>
      <c r="R554" s="12">
        <f t="shared" si="84"/>
        <v>112</v>
      </c>
    </row>
    <row r="555" spans="1:18" x14ac:dyDescent="0.15">
      <c r="A555" s="12">
        <v>537</v>
      </c>
      <c r="B555" s="12">
        <f t="shared" si="78"/>
        <v>3</v>
      </c>
      <c r="C555" s="12">
        <f t="shared" si="79"/>
        <v>1.9902675000000001</v>
      </c>
      <c r="D555" s="12">
        <f t="shared" si="80"/>
        <v>1.5547499999999603E-2</v>
      </c>
      <c r="E555" s="12">
        <f>SUM($D$19:D555)</f>
        <v>5.1902675000000027</v>
      </c>
      <c r="F555" s="12">
        <f t="shared" si="76"/>
        <v>50.149200449014948</v>
      </c>
      <c r="G555" s="12">
        <f t="shared" si="77"/>
        <v>46.061095657205939</v>
      </c>
      <c r="H555" s="12">
        <f t="shared" si="81"/>
        <v>180500</v>
      </c>
      <c r="I555" s="12">
        <f t="shared" si="82"/>
        <v>165800</v>
      </c>
      <c r="J555" s="12">
        <f>IF(A555&lt;[3]关卡对接!$A$4,INDEX([3]关卡对接!$C$7:$C$141,A555),MATCH(E555,人物经验!$H$24:$H$573,1))</f>
        <v>305</v>
      </c>
      <c r="K555" s="12">
        <f>IF([3]关卡对接!F543="",INT(INDEX(人物经验!$J$24:$J$573,关卡!J555)*关卡!$S$7),[3]关卡对接!F543)</f>
        <v>4391</v>
      </c>
      <c r="L555" s="12">
        <f t="shared" si="83"/>
        <v>1.4</v>
      </c>
      <c r="M555" s="12">
        <f>L555/[4]货币基础!$B$4</f>
        <v>140</v>
      </c>
      <c r="N555" s="12">
        <f>IF(A555&lt;[3]关卡对接!$A$4,INDEX([3]关卡对接!$E$7:$E$141,A555),MATCH(E555,人物经验!$H$24:$H$573,1))</f>
        <v>305</v>
      </c>
      <c r="O555" s="12">
        <f>INDEX([2]关卡!$G$6:$G$2005,A555)</f>
        <v>3</v>
      </c>
      <c r="P555" s="13">
        <v>6</v>
      </c>
      <c r="Q555" s="12">
        <f>INT(P555/$S$15/O555*VLOOKUP(J555,[1]人物技能基础!$N$3:$O$553,2,0)*$U$15)</f>
        <v>9</v>
      </c>
      <c r="R555" s="12">
        <f t="shared" si="84"/>
        <v>112</v>
      </c>
    </row>
    <row r="556" spans="1:18" x14ac:dyDescent="0.15">
      <c r="A556" s="12">
        <v>538</v>
      </c>
      <c r="B556" s="12">
        <f t="shared" si="78"/>
        <v>3</v>
      </c>
      <c r="C556" s="12">
        <f t="shared" si="79"/>
        <v>2.00583</v>
      </c>
      <c r="D556" s="12">
        <f t="shared" si="80"/>
        <v>1.5562499999999924E-2</v>
      </c>
      <c r="E556" s="12">
        <f>SUM($D$19:D556)</f>
        <v>5.2058300000000024</v>
      </c>
      <c r="F556" s="12">
        <f t="shared" si="76"/>
        <v>50.300942314079009</v>
      </c>
      <c r="G556" s="12">
        <f t="shared" si="77"/>
        <v>46.171347210495007</v>
      </c>
      <c r="H556" s="12">
        <f t="shared" si="81"/>
        <v>181000</v>
      </c>
      <c r="I556" s="12">
        <f t="shared" si="82"/>
        <v>166200</v>
      </c>
      <c r="J556" s="12">
        <f>IF(A556&lt;[3]关卡对接!$A$4,INDEX([3]关卡对接!$C$7:$C$141,A556),MATCH(E556,人物经验!$H$24:$H$573,1))</f>
        <v>306</v>
      </c>
      <c r="K556" s="12">
        <f>IF([3]关卡对接!F544="",INT(INDEX(人物经验!$J$24:$J$573,关卡!J556)*关卡!$S$7),[3]关卡对接!F544)</f>
        <v>4513</v>
      </c>
      <c r="L556" s="12">
        <f t="shared" si="83"/>
        <v>1.4</v>
      </c>
      <c r="M556" s="12">
        <f>L556/[4]货币基础!$B$4</f>
        <v>140</v>
      </c>
      <c r="N556" s="12">
        <f>IF(A556&lt;[3]关卡对接!$A$4,INDEX([3]关卡对接!$E$7:$E$141,A556),MATCH(E556,人物经验!$H$24:$H$573,1))</f>
        <v>306</v>
      </c>
      <c r="O556" s="12">
        <f>INDEX([2]关卡!$G$6:$G$2005,A556)</f>
        <v>3</v>
      </c>
      <c r="P556" s="13">
        <v>6</v>
      </c>
      <c r="Q556" s="12">
        <f>INT(P556/$S$15/O556*VLOOKUP(J556,[1]人物技能基础!$N$3:$O$553,2,0)*$U$15)</f>
        <v>9</v>
      </c>
      <c r="R556" s="12">
        <f t="shared" si="84"/>
        <v>112</v>
      </c>
    </row>
    <row r="557" spans="1:18" x14ac:dyDescent="0.15">
      <c r="A557" s="12">
        <v>539</v>
      </c>
      <c r="B557" s="12">
        <f t="shared" si="78"/>
        <v>3</v>
      </c>
      <c r="C557" s="12">
        <f t="shared" si="79"/>
        <v>2.0214075</v>
      </c>
      <c r="D557" s="12">
        <f t="shared" si="80"/>
        <v>1.5577500000000022E-2</v>
      </c>
      <c r="E557" s="12">
        <f>SUM($D$19:D557)</f>
        <v>5.2214075000000024</v>
      </c>
      <c r="F557" s="12">
        <f t="shared" si="76"/>
        <v>50.452991845309946</v>
      </c>
      <c r="G557" s="12">
        <f t="shared" si="77"/>
        <v>46.281754911680935</v>
      </c>
      <c r="H557" s="12">
        <f t="shared" si="81"/>
        <v>181600</v>
      </c>
      <c r="I557" s="12">
        <f t="shared" si="82"/>
        <v>166600</v>
      </c>
      <c r="J557" s="12">
        <f>IF(A557&lt;[3]关卡对接!$A$4,INDEX([3]关卡对接!$C$7:$C$141,A557),MATCH(E557,人物经验!$H$24:$H$573,1))</f>
        <v>306</v>
      </c>
      <c r="K557" s="12">
        <f>IF([3]关卡对接!F545="",INT(INDEX(人物经验!$J$24:$J$573,关卡!J557)*关卡!$S$7),[3]关卡对接!F545)</f>
        <v>4513</v>
      </c>
      <c r="L557" s="12">
        <f t="shared" si="83"/>
        <v>1.4</v>
      </c>
      <c r="M557" s="12">
        <f>L557/[4]货币基础!$B$4</f>
        <v>140</v>
      </c>
      <c r="N557" s="12">
        <f>IF(A557&lt;[3]关卡对接!$A$4,INDEX([3]关卡对接!$E$7:$E$141,A557),MATCH(E557,人物经验!$H$24:$H$573,1))</f>
        <v>306</v>
      </c>
      <c r="O557" s="12">
        <f>INDEX([2]关卡!$G$6:$G$2005,A557)</f>
        <v>3</v>
      </c>
      <c r="P557" s="13">
        <v>6</v>
      </c>
      <c r="Q557" s="12">
        <f>INT(P557/$S$15/O557*VLOOKUP(J557,[1]人物技能基础!$N$3:$O$553,2,0)*$U$15)</f>
        <v>9</v>
      </c>
      <c r="R557" s="12">
        <f t="shared" si="84"/>
        <v>112</v>
      </c>
    </row>
    <row r="558" spans="1:18" x14ac:dyDescent="0.15">
      <c r="A558" s="12">
        <v>540</v>
      </c>
      <c r="B558" s="12">
        <f t="shared" si="78"/>
        <v>3</v>
      </c>
      <c r="C558" s="12">
        <f t="shared" si="79"/>
        <v>2.0369999999999999</v>
      </c>
      <c r="D558" s="12">
        <f t="shared" si="80"/>
        <v>1.5592499999999898E-2</v>
      </c>
      <c r="E558" s="12">
        <f>SUM($D$19:D558)</f>
        <v>5.2370000000000019</v>
      </c>
      <c r="F558" s="12">
        <f t="shared" si="76"/>
        <v>50.60534959000001</v>
      </c>
      <c r="G558" s="12">
        <f t="shared" si="77"/>
        <v>46.392318950000003</v>
      </c>
      <c r="H558" s="12">
        <f t="shared" si="81"/>
        <v>182100</v>
      </c>
      <c r="I558" s="12">
        <f t="shared" si="82"/>
        <v>167000</v>
      </c>
      <c r="J558" s="12">
        <f>IF(A558&lt;[3]关卡对接!$A$4,INDEX([3]关卡对接!$C$7:$C$141,A558),MATCH(E558,人物经验!$H$24:$H$573,1))</f>
        <v>306</v>
      </c>
      <c r="K558" s="12">
        <f>IF([3]关卡对接!F546="",INT(INDEX(人物经验!$J$24:$J$573,关卡!J558)*关卡!$S$7),[3]关卡对接!F546)</f>
        <v>4513</v>
      </c>
      <c r="L558" s="12">
        <f t="shared" si="83"/>
        <v>1.4</v>
      </c>
      <c r="M558" s="12">
        <f>L558/[4]货币基础!$B$4</f>
        <v>140</v>
      </c>
      <c r="N558" s="12">
        <f>IF(A558&lt;[3]关卡对接!$A$4,INDEX([3]关卡对接!$E$7:$E$141,A558),MATCH(E558,人物经验!$H$24:$H$573,1))</f>
        <v>306</v>
      </c>
      <c r="O558" s="12">
        <f>INDEX([2]关卡!$G$6:$G$2005,A558)</f>
        <v>3</v>
      </c>
      <c r="P558" s="13">
        <v>6</v>
      </c>
      <c r="Q558" s="12">
        <f>INT(P558/$S$15/O558*VLOOKUP(J558,[1]人物技能基础!$N$3:$O$553,2,0)*$U$15)</f>
        <v>9</v>
      </c>
      <c r="R558" s="12">
        <f t="shared" si="84"/>
        <v>112</v>
      </c>
    </row>
    <row r="559" spans="1:18" x14ac:dyDescent="0.15">
      <c r="A559" s="12">
        <v>541</v>
      </c>
      <c r="B559" s="12">
        <f t="shared" si="78"/>
        <v>3</v>
      </c>
      <c r="C559" s="12">
        <f t="shared" si="79"/>
        <v>2.0526074999999997</v>
      </c>
      <c r="D559" s="12">
        <f t="shared" si="80"/>
        <v>1.5607499999999774E-2</v>
      </c>
      <c r="E559" s="12">
        <f>SUM($D$19:D559)</f>
        <v>5.2526075000000017</v>
      </c>
      <c r="F559" s="12">
        <f t="shared" si="76"/>
        <v>50.758016096039945</v>
      </c>
      <c r="G559" s="12">
        <f t="shared" si="77"/>
        <v>46.503039514830945</v>
      </c>
      <c r="H559" s="12">
        <f t="shared" si="81"/>
        <v>182700</v>
      </c>
      <c r="I559" s="12">
        <f t="shared" si="82"/>
        <v>167400</v>
      </c>
      <c r="J559" s="12">
        <f>IF(A559&lt;[3]关卡对接!$A$4,INDEX([3]关卡对接!$C$7:$C$141,A559),MATCH(E559,人物经验!$H$24:$H$573,1))</f>
        <v>306</v>
      </c>
      <c r="K559" s="12">
        <f>IF([3]关卡对接!F547="",INT(INDEX(人物经验!$J$24:$J$573,关卡!J559)*关卡!$S$7),[3]关卡对接!F547)</f>
        <v>4513</v>
      </c>
      <c r="L559" s="12">
        <f t="shared" si="83"/>
        <v>1.4</v>
      </c>
      <c r="M559" s="12">
        <f>L559/[4]货币基础!$B$4</f>
        <v>140</v>
      </c>
      <c r="N559" s="12">
        <f>IF(A559&lt;[3]关卡对接!$A$4,INDEX([3]关卡对接!$E$7:$E$141,A559),MATCH(E559,人物经验!$H$24:$H$573,1))</f>
        <v>306</v>
      </c>
      <c r="O559" s="12">
        <f>INDEX([2]关卡!$G$6:$G$2005,A559)</f>
        <v>3</v>
      </c>
      <c r="P559" s="13">
        <v>6</v>
      </c>
      <c r="Q559" s="12">
        <f>INT(P559/$S$15/O559*VLOOKUP(J559,[1]人物技能基础!$N$3:$O$553,2,0)*$U$15)</f>
        <v>9</v>
      </c>
      <c r="R559" s="12">
        <f t="shared" si="84"/>
        <v>112</v>
      </c>
    </row>
    <row r="560" spans="1:18" x14ac:dyDescent="0.15">
      <c r="A560" s="12">
        <v>542</v>
      </c>
      <c r="B560" s="12">
        <f t="shared" si="78"/>
        <v>3</v>
      </c>
      <c r="C560" s="12">
        <f t="shared" si="79"/>
        <v>2.0682299999999998</v>
      </c>
      <c r="D560" s="12">
        <f t="shared" si="80"/>
        <v>1.5622500000000095E-2</v>
      </c>
      <c r="E560" s="12">
        <f>SUM($D$19:D560)</f>
        <v>5.2682300000000017</v>
      </c>
      <c r="F560" s="12">
        <f t="shared" si="76"/>
        <v>50.910991911919005</v>
      </c>
      <c r="G560" s="12">
        <f t="shared" si="77"/>
        <v>46.613916795695005</v>
      </c>
      <c r="H560" s="12">
        <f t="shared" si="81"/>
        <v>183200</v>
      </c>
      <c r="I560" s="12">
        <f t="shared" si="82"/>
        <v>167800</v>
      </c>
      <c r="J560" s="12">
        <f>IF(A560&lt;[3]关卡对接!$A$4,INDEX([3]关卡对接!$C$7:$C$141,A560),MATCH(E560,人物经验!$H$24:$H$573,1))</f>
        <v>306</v>
      </c>
      <c r="K560" s="12">
        <f>IF([3]关卡对接!F548="",INT(INDEX(人物经验!$J$24:$J$573,关卡!J560)*关卡!$S$7),[3]关卡对接!F548)</f>
        <v>4513</v>
      </c>
      <c r="L560" s="12">
        <f t="shared" si="83"/>
        <v>1.4</v>
      </c>
      <c r="M560" s="12">
        <f>L560/[4]货币基础!$B$4</f>
        <v>140</v>
      </c>
      <c r="N560" s="12">
        <f>IF(A560&lt;[3]关卡对接!$A$4,INDEX([3]关卡对接!$E$7:$E$141,A560),MATCH(E560,人物经验!$H$24:$H$573,1))</f>
        <v>306</v>
      </c>
      <c r="O560" s="12">
        <f>INDEX([2]关卡!$G$6:$G$2005,A560)</f>
        <v>3</v>
      </c>
      <c r="P560" s="13">
        <v>6</v>
      </c>
      <c r="Q560" s="12">
        <f>INT(P560/$S$15/O560*VLOOKUP(J560,[1]人物技能基础!$N$3:$O$553,2,0)*$U$15)</f>
        <v>9</v>
      </c>
      <c r="R560" s="12">
        <f t="shared" si="84"/>
        <v>112</v>
      </c>
    </row>
    <row r="561" spans="1:18" x14ac:dyDescent="0.15">
      <c r="A561" s="12">
        <v>543</v>
      </c>
      <c r="B561" s="12">
        <f t="shared" si="78"/>
        <v>3</v>
      </c>
      <c r="C561" s="12">
        <f t="shared" si="79"/>
        <v>2.0838674999999998</v>
      </c>
      <c r="D561" s="12">
        <f t="shared" si="80"/>
        <v>1.5637499999999971E-2</v>
      </c>
      <c r="E561" s="12">
        <f>SUM($D$19:D561)</f>
        <v>5.2838675000000013</v>
      </c>
      <c r="F561" s="12">
        <f t="shared" si="76"/>
        <v>51.064277586724941</v>
      </c>
      <c r="G561" s="12">
        <f t="shared" si="77"/>
        <v>46.724950982255947</v>
      </c>
      <c r="H561" s="12">
        <f t="shared" si="81"/>
        <v>183800</v>
      </c>
      <c r="I561" s="12">
        <f t="shared" si="82"/>
        <v>168200</v>
      </c>
      <c r="J561" s="12">
        <f>IF(A561&lt;[3]关卡对接!$A$4,INDEX([3]关卡对接!$C$7:$C$141,A561),MATCH(E561,人物经验!$H$24:$H$573,1))</f>
        <v>306</v>
      </c>
      <c r="K561" s="12">
        <f>IF([3]关卡对接!F549="",INT(INDEX(人物经验!$J$24:$J$573,关卡!J561)*关卡!$S$7),[3]关卡对接!F549)</f>
        <v>4513</v>
      </c>
      <c r="L561" s="12">
        <f t="shared" si="83"/>
        <v>1.4</v>
      </c>
      <c r="M561" s="12">
        <f>L561/[4]货币基础!$B$4</f>
        <v>140</v>
      </c>
      <c r="N561" s="12">
        <f>IF(A561&lt;[3]关卡对接!$A$4,INDEX([3]关卡对接!$E$7:$E$141,A561),MATCH(E561,人物经验!$H$24:$H$573,1))</f>
        <v>306</v>
      </c>
      <c r="O561" s="12">
        <f>INDEX([2]关卡!$G$6:$G$2005,A561)</f>
        <v>3</v>
      </c>
      <c r="P561" s="13">
        <v>6</v>
      </c>
      <c r="Q561" s="12">
        <f>INT(P561/$S$15/O561*VLOOKUP(J561,[1]人物技能基础!$N$3:$O$553,2,0)*$U$15)</f>
        <v>9</v>
      </c>
      <c r="R561" s="12">
        <f t="shared" si="84"/>
        <v>112</v>
      </c>
    </row>
    <row r="562" spans="1:18" x14ac:dyDescent="0.15">
      <c r="A562" s="12">
        <v>544</v>
      </c>
      <c r="B562" s="12">
        <f t="shared" si="78"/>
        <v>3</v>
      </c>
      <c r="C562" s="12">
        <f t="shared" si="79"/>
        <v>2.0995200000000001</v>
      </c>
      <c r="D562" s="12">
        <f t="shared" si="80"/>
        <v>1.5652500000000291E-2</v>
      </c>
      <c r="E562" s="12">
        <f>SUM($D$19:D562)</f>
        <v>5.2995200000000011</v>
      </c>
      <c r="F562" s="12">
        <f t="shared" si="76"/>
        <v>51.217873670144002</v>
      </c>
      <c r="G562" s="12">
        <f t="shared" si="77"/>
        <v>46.836142264320003</v>
      </c>
      <c r="H562" s="12">
        <f t="shared" si="81"/>
        <v>184300</v>
      </c>
      <c r="I562" s="12">
        <f t="shared" si="82"/>
        <v>168600</v>
      </c>
      <c r="J562" s="12">
        <f>IF(A562&lt;[3]关卡对接!$A$4,INDEX([3]关卡对接!$C$7:$C$141,A562),MATCH(E562,人物经验!$H$24:$H$573,1))</f>
        <v>306</v>
      </c>
      <c r="K562" s="12">
        <f>IF([3]关卡对接!F550="",INT(INDEX(人物经验!$J$24:$J$573,关卡!J562)*关卡!$S$7),[3]关卡对接!F550)</f>
        <v>4513</v>
      </c>
      <c r="L562" s="12">
        <f t="shared" si="83"/>
        <v>1.4</v>
      </c>
      <c r="M562" s="12">
        <f>L562/[4]货币基础!$B$4</f>
        <v>140</v>
      </c>
      <c r="N562" s="12">
        <f>IF(A562&lt;[3]关卡对接!$A$4,INDEX([3]关卡对接!$E$7:$E$141,A562),MATCH(E562,人物经验!$H$24:$H$573,1))</f>
        <v>306</v>
      </c>
      <c r="O562" s="12">
        <f>INDEX([2]关卡!$G$6:$G$2005,A562)</f>
        <v>3</v>
      </c>
      <c r="P562" s="13">
        <v>6</v>
      </c>
      <c r="Q562" s="12">
        <f>INT(P562/$S$15/O562*VLOOKUP(J562,[1]人物技能基础!$N$3:$O$553,2,0)*$U$15)</f>
        <v>9</v>
      </c>
      <c r="R562" s="12">
        <f t="shared" si="84"/>
        <v>112</v>
      </c>
    </row>
    <row r="563" spans="1:18" x14ac:dyDescent="0.15">
      <c r="A563" s="12">
        <v>545</v>
      </c>
      <c r="B563" s="12">
        <f t="shared" si="78"/>
        <v>3</v>
      </c>
      <c r="C563" s="12">
        <f t="shared" si="79"/>
        <v>2.1151874999999998</v>
      </c>
      <c r="D563" s="12">
        <f t="shared" si="80"/>
        <v>1.5667499999999723E-2</v>
      </c>
      <c r="E563" s="12">
        <f>SUM($D$19:D563)</f>
        <v>5.3151875000000004</v>
      </c>
      <c r="F563" s="12">
        <f t="shared" si="76"/>
        <v>51.371780712460946</v>
      </c>
      <c r="G563" s="12">
        <f t="shared" si="77"/>
        <v>46.947490831835943</v>
      </c>
      <c r="H563" s="12">
        <f t="shared" si="81"/>
        <v>184900</v>
      </c>
      <c r="I563" s="12">
        <f t="shared" si="82"/>
        <v>169000</v>
      </c>
      <c r="J563" s="12">
        <f>IF(A563&lt;[3]关卡对接!$A$4,INDEX([3]关卡对接!$C$7:$C$141,A563),MATCH(E563,人物经验!$H$24:$H$573,1))</f>
        <v>306</v>
      </c>
      <c r="K563" s="12">
        <f>IF([3]关卡对接!F551="",INT(INDEX(人物经验!$J$24:$J$573,关卡!J563)*关卡!$S$7),[3]关卡对接!F551)</f>
        <v>4513</v>
      </c>
      <c r="L563" s="12">
        <f t="shared" si="83"/>
        <v>1.4</v>
      </c>
      <c r="M563" s="12">
        <f>L563/[4]货币基础!$B$4</f>
        <v>140</v>
      </c>
      <c r="N563" s="12">
        <f>IF(A563&lt;[3]关卡对接!$A$4,INDEX([3]关卡对接!$E$7:$E$141,A563),MATCH(E563,人物经验!$H$24:$H$573,1))</f>
        <v>306</v>
      </c>
      <c r="O563" s="12">
        <f>INDEX([2]关卡!$G$6:$G$2005,A563)</f>
        <v>3</v>
      </c>
      <c r="P563" s="13">
        <v>6</v>
      </c>
      <c r="Q563" s="12">
        <f>INT(P563/$S$15/O563*VLOOKUP(J563,[1]人物技能基础!$N$3:$O$553,2,0)*$U$15)</f>
        <v>9</v>
      </c>
      <c r="R563" s="12">
        <f t="shared" si="84"/>
        <v>112</v>
      </c>
    </row>
    <row r="564" spans="1:18" x14ac:dyDescent="0.15">
      <c r="A564" s="12">
        <v>546</v>
      </c>
      <c r="B564" s="12">
        <f t="shared" si="78"/>
        <v>3</v>
      </c>
      <c r="C564" s="12">
        <f t="shared" si="79"/>
        <v>2.1308699999999998</v>
      </c>
      <c r="D564" s="12">
        <f t="shared" si="80"/>
        <v>1.5682500000000044E-2</v>
      </c>
      <c r="E564" s="12">
        <f>SUM($D$19:D564)</f>
        <v>5.3308700000000009</v>
      </c>
      <c r="F564" s="12">
        <f t="shared" si="76"/>
        <v>51.525999264559019</v>
      </c>
      <c r="G564" s="12">
        <f t="shared" si="77"/>
        <v>47.058996874895001</v>
      </c>
      <c r="H564" s="12">
        <f t="shared" si="81"/>
        <v>185400</v>
      </c>
      <c r="I564" s="12">
        <f t="shared" si="82"/>
        <v>169400</v>
      </c>
      <c r="J564" s="12">
        <f>IF(A564&lt;[3]关卡对接!$A$4,INDEX([3]关卡对接!$C$7:$C$141,A564),MATCH(E564,人物经验!$H$24:$H$573,1))</f>
        <v>306</v>
      </c>
      <c r="K564" s="12">
        <f>IF([3]关卡对接!F552="",INT(INDEX(人物经验!$J$24:$J$573,关卡!J564)*关卡!$S$7),[3]关卡对接!F552)</f>
        <v>4513</v>
      </c>
      <c r="L564" s="12">
        <f t="shared" si="83"/>
        <v>1.4</v>
      </c>
      <c r="M564" s="12">
        <f>L564/[4]货币基础!$B$4</f>
        <v>140</v>
      </c>
      <c r="N564" s="12">
        <f>IF(A564&lt;[3]关卡对接!$A$4,INDEX([3]关卡对接!$E$7:$E$141,A564),MATCH(E564,人物经验!$H$24:$H$573,1))</f>
        <v>306</v>
      </c>
      <c r="O564" s="12">
        <f>INDEX([2]关卡!$G$6:$G$2005,A564)</f>
        <v>3</v>
      </c>
      <c r="P564" s="13">
        <v>6</v>
      </c>
      <c r="Q564" s="12">
        <f>INT(P564/$S$15/O564*VLOOKUP(J564,[1]人物技能基础!$N$3:$O$553,2,0)*$U$15)</f>
        <v>9</v>
      </c>
      <c r="R564" s="12">
        <f t="shared" si="84"/>
        <v>112</v>
      </c>
    </row>
    <row r="565" spans="1:18" x14ac:dyDescent="0.15">
      <c r="A565" s="12">
        <v>547</v>
      </c>
      <c r="B565" s="12">
        <f t="shared" si="78"/>
        <v>3</v>
      </c>
      <c r="C565" s="12">
        <f t="shared" si="79"/>
        <v>2.1465674999999997</v>
      </c>
      <c r="D565" s="12">
        <f t="shared" si="80"/>
        <v>1.569749999999992E-2</v>
      </c>
      <c r="E565" s="12">
        <f>SUM($D$19:D565)</f>
        <v>5.3465675000000008</v>
      </c>
      <c r="F565" s="12">
        <f t="shared" si="76"/>
        <v>51.680529877919945</v>
      </c>
      <c r="G565" s="12">
        <f t="shared" si="77"/>
        <v>47.170660583730943</v>
      </c>
      <c r="H565" s="12">
        <f t="shared" si="81"/>
        <v>186000</v>
      </c>
      <c r="I565" s="12">
        <f t="shared" si="82"/>
        <v>169800</v>
      </c>
      <c r="J565" s="12">
        <f>IF(A565&lt;[3]关卡对接!$A$4,INDEX([3]关卡对接!$C$7:$C$141,A565),MATCH(E565,人物经验!$H$24:$H$573,1))</f>
        <v>307</v>
      </c>
      <c r="K565" s="12">
        <f>IF([3]关卡对接!F553="",INT(INDEX(人物经验!$J$24:$J$573,关卡!J565)*关卡!$S$7),[3]关卡对接!F553)</f>
        <v>4637</v>
      </c>
      <c r="L565" s="12">
        <f t="shared" si="83"/>
        <v>1.4</v>
      </c>
      <c r="M565" s="12">
        <f>L565/[4]货币基础!$B$4</f>
        <v>140</v>
      </c>
      <c r="N565" s="12">
        <f>IF(A565&lt;[3]关卡对接!$A$4,INDEX([3]关卡对接!$E$7:$E$141,A565),MATCH(E565,人物经验!$H$24:$H$573,1))</f>
        <v>307</v>
      </c>
      <c r="O565" s="12">
        <f>INDEX([2]关卡!$G$6:$G$2005,A565)</f>
        <v>3</v>
      </c>
      <c r="P565" s="13">
        <v>6</v>
      </c>
      <c r="Q565" s="12">
        <f>INT(P565/$S$15/O565*VLOOKUP(J565,[1]人物技能基础!$N$3:$O$553,2,0)*$U$15)</f>
        <v>9</v>
      </c>
      <c r="R565" s="12">
        <f t="shared" si="84"/>
        <v>112</v>
      </c>
    </row>
    <row r="566" spans="1:18" x14ac:dyDescent="0.15">
      <c r="A566" s="12">
        <v>548</v>
      </c>
      <c r="B566" s="12">
        <f t="shared" si="78"/>
        <v>3</v>
      </c>
      <c r="C566" s="12">
        <f t="shared" si="79"/>
        <v>2.16228</v>
      </c>
      <c r="D566" s="12">
        <f t="shared" si="80"/>
        <v>1.571250000000024E-2</v>
      </c>
      <c r="E566" s="12">
        <f>SUM($D$19:D566)</f>
        <v>5.362280000000001</v>
      </c>
      <c r="F566" s="12">
        <f t="shared" si="76"/>
        <v>51.835373104624011</v>
      </c>
      <c r="G566" s="12">
        <f t="shared" si="77"/>
        <v>47.282482148720014</v>
      </c>
      <c r="H566" s="12">
        <f t="shared" si="81"/>
        <v>186600</v>
      </c>
      <c r="I566" s="12">
        <f t="shared" si="82"/>
        <v>170200</v>
      </c>
      <c r="J566" s="12">
        <f>IF(A566&lt;[3]关卡对接!$A$4,INDEX([3]关卡对接!$C$7:$C$141,A566),MATCH(E566,人物经验!$H$24:$H$573,1))</f>
        <v>307</v>
      </c>
      <c r="K566" s="12">
        <f>IF([3]关卡对接!F554="",INT(INDEX(人物经验!$J$24:$J$573,关卡!J566)*关卡!$S$7),[3]关卡对接!F554)</f>
        <v>4637</v>
      </c>
      <c r="L566" s="12">
        <f t="shared" si="83"/>
        <v>1.4</v>
      </c>
      <c r="M566" s="12">
        <f>L566/[4]货币基础!$B$4</f>
        <v>140</v>
      </c>
      <c r="N566" s="12">
        <f>IF(A566&lt;[3]关卡对接!$A$4,INDEX([3]关卡对接!$E$7:$E$141,A566),MATCH(E566,人物经验!$H$24:$H$573,1))</f>
        <v>307</v>
      </c>
      <c r="O566" s="12">
        <f>INDEX([2]关卡!$G$6:$G$2005,A566)</f>
        <v>3</v>
      </c>
      <c r="P566" s="13">
        <v>6</v>
      </c>
      <c r="Q566" s="12">
        <f>INT(P566/$S$15/O566*VLOOKUP(J566,[1]人物技能基础!$N$3:$O$553,2,0)*$U$15)</f>
        <v>9</v>
      </c>
      <c r="R566" s="12">
        <f t="shared" si="84"/>
        <v>112</v>
      </c>
    </row>
    <row r="567" spans="1:18" x14ac:dyDescent="0.15">
      <c r="A567" s="12">
        <v>549</v>
      </c>
      <c r="B567" s="12">
        <f t="shared" si="78"/>
        <v>3</v>
      </c>
      <c r="C567" s="12">
        <f t="shared" si="79"/>
        <v>2.1780075000000001</v>
      </c>
      <c r="D567" s="12">
        <f t="shared" si="80"/>
        <v>1.5727500000000116E-2</v>
      </c>
      <c r="E567" s="12">
        <f>SUM($D$19:D567)</f>
        <v>5.3780075000000007</v>
      </c>
      <c r="F567" s="12">
        <f t="shared" si="76"/>
        <v>51.990529497349947</v>
      </c>
      <c r="G567" s="12">
        <f t="shared" si="77"/>
        <v>47.394461760380935</v>
      </c>
      <c r="H567" s="12">
        <f t="shared" si="81"/>
        <v>187100</v>
      </c>
      <c r="I567" s="12">
        <f t="shared" si="82"/>
        <v>170600</v>
      </c>
      <c r="J567" s="12">
        <f>IF(A567&lt;[3]关卡对接!$A$4,INDEX([3]关卡对接!$C$7:$C$141,A567),MATCH(E567,人物经验!$H$24:$H$573,1))</f>
        <v>307</v>
      </c>
      <c r="K567" s="12">
        <f>IF([3]关卡对接!F555="",INT(INDEX(人物经验!$J$24:$J$573,关卡!J567)*关卡!$S$7),[3]关卡对接!F555)</f>
        <v>4637</v>
      </c>
      <c r="L567" s="12">
        <f t="shared" si="83"/>
        <v>1.4</v>
      </c>
      <c r="M567" s="12">
        <f>L567/[4]货币基础!$B$4</f>
        <v>140</v>
      </c>
      <c r="N567" s="12">
        <f>IF(A567&lt;[3]关卡对接!$A$4,INDEX([3]关卡对接!$E$7:$E$141,A567),MATCH(E567,人物经验!$H$24:$H$573,1))</f>
        <v>307</v>
      </c>
      <c r="O567" s="12">
        <f>INDEX([2]关卡!$G$6:$G$2005,A567)</f>
        <v>3</v>
      </c>
      <c r="P567" s="13">
        <v>6</v>
      </c>
      <c r="Q567" s="12">
        <f>INT(P567/$S$15/O567*VLOOKUP(J567,[1]人物技能基础!$N$3:$O$553,2,0)*$U$15)</f>
        <v>9</v>
      </c>
      <c r="R567" s="12">
        <f t="shared" si="84"/>
        <v>112</v>
      </c>
    </row>
    <row r="568" spans="1:18" x14ac:dyDescent="0.15">
      <c r="A568" s="12">
        <v>550</v>
      </c>
      <c r="B568" s="12">
        <f t="shared" si="78"/>
        <v>3</v>
      </c>
      <c r="C568" s="12">
        <f t="shared" si="79"/>
        <v>2.1937500000000001</v>
      </c>
      <c r="D568" s="12">
        <f t="shared" si="80"/>
        <v>1.5742499999999993E-2</v>
      </c>
      <c r="E568" s="12">
        <f>SUM($D$19:D568)</f>
        <v>5.3937500000000007</v>
      </c>
      <c r="F568" s="12">
        <f t="shared" si="76"/>
        <v>52.145999609375011</v>
      </c>
      <c r="G568" s="12">
        <f t="shared" si="77"/>
        <v>47.506599609375009</v>
      </c>
      <c r="H568" s="12">
        <f t="shared" si="81"/>
        <v>187700</v>
      </c>
      <c r="I568" s="12">
        <f t="shared" si="82"/>
        <v>171000</v>
      </c>
      <c r="J568" s="12">
        <f>IF(A568&lt;[3]关卡对接!$A$4,INDEX([3]关卡对接!$C$7:$C$141,A568),MATCH(E568,人物经验!$H$24:$H$573,1))</f>
        <v>307</v>
      </c>
      <c r="K568" s="12">
        <f>IF([3]关卡对接!F556="",INT(INDEX(人物经验!$J$24:$J$573,关卡!J568)*关卡!$S$7),[3]关卡对接!F556)</f>
        <v>4637</v>
      </c>
      <c r="L568" s="12">
        <f t="shared" si="83"/>
        <v>1.4</v>
      </c>
      <c r="M568" s="12">
        <f>L568/[4]货币基础!$B$4</f>
        <v>140</v>
      </c>
      <c r="N568" s="12">
        <f>IF(A568&lt;[3]关卡对接!$A$4,INDEX([3]关卡对接!$E$7:$E$141,A568),MATCH(E568,人物经验!$H$24:$H$573,1))</f>
        <v>307</v>
      </c>
      <c r="O568" s="12">
        <f>INDEX([2]关卡!$G$6:$G$2005,A568)</f>
        <v>3</v>
      </c>
      <c r="P568" s="13">
        <v>6</v>
      </c>
      <c r="Q568" s="12">
        <f>INT(P568/$S$15/O568*VLOOKUP(J568,[1]人物技能基础!$N$3:$O$553,2,0)*$U$15)</f>
        <v>9</v>
      </c>
      <c r="R568" s="12">
        <f t="shared" si="84"/>
        <v>112</v>
      </c>
    </row>
    <row r="569" spans="1:18" x14ac:dyDescent="0.15">
      <c r="A569" s="12">
        <v>551</v>
      </c>
      <c r="B569" s="12">
        <f t="shared" si="78"/>
        <v>3</v>
      </c>
      <c r="C569" s="12">
        <f t="shared" si="79"/>
        <v>2.2095075</v>
      </c>
      <c r="D569" s="12">
        <f t="shared" si="80"/>
        <v>1.5757499999999869E-2</v>
      </c>
      <c r="E569" s="12">
        <f>SUM($D$19:D569)</f>
        <v>5.4095075000000001</v>
      </c>
      <c r="F569" s="12">
        <f t="shared" si="76"/>
        <v>52.301783994574947</v>
      </c>
      <c r="G569" s="12">
        <f t="shared" si="77"/>
        <v>47.618895886505939</v>
      </c>
      <c r="H569" s="12">
        <f t="shared" si="81"/>
        <v>188200</v>
      </c>
      <c r="I569" s="12">
        <f t="shared" si="82"/>
        <v>171400</v>
      </c>
      <c r="J569" s="12">
        <f>IF(A569&lt;[3]关卡对接!$A$4,INDEX([3]关卡对接!$C$7:$C$141,A569),MATCH(E569,人物经验!$H$24:$H$573,1))</f>
        <v>307</v>
      </c>
      <c r="K569" s="12">
        <f>IF([3]关卡对接!F557="",INT(INDEX(人物经验!$J$24:$J$573,关卡!J569)*关卡!$S$7),[3]关卡对接!F557)</f>
        <v>4637</v>
      </c>
      <c r="L569" s="12">
        <f t="shared" si="83"/>
        <v>1.4</v>
      </c>
      <c r="M569" s="12">
        <f>L569/[4]货币基础!$B$4</f>
        <v>140</v>
      </c>
      <c r="N569" s="12">
        <f>IF(A569&lt;[3]关卡对接!$A$4,INDEX([3]关卡对接!$E$7:$E$141,A569),MATCH(E569,人物经验!$H$24:$H$573,1))</f>
        <v>307</v>
      </c>
      <c r="O569" s="12">
        <f>INDEX([2]关卡!$G$6:$G$2005,A569)</f>
        <v>3</v>
      </c>
      <c r="P569" s="13">
        <v>6</v>
      </c>
      <c r="Q569" s="12">
        <f>INT(P569/$S$15/O569*VLOOKUP(J569,[1]人物技能基础!$N$3:$O$553,2,0)*$U$15)</f>
        <v>9</v>
      </c>
      <c r="R569" s="12">
        <f t="shared" si="84"/>
        <v>112</v>
      </c>
    </row>
    <row r="570" spans="1:18" x14ac:dyDescent="0.15">
      <c r="A570" s="12">
        <v>552</v>
      </c>
      <c r="B570" s="12">
        <f t="shared" si="78"/>
        <v>3</v>
      </c>
      <c r="C570" s="12">
        <f t="shared" si="79"/>
        <v>2.2252800000000001</v>
      </c>
      <c r="D570" s="12">
        <f t="shared" si="80"/>
        <v>1.5772500000000189E-2</v>
      </c>
      <c r="E570" s="12">
        <f>SUM($D$19:D570)</f>
        <v>5.4252800000000008</v>
      </c>
      <c r="F570" s="12">
        <f t="shared" si="76"/>
        <v>52.457883207424004</v>
      </c>
      <c r="G570" s="12">
        <f t="shared" si="77"/>
        <v>47.731350782720007</v>
      </c>
      <c r="H570" s="12">
        <f t="shared" si="81"/>
        <v>188800</v>
      </c>
      <c r="I570" s="12">
        <f t="shared" si="82"/>
        <v>171800</v>
      </c>
      <c r="J570" s="12">
        <f>IF(A570&lt;[3]关卡对接!$A$4,INDEX([3]关卡对接!$C$7:$C$141,A570),MATCH(E570,人物经验!$H$24:$H$573,1))</f>
        <v>307</v>
      </c>
      <c r="K570" s="12">
        <f>IF([3]关卡对接!F558="",INT(INDEX(人物经验!$J$24:$J$573,关卡!J570)*关卡!$S$7),[3]关卡对接!F558)</f>
        <v>4637</v>
      </c>
      <c r="L570" s="12">
        <f t="shared" si="83"/>
        <v>1.4</v>
      </c>
      <c r="M570" s="12">
        <f>L570/[4]货币基础!$B$4</f>
        <v>140</v>
      </c>
      <c r="N570" s="12">
        <f>IF(A570&lt;[3]关卡对接!$A$4,INDEX([3]关卡对接!$E$7:$E$141,A570),MATCH(E570,人物经验!$H$24:$H$573,1))</f>
        <v>307</v>
      </c>
      <c r="O570" s="12">
        <f>INDEX([2]关卡!$G$6:$G$2005,A570)</f>
        <v>3</v>
      </c>
      <c r="P570" s="13">
        <v>6</v>
      </c>
      <c r="Q570" s="12">
        <f>INT(P570/$S$15/O570*VLOOKUP(J570,[1]人物技能基础!$N$3:$O$553,2,0)*$U$15)</f>
        <v>9</v>
      </c>
      <c r="R570" s="12">
        <f t="shared" si="84"/>
        <v>112</v>
      </c>
    </row>
    <row r="571" spans="1:18" x14ac:dyDescent="0.15">
      <c r="A571" s="12">
        <v>553</v>
      </c>
      <c r="B571" s="12">
        <f t="shared" si="78"/>
        <v>3</v>
      </c>
      <c r="C571" s="12">
        <f t="shared" si="79"/>
        <v>2.2410675000000002</v>
      </c>
      <c r="D571" s="12">
        <f t="shared" si="80"/>
        <v>1.5787500000000065E-2</v>
      </c>
      <c r="E571" s="12">
        <f>SUM($D$19:D571)</f>
        <v>5.4410675000000008</v>
      </c>
      <c r="F571" s="12">
        <f t="shared" si="76"/>
        <v>52.614297802994948</v>
      </c>
      <c r="G571" s="12">
        <f t="shared" si="77"/>
        <v>47.843964489105936</v>
      </c>
      <c r="H571" s="12">
        <f t="shared" si="81"/>
        <v>189400</v>
      </c>
      <c r="I571" s="12">
        <f t="shared" si="82"/>
        <v>172200</v>
      </c>
      <c r="J571" s="12">
        <f>IF(A571&lt;[3]关卡对接!$A$4,INDEX([3]关卡对接!$C$7:$C$141,A571),MATCH(E571,人物经验!$H$24:$H$573,1))</f>
        <v>307</v>
      </c>
      <c r="K571" s="12">
        <f>IF([3]关卡对接!F559="",INT(INDEX(人物经验!$J$24:$J$573,关卡!J571)*关卡!$S$7),[3]关卡对接!F559)</f>
        <v>4637</v>
      </c>
      <c r="L571" s="12">
        <f t="shared" si="83"/>
        <v>1.4</v>
      </c>
      <c r="M571" s="12">
        <f>L571/[4]货币基础!$B$4</f>
        <v>140</v>
      </c>
      <c r="N571" s="12">
        <f>IF(A571&lt;[3]关卡对接!$A$4,INDEX([3]关卡对接!$E$7:$E$141,A571),MATCH(E571,人物经验!$H$24:$H$573,1))</f>
        <v>307</v>
      </c>
      <c r="O571" s="12">
        <f>INDEX([2]关卡!$G$6:$G$2005,A571)</f>
        <v>3</v>
      </c>
      <c r="P571" s="13">
        <v>6</v>
      </c>
      <c r="Q571" s="12">
        <f>INT(P571/$S$15/O571*VLOOKUP(J571,[1]人物技能基础!$N$3:$O$553,2,0)*$U$15)</f>
        <v>9</v>
      </c>
      <c r="R571" s="12">
        <f t="shared" si="84"/>
        <v>112</v>
      </c>
    </row>
    <row r="572" spans="1:18" x14ac:dyDescent="0.15">
      <c r="A572" s="12">
        <v>554</v>
      </c>
      <c r="B572" s="12">
        <f t="shared" si="78"/>
        <v>3</v>
      </c>
      <c r="C572" s="12">
        <f t="shared" si="79"/>
        <v>2.2568700000000002</v>
      </c>
      <c r="D572" s="12">
        <f t="shared" si="80"/>
        <v>1.5802499999999942E-2</v>
      </c>
      <c r="E572" s="12">
        <f>SUM($D$19:D572)</f>
        <v>5.4568700000000003</v>
      </c>
      <c r="F572" s="12">
        <f t="shared" si="76"/>
        <v>52.771028336959013</v>
      </c>
      <c r="G572" s="12">
        <f t="shared" si="77"/>
        <v>47.956737196894998</v>
      </c>
      <c r="H572" s="12">
        <f t="shared" si="81"/>
        <v>189900</v>
      </c>
      <c r="I572" s="12">
        <f t="shared" si="82"/>
        <v>172600</v>
      </c>
      <c r="J572" s="12">
        <f>IF(A572&lt;[3]关卡对接!$A$4,INDEX([3]关卡对接!$C$7:$C$141,A572),MATCH(E572,人物经验!$H$24:$H$573,1))</f>
        <v>307</v>
      </c>
      <c r="K572" s="12">
        <f>IF([3]关卡对接!F560="",INT(INDEX(人物经验!$J$24:$J$573,关卡!J572)*关卡!$S$7),[3]关卡对接!F560)</f>
        <v>4637</v>
      </c>
      <c r="L572" s="12">
        <f t="shared" si="83"/>
        <v>1.4</v>
      </c>
      <c r="M572" s="12">
        <f>L572/[4]货币基础!$B$4</f>
        <v>140</v>
      </c>
      <c r="N572" s="12">
        <f>IF(A572&lt;[3]关卡对接!$A$4,INDEX([3]关卡对接!$E$7:$E$141,A572),MATCH(E572,人物经验!$H$24:$H$573,1))</f>
        <v>307</v>
      </c>
      <c r="O572" s="12">
        <f>INDEX([2]关卡!$G$6:$G$2005,A572)</f>
        <v>3</v>
      </c>
      <c r="P572" s="13">
        <v>6</v>
      </c>
      <c r="Q572" s="12">
        <f>INT(P572/$S$15/O572*VLOOKUP(J572,[1]人物技能基础!$N$3:$O$553,2,0)*$U$15)</f>
        <v>9</v>
      </c>
      <c r="R572" s="12">
        <f t="shared" si="84"/>
        <v>112</v>
      </c>
    </row>
    <row r="573" spans="1:18" x14ac:dyDescent="0.15">
      <c r="A573" s="12">
        <v>555</v>
      </c>
      <c r="B573" s="12">
        <f t="shared" si="78"/>
        <v>3</v>
      </c>
      <c r="C573" s="12">
        <f t="shared" si="79"/>
        <v>2.2726875</v>
      </c>
      <c r="D573" s="12">
        <f t="shared" si="80"/>
        <v>1.5817499999999818E-2</v>
      </c>
      <c r="E573" s="12">
        <f>SUM($D$19:D573)</f>
        <v>5.4726875000000001</v>
      </c>
      <c r="F573" s="12">
        <f t="shared" si="76"/>
        <v>52.928075365585947</v>
      </c>
      <c r="G573" s="12">
        <f t="shared" si="77"/>
        <v>48.069669097460938</v>
      </c>
      <c r="H573" s="12">
        <f t="shared" si="81"/>
        <v>190500</v>
      </c>
      <c r="I573" s="12">
        <f t="shared" si="82"/>
        <v>173000</v>
      </c>
      <c r="J573" s="12">
        <f>IF(A573&lt;[3]关卡对接!$A$4,INDEX([3]关卡对接!$C$7:$C$141,A573),MATCH(E573,人物经验!$H$24:$H$573,1))</f>
        <v>307</v>
      </c>
      <c r="K573" s="12">
        <f>IF([3]关卡对接!F561="",INT(INDEX(人物经验!$J$24:$J$573,关卡!J573)*关卡!$S$7),[3]关卡对接!F561)</f>
        <v>4637</v>
      </c>
      <c r="L573" s="12">
        <f t="shared" si="83"/>
        <v>1.4</v>
      </c>
      <c r="M573" s="12">
        <f>L573/[4]货币基础!$B$4</f>
        <v>140</v>
      </c>
      <c r="N573" s="12">
        <f>IF(A573&lt;[3]关卡对接!$A$4,INDEX([3]关卡对接!$E$7:$E$141,A573),MATCH(E573,人物经验!$H$24:$H$573,1))</f>
        <v>307</v>
      </c>
      <c r="O573" s="12">
        <f>INDEX([2]关卡!$G$6:$G$2005,A573)</f>
        <v>3</v>
      </c>
      <c r="P573" s="13">
        <v>6</v>
      </c>
      <c r="Q573" s="12">
        <f>INT(P573/$S$15/O573*VLOOKUP(J573,[1]人物技能基础!$N$3:$O$553,2,0)*$U$15)</f>
        <v>9</v>
      </c>
      <c r="R573" s="12">
        <f t="shared" si="84"/>
        <v>112</v>
      </c>
    </row>
    <row r="574" spans="1:18" x14ac:dyDescent="0.15">
      <c r="A574" s="12">
        <v>556</v>
      </c>
      <c r="B574" s="12">
        <f t="shared" si="78"/>
        <v>3</v>
      </c>
      <c r="C574" s="12">
        <f t="shared" si="79"/>
        <v>2.2885200000000001</v>
      </c>
      <c r="D574" s="12">
        <f t="shared" si="80"/>
        <v>1.5832500000000138E-2</v>
      </c>
      <c r="E574" s="12">
        <f>SUM($D$19:D574)</f>
        <v>5.4885200000000003</v>
      </c>
      <c r="F574" s="12">
        <f t="shared" si="76"/>
        <v>53.085439445744015</v>
      </c>
      <c r="G574" s="12">
        <f t="shared" si="77"/>
        <v>48.182760382320005</v>
      </c>
      <c r="H574" s="12">
        <f t="shared" si="81"/>
        <v>191100</v>
      </c>
      <c r="I574" s="12">
        <f t="shared" si="82"/>
        <v>173400</v>
      </c>
      <c r="J574" s="12">
        <f>IF(A574&lt;[3]关卡对接!$A$4,INDEX([3]关卡对接!$C$7:$C$141,A574),MATCH(E574,人物经验!$H$24:$H$573,1))</f>
        <v>308</v>
      </c>
      <c r="K574" s="12">
        <f>IF([3]关卡对接!F562="",INT(INDEX(人物经验!$J$24:$J$573,关卡!J574)*关卡!$S$7),[3]关卡对接!F562)</f>
        <v>4763</v>
      </c>
      <c r="L574" s="12">
        <f t="shared" si="83"/>
        <v>1.4</v>
      </c>
      <c r="M574" s="12">
        <f>L574/[4]货币基础!$B$4</f>
        <v>140</v>
      </c>
      <c r="N574" s="12">
        <f>IF(A574&lt;[3]关卡对接!$A$4,INDEX([3]关卡对接!$E$7:$E$141,A574),MATCH(E574,人物经验!$H$24:$H$573,1))</f>
        <v>308</v>
      </c>
      <c r="O574" s="12">
        <f>INDEX([2]关卡!$G$6:$G$2005,A574)</f>
        <v>3</v>
      </c>
      <c r="P574" s="13">
        <v>6</v>
      </c>
      <c r="Q574" s="12">
        <f>INT(P574/$S$15/O574*VLOOKUP(J574,[1]人物技能基础!$N$3:$O$553,2,0)*$U$15)</f>
        <v>9</v>
      </c>
      <c r="R574" s="12">
        <f t="shared" si="84"/>
        <v>112</v>
      </c>
    </row>
    <row r="575" spans="1:18" x14ac:dyDescent="0.15">
      <c r="A575" s="12">
        <v>557</v>
      </c>
      <c r="B575" s="12">
        <f t="shared" si="78"/>
        <v>3</v>
      </c>
      <c r="C575" s="12">
        <f t="shared" si="79"/>
        <v>2.3043675000000001</v>
      </c>
      <c r="D575" s="12">
        <f t="shared" si="80"/>
        <v>1.5847500000000014E-2</v>
      </c>
      <c r="E575" s="12">
        <f>SUM($D$19:D575)</f>
        <v>5.5043675000000007</v>
      </c>
      <c r="F575" s="12">
        <f t="shared" si="76"/>
        <v>53.243121134899951</v>
      </c>
      <c r="G575" s="12">
        <f t="shared" si="77"/>
        <v>48.296011243130948</v>
      </c>
      <c r="H575" s="12">
        <f t="shared" si="81"/>
        <v>191600</v>
      </c>
      <c r="I575" s="12">
        <f t="shared" si="82"/>
        <v>173800</v>
      </c>
      <c r="J575" s="12">
        <f>IF(A575&lt;[3]关卡对接!$A$4,INDEX([3]关卡对接!$C$7:$C$141,A575),MATCH(E575,人物经验!$H$24:$H$573,1))</f>
        <v>308</v>
      </c>
      <c r="K575" s="12">
        <f>IF([3]关卡对接!F563="",INT(INDEX(人物经验!$J$24:$J$573,关卡!J575)*关卡!$S$7),[3]关卡对接!F563)</f>
        <v>4763</v>
      </c>
      <c r="L575" s="12">
        <f t="shared" si="83"/>
        <v>1.4</v>
      </c>
      <c r="M575" s="12">
        <f>L575/[4]货币基础!$B$4</f>
        <v>140</v>
      </c>
      <c r="N575" s="12">
        <f>IF(A575&lt;[3]关卡对接!$A$4,INDEX([3]关卡对接!$E$7:$E$141,A575),MATCH(E575,人物经验!$H$24:$H$573,1))</f>
        <v>308</v>
      </c>
      <c r="O575" s="12">
        <f>INDEX([2]关卡!$G$6:$G$2005,A575)</f>
        <v>3</v>
      </c>
      <c r="P575" s="13">
        <v>6</v>
      </c>
      <c r="Q575" s="12">
        <f>INT(P575/$S$15/O575*VLOOKUP(J575,[1]人物技能基础!$N$3:$O$553,2,0)*$U$15)</f>
        <v>9</v>
      </c>
      <c r="R575" s="12">
        <f t="shared" si="84"/>
        <v>112</v>
      </c>
    </row>
    <row r="576" spans="1:18" x14ac:dyDescent="0.15">
      <c r="A576" s="12">
        <v>558</v>
      </c>
      <c r="B576" s="12">
        <f t="shared" si="78"/>
        <v>3</v>
      </c>
      <c r="C576" s="12">
        <f t="shared" si="79"/>
        <v>2.32023</v>
      </c>
      <c r="D576" s="12">
        <f t="shared" si="80"/>
        <v>1.5862499999999891E-2</v>
      </c>
      <c r="E576" s="12">
        <f>SUM($D$19:D576)</f>
        <v>5.5202300000000006</v>
      </c>
      <c r="F576" s="12">
        <f t="shared" si="76"/>
        <v>53.401120991119015</v>
      </c>
      <c r="G576" s="12">
        <f t="shared" si="77"/>
        <v>48.409421871695017</v>
      </c>
      <c r="H576" s="12">
        <f t="shared" si="81"/>
        <v>192200</v>
      </c>
      <c r="I576" s="12">
        <f t="shared" si="82"/>
        <v>174200</v>
      </c>
      <c r="J576" s="12">
        <f>IF(A576&lt;[3]关卡对接!$A$4,INDEX([3]关卡对接!$C$7:$C$141,A576),MATCH(E576,人物经验!$H$24:$H$573,1))</f>
        <v>308</v>
      </c>
      <c r="K576" s="12">
        <f>IF([3]关卡对接!F564="",INT(INDEX(人物经验!$J$24:$J$573,关卡!J576)*关卡!$S$7),[3]关卡对接!F564)</f>
        <v>4763</v>
      </c>
      <c r="L576" s="12">
        <f t="shared" si="83"/>
        <v>1.4</v>
      </c>
      <c r="M576" s="12">
        <f>L576/[4]货币基础!$B$4</f>
        <v>140</v>
      </c>
      <c r="N576" s="12">
        <f>IF(A576&lt;[3]关卡对接!$A$4,INDEX([3]关卡对接!$E$7:$E$141,A576),MATCH(E576,人物经验!$H$24:$H$573,1))</f>
        <v>308</v>
      </c>
      <c r="O576" s="12">
        <f>INDEX([2]关卡!$G$6:$G$2005,A576)</f>
        <v>3</v>
      </c>
      <c r="P576" s="13">
        <v>6</v>
      </c>
      <c r="Q576" s="12">
        <f>INT(P576/$S$15/O576*VLOOKUP(J576,[1]人物技能基础!$N$3:$O$553,2,0)*$U$15)</f>
        <v>9</v>
      </c>
      <c r="R576" s="12">
        <f t="shared" si="84"/>
        <v>112</v>
      </c>
    </row>
    <row r="577" spans="1:18" x14ac:dyDescent="0.15">
      <c r="A577" s="12">
        <v>559</v>
      </c>
      <c r="B577" s="12">
        <f t="shared" si="78"/>
        <v>3</v>
      </c>
      <c r="C577" s="12">
        <f t="shared" si="79"/>
        <v>2.3361075000000002</v>
      </c>
      <c r="D577" s="12">
        <f t="shared" si="80"/>
        <v>1.5877500000000211E-2</v>
      </c>
      <c r="E577" s="12">
        <f>SUM($D$19:D577)</f>
        <v>5.5361075000000008</v>
      </c>
      <c r="F577" s="12">
        <f t="shared" si="76"/>
        <v>53.559439573064942</v>
      </c>
      <c r="G577" s="12">
        <f t="shared" si="77"/>
        <v>48.522992459955944</v>
      </c>
      <c r="H577" s="12">
        <f t="shared" si="81"/>
        <v>192800</v>
      </c>
      <c r="I577" s="12">
        <f t="shared" si="82"/>
        <v>174600</v>
      </c>
      <c r="J577" s="12">
        <f>IF(A577&lt;[3]关卡对接!$A$4,INDEX([3]关卡对接!$C$7:$C$141,A577),MATCH(E577,人物经验!$H$24:$H$573,1))</f>
        <v>308</v>
      </c>
      <c r="K577" s="12">
        <f>IF([3]关卡对接!F565="",INT(INDEX(人物经验!$J$24:$J$573,关卡!J577)*关卡!$S$7),[3]关卡对接!F565)</f>
        <v>4763</v>
      </c>
      <c r="L577" s="12">
        <f t="shared" si="83"/>
        <v>1.4</v>
      </c>
      <c r="M577" s="12">
        <f>L577/[4]货币基础!$B$4</f>
        <v>140</v>
      </c>
      <c r="N577" s="12">
        <f>IF(A577&lt;[3]关卡对接!$A$4,INDEX([3]关卡对接!$E$7:$E$141,A577),MATCH(E577,人物经验!$H$24:$H$573,1))</f>
        <v>308</v>
      </c>
      <c r="O577" s="12">
        <f>INDEX([2]关卡!$G$6:$G$2005,A577)</f>
        <v>3</v>
      </c>
      <c r="P577" s="13">
        <v>6</v>
      </c>
      <c r="Q577" s="12">
        <f>INT(P577/$S$15/O577*VLOOKUP(J577,[1]人物技能基础!$N$3:$O$553,2,0)*$U$15)</f>
        <v>9</v>
      </c>
      <c r="R577" s="12">
        <f t="shared" si="84"/>
        <v>112</v>
      </c>
    </row>
    <row r="578" spans="1:18" x14ac:dyDescent="0.15">
      <c r="A578" s="12">
        <v>560</v>
      </c>
      <c r="B578" s="12">
        <f t="shared" si="78"/>
        <v>3</v>
      </c>
      <c r="C578" s="12">
        <f t="shared" si="79"/>
        <v>2.3520000000000003</v>
      </c>
      <c r="D578" s="12">
        <f t="shared" si="80"/>
        <v>1.5892500000000087E-2</v>
      </c>
      <c r="E578" s="12">
        <f>SUM($D$19:D578)</f>
        <v>5.5520000000000014</v>
      </c>
      <c r="F578" s="12">
        <f t="shared" si="76"/>
        <v>53.718077440000016</v>
      </c>
      <c r="G578" s="12">
        <f t="shared" si="77"/>
        <v>48.636723200000006</v>
      </c>
      <c r="H578" s="12">
        <f t="shared" si="81"/>
        <v>193300</v>
      </c>
      <c r="I578" s="12">
        <f t="shared" si="82"/>
        <v>175000</v>
      </c>
      <c r="J578" s="12">
        <f>IF(A578&lt;[3]关卡对接!$A$4,INDEX([3]关卡对接!$C$7:$C$141,A578),MATCH(E578,人物经验!$H$24:$H$573,1))</f>
        <v>308</v>
      </c>
      <c r="K578" s="12">
        <f>IF([3]关卡对接!F566="",INT(INDEX(人物经验!$J$24:$J$573,关卡!J578)*关卡!$S$7),[3]关卡对接!F566)</f>
        <v>4763</v>
      </c>
      <c r="L578" s="12">
        <f t="shared" si="83"/>
        <v>1.4</v>
      </c>
      <c r="M578" s="12">
        <f>L578/[4]货币基础!$B$4</f>
        <v>140</v>
      </c>
      <c r="N578" s="12">
        <f>IF(A578&lt;[3]关卡对接!$A$4,INDEX([3]关卡对接!$E$7:$E$141,A578),MATCH(E578,人物经验!$H$24:$H$573,1))</f>
        <v>308</v>
      </c>
      <c r="O578" s="12">
        <f>INDEX([2]关卡!$G$6:$G$2005,A578)</f>
        <v>3</v>
      </c>
      <c r="P578" s="13">
        <v>6</v>
      </c>
      <c r="Q578" s="12">
        <f>INT(P578/$S$15/O578*VLOOKUP(J578,[1]人物技能基础!$N$3:$O$553,2,0)*$U$15)</f>
        <v>9</v>
      </c>
      <c r="R578" s="12">
        <f t="shared" si="84"/>
        <v>112</v>
      </c>
    </row>
    <row r="579" spans="1:18" x14ac:dyDescent="0.15">
      <c r="A579" s="12">
        <v>561</v>
      </c>
      <c r="B579" s="12">
        <f t="shared" si="78"/>
        <v>3</v>
      </c>
      <c r="C579" s="12">
        <f t="shared" si="79"/>
        <v>2.3679075000000003</v>
      </c>
      <c r="D579" s="12">
        <f t="shared" si="80"/>
        <v>1.5907499999999963E-2</v>
      </c>
      <c r="E579" s="12">
        <f>SUM($D$19:D579)</f>
        <v>5.5679075000000013</v>
      </c>
      <c r="F579" s="12">
        <f t="shared" si="76"/>
        <v>53.877035151784952</v>
      </c>
      <c r="G579" s="12">
        <f t="shared" si="77"/>
        <v>48.750614284055942</v>
      </c>
      <c r="H579" s="12">
        <f t="shared" si="81"/>
        <v>193900</v>
      </c>
      <c r="I579" s="12">
        <f t="shared" si="82"/>
        <v>175500</v>
      </c>
      <c r="J579" s="12">
        <f>IF(A579&lt;[3]关卡对接!$A$4,INDEX([3]关卡对接!$C$7:$C$141,A579),MATCH(E579,人物经验!$H$24:$H$573,1))</f>
        <v>308</v>
      </c>
      <c r="K579" s="12">
        <f>IF([3]关卡对接!F567="",INT(INDEX(人物经验!$J$24:$J$573,关卡!J579)*关卡!$S$7),[3]关卡对接!F567)</f>
        <v>4763</v>
      </c>
      <c r="L579" s="12">
        <f t="shared" si="83"/>
        <v>1.4</v>
      </c>
      <c r="M579" s="12">
        <f>L579/[4]货币基础!$B$4</f>
        <v>140</v>
      </c>
      <c r="N579" s="12">
        <f>IF(A579&lt;[3]关卡对接!$A$4,INDEX([3]关卡对接!$E$7:$E$141,A579),MATCH(E579,人物经验!$H$24:$H$573,1))</f>
        <v>308</v>
      </c>
      <c r="O579" s="12">
        <f>INDEX([2]关卡!$G$6:$G$2005,A579)</f>
        <v>3</v>
      </c>
      <c r="P579" s="13">
        <v>6</v>
      </c>
      <c r="Q579" s="12">
        <f>INT(P579/$S$15/O579*VLOOKUP(J579,[1]人物技能基础!$N$3:$O$553,2,0)*$U$15)</f>
        <v>9</v>
      </c>
      <c r="R579" s="12">
        <f t="shared" si="84"/>
        <v>112</v>
      </c>
    </row>
    <row r="580" spans="1:18" x14ac:dyDescent="0.15">
      <c r="A580" s="12">
        <v>562</v>
      </c>
      <c r="B580" s="12">
        <f t="shared" si="78"/>
        <v>3</v>
      </c>
      <c r="C580" s="12">
        <f t="shared" si="79"/>
        <v>2.3838300000000006</v>
      </c>
      <c r="D580" s="12">
        <f t="shared" si="80"/>
        <v>1.5922500000000284E-2</v>
      </c>
      <c r="E580" s="12">
        <f>SUM($D$19:D580)</f>
        <v>5.5838300000000016</v>
      </c>
      <c r="F580" s="12">
        <f t="shared" si="76"/>
        <v>54.036313268879013</v>
      </c>
      <c r="G580" s="12">
        <f t="shared" si="77"/>
        <v>48.864665904495006</v>
      </c>
      <c r="H580" s="12">
        <f t="shared" si="81"/>
        <v>194500</v>
      </c>
      <c r="I580" s="12">
        <f t="shared" si="82"/>
        <v>175900</v>
      </c>
      <c r="J580" s="12">
        <f>IF(A580&lt;[3]关卡对接!$A$4,INDEX([3]关卡对接!$C$7:$C$141,A580),MATCH(E580,人物经验!$H$24:$H$573,1))</f>
        <v>308</v>
      </c>
      <c r="K580" s="12">
        <f>IF([3]关卡对接!F568="",INT(INDEX(人物经验!$J$24:$J$573,关卡!J580)*关卡!$S$7),[3]关卡对接!F568)</f>
        <v>4763</v>
      </c>
      <c r="L580" s="12">
        <f t="shared" si="83"/>
        <v>1.4</v>
      </c>
      <c r="M580" s="12">
        <f>L580/[4]货币基础!$B$4</f>
        <v>140</v>
      </c>
      <c r="N580" s="12">
        <f>IF(A580&lt;[3]关卡对接!$A$4,INDEX([3]关卡对接!$E$7:$E$141,A580),MATCH(E580,人物经验!$H$24:$H$573,1))</f>
        <v>308</v>
      </c>
      <c r="O580" s="12">
        <f>INDEX([2]关卡!$G$6:$G$2005,A580)</f>
        <v>3</v>
      </c>
      <c r="P580" s="13">
        <v>6</v>
      </c>
      <c r="Q580" s="12">
        <f>INT(P580/$S$15/O580*VLOOKUP(J580,[1]人物技能基础!$N$3:$O$553,2,0)*$U$15)</f>
        <v>9</v>
      </c>
      <c r="R580" s="12">
        <f t="shared" si="84"/>
        <v>112</v>
      </c>
    </row>
    <row r="581" spans="1:18" x14ac:dyDescent="0.15">
      <c r="A581" s="12">
        <v>563</v>
      </c>
      <c r="B581" s="12">
        <f t="shared" si="78"/>
        <v>3</v>
      </c>
      <c r="C581" s="12">
        <f t="shared" si="79"/>
        <v>2.3997674999999994</v>
      </c>
      <c r="D581" s="12">
        <f t="shared" si="80"/>
        <v>1.5937499999998828E-2</v>
      </c>
      <c r="E581" s="12">
        <f>SUM($D$19:D581)</f>
        <v>5.5997675000000005</v>
      </c>
      <c r="F581" s="12">
        <f t="shared" si="76"/>
        <v>54.195912352339931</v>
      </c>
      <c r="G581" s="12">
        <f t="shared" si="77"/>
        <v>48.978878253830935</v>
      </c>
      <c r="H581" s="12">
        <f t="shared" si="81"/>
        <v>195100</v>
      </c>
      <c r="I581" s="12">
        <f t="shared" si="82"/>
        <v>176300</v>
      </c>
      <c r="J581" s="12">
        <f>IF(A581&lt;[3]关卡对接!$A$4,INDEX([3]关卡对接!$C$7:$C$141,A581),MATCH(E581,人物经验!$H$24:$H$573,1))</f>
        <v>308</v>
      </c>
      <c r="K581" s="12">
        <f>IF([3]关卡对接!F569="",INT(INDEX(人物经验!$J$24:$J$573,关卡!J581)*关卡!$S$7),[3]关卡对接!F569)</f>
        <v>4763</v>
      </c>
      <c r="L581" s="12">
        <f t="shared" si="83"/>
        <v>1.4</v>
      </c>
      <c r="M581" s="12">
        <f>L581/[4]货币基础!$B$4</f>
        <v>140</v>
      </c>
      <c r="N581" s="12">
        <f>IF(A581&lt;[3]关卡对接!$A$4,INDEX([3]关卡对接!$E$7:$E$141,A581),MATCH(E581,人物经验!$H$24:$H$573,1))</f>
        <v>308</v>
      </c>
      <c r="O581" s="12">
        <f>INDEX([2]关卡!$G$6:$G$2005,A581)</f>
        <v>3</v>
      </c>
      <c r="P581" s="13">
        <v>6</v>
      </c>
      <c r="Q581" s="12">
        <f>INT(P581/$S$15/O581*VLOOKUP(J581,[1]人物技能基础!$N$3:$O$553,2,0)*$U$15)</f>
        <v>9</v>
      </c>
      <c r="R581" s="12">
        <f t="shared" si="84"/>
        <v>112</v>
      </c>
    </row>
    <row r="582" spans="1:18" x14ac:dyDescent="0.15">
      <c r="A582" s="12">
        <v>564</v>
      </c>
      <c r="B582" s="12">
        <f t="shared" si="78"/>
        <v>3</v>
      </c>
      <c r="C582" s="12">
        <f t="shared" si="79"/>
        <v>2.4157199999999999</v>
      </c>
      <c r="D582" s="12">
        <f t="shared" si="80"/>
        <v>1.595250000000048E-2</v>
      </c>
      <c r="E582" s="12">
        <f>SUM($D$19:D582)</f>
        <v>5.6157200000000014</v>
      </c>
      <c r="F582" s="12">
        <f t="shared" si="76"/>
        <v>54.355832963824</v>
      </c>
      <c r="G582" s="12">
        <f t="shared" si="77"/>
        <v>49.093251524719996</v>
      </c>
      <c r="H582" s="12">
        <f t="shared" si="81"/>
        <v>195600</v>
      </c>
      <c r="I582" s="12">
        <f t="shared" si="82"/>
        <v>176700</v>
      </c>
      <c r="J582" s="12">
        <f>IF(A582&lt;[3]关卡对接!$A$4,INDEX([3]关卡对接!$C$7:$C$141,A582),MATCH(E582,人物经验!$H$24:$H$573,1))</f>
        <v>308</v>
      </c>
      <c r="K582" s="12">
        <f>IF([3]关卡对接!F570="",INT(INDEX(人物经验!$J$24:$J$573,关卡!J582)*关卡!$S$7),[3]关卡对接!F570)</f>
        <v>4763</v>
      </c>
      <c r="L582" s="12">
        <f t="shared" si="83"/>
        <v>1.4</v>
      </c>
      <c r="M582" s="12">
        <f>L582/[4]货币基础!$B$4</f>
        <v>140</v>
      </c>
      <c r="N582" s="12">
        <f>IF(A582&lt;[3]关卡对接!$A$4,INDEX([3]关卡对接!$E$7:$E$141,A582),MATCH(E582,人物经验!$H$24:$H$573,1))</f>
        <v>308</v>
      </c>
      <c r="O582" s="12">
        <f>INDEX([2]关卡!$G$6:$G$2005,A582)</f>
        <v>3</v>
      </c>
      <c r="P582" s="13">
        <v>6</v>
      </c>
      <c r="Q582" s="12">
        <f>INT(P582/$S$15/O582*VLOOKUP(J582,[1]人物技能基础!$N$3:$O$553,2,0)*$U$15)</f>
        <v>9</v>
      </c>
      <c r="R582" s="12">
        <f t="shared" si="84"/>
        <v>112</v>
      </c>
    </row>
    <row r="583" spans="1:18" x14ac:dyDescent="0.15">
      <c r="A583" s="12">
        <v>565</v>
      </c>
      <c r="B583" s="12">
        <f t="shared" si="78"/>
        <v>3</v>
      </c>
      <c r="C583" s="12">
        <f t="shared" si="79"/>
        <v>2.4316874999999998</v>
      </c>
      <c r="D583" s="12">
        <f t="shared" si="80"/>
        <v>1.5967499999999912E-2</v>
      </c>
      <c r="E583" s="12">
        <f>SUM($D$19:D583)</f>
        <v>5.6316875000000017</v>
      </c>
      <c r="F583" s="12">
        <f t="shared" si="76"/>
        <v>54.51607566558593</v>
      </c>
      <c r="G583" s="12">
        <f t="shared" si="77"/>
        <v>49.207785909960926</v>
      </c>
      <c r="H583" s="12">
        <f t="shared" si="81"/>
        <v>196200</v>
      </c>
      <c r="I583" s="12">
        <f t="shared" si="82"/>
        <v>177100</v>
      </c>
      <c r="J583" s="12">
        <f>IF(A583&lt;[3]关卡对接!$A$4,INDEX([3]关卡对接!$C$7:$C$141,A583),MATCH(E583,人物经验!$H$24:$H$573,1))</f>
        <v>309</v>
      </c>
      <c r="K583" s="12">
        <f>IF([3]关卡对接!F571="",INT(INDEX(人物经验!$J$24:$J$573,关卡!J583)*关卡!$S$7),[3]关卡对接!F571)</f>
        <v>4892</v>
      </c>
      <c r="L583" s="12">
        <f t="shared" si="83"/>
        <v>1.4</v>
      </c>
      <c r="M583" s="12">
        <f>L583/[4]货币基础!$B$4</f>
        <v>140</v>
      </c>
      <c r="N583" s="12">
        <f>IF(A583&lt;[3]关卡对接!$A$4,INDEX([3]关卡对接!$E$7:$E$141,A583),MATCH(E583,人物经验!$H$24:$H$573,1))</f>
        <v>309</v>
      </c>
      <c r="O583" s="12">
        <f>INDEX([2]关卡!$G$6:$G$2005,A583)</f>
        <v>3</v>
      </c>
      <c r="P583" s="13">
        <v>6</v>
      </c>
      <c r="Q583" s="12">
        <f>INT(P583/$S$15/O583*VLOOKUP(J583,[1]人物技能基础!$N$3:$O$553,2,0)*$U$15)</f>
        <v>9</v>
      </c>
      <c r="R583" s="12">
        <f t="shared" si="84"/>
        <v>112</v>
      </c>
    </row>
    <row r="584" spans="1:18" x14ac:dyDescent="0.15">
      <c r="A584" s="12">
        <v>566</v>
      </c>
      <c r="B584" s="12">
        <f t="shared" si="78"/>
        <v>3</v>
      </c>
      <c r="C584" s="12">
        <f t="shared" si="79"/>
        <v>2.44767</v>
      </c>
      <c r="D584" s="12">
        <f t="shared" si="80"/>
        <v>1.5982500000000233E-2</v>
      </c>
      <c r="E584" s="12">
        <f>SUM($D$19:D584)</f>
        <v>5.6476700000000015</v>
      </c>
      <c r="F584" s="12">
        <f t="shared" si="76"/>
        <v>54.676641020478989</v>
      </c>
      <c r="G584" s="12">
        <f t="shared" si="77"/>
        <v>49.322481602494996</v>
      </c>
      <c r="H584" s="12">
        <f t="shared" si="81"/>
        <v>196800</v>
      </c>
      <c r="I584" s="12">
        <f t="shared" si="82"/>
        <v>177500</v>
      </c>
      <c r="J584" s="12">
        <f>IF(A584&lt;[3]关卡对接!$A$4,INDEX([3]关卡对接!$C$7:$C$141,A584),MATCH(E584,人物经验!$H$24:$H$573,1))</f>
        <v>309</v>
      </c>
      <c r="K584" s="12">
        <f>IF([3]关卡对接!F572="",INT(INDEX(人物经验!$J$24:$J$573,关卡!J584)*关卡!$S$7),[3]关卡对接!F572)</f>
        <v>4892</v>
      </c>
      <c r="L584" s="12">
        <f t="shared" si="83"/>
        <v>1.4</v>
      </c>
      <c r="M584" s="12">
        <f>L584/[4]货币基础!$B$4</f>
        <v>140</v>
      </c>
      <c r="N584" s="12">
        <f>IF(A584&lt;[3]关卡对接!$A$4,INDEX([3]关卡对接!$E$7:$E$141,A584),MATCH(E584,人物经验!$H$24:$H$573,1))</f>
        <v>309</v>
      </c>
      <c r="O584" s="12">
        <f>INDEX([2]关卡!$G$6:$G$2005,A584)</f>
        <v>3</v>
      </c>
      <c r="P584" s="13">
        <v>6</v>
      </c>
      <c r="Q584" s="12">
        <f>INT(P584/$S$15/O584*VLOOKUP(J584,[1]人物技能基础!$N$3:$O$553,2,0)*$U$15)</f>
        <v>9</v>
      </c>
      <c r="R584" s="12">
        <f t="shared" si="84"/>
        <v>112</v>
      </c>
    </row>
    <row r="585" spans="1:18" x14ac:dyDescent="0.15">
      <c r="A585" s="12">
        <v>567</v>
      </c>
      <c r="B585" s="12">
        <f t="shared" si="78"/>
        <v>3</v>
      </c>
      <c r="C585" s="12">
        <f t="shared" si="79"/>
        <v>2.4636674999999997</v>
      </c>
      <c r="D585" s="12">
        <f t="shared" si="80"/>
        <v>1.5997499999999665E-2</v>
      </c>
      <c r="E585" s="12">
        <f>SUM($D$19:D585)</f>
        <v>5.6636675000000007</v>
      </c>
      <c r="F585" s="12">
        <f t="shared" si="76"/>
        <v>54.83752959195494</v>
      </c>
      <c r="G585" s="12">
        <f t="shared" si="77"/>
        <v>49.437338795405935</v>
      </c>
      <c r="H585" s="12">
        <f t="shared" si="81"/>
        <v>197400</v>
      </c>
      <c r="I585" s="12">
        <f t="shared" si="82"/>
        <v>177900</v>
      </c>
      <c r="J585" s="12">
        <f>IF(A585&lt;[3]关卡对接!$A$4,INDEX([3]关卡对接!$C$7:$C$141,A585),MATCH(E585,人物经验!$H$24:$H$573,1))</f>
        <v>309</v>
      </c>
      <c r="K585" s="12">
        <f>IF([3]关卡对接!F573="",INT(INDEX(人物经验!$J$24:$J$573,关卡!J585)*关卡!$S$7),[3]关卡对接!F573)</f>
        <v>4892</v>
      </c>
      <c r="L585" s="12">
        <f t="shared" si="83"/>
        <v>1.4</v>
      </c>
      <c r="M585" s="12">
        <f>L585/[4]货币基础!$B$4</f>
        <v>140</v>
      </c>
      <c r="N585" s="12">
        <f>IF(A585&lt;[3]关卡对接!$A$4,INDEX([3]关卡对接!$E$7:$E$141,A585),MATCH(E585,人物经验!$H$24:$H$573,1))</f>
        <v>309</v>
      </c>
      <c r="O585" s="12">
        <f>INDEX([2]关卡!$G$6:$G$2005,A585)</f>
        <v>3</v>
      </c>
      <c r="P585" s="13">
        <v>6</v>
      </c>
      <c r="Q585" s="12">
        <f>INT(P585/$S$15/O585*VLOOKUP(J585,[1]人物技能基础!$N$3:$O$553,2,0)*$U$15)</f>
        <v>9</v>
      </c>
      <c r="R585" s="12">
        <f t="shared" si="84"/>
        <v>112</v>
      </c>
    </row>
    <row r="586" spans="1:18" x14ac:dyDescent="0.15">
      <c r="A586" s="12">
        <v>568</v>
      </c>
      <c r="B586" s="12">
        <f t="shared" si="78"/>
        <v>3</v>
      </c>
      <c r="C586" s="12">
        <f t="shared" si="79"/>
        <v>2.4796800000000001</v>
      </c>
      <c r="D586" s="12">
        <f t="shared" si="80"/>
        <v>1.6012500000000429E-2</v>
      </c>
      <c r="E586" s="12">
        <f>SUM($D$19:D586)</f>
        <v>5.6796800000000012</v>
      </c>
      <c r="F586" s="12">
        <f t="shared" si="76"/>
        <v>54.998741944063994</v>
      </c>
      <c r="G586" s="12">
        <f t="shared" si="77"/>
        <v>49.552357681919993</v>
      </c>
      <c r="H586" s="12">
        <f t="shared" si="81"/>
        <v>197900</v>
      </c>
      <c r="I586" s="12">
        <f t="shared" si="82"/>
        <v>178300</v>
      </c>
      <c r="J586" s="12">
        <f>IF(A586&lt;[3]关卡对接!$A$4,INDEX([3]关卡对接!$C$7:$C$141,A586),MATCH(E586,人物经验!$H$24:$H$573,1))</f>
        <v>309</v>
      </c>
      <c r="K586" s="12">
        <f>IF([3]关卡对接!F574="",INT(INDEX(人物经验!$J$24:$J$573,关卡!J586)*关卡!$S$7),[3]关卡对接!F574)</f>
        <v>4892</v>
      </c>
      <c r="L586" s="12">
        <f t="shared" si="83"/>
        <v>1.4</v>
      </c>
      <c r="M586" s="12">
        <f>L586/[4]货币基础!$B$4</f>
        <v>140</v>
      </c>
      <c r="N586" s="12">
        <f>IF(A586&lt;[3]关卡对接!$A$4,INDEX([3]关卡对接!$E$7:$E$141,A586),MATCH(E586,人物经验!$H$24:$H$573,1))</f>
        <v>309</v>
      </c>
      <c r="O586" s="12">
        <f>INDEX([2]关卡!$G$6:$G$2005,A586)</f>
        <v>3</v>
      </c>
      <c r="P586" s="13">
        <v>6</v>
      </c>
      <c r="Q586" s="12">
        <f>INT(P586/$S$15/O586*VLOOKUP(J586,[1]人物技能基础!$N$3:$O$553,2,0)*$U$15)</f>
        <v>9</v>
      </c>
      <c r="R586" s="12">
        <f t="shared" si="84"/>
        <v>112</v>
      </c>
    </row>
    <row r="587" spans="1:18" x14ac:dyDescent="0.15">
      <c r="A587" s="12">
        <v>569</v>
      </c>
      <c r="B587" s="12">
        <f t="shared" si="78"/>
        <v>3</v>
      </c>
      <c r="C587" s="12">
        <f t="shared" si="79"/>
        <v>2.4957075</v>
      </c>
      <c r="D587" s="12">
        <f t="shared" si="80"/>
        <v>1.6027499999999861E-2</v>
      </c>
      <c r="E587" s="12">
        <f>SUM($D$19:D587)</f>
        <v>5.695707500000001</v>
      </c>
      <c r="F587" s="12">
        <f t="shared" si="76"/>
        <v>55.160278641454937</v>
      </c>
      <c r="G587" s="12">
        <f t="shared" si="77"/>
        <v>49.667538455405939</v>
      </c>
      <c r="H587" s="12">
        <f t="shared" si="81"/>
        <v>198500</v>
      </c>
      <c r="I587" s="12">
        <f t="shared" si="82"/>
        <v>178800</v>
      </c>
      <c r="J587" s="12">
        <f>IF(A587&lt;[3]关卡对接!$A$4,INDEX([3]关卡对接!$C$7:$C$141,A587),MATCH(E587,人物经验!$H$24:$H$573,1))</f>
        <v>309</v>
      </c>
      <c r="K587" s="12">
        <f>IF([3]关卡对接!F575="",INT(INDEX(人物经验!$J$24:$J$573,关卡!J587)*关卡!$S$7),[3]关卡对接!F575)</f>
        <v>4892</v>
      </c>
      <c r="L587" s="12">
        <f t="shared" si="83"/>
        <v>1.4</v>
      </c>
      <c r="M587" s="12">
        <f>L587/[4]货币基础!$B$4</f>
        <v>140</v>
      </c>
      <c r="N587" s="12">
        <f>IF(A587&lt;[3]关卡对接!$A$4,INDEX([3]关卡对接!$E$7:$E$141,A587),MATCH(E587,人物经验!$H$24:$H$573,1))</f>
        <v>309</v>
      </c>
      <c r="O587" s="12">
        <f>INDEX([2]关卡!$G$6:$G$2005,A587)</f>
        <v>3</v>
      </c>
      <c r="P587" s="13">
        <v>6</v>
      </c>
      <c r="Q587" s="12">
        <f>INT(P587/$S$15/O587*VLOOKUP(J587,[1]人物技能基础!$N$3:$O$553,2,0)*$U$15)</f>
        <v>9</v>
      </c>
      <c r="R587" s="12">
        <f t="shared" si="84"/>
        <v>112</v>
      </c>
    </row>
    <row r="588" spans="1:18" x14ac:dyDescent="0.15">
      <c r="A588" s="12">
        <v>570</v>
      </c>
      <c r="B588" s="12">
        <f t="shared" si="78"/>
        <v>3</v>
      </c>
      <c r="C588" s="12">
        <f t="shared" si="79"/>
        <v>2.5117500000000001</v>
      </c>
      <c r="D588" s="12">
        <f t="shared" si="80"/>
        <v>1.6042500000000182E-2</v>
      </c>
      <c r="E588" s="12">
        <f>SUM($D$19:D588)</f>
        <v>5.7117500000000012</v>
      </c>
      <c r="F588" s="12">
        <f t="shared" si="76"/>
        <v>55.322140249374989</v>
      </c>
      <c r="G588" s="12">
        <f t="shared" si="77"/>
        <v>49.782881309374993</v>
      </c>
      <c r="H588" s="12">
        <f t="shared" si="81"/>
        <v>199100</v>
      </c>
      <c r="I588" s="12">
        <f t="shared" si="82"/>
        <v>179200</v>
      </c>
      <c r="J588" s="12">
        <f>IF(A588&lt;[3]关卡对接!$A$4,INDEX([3]关卡对接!$C$7:$C$141,A588),MATCH(E588,人物经验!$H$24:$H$573,1))</f>
        <v>309</v>
      </c>
      <c r="K588" s="12">
        <f>IF([3]关卡对接!F576="",INT(INDEX(人物经验!$J$24:$J$573,关卡!J588)*关卡!$S$7),[3]关卡对接!F576)</f>
        <v>4892</v>
      </c>
      <c r="L588" s="12">
        <f t="shared" si="83"/>
        <v>1.4</v>
      </c>
      <c r="M588" s="12">
        <f>L588/[4]货币基础!$B$4</f>
        <v>140</v>
      </c>
      <c r="N588" s="12">
        <f>IF(A588&lt;[3]关卡对接!$A$4,INDEX([3]关卡对接!$E$7:$E$141,A588),MATCH(E588,人物经验!$H$24:$H$573,1))</f>
        <v>309</v>
      </c>
      <c r="O588" s="12">
        <f>INDEX([2]关卡!$G$6:$G$2005,A588)</f>
        <v>3</v>
      </c>
      <c r="P588" s="13">
        <v>6</v>
      </c>
      <c r="Q588" s="12">
        <f>INT(P588/$S$15/O588*VLOOKUP(J588,[1]人物技能基础!$N$3:$O$553,2,0)*$U$15)</f>
        <v>9</v>
      </c>
      <c r="R588" s="12">
        <f t="shared" si="84"/>
        <v>112</v>
      </c>
    </row>
    <row r="589" spans="1:18" x14ac:dyDescent="0.15">
      <c r="A589" s="12">
        <v>571</v>
      </c>
      <c r="B589" s="12">
        <f t="shared" si="78"/>
        <v>3</v>
      </c>
      <c r="C589" s="12">
        <f t="shared" si="79"/>
        <v>2.5278074999999998</v>
      </c>
      <c r="D589" s="12">
        <f t="shared" si="80"/>
        <v>1.6057499999999614E-2</v>
      </c>
      <c r="E589" s="12">
        <f>SUM($D$19:D589)</f>
        <v>5.7278075000000008</v>
      </c>
      <c r="F589" s="12">
        <f t="shared" si="76"/>
        <v>55.484327333669931</v>
      </c>
      <c r="G589" s="12">
        <f t="shared" si="77"/>
        <v>49.89838643748093</v>
      </c>
      <c r="H589" s="12">
        <f t="shared" si="81"/>
        <v>199700</v>
      </c>
      <c r="I589" s="12">
        <f t="shared" si="82"/>
        <v>179600</v>
      </c>
      <c r="J589" s="12">
        <f>IF(A589&lt;[3]关卡对接!$A$4,INDEX([3]关卡对接!$C$7:$C$141,A589),MATCH(E589,人物经验!$H$24:$H$573,1))</f>
        <v>309</v>
      </c>
      <c r="K589" s="12">
        <f>IF([3]关卡对接!F577="",INT(INDEX(人物经验!$J$24:$J$573,关卡!J589)*关卡!$S$7),[3]关卡对接!F577)</f>
        <v>4892</v>
      </c>
      <c r="L589" s="12">
        <f t="shared" si="83"/>
        <v>1.4</v>
      </c>
      <c r="M589" s="12">
        <f>L589/[4]货币基础!$B$4</f>
        <v>140</v>
      </c>
      <c r="N589" s="12">
        <f>IF(A589&lt;[3]关卡对接!$A$4,INDEX([3]关卡对接!$E$7:$E$141,A589),MATCH(E589,人物经验!$H$24:$H$573,1))</f>
        <v>309</v>
      </c>
      <c r="O589" s="12">
        <f>INDEX([2]关卡!$G$6:$G$2005,A589)</f>
        <v>3</v>
      </c>
      <c r="P589" s="13">
        <v>6</v>
      </c>
      <c r="Q589" s="12">
        <f>INT(P589/$S$15/O589*VLOOKUP(J589,[1]人物技能基础!$N$3:$O$553,2,0)*$U$15)</f>
        <v>9</v>
      </c>
      <c r="R589" s="12">
        <f t="shared" si="84"/>
        <v>112</v>
      </c>
    </row>
    <row r="590" spans="1:18" x14ac:dyDescent="0.15">
      <c r="A590" s="12">
        <v>572</v>
      </c>
      <c r="B590" s="12">
        <f t="shared" si="78"/>
        <v>3</v>
      </c>
      <c r="C590" s="12">
        <f t="shared" si="79"/>
        <v>2.5438800000000001</v>
      </c>
      <c r="D590" s="12">
        <f t="shared" si="80"/>
        <v>1.6072500000000378E-2</v>
      </c>
      <c r="E590" s="12">
        <f>SUM($D$19:D590)</f>
        <v>5.7438800000000008</v>
      </c>
      <c r="F590" s="12">
        <f t="shared" si="76"/>
        <v>55.646840460783999</v>
      </c>
      <c r="G590" s="12">
        <f t="shared" si="77"/>
        <v>50.01405403351999</v>
      </c>
      <c r="H590" s="12">
        <f t="shared" si="81"/>
        <v>200300</v>
      </c>
      <c r="I590" s="12">
        <f t="shared" si="82"/>
        <v>180000</v>
      </c>
      <c r="J590" s="12">
        <f>IF(A590&lt;[3]关卡对接!$A$4,INDEX([3]关卡对接!$C$7:$C$141,A590),MATCH(E590,人物经验!$H$24:$H$573,1))</f>
        <v>309</v>
      </c>
      <c r="K590" s="12">
        <f>IF([3]关卡对接!F578="",INT(INDEX(人物经验!$J$24:$J$573,关卡!J590)*关卡!$S$7),[3]关卡对接!F578)</f>
        <v>4892</v>
      </c>
      <c r="L590" s="12">
        <f t="shared" si="83"/>
        <v>1.4</v>
      </c>
      <c r="M590" s="12">
        <f>L590/[4]货币基础!$B$4</f>
        <v>140</v>
      </c>
      <c r="N590" s="12">
        <f>IF(A590&lt;[3]关卡对接!$A$4,INDEX([3]关卡对接!$E$7:$E$141,A590),MATCH(E590,人物经验!$H$24:$H$573,1))</f>
        <v>309</v>
      </c>
      <c r="O590" s="12">
        <f>INDEX([2]关卡!$G$6:$G$2005,A590)</f>
        <v>3</v>
      </c>
      <c r="P590" s="13">
        <v>6</v>
      </c>
      <c r="Q590" s="12">
        <f>INT(P590/$S$15/O590*VLOOKUP(J590,[1]人物技能基础!$N$3:$O$553,2,0)*$U$15)</f>
        <v>9</v>
      </c>
      <c r="R590" s="12">
        <f t="shared" si="84"/>
        <v>112</v>
      </c>
    </row>
    <row r="591" spans="1:18" x14ac:dyDescent="0.15">
      <c r="A591" s="12">
        <v>573</v>
      </c>
      <c r="B591" s="12">
        <f t="shared" si="78"/>
        <v>3</v>
      </c>
      <c r="C591" s="12">
        <f t="shared" si="79"/>
        <v>2.5599675</v>
      </c>
      <c r="D591" s="12">
        <f t="shared" si="80"/>
        <v>1.608749999999981E-2</v>
      </c>
      <c r="E591" s="12">
        <f>SUM($D$19:D591)</f>
        <v>5.7599675000000001</v>
      </c>
      <c r="F591" s="12">
        <f t="shared" si="76"/>
        <v>55.809680197759924</v>
      </c>
      <c r="G591" s="12">
        <f t="shared" si="77"/>
        <v>50.129884291430933</v>
      </c>
      <c r="H591" s="12">
        <f t="shared" si="81"/>
        <v>200900</v>
      </c>
      <c r="I591" s="12">
        <f t="shared" si="82"/>
        <v>180400</v>
      </c>
      <c r="J591" s="12">
        <f>IF(A591&lt;[3]关卡对接!$A$4,INDEX([3]关卡对接!$C$7:$C$141,A591),MATCH(E591,人物经验!$H$24:$H$573,1))</f>
        <v>309</v>
      </c>
      <c r="K591" s="12">
        <f>IF([3]关卡对接!F579="",INT(INDEX(人物经验!$J$24:$J$573,关卡!J591)*关卡!$S$7),[3]关卡对接!F579)</f>
        <v>4892</v>
      </c>
      <c r="L591" s="12">
        <f t="shared" si="83"/>
        <v>1.4</v>
      </c>
      <c r="M591" s="12">
        <f>L591/[4]货币基础!$B$4</f>
        <v>140</v>
      </c>
      <c r="N591" s="12">
        <f>IF(A591&lt;[3]关卡对接!$A$4,INDEX([3]关卡对接!$E$7:$E$141,A591),MATCH(E591,人物经验!$H$24:$H$573,1))</f>
        <v>309</v>
      </c>
      <c r="O591" s="12">
        <f>INDEX([2]关卡!$G$6:$G$2005,A591)</f>
        <v>3</v>
      </c>
      <c r="P591" s="13">
        <v>6</v>
      </c>
      <c r="Q591" s="12">
        <f>INT(P591/$S$15/O591*VLOOKUP(J591,[1]人物技能基础!$N$3:$O$553,2,0)*$U$15)</f>
        <v>9</v>
      </c>
      <c r="R591" s="12">
        <f t="shared" si="84"/>
        <v>112</v>
      </c>
    </row>
    <row r="592" spans="1:18" x14ac:dyDescent="0.15">
      <c r="A592" s="12">
        <v>574</v>
      </c>
      <c r="B592" s="12">
        <f t="shared" si="78"/>
        <v>3</v>
      </c>
      <c r="C592" s="12">
        <f t="shared" si="79"/>
        <v>2.5760700000000001</v>
      </c>
      <c r="D592" s="12">
        <f t="shared" si="80"/>
        <v>1.6102500000000131E-2</v>
      </c>
      <c r="E592" s="12">
        <f>SUM($D$19:D592)</f>
        <v>5.7760700000000007</v>
      </c>
      <c r="F592" s="12">
        <f t="shared" si="76"/>
        <v>55.972847112238995</v>
      </c>
      <c r="G592" s="12">
        <f t="shared" si="77"/>
        <v>50.245877405294991</v>
      </c>
      <c r="H592" s="12">
        <f t="shared" si="81"/>
        <v>201500</v>
      </c>
      <c r="I592" s="12">
        <f t="shared" si="82"/>
        <v>180800</v>
      </c>
      <c r="J592" s="12">
        <f>IF(A592&lt;[3]关卡对接!$A$4,INDEX([3]关卡对接!$C$7:$C$141,A592),MATCH(E592,人物经验!$H$24:$H$573,1))</f>
        <v>310</v>
      </c>
      <c r="K592" s="12">
        <f>IF([3]关卡对接!F580="",INT(INDEX(人物经验!$J$24:$J$573,关卡!J592)*关卡!$S$7),[3]关卡对接!F580)</f>
        <v>5022</v>
      </c>
      <c r="L592" s="12">
        <f t="shared" si="83"/>
        <v>1.4</v>
      </c>
      <c r="M592" s="12">
        <f>L592/[4]货币基础!$B$4</f>
        <v>140</v>
      </c>
      <c r="N592" s="12">
        <f>IF(A592&lt;[3]关卡对接!$A$4,INDEX([3]关卡对接!$E$7:$E$141,A592),MATCH(E592,人物经验!$H$24:$H$573,1))</f>
        <v>310</v>
      </c>
      <c r="O592" s="12">
        <f>INDEX([2]关卡!$G$6:$G$2005,A592)</f>
        <v>3</v>
      </c>
      <c r="P592" s="13">
        <v>6</v>
      </c>
      <c r="Q592" s="12">
        <f>INT(P592/$S$15/O592*VLOOKUP(J592,[1]人物技能基础!$N$3:$O$553,2,0)*$U$15)</f>
        <v>9</v>
      </c>
      <c r="R592" s="12">
        <f t="shared" si="84"/>
        <v>112</v>
      </c>
    </row>
    <row r="593" spans="1:18" x14ac:dyDescent="0.15">
      <c r="A593" s="12">
        <v>575</v>
      </c>
      <c r="B593" s="12">
        <f t="shared" si="78"/>
        <v>3</v>
      </c>
      <c r="C593" s="12">
        <f t="shared" si="79"/>
        <v>2.5921874999999996</v>
      </c>
      <c r="D593" s="12">
        <f t="shared" si="80"/>
        <v>1.6117499999999563E-2</v>
      </c>
      <c r="E593" s="12">
        <f>SUM($D$19:D593)</f>
        <v>5.7921875000000007</v>
      </c>
      <c r="F593" s="12">
        <f t="shared" si="76"/>
        <v>56.136341772460931</v>
      </c>
      <c r="G593" s="12">
        <f t="shared" si="77"/>
        <v>50.362033569335935</v>
      </c>
      <c r="H593" s="12">
        <f t="shared" si="81"/>
        <v>202000</v>
      </c>
      <c r="I593" s="12">
        <f t="shared" si="82"/>
        <v>181300</v>
      </c>
      <c r="J593" s="12">
        <f>IF(A593&lt;[3]关卡对接!$A$4,INDEX([3]关卡对接!$C$7:$C$141,A593),MATCH(E593,人物经验!$H$24:$H$573,1))</f>
        <v>310</v>
      </c>
      <c r="K593" s="12">
        <f>IF([3]关卡对接!F581="",INT(INDEX(人物经验!$J$24:$J$573,关卡!J593)*关卡!$S$7),[3]关卡对接!F581)</f>
        <v>5022</v>
      </c>
      <c r="L593" s="12">
        <f t="shared" si="83"/>
        <v>1.4</v>
      </c>
      <c r="M593" s="12">
        <f>L593/[4]货币基础!$B$4</f>
        <v>140</v>
      </c>
      <c r="N593" s="12">
        <f>IF(A593&lt;[3]关卡对接!$A$4,INDEX([3]关卡对接!$E$7:$E$141,A593),MATCH(E593,人物经验!$H$24:$H$573,1))</f>
        <v>310</v>
      </c>
      <c r="O593" s="12">
        <f>INDEX([2]关卡!$G$6:$G$2005,A593)</f>
        <v>3</v>
      </c>
      <c r="P593" s="13">
        <v>6</v>
      </c>
      <c r="Q593" s="12">
        <f>INT(P593/$S$15/O593*VLOOKUP(J593,[1]人物技能基础!$N$3:$O$553,2,0)*$U$15)</f>
        <v>9</v>
      </c>
      <c r="R593" s="12">
        <f t="shared" si="84"/>
        <v>112</v>
      </c>
    </row>
    <row r="594" spans="1:18" x14ac:dyDescent="0.15">
      <c r="A594" s="12">
        <v>576</v>
      </c>
      <c r="B594" s="12">
        <f t="shared" si="78"/>
        <v>3</v>
      </c>
      <c r="C594" s="12">
        <f t="shared" si="79"/>
        <v>2.60832</v>
      </c>
      <c r="D594" s="12">
        <f t="shared" si="80"/>
        <v>1.6132500000000327E-2</v>
      </c>
      <c r="E594" s="12">
        <f>SUM($D$19:D594)</f>
        <v>5.808320000000001</v>
      </c>
      <c r="F594" s="12">
        <f t="shared" si="76"/>
        <v>56.300164747263992</v>
      </c>
      <c r="G594" s="12">
        <f t="shared" si="77"/>
        <v>50.47835297791999</v>
      </c>
      <c r="H594" s="12">
        <f t="shared" si="81"/>
        <v>202600</v>
      </c>
      <c r="I594" s="12">
        <f t="shared" si="82"/>
        <v>181700</v>
      </c>
      <c r="J594" s="12">
        <f>IF(A594&lt;[3]关卡对接!$A$4,INDEX([3]关卡对接!$C$7:$C$141,A594),MATCH(E594,人物经验!$H$24:$H$573,1))</f>
        <v>310</v>
      </c>
      <c r="K594" s="12">
        <f>IF([3]关卡对接!F582="",INT(INDEX(人物经验!$J$24:$J$573,关卡!J594)*关卡!$S$7),[3]关卡对接!F582)</f>
        <v>5022</v>
      </c>
      <c r="L594" s="12">
        <f t="shared" si="83"/>
        <v>1.4</v>
      </c>
      <c r="M594" s="12">
        <f>L594/[4]货币基础!$B$4</f>
        <v>140</v>
      </c>
      <c r="N594" s="12">
        <f>IF(A594&lt;[3]关卡对接!$A$4,INDEX([3]关卡对接!$E$7:$E$141,A594),MATCH(E594,人物经验!$H$24:$H$573,1))</f>
        <v>310</v>
      </c>
      <c r="O594" s="12">
        <f>INDEX([2]关卡!$G$6:$G$2005,A594)</f>
        <v>3</v>
      </c>
      <c r="P594" s="13">
        <v>6</v>
      </c>
      <c r="Q594" s="12">
        <f>INT(P594/$S$15/O594*VLOOKUP(J594,[1]人物技能基础!$N$3:$O$553,2,0)*$U$15)</f>
        <v>9</v>
      </c>
      <c r="R594" s="12">
        <f t="shared" si="84"/>
        <v>112</v>
      </c>
    </row>
    <row r="595" spans="1:18" x14ac:dyDescent="0.15">
      <c r="A595" s="12">
        <v>577</v>
      </c>
      <c r="B595" s="12">
        <f t="shared" si="78"/>
        <v>3</v>
      </c>
      <c r="C595" s="12">
        <f t="shared" si="79"/>
        <v>2.6244675000000002</v>
      </c>
      <c r="D595" s="12">
        <f t="shared" si="80"/>
        <v>1.6147500000000203E-2</v>
      </c>
      <c r="E595" s="12">
        <f>SUM($D$19:D595)</f>
        <v>5.8244675000000008</v>
      </c>
      <c r="F595" s="12">
        <f t="shared" ref="F595:F658" si="85">$L$7*($M$7+$N$7*($A595/$B$3)^1+$O$7*($A595/$B$3)^2+$P$7*($A595/$B$3)^3+$Q$7*($A595/$B$3)^4)</f>
        <v>56.464316606084942</v>
      </c>
      <c r="G595" s="12">
        <f t="shared" ref="G595:G658" si="86">$L$11*($M$11+$N$11*($A595/$B$3)^1+$O$11*($A595/$B$3)^2+$P$11*($A595/$B$3)^3+$Q$11*($A595/$B$3)^4)</f>
        <v>50.594835825555933</v>
      </c>
      <c r="H595" s="12">
        <f t="shared" si="81"/>
        <v>203200</v>
      </c>
      <c r="I595" s="12">
        <f t="shared" si="82"/>
        <v>182100</v>
      </c>
      <c r="J595" s="12">
        <f>IF(A595&lt;[3]关卡对接!$A$4,INDEX([3]关卡对接!$C$7:$C$141,A595),MATCH(E595,人物经验!$H$24:$H$573,1))</f>
        <v>310</v>
      </c>
      <c r="K595" s="12">
        <f>IF([3]关卡对接!F583="",INT(INDEX(人物经验!$J$24:$J$573,关卡!J595)*关卡!$S$7),[3]关卡对接!F583)</f>
        <v>5022</v>
      </c>
      <c r="L595" s="12">
        <f t="shared" si="83"/>
        <v>1.4</v>
      </c>
      <c r="M595" s="12">
        <f>L595/[4]货币基础!$B$4</f>
        <v>140</v>
      </c>
      <c r="N595" s="12">
        <f>IF(A595&lt;[3]关卡对接!$A$4,INDEX([3]关卡对接!$E$7:$E$141,A595),MATCH(E595,人物经验!$H$24:$H$573,1))</f>
        <v>310</v>
      </c>
      <c r="O595" s="12">
        <f>INDEX([2]关卡!$G$6:$G$2005,A595)</f>
        <v>3</v>
      </c>
      <c r="P595" s="13">
        <v>6</v>
      </c>
      <c r="Q595" s="12">
        <f>INT(P595/$S$15/O595*VLOOKUP(J595,[1]人物技能基础!$N$3:$O$553,2,0)*$U$15)</f>
        <v>9</v>
      </c>
      <c r="R595" s="12">
        <f t="shared" si="84"/>
        <v>112</v>
      </c>
    </row>
    <row r="596" spans="1:18" x14ac:dyDescent="0.15">
      <c r="A596" s="12">
        <v>578</v>
      </c>
      <c r="B596" s="12">
        <f t="shared" ref="B596:B659" si="87">MATCH($A596,$A$5:$A$15,1)-1</f>
        <v>3</v>
      </c>
      <c r="C596" s="12">
        <f t="shared" ref="C596:C659" si="88">INDEX($C$5:$C$15,$B596+1)*(INDEX($E$5:$E$15,$B596+1)+INDEX($F$5:$F$15,$B596+1)*(($A596-INDEX($A$5:$A$15,$B596+1)+1)/(INDEX($B$5:$B$15,$B596+1)-INDEX($A$5:$A$15,$B596+1)+1))^1+INDEX($G$5:$G$15,$B596+1)*(($A596-INDEX($A$5:$A$15,$B596+1)+1)/(INDEX($B$5:$B$15,$B596+1)-INDEX($A$5:$A$15,$B596+1)+1))^2+INDEX($H$5:$H$15,$B596+1)*(($A596-INDEX($A$5:$A$15,$B596+1)+1)/(INDEX($B$5:$B$15,$B596+1)-INDEX($A$5:$A$15,$B596+1)+1))^3+INDEX($I$5:$I$15,$B596+1)*(($A596-INDEX($A$5:$A$15,$B596+1)+1)/(INDEX($B$5:$B$15,$B596+1)-INDEX($A$5:$A$15,$B596+1)+1))^4)</f>
        <v>2.6406300000000003</v>
      </c>
      <c r="D596" s="12">
        <f t="shared" ref="D596:D659" si="89">IF(ISNA(MATCH(A596,$A$6:$A$15,0)),C596-C595,C596)</f>
        <v>1.616250000000008E-2</v>
      </c>
      <c r="E596" s="12">
        <f>SUM($D$19:D596)</f>
        <v>5.8406300000000009</v>
      </c>
      <c r="F596" s="12">
        <f t="shared" si="85"/>
        <v>56.628797918958995</v>
      </c>
      <c r="G596" s="12">
        <f t="shared" si="86"/>
        <v>50.711482306894993</v>
      </c>
      <c r="H596" s="12">
        <f t="shared" ref="H596:H659" si="90">INT(F596*60*60/100)*100</f>
        <v>203800</v>
      </c>
      <c r="I596" s="12">
        <f t="shared" ref="I596:I659" si="91">INT(G596*60*60/100)*100</f>
        <v>182500</v>
      </c>
      <c r="J596" s="12">
        <f>IF(A596&lt;[3]关卡对接!$A$4,INDEX([3]关卡对接!$C$7:$C$141,A596),MATCH(E596,人物经验!$H$24:$H$573,1))</f>
        <v>310</v>
      </c>
      <c r="K596" s="12">
        <f>IF([3]关卡对接!F584="",INT(INDEX(人物经验!$J$24:$J$573,关卡!J596)*关卡!$S$7),[3]关卡对接!F584)</f>
        <v>5022</v>
      </c>
      <c r="L596" s="12">
        <f t="shared" ref="L596:L659" si="92">VLOOKUP(A596,$A$5:$J$15,10,1)</f>
        <v>1.4</v>
      </c>
      <c r="M596" s="12">
        <f>L596/[4]货币基础!$B$4</f>
        <v>140</v>
      </c>
      <c r="N596" s="12">
        <f>IF(A596&lt;[3]关卡对接!$A$4,INDEX([3]关卡对接!$E$7:$E$141,A596),MATCH(E596,人物经验!$H$24:$H$573,1))</f>
        <v>310</v>
      </c>
      <c r="O596" s="12">
        <f>INDEX([2]关卡!$G$6:$G$2005,A596)</f>
        <v>3</v>
      </c>
      <c r="P596" s="13">
        <v>6</v>
      </c>
      <c r="Q596" s="12">
        <f>INT(P596/$S$15/O596*VLOOKUP(J596,[1]人物技能基础!$N$3:$O$553,2,0)*$U$15)</f>
        <v>9</v>
      </c>
      <c r="R596" s="12">
        <f t="shared" ref="R596:R659" si="93">INT(Q596*12.5)</f>
        <v>112</v>
      </c>
    </row>
    <row r="597" spans="1:18" x14ac:dyDescent="0.15">
      <c r="A597" s="12">
        <v>579</v>
      </c>
      <c r="B597" s="12">
        <f t="shared" si="87"/>
        <v>3</v>
      </c>
      <c r="C597" s="12">
        <f t="shared" si="88"/>
        <v>2.6568074999999998</v>
      </c>
      <c r="D597" s="12">
        <f t="shared" si="89"/>
        <v>1.6177499999999512E-2</v>
      </c>
      <c r="E597" s="12">
        <f>SUM($D$19:D597)</f>
        <v>5.8568075000000004</v>
      </c>
      <c r="F597" s="12">
        <f t="shared" si="85"/>
        <v>56.793609256519929</v>
      </c>
      <c r="G597" s="12">
        <f t="shared" si="86"/>
        <v>50.828292616730934</v>
      </c>
      <c r="H597" s="12">
        <f t="shared" si="90"/>
        <v>204400</v>
      </c>
      <c r="I597" s="12">
        <f t="shared" si="91"/>
        <v>182900</v>
      </c>
      <c r="J597" s="12">
        <f>IF(A597&lt;[3]关卡对接!$A$4,INDEX([3]关卡对接!$C$7:$C$141,A597),MATCH(E597,人物经验!$H$24:$H$573,1))</f>
        <v>310</v>
      </c>
      <c r="K597" s="12">
        <f>IF([3]关卡对接!F585="",INT(INDEX(人物经验!$J$24:$J$573,关卡!J597)*关卡!$S$7),[3]关卡对接!F585)</f>
        <v>5022</v>
      </c>
      <c r="L597" s="12">
        <f t="shared" si="92"/>
        <v>1.4</v>
      </c>
      <c r="M597" s="12">
        <f>L597/[4]货币基础!$B$4</f>
        <v>140</v>
      </c>
      <c r="N597" s="12">
        <f>IF(A597&lt;[3]关卡对接!$A$4,INDEX([3]关卡对接!$E$7:$E$141,A597),MATCH(E597,人物经验!$H$24:$H$573,1))</f>
        <v>310</v>
      </c>
      <c r="O597" s="12">
        <f>INDEX([2]关卡!$G$6:$G$2005,A597)</f>
        <v>3</v>
      </c>
      <c r="P597" s="13">
        <v>6</v>
      </c>
      <c r="Q597" s="12">
        <f>INT(P597/$S$15/O597*VLOOKUP(J597,[1]人物技能基础!$N$3:$O$553,2,0)*$U$15)</f>
        <v>9</v>
      </c>
      <c r="R597" s="12">
        <f t="shared" si="93"/>
        <v>112</v>
      </c>
    </row>
    <row r="598" spans="1:18" x14ac:dyDescent="0.15">
      <c r="A598" s="12">
        <v>580</v>
      </c>
      <c r="B598" s="12">
        <f t="shared" si="87"/>
        <v>3</v>
      </c>
      <c r="C598" s="12">
        <f t="shared" si="88"/>
        <v>2.673</v>
      </c>
      <c r="D598" s="12">
        <f t="shared" si="89"/>
        <v>1.6192500000000276E-2</v>
      </c>
      <c r="E598" s="12">
        <f>SUM($D$19:D598)</f>
        <v>5.8730000000000011</v>
      </c>
      <c r="F598" s="12">
        <f t="shared" si="85"/>
        <v>56.958751189999994</v>
      </c>
      <c r="G598" s="12">
        <f t="shared" si="86"/>
        <v>50.94526694999999</v>
      </c>
      <c r="H598" s="12">
        <f t="shared" si="90"/>
        <v>205000</v>
      </c>
      <c r="I598" s="12">
        <f t="shared" si="91"/>
        <v>183400</v>
      </c>
      <c r="J598" s="12">
        <f>IF(A598&lt;[3]关卡对接!$A$4,INDEX([3]关卡对接!$C$7:$C$141,A598),MATCH(E598,人物经验!$H$24:$H$573,1))</f>
        <v>310</v>
      </c>
      <c r="K598" s="12">
        <f>IF([3]关卡对接!F586="",INT(INDEX(人物经验!$J$24:$J$573,关卡!J598)*关卡!$S$7),[3]关卡对接!F586)</f>
        <v>5022</v>
      </c>
      <c r="L598" s="12">
        <f t="shared" si="92"/>
        <v>1.4</v>
      </c>
      <c r="M598" s="12">
        <f>L598/[4]货币基础!$B$4</f>
        <v>140</v>
      </c>
      <c r="N598" s="12">
        <f>IF(A598&lt;[3]关卡对接!$A$4,INDEX([3]关卡对接!$E$7:$E$141,A598),MATCH(E598,人物经验!$H$24:$H$573,1))</f>
        <v>310</v>
      </c>
      <c r="O598" s="12">
        <f>INDEX([2]关卡!$G$6:$G$2005,A598)</f>
        <v>3</v>
      </c>
      <c r="P598" s="13">
        <v>6</v>
      </c>
      <c r="Q598" s="12">
        <f>INT(P598/$S$15/O598*VLOOKUP(J598,[1]人物技能基础!$N$3:$O$553,2,0)*$U$15)</f>
        <v>9</v>
      </c>
      <c r="R598" s="12">
        <f t="shared" si="93"/>
        <v>112</v>
      </c>
    </row>
    <row r="599" spans="1:18" x14ac:dyDescent="0.15">
      <c r="A599" s="12">
        <v>581</v>
      </c>
      <c r="B599" s="12">
        <f t="shared" si="87"/>
        <v>3</v>
      </c>
      <c r="C599" s="12">
        <f t="shared" si="88"/>
        <v>2.6892075000000002</v>
      </c>
      <c r="D599" s="12">
        <f t="shared" si="89"/>
        <v>1.6207500000000152E-2</v>
      </c>
      <c r="E599" s="12">
        <f>SUM($D$19:D599)</f>
        <v>5.8892075000000013</v>
      </c>
      <c r="F599" s="12">
        <f t="shared" si="85"/>
        <v>57.124224291229936</v>
      </c>
      <c r="G599" s="12">
        <f t="shared" si="86"/>
        <v>51.06240550178093</v>
      </c>
      <c r="H599" s="12">
        <f t="shared" si="90"/>
        <v>205600</v>
      </c>
      <c r="I599" s="12">
        <f t="shared" si="91"/>
        <v>183800</v>
      </c>
      <c r="J599" s="12">
        <f>IF(A599&lt;[3]关卡对接!$A$4,INDEX([3]关卡对接!$C$7:$C$141,A599),MATCH(E599,人物经验!$H$24:$H$573,1))</f>
        <v>310</v>
      </c>
      <c r="K599" s="12">
        <f>IF([3]关卡对接!F587="",INT(INDEX(人物经验!$J$24:$J$573,关卡!J599)*关卡!$S$7),[3]关卡对接!F587)</f>
        <v>5022</v>
      </c>
      <c r="L599" s="12">
        <f t="shared" si="92"/>
        <v>1.4</v>
      </c>
      <c r="M599" s="12">
        <f>L599/[4]货币基础!$B$4</f>
        <v>140</v>
      </c>
      <c r="N599" s="12">
        <f>IF(A599&lt;[3]关卡对接!$A$4,INDEX([3]关卡对接!$E$7:$E$141,A599),MATCH(E599,人物经验!$H$24:$H$573,1))</f>
        <v>310</v>
      </c>
      <c r="O599" s="12">
        <f>INDEX([2]关卡!$G$6:$G$2005,A599)</f>
        <v>3</v>
      </c>
      <c r="P599" s="13">
        <v>6</v>
      </c>
      <c r="Q599" s="12">
        <f>INT(P599/$S$15/O599*VLOOKUP(J599,[1]人物技能基础!$N$3:$O$553,2,0)*$U$15)</f>
        <v>9</v>
      </c>
      <c r="R599" s="12">
        <f t="shared" si="93"/>
        <v>112</v>
      </c>
    </row>
    <row r="600" spans="1:18" x14ac:dyDescent="0.15">
      <c r="A600" s="12">
        <v>582</v>
      </c>
      <c r="B600" s="12">
        <f t="shared" si="87"/>
        <v>3</v>
      </c>
      <c r="C600" s="12">
        <f t="shared" si="88"/>
        <v>2.7054300000000002</v>
      </c>
      <c r="D600" s="12">
        <f t="shared" si="89"/>
        <v>1.6222500000000029E-2</v>
      </c>
      <c r="E600" s="12">
        <f>SUM($D$19:D600)</f>
        <v>5.9054300000000008</v>
      </c>
      <c r="F600" s="12">
        <f t="shared" si="85"/>
        <v>57.290029132638999</v>
      </c>
      <c r="G600" s="12">
        <f t="shared" si="86"/>
        <v>51.179708467295001</v>
      </c>
      <c r="H600" s="12">
        <f t="shared" si="90"/>
        <v>206200</v>
      </c>
      <c r="I600" s="12">
        <f t="shared" si="91"/>
        <v>184200</v>
      </c>
      <c r="J600" s="12">
        <f>IF(A600&lt;[3]关卡对接!$A$4,INDEX([3]关卡对接!$C$7:$C$141,A600),MATCH(E600,人物经验!$H$24:$H$573,1))</f>
        <v>311</v>
      </c>
      <c r="K600" s="12">
        <f>IF([3]关卡对接!F588="",INT(INDEX(人物经验!$J$24:$J$573,关卡!J600)*关卡!$S$7),[3]关卡对接!F588)</f>
        <v>5141</v>
      </c>
      <c r="L600" s="12">
        <f t="shared" si="92"/>
        <v>1.4</v>
      </c>
      <c r="M600" s="12">
        <f>L600/[4]货币基础!$B$4</f>
        <v>140</v>
      </c>
      <c r="N600" s="12">
        <f>IF(A600&lt;[3]关卡对接!$A$4,INDEX([3]关卡对接!$E$7:$E$141,A600),MATCH(E600,人物经验!$H$24:$H$573,1))</f>
        <v>311</v>
      </c>
      <c r="O600" s="12">
        <f>INDEX([2]关卡!$G$6:$G$2005,A600)</f>
        <v>3</v>
      </c>
      <c r="P600" s="13">
        <v>6</v>
      </c>
      <c r="Q600" s="12">
        <f>INT(P600/$S$15/O600*VLOOKUP(J600,[1]人物技能基础!$N$3:$O$553,2,0)*$U$15)</f>
        <v>9</v>
      </c>
      <c r="R600" s="12">
        <f t="shared" si="93"/>
        <v>112</v>
      </c>
    </row>
    <row r="601" spans="1:18" x14ac:dyDescent="0.15">
      <c r="A601" s="12">
        <v>583</v>
      </c>
      <c r="B601" s="12">
        <f t="shared" si="87"/>
        <v>3</v>
      </c>
      <c r="C601" s="12">
        <f t="shared" si="88"/>
        <v>2.7216675000000001</v>
      </c>
      <c r="D601" s="12">
        <f t="shared" si="89"/>
        <v>1.6237499999999905E-2</v>
      </c>
      <c r="E601" s="12">
        <f>SUM($D$19:D601)</f>
        <v>5.9216675000000008</v>
      </c>
      <c r="F601" s="12">
        <f t="shared" si="85"/>
        <v>57.456166287254931</v>
      </c>
      <c r="G601" s="12">
        <f t="shared" si="86"/>
        <v>51.297176041905928</v>
      </c>
      <c r="H601" s="12">
        <f t="shared" si="90"/>
        <v>206800</v>
      </c>
      <c r="I601" s="12">
        <f t="shared" si="91"/>
        <v>184600</v>
      </c>
      <c r="J601" s="12">
        <f>IF(A601&lt;[3]关卡对接!$A$4,INDEX([3]关卡对接!$C$7:$C$141,A601),MATCH(E601,人物经验!$H$24:$H$573,1))</f>
        <v>311</v>
      </c>
      <c r="K601" s="12">
        <f>IF([3]关卡对接!F589="",INT(INDEX(人物经验!$J$24:$J$573,关卡!J601)*关卡!$S$7),[3]关卡对接!F589)</f>
        <v>5141</v>
      </c>
      <c r="L601" s="12">
        <f t="shared" si="92"/>
        <v>1.4</v>
      </c>
      <c r="M601" s="12">
        <f>L601/[4]货币基础!$B$4</f>
        <v>140</v>
      </c>
      <c r="N601" s="12">
        <f>IF(A601&lt;[3]关卡对接!$A$4,INDEX([3]关卡对接!$E$7:$E$141,A601),MATCH(E601,人物经验!$H$24:$H$573,1))</f>
        <v>311</v>
      </c>
      <c r="O601" s="12">
        <f>INDEX([2]关卡!$G$6:$G$2005,A601)</f>
        <v>3</v>
      </c>
      <c r="P601" s="13">
        <v>6</v>
      </c>
      <c r="Q601" s="12">
        <f>INT(P601/$S$15/O601*VLOOKUP(J601,[1]人物技能基础!$N$3:$O$553,2,0)*$U$15)</f>
        <v>9</v>
      </c>
      <c r="R601" s="12">
        <f t="shared" si="93"/>
        <v>112</v>
      </c>
    </row>
    <row r="602" spans="1:18" x14ac:dyDescent="0.15">
      <c r="A602" s="12">
        <v>584</v>
      </c>
      <c r="B602" s="12">
        <f t="shared" si="87"/>
        <v>3</v>
      </c>
      <c r="C602" s="12">
        <f t="shared" si="88"/>
        <v>2.7379200000000004</v>
      </c>
      <c r="D602" s="12">
        <f t="shared" si="89"/>
        <v>1.6252500000000225E-2</v>
      </c>
      <c r="E602" s="12">
        <f>SUM($D$19:D602)</f>
        <v>5.937920000000001</v>
      </c>
      <c r="F602" s="12">
        <f t="shared" si="85"/>
        <v>57.62263632870399</v>
      </c>
      <c r="G602" s="12">
        <f t="shared" si="86"/>
        <v>51.41480842112</v>
      </c>
      <c r="H602" s="12">
        <f t="shared" si="90"/>
        <v>207400</v>
      </c>
      <c r="I602" s="12">
        <f t="shared" si="91"/>
        <v>185000</v>
      </c>
      <c r="J602" s="12">
        <f>IF(A602&lt;[3]关卡对接!$A$4,INDEX([3]关卡对接!$C$7:$C$141,A602),MATCH(E602,人物经验!$H$24:$H$573,1))</f>
        <v>311</v>
      </c>
      <c r="K602" s="12">
        <f>IF([3]关卡对接!F590="",INT(INDEX(人物经验!$J$24:$J$573,关卡!J602)*关卡!$S$7),[3]关卡对接!F590)</f>
        <v>5141</v>
      </c>
      <c r="L602" s="12">
        <f t="shared" si="92"/>
        <v>1.4</v>
      </c>
      <c r="M602" s="12">
        <f>L602/[4]货币基础!$B$4</f>
        <v>140</v>
      </c>
      <c r="N602" s="12">
        <f>IF(A602&lt;[3]关卡对接!$A$4,INDEX([3]关卡对接!$E$7:$E$141,A602),MATCH(E602,人物经验!$H$24:$H$573,1))</f>
        <v>311</v>
      </c>
      <c r="O602" s="12">
        <f>INDEX([2]关卡!$G$6:$G$2005,A602)</f>
        <v>3</v>
      </c>
      <c r="P602" s="13">
        <v>6</v>
      </c>
      <c r="Q602" s="12">
        <f>INT(P602/$S$15/O602*VLOOKUP(J602,[1]人物技能基础!$N$3:$O$553,2,0)*$U$15)</f>
        <v>9</v>
      </c>
      <c r="R602" s="12">
        <f t="shared" si="93"/>
        <v>112</v>
      </c>
    </row>
    <row r="603" spans="1:18" x14ac:dyDescent="0.15">
      <c r="A603" s="12">
        <v>585</v>
      </c>
      <c r="B603" s="12">
        <f t="shared" si="87"/>
        <v>3</v>
      </c>
      <c r="C603" s="12">
        <f t="shared" si="88"/>
        <v>2.7541875</v>
      </c>
      <c r="D603" s="12">
        <f t="shared" si="89"/>
        <v>1.6267499999999657E-2</v>
      </c>
      <c r="E603" s="12">
        <f>SUM($D$19:D603)</f>
        <v>5.9541875000000006</v>
      </c>
      <c r="F603" s="12">
        <f t="shared" si="85"/>
        <v>57.789439831210935</v>
      </c>
      <c r="G603" s="12">
        <f t="shared" si="86"/>
        <v>51.532605800585934</v>
      </c>
      <c r="H603" s="12">
        <f t="shared" si="90"/>
        <v>208000</v>
      </c>
      <c r="I603" s="12">
        <f t="shared" si="91"/>
        <v>185500</v>
      </c>
      <c r="J603" s="12">
        <f>IF(A603&lt;[3]关卡对接!$A$4,INDEX([3]关卡对接!$C$7:$C$141,A603),MATCH(E603,人物经验!$H$24:$H$573,1))</f>
        <v>311</v>
      </c>
      <c r="K603" s="12">
        <f>IF([3]关卡对接!F591="",INT(INDEX(人物经验!$J$24:$J$573,关卡!J603)*关卡!$S$7),[3]关卡对接!F591)</f>
        <v>5141</v>
      </c>
      <c r="L603" s="12">
        <f t="shared" si="92"/>
        <v>1.4</v>
      </c>
      <c r="M603" s="12">
        <f>L603/[4]货币基础!$B$4</f>
        <v>140</v>
      </c>
      <c r="N603" s="12">
        <f>IF(A603&lt;[3]关卡对接!$A$4,INDEX([3]关卡对接!$E$7:$E$141,A603),MATCH(E603,人物经验!$H$24:$H$573,1))</f>
        <v>311</v>
      </c>
      <c r="O603" s="12">
        <f>INDEX([2]关卡!$G$6:$G$2005,A603)</f>
        <v>3</v>
      </c>
      <c r="P603" s="13">
        <v>6</v>
      </c>
      <c r="Q603" s="12">
        <f>INT(P603/$S$15/O603*VLOOKUP(J603,[1]人物技能基础!$N$3:$O$553,2,0)*$U$15)</f>
        <v>9</v>
      </c>
      <c r="R603" s="12">
        <f t="shared" si="93"/>
        <v>112</v>
      </c>
    </row>
    <row r="604" spans="1:18" x14ac:dyDescent="0.15">
      <c r="A604" s="12">
        <v>586</v>
      </c>
      <c r="B604" s="12">
        <f t="shared" si="87"/>
        <v>3</v>
      </c>
      <c r="C604" s="12">
        <f t="shared" si="88"/>
        <v>2.7704700000000004</v>
      </c>
      <c r="D604" s="12">
        <f t="shared" si="89"/>
        <v>1.6282500000000422E-2</v>
      </c>
      <c r="E604" s="12">
        <f>SUM($D$19:D604)</f>
        <v>5.9704700000000006</v>
      </c>
      <c r="F604" s="12">
        <f t="shared" si="85"/>
        <v>57.956577369598996</v>
      </c>
      <c r="G604" s="12">
        <f t="shared" si="86"/>
        <v>51.650568376094988</v>
      </c>
      <c r="H604" s="12">
        <f t="shared" si="90"/>
        <v>208600</v>
      </c>
      <c r="I604" s="12">
        <f t="shared" si="91"/>
        <v>185900</v>
      </c>
      <c r="J604" s="12">
        <f>IF(A604&lt;[3]关卡对接!$A$4,INDEX([3]关卡对接!$C$7:$C$141,A604),MATCH(E604,人物经验!$H$24:$H$573,1))</f>
        <v>311</v>
      </c>
      <c r="K604" s="12">
        <f>IF([3]关卡对接!F592="",INT(INDEX(人物经验!$J$24:$J$573,关卡!J604)*关卡!$S$7),[3]关卡对接!F592)</f>
        <v>5141</v>
      </c>
      <c r="L604" s="12">
        <f t="shared" si="92"/>
        <v>1.4</v>
      </c>
      <c r="M604" s="12">
        <f>L604/[4]货币基础!$B$4</f>
        <v>140</v>
      </c>
      <c r="N604" s="12">
        <f>IF(A604&lt;[3]关卡对接!$A$4,INDEX([3]关卡对接!$E$7:$E$141,A604),MATCH(E604,人物经验!$H$24:$H$573,1))</f>
        <v>311</v>
      </c>
      <c r="O604" s="12">
        <f>INDEX([2]关卡!$G$6:$G$2005,A604)</f>
        <v>3</v>
      </c>
      <c r="P604" s="13">
        <v>6</v>
      </c>
      <c r="Q604" s="12">
        <f>INT(P604/$S$15/O604*VLOOKUP(J604,[1]人物技能基础!$N$3:$O$553,2,0)*$U$15)</f>
        <v>9</v>
      </c>
      <c r="R604" s="12">
        <f t="shared" si="93"/>
        <v>112</v>
      </c>
    </row>
    <row r="605" spans="1:18" x14ac:dyDescent="0.15">
      <c r="A605" s="12">
        <v>587</v>
      </c>
      <c r="B605" s="12">
        <f t="shared" si="87"/>
        <v>3</v>
      </c>
      <c r="C605" s="12">
        <f t="shared" si="88"/>
        <v>2.7867675000000003</v>
      </c>
      <c r="D605" s="12">
        <f t="shared" si="89"/>
        <v>1.6297499999999854E-2</v>
      </c>
      <c r="E605" s="12">
        <f>SUM($D$19:D605)</f>
        <v>5.9867675000000009</v>
      </c>
      <c r="F605" s="12">
        <f t="shared" si="85"/>
        <v>58.124049519289933</v>
      </c>
      <c r="G605" s="12">
        <f t="shared" si="86"/>
        <v>51.768696343580928</v>
      </c>
      <c r="H605" s="12">
        <f t="shared" si="90"/>
        <v>209200</v>
      </c>
      <c r="I605" s="12">
        <f t="shared" si="91"/>
        <v>186300</v>
      </c>
      <c r="J605" s="12">
        <f>IF(A605&lt;[3]关卡对接!$A$4,INDEX([3]关卡对接!$C$7:$C$141,A605),MATCH(E605,人物经验!$H$24:$H$573,1))</f>
        <v>311</v>
      </c>
      <c r="K605" s="12">
        <f>IF([3]关卡对接!F593="",INT(INDEX(人物经验!$J$24:$J$573,关卡!J605)*关卡!$S$7),[3]关卡对接!F593)</f>
        <v>5141</v>
      </c>
      <c r="L605" s="12">
        <f t="shared" si="92"/>
        <v>1.4</v>
      </c>
      <c r="M605" s="12">
        <f>L605/[4]货币基础!$B$4</f>
        <v>140</v>
      </c>
      <c r="N605" s="12">
        <f>IF(A605&lt;[3]关卡对接!$A$4,INDEX([3]关卡对接!$E$7:$E$141,A605),MATCH(E605,人物经验!$H$24:$H$573,1))</f>
        <v>311</v>
      </c>
      <c r="O605" s="12">
        <f>INDEX([2]关卡!$G$6:$G$2005,A605)</f>
        <v>3</v>
      </c>
      <c r="P605" s="13">
        <v>6</v>
      </c>
      <c r="Q605" s="12">
        <f>INT(P605/$S$15/O605*VLOOKUP(J605,[1]人物技能基础!$N$3:$O$553,2,0)*$U$15)</f>
        <v>9</v>
      </c>
      <c r="R605" s="12">
        <f t="shared" si="93"/>
        <v>112</v>
      </c>
    </row>
    <row r="606" spans="1:18" x14ac:dyDescent="0.15">
      <c r="A606" s="12">
        <v>588</v>
      </c>
      <c r="B606" s="12">
        <f t="shared" si="87"/>
        <v>3</v>
      </c>
      <c r="C606" s="12">
        <f t="shared" si="88"/>
        <v>2.80308</v>
      </c>
      <c r="D606" s="12">
        <f t="shared" si="89"/>
        <v>1.631249999999973E-2</v>
      </c>
      <c r="E606" s="12">
        <f>SUM($D$19:D606)</f>
        <v>6.0030800000000006</v>
      </c>
      <c r="F606" s="12">
        <f t="shared" si="85"/>
        <v>58.291856856303994</v>
      </c>
      <c r="G606" s="12">
        <f t="shared" si="86"/>
        <v>51.886989899119996</v>
      </c>
      <c r="H606" s="12">
        <f t="shared" si="90"/>
        <v>209800</v>
      </c>
      <c r="I606" s="12">
        <f t="shared" si="91"/>
        <v>186700</v>
      </c>
      <c r="J606" s="12">
        <f>IF(A606&lt;[3]关卡对接!$A$4,INDEX([3]关卡对接!$C$7:$C$141,A606),MATCH(E606,人物经验!$H$24:$H$573,1))</f>
        <v>311</v>
      </c>
      <c r="K606" s="12">
        <f>IF([3]关卡对接!F594="",INT(INDEX(人物经验!$J$24:$J$573,关卡!J606)*关卡!$S$7),[3]关卡对接!F594)</f>
        <v>5141</v>
      </c>
      <c r="L606" s="12">
        <f t="shared" si="92"/>
        <v>1.4</v>
      </c>
      <c r="M606" s="12">
        <f>L606/[4]货币基础!$B$4</f>
        <v>140</v>
      </c>
      <c r="N606" s="12">
        <f>IF(A606&lt;[3]关卡对接!$A$4,INDEX([3]关卡对接!$E$7:$E$141,A606),MATCH(E606,人物经验!$H$24:$H$573,1))</f>
        <v>311</v>
      </c>
      <c r="O606" s="12">
        <f>INDEX([2]关卡!$G$6:$G$2005,A606)</f>
        <v>3</v>
      </c>
      <c r="P606" s="13">
        <v>6</v>
      </c>
      <c r="Q606" s="12">
        <f>INT(P606/$S$15/O606*VLOOKUP(J606,[1]人物技能基础!$N$3:$O$553,2,0)*$U$15)</f>
        <v>9</v>
      </c>
      <c r="R606" s="12">
        <f t="shared" si="93"/>
        <v>112</v>
      </c>
    </row>
    <row r="607" spans="1:18" x14ac:dyDescent="0.15">
      <c r="A607" s="12">
        <v>589</v>
      </c>
      <c r="B607" s="12">
        <f t="shared" si="87"/>
        <v>3</v>
      </c>
      <c r="C607" s="12">
        <f t="shared" si="88"/>
        <v>2.8194074999999996</v>
      </c>
      <c r="D607" s="12">
        <f t="shared" si="89"/>
        <v>1.6327499999999606E-2</v>
      </c>
      <c r="E607" s="12">
        <f>SUM($D$19:D607)</f>
        <v>6.0194074999999998</v>
      </c>
      <c r="F607" s="12">
        <f t="shared" si="85"/>
        <v>58.459999957259939</v>
      </c>
      <c r="G607" s="12">
        <f t="shared" si="86"/>
        <v>52.005449238930943</v>
      </c>
      <c r="H607" s="12">
        <f t="shared" si="90"/>
        <v>210400</v>
      </c>
      <c r="I607" s="12">
        <f t="shared" si="91"/>
        <v>187200</v>
      </c>
      <c r="J607" s="12">
        <f>IF(A607&lt;[3]关卡对接!$A$4,INDEX([3]关卡对接!$C$7:$C$141,A607),MATCH(E607,人物经验!$H$24:$H$573,1))</f>
        <v>311</v>
      </c>
      <c r="K607" s="12">
        <f>IF([3]关卡对接!F595="",INT(INDEX(人物经验!$J$24:$J$573,关卡!J607)*关卡!$S$7),[3]关卡对接!F595)</f>
        <v>5141</v>
      </c>
      <c r="L607" s="12">
        <f t="shared" si="92"/>
        <v>1.4</v>
      </c>
      <c r="M607" s="12">
        <f>L607/[4]货币基础!$B$4</f>
        <v>140</v>
      </c>
      <c r="N607" s="12">
        <f>IF(A607&lt;[3]关卡对接!$A$4,INDEX([3]关卡对接!$E$7:$E$141,A607),MATCH(E607,人物经验!$H$24:$H$573,1))</f>
        <v>311</v>
      </c>
      <c r="O607" s="12">
        <f>INDEX([2]关卡!$G$6:$G$2005,A607)</f>
        <v>3</v>
      </c>
      <c r="P607" s="13">
        <v>6</v>
      </c>
      <c r="Q607" s="12">
        <f>INT(P607/$S$15/O607*VLOOKUP(J607,[1]人物技能基础!$N$3:$O$553,2,0)*$U$15)</f>
        <v>9</v>
      </c>
      <c r="R607" s="12">
        <f t="shared" si="93"/>
        <v>112</v>
      </c>
    </row>
    <row r="608" spans="1:18" x14ac:dyDescent="0.15">
      <c r="A608" s="12">
        <v>590</v>
      </c>
      <c r="B608" s="12">
        <f t="shared" si="87"/>
        <v>3</v>
      </c>
      <c r="C608" s="12">
        <f t="shared" si="88"/>
        <v>2.83575</v>
      </c>
      <c r="D608" s="12">
        <f t="shared" si="89"/>
        <v>1.6342500000000371E-2</v>
      </c>
      <c r="E608" s="12">
        <f>SUM($D$19:D608)</f>
        <v>6.0357500000000002</v>
      </c>
      <c r="F608" s="12">
        <f t="shared" si="85"/>
        <v>58.628479399375003</v>
      </c>
      <c r="G608" s="12">
        <f t="shared" si="86"/>
        <v>52.124074559374989</v>
      </c>
      <c r="H608" s="12">
        <f t="shared" si="90"/>
        <v>211000</v>
      </c>
      <c r="I608" s="12">
        <f t="shared" si="91"/>
        <v>187600</v>
      </c>
      <c r="J608" s="12">
        <f>IF(A608&lt;[3]关卡对接!$A$4,INDEX([3]关卡对接!$C$7:$C$141,A608),MATCH(E608,人物经验!$H$24:$H$573,1))</f>
        <v>311</v>
      </c>
      <c r="K608" s="12">
        <f>IF([3]关卡对接!F596="",INT(INDEX(人物经验!$J$24:$J$573,关卡!J608)*关卡!$S$7),[3]关卡对接!F596)</f>
        <v>5141</v>
      </c>
      <c r="L608" s="12">
        <f t="shared" si="92"/>
        <v>1.4</v>
      </c>
      <c r="M608" s="12">
        <f>L608/[4]货币基础!$B$4</f>
        <v>140</v>
      </c>
      <c r="N608" s="12">
        <f>IF(A608&lt;[3]关卡对接!$A$4,INDEX([3]关卡对接!$E$7:$E$141,A608),MATCH(E608,人物经验!$H$24:$H$573,1))</f>
        <v>311</v>
      </c>
      <c r="O608" s="12">
        <f>INDEX([2]关卡!$G$6:$G$2005,A608)</f>
        <v>3</v>
      </c>
      <c r="P608" s="13">
        <v>6</v>
      </c>
      <c r="Q608" s="12">
        <f>INT(P608/$S$15/O608*VLOOKUP(J608,[1]人物技能基础!$N$3:$O$553,2,0)*$U$15)</f>
        <v>9</v>
      </c>
      <c r="R608" s="12">
        <f t="shared" si="93"/>
        <v>112</v>
      </c>
    </row>
    <row r="609" spans="1:18" x14ac:dyDescent="0.15">
      <c r="A609" s="12">
        <v>591</v>
      </c>
      <c r="B609" s="12">
        <f t="shared" si="87"/>
        <v>3</v>
      </c>
      <c r="C609" s="12">
        <f t="shared" si="88"/>
        <v>2.8521074999999998</v>
      </c>
      <c r="D609" s="12">
        <f t="shared" si="89"/>
        <v>1.6357499999999803E-2</v>
      </c>
      <c r="E609" s="12">
        <f>SUM($D$19:D609)</f>
        <v>6.0521075</v>
      </c>
      <c r="F609" s="12">
        <f t="shared" si="85"/>
        <v>58.797295760464941</v>
      </c>
      <c r="G609" s="12">
        <f t="shared" si="86"/>
        <v>52.242866056955933</v>
      </c>
      <c r="H609" s="12">
        <f t="shared" si="90"/>
        <v>211600</v>
      </c>
      <c r="I609" s="12">
        <f t="shared" si="91"/>
        <v>188000</v>
      </c>
      <c r="J609" s="12">
        <f>IF(A609&lt;[3]关卡对接!$A$4,INDEX([3]关卡对接!$C$7:$C$141,A609),MATCH(E609,人物经验!$H$24:$H$573,1))</f>
        <v>312</v>
      </c>
      <c r="K609" s="12">
        <f>IF([3]关卡对接!F597="",INT(INDEX(人物经验!$J$24:$J$573,关卡!J609)*关卡!$S$7),[3]关卡对接!F597)</f>
        <v>5276</v>
      </c>
      <c r="L609" s="12">
        <f t="shared" si="92"/>
        <v>1.4</v>
      </c>
      <c r="M609" s="12">
        <f>L609/[4]货币基础!$B$4</f>
        <v>140</v>
      </c>
      <c r="N609" s="12">
        <f>IF(A609&lt;[3]关卡对接!$A$4,INDEX([3]关卡对接!$E$7:$E$141,A609),MATCH(E609,人物经验!$H$24:$H$573,1))</f>
        <v>312</v>
      </c>
      <c r="O609" s="12">
        <f>INDEX([2]关卡!$G$6:$G$2005,A609)</f>
        <v>3</v>
      </c>
      <c r="P609" s="13">
        <v>6</v>
      </c>
      <c r="Q609" s="12">
        <f>INT(P609/$S$15/O609*VLOOKUP(J609,[1]人物技能基础!$N$3:$O$553,2,0)*$U$15)</f>
        <v>9</v>
      </c>
      <c r="R609" s="12">
        <f t="shared" si="93"/>
        <v>112</v>
      </c>
    </row>
    <row r="610" spans="1:18" x14ac:dyDescent="0.15">
      <c r="A610" s="12">
        <v>592</v>
      </c>
      <c r="B610" s="12">
        <f t="shared" si="87"/>
        <v>3</v>
      </c>
      <c r="C610" s="12">
        <f t="shared" si="88"/>
        <v>2.8684799999999999</v>
      </c>
      <c r="D610" s="12">
        <f t="shared" si="89"/>
        <v>1.6372500000000123E-2</v>
      </c>
      <c r="E610" s="12">
        <f>SUM($D$19:D610)</f>
        <v>6.0684800000000001</v>
      </c>
      <c r="F610" s="12">
        <f t="shared" si="85"/>
        <v>58.966449618944004</v>
      </c>
      <c r="G610" s="12">
        <f t="shared" si="86"/>
        <v>52.36182392832</v>
      </c>
      <c r="H610" s="12">
        <f t="shared" si="90"/>
        <v>212200</v>
      </c>
      <c r="I610" s="12">
        <f t="shared" si="91"/>
        <v>188500</v>
      </c>
      <c r="J610" s="12">
        <f>IF(A610&lt;[3]关卡对接!$A$4,INDEX([3]关卡对接!$C$7:$C$141,A610),MATCH(E610,人物经验!$H$24:$H$573,1))</f>
        <v>312</v>
      </c>
      <c r="K610" s="12">
        <f>IF([3]关卡对接!F598="",INT(INDEX(人物经验!$J$24:$J$573,关卡!J610)*关卡!$S$7),[3]关卡对接!F598)</f>
        <v>5276</v>
      </c>
      <c r="L610" s="12">
        <f t="shared" si="92"/>
        <v>1.4</v>
      </c>
      <c r="M610" s="12">
        <f>L610/[4]货币基础!$B$4</f>
        <v>140</v>
      </c>
      <c r="N610" s="12">
        <f>IF(A610&lt;[3]关卡对接!$A$4,INDEX([3]关卡对接!$E$7:$E$141,A610),MATCH(E610,人物经验!$H$24:$H$573,1))</f>
        <v>312</v>
      </c>
      <c r="O610" s="12">
        <f>INDEX([2]关卡!$G$6:$G$2005,A610)</f>
        <v>3</v>
      </c>
      <c r="P610" s="13">
        <v>6</v>
      </c>
      <c r="Q610" s="12">
        <f>INT(P610/$S$15/O610*VLOOKUP(J610,[1]人物技能基础!$N$3:$O$553,2,0)*$U$15)</f>
        <v>9</v>
      </c>
      <c r="R610" s="12">
        <f t="shared" si="93"/>
        <v>112</v>
      </c>
    </row>
    <row r="611" spans="1:18" x14ac:dyDescent="0.15">
      <c r="A611" s="12">
        <v>593</v>
      </c>
      <c r="B611" s="12">
        <f t="shared" si="87"/>
        <v>3</v>
      </c>
      <c r="C611" s="12">
        <f t="shared" si="88"/>
        <v>2.8848674999999999</v>
      </c>
      <c r="D611" s="12">
        <f t="shared" si="89"/>
        <v>1.6387499999999999E-2</v>
      </c>
      <c r="E611" s="12">
        <f>SUM($D$19:D611)</f>
        <v>6.0848674999999997</v>
      </c>
      <c r="F611" s="12">
        <f t="shared" si="85"/>
        <v>59.135941553824935</v>
      </c>
      <c r="G611" s="12">
        <f t="shared" si="86"/>
        <v>52.480948370255938</v>
      </c>
      <c r="H611" s="12">
        <f t="shared" si="90"/>
        <v>212800</v>
      </c>
      <c r="I611" s="12">
        <f t="shared" si="91"/>
        <v>188900</v>
      </c>
      <c r="J611" s="12">
        <f>IF(A611&lt;[3]关卡对接!$A$4,INDEX([3]关卡对接!$C$7:$C$141,A611),MATCH(E611,人物经验!$H$24:$H$573,1))</f>
        <v>312</v>
      </c>
      <c r="K611" s="12">
        <f>IF([3]关卡对接!F599="",INT(INDEX(人物经验!$J$24:$J$573,关卡!J611)*关卡!$S$7),[3]关卡对接!F599)</f>
        <v>5276</v>
      </c>
      <c r="L611" s="12">
        <f t="shared" si="92"/>
        <v>1.4</v>
      </c>
      <c r="M611" s="12">
        <f>L611/[4]货币基础!$B$4</f>
        <v>140</v>
      </c>
      <c r="N611" s="12">
        <f>IF(A611&lt;[3]关卡对接!$A$4,INDEX([3]关卡对接!$E$7:$E$141,A611),MATCH(E611,人物经验!$H$24:$H$573,1))</f>
        <v>312</v>
      </c>
      <c r="O611" s="12">
        <f>INDEX([2]关卡!$G$6:$G$2005,A611)</f>
        <v>3</v>
      </c>
      <c r="P611" s="13">
        <v>6</v>
      </c>
      <c r="Q611" s="12">
        <f>INT(P611/$S$15/O611*VLOOKUP(J611,[1]人物技能基础!$N$3:$O$553,2,0)*$U$15)</f>
        <v>9</v>
      </c>
      <c r="R611" s="12">
        <f t="shared" si="93"/>
        <v>112</v>
      </c>
    </row>
    <row r="612" spans="1:18" x14ac:dyDescent="0.15">
      <c r="A612" s="12">
        <v>594</v>
      </c>
      <c r="B612" s="12">
        <f t="shared" si="87"/>
        <v>3</v>
      </c>
      <c r="C612" s="12">
        <f t="shared" si="88"/>
        <v>2.9012700000000002</v>
      </c>
      <c r="D612" s="12">
        <f t="shared" si="89"/>
        <v>1.640250000000032E-2</v>
      </c>
      <c r="E612" s="12">
        <f>SUM($D$19:D612)</f>
        <v>6.1012699999999995</v>
      </c>
      <c r="F612" s="12">
        <f t="shared" si="85"/>
        <v>59.305772144719</v>
      </c>
      <c r="G612" s="12">
        <f t="shared" si="86"/>
        <v>52.600239579694993</v>
      </c>
      <c r="H612" s="12">
        <f t="shared" si="90"/>
        <v>213500</v>
      </c>
      <c r="I612" s="12">
        <f t="shared" si="91"/>
        <v>189300</v>
      </c>
      <c r="J612" s="12">
        <f>IF(A612&lt;[3]关卡对接!$A$4,INDEX([3]关卡对接!$C$7:$C$141,A612),MATCH(E612,人物经验!$H$24:$H$573,1))</f>
        <v>312</v>
      </c>
      <c r="K612" s="12">
        <f>IF([3]关卡对接!F600="",INT(INDEX(人物经验!$J$24:$J$573,关卡!J612)*关卡!$S$7),[3]关卡对接!F600)</f>
        <v>5276</v>
      </c>
      <c r="L612" s="12">
        <f t="shared" si="92"/>
        <v>1.4</v>
      </c>
      <c r="M612" s="12">
        <f>L612/[4]货币基础!$B$4</f>
        <v>140</v>
      </c>
      <c r="N612" s="12">
        <f>IF(A612&lt;[3]关卡对接!$A$4,INDEX([3]关卡对接!$E$7:$E$141,A612),MATCH(E612,人物经验!$H$24:$H$573,1))</f>
        <v>312</v>
      </c>
      <c r="O612" s="12">
        <f>INDEX([2]关卡!$G$6:$G$2005,A612)</f>
        <v>3</v>
      </c>
      <c r="P612" s="13">
        <v>6</v>
      </c>
      <c r="Q612" s="12">
        <f>INT(P612/$S$15/O612*VLOOKUP(J612,[1]人物技能基础!$N$3:$O$553,2,0)*$U$15)</f>
        <v>9</v>
      </c>
      <c r="R612" s="12">
        <f t="shared" si="93"/>
        <v>112</v>
      </c>
    </row>
    <row r="613" spans="1:18" x14ac:dyDescent="0.15">
      <c r="A613" s="12">
        <v>595</v>
      </c>
      <c r="B613" s="12">
        <f t="shared" si="87"/>
        <v>3</v>
      </c>
      <c r="C613" s="12">
        <f t="shared" si="88"/>
        <v>2.9176875</v>
      </c>
      <c r="D613" s="12">
        <f t="shared" si="89"/>
        <v>1.6417499999999752E-2</v>
      </c>
      <c r="E613" s="12">
        <f>SUM($D$19:D613)</f>
        <v>6.1176874999999988</v>
      </c>
      <c r="F613" s="12">
        <f t="shared" si="85"/>
        <v>59.475941971835944</v>
      </c>
      <c r="G613" s="12">
        <f t="shared" si="86"/>
        <v>52.719697753710939</v>
      </c>
      <c r="H613" s="12">
        <f t="shared" si="90"/>
        <v>214100</v>
      </c>
      <c r="I613" s="12">
        <f t="shared" si="91"/>
        <v>189700</v>
      </c>
      <c r="J613" s="12">
        <f>IF(A613&lt;[3]关卡对接!$A$4,INDEX([3]关卡对接!$C$7:$C$141,A613),MATCH(E613,人物经验!$H$24:$H$573,1))</f>
        <v>312</v>
      </c>
      <c r="K613" s="12">
        <f>IF([3]关卡对接!F601="",INT(INDEX(人物经验!$J$24:$J$573,关卡!J613)*关卡!$S$7),[3]关卡对接!F601)</f>
        <v>5276</v>
      </c>
      <c r="L613" s="12">
        <f t="shared" si="92"/>
        <v>1.4</v>
      </c>
      <c r="M613" s="12">
        <f>L613/[4]货币基础!$B$4</f>
        <v>140</v>
      </c>
      <c r="N613" s="12">
        <f>IF(A613&lt;[3]关卡对接!$A$4,INDEX([3]关卡对接!$E$7:$E$141,A613),MATCH(E613,人物经验!$H$24:$H$573,1))</f>
        <v>312</v>
      </c>
      <c r="O613" s="12">
        <f>INDEX([2]关卡!$G$6:$G$2005,A613)</f>
        <v>3</v>
      </c>
      <c r="P613" s="13">
        <v>6</v>
      </c>
      <c r="Q613" s="12">
        <f>INT(P613/$S$15/O613*VLOOKUP(J613,[1]人物技能基础!$N$3:$O$553,2,0)*$U$15)</f>
        <v>9</v>
      </c>
      <c r="R613" s="12">
        <f t="shared" si="93"/>
        <v>112</v>
      </c>
    </row>
    <row r="614" spans="1:18" x14ac:dyDescent="0.15">
      <c r="A614" s="12">
        <v>596</v>
      </c>
      <c r="B614" s="12">
        <f t="shared" si="87"/>
        <v>3</v>
      </c>
      <c r="C614" s="12">
        <f t="shared" si="88"/>
        <v>2.9341200000000001</v>
      </c>
      <c r="D614" s="12">
        <f t="shared" si="89"/>
        <v>1.6432500000000072E-2</v>
      </c>
      <c r="E614" s="12">
        <f>SUM($D$19:D614)</f>
        <v>6.1341199999999994</v>
      </c>
      <c r="F614" s="12">
        <f t="shared" si="85"/>
        <v>59.646451615983999</v>
      </c>
      <c r="G614" s="12">
        <f t="shared" si="86"/>
        <v>52.839323089519993</v>
      </c>
      <c r="H614" s="12">
        <f t="shared" si="90"/>
        <v>214700</v>
      </c>
      <c r="I614" s="12">
        <f t="shared" si="91"/>
        <v>190200</v>
      </c>
      <c r="J614" s="12">
        <f>IF(A614&lt;[3]关卡对接!$A$4,INDEX([3]关卡对接!$C$7:$C$141,A614),MATCH(E614,人物经验!$H$24:$H$573,1))</f>
        <v>312</v>
      </c>
      <c r="K614" s="12">
        <f>IF([3]关卡对接!F602="",INT(INDEX(人物经验!$J$24:$J$573,关卡!J614)*关卡!$S$7),[3]关卡对接!F602)</f>
        <v>5276</v>
      </c>
      <c r="L614" s="12">
        <f t="shared" si="92"/>
        <v>1.4</v>
      </c>
      <c r="M614" s="12">
        <f>L614/[4]货币基础!$B$4</f>
        <v>140</v>
      </c>
      <c r="N614" s="12">
        <f>IF(A614&lt;[3]关卡对接!$A$4,INDEX([3]关卡对接!$E$7:$E$141,A614),MATCH(E614,人物经验!$H$24:$H$573,1))</f>
        <v>312</v>
      </c>
      <c r="O614" s="12">
        <f>INDEX([2]关卡!$G$6:$G$2005,A614)</f>
        <v>3</v>
      </c>
      <c r="P614" s="13">
        <v>6</v>
      </c>
      <c r="Q614" s="12">
        <f>INT(P614/$S$15/O614*VLOOKUP(J614,[1]人物技能基础!$N$3:$O$553,2,0)*$U$15)</f>
        <v>9</v>
      </c>
      <c r="R614" s="12">
        <f t="shared" si="93"/>
        <v>112</v>
      </c>
    </row>
    <row r="615" spans="1:18" x14ac:dyDescent="0.15">
      <c r="A615" s="12">
        <v>597</v>
      </c>
      <c r="B615" s="12">
        <f t="shared" si="87"/>
        <v>3</v>
      </c>
      <c r="C615" s="12">
        <f t="shared" si="88"/>
        <v>2.9505675</v>
      </c>
      <c r="D615" s="12">
        <f t="shared" si="89"/>
        <v>1.6447499999999948E-2</v>
      </c>
      <c r="E615" s="12">
        <f>SUM($D$19:D615)</f>
        <v>6.1505674999999993</v>
      </c>
      <c r="F615" s="12">
        <f t="shared" si="85"/>
        <v>59.817301658569939</v>
      </c>
      <c r="G615" s="12">
        <f t="shared" si="86"/>
        <v>52.959115784480936</v>
      </c>
      <c r="H615" s="12">
        <f t="shared" si="90"/>
        <v>215300</v>
      </c>
      <c r="I615" s="12">
        <f t="shared" si="91"/>
        <v>190600</v>
      </c>
      <c r="J615" s="12">
        <f>IF(A615&lt;[3]关卡对接!$A$4,INDEX([3]关卡对接!$C$7:$C$141,A615),MATCH(E615,人物经验!$H$24:$H$573,1))</f>
        <v>312</v>
      </c>
      <c r="K615" s="12">
        <f>IF([3]关卡对接!F603="",INT(INDEX(人物经验!$J$24:$J$573,关卡!J615)*关卡!$S$7),[3]关卡对接!F603)</f>
        <v>5276</v>
      </c>
      <c r="L615" s="12">
        <f t="shared" si="92"/>
        <v>1.4</v>
      </c>
      <c r="M615" s="12">
        <f>L615/[4]货币基础!$B$4</f>
        <v>140</v>
      </c>
      <c r="N615" s="12">
        <f>IF(A615&lt;[3]关卡对接!$A$4,INDEX([3]关卡对接!$E$7:$E$141,A615),MATCH(E615,人物经验!$H$24:$H$573,1))</f>
        <v>312</v>
      </c>
      <c r="O615" s="12">
        <f>INDEX([2]关卡!$G$6:$G$2005,A615)</f>
        <v>3</v>
      </c>
      <c r="P615" s="13">
        <v>6</v>
      </c>
      <c r="Q615" s="12">
        <f>INT(P615/$S$15/O615*VLOOKUP(J615,[1]人物技能基础!$N$3:$O$553,2,0)*$U$15)</f>
        <v>9</v>
      </c>
      <c r="R615" s="12">
        <f t="shared" si="93"/>
        <v>112</v>
      </c>
    </row>
    <row r="616" spans="1:18" x14ac:dyDescent="0.15">
      <c r="A616" s="12">
        <v>598</v>
      </c>
      <c r="B616" s="12">
        <f t="shared" si="87"/>
        <v>3</v>
      </c>
      <c r="C616" s="12">
        <f t="shared" si="88"/>
        <v>2.9670300000000003</v>
      </c>
      <c r="D616" s="12">
        <f t="shared" si="89"/>
        <v>1.6462500000000269E-2</v>
      </c>
      <c r="E616" s="12">
        <f>SUM($D$19:D616)</f>
        <v>6.1670299999999996</v>
      </c>
      <c r="F616" s="12">
        <f t="shared" si="85"/>
        <v>59.988492681598999</v>
      </c>
      <c r="G616" s="12">
        <f t="shared" si="86"/>
        <v>53.079076036094996</v>
      </c>
      <c r="H616" s="12">
        <f t="shared" si="90"/>
        <v>215900</v>
      </c>
      <c r="I616" s="12">
        <f t="shared" si="91"/>
        <v>191000</v>
      </c>
      <c r="J616" s="12">
        <f>IF(A616&lt;[3]关卡对接!$A$4,INDEX([3]关卡对接!$C$7:$C$141,A616),MATCH(E616,人物经验!$H$24:$H$573,1))</f>
        <v>312</v>
      </c>
      <c r="K616" s="12">
        <f>IF([3]关卡对接!F604="",INT(INDEX(人物经验!$J$24:$J$573,关卡!J616)*关卡!$S$7),[3]关卡对接!F604)</f>
        <v>5276</v>
      </c>
      <c r="L616" s="12">
        <f t="shared" si="92"/>
        <v>1.4</v>
      </c>
      <c r="M616" s="12">
        <f>L616/[4]货币基础!$B$4</f>
        <v>140</v>
      </c>
      <c r="N616" s="12">
        <f>IF(A616&lt;[3]关卡对接!$A$4,INDEX([3]关卡对接!$E$7:$E$141,A616),MATCH(E616,人物经验!$H$24:$H$573,1))</f>
        <v>312</v>
      </c>
      <c r="O616" s="12">
        <f>INDEX([2]关卡!$G$6:$G$2005,A616)</f>
        <v>3</v>
      </c>
      <c r="P616" s="13">
        <v>6</v>
      </c>
      <c r="Q616" s="12">
        <f>INT(P616/$S$15/O616*VLOOKUP(J616,[1]人物技能基础!$N$3:$O$553,2,0)*$U$15)</f>
        <v>9</v>
      </c>
      <c r="R616" s="12">
        <f t="shared" si="93"/>
        <v>112</v>
      </c>
    </row>
    <row r="617" spans="1:18" x14ac:dyDescent="0.15">
      <c r="A617" s="12">
        <v>599</v>
      </c>
      <c r="B617" s="12">
        <f t="shared" si="87"/>
        <v>3</v>
      </c>
      <c r="C617" s="12">
        <f t="shared" si="88"/>
        <v>2.9835075</v>
      </c>
      <c r="D617" s="12">
        <f t="shared" si="89"/>
        <v>1.6477499999999701E-2</v>
      </c>
      <c r="E617" s="12">
        <f>SUM($D$19:D617)</f>
        <v>6.1835074999999993</v>
      </c>
      <c r="F617" s="12">
        <f t="shared" si="85"/>
        <v>60.160025267674946</v>
      </c>
      <c r="G617" s="12">
        <f t="shared" si="86"/>
        <v>53.199204042005931</v>
      </c>
      <c r="H617" s="12">
        <f t="shared" si="90"/>
        <v>216500</v>
      </c>
      <c r="I617" s="12">
        <f t="shared" si="91"/>
        <v>191500</v>
      </c>
      <c r="J617" s="12">
        <f>IF(A617&lt;[3]关卡对接!$A$4,INDEX([3]关卡对接!$C$7:$C$141,A617),MATCH(E617,人物经验!$H$24:$H$573,1))</f>
        <v>312</v>
      </c>
      <c r="K617" s="12">
        <f>IF([3]关卡对接!F605="",INT(INDEX(人物经验!$J$24:$J$573,关卡!J617)*关卡!$S$7),[3]关卡对接!F605)</f>
        <v>5276</v>
      </c>
      <c r="L617" s="12">
        <f t="shared" si="92"/>
        <v>1.4</v>
      </c>
      <c r="M617" s="12">
        <f>L617/[4]货币基础!$B$4</f>
        <v>140</v>
      </c>
      <c r="N617" s="12">
        <f>IF(A617&lt;[3]关卡对接!$A$4,INDEX([3]关卡对接!$E$7:$E$141,A617),MATCH(E617,人物经验!$H$24:$H$573,1))</f>
        <v>312</v>
      </c>
      <c r="O617" s="12">
        <f>INDEX([2]关卡!$G$6:$G$2005,A617)</f>
        <v>3</v>
      </c>
      <c r="P617" s="13">
        <v>6</v>
      </c>
      <c r="Q617" s="12">
        <f>INT(P617/$S$15/O617*VLOOKUP(J617,[1]人物技能基础!$N$3:$O$553,2,0)*$U$15)</f>
        <v>9</v>
      </c>
      <c r="R617" s="12">
        <f t="shared" si="93"/>
        <v>112</v>
      </c>
    </row>
    <row r="618" spans="1:18" x14ac:dyDescent="0.15">
      <c r="A618" s="12">
        <v>600</v>
      </c>
      <c r="B618" s="12">
        <f t="shared" si="87"/>
        <v>3</v>
      </c>
      <c r="C618" s="12">
        <f t="shared" si="88"/>
        <v>3</v>
      </c>
      <c r="D618" s="12">
        <f t="shared" si="89"/>
        <v>1.6492500000000021E-2</v>
      </c>
      <c r="E618" s="12">
        <f>SUM($D$19:D618)</f>
        <v>6.1999999999999993</v>
      </c>
      <c r="F618" s="12">
        <f t="shared" si="85"/>
        <v>60.331899999999997</v>
      </c>
      <c r="G618" s="12">
        <f t="shared" si="86"/>
        <v>53.319499999999991</v>
      </c>
      <c r="H618" s="12">
        <f t="shared" si="90"/>
        <v>217100</v>
      </c>
      <c r="I618" s="12">
        <f t="shared" si="91"/>
        <v>191900</v>
      </c>
      <c r="J618" s="12">
        <f>IF(A618&lt;[3]关卡对接!$A$4,INDEX([3]关卡对接!$C$7:$C$141,A618),MATCH(E618,人物经验!$H$24:$H$573,1))</f>
        <v>313</v>
      </c>
      <c r="K618" s="12">
        <f>IF([3]关卡对接!F606="",INT(INDEX(人物经验!$J$24:$J$573,关卡!J618)*关卡!$S$7),[3]关卡对接!F606)</f>
        <v>5414</v>
      </c>
      <c r="L618" s="12">
        <f t="shared" si="92"/>
        <v>1.4</v>
      </c>
      <c r="M618" s="12">
        <f>L618/[4]货币基础!$B$4</f>
        <v>140</v>
      </c>
      <c r="N618" s="12">
        <f>IF(A618&lt;[3]关卡对接!$A$4,INDEX([3]关卡对接!$E$7:$E$141,A618),MATCH(E618,人物经验!$H$24:$H$573,1))</f>
        <v>313</v>
      </c>
      <c r="O618" s="12">
        <f>INDEX([2]关卡!$G$6:$G$2005,A618)</f>
        <v>3</v>
      </c>
      <c r="P618" s="13">
        <v>6</v>
      </c>
      <c r="Q618" s="12">
        <f>INT(P618/$S$15/O618*VLOOKUP(J618,[1]人物技能基础!$N$3:$O$553,2,0)*$U$15)</f>
        <v>9</v>
      </c>
      <c r="R618" s="12">
        <f t="shared" si="93"/>
        <v>112</v>
      </c>
    </row>
    <row r="619" spans="1:18" x14ac:dyDescent="0.15">
      <c r="A619" s="12">
        <v>601</v>
      </c>
      <c r="B619" s="12">
        <f t="shared" si="87"/>
        <v>4</v>
      </c>
      <c r="C619" s="12">
        <f t="shared" si="88"/>
        <v>1.8010000000000002E-2</v>
      </c>
      <c r="D619" s="12">
        <f t="shared" si="89"/>
        <v>1.8010000000000002E-2</v>
      </c>
      <c r="E619" s="12">
        <f>SUM($D$19:D619)</f>
        <v>6.2180099999999996</v>
      </c>
      <c r="F619" s="12">
        <f t="shared" si="85"/>
        <v>60.504117462374943</v>
      </c>
      <c r="G619" s="12">
        <f t="shared" si="86"/>
        <v>53.439964108005931</v>
      </c>
      <c r="H619" s="12">
        <f t="shared" si="90"/>
        <v>217800</v>
      </c>
      <c r="I619" s="12">
        <f t="shared" si="91"/>
        <v>192300</v>
      </c>
      <c r="J619" s="12">
        <f>IF(A619&lt;[3]关卡对接!$A$4,INDEX([3]关卡对接!$C$7:$C$141,A619),MATCH(E619,人物经验!$H$24:$H$573,1))</f>
        <v>313</v>
      </c>
      <c r="K619" s="12">
        <f>IF([3]关卡对接!F607="",INT(INDEX(人物经验!$J$24:$J$573,关卡!J619)*关卡!$S$7),[3]关卡对接!F607)</f>
        <v>5414</v>
      </c>
      <c r="L619" s="12">
        <f t="shared" si="92"/>
        <v>1.6</v>
      </c>
      <c r="M619" s="12">
        <f>L619/[4]货币基础!$B$4</f>
        <v>160</v>
      </c>
      <c r="N619" s="12">
        <f>IF(A619&lt;[3]关卡对接!$A$4,INDEX([3]关卡对接!$E$7:$E$141,A619),MATCH(E619,人物经验!$H$24:$H$573,1))</f>
        <v>313</v>
      </c>
      <c r="O619" s="12">
        <f>INDEX([2]关卡!$G$6:$G$2005,A619)</f>
        <v>3</v>
      </c>
      <c r="P619" s="13">
        <v>6</v>
      </c>
      <c r="Q619" s="12">
        <f>INT(P619/$S$15/O619*VLOOKUP(J619,[1]人物技能基础!$N$3:$O$553,2,0)*$U$15)</f>
        <v>9</v>
      </c>
      <c r="R619" s="12">
        <f t="shared" si="93"/>
        <v>112</v>
      </c>
    </row>
    <row r="620" spans="1:18" x14ac:dyDescent="0.15">
      <c r="A620" s="12">
        <v>602</v>
      </c>
      <c r="B620" s="12">
        <f t="shared" si="87"/>
        <v>4</v>
      </c>
      <c r="C620" s="12">
        <f t="shared" si="88"/>
        <v>3.6040000000000003E-2</v>
      </c>
      <c r="D620" s="12">
        <f t="shared" si="89"/>
        <v>1.8030000000000001E-2</v>
      </c>
      <c r="E620" s="12">
        <f>SUM($D$19:D620)</f>
        <v>6.23604</v>
      </c>
      <c r="F620" s="12">
        <f t="shared" si="85"/>
        <v>60.676678239199006</v>
      </c>
      <c r="G620" s="12">
        <f t="shared" si="86"/>
        <v>53.560596564094993</v>
      </c>
      <c r="H620" s="12">
        <f t="shared" si="90"/>
        <v>218400</v>
      </c>
      <c r="I620" s="12">
        <f t="shared" si="91"/>
        <v>192800</v>
      </c>
      <c r="J620" s="12">
        <f>IF(A620&lt;[3]关卡对接!$A$4,INDEX([3]关卡对接!$C$7:$C$141,A620),MATCH(E620,人物经验!$H$24:$H$573,1))</f>
        <v>313</v>
      </c>
      <c r="K620" s="12">
        <f>IF([3]关卡对接!F608="",INT(INDEX(人物经验!$J$24:$J$573,关卡!J620)*关卡!$S$7),[3]关卡对接!F608)</f>
        <v>5414</v>
      </c>
      <c r="L620" s="12">
        <f t="shared" si="92"/>
        <v>1.6</v>
      </c>
      <c r="M620" s="12">
        <f>L620/[4]货币基础!$B$4</f>
        <v>160</v>
      </c>
      <c r="N620" s="12">
        <f>IF(A620&lt;[3]关卡对接!$A$4,INDEX([3]关卡对接!$E$7:$E$141,A620),MATCH(E620,人物经验!$H$24:$H$573,1))</f>
        <v>313</v>
      </c>
      <c r="O620" s="12">
        <f>INDEX([2]关卡!$G$6:$G$2005,A620)</f>
        <v>3</v>
      </c>
      <c r="P620" s="13">
        <v>6</v>
      </c>
      <c r="Q620" s="12">
        <f>INT(P620/$S$15/O620*VLOOKUP(J620,[1]人物技能基础!$N$3:$O$553,2,0)*$U$15)</f>
        <v>9</v>
      </c>
      <c r="R620" s="12">
        <f t="shared" si="93"/>
        <v>112</v>
      </c>
    </row>
    <row r="621" spans="1:18" x14ac:dyDescent="0.15">
      <c r="A621" s="12">
        <v>603</v>
      </c>
      <c r="B621" s="12">
        <f t="shared" si="87"/>
        <v>4</v>
      </c>
      <c r="C621" s="12">
        <f t="shared" si="88"/>
        <v>5.4089999999999999E-2</v>
      </c>
      <c r="D621" s="12">
        <f t="shared" si="89"/>
        <v>1.8049999999999997E-2</v>
      </c>
      <c r="E621" s="12">
        <f>SUM($D$19:D621)</f>
        <v>6.2540899999999997</v>
      </c>
      <c r="F621" s="12">
        <f t="shared" si="85"/>
        <v>60.849582915469938</v>
      </c>
      <c r="G621" s="12">
        <f t="shared" si="86"/>
        <v>53.681397566480932</v>
      </c>
      <c r="H621" s="12">
        <f t="shared" si="90"/>
        <v>219000</v>
      </c>
      <c r="I621" s="12">
        <f t="shared" si="91"/>
        <v>193200</v>
      </c>
      <c r="J621" s="12">
        <f>IF(A621&lt;[3]关卡对接!$A$4,INDEX([3]关卡对接!$C$7:$C$141,A621),MATCH(E621,人物经验!$H$24:$H$573,1))</f>
        <v>313</v>
      </c>
      <c r="K621" s="12">
        <f>IF([3]关卡对接!F609="",INT(INDEX(人物经验!$J$24:$J$573,关卡!J621)*关卡!$S$7),[3]关卡对接!F609)</f>
        <v>5414</v>
      </c>
      <c r="L621" s="12">
        <f t="shared" si="92"/>
        <v>1.6</v>
      </c>
      <c r="M621" s="12">
        <f>L621/[4]货币基础!$B$4</f>
        <v>160</v>
      </c>
      <c r="N621" s="12">
        <f>IF(A621&lt;[3]关卡对接!$A$4,INDEX([3]关卡对接!$E$7:$E$141,A621),MATCH(E621,人物经验!$H$24:$H$573,1))</f>
        <v>313</v>
      </c>
      <c r="O621" s="12">
        <f>INDEX([2]关卡!$G$6:$G$2005,A621)</f>
        <v>3</v>
      </c>
      <c r="P621" s="13">
        <v>6</v>
      </c>
      <c r="Q621" s="12">
        <f>INT(P621/$S$15/O621*VLOOKUP(J621,[1]人物技能基础!$N$3:$O$553,2,0)*$U$15)</f>
        <v>9</v>
      </c>
      <c r="R621" s="12">
        <f t="shared" si="93"/>
        <v>112</v>
      </c>
    </row>
    <row r="622" spans="1:18" x14ac:dyDescent="0.15">
      <c r="A622" s="12">
        <v>604</v>
      </c>
      <c r="B622" s="12">
        <f t="shared" si="87"/>
        <v>4</v>
      </c>
      <c r="C622" s="12">
        <f t="shared" si="88"/>
        <v>7.2160000000000002E-2</v>
      </c>
      <c r="D622" s="12">
        <f t="shared" si="89"/>
        <v>1.8070000000000003E-2</v>
      </c>
      <c r="E622" s="12">
        <f>SUM($D$19:D622)</f>
        <v>6.2721599999999995</v>
      </c>
      <c r="F622" s="12">
        <f t="shared" si="85"/>
        <v>61.022832076783992</v>
      </c>
      <c r="G622" s="12">
        <f t="shared" si="86"/>
        <v>53.802367313520001</v>
      </c>
      <c r="H622" s="12">
        <f t="shared" si="90"/>
        <v>219600</v>
      </c>
      <c r="I622" s="12">
        <f t="shared" si="91"/>
        <v>193600</v>
      </c>
      <c r="J622" s="12">
        <f>IF(A622&lt;[3]关卡对接!$A$4,INDEX([3]关卡对接!$C$7:$C$141,A622),MATCH(E622,人物经验!$H$24:$H$573,1))</f>
        <v>313</v>
      </c>
      <c r="K622" s="12">
        <f>IF([3]关卡对接!F610="",INT(INDEX(人物经验!$J$24:$J$573,关卡!J622)*关卡!$S$7),[3]关卡对接!F610)</f>
        <v>5414</v>
      </c>
      <c r="L622" s="12">
        <f t="shared" si="92"/>
        <v>1.6</v>
      </c>
      <c r="M622" s="12">
        <f>L622/[4]货币基础!$B$4</f>
        <v>160</v>
      </c>
      <c r="N622" s="12">
        <f>IF(A622&lt;[3]关卡对接!$A$4,INDEX([3]关卡对接!$E$7:$E$141,A622),MATCH(E622,人物经验!$H$24:$H$573,1))</f>
        <v>313</v>
      </c>
      <c r="O622" s="12">
        <f>INDEX([2]关卡!$G$6:$G$2005,A622)</f>
        <v>3</v>
      </c>
      <c r="P622" s="13">
        <v>6</v>
      </c>
      <c r="Q622" s="12">
        <f>INT(P622/$S$15/O622*VLOOKUP(J622,[1]人物技能基础!$N$3:$O$553,2,0)*$U$15)</f>
        <v>9</v>
      </c>
      <c r="R622" s="12">
        <f t="shared" si="93"/>
        <v>112</v>
      </c>
    </row>
    <row r="623" spans="1:18" x14ac:dyDescent="0.15">
      <c r="A623" s="12">
        <v>605</v>
      </c>
      <c r="B623" s="12">
        <f t="shared" si="87"/>
        <v>4</v>
      </c>
      <c r="C623" s="12">
        <f t="shared" si="88"/>
        <v>9.0250000000000011E-2</v>
      </c>
      <c r="D623" s="12">
        <f t="shared" si="89"/>
        <v>1.8090000000000009E-2</v>
      </c>
      <c r="E623" s="12">
        <f>SUM($D$19:D623)</f>
        <v>6.2902499999999995</v>
      </c>
      <c r="F623" s="12">
        <f t="shared" si="85"/>
        <v>61.196426309335941</v>
      </c>
      <c r="G623" s="12">
        <f t="shared" si="86"/>
        <v>53.923506003710941</v>
      </c>
      <c r="H623" s="12">
        <f t="shared" si="90"/>
        <v>220300</v>
      </c>
      <c r="I623" s="12">
        <f t="shared" si="91"/>
        <v>194100</v>
      </c>
      <c r="J623" s="12">
        <f>IF(A623&lt;[3]关卡对接!$A$4,INDEX([3]关卡对接!$C$7:$C$141,A623),MATCH(E623,人物经验!$H$24:$H$573,1))</f>
        <v>313</v>
      </c>
      <c r="K623" s="12">
        <f>IF([3]关卡对接!F611="",INT(INDEX(人物经验!$J$24:$J$573,关卡!J623)*关卡!$S$7),[3]关卡对接!F611)</f>
        <v>5414</v>
      </c>
      <c r="L623" s="12">
        <f t="shared" si="92"/>
        <v>1.6</v>
      </c>
      <c r="M623" s="12">
        <f>L623/[4]货币基础!$B$4</f>
        <v>160</v>
      </c>
      <c r="N623" s="12">
        <f>IF(A623&lt;[3]关卡对接!$A$4,INDEX([3]关卡对接!$E$7:$E$141,A623),MATCH(E623,人物经验!$H$24:$H$573,1))</f>
        <v>313</v>
      </c>
      <c r="O623" s="12">
        <f>INDEX([2]关卡!$G$6:$G$2005,A623)</f>
        <v>3</v>
      </c>
      <c r="P623" s="13">
        <v>6</v>
      </c>
      <c r="Q623" s="12">
        <f>INT(P623/$S$15/O623*VLOOKUP(J623,[1]人物技能基础!$N$3:$O$553,2,0)*$U$15)</f>
        <v>9</v>
      </c>
      <c r="R623" s="12">
        <f t="shared" si="93"/>
        <v>112</v>
      </c>
    </row>
    <row r="624" spans="1:18" x14ac:dyDescent="0.15">
      <c r="A624" s="12">
        <v>606</v>
      </c>
      <c r="B624" s="12">
        <f t="shared" si="87"/>
        <v>4</v>
      </c>
      <c r="C624" s="12">
        <f t="shared" si="88"/>
        <v>0.10836</v>
      </c>
      <c r="D624" s="12">
        <f t="shared" si="89"/>
        <v>1.8109999999999987E-2</v>
      </c>
      <c r="E624" s="12">
        <f>SUM($D$19:D624)</f>
        <v>6.3083599999999995</v>
      </c>
      <c r="F624" s="12">
        <f t="shared" si="85"/>
        <v>61.370366199919005</v>
      </c>
      <c r="G624" s="12">
        <f t="shared" si="86"/>
        <v>54.044813835695003</v>
      </c>
      <c r="H624" s="12">
        <f t="shared" si="90"/>
        <v>220900</v>
      </c>
      <c r="I624" s="12">
        <f t="shared" si="91"/>
        <v>194500</v>
      </c>
      <c r="J624" s="12">
        <f>IF(A624&lt;[3]关卡对接!$A$4,INDEX([3]关卡对接!$C$7:$C$141,A624),MATCH(E624,人物经验!$H$24:$H$573,1))</f>
        <v>313</v>
      </c>
      <c r="K624" s="12">
        <f>IF([3]关卡对接!F612="",INT(INDEX(人物经验!$J$24:$J$573,关卡!J624)*关卡!$S$7),[3]关卡对接!F612)</f>
        <v>5414</v>
      </c>
      <c r="L624" s="12">
        <f t="shared" si="92"/>
        <v>1.6</v>
      </c>
      <c r="M624" s="12">
        <f>L624/[4]货币基础!$B$4</f>
        <v>160</v>
      </c>
      <c r="N624" s="12">
        <f>IF(A624&lt;[3]关卡对接!$A$4,INDEX([3]关卡对接!$E$7:$E$141,A624),MATCH(E624,人物经验!$H$24:$H$573,1))</f>
        <v>313</v>
      </c>
      <c r="O624" s="12">
        <f>INDEX([2]关卡!$G$6:$G$2005,A624)</f>
        <v>3</v>
      </c>
      <c r="P624" s="13">
        <v>6</v>
      </c>
      <c r="Q624" s="12">
        <f>INT(P624/$S$15/O624*VLOOKUP(J624,[1]人物技能基础!$N$3:$O$553,2,0)*$U$15)</f>
        <v>9</v>
      </c>
      <c r="R624" s="12">
        <f t="shared" si="93"/>
        <v>112</v>
      </c>
    </row>
    <row r="625" spans="1:18" x14ac:dyDescent="0.15">
      <c r="A625" s="12">
        <v>607</v>
      </c>
      <c r="B625" s="12">
        <f t="shared" si="87"/>
        <v>4</v>
      </c>
      <c r="C625" s="12">
        <f t="shared" si="88"/>
        <v>0.12649000000000002</v>
      </c>
      <c r="D625" s="12">
        <f t="shared" si="89"/>
        <v>1.8130000000000021E-2</v>
      </c>
      <c r="E625" s="12">
        <f>SUM($D$19:D625)</f>
        <v>6.3264899999999997</v>
      </c>
      <c r="F625" s="12">
        <f t="shared" si="85"/>
        <v>61.544652335924937</v>
      </c>
      <c r="G625" s="12">
        <f t="shared" si="86"/>
        <v>54.166291008255939</v>
      </c>
      <c r="H625" s="12">
        <f t="shared" si="90"/>
        <v>221500</v>
      </c>
      <c r="I625" s="12">
        <f t="shared" si="91"/>
        <v>194900</v>
      </c>
      <c r="J625" s="12">
        <f>IF(A625&lt;[3]关卡对接!$A$4,INDEX([3]关卡对接!$C$7:$C$141,A625),MATCH(E625,人物经验!$H$24:$H$573,1))</f>
        <v>314</v>
      </c>
      <c r="K625" s="12">
        <f>IF([3]关卡对接!F613="",INT(INDEX(人物经验!$J$24:$J$573,关卡!J625)*关卡!$S$7),[3]关卡对接!F613)</f>
        <v>5523</v>
      </c>
      <c r="L625" s="12">
        <f t="shared" si="92"/>
        <v>1.6</v>
      </c>
      <c r="M625" s="12">
        <f>L625/[4]货币基础!$B$4</f>
        <v>160</v>
      </c>
      <c r="N625" s="12">
        <f>IF(A625&lt;[3]关卡对接!$A$4,INDEX([3]关卡对接!$E$7:$E$141,A625),MATCH(E625,人物经验!$H$24:$H$573,1))</f>
        <v>314</v>
      </c>
      <c r="O625" s="12">
        <f>INDEX([2]关卡!$G$6:$G$2005,A625)</f>
        <v>3</v>
      </c>
      <c r="P625" s="13">
        <v>6</v>
      </c>
      <c r="Q625" s="12">
        <f>INT(P625/$S$15/O625*VLOOKUP(J625,[1]人物技能基础!$N$3:$O$553,2,0)*$U$15)</f>
        <v>9</v>
      </c>
      <c r="R625" s="12">
        <f t="shared" si="93"/>
        <v>112</v>
      </c>
    </row>
    <row r="626" spans="1:18" x14ac:dyDescent="0.15">
      <c r="A626" s="12">
        <v>608</v>
      </c>
      <c r="B626" s="12">
        <f t="shared" si="87"/>
        <v>4</v>
      </c>
      <c r="C626" s="12">
        <f t="shared" si="88"/>
        <v>0.14464000000000002</v>
      </c>
      <c r="D626" s="12">
        <f t="shared" si="89"/>
        <v>1.8149999999999999E-2</v>
      </c>
      <c r="E626" s="12">
        <f>SUM($D$19:D626)</f>
        <v>6.3446400000000001</v>
      </c>
      <c r="F626" s="12">
        <f t="shared" si="85"/>
        <v>61.719285305344002</v>
      </c>
      <c r="G626" s="12">
        <f t="shared" si="86"/>
        <v>54.287937720319995</v>
      </c>
      <c r="H626" s="12">
        <f t="shared" si="90"/>
        <v>222100</v>
      </c>
      <c r="I626" s="12">
        <f t="shared" si="91"/>
        <v>195400</v>
      </c>
      <c r="J626" s="12">
        <f>IF(A626&lt;[3]关卡对接!$A$4,INDEX([3]关卡对接!$C$7:$C$141,A626),MATCH(E626,人物经验!$H$24:$H$573,1))</f>
        <v>314</v>
      </c>
      <c r="K626" s="12">
        <f>IF([3]关卡对接!F614="",INT(INDEX(人物经验!$J$24:$J$573,关卡!J626)*关卡!$S$7),[3]关卡对接!F614)</f>
        <v>5523</v>
      </c>
      <c r="L626" s="12">
        <f t="shared" si="92"/>
        <v>1.6</v>
      </c>
      <c r="M626" s="12">
        <f>L626/[4]货币基础!$B$4</f>
        <v>160</v>
      </c>
      <c r="N626" s="12">
        <f>IF(A626&lt;[3]关卡对接!$A$4,INDEX([3]关卡对接!$E$7:$E$141,A626),MATCH(E626,人物经验!$H$24:$H$573,1))</f>
        <v>314</v>
      </c>
      <c r="O626" s="12">
        <f>INDEX([2]关卡!$G$6:$G$2005,A626)</f>
        <v>3</v>
      </c>
      <c r="P626" s="13">
        <v>6</v>
      </c>
      <c r="Q626" s="12">
        <f>INT(P626/$S$15/O626*VLOOKUP(J626,[1]人物技能基础!$N$3:$O$553,2,0)*$U$15)</f>
        <v>9</v>
      </c>
      <c r="R626" s="12">
        <f t="shared" si="93"/>
        <v>112</v>
      </c>
    </row>
    <row r="627" spans="1:18" x14ac:dyDescent="0.15">
      <c r="A627" s="12">
        <v>609</v>
      </c>
      <c r="B627" s="12">
        <f t="shared" si="87"/>
        <v>4</v>
      </c>
      <c r="C627" s="12">
        <f t="shared" si="88"/>
        <v>0.16281000000000001</v>
      </c>
      <c r="D627" s="12">
        <f t="shared" si="89"/>
        <v>1.8169999999999992E-2</v>
      </c>
      <c r="E627" s="12">
        <f>SUM($D$19:D627)</f>
        <v>6.3628099999999996</v>
      </c>
      <c r="F627" s="12">
        <f t="shared" si="85"/>
        <v>61.894265696764933</v>
      </c>
      <c r="G627" s="12">
        <f t="shared" si="86"/>
        <v>54.409754170955935</v>
      </c>
      <c r="H627" s="12">
        <f t="shared" si="90"/>
        <v>222800</v>
      </c>
      <c r="I627" s="12">
        <f t="shared" si="91"/>
        <v>195800</v>
      </c>
      <c r="J627" s="12">
        <f>IF(A627&lt;[3]关卡对接!$A$4,INDEX([3]关卡对接!$C$7:$C$141,A627),MATCH(E627,人物经验!$H$24:$H$573,1))</f>
        <v>314</v>
      </c>
      <c r="K627" s="12">
        <f>IF([3]关卡对接!F615="",INT(INDEX(人物经验!$J$24:$J$573,关卡!J627)*关卡!$S$7),[3]关卡对接!F615)</f>
        <v>5523</v>
      </c>
      <c r="L627" s="12">
        <f t="shared" si="92"/>
        <v>1.6</v>
      </c>
      <c r="M627" s="12">
        <f>L627/[4]货币基础!$B$4</f>
        <v>160</v>
      </c>
      <c r="N627" s="12">
        <f>IF(A627&lt;[3]关卡对接!$A$4,INDEX([3]关卡对接!$E$7:$E$141,A627),MATCH(E627,人物经验!$H$24:$H$573,1))</f>
        <v>314</v>
      </c>
      <c r="O627" s="12">
        <f>INDEX([2]关卡!$G$6:$G$2005,A627)</f>
        <v>3</v>
      </c>
      <c r="P627" s="13">
        <v>6</v>
      </c>
      <c r="Q627" s="12">
        <f>INT(P627/$S$15/O627*VLOOKUP(J627,[1]人物技能基础!$N$3:$O$553,2,0)*$U$15)</f>
        <v>9</v>
      </c>
      <c r="R627" s="12">
        <f t="shared" si="93"/>
        <v>112</v>
      </c>
    </row>
    <row r="628" spans="1:18" x14ac:dyDescent="0.15">
      <c r="A628" s="12">
        <v>610</v>
      </c>
      <c r="B628" s="12">
        <f t="shared" si="87"/>
        <v>4</v>
      </c>
      <c r="C628" s="12">
        <f t="shared" si="88"/>
        <v>0.18100000000000002</v>
      </c>
      <c r="D628" s="12">
        <f t="shared" si="89"/>
        <v>1.8190000000000012E-2</v>
      </c>
      <c r="E628" s="12">
        <f>SUM($D$19:D628)</f>
        <v>6.3809999999999993</v>
      </c>
      <c r="F628" s="12">
        <f t="shared" si="85"/>
        <v>62.069594099374996</v>
      </c>
      <c r="G628" s="12">
        <f t="shared" si="86"/>
        <v>54.531740559374995</v>
      </c>
      <c r="H628" s="12">
        <f t="shared" si="90"/>
        <v>223400</v>
      </c>
      <c r="I628" s="12">
        <f t="shared" si="91"/>
        <v>196300</v>
      </c>
      <c r="J628" s="12">
        <f>IF(A628&lt;[3]关卡对接!$A$4,INDEX([3]关卡对接!$C$7:$C$141,A628),MATCH(E628,人物经验!$H$24:$H$573,1))</f>
        <v>314</v>
      </c>
      <c r="K628" s="12">
        <f>IF([3]关卡对接!F616="",INT(INDEX(人物经验!$J$24:$J$573,关卡!J628)*关卡!$S$7),[3]关卡对接!F616)</f>
        <v>5523</v>
      </c>
      <c r="L628" s="12">
        <f t="shared" si="92"/>
        <v>1.6</v>
      </c>
      <c r="M628" s="12">
        <f>L628/[4]货币基础!$B$4</f>
        <v>160</v>
      </c>
      <c r="N628" s="12">
        <f>IF(A628&lt;[3]关卡对接!$A$4,INDEX([3]关卡对接!$E$7:$E$141,A628),MATCH(E628,人物经验!$H$24:$H$573,1))</f>
        <v>314</v>
      </c>
      <c r="O628" s="12">
        <f>INDEX([2]关卡!$G$6:$G$2005,A628)</f>
        <v>3</v>
      </c>
      <c r="P628" s="13">
        <v>6</v>
      </c>
      <c r="Q628" s="12">
        <f>INT(P628/$S$15/O628*VLOOKUP(J628,[1]人物技能基础!$N$3:$O$553,2,0)*$U$15)</f>
        <v>9</v>
      </c>
      <c r="R628" s="12">
        <f t="shared" si="93"/>
        <v>112</v>
      </c>
    </row>
    <row r="629" spans="1:18" x14ac:dyDescent="0.15">
      <c r="A629" s="12">
        <v>611</v>
      </c>
      <c r="B629" s="12">
        <f t="shared" si="87"/>
        <v>4</v>
      </c>
      <c r="C629" s="12">
        <f t="shared" si="88"/>
        <v>0.19921</v>
      </c>
      <c r="D629" s="12">
        <f t="shared" si="89"/>
        <v>1.8209999999999976E-2</v>
      </c>
      <c r="E629" s="12">
        <f>SUM($D$19:D629)</f>
        <v>6.3992099999999992</v>
      </c>
      <c r="F629" s="12">
        <f t="shared" si="85"/>
        <v>62.245271102959933</v>
      </c>
      <c r="G629" s="12">
        <f t="shared" si="86"/>
        <v>54.653897084930932</v>
      </c>
      <c r="H629" s="12">
        <f t="shared" si="90"/>
        <v>224000</v>
      </c>
      <c r="I629" s="12">
        <f t="shared" si="91"/>
        <v>196700</v>
      </c>
      <c r="J629" s="12">
        <f>IF(A629&lt;[3]关卡对接!$A$4,INDEX([3]关卡对接!$C$7:$C$141,A629),MATCH(E629,人物经验!$H$24:$H$573,1))</f>
        <v>314</v>
      </c>
      <c r="K629" s="12">
        <f>IF([3]关卡对接!F617="",INT(INDEX(人物经验!$J$24:$J$573,关卡!J629)*关卡!$S$7),[3]关卡对接!F617)</f>
        <v>5523</v>
      </c>
      <c r="L629" s="12">
        <f t="shared" si="92"/>
        <v>1.6</v>
      </c>
      <c r="M629" s="12">
        <f>L629/[4]货币基础!$B$4</f>
        <v>160</v>
      </c>
      <c r="N629" s="12">
        <f>IF(A629&lt;[3]关卡对接!$A$4,INDEX([3]关卡对接!$E$7:$E$141,A629),MATCH(E629,人物经验!$H$24:$H$573,1))</f>
        <v>314</v>
      </c>
      <c r="O629" s="12">
        <f>INDEX([2]关卡!$G$6:$G$2005,A629)</f>
        <v>3</v>
      </c>
      <c r="P629" s="13">
        <v>6</v>
      </c>
      <c r="Q629" s="12">
        <f>INT(P629/$S$15/O629*VLOOKUP(J629,[1]人物技能基础!$N$3:$O$553,2,0)*$U$15)</f>
        <v>9</v>
      </c>
      <c r="R629" s="12">
        <f t="shared" si="93"/>
        <v>112</v>
      </c>
    </row>
    <row r="630" spans="1:18" x14ac:dyDescent="0.15">
      <c r="A630" s="12">
        <v>612</v>
      </c>
      <c r="B630" s="12">
        <f t="shared" si="87"/>
        <v>4</v>
      </c>
      <c r="C630" s="12">
        <f t="shared" si="88"/>
        <v>0.21743999999999999</v>
      </c>
      <c r="D630" s="12">
        <f t="shared" si="89"/>
        <v>1.8229999999999996E-2</v>
      </c>
      <c r="E630" s="12">
        <f>SUM($D$19:D630)</f>
        <v>6.4174399999999991</v>
      </c>
      <c r="F630" s="12">
        <f t="shared" si="85"/>
        <v>62.421297297903998</v>
      </c>
      <c r="G630" s="12">
        <f t="shared" si="86"/>
        <v>54.776223947119995</v>
      </c>
      <c r="H630" s="12">
        <f t="shared" si="90"/>
        <v>224700</v>
      </c>
      <c r="I630" s="12">
        <f t="shared" si="91"/>
        <v>197100</v>
      </c>
      <c r="J630" s="12">
        <f>IF(A630&lt;[3]关卡对接!$A$4,INDEX([3]关卡对接!$C$7:$C$141,A630),MATCH(E630,人物经验!$H$24:$H$573,1))</f>
        <v>314</v>
      </c>
      <c r="K630" s="12">
        <f>IF([3]关卡对接!F618="",INT(INDEX(人物经验!$J$24:$J$573,关卡!J630)*关卡!$S$7),[3]关卡对接!F618)</f>
        <v>5523</v>
      </c>
      <c r="L630" s="12">
        <f t="shared" si="92"/>
        <v>1.6</v>
      </c>
      <c r="M630" s="12">
        <f>L630/[4]货币基础!$B$4</f>
        <v>160</v>
      </c>
      <c r="N630" s="12">
        <f>IF(A630&lt;[3]关卡对接!$A$4,INDEX([3]关卡对接!$E$7:$E$141,A630),MATCH(E630,人物经验!$H$24:$H$573,1))</f>
        <v>314</v>
      </c>
      <c r="O630" s="12">
        <f>INDEX([2]关卡!$G$6:$G$2005,A630)</f>
        <v>3</v>
      </c>
      <c r="P630" s="13">
        <v>6</v>
      </c>
      <c r="Q630" s="12">
        <f>INT(P630/$S$15/O630*VLOOKUP(J630,[1]人物技能基础!$N$3:$O$553,2,0)*$U$15)</f>
        <v>9</v>
      </c>
      <c r="R630" s="12">
        <f t="shared" si="93"/>
        <v>112</v>
      </c>
    </row>
    <row r="631" spans="1:18" x14ac:dyDescent="0.15">
      <c r="A631" s="12">
        <v>613</v>
      </c>
      <c r="B631" s="12">
        <f t="shared" si="87"/>
        <v>4</v>
      </c>
      <c r="C631" s="12">
        <f t="shared" si="88"/>
        <v>0.23569000000000001</v>
      </c>
      <c r="D631" s="12">
        <f t="shared" si="89"/>
        <v>1.8250000000000016E-2</v>
      </c>
      <c r="E631" s="12">
        <f>SUM($D$19:D631)</f>
        <v>6.4356899999999992</v>
      </c>
      <c r="F631" s="12">
        <f t="shared" si="85"/>
        <v>62.597673275189933</v>
      </c>
      <c r="G631" s="12">
        <f t="shared" si="86"/>
        <v>54.898721345580938</v>
      </c>
      <c r="H631" s="12">
        <f t="shared" si="90"/>
        <v>225300</v>
      </c>
      <c r="I631" s="12">
        <f t="shared" si="91"/>
        <v>197600</v>
      </c>
      <c r="J631" s="12">
        <f>IF(A631&lt;[3]关卡对接!$A$4,INDEX([3]关卡对接!$C$7:$C$141,A631),MATCH(E631,人物经验!$H$24:$H$573,1))</f>
        <v>314</v>
      </c>
      <c r="K631" s="12">
        <f>IF([3]关卡对接!F619="",INT(INDEX(人物经验!$J$24:$J$573,关卡!J631)*关卡!$S$7),[3]关卡对接!F619)</f>
        <v>5523</v>
      </c>
      <c r="L631" s="12">
        <f t="shared" si="92"/>
        <v>1.6</v>
      </c>
      <c r="M631" s="12">
        <f>L631/[4]货币基础!$B$4</f>
        <v>160</v>
      </c>
      <c r="N631" s="12">
        <f>IF(A631&lt;[3]关卡对接!$A$4,INDEX([3]关卡对接!$E$7:$E$141,A631),MATCH(E631,人物经验!$H$24:$H$573,1))</f>
        <v>314</v>
      </c>
      <c r="O631" s="12">
        <f>INDEX([2]关卡!$G$6:$G$2005,A631)</f>
        <v>3</v>
      </c>
      <c r="P631" s="13">
        <v>6</v>
      </c>
      <c r="Q631" s="12">
        <f>INT(P631/$S$15/O631*VLOOKUP(J631,[1]人物技能基础!$N$3:$O$553,2,0)*$U$15)</f>
        <v>9</v>
      </c>
      <c r="R631" s="12">
        <f t="shared" si="93"/>
        <v>112</v>
      </c>
    </row>
    <row r="632" spans="1:18" x14ac:dyDescent="0.15">
      <c r="A632" s="12">
        <v>614</v>
      </c>
      <c r="B632" s="12">
        <f t="shared" si="87"/>
        <v>4</v>
      </c>
      <c r="C632" s="12">
        <f t="shared" si="88"/>
        <v>0.25396000000000007</v>
      </c>
      <c r="D632" s="12">
        <f t="shared" si="89"/>
        <v>1.8270000000000064E-2</v>
      </c>
      <c r="E632" s="12">
        <f>SUM($D$19:D632)</f>
        <v>6.4539599999999995</v>
      </c>
      <c r="F632" s="12">
        <f t="shared" si="85"/>
        <v>62.774399626398996</v>
      </c>
      <c r="G632" s="12">
        <f t="shared" si="86"/>
        <v>55.021389480095003</v>
      </c>
      <c r="H632" s="12">
        <f t="shared" si="90"/>
        <v>225900</v>
      </c>
      <c r="I632" s="12">
        <f t="shared" si="91"/>
        <v>198000</v>
      </c>
      <c r="J632" s="12">
        <f>IF(A632&lt;[3]关卡对接!$A$4,INDEX([3]关卡对接!$C$7:$C$141,A632),MATCH(E632,人物经验!$H$24:$H$573,1))</f>
        <v>314</v>
      </c>
      <c r="K632" s="12">
        <f>IF([3]关卡对接!F620="",INT(INDEX(人物经验!$J$24:$J$573,关卡!J632)*关卡!$S$7),[3]关卡对接!F620)</f>
        <v>5523</v>
      </c>
      <c r="L632" s="12">
        <f t="shared" si="92"/>
        <v>1.6</v>
      </c>
      <c r="M632" s="12">
        <f>L632/[4]货币基础!$B$4</f>
        <v>160</v>
      </c>
      <c r="N632" s="12">
        <f>IF(A632&lt;[3]关卡对接!$A$4,INDEX([3]关卡对接!$E$7:$E$141,A632),MATCH(E632,人物经验!$H$24:$H$573,1))</f>
        <v>314</v>
      </c>
      <c r="O632" s="12">
        <f>INDEX([2]关卡!$G$6:$G$2005,A632)</f>
        <v>3</v>
      </c>
      <c r="P632" s="13">
        <v>6</v>
      </c>
      <c r="Q632" s="12">
        <f>INT(P632/$S$15/O632*VLOOKUP(J632,[1]人物技能基础!$N$3:$O$553,2,0)*$U$15)</f>
        <v>9</v>
      </c>
      <c r="R632" s="12">
        <f t="shared" si="93"/>
        <v>112</v>
      </c>
    </row>
    <row r="633" spans="1:18" x14ac:dyDescent="0.15">
      <c r="A633" s="12">
        <v>615</v>
      </c>
      <c r="B633" s="12">
        <f t="shared" si="87"/>
        <v>4</v>
      </c>
      <c r="C633" s="12">
        <f t="shared" si="88"/>
        <v>0.27224999999999999</v>
      </c>
      <c r="D633" s="12">
        <f t="shared" si="89"/>
        <v>1.8289999999999917E-2</v>
      </c>
      <c r="E633" s="12">
        <f>SUM($D$19:D633)</f>
        <v>6.4722499999999989</v>
      </c>
      <c r="F633" s="12">
        <f t="shared" si="85"/>
        <v>62.951476943710951</v>
      </c>
      <c r="G633" s="12">
        <f t="shared" si="86"/>
        <v>55.144228550585936</v>
      </c>
      <c r="H633" s="12">
        <f t="shared" si="90"/>
        <v>226600</v>
      </c>
      <c r="I633" s="12">
        <f t="shared" si="91"/>
        <v>198500</v>
      </c>
      <c r="J633" s="12">
        <f>IF(A633&lt;[3]关卡对接!$A$4,INDEX([3]关卡对接!$C$7:$C$141,A633),MATCH(E633,人物经验!$H$24:$H$573,1))</f>
        <v>315</v>
      </c>
      <c r="K633" s="12">
        <f>IF([3]关卡对接!F621="",INT(INDEX(人物经验!$J$24:$J$573,关卡!J633)*关卡!$S$7),[3]关卡对接!F621)</f>
        <v>5649</v>
      </c>
      <c r="L633" s="12">
        <f t="shared" si="92"/>
        <v>1.6</v>
      </c>
      <c r="M633" s="12">
        <f>L633/[4]货币基础!$B$4</f>
        <v>160</v>
      </c>
      <c r="N633" s="12">
        <f>IF(A633&lt;[3]关卡对接!$A$4,INDEX([3]关卡对接!$E$7:$E$141,A633),MATCH(E633,人物经验!$H$24:$H$573,1))</f>
        <v>315</v>
      </c>
      <c r="O633" s="12">
        <f>INDEX([2]关卡!$G$6:$G$2005,A633)</f>
        <v>3</v>
      </c>
      <c r="P633" s="13">
        <v>6</v>
      </c>
      <c r="Q633" s="12">
        <f>INT(P633/$S$15/O633*VLOOKUP(J633,[1]人物技能基础!$N$3:$O$553,2,0)*$U$15)</f>
        <v>9</v>
      </c>
      <c r="R633" s="12">
        <f t="shared" si="93"/>
        <v>112</v>
      </c>
    </row>
    <row r="634" spans="1:18" x14ac:dyDescent="0.15">
      <c r="A634" s="12">
        <v>616</v>
      </c>
      <c r="B634" s="12">
        <f t="shared" si="87"/>
        <v>4</v>
      </c>
      <c r="C634" s="12">
        <f t="shared" si="88"/>
        <v>0.29056000000000004</v>
      </c>
      <c r="D634" s="12">
        <f t="shared" si="89"/>
        <v>1.8310000000000048E-2</v>
      </c>
      <c r="E634" s="12">
        <f>SUM($D$19:D634)</f>
        <v>6.4905599999999986</v>
      </c>
      <c r="F634" s="12">
        <f t="shared" si="85"/>
        <v>63.128905819904006</v>
      </c>
      <c r="G634" s="12">
        <f t="shared" si="86"/>
        <v>55.267238757120005</v>
      </c>
      <c r="H634" s="12">
        <f t="shared" si="90"/>
        <v>227200</v>
      </c>
      <c r="I634" s="12">
        <f t="shared" si="91"/>
        <v>198900</v>
      </c>
      <c r="J634" s="12">
        <f>IF(A634&lt;[3]关卡对接!$A$4,INDEX([3]关卡对接!$C$7:$C$141,A634),MATCH(E634,人物经验!$H$24:$H$573,1))</f>
        <v>315</v>
      </c>
      <c r="K634" s="12">
        <f>IF([3]关卡对接!F622="",INT(INDEX(人物经验!$J$24:$J$573,关卡!J634)*关卡!$S$7),[3]关卡对接!F622)</f>
        <v>5649</v>
      </c>
      <c r="L634" s="12">
        <f t="shared" si="92"/>
        <v>1.6</v>
      </c>
      <c r="M634" s="12">
        <f>L634/[4]货币基础!$B$4</f>
        <v>160</v>
      </c>
      <c r="N634" s="12">
        <f>IF(A634&lt;[3]关卡对接!$A$4,INDEX([3]关卡对接!$E$7:$E$141,A634),MATCH(E634,人物经验!$H$24:$H$573,1))</f>
        <v>315</v>
      </c>
      <c r="O634" s="12">
        <f>INDEX([2]关卡!$G$6:$G$2005,A634)</f>
        <v>3</v>
      </c>
      <c r="P634" s="13">
        <v>6</v>
      </c>
      <c r="Q634" s="12">
        <f>INT(P634/$S$15/O634*VLOOKUP(J634,[1]人物技能基础!$N$3:$O$553,2,0)*$U$15)</f>
        <v>9</v>
      </c>
      <c r="R634" s="12">
        <f t="shared" si="93"/>
        <v>112</v>
      </c>
    </row>
    <row r="635" spans="1:18" x14ac:dyDescent="0.15">
      <c r="A635" s="12">
        <v>617</v>
      </c>
      <c r="B635" s="12">
        <f t="shared" si="87"/>
        <v>4</v>
      </c>
      <c r="C635" s="12">
        <f t="shared" si="88"/>
        <v>0.30889000000000005</v>
      </c>
      <c r="D635" s="12">
        <f t="shared" si="89"/>
        <v>1.8330000000000013E-2</v>
      </c>
      <c r="E635" s="12">
        <f>SUM($D$19:D635)</f>
        <v>6.5088899999999983</v>
      </c>
      <c r="F635" s="12">
        <f t="shared" si="85"/>
        <v>63.306686848354943</v>
      </c>
      <c r="G635" s="12">
        <f t="shared" si="86"/>
        <v>55.390420299905934</v>
      </c>
      <c r="H635" s="12">
        <f t="shared" si="90"/>
        <v>227900</v>
      </c>
      <c r="I635" s="12">
        <f t="shared" si="91"/>
        <v>199400</v>
      </c>
      <c r="J635" s="12">
        <f>IF(A635&lt;[3]关卡对接!$A$4,INDEX([3]关卡对接!$C$7:$C$141,A635),MATCH(E635,人物经验!$H$24:$H$573,1))</f>
        <v>315</v>
      </c>
      <c r="K635" s="12">
        <f>IF([3]关卡对接!F623="",INT(INDEX(人物经验!$J$24:$J$573,关卡!J635)*关卡!$S$7),[3]关卡对接!F623)</f>
        <v>5649</v>
      </c>
      <c r="L635" s="12">
        <f t="shared" si="92"/>
        <v>1.6</v>
      </c>
      <c r="M635" s="12">
        <f>L635/[4]货币基础!$B$4</f>
        <v>160</v>
      </c>
      <c r="N635" s="12">
        <f>IF(A635&lt;[3]关卡对接!$A$4,INDEX([3]关卡对接!$E$7:$E$141,A635),MATCH(E635,人物经验!$H$24:$H$573,1))</f>
        <v>315</v>
      </c>
      <c r="O635" s="12">
        <f>INDEX([2]关卡!$G$6:$G$2005,A635)</f>
        <v>3</v>
      </c>
      <c r="P635" s="13">
        <v>6</v>
      </c>
      <c r="Q635" s="12">
        <f>INT(P635/$S$15/O635*VLOOKUP(J635,[1]人物技能基础!$N$3:$O$553,2,0)*$U$15)</f>
        <v>9</v>
      </c>
      <c r="R635" s="12">
        <f t="shared" si="93"/>
        <v>112</v>
      </c>
    </row>
    <row r="636" spans="1:18" x14ac:dyDescent="0.15">
      <c r="A636" s="12">
        <v>618</v>
      </c>
      <c r="B636" s="12">
        <f t="shared" si="87"/>
        <v>4</v>
      </c>
      <c r="C636" s="12">
        <f t="shared" si="88"/>
        <v>0.32724000000000003</v>
      </c>
      <c r="D636" s="12">
        <f t="shared" si="89"/>
        <v>1.8349999999999977E-2</v>
      </c>
      <c r="E636" s="12">
        <f>SUM($D$19:D636)</f>
        <v>6.5272399999999982</v>
      </c>
      <c r="F636" s="12">
        <f t="shared" si="85"/>
        <v>63.484820623039006</v>
      </c>
      <c r="G636" s="12">
        <f t="shared" si="86"/>
        <v>55.513773379295003</v>
      </c>
      <c r="H636" s="12">
        <f t="shared" si="90"/>
        <v>228500</v>
      </c>
      <c r="I636" s="12">
        <f t="shared" si="91"/>
        <v>199800</v>
      </c>
      <c r="J636" s="12">
        <f>IF(A636&lt;[3]关卡对接!$A$4,INDEX([3]关卡对接!$C$7:$C$141,A636),MATCH(E636,人物经验!$H$24:$H$573,1))</f>
        <v>315</v>
      </c>
      <c r="K636" s="12">
        <f>IF([3]关卡对接!F624="",INT(INDEX(人物经验!$J$24:$J$573,关卡!J636)*关卡!$S$7),[3]关卡对接!F624)</f>
        <v>5649</v>
      </c>
      <c r="L636" s="12">
        <f t="shared" si="92"/>
        <v>1.6</v>
      </c>
      <c r="M636" s="12">
        <f>L636/[4]货币基础!$B$4</f>
        <v>160</v>
      </c>
      <c r="N636" s="12">
        <f>IF(A636&lt;[3]关卡对接!$A$4,INDEX([3]关卡对接!$E$7:$E$141,A636),MATCH(E636,人物经验!$H$24:$H$573,1))</f>
        <v>315</v>
      </c>
      <c r="O636" s="12">
        <f>INDEX([2]关卡!$G$6:$G$2005,A636)</f>
        <v>3</v>
      </c>
      <c r="P636" s="13">
        <v>6</v>
      </c>
      <c r="Q636" s="12">
        <f>INT(P636/$S$15/O636*VLOOKUP(J636,[1]人物技能基础!$N$3:$O$553,2,0)*$U$15)</f>
        <v>9</v>
      </c>
      <c r="R636" s="12">
        <f t="shared" si="93"/>
        <v>112</v>
      </c>
    </row>
    <row r="637" spans="1:18" x14ac:dyDescent="0.15">
      <c r="A637" s="12">
        <v>619</v>
      </c>
      <c r="B637" s="12">
        <f t="shared" si="87"/>
        <v>4</v>
      </c>
      <c r="C637" s="12">
        <f t="shared" si="88"/>
        <v>0.34561000000000003</v>
      </c>
      <c r="D637" s="12">
        <f t="shared" si="89"/>
        <v>1.8369999999999997E-2</v>
      </c>
      <c r="E637" s="12">
        <f>SUM($D$19:D637)</f>
        <v>6.5456099999999982</v>
      </c>
      <c r="F637" s="12">
        <f t="shared" si="85"/>
        <v>63.663307738529937</v>
      </c>
      <c r="G637" s="12">
        <f t="shared" si="86"/>
        <v>55.637298195780936</v>
      </c>
      <c r="H637" s="12">
        <f t="shared" si="90"/>
        <v>229100</v>
      </c>
      <c r="I637" s="12">
        <f t="shared" si="91"/>
        <v>200200</v>
      </c>
      <c r="J637" s="12">
        <f>IF(A637&lt;[3]关卡对接!$A$4,INDEX([3]关卡对接!$C$7:$C$141,A637),MATCH(E637,人物经验!$H$24:$H$573,1))</f>
        <v>315</v>
      </c>
      <c r="K637" s="12">
        <f>IF([3]关卡对接!F625="",INT(INDEX(人物经验!$J$24:$J$573,关卡!J637)*关卡!$S$7),[3]关卡对接!F625)</f>
        <v>5649</v>
      </c>
      <c r="L637" s="12">
        <f t="shared" si="92"/>
        <v>1.6</v>
      </c>
      <c r="M637" s="12">
        <f>L637/[4]货币基础!$B$4</f>
        <v>160</v>
      </c>
      <c r="N637" s="12">
        <f>IF(A637&lt;[3]关卡对接!$A$4,INDEX([3]关卡对接!$E$7:$E$141,A637),MATCH(E637,人物经验!$H$24:$H$573,1))</f>
        <v>315</v>
      </c>
      <c r="O637" s="12">
        <f>INDEX([2]关卡!$G$6:$G$2005,A637)</f>
        <v>3</v>
      </c>
      <c r="P637" s="13">
        <v>6</v>
      </c>
      <c r="Q637" s="12">
        <f>INT(P637/$S$15/O637*VLOOKUP(J637,[1]人物技能基础!$N$3:$O$553,2,0)*$U$15)</f>
        <v>9</v>
      </c>
      <c r="R637" s="12">
        <f t="shared" si="93"/>
        <v>112</v>
      </c>
    </row>
    <row r="638" spans="1:18" x14ac:dyDescent="0.15">
      <c r="A638" s="12">
        <v>620</v>
      </c>
      <c r="B638" s="12">
        <f t="shared" si="87"/>
        <v>4</v>
      </c>
      <c r="C638" s="12">
        <f t="shared" si="88"/>
        <v>0.36400000000000005</v>
      </c>
      <c r="D638" s="12">
        <f t="shared" si="89"/>
        <v>1.8390000000000017E-2</v>
      </c>
      <c r="E638" s="12">
        <f>SUM($D$19:D638)</f>
        <v>6.5639999999999983</v>
      </c>
      <c r="F638" s="12">
        <f t="shared" si="85"/>
        <v>63.842148789999996</v>
      </c>
      <c r="G638" s="12">
        <f t="shared" si="86"/>
        <v>55.760994949999997</v>
      </c>
      <c r="H638" s="12">
        <f t="shared" si="90"/>
        <v>229800</v>
      </c>
      <c r="I638" s="12">
        <f t="shared" si="91"/>
        <v>200700</v>
      </c>
      <c r="J638" s="12">
        <f>IF(A638&lt;[3]关卡对接!$A$4,INDEX([3]关卡对接!$C$7:$C$141,A638),MATCH(E638,人物经验!$H$24:$H$573,1))</f>
        <v>315</v>
      </c>
      <c r="K638" s="12">
        <f>IF([3]关卡对接!F626="",INT(INDEX(人物经验!$J$24:$J$573,关卡!J638)*关卡!$S$7),[3]关卡对接!F626)</f>
        <v>5649</v>
      </c>
      <c r="L638" s="12">
        <f t="shared" si="92"/>
        <v>1.6</v>
      </c>
      <c r="M638" s="12">
        <f>L638/[4]货币基础!$B$4</f>
        <v>160</v>
      </c>
      <c r="N638" s="12">
        <f>IF(A638&lt;[3]关卡对接!$A$4,INDEX([3]关卡对接!$E$7:$E$141,A638),MATCH(E638,人物经验!$H$24:$H$573,1))</f>
        <v>315</v>
      </c>
      <c r="O638" s="12">
        <f>INDEX([2]关卡!$G$6:$G$2005,A638)</f>
        <v>3</v>
      </c>
      <c r="P638" s="13">
        <v>6</v>
      </c>
      <c r="Q638" s="12">
        <f>INT(P638/$S$15/O638*VLOOKUP(J638,[1]人物技能基础!$N$3:$O$553,2,0)*$U$15)</f>
        <v>9</v>
      </c>
      <c r="R638" s="12">
        <f t="shared" si="93"/>
        <v>112</v>
      </c>
    </row>
    <row r="639" spans="1:18" x14ac:dyDescent="0.15">
      <c r="A639" s="12">
        <v>621</v>
      </c>
      <c r="B639" s="12">
        <f t="shared" si="87"/>
        <v>4</v>
      </c>
      <c r="C639" s="12">
        <f t="shared" si="88"/>
        <v>0.38241000000000003</v>
      </c>
      <c r="D639" s="12">
        <f t="shared" si="89"/>
        <v>1.8409999999999982E-2</v>
      </c>
      <c r="E639" s="12">
        <f>SUM($D$19:D639)</f>
        <v>6.5824099999999985</v>
      </c>
      <c r="F639" s="12">
        <f t="shared" si="85"/>
        <v>64.021344373219947</v>
      </c>
      <c r="G639" s="12">
        <f t="shared" si="86"/>
        <v>55.88486384273093</v>
      </c>
      <c r="H639" s="12">
        <f t="shared" si="90"/>
        <v>230400</v>
      </c>
      <c r="I639" s="12">
        <f t="shared" si="91"/>
        <v>201100</v>
      </c>
      <c r="J639" s="12">
        <f>IF(A639&lt;[3]关卡对接!$A$4,INDEX([3]关卡对接!$C$7:$C$141,A639),MATCH(E639,人物经验!$H$24:$H$573,1))</f>
        <v>315</v>
      </c>
      <c r="K639" s="12">
        <f>IF([3]关卡对接!F627="",INT(INDEX(人物经验!$J$24:$J$573,关卡!J639)*关卡!$S$7),[3]关卡对接!F627)</f>
        <v>5649</v>
      </c>
      <c r="L639" s="12">
        <f t="shared" si="92"/>
        <v>1.6</v>
      </c>
      <c r="M639" s="12">
        <f>L639/[4]货币基础!$B$4</f>
        <v>160</v>
      </c>
      <c r="N639" s="12">
        <f>IF(A639&lt;[3]关卡对接!$A$4,INDEX([3]关卡对接!$E$7:$E$141,A639),MATCH(E639,人物经验!$H$24:$H$573,1))</f>
        <v>315</v>
      </c>
      <c r="O639" s="12">
        <f>INDEX([2]关卡!$G$6:$G$2005,A639)</f>
        <v>3</v>
      </c>
      <c r="P639" s="13">
        <v>6</v>
      </c>
      <c r="Q639" s="12">
        <f>INT(P639/$S$15/O639*VLOOKUP(J639,[1]人物技能基础!$N$3:$O$553,2,0)*$U$15)</f>
        <v>9</v>
      </c>
      <c r="R639" s="12">
        <f t="shared" si="93"/>
        <v>112</v>
      </c>
    </row>
    <row r="640" spans="1:18" x14ac:dyDescent="0.15">
      <c r="A640" s="12">
        <v>622</v>
      </c>
      <c r="B640" s="12">
        <f t="shared" si="87"/>
        <v>4</v>
      </c>
      <c r="C640" s="12">
        <f t="shared" si="88"/>
        <v>0.40084000000000003</v>
      </c>
      <c r="D640" s="12">
        <f t="shared" si="89"/>
        <v>1.8430000000000002E-2</v>
      </c>
      <c r="E640" s="12">
        <f>SUM($D$19:D640)</f>
        <v>6.6008399999999989</v>
      </c>
      <c r="F640" s="12">
        <f t="shared" si="85"/>
        <v>64.200895084559008</v>
      </c>
      <c r="G640" s="12">
        <f t="shared" si="86"/>
        <v>56.008905074894997</v>
      </c>
      <c r="H640" s="12">
        <f t="shared" si="90"/>
        <v>231100</v>
      </c>
      <c r="I640" s="12">
        <f t="shared" si="91"/>
        <v>201600</v>
      </c>
      <c r="J640" s="12">
        <f>IF(A640&lt;[3]关卡对接!$A$4,INDEX([3]关卡对接!$C$7:$C$141,A640),MATCH(E640,人物经验!$H$24:$H$573,1))</f>
        <v>315</v>
      </c>
      <c r="K640" s="12">
        <f>IF([3]关卡对接!F628="",INT(INDEX(人物经验!$J$24:$J$573,关卡!J640)*关卡!$S$7),[3]关卡对接!F628)</f>
        <v>5649</v>
      </c>
      <c r="L640" s="12">
        <f t="shared" si="92"/>
        <v>1.6</v>
      </c>
      <c r="M640" s="12">
        <f>L640/[4]货币基础!$B$4</f>
        <v>160</v>
      </c>
      <c r="N640" s="12">
        <f>IF(A640&lt;[3]关卡对接!$A$4,INDEX([3]关卡对接!$E$7:$E$141,A640),MATCH(E640,人物经验!$H$24:$H$573,1))</f>
        <v>315</v>
      </c>
      <c r="O640" s="12">
        <f>INDEX([2]关卡!$G$6:$G$2005,A640)</f>
        <v>3</v>
      </c>
      <c r="P640" s="13">
        <v>6</v>
      </c>
      <c r="Q640" s="12">
        <f>INT(P640/$S$15/O640*VLOOKUP(J640,[1]人物技能基础!$N$3:$O$553,2,0)*$U$15)</f>
        <v>9</v>
      </c>
      <c r="R640" s="12">
        <f t="shared" si="93"/>
        <v>112</v>
      </c>
    </row>
    <row r="641" spans="1:18" x14ac:dyDescent="0.15">
      <c r="A641" s="12">
        <v>623</v>
      </c>
      <c r="B641" s="12">
        <f t="shared" si="87"/>
        <v>4</v>
      </c>
      <c r="C641" s="12">
        <f t="shared" si="88"/>
        <v>0.41929000000000005</v>
      </c>
      <c r="D641" s="12">
        <f t="shared" si="89"/>
        <v>1.8450000000000022E-2</v>
      </c>
      <c r="E641" s="12">
        <f>SUM($D$19:D641)</f>
        <v>6.6192899999999986</v>
      </c>
      <c r="F641" s="12">
        <f t="shared" si="85"/>
        <v>64.380801520984932</v>
      </c>
      <c r="G641" s="12">
        <f t="shared" si="86"/>
        <v>56.133118847555934</v>
      </c>
      <c r="H641" s="12">
        <f t="shared" si="90"/>
        <v>231700</v>
      </c>
      <c r="I641" s="12">
        <f t="shared" si="91"/>
        <v>202000</v>
      </c>
      <c r="J641" s="12">
        <f>IF(A641&lt;[3]关卡对接!$A$4,INDEX([3]关卡对接!$C$7:$C$141,A641),MATCH(E641,人物经验!$H$24:$H$573,1))</f>
        <v>316</v>
      </c>
      <c r="K641" s="12">
        <f>IF([3]关卡对接!F629="",INT(INDEX(人物经验!$J$24:$J$573,关卡!J641)*关卡!$S$7),[3]关卡对接!F629)</f>
        <v>5778</v>
      </c>
      <c r="L641" s="12">
        <f t="shared" si="92"/>
        <v>1.6</v>
      </c>
      <c r="M641" s="12">
        <f>L641/[4]货币基础!$B$4</f>
        <v>160</v>
      </c>
      <c r="N641" s="12">
        <f>IF(A641&lt;[3]关卡对接!$A$4,INDEX([3]关卡对接!$E$7:$E$141,A641),MATCH(E641,人物经验!$H$24:$H$573,1))</f>
        <v>316</v>
      </c>
      <c r="O641" s="12">
        <f>INDEX([2]关卡!$G$6:$G$2005,A641)</f>
        <v>3</v>
      </c>
      <c r="P641" s="13">
        <v>6</v>
      </c>
      <c r="Q641" s="12">
        <f>INT(P641/$S$15/O641*VLOOKUP(J641,[1]人物技能基础!$N$3:$O$553,2,0)*$U$15)</f>
        <v>9</v>
      </c>
      <c r="R641" s="12">
        <f t="shared" si="93"/>
        <v>112</v>
      </c>
    </row>
    <row r="642" spans="1:18" x14ac:dyDescent="0.15">
      <c r="A642" s="12">
        <v>624</v>
      </c>
      <c r="B642" s="12">
        <f t="shared" si="87"/>
        <v>4</v>
      </c>
      <c r="C642" s="12">
        <f t="shared" si="88"/>
        <v>0.43775999999999998</v>
      </c>
      <c r="D642" s="12">
        <f t="shared" si="89"/>
        <v>1.8469999999999931E-2</v>
      </c>
      <c r="E642" s="12">
        <f>SUM($D$19:D642)</f>
        <v>6.6377599999999983</v>
      </c>
      <c r="F642" s="12">
        <f t="shared" si="85"/>
        <v>64.561064280064002</v>
      </c>
      <c r="G642" s="12">
        <f t="shared" si="86"/>
        <v>56.257505361920003</v>
      </c>
      <c r="H642" s="12">
        <f t="shared" si="90"/>
        <v>232400</v>
      </c>
      <c r="I642" s="12">
        <f t="shared" si="91"/>
        <v>202500</v>
      </c>
      <c r="J642" s="12">
        <f>IF(A642&lt;[3]关卡对接!$A$4,INDEX([3]关卡对接!$C$7:$C$141,A642),MATCH(E642,人物经验!$H$24:$H$573,1))</f>
        <v>316</v>
      </c>
      <c r="K642" s="12">
        <f>IF([3]关卡对接!F630="",INT(INDEX(人物经验!$J$24:$J$573,关卡!J642)*关卡!$S$7),[3]关卡对接!F630)</f>
        <v>5778</v>
      </c>
      <c r="L642" s="12">
        <f t="shared" si="92"/>
        <v>1.6</v>
      </c>
      <c r="M642" s="12">
        <f>L642/[4]货币基础!$B$4</f>
        <v>160</v>
      </c>
      <c r="N642" s="12">
        <f>IF(A642&lt;[3]关卡对接!$A$4,INDEX([3]关卡对接!$E$7:$E$141,A642),MATCH(E642,人物经验!$H$24:$H$573,1))</f>
        <v>316</v>
      </c>
      <c r="O642" s="12">
        <f>INDEX([2]关卡!$G$6:$G$2005,A642)</f>
        <v>3</v>
      </c>
      <c r="P642" s="13">
        <v>6</v>
      </c>
      <c r="Q642" s="12">
        <f>INT(P642/$S$15/O642*VLOOKUP(J642,[1]人物技能基础!$N$3:$O$553,2,0)*$U$15)</f>
        <v>9</v>
      </c>
      <c r="R642" s="12">
        <f t="shared" si="93"/>
        <v>112</v>
      </c>
    </row>
    <row r="643" spans="1:18" x14ac:dyDescent="0.15">
      <c r="A643" s="12">
        <v>625</v>
      </c>
      <c r="B643" s="12">
        <f t="shared" si="87"/>
        <v>4</v>
      </c>
      <c r="C643" s="12">
        <f t="shared" si="88"/>
        <v>0.45624999999999999</v>
      </c>
      <c r="D643" s="12">
        <f t="shared" si="89"/>
        <v>1.8490000000000006E-2</v>
      </c>
      <c r="E643" s="12">
        <f>SUM($D$19:D643)</f>
        <v>6.6562499999999982</v>
      </c>
      <c r="F643" s="12">
        <f t="shared" si="85"/>
        <v>64.741683959960938</v>
      </c>
      <c r="G643" s="12">
        <f t="shared" si="86"/>
        <v>56.382064819335938</v>
      </c>
      <c r="H643" s="12">
        <f t="shared" si="90"/>
        <v>233000</v>
      </c>
      <c r="I643" s="12">
        <f t="shared" si="91"/>
        <v>202900</v>
      </c>
      <c r="J643" s="12">
        <f>IF(A643&lt;[3]关卡对接!$A$4,INDEX([3]关卡对接!$C$7:$C$141,A643),MATCH(E643,人物经验!$H$24:$H$573,1))</f>
        <v>316</v>
      </c>
      <c r="K643" s="12">
        <f>IF([3]关卡对接!F631="",INT(INDEX(人物经验!$J$24:$J$573,关卡!J643)*关卡!$S$7),[3]关卡对接!F631)</f>
        <v>5778</v>
      </c>
      <c r="L643" s="12">
        <f t="shared" si="92"/>
        <v>1.6</v>
      </c>
      <c r="M643" s="12">
        <f>L643/[4]货币基础!$B$4</f>
        <v>160</v>
      </c>
      <c r="N643" s="12">
        <f>IF(A643&lt;[3]关卡对接!$A$4,INDEX([3]关卡对接!$E$7:$E$141,A643),MATCH(E643,人物经验!$H$24:$H$573,1))</f>
        <v>316</v>
      </c>
      <c r="O643" s="12">
        <f>INDEX([2]关卡!$G$6:$G$2005,A643)</f>
        <v>3</v>
      </c>
      <c r="P643" s="13">
        <v>6</v>
      </c>
      <c r="Q643" s="12">
        <f>INT(P643/$S$15/O643*VLOOKUP(J643,[1]人物技能基础!$N$3:$O$553,2,0)*$U$15)</f>
        <v>9</v>
      </c>
      <c r="R643" s="12">
        <f t="shared" si="93"/>
        <v>112</v>
      </c>
    </row>
    <row r="644" spans="1:18" x14ac:dyDescent="0.15">
      <c r="A644" s="12">
        <v>626</v>
      </c>
      <c r="B644" s="12">
        <f t="shared" si="87"/>
        <v>4</v>
      </c>
      <c r="C644" s="12">
        <f t="shared" si="88"/>
        <v>0.47476000000000002</v>
      </c>
      <c r="D644" s="12">
        <f t="shared" si="89"/>
        <v>1.8510000000000026E-2</v>
      </c>
      <c r="E644" s="12">
        <f>SUM($D$19:D644)</f>
        <v>6.6747599999999983</v>
      </c>
      <c r="F644" s="12">
        <f t="shared" si="85"/>
        <v>64.922661159439016</v>
      </c>
      <c r="G644" s="12">
        <f t="shared" si="86"/>
        <v>56.506797421294991</v>
      </c>
      <c r="H644" s="12">
        <f t="shared" si="90"/>
        <v>233700</v>
      </c>
      <c r="I644" s="12">
        <f t="shared" si="91"/>
        <v>203400</v>
      </c>
      <c r="J644" s="12">
        <f>IF(A644&lt;[3]关卡对接!$A$4,INDEX([3]关卡对接!$C$7:$C$141,A644),MATCH(E644,人物经验!$H$24:$H$573,1))</f>
        <v>316</v>
      </c>
      <c r="K644" s="12">
        <f>IF([3]关卡对接!F632="",INT(INDEX(人物经验!$J$24:$J$573,关卡!J644)*关卡!$S$7),[3]关卡对接!F632)</f>
        <v>5778</v>
      </c>
      <c r="L644" s="12">
        <f t="shared" si="92"/>
        <v>1.6</v>
      </c>
      <c r="M644" s="12">
        <f>L644/[4]货币基础!$B$4</f>
        <v>160</v>
      </c>
      <c r="N644" s="12">
        <f>IF(A644&lt;[3]关卡对接!$A$4,INDEX([3]关卡对接!$E$7:$E$141,A644),MATCH(E644,人物经验!$H$24:$H$573,1))</f>
        <v>316</v>
      </c>
      <c r="O644" s="12">
        <f>INDEX([2]关卡!$G$6:$G$2005,A644)</f>
        <v>3</v>
      </c>
      <c r="P644" s="13">
        <v>6</v>
      </c>
      <c r="Q644" s="12">
        <f>INT(P644/$S$15/O644*VLOOKUP(J644,[1]人物技能基础!$N$3:$O$553,2,0)*$U$15)</f>
        <v>9</v>
      </c>
      <c r="R644" s="12">
        <f t="shared" si="93"/>
        <v>112</v>
      </c>
    </row>
    <row r="645" spans="1:18" x14ac:dyDescent="0.15">
      <c r="A645" s="12">
        <v>627</v>
      </c>
      <c r="B645" s="12">
        <f t="shared" si="87"/>
        <v>4</v>
      </c>
      <c r="C645" s="12">
        <f t="shared" si="88"/>
        <v>0.49329000000000006</v>
      </c>
      <c r="D645" s="12">
        <f t="shared" si="89"/>
        <v>1.8530000000000046E-2</v>
      </c>
      <c r="E645" s="12">
        <f>SUM($D$19:D645)</f>
        <v>6.6932899999999984</v>
      </c>
      <c r="F645" s="12">
        <f t="shared" si="85"/>
        <v>65.103996477859937</v>
      </c>
      <c r="G645" s="12">
        <f t="shared" si="86"/>
        <v>56.631703369430937</v>
      </c>
      <c r="H645" s="12">
        <f t="shared" si="90"/>
        <v>234300</v>
      </c>
      <c r="I645" s="12">
        <f t="shared" si="91"/>
        <v>203800</v>
      </c>
      <c r="J645" s="12">
        <f>IF(A645&lt;[3]关卡对接!$A$4,INDEX([3]关卡对接!$C$7:$C$141,A645),MATCH(E645,人物经验!$H$24:$H$573,1))</f>
        <v>316</v>
      </c>
      <c r="K645" s="12">
        <f>IF([3]关卡对接!F633="",INT(INDEX(人物经验!$J$24:$J$573,关卡!J645)*关卡!$S$7),[3]关卡对接!F633)</f>
        <v>5778</v>
      </c>
      <c r="L645" s="12">
        <f t="shared" si="92"/>
        <v>1.6</v>
      </c>
      <c r="M645" s="12">
        <f>L645/[4]货币基础!$B$4</f>
        <v>160</v>
      </c>
      <c r="N645" s="12">
        <f>IF(A645&lt;[3]关卡对接!$A$4,INDEX([3]关卡对接!$E$7:$E$141,A645),MATCH(E645,人物经验!$H$24:$H$573,1))</f>
        <v>316</v>
      </c>
      <c r="O645" s="12">
        <f>INDEX([2]关卡!$G$6:$G$2005,A645)</f>
        <v>3</v>
      </c>
      <c r="P645" s="13">
        <v>6</v>
      </c>
      <c r="Q645" s="12">
        <f>INT(P645/$S$15/O645*VLOOKUP(J645,[1]人物技能基础!$N$3:$O$553,2,0)*$U$15)</f>
        <v>9</v>
      </c>
      <c r="R645" s="12">
        <f t="shared" si="93"/>
        <v>112</v>
      </c>
    </row>
    <row r="646" spans="1:18" x14ac:dyDescent="0.15">
      <c r="A646" s="12">
        <v>628</v>
      </c>
      <c r="B646" s="12">
        <f t="shared" si="87"/>
        <v>4</v>
      </c>
      <c r="C646" s="12">
        <f t="shared" si="88"/>
        <v>0.51184000000000007</v>
      </c>
      <c r="D646" s="12">
        <f t="shared" si="89"/>
        <v>1.8550000000000011E-2</v>
      </c>
      <c r="E646" s="12">
        <f>SUM($D$19:D646)</f>
        <v>6.7118399999999987</v>
      </c>
      <c r="F646" s="12">
        <f t="shared" si="85"/>
        <v>65.285690515184015</v>
      </c>
      <c r="G646" s="12">
        <f t="shared" si="86"/>
        <v>56.756782865520002</v>
      </c>
      <c r="H646" s="12">
        <f t="shared" si="90"/>
        <v>235000</v>
      </c>
      <c r="I646" s="12">
        <f t="shared" si="91"/>
        <v>204300</v>
      </c>
      <c r="J646" s="12">
        <f>IF(A646&lt;[3]关卡对接!$A$4,INDEX([3]关卡对接!$C$7:$C$141,A646),MATCH(E646,人物经验!$H$24:$H$573,1))</f>
        <v>316</v>
      </c>
      <c r="K646" s="12">
        <f>IF([3]关卡对接!F634="",INT(INDEX(人物经验!$J$24:$J$573,关卡!J646)*关卡!$S$7),[3]关卡对接!F634)</f>
        <v>5778</v>
      </c>
      <c r="L646" s="12">
        <f t="shared" si="92"/>
        <v>1.6</v>
      </c>
      <c r="M646" s="12">
        <f>L646/[4]货币基础!$B$4</f>
        <v>160</v>
      </c>
      <c r="N646" s="12">
        <f>IF(A646&lt;[3]关卡对接!$A$4,INDEX([3]关卡对接!$E$7:$E$141,A646),MATCH(E646,人物经验!$H$24:$H$573,1))</f>
        <v>316</v>
      </c>
      <c r="O646" s="12">
        <f>INDEX([2]关卡!$G$6:$G$2005,A646)</f>
        <v>3</v>
      </c>
      <c r="P646" s="13">
        <v>6</v>
      </c>
      <c r="Q646" s="12">
        <f>INT(P646/$S$15/O646*VLOOKUP(J646,[1]人物技能基础!$N$3:$O$553,2,0)*$U$15)</f>
        <v>9</v>
      </c>
      <c r="R646" s="12">
        <f t="shared" si="93"/>
        <v>112</v>
      </c>
    </row>
    <row r="647" spans="1:18" x14ac:dyDescent="0.15">
      <c r="A647" s="12">
        <v>629</v>
      </c>
      <c r="B647" s="12">
        <f t="shared" si="87"/>
        <v>4</v>
      </c>
      <c r="C647" s="12">
        <f t="shared" si="88"/>
        <v>0.53041000000000005</v>
      </c>
      <c r="D647" s="12">
        <f t="shared" si="89"/>
        <v>1.8569999999999975E-2</v>
      </c>
      <c r="E647" s="12">
        <f>SUM($D$19:D647)</f>
        <v>6.7304099999999991</v>
      </c>
      <c r="F647" s="12">
        <f t="shared" si="85"/>
        <v>65.46774387196993</v>
      </c>
      <c r="G647" s="12">
        <f t="shared" si="86"/>
        <v>56.882036111480936</v>
      </c>
      <c r="H647" s="12">
        <f t="shared" si="90"/>
        <v>235600</v>
      </c>
      <c r="I647" s="12">
        <f t="shared" si="91"/>
        <v>204700</v>
      </c>
      <c r="J647" s="12">
        <f>IF(A647&lt;[3]关卡对接!$A$4,INDEX([3]关卡对接!$C$7:$C$141,A647),MATCH(E647,人物经验!$H$24:$H$573,1))</f>
        <v>316</v>
      </c>
      <c r="K647" s="12">
        <f>IF([3]关卡对接!F635="",INT(INDEX(人物经验!$J$24:$J$573,关卡!J647)*关卡!$S$7),[3]关卡对接!F635)</f>
        <v>5778</v>
      </c>
      <c r="L647" s="12">
        <f t="shared" si="92"/>
        <v>1.6</v>
      </c>
      <c r="M647" s="12">
        <f>L647/[4]货币基础!$B$4</f>
        <v>160</v>
      </c>
      <c r="N647" s="12">
        <f>IF(A647&lt;[3]关卡对接!$A$4,INDEX([3]关卡对接!$E$7:$E$141,A647),MATCH(E647,人物经验!$H$24:$H$573,1))</f>
        <v>316</v>
      </c>
      <c r="O647" s="12">
        <f>INDEX([2]关卡!$G$6:$G$2005,A647)</f>
        <v>3</v>
      </c>
      <c r="P647" s="13">
        <v>6</v>
      </c>
      <c r="Q647" s="12">
        <f>INT(P647/$S$15/O647*VLOOKUP(J647,[1]人物技能基础!$N$3:$O$553,2,0)*$U$15)</f>
        <v>9</v>
      </c>
      <c r="R647" s="12">
        <f t="shared" si="93"/>
        <v>112</v>
      </c>
    </row>
    <row r="648" spans="1:18" x14ac:dyDescent="0.15">
      <c r="A648" s="12">
        <v>630</v>
      </c>
      <c r="B648" s="12">
        <f t="shared" si="87"/>
        <v>4</v>
      </c>
      <c r="C648" s="12">
        <f t="shared" si="88"/>
        <v>0.54900000000000004</v>
      </c>
      <c r="D648" s="12">
        <f t="shared" si="89"/>
        <v>1.8589999999999995E-2</v>
      </c>
      <c r="E648" s="12">
        <f>SUM($D$19:D648)</f>
        <v>6.7489999999999988</v>
      </c>
      <c r="F648" s="12">
        <f t="shared" si="85"/>
        <v>65.650157149375005</v>
      </c>
      <c r="G648" s="12">
        <f t="shared" si="86"/>
        <v>57.007463309374998</v>
      </c>
      <c r="H648" s="12">
        <f t="shared" si="90"/>
        <v>236300</v>
      </c>
      <c r="I648" s="12">
        <f t="shared" si="91"/>
        <v>205200</v>
      </c>
      <c r="J648" s="12">
        <f>IF(A648&lt;[3]关卡对接!$A$4,INDEX([3]关卡对接!$C$7:$C$141,A648),MATCH(E648,人物经验!$H$24:$H$573,1))</f>
        <v>317</v>
      </c>
      <c r="K648" s="12">
        <f>IF([3]关卡对接!F636="",INT(INDEX(人物经验!$J$24:$J$573,关卡!J648)*关卡!$S$7),[3]关卡对接!F636)</f>
        <v>5892</v>
      </c>
      <c r="L648" s="12">
        <f t="shared" si="92"/>
        <v>1.6</v>
      </c>
      <c r="M648" s="12">
        <f>L648/[4]货币基础!$B$4</f>
        <v>160</v>
      </c>
      <c r="N648" s="12">
        <f>IF(A648&lt;[3]关卡对接!$A$4,INDEX([3]关卡对接!$E$7:$E$141,A648),MATCH(E648,人物经验!$H$24:$H$573,1))</f>
        <v>317</v>
      </c>
      <c r="O648" s="12">
        <f>INDEX([2]关卡!$G$6:$G$2005,A648)</f>
        <v>3</v>
      </c>
      <c r="P648" s="13">
        <v>6</v>
      </c>
      <c r="Q648" s="12">
        <f>INT(P648/$S$15/O648*VLOOKUP(J648,[1]人物技能基础!$N$3:$O$553,2,0)*$U$15)</f>
        <v>9</v>
      </c>
      <c r="R648" s="12">
        <f t="shared" si="93"/>
        <v>112</v>
      </c>
    </row>
    <row r="649" spans="1:18" x14ac:dyDescent="0.15">
      <c r="A649" s="12">
        <v>631</v>
      </c>
      <c r="B649" s="12">
        <f t="shared" si="87"/>
        <v>4</v>
      </c>
      <c r="C649" s="12">
        <f t="shared" si="88"/>
        <v>0.56761000000000006</v>
      </c>
      <c r="D649" s="12">
        <f t="shared" si="89"/>
        <v>1.8610000000000015E-2</v>
      </c>
      <c r="E649" s="12">
        <f>SUM($D$19:D649)</f>
        <v>6.7676099999999986</v>
      </c>
      <c r="F649" s="12">
        <f t="shared" si="85"/>
        <v>65.832930949154942</v>
      </c>
      <c r="G649" s="12">
        <f t="shared" si="86"/>
        <v>57.133064661405932</v>
      </c>
      <c r="H649" s="12">
        <f t="shared" si="90"/>
        <v>236900</v>
      </c>
      <c r="I649" s="12">
        <f t="shared" si="91"/>
        <v>205600</v>
      </c>
      <c r="J649" s="12">
        <f>IF(A649&lt;[3]关卡对接!$A$4,INDEX([3]关卡对接!$C$7:$C$141,A649),MATCH(E649,人物经验!$H$24:$H$573,1))</f>
        <v>317</v>
      </c>
      <c r="K649" s="12">
        <f>IF([3]关卡对接!F637="",INT(INDEX(人物经验!$J$24:$J$573,关卡!J649)*关卡!$S$7),[3]关卡对接!F637)</f>
        <v>5892</v>
      </c>
      <c r="L649" s="12">
        <f t="shared" si="92"/>
        <v>1.6</v>
      </c>
      <c r="M649" s="12">
        <f>L649/[4]货币基础!$B$4</f>
        <v>160</v>
      </c>
      <c r="N649" s="12">
        <f>IF(A649&lt;[3]关卡对接!$A$4,INDEX([3]关卡对接!$E$7:$E$141,A649),MATCH(E649,人物经验!$H$24:$H$573,1))</f>
        <v>317</v>
      </c>
      <c r="O649" s="12">
        <f>INDEX([2]关卡!$G$6:$G$2005,A649)</f>
        <v>3</v>
      </c>
      <c r="P649" s="13">
        <v>6</v>
      </c>
      <c r="Q649" s="12">
        <f>INT(P649/$S$15/O649*VLOOKUP(J649,[1]人物技能基础!$N$3:$O$553,2,0)*$U$15)</f>
        <v>9</v>
      </c>
      <c r="R649" s="12">
        <f t="shared" si="93"/>
        <v>112</v>
      </c>
    </row>
    <row r="650" spans="1:18" x14ac:dyDescent="0.15">
      <c r="A650" s="12">
        <v>632</v>
      </c>
      <c r="B650" s="12">
        <f t="shared" si="87"/>
        <v>4</v>
      </c>
      <c r="C650" s="12">
        <f t="shared" si="88"/>
        <v>0.58624000000000009</v>
      </c>
      <c r="D650" s="12">
        <f t="shared" si="89"/>
        <v>1.8630000000000035E-2</v>
      </c>
      <c r="E650" s="12">
        <f>SUM($D$19:D650)</f>
        <v>6.7862399999999985</v>
      </c>
      <c r="F650" s="12">
        <f t="shared" si="85"/>
        <v>66.016065873664019</v>
      </c>
      <c r="G650" s="12">
        <f t="shared" si="86"/>
        <v>57.258840369919994</v>
      </c>
      <c r="H650" s="12">
        <f t="shared" si="90"/>
        <v>237600</v>
      </c>
      <c r="I650" s="12">
        <f t="shared" si="91"/>
        <v>206100</v>
      </c>
      <c r="J650" s="12">
        <f>IF(A650&lt;[3]关卡对接!$A$4,INDEX([3]关卡对接!$C$7:$C$141,A650),MATCH(E650,人物经验!$H$24:$H$573,1))</f>
        <v>317</v>
      </c>
      <c r="K650" s="12">
        <f>IF([3]关卡对接!F638="",INT(INDEX(人物经验!$J$24:$J$573,关卡!J650)*关卡!$S$7),[3]关卡对接!F638)</f>
        <v>5892</v>
      </c>
      <c r="L650" s="12">
        <f t="shared" si="92"/>
        <v>1.6</v>
      </c>
      <c r="M650" s="12">
        <f>L650/[4]货币基础!$B$4</f>
        <v>160</v>
      </c>
      <c r="N650" s="12">
        <f>IF(A650&lt;[3]关卡对接!$A$4,INDEX([3]关卡对接!$E$7:$E$141,A650),MATCH(E650,人物经验!$H$24:$H$573,1))</f>
        <v>317</v>
      </c>
      <c r="O650" s="12">
        <f>INDEX([2]关卡!$G$6:$G$2005,A650)</f>
        <v>3</v>
      </c>
      <c r="P650" s="13">
        <v>6</v>
      </c>
      <c r="Q650" s="12">
        <f>INT(P650/$S$15/O650*VLOOKUP(J650,[1]人物技能基础!$N$3:$O$553,2,0)*$U$15)</f>
        <v>9</v>
      </c>
      <c r="R650" s="12">
        <f t="shared" si="93"/>
        <v>112</v>
      </c>
    </row>
    <row r="651" spans="1:18" x14ac:dyDescent="0.15">
      <c r="A651" s="12">
        <v>633</v>
      </c>
      <c r="B651" s="12">
        <f t="shared" si="87"/>
        <v>4</v>
      </c>
      <c r="C651" s="12">
        <f t="shared" si="88"/>
        <v>0.60489000000000004</v>
      </c>
      <c r="D651" s="12">
        <f t="shared" si="89"/>
        <v>1.8649999999999944E-2</v>
      </c>
      <c r="E651" s="12">
        <f>SUM($D$19:D651)</f>
        <v>6.8048899999999986</v>
      </c>
      <c r="F651" s="12">
        <f t="shared" si="85"/>
        <v>66.199562525854944</v>
      </c>
      <c r="G651" s="12">
        <f t="shared" si="86"/>
        <v>57.384790637405942</v>
      </c>
      <c r="H651" s="12">
        <f t="shared" si="90"/>
        <v>238300</v>
      </c>
      <c r="I651" s="12">
        <f t="shared" si="91"/>
        <v>206500</v>
      </c>
      <c r="J651" s="12">
        <f>IF(A651&lt;[3]关卡对接!$A$4,INDEX([3]关卡对接!$C$7:$C$141,A651),MATCH(E651,人物经验!$H$24:$H$573,1))</f>
        <v>317</v>
      </c>
      <c r="K651" s="12">
        <f>IF([3]关卡对接!F639="",INT(INDEX(人物经验!$J$24:$J$573,关卡!J651)*关卡!$S$7),[3]关卡对接!F639)</f>
        <v>5892</v>
      </c>
      <c r="L651" s="12">
        <f t="shared" si="92"/>
        <v>1.6</v>
      </c>
      <c r="M651" s="12">
        <f>L651/[4]货币基础!$B$4</f>
        <v>160</v>
      </c>
      <c r="N651" s="12">
        <f>IF(A651&lt;[3]关卡对接!$A$4,INDEX([3]关卡对接!$E$7:$E$141,A651),MATCH(E651,人物经验!$H$24:$H$573,1))</f>
        <v>317</v>
      </c>
      <c r="O651" s="12">
        <f>INDEX([2]关卡!$G$6:$G$2005,A651)</f>
        <v>3</v>
      </c>
      <c r="P651" s="13">
        <v>6</v>
      </c>
      <c r="Q651" s="12">
        <f>INT(P651/$S$15/O651*VLOOKUP(J651,[1]人物技能基础!$N$3:$O$553,2,0)*$U$15)</f>
        <v>9</v>
      </c>
      <c r="R651" s="12">
        <f t="shared" si="93"/>
        <v>112</v>
      </c>
    </row>
    <row r="652" spans="1:18" x14ac:dyDescent="0.15">
      <c r="A652" s="12">
        <v>634</v>
      </c>
      <c r="B652" s="12">
        <f t="shared" si="87"/>
        <v>4</v>
      </c>
      <c r="C652" s="12">
        <f t="shared" si="88"/>
        <v>0.62356000000000011</v>
      </c>
      <c r="D652" s="12">
        <f t="shared" si="89"/>
        <v>1.8670000000000075E-2</v>
      </c>
      <c r="E652" s="12">
        <f>SUM($D$19:D652)</f>
        <v>6.8235599999999987</v>
      </c>
      <c r="F652" s="12">
        <f t="shared" si="85"/>
        <v>66.383421509279003</v>
      </c>
      <c r="G652" s="12">
        <f t="shared" si="86"/>
        <v>57.510915666494995</v>
      </c>
      <c r="H652" s="12">
        <f t="shared" si="90"/>
        <v>238900</v>
      </c>
      <c r="I652" s="12">
        <f t="shared" si="91"/>
        <v>207000</v>
      </c>
      <c r="J652" s="12">
        <f>IF(A652&lt;[3]关卡对接!$A$4,INDEX([3]关卡对接!$C$7:$C$141,A652),MATCH(E652,人物经验!$H$24:$H$573,1))</f>
        <v>317</v>
      </c>
      <c r="K652" s="12">
        <f>IF([3]关卡对接!F640="",INT(INDEX(人物经验!$J$24:$J$573,关卡!J652)*关卡!$S$7),[3]关卡对接!F640)</f>
        <v>5892</v>
      </c>
      <c r="L652" s="12">
        <f t="shared" si="92"/>
        <v>1.6</v>
      </c>
      <c r="M652" s="12">
        <f>L652/[4]货币基础!$B$4</f>
        <v>160</v>
      </c>
      <c r="N652" s="12">
        <f>IF(A652&lt;[3]关卡对接!$A$4,INDEX([3]关卡对接!$E$7:$E$141,A652),MATCH(E652,人物经验!$H$24:$H$573,1))</f>
        <v>317</v>
      </c>
      <c r="O652" s="12">
        <f>INDEX([2]关卡!$G$6:$G$2005,A652)</f>
        <v>3</v>
      </c>
      <c r="P652" s="13">
        <v>6</v>
      </c>
      <c r="Q652" s="12">
        <f>INT(P652/$S$15/O652*VLOOKUP(J652,[1]人物技能基础!$N$3:$O$553,2,0)*$U$15)</f>
        <v>9</v>
      </c>
      <c r="R652" s="12">
        <f t="shared" si="93"/>
        <v>112</v>
      </c>
    </row>
    <row r="653" spans="1:18" x14ac:dyDescent="0.15">
      <c r="A653" s="12">
        <v>635</v>
      </c>
      <c r="B653" s="12">
        <f t="shared" si="87"/>
        <v>4</v>
      </c>
      <c r="C653" s="12">
        <f t="shared" si="88"/>
        <v>0.64224999999999999</v>
      </c>
      <c r="D653" s="12">
        <f t="shared" si="89"/>
        <v>1.8689999999999873E-2</v>
      </c>
      <c r="E653" s="12">
        <f>SUM($D$19:D653)</f>
        <v>6.8422499999999982</v>
      </c>
      <c r="F653" s="12">
        <f t="shared" si="85"/>
        <v>66.567643428085944</v>
      </c>
      <c r="G653" s="12">
        <f t="shared" si="86"/>
        <v>57.63721565996093</v>
      </c>
      <c r="H653" s="12">
        <f t="shared" si="90"/>
        <v>239600</v>
      </c>
      <c r="I653" s="12">
        <f t="shared" si="91"/>
        <v>207400</v>
      </c>
      <c r="J653" s="12">
        <f>IF(A653&lt;[3]关卡对接!$A$4,INDEX([3]关卡对接!$C$7:$C$141,A653),MATCH(E653,人物经验!$H$24:$H$573,1))</f>
        <v>317</v>
      </c>
      <c r="K653" s="12">
        <f>IF([3]关卡对接!F641="",INT(INDEX(人物经验!$J$24:$J$573,关卡!J653)*关卡!$S$7),[3]关卡对接!F641)</f>
        <v>5892</v>
      </c>
      <c r="L653" s="12">
        <f t="shared" si="92"/>
        <v>1.6</v>
      </c>
      <c r="M653" s="12">
        <f>L653/[4]货币基础!$B$4</f>
        <v>160</v>
      </c>
      <c r="N653" s="12">
        <f>IF(A653&lt;[3]关卡对接!$A$4,INDEX([3]关卡对接!$E$7:$E$141,A653),MATCH(E653,人物经验!$H$24:$H$573,1))</f>
        <v>317</v>
      </c>
      <c r="O653" s="12">
        <f>INDEX([2]关卡!$G$6:$G$2005,A653)</f>
        <v>3</v>
      </c>
      <c r="P653" s="13">
        <v>6</v>
      </c>
      <c r="Q653" s="12">
        <f>INT(P653/$S$15/O653*VLOOKUP(J653,[1]人物技能基础!$N$3:$O$553,2,0)*$U$15)</f>
        <v>9</v>
      </c>
      <c r="R653" s="12">
        <f t="shared" si="93"/>
        <v>112</v>
      </c>
    </row>
    <row r="654" spans="1:18" x14ac:dyDescent="0.15">
      <c r="A654" s="12">
        <v>636</v>
      </c>
      <c r="B654" s="12">
        <f t="shared" si="87"/>
        <v>4</v>
      </c>
      <c r="C654" s="12">
        <f t="shared" si="88"/>
        <v>0.66095999999999999</v>
      </c>
      <c r="D654" s="12">
        <f t="shared" si="89"/>
        <v>1.8710000000000004E-2</v>
      </c>
      <c r="E654" s="12">
        <f>SUM($D$19:D654)</f>
        <v>6.8609599999999986</v>
      </c>
      <c r="F654" s="12">
        <f t="shared" si="85"/>
        <v>66.752228887023989</v>
      </c>
      <c r="G654" s="12">
        <f t="shared" si="86"/>
        <v>57.763690820720008</v>
      </c>
      <c r="H654" s="12">
        <f t="shared" si="90"/>
        <v>240300</v>
      </c>
      <c r="I654" s="12">
        <f t="shared" si="91"/>
        <v>207900</v>
      </c>
      <c r="J654" s="12">
        <f>IF(A654&lt;[3]关卡对接!$A$4,INDEX([3]关卡对接!$C$7:$C$141,A654),MATCH(E654,人物经验!$H$24:$H$573,1))</f>
        <v>317</v>
      </c>
      <c r="K654" s="12">
        <f>IF([3]关卡对接!F642="",INT(INDEX(人物经验!$J$24:$J$573,关卡!J654)*关卡!$S$7),[3]关卡对接!F642)</f>
        <v>5892</v>
      </c>
      <c r="L654" s="12">
        <f t="shared" si="92"/>
        <v>1.6</v>
      </c>
      <c r="M654" s="12">
        <f>L654/[4]货币基础!$B$4</f>
        <v>160</v>
      </c>
      <c r="N654" s="12">
        <f>IF(A654&lt;[3]关卡对接!$A$4,INDEX([3]关卡对接!$E$7:$E$141,A654),MATCH(E654,人物经验!$H$24:$H$573,1))</f>
        <v>317</v>
      </c>
      <c r="O654" s="12">
        <f>INDEX([2]关卡!$G$6:$G$2005,A654)</f>
        <v>3</v>
      </c>
      <c r="P654" s="13">
        <v>6</v>
      </c>
      <c r="Q654" s="12">
        <f>INT(P654/$S$15/O654*VLOOKUP(J654,[1]人物技能基础!$N$3:$O$553,2,0)*$U$15)</f>
        <v>9</v>
      </c>
      <c r="R654" s="12">
        <f t="shared" si="93"/>
        <v>112</v>
      </c>
    </row>
    <row r="655" spans="1:18" x14ac:dyDescent="0.15">
      <c r="A655" s="12">
        <v>637</v>
      </c>
      <c r="B655" s="12">
        <f t="shared" si="87"/>
        <v>4</v>
      </c>
      <c r="C655" s="12">
        <f t="shared" si="88"/>
        <v>0.67969000000000002</v>
      </c>
      <c r="D655" s="12">
        <f t="shared" si="89"/>
        <v>1.8730000000000024E-2</v>
      </c>
      <c r="E655" s="12">
        <f>SUM($D$19:D655)</f>
        <v>6.8796899999999983</v>
      </c>
      <c r="F655" s="12">
        <f t="shared" si="85"/>
        <v>66.937178491439951</v>
      </c>
      <c r="G655" s="12">
        <f t="shared" si="86"/>
        <v>57.890341351830941</v>
      </c>
      <c r="H655" s="12">
        <f t="shared" si="90"/>
        <v>240900</v>
      </c>
      <c r="I655" s="12">
        <f t="shared" si="91"/>
        <v>208400</v>
      </c>
      <c r="J655" s="12">
        <f>IF(A655&lt;[3]关卡对接!$A$4,INDEX([3]关卡对接!$C$7:$C$141,A655),MATCH(E655,人物经验!$H$24:$H$573,1))</f>
        <v>317</v>
      </c>
      <c r="K655" s="12">
        <f>IF([3]关卡对接!F643="",INT(INDEX(人物经验!$J$24:$J$573,关卡!J655)*关卡!$S$7),[3]关卡对接!F643)</f>
        <v>5892</v>
      </c>
      <c r="L655" s="12">
        <f t="shared" si="92"/>
        <v>1.6</v>
      </c>
      <c r="M655" s="12">
        <f>L655/[4]货币基础!$B$4</f>
        <v>160</v>
      </c>
      <c r="N655" s="12">
        <f>IF(A655&lt;[3]关卡对接!$A$4,INDEX([3]关卡对接!$E$7:$E$141,A655),MATCH(E655,人物经验!$H$24:$H$573,1))</f>
        <v>317</v>
      </c>
      <c r="O655" s="12">
        <f>INDEX([2]关卡!$G$6:$G$2005,A655)</f>
        <v>3</v>
      </c>
      <c r="P655" s="13">
        <v>6</v>
      </c>
      <c r="Q655" s="12">
        <f>INT(P655/$S$15/O655*VLOOKUP(J655,[1]人物技能基础!$N$3:$O$553,2,0)*$U$15)</f>
        <v>9</v>
      </c>
      <c r="R655" s="12">
        <f t="shared" si="93"/>
        <v>112</v>
      </c>
    </row>
    <row r="656" spans="1:18" x14ac:dyDescent="0.15">
      <c r="A656" s="12">
        <v>638</v>
      </c>
      <c r="B656" s="12">
        <f t="shared" si="87"/>
        <v>4</v>
      </c>
      <c r="C656" s="12">
        <f t="shared" si="88"/>
        <v>0.69844000000000006</v>
      </c>
      <c r="D656" s="12">
        <f t="shared" si="89"/>
        <v>1.8750000000000044E-2</v>
      </c>
      <c r="E656" s="12">
        <f>SUM($D$19:D656)</f>
        <v>6.8984399999999981</v>
      </c>
      <c r="F656" s="12">
        <f t="shared" si="85"/>
        <v>67.122492847279005</v>
      </c>
      <c r="G656" s="12">
        <f t="shared" si="86"/>
        <v>58.017167456495002</v>
      </c>
      <c r="H656" s="12">
        <f t="shared" si="90"/>
        <v>241600</v>
      </c>
      <c r="I656" s="12">
        <f t="shared" si="91"/>
        <v>208800</v>
      </c>
      <c r="J656" s="12">
        <f>IF(A656&lt;[3]关卡对接!$A$4,INDEX([3]关卡对接!$C$7:$C$141,A656),MATCH(E656,人物经验!$H$24:$H$573,1))</f>
        <v>318</v>
      </c>
      <c r="K656" s="12">
        <f>IF([3]关卡对接!F644="",INT(INDEX(人物经验!$J$24:$J$573,关卡!J656)*关卡!$S$7),[3]关卡对接!F644)</f>
        <v>6024</v>
      </c>
      <c r="L656" s="12">
        <f t="shared" si="92"/>
        <v>1.6</v>
      </c>
      <c r="M656" s="12">
        <f>L656/[4]货币基础!$B$4</f>
        <v>160</v>
      </c>
      <c r="N656" s="12">
        <f>IF(A656&lt;[3]关卡对接!$A$4,INDEX([3]关卡对接!$E$7:$E$141,A656),MATCH(E656,人物经验!$H$24:$H$573,1))</f>
        <v>318</v>
      </c>
      <c r="O656" s="12">
        <f>INDEX([2]关卡!$G$6:$G$2005,A656)</f>
        <v>3</v>
      </c>
      <c r="P656" s="13">
        <v>6</v>
      </c>
      <c r="Q656" s="12">
        <f>INT(P656/$S$15/O656*VLOOKUP(J656,[1]人物技能基础!$N$3:$O$553,2,0)*$U$15)</f>
        <v>9</v>
      </c>
      <c r="R656" s="12">
        <f t="shared" si="93"/>
        <v>112</v>
      </c>
    </row>
    <row r="657" spans="1:18" x14ac:dyDescent="0.15">
      <c r="A657" s="12">
        <v>639</v>
      </c>
      <c r="B657" s="12">
        <f t="shared" si="87"/>
        <v>4</v>
      </c>
      <c r="C657" s="12">
        <f t="shared" si="88"/>
        <v>0.71721000000000013</v>
      </c>
      <c r="D657" s="12">
        <f t="shared" si="89"/>
        <v>1.8770000000000064E-2</v>
      </c>
      <c r="E657" s="12">
        <f>SUM($D$19:D657)</f>
        <v>6.9172099999999981</v>
      </c>
      <c r="F657" s="12">
        <f t="shared" si="85"/>
        <v>67.308172561084945</v>
      </c>
      <c r="G657" s="12">
        <f t="shared" si="86"/>
        <v>58.144169338055931</v>
      </c>
      <c r="H657" s="12">
        <f t="shared" si="90"/>
        <v>242300</v>
      </c>
      <c r="I657" s="12">
        <f t="shared" si="91"/>
        <v>209300</v>
      </c>
      <c r="J657" s="12">
        <f>IF(A657&lt;[3]关卡对接!$A$4,INDEX([3]关卡对接!$C$7:$C$141,A657),MATCH(E657,人物经验!$H$24:$H$573,1))</f>
        <v>318</v>
      </c>
      <c r="K657" s="12">
        <f>IF([3]关卡对接!F645="",INT(INDEX(人物经验!$J$24:$J$573,关卡!J657)*关卡!$S$7),[3]关卡对接!F645)</f>
        <v>6024</v>
      </c>
      <c r="L657" s="12">
        <f t="shared" si="92"/>
        <v>1.6</v>
      </c>
      <c r="M657" s="12">
        <f>L657/[4]货币基础!$B$4</f>
        <v>160</v>
      </c>
      <c r="N657" s="12">
        <f>IF(A657&lt;[3]关卡对接!$A$4,INDEX([3]关卡对接!$E$7:$E$141,A657),MATCH(E657,人物经验!$H$24:$H$573,1))</f>
        <v>318</v>
      </c>
      <c r="O657" s="12">
        <f>INDEX([2]关卡!$G$6:$G$2005,A657)</f>
        <v>3</v>
      </c>
      <c r="P657" s="13">
        <v>6</v>
      </c>
      <c r="Q657" s="12">
        <f>INT(P657/$S$15/O657*VLOOKUP(J657,[1]人物技能基础!$N$3:$O$553,2,0)*$U$15)</f>
        <v>9</v>
      </c>
      <c r="R657" s="12">
        <f t="shared" si="93"/>
        <v>112</v>
      </c>
    </row>
    <row r="658" spans="1:18" x14ac:dyDescent="0.15">
      <c r="A658" s="12">
        <v>640</v>
      </c>
      <c r="B658" s="12">
        <f t="shared" si="87"/>
        <v>4</v>
      </c>
      <c r="C658" s="12">
        <f t="shared" si="88"/>
        <v>0.7360000000000001</v>
      </c>
      <c r="D658" s="12">
        <f t="shared" si="89"/>
        <v>1.8789999999999973E-2</v>
      </c>
      <c r="E658" s="12">
        <f>SUM($D$19:D658)</f>
        <v>6.9359999999999982</v>
      </c>
      <c r="F658" s="12">
        <f t="shared" si="85"/>
        <v>67.494218239999995</v>
      </c>
      <c r="G658" s="12">
        <f t="shared" si="86"/>
        <v>58.271347199999994</v>
      </c>
      <c r="H658" s="12">
        <f t="shared" si="90"/>
        <v>242900</v>
      </c>
      <c r="I658" s="12">
        <f t="shared" si="91"/>
        <v>209700</v>
      </c>
      <c r="J658" s="12">
        <f>IF(A658&lt;[3]关卡对接!$A$4,INDEX([3]关卡对接!$C$7:$C$141,A658),MATCH(E658,人物经验!$H$24:$H$573,1))</f>
        <v>318</v>
      </c>
      <c r="K658" s="12">
        <f>IF([3]关卡对接!F646="",INT(INDEX(人物经验!$J$24:$J$573,关卡!J658)*关卡!$S$7),[3]关卡对接!F646)</f>
        <v>6024</v>
      </c>
      <c r="L658" s="12">
        <f t="shared" si="92"/>
        <v>1.6</v>
      </c>
      <c r="M658" s="12">
        <f>L658/[4]货币基础!$B$4</f>
        <v>160</v>
      </c>
      <c r="N658" s="12">
        <f>IF(A658&lt;[3]关卡对接!$A$4,INDEX([3]关卡对接!$E$7:$E$141,A658),MATCH(E658,人物经验!$H$24:$H$573,1))</f>
        <v>318</v>
      </c>
      <c r="O658" s="12">
        <f>INDEX([2]关卡!$G$6:$G$2005,A658)</f>
        <v>3</v>
      </c>
      <c r="P658" s="13">
        <v>6</v>
      </c>
      <c r="Q658" s="12">
        <f>INT(P658/$S$15/O658*VLOOKUP(J658,[1]人物技能基础!$N$3:$O$553,2,0)*$U$15)</f>
        <v>9</v>
      </c>
      <c r="R658" s="12">
        <f t="shared" si="93"/>
        <v>112</v>
      </c>
    </row>
    <row r="659" spans="1:18" x14ac:dyDescent="0.15">
      <c r="A659" s="12">
        <v>641</v>
      </c>
      <c r="B659" s="12">
        <f t="shared" si="87"/>
        <v>4</v>
      </c>
      <c r="C659" s="12">
        <f t="shared" si="88"/>
        <v>0.75480999999999998</v>
      </c>
      <c r="D659" s="12">
        <f t="shared" si="89"/>
        <v>1.8809999999999882E-2</v>
      </c>
      <c r="E659" s="12">
        <f>SUM($D$19:D659)</f>
        <v>6.9548099999999984</v>
      </c>
      <c r="F659" s="12">
        <f t="shared" ref="F659:F722" si="94">$L$7*($M$7+$N$7*($A659/$B$3)^1+$O$7*($A659/$B$3)^2+$P$7*($A659/$B$3)^3+$Q$7*($A659/$B$3)^4)</f>
        <v>67.680630491764944</v>
      </c>
      <c r="G659" s="12">
        <f t="shared" ref="G659:G722" si="95">$L$11*($M$11+$N$11*($A659/$B$3)^1+$O$11*($A659/$B$3)^2+$P$11*($A659/$B$3)^3+$Q$11*($A659/$B$3)^4)</f>
        <v>58.398701245955934</v>
      </c>
      <c r="H659" s="12">
        <f t="shared" si="90"/>
        <v>243600</v>
      </c>
      <c r="I659" s="12">
        <f t="shared" si="91"/>
        <v>210200</v>
      </c>
      <c r="J659" s="12">
        <f>IF(A659&lt;[3]关卡对接!$A$4,INDEX([3]关卡对接!$C$7:$C$141,A659),MATCH(E659,人物经验!$H$24:$H$573,1))</f>
        <v>318</v>
      </c>
      <c r="K659" s="12">
        <f>IF([3]关卡对接!F647="",INT(INDEX(人物经验!$J$24:$J$573,关卡!J659)*关卡!$S$7),[3]关卡对接!F647)</f>
        <v>6024</v>
      </c>
      <c r="L659" s="12">
        <f t="shared" si="92"/>
        <v>1.6</v>
      </c>
      <c r="M659" s="12">
        <f>L659/[4]货币基础!$B$4</f>
        <v>160</v>
      </c>
      <c r="N659" s="12">
        <f>IF(A659&lt;[3]关卡对接!$A$4,INDEX([3]关卡对接!$E$7:$E$141,A659),MATCH(E659,人物经验!$H$24:$H$573,1))</f>
        <v>318</v>
      </c>
      <c r="O659" s="12">
        <f>INDEX([2]关卡!$G$6:$G$2005,A659)</f>
        <v>3</v>
      </c>
      <c r="P659" s="13">
        <v>6</v>
      </c>
      <c r="Q659" s="12">
        <f>INT(P659/$S$15/O659*VLOOKUP(J659,[1]人物技能基础!$N$3:$O$553,2,0)*$U$15)</f>
        <v>9</v>
      </c>
      <c r="R659" s="12">
        <f t="shared" si="93"/>
        <v>112</v>
      </c>
    </row>
    <row r="660" spans="1:18" x14ac:dyDescent="0.15">
      <c r="A660" s="12">
        <v>642</v>
      </c>
      <c r="B660" s="12">
        <f t="shared" ref="B660:B723" si="96">MATCH($A660,$A$5:$A$15,1)-1</f>
        <v>4</v>
      </c>
      <c r="C660" s="12">
        <f t="shared" ref="C660:C723" si="97">INDEX($C$5:$C$15,$B660+1)*(INDEX($E$5:$E$15,$B660+1)+INDEX($F$5:$F$15,$B660+1)*(($A660-INDEX($A$5:$A$15,$B660+1)+1)/(INDEX($B$5:$B$15,$B660+1)-INDEX($A$5:$A$15,$B660+1)+1))^1+INDEX($G$5:$G$15,$B660+1)*(($A660-INDEX($A$5:$A$15,$B660+1)+1)/(INDEX($B$5:$B$15,$B660+1)-INDEX($A$5:$A$15,$B660+1)+1))^2+INDEX($H$5:$H$15,$B660+1)*(($A660-INDEX($A$5:$A$15,$B660+1)+1)/(INDEX($B$5:$B$15,$B660+1)-INDEX($A$5:$A$15,$B660+1)+1))^3+INDEX($I$5:$I$15,$B660+1)*(($A660-INDEX($A$5:$A$15,$B660+1)+1)/(INDEX($B$5:$B$15,$B660+1)-INDEX($A$5:$A$15,$B660+1)+1))^4)</f>
        <v>0.77363999999999999</v>
      </c>
      <c r="D660" s="12">
        <f t="shared" ref="D660:D723" si="98">IF(ISNA(MATCH(A660,$A$6:$A$15,0)),C660-C659,C660)</f>
        <v>1.8830000000000013E-2</v>
      </c>
      <c r="E660" s="12">
        <f>SUM($D$19:D660)</f>
        <v>6.9736399999999987</v>
      </c>
      <c r="F660" s="12">
        <f t="shared" si="94"/>
        <v>67.867409924719013</v>
      </c>
      <c r="G660" s="12">
        <f t="shared" si="95"/>
        <v>58.526231679695002</v>
      </c>
      <c r="H660" s="12">
        <f t="shared" ref="H660:H723" si="99">INT(F660*60*60/100)*100</f>
        <v>244300</v>
      </c>
      <c r="I660" s="12">
        <f t="shared" ref="I660:I723" si="100">INT(G660*60*60/100)*100</f>
        <v>210600</v>
      </c>
      <c r="J660" s="12">
        <f>IF(A660&lt;[3]关卡对接!$A$4,INDEX([3]关卡对接!$C$7:$C$141,A660),MATCH(E660,人物经验!$H$24:$H$573,1))</f>
        <v>318</v>
      </c>
      <c r="K660" s="12">
        <f>IF([3]关卡对接!F648="",INT(INDEX(人物经验!$J$24:$J$573,关卡!J660)*关卡!$S$7),[3]关卡对接!F648)</f>
        <v>6024</v>
      </c>
      <c r="L660" s="12">
        <f t="shared" ref="L660:L723" si="101">VLOOKUP(A660,$A$5:$J$15,10,1)</f>
        <v>1.6</v>
      </c>
      <c r="M660" s="12">
        <f>L660/[4]货币基础!$B$4</f>
        <v>160</v>
      </c>
      <c r="N660" s="12">
        <f>IF(A660&lt;[3]关卡对接!$A$4,INDEX([3]关卡对接!$E$7:$E$141,A660),MATCH(E660,人物经验!$H$24:$H$573,1))</f>
        <v>318</v>
      </c>
      <c r="O660" s="12">
        <f>INDEX([2]关卡!$G$6:$G$2005,A660)</f>
        <v>3</v>
      </c>
      <c r="P660" s="13">
        <v>6</v>
      </c>
      <c r="Q660" s="12">
        <f>INT(P660/$S$15/O660*VLOOKUP(J660,[1]人物技能基础!$N$3:$O$553,2,0)*$U$15)</f>
        <v>9</v>
      </c>
      <c r="R660" s="12">
        <f t="shared" ref="R660:R723" si="102">INT(Q660*12.5)</f>
        <v>112</v>
      </c>
    </row>
    <row r="661" spans="1:18" x14ac:dyDescent="0.15">
      <c r="A661" s="12">
        <v>643</v>
      </c>
      <c r="B661" s="12">
        <f t="shared" si="96"/>
        <v>4</v>
      </c>
      <c r="C661" s="12">
        <f t="shared" si="97"/>
        <v>0.79249000000000003</v>
      </c>
      <c r="D661" s="12">
        <f t="shared" si="98"/>
        <v>1.8850000000000033E-2</v>
      </c>
      <c r="E661" s="12">
        <f>SUM($D$19:D661)</f>
        <v>6.9924899999999983</v>
      </c>
      <c r="F661" s="12">
        <f t="shared" si="94"/>
        <v>68.05455714779994</v>
      </c>
      <c r="G661" s="12">
        <f t="shared" si="95"/>
        <v>58.653938705130933</v>
      </c>
      <c r="H661" s="12">
        <f t="shared" si="99"/>
        <v>244900</v>
      </c>
      <c r="I661" s="12">
        <f t="shared" si="100"/>
        <v>211100</v>
      </c>
      <c r="J661" s="12">
        <f>IF(A661&lt;[3]关卡对接!$A$4,INDEX([3]关卡对接!$C$7:$C$141,A661),MATCH(E661,人物经验!$H$24:$H$573,1))</f>
        <v>318</v>
      </c>
      <c r="K661" s="12">
        <f>IF([3]关卡对接!F649="",INT(INDEX(人物经验!$J$24:$J$573,关卡!J661)*关卡!$S$7),[3]关卡对接!F649)</f>
        <v>6024</v>
      </c>
      <c r="L661" s="12">
        <f t="shared" si="101"/>
        <v>1.6</v>
      </c>
      <c r="M661" s="12">
        <f>L661/[4]货币基础!$B$4</f>
        <v>160</v>
      </c>
      <c r="N661" s="12">
        <f>IF(A661&lt;[3]关卡对接!$A$4,INDEX([3]关卡对接!$E$7:$E$141,A661),MATCH(E661,人物经验!$H$24:$H$573,1))</f>
        <v>318</v>
      </c>
      <c r="O661" s="12">
        <f>INDEX([2]关卡!$G$6:$G$2005,A661)</f>
        <v>3</v>
      </c>
      <c r="P661" s="13">
        <v>6</v>
      </c>
      <c r="Q661" s="12">
        <f>INT(P661/$S$15/O661*VLOOKUP(J661,[1]人物技能基础!$N$3:$O$553,2,0)*$U$15)</f>
        <v>9</v>
      </c>
      <c r="R661" s="12">
        <f t="shared" si="102"/>
        <v>112</v>
      </c>
    </row>
    <row r="662" spans="1:18" x14ac:dyDescent="0.15">
      <c r="A662" s="12">
        <v>644</v>
      </c>
      <c r="B662" s="12">
        <f t="shared" si="96"/>
        <v>4</v>
      </c>
      <c r="C662" s="12">
        <f t="shared" si="97"/>
        <v>0.81136000000000008</v>
      </c>
      <c r="D662" s="12">
        <f t="shared" si="98"/>
        <v>1.8870000000000053E-2</v>
      </c>
      <c r="E662" s="12">
        <f>SUM($D$19:D662)</f>
        <v>7.011359999999998</v>
      </c>
      <c r="F662" s="12">
        <f t="shared" si="94"/>
        <v>68.242072770543999</v>
      </c>
      <c r="G662" s="12">
        <f t="shared" si="95"/>
        <v>58.781822526319999</v>
      </c>
      <c r="H662" s="12">
        <f t="shared" si="99"/>
        <v>245600</v>
      </c>
      <c r="I662" s="12">
        <f t="shared" si="100"/>
        <v>211600</v>
      </c>
      <c r="J662" s="12">
        <f>IF(A662&lt;[3]关卡对接!$A$4,INDEX([3]关卡对接!$C$7:$C$141,A662),MATCH(E662,人物经验!$H$24:$H$573,1))</f>
        <v>318</v>
      </c>
      <c r="K662" s="12">
        <f>IF([3]关卡对接!F650="",INT(INDEX(人物经验!$J$24:$J$573,关卡!J662)*关卡!$S$7),[3]关卡对接!F650)</f>
        <v>6024</v>
      </c>
      <c r="L662" s="12">
        <f t="shared" si="101"/>
        <v>1.6</v>
      </c>
      <c r="M662" s="12">
        <f>L662/[4]货币基础!$B$4</f>
        <v>160</v>
      </c>
      <c r="N662" s="12">
        <f>IF(A662&lt;[3]关卡对接!$A$4,INDEX([3]关卡对接!$E$7:$E$141,A662),MATCH(E662,人物经验!$H$24:$H$573,1))</f>
        <v>318</v>
      </c>
      <c r="O662" s="12">
        <f>INDEX([2]关卡!$G$6:$G$2005,A662)</f>
        <v>3</v>
      </c>
      <c r="P662" s="13">
        <v>6</v>
      </c>
      <c r="Q662" s="12">
        <f>INT(P662/$S$15/O662*VLOOKUP(J662,[1]人物技能基础!$N$3:$O$553,2,0)*$U$15)</f>
        <v>9</v>
      </c>
      <c r="R662" s="12">
        <f t="shared" si="102"/>
        <v>112</v>
      </c>
    </row>
    <row r="663" spans="1:18" x14ac:dyDescent="0.15">
      <c r="A663" s="12">
        <v>645</v>
      </c>
      <c r="B663" s="12">
        <f t="shared" si="96"/>
        <v>4</v>
      </c>
      <c r="C663" s="12">
        <f t="shared" si="97"/>
        <v>0.83025000000000004</v>
      </c>
      <c r="D663" s="12">
        <f t="shared" si="98"/>
        <v>1.8889999999999962E-2</v>
      </c>
      <c r="E663" s="12">
        <f>SUM($D$19:D663)</f>
        <v>7.0302499999999979</v>
      </c>
      <c r="F663" s="12">
        <f t="shared" si="94"/>
        <v>68.42995740308595</v>
      </c>
      <c r="G663" s="12">
        <f t="shared" si="95"/>
        <v>58.909883347460941</v>
      </c>
      <c r="H663" s="12">
        <f t="shared" si="99"/>
        <v>246300</v>
      </c>
      <c r="I663" s="12">
        <f t="shared" si="100"/>
        <v>212000</v>
      </c>
      <c r="J663" s="12">
        <f>IF(A663&lt;[3]关卡对接!$A$4,INDEX([3]关卡对接!$C$7:$C$141,A663),MATCH(E663,人物经验!$H$24:$H$573,1))</f>
        <v>319</v>
      </c>
      <c r="K663" s="12">
        <f>IF([3]关卡对接!F651="",INT(INDEX(人物经验!$J$24:$J$573,关卡!J663)*关卡!$S$7),[3]关卡对接!F651)</f>
        <v>6141</v>
      </c>
      <c r="L663" s="12">
        <f t="shared" si="101"/>
        <v>1.6</v>
      </c>
      <c r="M663" s="12">
        <f>L663/[4]货币基础!$B$4</f>
        <v>160</v>
      </c>
      <c r="N663" s="12">
        <f>IF(A663&lt;[3]关卡对接!$A$4,INDEX([3]关卡对接!$E$7:$E$141,A663),MATCH(E663,人物经验!$H$24:$H$573,1))</f>
        <v>319</v>
      </c>
      <c r="O663" s="12">
        <f>INDEX([2]关卡!$G$6:$G$2005,A663)</f>
        <v>3</v>
      </c>
      <c r="P663" s="13">
        <v>6</v>
      </c>
      <c r="Q663" s="12">
        <f>INT(P663/$S$15/O663*VLOOKUP(J663,[1]人物技能基础!$N$3:$O$553,2,0)*$U$15)</f>
        <v>9</v>
      </c>
      <c r="R663" s="12">
        <f t="shared" si="102"/>
        <v>112</v>
      </c>
    </row>
    <row r="664" spans="1:18" x14ac:dyDescent="0.15">
      <c r="A664" s="12">
        <v>646</v>
      </c>
      <c r="B664" s="12">
        <f t="shared" si="96"/>
        <v>4</v>
      </c>
      <c r="C664" s="12">
        <f t="shared" si="97"/>
        <v>0.84916000000000003</v>
      </c>
      <c r="D664" s="12">
        <f t="shared" si="98"/>
        <v>1.8909999999999982E-2</v>
      </c>
      <c r="E664" s="12">
        <f>SUM($D$19:D664)</f>
        <v>7.0491599999999979</v>
      </c>
      <c r="F664" s="12">
        <f t="shared" si="94"/>
        <v>68.618211656159019</v>
      </c>
      <c r="G664" s="12">
        <f t="shared" si="95"/>
        <v>59.038121372894999</v>
      </c>
      <c r="H664" s="12">
        <f t="shared" si="99"/>
        <v>247000</v>
      </c>
      <c r="I664" s="12">
        <f t="shared" si="100"/>
        <v>212500</v>
      </c>
      <c r="J664" s="12">
        <f>IF(A664&lt;[3]关卡对接!$A$4,INDEX([3]关卡对接!$C$7:$C$141,A664),MATCH(E664,人物经验!$H$24:$H$573,1))</f>
        <v>319</v>
      </c>
      <c r="K664" s="12">
        <f>IF([3]关卡对接!F652="",INT(INDEX(人物经验!$J$24:$J$573,关卡!J664)*关卡!$S$7),[3]关卡对接!F652)</f>
        <v>6141</v>
      </c>
      <c r="L664" s="12">
        <f t="shared" si="101"/>
        <v>1.6</v>
      </c>
      <c r="M664" s="12">
        <f>L664/[4]货币基础!$B$4</f>
        <v>160</v>
      </c>
      <c r="N664" s="12">
        <f>IF(A664&lt;[3]关卡对接!$A$4,INDEX([3]关卡对接!$E$7:$E$141,A664),MATCH(E664,人物经验!$H$24:$H$573,1))</f>
        <v>319</v>
      </c>
      <c r="O664" s="12">
        <f>INDEX([2]关卡!$G$6:$G$2005,A664)</f>
        <v>3</v>
      </c>
      <c r="P664" s="13">
        <v>6</v>
      </c>
      <c r="Q664" s="12">
        <f>INT(P664/$S$15/O664*VLOOKUP(J664,[1]人物技能基础!$N$3:$O$553,2,0)*$U$15)</f>
        <v>9</v>
      </c>
      <c r="R664" s="12">
        <f t="shared" si="102"/>
        <v>112</v>
      </c>
    </row>
    <row r="665" spans="1:18" x14ac:dyDescent="0.15">
      <c r="A665" s="12">
        <v>647</v>
      </c>
      <c r="B665" s="12">
        <f t="shared" si="96"/>
        <v>4</v>
      </c>
      <c r="C665" s="12">
        <f t="shared" si="97"/>
        <v>0.86809000000000003</v>
      </c>
      <c r="D665" s="12">
        <f t="shared" si="98"/>
        <v>1.8930000000000002E-2</v>
      </c>
      <c r="E665" s="12">
        <f>SUM($D$19:D665)</f>
        <v>7.068089999999998</v>
      </c>
      <c r="F665" s="12">
        <f t="shared" si="94"/>
        <v>68.806836141094948</v>
      </c>
      <c r="G665" s="12">
        <f t="shared" si="95"/>
        <v>59.166536807105935</v>
      </c>
      <c r="H665" s="12">
        <f t="shared" si="99"/>
        <v>247700</v>
      </c>
      <c r="I665" s="12">
        <f t="shared" si="100"/>
        <v>212900</v>
      </c>
      <c r="J665" s="12">
        <f>IF(A665&lt;[3]关卡对接!$A$4,INDEX([3]关卡对接!$C$7:$C$141,A665),MATCH(E665,人物经验!$H$24:$H$573,1))</f>
        <v>319</v>
      </c>
      <c r="K665" s="12">
        <f>IF([3]关卡对接!F653="",INT(INDEX(人物经验!$J$24:$J$573,关卡!J665)*关卡!$S$7),[3]关卡对接!F653)</f>
        <v>6141</v>
      </c>
      <c r="L665" s="12">
        <f t="shared" si="101"/>
        <v>1.6</v>
      </c>
      <c r="M665" s="12">
        <f>L665/[4]货币基础!$B$4</f>
        <v>160</v>
      </c>
      <c r="N665" s="12">
        <f>IF(A665&lt;[3]关卡对接!$A$4,INDEX([3]关卡对接!$E$7:$E$141,A665),MATCH(E665,人物经验!$H$24:$H$573,1))</f>
        <v>319</v>
      </c>
      <c r="O665" s="12">
        <f>INDEX([2]关卡!$G$6:$G$2005,A665)</f>
        <v>3</v>
      </c>
      <c r="P665" s="13">
        <v>6</v>
      </c>
      <c r="Q665" s="12">
        <f>INT(P665/$S$15/O665*VLOOKUP(J665,[1]人物技能基础!$N$3:$O$553,2,0)*$U$15)</f>
        <v>9</v>
      </c>
      <c r="R665" s="12">
        <f t="shared" si="102"/>
        <v>112</v>
      </c>
    </row>
    <row r="666" spans="1:18" x14ac:dyDescent="0.15">
      <c r="A666" s="12">
        <v>648</v>
      </c>
      <c r="B666" s="12">
        <f t="shared" si="96"/>
        <v>4</v>
      </c>
      <c r="C666" s="12">
        <f t="shared" si="97"/>
        <v>0.88703999999999994</v>
      </c>
      <c r="D666" s="12">
        <f t="shared" si="98"/>
        <v>1.8949999999999911E-2</v>
      </c>
      <c r="E666" s="12">
        <f>SUM($D$19:D666)</f>
        <v>7.0870399999999982</v>
      </c>
      <c r="F666" s="12">
        <f t="shared" si="94"/>
        <v>68.995831469824012</v>
      </c>
      <c r="G666" s="12">
        <f t="shared" si="95"/>
        <v>59.295129854720003</v>
      </c>
      <c r="H666" s="12">
        <f t="shared" si="99"/>
        <v>248300</v>
      </c>
      <c r="I666" s="12">
        <f t="shared" si="100"/>
        <v>213400</v>
      </c>
      <c r="J666" s="12">
        <f>IF(A666&lt;[3]关卡对接!$A$4,INDEX([3]关卡对接!$C$7:$C$141,A666),MATCH(E666,人物经验!$H$24:$H$573,1))</f>
        <v>319</v>
      </c>
      <c r="K666" s="12">
        <f>IF([3]关卡对接!F654="",INT(INDEX(人物经验!$J$24:$J$573,关卡!J666)*关卡!$S$7),[3]关卡对接!F654)</f>
        <v>6141</v>
      </c>
      <c r="L666" s="12">
        <f t="shared" si="101"/>
        <v>1.6</v>
      </c>
      <c r="M666" s="12">
        <f>L666/[4]货币基础!$B$4</f>
        <v>160</v>
      </c>
      <c r="N666" s="12">
        <f>IF(A666&lt;[3]关卡对接!$A$4,INDEX([3]关卡对接!$E$7:$E$141,A666),MATCH(E666,人物经验!$H$24:$H$573,1))</f>
        <v>319</v>
      </c>
      <c r="O666" s="12">
        <f>INDEX([2]关卡!$G$6:$G$2005,A666)</f>
        <v>3</v>
      </c>
      <c r="P666" s="13">
        <v>6</v>
      </c>
      <c r="Q666" s="12">
        <f>INT(P666/$S$15/O666*VLOOKUP(J666,[1]人物技能基础!$N$3:$O$553,2,0)*$U$15)</f>
        <v>9</v>
      </c>
      <c r="R666" s="12">
        <f t="shared" si="102"/>
        <v>112</v>
      </c>
    </row>
    <row r="667" spans="1:18" x14ac:dyDescent="0.15">
      <c r="A667" s="12">
        <v>649</v>
      </c>
      <c r="B667" s="12">
        <f t="shared" si="96"/>
        <v>4</v>
      </c>
      <c r="C667" s="12">
        <f t="shared" si="97"/>
        <v>0.90600999999999998</v>
      </c>
      <c r="D667" s="12">
        <f t="shared" si="98"/>
        <v>1.8970000000000042E-2</v>
      </c>
      <c r="E667" s="12">
        <f>SUM($D$19:D667)</f>
        <v>7.1060099999999986</v>
      </c>
      <c r="F667" s="12">
        <f t="shared" si="94"/>
        <v>69.185198254874933</v>
      </c>
      <c r="G667" s="12">
        <f t="shared" si="95"/>
        <v>59.423900720505927</v>
      </c>
      <c r="H667" s="12">
        <f t="shared" si="99"/>
        <v>249000</v>
      </c>
      <c r="I667" s="12">
        <f t="shared" si="100"/>
        <v>213900</v>
      </c>
      <c r="J667" s="12">
        <f>IF(A667&lt;[3]关卡对接!$A$4,INDEX([3]关卡对接!$C$7:$C$141,A667),MATCH(E667,人物经验!$H$24:$H$573,1))</f>
        <v>319</v>
      </c>
      <c r="K667" s="12">
        <f>IF([3]关卡对接!F655="",INT(INDEX(人物经验!$J$24:$J$573,关卡!J667)*关卡!$S$7),[3]关卡对接!F655)</f>
        <v>6141</v>
      </c>
      <c r="L667" s="12">
        <f t="shared" si="101"/>
        <v>1.6</v>
      </c>
      <c r="M667" s="12">
        <f>L667/[4]货币基础!$B$4</f>
        <v>160</v>
      </c>
      <c r="N667" s="12">
        <f>IF(A667&lt;[3]关卡对接!$A$4,INDEX([3]关卡对接!$E$7:$E$141,A667),MATCH(E667,人物经验!$H$24:$H$573,1))</f>
        <v>319</v>
      </c>
      <c r="O667" s="12">
        <f>INDEX([2]关卡!$G$6:$G$2005,A667)</f>
        <v>3</v>
      </c>
      <c r="P667" s="13">
        <v>6</v>
      </c>
      <c r="Q667" s="12">
        <f>INT(P667/$S$15/O667*VLOOKUP(J667,[1]人物技能基础!$N$3:$O$553,2,0)*$U$15)</f>
        <v>9</v>
      </c>
      <c r="R667" s="12">
        <f t="shared" si="102"/>
        <v>112</v>
      </c>
    </row>
    <row r="668" spans="1:18" x14ac:dyDescent="0.15">
      <c r="A668" s="12">
        <v>650</v>
      </c>
      <c r="B668" s="12">
        <f t="shared" si="96"/>
        <v>4</v>
      </c>
      <c r="C668" s="12">
        <f t="shared" si="97"/>
        <v>0.92500000000000004</v>
      </c>
      <c r="D668" s="12">
        <f t="shared" si="98"/>
        <v>1.8990000000000062E-2</v>
      </c>
      <c r="E668" s="12">
        <f>SUM($D$19:D668)</f>
        <v>7.1249999999999982</v>
      </c>
      <c r="F668" s="12">
        <f t="shared" si="94"/>
        <v>69.374937109375026</v>
      </c>
      <c r="G668" s="12">
        <f t="shared" si="95"/>
        <v>59.552849609375002</v>
      </c>
      <c r="H668" s="12">
        <f t="shared" si="99"/>
        <v>249700</v>
      </c>
      <c r="I668" s="12">
        <f t="shared" si="100"/>
        <v>214300</v>
      </c>
      <c r="J668" s="12">
        <f>IF(A668&lt;[3]关卡对接!$A$4,INDEX([3]关卡对接!$C$7:$C$141,A668),MATCH(E668,人物经验!$H$24:$H$573,1))</f>
        <v>319</v>
      </c>
      <c r="K668" s="12">
        <f>IF([3]关卡对接!F656="",INT(INDEX(人物经验!$J$24:$J$573,关卡!J668)*关卡!$S$7),[3]关卡对接!F656)</f>
        <v>6141</v>
      </c>
      <c r="L668" s="12">
        <f t="shared" si="101"/>
        <v>1.6</v>
      </c>
      <c r="M668" s="12">
        <f>L668/[4]货币基础!$B$4</f>
        <v>160</v>
      </c>
      <c r="N668" s="12">
        <f>IF(A668&lt;[3]关卡对接!$A$4,INDEX([3]关卡对接!$E$7:$E$141,A668),MATCH(E668,人物经验!$H$24:$H$573,1))</f>
        <v>319</v>
      </c>
      <c r="O668" s="12">
        <f>INDEX([2]关卡!$G$6:$G$2005,A668)</f>
        <v>3</v>
      </c>
      <c r="P668" s="13">
        <v>6</v>
      </c>
      <c r="Q668" s="12">
        <f>INT(P668/$S$15/O668*VLOOKUP(J668,[1]人物技能基础!$N$3:$O$553,2,0)*$U$15)</f>
        <v>9</v>
      </c>
      <c r="R668" s="12">
        <f t="shared" si="102"/>
        <v>112</v>
      </c>
    </row>
    <row r="669" spans="1:18" x14ac:dyDescent="0.15">
      <c r="A669" s="12">
        <v>651</v>
      </c>
      <c r="B669" s="12">
        <f t="shared" si="96"/>
        <v>4</v>
      </c>
      <c r="C669" s="12">
        <f t="shared" si="97"/>
        <v>0.94401000000000002</v>
      </c>
      <c r="D669" s="12">
        <f t="shared" si="98"/>
        <v>1.9009999999999971E-2</v>
      </c>
      <c r="E669" s="12">
        <f>SUM($D$19:D669)</f>
        <v>7.144009999999998</v>
      </c>
      <c r="F669" s="12">
        <f t="shared" si="94"/>
        <v>69.565048647049949</v>
      </c>
      <c r="G669" s="12">
        <f t="shared" si="95"/>
        <v>59.681976726380938</v>
      </c>
      <c r="H669" s="12">
        <f t="shared" si="99"/>
        <v>250400</v>
      </c>
      <c r="I669" s="12">
        <f t="shared" si="100"/>
        <v>214800</v>
      </c>
      <c r="J669" s="12">
        <f>IF(A669&lt;[3]关卡对接!$A$4,INDEX([3]关卡对接!$C$7:$C$141,A669),MATCH(E669,人物经验!$H$24:$H$573,1))</f>
        <v>319</v>
      </c>
      <c r="K669" s="12">
        <f>IF([3]关卡对接!F657="",INT(INDEX(人物经验!$J$24:$J$573,关卡!J669)*关卡!$S$7),[3]关卡对接!F657)</f>
        <v>6141</v>
      </c>
      <c r="L669" s="12">
        <f t="shared" si="101"/>
        <v>1.6</v>
      </c>
      <c r="M669" s="12">
        <f>L669/[4]货币基础!$B$4</f>
        <v>160</v>
      </c>
      <c r="N669" s="12">
        <f>IF(A669&lt;[3]关卡对接!$A$4,INDEX([3]关卡对接!$E$7:$E$141,A669),MATCH(E669,人物经验!$H$24:$H$573,1))</f>
        <v>319</v>
      </c>
      <c r="O669" s="12">
        <f>INDEX([2]关卡!$G$6:$G$2005,A669)</f>
        <v>3</v>
      </c>
      <c r="P669" s="13">
        <v>6</v>
      </c>
      <c r="Q669" s="12">
        <f>INT(P669/$S$15/O669*VLOOKUP(J669,[1]人物技能基础!$N$3:$O$553,2,0)*$U$15)</f>
        <v>9</v>
      </c>
      <c r="R669" s="12">
        <f t="shared" si="102"/>
        <v>112</v>
      </c>
    </row>
    <row r="670" spans="1:18" x14ac:dyDescent="0.15">
      <c r="A670" s="12">
        <v>652</v>
      </c>
      <c r="B670" s="12">
        <f t="shared" si="96"/>
        <v>4</v>
      </c>
      <c r="C670" s="12">
        <f t="shared" si="97"/>
        <v>0.96304000000000001</v>
      </c>
      <c r="D670" s="12">
        <f t="shared" si="98"/>
        <v>1.9029999999999991E-2</v>
      </c>
      <c r="E670" s="12">
        <f>SUM($D$19:D670)</f>
        <v>7.1630399999999979</v>
      </c>
      <c r="F670" s="12">
        <f t="shared" si="94"/>
        <v>69.75553348222401</v>
      </c>
      <c r="G670" s="12">
        <f t="shared" si="95"/>
        <v>59.81128227672</v>
      </c>
      <c r="H670" s="12">
        <f t="shared" si="99"/>
        <v>251100</v>
      </c>
      <c r="I670" s="12">
        <f t="shared" si="100"/>
        <v>215300</v>
      </c>
      <c r="J670" s="12">
        <f>IF(A670&lt;[3]关卡对接!$A$4,INDEX([3]关卡对接!$C$7:$C$141,A670),MATCH(E670,人物经验!$H$24:$H$573,1))</f>
        <v>319</v>
      </c>
      <c r="K670" s="12">
        <f>IF([3]关卡对接!F658="",INT(INDEX(人物经验!$J$24:$J$573,关卡!J670)*关卡!$S$7),[3]关卡对接!F658)</f>
        <v>6141</v>
      </c>
      <c r="L670" s="12">
        <f t="shared" si="101"/>
        <v>1.6</v>
      </c>
      <c r="M670" s="12">
        <f>L670/[4]货币基础!$B$4</f>
        <v>160</v>
      </c>
      <c r="N670" s="12">
        <f>IF(A670&lt;[3]关卡对接!$A$4,INDEX([3]关卡对接!$E$7:$E$141,A670),MATCH(E670,人物经验!$H$24:$H$573,1))</f>
        <v>319</v>
      </c>
      <c r="O670" s="12">
        <f>INDEX([2]关卡!$G$6:$G$2005,A670)</f>
        <v>3</v>
      </c>
      <c r="P670" s="13">
        <v>6</v>
      </c>
      <c r="Q670" s="12">
        <f>INT(P670/$S$15/O670*VLOOKUP(J670,[1]人物技能基础!$N$3:$O$553,2,0)*$U$15)</f>
        <v>9</v>
      </c>
      <c r="R670" s="12">
        <f t="shared" si="102"/>
        <v>112</v>
      </c>
    </row>
    <row r="671" spans="1:18" x14ac:dyDescent="0.15">
      <c r="A671" s="12">
        <v>653</v>
      </c>
      <c r="B671" s="12">
        <f t="shared" si="96"/>
        <v>4</v>
      </c>
      <c r="C671" s="12">
        <f t="shared" si="97"/>
        <v>0.98209000000000013</v>
      </c>
      <c r="D671" s="12">
        <f t="shared" si="98"/>
        <v>1.9050000000000122E-2</v>
      </c>
      <c r="E671" s="12">
        <f>SUM($D$19:D671)</f>
        <v>7.1820899999999979</v>
      </c>
      <c r="F671" s="12">
        <f t="shared" si="94"/>
        <v>69.946392229819949</v>
      </c>
      <c r="G671" s="12">
        <f t="shared" si="95"/>
        <v>59.940766465730938</v>
      </c>
      <c r="H671" s="12">
        <f t="shared" si="99"/>
        <v>251800</v>
      </c>
      <c r="I671" s="12">
        <f t="shared" si="100"/>
        <v>215700</v>
      </c>
      <c r="J671" s="12">
        <f>IF(A671&lt;[3]关卡对接!$A$4,INDEX([3]关卡对接!$C$7:$C$141,A671),MATCH(E671,人物经验!$H$24:$H$573,1))</f>
        <v>320</v>
      </c>
      <c r="K671" s="12">
        <f>IF([3]关卡对接!F659="",INT(INDEX(人物经验!$J$24:$J$573,关卡!J671)*关卡!$S$7),[3]关卡对接!F659)</f>
        <v>6277</v>
      </c>
      <c r="L671" s="12">
        <f t="shared" si="101"/>
        <v>1.6</v>
      </c>
      <c r="M671" s="12">
        <f>L671/[4]货币基础!$B$4</f>
        <v>160</v>
      </c>
      <c r="N671" s="12">
        <f>IF(A671&lt;[3]关卡对接!$A$4,INDEX([3]关卡对接!$E$7:$E$141,A671),MATCH(E671,人物经验!$H$24:$H$573,1))</f>
        <v>320</v>
      </c>
      <c r="O671" s="12">
        <f>INDEX([2]关卡!$G$6:$G$2005,A671)</f>
        <v>3</v>
      </c>
      <c r="P671" s="13">
        <v>6</v>
      </c>
      <c r="Q671" s="12">
        <f>INT(P671/$S$15/O671*VLOOKUP(J671,[1]人物技能基础!$N$3:$O$553,2,0)*$U$15)</f>
        <v>9</v>
      </c>
      <c r="R671" s="12">
        <f t="shared" si="102"/>
        <v>112</v>
      </c>
    </row>
    <row r="672" spans="1:18" x14ac:dyDescent="0.15">
      <c r="A672" s="12">
        <v>654</v>
      </c>
      <c r="B672" s="12">
        <f t="shared" si="96"/>
        <v>4</v>
      </c>
      <c r="C672" s="12">
        <f t="shared" si="97"/>
        <v>1.00116</v>
      </c>
      <c r="D672" s="12">
        <f t="shared" si="98"/>
        <v>1.906999999999992E-2</v>
      </c>
      <c r="E672" s="12">
        <f>SUM($D$19:D672)</f>
        <v>7.201159999999998</v>
      </c>
      <c r="F672" s="12">
        <f t="shared" si="94"/>
        <v>70.137625505359011</v>
      </c>
      <c r="G672" s="12">
        <f t="shared" si="95"/>
        <v>60.070429498895002</v>
      </c>
      <c r="H672" s="12">
        <f t="shared" si="99"/>
        <v>252400</v>
      </c>
      <c r="I672" s="12">
        <f t="shared" si="100"/>
        <v>216200</v>
      </c>
      <c r="J672" s="12">
        <f>IF(A672&lt;[3]关卡对接!$A$4,INDEX([3]关卡对接!$C$7:$C$141,A672),MATCH(E672,人物经验!$H$24:$H$573,1))</f>
        <v>320</v>
      </c>
      <c r="K672" s="12">
        <f>IF([3]关卡对接!F660="",INT(INDEX(人物经验!$J$24:$J$573,关卡!J672)*关卡!$S$7),[3]关卡对接!F660)</f>
        <v>6277</v>
      </c>
      <c r="L672" s="12">
        <f t="shared" si="101"/>
        <v>1.6</v>
      </c>
      <c r="M672" s="12">
        <f>L672/[4]货币基础!$B$4</f>
        <v>160</v>
      </c>
      <c r="N672" s="12">
        <f>IF(A672&lt;[3]关卡对接!$A$4,INDEX([3]关卡对接!$E$7:$E$141,A672),MATCH(E672,人物经验!$H$24:$H$573,1))</f>
        <v>320</v>
      </c>
      <c r="O672" s="12">
        <f>INDEX([2]关卡!$G$6:$G$2005,A672)</f>
        <v>3</v>
      </c>
      <c r="P672" s="13">
        <v>6</v>
      </c>
      <c r="Q672" s="12">
        <f>INT(P672/$S$15/O672*VLOOKUP(J672,[1]人物技能基础!$N$3:$O$553,2,0)*$U$15)</f>
        <v>9</v>
      </c>
      <c r="R672" s="12">
        <f t="shared" si="102"/>
        <v>112</v>
      </c>
    </row>
    <row r="673" spans="1:18" x14ac:dyDescent="0.15">
      <c r="A673" s="12">
        <v>655</v>
      </c>
      <c r="B673" s="12">
        <f t="shared" si="96"/>
        <v>4</v>
      </c>
      <c r="C673" s="12">
        <f t="shared" si="97"/>
        <v>1.0202500000000001</v>
      </c>
      <c r="D673" s="12">
        <f t="shared" si="98"/>
        <v>1.9090000000000051E-2</v>
      </c>
      <c r="E673" s="12">
        <f>SUM($D$19:D673)</f>
        <v>7.2202499999999983</v>
      </c>
      <c r="F673" s="12">
        <f t="shared" si="94"/>
        <v>70.32923392496096</v>
      </c>
      <c r="G673" s="12">
        <f t="shared" si="95"/>
        <v>60.200271581835949</v>
      </c>
      <c r="H673" s="12">
        <f t="shared" si="99"/>
        <v>253100</v>
      </c>
      <c r="I673" s="12">
        <f t="shared" si="100"/>
        <v>216700</v>
      </c>
      <c r="J673" s="12">
        <f>IF(A673&lt;[3]关卡对接!$A$4,INDEX([3]关卡对接!$C$7:$C$141,A673),MATCH(E673,人物经验!$H$24:$H$573,1))</f>
        <v>320</v>
      </c>
      <c r="K673" s="12">
        <f>IF([3]关卡对接!F661="",INT(INDEX(人物经验!$J$24:$J$573,关卡!J673)*关卡!$S$7),[3]关卡对接!F661)</f>
        <v>6277</v>
      </c>
      <c r="L673" s="12">
        <f t="shared" si="101"/>
        <v>1.6</v>
      </c>
      <c r="M673" s="12">
        <f>L673/[4]货币基础!$B$4</f>
        <v>160</v>
      </c>
      <c r="N673" s="12">
        <f>IF(A673&lt;[3]关卡对接!$A$4,INDEX([3]关卡对接!$E$7:$E$141,A673),MATCH(E673,人物经验!$H$24:$H$573,1))</f>
        <v>320</v>
      </c>
      <c r="O673" s="12">
        <f>INDEX([2]关卡!$G$6:$G$2005,A673)</f>
        <v>3</v>
      </c>
      <c r="P673" s="13">
        <v>6</v>
      </c>
      <c r="Q673" s="12">
        <f>INT(P673/$S$15/O673*VLOOKUP(J673,[1]人物技能基础!$N$3:$O$553,2,0)*$U$15)</f>
        <v>9</v>
      </c>
      <c r="R673" s="12">
        <f t="shared" si="102"/>
        <v>112</v>
      </c>
    </row>
    <row r="674" spans="1:18" x14ac:dyDescent="0.15">
      <c r="A674" s="12">
        <v>656</v>
      </c>
      <c r="B674" s="12">
        <f t="shared" si="96"/>
        <v>4</v>
      </c>
      <c r="C674" s="12">
        <f t="shared" si="97"/>
        <v>1.0393600000000003</v>
      </c>
      <c r="D674" s="12">
        <f t="shared" si="98"/>
        <v>1.9110000000000182E-2</v>
      </c>
      <c r="E674" s="12">
        <f>SUM($D$19:D674)</f>
        <v>7.2393599999999987</v>
      </c>
      <c r="F674" s="12">
        <f t="shared" si="94"/>
        <v>70.521218105344005</v>
      </c>
      <c r="G674" s="12">
        <f t="shared" si="95"/>
        <v>60.330292920320005</v>
      </c>
      <c r="H674" s="12">
        <f t="shared" si="99"/>
        <v>253800</v>
      </c>
      <c r="I674" s="12">
        <f t="shared" si="100"/>
        <v>217100</v>
      </c>
      <c r="J674" s="12">
        <f>IF(A674&lt;[3]关卡对接!$A$4,INDEX([3]关卡对接!$C$7:$C$141,A674),MATCH(E674,人物经验!$H$24:$H$573,1))</f>
        <v>320</v>
      </c>
      <c r="K674" s="12">
        <f>IF([3]关卡对接!F662="",INT(INDEX(人物经验!$J$24:$J$573,关卡!J674)*关卡!$S$7),[3]关卡对接!F662)</f>
        <v>6277</v>
      </c>
      <c r="L674" s="12">
        <f t="shared" si="101"/>
        <v>1.6</v>
      </c>
      <c r="M674" s="12">
        <f>L674/[4]货币基础!$B$4</f>
        <v>160</v>
      </c>
      <c r="N674" s="12">
        <f>IF(A674&lt;[3]关卡对接!$A$4,INDEX([3]关卡对接!$E$7:$E$141,A674),MATCH(E674,人物经验!$H$24:$H$573,1))</f>
        <v>320</v>
      </c>
      <c r="O674" s="12">
        <f>INDEX([2]关卡!$G$6:$G$2005,A674)</f>
        <v>3</v>
      </c>
      <c r="P674" s="13">
        <v>6</v>
      </c>
      <c r="Q674" s="12">
        <f>INT(P674/$S$15/O674*VLOOKUP(J674,[1]人物技能基础!$N$3:$O$553,2,0)*$U$15)</f>
        <v>9</v>
      </c>
      <c r="R674" s="12">
        <f t="shared" si="102"/>
        <v>112</v>
      </c>
    </row>
    <row r="675" spans="1:18" x14ac:dyDescent="0.15">
      <c r="A675" s="12">
        <v>657</v>
      </c>
      <c r="B675" s="12">
        <f t="shared" si="96"/>
        <v>4</v>
      </c>
      <c r="C675" s="12">
        <f t="shared" si="97"/>
        <v>1.0584899999999999</v>
      </c>
      <c r="D675" s="12">
        <f t="shared" si="98"/>
        <v>1.9129999999999647E-2</v>
      </c>
      <c r="E675" s="12">
        <f>SUM($D$19:D675)</f>
        <v>7.2584899999999983</v>
      </c>
      <c r="F675" s="12">
        <f t="shared" si="94"/>
        <v>70.713578663824947</v>
      </c>
      <c r="G675" s="12">
        <f t="shared" si="95"/>
        <v>60.46049372025594</v>
      </c>
      <c r="H675" s="12">
        <f t="shared" si="99"/>
        <v>254500</v>
      </c>
      <c r="I675" s="12">
        <f t="shared" si="100"/>
        <v>217600</v>
      </c>
      <c r="J675" s="12">
        <f>IF(A675&lt;[3]关卡对接!$A$4,INDEX([3]关卡对接!$C$7:$C$141,A675),MATCH(E675,人物经验!$H$24:$H$573,1))</f>
        <v>320</v>
      </c>
      <c r="K675" s="12">
        <f>IF([3]关卡对接!F663="",INT(INDEX(人物经验!$J$24:$J$573,关卡!J675)*关卡!$S$7),[3]关卡对接!F663)</f>
        <v>6277</v>
      </c>
      <c r="L675" s="12">
        <f t="shared" si="101"/>
        <v>1.6</v>
      </c>
      <c r="M675" s="12">
        <f>L675/[4]货币基础!$B$4</f>
        <v>160</v>
      </c>
      <c r="N675" s="12">
        <f>IF(A675&lt;[3]关卡对接!$A$4,INDEX([3]关卡对接!$E$7:$E$141,A675),MATCH(E675,人物经验!$H$24:$H$573,1))</f>
        <v>320</v>
      </c>
      <c r="O675" s="12">
        <f>INDEX([2]关卡!$G$6:$G$2005,A675)</f>
        <v>3</v>
      </c>
      <c r="P675" s="13">
        <v>6</v>
      </c>
      <c r="Q675" s="12">
        <f>INT(P675/$S$15/O675*VLOOKUP(J675,[1]人物技能基础!$N$3:$O$553,2,0)*$U$15)</f>
        <v>9</v>
      </c>
      <c r="R675" s="12">
        <f t="shared" si="102"/>
        <v>112</v>
      </c>
    </row>
    <row r="676" spans="1:18" x14ac:dyDescent="0.15">
      <c r="A676" s="12">
        <v>658</v>
      </c>
      <c r="B676" s="12">
        <f t="shared" si="96"/>
        <v>4</v>
      </c>
      <c r="C676" s="12">
        <f t="shared" si="97"/>
        <v>1.0776399999999999</v>
      </c>
      <c r="D676" s="12">
        <f t="shared" si="98"/>
        <v>1.915E-2</v>
      </c>
      <c r="E676" s="12">
        <f>SUM($D$19:D676)</f>
        <v>7.2776399999999981</v>
      </c>
      <c r="F676" s="12">
        <f t="shared" si="94"/>
        <v>70.906316218319006</v>
      </c>
      <c r="G676" s="12">
        <f t="shared" si="95"/>
        <v>60.590874187695007</v>
      </c>
      <c r="H676" s="12">
        <f t="shared" si="99"/>
        <v>255200</v>
      </c>
      <c r="I676" s="12">
        <f t="shared" si="100"/>
        <v>218100</v>
      </c>
      <c r="J676" s="12">
        <f>IF(A676&lt;[3]关卡对接!$A$4,INDEX([3]关卡对接!$C$7:$C$141,A676),MATCH(E676,人物经验!$H$24:$H$573,1))</f>
        <v>320</v>
      </c>
      <c r="K676" s="12">
        <f>IF([3]关卡对接!F664="",INT(INDEX(人物经验!$J$24:$J$573,关卡!J676)*关卡!$S$7),[3]关卡对接!F664)</f>
        <v>6277</v>
      </c>
      <c r="L676" s="12">
        <f t="shared" si="101"/>
        <v>1.6</v>
      </c>
      <c r="M676" s="12">
        <f>L676/[4]货币基础!$B$4</f>
        <v>160</v>
      </c>
      <c r="N676" s="12">
        <f>IF(A676&lt;[3]关卡对接!$A$4,INDEX([3]关卡对接!$E$7:$E$141,A676),MATCH(E676,人物经验!$H$24:$H$573,1))</f>
        <v>320</v>
      </c>
      <c r="O676" s="12">
        <f>INDEX([2]关卡!$G$6:$G$2005,A676)</f>
        <v>3</v>
      </c>
      <c r="P676" s="13">
        <v>6</v>
      </c>
      <c r="Q676" s="12">
        <f>INT(P676/$S$15/O676*VLOOKUP(J676,[1]人物技能基础!$N$3:$O$553,2,0)*$U$15)</f>
        <v>9</v>
      </c>
      <c r="R676" s="12">
        <f t="shared" si="102"/>
        <v>112</v>
      </c>
    </row>
    <row r="677" spans="1:18" x14ac:dyDescent="0.15">
      <c r="A677" s="12">
        <v>659</v>
      </c>
      <c r="B677" s="12">
        <f t="shared" si="96"/>
        <v>4</v>
      </c>
      <c r="C677" s="12">
        <f t="shared" si="97"/>
        <v>1.0968100000000001</v>
      </c>
      <c r="D677" s="12">
        <f t="shared" si="98"/>
        <v>1.9170000000000131E-2</v>
      </c>
      <c r="E677" s="12">
        <f>SUM($D$19:D677)</f>
        <v>7.296809999999998</v>
      </c>
      <c r="F677" s="12">
        <f t="shared" si="94"/>
        <v>71.099431387339948</v>
      </c>
      <c r="G677" s="12">
        <f t="shared" si="95"/>
        <v>60.72143452883094</v>
      </c>
      <c r="H677" s="12">
        <f t="shared" si="99"/>
        <v>255900</v>
      </c>
      <c r="I677" s="12">
        <f t="shared" si="100"/>
        <v>218500</v>
      </c>
      <c r="J677" s="12">
        <f>IF(A677&lt;[3]关卡对接!$A$4,INDEX([3]关卡对接!$C$7:$C$141,A677),MATCH(E677,人物经验!$H$24:$H$573,1))</f>
        <v>320</v>
      </c>
      <c r="K677" s="12">
        <f>IF([3]关卡对接!F665="",INT(INDEX(人物经验!$J$24:$J$573,关卡!J677)*关卡!$S$7),[3]关卡对接!F665)</f>
        <v>6277</v>
      </c>
      <c r="L677" s="12">
        <f t="shared" si="101"/>
        <v>1.6</v>
      </c>
      <c r="M677" s="12">
        <f>L677/[4]货币基础!$B$4</f>
        <v>160</v>
      </c>
      <c r="N677" s="12">
        <f>IF(A677&lt;[3]关卡对接!$A$4,INDEX([3]关卡对接!$E$7:$E$141,A677),MATCH(E677,人物经验!$H$24:$H$573,1))</f>
        <v>320</v>
      </c>
      <c r="O677" s="12">
        <f>INDEX([2]关卡!$G$6:$G$2005,A677)</f>
        <v>3</v>
      </c>
      <c r="P677" s="13">
        <v>6</v>
      </c>
      <c r="Q677" s="12">
        <f>INT(P677/$S$15/O677*VLOOKUP(J677,[1]人物技能基础!$N$3:$O$553,2,0)*$U$15)</f>
        <v>9</v>
      </c>
      <c r="R677" s="12">
        <f t="shared" si="102"/>
        <v>112</v>
      </c>
    </row>
    <row r="678" spans="1:18" x14ac:dyDescent="0.15">
      <c r="A678" s="12">
        <v>660</v>
      </c>
      <c r="B678" s="12">
        <f t="shared" si="96"/>
        <v>4</v>
      </c>
      <c r="C678" s="12">
        <f t="shared" si="97"/>
        <v>1.1160000000000001</v>
      </c>
      <c r="D678" s="12">
        <f t="shared" si="98"/>
        <v>1.919000000000004E-2</v>
      </c>
      <c r="E678" s="12">
        <f>SUM($D$19:D678)</f>
        <v>7.3159999999999981</v>
      </c>
      <c r="F678" s="12">
        <f t="shared" si="94"/>
        <v>71.292924790000015</v>
      </c>
      <c r="G678" s="12">
        <f t="shared" si="95"/>
        <v>60.852174950000006</v>
      </c>
      <c r="H678" s="12">
        <f t="shared" si="99"/>
        <v>256600</v>
      </c>
      <c r="I678" s="12">
        <f t="shared" si="100"/>
        <v>219000</v>
      </c>
      <c r="J678" s="12">
        <f>IF(A678&lt;[3]关卡对接!$A$4,INDEX([3]关卡对接!$C$7:$C$141,A678),MATCH(E678,人物经验!$H$24:$H$573,1))</f>
        <v>321</v>
      </c>
      <c r="K678" s="12">
        <f>IF([3]关卡对接!F666="",INT(INDEX(人物经验!$J$24:$J$573,关卡!J678)*关卡!$S$7),[3]关卡对接!F666)</f>
        <v>6398</v>
      </c>
      <c r="L678" s="12">
        <f t="shared" si="101"/>
        <v>1.6</v>
      </c>
      <c r="M678" s="12">
        <f>L678/[4]货币基础!$B$4</f>
        <v>160</v>
      </c>
      <c r="N678" s="12">
        <f>IF(A678&lt;[3]关卡对接!$A$4,INDEX([3]关卡对接!$E$7:$E$141,A678),MATCH(E678,人物经验!$H$24:$H$573,1))</f>
        <v>321</v>
      </c>
      <c r="O678" s="12">
        <f>INDEX([2]关卡!$G$6:$G$2005,A678)</f>
        <v>3</v>
      </c>
      <c r="P678" s="13">
        <v>6</v>
      </c>
      <c r="Q678" s="12">
        <f>INT(P678/$S$15/O678*VLOOKUP(J678,[1]人物技能基础!$N$3:$O$553,2,0)*$U$15)</f>
        <v>9</v>
      </c>
      <c r="R678" s="12">
        <f t="shared" si="102"/>
        <v>112</v>
      </c>
    </row>
    <row r="679" spans="1:18" x14ac:dyDescent="0.15">
      <c r="A679" s="12">
        <v>661</v>
      </c>
      <c r="B679" s="12">
        <f t="shared" si="96"/>
        <v>4</v>
      </c>
      <c r="C679" s="12">
        <f t="shared" si="97"/>
        <v>1.1352100000000001</v>
      </c>
      <c r="D679" s="12">
        <f t="shared" si="98"/>
        <v>1.9209999999999949E-2</v>
      </c>
      <c r="E679" s="12">
        <f>SUM($D$19:D679)</f>
        <v>7.3352099999999982</v>
      </c>
      <c r="F679" s="12">
        <f t="shared" si="94"/>
        <v>71.486797046009954</v>
      </c>
      <c r="G679" s="12">
        <f t="shared" si="95"/>
        <v>60.983095657680948</v>
      </c>
      <c r="H679" s="12">
        <f t="shared" si="99"/>
        <v>257300</v>
      </c>
      <c r="I679" s="12">
        <f t="shared" si="100"/>
        <v>219500</v>
      </c>
      <c r="J679" s="12">
        <f>IF(A679&lt;[3]关卡对接!$A$4,INDEX([3]关卡对接!$C$7:$C$141,A679),MATCH(E679,人物经验!$H$24:$H$573,1))</f>
        <v>321</v>
      </c>
      <c r="K679" s="12">
        <f>IF([3]关卡对接!F667="",INT(INDEX(人物经验!$J$24:$J$573,关卡!J679)*关卡!$S$7),[3]关卡对接!F667)</f>
        <v>6398</v>
      </c>
      <c r="L679" s="12">
        <f t="shared" si="101"/>
        <v>1.6</v>
      </c>
      <c r="M679" s="12">
        <f>L679/[4]货币基础!$B$4</f>
        <v>160</v>
      </c>
      <c r="N679" s="12">
        <f>IF(A679&lt;[3]关卡对接!$A$4,INDEX([3]关卡对接!$E$7:$E$141,A679),MATCH(E679,人物经验!$H$24:$H$573,1))</f>
        <v>321</v>
      </c>
      <c r="O679" s="12">
        <f>INDEX([2]关卡!$G$6:$G$2005,A679)</f>
        <v>3</v>
      </c>
      <c r="P679" s="13">
        <v>6</v>
      </c>
      <c r="Q679" s="12">
        <f>INT(P679/$S$15/O679*VLOOKUP(J679,[1]人物技能基础!$N$3:$O$553,2,0)*$U$15)</f>
        <v>9</v>
      </c>
      <c r="R679" s="12">
        <f t="shared" si="102"/>
        <v>112</v>
      </c>
    </row>
    <row r="680" spans="1:18" x14ac:dyDescent="0.15">
      <c r="A680" s="12">
        <v>662</v>
      </c>
      <c r="B680" s="12">
        <f t="shared" si="96"/>
        <v>4</v>
      </c>
      <c r="C680" s="12">
        <f t="shared" si="97"/>
        <v>1.1544400000000001</v>
      </c>
      <c r="D680" s="12">
        <f t="shared" si="98"/>
        <v>1.923000000000008E-2</v>
      </c>
      <c r="E680" s="12">
        <f>SUM($D$19:D680)</f>
        <v>7.3544399999999985</v>
      </c>
      <c r="F680" s="12">
        <f t="shared" si="94"/>
        <v>71.681048775679017</v>
      </c>
      <c r="G680" s="12">
        <f t="shared" si="95"/>
        <v>61.114196858495006</v>
      </c>
      <c r="H680" s="12">
        <f t="shared" si="99"/>
        <v>258000</v>
      </c>
      <c r="I680" s="12">
        <f t="shared" si="100"/>
        <v>220000</v>
      </c>
      <c r="J680" s="12">
        <f>IF(A680&lt;[3]关卡对接!$A$4,INDEX([3]关卡对接!$C$7:$C$141,A680),MATCH(E680,人物经验!$H$24:$H$573,1))</f>
        <v>321</v>
      </c>
      <c r="K680" s="12">
        <f>IF([3]关卡对接!F668="",INT(INDEX(人物经验!$J$24:$J$573,关卡!J680)*关卡!$S$7),[3]关卡对接!F668)</f>
        <v>6398</v>
      </c>
      <c r="L680" s="12">
        <f t="shared" si="101"/>
        <v>1.6</v>
      </c>
      <c r="M680" s="12">
        <f>L680/[4]货币基础!$B$4</f>
        <v>160</v>
      </c>
      <c r="N680" s="12">
        <f>IF(A680&lt;[3]关卡对接!$A$4,INDEX([3]关卡对接!$E$7:$E$141,A680),MATCH(E680,人物经验!$H$24:$H$573,1))</f>
        <v>321</v>
      </c>
      <c r="O680" s="12">
        <f>INDEX([2]关卡!$G$6:$G$2005,A680)</f>
        <v>3</v>
      </c>
      <c r="P680" s="13">
        <v>6</v>
      </c>
      <c r="Q680" s="12">
        <f>INT(P680/$S$15/O680*VLOOKUP(J680,[1]人物技能基础!$N$3:$O$553,2,0)*$U$15)</f>
        <v>9</v>
      </c>
      <c r="R680" s="12">
        <f t="shared" si="102"/>
        <v>112</v>
      </c>
    </row>
    <row r="681" spans="1:18" x14ac:dyDescent="0.15">
      <c r="A681" s="12">
        <v>663</v>
      </c>
      <c r="B681" s="12">
        <f t="shared" si="96"/>
        <v>4</v>
      </c>
      <c r="C681" s="12">
        <f t="shared" si="97"/>
        <v>1.1736900000000001</v>
      </c>
      <c r="D681" s="12">
        <f t="shared" si="98"/>
        <v>1.9249999999999989E-2</v>
      </c>
      <c r="E681" s="12">
        <f>SUM($D$19:D681)</f>
        <v>7.3736899999999981</v>
      </c>
      <c r="F681" s="12">
        <f t="shared" si="94"/>
        <v>71.875680599914944</v>
      </c>
      <c r="G681" s="12">
        <f t="shared" si="95"/>
        <v>61.245478759205945</v>
      </c>
      <c r="H681" s="12">
        <f t="shared" si="99"/>
        <v>258700</v>
      </c>
      <c r="I681" s="12">
        <f t="shared" si="100"/>
        <v>220400</v>
      </c>
      <c r="J681" s="12">
        <f>IF(A681&lt;[3]关卡对接!$A$4,INDEX([3]关卡对接!$C$7:$C$141,A681),MATCH(E681,人物经验!$H$24:$H$573,1))</f>
        <v>321</v>
      </c>
      <c r="K681" s="12">
        <f>IF([3]关卡对接!F669="",INT(INDEX(人物经验!$J$24:$J$573,关卡!J681)*关卡!$S$7),[3]关卡对接!F669)</f>
        <v>6398</v>
      </c>
      <c r="L681" s="12">
        <f t="shared" si="101"/>
        <v>1.6</v>
      </c>
      <c r="M681" s="12">
        <f>L681/[4]货币基础!$B$4</f>
        <v>160</v>
      </c>
      <c r="N681" s="12">
        <f>IF(A681&lt;[3]关卡对接!$A$4,INDEX([3]关卡对接!$E$7:$E$141,A681),MATCH(E681,人物经验!$H$24:$H$573,1))</f>
        <v>321</v>
      </c>
      <c r="O681" s="12">
        <f>INDEX([2]关卡!$G$6:$G$2005,A681)</f>
        <v>3</v>
      </c>
      <c r="P681" s="13">
        <v>6</v>
      </c>
      <c r="Q681" s="12">
        <f>INT(P681/$S$15/O681*VLOOKUP(J681,[1]人物技能基础!$N$3:$O$553,2,0)*$U$15)</f>
        <v>9</v>
      </c>
      <c r="R681" s="12">
        <f t="shared" si="102"/>
        <v>112</v>
      </c>
    </row>
    <row r="682" spans="1:18" x14ac:dyDescent="0.15">
      <c r="A682" s="12">
        <v>664</v>
      </c>
      <c r="B682" s="12">
        <f t="shared" si="96"/>
        <v>4</v>
      </c>
      <c r="C682" s="12">
        <f t="shared" si="97"/>
        <v>1.1929600000000002</v>
      </c>
      <c r="D682" s="12">
        <f t="shared" si="98"/>
        <v>1.927000000000012E-2</v>
      </c>
      <c r="E682" s="12">
        <f>SUM($D$19:D682)</f>
        <v>7.3929599999999986</v>
      </c>
      <c r="F682" s="12">
        <f t="shared" si="94"/>
        <v>72.070693140224009</v>
      </c>
      <c r="G682" s="12">
        <f t="shared" si="95"/>
        <v>61.376941566719999</v>
      </c>
      <c r="H682" s="12">
        <f t="shared" si="99"/>
        <v>259400</v>
      </c>
      <c r="I682" s="12">
        <f t="shared" si="100"/>
        <v>220900</v>
      </c>
      <c r="J682" s="12">
        <f>IF(A682&lt;[3]关卡对接!$A$4,INDEX([3]关卡对接!$C$7:$C$141,A682),MATCH(E682,人物经验!$H$24:$H$573,1))</f>
        <v>321</v>
      </c>
      <c r="K682" s="12">
        <f>IF([3]关卡对接!F670="",INT(INDEX(人物经验!$J$24:$J$573,关卡!J682)*关卡!$S$7),[3]关卡对接!F670)</f>
        <v>6398</v>
      </c>
      <c r="L682" s="12">
        <f t="shared" si="101"/>
        <v>1.6</v>
      </c>
      <c r="M682" s="12">
        <f>L682/[4]货币基础!$B$4</f>
        <v>160</v>
      </c>
      <c r="N682" s="12">
        <f>IF(A682&lt;[3]关卡对接!$A$4,INDEX([3]关卡对接!$E$7:$E$141,A682),MATCH(E682,人物经验!$H$24:$H$573,1))</f>
        <v>321</v>
      </c>
      <c r="O682" s="12">
        <f>INDEX([2]关卡!$G$6:$G$2005,A682)</f>
        <v>3</v>
      </c>
      <c r="P682" s="13">
        <v>6</v>
      </c>
      <c r="Q682" s="12">
        <f>INT(P682/$S$15/O682*VLOOKUP(J682,[1]人物技能基础!$N$3:$O$553,2,0)*$U$15)</f>
        <v>9</v>
      </c>
      <c r="R682" s="12">
        <f t="shared" si="102"/>
        <v>112</v>
      </c>
    </row>
    <row r="683" spans="1:18" x14ac:dyDescent="0.15">
      <c r="A683" s="12">
        <v>665</v>
      </c>
      <c r="B683" s="12">
        <f t="shared" si="96"/>
        <v>4</v>
      </c>
      <c r="C683" s="12">
        <f t="shared" si="97"/>
        <v>1.21225</v>
      </c>
      <c r="D683" s="12">
        <f t="shared" si="98"/>
        <v>1.9289999999999807E-2</v>
      </c>
      <c r="E683" s="12">
        <f>SUM($D$19:D683)</f>
        <v>7.4122499999999985</v>
      </c>
      <c r="F683" s="12">
        <f t="shared" si="94"/>
        <v>72.266087018710948</v>
      </c>
      <c r="G683" s="12">
        <f t="shared" si="95"/>
        <v>61.508585488085934</v>
      </c>
      <c r="H683" s="12">
        <f t="shared" si="99"/>
        <v>260100</v>
      </c>
      <c r="I683" s="12">
        <f t="shared" si="100"/>
        <v>221400</v>
      </c>
      <c r="J683" s="12">
        <f>IF(A683&lt;[3]关卡对接!$A$4,INDEX([3]关卡对接!$C$7:$C$141,A683),MATCH(E683,人物经验!$H$24:$H$573,1))</f>
        <v>321</v>
      </c>
      <c r="K683" s="12">
        <f>IF([3]关卡对接!F671="",INT(INDEX(人物经验!$J$24:$J$573,关卡!J683)*关卡!$S$7),[3]关卡对接!F671)</f>
        <v>6398</v>
      </c>
      <c r="L683" s="12">
        <f t="shared" si="101"/>
        <v>1.6</v>
      </c>
      <c r="M683" s="12">
        <f>L683/[4]货币基础!$B$4</f>
        <v>160</v>
      </c>
      <c r="N683" s="12">
        <f>IF(A683&lt;[3]关卡对接!$A$4,INDEX([3]关卡对接!$E$7:$E$141,A683),MATCH(E683,人物经验!$H$24:$H$573,1))</f>
        <v>321</v>
      </c>
      <c r="O683" s="12">
        <f>INDEX([2]关卡!$G$6:$G$2005,A683)</f>
        <v>3</v>
      </c>
      <c r="P683" s="13">
        <v>6</v>
      </c>
      <c r="Q683" s="12">
        <f>INT(P683/$S$15/O683*VLOOKUP(J683,[1]人物技能基础!$N$3:$O$553,2,0)*$U$15)</f>
        <v>9</v>
      </c>
      <c r="R683" s="12">
        <f t="shared" si="102"/>
        <v>112</v>
      </c>
    </row>
    <row r="684" spans="1:18" x14ac:dyDescent="0.15">
      <c r="A684" s="12">
        <v>666</v>
      </c>
      <c r="B684" s="12">
        <f t="shared" si="96"/>
        <v>4</v>
      </c>
      <c r="C684" s="12">
        <f t="shared" si="97"/>
        <v>1.2315600000000002</v>
      </c>
      <c r="D684" s="12">
        <f t="shared" si="98"/>
        <v>1.931000000000016E-2</v>
      </c>
      <c r="E684" s="12">
        <f>SUM($D$19:D684)</f>
        <v>7.4315599999999984</v>
      </c>
      <c r="F684" s="12">
        <f t="shared" si="94"/>
        <v>72.461862858079016</v>
      </c>
      <c r="G684" s="12">
        <f t="shared" si="95"/>
        <v>61.640410730495006</v>
      </c>
      <c r="H684" s="12">
        <f t="shared" si="99"/>
        <v>260800</v>
      </c>
      <c r="I684" s="12">
        <f t="shared" si="100"/>
        <v>221900</v>
      </c>
      <c r="J684" s="12">
        <f>IF(A684&lt;[3]关卡对接!$A$4,INDEX([3]关卡对接!$C$7:$C$141,A684),MATCH(E684,人物经验!$H$24:$H$573,1))</f>
        <v>321</v>
      </c>
      <c r="K684" s="12">
        <f>IF([3]关卡对接!F672="",INT(INDEX(人物经验!$J$24:$J$573,关卡!J684)*关卡!$S$7),[3]关卡对接!F672)</f>
        <v>6398</v>
      </c>
      <c r="L684" s="12">
        <f t="shared" si="101"/>
        <v>1.6</v>
      </c>
      <c r="M684" s="12">
        <f>L684/[4]货币基础!$B$4</f>
        <v>160</v>
      </c>
      <c r="N684" s="12">
        <f>IF(A684&lt;[3]关卡对接!$A$4,INDEX([3]关卡对接!$E$7:$E$141,A684),MATCH(E684,人物经验!$H$24:$H$573,1))</f>
        <v>321</v>
      </c>
      <c r="O684" s="12">
        <f>INDEX([2]关卡!$G$6:$G$2005,A684)</f>
        <v>3</v>
      </c>
      <c r="P684" s="13">
        <v>6</v>
      </c>
      <c r="Q684" s="12">
        <f>INT(P684/$S$15/O684*VLOOKUP(J684,[1]人物技能基础!$N$3:$O$553,2,0)*$U$15)</f>
        <v>9</v>
      </c>
      <c r="R684" s="12">
        <f t="shared" si="102"/>
        <v>112</v>
      </c>
    </row>
    <row r="685" spans="1:18" x14ac:dyDescent="0.15">
      <c r="A685" s="12">
        <v>667</v>
      </c>
      <c r="B685" s="12">
        <f t="shared" si="96"/>
        <v>4</v>
      </c>
      <c r="C685" s="12">
        <f t="shared" si="97"/>
        <v>1.2508900000000003</v>
      </c>
      <c r="D685" s="12">
        <f t="shared" si="98"/>
        <v>1.9330000000000069E-2</v>
      </c>
      <c r="E685" s="12">
        <f>SUM($D$19:D685)</f>
        <v>7.4508899999999985</v>
      </c>
      <c r="F685" s="12">
        <f t="shared" si="94"/>
        <v>72.658021281629942</v>
      </c>
      <c r="G685" s="12">
        <f t="shared" si="95"/>
        <v>61.772417501280934</v>
      </c>
      <c r="H685" s="12">
        <f t="shared" si="99"/>
        <v>261500</v>
      </c>
      <c r="I685" s="12">
        <f t="shared" si="100"/>
        <v>222300</v>
      </c>
      <c r="J685" s="12">
        <f>IF(A685&lt;[3]关卡对接!$A$4,INDEX([3]关卡对接!$C$7:$C$141,A685),MATCH(E685,人物经验!$H$24:$H$573,1))</f>
        <v>322</v>
      </c>
      <c r="K685" s="12">
        <f>IF([3]关卡对接!F673="",INT(INDEX(人物经验!$J$24:$J$573,关卡!J685)*关卡!$S$7),[3]关卡对接!F673)</f>
        <v>6521</v>
      </c>
      <c r="L685" s="12">
        <f t="shared" si="101"/>
        <v>1.6</v>
      </c>
      <c r="M685" s="12">
        <f>L685/[4]货币基础!$B$4</f>
        <v>160</v>
      </c>
      <c r="N685" s="12">
        <f>IF(A685&lt;[3]关卡对接!$A$4,INDEX([3]关卡对接!$E$7:$E$141,A685),MATCH(E685,人物经验!$H$24:$H$573,1))</f>
        <v>322</v>
      </c>
      <c r="O685" s="12">
        <f>INDEX([2]关卡!$G$6:$G$2005,A685)</f>
        <v>3</v>
      </c>
      <c r="P685" s="13">
        <v>6</v>
      </c>
      <c r="Q685" s="12">
        <f>INT(P685/$S$15/O685*VLOOKUP(J685,[1]人物技能基础!$N$3:$O$553,2,0)*$U$15)</f>
        <v>9</v>
      </c>
      <c r="R685" s="12">
        <f t="shared" si="102"/>
        <v>112</v>
      </c>
    </row>
    <row r="686" spans="1:18" x14ac:dyDescent="0.15">
      <c r="A686" s="12">
        <v>668</v>
      </c>
      <c r="B686" s="12">
        <f t="shared" si="96"/>
        <v>4</v>
      </c>
      <c r="C686" s="12">
        <f t="shared" si="97"/>
        <v>1.2702400000000003</v>
      </c>
      <c r="D686" s="12">
        <f t="shared" si="98"/>
        <v>1.9349999999999978E-2</v>
      </c>
      <c r="E686" s="12">
        <f>SUM($D$19:D686)</f>
        <v>7.4702399999999987</v>
      </c>
      <c r="F686" s="12">
        <f t="shared" si="94"/>
        <v>72.854562913264019</v>
      </c>
      <c r="G686" s="12">
        <f t="shared" si="95"/>
        <v>61.904606007920009</v>
      </c>
      <c r="H686" s="12">
        <f t="shared" si="99"/>
        <v>262200</v>
      </c>
      <c r="I686" s="12">
        <f t="shared" si="100"/>
        <v>222800</v>
      </c>
      <c r="J686" s="12">
        <f>IF(A686&lt;[3]关卡对接!$A$4,INDEX([3]关卡对接!$C$7:$C$141,A686),MATCH(E686,人物经验!$H$24:$H$573,1))</f>
        <v>322</v>
      </c>
      <c r="K686" s="12">
        <f>IF([3]关卡对接!F674="",INT(INDEX(人物经验!$J$24:$J$573,关卡!J686)*关卡!$S$7),[3]关卡对接!F674)</f>
        <v>6521</v>
      </c>
      <c r="L686" s="12">
        <f t="shared" si="101"/>
        <v>1.6</v>
      </c>
      <c r="M686" s="12">
        <f>L686/[4]货币基础!$B$4</f>
        <v>160</v>
      </c>
      <c r="N686" s="12">
        <f>IF(A686&lt;[3]关卡对接!$A$4,INDEX([3]关卡对接!$E$7:$E$141,A686),MATCH(E686,人物经验!$H$24:$H$573,1))</f>
        <v>322</v>
      </c>
      <c r="O686" s="12">
        <f>INDEX([2]关卡!$G$6:$G$2005,A686)</f>
        <v>3</v>
      </c>
      <c r="P686" s="13">
        <v>6</v>
      </c>
      <c r="Q686" s="12">
        <f>INT(P686/$S$15/O686*VLOOKUP(J686,[1]人物技能基础!$N$3:$O$553,2,0)*$U$15)</f>
        <v>9</v>
      </c>
      <c r="R686" s="12">
        <f t="shared" si="102"/>
        <v>112</v>
      </c>
    </row>
    <row r="687" spans="1:18" x14ac:dyDescent="0.15">
      <c r="A687" s="12">
        <v>669</v>
      </c>
      <c r="B687" s="12">
        <f t="shared" si="96"/>
        <v>4</v>
      </c>
      <c r="C687" s="12">
        <f t="shared" si="97"/>
        <v>1.2896099999999999</v>
      </c>
      <c r="D687" s="12">
        <f t="shared" si="98"/>
        <v>1.9369999999999665E-2</v>
      </c>
      <c r="E687" s="12">
        <f>SUM($D$19:D687)</f>
        <v>7.4896099999999981</v>
      </c>
      <c r="F687" s="12">
        <f t="shared" si="94"/>
        <v>73.051488377479942</v>
      </c>
      <c r="G687" s="12">
        <f t="shared" si="95"/>
        <v>62.036976458030935</v>
      </c>
      <c r="H687" s="12">
        <f t="shared" si="99"/>
        <v>262900</v>
      </c>
      <c r="I687" s="12">
        <f t="shared" si="100"/>
        <v>223300</v>
      </c>
      <c r="J687" s="12">
        <f>IF(A687&lt;[3]关卡对接!$A$4,INDEX([3]关卡对接!$C$7:$C$141,A687),MATCH(E687,人物经验!$H$24:$H$573,1))</f>
        <v>322</v>
      </c>
      <c r="K687" s="12">
        <f>IF([3]关卡对接!F675="",INT(INDEX(人物经验!$J$24:$J$573,关卡!J687)*关卡!$S$7),[3]关卡对接!F675)</f>
        <v>6521</v>
      </c>
      <c r="L687" s="12">
        <f t="shared" si="101"/>
        <v>1.6</v>
      </c>
      <c r="M687" s="12">
        <f>L687/[4]货币基础!$B$4</f>
        <v>160</v>
      </c>
      <c r="N687" s="12">
        <f>IF(A687&lt;[3]关卡对接!$A$4,INDEX([3]关卡对接!$E$7:$E$141,A687),MATCH(E687,人物经验!$H$24:$H$573,1))</f>
        <v>322</v>
      </c>
      <c r="O687" s="12">
        <f>INDEX([2]关卡!$G$6:$G$2005,A687)</f>
        <v>3</v>
      </c>
      <c r="P687" s="13">
        <v>6</v>
      </c>
      <c r="Q687" s="12">
        <f>INT(P687/$S$15/O687*VLOOKUP(J687,[1]人物技能基础!$N$3:$O$553,2,0)*$U$15)</f>
        <v>9</v>
      </c>
      <c r="R687" s="12">
        <f t="shared" si="102"/>
        <v>112</v>
      </c>
    </row>
    <row r="688" spans="1:18" x14ac:dyDescent="0.15">
      <c r="A688" s="12">
        <v>670</v>
      </c>
      <c r="B688" s="12">
        <f t="shared" si="96"/>
        <v>4</v>
      </c>
      <c r="C688" s="12">
        <f t="shared" si="97"/>
        <v>1.3089999999999999</v>
      </c>
      <c r="D688" s="12">
        <f t="shared" si="98"/>
        <v>1.9390000000000018E-2</v>
      </c>
      <c r="E688" s="12">
        <f>SUM($D$19:D688)</f>
        <v>7.5089999999999986</v>
      </c>
      <c r="F688" s="12">
        <f t="shared" si="94"/>
        <v>73.248798299375011</v>
      </c>
      <c r="G688" s="12">
        <f t="shared" si="95"/>
        <v>62.169529059375009</v>
      </c>
      <c r="H688" s="12">
        <f t="shared" si="99"/>
        <v>263600</v>
      </c>
      <c r="I688" s="12">
        <f t="shared" si="100"/>
        <v>223800</v>
      </c>
      <c r="J688" s="12">
        <f>IF(A688&lt;[3]关卡对接!$A$4,INDEX([3]关卡对接!$C$7:$C$141,A688),MATCH(E688,人物经验!$H$24:$H$573,1))</f>
        <v>322</v>
      </c>
      <c r="K688" s="12">
        <f>IF([3]关卡对接!F676="",INT(INDEX(人物经验!$J$24:$J$573,关卡!J688)*关卡!$S$7),[3]关卡对接!F676)</f>
        <v>6521</v>
      </c>
      <c r="L688" s="12">
        <f t="shared" si="101"/>
        <v>1.6</v>
      </c>
      <c r="M688" s="12">
        <f>L688/[4]货币基础!$B$4</f>
        <v>160</v>
      </c>
      <c r="N688" s="12">
        <f>IF(A688&lt;[3]关卡对接!$A$4,INDEX([3]关卡对接!$E$7:$E$141,A688),MATCH(E688,人物经验!$H$24:$H$573,1))</f>
        <v>322</v>
      </c>
      <c r="O688" s="12">
        <f>INDEX([2]关卡!$G$6:$G$2005,A688)</f>
        <v>3</v>
      </c>
      <c r="P688" s="13">
        <v>6</v>
      </c>
      <c r="Q688" s="12">
        <f>INT(P688/$S$15/O688*VLOOKUP(J688,[1]人物技能基础!$N$3:$O$553,2,0)*$U$15)</f>
        <v>9</v>
      </c>
      <c r="R688" s="12">
        <f t="shared" si="102"/>
        <v>112</v>
      </c>
    </row>
    <row r="689" spans="1:18" x14ac:dyDescent="0.15">
      <c r="A689" s="12">
        <v>671</v>
      </c>
      <c r="B689" s="12">
        <f t="shared" si="96"/>
        <v>4</v>
      </c>
      <c r="C689" s="12">
        <f t="shared" si="97"/>
        <v>1.3284100000000001</v>
      </c>
      <c r="D689" s="12">
        <f t="shared" si="98"/>
        <v>1.9410000000000149E-2</v>
      </c>
      <c r="E689" s="12">
        <f>SUM($D$19:D689)</f>
        <v>7.5284099999999992</v>
      </c>
      <c r="F689" s="12">
        <f t="shared" si="94"/>
        <v>73.446493304644946</v>
      </c>
      <c r="G689" s="12">
        <f t="shared" si="95"/>
        <v>62.302264019855947</v>
      </c>
      <c r="H689" s="12">
        <f t="shared" si="99"/>
        <v>264400</v>
      </c>
      <c r="I689" s="12">
        <f t="shared" si="100"/>
        <v>224200</v>
      </c>
      <c r="J689" s="12">
        <f>IF(A689&lt;[3]关卡对接!$A$4,INDEX([3]关卡对接!$C$7:$C$141,A689),MATCH(E689,人物经验!$H$24:$H$573,1))</f>
        <v>322</v>
      </c>
      <c r="K689" s="12">
        <f>IF([3]关卡对接!F677="",INT(INDEX(人物经验!$J$24:$J$573,关卡!J689)*关卡!$S$7),[3]关卡对接!F677)</f>
        <v>6521</v>
      </c>
      <c r="L689" s="12">
        <f t="shared" si="101"/>
        <v>1.6</v>
      </c>
      <c r="M689" s="12">
        <f>L689/[4]货币基础!$B$4</f>
        <v>160</v>
      </c>
      <c r="N689" s="12">
        <f>IF(A689&lt;[3]关卡对接!$A$4,INDEX([3]关卡对接!$E$7:$E$141,A689),MATCH(E689,人物经验!$H$24:$H$573,1))</f>
        <v>322</v>
      </c>
      <c r="O689" s="12">
        <f>INDEX([2]关卡!$G$6:$G$2005,A689)</f>
        <v>3</v>
      </c>
      <c r="P689" s="13">
        <v>6</v>
      </c>
      <c r="Q689" s="12">
        <f>INT(P689/$S$15/O689*VLOOKUP(J689,[1]人物技能基础!$N$3:$O$553,2,0)*$U$15)</f>
        <v>9</v>
      </c>
      <c r="R689" s="12">
        <f t="shared" si="102"/>
        <v>112</v>
      </c>
    </row>
    <row r="690" spans="1:18" x14ac:dyDescent="0.15">
      <c r="A690" s="12">
        <v>672</v>
      </c>
      <c r="B690" s="12">
        <f t="shared" si="96"/>
        <v>4</v>
      </c>
      <c r="C690" s="12">
        <f t="shared" si="97"/>
        <v>1.3478400000000001</v>
      </c>
      <c r="D690" s="12">
        <f t="shared" si="98"/>
        <v>1.9430000000000058E-2</v>
      </c>
      <c r="E690" s="12">
        <f>SUM($D$19:D690)</f>
        <v>7.547839999999999</v>
      </c>
      <c r="F690" s="12">
        <f t="shared" si="94"/>
        <v>73.644574019584013</v>
      </c>
      <c r="G690" s="12">
        <f t="shared" si="95"/>
        <v>62.43518154752001</v>
      </c>
      <c r="H690" s="12">
        <f t="shared" si="99"/>
        <v>265100</v>
      </c>
      <c r="I690" s="12">
        <f t="shared" si="100"/>
        <v>224700</v>
      </c>
      <c r="J690" s="12">
        <f>IF(A690&lt;[3]关卡对接!$A$4,INDEX([3]关卡对接!$C$7:$C$141,A690),MATCH(E690,人物经验!$H$24:$H$573,1))</f>
        <v>322</v>
      </c>
      <c r="K690" s="12">
        <f>IF([3]关卡对接!F678="",INT(INDEX(人物经验!$J$24:$J$573,关卡!J690)*关卡!$S$7),[3]关卡对接!F678)</f>
        <v>6521</v>
      </c>
      <c r="L690" s="12">
        <f t="shared" si="101"/>
        <v>1.6</v>
      </c>
      <c r="M690" s="12">
        <f>L690/[4]货币基础!$B$4</f>
        <v>160</v>
      </c>
      <c r="N690" s="12">
        <f>IF(A690&lt;[3]关卡对接!$A$4,INDEX([3]关卡对接!$E$7:$E$141,A690),MATCH(E690,人物经验!$H$24:$H$573,1))</f>
        <v>322</v>
      </c>
      <c r="O690" s="12">
        <f>INDEX([2]关卡!$G$6:$G$2005,A690)</f>
        <v>3</v>
      </c>
      <c r="P690" s="13">
        <v>6</v>
      </c>
      <c r="Q690" s="12">
        <f>INT(P690/$S$15/O690*VLOOKUP(J690,[1]人物技能基础!$N$3:$O$553,2,0)*$U$15)</f>
        <v>9</v>
      </c>
      <c r="R690" s="12">
        <f t="shared" si="102"/>
        <v>112</v>
      </c>
    </row>
    <row r="691" spans="1:18" x14ac:dyDescent="0.15">
      <c r="A691" s="12">
        <v>673</v>
      </c>
      <c r="B691" s="12">
        <f t="shared" si="96"/>
        <v>4</v>
      </c>
      <c r="C691" s="12">
        <f t="shared" si="97"/>
        <v>1.3672900000000001</v>
      </c>
      <c r="D691" s="12">
        <f t="shared" si="98"/>
        <v>1.9449999999999967E-2</v>
      </c>
      <c r="E691" s="12">
        <f>SUM($D$19:D691)</f>
        <v>7.567289999999999</v>
      </c>
      <c r="F691" s="12">
        <f t="shared" si="94"/>
        <v>73.843041071084954</v>
      </c>
      <c r="G691" s="12">
        <f t="shared" si="95"/>
        <v>62.568281850555948</v>
      </c>
      <c r="H691" s="12">
        <f t="shared" si="99"/>
        <v>265800</v>
      </c>
      <c r="I691" s="12">
        <f t="shared" si="100"/>
        <v>225200</v>
      </c>
      <c r="J691" s="12">
        <f>IF(A691&lt;[3]关卡对接!$A$4,INDEX([3]关卡对接!$C$7:$C$141,A691),MATCH(E691,人物经验!$H$24:$H$573,1))</f>
        <v>322</v>
      </c>
      <c r="K691" s="12">
        <f>IF([3]关卡对接!F679="",INT(INDEX(人物经验!$J$24:$J$573,关卡!J691)*关卡!$S$7),[3]关卡对接!F679)</f>
        <v>6521</v>
      </c>
      <c r="L691" s="12">
        <f t="shared" si="101"/>
        <v>1.6</v>
      </c>
      <c r="M691" s="12">
        <f>L691/[4]货币基础!$B$4</f>
        <v>160</v>
      </c>
      <c r="N691" s="12">
        <f>IF(A691&lt;[3]关卡对接!$A$4,INDEX([3]关卡对接!$E$7:$E$141,A691),MATCH(E691,人物经验!$H$24:$H$573,1))</f>
        <v>322</v>
      </c>
      <c r="O691" s="12">
        <f>INDEX([2]关卡!$G$6:$G$2005,A691)</f>
        <v>3</v>
      </c>
      <c r="P691" s="13">
        <v>6</v>
      </c>
      <c r="Q691" s="12">
        <f>INT(P691/$S$15/O691*VLOOKUP(J691,[1]人物技能基础!$N$3:$O$553,2,0)*$U$15)</f>
        <v>9</v>
      </c>
      <c r="R691" s="12">
        <f t="shared" si="102"/>
        <v>112</v>
      </c>
    </row>
    <row r="692" spans="1:18" x14ac:dyDescent="0.15">
      <c r="A692" s="12">
        <v>674</v>
      </c>
      <c r="B692" s="12">
        <f t="shared" si="96"/>
        <v>4</v>
      </c>
      <c r="C692" s="12">
        <f t="shared" si="97"/>
        <v>1.38676</v>
      </c>
      <c r="D692" s="12">
        <f t="shared" si="98"/>
        <v>1.9469999999999876E-2</v>
      </c>
      <c r="E692" s="12">
        <f>SUM($D$19:D692)</f>
        <v>7.5867599999999991</v>
      </c>
      <c r="F692" s="12">
        <f t="shared" si="94"/>
        <v>74.041895086639016</v>
      </c>
      <c r="G692" s="12">
        <f t="shared" si="95"/>
        <v>62.701565137295006</v>
      </c>
      <c r="H692" s="12">
        <f t="shared" si="99"/>
        <v>266500</v>
      </c>
      <c r="I692" s="12">
        <f t="shared" si="100"/>
        <v>225700</v>
      </c>
      <c r="J692" s="12">
        <f>IF(A692&lt;[3]关卡对接!$A$4,INDEX([3]关卡对接!$C$7:$C$141,A692),MATCH(E692,人物经验!$H$24:$H$573,1))</f>
        <v>323</v>
      </c>
      <c r="K692" s="12">
        <f>IF([3]关卡对接!F680="",INT(INDEX(人物经验!$J$24:$J$573,关卡!J692)*关卡!$S$7),[3]关卡对接!F680)</f>
        <v>6645</v>
      </c>
      <c r="L692" s="12">
        <f t="shared" si="101"/>
        <v>1.6</v>
      </c>
      <c r="M692" s="12">
        <f>L692/[4]货币基础!$B$4</f>
        <v>160</v>
      </c>
      <c r="N692" s="12">
        <f>IF(A692&lt;[3]关卡对接!$A$4,INDEX([3]关卡对接!$E$7:$E$141,A692),MATCH(E692,人物经验!$H$24:$H$573,1))</f>
        <v>323</v>
      </c>
      <c r="O692" s="12">
        <f>INDEX([2]关卡!$G$6:$G$2005,A692)</f>
        <v>3</v>
      </c>
      <c r="P692" s="13">
        <v>6</v>
      </c>
      <c r="Q692" s="12">
        <f>INT(P692/$S$15/O692*VLOOKUP(J692,[1]人物技能基础!$N$3:$O$553,2,0)*$U$15)</f>
        <v>9</v>
      </c>
      <c r="R692" s="12">
        <f t="shared" si="102"/>
        <v>112</v>
      </c>
    </row>
    <row r="693" spans="1:18" x14ac:dyDescent="0.15">
      <c r="A693" s="12">
        <v>675</v>
      </c>
      <c r="B693" s="12">
        <f t="shared" si="96"/>
        <v>4</v>
      </c>
      <c r="C693" s="12">
        <f t="shared" si="97"/>
        <v>1.40625</v>
      </c>
      <c r="D693" s="12">
        <f t="shared" si="98"/>
        <v>1.9490000000000007E-2</v>
      </c>
      <c r="E693" s="12">
        <f>SUM($D$19:D693)</f>
        <v>7.6062499999999993</v>
      </c>
      <c r="F693" s="12">
        <f t="shared" si="94"/>
        <v>74.241136694335935</v>
      </c>
      <c r="G693" s="12">
        <f t="shared" si="95"/>
        <v>62.835031616210941</v>
      </c>
      <c r="H693" s="12">
        <f t="shared" si="99"/>
        <v>267200</v>
      </c>
      <c r="I693" s="12">
        <f t="shared" si="100"/>
        <v>226200</v>
      </c>
      <c r="J693" s="12">
        <f>IF(A693&lt;[3]关卡对接!$A$4,INDEX([3]关卡对接!$C$7:$C$141,A693),MATCH(E693,人物经验!$H$24:$H$573,1))</f>
        <v>323</v>
      </c>
      <c r="K693" s="12">
        <f>IF([3]关卡对接!F681="",INT(INDEX(人物经验!$J$24:$J$573,关卡!J693)*关卡!$S$7),[3]关卡对接!F681)</f>
        <v>6645</v>
      </c>
      <c r="L693" s="12">
        <f t="shared" si="101"/>
        <v>1.6</v>
      </c>
      <c r="M693" s="12">
        <f>L693/[4]货币基础!$B$4</f>
        <v>160</v>
      </c>
      <c r="N693" s="12">
        <f>IF(A693&lt;[3]关卡对接!$A$4,INDEX([3]关卡对接!$E$7:$E$141,A693),MATCH(E693,人物经验!$H$24:$H$573,1))</f>
        <v>323</v>
      </c>
      <c r="O693" s="12">
        <f>INDEX([2]关卡!$G$6:$G$2005,A693)</f>
        <v>3</v>
      </c>
      <c r="P693" s="13">
        <v>6</v>
      </c>
      <c r="Q693" s="12">
        <f>INT(P693/$S$15/O693*VLOOKUP(J693,[1]人物技能基础!$N$3:$O$553,2,0)*$U$15)</f>
        <v>9</v>
      </c>
      <c r="R693" s="12">
        <f t="shared" si="102"/>
        <v>112</v>
      </c>
    </row>
    <row r="694" spans="1:18" x14ac:dyDescent="0.15">
      <c r="A694" s="12">
        <v>676</v>
      </c>
      <c r="B694" s="12">
        <f t="shared" si="96"/>
        <v>4</v>
      </c>
      <c r="C694" s="12">
        <f t="shared" si="97"/>
        <v>1.4257600000000001</v>
      </c>
      <c r="D694" s="12">
        <f t="shared" si="98"/>
        <v>1.9510000000000138E-2</v>
      </c>
      <c r="E694" s="12">
        <f>SUM($D$19:D694)</f>
        <v>7.6257599999999996</v>
      </c>
      <c r="F694" s="12">
        <f t="shared" si="94"/>
        <v>74.44076652286401</v>
      </c>
      <c r="G694" s="12">
        <f t="shared" si="95"/>
        <v>62.968681495920009</v>
      </c>
      <c r="H694" s="12">
        <f t="shared" si="99"/>
        <v>267900</v>
      </c>
      <c r="I694" s="12">
        <f t="shared" si="100"/>
        <v>226600</v>
      </c>
      <c r="J694" s="12">
        <f>IF(A694&lt;[3]关卡对接!$A$4,INDEX([3]关卡对接!$C$7:$C$141,A694),MATCH(E694,人物经验!$H$24:$H$573,1))</f>
        <v>323</v>
      </c>
      <c r="K694" s="12">
        <f>IF([3]关卡对接!F682="",INT(INDEX(人物经验!$J$24:$J$573,关卡!J694)*关卡!$S$7),[3]关卡对接!F682)</f>
        <v>6645</v>
      </c>
      <c r="L694" s="12">
        <f t="shared" si="101"/>
        <v>1.6</v>
      </c>
      <c r="M694" s="12">
        <f>L694/[4]货币基础!$B$4</f>
        <v>160</v>
      </c>
      <c r="N694" s="12">
        <f>IF(A694&lt;[3]关卡对接!$A$4,INDEX([3]关卡对接!$E$7:$E$141,A694),MATCH(E694,人物经验!$H$24:$H$573,1))</f>
        <v>323</v>
      </c>
      <c r="O694" s="12">
        <f>INDEX([2]关卡!$G$6:$G$2005,A694)</f>
        <v>3</v>
      </c>
      <c r="P694" s="13">
        <v>6</v>
      </c>
      <c r="Q694" s="12">
        <f>INT(P694/$S$15/O694*VLOOKUP(J694,[1]人物技能基础!$N$3:$O$553,2,0)*$U$15)</f>
        <v>9</v>
      </c>
      <c r="R694" s="12">
        <f t="shared" si="102"/>
        <v>112</v>
      </c>
    </row>
    <row r="695" spans="1:18" x14ac:dyDescent="0.15">
      <c r="A695" s="12">
        <v>677</v>
      </c>
      <c r="B695" s="12">
        <f t="shared" si="96"/>
        <v>4</v>
      </c>
      <c r="C695" s="12">
        <f t="shared" si="97"/>
        <v>1.4452900000000002</v>
      </c>
      <c r="D695" s="12">
        <f t="shared" si="98"/>
        <v>1.9530000000000047E-2</v>
      </c>
      <c r="E695" s="12">
        <f>SUM($D$19:D695)</f>
        <v>7.6452899999999993</v>
      </c>
      <c r="F695" s="12">
        <f t="shared" si="94"/>
        <v>74.640785201509942</v>
      </c>
      <c r="G695" s="12">
        <f t="shared" si="95"/>
        <v>63.102514985180946</v>
      </c>
      <c r="H695" s="12">
        <f t="shared" si="99"/>
        <v>268700</v>
      </c>
      <c r="I695" s="12">
        <f t="shared" si="100"/>
        <v>227100</v>
      </c>
      <c r="J695" s="12">
        <f>IF(A695&lt;[3]关卡对接!$A$4,INDEX([3]关卡对接!$C$7:$C$141,A695),MATCH(E695,人物经验!$H$24:$H$573,1))</f>
        <v>323</v>
      </c>
      <c r="K695" s="12">
        <f>IF([3]关卡对接!F683="",INT(INDEX(人物经验!$J$24:$J$573,关卡!J695)*关卡!$S$7),[3]关卡对接!F683)</f>
        <v>6645</v>
      </c>
      <c r="L695" s="12">
        <f t="shared" si="101"/>
        <v>1.6</v>
      </c>
      <c r="M695" s="12">
        <f>L695/[4]货币基础!$B$4</f>
        <v>160</v>
      </c>
      <c r="N695" s="12">
        <f>IF(A695&lt;[3]关卡对接!$A$4,INDEX([3]关卡对接!$E$7:$E$141,A695),MATCH(E695,人物经验!$H$24:$H$573,1))</f>
        <v>323</v>
      </c>
      <c r="O695" s="12">
        <f>INDEX([2]关卡!$G$6:$G$2005,A695)</f>
        <v>3</v>
      </c>
      <c r="P695" s="13">
        <v>6</v>
      </c>
      <c r="Q695" s="12">
        <f>INT(P695/$S$15/O695*VLOOKUP(J695,[1]人物技能基础!$N$3:$O$553,2,0)*$U$15)</f>
        <v>9</v>
      </c>
      <c r="R695" s="12">
        <f t="shared" si="102"/>
        <v>112</v>
      </c>
    </row>
    <row r="696" spans="1:18" x14ac:dyDescent="0.15">
      <c r="A696" s="12">
        <v>678</v>
      </c>
      <c r="B696" s="12">
        <f t="shared" si="96"/>
        <v>4</v>
      </c>
      <c r="C696" s="12">
        <f t="shared" si="97"/>
        <v>1.4648400000000001</v>
      </c>
      <c r="D696" s="12">
        <f t="shared" si="98"/>
        <v>1.9549999999999956E-2</v>
      </c>
      <c r="E696" s="12">
        <f>SUM($D$19:D696)</f>
        <v>7.664839999999999</v>
      </c>
      <c r="F696" s="12">
        <f t="shared" si="94"/>
        <v>74.841193360159011</v>
      </c>
      <c r="G696" s="12">
        <f t="shared" si="95"/>
        <v>63.236532292894999</v>
      </c>
      <c r="H696" s="12">
        <f t="shared" si="99"/>
        <v>269400</v>
      </c>
      <c r="I696" s="12">
        <f t="shared" si="100"/>
        <v>227600</v>
      </c>
      <c r="J696" s="12">
        <f>IF(A696&lt;[3]关卡对接!$A$4,INDEX([3]关卡对接!$C$7:$C$141,A696),MATCH(E696,人物经验!$H$24:$H$573,1))</f>
        <v>323</v>
      </c>
      <c r="K696" s="12">
        <f>IF([3]关卡对接!F684="",INT(INDEX(人物经验!$J$24:$J$573,关卡!J696)*关卡!$S$7),[3]关卡对接!F684)</f>
        <v>6645</v>
      </c>
      <c r="L696" s="12">
        <f t="shared" si="101"/>
        <v>1.6</v>
      </c>
      <c r="M696" s="12">
        <f>L696/[4]货币基础!$B$4</f>
        <v>160</v>
      </c>
      <c r="N696" s="12">
        <f>IF(A696&lt;[3]关卡对接!$A$4,INDEX([3]关卡对接!$E$7:$E$141,A696),MATCH(E696,人物经验!$H$24:$H$573,1))</f>
        <v>323</v>
      </c>
      <c r="O696" s="12">
        <f>INDEX([2]关卡!$G$6:$G$2005,A696)</f>
        <v>3</v>
      </c>
      <c r="P696" s="13">
        <v>6</v>
      </c>
      <c r="Q696" s="12">
        <f>INT(P696/$S$15/O696*VLOOKUP(J696,[1]人物技能基础!$N$3:$O$553,2,0)*$U$15)</f>
        <v>9</v>
      </c>
      <c r="R696" s="12">
        <f t="shared" si="102"/>
        <v>112</v>
      </c>
    </row>
    <row r="697" spans="1:18" x14ac:dyDescent="0.15">
      <c r="A697" s="12">
        <v>679</v>
      </c>
      <c r="B697" s="12">
        <f t="shared" si="96"/>
        <v>4</v>
      </c>
      <c r="C697" s="12">
        <f t="shared" si="97"/>
        <v>1.4844100000000002</v>
      </c>
      <c r="D697" s="12">
        <f t="shared" si="98"/>
        <v>1.9570000000000087E-2</v>
      </c>
      <c r="E697" s="12">
        <f>SUM($D$19:D697)</f>
        <v>7.6844099999999989</v>
      </c>
      <c r="F697" s="12">
        <f t="shared" si="94"/>
        <v>75.041991629294955</v>
      </c>
      <c r="G697" s="12">
        <f t="shared" si="95"/>
        <v>63.370733628105938</v>
      </c>
      <c r="H697" s="12">
        <f t="shared" si="99"/>
        <v>270100</v>
      </c>
      <c r="I697" s="12">
        <f t="shared" si="100"/>
        <v>228100</v>
      </c>
      <c r="J697" s="12">
        <f>IF(A697&lt;[3]关卡对接!$A$4,INDEX([3]关卡对接!$C$7:$C$141,A697),MATCH(E697,人物经验!$H$24:$H$573,1))</f>
        <v>323</v>
      </c>
      <c r="K697" s="12">
        <f>IF([3]关卡对接!F685="",INT(INDEX(人物经验!$J$24:$J$573,关卡!J697)*关卡!$S$7),[3]关卡对接!F685)</f>
        <v>6645</v>
      </c>
      <c r="L697" s="12">
        <f t="shared" si="101"/>
        <v>1.6</v>
      </c>
      <c r="M697" s="12">
        <f>L697/[4]货币基础!$B$4</f>
        <v>160</v>
      </c>
      <c r="N697" s="12">
        <f>IF(A697&lt;[3]关卡对接!$A$4,INDEX([3]关卡对接!$E$7:$E$141,A697),MATCH(E697,人物经验!$H$24:$H$573,1))</f>
        <v>323</v>
      </c>
      <c r="O697" s="12">
        <f>INDEX([2]关卡!$G$6:$G$2005,A697)</f>
        <v>3</v>
      </c>
      <c r="P697" s="13">
        <v>6</v>
      </c>
      <c r="Q697" s="12">
        <f>INT(P697/$S$15/O697*VLOOKUP(J697,[1]人物技能基础!$N$3:$O$553,2,0)*$U$15)</f>
        <v>9</v>
      </c>
      <c r="R697" s="12">
        <f t="shared" si="102"/>
        <v>112</v>
      </c>
    </row>
    <row r="698" spans="1:18" x14ac:dyDescent="0.15">
      <c r="A698" s="12">
        <v>680</v>
      </c>
      <c r="B698" s="12">
        <f t="shared" si="96"/>
        <v>4</v>
      </c>
      <c r="C698" s="12">
        <f t="shared" si="97"/>
        <v>1.5040000000000002</v>
      </c>
      <c r="D698" s="12">
        <f t="shared" si="98"/>
        <v>1.9589999999999996E-2</v>
      </c>
      <c r="E698" s="12">
        <f>SUM($D$19:D698)</f>
        <v>7.7039999999999988</v>
      </c>
      <c r="F698" s="12">
        <f t="shared" si="94"/>
        <v>75.243180640000006</v>
      </c>
      <c r="G698" s="12">
        <f t="shared" si="95"/>
        <v>63.505119200000003</v>
      </c>
      <c r="H698" s="12">
        <f t="shared" si="99"/>
        <v>270800</v>
      </c>
      <c r="I698" s="12">
        <f t="shared" si="100"/>
        <v>228600</v>
      </c>
      <c r="J698" s="12">
        <f>IF(A698&lt;[3]关卡对接!$A$4,INDEX([3]关卡对接!$C$7:$C$141,A698),MATCH(E698,人物经验!$H$24:$H$573,1))</f>
        <v>323</v>
      </c>
      <c r="K698" s="12">
        <f>IF([3]关卡对接!F686="",INT(INDEX(人物经验!$J$24:$J$573,关卡!J698)*关卡!$S$7),[3]关卡对接!F686)</f>
        <v>6645</v>
      </c>
      <c r="L698" s="12">
        <f t="shared" si="101"/>
        <v>1.6</v>
      </c>
      <c r="M698" s="12">
        <f>L698/[4]货币基础!$B$4</f>
        <v>160</v>
      </c>
      <c r="N698" s="12">
        <f>IF(A698&lt;[3]关卡对接!$A$4,INDEX([3]关卡对接!$E$7:$E$141,A698),MATCH(E698,人物经验!$H$24:$H$573,1))</f>
        <v>323</v>
      </c>
      <c r="O698" s="12">
        <f>INDEX([2]关卡!$G$6:$G$2005,A698)</f>
        <v>3</v>
      </c>
      <c r="P698" s="13">
        <v>6</v>
      </c>
      <c r="Q698" s="12">
        <f>INT(P698/$S$15/O698*VLOOKUP(J698,[1]人物技能基础!$N$3:$O$553,2,0)*$U$15)</f>
        <v>9</v>
      </c>
      <c r="R698" s="12">
        <f t="shared" si="102"/>
        <v>112</v>
      </c>
    </row>
    <row r="699" spans="1:18" x14ac:dyDescent="0.15">
      <c r="A699" s="12">
        <v>681</v>
      </c>
      <c r="B699" s="12">
        <f t="shared" si="96"/>
        <v>4</v>
      </c>
      <c r="C699" s="12">
        <f t="shared" si="97"/>
        <v>1.5236100000000001</v>
      </c>
      <c r="D699" s="12">
        <f t="shared" si="98"/>
        <v>1.9609999999999905E-2</v>
      </c>
      <c r="E699" s="12">
        <f>SUM($D$19:D699)</f>
        <v>7.723609999999999</v>
      </c>
      <c r="F699" s="12">
        <f t="shared" si="94"/>
        <v>75.444761023954968</v>
      </c>
      <c r="G699" s="12">
        <f t="shared" si="95"/>
        <v>63.639689217905939</v>
      </c>
      <c r="H699" s="12">
        <f t="shared" si="99"/>
        <v>271600</v>
      </c>
      <c r="I699" s="12">
        <f t="shared" si="100"/>
        <v>229100</v>
      </c>
      <c r="J699" s="12">
        <f>IF(A699&lt;[3]关卡对接!$A$4,INDEX([3]关卡对接!$C$7:$C$141,A699),MATCH(E699,人物经验!$H$24:$H$573,1))</f>
        <v>323</v>
      </c>
      <c r="K699" s="12">
        <f>IF([3]关卡对接!F687="",INT(INDEX(人物经验!$J$24:$J$573,关卡!J699)*关卡!$S$7),[3]关卡对接!F687)</f>
        <v>6645</v>
      </c>
      <c r="L699" s="12">
        <f t="shared" si="101"/>
        <v>1.6</v>
      </c>
      <c r="M699" s="12">
        <f>L699/[4]货币基础!$B$4</f>
        <v>160</v>
      </c>
      <c r="N699" s="12">
        <f>IF(A699&lt;[3]关卡对接!$A$4,INDEX([3]关卡对接!$E$7:$E$141,A699),MATCH(E699,人物经验!$H$24:$H$573,1))</f>
        <v>323</v>
      </c>
      <c r="O699" s="12">
        <f>INDEX([2]关卡!$G$6:$G$2005,A699)</f>
        <v>3</v>
      </c>
      <c r="P699" s="13">
        <v>6</v>
      </c>
      <c r="Q699" s="12">
        <f>INT(P699/$S$15/O699*VLOOKUP(J699,[1]人物技能基础!$N$3:$O$553,2,0)*$U$15)</f>
        <v>9</v>
      </c>
      <c r="R699" s="12">
        <f t="shared" si="102"/>
        <v>112</v>
      </c>
    </row>
    <row r="700" spans="1:18" x14ac:dyDescent="0.15">
      <c r="A700" s="12">
        <v>682</v>
      </c>
      <c r="B700" s="12">
        <f t="shared" si="96"/>
        <v>4</v>
      </c>
      <c r="C700" s="12">
        <f t="shared" si="97"/>
        <v>1.5432399999999999</v>
      </c>
      <c r="D700" s="12">
        <f t="shared" si="98"/>
        <v>1.9629999999999814E-2</v>
      </c>
      <c r="E700" s="12">
        <f>SUM($D$19:D700)</f>
        <v>7.7432399999999983</v>
      </c>
      <c r="F700" s="12">
        <f t="shared" si="94"/>
        <v>75.646733413439009</v>
      </c>
      <c r="G700" s="12">
        <f t="shared" si="95"/>
        <v>63.774443891295007</v>
      </c>
      <c r="H700" s="12">
        <f t="shared" si="99"/>
        <v>272300</v>
      </c>
      <c r="I700" s="12">
        <f t="shared" si="100"/>
        <v>229500</v>
      </c>
      <c r="J700" s="12">
        <f>IF(A700&lt;[3]关卡对接!$A$4,INDEX([3]关卡对接!$C$7:$C$141,A700),MATCH(E700,人物经验!$H$24:$H$573,1))</f>
        <v>324</v>
      </c>
      <c r="K700" s="12">
        <f>IF([3]关卡对接!F688="",INT(INDEX(人物经验!$J$24:$J$573,关卡!J700)*关卡!$S$7),[3]关卡对接!F688)</f>
        <v>6790</v>
      </c>
      <c r="L700" s="12">
        <f t="shared" si="101"/>
        <v>1.6</v>
      </c>
      <c r="M700" s="12">
        <f>L700/[4]货币基础!$B$4</f>
        <v>160</v>
      </c>
      <c r="N700" s="12">
        <f>IF(A700&lt;[3]关卡对接!$A$4,INDEX([3]关卡对接!$E$7:$E$141,A700),MATCH(E700,人物经验!$H$24:$H$573,1))</f>
        <v>324</v>
      </c>
      <c r="O700" s="12">
        <f>INDEX([2]关卡!$G$6:$G$2005,A700)</f>
        <v>3</v>
      </c>
      <c r="P700" s="13">
        <v>6</v>
      </c>
      <c r="Q700" s="12">
        <f>INT(P700/$S$15/O700*VLOOKUP(J700,[1]人物技能基础!$N$3:$O$553,2,0)*$U$15)</f>
        <v>9</v>
      </c>
      <c r="R700" s="12">
        <f t="shared" si="102"/>
        <v>112</v>
      </c>
    </row>
    <row r="701" spans="1:18" x14ac:dyDescent="0.15">
      <c r="A701" s="12">
        <v>683</v>
      </c>
      <c r="B701" s="12">
        <f t="shared" si="96"/>
        <v>4</v>
      </c>
      <c r="C701" s="12">
        <f t="shared" si="97"/>
        <v>1.5628899999999999</v>
      </c>
      <c r="D701" s="12">
        <f t="shared" si="98"/>
        <v>1.9649999999999945E-2</v>
      </c>
      <c r="E701" s="12">
        <f>SUM($D$19:D701)</f>
        <v>7.7628899999999987</v>
      </c>
      <c r="F701" s="12">
        <f t="shared" si="94"/>
        <v>75.849098441329943</v>
      </c>
      <c r="G701" s="12">
        <f t="shared" si="95"/>
        <v>63.909383429780945</v>
      </c>
      <c r="H701" s="12">
        <f t="shared" si="99"/>
        <v>273000</v>
      </c>
      <c r="I701" s="12">
        <f t="shared" si="100"/>
        <v>230000</v>
      </c>
      <c r="J701" s="12">
        <f>IF(A701&lt;[3]关卡对接!$A$4,INDEX([3]关卡对接!$C$7:$C$141,A701),MATCH(E701,人物经验!$H$24:$H$573,1))</f>
        <v>324</v>
      </c>
      <c r="K701" s="12">
        <f>IF([3]关卡对接!F689="",INT(INDEX(人物经验!$J$24:$J$573,关卡!J701)*关卡!$S$7),[3]关卡对接!F689)</f>
        <v>6790</v>
      </c>
      <c r="L701" s="12">
        <f t="shared" si="101"/>
        <v>1.6</v>
      </c>
      <c r="M701" s="12">
        <f>L701/[4]货币基础!$B$4</f>
        <v>160</v>
      </c>
      <c r="N701" s="12">
        <f>IF(A701&lt;[3]关卡对接!$A$4,INDEX([3]关卡对接!$E$7:$E$141,A701),MATCH(E701,人物经验!$H$24:$H$573,1))</f>
        <v>324</v>
      </c>
      <c r="O701" s="12">
        <f>INDEX([2]关卡!$G$6:$G$2005,A701)</f>
        <v>3</v>
      </c>
      <c r="P701" s="13">
        <v>6</v>
      </c>
      <c r="Q701" s="12">
        <f>INT(P701/$S$15/O701*VLOOKUP(J701,[1]人物技能基础!$N$3:$O$553,2,0)*$U$15)</f>
        <v>9</v>
      </c>
      <c r="R701" s="12">
        <f t="shared" si="102"/>
        <v>112</v>
      </c>
    </row>
    <row r="702" spans="1:18" x14ac:dyDescent="0.15">
      <c r="A702" s="12">
        <v>684</v>
      </c>
      <c r="B702" s="12">
        <f t="shared" si="96"/>
        <v>4</v>
      </c>
      <c r="C702" s="12">
        <f t="shared" si="97"/>
        <v>1.58256</v>
      </c>
      <c r="D702" s="12">
        <f t="shared" si="98"/>
        <v>1.9670000000000076E-2</v>
      </c>
      <c r="E702" s="12">
        <f>SUM($D$19:D702)</f>
        <v>7.7825599999999984</v>
      </c>
      <c r="F702" s="12">
        <f t="shared" si="94"/>
        <v>76.051856741104018</v>
      </c>
      <c r="G702" s="12">
        <f t="shared" si="95"/>
        <v>64.044508043120004</v>
      </c>
      <c r="H702" s="12">
        <f t="shared" si="99"/>
        <v>273700</v>
      </c>
      <c r="I702" s="12">
        <f t="shared" si="100"/>
        <v>230500</v>
      </c>
      <c r="J702" s="12">
        <f>IF(A702&lt;[3]关卡对接!$A$4,INDEX([3]关卡对接!$C$7:$C$141,A702),MATCH(E702,人物经验!$H$24:$H$573,1))</f>
        <v>324</v>
      </c>
      <c r="K702" s="12">
        <f>IF([3]关卡对接!F690="",INT(INDEX(人物经验!$J$24:$J$573,关卡!J702)*关卡!$S$7),[3]关卡对接!F690)</f>
        <v>6790</v>
      </c>
      <c r="L702" s="12">
        <f t="shared" si="101"/>
        <v>1.6</v>
      </c>
      <c r="M702" s="12">
        <f>L702/[4]货币基础!$B$4</f>
        <v>160</v>
      </c>
      <c r="N702" s="12">
        <f>IF(A702&lt;[3]关卡对接!$A$4,INDEX([3]关卡对接!$E$7:$E$141,A702),MATCH(E702,人物经验!$H$24:$H$573,1))</f>
        <v>324</v>
      </c>
      <c r="O702" s="12">
        <f>INDEX([2]关卡!$G$6:$G$2005,A702)</f>
        <v>3</v>
      </c>
      <c r="P702" s="13">
        <v>6</v>
      </c>
      <c r="Q702" s="12">
        <f>INT(P702/$S$15/O702*VLOOKUP(J702,[1]人物技能基础!$N$3:$O$553,2,0)*$U$15)</f>
        <v>9</v>
      </c>
      <c r="R702" s="12">
        <f t="shared" si="102"/>
        <v>112</v>
      </c>
    </row>
    <row r="703" spans="1:18" x14ac:dyDescent="0.15">
      <c r="A703" s="12">
        <v>685</v>
      </c>
      <c r="B703" s="12">
        <f t="shared" si="96"/>
        <v>4</v>
      </c>
      <c r="C703" s="12">
        <f t="shared" si="97"/>
        <v>1.60225</v>
      </c>
      <c r="D703" s="12">
        <f t="shared" si="98"/>
        <v>1.9689999999999985E-2</v>
      </c>
      <c r="E703" s="12">
        <f>SUM($D$19:D703)</f>
        <v>7.8022499999999981</v>
      </c>
      <c r="F703" s="12">
        <f t="shared" si="94"/>
        <v>76.255008946835957</v>
      </c>
      <c r="G703" s="12">
        <f t="shared" si="95"/>
        <v>64.179817941210928</v>
      </c>
      <c r="H703" s="12">
        <f t="shared" si="99"/>
        <v>274500</v>
      </c>
      <c r="I703" s="12">
        <f t="shared" si="100"/>
        <v>231000</v>
      </c>
      <c r="J703" s="12">
        <f>IF(A703&lt;[3]关卡对接!$A$4,INDEX([3]关卡对接!$C$7:$C$141,A703),MATCH(E703,人物经验!$H$24:$H$573,1))</f>
        <v>324</v>
      </c>
      <c r="K703" s="12">
        <f>IF([3]关卡对接!F691="",INT(INDEX(人物经验!$J$24:$J$573,关卡!J703)*关卡!$S$7),[3]关卡对接!F691)</f>
        <v>6790</v>
      </c>
      <c r="L703" s="12">
        <f t="shared" si="101"/>
        <v>1.6</v>
      </c>
      <c r="M703" s="12">
        <f>L703/[4]货币基础!$B$4</f>
        <v>160</v>
      </c>
      <c r="N703" s="12">
        <f>IF(A703&lt;[3]关卡对接!$A$4,INDEX([3]关卡对接!$E$7:$E$141,A703),MATCH(E703,人物经验!$H$24:$H$573,1))</f>
        <v>324</v>
      </c>
      <c r="O703" s="12">
        <f>INDEX([2]关卡!$G$6:$G$2005,A703)</f>
        <v>3</v>
      </c>
      <c r="P703" s="13">
        <v>6</v>
      </c>
      <c r="Q703" s="12">
        <f>INT(P703/$S$15/O703*VLOOKUP(J703,[1]人物技能基础!$N$3:$O$553,2,0)*$U$15)</f>
        <v>9</v>
      </c>
      <c r="R703" s="12">
        <f t="shared" si="102"/>
        <v>112</v>
      </c>
    </row>
    <row r="704" spans="1:18" x14ac:dyDescent="0.15">
      <c r="A704" s="12">
        <v>686</v>
      </c>
      <c r="B704" s="12">
        <f t="shared" si="96"/>
        <v>4</v>
      </c>
      <c r="C704" s="12">
        <f t="shared" si="97"/>
        <v>1.6219600000000001</v>
      </c>
      <c r="D704" s="12">
        <f t="shared" si="98"/>
        <v>1.9710000000000116E-2</v>
      </c>
      <c r="E704" s="12">
        <f>SUM($D$19:D704)</f>
        <v>7.821959999999998</v>
      </c>
      <c r="F704" s="12">
        <f t="shared" si="94"/>
        <v>76.458555693199003</v>
      </c>
      <c r="G704" s="12">
        <f t="shared" si="95"/>
        <v>64.315313334094995</v>
      </c>
      <c r="H704" s="12">
        <f t="shared" si="99"/>
        <v>275200</v>
      </c>
      <c r="I704" s="12">
        <f t="shared" si="100"/>
        <v>231500</v>
      </c>
      <c r="J704" s="12">
        <f>IF(A704&lt;[3]关卡对接!$A$4,INDEX([3]关卡对接!$C$7:$C$141,A704),MATCH(E704,人物经验!$H$24:$H$573,1))</f>
        <v>324</v>
      </c>
      <c r="K704" s="12">
        <f>IF([3]关卡对接!F692="",INT(INDEX(人物经验!$J$24:$J$573,关卡!J704)*关卡!$S$7),[3]关卡对接!F692)</f>
        <v>6790</v>
      </c>
      <c r="L704" s="12">
        <f t="shared" si="101"/>
        <v>1.6</v>
      </c>
      <c r="M704" s="12">
        <f>L704/[4]货币基础!$B$4</f>
        <v>160</v>
      </c>
      <c r="N704" s="12">
        <f>IF(A704&lt;[3]关卡对接!$A$4,INDEX([3]关卡对接!$E$7:$E$141,A704),MATCH(E704,人物经验!$H$24:$H$573,1))</f>
        <v>324</v>
      </c>
      <c r="O704" s="12">
        <f>INDEX([2]关卡!$G$6:$G$2005,A704)</f>
        <v>3</v>
      </c>
      <c r="P704" s="13">
        <v>6</v>
      </c>
      <c r="Q704" s="12">
        <f>INT(P704/$S$15/O704*VLOOKUP(J704,[1]人物技能基础!$N$3:$O$553,2,0)*$U$15)</f>
        <v>9</v>
      </c>
      <c r="R704" s="12">
        <f t="shared" si="102"/>
        <v>112</v>
      </c>
    </row>
    <row r="705" spans="1:18" x14ac:dyDescent="0.15">
      <c r="A705" s="12">
        <v>687</v>
      </c>
      <c r="B705" s="12">
        <f t="shared" si="96"/>
        <v>4</v>
      </c>
      <c r="C705" s="12">
        <f t="shared" si="97"/>
        <v>1.6416900000000001</v>
      </c>
      <c r="D705" s="12">
        <f t="shared" si="98"/>
        <v>1.9730000000000025E-2</v>
      </c>
      <c r="E705" s="12">
        <f>SUM($D$19:D705)</f>
        <v>7.8416899999999981</v>
      </c>
      <c r="F705" s="12">
        <f t="shared" si="94"/>
        <v>76.662497615464972</v>
      </c>
      <c r="G705" s="12">
        <f t="shared" si="95"/>
        <v>64.450994431955934</v>
      </c>
      <c r="H705" s="12">
        <f t="shared" si="99"/>
        <v>275900</v>
      </c>
      <c r="I705" s="12">
        <f t="shared" si="100"/>
        <v>232000</v>
      </c>
      <c r="J705" s="12">
        <f>IF(A705&lt;[3]关卡对接!$A$4,INDEX([3]关卡对接!$C$7:$C$141,A705),MATCH(E705,人物经验!$H$24:$H$573,1))</f>
        <v>324</v>
      </c>
      <c r="K705" s="12">
        <f>IF([3]关卡对接!F693="",INT(INDEX(人物经验!$J$24:$J$573,关卡!J705)*关卡!$S$7),[3]关卡对接!F693)</f>
        <v>6790</v>
      </c>
      <c r="L705" s="12">
        <f t="shared" si="101"/>
        <v>1.6</v>
      </c>
      <c r="M705" s="12">
        <f>L705/[4]货币基础!$B$4</f>
        <v>160</v>
      </c>
      <c r="N705" s="12">
        <f>IF(A705&lt;[3]关卡对接!$A$4,INDEX([3]关卡对接!$E$7:$E$141,A705),MATCH(E705,人物经验!$H$24:$H$573,1))</f>
        <v>324</v>
      </c>
      <c r="O705" s="12">
        <f>INDEX([2]关卡!$G$6:$G$2005,A705)</f>
        <v>3</v>
      </c>
      <c r="P705" s="13">
        <v>6</v>
      </c>
      <c r="Q705" s="12">
        <f>INT(P705/$S$15/O705*VLOOKUP(J705,[1]人物技能基础!$N$3:$O$553,2,0)*$U$15)</f>
        <v>9</v>
      </c>
      <c r="R705" s="12">
        <f t="shared" si="102"/>
        <v>112</v>
      </c>
    </row>
    <row r="706" spans="1:18" x14ac:dyDescent="0.15">
      <c r="A706" s="12">
        <v>688</v>
      </c>
      <c r="B706" s="12">
        <f t="shared" si="96"/>
        <v>4</v>
      </c>
      <c r="C706" s="12">
        <f t="shared" si="97"/>
        <v>1.66144</v>
      </c>
      <c r="D706" s="12">
        <f t="shared" si="98"/>
        <v>1.9749999999999934E-2</v>
      </c>
      <c r="E706" s="12">
        <f>SUM($D$19:D706)</f>
        <v>7.8614399999999982</v>
      </c>
      <c r="F706" s="12">
        <f t="shared" si="94"/>
        <v>76.866835349504001</v>
      </c>
      <c r="G706" s="12">
        <f t="shared" si="95"/>
        <v>64.586861445119993</v>
      </c>
      <c r="H706" s="12">
        <f t="shared" si="99"/>
        <v>276700</v>
      </c>
      <c r="I706" s="12">
        <f t="shared" si="100"/>
        <v>232500</v>
      </c>
      <c r="J706" s="12">
        <f>IF(A706&lt;[3]关卡对接!$A$4,INDEX([3]关卡对接!$C$7:$C$141,A706),MATCH(E706,人物经验!$H$24:$H$573,1))</f>
        <v>324</v>
      </c>
      <c r="K706" s="12">
        <f>IF([3]关卡对接!F694="",INT(INDEX(人物经验!$J$24:$J$573,关卡!J706)*关卡!$S$7),[3]关卡对接!F694)</f>
        <v>6790</v>
      </c>
      <c r="L706" s="12">
        <f t="shared" si="101"/>
        <v>1.6</v>
      </c>
      <c r="M706" s="12">
        <f>L706/[4]货币基础!$B$4</f>
        <v>160</v>
      </c>
      <c r="N706" s="12">
        <f>IF(A706&lt;[3]关卡对接!$A$4,INDEX([3]关卡对接!$E$7:$E$141,A706),MATCH(E706,人物经验!$H$24:$H$573,1))</f>
        <v>324</v>
      </c>
      <c r="O706" s="12">
        <f>INDEX([2]关卡!$G$6:$G$2005,A706)</f>
        <v>3</v>
      </c>
      <c r="P706" s="13">
        <v>6</v>
      </c>
      <c r="Q706" s="12">
        <f>INT(P706/$S$15/O706*VLOOKUP(J706,[1]人物技能基础!$N$3:$O$553,2,0)*$U$15)</f>
        <v>9</v>
      </c>
      <c r="R706" s="12">
        <f t="shared" si="102"/>
        <v>112</v>
      </c>
    </row>
    <row r="707" spans="1:18" x14ac:dyDescent="0.15">
      <c r="A707" s="12">
        <v>689</v>
      </c>
      <c r="B707" s="12">
        <f t="shared" si="96"/>
        <v>4</v>
      </c>
      <c r="C707" s="12">
        <f t="shared" si="97"/>
        <v>1.6812100000000001</v>
      </c>
      <c r="D707" s="12">
        <f t="shared" si="98"/>
        <v>1.9770000000000065E-2</v>
      </c>
      <c r="E707" s="12">
        <f>SUM($D$19:D707)</f>
        <v>7.8812099999999985</v>
      </c>
      <c r="F707" s="12">
        <f t="shared" si="94"/>
        <v>77.071569531784945</v>
      </c>
      <c r="G707" s="12">
        <f t="shared" si="95"/>
        <v>64.722914584055928</v>
      </c>
      <c r="H707" s="12">
        <f t="shared" si="99"/>
        <v>277400</v>
      </c>
      <c r="I707" s="12">
        <f t="shared" si="100"/>
        <v>233000</v>
      </c>
      <c r="J707" s="12">
        <f>IF(A707&lt;[3]关卡对接!$A$4,INDEX([3]关卡对接!$C$7:$C$141,A707),MATCH(E707,人物经验!$H$24:$H$573,1))</f>
        <v>325</v>
      </c>
      <c r="K707" s="12">
        <f>IF([3]关卡对接!F695="",INT(INDEX(人物经验!$J$24:$J$573,关卡!J707)*关卡!$S$7),[3]关卡对接!F695)</f>
        <v>6918</v>
      </c>
      <c r="L707" s="12">
        <f t="shared" si="101"/>
        <v>1.6</v>
      </c>
      <c r="M707" s="12">
        <f>L707/[4]货币基础!$B$4</f>
        <v>160</v>
      </c>
      <c r="N707" s="12">
        <f>IF(A707&lt;[3]关卡对接!$A$4,INDEX([3]关卡对接!$E$7:$E$141,A707),MATCH(E707,人物经验!$H$24:$H$573,1))</f>
        <v>325</v>
      </c>
      <c r="O707" s="12">
        <f>INDEX([2]关卡!$G$6:$G$2005,A707)</f>
        <v>3</v>
      </c>
      <c r="P707" s="13">
        <v>6</v>
      </c>
      <c r="Q707" s="12">
        <f>INT(P707/$S$15/O707*VLOOKUP(J707,[1]人物技能基础!$N$3:$O$553,2,0)*$U$15)</f>
        <v>9</v>
      </c>
      <c r="R707" s="12">
        <f t="shared" si="102"/>
        <v>112</v>
      </c>
    </row>
    <row r="708" spans="1:18" x14ac:dyDescent="0.15">
      <c r="A708" s="12">
        <v>690</v>
      </c>
      <c r="B708" s="12">
        <f t="shared" si="96"/>
        <v>4</v>
      </c>
      <c r="C708" s="12">
        <f t="shared" si="97"/>
        <v>1.7010000000000001</v>
      </c>
      <c r="D708" s="12">
        <f t="shared" si="98"/>
        <v>1.9789999999999974E-2</v>
      </c>
      <c r="E708" s="12">
        <f>SUM($D$19:D708)</f>
        <v>7.900999999999998</v>
      </c>
      <c r="F708" s="12">
        <f t="shared" si="94"/>
        <v>77.276700799374993</v>
      </c>
      <c r="G708" s="12">
        <f t="shared" si="95"/>
        <v>64.859154059374987</v>
      </c>
      <c r="H708" s="12">
        <f t="shared" si="99"/>
        <v>278100</v>
      </c>
      <c r="I708" s="12">
        <f t="shared" si="100"/>
        <v>233400</v>
      </c>
      <c r="J708" s="12">
        <f>IF(A708&lt;[3]关卡对接!$A$4,INDEX([3]关卡对接!$C$7:$C$141,A708),MATCH(E708,人物经验!$H$24:$H$573,1))</f>
        <v>325</v>
      </c>
      <c r="K708" s="12">
        <f>IF([3]关卡对接!F696="",INT(INDEX(人物经验!$J$24:$J$573,关卡!J708)*关卡!$S$7),[3]关卡对接!F696)</f>
        <v>6918</v>
      </c>
      <c r="L708" s="12">
        <f t="shared" si="101"/>
        <v>1.6</v>
      </c>
      <c r="M708" s="12">
        <f>L708/[4]货币基础!$B$4</f>
        <v>160</v>
      </c>
      <c r="N708" s="12">
        <f>IF(A708&lt;[3]关卡对接!$A$4,INDEX([3]关卡对接!$E$7:$E$141,A708),MATCH(E708,人物经验!$H$24:$H$573,1))</f>
        <v>325</v>
      </c>
      <c r="O708" s="12">
        <f>INDEX([2]关卡!$G$6:$G$2005,A708)</f>
        <v>3</v>
      </c>
      <c r="P708" s="13">
        <v>6</v>
      </c>
      <c r="Q708" s="12">
        <f>INT(P708/$S$15/O708*VLOOKUP(J708,[1]人物技能基础!$N$3:$O$553,2,0)*$U$15)</f>
        <v>9</v>
      </c>
      <c r="R708" s="12">
        <f t="shared" si="102"/>
        <v>112</v>
      </c>
    </row>
    <row r="709" spans="1:18" x14ac:dyDescent="0.15">
      <c r="A709" s="12">
        <v>691</v>
      </c>
      <c r="B709" s="12">
        <f t="shared" si="96"/>
        <v>4</v>
      </c>
      <c r="C709" s="12">
        <f t="shared" si="97"/>
        <v>1.7208100000000002</v>
      </c>
      <c r="D709" s="12">
        <f t="shared" si="98"/>
        <v>1.9810000000000105E-2</v>
      </c>
      <c r="E709" s="12">
        <f>SUM($D$19:D709)</f>
        <v>7.9208099999999977</v>
      </c>
      <c r="F709" s="12">
        <f t="shared" si="94"/>
        <v>77.482229789939922</v>
      </c>
      <c r="G709" s="12">
        <f t="shared" si="95"/>
        <v>64.995580081830923</v>
      </c>
      <c r="H709" s="12">
        <f t="shared" si="99"/>
        <v>278900</v>
      </c>
      <c r="I709" s="12">
        <f t="shared" si="100"/>
        <v>233900</v>
      </c>
      <c r="J709" s="12">
        <f>IF(A709&lt;[3]关卡对接!$A$4,INDEX([3]关卡对接!$C$7:$C$141,A709),MATCH(E709,人物经验!$H$24:$H$573,1))</f>
        <v>325</v>
      </c>
      <c r="K709" s="12">
        <f>IF([3]关卡对接!F697="",INT(INDEX(人物经验!$J$24:$J$573,关卡!J709)*关卡!$S$7),[3]关卡对接!F697)</f>
        <v>6918</v>
      </c>
      <c r="L709" s="12">
        <f t="shared" si="101"/>
        <v>1.6</v>
      </c>
      <c r="M709" s="12">
        <f>L709/[4]货币基础!$B$4</f>
        <v>160</v>
      </c>
      <c r="N709" s="12">
        <f>IF(A709&lt;[3]关卡对接!$A$4,INDEX([3]关卡对接!$E$7:$E$141,A709),MATCH(E709,人物经验!$H$24:$H$573,1))</f>
        <v>325</v>
      </c>
      <c r="O709" s="12">
        <f>INDEX([2]关卡!$G$6:$G$2005,A709)</f>
        <v>3</v>
      </c>
      <c r="P709" s="13">
        <v>6</v>
      </c>
      <c r="Q709" s="12">
        <f>INT(P709/$S$15/O709*VLOOKUP(J709,[1]人物技能基础!$N$3:$O$553,2,0)*$U$15)</f>
        <v>9</v>
      </c>
      <c r="R709" s="12">
        <f t="shared" si="102"/>
        <v>112</v>
      </c>
    </row>
    <row r="710" spans="1:18" x14ac:dyDescent="0.15">
      <c r="A710" s="12">
        <v>692</v>
      </c>
      <c r="B710" s="12">
        <f t="shared" si="96"/>
        <v>4</v>
      </c>
      <c r="C710" s="12">
        <f t="shared" si="97"/>
        <v>1.7406400000000002</v>
      </c>
      <c r="D710" s="12">
        <f t="shared" si="98"/>
        <v>1.9830000000000014E-2</v>
      </c>
      <c r="E710" s="12">
        <f>SUM($D$19:D710)</f>
        <v>7.9406399999999975</v>
      </c>
      <c r="F710" s="12">
        <f t="shared" si="94"/>
        <v>77.688157141744</v>
      </c>
      <c r="G710" s="12">
        <f t="shared" si="95"/>
        <v>65.132192862319997</v>
      </c>
      <c r="H710" s="12">
        <f t="shared" si="99"/>
        <v>279600</v>
      </c>
      <c r="I710" s="12">
        <f t="shared" si="100"/>
        <v>234400</v>
      </c>
      <c r="J710" s="12">
        <f>IF(A710&lt;[3]关卡对接!$A$4,INDEX([3]关卡对接!$C$7:$C$141,A710),MATCH(E710,人物经验!$H$24:$H$573,1))</f>
        <v>325</v>
      </c>
      <c r="K710" s="12">
        <f>IF([3]关卡对接!F698="",INT(INDEX(人物经验!$J$24:$J$573,关卡!J710)*关卡!$S$7),[3]关卡对接!F698)</f>
        <v>6918</v>
      </c>
      <c r="L710" s="12">
        <f t="shared" si="101"/>
        <v>1.6</v>
      </c>
      <c r="M710" s="12">
        <f>L710/[4]货币基础!$B$4</f>
        <v>160</v>
      </c>
      <c r="N710" s="12">
        <f>IF(A710&lt;[3]关卡对接!$A$4,INDEX([3]关卡对接!$E$7:$E$141,A710),MATCH(E710,人物经验!$H$24:$H$573,1))</f>
        <v>325</v>
      </c>
      <c r="O710" s="12">
        <f>INDEX([2]关卡!$G$6:$G$2005,A710)</f>
        <v>3</v>
      </c>
      <c r="P710" s="13">
        <v>6</v>
      </c>
      <c r="Q710" s="12">
        <f>INT(P710/$S$15/O710*VLOOKUP(J710,[1]人物技能基础!$N$3:$O$553,2,0)*$U$15)</f>
        <v>9</v>
      </c>
      <c r="R710" s="12">
        <f t="shared" si="102"/>
        <v>112</v>
      </c>
    </row>
    <row r="711" spans="1:18" x14ac:dyDescent="0.15">
      <c r="A711" s="12">
        <v>693</v>
      </c>
      <c r="B711" s="12">
        <f t="shared" si="96"/>
        <v>4</v>
      </c>
      <c r="C711" s="12">
        <f t="shared" si="97"/>
        <v>1.7604900000000001</v>
      </c>
      <c r="D711" s="12">
        <f t="shared" si="98"/>
        <v>1.9849999999999923E-2</v>
      </c>
      <c r="E711" s="12">
        <f>SUM($D$19:D711)</f>
        <v>7.9604899999999974</v>
      </c>
      <c r="F711" s="12">
        <f t="shared" si="94"/>
        <v>77.894483493649929</v>
      </c>
      <c r="G711" s="12">
        <f t="shared" si="95"/>
        <v>65.268992611880918</v>
      </c>
      <c r="H711" s="12">
        <f t="shared" si="99"/>
        <v>280400</v>
      </c>
      <c r="I711" s="12">
        <f t="shared" si="100"/>
        <v>234900</v>
      </c>
      <c r="J711" s="12">
        <f>IF(A711&lt;[3]关卡对接!$A$4,INDEX([3]关卡对接!$C$7:$C$141,A711),MATCH(E711,人物经验!$H$24:$H$573,1))</f>
        <v>325</v>
      </c>
      <c r="K711" s="12">
        <f>IF([3]关卡对接!F699="",INT(INDEX(人物经验!$J$24:$J$573,关卡!J711)*关卡!$S$7),[3]关卡对接!F699)</f>
        <v>6918</v>
      </c>
      <c r="L711" s="12">
        <f t="shared" si="101"/>
        <v>1.6</v>
      </c>
      <c r="M711" s="12">
        <f>L711/[4]货币基础!$B$4</f>
        <v>160</v>
      </c>
      <c r="N711" s="12">
        <f>IF(A711&lt;[3]关卡对接!$A$4,INDEX([3]关卡对接!$E$7:$E$141,A711),MATCH(E711,人物经验!$H$24:$H$573,1))</f>
        <v>325</v>
      </c>
      <c r="O711" s="12">
        <f>INDEX([2]关卡!$G$6:$G$2005,A711)</f>
        <v>3</v>
      </c>
      <c r="P711" s="13">
        <v>6</v>
      </c>
      <c r="Q711" s="12">
        <f>INT(P711/$S$15/O711*VLOOKUP(J711,[1]人物技能基础!$N$3:$O$553,2,0)*$U$15)</f>
        <v>9</v>
      </c>
      <c r="R711" s="12">
        <f t="shared" si="102"/>
        <v>112</v>
      </c>
    </row>
    <row r="712" spans="1:18" x14ac:dyDescent="0.15">
      <c r="A712" s="12">
        <v>694</v>
      </c>
      <c r="B712" s="12">
        <f t="shared" si="96"/>
        <v>4</v>
      </c>
      <c r="C712" s="12">
        <f t="shared" si="97"/>
        <v>1.7803599999999999</v>
      </c>
      <c r="D712" s="12">
        <f t="shared" si="98"/>
        <v>1.9869999999999832E-2</v>
      </c>
      <c r="E712" s="12">
        <f>SUM($D$19:D712)</f>
        <v>7.9803599999999975</v>
      </c>
      <c r="F712" s="12">
        <f t="shared" si="94"/>
        <v>78.101209485119</v>
      </c>
      <c r="G712" s="12">
        <f t="shared" si="95"/>
        <v>65.405979541695004</v>
      </c>
      <c r="H712" s="12">
        <f t="shared" si="99"/>
        <v>281100</v>
      </c>
      <c r="I712" s="12">
        <f t="shared" si="100"/>
        <v>235400</v>
      </c>
      <c r="J712" s="12">
        <f>IF(A712&lt;[3]关卡对接!$A$4,INDEX([3]关卡对接!$C$7:$C$141,A712),MATCH(E712,人物经验!$H$24:$H$573,1))</f>
        <v>325</v>
      </c>
      <c r="K712" s="12">
        <f>IF([3]关卡对接!F700="",INT(INDEX(人物经验!$J$24:$J$573,关卡!J712)*关卡!$S$7),[3]关卡对接!F700)</f>
        <v>6918</v>
      </c>
      <c r="L712" s="12">
        <f t="shared" si="101"/>
        <v>1.6</v>
      </c>
      <c r="M712" s="12">
        <f>L712/[4]货币基础!$B$4</f>
        <v>160</v>
      </c>
      <c r="N712" s="12">
        <f>IF(A712&lt;[3]关卡对接!$A$4,INDEX([3]关卡对接!$E$7:$E$141,A712),MATCH(E712,人物经验!$H$24:$H$573,1))</f>
        <v>325</v>
      </c>
      <c r="O712" s="12">
        <f>INDEX([2]关卡!$G$6:$G$2005,A712)</f>
        <v>3</v>
      </c>
      <c r="P712" s="13">
        <v>6</v>
      </c>
      <c r="Q712" s="12">
        <f>INT(P712/$S$15/O712*VLOOKUP(J712,[1]人物技能基础!$N$3:$O$553,2,0)*$U$15)</f>
        <v>9</v>
      </c>
      <c r="R712" s="12">
        <f t="shared" si="102"/>
        <v>112</v>
      </c>
    </row>
    <row r="713" spans="1:18" x14ac:dyDescent="0.15">
      <c r="A713" s="12">
        <v>695</v>
      </c>
      <c r="B713" s="12">
        <f t="shared" si="96"/>
        <v>4</v>
      </c>
      <c r="C713" s="12">
        <f t="shared" si="97"/>
        <v>1.8002499999999999</v>
      </c>
      <c r="D713" s="12">
        <f t="shared" si="98"/>
        <v>1.9889999999999963E-2</v>
      </c>
      <c r="E713" s="12">
        <f>SUM($D$19:D713)</f>
        <v>8.0002499999999976</v>
      </c>
      <c r="F713" s="12">
        <f t="shared" si="94"/>
        <v>78.308335756210937</v>
      </c>
      <c r="G713" s="12">
        <f t="shared" si="95"/>
        <v>65.543153863085934</v>
      </c>
      <c r="H713" s="12">
        <f t="shared" si="99"/>
        <v>281900</v>
      </c>
      <c r="I713" s="12">
        <f t="shared" si="100"/>
        <v>235900</v>
      </c>
      <c r="J713" s="12">
        <f>IF(A713&lt;[3]关卡对接!$A$4,INDEX([3]关卡对接!$C$7:$C$141,A713),MATCH(E713,人物经验!$H$24:$H$573,1))</f>
        <v>325</v>
      </c>
      <c r="K713" s="12">
        <f>IF([3]关卡对接!F701="",INT(INDEX(人物经验!$J$24:$J$573,关卡!J713)*关卡!$S$7),[3]关卡对接!F701)</f>
        <v>6918</v>
      </c>
      <c r="L713" s="12">
        <f t="shared" si="101"/>
        <v>1.6</v>
      </c>
      <c r="M713" s="12">
        <f>L713/[4]货币基础!$B$4</f>
        <v>160</v>
      </c>
      <c r="N713" s="12">
        <f>IF(A713&lt;[3]关卡对接!$A$4,INDEX([3]关卡对接!$E$7:$E$141,A713),MATCH(E713,人物经验!$H$24:$H$573,1))</f>
        <v>325</v>
      </c>
      <c r="O713" s="12">
        <f>INDEX([2]关卡!$G$6:$G$2005,A713)</f>
        <v>3</v>
      </c>
      <c r="P713" s="13">
        <v>6</v>
      </c>
      <c r="Q713" s="12">
        <f>INT(P713/$S$15/O713*VLOOKUP(J713,[1]人物技能基础!$N$3:$O$553,2,0)*$U$15)</f>
        <v>9</v>
      </c>
      <c r="R713" s="12">
        <f t="shared" si="102"/>
        <v>112</v>
      </c>
    </row>
    <row r="714" spans="1:18" x14ac:dyDescent="0.15">
      <c r="A714" s="12">
        <v>696</v>
      </c>
      <c r="B714" s="12">
        <f t="shared" si="96"/>
        <v>4</v>
      </c>
      <c r="C714" s="12">
        <f t="shared" si="97"/>
        <v>1.82016</v>
      </c>
      <c r="D714" s="12">
        <f t="shared" si="98"/>
        <v>1.9910000000000094E-2</v>
      </c>
      <c r="E714" s="12">
        <f>SUM($D$19:D714)</f>
        <v>8.0201599999999971</v>
      </c>
      <c r="F714" s="12">
        <f t="shared" si="94"/>
        <v>78.515862947583997</v>
      </c>
      <c r="G714" s="12">
        <f t="shared" si="95"/>
        <v>65.680515787519994</v>
      </c>
      <c r="H714" s="12">
        <f t="shared" si="99"/>
        <v>282600</v>
      </c>
      <c r="I714" s="12">
        <f t="shared" si="100"/>
        <v>236400</v>
      </c>
      <c r="J714" s="12">
        <f>IF(A714&lt;[3]关卡对接!$A$4,INDEX([3]关卡对接!$C$7:$C$141,A714),MATCH(E714,人物经验!$H$24:$H$573,1))</f>
        <v>326</v>
      </c>
      <c r="K714" s="12">
        <f>IF([3]关卡对接!F702="",INT(INDEX(人物经验!$J$24:$J$573,关卡!J714)*关卡!$S$7),[3]关卡对接!F702)</f>
        <v>7047</v>
      </c>
      <c r="L714" s="12">
        <f t="shared" si="101"/>
        <v>1.6</v>
      </c>
      <c r="M714" s="12">
        <f>L714/[4]货币基础!$B$4</f>
        <v>160</v>
      </c>
      <c r="N714" s="12">
        <f>IF(A714&lt;[3]关卡对接!$A$4,INDEX([3]关卡对接!$E$7:$E$141,A714),MATCH(E714,人物经验!$H$24:$H$573,1))</f>
        <v>326</v>
      </c>
      <c r="O714" s="12">
        <f>INDEX([2]关卡!$G$6:$G$2005,A714)</f>
        <v>3</v>
      </c>
      <c r="P714" s="13">
        <v>6</v>
      </c>
      <c r="Q714" s="12">
        <f>INT(P714/$S$15/O714*VLOOKUP(J714,[1]人物技能基础!$N$3:$O$553,2,0)*$U$15)</f>
        <v>9</v>
      </c>
      <c r="R714" s="12">
        <f t="shared" si="102"/>
        <v>112</v>
      </c>
    </row>
    <row r="715" spans="1:18" x14ac:dyDescent="0.15">
      <c r="A715" s="12">
        <v>697</v>
      </c>
      <c r="B715" s="12">
        <f t="shared" si="96"/>
        <v>4</v>
      </c>
      <c r="C715" s="12">
        <f t="shared" si="97"/>
        <v>1.84009</v>
      </c>
      <c r="D715" s="12">
        <f t="shared" si="98"/>
        <v>1.9930000000000003E-2</v>
      </c>
      <c r="E715" s="12">
        <f>SUM($D$19:D715)</f>
        <v>8.0400899999999975</v>
      </c>
      <c r="F715" s="12">
        <f t="shared" si="94"/>
        <v>78.723791700494928</v>
      </c>
      <c r="G715" s="12">
        <f t="shared" si="95"/>
        <v>65.818065526605935</v>
      </c>
      <c r="H715" s="12">
        <f t="shared" si="99"/>
        <v>283400</v>
      </c>
      <c r="I715" s="12">
        <f t="shared" si="100"/>
        <v>236900</v>
      </c>
      <c r="J715" s="12">
        <f>IF(A715&lt;[3]关卡对接!$A$4,INDEX([3]关卡对接!$C$7:$C$141,A715),MATCH(E715,人物经验!$H$24:$H$573,1))</f>
        <v>326</v>
      </c>
      <c r="K715" s="12">
        <f>IF([3]关卡对接!F703="",INT(INDEX(人物经验!$J$24:$J$573,关卡!J715)*关卡!$S$7),[3]关卡对接!F703)</f>
        <v>7047</v>
      </c>
      <c r="L715" s="12">
        <f t="shared" si="101"/>
        <v>1.6</v>
      </c>
      <c r="M715" s="12">
        <f>L715/[4]货币基础!$B$4</f>
        <v>160</v>
      </c>
      <c r="N715" s="12">
        <f>IF(A715&lt;[3]关卡对接!$A$4,INDEX([3]关卡对接!$E$7:$E$141,A715),MATCH(E715,人物经验!$H$24:$H$573,1))</f>
        <v>326</v>
      </c>
      <c r="O715" s="12">
        <f>INDEX([2]关卡!$G$6:$G$2005,A715)</f>
        <v>3</v>
      </c>
      <c r="P715" s="13">
        <v>6</v>
      </c>
      <c r="Q715" s="12">
        <f>INT(P715/$S$15/O715*VLOOKUP(J715,[1]人物技能基础!$N$3:$O$553,2,0)*$U$15)</f>
        <v>9</v>
      </c>
      <c r="R715" s="12">
        <f t="shared" si="102"/>
        <v>112</v>
      </c>
    </row>
    <row r="716" spans="1:18" x14ac:dyDescent="0.15">
      <c r="A716" s="12">
        <v>698</v>
      </c>
      <c r="B716" s="12">
        <f t="shared" si="96"/>
        <v>4</v>
      </c>
      <c r="C716" s="12">
        <f t="shared" si="97"/>
        <v>1.8600399999999999</v>
      </c>
      <c r="D716" s="12">
        <f t="shared" si="98"/>
        <v>1.9949999999999912E-2</v>
      </c>
      <c r="E716" s="12">
        <f>SUM($D$19:D716)</f>
        <v>8.0600399999999972</v>
      </c>
      <c r="F716" s="12">
        <f t="shared" si="94"/>
        <v>78.932122656798995</v>
      </c>
      <c r="G716" s="12">
        <f t="shared" si="95"/>
        <v>65.955803292094984</v>
      </c>
      <c r="H716" s="12">
        <f t="shared" si="99"/>
        <v>284100</v>
      </c>
      <c r="I716" s="12">
        <f t="shared" si="100"/>
        <v>237400</v>
      </c>
      <c r="J716" s="12">
        <f>IF(A716&lt;[3]关卡对接!$A$4,INDEX([3]关卡对接!$C$7:$C$141,A716),MATCH(E716,人物经验!$H$24:$H$573,1))</f>
        <v>326</v>
      </c>
      <c r="K716" s="12">
        <f>IF([3]关卡对接!F704="",INT(INDEX(人物经验!$J$24:$J$573,关卡!J716)*关卡!$S$7),[3]关卡对接!F704)</f>
        <v>7047</v>
      </c>
      <c r="L716" s="12">
        <f t="shared" si="101"/>
        <v>1.6</v>
      </c>
      <c r="M716" s="12">
        <f>L716/[4]货币基础!$B$4</f>
        <v>160</v>
      </c>
      <c r="N716" s="12">
        <f>IF(A716&lt;[3]关卡对接!$A$4,INDEX([3]关卡对接!$E$7:$E$141,A716),MATCH(E716,人物经验!$H$24:$H$573,1))</f>
        <v>326</v>
      </c>
      <c r="O716" s="12">
        <f>INDEX([2]关卡!$G$6:$G$2005,A716)</f>
        <v>3</v>
      </c>
      <c r="P716" s="13">
        <v>6</v>
      </c>
      <c r="Q716" s="12">
        <f>INT(P716/$S$15/O716*VLOOKUP(J716,[1]人物技能基础!$N$3:$O$553,2,0)*$U$15)</f>
        <v>9</v>
      </c>
      <c r="R716" s="12">
        <f t="shared" si="102"/>
        <v>112</v>
      </c>
    </row>
    <row r="717" spans="1:18" x14ac:dyDescent="0.15">
      <c r="A717" s="12">
        <v>699</v>
      </c>
      <c r="B717" s="12">
        <f t="shared" si="96"/>
        <v>4</v>
      </c>
      <c r="C717" s="12">
        <f t="shared" si="97"/>
        <v>1.88001</v>
      </c>
      <c r="D717" s="12">
        <f t="shared" si="98"/>
        <v>1.9970000000000043E-2</v>
      </c>
      <c r="E717" s="12">
        <f>SUM($D$19:D717)</f>
        <v>8.0800099999999979</v>
      </c>
      <c r="F717" s="12">
        <f t="shared" si="94"/>
        <v>79.140856458949941</v>
      </c>
      <c r="G717" s="12">
        <f t="shared" si="95"/>
        <v>66.093729295880934</v>
      </c>
      <c r="H717" s="12">
        <f t="shared" si="99"/>
        <v>284900</v>
      </c>
      <c r="I717" s="12">
        <f t="shared" si="100"/>
        <v>237900</v>
      </c>
      <c r="J717" s="12">
        <f>IF(A717&lt;[3]关卡对接!$A$4,INDEX([3]关卡对接!$C$7:$C$141,A717),MATCH(E717,人物经验!$H$24:$H$573,1))</f>
        <v>326</v>
      </c>
      <c r="K717" s="12">
        <f>IF([3]关卡对接!F705="",INT(INDEX(人物经验!$J$24:$J$573,关卡!J717)*关卡!$S$7),[3]关卡对接!F705)</f>
        <v>7047</v>
      </c>
      <c r="L717" s="12">
        <f t="shared" si="101"/>
        <v>1.6</v>
      </c>
      <c r="M717" s="12">
        <f>L717/[4]货币基础!$B$4</f>
        <v>160</v>
      </c>
      <c r="N717" s="12">
        <f>IF(A717&lt;[3]关卡对接!$A$4,INDEX([3]关卡对接!$E$7:$E$141,A717),MATCH(E717,人物经验!$H$24:$H$573,1))</f>
        <v>326</v>
      </c>
      <c r="O717" s="12">
        <f>INDEX([2]关卡!$G$6:$G$2005,A717)</f>
        <v>3</v>
      </c>
      <c r="P717" s="13">
        <v>6</v>
      </c>
      <c r="Q717" s="12">
        <f>INT(P717/$S$15/O717*VLOOKUP(J717,[1]人物技能基础!$N$3:$O$553,2,0)*$U$15)</f>
        <v>9</v>
      </c>
      <c r="R717" s="12">
        <f t="shared" si="102"/>
        <v>112</v>
      </c>
    </row>
    <row r="718" spans="1:18" x14ac:dyDescent="0.15">
      <c r="A718" s="12">
        <v>700</v>
      </c>
      <c r="B718" s="12">
        <f t="shared" si="96"/>
        <v>4</v>
      </c>
      <c r="C718" s="12">
        <f t="shared" si="97"/>
        <v>1.9000000000000001</v>
      </c>
      <c r="D718" s="12">
        <f t="shared" si="98"/>
        <v>1.9990000000000174E-2</v>
      </c>
      <c r="E718" s="12">
        <f>SUM($D$19:D718)</f>
        <v>8.0999999999999979</v>
      </c>
      <c r="F718" s="12">
        <f t="shared" si="94"/>
        <v>79.349993749999996</v>
      </c>
      <c r="G718" s="12">
        <f t="shared" si="95"/>
        <v>66.231843749999982</v>
      </c>
      <c r="H718" s="12">
        <f t="shared" si="99"/>
        <v>285600</v>
      </c>
      <c r="I718" s="12">
        <f t="shared" si="100"/>
        <v>238400</v>
      </c>
      <c r="J718" s="12">
        <f>IF(A718&lt;[3]关卡对接!$A$4,INDEX([3]关卡对接!$C$7:$C$141,A718),MATCH(E718,人物经验!$H$24:$H$573,1))</f>
        <v>326</v>
      </c>
      <c r="K718" s="12">
        <f>IF([3]关卡对接!F706="",INT(INDEX(人物经验!$J$24:$J$573,关卡!J718)*关卡!$S$7),[3]关卡对接!F706)</f>
        <v>7047</v>
      </c>
      <c r="L718" s="12">
        <f t="shared" si="101"/>
        <v>1.6</v>
      </c>
      <c r="M718" s="12">
        <f>L718/[4]货币基础!$B$4</f>
        <v>160</v>
      </c>
      <c r="N718" s="12">
        <f>IF(A718&lt;[3]关卡对接!$A$4,INDEX([3]关卡对接!$E$7:$E$141,A718),MATCH(E718,人物经验!$H$24:$H$573,1))</f>
        <v>326</v>
      </c>
      <c r="O718" s="12">
        <f>INDEX([2]关卡!$G$6:$G$2005,A718)</f>
        <v>3</v>
      </c>
      <c r="P718" s="13">
        <v>6</v>
      </c>
      <c r="Q718" s="12">
        <f>INT(P718/$S$15/O718*VLOOKUP(J718,[1]人物技能基础!$N$3:$O$553,2,0)*$U$15)</f>
        <v>9</v>
      </c>
      <c r="R718" s="12">
        <f t="shared" si="102"/>
        <v>112</v>
      </c>
    </row>
    <row r="719" spans="1:18" x14ac:dyDescent="0.15">
      <c r="A719" s="12">
        <v>701</v>
      </c>
      <c r="B719" s="12">
        <f t="shared" si="96"/>
        <v>4</v>
      </c>
      <c r="C719" s="12">
        <f t="shared" si="97"/>
        <v>1.92001</v>
      </c>
      <c r="D719" s="12">
        <f t="shared" si="98"/>
        <v>2.0009999999999861E-2</v>
      </c>
      <c r="E719" s="12">
        <f>SUM($D$19:D719)</f>
        <v>8.1200099999999971</v>
      </c>
      <c r="F719" s="12">
        <f t="shared" si="94"/>
        <v>79.559535173599926</v>
      </c>
      <c r="G719" s="12">
        <f t="shared" si="95"/>
        <v>66.370146866630918</v>
      </c>
      <c r="H719" s="12">
        <f t="shared" si="99"/>
        <v>286400</v>
      </c>
      <c r="I719" s="12">
        <f t="shared" si="100"/>
        <v>238900</v>
      </c>
      <c r="J719" s="12">
        <f>IF(A719&lt;[3]关卡对接!$A$4,INDEX([3]关卡对接!$C$7:$C$141,A719),MATCH(E719,人物经验!$H$24:$H$573,1))</f>
        <v>326</v>
      </c>
      <c r="K719" s="12">
        <f>IF([3]关卡对接!F707="",INT(INDEX(人物经验!$J$24:$J$573,关卡!J719)*关卡!$S$7),[3]关卡对接!F707)</f>
        <v>7047</v>
      </c>
      <c r="L719" s="12">
        <f t="shared" si="101"/>
        <v>1.6</v>
      </c>
      <c r="M719" s="12">
        <f>L719/[4]货币基础!$B$4</f>
        <v>160</v>
      </c>
      <c r="N719" s="12">
        <f>IF(A719&lt;[3]关卡对接!$A$4,INDEX([3]关卡对接!$E$7:$E$141,A719),MATCH(E719,人物经验!$H$24:$H$573,1))</f>
        <v>326</v>
      </c>
      <c r="O719" s="12">
        <f>INDEX([2]关卡!$G$6:$G$2005,A719)</f>
        <v>3</v>
      </c>
      <c r="P719" s="13">
        <v>6</v>
      </c>
      <c r="Q719" s="12">
        <f>INT(P719/$S$15/O719*VLOOKUP(J719,[1]人物技能基础!$N$3:$O$553,2,0)*$U$15)</f>
        <v>9</v>
      </c>
      <c r="R719" s="12">
        <f t="shared" si="102"/>
        <v>112</v>
      </c>
    </row>
    <row r="720" spans="1:18" x14ac:dyDescent="0.15">
      <c r="A720" s="12">
        <v>702</v>
      </c>
      <c r="B720" s="12">
        <f t="shared" si="96"/>
        <v>4</v>
      </c>
      <c r="C720" s="12">
        <f t="shared" si="97"/>
        <v>1.94004</v>
      </c>
      <c r="D720" s="12">
        <f t="shared" si="98"/>
        <v>2.0029999999999992E-2</v>
      </c>
      <c r="E720" s="12">
        <f>SUM($D$19:D720)</f>
        <v>8.1400399999999973</v>
      </c>
      <c r="F720" s="12">
        <f t="shared" si="94"/>
        <v>79.769481373999</v>
      </c>
      <c r="G720" s="12">
        <f t="shared" si="95"/>
        <v>66.508638858094997</v>
      </c>
      <c r="H720" s="12">
        <f t="shared" si="99"/>
        <v>287100</v>
      </c>
      <c r="I720" s="12">
        <f t="shared" si="100"/>
        <v>239400</v>
      </c>
      <c r="J720" s="12">
        <f>IF(A720&lt;[3]关卡对接!$A$4,INDEX([3]关卡对接!$C$7:$C$141,A720),MATCH(E720,人物经验!$H$24:$H$573,1))</f>
        <v>326</v>
      </c>
      <c r="K720" s="12">
        <f>IF([3]关卡对接!F708="",INT(INDEX(人物经验!$J$24:$J$573,关卡!J720)*关卡!$S$7),[3]关卡对接!F708)</f>
        <v>7047</v>
      </c>
      <c r="L720" s="12">
        <f t="shared" si="101"/>
        <v>1.6</v>
      </c>
      <c r="M720" s="12">
        <f>L720/[4]货币基础!$B$4</f>
        <v>160</v>
      </c>
      <c r="N720" s="12">
        <f>IF(A720&lt;[3]关卡对接!$A$4,INDEX([3]关卡对接!$E$7:$E$141,A720),MATCH(E720,人物经验!$H$24:$H$573,1))</f>
        <v>326</v>
      </c>
      <c r="O720" s="12">
        <f>INDEX([2]关卡!$G$6:$G$2005,A720)</f>
        <v>3</v>
      </c>
      <c r="P720" s="13">
        <v>6</v>
      </c>
      <c r="Q720" s="12">
        <f>INT(P720/$S$15/O720*VLOOKUP(J720,[1]人物技能基础!$N$3:$O$553,2,0)*$U$15)</f>
        <v>9</v>
      </c>
      <c r="R720" s="12">
        <f t="shared" si="102"/>
        <v>112</v>
      </c>
    </row>
    <row r="721" spans="1:18" x14ac:dyDescent="0.15">
      <c r="A721" s="12">
        <v>703</v>
      </c>
      <c r="B721" s="12">
        <f t="shared" si="96"/>
        <v>4</v>
      </c>
      <c r="C721" s="12">
        <f t="shared" si="97"/>
        <v>1.9600900000000001</v>
      </c>
      <c r="D721" s="12">
        <f t="shared" si="98"/>
        <v>2.0050000000000123E-2</v>
      </c>
      <c r="E721" s="12">
        <f>SUM($D$19:D721)</f>
        <v>8.1600899999999967</v>
      </c>
      <c r="F721" s="12">
        <f t="shared" si="94"/>
        <v>79.979832996044948</v>
      </c>
      <c r="G721" s="12">
        <f t="shared" si="95"/>
        <v>66.647319936855936</v>
      </c>
      <c r="H721" s="12">
        <f t="shared" si="99"/>
        <v>287900</v>
      </c>
      <c r="I721" s="12">
        <f t="shared" si="100"/>
        <v>239900</v>
      </c>
      <c r="J721" s="12">
        <f>IF(A721&lt;[3]关卡对接!$A$4,INDEX([3]关卡对接!$C$7:$C$141,A721),MATCH(E721,人物经验!$H$24:$H$573,1))</f>
        <v>327</v>
      </c>
      <c r="K721" s="12">
        <f>IF([3]关卡对接!F709="",INT(INDEX(人物经验!$J$24:$J$573,关卡!J721)*关卡!$S$7),[3]关卡对接!F709)</f>
        <v>7179</v>
      </c>
      <c r="L721" s="12">
        <f t="shared" si="101"/>
        <v>1.6</v>
      </c>
      <c r="M721" s="12">
        <f>L721/[4]货币基础!$B$4</f>
        <v>160</v>
      </c>
      <c r="N721" s="12">
        <f>IF(A721&lt;[3]关卡对接!$A$4,INDEX([3]关卡对接!$E$7:$E$141,A721),MATCH(E721,人物经验!$H$24:$H$573,1))</f>
        <v>327</v>
      </c>
      <c r="O721" s="12">
        <f>INDEX([2]关卡!$G$6:$G$2005,A721)</f>
        <v>3</v>
      </c>
      <c r="P721" s="13">
        <v>6</v>
      </c>
      <c r="Q721" s="12">
        <f>INT(P721/$S$15/O721*VLOOKUP(J721,[1]人物技能基础!$N$3:$O$553,2,0)*$U$15)</f>
        <v>9</v>
      </c>
      <c r="R721" s="12">
        <f t="shared" si="102"/>
        <v>112</v>
      </c>
    </row>
    <row r="722" spans="1:18" x14ac:dyDescent="0.15">
      <c r="A722" s="12">
        <v>704</v>
      </c>
      <c r="B722" s="12">
        <f t="shared" si="96"/>
        <v>4</v>
      </c>
      <c r="C722" s="12">
        <f t="shared" si="97"/>
        <v>1.9801600000000001</v>
      </c>
      <c r="D722" s="12">
        <f t="shared" si="98"/>
        <v>2.0070000000000032E-2</v>
      </c>
      <c r="E722" s="12">
        <f>SUM($D$19:D722)</f>
        <v>8.1801599999999972</v>
      </c>
      <c r="F722" s="12">
        <f t="shared" si="94"/>
        <v>80.190590685183992</v>
      </c>
      <c r="G722" s="12">
        <f t="shared" si="95"/>
        <v>66.786190315519988</v>
      </c>
      <c r="H722" s="12">
        <f t="shared" si="99"/>
        <v>288600</v>
      </c>
      <c r="I722" s="12">
        <f t="shared" si="100"/>
        <v>240400</v>
      </c>
      <c r="J722" s="12">
        <f>IF(A722&lt;[3]关卡对接!$A$4,INDEX([3]关卡对接!$C$7:$C$141,A722),MATCH(E722,人物经验!$H$24:$H$573,1))</f>
        <v>327</v>
      </c>
      <c r="K722" s="12">
        <f>IF([3]关卡对接!F710="",INT(INDEX(人物经验!$J$24:$J$573,关卡!J722)*关卡!$S$7),[3]关卡对接!F710)</f>
        <v>7179</v>
      </c>
      <c r="L722" s="12">
        <f t="shared" si="101"/>
        <v>1.6</v>
      </c>
      <c r="M722" s="12">
        <f>L722/[4]货币基础!$B$4</f>
        <v>160</v>
      </c>
      <c r="N722" s="12">
        <f>IF(A722&lt;[3]关卡对接!$A$4,INDEX([3]关卡对接!$E$7:$E$141,A722),MATCH(E722,人物经验!$H$24:$H$573,1))</f>
        <v>327</v>
      </c>
      <c r="O722" s="12">
        <f>INDEX([2]关卡!$G$6:$G$2005,A722)</f>
        <v>3</v>
      </c>
      <c r="P722" s="13">
        <v>6</v>
      </c>
      <c r="Q722" s="12">
        <f>INT(P722/$S$15/O722*VLOOKUP(J722,[1]人物技能基础!$N$3:$O$553,2,0)*$U$15)</f>
        <v>9</v>
      </c>
      <c r="R722" s="12">
        <f t="shared" si="102"/>
        <v>112</v>
      </c>
    </row>
    <row r="723" spans="1:18" x14ac:dyDescent="0.15">
      <c r="A723" s="12">
        <v>705</v>
      </c>
      <c r="B723" s="12">
        <f t="shared" si="96"/>
        <v>4</v>
      </c>
      <c r="C723" s="12">
        <f t="shared" si="97"/>
        <v>2.0002500000000003</v>
      </c>
      <c r="D723" s="12">
        <f t="shared" si="98"/>
        <v>2.0090000000000163E-2</v>
      </c>
      <c r="E723" s="12">
        <f>SUM($D$19:D723)</f>
        <v>8.2002499999999969</v>
      </c>
      <c r="F723" s="12">
        <f t="shared" ref="F723:F786" si="103">$L$7*($M$7+$N$7*($A723/$B$3)^1+$O$7*($A723/$B$3)^2+$P$7*($A723/$B$3)^3+$Q$7*($A723/$B$3)^4)</f>
        <v>80.401755087460927</v>
      </c>
      <c r="G723" s="12">
        <f t="shared" ref="G723:G786" si="104">$L$11*($M$11+$N$11*($A723/$B$3)^1+$O$11*($A723/$B$3)^2+$P$11*($A723/$B$3)^3+$Q$11*($A723/$B$3)^4)</f>
        <v>66.925250206835926</v>
      </c>
      <c r="H723" s="12">
        <f t="shared" si="99"/>
        <v>289400</v>
      </c>
      <c r="I723" s="12">
        <f t="shared" si="100"/>
        <v>240900</v>
      </c>
      <c r="J723" s="12">
        <f>IF(A723&lt;[3]关卡对接!$A$4,INDEX([3]关卡对接!$C$7:$C$141,A723),MATCH(E723,人物经验!$H$24:$H$573,1))</f>
        <v>327</v>
      </c>
      <c r="K723" s="12">
        <f>IF([3]关卡对接!F711="",INT(INDEX(人物经验!$J$24:$J$573,关卡!J723)*关卡!$S$7),[3]关卡对接!F711)</f>
        <v>7179</v>
      </c>
      <c r="L723" s="12">
        <f t="shared" si="101"/>
        <v>1.6</v>
      </c>
      <c r="M723" s="12">
        <f>L723/[4]货币基础!$B$4</f>
        <v>160</v>
      </c>
      <c r="N723" s="12">
        <f>IF(A723&lt;[3]关卡对接!$A$4,INDEX([3]关卡对接!$E$7:$E$141,A723),MATCH(E723,人物经验!$H$24:$H$573,1))</f>
        <v>327</v>
      </c>
      <c r="O723" s="12">
        <f>INDEX([2]关卡!$G$6:$G$2005,A723)</f>
        <v>3</v>
      </c>
      <c r="P723" s="13">
        <v>6</v>
      </c>
      <c r="Q723" s="12">
        <f>INT(P723/$S$15/O723*VLOOKUP(J723,[1]人物技能基础!$N$3:$O$553,2,0)*$U$15)</f>
        <v>9</v>
      </c>
      <c r="R723" s="12">
        <f t="shared" si="102"/>
        <v>112</v>
      </c>
    </row>
    <row r="724" spans="1:18" x14ac:dyDescent="0.15">
      <c r="A724" s="12">
        <v>706</v>
      </c>
      <c r="B724" s="12">
        <f t="shared" ref="B724:B787" si="105">MATCH($A724,$A$5:$A$15,1)-1</f>
        <v>4</v>
      </c>
      <c r="C724" s="12">
        <f t="shared" ref="C724:C787" si="106">INDEX($C$5:$C$15,$B724+1)*(INDEX($E$5:$E$15,$B724+1)+INDEX($F$5:$F$15,$B724+1)*(($A724-INDEX($A$5:$A$15,$B724+1)+1)/(INDEX($B$5:$B$15,$B724+1)-INDEX($A$5:$A$15,$B724+1)+1))^1+INDEX($G$5:$G$15,$B724+1)*(($A724-INDEX($A$5:$A$15,$B724+1)+1)/(INDEX($B$5:$B$15,$B724+1)-INDEX($A$5:$A$15,$B724+1)+1))^2+INDEX($H$5:$H$15,$B724+1)*(($A724-INDEX($A$5:$A$15,$B724+1)+1)/(INDEX($B$5:$B$15,$B724+1)-INDEX($A$5:$A$15,$B724+1)+1))^3+INDEX($I$5:$I$15,$B724+1)*(($A724-INDEX($A$5:$A$15,$B724+1)+1)/(INDEX($B$5:$B$15,$B724+1)-INDEX($A$5:$A$15,$B724+1)+1))^4)</f>
        <v>2.0203600000000002</v>
      </c>
      <c r="D724" s="12">
        <f t="shared" ref="D724:D787" si="107">IF(ISNA(MATCH(A724,$A$6:$A$15,0)),C724-C723,C724)</f>
        <v>2.010999999999985E-2</v>
      </c>
      <c r="E724" s="12">
        <f>SUM($D$19:D724)</f>
        <v>8.2203599999999959</v>
      </c>
      <c r="F724" s="12">
        <f t="shared" si="103"/>
        <v>80.613326849518998</v>
      </c>
      <c r="G724" s="12">
        <f t="shared" si="104"/>
        <v>67.064499823694987</v>
      </c>
      <c r="H724" s="12">
        <f t="shared" ref="H724:H787" si="108">INT(F724*60*60/100)*100</f>
        <v>290200</v>
      </c>
      <c r="I724" s="12">
        <f t="shared" ref="I724:I787" si="109">INT(G724*60*60/100)*100</f>
        <v>241400</v>
      </c>
      <c r="J724" s="12">
        <f>IF(A724&lt;[3]关卡对接!$A$4,INDEX([3]关卡对接!$C$7:$C$141,A724),MATCH(E724,人物经验!$H$24:$H$573,1))</f>
        <v>327</v>
      </c>
      <c r="K724" s="12">
        <f>IF([3]关卡对接!F712="",INT(INDEX(人物经验!$J$24:$J$573,关卡!J724)*关卡!$S$7),[3]关卡对接!F712)</f>
        <v>7179</v>
      </c>
      <c r="L724" s="12">
        <f t="shared" ref="L724:L787" si="110">VLOOKUP(A724,$A$5:$J$15,10,1)</f>
        <v>1.6</v>
      </c>
      <c r="M724" s="12">
        <f>L724/[4]货币基础!$B$4</f>
        <v>160</v>
      </c>
      <c r="N724" s="12">
        <f>IF(A724&lt;[3]关卡对接!$A$4,INDEX([3]关卡对接!$E$7:$E$141,A724),MATCH(E724,人物经验!$H$24:$H$573,1))</f>
        <v>327</v>
      </c>
      <c r="O724" s="12">
        <f>INDEX([2]关卡!$G$6:$G$2005,A724)</f>
        <v>3</v>
      </c>
      <c r="P724" s="13">
        <v>6</v>
      </c>
      <c r="Q724" s="12">
        <f>INT(P724/$S$15/O724*VLOOKUP(J724,[1]人物技能基础!$N$3:$O$553,2,0)*$U$15)</f>
        <v>9</v>
      </c>
      <c r="R724" s="12">
        <f t="shared" ref="R724:R787" si="111">INT(Q724*12.5)</f>
        <v>112</v>
      </c>
    </row>
    <row r="725" spans="1:18" x14ac:dyDescent="0.15">
      <c r="A725" s="12">
        <v>707</v>
      </c>
      <c r="B725" s="12">
        <f t="shared" si="105"/>
        <v>4</v>
      </c>
      <c r="C725" s="12">
        <f t="shared" si="106"/>
        <v>2.0404900000000001</v>
      </c>
      <c r="D725" s="12">
        <f t="shared" si="107"/>
        <v>2.0129999999999981E-2</v>
      </c>
      <c r="E725" s="12">
        <f>SUM($D$19:D725)</f>
        <v>8.2404899999999959</v>
      </c>
      <c r="F725" s="12">
        <f t="shared" si="103"/>
        <v>80.825306618599939</v>
      </c>
      <c r="G725" s="12">
        <f t="shared" si="104"/>
        <v>67.203939379130929</v>
      </c>
      <c r="H725" s="12">
        <f t="shared" si="108"/>
        <v>290900</v>
      </c>
      <c r="I725" s="12">
        <f t="shared" si="109"/>
        <v>241900</v>
      </c>
      <c r="J725" s="12">
        <f>IF(A725&lt;[3]关卡对接!$A$4,INDEX([3]关卡对接!$C$7:$C$141,A725),MATCH(E725,人物经验!$H$24:$H$573,1))</f>
        <v>327</v>
      </c>
      <c r="K725" s="12">
        <f>IF([3]关卡对接!F713="",INT(INDEX(人物经验!$J$24:$J$573,关卡!J725)*关卡!$S$7),[3]关卡对接!F713)</f>
        <v>7179</v>
      </c>
      <c r="L725" s="12">
        <f t="shared" si="110"/>
        <v>1.6</v>
      </c>
      <c r="M725" s="12">
        <f>L725/[4]货币基础!$B$4</f>
        <v>160</v>
      </c>
      <c r="N725" s="12">
        <f>IF(A725&lt;[3]关卡对接!$A$4,INDEX([3]关卡对接!$E$7:$E$141,A725),MATCH(E725,人物经验!$H$24:$H$573,1))</f>
        <v>327</v>
      </c>
      <c r="O725" s="12">
        <f>INDEX([2]关卡!$G$6:$G$2005,A725)</f>
        <v>3</v>
      </c>
      <c r="P725" s="13">
        <v>6</v>
      </c>
      <c r="Q725" s="12">
        <f>INT(P725/$S$15/O725*VLOOKUP(J725,[1]人物技能基础!$N$3:$O$553,2,0)*$U$15)</f>
        <v>9</v>
      </c>
      <c r="R725" s="12">
        <f t="shared" si="111"/>
        <v>112</v>
      </c>
    </row>
    <row r="726" spans="1:18" x14ac:dyDescent="0.15">
      <c r="A726" s="12">
        <v>708</v>
      </c>
      <c r="B726" s="12">
        <f t="shared" si="105"/>
        <v>4</v>
      </c>
      <c r="C726" s="12">
        <f t="shared" si="106"/>
        <v>2.0606400000000002</v>
      </c>
      <c r="D726" s="12">
        <f t="shared" si="107"/>
        <v>2.0150000000000112E-2</v>
      </c>
      <c r="E726" s="12">
        <f>SUM($D$19:D726)</f>
        <v>8.2606399999999951</v>
      </c>
      <c r="F726" s="12">
        <f t="shared" si="103"/>
        <v>81.037695042543987</v>
      </c>
      <c r="G726" s="12">
        <f t="shared" si="104"/>
        <v>67.343569086319988</v>
      </c>
      <c r="H726" s="12">
        <f t="shared" si="108"/>
        <v>291700</v>
      </c>
      <c r="I726" s="12">
        <f t="shared" si="109"/>
        <v>242400</v>
      </c>
      <c r="J726" s="12">
        <f>IF(A726&lt;[3]关卡对接!$A$4,INDEX([3]关卡对接!$C$7:$C$141,A726),MATCH(E726,人物经验!$H$24:$H$573,1))</f>
        <v>327</v>
      </c>
      <c r="K726" s="12">
        <f>IF([3]关卡对接!F714="",INT(INDEX(人物经验!$J$24:$J$573,关卡!J726)*关卡!$S$7),[3]关卡对接!F714)</f>
        <v>7179</v>
      </c>
      <c r="L726" s="12">
        <f t="shared" si="110"/>
        <v>1.6</v>
      </c>
      <c r="M726" s="12">
        <f>L726/[4]货币基础!$B$4</f>
        <v>160</v>
      </c>
      <c r="N726" s="12">
        <f>IF(A726&lt;[3]关卡对接!$A$4,INDEX([3]关卡对接!$E$7:$E$141,A726),MATCH(E726,人物经验!$H$24:$H$573,1))</f>
        <v>327</v>
      </c>
      <c r="O726" s="12">
        <f>INDEX([2]关卡!$G$6:$G$2005,A726)</f>
        <v>3</v>
      </c>
      <c r="P726" s="13">
        <v>6</v>
      </c>
      <c r="Q726" s="12">
        <f>INT(P726/$S$15/O726*VLOOKUP(J726,[1]人物技能基础!$N$3:$O$553,2,0)*$U$15)</f>
        <v>9</v>
      </c>
      <c r="R726" s="12">
        <f t="shared" si="111"/>
        <v>112</v>
      </c>
    </row>
    <row r="727" spans="1:18" x14ac:dyDescent="0.15">
      <c r="A727" s="12">
        <v>709</v>
      </c>
      <c r="B727" s="12">
        <f t="shared" si="105"/>
        <v>4</v>
      </c>
      <c r="C727" s="12">
        <f t="shared" si="106"/>
        <v>2.08081</v>
      </c>
      <c r="D727" s="12">
        <f t="shared" si="107"/>
        <v>2.0169999999999799E-2</v>
      </c>
      <c r="E727" s="12">
        <f>SUM($D$19:D727)</f>
        <v>8.2808099999999953</v>
      </c>
      <c r="F727" s="12">
        <f t="shared" si="103"/>
        <v>81.250492769789929</v>
      </c>
      <c r="G727" s="12">
        <f t="shared" si="104"/>
        <v>67.483389158580948</v>
      </c>
      <c r="H727" s="12">
        <f t="shared" si="108"/>
        <v>292500</v>
      </c>
      <c r="I727" s="12">
        <f t="shared" si="109"/>
        <v>242900</v>
      </c>
      <c r="J727" s="12">
        <f>IF(A727&lt;[3]关卡对接!$A$4,INDEX([3]关卡对接!$C$7:$C$141,A727),MATCH(E727,人物经验!$H$24:$H$573,1))</f>
        <v>327</v>
      </c>
      <c r="K727" s="12">
        <f>IF([3]关卡对接!F715="",INT(INDEX(人物经验!$J$24:$J$573,关卡!J727)*关卡!$S$7),[3]关卡对接!F715)</f>
        <v>7179</v>
      </c>
      <c r="L727" s="12">
        <f t="shared" si="110"/>
        <v>1.6</v>
      </c>
      <c r="M727" s="12">
        <f>L727/[4]货币基础!$B$4</f>
        <v>160</v>
      </c>
      <c r="N727" s="12">
        <f>IF(A727&lt;[3]关卡对接!$A$4,INDEX([3]关卡对接!$E$7:$E$141,A727),MATCH(E727,人物经验!$H$24:$H$573,1))</f>
        <v>327</v>
      </c>
      <c r="O727" s="12">
        <f>INDEX([2]关卡!$G$6:$G$2005,A727)</f>
        <v>3</v>
      </c>
      <c r="P727" s="13">
        <v>6</v>
      </c>
      <c r="Q727" s="12">
        <f>INT(P727/$S$15/O727*VLOOKUP(J727,[1]人物技能基础!$N$3:$O$553,2,0)*$U$15)</f>
        <v>9</v>
      </c>
      <c r="R727" s="12">
        <f t="shared" si="111"/>
        <v>112</v>
      </c>
    </row>
    <row r="728" spans="1:18" x14ac:dyDescent="0.15">
      <c r="A728" s="12">
        <v>710</v>
      </c>
      <c r="B728" s="12">
        <f t="shared" si="105"/>
        <v>4</v>
      </c>
      <c r="C728" s="12">
        <f t="shared" si="106"/>
        <v>2.1010000000000004</v>
      </c>
      <c r="D728" s="12">
        <f t="shared" si="107"/>
        <v>2.0190000000000374E-2</v>
      </c>
      <c r="E728" s="12">
        <f>SUM($D$19:D728)</f>
        <v>8.3009999999999948</v>
      </c>
      <c r="F728" s="12">
        <f t="shared" si="103"/>
        <v>81.463700449374997</v>
      </c>
      <c r="G728" s="12">
        <f t="shared" si="104"/>
        <v>67.623399809374988</v>
      </c>
      <c r="H728" s="12">
        <f t="shared" si="108"/>
        <v>293200</v>
      </c>
      <c r="I728" s="12">
        <f t="shared" si="109"/>
        <v>243400</v>
      </c>
      <c r="J728" s="12">
        <f>IF(A728&lt;[3]关卡对接!$A$4,INDEX([3]关卡对接!$C$7:$C$141,A728),MATCH(E728,人物经验!$H$24:$H$573,1))</f>
        <v>328</v>
      </c>
      <c r="K728" s="12">
        <f>IF([3]关卡对接!F716="",INT(INDEX(人物经验!$J$24:$J$573,关卡!J728)*关卡!$S$7),[3]关卡对接!F716)</f>
        <v>7312</v>
      </c>
      <c r="L728" s="12">
        <f t="shared" si="110"/>
        <v>1.6</v>
      </c>
      <c r="M728" s="12">
        <f>L728/[4]货币基础!$B$4</f>
        <v>160</v>
      </c>
      <c r="N728" s="12">
        <f>IF(A728&lt;[3]关卡对接!$A$4,INDEX([3]关卡对接!$E$7:$E$141,A728),MATCH(E728,人物经验!$H$24:$H$573,1))</f>
        <v>328</v>
      </c>
      <c r="O728" s="12">
        <f>INDEX([2]关卡!$G$6:$G$2005,A728)</f>
        <v>3</v>
      </c>
      <c r="P728" s="13">
        <v>6</v>
      </c>
      <c r="Q728" s="12">
        <f>INT(P728/$S$15/O728*VLOOKUP(J728,[1]人物技能基础!$N$3:$O$553,2,0)*$U$15)</f>
        <v>9</v>
      </c>
      <c r="R728" s="12">
        <f t="shared" si="111"/>
        <v>112</v>
      </c>
    </row>
    <row r="729" spans="1:18" x14ac:dyDescent="0.15">
      <c r="A729" s="12">
        <v>711</v>
      </c>
      <c r="B729" s="12">
        <f t="shared" si="105"/>
        <v>4</v>
      </c>
      <c r="C729" s="12">
        <f t="shared" si="106"/>
        <v>2.12121</v>
      </c>
      <c r="D729" s="12">
        <f t="shared" si="107"/>
        <v>2.0209999999999617E-2</v>
      </c>
      <c r="E729" s="12">
        <f>SUM($D$19:D729)</f>
        <v>8.3212099999999936</v>
      </c>
      <c r="F729" s="12">
        <f t="shared" si="103"/>
        <v>81.677318730934942</v>
      </c>
      <c r="G729" s="12">
        <f t="shared" si="104"/>
        <v>67.763601252305932</v>
      </c>
      <c r="H729" s="12">
        <f t="shared" si="108"/>
        <v>294000</v>
      </c>
      <c r="I729" s="12">
        <f t="shared" si="109"/>
        <v>243900</v>
      </c>
      <c r="J729" s="12">
        <f>IF(A729&lt;[3]关卡对接!$A$4,INDEX([3]关卡对接!$C$7:$C$141,A729),MATCH(E729,人物经验!$H$24:$H$573,1))</f>
        <v>328</v>
      </c>
      <c r="K729" s="12">
        <f>IF([3]关卡对接!F717="",INT(INDEX(人物经验!$J$24:$J$573,关卡!J729)*关卡!$S$7),[3]关卡对接!F717)</f>
        <v>7312</v>
      </c>
      <c r="L729" s="12">
        <f t="shared" si="110"/>
        <v>1.6</v>
      </c>
      <c r="M729" s="12">
        <f>L729/[4]货币基础!$B$4</f>
        <v>160</v>
      </c>
      <c r="N729" s="12">
        <f>IF(A729&lt;[3]关卡对接!$A$4,INDEX([3]关卡对接!$E$7:$E$141,A729),MATCH(E729,人物经验!$H$24:$H$573,1))</f>
        <v>328</v>
      </c>
      <c r="O729" s="12">
        <f>INDEX([2]关卡!$G$6:$G$2005,A729)</f>
        <v>3</v>
      </c>
      <c r="P729" s="13">
        <v>6</v>
      </c>
      <c r="Q729" s="12">
        <f>INT(P729/$S$15/O729*VLOOKUP(J729,[1]人物技能基础!$N$3:$O$553,2,0)*$U$15)</f>
        <v>9</v>
      </c>
      <c r="R729" s="12">
        <f t="shared" si="111"/>
        <v>112</v>
      </c>
    </row>
    <row r="730" spans="1:18" x14ac:dyDescent="0.15">
      <c r="A730" s="12">
        <v>712</v>
      </c>
      <c r="B730" s="12">
        <f t="shared" si="105"/>
        <v>4</v>
      </c>
      <c r="C730" s="12">
        <f t="shared" si="106"/>
        <v>2.1414400000000007</v>
      </c>
      <c r="D730" s="12">
        <f t="shared" si="107"/>
        <v>2.0230000000000636E-2</v>
      </c>
      <c r="E730" s="12">
        <f>SUM($D$19:D730)</f>
        <v>8.3414399999999951</v>
      </c>
      <c r="F730" s="12">
        <f t="shared" si="103"/>
        <v>81.891348264704007</v>
      </c>
      <c r="G730" s="12">
        <f t="shared" si="104"/>
        <v>67.903993701120001</v>
      </c>
      <c r="H730" s="12">
        <f t="shared" si="108"/>
        <v>294800</v>
      </c>
      <c r="I730" s="12">
        <f t="shared" si="109"/>
        <v>244400</v>
      </c>
      <c r="J730" s="12">
        <f>IF(A730&lt;[3]关卡对接!$A$4,INDEX([3]关卡对接!$C$7:$C$141,A730),MATCH(E730,人物经验!$H$24:$H$573,1))</f>
        <v>328</v>
      </c>
      <c r="K730" s="12">
        <f>IF([3]关卡对接!F718="",INT(INDEX(人物经验!$J$24:$J$573,关卡!J730)*关卡!$S$7),[3]关卡对接!F718)</f>
        <v>7312</v>
      </c>
      <c r="L730" s="12">
        <f t="shared" si="110"/>
        <v>1.6</v>
      </c>
      <c r="M730" s="12">
        <f>L730/[4]货币基础!$B$4</f>
        <v>160</v>
      </c>
      <c r="N730" s="12">
        <f>IF(A730&lt;[3]关卡对接!$A$4,INDEX([3]关卡对接!$E$7:$E$141,A730),MATCH(E730,人物经验!$H$24:$H$573,1))</f>
        <v>328</v>
      </c>
      <c r="O730" s="12">
        <f>INDEX([2]关卡!$G$6:$G$2005,A730)</f>
        <v>3</v>
      </c>
      <c r="P730" s="13">
        <v>6</v>
      </c>
      <c r="Q730" s="12">
        <f>INT(P730/$S$15/O730*VLOOKUP(J730,[1]人物技能基础!$N$3:$O$553,2,0)*$U$15)</f>
        <v>9</v>
      </c>
      <c r="R730" s="12">
        <f t="shared" si="111"/>
        <v>112</v>
      </c>
    </row>
    <row r="731" spans="1:18" x14ac:dyDescent="0.15">
      <c r="A731" s="12">
        <v>713</v>
      </c>
      <c r="B731" s="12">
        <f t="shared" si="105"/>
        <v>4</v>
      </c>
      <c r="C731" s="12">
        <f t="shared" si="106"/>
        <v>2.1616899999999997</v>
      </c>
      <c r="D731" s="12">
        <f t="shared" si="107"/>
        <v>2.0249999999998991E-2</v>
      </c>
      <c r="E731" s="12">
        <f>SUM($D$19:D731)</f>
        <v>8.3616899999999941</v>
      </c>
      <c r="F731" s="12">
        <f t="shared" si="103"/>
        <v>82.105789701514922</v>
      </c>
      <c r="G731" s="12">
        <f t="shared" si="104"/>
        <v>68.044577369705934</v>
      </c>
      <c r="H731" s="12">
        <f t="shared" si="108"/>
        <v>295500</v>
      </c>
      <c r="I731" s="12">
        <f t="shared" si="109"/>
        <v>244900</v>
      </c>
      <c r="J731" s="12">
        <f>IF(A731&lt;[3]关卡对接!$A$4,INDEX([3]关卡对接!$C$7:$C$141,A731),MATCH(E731,人物经验!$H$24:$H$573,1))</f>
        <v>328</v>
      </c>
      <c r="K731" s="12">
        <f>IF([3]关卡对接!F719="",INT(INDEX(人物经验!$J$24:$J$573,关卡!J731)*关卡!$S$7),[3]关卡对接!F719)</f>
        <v>7312</v>
      </c>
      <c r="L731" s="12">
        <f t="shared" si="110"/>
        <v>1.6</v>
      </c>
      <c r="M731" s="12">
        <f>L731/[4]货币基础!$B$4</f>
        <v>160</v>
      </c>
      <c r="N731" s="12">
        <f>IF(A731&lt;[3]关卡对接!$A$4,INDEX([3]关卡对接!$E$7:$E$141,A731),MATCH(E731,人物经验!$H$24:$H$573,1))</f>
        <v>328</v>
      </c>
      <c r="O731" s="12">
        <f>INDEX([2]关卡!$G$6:$G$2005,A731)</f>
        <v>3</v>
      </c>
      <c r="P731" s="13">
        <v>6</v>
      </c>
      <c r="Q731" s="12">
        <f>INT(P731/$S$15/O731*VLOOKUP(J731,[1]人物技能基础!$N$3:$O$553,2,0)*$U$15)</f>
        <v>9</v>
      </c>
      <c r="R731" s="12">
        <f t="shared" si="111"/>
        <v>112</v>
      </c>
    </row>
    <row r="732" spans="1:18" x14ac:dyDescent="0.15">
      <c r="A732" s="12">
        <v>714</v>
      </c>
      <c r="B732" s="12">
        <f t="shared" si="105"/>
        <v>4</v>
      </c>
      <c r="C732" s="12">
        <f t="shared" si="106"/>
        <v>2.1819600000000001</v>
      </c>
      <c r="D732" s="12">
        <f t="shared" si="107"/>
        <v>2.0270000000000454E-2</v>
      </c>
      <c r="E732" s="12">
        <f>SUM($D$19:D732)</f>
        <v>8.3819599999999941</v>
      </c>
      <c r="F732" s="12">
        <f t="shared" si="103"/>
        <v>82.320643692798996</v>
      </c>
      <c r="G732" s="12">
        <f t="shared" si="104"/>
        <v>68.185352472094976</v>
      </c>
      <c r="H732" s="12">
        <f t="shared" si="108"/>
        <v>296300</v>
      </c>
      <c r="I732" s="12">
        <f t="shared" si="109"/>
        <v>245400</v>
      </c>
      <c r="J732" s="12">
        <f>IF(A732&lt;[3]关卡对接!$A$4,INDEX([3]关卡对接!$C$7:$C$141,A732),MATCH(E732,人物经验!$H$24:$H$573,1))</f>
        <v>328</v>
      </c>
      <c r="K732" s="12">
        <f>IF([3]关卡对接!F720="",INT(INDEX(人物经验!$J$24:$J$573,关卡!J732)*关卡!$S$7),[3]关卡对接!F720)</f>
        <v>7312</v>
      </c>
      <c r="L732" s="12">
        <f t="shared" si="110"/>
        <v>1.6</v>
      </c>
      <c r="M732" s="12">
        <f>L732/[4]货币基础!$B$4</f>
        <v>160</v>
      </c>
      <c r="N732" s="12">
        <f>IF(A732&lt;[3]关卡对接!$A$4,INDEX([3]关卡对接!$E$7:$E$141,A732),MATCH(E732,人物经验!$H$24:$H$573,1))</f>
        <v>328</v>
      </c>
      <c r="O732" s="12">
        <f>INDEX([2]关卡!$G$6:$G$2005,A732)</f>
        <v>3</v>
      </c>
      <c r="P732" s="13">
        <v>6</v>
      </c>
      <c r="Q732" s="12">
        <f>INT(P732/$S$15/O732*VLOOKUP(J732,[1]人物技能基础!$N$3:$O$553,2,0)*$U$15)</f>
        <v>9</v>
      </c>
      <c r="R732" s="12">
        <f t="shared" si="111"/>
        <v>112</v>
      </c>
    </row>
    <row r="733" spans="1:18" x14ac:dyDescent="0.15">
      <c r="A733" s="12">
        <v>715</v>
      </c>
      <c r="B733" s="12">
        <f t="shared" si="105"/>
        <v>4</v>
      </c>
      <c r="C733" s="12">
        <f t="shared" si="106"/>
        <v>2.2022499999999998</v>
      </c>
      <c r="D733" s="12">
        <f t="shared" si="107"/>
        <v>2.0289999999999697E-2</v>
      </c>
      <c r="E733" s="12">
        <f>SUM($D$19:D733)</f>
        <v>8.4022499999999933</v>
      </c>
      <c r="F733" s="12">
        <f t="shared" si="103"/>
        <v>82.535910890585939</v>
      </c>
      <c r="G733" s="12">
        <f t="shared" si="104"/>
        <v>68.326319222460924</v>
      </c>
      <c r="H733" s="12">
        <f t="shared" si="108"/>
        <v>297100</v>
      </c>
      <c r="I733" s="12">
        <f t="shared" si="109"/>
        <v>245900</v>
      </c>
      <c r="J733" s="12">
        <f>IF(A733&lt;[3]关卡对接!$A$4,INDEX([3]关卡对接!$C$7:$C$141,A733),MATCH(E733,人物经验!$H$24:$H$573,1))</f>
        <v>328</v>
      </c>
      <c r="K733" s="12">
        <f>IF([3]关卡对接!F721="",INT(INDEX(人物经验!$J$24:$J$573,关卡!J733)*关卡!$S$7),[3]关卡对接!F721)</f>
        <v>7312</v>
      </c>
      <c r="L733" s="12">
        <f t="shared" si="110"/>
        <v>1.6</v>
      </c>
      <c r="M733" s="12">
        <f>L733/[4]货币基础!$B$4</f>
        <v>160</v>
      </c>
      <c r="N733" s="12">
        <f>IF(A733&lt;[3]关卡对接!$A$4,INDEX([3]关卡对接!$E$7:$E$141,A733),MATCH(E733,人物经验!$H$24:$H$573,1))</f>
        <v>328</v>
      </c>
      <c r="O733" s="12">
        <f>INDEX([2]关卡!$G$6:$G$2005,A733)</f>
        <v>3</v>
      </c>
      <c r="P733" s="13">
        <v>6</v>
      </c>
      <c r="Q733" s="12">
        <f>INT(P733/$S$15/O733*VLOOKUP(J733,[1]人物技能基础!$N$3:$O$553,2,0)*$U$15)</f>
        <v>9</v>
      </c>
      <c r="R733" s="12">
        <f t="shared" si="111"/>
        <v>112</v>
      </c>
    </row>
    <row r="734" spans="1:18" x14ac:dyDescent="0.15">
      <c r="A734" s="12">
        <v>716</v>
      </c>
      <c r="B734" s="12">
        <f t="shared" si="105"/>
        <v>4</v>
      </c>
      <c r="C734" s="12">
        <f t="shared" si="106"/>
        <v>2.2225600000000001</v>
      </c>
      <c r="D734" s="12">
        <f t="shared" si="107"/>
        <v>2.0310000000000272E-2</v>
      </c>
      <c r="E734" s="12">
        <f>SUM($D$19:D734)</f>
        <v>8.4225599999999936</v>
      </c>
      <c r="F734" s="12">
        <f t="shared" si="103"/>
        <v>82.751591947503996</v>
      </c>
      <c r="G734" s="12">
        <f t="shared" si="104"/>
        <v>68.467477835119993</v>
      </c>
      <c r="H734" s="12">
        <f t="shared" si="108"/>
        <v>297900</v>
      </c>
      <c r="I734" s="12">
        <f t="shared" si="109"/>
        <v>246400</v>
      </c>
      <c r="J734" s="12">
        <f>IF(A734&lt;[3]关卡对接!$A$4,INDEX([3]关卡对接!$C$7:$C$141,A734),MATCH(E734,人物经验!$H$24:$H$573,1))</f>
        <v>328</v>
      </c>
      <c r="K734" s="12">
        <f>IF([3]关卡对接!F722="",INT(INDEX(人物经验!$J$24:$J$573,关卡!J734)*关卡!$S$7),[3]关卡对接!F722)</f>
        <v>7312</v>
      </c>
      <c r="L734" s="12">
        <f t="shared" si="110"/>
        <v>1.6</v>
      </c>
      <c r="M734" s="12">
        <f>L734/[4]货币基础!$B$4</f>
        <v>160</v>
      </c>
      <c r="N734" s="12">
        <f>IF(A734&lt;[3]关卡对接!$A$4,INDEX([3]关卡对接!$E$7:$E$141,A734),MATCH(E734,人物经验!$H$24:$H$573,1))</f>
        <v>328</v>
      </c>
      <c r="O734" s="12">
        <f>INDEX([2]关卡!$G$6:$G$2005,A734)</f>
        <v>3</v>
      </c>
      <c r="P734" s="13">
        <v>6</v>
      </c>
      <c r="Q734" s="12">
        <f>INT(P734/$S$15/O734*VLOOKUP(J734,[1]人物技能基础!$N$3:$O$553,2,0)*$U$15)</f>
        <v>9</v>
      </c>
      <c r="R734" s="12">
        <f t="shared" si="111"/>
        <v>112</v>
      </c>
    </row>
    <row r="735" spans="1:18" x14ac:dyDescent="0.15">
      <c r="A735" s="12">
        <v>717</v>
      </c>
      <c r="B735" s="12">
        <f t="shared" si="105"/>
        <v>4</v>
      </c>
      <c r="C735" s="12">
        <f t="shared" si="106"/>
        <v>2.2428900000000001</v>
      </c>
      <c r="D735" s="12">
        <f t="shared" si="107"/>
        <v>2.0329999999999959E-2</v>
      </c>
      <c r="E735" s="12">
        <f>SUM($D$19:D735)</f>
        <v>8.4428899999999931</v>
      </c>
      <c r="F735" s="12">
        <f t="shared" si="103"/>
        <v>82.967687516779918</v>
      </c>
      <c r="G735" s="12">
        <f t="shared" si="104"/>
        <v>68.608828524530935</v>
      </c>
      <c r="H735" s="12">
        <f t="shared" si="108"/>
        <v>298600</v>
      </c>
      <c r="I735" s="12">
        <f t="shared" si="109"/>
        <v>246900</v>
      </c>
      <c r="J735" s="12">
        <f>IF(A735&lt;[3]关卡对接!$A$4,INDEX([3]关卡对接!$C$7:$C$141,A735),MATCH(E735,人物经验!$H$24:$H$573,1))</f>
        <v>329</v>
      </c>
      <c r="K735" s="12">
        <f>IF([3]关卡对接!F723="",INT(INDEX(人物经验!$J$24:$J$573,关卡!J735)*关卡!$S$7),[3]关卡对接!F723)</f>
        <v>7447</v>
      </c>
      <c r="L735" s="12">
        <f t="shared" si="110"/>
        <v>1.6</v>
      </c>
      <c r="M735" s="12">
        <f>L735/[4]货币基础!$B$4</f>
        <v>160</v>
      </c>
      <c r="N735" s="12">
        <f>IF(A735&lt;[3]关卡对接!$A$4,INDEX([3]关卡对接!$E$7:$E$141,A735),MATCH(E735,人物经验!$H$24:$H$573,1))</f>
        <v>329</v>
      </c>
      <c r="O735" s="12">
        <f>INDEX([2]关卡!$G$6:$G$2005,A735)</f>
        <v>3</v>
      </c>
      <c r="P735" s="13">
        <v>6</v>
      </c>
      <c r="Q735" s="12">
        <f>INT(P735/$S$15/O735*VLOOKUP(J735,[1]人物技能基础!$N$3:$O$553,2,0)*$U$15)</f>
        <v>9</v>
      </c>
      <c r="R735" s="12">
        <f t="shared" si="111"/>
        <v>112</v>
      </c>
    </row>
    <row r="736" spans="1:18" x14ac:dyDescent="0.15">
      <c r="A736" s="12">
        <v>718</v>
      </c>
      <c r="B736" s="12">
        <f t="shared" si="105"/>
        <v>4</v>
      </c>
      <c r="C736" s="12">
        <f t="shared" si="106"/>
        <v>2.2632400000000001</v>
      </c>
      <c r="D736" s="12">
        <f t="shared" si="107"/>
        <v>2.035000000000009E-2</v>
      </c>
      <c r="E736" s="12">
        <f>SUM($D$19:D736)</f>
        <v>8.4632399999999937</v>
      </c>
      <c r="F736" s="12">
        <f t="shared" si="103"/>
        <v>83.184198252239014</v>
      </c>
      <c r="G736" s="12">
        <f t="shared" si="104"/>
        <v>68.750371505295007</v>
      </c>
      <c r="H736" s="12">
        <f t="shared" si="108"/>
        <v>299400</v>
      </c>
      <c r="I736" s="12">
        <f t="shared" si="109"/>
        <v>247500</v>
      </c>
      <c r="J736" s="12">
        <f>IF(A736&lt;[3]关卡对接!$A$4,INDEX([3]关卡对接!$C$7:$C$141,A736),MATCH(E736,人物经验!$H$24:$H$573,1))</f>
        <v>329</v>
      </c>
      <c r="K736" s="12">
        <f>IF([3]关卡对接!F724="",INT(INDEX(人物经验!$J$24:$J$573,关卡!J736)*关卡!$S$7),[3]关卡对接!F724)</f>
        <v>7447</v>
      </c>
      <c r="L736" s="12">
        <f t="shared" si="110"/>
        <v>1.6</v>
      </c>
      <c r="M736" s="12">
        <f>L736/[4]货币基础!$B$4</f>
        <v>160</v>
      </c>
      <c r="N736" s="12">
        <f>IF(A736&lt;[3]关卡对接!$A$4,INDEX([3]关卡对接!$E$7:$E$141,A736),MATCH(E736,人物经验!$H$24:$H$573,1))</f>
        <v>329</v>
      </c>
      <c r="O736" s="12">
        <f>INDEX([2]关卡!$G$6:$G$2005,A736)</f>
        <v>3</v>
      </c>
      <c r="P736" s="13">
        <v>6</v>
      </c>
      <c r="Q736" s="12">
        <f>INT(P736/$S$15/O736*VLOOKUP(J736,[1]人物技能基础!$N$3:$O$553,2,0)*$U$15)</f>
        <v>9</v>
      </c>
      <c r="R736" s="12">
        <f t="shared" si="111"/>
        <v>112</v>
      </c>
    </row>
    <row r="737" spans="1:18" x14ac:dyDescent="0.15">
      <c r="A737" s="12">
        <v>719</v>
      </c>
      <c r="B737" s="12">
        <f t="shared" si="105"/>
        <v>4</v>
      </c>
      <c r="C737" s="12">
        <f t="shared" si="106"/>
        <v>2.2836099999999999</v>
      </c>
      <c r="D737" s="12">
        <f t="shared" si="107"/>
        <v>2.0369999999999777E-2</v>
      </c>
      <c r="E737" s="12">
        <f>SUM($D$19:D737)</f>
        <v>8.4836099999999934</v>
      </c>
      <c r="F737" s="12">
        <f t="shared" si="103"/>
        <v>83.401124808304942</v>
      </c>
      <c r="G737" s="12">
        <f t="shared" si="104"/>
        <v>68.892106992155931</v>
      </c>
      <c r="H737" s="12">
        <f t="shared" si="108"/>
        <v>300200</v>
      </c>
      <c r="I737" s="12">
        <f t="shared" si="109"/>
        <v>248000</v>
      </c>
      <c r="J737" s="12">
        <f>IF(A737&lt;[3]关卡对接!$A$4,INDEX([3]关卡对接!$C$7:$C$141,A737),MATCH(E737,人物经验!$H$24:$H$573,1))</f>
        <v>329</v>
      </c>
      <c r="K737" s="12">
        <f>IF([3]关卡对接!F725="",INT(INDEX(人物经验!$J$24:$J$573,关卡!J737)*关卡!$S$7),[3]关卡对接!F725)</f>
        <v>7447</v>
      </c>
      <c r="L737" s="12">
        <f t="shared" si="110"/>
        <v>1.6</v>
      </c>
      <c r="M737" s="12">
        <f>L737/[4]货币基础!$B$4</f>
        <v>160</v>
      </c>
      <c r="N737" s="12">
        <f>IF(A737&lt;[3]关卡对接!$A$4,INDEX([3]关卡对接!$E$7:$E$141,A737),MATCH(E737,人物经验!$H$24:$H$573,1))</f>
        <v>329</v>
      </c>
      <c r="O737" s="12">
        <f>INDEX([2]关卡!$G$6:$G$2005,A737)</f>
        <v>3</v>
      </c>
      <c r="P737" s="13">
        <v>6</v>
      </c>
      <c r="Q737" s="12">
        <f>INT(P737/$S$15/O737*VLOOKUP(J737,[1]人物技能基础!$N$3:$O$553,2,0)*$U$15)</f>
        <v>9</v>
      </c>
      <c r="R737" s="12">
        <f t="shared" si="111"/>
        <v>112</v>
      </c>
    </row>
    <row r="738" spans="1:18" x14ac:dyDescent="0.15">
      <c r="A738" s="12">
        <v>720</v>
      </c>
      <c r="B738" s="12">
        <f t="shared" si="105"/>
        <v>4</v>
      </c>
      <c r="C738" s="12">
        <f t="shared" si="106"/>
        <v>2.3040000000000003</v>
      </c>
      <c r="D738" s="12">
        <f t="shared" si="107"/>
        <v>2.0390000000000352E-2</v>
      </c>
      <c r="E738" s="12">
        <f>SUM($D$19:D738)</f>
        <v>8.5039999999999942</v>
      </c>
      <c r="F738" s="12">
        <f t="shared" si="103"/>
        <v>83.618467840000008</v>
      </c>
      <c r="G738" s="12">
        <f t="shared" si="104"/>
        <v>69.034035199999991</v>
      </c>
      <c r="H738" s="12">
        <f t="shared" si="108"/>
        <v>301000</v>
      </c>
      <c r="I738" s="12">
        <f t="shared" si="109"/>
        <v>248500</v>
      </c>
      <c r="J738" s="12">
        <f>IF(A738&lt;[3]关卡对接!$A$4,INDEX([3]关卡对接!$C$7:$C$141,A738),MATCH(E738,人物经验!$H$24:$H$573,1))</f>
        <v>329</v>
      </c>
      <c r="K738" s="12">
        <f>IF([3]关卡对接!F726="",INT(INDEX(人物经验!$J$24:$J$573,关卡!J738)*关卡!$S$7),[3]关卡对接!F726)</f>
        <v>7447</v>
      </c>
      <c r="L738" s="12">
        <f t="shared" si="110"/>
        <v>1.6</v>
      </c>
      <c r="M738" s="12">
        <f>L738/[4]货币基础!$B$4</f>
        <v>160</v>
      </c>
      <c r="N738" s="12">
        <f>IF(A738&lt;[3]关卡对接!$A$4,INDEX([3]关卡对接!$E$7:$E$141,A738),MATCH(E738,人物经验!$H$24:$H$573,1))</f>
        <v>329</v>
      </c>
      <c r="O738" s="12">
        <f>INDEX([2]关卡!$G$6:$G$2005,A738)</f>
        <v>3</v>
      </c>
      <c r="P738" s="13">
        <v>6</v>
      </c>
      <c r="Q738" s="12">
        <f>INT(P738/$S$15/O738*VLOOKUP(J738,[1]人物技能基础!$N$3:$O$553,2,0)*$U$15)</f>
        <v>9</v>
      </c>
      <c r="R738" s="12">
        <f t="shared" si="111"/>
        <v>112</v>
      </c>
    </row>
    <row r="739" spans="1:18" x14ac:dyDescent="0.15">
      <c r="A739" s="12">
        <v>721</v>
      </c>
      <c r="B739" s="12">
        <f t="shared" si="105"/>
        <v>4</v>
      </c>
      <c r="C739" s="12">
        <f t="shared" si="106"/>
        <v>2.3244099999999999</v>
      </c>
      <c r="D739" s="12">
        <f t="shared" si="107"/>
        <v>2.0409999999999595E-2</v>
      </c>
      <c r="E739" s="12">
        <f>SUM($D$19:D739)</f>
        <v>8.5244099999999943</v>
      </c>
      <c r="F739" s="12">
        <f t="shared" si="103"/>
        <v>83.836228002944949</v>
      </c>
      <c r="G739" s="12">
        <f t="shared" si="104"/>
        <v>69.176156343855936</v>
      </c>
      <c r="H739" s="12">
        <f t="shared" si="108"/>
        <v>301800</v>
      </c>
      <c r="I739" s="12">
        <f t="shared" si="109"/>
        <v>249000</v>
      </c>
      <c r="J739" s="12">
        <f>IF(A739&lt;[3]关卡对接!$A$4,INDEX([3]关卡对接!$C$7:$C$141,A739),MATCH(E739,人物经验!$H$24:$H$573,1))</f>
        <v>329</v>
      </c>
      <c r="K739" s="12">
        <f>IF([3]关卡对接!F727="",INT(INDEX(人物经验!$J$24:$J$573,关卡!J739)*关卡!$S$7),[3]关卡对接!F727)</f>
        <v>7447</v>
      </c>
      <c r="L739" s="12">
        <f t="shared" si="110"/>
        <v>1.6</v>
      </c>
      <c r="M739" s="12">
        <f>L739/[4]货币基础!$B$4</f>
        <v>160</v>
      </c>
      <c r="N739" s="12">
        <f>IF(A739&lt;[3]关卡对接!$A$4,INDEX([3]关卡对接!$E$7:$E$141,A739),MATCH(E739,人物经验!$H$24:$H$573,1))</f>
        <v>329</v>
      </c>
      <c r="O739" s="12">
        <f>INDEX([2]关卡!$G$6:$G$2005,A739)</f>
        <v>3</v>
      </c>
      <c r="P739" s="13">
        <v>6</v>
      </c>
      <c r="Q739" s="12">
        <f>INT(P739/$S$15/O739*VLOOKUP(J739,[1]人物技能基础!$N$3:$O$553,2,0)*$U$15)</f>
        <v>9</v>
      </c>
      <c r="R739" s="12">
        <f t="shared" si="111"/>
        <v>112</v>
      </c>
    </row>
    <row r="740" spans="1:18" x14ac:dyDescent="0.15">
      <c r="A740" s="12">
        <v>722</v>
      </c>
      <c r="B740" s="12">
        <f t="shared" si="105"/>
        <v>4</v>
      </c>
      <c r="C740" s="12">
        <f t="shared" si="106"/>
        <v>2.34484</v>
      </c>
      <c r="D740" s="12">
        <f t="shared" si="107"/>
        <v>2.043000000000017E-2</v>
      </c>
      <c r="E740" s="12">
        <f>SUM($D$19:D740)</f>
        <v>8.5448399999999936</v>
      </c>
      <c r="F740" s="12">
        <f t="shared" si="103"/>
        <v>84.054405953359009</v>
      </c>
      <c r="G740" s="12">
        <f t="shared" si="104"/>
        <v>69.318470638894993</v>
      </c>
      <c r="H740" s="12">
        <f t="shared" si="108"/>
        <v>302500</v>
      </c>
      <c r="I740" s="12">
        <f t="shared" si="109"/>
        <v>249500</v>
      </c>
      <c r="J740" s="12">
        <f>IF(A740&lt;[3]关卡对接!$A$4,INDEX([3]关卡对接!$C$7:$C$141,A740),MATCH(E740,人物经验!$H$24:$H$573,1))</f>
        <v>329</v>
      </c>
      <c r="K740" s="12">
        <f>IF([3]关卡对接!F728="",INT(INDEX(人物经验!$J$24:$J$573,关卡!J740)*关卡!$S$7),[3]关卡对接!F728)</f>
        <v>7447</v>
      </c>
      <c r="L740" s="12">
        <f t="shared" si="110"/>
        <v>1.6</v>
      </c>
      <c r="M740" s="12">
        <f>L740/[4]货币基础!$B$4</f>
        <v>160</v>
      </c>
      <c r="N740" s="12">
        <f>IF(A740&lt;[3]关卡对接!$A$4,INDEX([3]关卡对接!$E$7:$E$141,A740),MATCH(E740,人物经验!$H$24:$H$573,1))</f>
        <v>329</v>
      </c>
      <c r="O740" s="12">
        <f>INDEX([2]关卡!$G$6:$G$2005,A740)</f>
        <v>3</v>
      </c>
      <c r="P740" s="13">
        <v>6</v>
      </c>
      <c r="Q740" s="12">
        <f>INT(P740/$S$15/O740*VLOOKUP(J740,[1]人物技能基础!$N$3:$O$553,2,0)*$U$15)</f>
        <v>9</v>
      </c>
      <c r="R740" s="12">
        <f t="shared" si="111"/>
        <v>112</v>
      </c>
    </row>
    <row r="741" spans="1:18" x14ac:dyDescent="0.15">
      <c r="A741" s="12">
        <v>723</v>
      </c>
      <c r="B741" s="12">
        <f t="shared" si="105"/>
        <v>4</v>
      </c>
      <c r="C741" s="12">
        <f t="shared" si="106"/>
        <v>2.3652899999999999</v>
      </c>
      <c r="D741" s="12">
        <f t="shared" si="107"/>
        <v>2.0449999999999857E-2</v>
      </c>
      <c r="E741" s="12">
        <f>SUM($D$19:D741)</f>
        <v>8.5652899999999939</v>
      </c>
      <c r="F741" s="12">
        <f t="shared" si="103"/>
        <v>84.273002348059947</v>
      </c>
      <c r="G741" s="12">
        <f t="shared" si="104"/>
        <v>69.460978300430952</v>
      </c>
      <c r="H741" s="12">
        <f t="shared" si="108"/>
        <v>303300</v>
      </c>
      <c r="I741" s="12">
        <f t="shared" si="109"/>
        <v>250000</v>
      </c>
      <c r="J741" s="12">
        <f>IF(A741&lt;[3]关卡对接!$A$4,INDEX([3]关卡对接!$C$7:$C$141,A741),MATCH(E741,人物经验!$H$24:$H$573,1))</f>
        <v>330</v>
      </c>
      <c r="K741" s="12">
        <f>IF([3]关卡对接!F729="",INT(INDEX(人物经验!$J$24:$J$573,关卡!J741)*关卡!$S$7),[3]关卡对接!F729)</f>
        <v>7564</v>
      </c>
      <c r="L741" s="12">
        <f t="shared" si="110"/>
        <v>1.6</v>
      </c>
      <c r="M741" s="12">
        <f>L741/[4]货币基础!$B$4</f>
        <v>160</v>
      </c>
      <c r="N741" s="12">
        <f>IF(A741&lt;[3]关卡对接!$A$4,INDEX([3]关卡对接!$E$7:$E$141,A741),MATCH(E741,人物经验!$H$24:$H$573,1))</f>
        <v>330</v>
      </c>
      <c r="O741" s="12">
        <f>INDEX([2]关卡!$G$6:$G$2005,A741)</f>
        <v>3</v>
      </c>
      <c r="P741" s="13">
        <v>6</v>
      </c>
      <c r="Q741" s="12">
        <f>INT(P741/$S$15/O741*VLOOKUP(J741,[1]人物技能基础!$N$3:$O$553,2,0)*$U$15)</f>
        <v>9</v>
      </c>
      <c r="R741" s="12">
        <f t="shared" si="111"/>
        <v>112</v>
      </c>
    </row>
    <row r="742" spans="1:18" x14ac:dyDescent="0.15">
      <c r="A742" s="12">
        <v>724</v>
      </c>
      <c r="B742" s="12">
        <f t="shared" si="105"/>
        <v>4</v>
      </c>
      <c r="C742" s="12">
        <f t="shared" si="106"/>
        <v>2.3857600000000003</v>
      </c>
      <c r="D742" s="12">
        <f t="shared" si="107"/>
        <v>2.0470000000000432E-2</v>
      </c>
      <c r="E742" s="12">
        <f>SUM($D$19:D742)</f>
        <v>8.5857599999999934</v>
      </c>
      <c r="F742" s="12">
        <f t="shared" si="103"/>
        <v>84.492017844464002</v>
      </c>
      <c r="G742" s="12">
        <f t="shared" si="104"/>
        <v>69.603679543919995</v>
      </c>
      <c r="H742" s="12">
        <f t="shared" si="108"/>
        <v>304100</v>
      </c>
      <c r="I742" s="12">
        <f t="shared" si="109"/>
        <v>250500</v>
      </c>
      <c r="J742" s="12">
        <f>IF(A742&lt;[3]关卡对接!$A$4,INDEX([3]关卡对接!$C$7:$C$141,A742),MATCH(E742,人物经验!$H$24:$H$573,1))</f>
        <v>330</v>
      </c>
      <c r="K742" s="12">
        <f>IF([3]关卡对接!F730="",INT(INDEX(人物经验!$J$24:$J$573,关卡!J742)*关卡!$S$7),[3]关卡对接!F730)</f>
        <v>7564</v>
      </c>
      <c r="L742" s="12">
        <f t="shared" si="110"/>
        <v>1.6</v>
      </c>
      <c r="M742" s="12">
        <f>L742/[4]货币基础!$B$4</f>
        <v>160</v>
      </c>
      <c r="N742" s="12">
        <f>IF(A742&lt;[3]关卡对接!$A$4,INDEX([3]关卡对接!$E$7:$E$141,A742),MATCH(E742,人物经验!$H$24:$H$573,1))</f>
        <v>330</v>
      </c>
      <c r="O742" s="12">
        <f>INDEX([2]关卡!$G$6:$G$2005,A742)</f>
        <v>3</v>
      </c>
      <c r="P742" s="13">
        <v>6</v>
      </c>
      <c r="Q742" s="12">
        <f>INT(P742/$S$15/O742*VLOOKUP(J742,[1]人物技能基础!$N$3:$O$553,2,0)*$U$15)</f>
        <v>9</v>
      </c>
      <c r="R742" s="12">
        <f t="shared" si="111"/>
        <v>112</v>
      </c>
    </row>
    <row r="743" spans="1:18" x14ac:dyDescent="0.15">
      <c r="A743" s="12">
        <v>725</v>
      </c>
      <c r="B743" s="12">
        <f t="shared" si="105"/>
        <v>4</v>
      </c>
      <c r="C743" s="12">
        <f t="shared" si="106"/>
        <v>2.40625</v>
      </c>
      <c r="D743" s="12">
        <f t="shared" si="107"/>
        <v>2.0489999999999675E-2</v>
      </c>
      <c r="E743" s="12">
        <f>SUM($D$19:D743)</f>
        <v>8.6062499999999922</v>
      </c>
      <c r="F743" s="12">
        <f t="shared" si="103"/>
        <v>84.711453100585928</v>
      </c>
      <c r="G743" s="12">
        <f t="shared" si="104"/>
        <v>69.746574584960939</v>
      </c>
      <c r="H743" s="12">
        <f t="shared" si="108"/>
        <v>304900</v>
      </c>
      <c r="I743" s="12">
        <f t="shared" si="109"/>
        <v>251000</v>
      </c>
      <c r="J743" s="12">
        <f>IF(A743&lt;[3]关卡对接!$A$4,INDEX([3]关卡对接!$C$7:$C$141,A743),MATCH(E743,人物经验!$H$24:$H$573,1))</f>
        <v>330</v>
      </c>
      <c r="K743" s="12">
        <f>IF([3]关卡对接!F731="",INT(INDEX(人物经验!$J$24:$J$573,关卡!J743)*关卡!$S$7),[3]关卡对接!F731)</f>
        <v>7564</v>
      </c>
      <c r="L743" s="12">
        <f t="shared" si="110"/>
        <v>1.6</v>
      </c>
      <c r="M743" s="12">
        <f>L743/[4]货币基础!$B$4</f>
        <v>160</v>
      </c>
      <c r="N743" s="12">
        <f>IF(A743&lt;[3]关卡对接!$A$4,INDEX([3]关卡对接!$E$7:$E$141,A743),MATCH(E743,人物经验!$H$24:$H$573,1))</f>
        <v>330</v>
      </c>
      <c r="O743" s="12">
        <f>INDEX([2]关卡!$G$6:$G$2005,A743)</f>
        <v>3</v>
      </c>
      <c r="P743" s="13">
        <v>6</v>
      </c>
      <c r="Q743" s="12">
        <f>INT(P743/$S$15/O743*VLOOKUP(J743,[1]人物技能基础!$N$3:$O$553,2,0)*$U$15)</f>
        <v>9</v>
      </c>
      <c r="R743" s="12">
        <f t="shared" si="111"/>
        <v>112</v>
      </c>
    </row>
    <row r="744" spans="1:18" x14ac:dyDescent="0.15">
      <c r="A744" s="12">
        <v>726</v>
      </c>
      <c r="B744" s="12">
        <f t="shared" si="105"/>
        <v>4</v>
      </c>
      <c r="C744" s="12">
        <f t="shared" si="106"/>
        <v>2.4267600000000003</v>
      </c>
      <c r="D744" s="12">
        <f t="shared" si="107"/>
        <v>2.051000000000025E-2</v>
      </c>
      <c r="E744" s="12">
        <f>SUM($D$19:D744)</f>
        <v>8.626759999999992</v>
      </c>
      <c r="F744" s="12">
        <f t="shared" si="103"/>
        <v>84.931308775039</v>
      </c>
      <c r="G744" s="12">
        <f t="shared" si="104"/>
        <v>69.889663639294994</v>
      </c>
      <c r="H744" s="12">
        <f t="shared" si="108"/>
        <v>305700</v>
      </c>
      <c r="I744" s="12">
        <f t="shared" si="109"/>
        <v>251600</v>
      </c>
      <c r="J744" s="12">
        <f>IF(A744&lt;[3]关卡对接!$A$4,INDEX([3]关卡对接!$C$7:$C$141,A744),MATCH(E744,人物经验!$H$24:$H$573,1))</f>
        <v>330</v>
      </c>
      <c r="K744" s="12">
        <f>IF([3]关卡对接!F732="",INT(INDEX(人物经验!$J$24:$J$573,关卡!J744)*关卡!$S$7),[3]关卡对接!F732)</f>
        <v>7564</v>
      </c>
      <c r="L744" s="12">
        <f t="shared" si="110"/>
        <v>1.6</v>
      </c>
      <c r="M744" s="12">
        <f>L744/[4]货币基础!$B$4</f>
        <v>160</v>
      </c>
      <c r="N744" s="12">
        <f>IF(A744&lt;[3]关卡对接!$A$4,INDEX([3]关卡对接!$E$7:$E$141,A744),MATCH(E744,人物经验!$H$24:$H$573,1))</f>
        <v>330</v>
      </c>
      <c r="O744" s="12">
        <f>INDEX([2]关卡!$G$6:$G$2005,A744)</f>
        <v>3</v>
      </c>
      <c r="P744" s="13">
        <v>6</v>
      </c>
      <c r="Q744" s="12">
        <f>INT(P744/$S$15/O744*VLOOKUP(J744,[1]人物技能基础!$N$3:$O$553,2,0)*$U$15)</f>
        <v>9</v>
      </c>
      <c r="R744" s="12">
        <f t="shared" si="111"/>
        <v>112</v>
      </c>
    </row>
    <row r="745" spans="1:18" x14ac:dyDescent="0.15">
      <c r="A745" s="12">
        <v>727</v>
      </c>
      <c r="B745" s="12">
        <f t="shared" si="105"/>
        <v>4</v>
      </c>
      <c r="C745" s="12">
        <f t="shared" si="106"/>
        <v>2.4472900000000002</v>
      </c>
      <c r="D745" s="12">
        <f t="shared" si="107"/>
        <v>2.0529999999999937E-2</v>
      </c>
      <c r="E745" s="12">
        <f>SUM($D$19:D745)</f>
        <v>8.647289999999991</v>
      </c>
      <c r="F745" s="12">
        <f t="shared" si="103"/>
        <v>85.151585527034925</v>
      </c>
      <c r="G745" s="12">
        <f t="shared" si="104"/>
        <v>70.03294692280592</v>
      </c>
      <c r="H745" s="12">
        <f t="shared" si="108"/>
        <v>306500</v>
      </c>
      <c r="I745" s="12">
        <f t="shared" si="109"/>
        <v>252100</v>
      </c>
      <c r="J745" s="12">
        <f>IF(A745&lt;[3]关卡对接!$A$4,INDEX([3]关卡对接!$C$7:$C$141,A745),MATCH(E745,人物经验!$H$24:$H$573,1))</f>
        <v>330</v>
      </c>
      <c r="K745" s="12">
        <f>IF([3]关卡对接!F733="",INT(INDEX(人物经验!$J$24:$J$573,关卡!J745)*关卡!$S$7),[3]关卡对接!F733)</f>
        <v>7564</v>
      </c>
      <c r="L745" s="12">
        <f t="shared" si="110"/>
        <v>1.6</v>
      </c>
      <c r="M745" s="12">
        <f>L745/[4]货币基础!$B$4</f>
        <v>160</v>
      </c>
      <c r="N745" s="12">
        <f>IF(A745&lt;[3]关卡对接!$A$4,INDEX([3]关卡对接!$E$7:$E$141,A745),MATCH(E745,人物经验!$H$24:$H$573,1))</f>
        <v>330</v>
      </c>
      <c r="O745" s="12">
        <f>INDEX([2]关卡!$G$6:$G$2005,A745)</f>
        <v>3</v>
      </c>
      <c r="P745" s="13">
        <v>6</v>
      </c>
      <c r="Q745" s="12">
        <f>INT(P745/$S$15/O745*VLOOKUP(J745,[1]人物技能基础!$N$3:$O$553,2,0)*$U$15)</f>
        <v>9</v>
      </c>
      <c r="R745" s="12">
        <f t="shared" si="111"/>
        <v>112</v>
      </c>
    </row>
    <row r="746" spans="1:18" x14ac:dyDescent="0.15">
      <c r="A746" s="12">
        <v>728</v>
      </c>
      <c r="B746" s="12">
        <f t="shared" si="105"/>
        <v>4</v>
      </c>
      <c r="C746" s="12">
        <f t="shared" si="106"/>
        <v>2.4678400000000003</v>
      </c>
      <c r="D746" s="12">
        <f t="shared" si="107"/>
        <v>2.0550000000000068E-2</v>
      </c>
      <c r="E746" s="12">
        <f>SUM($D$19:D746)</f>
        <v>8.6678399999999911</v>
      </c>
      <c r="F746" s="12">
        <f t="shared" si="103"/>
        <v>85.372284016384</v>
      </c>
      <c r="G746" s="12">
        <f t="shared" si="104"/>
        <v>70.176424651519994</v>
      </c>
      <c r="H746" s="12">
        <f t="shared" si="108"/>
        <v>307300</v>
      </c>
      <c r="I746" s="12">
        <f t="shared" si="109"/>
        <v>252600</v>
      </c>
      <c r="J746" s="12">
        <f>IF(A746&lt;[3]关卡对接!$A$4,INDEX([3]关卡对接!$C$7:$C$141,A746),MATCH(E746,人物经验!$H$24:$H$573,1))</f>
        <v>330</v>
      </c>
      <c r="K746" s="12">
        <f>IF([3]关卡对接!F734="",INT(INDEX(人物经验!$J$24:$J$573,关卡!J746)*关卡!$S$7),[3]关卡对接!F734)</f>
        <v>7564</v>
      </c>
      <c r="L746" s="12">
        <f t="shared" si="110"/>
        <v>1.6</v>
      </c>
      <c r="M746" s="12">
        <f>L746/[4]货币基础!$B$4</f>
        <v>160</v>
      </c>
      <c r="N746" s="12">
        <f>IF(A746&lt;[3]关卡对接!$A$4,INDEX([3]关卡对接!$E$7:$E$141,A746),MATCH(E746,人物经验!$H$24:$H$573,1))</f>
        <v>330</v>
      </c>
      <c r="O746" s="12">
        <f>INDEX([2]关卡!$G$6:$G$2005,A746)</f>
        <v>3</v>
      </c>
      <c r="P746" s="13">
        <v>6</v>
      </c>
      <c r="Q746" s="12">
        <f>INT(P746/$S$15/O746*VLOOKUP(J746,[1]人物技能基础!$N$3:$O$553,2,0)*$U$15)</f>
        <v>9</v>
      </c>
      <c r="R746" s="12">
        <f t="shared" si="111"/>
        <v>112</v>
      </c>
    </row>
    <row r="747" spans="1:18" x14ac:dyDescent="0.15">
      <c r="A747" s="12">
        <v>729</v>
      </c>
      <c r="B747" s="12">
        <f t="shared" si="105"/>
        <v>4</v>
      </c>
      <c r="C747" s="12">
        <f t="shared" si="106"/>
        <v>2.48841</v>
      </c>
      <c r="D747" s="12">
        <f t="shared" si="107"/>
        <v>2.0569999999999755E-2</v>
      </c>
      <c r="E747" s="12">
        <f>SUM($D$19:D747)</f>
        <v>8.6884099999999904</v>
      </c>
      <c r="F747" s="12">
        <f t="shared" si="103"/>
        <v>85.593404903494928</v>
      </c>
      <c r="G747" s="12">
        <f t="shared" si="104"/>
        <v>70.320097041605933</v>
      </c>
      <c r="H747" s="12">
        <f t="shared" si="108"/>
        <v>308100</v>
      </c>
      <c r="I747" s="12">
        <f t="shared" si="109"/>
        <v>253100</v>
      </c>
      <c r="J747" s="12">
        <f>IF(A747&lt;[3]关卡对接!$A$4,INDEX([3]关卡对接!$C$7:$C$141,A747),MATCH(E747,人物经验!$H$24:$H$573,1))</f>
        <v>330</v>
      </c>
      <c r="K747" s="12">
        <f>IF([3]关卡对接!F735="",INT(INDEX(人物经验!$J$24:$J$573,关卡!J747)*关卡!$S$7),[3]关卡对接!F735)</f>
        <v>7564</v>
      </c>
      <c r="L747" s="12">
        <f t="shared" si="110"/>
        <v>1.6</v>
      </c>
      <c r="M747" s="12">
        <f>L747/[4]货币基础!$B$4</f>
        <v>160</v>
      </c>
      <c r="N747" s="12">
        <f>IF(A747&lt;[3]关卡对接!$A$4,INDEX([3]关卡对接!$E$7:$E$141,A747),MATCH(E747,人物经验!$H$24:$H$573,1))</f>
        <v>330</v>
      </c>
      <c r="O747" s="12">
        <f>INDEX([2]关卡!$G$6:$G$2005,A747)</f>
        <v>3</v>
      </c>
      <c r="P747" s="13">
        <v>6</v>
      </c>
      <c r="Q747" s="12">
        <f>INT(P747/$S$15/O747*VLOOKUP(J747,[1]人物技能基础!$N$3:$O$553,2,0)*$U$15)</f>
        <v>9</v>
      </c>
      <c r="R747" s="12">
        <f t="shared" si="111"/>
        <v>112</v>
      </c>
    </row>
    <row r="748" spans="1:18" x14ac:dyDescent="0.15">
      <c r="A748" s="12">
        <v>730</v>
      </c>
      <c r="B748" s="12">
        <f t="shared" si="105"/>
        <v>4</v>
      </c>
      <c r="C748" s="12">
        <f t="shared" si="106"/>
        <v>2.5090000000000003</v>
      </c>
      <c r="D748" s="12">
        <f t="shared" si="107"/>
        <v>2.059000000000033E-2</v>
      </c>
      <c r="E748" s="12">
        <f>SUM($D$19:D748)</f>
        <v>8.7089999999999907</v>
      </c>
      <c r="F748" s="12">
        <f t="shared" si="103"/>
        <v>85.814948849374986</v>
      </c>
      <c r="G748" s="12">
        <f t="shared" si="104"/>
        <v>70.463964309374987</v>
      </c>
      <c r="H748" s="12">
        <f t="shared" si="108"/>
        <v>308900</v>
      </c>
      <c r="I748" s="12">
        <f t="shared" si="109"/>
        <v>253600</v>
      </c>
      <c r="J748" s="12">
        <f>IF(A748&lt;[3]关卡对接!$A$4,INDEX([3]关卡对接!$C$7:$C$141,A748),MATCH(E748,人物经验!$H$24:$H$573,1))</f>
        <v>331</v>
      </c>
      <c r="K748" s="12">
        <f>IF([3]关卡对接!F736="",INT(INDEX(人物经验!$J$24:$J$573,关卡!J748)*关卡!$S$7),[3]关卡对接!F736)</f>
        <v>7703</v>
      </c>
      <c r="L748" s="12">
        <f t="shared" si="110"/>
        <v>1.6</v>
      </c>
      <c r="M748" s="12">
        <f>L748/[4]货币基础!$B$4</f>
        <v>160</v>
      </c>
      <c r="N748" s="12">
        <f>IF(A748&lt;[3]关卡对接!$A$4,INDEX([3]关卡对接!$E$7:$E$141,A748),MATCH(E748,人物经验!$H$24:$H$573,1))</f>
        <v>331</v>
      </c>
      <c r="O748" s="12">
        <f>INDEX([2]关卡!$G$6:$G$2005,A748)</f>
        <v>3</v>
      </c>
      <c r="P748" s="13">
        <v>6</v>
      </c>
      <c r="Q748" s="12">
        <f>INT(P748/$S$15/O748*VLOOKUP(J748,[1]人物技能基础!$N$3:$O$553,2,0)*$U$15)</f>
        <v>9</v>
      </c>
      <c r="R748" s="12">
        <f t="shared" si="111"/>
        <v>112</v>
      </c>
    </row>
    <row r="749" spans="1:18" x14ac:dyDescent="0.15">
      <c r="A749" s="12">
        <v>731</v>
      </c>
      <c r="B749" s="12">
        <f t="shared" si="105"/>
        <v>4</v>
      </c>
      <c r="C749" s="12">
        <f t="shared" si="106"/>
        <v>2.5296099999999999</v>
      </c>
      <c r="D749" s="12">
        <f t="shared" si="107"/>
        <v>2.0609999999999573E-2</v>
      </c>
      <c r="E749" s="12">
        <f>SUM($D$19:D749)</f>
        <v>8.7296099999999903</v>
      </c>
      <c r="F749" s="12">
        <f t="shared" si="103"/>
        <v>86.036916515629912</v>
      </c>
      <c r="G749" s="12">
        <f t="shared" si="104"/>
        <v>70.608026671280939</v>
      </c>
      <c r="H749" s="12">
        <f t="shared" si="108"/>
        <v>309700</v>
      </c>
      <c r="I749" s="12">
        <f t="shared" si="109"/>
        <v>254100</v>
      </c>
      <c r="J749" s="12">
        <f>IF(A749&lt;[3]关卡对接!$A$4,INDEX([3]关卡对接!$C$7:$C$141,A749),MATCH(E749,人物经验!$H$24:$H$573,1))</f>
        <v>331</v>
      </c>
      <c r="K749" s="12">
        <f>IF([3]关卡对接!F737="",INT(INDEX(人物经验!$J$24:$J$573,关卡!J749)*关卡!$S$7),[3]关卡对接!F737)</f>
        <v>7703</v>
      </c>
      <c r="L749" s="12">
        <f t="shared" si="110"/>
        <v>1.6</v>
      </c>
      <c r="M749" s="12">
        <f>L749/[4]货币基础!$B$4</f>
        <v>160</v>
      </c>
      <c r="N749" s="12">
        <f>IF(A749&lt;[3]关卡对接!$A$4,INDEX([3]关卡对接!$E$7:$E$141,A749),MATCH(E749,人物经验!$H$24:$H$573,1))</f>
        <v>331</v>
      </c>
      <c r="O749" s="12">
        <f>INDEX([2]关卡!$G$6:$G$2005,A749)</f>
        <v>3</v>
      </c>
      <c r="P749" s="13">
        <v>6</v>
      </c>
      <c r="Q749" s="12">
        <f>INT(P749/$S$15/O749*VLOOKUP(J749,[1]人物技能基础!$N$3:$O$553,2,0)*$U$15)</f>
        <v>9</v>
      </c>
      <c r="R749" s="12">
        <f t="shared" si="111"/>
        <v>112</v>
      </c>
    </row>
    <row r="750" spans="1:18" x14ac:dyDescent="0.15">
      <c r="A750" s="12">
        <v>732</v>
      </c>
      <c r="B750" s="12">
        <f t="shared" si="105"/>
        <v>4</v>
      </c>
      <c r="C750" s="12">
        <f t="shared" si="106"/>
        <v>2.5502400000000005</v>
      </c>
      <c r="D750" s="12">
        <f t="shared" si="107"/>
        <v>2.0630000000000592E-2</v>
      </c>
      <c r="E750" s="12">
        <f>SUM($D$19:D750)</f>
        <v>8.7502399999999909</v>
      </c>
      <c r="F750" s="12">
        <f t="shared" si="103"/>
        <v>86.259308564464007</v>
      </c>
      <c r="G750" s="12">
        <f t="shared" si="104"/>
        <v>70.752284343919996</v>
      </c>
      <c r="H750" s="12">
        <f t="shared" si="108"/>
        <v>310500</v>
      </c>
      <c r="I750" s="12">
        <f t="shared" si="109"/>
        <v>254700</v>
      </c>
      <c r="J750" s="12">
        <f>IF(A750&lt;[3]关卡对接!$A$4,INDEX([3]关卡对接!$C$7:$C$141,A750),MATCH(E750,人物经验!$H$24:$H$573,1))</f>
        <v>331</v>
      </c>
      <c r="K750" s="12">
        <f>IF([3]关卡对接!F738="",INT(INDEX(人物经验!$J$24:$J$573,关卡!J750)*关卡!$S$7),[3]关卡对接!F738)</f>
        <v>7703</v>
      </c>
      <c r="L750" s="12">
        <f t="shared" si="110"/>
        <v>1.6</v>
      </c>
      <c r="M750" s="12">
        <f>L750/[4]货币基础!$B$4</f>
        <v>160</v>
      </c>
      <c r="N750" s="12">
        <f>IF(A750&lt;[3]关卡对接!$A$4,INDEX([3]关卡对接!$E$7:$E$141,A750),MATCH(E750,人物经验!$H$24:$H$573,1))</f>
        <v>331</v>
      </c>
      <c r="O750" s="12">
        <f>INDEX([2]关卡!$G$6:$G$2005,A750)</f>
        <v>3</v>
      </c>
      <c r="P750" s="13">
        <v>6</v>
      </c>
      <c r="Q750" s="12">
        <f>INT(P750/$S$15/O750*VLOOKUP(J750,[1]人物技能基础!$N$3:$O$553,2,0)*$U$15)</f>
        <v>9</v>
      </c>
      <c r="R750" s="12">
        <f t="shared" si="111"/>
        <v>112</v>
      </c>
    </row>
    <row r="751" spans="1:18" x14ac:dyDescent="0.15">
      <c r="A751" s="12">
        <v>733</v>
      </c>
      <c r="B751" s="12">
        <f t="shared" si="105"/>
        <v>4</v>
      </c>
      <c r="C751" s="12">
        <f t="shared" si="106"/>
        <v>2.5708900000000003</v>
      </c>
      <c r="D751" s="12">
        <f t="shared" si="107"/>
        <v>2.0649999999999835E-2</v>
      </c>
      <c r="E751" s="12">
        <f>SUM($D$19:D751)</f>
        <v>8.7708899999999907</v>
      </c>
      <c r="F751" s="12">
        <f t="shared" si="103"/>
        <v>86.482125658679934</v>
      </c>
      <c r="G751" s="12">
        <f t="shared" si="104"/>
        <v>70.896737544030927</v>
      </c>
      <c r="H751" s="12">
        <f t="shared" si="108"/>
        <v>311300</v>
      </c>
      <c r="I751" s="12">
        <f t="shared" si="109"/>
        <v>255200</v>
      </c>
      <c r="J751" s="12">
        <f>IF(A751&lt;[3]关卡对接!$A$4,INDEX([3]关卡对接!$C$7:$C$141,A751),MATCH(E751,人物经验!$H$24:$H$573,1))</f>
        <v>331</v>
      </c>
      <c r="K751" s="12">
        <f>IF([3]关卡对接!F739="",INT(INDEX(人物经验!$J$24:$J$573,关卡!J751)*关卡!$S$7),[3]关卡对接!F739)</f>
        <v>7703</v>
      </c>
      <c r="L751" s="12">
        <f t="shared" si="110"/>
        <v>1.6</v>
      </c>
      <c r="M751" s="12">
        <f>L751/[4]货币基础!$B$4</f>
        <v>160</v>
      </c>
      <c r="N751" s="12">
        <f>IF(A751&lt;[3]关卡对接!$A$4,INDEX([3]关卡对接!$E$7:$E$141,A751),MATCH(E751,人物经验!$H$24:$H$573,1))</f>
        <v>331</v>
      </c>
      <c r="O751" s="12">
        <f>INDEX([2]关卡!$G$6:$G$2005,A751)</f>
        <v>3</v>
      </c>
      <c r="P751" s="13">
        <v>6</v>
      </c>
      <c r="Q751" s="12">
        <f>INT(P751/$S$15/O751*VLOOKUP(J751,[1]人物技能基础!$N$3:$O$553,2,0)*$U$15)</f>
        <v>9</v>
      </c>
      <c r="R751" s="12">
        <f t="shared" si="111"/>
        <v>112</v>
      </c>
    </row>
    <row r="752" spans="1:18" x14ac:dyDescent="0.15">
      <c r="A752" s="12">
        <v>734</v>
      </c>
      <c r="B752" s="12">
        <f t="shared" si="105"/>
        <v>4</v>
      </c>
      <c r="C752" s="12">
        <f t="shared" si="106"/>
        <v>2.5915600000000003</v>
      </c>
      <c r="D752" s="12">
        <f t="shared" si="107"/>
        <v>2.0669999999999966E-2</v>
      </c>
      <c r="E752" s="12">
        <f>SUM($D$19:D752)</f>
        <v>8.7915599999999898</v>
      </c>
      <c r="F752" s="12">
        <f t="shared" si="103"/>
        <v>86.705368461679001</v>
      </c>
      <c r="G752" s="12">
        <f t="shared" si="104"/>
        <v>71.041386488494993</v>
      </c>
      <c r="H752" s="12">
        <f t="shared" si="108"/>
        <v>312100</v>
      </c>
      <c r="I752" s="12">
        <f t="shared" si="109"/>
        <v>255700</v>
      </c>
      <c r="J752" s="12">
        <f>IF(A752&lt;[3]关卡对接!$A$4,INDEX([3]关卡对接!$C$7:$C$141,A752),MATCH(E752,人物经验!$H$24:$H$573,1))</f>
        <v>331</v>
      </c>
      <c r="K752" s="12">
        <f>IF([3]关卡对接!F740="",INT(INDEX(人物经验!$J$24:$J$573,关卡!J752)*关卡!$S$7),[3]关卡对接!F740)</f>
        <v>7703</v>
      </c>
      <c r="L752" s="12">
        <f t="shared" si="110"/>
        <v>1.6</v>
      </c>
      <c r="M752" s="12">
        <f>L752/[4]货币基础!$B$4</f>
        <v>160</v>
      </c>
      <c r="N752" s="12">
        <f>IF(A752&lt;[3]关卡对接!$A$4,INDEX([3]关卡对接!$E$7:$E$141,A752),MATCH(E752,人物经验!$H$24:$H$573,1))</f>
        <v>331</v>
      </c>
      <c r="O752" s="12">
        <f>INDEX([2]关卡!$G$6:$G$2005,A752)</f>
        <v>3</v>
      </c>
      <c r="P752" s="13">
        <v>6</v>
      </c>
      <c r="Q752" s="12">
        <f>INT(P752/$S$15/O752*VLOOKUP(J752,[1]人物技能基础!$N$3:$O$553,2,0)*$U$15)</f>
        <v>9</v>
      </c>
      <c r="R752" s="12">
        <f t="shared" si="111"/>
        <v>112</v>
      </c>
    </row>
    <row r="753" spans="1:18" x14ac:dyDescent="0.15">
      <c r="A753" s="12">
        <v>735</v>
      </c>
      <c r="B753" s="12">
        <f t="shared" si="105"/>
        <v>4</v>
      </c>
      <c r="C753" s="12">
        <f t="shared" si="106"/>
        <v>2.6122500000000004</v>
      </c>
      <c r="D753" s="12">
        <f t="shared" si="107"/>
        <v>2.0690000000000097E-2</v>
      </c>
      <c r="E753" s="12">
        <f>SUM($D$19:D753)</f>
        <v>8.8122499999999899</v>
      </c>
      <c r="F753" s="12">
        <f t="shared" si="103"/>
        <v>86.929037637460937</v>
      </c>
      <c r="G753" s="12">
        <f t="shared" si="104"/>
        <v>71.186231394335934</v>
      </c>
      <c r="H753" s="12">
        <f t="shared" si="108"/>
        <v>312900</v>
      </c>
      <c r="I753" s="12">
        <f t="shared" si="109"/>
        <v>256200</v>
      </c>
      <c r="J753" s="12">
        <f>IF(A753&lt;[3]关卡对接!$A$4,INDEX([3]关卡对接!$C$7:$C$141,A753),MATCH(E753,人物经验!$H$24:$H$573,1))</f>
        <v>331</v>
      </c>
      <c r="K753" s="12">
        <f>IF([3]关卡对接!F741="",INT(INDEX(人物经验!$J$24:$J$573,关卡!J753)*关卡!$S$7),[3]关卡对接!F741)</f>
        <v>7703</v>
      </c>
      <c r="L753" s="12">
        <f t="shared" si="110"/>
        <v>1.6</v>
      </c>
      <c r="M753" s="12">
        <f>L753/[4]货币基础!$B$4</f>
        <v>160</v>
      </c>
      <c r="N753" s="12">
        <f>IF(A753&lt;[3]关卡对接!$A$4,INDEX([3]关卡对接!$E$7:$E$141,A753),MATCH(E753,人物经验!$H$24:$H$573,1))</f>
        <v>331</v>
      </c>
      <c r="O753" s="12">
        <f>INDEX([2]关卡!$G$6:$G$2005,A753)</f>
        <v>3</v>
      </c>
      <c r="P753" s="13">
        <v>6</v>
      </c>
      <c r="Q753" s="12">
        <f>INT(P753/$S$15/O753*VLOOKUP(J753,[1]人物技能基础!$N$3:$O$553,2,0)*$U$15)</f>
        <v>9</v>
      </c>
      <c r="R753" s="12">
        <f t="shared" si="111"/>
        <v>112</v>
      </c>
    </row>
    <row r="754" spans="1:18" x14ac:dyDescent="0.15">
      <c r="A754" s="12">
        <v>736</v>
      </c>
      <c r="B754" s="12">
        <f t="shared" si="105"/>
        <v>4</v>
      </c>
      <c r="C754" s="12">
        <f t="shared" si="106"/>
        <v>2.6329600000000006</v>
      </c>
      <c r="D754" s="12">
        <f t="shared" si="107"/>
        <v>2.0710000000000228E-2</v>
      </c>
      <c r="E754" s="12">
        <f>SUM($D$19:D754)</f>
        <v>8.8329599999999893</v>
      </c>
      <c r="F754" s="12">
        <f t="shared" si="103"/>
        <v>87.153133850624002</v>
      </c>
      <c r="G754" s="12">
        <f t="shared" si="104"/>
        <v>71.331272478719995</v>
      </c>
      <c r="H754" s="12">
        <f t="shared" si="108"/>
        <v>313700</v>
      </c>
      <c r="I754" s="12">
        <f t="shared" si="109"/>
        <v>256700</v>
      </c>
      <c r="J754" s="12">
        <f>IF(A754&lt;[3]关卡对接!$A$4,INDEX([3]关卡对接!$C$7:$C$141,A754),MATCH(E754,人物经验!$H$24:$H$573,1))</f>
        <v>331</v>
      </c>
      <c r="K754" s="12">
        <f>IF([3]关卡对接!F742="",INT(INDEX(人物经验!$J$24:$J$573,关卡!J754)*关卡!$S$7),[3]关卡对接!F742)</f>
        <v>7703</v>
      </c>
      <c r="L754" s="12">
        <f t="shared" si="110"/>
        <v>1.6</v>
      </c>
      <c r="M754" s="12">
        <f>L754/[4]货币基础!$B$4</f>
        <v>160</v>
      </c>
      <c r="N754" s="12">
        <f>IF(A754&lt;[3]关卡对接!$A$4,INDEX([3]关卡对接!$E$7:$E$141,A754),MATCH(E754,人物经验!$H$24:$H$573,1))</f>
        <v>331</v>
      </c>
      <c r="O754" s="12">
        <f>INDEX([2]关卡!$G$6:$G$2005,A754)</f>
        <v>3</v>
      </c>
      <c r="P754" s="13">
        <v>6</v>
      </c>
      <c r="Q754" s="12">
        <f>INT(P754/$S$15/O754*VLOOKUP(J754,[1]人物技能基础!$N$3:$O$553,2,0)*$U$15)</f>
        <v>9</v>
      </c>
      <c r="R754" s="12">
        <f t="shared" si="111"/>
        <v>112</v>
      </c>
    </row>
    <row r="755" spans="1:18" x14ac:dyDescent="0.15">
      <c r="A755" s="12">
        <v>737</v>
      </c>
      <c r="B755" s="12">
        <f t="shared" si="105"/>
        <v>4</v>
      </c>
      <c r="C755" s="12">
        <f t="shared" si="106"/>
        <v>2.6536900000000001</v>
      </c>
      <c r="D755" s="12">
        <f t="shared" si="107"/>
        <v>2.0729999999999471E-2</v>
      </c>
      <c r="E755" s="12">
        <f>SUM($D$19:D755)</f>
        <v>8.8536899999999896</v>
      </c>
      <c r="F755" s="12">
        <f t="shared" si="103"/>
        <v>87.377657766364933</v>
      </c>
      <c r="G755" s="12">
        <f t="shared" si="104"/>
        <v>71.47650995895593</v>
      </c>
      <c r="H755" s="12">
        <f t="shared" si="108"/>
        <v>314500</v>
      </c>
      <c r="I755" s="12">
        <f t="shared" si="109"/>
        <v>257300</v>
      </c>
      <c r="J755" s="12">
        <f>IF(A755&lt;[3]关卡对接!$A$4,INDEX([3]关卡对接!$C$7:$C$141,A755),MATCH(E755,人物经验!$H$24:$H$573,1))</f>
        <v>332</v>
      </c>
      <c r="K755" s="12">
        <f>IF([3]关卡对接!F743="",INT(INDEX(人物经验!$J$24:$J$573,关卡!J755)*关卡!$S$7),[3]关卡对接!F743)</f>
        <v>7843</v>
      </c>
      <c r="L755" s="12">
        <f t="shared" si="110"/>
        <v>1.6</v>
      </c>
      <c r="M755" s="12">
        <f>L755/[4]货币基础!$B$4</f>
        <v>160</v>
      </c>
      <c r="N755" s="12">
        <f>IF(A755&lt;[3]关卡对接!$A$4,INDEX([3]关卡对接!$E$7:$E$141,A755),MATCH(E755,人物经验!$H$24:$H$573,1))</f>
        <v>332</v>
      </c>
      <c r="O755" s="12">
        <f>INDEX([2]关卡!$G$6:$G$2005,A755)</f>
        <v>3</v>
      </c>
      <c r="P755" s="13">
        <v>6</v>
      </c>
      <c r="Q755" s="12">
        <f>INT(P755/$S$15/O755*VLOOKUP(J755,[1]人物技能基础!$N$3:$O$553,2,0)*$U$15)</f>
        <v>9</v>
      </c>
      <c r="R755" s="12">
        <f t="shared" si="111"/>
        <v>112</v>
      </c>
    </row>
    <row r="756" spans="1:18" x14ac:dyDescent="0.15">
      <c r="A756" s="12">
        <v>738</v>
      </c>
      <c r="B756" s="12">
        <f t="shared" si="105"/>
        <v>4</v>
      </c>
      <c r="C756" s="12">
        <f t="shared" si="106"/>
        <v>2.6744400000000002</v>
      </c>
      <c r="D756" s="12">
        <f t="shared" si="107"/>
        <v>2.0750000000000046E-2</v>
      </c>
      <c r="E756" s="12">
        <f>SUM($D$19:D756)</f>
        <v>8.8744399999999892</v>
      </c>
      <c r="F756" s="12">
        <f t="shared" si="103"/>
        <v>87.602610050478987</v>
      </c>
      <c r="G756" s="12">
        <f t="shared" si="104"/>
        <v>71.621944052494982</v>
      </c>
      <c r="H756" s="12">
        <f t="shared" si="108"/>
        <v>315300</v>
      </c>
      <c r="I756" s="12">
        <f t="shared" si="109"/>
        <v>257800</v>
      </c>
      <c r="J756" s="12">
        <f>IF(A756&lt;[3]关卡对接!$A$4,INDEX([3]关卡对接!$C$7:$C$141,A756),MATCH(E756,人物经验!$H$24:$H$573,1))</f>
        <v>332</v>
      </c>
      <c r="K756" s="12">
        <f>IF([3]关卡对接!F744="",INT(INDEX(人物经验!$J$24:$J$573,关卡!J756)*关卡!$S$7),[3]关卡对接!F744)</f>
        <v>7843</v>
      </c>
      <c r="L756" s="12">
        <f t="shared" si="110"/>
        <v>1.6</v>
      </c>
      <c r="M756" s="12">
        <f>L756/[4]货币基础!$B$4</f>
        <v>160</v>
      </c>
      <c r="N756" s="12">
        <f>IF(A756&lt;[3]关卡对接!$A$4,INDEX([3]关卡对接!$E$7:$E$141,A756),MATCH(E756,人物经验!$H$24:$H$573,1))</f>
        <v>332</v>
      </c>
      <c r="O756" s="12">
        <f>INDEX([2]关卡!$G$6:$G$2005,A756)</f>
        <v>3</v>
      </c>
      <c r="P756" s="13">
        <v>6</v>
      </c>
      <c r="Q756" s="12">
        <f>INT(P756/$S$15/O756*VLOOKUP(J756,[1]人物技能基础!$N$3:$O$553,2,0)*$U$15)</f>
        <v>9</v>
      </c>
      <c r="R756" s="12">
        <f t="shared" si="111"/>
        <v>112</v>
      </c>
    </row>
    <row r="757" spans="1:18" x14ac:dyDescent="0.15">
      <c r="A757" s="12">
        <v>739</v>
      </c>
      <c r="B757" s="12">
        <f t="shared" si="105"/>
        <v>4</v>
      </c>
      <c r="C757" s="12">
        <f t="shared" si="106"/>
        <v>2.6952099999999999</v>
      </c>
      <c r="D757" s="12">
        <f t="shared" si="107"/>
        <v>2.0769999999999733E-2</v>
      </c>
      <c r="E757" s="12">
        <f>SUM($D$19:D757)</f>
        <v>8.8952099999999881</v>
      </c>
      <c r="F757" s="12">
        <f t="shared" si="103"/>
        <v>87.827991369359935</v>
      </c>
      <c r="G757" s="12">
        <f t="shared" si="104"/>
        <v>71.767574976930945</v>
      </c>
      <c r="H757" s="12">
        <f t="shared" si="108"/>
        <v>316100</v>
      </c>
      <c r="I757" s="12">
        <f t="shared" si="109"/>
        <v>258300</v>
      </c>
      <c r="J757" s="12">
        <f>IF(A757&lt;[3]关卡对接!$A$4,INDEX([3]关卡对接!$C$7:$C$141,A757),MATCH(E757,人物经验!$H$24:$H$573,1))</f>
        <v>332</v>
      </c>
      <c r="K757" s="12">
        <f>IF([3]关卡对接!F745="",INT(INDEX(人物经验!$J$24:$J$573,关卡!J757)*关卡!$S$7),[3]关卡对接!F745)</f>
        <v>7843</v>
      </c>
      <c r="L757" s="12">
        <f t="shared" si="110"/>
        <v>1.6</v>
      </c>
      <c r="M757" s="12">
        <f>L757/[4]货币基础!$B$4</f>
        <v>160</v>
      </c>
      <c r="N757" s="12">
        <f>IF(A757&lt;[3]关卡对接!$A$4,INDEX([3]关卡对接!$E$7:$E$141,A757),MATCH(E757,人物经验!$H$24:$H$573,1))</f>
        <v>332</v>
      </c>
      <c r="O757" s="12">
        <f>INDEX([2]关卡!$G$6:$G$2005,A757)</f>
        <v>3</v>
      </c>
      <c r="P757" s="13">
        <v>6</v>
      </c>
      <c r="Q757" s="12">
        <f>INT(P757/$S$15/O757*VLOOKUP(J757,[1]人物技能基础!$N$3:$O$553,2,0)*$U$15)</f>
        <v>9</v>
      </c>
      <c r="R757" s="12">
        <f t="shared" si="111"/>
        <v>112</v>
      </c>
    </row>
    <row r="758" spans="1:18" x14ac:dyDescent="0.15">
      <c r="A758" s="12">
        <v>740</v>
      </c>
      <c r="B758" s="12">
        <f t="shared" si="105"/>
        <v>4</v>
      </c>
      <c r="C758" s="12">
        <f t="shared" si="106"/>
        <v>2.7160000000000002</v>
      </c>
      <c r="D758" s="12">
        <f t="shared" si="107"/>
        <v>2.0790000000000308E-2</v>
      </c>
      <c r="E758" s="12">
        <f>SUM($D$19:D758)</f>
        <v>8.9159999999999879</v>
      </c>
      <c r="F758" s="12">
        <f t="shared" si="103"/>
        <v>88.053802389999987</v>
      </c>
      <c r="G758" s="12">
        <f t="shared" si="104"/>
        <v>71.913402949999991</v>
      </c>
      <c r="H758" s="12">
        <f t="shared" si="108"/>
        <v>316900</v>
      </c>
      <c r="I758" s="12">
        <f t="shared" si="109"/>
        <v>258800</v>
      </c>
      <c r="J758" s="12">
        <f>IF(A758&lt;[3]关卡对接!$A$4,INDEX([3]关卡对接!$C$7:$C$141,A758),MATCH(E758,人物经验!$H$24:$H$573,1))</f>
        <v>332</v>
      </c>
      <c r="K758" s="12">
        <f>IF([3]关卡对接!F746="",INT(INDEX(人物经验!$J$24:$J$573,关卡!J758)*关卡!$S$7),[3]关卡对接!F746)</f>
        <v>7843</v>
      </c>
      <c r="L758" s="12">
        <f t="shared" si="110"/>
        <v>1.6</v>
      </c>
      <c r="M758" s="12">
        <f>L758/[4]货币基础!$B$4</f>
        <v>160</v>
      </c>
      <c r="N758" s="12">
        <f>IF(A758&lt;[3]关卡对接!$A$4,INDEX([3]关卡对接!$E$7:$E$141,A758),MATCH(E758,人物经验!$H$24:$H$573,1))</f>
        <v>332</v>
      </c>
      <c r="O758" s="12">
        <f>INDEX([2]关卡!$G$6:$G$2005,A758)</f>
        <v>3</v>
      </c>
      <c r="P758" s="13">
        <v>6</v>
      </c>
      <c r="Q758" s="12">
        <f>INT(P758/$S$15/O758*VLOOKUP(J758,[1]人物技能基础!$N$3:$O$553,2,0)*$U$15)</f>
        <v>9</v>
      </c>
      <c r="R758" s="12">
        <f t="shared" si="111"/>
        <v>112</v>
      </c>
    </row>
    <row r="759" spans="1:18" x14ac:dyDescent="0.15">
      <c r="A759" s="12">
        <v>741</v>
      </c>
      <c r="B759" s="12">
        <f t="shared" si="105"/>
        <v>4</v>
      </c>
      <c r="C759" s="12">
        <f t="shared" si="106"/>
        <v>2.7368099999999997</v>
      </c>
      <c r="D759" s="12">
        <f t="shared" si="107"/>
        <v>2.0809999999999551E-2</v>
      </c>
      <c r="E759" s="12">
        <f>SUM($D$19:D759)</f>
        <v>8.936809999999987</v>
      </c>
      <c r="F759" s="12">
        <f t="shared" si="103"/>
        <v>88.280043779989953</v>
      </c>
      <c r="G759" s="12">
        <f t="shared" si="104"/>
        <v>72.059428189580942</v>
      </c>
      <c r="H759" s="12">
        <f t="shared" si="108"/>
        <v>317800</v>
      </c>
      <c r="I759" s="12">
        <f t="shared" si="109"/>
        <v>259400</v>
      </c>
      <c r="J759" s="12">
        <f>IF(A759&lt;[3]关卡对接!$A$4,INDEX([3]关卡对接!$C$7:$C$141,A759),MATCH(E759,人物经验!$H$24:$H$573,1))</f>
        <v>332</v>
      </c>
      <c r="K759" s="12">
        <f>IF([3]关卡对接!F747="",INT(INDEX(人物经验!$J$24:$J$573,关卡!J759)*关卡!$S$7),[3]关卡对接!F747)</f>
        <v>7843</v>
      </c>
      <c r="L759" s="12">
        <f t="shared" si="110"/>
        <v>1.6</v>
      </c>
      <c r="M759" s="12">
        <f>L759/[4]货币基础!$B$4</f>
        <v>160</v>
      </c>
      <c r="N759" s="12">
        <f>IF(A759&lt;[3]关卡对接!$A$4,INDEX([3]关卡对接!$E$7:$E$141,A759),MATCH(E759,人物经验!$H$24:$H$573,1))</f>
        <v>332</v>
      </c>
      <c r="O759" s="12">
        <f>INDEX([2]关卡!$G$6:$G$2005,A759)</f>
        <v>3</v>
      </c>
      <c r="P759" s="13">
        <v>6</v>
      </c>
      <c r="Q759" s="12">
        <f>INT(P759/$S$15/O759*VLOOKUP(J759,[1]人物技能基础!$N$3:$O$553,2,0)*$U$15)</f>
        <v>9</v>
      </c>
      <c r="R759" s="12">
        <f t="shared" si="111"/>
        <v>112</v>
      </c>
    </row>
    <row r="760" spans="1:18" x14ac:dyDescent="0.15">
      <c r="A760" s="12">
        <v>742</v>
      </c>
      <c r="B760" s="12">
        <f t="shared" si="105"/>
        <v>4</v>
      </c>
      <c r="C760" s="12">
        <f t="shared" si="106"/>
        <v>2.7576399999999999</v>
      </c>
      <c r="D760" s="12">
        <f t="shared" si="107"/>
        <v>2.0830000000000126E-2</v>
      </c>
      <c r="E760" s="12">
        <f>SUM($D$19:D760)</f>
        <v>8.9576399999999872</v>
      </c>
      <c r="F760" s="12">
        <f t="shared" si="103"/>
        <v>88.506716207519005</v>
      </c>
      <c r="G760" s="12">
        <f t="shared" si="104"/>
        <v>72.205650913694996</v>
      </c>
      <c r="H760" s="12">
        <f t="shared" si="108"/>
        <v>318600</v>
      </c>
      <c r="I760" s="12">
        <f t="shared" si="109"/>
        <v>259900</v>
      </c>
      <c r="J760" s="12">
        <f>IF(A760&lt;[3]关卡对接!$A$4,INDEX([3]关卡对接!$C$7:$C$141,A760),MATCH(E760,人物经验!$H$24:$H$573,1))</f>
        <v>332</v>
      </c>
      <c r="K760" s="12">
        <f>IF([3]关卡对接!F748="",INT(INDEX(人物经验!$J$24:$J$573,关卡!J760)*关卡!$S$7),[3]关卡对接!F748)</f>
        <v>7843</v>
      </c>
      <c r="L760" s="12">
        <f t="shared" si="110"/>
        <v>1.6</v>
      </c>
      <c r="M760" s="12">
        <f>L760/[4]货币基础!$B$4</f>
        <v>160</v>
      </c>
      <c r="N760" s="12">
        <f>IF(A760&lt;[3]关卡对接!$A$4,INDEX([3]关卡对接!$E$7:$E$141,A760),MATCH(E760,人物经验!$H$24:$H$573,1))</f>
        <v>332</v>
      </c>
      <c r="O760" s="12">
        <f>INDEX([2]关卡!$G$6:$G$2005,A760)</f>
        <v>3</v>
      </c>
      <c r="P760" s="13">
        <v>6</v>
      </c>
      <c r="Q760" s="12">
        <f>INT(P760/$S$15/O760*VLOOKUP(J760,[1]人物技能基础!$N$3:$O$553,2,0)*$U$15)</f>
        <v>9</v>
      </c>
      <c r="R760" s="12">
        <f t="shared" si="111"/>
        <v>112</v>
      </c>
    </row>
    <row r="761" spans="1:18" x14ac:dyDescent="0.15">
      <c r="A761" s="12">
        <v>743</v>
      </c>
      <c r="B761" s="12">
        <f t="shared" si="105"/>
        <v>4</v>
      </c>
      <c r="C761" s="12">
        <f t="shared" si="106"/>
        <v>2.7784899999999997</v>
      </c>
      <c r="D761" s="12">
        <f t="shared" si="107"/>
        <v>2.0849999999999813E-2</v>
      </c>
      <c r="E761" s="12">
        <f>SUM($D$19:D761)</f>
        <v>8.9784899999999865</v>
      </c>
      <c r="F761" s="12">
        <f t="shared" si="103"/>
        <v>88.733820341374951</v>
      </c>
      <c r="G761" s="12">
        <f t="shared" si="104"/>
        <v>72.352071340505944</v>
      </c>
      <c r="H761" s="12">
        <f t="shared" si="108"/>
        <v>319400</v>
      </c>
      <c r="I761" s="12">
        <f t="shared" si="109"/>
        <v>260400</v>
      </c>
      <c r="J761" s="12">
        <f>IF(A761&lt;[3]关卡对接!$A$4,INDEX([3]关卡对接!$C$7:$C$141,A761),MATCH(E761,人物经验!$H$24:$H$573,1))</f>
        <v>332</v>
      </c>
      <c r="K761" s="12">
        <f>IF([3]关卡对接!F749="",INT(INDEX(人物经验!$J$24:$J$573,关卡!J761)*关卡!$S$7),[3]关卡对接!F749)</f>
        <v>7843</v>
      </c>
      <c r="L761" s="12">
        <f t="shared" si="110"/>
        <v>1.6</v>
      </c>
      <c r="M761" s="12">
        <f>L761/[4]货币基础!$B$4</f>
        <v>160</v>
      </c>
      <c r="N761" s="12">
        <f>IF(A761&lt;[3]关卡对接!$A$4,INDEX([3]关卡对接!$E$7:$E$141,A761),MATCH(E761,人物经验!$H$24:$H$573,1))</f>
        <v>332</v>
      </c>
      <c r="O761" s="12">
        <f>INDEX([2]关卡!$G$6:$G$2005,A761)</f>
        <v>3</v>
      </c>
      <c r="P761" s="13">
        <v>6</v>
      </c>
      <c r="Q761" s="12">
        <f>INT(P761/$S$15/O761*VLOOKUP(J761,[1]人物技能基础!$N$3:$O$553,2,0)*$U$15)</f>
        <v>9</v>
      </c>
      <c r="R761" s="12">
        <f t="shared" si="111"/>
        <v>112</v>
      </c>
    </row>
    <row r="762" spans="1:18" x14ac:dyDescent="0.15">
      <c r="A762" s="12">
        <v>744</v>
      </c>
      <c r="B762" s="12">
        <f t="shared" si="105"/>
        <v>4</v>
      </c>
      <c r="C762" s="12">
        <f t="shared" si="106"/>
        <v>2.7993600000000001</v>
      </c>
      <c r="D762" s="12">
        <f t="shared" si="107"/>
        <v>2.0870000000000388E-2</v>
      </c>
      <c r="E762" s="12">
        <f>SUM($D$19:D762)</f>
        <v>8.9993599999999869</v>
      </c>
      <c r="F762" s="12">
        <f t="shared" si="103"/>
        <v>88.961356850944014</v>
      </c>
      <c r="G762" s="12">
        <f t="shared" si="104"/>
        <v>72.498689688319999</v>
      </c>
      <c r="H762" s="12">
        <f t="shared" si="108"/>
        <v>320200</v>
      </c>
      <c r="I762" s="12">
        <f t="shared" si="109"/>
        <v>260900</v>
      </c>
      <c r="J762" s="12">
        <f>IF(A762&lt;[3]关卡对接!$A$4,INDEX([3]关卡对接!$C$7:$C$141,A762),MATCH(E762,人物经验!$H$24:$H$573,1))</f>
        <v>333</v>
      </c>
      <c r="K762" s="12">
        <f>IF([3]关卡对接!F750="",INT(INDEX(人物经验!$J$24:$J$573,关卡!J762)*关卡!$S$7),[3]关卡对接!F750)</f>
        <v>7986</v>
      </c>
      <c r="L762" s="12">
        <f t="shared" si="110"/>
        <v>1.6</v>
      </c>
      <c r="M762" s="12">
        <f>L762/[4]货币基础!$B$4</f>
        <v>160</v>
      </c>
      <c r="N762" s="12">
        <f>IF(A762&lt;[3]关卡对接!$A$4,INDEX([3]关卡对接!$E$7:$E$141,A762),MATCH(E762,人物经验!$H$24:$H$573,1))</f>
        <v>333</v>
      </c>
      <c r="O762" s="12">
        <f>INDEX([2]关卡!$G$6:$G$2005,A762)</f>
        <v>3</v>
      </c>
      <c r="P762" s="13">
        <v>6</v>
      </c>
      <c r="Q762" s="12">
        <f>INT(P762/$S$15/O762*VLOOKUP(J762,[1]人物技能基础!$N$3:$O$553,2,0)*$U$15)</f>
        <v>9</v>
      </c>
      <c r="R762" s="12">
        <f t="shared" si="111"/>
        <v>112</v>
      </c>
    </row>
    <row r="763" spans="1:18" x14ac:dyDescent="0.15">
      <c r="A763" s="12">
        <v>745</v>
      </c>
      <c r="B763" s="12">
        <f t="shared" si="105"/>
        <v>4</v>
      </c>
      <c r="C763" s="12">
        <f t="shared" si="106"/>
        <v>2.8202499999999997</v>
      </c>
      <c r="D763" s="12">
        <f t="shared" si="107"/>
        <v>2.0889999999999631E-2</v>
      </c>
      <c r="E763" s="12">
        <f>SUM($D$19:D763)</f>
        <v>9.0202499999999866</v>
      </c>
      <c r="F763" s="12">
        <f t="shared" si="103"/>
        <v>89.189326406210924</v>
      </c>
      <c r="G763" s="12">
        <f t="shared" si="104"/>
        <v>72.64550617558595</v>
      </c>
      <c r="H763" s="12">
        <f t="shared" si="108"/>
        <v>321000</v>
      </c>
      <c r="I763" s="12">
        <f t="shared" si="109"/>
        <v>261500</v>
      </c>
      <c r="J763" s="12">
        <f>IF(A763&lt;[3]关卡对接!$A$4,INDEX([3]关卡对接!$C$7:$C$141,A763),MATCH(E763,人物经验!$H$24:$H$573,1))</f>
        <v>333</v>
      </c>
      <c r="K763" s="12">
        <f>IF([3]关卡对接!F751="",INT(INDEX(人物经验!$J$24:$J$573,关卡!J763)*关卡!$S$7),[3]关卡对接!F751)</f>
        <v>7986</v>
      </c>
      <c r="L763" s="12">
        <f t="shared" si="110"/>
        <v>1.6</v>
      </c>
      <c r="M763" s="12">
        <f>L763/[4]货币基础!$B$4</f>
        <v>160</v>
      </c>
      <c r="N763" s="12">
        <f>IF(A763&lt;[3]关卡对接!$A$4,INDEX([3]关卡对接!$E$7:$E$141,A763),MATCH(E763,人物经验!$H$24:$H$573,1))</f>
        <v>333</v>
      </c>
      <c r="O763" s="12">
        <f>INDEX([2]关卡!$G$6:$G$2005,A763)</f>
        <v>3</v>
      </c>
      <c r="P763" s="13">
        <v>6</v>
      </c>
      <c r="Q763" s="12">
        <f>INT(P763/$S$15/O763*VLOOKUP(J763,[1]人物技能基础!$N$3:$O$553,2,0)*$U$15)</f>
        <v>9</v>
      </c>
      <c r="R763" s="12">
        <f t="shared" si="111"/>
        <v>112</v>
      </c>
    </row>
    <row r="764" spans="1:18" x14ac:dyDescent="0.15">
      <c r="A764" s="12">
        <v>746</v>
      </c>
      <c r="B764" s="12">
        <f t="shared" si="105"/>
        <v>4</v>
      </c>
      <c r="C764" s="12">
        <f t="shared" si="106"/>
        <v>2.8411599999999999</v>
      </c>
      <c r="D764" s="12">
        <f t="shared" si="107"/>
        <v>2.0910000000000206E-2</v>
      </c>
      <c r="E764" s="12">
        <f>SUM($D$19:D764)</f>
        <v>9.0411599999999872</v>
      </c>
      <c r="F764" s="12">
        <f t="shared" si="103"/>
        <v>89.417729677758999</v>
      </c>
      <c r="G764" s="12">
        <f t="shared" si="104"/>
        <v>72.792521020895009</v>
      </c>
      <c r="H764" s="12">
        <f t="shared" si="108"/>
        <v>321900</v>
      </c>
      <c r="I764" s="12">
        <f t="shared" si="109"/>
        <v>262000</v>
      </c>
      <c r="J764" s="12">
        <f>IF(A764&lt;[3]关卡对接!$A$4,INDEX([3]关卡对接!$C$7:$C$141,A764),MATCH(E764,人物经验!$H$24:$H$573,1))</f>
        <v>333</v>
      </c>
      <c r="K764" s="12">
        <f>IF([3]关卡对接!F752="",INT(INDEX(人物经验!$J$24:$J$573,关卡!J764)*关卡!$S$7),[3]关卡对接!F752)</f>
        <v>7986</v>
      </c>
      <c r="L764" s="12">
        <f t="shared" si="110"/>
        <v>1.6</v>
      </c>
      <c r="M764" s="12">
        <f>L764/[4]货币基础!$B$4</f>
        <v>160</v>
      </c>
      <c r="N764" s="12">
        <f>IF(A764&lt;[3]关卡对接!$A$4,INDEX([3]关卡对接!$E$7:$E$141,A764),MATCH(E764,人物经验!$H$24:$H$573,1))</f>
        <v>333</v>
      </c>
      <c r="O764" s="12">
        <f>INDEX([2]关卡!$G$6:$G$2005,A764)</f>
        <v>3</v>
      </c>
      <c r="P764" s="13">
        <v>6</v>
      </c>
      <c r="Q764" s="12">
        <f>INT(P764/$S$15/O764*VLOOKUP(J764,[1]人物技能基础!$N$3:$O$553,2,0)*$U$15)</f>
        <v>9</v>
      </c>
      <c r="R764" s="12">
        <f t="shared" si="111"/>
        <v>112</v>
      </c>
    </row>
    <row r="765" spans="1:18" x14ac:dyDescent="0.15">
      <c r="A765" s="12">
        <v>747</v>
      </c>
      <c r="B765" s="12">
        <f t="shared" si="105"/>
        <v>4</v>
      </c>
      <c r="C765" s="12">
        <f t="shared" si="106"/>
        <v>2.8620899999999998</v>
      </c>
      <c r="D765" s="12">
        <f t="shared" si="107"/>
        <v>2.0929999999999893E-2</v>
      </c>
      <c r="E765" s="12">
        <f>SUM($D$19:D765)</f>
        <v>9.0620899999999871</v>
      </c>
      <c r="F765" s="12">
        <f t="shared" si="103"/>
        <v>89.646567336769934</v>
      </c>
      <c r="G765" s="12">
        <f t="shared" si="104"/>
        <v>72.939734442980935</v>
      </c>
      <c r="H765" s="12">
        <f t="shared" si="108"/>
        <v>322700</v>
      </c>
      <c r="I765" s="12">
        <f t="shared" si="109"/>
        <v>262500</v>
      </c>
      <c r="J765" s="12">
        <f>IF(A765&lt;[3]关卡对接!$A$4,INDEX([3]关卡对接!$C$7:$C$141,A765),MATCH(E765,人物经验!$H$24:$H$573,1))</f>
        <v>333</v>
      </c>
      <c r="K765" s="12">
        <f>IF([3]关卡对接!F753="",INT(INDEX(人物经验!$J$24:$J$573,关卡!J765)*关卡!$S$7),[3]关卡对接!F753)</f>
        <v>7986</v>
      </c>
      <c r="L765" s="12">
        <f t="shared" si="110"/>
        <v>1.6</v>
      </c>
      <c r="M765" s="12">
        <f>L765/[4]货币基础!$B$4</f>
        <v>160</v>
      </c>
      <c r="N765" s="12">
        <f>IF(A765&lt;[3]关卡对接!$A$4,INDEX([3]关卡对接!$E$7:$E$141,A765),MATCH(E765,人物经验!$H$24:$H$573,1))</f>
        <v>333</v>
      </c>
      <c r="O765" s="12">
        <f>INDEX([2]关卡!$G$6:$G$2005,A765)</f>
        <v>3</v>
      </c>
      <c r="P765" s="13">
        <v>6</v>
      </c>
      <c r="Q765" s="12">
        <f>INT(P765/$S$15/O765*VLOOKUP(J765,[1]人物技能基础!$N$3:$O$553,2,0)*$U$15)</f>
        <v>9</v>
      </c>
      <c r="R765" s="12">
        <f t="shared" si="111"/>
        <v>112</v>
      </c>
    </row>
    <row r="766" spans="1:18" x14ac:dyDescent="0.15">
      <c r="A766" s="12">
        <v>748</v>
      </c>
      <c r="B766" s="12">
        <f t="shared" si="105"/>
        <v>4</v>
      </c>
      <c r="C766" s="12">
        <f t="shared" si="106"/>
        <v>2.8830400000000003</v>
      </c>
      <c r="D766" s="12">
        <f t="shared" si="107"/>
        <v>2.0950000000000468E-2</v>
      </c>
      <c r="E766" s="12">
        <f>SUM($D$19:D766)</f>
        <v>9.083039999999988</v>
      </c>
      <c r="F766" s="12">
        <f t="shared" si="103"/>
        <v>89.875840055024014</v>
      </c>
      <c r="G766" s="12">
        <f t="shared" si="104"/>
        <v>73.087146660720009</v>
      </c>
      <c r="H766" s="12">
        <f t="shared" si="108"/>
        <v>323500</v>
      </c>
      <c r="I766" s="12">
        <f t="shared" si="109"/>
        <v>263100</v>
      </c>
      <c r="J766" s="12">
        <f>IF(A766&lt;[3]关卡对接!$A$4,INDEX([3]关卡对接!$C$7:$C$141,A766),MATCH(E766,人物经验!$H$24:$H$573,1))</f>
        <v>333</v>
      </c>
      <c r="K766" s="12">
        <f>IF([3]关卡对接!F754="",INT(INDEX(人物经验!$J$24:$J$573,关卡!J766)*关卡!$S$7),[3]关卡对接!F754)</f>
        <v>7986</v>
      </c>
      <c r="L766" s="12">
        <f t="shared" si="110"/>
        <v>1.6</v>
      </c>
      <c r="M766" s="12">
        <f>L766/[4]货币基础!$B$4</f>
        <v>160</v>
      </c>
      <c r="N766" s="12">
        <f>IF(A766&lt;[3]关卡对接!$A$4,INDEX([3]关卡对接!$E$7:$E$141,A766),MATCH(E766,人物经验!$H$24:$H$573,1))</f>
        <v>333</v>
      </c>
      <c r="O766" s="12">
        <f>INDEX([2]关卡!$G$6:$G$2005,A766)</f>
        <v>3</v>
      </c>
      <c r="P766" s="13">
        <v>6</v>
      </c>
      <c r="Q766" s="12">
        <f>INT(P766/$S$15/O766*VLOOKUP(J766,[1]人物技能基础!$N$3:$O$553,2,0)*$U$15)</f>
        <v>9</v>
      </c>
      <c r="R766" s="12">
        <f t="shared" si="111"/>
        <v>112</v>
      </c>
    </row>
    <row r="767" spans="1:18" x14ac:dyDescent="0.15">
      <c r="A767" s="12">
        <v>749</v>
      </c>
      <c r="B767" s="12">
        <f t="shared" si="105"/>
        <v>4</v>
      </c>
      <c r="C767" s="12">
        <f t="shared" si="106"/>
        <v>2.90401</v>
      </c>
      <c r="D767" s="12">
        <f t="shared" si="107"/>
        <v>2.0969999999999711E-2</v>
      </c>
      <c r="E767" s="12">
        <f>SUM($D$19:D767)</f>
        <v>9.1040099999999882</v>
      </c>
      <c r="F767" s="12">
        <f t="shared" si="103"/>
        <v>90.105548504899929</v>
      </c>
      <c r="G767" s="12">
        <f t="shared" si="104"/>
        <v>73.234757893130947</v>
      </c>
      <c r="H767" s="12">
        <f t="shared" si="108"/>
        <v>324300</v>
      </c>
      <c r="I767" s="12">
        <f t="shared" si="109"/>
        <v>263600</v>
      </c>
      <c r="J767" s="12">
        <f>IF(A767&lt;[3]关卡对接!$A$4,INDEX([3]关卡对接!$C$7:$C$141,A767),MATCH(E767,人物经验!$H$24:$H$573,1))</f>
        <v>333</v>
      </c>
      <c r="K767" s="12">
        <f>IF([3]关卡对接!F755="",INT(INDEX(人物经验!$J$24:$J$573,关卡!J767)*关卡!$S$7),[3]关卡对接!F755)</f>
        <v>7986</v>
      </c>
      <c r="L767" s="12">
        <f t="shared" si="110"/>
        <v>1.6</v>
      </c>
      <c r="M767" s="12">
        <f>L767/[4]货币基础!$B$4</f>
        <v>160</v>
      </c>
      <c r="N767" s="12">
        <f>IF(A767&lt;[3]关卡对接!$A$4,INDEX([3]关卡对接!$E$7:$E$141,A767),MATCH(E767,人物经验!$H$24:$H$573,1))</f>
        <v>333</v>
      </c>
      <c r="O767" s="12">
        <f>INDEX([2]关卡!$G$6:$G$2005,A767)</f>
        <v>3</v>
      </c>
      <c r="P767" s="13">
        <v>6</v>
      </c>
      <c r="Q767" s="12">
        <f>INT(P767/$S$15/O767*VLOOKUP(J767,[1]人物技能基础!$N$3:$O$553,2,0)*$U$15)</f>
        <v>9</v>
      </c>
      <c r="R767" s="12">
        <f t="shared" si="111"/>
        <v>112</v>
      </c>
    </row>
    <row r="768" spans="1:18" x14ac:dyDescent="0.15">
      <c r="A768" s="12">
        <v>750</v>
      </c>
      <c r="B768" s="12">
        <f t="shared" si="105"/>
        <v>4</v>
      </c>
      <c r="C768" s="12">
        <f t="shared" si="106"/>
        <v>2.9250000000000003</v>
      </c>
      <c r="D768" s="12">
        <f t="shared" si="107"/>
        <v>2.0990000000000286E-2</v>
      </c>
      <c r="E768" s="12">
        <f>SUM($D$19:D768)</f>
        <v>9.1249999999999893</v>
      </c>
      <c r="F768" s="12">
        <f t="shared" si="103"/>
        <v>90.335693359375014</v>
      </c>
      <c r="G768" s="12">
        <f t="shared" si="104"/>
        <v>73.382568359375</v>
      </c>
      <c r="H768" s="12">
        <f t="shared" si="108"/>
        <v>325200</v>
      </c>
      <c r="I768" s="12">
        <f t="shared" si="109"/>
        <v>264100</v>
      </c>
      <c r="J768" s="12">
        <f>IF(A768&lt;[3]关卡对接!$A$4,INDEX([3]关卡对接!$C$7:$C$141,A768),MATCH(E768,人物经验!$H$24:$H$573,1))</f>
        <v>334</v>
      </c>
      <c r="K768" s="12">
        <f>IF([3]关卡对接!F756="",INT(INDEX(人物经验!$J$24:$J$573,关卡!J768)*关卡!$S$7),[3]关卡对接!F756)</f>
        <v>8109</v>
      </c>
      <c r="L768" s="12">
        <f t="shared" si="110"/>
        <v>1.6</v>
      </c>
      <c r="M768" s="12">
        <f>L768/[4]货币基础!$B$4</f>
        <v>160</v>
      </c>
      <c r="N768" s="12">
        <f>IF(A768&lt;[3]关卡对接!$A$4,INDEX([3]关卡对接!$E$7:$E$141,A768),MATCH(E768,人物经验!$H$24:$H$573,1))</f>
        <v>334</v>
      </c>
      <c r="O768" s="12">
        <f>INDEX([2]关卡!$G$6:$G$2005,A768)</f>
        <v>3</v>
      </c>
      <c r="P768" s="13">
        <v>6</v>
      </c>
      <c r="Q768" s="12">
        <f>INT(P768/$S$15/O768*VLOOKUP(J768,[1]人物技能基础!$N$3:$O$553,2,0)*$U$15)</f>
        <v>9</v>
      </c>
      <c r="R768" s="12">
        <f t="shared" si="111"/>
        <v>112</v>
      </c>
    </row>
    <row r="769" spans="1:18" x14ac:dyDescent="0.15">
      <c r="A769" s="12">
        <v>751</v>
      </c>
      <c r="B769" s="12">
        <f t="shared" si="105"/>
        <v>4</v>
      </c>
      <c r="C769" s="12">
        <f t="shared" si="106"/>
        <v>2.9460099999999998</v>
      </c>
      <c r="D769" s="12">
        <f t="shared" si="107"/>
        <v>2.1009999999999529E-2</v>
      </c>
      <c r="E769" s="12">
        <f>SUM($D$19:D769)</f>
        <v>9.1460099999999898</v>
      </c>
      <c r="F769" s="12">
        <f t="shared" si="103"/>
        <v>90.56627529202494</v>
      </c>
      <c r="G769" s="12">
        <f t="shared" si="104"/>
        <v>73.530578278755939</v>
      </c>
      <c r="H769" s="12">
        <f t="shared" si="108"/>
        <v>326000</v>
      </c>
      <c r="I769" s="12">
        <f t="shared" si="109"/>
        <v>264700</v>
      </c>
      <c r="J769" s="12">
        <f>IF(A769&lt;[3]关卡对接!$A$4,INDEX([3]关卡对接!$C$7:$C$141,A769),MATCH(E769,人物经验!$H$24:$H$573,1))</f>
        <v>334</v>
      </c>
      <c r="K769" s="12">
        <f>IF([3]关卡对接!F757="",INT(INDEX(人物经验!$J$24:$J$573,关卡!J769)*关卡!$S$7),[3]关卡对接!F757)</f>
        <v>8109</v>
      </c>
      <c r="L769" s="12">
        <f t="shared" si="110"/>
        <v>1.6</v>
      </c>
      <c r="M769" s="12">
        <f>L769/[4]货币基础!$B$4</f>
        <v>160</v>
      </c>
      <c r="N769" s="12">
        <f>IF(A769&lt;[3]关卡对接!$A$4,INDEX([3]关卡对接!$E$7:$E$141,A769),MATCH(E769,人物经验!$H$24:$H$573,1))</f>
        <v>334</v>
      </c>
      <c r="O769" s="12">
        <f>INDEX([2]关卡!$G$6:$G$2005,A769)</f>
        <v>3</v>
      </c>
      <c r="P769" s="13">
        <v>6</v>
      </c>
      <c r="Q769" s="12">
        <f>INT(P769/$S$15/O769*VLOOKUP(J769,[1]人物技能基础!$N$3:$O$553,2,0)*$U$15)</f>
        <v>9</v>
      </c>
      <c r="R769" s="12">
        <f t="shared" si="111"/>
        <v>112</v>
      </c>
    </row>
    <row r="770" spans="1:18" x14ac:dyDescent="0.15">
      <c r="A770" s="12">
        <v>752</v>
      </c>
      <c r="B770" s="12">
        <f t="shared" si="105"/>
        <v>4</v>
      </c>
      <c r="C770" s="12">
        <f t="shared" si="106"/>
        <v>2.9670400000000003</v>
      </c>
      <c r="D770" s="12">
        <f t="shared" si="107"/>
        <v>2.1030000000000548E-2</v>
      </c>
      <c r="E770" s="12">
        <f>SUM($D$19:D770)</f>
        <v>9.1670399999999894</v>
      </c>
      <c r="F770" s="12">
        <f t="shared" si="103"/>
        <v>90.797294977023995</v>
      </c>
      <c r="G770" s="12">
        <f t="shared" si="104"/>
        <v>73.678787870719987</v>
      </c>
      <c r="H770" s="12">
        <f t="shared" si="108"/>
        <v>326800</v>
      </c>
      <c r="I770" s="12">
        <f t="shared" si="109"/>
        <v>265200</v>
      </c>
      <c r="J770" s="12">
        <f>IF(A770&lt;[3]关卡对接!$A$4,INDEX([3]关卡对接!$C$7:$C$141,A770),MATCH(E770,人物经验!$H$24:$H$573,1))</f>
        <v>334</v>
      </c>
      <c r="K770" s="12">
        <f>IF([3]关卡对接!F758="",INT(INDEX(人物经验!$J$24:$J$573,关卡!J770)*关卡!$S$7),[3]关卡对接!F758)</f>
        <v>8109</v>
      </c>
      <c r="L770" s="12">
        <f t="shared" si="110"/>
        <v>1.6</v>
      </c>
      <c r="M770" s="12">
        <f>L770/[4]货币基础!$B$4</f>
        <v>160</v>
      </c>
      <c r="N770" s="12">
        <f>IF(A770&lt;[3]关卡对接!$A$4,INDEX([3]关卡对接!$E$7:$E$141,A770),MATCH(E770,人物经验!$H$24:$H$573,1))</f>
        <v>334</v>
      </c>
      <c r="O770" s="12">
        <f>INDEX([2]关卡!$G$6:$G$2005,A770)</f>
        <v>3</v>
      </c>
      <c r="P770" s="13">
        <v>6</v>
      </c>
      <c r="Q770" s="12">
        <f>INT(P770/$S$15/O770*VLOOKUP(J770,[1]人物技能基础!$N$3:$O$553,2,0)*$U$15)</f>
        <v>9</v>
      </c>
      <c r="R770" s="12">
        <f t="shared" si="111"/>
        <v>112</v>
      </c>
    </row>
    <row r="771" spans="1:18" x14ac:dyDescent="0.15">
      <c r="A771" s="12">
        <v>753</v>
      </c>
      <c r="B771" s="12">
        <f t="shared" si="105"/>
        <v>4</v>
      </c>
      <c r="C771" s="12">
        <f t="shared" si="106"/>
        <v>2.9880900000000001</v>
      </c>
      <c r="D771" s="12">
        <f t="shared" si="107"/>
        <v>2.1049999999999791E-2</v>
      </c>
      <c r="E771" s="12">
        <f>SUM($D$19:D771)</f>
        <v>9.1880899999999883</v>
      </c>
      <c r="F771" s="12">
        <f t="shared" si="103"/>
        <v>91.028753089144928</v>
      </c>
      <c r="G771" s="12">
        <f t="shared" si="104"/>
        <v>73.827197354855954</v>
      </c>
      <c r="H771" s="12">
        <f t="shared" si="108"/>
        <v>327700</v>
      </c>
      <c r="I771" s="12">
        <f t="shared" si="109"/>
        <v>265700</v>
      </c>
      <c r="J771" s="12">
        <f>IF(A771&lt;[3]关卡对接!$A$4,INDEX([3]关卡对接!$C$7:$C$141,A771),MATCH(E771,人物经验!$H$24:$H$573,1))</f>
        <v>334</v>
      </c>
      <c r="K771" s="12">
        <f>IF([3]关卡对接!F759="",INT(INDEX(人物经验!$J$24:$J$573,关卡!J771)*关卡!$S$7),[3]关卡对接!F759)</f>
        <v>8109</v>
      </c>
      <c r="L771" s="12">
        <f t="shared" si="110"/>
        <v>1.6</v>
      </c>
      <c r="M771" s="12">
        <f>L771/[4]货币基础!$B$4</f>
        <v>160</v>
      </c>
      <c r="N771" s="12">
        <f>IF(A771&lt;[3]关卡对接!$A$4,INDEX([3]关卡对接!$E$7:$E$141,A771),MATCH(E771,人物经验!$H$24:$H$573,1))</f>
        <v>334</v>
      </c>
      <c r="O771" s="12">
        <f>INDEX([2]关卡!$G$6:$G$2005,A771)</f>
        <v>3</v>
      </c>
      <c r="P771" s="13">
        <v>6</v>
      </c>
      <c r="Q771" s="12">
        <f>INT(P771/$S$15/O771*VLOOKUP(J771,[1]人物技能基础!$N$3:$O$553,2,0)*$U$15)</f>
        <v>9</v>
      </c>
      <c r="R771" s="12">
        <f t="shared" si="111"/>
        <v>112</v>
      </c>
    </row>
    <row r="772" spans="1:18" x14ac:dyDescent="0.15">
      <c r="A772" s="12">
        <v>754</v>
      </c>
      <c r="B772" s="12">
        <f t="shared" si="105"/>
        <v>4</v>
      </c>
      <c r="C772" s="12">
        <f t="shared" si="106"/>
        <v>3.0091600000000001</v>
      </c>
      <c r="D772" s="12">
        <f t="shared" si="107"/>
        <v>2.1069999999999922E-2</v>
      </c>
      <c r="E772" s="12">
        <f>SUM($D$19:D772)</f>
        <v>9.2091599999999882</v>
      </c>
      <c r="F772" s="12">
        <f t="shared" si="103"/>
        <v>91.260650303759022</v>
      </c>
      <c r="G772" s="12">
        <f t="shared" si="104"/>
        <v>73.975806950895006</v>
      </c>
      <c r="H772" s="12">
        <f t="shared" si="108"/>
        <v>328500</v>
      </c>
      <c r="I772" s="12">
        <f t="shared" si="109"/>
        <v>266300</v>
      </c>
      <c r="J772" s="12">
        <f>IF(A772&lt;[3]关卡对接!$A$4,INDEX([3]关卡对接!$C$7:$C$141,A772),MATCH(E772,人物经验!$H$24:$H$573,1))</f>
        <v>334</v>
      </c>
      <c r="K772" s="12">
        <f>IF([3]关卡对接!F760="",INT(INDEX(人物经验!$J$24:$J$573,关卡!J772)*关卡!$S$7),[3]关卡对接!F760)</f>
        <v>8109</v>
      </c>
      <c r="L772" s="12">
        <f t="shared" si="110"/>
        <v>1.6</v>
      </c>
      <c r="M772" s="12">
        <f>L772/[4]货币基础!$B$4</f>
        <v>160</v>
      </c>
      <c r="N772" s="12">
        <f>IF(A772&lt;[3]关卡对接!$A$4,INDEX([3]关卡对接!$E$7:$E$141,A772),MATCH(E772,人物经验!$H$24:$H$573,1))</f>
        <v>334</v>
      </c>
      <c r="O772" s="12">
        <f>INDEX([2]关卡!$G$6:$G$2005,A772)</f>
        <v>3</v>
      </c>
      <c r="P772" s="13">
        <v>6</v>
      </c>
      <c r="Q772" s="12">
        <f>INT(P772/$S$15/O772*VLOOKUP(J772,[1]人物技能基础!$N$3:$O$553,2,0)*$U$15)</f>
        <v>9</v>
      </c>
      <c r="R772" s="12">
        <f t="shared" si="111"/>
        <v>112</v>
      </c>
    </row>
    <row r="773" spans="1:18" x14ac:dyDescent="0.15">
      <c r="A773" s="12">
        <v>755</v>
      </c>
      <c r="B773" s="12">
        <f t="shared" si="105"/>
        <v>4</v>
      </c>
      <c r="C773" s="12">
        <f t="shared" si="106"/>
        <v>3.0302500000000001</v>
      </c>
      <c r="D773" s="12">
        <f t="shared" si="107"/>
        <v>2.1090000000000053E-2</v>
      </c>
      <c r="E773" s="12">
        <f>SUM($D$19:D773)</f>
        <v>9.2302499999999874</v>
      </c>
      <c r="F773" s="12">
        <f t="shared" si="103"/>
        <v>91.492987296835963</v>
      </c>
      <c r="G773" s="12">
        <f t="shared" si="104"/>
        <v>74.124616878710938</v>
      </c>
      <c r="H773" s="12">
        <f t="shared" si="108"/>
        <v>329300</v>
      </c>
      <c r="I773" s="12">
        <f t="shared" si="109"/>
        <v>266800</v>
      </c>
      <c r="J773" s="12">
        <f>IF(A773&lt;[3]关卡对接!$A$4,INDEX([3]关卡对接!$C$7:$C$141,A773),MATCH(E773,人物经验!$H$24:$H$573,1))</f>
        <v>334</v>
      </c>
      <c r="K773" s="12">
        <f>IF([3]关卡对接!F761="",INT(INDEX(人物经验!$J$24:$J$573,关卡!J773)*关卡!$S$7),[3]关卡对接!F761)</f>
        <v>8109</v>
      </c>
      <c r="L773" s="12">
        <f t="shared" si="110"/>
        <v>1.6</v>
      </c>
      <c r="M773" s="12">
        <f>L773/[4]货币基础!$B$4</f>
        <v>160</v>
      </c>
      <c r="N773" s="12">
        <f>IF(A773&lt;[3]关卡对接!$A$4,INDEX([3]关卡对接!$E$7:$E$141,A773),MATCH(E773,人物经验!$H$24:$H$573,1))</f>
        <v>334</v>
      </c>
      <c r="O773" s="12">
        <f>INDEX([2]关卡!$G$6:$G$2005,A773)</f>
        <v>3</v>
      </c>
      <c r="P773" s="13">
        <v>6</v>
      </c>
      <c r="Q773" s="12">
        <f>INT(P773/$S$15/O773*VLOOKUP(J773,[1]人物技能基础!$N$3:$O$553,2,0)*$U$15)</f>
        <v>9</v>
      </c>
      <c r="R773" s="12">
        <f t="shared" si="111"/>
        <v>112</v>
      </c>
    </row>
    <row r="774" spans="1:18" x14ac:dyDescent="0.15">
      <c r="A774" s="12">
        <v>756</v>
      </c>
      <c r="B774" s="12">
        <f t="shared" si="105"/>
        <v>4</v>
      </c>
      <c r="C774" s="12">
        <f t="shared" si="106"/>
        <v>3.0513600000000003</v>
      </c>
      <c r="D774" s="12">
        <f t="shared" si="107"/>
        <v>2.1110000000000184E-2</v>
      </c>
      <c r="E774" s="12">
        <f>SUM($D$19:D774)</f>
        <v>9.2513599999999876</v>
      </c>
      <c r="F774" s="12">
        <f t="shared" si="103"/>
        <v>91.725764744944016</v>
      </c>
      <c r="G774" s="12">
        <f t="shared" si="104"/>
        <v>74.273627358319999</v>
      </c>
      <c r="H774" s="12">
        <f t="shared" si="108"/>
        <v>330200</v>
      </c>
      <c r="I774" s="12">
        <f t="shared" si="109"/>
        <v>267300</v>
      </c>
      <c r="J774" s="12">
        <f>IF(A774&lt;[3]关卡对接!$A$4,INDEX([3]关卡对接!$C$7:$C$141,A774),MATCH(E774,人物经验!$H$24:$H$573,1))</f>
        <v>334</v>
      </c>
      <c r="K774" s="12">
        <f>IF([3]关卡对接!F762="",INT(INDEX(人物经验!$J$24:$J$573,关卡!J774)*关卡!$S$7),[3]关卡对接!F762)</f>
        <v>8109</v>
      </c>
      <c r="L774" s="12">
        <f t="shared" si="110"/>
        <v>1.6</v>
      </c>
      <c r="M774" s="12">
        <f>L774/[4]货币基础!$B$4</f>
        <v>160</v>
      </c>
      <c r="N774" s="12">
        <f>IF(A774&lt;[3]关卡对接!$A$4,INDEX([3]关卡对接!$E$7:$E$141,A774),MATCH(E774,人物经验!$H$24:$H$573,1))</f>
        <v>334</v>
      </c>
      <c r="O774" s="12">
        <f>INDEX([2]关卡!$G$6:$G$2005,A774)</f>
        <v>3</v>
      </c>
      <c r="P774" s="13">
        <v>6</v>
      </c>
      <c r="Q774" s="12">
        <f>INT(P774/$S$15/O774*VLOOKUP(J774,[1]人物技能基础!$N$3:$O$553,2,0)*$U$15)</f>
        <v>9</v>
      </c>
      <c r="R774" s="12">
        <f t="shared" si="111"/>
        <v>112</v>
      </c>
    </row>
    <row r="775" spans="1:18" x14ac:dyDescent="0.15">
      <c r="A775" s="12">
        <v>757</v>
      </c>
      <c r="B775" s="12">
        <f t="shared" si="105"/>
        <v>4</v>
      </c>
      <c r="C775" s="12">
        <f t="shared" si="106"/>
        <v>3.0724900000000002</v>
      </c>
      <c r="D775" s="12">
        <f t="shared" si="107"/>
        <v>2.1129999999999871E-2</v>
      </c>
      <c r="E775" s="12">
        <f>SUM($D$19:D775)</f>
        <v>9.272489999999987</v>
      </c>
      <c r="F775" s="12">
        <f t="shared" si="103"/>
        <v>91.958983325249946</v>
      </c>
      <c r="G775" s="12">
        <f t="shared" si="104"/>
        <v>74.422838609880941</v>
      </c>
      <c r="H775" s="12">
        <f t="shared" si="108"/>
        <v>331000</v>
      </c>
      <c r="I775" s="12">
        <f t="shared" si="109"/>
        <v>267900</v>
      </c>
      <c r="J775" s="12">
        <f>IF(A775&lt;[3]关卡对接!$A$4,INDEX([3]关卡对接!$C$7:$C$141,A775),MATCH(E775,人物经验!$H$24:$H$573,1))</f>
        <v>335</v>
      </c>
      <c r="K775" s="12">
        <f>IF([3]关卡对接!F763="",INT(INDEX(人物经验!$J$24:$J$573,关卡!J775)*关卡!$S$7),[3]关卡对接!F763)</f>
        <v>8255</v>
      </c>
      <c r="L775" s="12">
        <f t="shared" si="110"/>
        <v>1.6</v>
      </c>
      <c r="M775" s="12">
        <f>L775/[4]货币基础!$B$4</f>
        <v>160</v>
      </c>
      <c r="N775" s="12">
        <f>IF(A775&lt;[3]关卡对接!$A$4,INDEX([3]关卡对接!$E$7:$E$141,A775),MATCH(E775,人物经验!$H$24:$H$573,1))</f>
        <v>335</v>
      </c>
      <c r="O775" s="12">
        <f>INDEX([2]关卡!$G$6:$G$2005,A775)</f>
        <v>3</v>
      </c>
      <c r="P775" s="13">
        <v>6</v>
      </c>
      <c r="Q775" s="12">
        <f>INT(P775/$S$15/O775*VLOOKUP(J775,[1]人物技能基础!$N$3:$O$553,2,0)*$U$15)</f>
        <v>9</v>
      </c>
      <c r="R775" s="12">
        <f t="shared" si="111"/>
        <v>112</v>
      </c>
    </row>
    <row r="776" spans="1:18" x14ac:dyDescent="0.15">
      <c r="A776" s="12">
        <v>758</v>
      </c>
      <c r="B776" s="12">
        <f t="shared" si="105"/>
        <v>4</v>
      </c>
      <c r="C776" s="12">
        <f t="shared" si="106"/>
        <v>3.0936400000000002</v>
      </c>
      <c r="D776" s="12">
        <f t="shared" si="107"/>
        <v>2.1150000000000002E-2</v>
      </c>
      <c r="E776" s="12">
        <f>SUM($D$19:D776)</f>
        <v>9.2936399999999875</v>
      </c>
      <c r="F776" s="12">
        <f t="shared" si="103"/>
        <v>92.192643715518997</v>
      </c>
      <c r="G776" s="12">
        <f t="shared" si="104"/>
        <v>74.572250853694996</v>
      </c>
      <c r="H776" s="12">
        <f t="shared" si="108"/>
        <v>331800</v>
      </c>
      <c r="I776" s="12">
        <f t="shared" si="109"/>
        <v>268400</v>
      </c>
      <c r="J776" s="12">
        <f>IF(A776&lt;[3]关卡对接!$A$4,INDEX([3]关卡对接!$C$7:$C$141,A776),MATCH(E776,人物经验!$H$24:$H$573,1))</f>
        <v>335</v>
      </c>
      <c r="K776" s="12">
        <f>IF([3]关卡对接!F764="",INT(INDEX(人物经验!$J$24:$J$573,关卡!J776)*关卡!$S$7),[3]关卡对接!F764)</f>
        <v>8255</v>
      </c>
      <c r="L776" s="12">
        <f t="shared" si="110"/>
        <v>1.6</v>
      </c>
      <c r="M776" s="12">
        <f>L776/[4]货币基础!$B$4</f>
        <v>160</v>
      </c>
      <c r="N776" s="12">
        <f>IF(A776&lt;[3]关卡对接!$A$4,INDEX([3]关卡对接!$E$7:$E$141,A776),MATCH(E776,人物经验!$H$24:$H$573,1))</f>
        <v>335</v>
      </c>
      <c r="O776" s="12">
        <f>INDEX([2]关卡!$G$6:$G$2005,A776)</f>
        <v>3</v>
      </c>
      <c r="P776" s="13">
        <v>6</v>
      </c>
      <c r="Q776" s="12">
        <f>INT(P776/$S$15/O776*VLOOKUP(J776,[1]人物技能基础!$N$3:$O$553,2,0)*$U$15)</f>
        <v>9</v>
      </c>
      <c r="R776" s="12">
        <f t="shared" si="111"/>
        <v>112</v>
      </c>
    </row>
    <row r="777" spans="1:18" x14ac:dyDescent="0.15">
      <c r="A777" s="12">
        <v>759</v>
      </c>
      <c r="B777" s="12">
        <f t="shared" si="105"/>
        <v>4</v>
      </c>
      <c r="C777" s="12">
        <f t="shared" si="106"/>
        <v>3.1148100000000003</v>
      </c>
      <c r="D777" s="12">
        <f t="shared" si="107"/>
        <v>2.1170000000000133E-2</v>
      </c>
      <c r="E777" s="12">
        <f>SUM($D$19:D777)</f>
        <v>9.3148099999999872</v>
      </c>
      <c r="F777" s="12">
        <f t="shared" si="103"/>
        <v>92.426746594114945</v>
      </c>
      <c r="G777" s="12">
        <f t="shared" si="104"/>
        <v>74.721864310205945</v>
      </c>
      <c r="H777" s="12">
        <f t="shared" si="108"/>
        <v>332700</v>
      </c>
      <c r="I777" s="12">
        <f t="shared" si="109"/>
        <v>268900</v>
      </c>
      <c r="J777" s="12">
        <f>IF(A777&lt;[3]关卡对接!$A$4,INDEX([3]关卡对接!$C$7:$C$141,A777),MATCH(E777,人物经验!$H$24:$H$573,1))</f>
        <v>335</v>
      </c>
      <c r="K777" s="12">
        <f>IF([3]关卡对接!F765="",INT(INDEX(人物经验!$J$24:$J$573,关卡!J777)*关卡!$S$7),[3]关卡对接!F765)</f>
        <v>8255</v>
      </c>
      <c r="L777" s="12">
        <f t="shared" si="110"/>
        <v>1.6</v>
      </c>
      <c r="M777" s="12">
        <f>L777/[4]货币基础!$B$4</f>
        <v>160</v>
      </c>
      <c r="N777" s="12">
        <f>IF(A777&lt;[3]关卡对接!$A$4,INDEX([3]关卡对接!$E$7:$E$141,A777),MATCH(E777,人物经验!$H$24:$H$573,1))</f>
        <v>335</v>
      </c>
      <c r="O777" s="12">
        <f>INDEX([2]关卡!$G$6:$G$2005,A777)</f>
        <v>3</v>
      </c>
      <c r="P777" s="13">
        <v>6</v>
      </c>
      <c r="Q777" s="12">
        <f>INT(P777/$S$15/O777*VLOOKUP(J777,[1]人物技能基础!$N$3:$O$553,2,0)*$U$15)</f>
        <v>9</v>
      </c>
      <c r="R777" s="12">
        <f t="shared" si="111"/>
        <v>112</v>
      </c>
    </row>
    <row r="778" spans="1:18" x14ac:dyDescent="0.15">
      <c r="A778" s="12">
        <v>760</v>
      </c>
      <c r="B778" s="12">
        <f t="shared" si="105"/>
        <v>4</v>
      </c>
      <c r="C778" s="12">
        <f t="shared" si="106"/>
        <v>3.1360000000000006</v>
      </c>
      <c r="D778" s="12">
        <f t="shared" si="107"/>
        <v>2.1190000000000264E-2</v>
      </c>
      <c r="E778" s="12">
        <f>SUM($D$19:D778)</f>
        <v>9.3359999999999879</v>
      </c>
      <c r="F778" s="12">
        <f t="shared" si="103"/>
        <v>92.661292640000013</v>
      </c>
      <c r="G778" s="12">
        <f t="shared" si="104"/>
        <v>74.871679199999988</v>
      </c>
      <c r="H778" s="12">
        <f t="shared" si="108"/>
        <v>333500</v>
      </c>
      <c r="I778" s="12">
        <f t="shared" si="109"/>
        <v>269500</v>
      </c>
      <c r="J778" s="12">
        <f>IF(A778&lt;[3]关卡对接!$A$4,INDEX([3]关卡对接!$C$7:$C$141,A778),MATCH(E778,人物经验!$H$24:$H$573,1))</f>
        <v>335</v>
      </c>
      <c r="K778" s="12">
        <f>IF([3]关卡对接!F766="",INT(INDEX(人物经验!$J$24:$J$573,关卡!J778)*关卡!$S$7),[3]关卡对接!F766)</f>
        <v>8255</v>
      </c>
      <c r="L778" s="12">
        <f t="shared" si="110"/>
        <v>1.6</v>
      </c>
      <c r="M778" s="12">
        <f>L778/[4]货币基础!$B$4</f>
        <v>160</v>
      </c>
      <c r="N778" s="12">
        <f>IF(A778&lt;[3]关卡对接!$A$4,INDEX([3]关卡对接!$E$7:$E$141,A778),MATCH(E778,人物经验!$H$24:$H$573,1))</f>
        <v>335</v>
      </c>
      <c r="O778" s="12">
        <f>INDEX([2]关卡!$G$6:$G$2005,A778)</f>
        <v>3</v>
      </c>
      <c r="P778" s="13">
        <v>6</v>
      </c>
      <c r="Q778" s="12">
        <f>INT(P778/$S$15/O778*VLOOKUP(J778,[1]人物技能基础!$N$3:$O$553,2,0)*$U$15)</f>
        <v>9</v>
      </c>
      <c r="R778" s="12">
        <f t="shared" si="111"/>
        <v>112</v>
      </c>
    </row>
    <row r="779" spans="1:18" x14ac:dyDescent="0.15">
      <c r="A779" s="12">
        <v>761</v>
      </c>
      <c r="B779" s="12">
        <f t="shared" si="105"/>
        <v>4</v>
      </c>
      <c r="C779" s="12">
        <f t="shared" si="106"/>
        <v>3.1572100000000001</v>
      </c>
      <c r="D779" s="12">
        <f t="shared" si="107"/>
        <v>2.1209999999999507E-2</v>
      </c>
      <c r="E779" s="12">
        <f>SUM($D$19:D779)</f>
        <v>9.3572099999999878</v>
      </c>
      <c r="F779" s="12">
        <f t="shared" si="103"/>
        <v>92.896282532734929</v>
      </c>
      <c r="G779" s="12">
        <f t="shared" si="104"/>
        <v>75.02169574380595</v>
      </c>
      <c r="H779" s="12">
        <f t="shared" si="108"/>
        <v>334400</v>
      </c>
      <c r="I779" s="12">
        <f t="shared" si="109"/>
        <v>270000</v>
      </c>
      <c r="J779" s="12">
        <f>IF(A779&lt;[3]关卡对接!$A$4,INDEX([3]关卡对接!$C$7:$C$141,A779),MATCH(E779,人物经验!$H$24:$H$573,1))</f>
        <v>335</v>
      </c>
      <c r="K779" s="12">
        <f>IF([3]关卡对接!F767="",INT(INDEX(人物经验!$J$24:$J$573,关卡!J779)*关卡!$S$7),[3]关卡对接!F767)</f>
        <v>8255</v>
      </c>
      <c r="L779" s="12">
        <f t="shared" si="110"/>
        <v>1.6</v>
      </c>
      <c r="M779" s="12">
        <f>L779/[4]货币基础!$B$4</f>
        <v>160</v>
      </c>
      <c r="N779" s="12">
        <f>IF(A779&lt;[3]关卡对接!$A$4,INDEX([3]关卡对接!$E$7:$E$141,A779),MATCH(E779,人物经验!$H$24:$H$573,1))</f>
        <v>335</v>
      </c>
      <c r="O779" s="12">
        <f>INDEX([2]关卡!$G$6:$G$2005,A779)</f>
        <v>3</v>
      </c>
      <c r="P779" s="13">
        <v>6</v>
      </c>
      <c r="Q779" s="12">
        <f>INT(P779/$S$15/O779*VLOOKUP(J779,[1]人物技能基础!$N$3:$O$553,2,0)*$U$15)</f>
        <v>9</v>
      </c>
      <c r="R779" s="12">
        <f t="shared" si="111"/>
        <v>112</v>
      </c>
    </row>
    <row r="780" spans="1:18" x14ac:dyDescent="0.15">
      <c r="A780" s="12">
        <v>762</v>
      </c>
      <c r="B780" s="12">
        <f t="shared" si="105"/>
        <v>4</v>
      </c>
      <c r="C780" s="12">
        <f t="shared" si="106"/>
        <v>3.1784400000000006</v>
      </c>
      <c r="D780" s="12">
        <f t="shared" si="107"/>
        <v>2.1230000000000526E-2</v>
      </c>
      <c r="E780" s="12">
        <f>SUM($D$19:D780)</f>
        <v>9.3784399999999888</v>
      </c>
      <c r="F780" s="12">
        <f t="shared" si="103"/>
        <v>93.13171695247901</v>
      </c>
      <c r="G780" s="12">
        <f t="shared" si="104"/>
        <v>75.171914162495</v>
      </c>
      <c r="H780" s="12">
        <f t="shared" si="108"/>
        <v>335200</v>
      </c>
      <c r="I780" s="12">
        <f t="shared" si="109"/>
        <v>270600</v>
      </c>
      <c r="J780" s="12">
        <f>IF(A780&lt;[3]关卡对接!$A$4,INDEX([3]关卡对接!$C$7:$C$141,A780),MATCH(E780,人物经验!$H$24:$H$573,1))</f>
        <v>335</v>
      </c>
      <c r="K780" s="12">
        <f>IF([3]关卡对接!F768="",INT(INDEX(人物经验!$J$24:$J$573,关卡!J780)*关卡!$S$7),[3]关卡对接!F768)</f>
        <v>8255</v>
      </c>
      <c r="L780" s="12">
        <f t="shared" si="110"/>
        <v>1.6</v>
      </c>
      <c r="M780" s="12">
        <f>L780/[4]货币基础!$B$4</f>
        <v>160</v>
      </c>
      <c r="N780" s="12">
        <f>IF(A780&lt;[3]关卡对接!$A$4,INDEX([3]关卡对接!$E$7:$E$141,A780),MATCH(E780,人物经验!$H$24:$H$573,1))</f>
        <v>335</v>
      </c>
      <c r="O780" s="12">
        <f>INDEX([2]关卡!$G$6:$G$2005,A780)</f>
        <v>3</v>
      </c>
      <c r="P780" s="13">
        <v>6</v>
      </c>
      <c r="Q780" s="12">
        <f>INT(P780/$S$15/O780*VLOOKUP(J780,[1]人物技能基础!$N$3:$O$553,2,0)*$U$15)</f>
        <v>9</v>
      </c>
      <c r="R780" s="12">
        <f t="shared" si="111"/>
        <v>112</v>
      </c>
    </row>
    <row r="781" spans="1:18" x14ac:dyDescent="0.15">
      <c r="A781" s="12">
        <v>763</v>
      </c>
      <c r="B781" s="12">
        <f t="shared" si="105"/>
        <v>4</v>
      </c>
      <c r="C781" s="12">
        <f t="shared" si="106"/>
        <v>3.1996899999999995</v>
      </c>
      <c r="D781" s="12">
        <f t="shared" si="107"/>
        <v>2.1249999999998881E-2</v>
      </c>
      <c r="E781" s="12">
        <f>SUM($D$19:D781)</f>
        <v>9.3996899999999872</v>
      </c>
      <c r="F781" s="12">
        <f t="shared" si="103"/>
        <v>93.36759657998995</v>
      </c>
      <c r="G781" s="12">
        <f t="shared" si="104"/>
        <v>75.322334677080931</v>
      </c>
      <c r="H781" s="12">
        <f t="shared" si="108"/>
        <v>336100</v>
      </c>
      <c r="I781" s="12">
        <f t="shared" si="109"/>
        <v>271100</v>
      </c>
      <c r="J781" s="12">
        <f>IF(A781&lt;[3]关卡对接!$A$4,INDEX([3]关卡对接!$C$7:$C$141,A781),MATCH(E781,人物经验!$H$24:$H$573,1))</f>
        <v>335</v>
      </c>
      <c r="K781" s="12">
        <f>IF([3]关卡对接!F769="",INT(INDEX(人物经验!$J$24:$J$573,关卡!J781)*关卡!$S$7),[3]关卡对接!F769)</f>
        <v>8255</v>
      </c>
      <c r="L781" s="12">
        <f t="shared" si="110"/>
        <v>1.6</v>
      </c>
      <c r="M781" s="12">
        <f>L781/[4]货币基础!$B$4</f>
        <v>160</v>
      </c>
      <c r="N781" s="12">
        <f>IF(A781&lt;[3]关卡对接!$A$4,INDEX([3]关卡对接!$E$7:$E$141,A781),MATCH(E781,人物经验!$H$24:$H$573,1))</f>
        <v>335</v>
      </c>
      <c r="O781" s="12">
        <f>INDEX([2]关卡!$G$6:$G$2005,A781)</f>
        <v>3</v>
      </c>
      <c r="P781" s="13">
        <v>6</v>
      </c>
      <c r="Q781" s="12">
        <f>INT(P781/$S$15/O781*VLOOKUP(J781,[1]人物技能基础!$N$3:$O$553,2,0)*$U$15)</f>
        <v>9</v>
      </c>
      <c r="R781" s="12">
        <f t="shared" si="111"/>
        <v>112</v>
      </c>
    </row>
    <row r="782" spans="1:18" x14ac:dyDescent="0.15">
      <c r="A782" s="12">
        <v>764</v>
      </c>
      <c r="B782" s="12">
        <f t="shared" si="105"/>
        <v>4</v>
      </c>
      <c r="C782" s="12">
        <f t="shared" si="106"/>
        <v>3.2209599999999998</v>
      </c>
      <c r="D782" s="12">
        <f t="shared" si="107"/>
        <v>2.1270000000000344E-2</v>
      </c>
      <c r="E782" s="12">
        <f>SUM($D$19:D782)</f>
        <v>9.4209599999999867</v>
      </c>
      <c r="F782" s="12">
        <f t="shared" si="103"/>
        <v>93.603922096624004</v>
      </c>
      <c r="G782" s="12">
        <f t="shared" si="104"/>
        <v>75.472957508719986</v>
      </c>
      <c r="H782" s="12">
        <f t="shared" si="108"/>
        <v>336900</v>
      </c>
      <c r="I782" s="12">
        <f t="shared" si="109"/>
        <v>271700</v>
      </c>
      <c r="J782" s="12">
        <f>IF(A782&lt;[3]关卡对接!$A$4,INDEX([3]关卡对接!$C$7:$C$141,A782),MATCH(E782,人物经验!$H$24:$H$573,1))</f>
        <v>336</v>
      </c>
      <c r="K782" s="12">
        <f>IF([3]关卡对接!F770="",INT(INDEX(人物经验!$J$24:$J$573,关卡!J782)*关卡!$S$7),[3]关卡对接!F770)</f>
        <v>8403</v>
      </c>
      <c r="L782" s="12">
        <f t="shared" si="110"/>
        <v>1.6</v>
      </c>
      <c r="M782" s="12">
        <f>L782/[4]货币基础!$B$4</f>
        <v>160</v>
      </c>
      <c r="N782" s="12">
        <f>IF(A782&lt;[3]关卡对接!$A$4,INDEX([3]关卡对接!$E$7:$E$141,A782),MATCH(E782,人物经验!$H$24:$H$573,1))</f>
        <v>336</v>
      </c>
      <c r="O782" s="12">
        <f>INDEX([2]关卡!$G$6:$G$2005,A782)</f>
        <v>3</v>
      </c>
      <c r="P782" s="13">
        <v>6</v>
      </c>
      <c r="Q782" s="12">
        <f>INT(P782/$S$15/O782*VLOOKUP(J782,[1]人物技能基础!$N$3:$O$553,2,0)*$U$15)</f>
        <v>9</v>
      </c>
      <c r="R782" s="12">
        <f t="shared" si="111"/>
        <v>112</v>
      </c>
    </row>
    <row r="783" spans="1:18" x14ac:dyDescent="0.15">
      <c r="A783" s="12">
        <v>765</v>
      </c>
      <c r="B783" s="12">
        <f t="shared" si="105"/>
        <v>4</v>
      </c>
      <c r="C783" s="12">
        <f t="shared" si="106"/>
        <v>3.2422499999999999</v>
      </c>
      <c r="D783" s="12">
        <f t="shared" si="107"/>
        <v>2.1290000000000031E-2</v>
      </c>
      <c r="E783" s="12">
        <f>SUM($D$19:D783)</f>
        <v>9.4422499999999872</v>
      </c>
      <c r="F783" s="12">
        <f t="shared" si="103"/>
        <v>93.840694184335945</v>
      </c>
      <c r="G783" s="12">
        <f t="shared" si="104"/>
        <v>75.623782878710941</v>
      </c>
      <c r="H783" s="12">
        <f t="shared" si="108"/>
        <v>337800</v>
      </c>
      <c r="I783" s="12">
        <f t="shared" si="109"/>
        <v>272200</v>
      </c>
      <c r="J783" s="12">
        <f>IF(A783&lt;[3]关卡对接!$A$4,INDEX([3]关卡对接!$C$7:$C$141,A783),MATCH(E783,人物经验!$H$24:$H$573,1))</f>
        <v>336</v>
      </c>
      <c r="K783" s="12">
        <f>IF([3]关卡对接!F771="",INT(INDEX(人物经验!$J$24:$J$573,关卡!J783)*关卡!$S$7),[3]关卡对接!F771)</f>
        <v>8403</v>
      </c>
      <c r="L783" s="12">
        <f t="shared" si="110"/>
        <v>1.6</v>
      </c>
      <c r="M783" s="12">
        <f>L783/[4]货币基础!$B$4</f>
        <v>160</v>
      </c>
      <c r="N783" s="12">
        <f>IF(A783&lt;[3]关卡对接!$A$4,INDEX([3]关卡对接!$E$7:$E$141,A783),MATCH(E783,人物经验!$H$24:$H$573,1))</f>
        <v>336</v>
      </c>
      <c r="O783" s="12">
        <f>INDEX([2]关卡!$G$6:$G$2005,A783)</f>
        <v>3</v>
      </c>
      <c r="P783" s="13">
        <v>6</v>
      </c>
      <c r="Q783" s="12">
        <f>INT(P783/$S$15/O783*VLOOKUP(J783,[1]人物技能基础!$N$3:$O$553,2,0)*$U$15)</f>
        <v>9</v>
      </c>
      <c r="R783" s="12">
        <f t="shared" si="111"/>
        <v>112</v>
      </c>
    </row>
    <row r="784" spans="1:18" x14ac:dyDescent="0.15">
      <c r="A784" s="12">
        <v>766</v>
      </c>
      <c r="B784" s="12">
        <f t="shared" si="105"/>
        <v>4</v>
      </c>
      <c r="C784" s="12">
        <f t="shared" si="106"/>
        <v>3.26356</v>
      </c>
      <c r="D784" s="12">
        <f t="shared" si="107"/>
        <v>2.1310000000000162E-2</v>
      </c>
      <c r="E784" s="12">
        <f>SUM($D$19:D784)</f>
        <v>9.4635599999999869</v>
      </c>
      <c r="F784" s="12">
        <f t="shared" si="103"/>
        <v>94.077913525678994</v>
      </c>
      <c r="G784" s="12">
        <f t="shared" si="104"/>
        <v>75.774811008494993</v>
      </c>
      <c r="H784" s="12">
        <f t="shared" si="108"/>
        <v>338600</v>
      </c>
      <c r="I784" s="12">
        <f t="shared" si="109"/>
        <v>272700</v>
      </c>
      <c r="J784" s="12">
        <f>IF(A784&lt;[3]关卡对接!$A$4,INDEX([3]关卡对接!$C$7:$C$141,A784),MATCH(E784,人物经验!$H$24:$H$573,1))</f>
        <v>336</v>
      </c>
      <c r="K784" s="12">
        <f>IF([3]关卡对接!F772="",INT(INDEX(人物经验!$J$24:$J$573,关卡!J784)*关卡!$S$7),[3]关卡对接!F772)</f>
        <v>8403</v>
      </c>
      <c r="L784" s="12">
        <f t="shared" si="110"/>
        <v>1.6</v>
      </c>
      <c r="M784" s="12">
        <f>L784/[4]货币基础!$B$4</f>
        <v>160</v>
      </c>
      <c r="N784" s="12">
        <f>IF(A784&lt;[3]关卡对接!$A$4,INDEX([3]关卡对接!$E$7:$E$141,A784),MATCH(E784,人物经验!$H$24:$H$573,1))</f>
        <v>336</v>
      </c>
      <c r="O784" s="12">
        <f>INDEX([2]关卡!$G$6:$G$2005,A784)</f>
        <v>3</v>
      </c>
      <c r="P784" s="13">
        <v>6</v>
      </c>
      <c r="Q784" s="12">
        <f>INT(P784/$S$15/O784*VLOOKUP(J784,[1]人物技能基础!$N$3:$O$553,2,0)*$U$15)</f>
        <v>9</v>
      </c>
      <c r="R784" s="12">
        <f t="shared" si="111"/>
        <v>112</v>
      </c>
    </row>
    <row r="785" spans="1:18" x14ac:dyDescent="0.15">
      <c r="A785" s="12">
        <v>767</v>
      </c>
      <c r="B785" s="12">
        <f t="shared" si="105"/>
        <v>4</v>
      </c>
      <c r="C785" s="12">
        <f t="shared" si="106"/>
        <v>3.2848899999999999</v>
      </c>
      <c r="D785" s="12">
        <f t="shared" si="107"/>
        <v>2.1329999999999849E-2</v>
      </c>
      <c r="E785" s="12">
        <f>SUM($D$19:D785)</f>
        <v>9.4848899999999858</v>
      </c>
      <c r="F785" s="12">
        <f t="shared" si="103"/>
        <v>94.315580803804949</v>
      </c>
      <c r="G785" s="12">
        <f t="shared" si="104"/>
        <v>75.926042119655932</v>
      </c>
      <c r="H785" s="12">
        <f t="shared" si="108"/>
        <v>339500</v>
      </c>
      <c r="I785" s="12">
        <f t="shared" si="109"/>
        <v>273300</v>
      </c>
      <c r="J785" s="12">
        <f>IF(A785&lt;[3]关卡对接!$A$4,INDEX([3]关卡对接!$C$7:$C$141,A785),MATCH(E785,人物经验!$H$24:$H$573,1))</f>
        <v>336</v>
      </c>
      <c r="K785" s="12">
        <f>IF([3]关卡对接!F773="",INT(INDEX(人物经验!$J$24:$J$573,关卡!J785)*关卡!$S$7),[3]关卡对接!F773)</f>
        <v>8403</v>
      </c>
      <c r="L785" s="12">
        <f t="shared" si="110"/>
        <v>1.6</v>
      </c>
      <c r="M785" s="12">
        <f>L785/[4]货币基础!$B$4</f>
        <v>160</v>
      </c>
      <c r="N785" s="12">
        <f>IF(A785&lt;[3]关卡对接!$A$4,INDEX([3]关卡对接!$E$7:$E$141,A785),MATCH(E785,人物经验!$H$24:$H$573,1))</f>
        <v>336</v>
      </c>
      <c r="O785" s="12">
        <f>INDEX([2]关卡!$G$6:$G$2005,A785)</f>
        <v>3</v>
      </c>
      <c r="P785" s="13">
        <v>6</v>
      </c>
      <c r="Q785" s="12">
        <f>INT(P785/$S$15/O785*VLOOKUP(J785,[1]人物技能基础!$N$3:$O$553,2,0)*$U$15)</f>
        <v>9</v>
      </c>
      <c r="R785" s="12">
        <f t="shared" si="111"/>
        <v>112</v>
      </c>
    </row>
    <row r="786" spans="1:18" x14ac:dyDescent="0.15">
      <c r="A786" s="12">
        <v>768</v>
      </c>
      <c r="B786" s="12">
        <f t="shared" si="105"/>
        <v>4</v>
      </c>
      <c r="C786" s="12">
        <f t="shared" si="106"/>
        <v>3.3062399999999998</v>
      </c>
      <c r="D786" s="12">
        <f t="shared" si="107"/>
        <v>2.134999999999998E-2</v>
      </c>
      <c r="E786" s="12">
        <f>SUM($D$19:D786)</f>
        <v>9.5062399999999858</v>
      </c>
      <c r="F786" s="12">
        <f t="shared" si="103"/>
        <v>94.553696702464009</v>
      </c>
      <c r="G786" s="12">
        <f t="shared" si="104"/>
        <v>76.077476433919998</v>
      </c>
      <c r="H786" s="12">
        <f t="shared" si="108"/>
        <v>340300</v>
      </c>
      <c r="I786" s="12">
        <f t="shared" si="109"/>
        <v>273800</v>
      </c>
      <c r="J786" s="12">
        <f>IF(A786&lt;[3]关卡对接!$A$4,INDEX([3]关卡对接!$C$7:$C$141,A786),MATCH(E786,人物经验!$H$24:$H$573,1))</f>
        <v>336</v>
      </c>
      <c r="K786" s="12">
        <f>IF([3]关卡对接!F774="",INT(INDEX(人物经验!$J$24:$J$573,关卡!J786)*关卡!$S$7),[3]关卡对接!F774)</f>
        <v>8403</v>
      </c>
      <c r="L786" s="12">
        <f t="shared" si="110"/>
        <v>1.6</v>
      </c>
      <c r="M786" s="12">
        <f>L786/[4]货币基础!$B$4</f>
        <v>160</v>
      </c>
      <c r="N786" s="12">
        <f>IF(A786&lt;[3]关卡对接!$A$4,INDEX([3]关卡对接!$E$7:$E$141,A786),MATCH(E786,人物经验!$H$24:$H$573,1))</f>
        <v>336</v>
      </c>
      <c r="O786" s="12">
        <f>INDEX([2]关卡!$G$6:$G$2005,A786)</f>
        <v>3</v>
      </c>
      <c r="P786" s="13">
        <v>6</v>
      </c>
      <c r="Q786" s="12">
        <f>INT(P786/$S$15/O786*VLOOKUP(J786,[1]人物技能基础!$N$3:$O$553,2,0)*$U$15)</f>
        <v>9</v>
      </c>
      <c r="R786" s="12">
        <f t="shared" si="111"/>
        <v>112</v>
      </c>
    </row>
    <row r="787" spans="1:18" x14ac:dyDescent="0.15">
      <c r="A787" s="12">
        <v>769</v>
      </c>
      <c r="B787" s="12">
        <f t="shared" si="105"/>
        <v>4</v>
      </c>
      <c r="C787" s="12">
        <f t="shared" si="106"/>
        <v>3.32761</v>
      </c>
      <c r="D787" s="12">
        <f t="shared" si="107"/>
        <v>2.1370000000000111E-2</v>
      </c>
      <c r="E787" s="12">
        <f>SUM($D$19:D787)</f>
        <v>9.527609999999985</v>
      </c>
      <c r="F787" s="12">
        <f t="shared" ref="F787:F850" si="112">$L$7*($M$7+$N$7*($A787/$B$3)^1+$O$7*($A787/$B$3)^2+$P$7*($A787/$B$3)^3+$Q$7*($A787/$B$3)^4)</f>
        <v>94.792261906004953</v>
      </c>
      <c r="G787" s="12">
        <f t="shared" ref="G787:G850" si="113">$L$11*($M$11+$N$11*($A787/$B$3)^1+$O$11*($A787/$B$3)^2+$P$11*($A787/$B$3)^3+$Q$11*($A787/$B$3)^4)</f>
        <v>76.229114173155935</v>
      </c>
      <c r="H787" s="12">
        <f t="shared" si="108"/>
        <v>341200</v>
      </c>
      <c r="I787" s="12">
        <f t="shared" si="109"/>
        <v>274400</v>
      </c>
      <c r="J787" s="12">
        <f>IF(A787&lt;[3]关卡对接!$A$4,INDEX([3]关卡对接!$C$7:$C$141,A787),MATCH(E787,人物经验!$H$24:$H$573,1))</f>
        <v>336</v>
      </c>
      <c r="K787" s="12">
        <f>IF([3]关卡对接!F775="",INT(INDEX(人物经验!$J$24:$J$573,关卡!J787)*关卡!$S$7),[3]关卡对接!F775)</f>
        <v>8403</v>
      </c>
      <c r="L787" s="12">
        <f t="shared" si="110"/>
        <v>1.6</v>
      </c>
      <c r="M787" s="12">
        <f>L787/[4]货币基础!$B$4</f>
        <v>160</v>
      </c>
      <c r="N787" s="12">
        <f>IF(A787&lt;[3]关卡对接!$A$4,INDEX([3]关卡对接!$E$7:$E$141,A787),MATCH(E787,人物经验!$H$24:$H$573,1))</f>
        <v>336</v>
      </c>
      <c r="O787" s="12">
        <f>INDEX([2]关卡!$G$6:$G$2005,A787)</f>
        <v>3</v>
      </c>
      <c r="P787" s="13">
        <v>6</v>
      </c>
      <c r="Q787" s="12">
        <f>INT(P787/$S$15/O787*VLOOKUP(J787,[1]人物技能基础!$N$3:$O$553,2,0)*$U$15)</f>
        <v>9</v>
      </c>
      <c r="R787" s="12">
        <f t="shared" si="111"/>
        <v>112</v>
      </c>
    </row>
    <row r="788" spans="1:18" x14ac:dyDescent="0.15">
      <c r="A788" s="12">
        <v>770</v>
      </c>
      <c r="B788" s="12">
        <f t="shared" ref="B788:B851" si="114">MATCH($A788,$A$5:$A$15,1)-1</f>
        <v>4</v>
      </c>
      <c r="C788" s="12">
        <f t="shared" ref="C788:C851" si="115">INDEX($C$5:$C$15,$B788+1)*(INDEX($E$5:$E$15,$B788+1)+INDEX($F$5:$F$15,$B788+1)*(($A788-INDEX($A$5:$A$15,$B788+1)+1)/(INDEX($B$5:$B$15,$B788+1)-INDEX($A$5:$A$15,$B788+1)+1))^1+INDEX($G$5:$G$15,$B788+1)*(($A788-INDEX($A$5:$A$15,$B788+1)+1)/(INDEX($B$5:$B$15,$B788+1)-INDEX($A$5:$A$15,$B788+1)+1))^2+INDEX($H$5:$H$15,$B788+1)*(($A788-INDEX($A$5:$A$15,$B788+1)+1)/(INDEX($B$5:$B$15,$B788+1)-INDEX($A$5:$A$15,$B788+1)+1))^3+INDEX($I$5:$I$15,$B788+1)*(($A788-INDEX($A$5:$A$15,$B788+1)+1)/(INDEX($B$5:$B$15,$B788+1)-INDEX($A$5:$A$15,$B788+1)+1))^4)</f>
        <v>3.3490000000000002</v>
      </c>
      <c r="D788" s="12">
        <f t="shared" ref="D788:D851" si="116">IF(ISNA(MATCH(A788,$A$6:$A$15,0)),C788-C787,C788)</f>
        <v>2.1390000000000242E-2</v>
      </c>
      <c r="E788" s="12">
        <f>SUM($D$19:D788)</f>
        <v>9.5489999999999853</v>
      </c>
      <c r="F788" s="12">
        <f t="shared" si="112"/>
        <v>95.031277099375018</v>
      </c>
      <c r="G788" s="12">
        <f t="shared" si="113"/>
        <v>76.38095555937501</v>
      </c>
      <c r="H788" s="12">
        <f t="shared" ref="H788:H851" si="117">INT(F788*60*60/100)*100</f>
        <v>342100</v>
      </c>
      <c r="I788" s="12">
        <f t="shared" ref="I788:I851" si="118">INT(G788*60*60/100)*100</f>
        <v>274900</v>
      </c>
      <c r="J788" s="12">
        <f>IF(A788&lt;[3]关卡对接!$A$4,INDEX([3]关卡对接!$C$7:$C$141,A788),MATCH(E788,人物经验!$H$24:$H$573,1))</f>
        <v>337</v>
      </c>
      <c r="K788" s="12">
        <f>IF([3]关卡对接!F776="",INT(INDEX(人物经验!$J$24:$J$573,关卡!J788)*关卡!$S$7),[3]关卡对接!F776)</f>
        <v>8531</v>
      </c>
      <c r="L788" s="12">
        <f t="shared" ref="L788:L851" si="119">VLOOKUP(A788,$A$5:$J$15,10,1)</f>
        <v>1.6</v>
      </c>
      <c r="M788" s="12">
        <f>L788/[4]货币基础!$B$4</f>
        <v>160</v>
      </c>
      <c r="N788" s="12">
        <f>IF(A788&lt;[3]关卡对接!$A$4,INDEX([3]关卡对接!$E$7:$E$141,A788),MATCH(E788,人物经验!$H$24:$H$573,1))</f>
        <v>337</v>
      </c>
      <c r="O788" s="12">
        <f>INDEX([2]关卡!$G$6:$G$2005,A788)</f>
        <v>3</v>
      </c>
      <c r="P788" s="13">
        <v>6</v>
      </c>
      <c r="Q788" s="12">
        <f>INT(P788/$S$15/O788*VLOOKUP(J788,[1]人物技能基础!$N$3:$O$553,2,0)*$U$15)</f>
        <v>9</v>
      </c>
      <c r="R788" s="12">
        <f t="shared" ref="R788:R851" si="120">INT(Q788*12.5)</f>
        <v>112</v>
      </c>
    </row>
    <row r="789" spans="1:18" x14ac:dyDescent="0.15">
      <c r="A789" s="12">
        <v>771</v>
      </c>
      <c r="B789" s="12">
        <f t="shared" si="114"/>
        <v>4</v>
      </c>
      <c r="C789" s="12">
        <f t="shared" si="115"/>
        <v>3.3704099999999997</v>
      </c>
      <c r="D789" s="12">
        <f t="shared" si="116"/>
        <v>2.1409999999999485E-2</v>
      </c>
      <c r="E789" s="12">
        <f>SUM($D$19:D789)</f>
        <v>9.5704099999999848</v>
      </c>
      <c r="F789" s="12">
        <f t="shared" si="112"/>
        <v>95.270742968119933</v>
      </c>
      <c r="G789" s="12">
        <f t="shared" si="113"/>
        <v>76.533000814730926</v>
      </c>
      <c r="H789" s="12">
        <f t="shared" si="117"/>
        <v>342900</v>
      </c>
      <c r="I789" s="12">
        <f t="shared" si="118"/>
        <v>275500</v>
      </c>
      <c r="J789" s="12">
        <f>IF(A789&lt;[3]关卡对接!$A$4,INDEX([3]关卡对接!$C$7:$C$141,A789),MATCH(E789,人物经验!$H$24:$H$573,1))</f>
        <v>337</v>
      </c>
      <c r="K789" s="12">
        <f>IF([3]关卡对接!F777="",INT(INDEX(人物经验!$J$24:$J$573,关卡!J789)*关卡!$S$7),[3]关卡对接!F777)</f>
        <v>8531</v>
      </c>
      <c r="L789" s="12">
        <f t="shared" si="119"/>
        <v>1.6</v>
      </c>
      <c r="M789" s="12">
        <f>L789/[4]货币基础!$B$4</f>
        <v>160</v>
      </c>
      <c r="N789" s="12">
        <f>IF(A789&lt;[3]关卡对接!$A$4,INDEX([3]关卡对接!$E$7:$E$141,A789),MATCH(E789,人物经验!$H$24:$H$573,1))</f>
        <v>337</v>
      </c>
      <c r="O789" s="12">
        <f>INDEX([2]关卡!$G$6:$G$2005,A789)</f>
        <v>3</v>
      </c>
      <c r="P789" s="13">
        <v>6</v>
      </c>
      <c r="Q789" s="12">
        <f>INT(P789/$S$15/O789*VLOOKUP(J789,[1]人物技能基础!$N$3:$O$553,2,0)*$U$15)</f>
        <v>9</v>
      </c>
      <c r="R789" s="12">
        <f t="shared" si="120"/>
        <v>112</v>
      </c>
    </row>
    <row r="790" spans="1:18" x14ac:dyDescent="0.15">
      <c r="A790" s="12">
        <v>772</v>
      </c>
      <c r="B790" s="12">
        <f t="shared" si="114"/>
        <v>4</v>
      </c>
      <c r="C790" s="12">
        <f t="shared" si="115"/>
        <v>3.3918400000000002</v>
      </c>
      <c r="D790" s="12">
        <f t="shared" si="116"/>
        <v>2.1430000000000504E-2</v>
      </c>
      <c r="E790" s="12">
        <f>SUM($D$19:D790)</f>
        <v>9.5918399999999853</v>
      </c>
      <c r="F790" s="12">
        <f t="shared" si="112"/>
        <v>95.510660198384016</v>
      </c>
      <c r="G790" s="12">
        <f t="shared" si="113"/>
        <v>76.685250161520003</v>
      </c>
      <c r="H790" s="12">
        <f t="shared" si="117"/>
        <v>343800</v>
      </c>
      <c r="I790" s="12">
        <f t="shared" si="118"/>
        <v>276000</v>
      </c>
      <c r="J790" s="12">
        <f>IF(A790&lt;[3]关卡对接!$A$4,INDEX([3]关卡对接!$C$7:$C$141,A790),MATCH(E790,人物经验!$H$24:$H$573,1))</f>
        <v>337</v>
      </c>
      <c r="K790" s="12">
        <f>IF([3]关卡对接!F778="",INT(INDEX(人物经验!$J$24:$J$573,关卡!J790)*关卡!$S$7),[3]关卡对接!F778)</f>
        <v>8531</v>
      </c>
      <c r="L790" s="12">
        <f t="shared" si="119"/>
        <v>1.6</v>
      </c>
      <c r="M790" s="12">
        <f>L790/[4]货币基础!$B$4</f>
        <v>160</v>
      </c>
      <c r="N790" s="12">
        <f>IF(A790&lt;[3]关卡对接!$A$4,INDEX([3]关卡对接!$E$7:$E$141,A790),MATCH(E790,人物经验!$H$24:$H$573,1))</f>
        <v>337</v>
      </c>
      <c r="O790" s="12">
        <f>INDEX([2]关卡!$G$6:$G$2005,A790)</f>
        <v>3</v>
      </c>
      <c r="P790" s="13">
        <v>6</v>
      </c>
      <c r="Q790" s="12">
        <f>INT(P790/$S$15/O790*VLOOKUP(J790,[1]人物技能基础!$N$3:$O$553,2,0)*$U$15)</f>
        <v>9</v>
      </c>
      <c r="R790" s="12">
        <f t="shared" si="120"/>
        <v>112</v>
      </c>
    </row>
    <row r="791" spans="1:18" x14ac:dyDescent="0.15">
      <c r="A791" s="12">
        <v>773</v>
      </c>
      <c r="B791" s="12">
        <f t="shared" si="114"/>
        <v>4</v>
      </c>
      <c r="C791" s="12">
        <f t="shared" si="115"/>
        <v>3.4132899999999999</v>
      </c>
      <c r="D791" s="12">
        <f t="shared" si="116"/>
        <v>2.1449999999999747E-2</v>
      </c>
      <c r="E791" s="12">
        <f>SUM($D$19:D791)</f>
        <v>9.613289999999985</v>
      </c>
      <c r="F791" s="12">
        <f t="shared" si="112"/>
        <v>95.751029476909935</v>
      </c>
      <c r="G791" s="12">
        <f t="shared" si="113"/>
        <v>76.837703822180941</v>
      </c>
      <c r="H791" s="12">
        <f t="shared" si="117"/>
        <v>344700</v>
      </c>
      <c r="I791" s="12">
        <f t="shared" si="118"/>
        <v>276600</v>
      </c>
      <c r="J791" s="12">
        <f>IF(A791&lt;[3]关卡对接!$A$4,INDEX([3]关卡对接!$C$7:$C$141,A791),MATCH(E791,人物经验!$H$24:$H$573,1))</f>
        <v>337</v>
      </c>
      <c r="K791" s="12">
        <f>IF([3]关卡对接!F779="",INT(INDEX(人物经验!$J$24:$J$573,关卡!J791)*关卡!$S$7),[3]关卡对接!F779)</f>
        <v>8531</v>
      </c>
      <c r="L791" s="12">
        <f t="shared" si="119"/>
        <v>1.6</v>
      </c>
      <c r="M791" s="12">
        <f>L791/[4]货币基础!$B$4</f>
        <v>160</v>
      </c>
      <c r="N791" s="12">
        <f>IF(A791&lt;[3]关卡对接!$A$4,INDEX([3]关卡对接!$E$7:$E$141,A791),MATCH(E791,人物经验!$H$24:$H$573,1))</f>
        <v>337</v>
      </c>
      <c r="O791" s="12">
        <f>INDEX([2]关卡!$G$6:$G$2005,A791)</f>
        <v>3</v>
      </c>
      <c r="P791" s="13">
        <v>6</v>
      </c>
      <c r="Q791" s="12">
        <f>INT(P791/$S$15/O791*VLOOKUP(J791,[1]人物技能基础!$N$3:$O$553,2,0)*$U$15)</f>
        <v>9</v>
      </c>
      <c r="R791" s="12">
        <f t="shared" si="120"/>
        <v>112</v>
      </c>
    </row>
    <row r="792" spans="1:18" x14ac:dyDescent="0.15">
      <c r="A792" s="12">
        <v>774</v>
      </c>
      <c r="B792" s="12">
        <f t="shared" si="114"/>
        <v>4</v>
      </c>
      <c r="C792" s="12">
        <f t="shared" si="115"/>
        <v>3.4347600000000003</v>
      </c>
      <c r="D792" s="12">
        <f t="shared" si="116"/>
        <v>2.1470000000000322E-2</v>
      </c>
      <c r="E792" s="12">
        <f>SUM($D$19:D792)</f>
        <v>9.6347599999999858</v>
      </c>
      <c r="F792" s="12">
        <f t="shared" si="112"/>
        <v>95.991851491039014</v>
      </c>
      <c r="G792" s="12">
        <f t="shared" si="113"/>
        <v>76.990362019295006</v>
      </c>
      <c r="H792" s="12">
        <f t="shared" si="117"/>
        <v>345500</v>
      </c>
      <c r="I792" s="12">
        <f t="shared" si="118"/>
        <v>277100</v>
      </c>
      <c r="J792" s="12">
        <f>IF(A792&lt;[3]关卡对接!$A$4,INDEX([3]关卡对接!$C$7:$C$141,A792),MATCH(E792,人物经验!$H$24:$H$573,1))</f>
        <v>337</v>
      </c>
      <c r="K792" s="12">
        <f>IF([3]关卡对接!F780="",INT(INDEX(人物经验!$J$24:$J$573,关卡!J792)*关卡!$S$7),[3]关卡对接!F780)</f>
        <v>8531</v>
      </c>
      <c r="L792" s="12">
        <f t="shared" si="119"/>
        <v>1.6</v>
      </c>
      <c r="M792" s="12">
        <f>L792/[4]货币基础!$B$4</f>
        <v>160</v>
      </c>
      <c r="N792" s="12">
        <f>IF(A792&lt;[3]关卡对接!$A$4,INDEX([3]关卡对接!$E$7:$E$141,A792),MATCH(E792,人物经验!$H$24:$H$573,1))</f>
        <v>337</v>
      </c>
      <c r="O792" s="12">
        <f>INDEX([2]关卡!$G$6:$G$2005,A792)</f>
        <v>3</v>
      </c>
      <c r="P792" s="13">
        <v>6</v>
      </c>
      <c r="Q792" s="12">
        <f>INT(P792/$S$15/O792*VLOOKUP(J792,[1]人物技能基础!$N$3:$O$553,2,0)*$U$15)</f>
        <v>9</v>
      </c>
      <c r="R792" s="12">
        <f t="shared" si="120"/>
        <v>112</v>
      </c>
    </row>
    <row r="793" spans="1:18" x14ac:dyDescent="0.15">
      <c r="A793" s="12">
        <v>775</v>
      </c>
      <c r="B793" s="12">
        <f t="shared" si="114"/>
        <v>4</v>
      </c>
      <c r="C793" s="12">
        <f t="shared" si="115"/>
        <v>3.4562499999999998</v>
      </c>
      <c r="D793" s="12">
        <f t="shared" si="116"/>
        <v>2.1489999999999565E-2</v>
      </c>
      <c r="E793" s="12">
        <f>SUM($D$19:D793)</f>
        <v>9.6562499999999858</v>
      </c>
      <c r="F793" s="12">
        <f t="shared" si="112"/>
        <v>96.233126928710959</v>
      </c>
      <c r="G793" s="12">
        <f t="shared" si="113"/>
        <v>77.143224975585937</v>
      </c>
      <c r="H793" s="12">
        <f t="shared" si="117"/>
        <v>346400</v>
      </c>
      <c r="I793" s="12">
        <f t="shared" si="118"/>
        <v>277700</v>
      </c>
      <c r="J793" s="12">
        <f>IF(A793&lt;[3]关卡对接!$A$4,INDEX([3]关卡对接!$C$7:$C$141,A793),MATCH(E793,人物经验!$H$24:$H$573,1))</f>
        <v>337</v>
      </c>
      <c r="K793" s="12">
        <f>IF([3]关卡对接!F781="",INT(INDEX(人物经验!$J$24:$J$573,关卡!J793)*关卡!$S$7),[3]关卡对接!F781)</f>
        <v>8531</v>
      </c>
      <c r="L793" s="12">
        <f t="shared" si="119"/>
        <v>1.6</v>
      </c>
      <c r="M793" s="12">
        <f>L793/[4]货币基础!$B$4</f>
        <v>160</v>
      </c>
      <c r="N793" s="12">
        <f>IF(A793&lt;[3]关卡对接!$A$4,INDEX([3]关卡对接!$E$7:$E$141,A793),MATCH(E793,人物经验!$H$24:$H$573,1))</f>
        <v>337</v>
      </c>
      <c r="O793" s="12">
        <f>INDEX([2]关卡!$G$6:$G$2005,A793)</f>
        <v>3</v>
      </c>
      <c r="P793" s="13">
        <v>6</v>
      </c>
      <c r="Q793" s="12">
        <f>INT(P793/$S$15/O793*VLOOKUP(J793,[1]人物技能基础!$N$3:$O$553,2,0)*$U$15)</f>
        <v>9</v>
      </c>
      <c r="R793" s="12">
        <f t="shared" si="120"/>
        <v>112</v>
      </c>
    </row>
    <row r="794" spans="1:18" x14ac:dyDescent="0.15">
      <c r="A794" s="12">
        <v>776</v>
      </c>
      <c r="B794" s="12">
        <f t="shared" si="114"/>
        <v>4</v>
      </c>
      <c r="C794" s="12">
        <f t="shared" si="115"/>
        <v>3.47776</v>
      </c>
      <c r="D794" s="12">
        <f t="shared" si="116"/>
        <v>2.151000000000014E-2</v>
      </c>
      <c r="E794" s="12">
        <f>SUM($D$19:D794)</f>
        <v>9.677759999999985</v>
      </c>
      <c r="F794" s="12">
        <f t="shared" si="112"/>
        <v>96.474856478464019</v>
      </c>
      <c r="G794" s="12">
        <f t="shared" si="113"/>
        <v>77.296292913919999</v>
      </c>
      <c r="H794" s="12">
        <f t="shared" si="117"/>
        <v>347300</v>
      </c>
      <c r="I794" s="12">
        <f t="shared" si="118"/>
        <v>278200</v>
      </c>
      <c r="J794" s="12">
        <f>IF(A794&lt;[3]关卡对接!$A$4,INDEX([3]关卡对接!$C$7:$C$141,A794),MATCH(E794,人物经验!$H$24:$H$573,1))</f>
        <v>337</v>
      </c>
      <c r="K794" s="12">
        <f>IF([3]关卡对接!F782="",INT(INDEX(人物经验!$J$24:$J$573,关卡!J794)*关卡!$S$7),[3]关卡对接!F782)</f>
        <v>8531</v>
      </c>
      <c r="L794" s="12">
        <f t="shared" si="119"/>
        <v>1.6</v>
      </c>
      <c r="M794" s="12">
        <f>L794/[4]货币基础!$B$4</f>
        <v>160</v>
      </c>
      <c r="N794" s="12">
        <f>IF(A794&lt;[3]关卡对接!$A$4,INDEX([3]关卡对接!$E$7:$E$141,A794),MATCH(E794,人物经验!$H$24:$H$573,1))</f>
        <v>337</v>
      </c>
      <c r="O794" s="12">
        <f>INDEX([2]关卡!$G$6:$G$2005,A794)</f>
        <v>3</v>
      </c>
      <c r="P794" s="13">
        <v>6</v>
      </c>
      <c r="Q794" s="12">
        <f>INT(P794/$S$15/O794*VLOOKUP(J794,[1]人物技能基础!$N$3:$O$553,2,0)*$U$15)</f>
        <v>9</v>
      </c>
      <c r="R794" s="12">
        <f t="shared" si="120"/>
        <v>112</v>
      </c>
    </row>
    <row r="795" spans="1:18" x14ac:dyDescent="0.15">
      <c r="A795" s="12">
        <v>777</v>
      </c>
      <c r="B795" s="12">
        <f t="shared" si="114"/>
        <v>4</v>
      </c>
      <c r="C795" s="12">
        <f t="shared" si="115"/>
        <v>3.4992900000000002</v>
      </c>
      <c r="D795" s="12">
        <f t="shared" si="116"/>
        <v>2.1530000000000271E-2</v>
      </c>
      <c r="E795" s="12">
        <f>SUM($D$19:D795)</f>
        <v>9.6992899999999853</v>
      </c>
      <c r="F795" s="12">
        <f t="shared" si="112"/>
        <v>96.717040829434936</v>
      </c>
      <c r="G795" s="12">
        <f t="shared" si="113"/>
        <v>77.449566057305944</v>
      </c>
      <c r="H795" s="12">
        <f t="shared" si="117"/>
        <v>348100</v>
      </c>
      <c r="I795" s="12">
        <f t="shared" si="118"/>
        <v>278800</v>
      </c>
      <c r="J795" s="12">
        <f>IF(A795&lt;[3]关卡对接!$A$4,INDEX([3]关卡对接!$C$7:$C$141,A795),MATCH(E795,人物经验!$H$24:$H$573,1))</f>
        <v>338</v>
      </c>
      <c r="K795" s="12">
        <f>IF([3]关卡对接!F783="",INT(INDEX(人物经验!$J$24:$J$573,关卡!J795)*关卡!$S$7),[3]关卡对接!F783)</f>
        <v>8682</v>
      </c>
      <c r="L795" s="12">
        <f t="shared" si="119"/>
        <v>1.6</v>
      </c>
      <c r="M795" s="12">
        <f>L795/[4]货币基础!$B$4</f>
        <v>160</v>
      </c>
      <c r="N795" s="12">
        <f>IF(A795&lt;[3]关卡对接!$A$4,INDEX([3]关卡对接!$E$7:$E$141,A795),MATCH(E795,人物经验!$H$24:$H$573,1))</f>
        <v>338</v>
      </c>
      <c r="O795" s="12">
        <f>INDEX([2]关卡!$G$6:$G$2005,A795)</f>
        <v>3</v>
      </c>
      <c r="P795" s="13">
        <v>6</v>
      </c>
      <c r="Q795" s="12">
        <f>INT(P795/$S$15/O795*VLOOKUP(J795,[1]人物技能基础!$N$3:$O$553,2,0)*$U$15)</f>
        <v>9</v>
      </c>
      <c r="R795" s="12">
        <f t="shared" si="120"/>
        <v>112</v>
      </c>
    </row>
    <row r="796" spans="1:18" x14ac:dyDescent="0.15">
      <c r="A796" s="12">
        <v>778</v>
      </c>
      <c r="B796" s="12">
        <f t="shared" si="114"/>
        <v>4</v>
      </c>
      <c r="C796" s="12">
        <f t="shared" si="115"/>
        <v>3.5208400000000002</v>
      </c>
      <c r="D796" s="12">
        <f t="shared" si="116"/>
        <v>2.1549999999999958E-2</v>
      </c>
      <c r="E796" s="12">
        <f>SUM($D$19:D796)</f>
        <v>9.7208399999999848</v>
      </c>
      <c r="F796" s="12">
        <f t="shared" si="112"/>
        <v>96.95968067135901</v>
      </c>
      <c r="G796" s="12">
        <f t="shared" si="113"/>
        <v>77.603044628895006</v>
      </c>
      <c r="H796" s="12">
        <f t="shared" si="117"/>
        <v>349000</v>
      </c>
      <c r="I796" s="12">
        <f t="shared" si="118"/>
        <v>279300</v>
      </c>
      <c r="J796" s="12">
        <f>IF(A796&lt;[3]关卡对接!$A$4,INDEX([3]关卡对接!$C$7:$C$141,A796),MATCH(E796,人物经验!$H$24:$H$573,1))</f>
        <v>338</v>
      </c>
      <c r="K796" s="12">
        <f>IF([3]关卡对接!F784="",INT(INDEX(人物经验!$J$24:$J$573,关卡!J796)*关卡!$S$7),[3]关卡对接!F784)</f>
        <v>8682</v>
      </c>
      <c r="L796" s="12">
        <f t="shared" si="119"/>
        <v>1.6</v>
      </c>
      <c r="M796" s="12">
        <f>L796/[4]货币基础!$B$4</f>
        <v>160</v>
      </c>
      <c r="N796" s="12">
        <f>IF(A796&lt;[3]关卡对接!$A$4,INDEX([3]关卡对接!$E$7:$E$141,A796),MATCH(E796,人物经验!$H$24:$H$573,1))</f>
        <v>338</v>
      </c>
      <c r="O796" s="12">
        <f>INDEX([2]关卡!$G$6:$G$2005,A796)</f>
        <v>3</v>
      </c>
      <c r="P796" s="13">
        <v>6</v>
      </c>
      <c r="Q796" s="12">
        <f>INT(P796/$S$15/O796*VLOOKUP(J796,[1]人物技能基础!$N$3:$O$553,2,0)*$U$15)</f>
        <v>9</v>
      </c>
      <c r="R796" s="12">
        <f t="shared" si="120"/>
        <v>112</v>
      </c>
    </row>
    <row r="797" spans="1:18" x14ac:dyDescent="0.15">
      <c r="A797" s="12">
        <v>779</v>
      </c>
      <c r="B797" s="12">
        <f t="shared" si="114"/>
        <v>4</v>
      </c>
      <c r="C797" s="12">
        <f t="shared" si="115"/>
        <v>3.5424099999999998</v>
      </c>
      <c r="D797" s="12">
        <f t="shared" si="116"/>
        <v>2.1569999999999645E-2</v>
      </c>
      <c r="E797" s="12">
        <f>SUM($D$19:D797)</f>
        <v>9.7424099999999854</v>
      </c>
      <c r="F797" s="12">
        <f t="shared" si="112"/>
        <v>97.202776694569948</v>
      </c>
      <c r="G797" s="12">
        <f t="shared" si="113"/>
        <v>77.756728851980952</v>
      </c>
      <c r="H797" s="12">
        <f t="shared" si="117"/>
        <v>349900</v>
      </c>
      <c r="I797" s="12">
        <f t="shared" si="118"/>
        <v>279900</v>
      </c>
      <c r="J797" s="12">
        <f>IF(A797&lt;[3]关卡对接!$A$4,INDEX([3]关卡对接!$C$7:$C$141,A797),MATCH(E797,人物经验!$H$24:$H$573,1))</f>
        <v>338</v>
      </c>
      <c r="K797" s="12">
        <f>IF([3]关卡对接!F785="",INT(INDEX(人物经验!$J$24:$J$573,关卡!J797)*关卡!$S$7),[3]关卡对接!F785)</f>
        <v>8682</v>
      </c>
      <c r="L797" s="12">
        <f t="shared" si="119"/>
        <v>1.6</v>
      </c>
      <c r="M797" s="12">
        <f>L797/[4]货币基础!$B$4</f>
        <v>160</v>
      </c>
      <c r="N797" s="12">
        <f>IF(A797&lt;[3]关卡对接!$A$4,INDEX([3]关卡对接!$E$7:$E$141,A797),MATCH(E797,人物经验!$H$24:$H$573,1))</f>
        <v>338</v>
      </c>
      <c r="O797" s="12">
        <f>INDEX([2]关卡!$G$6:$G$2005,A797)</f>
        <v>3</v>
      </c>
      <c r="P797" s="13">
        <v>6</v>
      </c>
      <c r="Q797" s="12">
        <f>INT(P797/$S$15/O797*VLOOKUP(J797,[1]人物技能基础!$N$3:$O$553,2,0)*$U$15)</f>
        <v>9</v>
      </c>
      <c r="R797" s="12">
        <f t="shared" si="120"/>
        <v>112</v>
      </c>
    </row>
    <row r="798" spans="1:18" x14ac:dyDescent="0.15">
      <c r="A798" s="12">
        <v>780</v>
      </c>
      <c r="B798" s="12">
        <f t="shared" si="114"/>
        <v>4</v>
      </c>
      <c r="C798" s="12">
        <f t="shared" si="115"/>
        <v>3.5640000000000001</v>
      </c>
      <c r="D798" s="12">
        <f t="shared" si="116"/>
        <v>2.159000000000022E-2</v>
      </c>
      <c r="E798" s="12">
        <f>SUM($D$19:D798)</f>
        <v>9.7639999999999851</v>
      </c>
      <c r="F798" s="12">
        <f t="shared" si="112"/>
        <v>97.446329590000005</v>
      </c>
      <c r="G798" s="12">
        <f t="shared" si="113"/>
        <v>77.910618950000014</v>
      </c>
      <c r="H798" s="12">
        <f t="shared" si="117"/>
        <v>350800</v>
      </c>
      <c r="I798" s="12">
        <f t="shared" si="118"/>
        <v>280400</v>
      </c>
      <c r="J798" s="12">
        <f>IF(A798&lt;[3]关卡对接!$A$4,INDEX([3]关卡对接!$C$7:$C$141,A798),MATCH(E798,人物经验!$H$24:$H$573,1))</f>
        <v>338</v>
      </c>
      <c r="K798" s="12">
        <f>IF([3]关卡对接!F786="",INT(INDEX(人物经验!$J$24:$J$573,关卡!J798)*关卡!$S$7),[3]关卡对接!F786)</f>
        <v>8682</v>
      </c>
      <c r="L798" s="12">
        <f t="shared" si="119"/>
        <v>1.6</v>
      </c>
      <c r="M798" s="12">
        <f>L798/[4]货币基础!$B$4</f>
        <v>160</v>
      </c>
      <c r="N798" s="12">
        <f>IF(A798&lt;[3]关卡对接!$A$4,INDEX([3]关卡对接!$E$7:$E$141,A798),MATCH(E798,人物经验!$H$24:$H$573,1))</f>
        <v>338</v>
      </c>
      <c r="O798" s="12">
        <f>INDEX([2]关卡!$G$6:$G$2005,A798)</f>
        <v>3</v>
      </c>
      <c r="P798" s="13">
        <v>6</v>
      </c>
      <c r="Q798" s="12">
        <f>INT(P798/$S$15/O798*VLOOKUP(J798,[1]人物技能基础!$N$3:$O$553,2,0)*$U$15)</f>
        <v>9</v>
      </c>
      <c r="R798" s="12">
        <f t="shared" si="120"/>
        <v>112</v>
      </c>
    </row>
    <row r="799" spans="1:18" x14ac:dyDescent="0.15">
      <c r="A799" s="12">
        <v>781</v>
      </c>
      <c r="B799" s="12">
        <f t="shared" si="114"/>
        <v>4</v>
      </c>
      <c r="C799" s="12">
        <f t="shared" si="115"/>
        <v>3.58561</v>
      </c>
      <c r="D799" s="12">
        <f t="shared" si="116"/>
        <v>2.1609999999999907E-2</v>
      </c>
      <c r="E799" s="12">
        <f>SUM($D$19:D799)</f>
        <v>9.7856099999999842</v>
      </c>
      <c r="F799" s="12">
        <f t="shared" si="112"/>
        <v>97.690340049179952</v>
      </c>
      <c r="G799" s="12">
        <f t="shared" si="113"/>
        <v>78.064715146530943</v>
      </c>
      <c r="H799" s="12">
        <f t="shared" si="117"/>
        <v>351600</v>
      </c>
      <c r="I799" s="12">
        <f t="shared" si="118"/>
        <v>281000</v>
      </c>
      <c r="J799" s="12">
        <f>IF(A799&lt;[3]关卡对接!$A$4,INDEX([3]关卡对接!$C$7:$C$141,A799),MATCH(E799,人物经验!$H$24:$H$573,1))</f>
        <v>338</v>
      </c>
      <c r="K799" s="12">
        <f>IF([3]关卡对接!F787="",INT(INDEX(人物经验!$J$24:$J$573,关卡!J799)*关卡!$S$7),[3]关卡对接!F787)</f>
        <v>8682</v>
      </c>
      <c r="L799" s="12">
        <f t="shared" si="119"/>
        <v>1.6</v>
      </c>
      <c r="M799" s="12">
        <f>L799/[4]货币基础!$B$4</f>
        <v>160</v>
      </c>
      <c r="N799" s="12">
        <f>IF(A799&lt;[3]关卡对接!$A$4,INDEX([3]关卡对接!$E$7:$E$141,A799),MATCH(E799,人物经验!$H$24:$H$573,1))</f>
        <v>338</v>
      </c>
      <c r="O799" s="12">
        <f>INDEX([2]关卡!$G$6:$G$2005,A799)</f>
        <v>3</v>
      </c>
      <c r="P799" s="13">
        <v>6</v>
      </c>
      <c r="Q799" s="12">
        <f>INT(P799/$S$15/O799*VLOOKUP(J799,[1]人物技能基础!$N$3:$O$553,2,0)*$U$15)</f>
        <v>9</v>
      </c>
      <c r="R799" s="12">
        <f t="shared" si="120"/>
        <v>112</v>
      </c>
    </row>
    <row r="800" spans="1:18" x14ac:dyDescent="0.15">
      <c r="A800" s="12">
        <v>782</v>
      </c>
      <c r="B800" s="12">
        <f t="shared" si="114"/>
        <v>4</v>
      </c>
      <c r="C800" s="12">
        <f t="shared" si="115"/>
        <v>3.6072400000000004</v>
      </c>
      <c r="D800" s="12">
        <f t="shared" si="116"/>
        <v>2.1630000000000482E-2</v>
      </c>
      <c r="E800" s="12">
        <f>SUM($D$19:D800)</f>
        <v>9.8072399999999842</v>
      </c>
      <c r="F800" s="12">
        <f t="shared" si="112"/>
        <v>97.934808764239023</v>
      </c>
      <c r="G800" s="12">
        <f t="shared" si="113"/>
        <v>78.219017665294999</v>
      </c>
      <c r="H800" s="12">
        <f t="shared" si="117"/>
        <v>352500</v>
      </c>
      <c r="I800" s="12">
        <f t="shared" si="118"/>
        <v>281500</v>
      </c>
      <c r="J800" s="12">
        <f>IF(A800&lt;[3]关卡对接!$A$4,INDEX([3]关卡对接!$C$7:$C$141,A800),MATCH(E800,人物经验!$H$24:$H$573,1))</f>
        <v>338</v>
      </c>
      <c r="K800" s="12">
        <f>IF([3]关卡对接!F788="",INT(INDEX(人物经验!$J$24:$J$573,关卡!J800)*关卡!$S$7),[3]关卡对接!F788)</f>
        <v>8682</v>
      </c>
      <c r="L800" s="12">
        <f t="shared" si="119"/>
        <v>1.6</v>
      </c>
      <c r="M800" s="12">
        <f>L800/[4]货币基础!$B$4</f>
        <v>160</v>
      </c>
      <c r="N800" s="12">
        <f>IF(A800&lt;[3]关卡对接!$A$4,INDEX([3]关卡对接!$E$7:$E$141,A800),MATCH(E800,人物经验!$H$24:$H$573,1))</f>
        <v>338</v>
      </c>
      <c r="O800" s="12">
        <f>INDEX([2]关卡!$G$6:$G$2005,A800)</f>
        <v>3</v>
      </c>
      <c r="P800" s="13">
        <v>6</v>
      </c>
      <c r="Q800" s="12">
        <f>INT(P800/$S$15/O800*VLOOKUP(J800,[1]人物技能基础!$N$3:$O$553,2,0)*$U$15)</f>
        <v>9</v>
      </c>
      <c r="R800" s="12">
        <f t="shared" si="120"/>
        <v>112</v>
      </c>
    </row>
    <row r="801" spans="1:18" x14ac:dyDescent="0.15">
      <c r="A801" s="12">
        <v>783</v>
      </c>
      <c r="B801" s="12">
        <f t="shared" si="114"/>
        <v>4</v>
      </c>
      <c r="C801" s="12">
        <f t="shared" si="115"/>
        <v>3.6288900000000002</v>
      </c>
      <c r="D801" s="12">
        <f t="shared" si="116"/>
        <v>2.1649999999999725E-2</v>
      </c>
      <c r="E801" s="12">
        <f>SUM($D$19:D801)</f>
        <v>9.8288899999999835</v>
      </c>
      <c r="F801" s="12">
        <f t="shared" si="112"/>
        <v>98.179736427904942</v>
      </c>
      <c r="G801" s="12">
        <f t="shared" si="113"/>
        <v>78.37352673015593</v>
      </c>
      <c r="H801" s="12">
        <f t="shared" si="117"/>
        <v>353400</v>
      </c>
      <c r="I801" s="12">
        <f t="shared" si="118"/>
        <v>282100</v>
      </c>
      <c r="J801" s="12">
        <f>IF(A801&lt;[3]关卡对接!$A$4,INDEX([3]关卡对接!$C$7:$C$141,A801),MATCH(E801,人物经验!$H$24:$H$573,1))</f>
        <v>339</v>
      </c>
      <c r="K801" s="12">
        <f>IF([3]关卡对接!F789="",INT(INDEX(人物经验!$J$24:$J$573,关卡!J801)*关卡!$S$7),[3]关卡对接!F789)</f>
        <v>8814</v>
      </c>
      <c r="L801" s="12">
        <f t="shared" si="119"/>
        <v>1.6</v>
      </c>
      <c r="M801" s="12">
        <f>L801/[4]货币基础!$B$4</f>
        <v>160</v>
      </c>
      <c r="N801" s="12">
        <f>IF(A801&lt;[3]关卡对接!$A$4,INDEX([3]关卡对接!$E$7:$E$141,A801),MATCH(E801,人物经验!$H$24:$H$573,1))</f>
        <v>339</v>
      </c>
      <c r="O801" s="12">
        <f>INDEX([2]关卡!$G$6:$G$2005,A801)</f>
        <v>3</v>
      </c>
      <c r="P801" s="13">
        <v>6</v>
      </c>
      <c r="Q801" s="12">
        <f>INT(P801/$S$15/O801*VLOOKUP(J801,[1]人物技能基础!$N$3:$O$553,2,0)*$U$15)</f>
        <v>9</v>
      </c>
      <c r="R801" s="12">
        <f t="shared" si="120"/>
        <v>112</v>
      </c>
    </row>
    <row r="802" spans="1:18" x14ac:dyDescent="0.15">
      <c r="A802" s="12">
        <v>784</v>
      </c>
      <c r="B802" s="12">
        <f t="shared" si="114"/>
        <v>4</v>
      </c>
      <c r="C802" s="12">
        <f t="shared" si="115"/>
        <v>3.6505600000000005</v>
      </c>
      <c r="D802" s="12">
        <f t="shared" si="116"/>
        <v>2.16700000000003E-2</v>
      </c>
      <c r="E802" s="12">
        <f>SUM($D$19:D802)</f>
        <v>9.8505599999999838</v>
      </c>
      <c r="F802" s="12">
        <f t="shared" si="112"/>
        <v>98.425123733504023</v>
      </c>
      <c r="G802" s="12">
        <f t="shared" si="113"/>
        <v>78.528242565120024</v>
      </c>
      <c r="H802" s="12">
        <f t="shared" si="117"/>
        <v>354300</v>
      </c>
      <c r="I802" s="12">
        <f t="shared" si="118"/>
        <v>282700</v>
      </c>
      <c r="J802" s="12">
        <f>IF(A802&lt;[3]关卡对接!$A$4,INDEX([3]关卡对接!$C$7:$C$141,A802),MATCH(E802,人物经验!$H$24:$H$573,1))</f>
        <v>339</v>
      </c>
      <c r="K802" s="12">
        <f>IF([3]关卡对接!F790="",INT(INDEX(人物经验!$J$24:$J$573,关卡!J802)*关卡!$S$7),[3]关卡对接!F790)</f>
        <v>8814</v>
      </c>
      <c r="L802" s="12">
        <f t="shared" si="119"/>
        <v>1.6</v>
      </c>
      <c r="M802" s="12">
        <f>L802/[4]货币基础!$B$4</f>
        <v>160</v>
      </c>
      <c r="N802" s="12">
        <f>IF(A802&lt;[3]关卡对接!$A$4,INDEX([3]关卡对接!$E$7:$E$141,A802),MATCH(E802,人物经验!$H$24:$H$573,1))</f>
        <v>339</v>
      </c>
      <c r="O802" s="12">
        <f>INDEX([2]关卡!$G$6:$G$2005,A802)</f>
        <v>3</v>
      </c>
      <c r="P802" s="13">
        <v>6</v>
      </c>
      <c r="Q802" s="12">
        <f>INT(P802/$S$15/O802*VLOOKUP(J802,[1]人物技能基础!$N$3:$O$553,2,0)*$U$15)</f>
        <v>9</v>
      </c>
      <c r="R802" s="12">
        <f t="shared" si="120"/>
        <v>112</v>
      </c>
    </row>
    <row r="803" spans="1:18" x14ac:dyDescent="0.15">
      <c r="A803" s="12">
        <v>785</v>
      </c>
      <c r="B803" s="12">
        <f t="shared" si="114"/>
        <v>4</v>
      </c>
      <c r="C803" s="12">
        <f t="shared" si="115"/>
        <v>3.67225</v>
      </c>
      <c r="D803" s="12">
        <f t="shared" si="116"/>
        <v>2.1689999999999543E-2</v>
      </c>
      <c r="E803" s="12">
        <f>SUM($D$19:D803)</f>
        <v>9.8722499999999833</v>
      </c>
      <c r="F803" s="12">
        <f t="shared" si="112"/>
        <v>98.670971374960942</v>
      </c>
      <c r="G803" s="12">
        <f t="shared" si="113"/>
        <v>78.683165394335944</v>
      </c>
      <c r="H803" s="12">
        <f t="shared" si="117"/>
        <v>355200</v>
      </c>
      <c r="I803" s="12">
        <f t="shared" si="118"/>
        <v>283200</v>
      </c>
      <c r="J803" s="12">
        <f>IF(A803&lt;[3]关卡对接!$A$4,INDEX([3]关卡对接!$C$7:$C$141,A803),MATCH(E803,人物经验!$H$24:$H$573,1))</f>
        <v>339</v>
      </c>
      <c r="K803" s="12">
        <f>IF([3]关卡对接!F791="",INT(INDEX(人物经验!$J$24:$J$573,关卡!J803)*关卡!$S$7),[3]关卡对接!F791)</f>
        <v>8814</v>
      </c>
      <c r="L803" s="12">
        <f t="shared" si="119"/>
        <v>1.6</v>
      </c>
      <c r="M803" s="12">
        <f>L803/[4]货币基础!$B$4</f>
        <v>160</v>
      </c>
      <c r="N803" s="12">
        <f>IF(A803&lt;[3]关卡对接!$A$4,INDEX([3]关卡对接!$E$7:$E$141,A803),MATCH(E803,人物经验!$H$24:$H$573,1))</f>
        <v>339</v>
      </c>
      <c r="O803" s="12">
        <f>INDEX([2]关卡!$G$6:$G$2005,A803)</f>
        <v>3</v>
      </c>
      <c r="P803" s="13">
        <v>6</v>
      </c>
      <c r="Q803" s="12">
        <f>INT(P803/$S$15/O803*VLOOKUP(J803,[1]人物技能基础!$N$3:$O$553,2,0)*$U$15)</f>
        <v>9</v>
      </c>
      <c r="R803" s="12">
        <f t="shared" si="120"/>
        <v>112</v>
      </c>
    </row>
    <row r="804" spans="1:18" x14ac:dyDescent="0.15">
      <c r="A804" s="12">
        <v>786</v>
      </c>
      <c r="B804" s="12">
        <f t="shared" si="114"/>
        <v>4</v>
      </c>
      <c r="C804" s="12">
        <f t="shared" si="115"/>
        <v>3.6939600000000006</v>
      </c>
      <c r="D804" s="12">
        <f t="shared" si="116"/>
        <v>2.1710000000000562E-2</v>
      </c>
      <c r="E804" s="12">
        <f>SUM($D$19:D804)</f>
        <v>9.8939599999999839</v>
      </c>
      <c r="F804" s="12">
        <f t="shared" si="112"/>
        <v>98.917280046799007</v>
      </c>
      <c r="G804" s="12">
        <f t="shared" si="113"/>
        <v>78.838295442095003</v>
      </c>
      <c r="H804" s="12">
        <f t="shared" si="117"/>
        <v>356100</v>
      </c>
      <c r="I804" s="12">
        <f t="shared" si="118"/>
        <v>283800</v>
      </c>
      <c r="J804" s="12">
        <f>IF(A804&lt;[3]关卡对接!$A$4,INDEX([3]关卡对接!$C$7:$C$141,A804),MATCH(E804,人物经验!$H$24:$H$573,1))</f>
        <v>339</v>
      </c>
      <c r="K804" s="12">
        <f>IF([3]关卡对接!F792="",INT(INDEX(人物经验!$J$24:$J$573,关卡!J804)*关卡!$S$7),[3]关卡对接!F792)</f>
        <v>8814</v>
      </c>
      <c r="L804" s="12">
        <f t="shared" si="119"/>
        <v>1.6</v>
      </c>
      <c r="M804" s="12">
        <f>L804/[4]货币基础!$B$4</f>
        <v>160</v>
      </c>
      <c r="N804" s="12">
        <f>IF(A804&lt;[3]关卡对接!$A$4,INDEX([3]关卡对接!$E$7:$E$141,A804),MATCH(E804,人物经验!$H$24:$H$573,1))</f>
        <v>339</v>
      </c>
      <c r="O804" s="12">
        <f>INDEX([2]关卡!$G$6:$G$2005,A804)</f>
        <v>3</v>
      </c>
      <c r="P804" s="13">
        <v>6</v>
      </c>
      <c r="Q804" s="12">
        <f>INT(P804/$S$15/O804*VLOOKUP(J804,[1]人物技能基础!$N$3:$O$553,2,0)*$U$15)</f>
        <v>9</v>
      </c>
      <c r="R804" s="12">
        <f t="shared" si="120"/>
        <v>112</v>
      </c>
    </row>
    <row r="805" spans="1:18" x14ac:dyDescent="0.15">
      <c r="A805" s="12">
        <v>787</v>
      </c>
      <c r="B805" s="12">
        <f t="shared" si="114"/>
        <v>4</v>
      </c>
      <c r="C805" s="12">
        <f t="shared" si="115"/>
        <v>3.7156900000000004</v>
      </c>
      <c r="D805" s="12">
        <f t="shared" si="116"/>
        <v>2.1729999999999805E-2</v>
      </c>
      <c r="E805" s="12">
        <f>SUM($D$19:D805)</f>
        <v>9.9156899999999837</v>
      </c>
      <c r="F805" s="12">
        <f t="shared" si="112"/>
        <v>99.164050444139946</v>
      </c>
      <c r="G805" s="12">
        <f t="shared" si="113"/>
        <v>78.993632932830934</v>
      </c>
      <c r="H805" s="12">
        <f t="shared" si="117"/>
        <v>356900</v>
      </c>
      <c r="I805" s="12">
        <f t="shared" si="118"/>
        <v>284300</v>
      </c>
      <c r="J805" s="12">
        <f>IF(A805&lt;[3]关卡对接!$A$4,INDEX([3]关卡对接!$C$7:$C$141,A805),MATCH(E805,人物经验!$H$24:$H$573,1))</f>
        <v>339</v>
      </c>
      <c r="K805" s="12">
        <f>IF([3]关卡对接!F793="",INT(INDEX(人物经验!$J$24:$J$573,关卡!J805)*关卡!$S$7),[3]关卡对接!F793)</f>
        <v>8814</v>
      </c>
      <c r="L805" s="12">
        <f t="shared" si="119"/>
        <v>1.6</v>
      </c>
      <c r="M805" s="12">
        <f>L805/[4]货币基础!$B$4</f>
        <v>160</v>
      </c>
      <c r="N805" s="12">
        <f>IF(A805&lt;[3]关卡对接!$A$4,INDEX([3]关卡对接!$E$7:$E$141,A805),MATCH(E805,人物经验!$H$24:$H$573,1))</f>
        <v>339</v>
      </c>
      <c r="O805" s="12">
        <f>INDEX([2]关卡!$G$6:$G$2005,A805)</f>
        <v>3</v>
      </c>
      <c r="P805" s="13">
        <v>6</v>
      </c>
      <c r="Q805" s="12">
        <f>INT(P805/$S$15/O805*VLOOKUP(J805,[1]人物技能基础!$N$3:$O$553,2,0)*$U$15)</f>
        <v>9</v>
      </c>
      <c r="R805" s="12">
        <f t="shared" si="120"/>
        <v>112</v>
      </c>
    </row>
    <row r="806" spans="1:18" x14ac:dyDescent="0.15">
      <c r="A806" s="12">
        <v>788</v>
      </c>
      <c r="B806" s="12">
        <f t="shared" si="114"/>
        <v>4</v>
      </c>
      <c r="C806" s="12">
        <f t="shared" si="115"/>
        <v>3.7374399999999999</v>
      </c>
      <c r="D806" s="12">
        <f t="shared" si="116"/>
        <v>2.1749999999999492E-2</v>
      </c>
      <c r="E806" s="12">
        <f>SUM($D$19:D806)</f>
        <v>9.9374399999999827</v>
      </c>
      <c r="F806" s="12">
        <f t="shared" si="112"/>
        <v>99.411283262704032</v>
      </c>
      <c r="G806" s="12">
        <f t="shared" si="113"/>
        <v>79.149178091120007</v>
      </c>
      <c r="H806" s="12">
        <f t="shared" si="117"/>
        <v>357800</v>
      </c>
      <c r="I806" s="12">
        <f t="shared" si="118"/>
        <v>284900</v>
      </c>
      <c r="J806" s="12">
        <f>IF(A806&lt;[3]关卡对接!$A$4,INDEX([3]关卡对接!$C$7:$C$141,A806),MATCH(E806,人物经验!$H$24:$H$573,1))</f>
        <v>339</v>
      </c>
      <c r="K806" s="12">
        <f>IF([3]关卡对接!F794="",INT(INDEX(人物经验!$J$24:$J$573,关卡!J806)*关卡!$S$7),[3]关卡对接!F794)</f>
        <v>8814</v>
      </c>
      <c r="L806" s="12">
        <f t="shared" si="119"/>
        <v>1.6</v>
      </c>
      <c r="M806" s="12">
        <f>L806/[4]货币基础!$B$4</f>
        <v>160</v>
      </c>
      <c r="N806" s="12">
        <f>IF(A806&lt;[3]关卡对接!$A$4,INDEX([3]关卡对接!$E$7:$E$141,A806),MATCH(E806,人物经验!$H$24:$H$573,1))</f>
        <v>339</v>
      </c>
      <c r="O806" s="12">
        <f>INDEX([2]关卡!$G$6:$G$2005,A806)</f>
        <v>3</v>
      </c>
      <c r="P806" s="13">
        <v>6</v>
      </c>
      <c r="Q806" s="12">
        <f>INT(P806/$S$15/O806*VLOOKUP(J806,[1]人物技能基础!$N$3:$O$553,2,0)*$U$15)</f>
        <v>9</v>
      </c>
      <c r="R806" s="12">
        <f t="shared" si="120"/>
        <v>112</v>
      </c>
    </row>
    <row r="807" spans="1:18" x14ac:dyDescent="0.15">
      <c r="A807" s="12">
        <v>789</v>
      </c>
      <c r="B807" s="12">
        <f t="shared" si="114"/>
        <v>4</v>
      </c>
      <c r="C807" s="12">
        <f t="shared" si="115"/>
        <v>3.7592099999999995</v>
      </c>
      <c r="D807" s="12">
        <f t="shared" si="116"/>
        <v>2.1769999999999623E-2</v>
      </c>
      <c r="E807" s="12">
        <f>SUM($D$19:D807)</f>
        <v>9.9592099999999828</v>
      </c>
      <c r="F807" s="12">
        <f t="shared" si="112"/>
        <v>99.658979198809945</v>
      </c>
      <c r="G807" s="12">
        <f t="shared" si="113"/>
        <v>79.304931141680939</v>
      </c>
      <c r="H807" s="12">
        <f t="shared" si="117"/>
        <v>358700</v>
      </c>
      <c r="I807" s="12">
        <f t="shared" si="118"/>
        <v>285400</v>
      </c>
      <c r="J807" s="12">
        <f>IF(A807&lt;[3]关卡对接!$A$4,INDEX([3]关卡对接!$C$7:$C$141,A807),MATCH(E807,人物经验!$H$24:$H$573,1))</f>
        <v>339</v>
      </c>
      <c r="K807" s="12">
        <f>IF([3]关卡对接!F795="",INT(INDEX(人物经验!$J$24:$J$573,关卡!J807)*关卡!$S$7),[3]关卡对接!F795)</f>
        <v>8814</v>
      </c>
      <c r="L807" s="12">
        <f t="shared" si="119"/>
        <v>1.6</v>
      </c>
      <c r="M807" s="12">
        <f>L807/[4]货币基础!$B$4</f>
        <v>160</v>
      </c>
      <c r="N807" s="12">
        <f>IF(A807&lt;[3]关卡对接!$A$4,INDEX([3]关卡对接!$E$7:$E$141,A807),MATCH(E807,人物经验!$H$24:$H$573,1))</f>
        <v>339</v>
      </c>
      <c r="O807" s="12">
        <f>INDEX([2]关卡!$G$6:$G$2005,A807)</f>
        <v>3</v>
      </c>
      <c r="P807" s="13">
        <v>6</v>
      </c>
      <c r="Q807" s="12">
        <f>INT(P807/$S$15/O807*VLOOKUP(J807,[1]人物技能基础!$N$3:$O$553,2,0)*$U$15)</f>
        <v>9</v>
      </c>
      <c r="R807" s="12">
        <f t="shared" si="120"/>
        <v>112</v>
      </c>
    </row>
    <row r="808" spans="1:18" x14ac:dyDescent="0.15">
      <c r="A808" s="12">
        <v>790</v>
      </c>
      <c r="B808" s="12">
        <f t="shared" si="114"/>
        <v>4</v>
      </c>
      <c r="C808" s="12">
        <f t="shared" si="115"/>
        <v>3.7809999999999997</v>
      </c>
      <c r="D808" s="12">
        <f t="shared" si="116"/>
        <v>2.1790000000000198E-2</v>
      </c>
      <c r="E808" s="12">
        <f>SUM($D$19:D808)</f>
        <v>9.9809999999999839</v>
      </c>
      <c r="F808" s="12">
        <f t="shared" si="112"/>
        <v>99.907138949375025</v>
      </c>
      <c r="G808" s="12">
        <f t="shared" si="113"/>
        <v>79.460892309375012</v>
      </c>
      <c r="H808" s="12">
        <f t="shared" si="117"/>
        <v>359600</v>
      </c>
      <c r="I808" s="12">
        <f t="shared" si="118"/>
        <v>286000</v>
      </c>
      <c r="J808" s="12">
        <f>IF(A808&lt;[3]关卡对接!$A$4,INDEX([3]关卡对接!$C$7:$C$141,A808),MATCH(E808,人物经验!$H$24:$H$573,1))</f>
        <v>340</v>
      </c>
      <c r="K808" s="12">
        <f>IF([3]关卡对接!F796="",INT(INDEX(人物经验!$J$24:$J$573,关卡!J808)*关卡!$S$7),[3]关卡对接!F796)</f>
        <v>8969</v>
      </c>
      <c r="L808" s="12">
        <f t="shared" si="119"/>
        <v>1.6</v>
      </c>
      <c r="M808" s="12">
        <f>L808/[4]货币基础!$B$4</f>
        <v>160</v>
      </c>
      <c r="N808" s="12">
        <f>IF(A808&lt;[3]关卡对接!$A$4,INDEX([3]关卡对接!$E$7:$E$141,A808),MATCH(E808,人物经验!$H$24:$H$573,1))</f>
        <v>340</v>
      </c>
      <c r="O808" s="12">
        <f>INDEX([2]关卡!$G$6:$G$2005,A808)</f>
        <v>3</v>
      </c>
      <c r="P808" s="13">
        <v>6</v>
      </c>
      <c r="Q808" s="12">
        <f>INT(P808/$S$15/O808*VLOOKUP(J808,[1]人物技能基础!$N$3:$O$553,2,0)*$U$15)</f>
        <v>9</v>
      </c>
      <c r="R808" s="12">
        <f t="shared" si="120"/>
        <v>112</v>
      </c>
    </row>
    <row r="809" spans="1:18" x14ac:dyDescent="0.15">
      <c r="A809" s="12">
        <v>791</v>
      </c>
      <c r="B809" s="12">
        <f t="shared" si="114"/>
        <v>4</v>
      </c>
      <c r="C809" s="12">
        <f t="shared" si="115"/>
        <v>3.8028099999999996</v>
      </c>
      <c r="D809" s="12">
        <f t="shared" si="116"/>
        <v>2.1809999999999885E-2</v>
      </c>
      <c r="E809" s="12">
        <f>SUM($D$19:D809)</f>
        <v>10.002809999999984</v>
      </c>
      <c r="F809" s="12">
        <f t="shared" si="112"/>
        <v>100.15576321191496</v>
      </c>
      <c r="G809" s="12">
        <f t="shared" si="113"/>
        <v>79.617061819205929</v>
      </c>
      <c r="H809" s="12">
        <f t="shared" si="117"/>
        <v>360500</v>
      </c>
      <c r="I809" s="12">
        <f t="shared" si="118"/>
        <v>286600</v>
      </c>
      <c r="J809" s="12">
        <f>IF(A809&lt;[3]关卡对接!$A$4,INDEX([3]关卡对接!$C$7:$C$141,A809),MATCH(E809,人物经验!$H$24:$H$573,1))</f>
        <v>340</v>
      </c>
      <c r="K809" s="12">
        <f>IF([3]关卡对接!F797="",INT(INDEX(人物经验!$J$24:$J$573,关卡!J809)*关卡!$S$7),[3]关卡对接!F797)</f>
        <v>8969</v>
      </c>
      <c r="L809" s="12">
        <f t="shared" si="119"/>
        <v>1.6</v>
      </c>
      <c r="M809" s="12">
        <f>L809/[4]货币基础!$B$4</f>
        <v>160</v>
      </c>
      <c r="N809" s="12">
        <f>IF(A809&lt;[3]关卡对接!$A$4,INDEX([3]关卡对接!$E$7:$E$141,A809),MATCH(E809,人物经验!$H$24:$H$573,1))</f>
        <v>340</v>
      </c>
      <c r="O809" s="12">
        <f>INDEX([2]关卡!$G$6:$G$2005,A809)</f>
        <v>3</v>
      </c>
      <c r="P809" s="13">
        <v>6</v>
      </c>
      <c r="Q809" s="12">
        <f>INT(P809/$S$15/O809*VLOOKUP(J809,[1]人物技能基础!$N$3:$O$553,2,0)*$U$15)</f>
        <v>9</v>
      </c>
      <c r="R809" s="12">
        <f t="shared" si="120"/>
        <v>112</v>
      </c>
    </row>
    <row r="810" spans="1:18" x14ac:dyDescent="0.15">
      <c r="A810" s="12">
        <v>792</v>
      </c>
      <c r="B810" s="12">
        <f t="shared" si="114"/>
        <v>4</v>
      </c>
      <c r="C810" s="12">
        <f t="shared" si="115"/>
        <v>3.82464</v>
      </c>
      <c r="D810" s="12">
        <f t="shared" si="116"/>
        <v>2.183000000000046E-2</v>
      </c>
      <c r="E810" s="12">
        <f>SUM($D$19:D810)</f>
        <v>10.024639999999984</v>
      </c>
      <c r="F810" s="12">
        <f t="shared" si="112"/>
        <v>100.40485268454401</v>
      </c>
      <c r="G810" s="12">
        <f t="shared" si="113"/>
        <v>79.773439896319999</v>
      </c>
      <c r="H810" s="12">
        <f t="shared" si="117"/>
        <v>361400</v>
      </c>
      <c r="I810" s="12">
        <f t="shared" si="118"/>
        <v>287100</v>
      </c>
      <c r="J810" s="12">
        <f>IF(A810&lt;[3]关卡对接!$A$4,INDEX([3]关卡对接!$C$7:$C$141,A810),MATCH(E810,人物经验!$H$24:$H$573,1))</f>
        <v>340</v>
      </c>
      <c r="K810" s="12">
        <f>IF([3]关卡对接!F798="",INT(INDEX(人物经验!$J$24:$J$573,关卡!J810)*关卡!$S$7),[3]关卡对接!F798)</f>
        <v>8969</v>
      </c>
      <c r="L810" s="12">
        <f t="shared" si="119"/>
        <v>1.6</v>
      </c>
      <c r="M810" s="12">
        <f>L810/[4]货币基础!$B$4</f>
        <v>160</v>
      </c>
      <c r="N810" s="12">
        <f>IF(A810&lt;[3]关卡对接!$A$4,INDEX([3]关卡对接!$E$7:$E$141,A810),MATCH(E810,人物经验!$H$24:$H$573,1))</f>
        <v>340</v>
      </c>
      <c r="O810" s="12">
        <f>INDEX([2]关卡!$G$6:$G$2005,A810)</f>
        <v>3</v>
      </c>
      <c r="P810" s="13">
        <v>6</v>
      </c>
      <c r="Q810" s="12">
        <f>INT(P810/$S$15/O810*VLOOKUP(J810,[1]人物技能基础!$N$3:$O$553,2,0)*$U$15)</f>
        <v>9</v>
      </c>
      <c r="R810" s="12">
        <f t="shared" si="120"/>
        <v>112</v>
      </c>
    </row>
    <row r="811" spans="1:18" x14ac:dyDescent="0.15">
      <c r="A811" s="12">
        <v>793</v>
      </c>
      <c r="B811" s="12">
        <f t="shared" si="114"/>
        <v>4</v>
      </c>
      <c r="C811" s="12">
        <f t="shared" si="115"/>
        <v>3.8464899999999997</v>
      </c>
      <c r="D811" s="12">
        <f t="shared" si="116"/>
        <v>2.1849999999999703E-2</v>
      </c>
      <c r="E811" s="12">
        <f>SUM($D$19:D811)</f>
        <v>10.046489999999984</v>
      </c>
      <c r="F811" s="12">
        <f t="shared" si="112"/>
        <v>100.65440806597495</v>
      </c>
      <c r="G811" s="12">
        <f t="shared" si="113"/>
        <v>79.930026766005938</v>
      </c>
      <c r="H811" s="12">
        <f t="shared" si="117"/>
        <v>362300</v>
      </c>
      <c r="I811" s="12">
        <f t="shared" si="118"/>
        <v>287700</v>
      </c>
      <c r="J811" s="12">
        <f>IF(A811&lt;[3]关卡对接!$A$4,INDEX([3]关卡对接!$C$7:$C$141,A811),MATCH(E811,人物经验!$H$24:$H$573,1))</f>
        <v>340</v>
      </c>
      <c r="K811" s="12">
        <f>IF([3]关卡对接!F799="",INT(INDEX(人物经验!$J$24:$J$573,关卡!J811)*关卡!$S$7),[3]关卡对接!F799)</f>
        <v>8969</v>
      </c>
      <c r="L811" s="12">
        <f t="shared" si="119"/>
        <v>1.6</v>
      </c>
      <c r="M811" s="12">
        <f>L811/[4]货币基础!$B$4</f>
        <v>160</v>
      </c>
      <c r="N811" s="12">
        <f>IF(A811&lt;[3]关卡对接!$A$4,INDEX([3]关卡对接!$E$7:$E$141,A811),MATCH(E811,人物经验!$H$24:$H$573,1))</f>
        <v>340</v>
      </c>
      <c r="O811" s="12">
        <f>INDEX([2]关卡!$G$6:$G$2005,A811)</f>
        <v>3</v>
      </c>
      <c r="P811" s="13">
        <v>6</v>
      </c>
      <c r="Q811" s="12">
        <f>INT(P811/$S$15/O811*VLOOKUP(J811,[1]人物技能基础!$N$3:$O$553,2,0)*$U$15)</f>
        <v>9</v>
      </c>
      <c r="R811" s="12">
        <f t="shared" si="120"/>
        <v>112</v>
      </c>
    </row>
    <row r="812" spans="1:18" x14ac:dyDescent="0.15">
      <c r="A812" s="12">
        <v>794</v>
      </c>
      <c r="B812" s="12">
        <f t="shared" si="114"/>
        <v>4</v>
      </c>
      <c r="C812" s="12">
        <f t="shared" si="115"/>
        <v>3.86836</v>
      </c>
      <c r="D812" s="12">
        <f t="shared" si="116"/>
        <v>2.1870000000000278E-2</v>
      </c>
      <c r="E812" s="12">
        <f>SUM($D$19:D812)</f>
        <v>10.068359999999984</v>
      </c>
      <c r="F812" s="12">
        <f t="shared" si="112"/>
        <v>100.90443005551903</v>
      </c>
      <c r="G812" s="12">
        <f t="shared" si="113"/>
        <v>80.086822653695009</v>
      </c>
      <c r="H812" s="12">
        <f t="shared" si="117"/>
        <v>363200</v>
      </c>
      <c r="I812" s="12">
        <f t="shared" si="118"/>
        <v>288300</v>
      </c>
      <c r="J812" s="12">
        <f>IF(A812&lt;[3]关卡对接!$A$4,INDEX([3]关卡对接!$C$7:$C$141,A812),MATCH(E812,人物经验!$H$24:$H$573,1))</f>
        <v>340</v>
      </c>
      <c r="K812" s="12">
        <f>IF([3]关卡对接!F800="",INT(INDEX(人物经验!$J$24:$J$573,关卡!J812)*关卡!$S$7),[3]关卡对接!F800)</f>
        <v>8969</v>
      </c>
      <c r="L812" s="12">
        <f t="shared" si="119"/>
        <v>1.6</v>
      </c>
      <c r="M812" s="12">
        <f>L812/[4]货币基础!$B$4</f>
        <v>160</v>
      </c>
      <c r="N812" s="12">
        <f>IF(A812&lt;[3]关卡对接!$A$4,INDEX([3]关卡对接!$E$7:$E$141,A812),MATCH(E812,人物经验!$H$24:$H$573,1))</f>
        <v>340</v>
      </c>
      <c r="O812" s="12">
        <f>INDEX([2]关卡!$G$6:$G$2005,A812)</f>
        <v>3</v>
      </c>
      <c r="P812" s="13">
        <v>6</v>
      </c>
      <c r="Q812" s="12">
        <f>INT(P812/$S$15/O812*VLOOKUP(J812,[1]人物技能基础!$N$3:$O$553,2,0)*$U$15)</f>
        <v>9</v>
      </c>
      <c r="R812" s="12">
        <f t="shared" si="120"/>
        <v>112</v>
      </c>
    </row>
    <row r="813" spans="1:18" x14ac:dyDescent="0.15">
      <c r="A813" s="12">
        <v>795</v>
      </c>
      <c r="B813" s="12">
        <f t="shared" si="114"/>
        <v>4</v>
      </c>
      <c r="C813" s="12">
        <f t="shared" si="115"/>
        <v>3.89025</v>
      </c>
      <c r="D813" s="12">
        <f t="shared" si="116"/>
        <v>2.1889999999999965E-2</v>
      </c>
      <c r="E813" s="12">
        <f>SUM($D$19:D813)</f>
        <v>10.090249999999983</v>
      </c>
      <c r="F813" s="12">
        <f t="shared" si="112"/>
        <v>101.15491935308594</v>
      </c>
      <c r="G813" s="12">
        <f t="shared" si="113"/>
        <v>80.243827784960942</v>
      </c>
      <c r="H813" s="12">
        <f t="shared" si="117"/>
        <v>364100</v>
      </c>
      <c r="I813" s="12">
        <f t="shared" si="118"/>
        <v>288800</v>
      </c>
      <c r="J813" s="12">
        <f>IF(A813&lt;[3]关卡对接!$A$4,INDEX([3]关卡对接!$C$7:$C$141,A813),MATCH(E813,人物经验!$H$24:$H$573,1))</f>
        <v>340</v>
      </c>
      <c r="K813" s="12">
        <f>IF([3]关卡对接!F801="",INT(INDEX(人物经验!$J$24:$J$573,关卡!J813)*关卡!$S$7),[3]关卡对接!F801)</f>
        <v>8969</v>
      </c>
      <c r="L813" s="12">
        <f t="shared" si="119"/>
        <v>1.6</v>
      </c>
      <c r="M813" s="12">
        <f>L813/[4]货币基础!$B$4</f>
        <v>160</v>
      </c>
      <c r="N813" s="12">
        <f>IF(A813&lt;[3]关卡对接!$A$4,INDEX([3]关卡对接!$E$7:$E$141,A813),MATCH(E813,人物经验!$H$24:$H$573,1))</f>
        <v>340</v>
      </c>
      <c r="O813" s="12">
        <f>INDEX([2]关卡!$G$6:$G$2005,A813)</f>
        <v>3</v>
      </c>
      <c r="P813" s="13">
        <v>6</v>
      </c>
      <c r="Q813" s="12">
        <f>INT(P813/$S$15/O813*VLOOKUP(J813,[1]人物技能基础!$N$3:$O$553,2,0)*$U$15)</f>
        <v>9</v>
      </c>
      <c r="R813" s="12">
        <f t="shared" si="120"/>
        <v>112</v>
      </c>
    </row>
    <row r="814" spans="1:18" x14ac:dyDescent="0.15">
      <c r="A814" s="12">
        <v>796</v>
      </c>
      <c r="B814" s="12">
        <f t="shared" si="114"/>
        <v>4</v>
      </c>
      <c r="C814" s="12">
        <f t="shared" si="115"/>
        <v>3.9121600000000001</v>
      </c>
      <c r="D814" s="12">
        <f t="shared" si="116"/>
        <v>2.1910000000000096E-2</v>
      </c>
      <c r="E814" s="12">
        <f>SUM($D$19:D814)</f>
        <v>10.112159999999983</v>
      </c>
      <c r="F814" s="12">
        <f t="shared" si="112"/>
        <v>101.40587665918402</v>
      </c>
      <c r="G814" s="12">
        <f t="shared" si="113"/>
        <v>80.40104238552</v>
      </c>
      <c r="H814" s="12">
        <f t="shared" si="117"/>
        <v>365000</v>
      </c>
      <c r="I814" s="12">
        <f t="shared" si="118"/>
        <v>289400</v>
      </c>
      <c r="J814" s="12">
        <f>IF(A814&lt;[3]关卡对接!$A$4,INDEX([3]关卡对接!$C$7:$C$141,A814),MATCH(E814,人物经验!$H$24:$H$573,1))</f>
        <v>341</v>
      </c>
      <c r="K814" s="12">
        <f>IF([3]关卡对接!F802="",INT(INDEX(人物经验!$J$24:$J$573,关卡!J814)*关卡!$S$7),[3]关卡对接!F802)</f>
        <v>9103</v>
      </c>
      <c r="L814" s="12">
        <f t="shared" si="119"/>
        <v>1.6</v>
      </c>
      <c r="M814" s="12">
        <f>L814/[4]货币基础!$B$4</f>
        <v>160</v>
      </c>
      <c r="N814" s="12">
        <f>IF(A814&lt;[3]关卡对接!$A$4,INDEX([3]关卡对接!$E$7:$E$141,A814),MATCH(E814,人物经验!$H$24:$H$573,1))</f>
        <v>341</v>
      </c>
      <c r="O814" s="12">
        <f>INDEX([2]关卡!$G$6:$G$2005,A814)</f>
        <v>3</v>
      </c>
      <c r="P814" s="13">
        <v>6</v>
      </c>
      <c r="Q814" s="12">
        <f>INT(P814/$S$15/O814*VLOOKUP(J814,[1]人物技能基础!$N$3:$O$553,2,0)*$U$15)</f>
        <v>9</v>
      </c>
      <c r="R814" s="12">
        <f t="shared" si="120"/>
        <v>112</v>
      </c>
    </row>
    <row r="815" spans="1:18" x14ac:dyDescent="0.15">
      <c r="A815" s="12">
        <v>797</v>
      </c>
      <c r="B815" s="12">
        <f t="shared" si="114"/>
        <v>4</v>
      </c>
      <c r="C815" s="12">
        <f t="shared" si="115"/>
        <v>3.9340899999999999</v>
      </c>
      <c r="D815" s="12">
        <f t="shared" si="116"/>
        <v>2.1929999999999783E-2</v>
      </c>
      <c r="E815" s="12">
        <f>SUM($D$19:D815)</f>
        <v>10.134089999999983</v>
      </c>
      <c r="F815" s="12">
        <f t="shared" si="112"/>
        <v>101.65730267491996</v>
      </c>
      <c r="G815" s="12">
        <f t="shared" si="113"/>
        <v>80.558466681230925</v>
      </c>
      <c r="H815" s="12">
        <f t="shared" si="117"/>
        <v>365900</v>
      </c>
      <c r="I815" s="12">
        <f t="shared" si="118"/>
        <v>290000</v>
      </c>
      <c r="J815" s="12">
        <f>IF(A815&lt;[3]关卡对接!$A$4,INDEX([3]关卡对接!$C$7:$C$141,A815),MATCH(E815,人物经验!$H$24:$H$573,1))</f>
        <v>341</v>
      </c>
      <c r="K815" s="12">
        <f>IF([3]关卡对接!F803="",INT(INDEX(人物经验!$J$24:$J$573,关卡!J815)*关卡!$S$7),[3]关卡对接!F803)</f>
        <v>9103</v>
      </c>
      <c r="L815" s="12">
        <f t="shared" si="119"/>
        <v>1.6</v>
      </c>
      <c r="M815" s="12">
        <f>L815/[4]货币基础!$B$4</f>
        <v>160</v>
      </c>
      <c r="N815" s="12">
        <f>IF(A815&lt;[3]关卡对接!$A$4,INDEX([3]关卡对接!$E$7:$E$141,A815),MATCH(E815,人物经验!$H$24:$H$573,1))</f>
        <v>341</v>
      </c>
      <c r="O815" s="12">
        <f>INDEX([2]关卡!$G$6:$G$2005,A815)</f>
        <v>3</v>
      </c>
      <c r="P815" s="13">
        <v>6</v>
      </c>
      <c r="Q815" s="12">
        <f>INT(P815/$S$15/O815*VLOOKUP(J815,[1]人物技能基础!$N$3:$O$553,2,0)*$U$15)</f>
        <v>9</v>
      </c>
      <c r="R815" s="12">
        <f t="shared" si="120"/>
        <v>112</v>
      </c>
    </row>
    <row r="816" spans="1:18" x14ac:dyDescent="0.15">
      <c r="A816" s="12">
        <v>798</v>
      </c>
      <c r="B816" s="12">
        <f t="shared" si="114"/>
        <v>4</v>
      </c>
      <c r="C816" s="12">
        <f t="shared" si="115"/>
        <v>3.9560400000000002</v>
      </c>
      <c r="D816" s="12">
        <f t="shared" si="116"/>
        <v>2.1950000000000358E-2</v>
      </c>
      <c r="E816" s="12">
        <f>SUM($D$19:D816)</f>
        <v>10.156039999999983</v>
      </c>
      <c r="F816" s="12">
        <f t="shared" si="112"/>
        <v>101.909198101999</v>
      </c>
      <c r="G816" s="12">
        <f t="shared" si="113"/>
        <v>80.716100898094993</v>
      </c>
      <c r="H816" s="12">
        <f t="shared" si="117"/>
        <v>366800</v>
      </c>
      <c r="I816" s="12">
        <f t="shared" si="118"/>
        <v>290500</v>
      </c>
      <c r="J816" s="12">
        <f>IF(A816&lt;[3]关卡对接!$A$4,INDEX([3]关卡对接!$C$7:$C$141,A816),MATCH(E816,人物经验!$H$24:$H$573,1))</f>
        <v>341</v>
      </c>
      <c r="K816" s="12">
        <f>IF([3]关卡对接!F804="",INT(INDEX(人物经验!$J$24:$J$573,关卡!J816)*关卡!$S$7),[3]关卡对接!F804)</f>
        <v>9103</v>
      </c>
      <c r="L816" s="12">
        <f t="shared" si="119"/>
        <v>1.6</v>
      </c>
      <c r="M816" s="12">
        <f>L816/[4]货币基础!$B$4</f>
        <v>160</v>
      </c>
      <c r="N816" s="12">
        <f>IF(A816&lt;[3]关卡对接!$A$4,INDEX([3]关卡对接!$E$7:$E$141,A816),MATCH(E816,人物经验!$H$24:$H$573,1))</f>
        <v>341</v>
      </c>
      <c r="O816" s="12">
        <f>INDEX([2]关卡!$G$6:$G$2005,A816)</f>
        <v>3</v>
      </c>
      <c r="P816" s="13">
        <v>6</v>
      </c>
      <c r="Q816" s="12">
        <f>INT(P816/$S$15/O816*VLOOKUP(J816,[1]人物技能基础!$N$3:$O$553,2,0)*$U$15)</f>
        <v>9</v>
      </c>
      <c r="R816" s="12">
        <f t="shared" si="120"/>
        <v>112</v>
      </c>
    </row>
    <row r="817" spans="1:18" x14ac:dyDescent="0.15">
      <c r="A817" s="12">
        <v>799</v>
      </c>
      <c r="B817" s="12">
        <f t="shared" si="114"/>
        <v>4</v>
      </c>
      <c r="C817" s="12">
        <f t="shared" si="115"/>
        <v>3.9780099999999998</v>
      </c>
      <c r="D817" s="12">
        <f t="shared" si="116"/>
        <v>2.1969999999999601E-2</v>
      </c>
      <c r="E817" s="12">
        <f>SUM($D$19:D817)</f>
        <v>10.178009999999983</v>
      </c>
      <c r="F817" s="12">
        <f t="shared" si="112"/>
        <v>102.16156364272496</v>
      </c>
      <c r="G817" s="12">
        <f t="shared" si="113"/>
        <v>80.873945262255944</v>
      </c>
      <c r="H817" s="12">
        <f t="shared" si="117"/>
        <v>367700</v>
      </c>
      <c r="I817" s="12">
        <f t="shared" si="118"/>
        <v>291100</v>
      </c>
      <c r="J817" s="12">
        <f>IF(A817&lt;[3]关卡对接!$A$4,INDEX([3]关卡对接!$C$7:$C$141,A817),MATCH(E817,人物经验!$H$24:$H$573,1))</f>
        <v>341</v>
      </c>
      <c r="K817" s="12">
        <f>IF([3]关卡对接!F805="",INT(INDEX(人物经验!$J$24:$J$573,关卡!J817)*关卡!$S$7),[3]关卡对接!F805)</f>
        <v>9103</v>
      </c>
      <c r="L817" s="12">
        <f t="shared" si="119"/>
        <v>1.6</v>
      </c>
      <c r="M817" s="12">
        <f>L817/[4]货币基础!$B$4</f>
        <v>160</v>
      </c>
      <c r="N817" s="12">
        <f>IF(A817&lt;[3]关卡对接!$A$4,INDEX([3]关卡对接!$E$7:$E$141,A817),MATCH(E817,人物经验!$H$24:$H$573,1))</f>
        <v>341</v>
      </c>
      <c r="O817" s="12">
        <f>INDEX([2]关卡!$G$6:$G$2005,A817)</f>
        <v>3</v>
      </c>
      <c r="P817" s="13">
        <v>6</v>
      </c>
      <c r="Q817" s="12">
        <f>INT(P817/$S$15/O817*VLOOKUP(J817,[1]人物技能基础!$N$3:$O$553,2,0)*$U$15)</f>
        <v>9</v>
      </c>
      <c r="R817" s="12">
        <f t="shared" si="120"/>
        <v>112</v>
      </c>
    </row>
    <row r="818" spans="1:18" x14ac:dyDescent="0.15">
      <c r="A818" s="12">
        <v>800</v>
      </c>
      <c r="B818" s="12">
        <f t="shared" si="114"/>
        <v>4</v>
      </c>
      <c r="C818" s="12">
        <f t="shared" si="115"/>
        <v>4</v>
      </c>
      <c r="D818" s="12">
        <f t="shared" si="116"/>
        <v>2.1990000000000176E-2</v>
      </c>
      <c r="E818" s="12">
        <f>SUM($D$19:D818)</f>
        <v>10.199999999999983</v>
      </c>
      <c r="F818" s="12">
        <f t="shared" si="112"/>
        <v>102.41440000000001</v>
      </c>
      <c r="G818" s="12">
        <f t="shared" si="113"/>
        <v>81.032000000000011</v>
      </c>
      <c r="H818" s="12">
        <f t="shared" si="117"/>
        <v>368600</v>
      </c>
      <c r="I818" s="12">
        <f t="shared" si="118"/>
        <v>291700</v>
      </c>
      <c r="J818" s="12">
        <f>IF(A818&lt;[3]关卡对接!$A$4,INDEX([3]关卡对接!$C$7:$C$141,A818),MATCH(E818,人物经验!$H$24:$H$573,1))</f>
        <v>341</v>
      </c>
      <c r="K818" s="12">
        <f>IF([3]关卡对接!F806="",INT(INDEX(人物经验!$J$24:$J$573,关卡!J818)*关卡!$S$7),[3]关卡对接!F806)</f>
        <v>9103</v>
      </c>
      <c r="L818" s="12">
        <f t="shared" si="119"/>
        <v>1.6</v>
      </c>
      <c r="M818" s="12">
        <f>L818/[4]货币基础!$B$4</f>
        <v>160</v>
      </c>
      <c r="N818" s="12">
        <f>IF(A818&lt;[3]关卡对接!$A$4,INDEX([3]关卡对接!$E$7:$E$141,A818),MATCH(E818,人物经验!$H$24:$H$573,1))</f>
        <v>341</v>
      </c>
      <c r="O818" s="12">
        <f>INDEX([2]关卡!$G$6:$G$2005,A818)</f>
        <v>3</v>
      </c>
      <c r="P818" s="13">
        <v>6</v>
      </c>
      <c r="Q818" s="12">
        <f>INT(P818/$S$15/O818*VLOOKUP(J818,[1]人物技能基础!$N$3:$O$553,2,0)*$U$15)</f>
        <v>9</v>
      </c>
      <c r="R818" s="12">
        <f t="shared" si="120"/>
        <v>112</v>
      </c>
    </row>
    <row r="819" spans="1:18" x14ac:dyDescent="0.15">
      <c r="A819" s="12">
        <v>801</v>
      </c>
      <c r="B819" s="12">
        <f t="shared" si="114"/>
        <v>5</v>
      </c>
      <c r="C819" s="12">
        <f t="shared" si="115"/>
        <v>2.2512500000000001E-2</v>
      </c>
      <c r="D819" s="12">
        <f t="shared" si="116"/>
        <v>2.2512500000000001E-2</v>
      </c>
      <c r="E819" s="12">
        <f>SUM($D$19:D819)</f>
        <v>10.222512499999983</v>
      </c>
      <c r="F819" s="12">
        <f t="shared" si="112"/>
        <v>102.66770787732493</v>
      </c>
      <c r="G819" s="12">
        <f t="shared" si="113"/>
        <v>81.190265337755932</v>
      </c>
      <c r="H819" s="12">
        <f t="shared" si="117"/>
        <v>369600</v>
      </c>
      <c r="I819" s="12">
        <f t="shared" si="118"/>
        <v>292200</v>
      </c>
      <c r="J819" s="12">
        <f>IF(A819&lt;[3]关卡对接!$A$4,INDEX([3]关卡对接!$C$7:$C$141,A819),MATCH(E819,人物经验!$H$24:$H$573,1))</f>
        <v>341</v>
      </c>
      <c r="K819" s="12">
        <f>IF([3]关卡对接!F807="",INT(INDEX(人物经验!$J$24:$J$573,关卡!J819)*关卡!$S$7),[3]关卡对接!F807)</f>
        <v>9103</v>
      </c>
      <c r="L819" s="12">
        <f t="shared" si="119"/>
        <v>1.8</v>
      </c>
      <c r="M819" s="12">
        <f>L819/[4]货币基础!$B$4</f>
        <v>180</v>
      </c>
      <c r="N819" s="12">
        <f>IF(A819&lt;[3]关卡对接!$A$4,INDEX([3]关卡对接!$E$7:$E$141,A819),MATCH(E819,人物经验!$H$24:$H$573,1))</f>
        <v>341</v>
      </c>
      <c r="O819" s="12">
        <f>INDEX([2]关卡!$G$6:$G$2005,A819)</f>
        <v>3</v>
      </c>
      <c r="P819" s="13">
        <v>6</v>
      </c>
      <c r="Q819" s="12">
        <f>INT(P819/$S$15/O819*VLOOKUP(J819,[1]人物技能基础!$N$3:$O$553,2,0)*$U$15)</f>
        <v>9</v>
      </c>
      <c r="R819" s="12">
        <f t="shared" si="120"/>
        <v>112</v>
      </c>
    </row>
    <row r="820" spans="1:18" x14ac:dyDescent="0.15">
      <c r="A820" s="12">
        <v>802</v>
      </c>
      <c r="B820" s="12">
        <f t="shared" si="114"/>
        <v>5</v>
      </c>
      <c r="C820" s="12">
        <f t="shared" si="115"/>
        <v>4.5050000000000007E-2</v>
      </c>
      <c r="D820" s="12">
        <f t="shared" si="116"/>
        <v>2.2537500000000005E-2</v>
      </c>
      <c r="E820" s="12">
        <f>SUM($D$19:D820)</f>
        <v>10.245049999999983</v>
      </c>
      <c r="F820" s="12">
        <f t="shared" si="112"/>
        <v>102.92148797879902</v>
      </c>
      <c r="G820" s="12">
        <f t="shared" si="113"/>
        <v>81.34874150209501</v>
      </c>
      <c r="H820" s="12">
        <f t="shared" si="117"/>
        <v>370500</v>
      </c>
      <c r="I820" s="12">
        <f t="shared" si="118"/>
        <v>292800</v>
      </c>
      <c r="J820" s="12">
        <f>IF(A820&lt;[3]关卡对接!$A$4,INDEX([3]关卡对接!$C$7:$C$141,A820),MATCH(E820,人物经验!$H$24:$H$573,1))</f>
        <v>342</v>
      </c>
      <c r="K820" s="12">
        <f>IF([3]关卡对接!F808="",INT(INDEX(人物经验!$J$24:$J$573,关卡!J820)*关卡!$S$7),[3]关卡对接!F808)</f>
        <v>9240</v>
      </c>
      <c r="L820" s="12">
        <f t="shared" si="119"/>
        <v>1.8</v>
      </c>
      <c r="M820" s="12">
        <f>L820/[4]货币基础!$B$4</f>
        <v>180</v>
      </c>
      <c r="N820" s="12">
        <f>IF(A820&lt;[3]关卡对接!$A$4,INDEX([3]关卡对接!$E$7:$E$141,A820),MATCH(E820,人物经验!$H$24:$H$573,1))</f>
        <v>342</v>
      </c>
      <c r="O820" s="12">
        <f>INDEX([2]关卡!$G$6:$G$2005,A820)</f>
        <v>3</v>
      </c>
      <c r="P820" s="13">
        <v>6</v>
      </c>
      <c r="Q820" s="12">
        <f>INT(P820/$S$15/O820*VLOOKUP(J820,[1]人物技能基础!$N$3:$O$553,2,0)*$U$15)</f>
        <v>9</v>
      </c>
      <c r="R820" s="12">
        <f t="shared" si="120"/>
        <v>112</v>
      </c>
    </row>
    <row r="821" spans="1:18" x14ac:dyDescent="0.15">
      <c r="A821" s="12">
        <v>803</v>
      </c>
      <c r="B821" s="12">
        <f t="shared" si="114"/>
        <v>5</v>
      </c>
      <c r="C821" s="12">
        <f t="shared" si="115"/>
        <v>6.7612499999999992E-2</v>
      </c>
      <c r="D821" s="12">
        <f t="shared" si="116"/>
        <v>2.2562499999999985E-2</v>
      </c>
      <c r="E821" s="12">
        <f>SUM($D$19:D821)</f>
        <v>10.267612499999982</v>
      </c>
      <c r="F821" s="12">
        <f t="shared" si="112"/>
        <v>103.17574100911996</v>
      </c>
      <c r="G821" s="12">
        <f t="shared" si="113"/>
        <v>81.507428719730953</v>
      </c>
      <c r="H821" s="12">
        <f t="shared" si="117"/>
        <v>371400</v>
      </c>
      <c r="I821" s="12">
        <f t="shared" si="118"/>
        <v>293400</v>
      </c>
      <c r="J821" s="12">
        <f>IF(A821&lt;[3]关卡对接!$A$4,INDEX([3]关卡对接!$C$7:$C$141,A821),MATCH(E821,人物经验!$H$24:$H$573,1))</f>
        <v>342</v>
      </c>
      <c r="K821" s="12">
        <f>IF([3]关卡对接!F809="",INT(INDEX(人物经验!$J$24:$J$573,关卡!J821)*关卡!$S$7),[3]关卡对接!F809)</f>
        <v>9240</v>
      </c>
      <c r="L821" s="12">
        <f t="shared" si="119"/>
        <v>1.8</v>
      </c>
      <c r="M821" s="12">
        <f>L821/[4]货币基础!$B$4</f>
        <v>180</v>
      </c>
      <c r="N821" s="12">
        <f>IF(A821&lt;[3]关卡对接!$A$4,INDEX([3]关卡对接!$E$7:$E$141,A821),MATCH(E821,人物经验!$H$24:$H$573,1))</f>
        <v>342</v>
      </c>
      <c r="O821" s="12">
        <f>INDEX([2]关卡!$G$6:$G$2005,A821)</f>
        <v>3</v>
      </c>
      <c r="P821" s="13">
        <v>6</v>
      </c>
      <c r="Q821" s="12">
        <f>INT(P821/$S$15/O821*VLOOKUP(J821,[1]人物技能基础!$N$3:$O$553,2,0)*$U$15)</f>
        <v>9</v>
      </c>
      <c r="R821" s="12">
        <f t="shared" si="120"/>
        <v>112</v>
      </c>
    </row>
    <row r="822" spans="1:18" x14ac:dyDescent="0.15">
      <c r="A822" s="12">
        <v>804</v>
      </c>
      <c r="B822" s="12">
        <f t="shared" si="114"/>
        <v>5</v>
      </c>
      <c r="C822" s="12">
        <f t="shared" si="115"/>
        <v>9.0200000000000002E-2</v>
      </c>
      <c r="D822" s="12">
        <f t="shared" si="116"/>
        <v>2.258750000000001E-2</v>
      </c>
      <c r="E822" s="12">
        <f>SUM($D$19:D822)</f>
        <v>10.290199999999983</v>
      </c>
      <c r="F822" s="12">
        <f t="shared" si="112"/>
        <v>103.43046767358402</v>
      </c>
      <c r="G822" s="12">
        <f t="shared" si="113"/>
        <v>81.666327217520006</v>
      </c>
      <c r="H822" s="12">
        <f t="shared" si="117"/>
        <v>372300</v>
      </c>
      <c r="I822" s="12">
        <f t="shared" si="118"/>
        <v>293900</v>
      </c>
      <c r="J822" s="12">
        <f>IF(A822&lt;[3]关卡对接!$A$4,INDEX([3]关卡对接!$C$7:$C$141,A822),MATCH(E822,人物经验!$H$24:$H$573,1))</f>
        <v>342</v>
      </c>
      <c r="K822" s="12">
        <f>IF([3]关卡对接!F810="",INT(INDEX(人物经验!$J$24:$J$573,关卡!J822)*关卡!$S$7),[3]关卡对接!F810)</f>
        <v>9240</v>
      </c>
      <c r="L822" s="12">
        <f t="shared" si="119"/>
        <v>1.8</v>
      </c>
      <c r="M822" s="12">
        <f>L822/[4]货币基础!$B$4</f>
        <v>180</v>
      </c>
      <c r="N822" s="12">
        <f>IF(A822&lt;[3]关卡对接!$A$4,INDEX([3]关卡对接!$E$7:$E$141,A822),MATCH(E822,人物经验!$H$24:$H$573,1))</f>
        <v>342</v>
      </c>
      <c r="O822" s="12">
        <f>INDEX([2]关卡!$G$6:$G$2005,A822)</f>
        <v>3</v>
      </c>
      <c r="P822" s="13">
        <v>6</v>
      </c>
      <c r="Q822" s="12">
        <f>INT(P822/$S$15/O822*VLOOKUP(J822,[1]人物技能基础!$N$3:$O$553,2,0)*$U$15)</f>
        <v>9</v>
      </c>
      <c r="R822" s="12">
        <f t="shared" si="120"/>
        <v>112</v>
      </c>
    </row>
    <row r="823" spans="1:18" x14ac:dyDescent="0.15">
      <c r="A823" s="12">
        <v>805</v>
      </c>
      <c r="B823" s="12">
        <f t="shared" si="114"/>
        <v>5</v>
      </c>
      <c r="C823" s="12">
        <f t="shared" si="115"/>
        <v>0.11281250000000001</v>
      </c>
      <c r="D823" s="12">
        <f t="shared" si="116"/>
        <v>2.2612500000000008E-2</v>
      </c>
      <c r="E823" s="12">
        <f>SUM($D$19:D823)</f>
        <v>10.312812499999982</v>
      </c>
      <c r="F823" s="12">
        <f t="shared" si="112"/>
        <v>103.68566867808596</v>
      </c>
      <c r="G823" s="12">
        <f t="shared" si="113"/>
        <v>81.825437222460934</v>
      </c>
      <c r="H823" s="12">
        <f t="shared" si="117"/>
        <v>373200</v>
      </c>
      <c r="I823" s="12">
        <f t="shared" si="118"/>
        <v>294500</v>
      </c>
      <c r="J823" s="12">
        <f>IF(A823&lt;[3]关卡对接!$A$4,INDEX([3]关卡对接!$C$7:$C$141,A823),MATCH(E823,人物经验!$H$24:$H$573,1))</f>
        <v>342</v>
      </c>
      <c r="K823" s="12">
        <f>IF([3]关卡对接!F811="",INT(INDEX(人物经验!$J$24:$J$573,关卡!J823)*关卡!$S$7),[3]关卡对接!F811)</f>
        <v>9240</v>
      </c>
      <c r="L823" s="12">
        <f t="shared" si="119"/>
        <v>1.8</v>
      </c>
      <c r="M823" s="12">
        <f>L823/[4]货币基础!$B$4</f>
        <v>180</v>
      </c>
      <c r="N823" s="12">
        <f>IF(A823&lt;[3]关卡对接!$A$4,INDEX([3]关卡对接!$E$7:$E$141,A823),MATCH(E823,人物经验!$H$24:$H$573,1))</f>
        <v>342</v>
      </c>
      <c r="O823" s="12">
        <f>INDEX([2]关卡!$G$6:$G$2005,A823)</f>
        <v>3</v>
      </c>
      <c r="P823" s="13">
        <v>6</v>
      </c>
      <c r="Q823" s="12">
        <f>INT(P823/$S$15/O823*VLOOKUP(J823,[1]人物技能基础!$N$3:$O$553,2,0)*$U$15)</f>
        <v>9</v>
      </c>
      <c r="R823" s="12">
        <f t="shared" si="120"/>
        <v>112</v>
      </c>
    </row>
    <row r="824" spans="1:18" x14ac:dyDescent="0.15">
      <c r="A824" s="12">
        <v>806</v>
      </c>
      <c r="B824" s="12">
        <f t="shared" si="114"/>
        <v>5</v>
      </c>
      <c r="C824" s="12">
        <f t="shared" si="115"/>
        <v>0.13544999999999999</v>
      </c>
      <c r="D824" s="12">
        <f t="shared" si="116"/>
        <v>2.2637499999999977E-2</v>
      </c>
      <c r="E824" s="12">
        <f>SUM($D$19:D824)</f>
        <v>10.335449999999982</v>
      </c>
      <c r="F824" s="12">
        <f t="shared" si="112"/>
        <v>103.94134472911902</v>
      </c>
      <c r="G824" s="12">
        <f t="shared" si="113"/>
        <v>81.984758961695007</v>
      </c>
      <c r="H824" s="12">
        <f t="shared" si="117"/>
        <v>374100</v>
      </c>
      <c r="I824" s="12">
        <f t="shared" si="118"/>
        <v>295100</v>
      </c>
      <c r="J824" s="12">
        <f>IF(A824&lt;[3]关卡对接!$A$4,INDEX([3]关卡对接!$C$7:$C$141,A824),MATCH(E824,人物经验!$H$24:$H$573,1))</f>
        <v>342</v>
      </c>
      <c r="K824" s="12">
        <f>IF([3]关卡对接!F812="",INT(INDEX(人物经验!$J$24:$J$573,关卡!J824)*关卡!$S$7),[3]关卡对接!F812)</f>
        <v>9240</v>
      </c>
      <c r="L824" s="12">
        <f t="shared" si="119"/>
        <v>1.8</v>
      </c>
      <c r="M824" s="12">
        <f>L824/[4]货币基础!$B$4</f>
        <v>180</v>
      </c>
      <c r="N824" s="12">
        <f>IF(A824&lt;[3]关卡对接!$A$4,INDEX([3]关卡对接!$E$7:$E$141,A824),MATCH(E824,人物经验!$H$24:$H$573,1))</f>
        <v>342</v>
      </c>
      <c r="O824" s="12">
        <f>INDEX([2]关卡!$G$6:$G$2005,A824)</f>
        <v>3</v>
      </c>
      <c r="P824" s="13">
        <v>6</v>
      </c>
      <c r="Q824" s="12">
        <f>INT(P824/$S$15/O824*VLOOKUP(J824,[1]人物技能基础!$N$3:$O$553,2,0)*$U$15)</f>
        <v>9</v>
      </c>
      <c r="R824" s="12">
        <f t="shared" si="120"/>
        <v>112</v>
      </c>
    </row>
    <row r="825" spans="1:18" x14ac:dyDescent="0.15">
      <c r="A825" s="12">
        <v>807</v>
      </c>
      <c r="B825" s="12">
        <f t="shared" si="114"/>
        <v>5</v>
      </c>
      <c r="C825" s="12">
        <f t="shared" si="115"/>
        <v>0.15811250000000002</v>
      </c>
      <c r="D825" s="12">
        <f t="shared" si="116"/>
        <v>2.266250000000003E-2</v>
      </c>
      <c r="E825" s="12">
        <f>SUM($D$19:D825)</f>
        <v>10.358112499999983</v>
      </c>
      <c r="F825" s="12">
        <f t="shared" si="112"/>
        <v>104.19749653377497</v>
      </c>
      <c r="G825" s="12">
        <f t="shared" si="113"/>
        <v>82.144292662505933</v>
      </c>
      <c r="H825" s="12">
        <f t="shared" si="117"/>
        <v>375100</v>
      </c>
      <c r="I825" s="12">
        <f t="shared" si="118"/>
        <v>295700</v>
      </c>
      <c r="J825" s="12">
        <f>IF(A825&lt;[3]关卡对接!$A$4,INDEX([3]关卡对接!$C$7:$C$141,A825),MATCH(E825,人物经验!$H$24:$H$573,1))</f>
        <v>342</v>
      </c>
      <c r="K825" s="12">
        <f>IF([3]关卡对接!F813="",INT(INDEX(人物经验!$J$24:$J$573,关卡!J825)*关卡!$S$7),[3]关卡对接!F813)</f>
        <v>9240</v>
      </c>
      <c r="L825" s="12">
        <f t="shared" si="119"/>
        <v>1.8</v>
      </c>
      <c r="M825" s="12">
        <f>L825/[4]货币基础!$B$4</f>
        <v>180</v>
      </c>
      <c r="N825" s="12">
        <f>IF(A825&lt;[3]关卡对接!$A$4,INDEX([3]关卡对接!$E$7:$E$141,A825),MATCH(E825,人物经验!$H$24:$H$573,1))</f>
        <v>342</v>
      </c>
      <c r="O825" s="12">
        <f>INDEX([2]关卡!$G$6:$G$2005,A825)</f>
        <v>3</v>
      </c>
      <c r="P825" s="13">
        <v>6</v>
      </c>
      <c r="Q825" s="12">
        <f>INT(P825/$S$15/O825*VLOOKUP(J825,[1]人物技能基础!$N$3:$O$553,2,0)*$U$15)</f>
        <v>9</v>
      </c>
      <c r="R825" s="12">
        <f t="shared" si="120"/>
        <v>112</v>
      </c>
    </row>
    <row r="826" spans="1:18" x14ac:dyDescent="0.15">
      <c r="A826" s="12">
        <v>808</v>
      </c>
      <c r="B826" s="12">
        <f t="shared" si="114"/>
        <v>5</v>
      </c>
      <c r="C826" s="12">
        <f t="shared" si="115"/>
        <v>0.18080000000000002</v>
      </c>
      <c r="D826" s="12">
        <f t="shared" si="116"/>
        <v>2.2687499999999999E-2</v>
      </c>
      <c r="E826" s="12">
        <f>SUM($D$19:D826)</f>
        <v>10.380799999999983</v>
      </c>
      <c r="F826" s="12">
        <f t="shared" si="112"/>
        <v>104.45412479974401</v>
      </c>
      <c r="G826" s="12">
        <f t="shared" si="113"/>
        <v>82.304038552320023</v>
      </c>
      <c r="H826" s="12">
        <f t="shared" si="117"/>
        <v>376000</v>
      </c>
      <c r="I826" s="12">
        <f t="shared" si="118"/>
        <v>296200</v>
      </c>
      <c r="J826" s="12">
        <f>IF(A826&lt;[3]关卡对接!$A$4,INDEX([3]关卡对接!$C$7:$C$141,A826),MATCH(E826,人物经验!$H$24:$H$573,1))</f>
        <v>342</v>
      </c>
      <c r="K826" s="12">
        <f>IF([3]关卡对接!F814="",INT(INDEX(人物经验!$J$24:$J$573,关卡!J826)*关卡!$S$7),[3]关卡对接!F814)</f>
        <v>9240</v>
      </c>
      <c r="L826" s="12">
        <f t="shared" si="119"/>
        <v>1.8</v>
      </c>
      <c r="M826" s="12">
        <f>L826/[4]货币基础!$B$4</f>
        <v>180</v>
      </c>
      <c r="N826" s="12">
        <f>IF(A826&lt;[3]关卡对接!$A$4,INDEX([3]关卡对接!$E$7:$E$141,A826),MATCH(E826,人物经验!$H$24:$H$573,1))</f>
        <v>342</v>
      </c>
      <c r="O826" s="12">
        <f>INDEX([2]关卡!$G$6:$G$2005,A826)</f>
        <v>3</v>
      </c>
      <c r="P826" s="13">
        <v>6</v>
      </c>
      <c r="Q826" s="12">
        <f>INT(P826/$S$15/O826*VLOOKUP(J826,[1]人物技能基础!$N$3:$O$553,2,0)*$U$15)</f>
        <v>9</v>
      </c>
      <c r="R826" s="12">
        <f t="shared" si="120"/>
        <v>112</v>
      </c>
    </row>
    <row r="827" spans="1:18" x14ac:dyDescent="0.15">
      <c r="A827" s="12">
        <v>809</v>
      </c>
      <c r="B827" s="12">
        <f t="shared" si="114"/>
        <v>5</v>
      </c>
      <c r="C827" s="12">
        <f t="shared" si="115"/>
        <v>0.20351250000000001</v>
      </c>
      <c r="D827" s="12">
        <f t="shared" si="116"/>
        <v>2.2712499999999997E-2</v>
      </c>
      <c r="E827" s="12">
        <f>SUM($D$19:D827)</f>
        <v>10.403512499999984</v>
      </c>
      <c r="F827" s="12">
        <f t="shared" si="112"/>
        <v>104.71123023531497</v>
      </c>
      <c r="G827" s="12">
        <f t="shared" si="113"/>
        <v>82.463996858705954</v>
      </c>
      <c r="H827" s="12">
        <f t="shared" si="117"/>
        <v>376900</v>
      </c>
      <c r="I827" s="12">
        <f t="shared" si="118"/>
        <v>296800</v>
      </c>
      <c r="J827" s="12">
        <f>IF(A827&lt;[3]关卡对接!$A$4,INDEX([3]关卡对接!$C$7:$C$141,A827),MATCH(E827,人物经验!$H$24:$H$573,1))</f>
        <v>343</v>
      </c>
      <c r="K827" s="12">
        <f>IF([3]关卡对接!F815="",INT(INDEX(人物经验!$J$24:$J$573,关卡!J827)*关卡!$S$7),[3]关卡对接!F815)</f>
        <v>9400</v>
      </c>
      <c r="L827" s="12">
        <f t="shared" si="119"/>
        <v>1.8</v>
      </c>
      <c r="M827" s="12">
        <f>L827/[4]货币基础!$B$4</f>
        <v>180</v>
      </c>
      <c r="N827" s="12">
        <f>IF(A827&lt;[3]关卡对接!$A$4,INDEX([3]关卡对接!$E$7:$E$141,A827),MATCH(E827,人物经验!$H$24:$H$573,1))</f>
        <v>343</v>
      </c>
      <c r="O827" s="12">
        <f>INDEX([2]关卡!$G$6:$G$2005,A827)</f>
        <v>3</v>
      </c>
      <c r="P827" s="13">
        <v>6</v>
      </c>
      <c r="Q827" s="12">
        <f>INT(P827/$S$15/O827*VLOOKUP(J827,[1]人物技能基础!$N$3:$O$553,2,0)*$U$15)</f>
        <v>9</v>
      </c>
      <c r="R827" s="12">
        <f t="shared" si="120"/>
        <v>112</v>
      </c>
    </row>
    <row r="828" spans="1:18" x14ac:dyDescent="0.15">
      <c r="A828" s="12">
        <v>810</v>
      </c>
      <c r="B828" s="12">
        <f t="shared" si="114"/>
        <v>5</v>
      </c>
      <c r="C828" s="12">
        <f t="shared" si="115"/>
        <v>0.22625000000000003</v>
      </c>
      <c r="D828" s="12">
        <f t="shared" si="116"/>
        <v>2.2737500000000022E-2</v>
      </c>
      <c r="E828" s="12">
        <f>SUM($D$19:D828)</f>
        <v>10.426249999999984</v>
      </c>
      <c r="F828" s="12">
        <f t="shared" si="112"/>
        <v>104.96881354937503</v>
      </c>
      <c r="G828" s="12">
        <f t="shared" si="113"/>
        <v>82.62416780937501</v>
      </c>
      <c r="H828" s="12">
        <f t="shared" si="117"/>
        <v>377800</v>
      </c>
      <c r="I828" s="12">
        <f t="shared" si="118"/>
        <v>297400</v>
      </c>
      <c r="J828" s="12">
        <f>IF(A828&lt;[3]关卡对接!$A$4,INDEX([3]关卡对接!$C$7:$C$141,A828),MATCH(E828,人物经验!$H$24:$H$573,1))</f>
        <v>343</v>
      </c>
      <c r="K828" s="12">
        <f>IF([3]关卡对接!F816="",INT(INDEX(人物经验!$J$24:$J$573,关卡!J828)*关卡!$S$7),[3]关卡对接!F816)</f>
        <v>9400</v>
      </c>
      <c r="L828" s="12">
        <f t="shared" si="119"/>
        <v>1.8</v>
      </c>
      <c r="M828" s="12">
        <f>L828/[4]货币基础!$B$4</f>
        <v>180</v>
      </c>
      <c r="N828" s="12">
        <f>IF(A828&lt;[3]关卡对接!$A$4,INDEX([3]关卡对接!$E$7:$E$141,A828),MATCH(E828,人物经验!$H$24:$H$573,1))</f>
        <v>343</v>
      </c>
      <c r="O828" s="12">
        <f>INDEX([2]关卡!$G$6:$G$2005,A828)</f>
        <v>3</v>
      </c>
      <c r="P828" s="13">
        <v>6</v>
      </c>
      <c r="Q828" s="12">
        <f>INT(P828/$S$15/O828*VLOOKUP(J828,[1]人物技能基础!$N$3:$O$553,2,0)*$U$15)</f>
        <v>9</v>
      </c>
      <c r="R828" s="12">
        <f t="shared" si="120"/>
        <v>112</v>
      </c>
    </row>
    <row r="829" spans="1:18" x14ac:dyDescent="0.15">
      <c r="A829" s="12">
        <v>811</v>
      </c>
      <c r="B829" s="12">
        <f t="shared" si="114"/>
        <v>5</v>
      </c>
      <c r="C829" s="12">
        <f t="shared" si="115"/>
        <v>0.2490125</v>
      </c>
      <c r="D829" s="12">
        <f t="shared" si="116"/>
        <v>2.2762499999999963E-2</v>
      </c>
      <c r="E829" s="12">
        <f>SUM($D$19:D829)</f>
        <v>10.449012499999984</v>
      </c>
      <c r="F829" s="12">
        <f t="shared" si="112"/>
        <v>105.22687545140995</v>
      </c>
      <c r="G829" s="12">
        <f t="shared" si="113"/>
        <v>82.784551632180964</v>
      </c>
      <c r="H829" s="12">
        <f t="shared" si="117"/>
        <v>378800</v>
      </c>
      <c r="I829" s="12">
        <f t="shared" si="118"/>
        <v>298000</v>
      </c>
      <c r="J829" s="12">
        <f>IF(A829&lt;[3]关卡对接!$A$4,INDEX([3]关卡对接!$C$7:$C$141,A829),MATCH(E829,人物经验!$H$24:$H$573,1))</f>
        <v>343</v>
      </c>
      <c r="K829" s="12">
        <f>IF([3]关卡对接!F817="",INT(INDEX(人物经验!$J$24:$J$573,关卡!J829)*关卡!$S$7),[3]关卡对接!F817)</f>
        <v>9400</v>
      </c>
      <c r="L829" s="12">
        <f t="shared" si="119"/>
        <v>1.8</v>
      </c>
      <c r="M829" s="12">
        <f>L829/[4]货币基础!$B$4</f>
        <v>180</v>
      </c>
      <c r="N829" s="12">
        <f>IF(A829&lt;[3]关卡对接!$A$4,INDEX([3]关卡对接!$E$7:$E$141,A829),MATCH(E829,人物经验!$H$24:$H$573,1))</f>
        <v>343</v>
      </c>
      <c r="O829" s="12">
        <f>INDEX([2]关卡!$G$6:$G$2005,A829)</f>
        <v>3</v>
      </c>
      <c r="P829" s="13">
        <v>6</v>
      </c>
      <c r="Q829" s="12">
        <f>INT(P829/$S$15/O829*VLOOKUP(J829,[1]人物技能基础!$N$3:$O$553,2,0)*$U$15)</f>
        <v>9</v>
      </c>
      <c r="R829" s="12">
        <f t="shared" si="120"/>
        <v>112</v>
      </c>
    </row>
    <row r="830" spans="1:18" x14ac:dyDescent="0.15">
      <c r="A830" s="12">
        <v>812</v>
      </c>
      <c r="B830" s="12">
        <f t="shared" si="114"/>
        <v>5</v>
      </c>
      <c r="C830" s="12">
        <f t="shared" si="115"/>
        <v>0.27179999999999999</v>
      </c>
      <c r="D830" s="12">
        <f t="shared" si="116"/>
        <v>2.2787499999999988E-2</v>
      </c>
      <c r="E830" s="12">
        <f>SUM($D$19:D830)</f>
        <v>10.471799999999984</v>
      </c>
      <c r="F830" s="12">
        <f t="shared" si="112"/>
        <v>105.48541665150401</v>
      </c>
      <c r="G830" s="12">
        <f t="shared" si="113"/>
        <v>82.945148555120014</v>
      </c>
      <c r="H830" s="12">
        <f t="shared" si="117"/>
        <v>379700</v>
      </c>
      <c r="I830" s="12">
        <f t="shared" si="118"/>
        <v>298600</v>
      </c>
      <c r="J830" s="12">
        <f>IF(A830&lt;[3]关卡对接!$A$4,INDEX([3]关卡对接!$C$7:$C$141,A830),MATCH(E830,人物经验!$H$24:$H$573,1))</f>
        <v>343</v>
      </c>
      <c r="K830" s="12">
        <f>IF([3]关卡对接!F818="",INT(INDEX(人物经验!$J$24:$J$573,关卡!J830)*关卡!$S$7),[3]关卡对接!F818)</f>
        <v>9400</v>
      </c>
      <c r="L830" s="12">
        <f t="shared" si="119"/>
        <v>1.8</v>
      </c>
      <c r="M830" s="12">
        <f>L830/[4]货币基础!$B$4</f>
        <v>180</v>
      </c>
      <c r="N830" s="12">
        <f>IF(A830&lt;[3]关卡对接!$A$4,INDEX([3]关卡对接!$E$7:$E$141,A830),MATCH(E830,人物经验!$H$24:$H$573,1))</f>
        <v>343</v>
      </c>
      <c r="O830" s="12">
        <f>INDEX([2]关卡!$G$6:$G$2005,A830)</f>
        <v>3</v>
      </c>
      <c r="P830" s="13">
        <v>6</v>
      </c>
      <c r="Q830" s="12">
        <f>INT(P830/$S$15/O830*VLOOKUP(J830,[1]人物技能基础!$N$3:$O$553,2,0)*$U$15)</f>
        <v>9</v>
      </c>
      <c r="R830" s="12">
        <f t="shared" si="120"/>
        <v>112</v>
      </c>
    </row>
    <row r="831" spans="1:18" x14ac:dyDescent="0.15">
      <c r="A831" s="12">
        <v>813</v>
      </c>
      <c r="B831" s="12">
        <f t="shared" si="114"/>
        <v>5</v>
      </c>
      <c r="C831" s="12">
        <f t="shared" si="115"/>
        <v>0.2946125</v>
      </c>
      <c r="D831" s="12">
        <f t="shared" si="116"/>
        <v>2.2812500000000013E-2</v>
      </c>
      <c r="E831" s="12">
        <f>SUM($D$19:D831)</f>
        <v>10.494612499999985</v>
      </c>
      <c r="F831" s="12">
        <f t="shared" si="112"/>
        <v>105.74443786033991</v>
      </c>
      <c r="G831" s="12">
        <f t="shared" si="113"/>
        <v>83.105958806330932</v>
      </c>
      <c r="H831" s="12">
        <f t="shared" si="117"/>
        <v>380600</v>
      </c>
      <c r="I831" s="12">
        <f t="shared" si="118"/>
        <v>299100</v>
      </c>
      <c r="J831" s="12">
        <f>IF(A831&lt;[3]关卡对接!$A$4,INDEX([3]关卡对接!$C$7:$C$141,A831),MATCH(E831,人物经验!$H$24:$H$573,1))</f>
        <v>343</v>
      </c>
      <c r="K831" s="12">
        <f>IF([3]关卡对接!F819="",INT(INDEX(人物经验!$J$24:$J$573,关卡!J831)*关卡!$S$7),[3]关卡对接!F819)</f>
        <v>9400</v>
      </c>
      <c r="L831" s="12">
        <f t="shared" si="119"/>
        <v>1.8</v>
      </c>
      <c r="M831" s="12">
        <f>L831/[4]货币基础!$B$4</f>
        <v>180</v>
      </c>
      <c r="N831" s="12">
        <f>IF(A831&lt;[3]关卡对接!$A$4,INDEX([3]关卡对接!$E$7:$E$141,A831),MATCH(E831,人物经验!$H$24:$H$573,1))</f>
        <v>343</v>
      </c>
      <c r="O831" s="12">
        <f>INDEX([2]关卡!$G$6:$G$2005,A831)</f>
        <v>3</v>
      </c>
      <c r="P831" s="13">
        <v>6</v>
      </c>
      <c r="Q831" s="12">
        <f>INT(P831/$S$15/O831*VLOOKUP(J831,[1]人物技能基础!$N$3:$O$553,2,0)*$U$15)</f>
        <v>9</v>
      </c>
      <c r="R831" s="12">
        <f t="shared" si="120"/>
        <v>112</v>
      </c>
    </row>
    <row r="832" spans="1:18" x14ac:dyDescent="0.15">
      <c r="A832" s="12">
        <v>814</v>
      </c>
      <c r="B832" s="12">
        <f t="shared" si="114"/>
        <v>5</v>
      </c>
      <c r="C832" s="12">
        <f t="shared" si="115"/>
        <v>0.31745000000000012</v>
      </c>
      <c r="D832" s="12">
        <f t="shared" si="116"/>
        <v>2.2837500000000122E-2</v>
      </c>
      <c r="E832" s="12">
        <f>SUM($D$19:D832)</f>
        <v>10.517449999999984</v>
      </c>
      <c r="F832" s="12">
        <f t="shared" si="112"/>
        <v>106.00393978919901</v>
      </c>
      <c r="G832" s="12">
        <f t="shared" si="113"/>
        <v>83.266982614094985</v>
      </c>
      <c r="H832" s="12">
        <f t="shared" si="117"/>
        <v>381600</v>
      </c>
      <c r="I832" s="12">
        <f t="shared" si="118"/>
        <v>299700</v>
      </c>
      <c r="J832" s="12">
        <f>IF(A832&lt;[3]关卡对接!$A$4,INDEX([3]关卡对接!$C$7:$C$141,A832),MATCH(E832,人物经验!$H$24:$H$573,1))</f>
        <v>343</v>
      </c>
      <c r="K832" s="12">
        <f>IF([3]关卡对接!F820="",INT(INDEX(人物经验!$J$24:$J$573,关卡!J832)*关卡!$S$7),[3]关卡对接!F820)</f>
        <v>9400</v>
      </c>
      <c r="L832" s="12">
        <f t="shared" si="119"/>
        <v>1.8</v>
      </c>
      <c r="M832" s="12">
        <f>L832/[4]货币基础!$B$4</f>
        <v>180</v>
      </c>
      <c r="N832" s="12">
        <f>IF(A832&lt;[3]关卡对接!$A$4,INDEX([3]关卡对接!$E$7:$E$141,A832),MATCH(E832,人物经验!$H$24:$H$573,1))</f>
        <v>343</v>
      </c>
      <c r="O832" s="12">
        <f>INDEX([2]关卡!$G$6:$G$2005,A832)</f>
        <v>3</v>
      </c>
      <c r="P832" s="13">
        <v>6</v>
      </c>
      <c r="Q832" s="12">
        <f>INT(P832/$S$15/O832*VLOOKUP(J832,[1]人物技能基础!$N$3:$O$553,2,0)*$U$15)</f>
        <v>9</v>
      </c>
      <c r="R832" s="12">
        <f t="shared" si="120"/>
        <v>112</v>
      </c>
    </row>
    <row r="833" spans="1:18" x14ac:dyDescent="0.15">
      <c r="A833" s="12">
        <v>815</v>
      </c>
      <c r="B833" s="12">
        <f t="shared" si="114"/>
        <v>5</v>
      </c>
      <c r="C833" s="12">
        <f t="shared" si="115"/>
        <v>0.34031250000000002</v>
      </c>
      <c r="D833" s="12">
        <f t="shared" si="116"/>
        <v>2.2862499999999897E-2</v>
      </c>
      <c r="E833" s="12">
        <f>SUM($D$19:D833)</f>
        <v>10.540312499999985</v>
      </c>
      <c r="F833" s="12">
        <f t="shared" si="112"/>
        <v>106.26392314996095</v>
      </c>
      <c r="G833" s="12">
        <f t="shared" si="113"/>
        <v>83.428220206835931</v>
      </c>
      <c r="H833" s="12">
        <f t="shared" si="117"/>
        <v>382500</v>
      </c>
      <c r="I833" s="12">
        <f t="shared" si="118"/>
        <v>300300</v>
      </c>
      <c r="J833" s="12">
        <f>IF(A833&lt;[3]关卡对接!$A$4,INDEX([3]关卡对接!$C$7:$C$141,A833),MATCH(E833,人物经验!$H$24:$H$573,1))</f>
        <v>344</v>
      </c>
      <c r="K833" s="12">
        <f>IF([3]关卡对接!F821="",INT(INDEX(人物经验!$J$24:$J$573,关卡!J833)*关卡!$S$7),[3]关卡对接!F821)</f>
        <v>9540</v>
      </c>
      <c r="L833" s="12">
        <f t="shared" si="119"/>
        <v>1.8</v>
      </c>
      <c r="M833" s="12">
        <f>L833/[4]货币基础!$B$4</f>
        <v>180</v>
      </c>
      <c r="N833" s="12">
        <f>IF(A833&lt;[3]关卡对接!$A$4,INDEX([3]关卡对接!$E$7:$E$141,A833),MATCH(E833,人物经验!$H$24:$H$573,1))</f>
        <v>344</v>
      </c>
      <c r="O833" s="12">
        <f>INDEX([2]关卡!$G$6:$G$2005,A833)</f>
        <v>3</v>
      </c>
      <c r="P833" s="13">
        <v>6</v>
      </c>
      <c r="Q833" s="12">
        <f>INT(P833/$S$15/O833*VLOOKUP(J833,[1]人物技能基础!$N$3:$O$553,2,0)*$U$15)</f>
        <v>9</v>
      </c>
      <c r="R833" s="12">
        <f t="shared" si="120"/>
        <v>112</v>
      </c>
    </row>
    <row r="834" spans="1:18" x14ac:dyDescent="0.15">
      <c r="A834" s="12">
        <v>816</v>
      </c>
      <c r="B834" s="12">
        <f t="shared" si="114"/>
        <v>5</v>
      </c>
      <c r="C834" s="12">
        <f t="shared" si="115"/>
        <v>0.36320000000000008</v>
      </c>
      <c r="D834" s="12">
        <f t="shared" si="116"/>
        <v>2.2887500000000061E-2</v>
      </c>
      <c r="E834" s="12">
        <f>SUM($D$19:D834)</f>
        <v>10.563199999999984</v>
      </c>
      <c r="F834" s="12">
        <f t="shared" si="112"/>
        <v>106.52438865510399</v>
      </c>
      <c r="G834" s="12">
        <f t="shared" si="113"/>
        <v>83.589671813119992</v>
      </c>
      <c r="H834" s="12">
        <f t="shared" si="117"/>
        <v>383400</v>
      </c>
      <c r="I834" s="12">
        <f t="shared" si="118"/>
        <v>300900</v>
      </c>
      <c r="J834" s="12">
        <f>IF(A834&lt;[3]关卡对接!$A$4,INDEX([3]关卡对接!$C$7:$C$141,A834),MATCH(E834,人物经验!$H$24:$H$573,1))</f>
        <v>344</v>
      </c>
      <c r="K834" s="12">
        <f>IF([3]关卡对接!F822="",INT(INDEX(人物经验!$J$24:$J$573,关卡!J834)*关卡!$S$7),[3]关卡对接!F822)</f>
        <v>9540</v>
      </c>
      <c r="L834" s="12">
        <f t="shared" si="119"/>
        <v>1.8</v>
      </c>
      <c r="M834" s="12">
        <f>L834/[4]货币基础!$B$4</f>
        <v>180</v>
      </c>
      <c r="N834" s="12">
        <f>IF(A834&lt;[3]关卡对接!$A$4,INDEX([3]关卡对接!$E$7:$E$141,A834),MATCH(E834,人物经验!$H$24:$H$573,1))</f>
        <v>344</v>
      </c>
      <c r="O834" s="12">
        <f>INDEX([2]关卡!$G$6:$G$2005,A834)</f>
        <v>3</v>
      </c>
      <c r="P834" s="13">
        <v>6</v>
      </c>
      <c r="Q834" s="12">
        <f>INT(P834/$S$15/O834*VLOOKUP(J834,[1]人物技能基础!$N$3:$O$553,2,0)*$U$15)</f>
        <v>9</v>
      </c>
      <c r="R834" s="12">
        <f t="shared" si="120"/>
        <v>112</v>
      </c>
    </row>
    <row r="835" spans="1:18" x14ac:dyDescent="0.15">
      <c r="A835" s="12">
        <v>817</v>
      </c>
      <c r="B835" s="12">
        <f t="shared" si="114"/>
        <v>5</v>
      </c>
      <c r="C835" s="12">
        <f t="shared" si="115"/>
        <v>0.38611250000000008</v>
      </c>
      <c r="D835" s="12">
        <f t="shared" si="116"/>
        <v>2.2912500000000002E-2</v>
      </c>
      <c r="E835" s="12">
        <f>SUM($D$19:D835)</f>
        <v>10.586112499999984</v>
      </c>
      <c r="F835" s="12">
        <f t="shared" si="112"/>
        <v>106.78533701770493</v>
      </c>
      <c r="G835" s="12">
        <f t="shared" si="113"/>
        <v>83.751337661655924</v>
      </c>
      <c r="H835" s="12">
        <f t="shared" si="117"/>
        <v>384400</v>
      </c>
      <c r="I835" s="12">
        <f t="shared" si="118"/>
        <v>301500</v>
      </c>
      <c r="J835" s="12">
        <f>IF(A835&lt;[3]关卡对接!$A$4,INDEX([3]关卡对接!$C$7:$C$141,A835),MATCH(E835,人物经验!$H$24:$H$573,1))</f>
        <v>344</v>
      </c>
      <c r="K835" s="12">
        <f>IF([3]关卡对接!F823="",INT(INDEX(人物经验!$J$24:$J$573,关卡!J835)*关卡!$S$7),[3]关卡对接!F823)</f>
        <v>9540</v>
      </c>
      <c r="L835" s="12">
        <f t="shared" si="119"/>
        <v>1.8</v>
      </c>
      <c r="M835" s="12">
        <f>L835/[4]货币基础!$B$4</f>
        <v>180</v>
      </c>
      <c r="N835" s="12">
        <f>IF(A835&lt;[3]关卡对接!$A$4,INDEX([3]关卡对接!$E$7:$E$141,A835),MATCH(E835,人物经验!$H$24:$H$573,1))</f>
        <v>344</v>
      </c>
      <c r="O835" s="12">
        <f>INDEX([2]关卡!$G$6:$G$2005,A835)</f>
        <v>3</v>
      </c>
      <c r="P835" s="13">
        <v>6</v>
      </c>
      <c r="Q835" s="12">
        <f>INT(P835/$S$15/O835*VLOOKUP(J835,[1]人物技能基础!$N$3:$O$553,2,0)*$U$15)</f>
        <v>9</v>
      </c>
      <c r="R835" s="12">
        <f t="shared" si="120"/>
        <v>112</v>
      </c>
    </row>
    <row r="836" spans="1:18" x14ac:dyDescent="0.15">
      <c r="A836" s="12">
        <v>818</v>
      </c>
      <c r="B836" s="12">
        <f t="shared" si="114"/>
        <v>5</v>
      </c>
      <c r="C836" s="12">
        <f t="shared" si="115"/>
        <v>0.40905000000000002</v>
      </c>
      <c r="D836" s="12">
        <f t="shared" si="116"/>
        <v>2.2937499999999944E-2</v>
      </c>
      <c r="E836" s="12">
        <f>SUM($D$19:D836)</f>
        <v>10.609049999999984</v>
      </c>
      <c r="F836" s="12">
        <f t="shared" si="112"/>
        <v>107.04676895143899</v>
      </c>
      <c r="G836" s="12">
        <f t="shared" si="113"/>
        <v>83.913217981294991</v>
      </c>
      <c r="H836" s="12">
        <f t="shared" si="117"/>
        <v>385300</v>
      </c>
      <c r="I836" s="12">
        <f t="shared" si="118"/>
        <v>302000</v>
      </c>
      <c r="J836" s="12">
        <f>IF(A836&lt;[3]关卡对接!$A$4,INDEX([3]关卡对接!$C$7:$C$141,A836),MATCH(E836,人物经验!$H$24:$H$573,1))</f>
        <v>344</v>
      </c>
      <c r="K836" s="12">
        <f>IF([3]关卡对接!F824="",INT(INDEX(人物经验!$J$24:$J$573,关卡!J836)*关卡!$S$7),[3]关卡对接!F824)</f>
        <v>9540</v>
      </c>
      <c r="L836" s="12">
        <f t="shared" si="119"/>
        <v>1.8</v>
      </c>
      <c r="M836" s="12">
        <f>L836/[4]货币基础!$B$4</f>
        <v>180</v>
      </c>
      <c r="N836" s="12">
        <f>IF(A836&lt;[3]关卡对接!$A$4,INDEX([3]关卡对接!$E$7:$E$141,A836),MATCH(E836,人物经验!$H$24:$H$573,1))</f>
        <v>344</v>
      </c>
      <c r="O836" s="12">
        <f>INDEX([2]关卡!$G$6:$G$2005,A836)</f>
        <v>3</v>
      </c>
      <c r="P836" s="13">
        <v>6</v>
      </c>
      <c r="Q836" s="12">
        <f>INT(P836/$S$15/O836*VLOOKUP(J836,[1]人物技能基础!$N$3:$O$553,2,0)*$U$15)</f>
        <v>9</v>
      </c>
      <c r="R836" s="12">
        <f t="shared" si="120"/>
        <v>112</v>
      </c>
    </row>
    <row r="837" spans="1:18" x14ac:dyDescent="0.15">
      <c r="A837" s="12">
        <v>819</v>
      </c>
      <c r="B837" s="12">
        <f t="shared" si="114"/>
        <v>5</v>
      </c>
      <c r="C837" s="12">
        <f t="shared" si="115"/>
        <v>0.43201250000000002</v>
      </c>
      <c r="D837" s="12">
        <f t="shared" si="116"/>
        <v>2.2962499999999997E-2</v>
      </c>
      <c r="E837" s="12">
        <f>SUM($D$19:D837)</f>
        <v>10.632012499999984</v>
      </c>
      <c r="F837" s="12">
        <f t="shared" si="112"/>
        <v>107.30868517057992</v>
      </c>
      <c r="G837" s="12">
        <f t="shared" si="113"/>
        <v>84.075313001030921</v>
      </c>
      <c r="H837" s="12">
        <f t="shared" si="117"/>
        <v>386300</v>
      </c>
      <c r="I837" s="12">
        <f t="shared" si="118"/>
        <v>302600</v>
      </c>
      <c r="J837" s="12">
        <f>IF(A837&lt;[3]关卡对接!$A$4,INDEX([3]关卡对接!$C$7:$C$141,A837),MATCH(E837,人物经验!$H$24:$H$573,1))</f>
        <v>344</v>
      </c>
      <c r="K837" s="12">
        <f>IF([3]关卡对接!F825="",INT(INDEX(人物经验!$J$24:$J$573,关卡!J837)*关卡!$S$7),[3]关卡对接!F825)</f>
        <v>9540</v>
      </c>
      <c r="L837" s="12">
        <f t="shared" si="119"/>
        <v>1.8</v>
      </c>
      <c r="M837" s="12">
        <f>L837/[4]货币基础!$B$4</f>
        <v>180</v>
      </c>
      <c r="N837" s="12">
        <f>IF(A837&lt;[3]关卡对接!$A$4,INDEX([3]关卡对接!$E$7:$E$141,A837),MATCH(E837,人物经验!$H$24:$H$573,1))</f>
        <v>344</v>
      </c>
      <c r="O837" s="12">
        <f>INDEX([2]关卡!$G$6:$G$2005,A837)</f>
        <v>3</v>
      </c>
      <c r="P837" s="13">
        <v>6</v>
      </c>
      <c r="Q837" s="12">
        <f>INT(P837/$S$15/O837*VLOOKUP(J837,[1]人物技能基础!$N$3:$O$553,2,0)*$U$15)</f>
        <v>9</v>
      </c>
      <c r="R837" s="12">
        <f t="shared" si="120"/>
        <v>112</v>
      </c>
    </row>
    <row r="838" spans="1:18" x14ac:dyDescent="0.15">
      <c r="A838" s="12">
        <v>820</v>
      </c>
      <c r="B838" s="12">
        <f t="shared" si="114"/>
        <v>5</v>
      </c>
      <c r="C838" s="12">
        <f t="shared" si="115"/>
        <v>0.45500000000000007</v>
      </c>
      <c r="D838" s="12">
        <f t="shared" si="116"/>
        <v>2.298750000000005E-2</v>
      </c>
      <c r="E838" s="12">
        <f>SUM($D$19:D838)</f>
        <v>10.654999999999983</v>
      </c>
      <c r="F838" s="12">
        <f t="shared" si="112"/>
        <v>107.57108638999999</v>
      </c>
      <c r="G838" s="12">
        <f t="shared" si="113"/>
        <v>84.237622949999988</v>
      </c>
      <c r="H838" s="12">
        <f t="shared" si="117"/>
        <v>387200</v>
      </c>
      <c r="I838" s="12">
        <f t="shared" si="118"/>
        <v>303200</v>
      </c>
      <c r="J838" s="12">
        <f>IF(A838&lt;[3]关卡对接!$A$4,INDEX([3]关卡对接!$C$7:$C$141,A838),MATCH(E838,人物经验!$H$24:$H$573,1))</f>
        <v>344</v>
      </c>
      <c r="K838" s="12">
        <f>IF([3]关卡对接!F826="",INT(INDEX(人物经验!$J$24:$J$573,关卡!J838)*关卡!$S$7),[3]关卡对接!F826)</f>
        <v>9540</v>
      </c>
      <c r="L838" s="12">
        <f t="shared" si="119"/>
        <v>1.8</v>
      </c>
      <c r="M838" s="12">
        <f>L838/[4]货币基础!$B$4</f>
        <v>180</v>
      </c>
      <c r="N838" s="12">
        <f>IF(A838&lt;[3]关卡对接!$A$4,INDEX([3]关卡对接!$E$7:$E$141,A838),MATCH(E838,人物经验!$H$24:$H$573,1))</f>
        <v>344</v>
      </c>
      <c r="O838" s="12">
        <f>INDEX([2]关卡!$G$6:$G$2005,A838)</f>
        <v>3</v>
      </c>
      <c r="P838" s="13">
        <v>6</v>
      </c>
      <c r="Q838" s="12">
        <f>INT(P838/$S$15/O838*VLOOKUP(J838,[1]人物技能基础!$N$3:$O$553,2,0)*$U$15)</f>
        <v>9</v>
      </c>
      <c r="R838" s="12">
        <f t="shared" si="120"/>
        <v>112</v>
      </c>
    </row>
    <row r="839" spans="1:18" x14ac:dyDescent="0.15">
      <c r="A839" s="12">
        <v>821</v>
      </c>
      <c r="B839" s="12">
        <f t="shared" si="114"/>
        <v>5</v>
      </c>
      <c r="C839" s="12">
        <f t="shared" si="115"/>
        <v>0.47801250000000006</v>
      </c>
      <c r="D839" s="12">
        <f t="shared" si="116"/>
        <v>2.3012499999999991E-2</v>
      </c>
      <c r="E839" s="12">
        <f>SUM($D$19:D839)</f>
        <v>10.678012499999983</v>
      </c>
      <c r="F839" s="12">
        <f t="shared" si="112"/>
        <v>107.83397332516994</v>
      </c>
      <c r="G839" s="12">
        <f t="shared" si="113"/>
        <v>84.400148057480934</v>
      </c>
      <c r="H839" s="12">
        <f t="shared" si="117"/>
        <v>388200</v>
      </c>
      <c r="I839" s="12">
        <f t="shared" si="118"/>
        <v>303800</v>
      </c>
      <c r="J839" s="12">
        <f>IF(A839&lt;[3]关卡对接!$A$4,INDEX([3]关卡对接!$C$7:$C$141,A839),MATCH(E839,人物经验!$H$24:$H$573,1))</f>
        <v>345</v>
      </c>
      <c r="K839" s="12">
        <f>IF([3]关卡对接!F827="",INT(INDEX(人物经验!$J$24:$J$573,关卡!J839)*关卡!$S$7),[3]关卡对接!F827)</f>
        <v>9681</v>
      </c>
      <c r="L839" s="12">
        <f t="shared" si="119"/>
        <v>1.8</v>
      </c>
      <c r="M839" s="12">
        <f>L839/[4]货币基础!$B$4</f>
        <v>180</v>
      </c>
      <c r="N839" s="12">
        <f>IF(A839&lt;[3]关卡对接!$A$4,INDEX([3]关卡对接!$E$7:$E$141,A839),MATCH(E839,人物经验!$H$24:$H$573,1))</f>
        <v>345</v>
      </c>
      <c r="O839" s="12">
        <f>INDEX([2]关卡!$G$6:$G$2005,A839)</f>
        <v>3</v>
      </c>
      <c r="P839" s="13">
        <v>6</v>
      </c>
      <c r="Q839" s="12">
        <f>INT(P839/$S$15/O839*VLOOKUP(J839,[1]人物技能基础!$N$3:$O$553,2,0)*$U$15)</f>
        <v>9</v>
      </c>
      <c r="R839" s="12">
        <f t="shared" si="120"/>
        <v>112</v>
      </c>
    </row>
    <row r="840" spans="1:18" x14ac:dyDescent="0.15">
      <c r="A840" s="12">
        <v>822</v>
      </c>
      <c r="B840" s="12">
        <f t="shared" si="114"/>
        <v>5</v>
      </c>
      <c r="C840" s="12">
        <f t="shared" si="115"/>
        <v>0.50105</v>
      </c>
      <c r="D840" s="12">
        <f t="shared" si="116"/>
        <v>2.3037499999999933E-2</v>
      </c>
      <c r="E840" s="12">
        <f>SUM($D$19:D840)</f>
        <v>10.701049999999983</v>
      </c>
      <c r="F840" s="12">
        <f t="shared" si="112"/>
        <v>108.09734669215898</v>
      </c>
      <c r="G840" s="12">
        <f t="shared" si="113"/>
        <v>84.562888552894989</v>
      </c>
      <c r="H840" s="12">
        <f t="shared" si="117"/>
        <v>389100</v>
      </c>
      <c r="I840" s="12">
        <f t="shared" si="118"/>
        <v>304400</v>
      </c>
      <c r="J840" s="12">
        <f>IF(A840&lt;[3]关卡对接!$A$4,INDEX([3]关卡对接!$C$7:$C$141,A840),MATCH(E840,人物经验!$H$24:$H$573,1))</f>
        <v>345</v>
      </c>
      <c r="K840" s="12">
        <f>IF([3]关卡对接!F828="",INT(INDEX(人物经验!$J$24:$J$573,关卡!J840)*关卡!$S$7),[3]关卡对接!F828)</f>
        <v>9681</v>
      </c>
      <c r="L840" s="12">
        <f t="shared" si="119"/>
        <v>1.8</v>
      </c>
      <c r="M840" s="12">
        <f>L840/[4]货币基础!$B$4</f>
        <v>180</v>
      </c>
      <c r="N840" s="12">
        <f>IF(A840&lt;[3]关卡对接!$A$4,INDEX([3]关卡对接!$E$7:$E$141,A840),MATCH(E840,人物经验!$H$24:$H$573,1))</f>
        <v>345</v>
      </c>
      <c r="O840" s="12">
        <f>INDEX([2]关卡!$G$6:$G$2005,A840)</f>
        <v>3</v>
      </c>
      <c r="P840" s="13">
        <v>6</v>
      </c>
      <c r="Q840" s="12">
        <f>INT(P840/$S$15/O840*VLOOKUP(J840,[1]人物技能基础!$N$3:$O$553,2,0)*$U$15)</f>
        <v>9</v>
      </c>
      <c r="R840" s="12">
        <f t="shared" si="120"/>
        <v>112</v>
      </c>
    </row>
    <row r="841" spans="1:18" x14ac:dyDescent="0.15">
      <c r="A841" s="12">
        <v>823</v>
      </c>
      <c r="B841" s="12">
        <f t="shared" si="114"/>
        <v>5</v>
      </c>
      <c r="C841" s="12">
        <f t="shared" si="115"/>
        <v>0.52411250000000009</v>
      </c>
      <c r="D841" s="12">
        <f t="shared" si="116"/>
        <v>2.3062500000000097E-2</v>
      </c>
      <c r="E841" s="12">
        <f>SUM($D$19:D841)</f>
        <v>10.724112499999983</v>
      </c>
      <c r="F841" s="12">
        <f t="shared" si="112"/>
        <v>108.36120720763492</v>
      </c>
      <c r="G841" s="12">
        <f t="shared" si="113"/>
        <v>84.725844665805923</v>
      </c>
      <c r="H841" s="12">
        <f t="shared" si="117"/>
        <v>390100</v>
      </c>
      <c r="I841" s="12">
        <f t="shared" si="118"/>
        <v>305000</v>
      </c>
      <c r="J841" s="12">
        <f>IF(A841&lt;[3]关卡对接!$A$4,INDEX([3]关卡对接!$C$7:$C$141,A841),MATCH(E841,人物经验!$H$24:$H$573,1))</f>
        <v>345</v>
      </c>
      <c r="K841" s="12">
        <f>IF([3]关卡对接!F829="",INT(INDEX(人物经验!$J$24:$J$573,关卡!J841)*关卡!$S$7),[3]关卡对接!F829)</f>
        <v>9681</v>
      </c>
      <c r="L841" s="12">
        <f t="shared" si="119"/>
        <v>1.8</v>
      </c>
      <c r="M841" s="12">
        <f>L841/[4]货币基础!$B$4</f>
        <v>180</v>
      </c>
      <c r="N841" s="12">
        <f>IF(A841&lt;[3]关卡对接!$A$4,INDEX([3]关卡对接!$E$7:$E$141,A841),MATCH(E841,人物经验!$H$24:$H$573,1))</f>
        <v>345</v>
      </c>
      <c r="O841" s="12">
        <f>INDEX([2]关卡!$G$6:$G$2005,A841)</f>
        <v>3</v>
      </c>
      <c r="P841" s="13">
        <v>6</v>
      </c>
      <c r="Q841" s="12">
        <f>INT(P841/$S$15/O841*VLOOKUP(J841,[1]人物技能基础!$N$3:$O$553,2,0)*$U$15)</f>
        <v>9</v>
      </c>
      <c r="R841" s="12">
        <f t="shared" si="120"/>
        <v>112</v>
      </c>
    </row>
    <row r="842" spans="1:18" x14ac:dyDescent="0.15">
      <c r="A842" s="12">
        <v>824</v>
      </c>
      <c r="B842" s="12">
        <f t="shared" si="114"/>
        <v>5</v>
      </c>
      <c r="C842" s="12">
        <f t="shared" si="115"/>
        <v>0.54720000000000002</v>
      </c>
      <c r="D842" s="12">
        <f t="shared" si="116"/>
        <v>2.3087499999999928E-2</v>
      </c>
      <c r="E842" s="12">
        <f>SUM($D$19:D842)</f>
        <v>10.747199999999982</v>
      </c>
      <c r="F842" s="12">
        <f t="shared" si="112"/>
        <v>108.62555558886399</v>
      </c>
      <c r="G842" s="12">
        <f t="shared" si="113"/>
        <v>84.889016625919979</v>
      </c>
      <c r="H842" s="12">
        <f t="shared" si="117"/>
        <v>391000</v>
      </c>
      <c r="I842" s="12">
        <f t="shared" si="118"/>
        <v>305600</v>
      </c>
      <c r="J842" s="12">
        <f>IF(A842&lt;[3]关卡对接!$A$4,INDEX([3]关卡对接!$C$7:$C$141,A842),MATCH(E842,人物经验!$H$24:$H$573,1))</f>
        <v>345</v>
      </c>
      <c r="K842" s="12">
        <f>IF([3]关卡对接!F830="",INT(INDEX(人物经验!$J$24:$J$573,关卡!J842)*关卡!$S$7),[3]关卡对接!F830)</f>
        <v>9681</v>
      </c>
      <c r="L842" s="12">
        <f t="shared" si="119"/>
        <v>1.8</v>
      </c>
      <c r="M842" s="12">
        <f>L842/[4]货币基础!$B$4</f>
        <v>180</v>
      </c>
      <c r="N842" s="12">
        <f>IF(A842&lt;[3]关卡对接!$A$4,INDEX([3]关卡对接!$E$7:$E$141,A842),MATCH(E842,人物经验!$H$24:$H$573,1))</f>
        <v>345</v>
      </c>
      <c r="O842" s="12">
        <f>INDEX([2]关卡!$G$6:$G$2005,A842)</f>
        <v>3</v>
      </c>
      <c r="P842" s="13">
        <v>6</v>
      </c>
      <c r="Q842" s="12">
        <f>INT(P842/$S$15/O842*VLOOKUP(J842,[1]人物技能基础!$N$3:$O$553,2,0)*$U$15)</f>
        <v>9</v>
      </c>
      <c r="R842" s="12">
        <f t="shared" si="120"/>
        <v>112</v>
      </c>
    </row>
    <row r="843" spans="1:18" x14ac:dyDescent="0.15">
      <c r="A843" s="12">
        <v>825</v>
      </c>
      <c r="B843" s="12">
        <f t="shared" si="114"/>
        <v>5</v>
      </c>
      <c r="C843" s="12">
        <f t="shared" si="115"/>
        <v>0.5703125</v>
      </c>
      <c r="D843" s="12">
        <f t="shared" si="116"/>
        <v>2.311249999999998E-2</v>
      </c>
      <c r="E843" s="12">
        <f>SUM($D$19:D843)</f>
        <v>10.770312499999982</v>
      </c>
      <c r="F843" s="12">
        <f t="shared" si="112"/>
        <v>108.89039255371091</v>
      </c>
      <c r="G843" s="12">
        <f t="shared" si="113"/>
        <v>85.052404663085937</v>
      </c>
      <c r="H843" s="12">
        <f t="shared" si="117"/>
        <v>392000</v>
      </c>
      <c r="I843" s="12">
        <f t="shared" si="118"/>
        <v>306100</v>
      </c>
      <c r="J843" s="12">
        <f>IF(A843&lt;[3]关卡对接!$A$4,INDEX([3]关卡对接!$C$7:$C$141,A843),MATCH(E843,人物经验!$H$24:$H$573,1))</f>
        <v>345</v>
      </c>
      <c r="K843" s="12">
        <f>IF([3]关卡对接!F831="",INT(INDEX(人物经验!$J$24:$J$573,关卡!J843)*关卡!$S$7),[3]关卡对接!F831)</f>
        <v>9681</v>
      </c>
      <c r="L843" s="12">
        <f t="shared" si="119"/>
        <v>1.8</v>
      </c>
      <c r="M843" s="12">
        <f>L843/[4]货币基础!$B$4</f>
        <v>180</v>
      </c>
      <c r="N843" s="12">
        <f>IF(A843&lt;[3]关卡对接!$A$4,INDEX([3]关卡对接!$E$7:$E$141,A843),MATCH(E843,人物经验!$H$24:$H$573,1))</f>
        <v>345</v>
      </c>
      <c r="O843" s="12">
        <f>INDEX([2]关卡!$G$6:$G$2005,A843)</f>
        <v>3</v>
      </c>
      <c r="P843" s="13">
        <v>6</v>
      </c>
      <c r="Q843" s="12">
        <f>INT(P843/$S$15/O843*VLOOKUP(J843,[1]人物技能基础!$N$3:$O$553,2,0)*$U$15)</f>
        <v>9</v>
      </c>
      <c r="R843" s="12">
        <f t="shared" si="120"/>
        <v>112</v>
      </c>
    </row>
    <row r="844" spans="1:18" x14ac:dyDescent="0.15">
      <c r="A844" s="12">
        <v>826</v>
      </c>
      <c r="B844" s="12">
        <f t="shared" si="114"/>
        <v>5</v>
      </c>
      <c r="C844" s="12">
        <f t="shared" si="115"/>
        <v>0.59345000000000003</v>
      </c>
      <c r="D844" s="12">
        <f t="shared" si="116"/>
        <v>2.3137500000000033E-2</v>
      </c>
      <c r="E844" s="12">
        <f>SUM($D$19:D844)</f>
        <v>10.793449999999982</v>
      </c>
      <c r="F844" s="12">
        <f t="shared" si="112"/>
        <v>109.155718820639</v>
      </c>
      <c r="G844" s="12">
        <f t="shared" si="113"/>
        <v>85.216009007295</v>
      </c>
      <c r="H844" s="12">
        <f t="shared" si="117"/>
        <v>392900</v>
      </c>
      <c r="I844" s="12">
        <f t="shared" si="118"/>
        <v>306700</v>
      </c>
      <c r="J844" s="12">
        <f>IF(A844&lt;[3]关卡对接!$A$4,INDEX([3]关卡对接!$C$7:$C$141,A844),MATCH(E844,人物经验!$H$24:$H$573,1))</f>
        <v>345</v>
      </c>
      <c r="K844" s="12">
        <f>IF([3]关卡对接!F832="",INT(INDEX(人物经验!$J$24:$J$573,关卡!J844)*关卡!$S$7),[3]关卡对接!F832)</f>
        <v>9681</v>
      </c>
      <c r="L844" s="12">
        <f t="shared" si="119"/>
        <v>1.8</v>
      </c>
      <c r="M844" s="12">
        <f>L844/[4]货币基础!$B$4</f>
        <v>180</v>
      </c>
      <c r="N844" s="12">
        <f>IF(A844&lt;[3]关卡对接!$A$4,INDEX([3]关卡对接!$E$7:$E$141,A844),MATCH(E844,人物经验!$H$24:$H$573,1))</f>
        <v>345</v>
      </c>
      <c r="O844" s="12">
        <f>INDEX([2]关卡!$G$6:$G$2005,A844)</f>
        <v>3</v>
      </c>
      <c r="P844" s="13">
        <v>6</v>
      </c>
      <c r="Q844" s="12">
        <f>INT(P844/$S$15/O844*VLOOKUP(J844,[1]人物技能基础!$N$3:$O$553,2,0)*$U$15)</f>
        <v>9</v>
      </c>
      <c r="R844" s="12">
        <f t="shared" si="120"/>
        <v>112</v>
      </c>
    </row>
    <row r="845" spans="1:18" x14ac:dyDescent="0.15">
      <c r="A845" s="12">
        <v>827</v>
      </c>
      <c r="B845" s="12">
        <f t="shared" si="114"/>
        <v>5</v>
      </c>
      <c r="C845" s="12">
        <f t="shared" si="115"/>
        <v>0.61661250000000012</v>
      </c>
      <c r="D845" s="12">
        <f t="shared" si="116"/>
        <v>2.3162500000000086E-2</v>
      </c>
      <c r="E845" s="12">
        <f>SUM($D$19:D845)</f>
        <v>10.816612499999982</v>
      </c>
      <c r="F845" s="12">
        <f t="shared" si="112"/>
        <v>109.42153510870992</v>
      </c>
      <c r="G845" s="12">
        <f t="shared" si="113"/>
        <v>85.379829888680931</v>
      </c>
      <c r="H845" s="12">
        <f t="shared" si="117"/>
        <v>393900</v>
      </c>
      <c r="I845" s="12">
        <f t="shared" si="118"/>
        <v>307300</v>
      </c>
      <c r="J845" s="12">
        <f>IF(A845&lt;[3]关卡对接!$A$4,INDEX([3]关卡对接!$C$7:$C$141,A845),MATCH(E845,人物经验!$H$24:$H$573,1))</f>
        <v>346</v>
      </c>
      <c r="K845" s="12">
        <f>IF([3]关卡对接!F833="",INT(INDEX(人物经验!$J$24:$J$573,关卡!J845)*关卡!$S$7),[3]关卡对接!F833)</f>
        <v>9824</v>
      </c>
      <c r="L845" s="12">
        <f t="shared" si="119"/>
        <v>1.8</v>
      </c>
      <c r="M845" s="12">
        <f>L845/[4]货币基础!$B$4</f>
        <v>180</v>
      </c>
      <c r="N845" s="12">
        <f>IF(A845&lt;[3]关卡对接!$A$4,INDEX([3]关卡对接!$E$7:$E$141,A845),MATCH(E845,人物经验!$H$24:$H$573,1))</f>
        <v>346</v>
      </c>
      <c r="O845" s="12">
        <f>INDEX([2]关卡!$G$6:$G$2005,A845)</f>
        <v>3</v>
      </c>
      <c r="P845" s="13">
        <v>6</v>
      </c>
      <c r="Q845" s="12">
        <f>INT(P845/$S$15/O845*VLOOKUP(J845,[1]人物技能基础!$N$3:$O$553,2,0)*$U$15)</f>
        <v>9</v>
      </c>
      <c r="R845" s="12">
        <f t="shared" si="120"/>
        <v>112</v>
      </c>
    </row>
    <row r="846" spans="1:18" x14ac:dyDescent="0.15">
      <c r="A846" s="12">
        <v>828</v>
      </c>
      <c r="B846" s="12">
        <f t="shared" si="114"/>
        <v>5</v>
      </c>
      <c r="C846" s="12">
        <f t="shared" si="115"/>
        <v>0.63980000000000015</v>
      </c>
      <c r="D846" s="12">
        <f t="shared" si="116"/>
        <v>2.3187500000000028E-2</v>
      </c>
      <c r="E846" s="12">
        <f>SUM($D$19:D846)</f>
        <v>10.839799999999983</v>
      </c>
      <c r="F846" s="12">
        <f t="shared" si="112"/>
        <v>109.687842137584</v>
      </c>
      <c r="G846" s="12">
        <f t="shared" si="113"/>
        <v>85.543867537520001</v>
      </c>
      <c r="H846" s="12">
        <f t="shared" si="117"/>
        <v>394800</v>
      </c>
      <c r="I846" s="12">
        <f t="shared" si="118"/>
        <v>307900</v>
      </c>
      <c r="J846" s="12">
        <f>IF(A846&lt;[3]关卡对接!$A$4,INDEX([3]关卡对接!$C$7:$C$141,A846),MATCH(E846,人物经验!$H$24:$H$573,1))</f>
        <v>346</v>
      </c>
      <c r="K846" s="12">
        <f>IF([3]关卡对接!F834="",INT(INDEX(人物经验!$J$24:$J$573,关卡!J846)*关卡!$S$7),[3]关卡对接!F834)</f>
        <v>9824</v>
      </c>
      <c r="L846" s="12">
        <f t="shared" si="119"/>
        <v>1.8</v>
      </c>
      <c r="M846" s="12">
        <f>L846/[4]货币基础!$B$4</f>
        <v>180</v>
      </c>
      <c r="N846" s="12">
        <f>IF(A846&lt;[3]关卡对接!$A$4,INDEX([3]关卡对接!$E$7:$E$141,A846),MATCH(E846,人物经验!$H$24:$H$573,1))</f>
        <v>346</v>
      </c>
      <c r="O846" s="12">
        <f>INDEX([2]关卡!$G$6:$G$2005,A846)</f>
        <v>3</v>
      </c>
      <c r="P846" s="13">
        <v>6</v>
      </c>
      <c r="Q846" s="12">
        <f>INT(P846/$S$15/O846*VLOOKUP(J846,[1]人物技能基础!$N$3:$O$553,2,0)*$U$15)</f>
        <v>9</v>
      </c>
      <c r="R846" s="12">
        <f t="shared" si="120"/>
        <v>112</v>
      </c>
    </row>
    <row r="847" spans="1:18" x14ac:dyDescent="0.15">
      <c r="A847" s="12">
        <v>829</v>
      </c>
      <c r="B847" s="12">
        <f t="shared" si="114"/>
        <v>5</v>
      </c>
      <c r="C847" s="12">
        <f t="shared" si="115"/>
        <v>0.6630125</v>
      </c>
      <c r="D847" s="12">
        <f t="shared" si="116"/>
        <v>2.3212499999999858E-2</v>
      </c>
      <c r="E847" s="12">
        <f>SUM($D$19:D847)</f>
        <v>10.863012499999982</v>
      </c>
      <c r="F847" s="12">
        <f t="shared" si="112"/>
        <v>109.95464062751992</v>
      </c>
      <c r="G847" s="12">
        <f t="shared" si="113"/>
        <v>85.708122184230916</v>
      </c>
      <c r="H847" s="12">
        <f t="shared" si="117"/>
        <v>395800</v>
      </c>
      <c r="I847" s="12">
        <f t="shared" si="118"/>
        <v>308500</v>
      </c>
      <c r="J847" s="12">
        <f>IF(A847&lt;[3]关卡对接!$A$4,INDEX([3]关卡对接!$C$7:$C$141,A847),MATCH(E847,人物经验!$H$24:$H$573,1))</f>
        <v>346</v>
      </c>
      <c r="K847" s="12">
        <f>IF([3]关卡对接!F835="",INT(INDEX(人物经验!$J$24:$J$573,关卡!J847)*关卡!$S$7),[3]关卡对接!F835)</f>
        <v>9824</v>
      </c>
      <c r="L847" s="12">
        <f t="shared" si="119"/>
        <v>1.8</v>
      </c>
      <c r="M847" s="12">
        <f>L847/[4]货币基础!$B$4</f>
        <v>180</v>
      </c>
      <c r="N847" s="12">
        <f>IF(A847&lt;[3]关卡对接!$A$4,INDEX([3]关卡对接!$E$7:$E$141,A847),MATCH(E847,人物经验!$H$24:$H$573,1))</f>
        <v>346</v>
      </c>
      <c r="O847" s="12">
        <f>INDEX([2]关卡!$G$6:$G$2005,A847)</f>
        <v>3</v>
      </c>
      <c r="P847" s="13">
        <v>6</v>
      </c>
      <c r="Q847" s="12">
        <f>INT(P847/$S$15/O847*VLOOKUP(J847,[1]人物技能基础!$N$3:$O$553,2,0)*$U$15)</f>
        <v>9</v>
      </c>
      <c r="R847" s="12">
        <f t="shared" si="120"/>
        <v>112</v>
      </c>
    </row>
    <row r="848" spans="1:18" x14ac:dyDescent="0.15">
      <c r="A848" s="12">
        <v>830</v>
      </c>
      <c r="B848" s="12">
        <f t="shared" si="114"/>
        <v>5</v>
      </c>
      <c r="C848" s="12">
        <f t="shared" si="115"/>
        <v>0.68625000000000003</v>
      </c>
      <c r="D848" s="12">
        <f t="shared" si="116"/>
        <v>2.3237500000000022E-2</v>
      </c>
      <c r="E848" s="12">
        <f>SUM($D$19:D848)</f>
        <v>10.886249999999983</v>
      </c>
      <c r="F848" s="12">
        <f t="shared" si="112"/>
        <v>110.22193129937499</v>
      </c>
      <c r="G848" s="12">
        <f t="shared" si="113"/>
        <v>85.872594059375004</v>
      </c>
      <c r="H848" s="12">
        <f t="shared" si="117"/>
        <v>396700</v>
      </c>
      <c r="I848" s="12">
        <f t="shared" si="118"/>
        <v>309100</v>
      </c>
      <c r="J848" s="12">
        <f>IF(A848&lt;[3]关卡对接!$A$4,INDEX([3]关卡对接!$C$7:$C$141,A848),MATCH(E848,人物经验!$H$24:$H$573,1))</f>
        <v>346</v>
      </c>
      <c r="K848" s="12">
        <f>IF([3]关卡对接!F836="",INT(INDEX(人物经验!$J$24:$J$573,关卡!J848)*关卡!$S$7),[3]关卡对接!F836)</f>
        <v>9824</v>
      </c>
      <c r="L848" s="12">
        <f t="shared" si="119"/>
        <v>1.8</v>
      </c>
      <c r="M848" s="12">
        <f>L848/[4]货币基础!$B$4</f>
        <v>180</v>
      </c>
      <c r="N848" s="12">
        <f>IF(A848&lt;[3]关卡对接!$A$4,INDEX([3]关卡对接!$E$7:$E$141,A848),MATCH(E848,人物经验!$H$24:$H$573,1))</f>
        <v>346</v>
      </c>
      <c r="O848" s="12">
        <f>INDEX([2]关卡!$G$6:$G$2005,A848)</f>
        <v>3</v>
      </c>
      <c r="P848" s="13">
        <v>6</v>
      </c>
      <c r="Q848" s="12">
        <f>INT(P848/$S$15/O848*VLOOKUP(J848,[1]人物技能基础!$N$3:$O$553,2,0)*$U$15)</f>
        <v>9</v>
      </c>
      <c r="R848" s="12">
        <f t="shared" si="120"/>
        <v>112</v>
      </c>
    </row>
    <row r="849" spans="1:18" x14ac:dyDescent="0.15">
      <c r="A849" s="12">
        <v>831</v>
      </c>
      <c r="B849" s="12">
        <f t="shared" si="114"/>
        <v>5</v>
      </c>
      <c r="C849" s="12">
        <f t="shared" si="115"/>
        <v>0.7095125000000001</v>
      </c>
      <c r="D849" s="12">
        <f t="shared" si="116"/>
        <v>2.3262500000000075E-2</v>
      </c>
      <c r="E849" s="12">
        <f>SUM($D$19:D849)</f>
        <v>10.909512499999982</v>
      </c>
      <c r="F849" s="12">
        <f t="shared" si="112"/>
        <v>110.48971487460494</v>
      </c>
      <c r="G849" s="12">
        <f t="shared" si="113"/>
        <v>86.03728339365594</v>
      </c>
      <c r="H849" s="12">
        <f t="shared" si="117"/>
        <v>397700</v>
      </c>
      <c r="I849" s="12">
        <f t="shared" si="118"/>
        <v>309700</v>
      </c>
      <c r="J849" s="12">
        <f>IF(A849&lt;[3]关卡对接!$A$4,INDEX([3]关卡对接!$C$7:$C$141,A849),MATCH(E849,人物经验!$H$24:$H$573,1))</f>
        <v>346</v>
      </c>
      <c r="K849" s="12">
        <f>IF([3]关卡对接!F837="",INT(INDEX(人物经验!$J$24:$J$573,关卡!J849)*关卡!$S$7),[3]关卡对接!F837)</f>
        <v>9824</v>
      </c>
      <c r="L849" s="12">
        <f t="shared" si="119"/>
        <v>1.8</v>
      </c>
      <c r="M849" s="12">
        <f>L849/[4]货币基础!$B$4</f>
        <v>180</v>
      </c>
      <c r="N849" s="12">
        <f>IF(A849&lt;[3]关卡对接!$A$4,INDEX([3]关卡对接!$E$7:$E$141,A849),MATCH(E849,人物经验!$H$24:$H$573,1))</f>
        <v>346</v>
      </c>
      <c r="O849" s="12">
        <f>INDEX([2]关卡!$G$6:$G$2005,A849)</f>
        <v>3</v>
      </c>
      <c r="P849" s="13">
        <v>6</v>
      </c>
      <c r="Q849" s="12">
        <f>INT(P849/$S$15/O849*VLOOKUP(J849,[1]人物技能基础!$N$3:$O$553,2,0)*$U$15)</f>
        <v>9</v>
      </c>
      <c r="R849" s="12">
        <f t="shared" si="120"/>
        <v>112</v>
      </c>
    </row>
    <row r="850" spans="1:18" x14ac:dyDescent="0.15">
      <c r="A850" s="12">
        <v>832</v>
      </c>
      <c r="B850" s="12">
        <f t="shared" si="114"/>
        <v>5</v>
      </c>
      <c r="C850" s="12">
        <f t="shared" si="115"/>
        <v>0.73280000000000012</v>
      </c>
      <c r="D850" s="12">
        <f t="shared" si="116"/>
        <v>2.3287500000000017E-2</v>
      </c>
      <c r="E850" s="12">
        <f>SUM($D$19:D850)</f>
        <v>10.932799999999983</v>
      </c>
      <c r="F850" s="12">
        <f t="shared" si="112"/>
        <v>110.75799207526401</v>
      </c>
      <c r="G850" s="12">
        <f t="shared" si="113"/>
        <v>86.202190417920008</v>
      </c>
      <c r="H850" s="12">
        <f t="shared" si="117"/>
        <v>398700</v>
      </c>
      <c r="I850" s="12">
        <f t="shared" si="118"/>
        <v>310300</v>
      </c>
      <c r="J850" s="12">
        <f>IF(A850&lt;[3]关卡对接!$A$4,INDEX([3]关卡对接!$C$7:$C$141,A850),MATCH(E850,人物经验!$H$24:$H$573,1))</f>
        <v>346</v>
      </c>
      <c r="K850" s="12">
        <f>IF([3]关卡对接!F838="",INT(INDEX(人物经验!$J$24:$J$573,关卡!J850)*关卡!$S$7),[3]关卡对接!F838)</f>
        <v>9824</v>
      </c>
      <c r="L850" s="12">
        <f t="shared" si="119"/>
        <v>1.8</v>
      </c>
      <c r="M850" s="12">
        <f>L850/[4]货币基础!$B$4</f>
        <v>180</v>
      </c>
      <c r="N850" s="12">
        <f>IF(A850&lt;[3]关卡对接!$A$4,INDEX([3]关卡对接!$E$7:$E$141,A850),MATCH(E850,人物经验!$H$24:$H$573,1))</f>
        <v>346</v>
      </c>
      <c r="O850" s="12">
        <f>INDEX([2]关卡!$G$6:$G$2005,A850)</f>
        <v>3</v>
      </c>
      <c r="P850" s="13">
        <v>6</v>
      </c>
      <c r="Q850" s="12">
        <f>INT(P850/$S$15/O850*VLOOKUP(J850,[1]人物技能基础!$N$3:$O$553,2,0)*$U$15)</f>
        <v>9</v>
      </c>
      <c r="R850" s="12">
        <f t="shared" si="120"/>
        <v>112</v>
      </c>
    </row>
    <row r="851" spans="1:18" x14ac:dyDescent="0.15">
      <c r="A851" s="12">
        <v>833</v>
      </c>
      <c r="B851" s="12">
        <f t="shared" si="114"/>
        <v>5</v>
      </c>
      <c r="C851" s="12">
        <f t="shared" si="115"/>
        <v>0.75611250000000008</v>
      </c>
      <c r="D851" s="12">
        <f t="shared" si="116"/>
        <v>2.3312499999999958E-2</v>
      </c>
      <c r="E851" s="12">
        <f>SUM($D$19:D851)</f>
        <v>10.956112499999982</v>
      </c>
      <c r="F851" s="12">
        <f t="shared" ref="F851:F914" si="121">$L$7*($M$7+$N$7*($A851/$B$3)^1+$O$7*($A851/$B$3)^2+$P$7*($A851/$B$3)^3+$Q$7*($A851/$B$3)^4)</f>
        <v>111.02676362400494</v>
      </c>
      <c r="G851" s="12">
        <f t="shared" ref="G851:G914" si="122">$L$11*($M$11+$N$11*($A851/$B$3)^1+$O$11*($A851/$B$3)^2+$P$11*($A851/$B$3)^3+$Q$11*($A851/$B$3)^4)</f>
        <v>86.367315363155939</v>
      </c>
      <c r="H851" s="12">
        <f t="shared" si="117"/>
        <v>399600</v>
      </c>
      <c r="I851" s="12">
        <f t="shared" si="118"/>
        <v>310900</v>
      </c>
      <c r="J851" s="12">
        <f>IF(A851&lt;[3]关卡对接!$A$4,INDEX([3]关卡对接!$C$7:$C$141,A851),MATCH(E851,人物经验!$H$24:$H$573,1))</f>
        <v>347</v>
      </c>
      <c r="K851" s="12">
        <f>IF([3]关卡对接!F839="",INT(INDEX(人物经验!$J$24:$J$573,关卡!J851)*关卡!$S$7),[3]关卡对接!F839)</f>
        <v>9968</v>
      </c>
      <c r="L851" s="12">
        <f t="shared" si="119"/>
        <v>1.8</v>
      </c>
      <c r="M851" s="12">
        <f>L851/[4]货币基础!$B$4</f>
        <v>180</v>
      </c>
      <c r="N851" s="12">
        <f>IF(A851&lt;[3]关卡对接!$A$4,INDEX([3]关卡对接!$E$7:$E$141,A851),MATCH(E851,人物经验!$H$24:$H$573,1))</f>
        <v>347</v>
      </c>
      <c r="O851" s="12">
        <f>INDEX([2]关卡!$G$6:$G$2005,A851)</f>
        <v>3</v>
      </c>
      <c r="P851" s="13">
        <v>6</v>
      </c>
      <c r="Q851" s="12">
        <f>INT(P851/$S$15/O851*VLOOKUP(J851,[1]人物技能基础!$N$3:$O$553,2,0)*$U$15)</f>
        <v>9</v>
      </c>
      <c r="R851" s="12">
        <f t="shared" si="120"/>
        <v>112</v>
      </c>
    </row>
    <row r="852" spans="1:18" x14ac:dyDescent="0.15">
      <c r="A852" s="12">
        <v>834</v>
      </c>
      <c r="B852" s="12">
        <f t="shared" ref="B852:B915" si="123">MATCH($A852,$A$5:$A$15,1)-1</f>
        <v>5</v>
      </c>
      <c r="C852" s="12">
        <f t="shared" ref="C852:C915" si="124">INDEX($C$5:$C$15,$B852+1)*(INDEX($E$5:$E$15,$B852+1)+INDEX($F$5:$F$15,$B852+1)*(($A852-INDEX($A$5:$A$15,$B852+1)+1)/(INDEX($B$5:$B$15,$B852+1)-INDEX($A$5:$A$15,$B852+1)+1))^1+INDEX($G$5:$G$15,$B852+1)*(($A852-INDEX($A$5:$A$15,$B852+1)+1)/(INDEX($B$5:$B$15,$B852+1)-INDEX($A$5:$A$15,$B852+1)+1))^2+INDEX($H$5:$H$15,$B852+1)*(($A852-INDEX($A$5:$A$15,$B852+1)+1)/(INDEX($B$5:$B$15,$B852+1)-INDEX($A$5:$A$15,$B852+1)+1))^3+INDEX($I$5:$I$15,$B852+1)*(($A852-INDEX($A$5:$A$15,$B852+1)+1)/(INDEX($B$5:$B$15,$B852+1)-INDEX($A$5:$A$15,$B852+1)+1))^4)</f>
        <v>0.7794500000000002</v>
      </c>
      <c r="D852" s="12">
        <f t="shared" ref="D852:D915" si="125">IF(ISNA(MATCH(A852,$A$6:$A$15,0)),C852-C851,C852)</f>
        <v>2.3337500000000122E-2</v>
      </c>
      <c r="E852" s="12">
        <f>SUM($D$19:D852)</f>
        <v>10.979449999999982</v>
      </c>
      <c r="F852" s="12">
        <f t="shared" si="121"/>
        <v>111.29603024407899</v>
      </c>
      <c r="G852" s="12">
        <f t="shared" si="122"/>
        <v>86.532658460494986</v>
      </c>
      <c r="H852" s="12">
        <f t="shared" ref="H852:H915" si="126">INT(F852*60*60/100)*100</f>
        <v>400600</v>
      </c>
      <c r="I852" s="12">
        <f t="shared" ref="I852:I915" si="127">INT(G852*60*60/100)*100</f>
        <v>311500</v>
      </c>
      <c r="J852" s="12">
        <f>IF(A852&lt;[3]关卡对接!$A$4,INDEX([3]关卡对接!$C$7:$C$141,A852),MATCH(E852,人物经验!$H$24:$H$573,1))</f>
        <v>347</v>
      </c>
      <c r="K852" s="12">
        <f>IF([3]关卡对接!F840="",INT(INDEX(人物经验!$J$24:$J$573,关卡!J852)*关卡!$S$7),[3]关卡对接!F840)</f>
        <v>9968</v>
      </c>
      <c r="L852" s="12">
        <f t="shared" ref="L852:L915" si="128">VLOOKUP(A852,$A$5:$J$15,10,1)</f>
        <v>1.8</v>
      </c>
      <c r="M852" s="12">
        <f>L852/[4]货币基础!$B$4</f>
        <v>180</v>
      </c>
      <c r="N852" s="12">
        <f>IF(A852&lt;[3]关卡对接!$A$4,INDEX([3]关卡对接!$E$7:$E$141,A852),MATCH(E852,人物经验!$H$24:$H$573,1))</f>
        <v>347</v>
      </c>
      <c r="O852" s="12">
        <f>INDEX([2]关卡!$G$6:$G$2005,A852)</f>
        <v>3</v>
      </c>
      <c r="P852" s="13">
        <v>6</v>
      </c>
      <c r="Q852" s="12">
        <f>INT(P852/$S$15/O852*VLOOKUP(J852,[1]人物技能基础!$N$3:$O$553,2,0)*$U$15)</f>
        <v>9</v>
      </c>
      <c r="R852" s="12">
        <f t="shared" ref="R852:R915" si="129">INT(Q852*12.5)</f>
        <v>112</v>
      </c>
    </row>
    <row r="853" spans="1:18" x14ac:dyDescent="0.15">
      <c r="A853" s="12">
        <v>835</v>
      </c>
      <c r="B853" s="12">
        <f t="shared" si="123"/>
        <v>5</v>
      </c>
      <c r="C853" s="12">
        <f t="shared" si="124"/>
        <v>0.80281249999999993</v>
      </c>
      <c r="D853" s="12">
        <f t="shared" si="125"/>
        <v>2.3362499999999731E-2</v>
      </c>
      <c r="E853" s="12">
        <f>SUM($D$19:D853)</f>
        <v>11.002812499999981</v>
      </c>
      <c r="F853" s="12">
        <f t="shared" si="121"/>
        <v>111.56579265933594</v>
      </c>
      <c r="G853" s="12">
        <f t="shared" si="122"/>
        <v>86.698219941210922</v>
      </c>
      <c r="H853" s="12">
        <f t="shared" si="126"/>
        <v>401600</v>
      </c>
      <c r="I853" s="12">
        <f t="shared" si="127"/>
        <v>312100</v>
      </c>
      <c r="J853" s="12">
        <f>IF(A853&lt;[3]关卡对接!$A$4,INDEX([3]关卡对接!$C$7:$C$141,A853),MATCH(E853,人物经验!$H$24:$H$573,1))</f>
        <v>347</v>
      </c>
      <c r="K853" s="12">
        <f>IF([3]关卡对接!F841="",INT(INDEX(人物经验!$J$24:$J$573,关卡!J853)*关卡!$S$7),[3]关卡对接!F841)</f>
        <v>9968</v>
      </c>
      <c r="L853" s="12">
        <f t="shared" si="128"/>
        <v>1.8</v>
      </c>
      <c r="M853" s="12">
        <f>L853/[4]货币基础!$B$4</f>
        <v>180</v>
      </c>
      <c r="N853" s="12">
        <f>IF(A853&lt;[3]关卡对接!$A$4,INDEX([3]关卡对接!$E$7:$E$141,A853),MATCH(E853,人物经验!$H$24:$H$573,1))</f>
        <v>347</v>
      </c>
      <c r="O853" s="12">
        <f>INDEX([2]关卡!$G$6:$G$2005,A853)</f>
        <v>3</v>
      </c>
      <c r="P853" s="13">
        <v>6</v>
      </c>
      <c r="Q853" s="12">
        <f>INT(P853/$S$15/O853*VLOOKUP(J853,[1]人物技能基础!$N$3:$O$553,2,0)*$U$15)</f>
        <v>9</v>
      </c>
      <c r="R853" s="12">
        <f t="shared" si="129"/>
        <v>112</v>
      </c>
    </row>
    <row r="854" spans="1:18" x14ac:dyDescent="0.15">
      <c r="A854" s="12">
        <v>836</v>
      </c>
      <c r="B854" s="12">
        <f t="shared" si="123"/>
        <v>5</v>
      </c>
      <c r="C854" s="12">
        <f t="shared" si="124"/>
        <v>0.82620000000000005</v>
      </c>
      <c r="D854" s="12">
        <f t="shared" si="125"/>
        <v>2.3387500000000117E-2</v>
      </c>
      <c r="E854" s="12">
        <f>SUM($D$19:D854)</f>
        <v>11.026199999999982</v>
      </c>
      <c r="F854" s="12">
        <f t="shared" si="121"/>
        <v>111.83605159422399</v>
      </c>
      <c r="G854" s="12">
        <f t="shared" si="122"/>
        <v>86.86400003672</v>
      </c>
      <c r="H854" s="12">
        <f t="shared" si="126"/>
        <v>402600</v>
      </c>
      <c r="I854" s="12">
        <f t="shared" si="127"/>
        <v>312700</v>
      </c>
      <c r="J854" s="12">
        <f>IF(A854&lt;[3]关卡对接!$A$4,INDEX([3]关卡对接!$C$7:$C$141,A854),MATCH(E854,人物经验!$H$24:$H$573,1))</f>
        <v>347</v>
      </c>
      <c r="K854" s="12">
        <f>IF([3]关卡对接!F842="",INT(INDEX(人物经验!$J$24:$J$573,关卡!J854)*关卡!$S$7),[3]关卡对接!F842)</f>
        <v>9968</v>
      </c>
      <c r="L854" s="12">
        <f t="shared" si="128"/>
        <v>1.8</v>
      </c>
      <c r="M854" s="12">
        <f>L854/[4]货币基础!$B$4</f>
        <v>180</v>
      </c>
      <c r="N854" s="12">
        <f>IF(A854&lt;[3]关卡对接!$A$4,INDEX([3]关卡对接!$E$7:$E$141,A854),MATCH(E854,人物经验!$H$24:$H$573,1))</f>
        <v>347</v>
      </c>
      <c r="O854" s="12">
        <f>INDEX([2]关卡!$G$6:$G$2005,A854)</f>
        <v>3</v>
      </c>
      <c r="P854" s="13">
        <v>6</v>
      </c>
      <c r="Q854" s="12">
        <f>INT(P854/$S$15/O854*VLOOKUP(J854,[1]人物技能基础!$N$3:$O$553,2,0)*$U$15)</f>
        <v>9</v>
      </c>
      <c r="R854" s="12">
        <f t="shared" si="129"/>
        <v>112</v>
      </c>
    </row>
    <row r="855" spans="1:18" x14ac:dyDescent="0.15">
      <c r="A855" s="12">
        <v>837</v>
      </c>
      <c r="B855" s="12">
        <f t="shared" si="123"/>
        <v>5</v>
      </c>
      <c r="C855" s="12">
        <f t="shared" si="124"/>
        <v>0.84961249999999999</v>
      </c>
      <c r="D855" s="12">
        <f t="shared" si="125"/>
        <v>2.3412499999999947E-2</v>
      </c>
      <c r="E855" s="12">
        <f>SUM($D$19:D855)</f>
        <v>11.049612499999981</v>
      </c>
      <c r="F855" s="12">
        <f t="shared" si="121"/>
        <v>112.10680777378995</v>
      </c>
      <c r="G855" s="12">
        <f t="shared" si="122"/>
        <v>87.02999897858092</v>
      </c>
      <c r="H855" s="12">
        <f t="shared" si="126"/>
        <v>403500</v>
      </c>
      <c r="I855" s="12">
        <f t="shared" si="127"/>
        <v>313300</v>
      </c>
      <c r="J855" s="12">
        <f>IF(A855&lt;[3]关卡对接!$A$4,INDEX([3]关卡对接!$C$7:$C$141,A855),MATCH(E855,人物经验!$H$24:$H$573,1))</f>
        <v>347</v>
      </c>
      <c r="K855" s="12">
        <f>IF([3]关卡对接!F843="",INT(INDEX(人物经验!$J$24:$J$573,关卡!J855)*关卡!$S$7),[3]关卡对接!F843)</f>
        <v>9968</v>
      </c>
      <c r="L855" s="12">
        <f t="shared" si="128"/>
        <v>1.8</v>
      </c>
      <c r="M855" s="12">
        <f>L855/[4]货币基础!$B$4</f>
        <v>180</v>
      </c>
      <c r="N855" s="12">
        <f>IF(A855&lt;[3]关卡对接!$A$4,INDEX([3]关卡对接!$E$7:$E$141,A855),MATCH(E855,人物经验!$H$24:$H$573,1))</f>
        <v>347</v>
      </c>
      <c r="O855" s="12">
        <f>INDEX([2]关卡!$G$6:$G$2005,A855)</f>
        <v>3</v>
      </c>
      <c r="P855" s="13">
        <v>6</v>
      </c>
      <c r="Q855" s="12">
        <f>INT(P855/$S$15/O855*VLOOKUP(J855,[1]人物技能基础!$N$3:$O$553,2,0)*$U$15)</f>
        <v>9</v>
      </c>
      <c r="R855" s="12">
        <f t="shared" si="129"/>
        <v>112</v>
      </c>
    </row>
    <row r="856" spans="1:18" x14ac:dyDescent="0.15">
      <c r="A856" s="12">
        <v>838</v>
      </c>
      <c r="B856" s="12">
        <f t="shared" si="123"/>
        <v>5</v>
      </c>
      <c r="C856" s="12">
        <f t="shared" si="124"/>
        <v>0.8730500000000001</v>
      </c>
      <c r="D856" s="12">
        <f t="shared" si="125"/>
        <v>2.3437500000000111E-2</v>
      </c>
      <c r="E856" s="12">
        <f>SUM($D$19:D856)</f>
        <v>11.073049999999981</v>
      </c>
      <c r="F856" s="12">
        <f t="shared" si="121"/>
        <v>112.378061923679</v>
      </c>
      <c r="G856" s="12">
        <f t="shared" si="122"/>
        <v>87.196216998495004</v>
      </c>
      <c r="H856" s="12">
        <f t="shared" si="126"/>
        <v>404500</v>
      </c>
      <c r="I856" s="12">
        <f t="shared" si="127"/>
        <v>313900</v>
      </c>
      <c r="J856" s="12">
        <f>IF(A856&lt;[3]关卡对接!$A$4,INDEX([3]关卡对接!$C$7:$C$141,A856),MATCH(E856,人物经验!$H$24:$H$573,1))</f>
        <v>347</v>
      </c>
      <c r="K856" s="12">
        <f>IF([3]关卡对接!F844="",INT(INDEX(人物经验!$J$24:$J$573,关卡!J856)*关卡!$S$7),[3]关卡对接!F844)</f>
        <v>9968</v>
      </c>
      <c r="L856" s="12">
        <f t="shared" si="128"/>
        <v>1.8</v>
      </c>
      <c r="M856" s="12">
        <f>L856/[4]货币基础!$B$4</f>
        <v>180</v>
      </c>
      <c r="N856" s="12">
        <f>IF(A856&lt;[3]关卡对接!$A$4,INDEX([3]关卡对接!$E$7:$E$141,A856),MATCH(E856,人物经验!$H$24:$H$573,1))</f>
        <v>347</v>
      </c>
      <c r="O856" s="12">
        <f>INDEX([2]关卡!$G$6:$G$2005,A856)</f>
        <v>3</v>
      </c>
      <c r="P856" s="13">
        <v>6</v>
      </c>
      <c r="Q856" s="12">
        <f>INT(P856/$S$15/O856*VLOOKUP(J856,[1]人物技能基础!$N$3:$O$553,2,0)*$U$15)</f>
        <v>9</v>
      </c>
      <c r="R856" s="12">
        <f t="shared" si="129"/>
        <v>112</v>
      </c>
    </row>
    <row r="857" spans="1:18" x14ac:dyDescent="0.15">
      <c r="A857" s="12">
        <v>839</v>
      </c>
      <c r="B857" s="12">
        <f t="shared" si="123"/>
        <v>5</v>
      </c>
      <c r="C857" s="12">
        <f t="shared" si="124"/>
        <v>0.89651250000000016</v>
      </c>
      <c r="D857" s="12">
        <f t="shared" si="125"/>
        <v>2.3462500000000053E-2</v>
      </c>
      <c r="E857" s="12">
        <f>SUM($D$19:D857)</f>
        <v>11.096512499999982</v>
      </c>
      <c r="F857" s="12">
        <f t="shared" si="121"/>
        <v>112.64981477013491</v>
      </c>
      <c r="G857" s="12">
        <f t="shared" si="122"/>
        <v>87.362654328305922</v>
      </c>
      <c r="H857" s="12">
        <f t="shared" si="126"/>
        <v>405500</v>
      </c>
      <c r="I857" s="12">
        <f t="shared" si="127"/>
        <v>314500</v>
      </c>
      <c r="J857" s="12">
        <f>IF(A857&lt;[3]关卡对接!$A$4,INDEX([3]关卡对接!$C$7:$C$141,A857),MATCH(E857,人物经验!$H$24:$H$573,1))</f>
        <v>348</v>
      </c>
      <c r="K857" s="12">
        <f>IF([3]关卡对接!F845="",INT(INDEX(人物经验!$J$24:$J$573,关卡!J857)*关卡!$S$7),[3]关卡对接!F845)</f>
        <v>10114</v>
      </c>
      <c r="L857" s="12">
        <f t="shared" si="128"/>
        <v>1.8</v>
      </c>
      <c r="M857" s="12">
        <f>L857/[4]货币基础!$B$4</f>
        <v>180</v>
      </c>
      <c r="N857" s="12">
        <f>IF(A857&lt;[3]关卡对接!$A$4,INDEX([3]关卡对接!$E$7:$E$141,A857),MATCH(E857,人物经验!$H$24:$H$573,1))</f>
        <v>348</v>
      </c>
      <c r="O857" s="12">
        <f>INDEX([2]关卡!$G$6:$G$2005,A857)</f>
        <v>3</v>
      </c>
      <c r="P857" s="13">
        <v>6</v>
      </c>
      <c r="Q857" s="12">
        <f>INT(P857/$S$15/O857*VLOOKUP(J857,[1]人物技能基础!$N$3:$O$553,2,0)*$U$15)</f>
        <v>9</v>
      </c>
      <c r="R857" s="12">
        <f t="shared" si="129"/>
        <v>112</v>
      </c>
    </row>
    <row r="858" spans="1:18" x14ac:dyDescent="0.15">
      <c r="A858" s="12">
        <v>840</v>
      </c>
      <c r="B858" s="12">
        <f t="shared" si="123"/>
        <v>5</v>
      </c>
      <c r="C858" s="12">
        <f t="shared" si="124"/>
        <v>0.92000000000000015</v>
      </c>
      <c r="D858" s="12">
        <f t="shared" si="125"/>
        <v>2.3487499999999994E-2</v>
      </c>
      <c r="E858" s="12">
        <f>SUM($D$19:D858)</f>
        <v>11.119999999999981</v>
      </c>
      <c r="F858" s="12">
        <f t="shared" si="121"/>
        <v>112.92206703999999</v>
      </c>
      <c r="G858" s="12">
        <f t="shared" si="122"/>
        <v>87.529311199999995</v>
      </c>
      <c r="H858" s="12">
        <f t="shared" si="126"/>
        <v>406500</v>
      </c>
      <c r="I858" s="12">
        <f t="shared" si="127"/>
        <v>315100</v>
      </c>
      <c r="J858" s="12">
        <f>IF(A858&lt;[3]关卡对接!$A$4,INDEX([3]关卡对接!$C$7:$C$141,A858),MATCH(E858,人物经验!$H$24:$H$573,1))</f>
        <v>348</v>
      </c>
      <c r="K858" s="12">
        <f>IF([3]关卡对接!F846="",INT(INDEX(人物经验!$J$24:$J$573,关卡!J858)*关卡!$S$7),[3]关卡对接!F846)</f>
        <v>10114</v>
      </c>
      <c r="L858" s="12">
        <f t="shared" si="128"/>
        <v>1.8</v>
      </c>
      <c r="M858" s="12">
        <f>L858/[4]货币基础!$B$4</f>
        <v>180</v>
      </c>
      <c r="N858" s="12">
        <f>IF(A858&lt;[3]关卡对接!$A$4,INDEX([3]关卡对接!$E$7:$E$141,A858),MATCH(E858,人物经验!$H$24:$H$573,1))</f>
        <v>348</v>
      </c>
      <c r="O858" s="12">
        <f>INDEX([2]关卡!$G$6:$G$2005,A858)</f>
        <v>3</v>
      </c>
      <c r="P858" s="13">
        <v>6</v>
      </c>
      <c r="Q858" s="12">
        <f>INT(P858/$S$15/O858*VLOOKUP(J858,[1]人物技能基础!$N$3:$O$553,2,0)*$U$15)</f>
        <v>9</v>
      </c>
      <c r="R858" s="12">
        <f t="shared" si="129"/>
        <v>112</v>
      </c>
    </row>
    <row r="859" spans="1:18" x14ac:dyDescent="0.15">
      <c r="A859" s="12">
        <v>841</v>
      </c>
      <c r="B859" s="12">
        <f t="shared" si="123"/>
        <v>5</v>
      </c>
      <c r="C859" s="12">
        <f t="shared" si="124"/>
        <v>0.94351249999999998</v>
      </c>
      <c r="D859" s="12">
        <f t="shared" si="125"/>
        <v>2.3512499999999825E-2</v>
      </c>
      <c r="E859" s="12">
        <f>SUM($D$19:D859)</f>
        <v>11.143512499999982</v>
      </c>
      <c r="F859" s="12">
        <f t="shared" si="121"/>
        <v>113.19481946071494</v>
      </c>
      <c r="G859" s="12">
        <f t="shared" si="122"/>
        <v>87.696187845705936</v>
      </c>
      <c r="H859" s="12">
        <f t="shared" si="126"/>
        <v>407500</v>
      </c>
      <c r="I859" s="12">
        <f t="shared" si="127"/>
        <v>315700</v>
      </c>
      <c r="J859" s="12">
        <f>IF(A859&lt;[3]关卡对接!$A$4,INDEX([3]关卡对接!$C$7:$C$141,A859),MATCH(E859,人物经验!$H$24:$H$573,1))</f>
        <v>348</v>
      </c>
      <c r="K859" s="12">
        <f>IF([3]关卡对接!F847="",INT(INDEX(人物经验!$J$24:$J$573,关卡!J859)*关卡!$S$7),[3]关卡对接!F847)</f>
        <v>10114</v>
      </c>
      <c r="L859" s="12">
        <f t="shared" si="128"/>
        <v>1.8</v>
      </c>
      <c r="M859" s="12">
        <f>L859/[4]货币基础!$B$4</f>
        <v>180</v>
      </c>
      <c r="N859" s="12">
        <f>IF(A859&lt;[3]关卡对接!$A$4,INDEX([3]关卡对接!$E$7:$E$141,A859),MATCH(E859,人物经验!$H$24:$H$573,1))</f>
        <v>348</v>
      </c>
      <c r="O859" s="12">
        <f>INDEX([2]关卡!$G$6:$G$2005,A859)</f>
        <v>3</v>
      </c>
      <c r="P859" s="13">
        <v>6</v>
      </c>
      <c r="Q859" s="12">
        <f>INT(P859/$S$15/O859*VLOOKUP(J859,[1]人物技能基础!$N$3:$O$553,2,0)*$U$15)</f>
        <v>9</v>
      </c>
      <c r="R859" s="12">
        <f t="shared" si="129"/>
        <v>112</v>
      </c>
    </row>
    <row r="860" spans="1:18" x14ac:dyDescent="0.15">
      <c r="A860" s="12">
        <v>842</v>
      </c>
      <c r="B860" s="12">
        <f t="shared" si="123"/>
        <v>5</v>
      </c>
      <c r="C860" s="12">
        <f t="shared" si="124"/>
        <v>0.96704999999999997</v>
      </c>
      <c r="D860" s="12">
        <f t="shared" si="125"/>
        <v>2.3537499999999989E-2</v>
      </c>
      <c r="E860" s="12">
        <f>SUM($D$19:D860)</f>
        <v>11.167049999999982</v>
      </c>
      <c r="F860" s="12">
        <f t="shared" si="121"/>
        <v>113.46807276031899</v>
      </c>
      <c r="G860" s="12">
        <f t="shared" si="122"/>
        <v>87.863284497694977</v>
      </c>
      <c r="H860" s="12">
        <f t="shared" si="126"/>
        <v>408400</v>
      </c>
      <c r="I860" s="12">
        <f t="shared" si="127"/>
        <v>316300</v>
      </c>
      <c r="J860" s="12">
        <f>IF(A860&lt;[3]关卡对接!$A$4,INDEX([3]关卡对接!$C$7:$C$141,A860),MATCH(E860,人物经验!$H$24:$H$573,1))</f>
        <v>348</v>
      </c>
      <c r="K860" s="12">
        <f>IF([3]关卡对接!F848="",INT(INDEX(人物经验!$J$24:$J$573,关卡!J860)*关卡!$S$7),[3]关卡对接!F848)</f>
        <v>10114</v>
      </c>
      <c r="L860" s="12">
        <f t="shared" si="128"/>
        <v>1.8</v>
      </c>
      <c r="M860" s="12">
        <f>L860/[4]货币基础!$B$4</f>
        <v>180</v>
      </c>
      <c r="N860" s="12">
        <f>IF(A860&lt;[3]关卡对接!$A$4,INDEX([3]关卡对接!$E$7:$E$141,A860),MATCH(E860,人物经验!$H$24:$H$573,1))</f>
        <v>348</v>
      </c>
      <c r="O860" s="12">
        <f>INDEX([2]关卡!$G$6:$G$2005,A860)</f>
        <v>3</v>
      </c>
      <c r="P860" s="13">
        <v>6</v>
      </c>
      <c r="Q860" s="12">
        <f>INT(P860/$S$15/O860*VLOOKUP(J860,[1]人物技能基础!$N$3:$O$553,2,0)*$U$15)</f>
        <v>9</v>
      </c>
      <c r="R860" s="12">
        <f t="shared" si="129"/>
        <v>112</v>
      </c>
    </row>
    <row r="861" spans="1:18" x14ac:dyDescent="0.15">
      <c r="A861" s="12">
        <v>843</v>
      </c>
      <c r="B861" s="12">
        <f t="shared" si="123"/>
        <v>5</v>
      </c>
      <c r="C861" s="12">
        <f t="shared" si="124"/>
        <v>0.99061250000000001</v>
      </c>
      <c r="D861" s="12">
        <f t="shared" si="125"/>
        <v>2.3562500000000042E-2</v>
      </c>
      <c r="E861" s="12">
        <f>SUM($D$19:D861)</f>
        <v>11.190612499999983</v>
      </c>
      <c r="F861" s="12">
        <f t="shared" si="121"/>
        <v>113.74182766744994</v>
      </c>
      <c r="G861" s="12">
        <f t="shared" si="122"/>
        <v>88.03060138838093</v>
      </c>
      <c r="H861" s="12">
        <f t="shared" si="126"/>
        <v>409400</v>
      </c>
      <c r="I861" s="12">
        <f t="shared" si="127"/>
        <v>316900</v>
      </c>
      <c r="J861" s="12">
        <f>IF(A861&lt;[3]关卡对接!$A$4,INDEX([3]关卡对接!$C$7:$C$141,A861),MATCH(E861,人物经验!$H$24:$H$573,1))</f>
        <v>348</v>
      </c>
      <c r="K861" s="12">
        <f>IF([3]关卡对接!F849="",INT(INDEX(人物经验!$J$24:$J$573,关卡!J861)*关卡!$S$7),[3]关卡对接!F849)</f>
        <v>10114</v>
      </c>
      <c r="L861" s="12">
        <f t="shared" si="128"/>
        <v>1.8</v>
      </c>
      <c r="M861" s="12">
        <f>L861/[4]货币基础!$B$4</f>
        <v>180</v>
      </c>
      <c r="N861" s="12">
        <f>IF(A861&lt;[3]关卡对接!$A$4,INDEX([3]关卡对接!$E$7:$E$141,A861),MATCH(E861,人物经验!$H$24:$H$573,1))</f>
        <v>348</v>
      </c>
      <c r="O861" s="12">
        <f>INDEX([2]关卡!$G$6:$G$2005,A861)</f>
        <v>3</v>
      </c>
      <c r="P861" s="13">
        <v>6</v>
      </c>
      <c r="Q861" s="12">
        <f>INT(P861/$S$15/O861*VLOOKUP(J861,[1]人物技能基础!$N$3:$O$553,2,0)*$U$15)</f>
        <v>9</v>
      </c>
      <c r="R861" s="12">
        <f t="shared" si="129"/>
        <v>112</v>
      </c>
    </row>
    <row r="862" spans="1:18" x14ac:dyDescent="0.15">
      <c r="A862" s="12">
        <v>844</v>
      </c>
      <c r="B862" s="12">
        <f t="shared" si="123"/>
        <v>5</v>
      </c>
      <c r="C862" s="12">
        <f t="shared" si="124"/>
        <v>1.0142000000000002</v>
      </c>
      <c r="D862" s="12">
        <f t="shared" si="125"/>
        <v>2.3587500000000206E-2</v>
      </c>
      <c r="E862" s="12">
        <f>SUM($D$19:D862)</f>
        <v>11.214199999999982</v>
      </c>
      <c r="F862" s="12">
        <f t="shared" si="121"/>
        <v>114.016084911344</v>
      </c>
      <c r="G862" s="12">
        <f t="shared" si="122"/>
        <v>88.198138750319998</v>
      </c>
      <c r="H862" s="12">
        <f t="shared" si="126"/>
        <v>410400</v>
      </c>
      <c r="I862" s="12">
        <f t="shared" si="127"/>
        <v>317500</v>
      </c>
      <c r="J862" s="12">
        <f>IF(A862&lt;[3]关卡对接!$A$4,INDEX([3]关卡对接!$C$7:$C$141,A862),MATCH(E862,人物经验!$H$24:$H$573,1))</f>
        <v>348</v>
      </c>
      <c r="K862" s="12">
        <f>IF([3]关卡对接!F850="",INT(INDEX(人物经验!$J$24:$J$573,关卡!J862)*关卡!$S$7),[3]关卡对接!F850)</f>
        <v>10114</v>
      </c>
      <c r="L862" s="12">
        <f t="shared" si="128"/>
        <v>1.8</v>
      </c>
      <c r="M862" s="12">
        <f>L862/[4]货币基础!$B$4</f>
        <v>180</v>
      </c>
      <c r="N862" s="12">
        <f>IF(A862&lt;[3]关卡对接!$A$4,INDEX([3]关卡对接!$E$7:$E$141,A862),MATCH(E862,人物经验!$H$24:$H$573,1))</f>
        <v>348</v>
      </c>
      <c r="O862" s="12">
        <f>INDEX([2]关卡!$G$6:$G$2005,A862)</f>
        <v>3</v>
      </c>
      <c r="P862" s="13">
        <v>6</v>
      </c>
      <c r="Q862" s="12">
        <f>INT(P862/$S$15/O862*VLOOKUP(J862,[1]人物技能基础!$N$3:$O$553,2,0)*$U$15)</f>
        <v>9</v>
      </c>
      <c r="R862" s="12">
        <f t="shared" si="129"/>
        <v>112</v>
      </c>
    </row>
    <row r="863" spans="1:18" x14ac:dyDescent="0.15">
      <c r="A863" s="12">
        <v>845</v>
      </c>
      <c r="B863" s="12">
        <f t="shared" si="123"/>
        <v>5</v>
      </c>
      <c r="C863" s="12">
        <f t="shared" si="124"/>
        <v>1.0378125</v>
      </c>
      <c r="D863" s="12">
        <f t="shared" si="125"/>
        <v>2.3612499999999814E-2</v>
      </c>
      <c r="E863" s="12">
        <f>SUM($D$19:D863)</f>
        <v>11.237812499999983</v>
      </c>
      <c r="F863" s="12">
        <f t="shared" si="121"/>
        <v>114.29084522183592</v>
      </c>
      <c r="G863" s="12">
        <f t="shared" si="122"/>
        <v>88.365896816210935</v>
      </c>
      <c r="H863" s="12">
        <f t="shared" si="126"/>
        <v>411400</v>
      </c>
      <c r="I863" s="12">
        <f t="shared" si="127"/>
        <v>318100</v>
      </c>
      <c r="J863" s="12">
        <f>IF(A863&lt;[3]关卡对接!$A$4,INDEX([3]关卡对接!$C$7:$C$141,A863),MATCH(E863,人物经验!$H$24:$H$573,1))</f>
        <v>349</v>
      </c>
      <c r="K863" s="12">
        <f>IF([3]关卡对接!F851="",INT(INDEX(人物经验!$J$24:$J$573,关卡!J863)*关卡!$S$7),[3]关卡对接!F851)</f>
        <v>10261</v>
      </c>
      <c r="L863" s="12">
        <f t="shared" si="128"/>
        <v>1.8</v>
      </c>
      <c r="M863" s="12">
        <f>L863/[4]货币基础!$B$4</f>
        <v>180</v>
      </c>
      <c r="N863" s="12">
        <f>IF(A863&lt;[3]关卡对接!$A$4,INDEX([3]关卡对接!$E$7:$E$141,A863),MATCH(E863,人物经验!$H$24:$H$573,1))</f>
        <v>349</v>
      </c>
      <c r="O863" s="12">
        <f>INDEX([2]关卡!$G$6:$G$2005,A863)</f>
        <v>3</v>
      </c>
      <c r="P863" s="13">
        <v>6</v>
      </c>
      <c r="Q863" s="12">
        <f>INT(P863/$S$15/O863*VLOOKUP(J863,[1]人物技能基础!$N$3:$O$553,2,0)*$U$15)</f>
        <v>9</v>
      </c>
      <c r="R863" s="12">
        <f t="shared" si="129"/>
        <v>112</v>
      </c>
    </row>
    <row r="864" spans="1:18" x14ac:dyDescent="0.15">
      <c r="A864" s="12">
        <v>846</v>
      </c>
      <c r="B864" s="12">
        <f t="shared" si="123"/>
        <v>5</v>
      </c>
      <c r="C864" s="12">
        <f t="shared" si="124"/>
        <v>1.06145</v>
      </c>
      <c r="D864" s="12">
        <f t="shared" si="125"/>
        <v>2.3637499999999978E-2</v>
      </c>
      <c r="E864" s="12">
        <f>SUM($D$19:D864)</f>
        <v>11.261449999999982</v>
      </c>
      <c r="F864" s="12">
        <f t="shared" si="121"/>
        <v>114.56610932935899</v>
      </c>
      <c r="G864" s="12">
        <f t="shared" si="122"/>
        <v>88.533875818894998</v>
      </c>
      <c r="H864" s="12">
        <f t="shared" si="126"/>
        <v>412400</v>
      </c>
      <c r="I864" s="12">
        <f t="shared" si="127"/>
        <v>318700</v>
      </c>
      <c r="J864" s="12">
        <f>IF(A864&lt;[3]关卡对接!$A$4,INDEX([3]关卡对接!$C$7:$C$141,A864),MATCH(E864,人物经验!$H$24:$H$573,1))</f>
        <v>349</v>
      </c>
      <c r="K864" s="12">
        <f>IF([3]关卡对接!F852="",INT(INDEX(人物经验!$J$24:$J$573,关卡!J864)*关卡!$S$7),[3]关卡对接!F852)</f>
        <v>10261</v>
      </c>
      <c r="L864" s="12">
        <f t="shared" si="128"/>
        <v>1.8</v>
      </c>
      <c r="M864" s="12">
        <f>L864/[4]货币基础!$B$4</f>
        <v>180</v>
      </c>
      <c r="N864" s="12">
        <f>IF(A864&lt;[3]关卡对接!$A$4,INDEX([3]关卡对接!$E$7:$E$141,A864),MATCH(E864,人物经验!$H$24:$H$573,1))</f>
        <v>349</v>
      </c>
      <c r="O864" s="12">
        <f>INDEX([2]关卡!$G$6:$G$2005,A864)</f>
        <v>3</v>
      </c>
      <c r="P864" s="13">
        <v>6</v>
      </c>
      <c r="Q864" s="12">
        <f>INT(P864/$S$15/O864*VLOOKUP(J864,[1]人物技能基础!$N$3:$O$553,2,0)*$U$15)</f>
        <v>9</v>
      </c>
      <c r="R864" s="12">
        <f t="shared" si="129"/>
        <v>112</v>
      </c>
    </row>
    <row r="865" spans="1:18" x14ac:dyDescent="0.15">
      <c r="A865" s="12">
        <v>847</v>
      </c>
      <c r="B865" s="12">
        <f t="shared" si="123"/>
        <v>5</v>
      </c>
      <c r="C865" s="12">
        <f t="shared" si="124"/>
        <v>1.0851125000000001</v>
      </c>
      <c r="D865" s="12">
        <f t="shared" si="125"/>
        <v>2.3662500000000142E-2</v>
      </c>
      <c r="E865" s="12">
        <f>SUM($D$19:D865)</f>
        <v>11.285112499999983</v>
      </c>
      <c r="F865" s="12">
        <f t="shared" si="121"/>
        <v>114.84187796494493</v>
      </c>
      <c r="G865" s="12">
        <f t="shared" si="122"/>
        <v>88.70207599135594</v>
      </c>
      <c r="H865" s="12">
        <f t="shared" si="126"/>
        <v>413400</v>
      </c>
      <c r="I865" s="12">
        <f t="shared" si="127"/>
        <v>319300</v>
      </c>
      <c r="J865" s="12">
        <f>IF(A865&lt;[3]关卡对接!$A$4,INDEX([3]关卡对接!$C$7:$C$141,A865),MATCH(E865,人物经验!$H$24:$H$573,1))</f>
        <v>349</v>
      </c>
      <c r="K865" s="12">
        <f>IF([3]关卡对接!F853="",INT(INDEX(人物经验!$J$24:$J$573,关卡!J865)*关卡!$S$7),[3]关卡对接!F853)</f>
        <v>10261</v>
      </c>
      <c r="L865" s="12">
        <f t="shared" si="128"/>
        <v>1.8</v>
      </c>
      <c r="M865" s="12">
        <f>L865/[4]货币基础!$B$4</f>
        <v>180</v>
      </c>
      <c r="N865" s="12">
        <f>IF(A865&lt;[3]关卡对接!$A$4,INDEX([3]关卡对接!$E$7:$E$141,A865),MATCH(E865,人物经验!$H$24:$H$573,1))</f>
        <v>349</v>
      </c>
      <c r="O865" s="12">
        <f>INDEX([2]关卡!$G$6:$G$2005,A865)</f>
        <v>3</v>
      </c>
      <c r="P865" s="13">
        <v>6</v>
      </c>
      <c r="Q865" s="12">
        <f>INT(P865/$S$15/O865*VLOOKUP(J865,[1]人物技能基础!$N$3:$O$553,2,0)*$U$15)</f>
        <v>9</v>
      </c>
      <c r="R865" s="12">
        <f t="shared" si="129"/>
        <v>112</v>
      </c>
    </row>
    <row r="866" spans="1:18" x14ac:dyDescent="0.15">
      <c r="A866" s="12">
        <v>848</v>
      </c>
      <c r="B866" s="12">
        <f t="shared" si="123"/>
        <v>5</v>
      </c>
      <c r="C866" s="12">
        <f t="shared" si="124"/>
        <v>1.1088</v>
      </c>
      <c r="D866" s="12">
        <f t="shared" si="125"/>
        <v>2.3687499999999861E-2</v>
      </c>
      <c r="E866" s="12">
        <f>SUM($D$19:D866)</f>
        <v>11.308799999999982</v>
      </c>
      <c r="F866" s="12">
        <f t="shared" si="121"/>
        <v>115.118151860224</v>
      </c>
      <c r="G866" s="12">
        <f t="shared" si="122"/>
        <v>88.87049756671999</v>
      </c>
      <c r="H866" s="12">
        <f t="shared" si="126"/>
        <v>414400</v>
      </c>
      <c r="I866" s="12">
        <f t="shared" si="127"/>
        <v>319900</v>
      </c>
      <c r="J866" s="12">
        <f>IF(A866&lt;[3]关卡对接!$A$4,INDEX([3]关卡对接!$C$7:$C$141,A866),MATCH(E866,人物经验!$H$24:$H$573,1))</f>
        <v>349</v>
      </c>
      <c r="K866" s="12">
        <f>IF([3]关卡对接!F854="",INT(INDEX(人物经验!$J$24:$J$573,关卡!J866)*关卡!$S$7),[3]关卡对接!F854)</f>
        <v>10261</v>
      </c>
      <c r="L866" s="12">
        <f t="shared" si="128"/>
        <v>1.8</v>
      </c>
      <c r="M866" s="12">
        <f>L866/[4]货币基础!$B$4</f>
        <v>180</v>
      </c>
      <c r="N866" s="12">
        <f>IF(A866&lt;[3]关卡对接!$A$4,INDEX([3]关卡对接!$E$7:$E$141,A866),MATCH(E866,人物经验!$H$24:$H$573,1))</f>
        <v>349</v>
      </c>
      <c r="O866" s="12">
        <f>INDEX([2]关卡!$G$6:$G$2005,A866)</f>
        <v>3</v>
      </c>
      <c r="P866" s="13">
        <v>6</v>
      </c>
      <c r="Q866" s="12">
        <f>INT(P866/$S$15/O866*VLOOKUP(J866,[1]人物技能基础!$N$3:$O$553,2,0)*$U$15)</f>
        <v>9</v>
      </c>
      <c r="R866" s="12">
        <f t="shared" si="129"/>
        <v>112</v>
      </c>
    </row>
    <row r="867" spans="1:18" x14ac:dyDescent="0.15">
      <c r="A867" s="12">
        <v>849</v>
      </c>
      <c r="B867" s="12">
        <f t="shared" si="123"/>
        <v>5</v>
      </c>
      <c r="C867" s="12">
        <f t="shared" si="124"/>
        <v>1.1325125</v>
      </c>
      <c r="D867" s="12">
        <f t="shared" si="125"/>
        <v>2.3712500000000025E-2</v>
      </c>
      <c r="E867" s="12">
        <f>SUM($D$19:D867)</f>
        <v>11.332512499999982</v>
      </c>
      <c r="F867" s="12">
        <f t="shared" si="121"/>
        <v>115.39493174742493</v>
      </c>
      <c r="G867" s="12">
        <f t="shared" si="122"/>
        <v>89.039140778255941</v>
      </c>
      <c r="H867" s="12">
        <f t="shared" si="126"/>
        <v>415400</v>
      </c>
      <c r="I867" s="12">
        <f t="shared" si="127"/>
        <v>320500</v>
      </c>
      <c r="J867" s="12">
        <f>IF(A867&lt;[3]关卡对接!$A$4,INDEX([3]关卡对接!$C$7:$C$141,A867),MATCH(E867,人物经验!$H$24:$H$573,1))</f>
        <v>349</v>
      </c>
      <c r="K867" s="12">
        <f>IF([3]关卡对接!F855="",INT(INDEX(人物经验!$J$24:$J$573,关卡!J867)*关卡!$S$7),[3]关卡对接!F855)</f>
        <v>10261</v>
      </c>
      <c r="L867" s="12">
        <f t="shared" si="128"/>
        <v>1.8</v>
      </c>
      <c r="M867" s="12">
        <f>L867/[4]货币基础!$B$4</f>
        <v>180</v>
      </c>
      <c r="N867" s="12">
        <f>IF(A867&lt;[3]关卡对接!$A$4,INDEX([3]关卡对接!$E$7:$E$141,A867),MATCH(E867,人物经验!$H$24:$H$573,1))</f>
        <v>349</v>
      </c>
      <c r="O867" s="12">
        <f>INDEX([2]关卡!$G$6:$G$2005,A867)</f>
        <v>3</v>
      </c>
      <c r="P867" s="13">
        <v>6</v>
      </c>
      <c r="Q867" s="12">
        <f>INT(P867/$S$15/O867*VLOOKUP(J867,[1]人物技能基础!$N$3:$O$553,2,0)*$U$15)</f>
        <v>9</v>
      </c>
      <c r="R867" s="12">
        <f t="shared" si="129"/>
        <v>112</v>
      </c>
    </row>
    <row r="868" spans="1:18" x14ac:dyDescent="0.15">
      <c r="A868" s="12">
        <v>850</v>
      </c>
      <c r="B868" s="12">
        <f t="shared" si="123"/>
        <v>5</v>
      </c>
      <c r="C868" s="12">
        <f t="shared" si="124"/>
        <v>1.15625</v>
      </c>
      <c r="D868" s="12">
        <f t="shared" si="125"/>
        <v>2.3737499999999967E-2</v>
      </c>
      <c r="E868" s="12">
        <f>SUM($D$19:D868)</f>
        <v>11.356249999999982</v>
      </c>
      <c r="F868" s="12">
        <f t="shared" si="121"/>
        <v>115.67221835937499</v>
      </c>
      <c r="G868" s="12">
        <f t="shared" si="122"/>
        <v>89.208005859375007</v>
      </c>
      <c r="H868" s="12">
        <f t="shared" si="126"/>
        <v>416400</v>
      </c>
      <c r="I868" s="12">
        <f t="shared" si="127"/>
        <v>321100</v>
      </c>
      <c r="J868" s="12">
        <f>IF(A868&lt;[3]关卡对接!$A$4,INDEX([3]关卡对接!$C$7:$C$141,A868),MATCH(E868,人物经验!$H$24:$H$573,1))</f>
        <v>349</v>
      </c>
      <c r="K868" s="12">
        <f>IF([3]关卡对接!F856="",INT(INDEX(人物经验!$J$24:$J$573,关卡!J868)*关卡!$S$7),[3]关卡对接!F856)</f>
        <v>10261</v>
      </c>
      <c r="L868" s="12">
        <f t="shared" si="128"/>
        <v>1.8</v>
      </c>
      <c r="M868" s="12">
        <f>L868/[4]货币基础!$B$4</f>
        <v>180</v>
      </c>
      <c r="N868" s="12">
        <f>IF(A868&lt;[3]关卡对接!$A$4,INDEX([3]关卡对接!$E$7:$E$141,A868),MATCH(E868,人物经验!$H$24:$H$573,1))</f>
        <v>349</v>
      </c>
      <c r="O868" s="12">
        <f>INDEX([2]关卡!$G$6:$G$2005,A868)</f>
        <v>3</v>
      </c>
      <c r="P868" s="13">
        <v>6</v>
      </c>
      <c r="Q868" s="12">
        <f>INT(P868/$S$15/O868*VLOOKUP(J868,[1]人物技能基础!$N$3:$O$553,2,0)*$U$15)</f>
        <v>9</v>
      </c>
      <c r="R868" s="12">
        <f t="shared" si="129"/>
        <v>112</v>
      </c>
    </row>
    <row r="869" spans="1:18" x14ac:dyDescent="0.15">
      <c r="A869" s="12">
        <v>851</v>
      </c>
      <c r="B869" s="12">
        <f t="shared" si="123"/>
        <v>5</v>
      </c>
      <c r="C869" s="12">
        <f t="shared" si="124"/>
        <v>1.1800125000000001</v>
      </c>
      <c r="D869" s="12">
        <f t="shared" si="125"/>
        <v>2.3762500000000131E-2</v>
      </c>
      <c r="E869" s="12">
        <f>SUM($D$19:D869)</f>
        <v>11.380012499999982</v>
      </c>
      <c r="F869" s="12">
        <f t="shared" si="121"/>
        <v>115.95001242949992</v>
      </c>
      <c r="G869" s="12">
        <f t="shared" si="122"/>
        <v>89.377093043630936</v>
      </c>
      <c r="H869" s="12">
        <f t="shared" si="126"/>
        <v>417400</v>
      </c>
      <c r="I869" s="12">
        <f t="shared" si="127"/>
        <v>321700</v>
      </c>
      <c r="J869" s="12">
        <f>IF(A869&lt;[3]关卡对接!$A$4,INDEX([3]关卡对接!$C$7:$C$141,A869),MATCH(E869,人物经验!$H$24:$H$573,1))</f>
        <v>350</v>
      </c>
      <c r="K869" s="12">
        <f>IF([3]关卡对接!F857="",INT(INDEX(人物经验!$J$24:$J$573,关卡!J869)*关卡!$S$7),[3]关卡对接!F857)</f>
        <v>10410</v>
      </c>
      <c r="L869" s="12">
        <f t="shared" si="128"/>
        <v>1.8</v>
      </c>
      <c r="M869" s="12">
        <f>L869/[4]货币基础!$B$4</f>
        <v>180</v>
      </c>
      <c r="N869" s="12">
        <f>IF(A869&lt;[3]关卡对接!$A$4,INDEX([3]关卡对接!$E$7:$E$141,A869),MATCH(E869,人物经验!$H$24:$H$573,1))</f>
        <v>350</v>
      </c>
      <c r="O869" s="12">
        <f>INDEX([2]关卡!$G$6:$G$2005,A869)</f>
        <v>3</v>
      </c>
      <c r="P869" s="13">
        <v>6</v>
      </c>
      <c r="Q869" s="12">
        <f>INT(P869/$S$15/O869*VLOOKUP(J869,[1]人物技能基础!$N$3:$O$553,2,0)*$U$15)</f>
        <v>9</v>
      </c>
      <c r="R869" s="12">
        <f t="shared" si="129"/>
        <v>112</v>
      </c>
    </row>
    <row r="870" spans="1:18" x14ac:dyDescent="0.15">
      <c r="A870" s="12">
        <v>852</v>
      </c>
      <c r="B870" s="12">
        <f t="shared" si="123"/>
        <v>5</v>
      </c>
      <c r="C870" s="12">
        <f t="shared" si="124"/>
        <v>1.2038</v>
      </c>
      <c r="D870" s="12">
        <f t="shared" si="125"/>
        <v>2.378749999999985E-2</v>
      </c>
      <c r="E870" s="12">
        <f>SUM($D$19:D870)</f>
        <v>11.403799999999981</v>
      </c>
      <c r="F870" s="12">
        <f t="shared" si="121"/>
        <v>116.228314691824</v>
      </c>
      <c r="G870" s="12">
        <f t="shared" si="122"/>
        <v>89.546402564719983</v>
      </c>
      <c r="H870" s="12">
        <f t="shared" si="126"/>
        <v>418400</v>
      </c>
      <c r="I870" s="12">
        <f t="shared" si="127"/>
        <v>322300</v>
      </c>
      <c r="J870" s="12">
        <f>IF(A870&lt;[3]关卡对接!$A$4,INDEX([3]关卡对接!$C$7:$C$141,A870),MATCH(E870,人物经验!$H$24:$H$573,1))</f>
        <v>350</v>
      </c>
      <c r="K870" s="12">
        <f>IF([3]关卡对接!F858="",INT(INDEX(人物经验!$J$24:$J$573,关卡!J870)*关卡!$S$7),[3]关卡对接!F858)</f>
        <v>10410</v>
      </c>
      <c r="L870" s="12">
        <f t="shared" si="128"/>
        <v>1.8</v>
      </c>
      <c r="M870" s="12">
        <f>L870/[4]货币基础!$B$4</f>
        <v>180</v>
      </c>
      <c r="N870" s="12">
        <f>IF(A870&lt;[3]关卡对接!$A$4,INDEX([3]关卡对接!$E$7:$E$141,A870),MATCH(E870,人物经验!$H$24:$H$573,1))</f>
        <v>350</v>
      </c>
      <c r="O870" s="12">
        <f>INDEX([2]关卡!$G$6:$G$2005,A870)</f>
        <v>3</v>
      </c>
      <c r="P870" s="13">
        <v>6</v>
      </c>
      <c r="Q870" s="12">
        <f>INT(P870/$S$15/O870*VLOOKUP(J870,[1]人物技能基础!$N$3:$O$553,2,0)*$U$15)</f>
        <v>9</v>
      </c>
      <c r="R870" s="12">
        <f t="shared" si="129"/>
        <v>112</v>
      </c>
    </row>
    <row r="871" spans="1:18" x14ac:dyDescent="0.15">
      <c r="A871" s="12">
        <v>853</v>
      </c>
      <c r="B871" s="12">
        <f t="shared" si="123"/>
        <v>5</v>
      </c>
      <c r="C871" s="12">
        <f t="shared" si="124"/>
        <v>1.2276125000000002</v>
      </c>
      <c r="D871" s="12">
        <f t="shared" si="125"/>
        <v>2.3812500000000236E-2</v>
      </c>
      <c r="E871" s="12">
        <f>SUM($D$19:D871)</f>
        <v>11.427612499999981</v>
      </c>
      <c r="F871" s="12">
        <f t="shared" si="121"/>
        <v>116.50712588096994</v>
      </c>
      <c r="G871" s="12">
        <f t="shared" si="122"/>
        <v>89.715934656480925</v>
      </c>
      <c r="H871" s="12">
        <f t="shared" si="126"/>
        <v>419400</v>
      </c>
      <c r="I871" s="12">
        <f t="shared" si="127"/>
        <v>322900</v>
      </c>
      <c r="J871" s="12">
        <f>IF(A871&lt;[3]关卡对接!$A$4,INDEX([3]关卡对接!$C$7:$C$141,A871),MATCH(E871,人物经验!$H$24:$H$573,1))</f>
        <v>350</v>
      </c>
      <c r="K871" s="12">
        <f>IF([3]关卡对接!F859="",INT(INDEX(人物经验!$J$24:$J$573,关卡!J871)*关卡!$S$7),[3]关卡对接!F859)</f>
        <v>10410</v>
      </c>
      <c r="L871" s="12">
        <f t="shared" si="128"/>
        <v>1.8</v>
      </c>
      <c r="M871" s="12">
        <f>L871/[4]货币基础!$B$4</f>
        <v>180</v>
      </c>
      <c r="N871" s="12">
        <f>IF(A871&lt;[3]关卡对接!$A$4,INDEX([3]关卡对接!$E$7:$E$141,A871),MATCH(E871,人物经验!$H$24:$H$573,1))</f>
        <v>350</v>
      </c>
      <c r="O871" s="12">
        <f>INDEX([2]关卡!$G$6:$G$2005,A871)</f>
        <v>3</v>
      </c>
      <c r="P871" s="13">
        <v>6</v>
      </c>
      <c r="Q871" s="12">
        <f>INT(P871/$S$15/O871*VLOOKUP(J871,[1]人物技能基础!$N$3:$O$553,2,0)*$U$15)</f>
        <v>9</v>
      </c>
      <c r="R871" s="12">
        <f t="shared" si="129"/>
        <v>112</v>
      </c>
    </row>
    <row r="872" spans="1:18" x14ac:dyDescent="0.15">
      <c r="A872" s="12">
        <v>854</v>
      </c>
      <c r="B872" s="12">
        <f t="shared" si="123"/>
        <v>5</v>
      </c>
      <c r="C872" s="12">
        <f t="shared" si="124"/>
        <v>1.2514500000000002</v>
      </c>
      <c r="D872" s="12">
        <f t="shared" si="125"/>
        <v>2.3837499999999956E-2</v>
      </c>
      <c r="E872" s="12">
        <f>SUM($D$19:D872)</f>
        <v>11.45144999999998</v>
      </c>
      <c r="F872" s="12">
        <f t="shared" si="121"/>
        <v>116.78644673215901</v>
      </c>
      <c r="G872" s="12">
        <f t="shared" si="122"/>
        <v>89.885689552895002</v>
      </c>
      <c r="H872" s="12">
        <f t="shared" si="126"/>
        <v>420400</v>
      </c>
      <c r="I872" s="12">
        <f t="shared" si="127"/>
        <v>323500</v>
      </c>
      <c r="J872" s="12">
        <f>IF(A872&lt;[3]关卡对接!$A$4,INDEX([3]关卡对接!$C$7:$C$141,A872),MATCH(E872,人物经验!$H$24:$H$573,1))</f>
        <v>350</v>
      </c>
      <c r="K872" s="12">
        <f>IF([3]关卡对接!F860="",INT(INDEX(人物经验!$J$24:$J$573,关卡!J872)*关卡!$S$7),[3]关卡对接!F860)</f>
        <v>10410</v>
      </c>
      <c r="L872" s="12">
        <f t="shared" si="128"/>
        <v>1.8</v>
      </c>
      <c r="M872" s="12">
        <f>L872/[4]货币基础!$B$4</f>
        <v>180</v>
      </c>
      <c r="N872" s="12">
        <f>IF(A872&lt;[3]关卡对接!$A$4,INDEX([3]关卡对接!$E$7:$E$141,A872),MATCH(E872,人物经验!$H$24:$H$573,1))</f>
        <v>350</v>
      </c>
      <c r="O872" s="12">
        <f>INDEX([2]关卡!$G$6:$G$2005,A872)</f>
        <v>3</v>
      </c>
      <c r="P872" s="13">
        <v>6</v>
      </c>
      <c r="Q872" s="12">
        <f>INT(P872/$S$15/O872*VLOOKUP(J872,[1]人物技能基础!$N$3:$O$553,2,0)*$U$15)</f>
        <v>9</v>
      </c>
      <c r="R872" s="12">
        <f t="shared" si="129"/>
        <v>112</v>
      </c>
    </row>
    <row r="873" spans="1:18" x14ac:dyDescent="0.15">
      <c r="A873" s="12">
        <v>855</v>
      </c>
      <c r="B873" s="12">
        <f t="shared" si="123"/>
        <v>5</v>
      </c>
      <c r="C873" s="12">
        <f t="shared" si="124"/>
        <v>1.2753125000000001</v>
      </c>
      <c r="D873" s="12">
        <f t="shared" si="125"/>
        <v>2.3862499999999898E-2</v>
      </c>
      <c r="E873" s="12">
        <f>SUM($D$19:D873)</f>
        <v>11.47531249999998</v>
      </c>
      <c r="F873" s="12">
        <f t="shared" si="121"/>
        <v>117.06627798121094</v>
      </c>
      <c r="G873" s="12">
        <f t="shared" si="122"/>
        <v>90.05566748808593</v>
      </c>
      <c r="H873" s="12">
        <f t="shared" si="126"/>
        <v>421400</v>
      </c>
      <c r="I873" s="12">
        <f t="shared" si="127"/>
        <v>324200</v>
      </c>
      <c r="J873" s="12">
        <f>IF(A873&lt;[3]关卡对接!$A$4,INDEX([3]关卡对接!$C$7:$C$141,A873),MATCH(E873,人物经验!$H$24:$H$573,1))</f>
        <v>350</v>
      </c>
      <c r="K873" s="12">
        <f>IF([3]关卡对接!F861="",INT(INDEX(人物经验!$J$24:$J$573,关卡!J873)*关卡!$S$7),[3]关卡对接!F861)</f>
        <v>10410</v>
      </c>
      <c r="L873" s="12">
        <f t="shared" si="128"/>
        <v>1.8</v>
      </c>
      <c r="M873" s="12">
        <f>L873/[4]货币基础!$B$4</f>
        <v>180</v>
      </c>
      <c r="N873" s="12">
        <f>IF(A873&lt;[3]关卡对接!$A$4,INDEX([3]关卡对接!$E$7:$E$141,A873),MATCH(E873,人物经验!$H$24:$H$573,1))</f>
        <v>350</v>
      </c>
      <c r="O873" s="12">
        <f>INDEX([2]关卡!$G$6:$G$2005,A873)</f>
        <v>3</v>
      </c>
      <c r="P873" s="13">
        <v>6</v>
      </c>
      <c r="Q873" s="12">
        <f>INT(P873/$S$15/O873*VLOOKUP(J873,[1]人物技能基础!$N$3:$O$553,2,0)*$U$15)</f>
        <v>9</v>
      </c>
      <c r="R873" s="12">
        <f t="shared" si="129"/>
        <v>112</v>
      </c>
    </row>
    <row r="874" spans="1:18" x14ac:dyDescent="0.15">
      <c r="A874" s="12">
        <v>856</v>
      </c>
      <c r="B874" s="12">
        <f t="shared" si="123"/>
        <v>5</v>
      </c>
      <c r="C874" s="12">
        <f t="shared" si="124"/>
        <v>1.2992000000000004</v>
      </c>
      <c r="D874" s="12">
        <f t="shared" si="125"/>
        <v>2.3887500000000284E-2</v>
      </c>
      <c r="E874" s="12">
        <f>SUM($D$19:D874)</f>
        <v>11.499199999999981</v>
      </c>
      <c r="F874" s="12">
        <f t="shared" si="121"/>
        <v>117.34662036454399</v>
      </c>
      <c r="G874" s="12">
        <f t="shared" si="122"/>
        <v>90.225868696319992</v>
      </c>
      <c r="H874" s="12">
        <f t="shared" si="126"/>
        <v>422400</v>
      </c>
      <c r="I874" s="12">
        <f t="shared" si="127"/>
        <v>324800</v>
      </c>
      <c r="J874" s="12">
        <f>IF(A874&lt;[3]关卡对接!$A$4,INDEX([3]关卡对接!$C$7:$C$141,A874),MATCH(E874,人物经验!$H$24:$H$573,1))</f>
        <v>350</v>
      </c>
      <c r="K874" s="12">
        <f>IF([3]关卡对接!F862="",INT(INDEX(人物经验!$J$24:$J$573,关卡!J874)*关卡!$S$7),[3]关卡对接!F862)</f>
        <v>10410</v>
      </c>
      <c r="L874" s="12">
        <f t="shared" si="128"/>
        <v>1.8</v>
      </c>
      <c r="M874" s="12">
        <f>L874/[4]货币基础!$B$4</f>
        <v>180</v>
      </c>
      <c r="N874" s="12">
        <f>IF(A874&lt;[3]关卡对接!$A$4,INDEX([3]关卡对接!$E$7:$E$141,A874),MATCH(E874,人物经验!$H$24:$H$573,1))</f>
        <v>350</v>
      </c>
      <c r="O874" s="12">
        <f>INDEX([2]关卡!$G$6:$G$2005,A874)</f>
        <v>3</v>
      </c>
      <c r="P874" s="13">
        <v>6</v>
      </c>
      <c r="Q874" s="12">
        <f>INT(P874/$S$15/O874*VLOOKUP(J874,[1]人物技能基础!$N$3:$O$553,2,0)*$U$15)</f>
        <v>9</v>
      </c>
      <c r="R874" s="12">
        <f t="shared" si="129"/>
        <v>112</v>
      </c>
    </row>
    <row r="875" spans="1:18" x14ac:dyDescent="0.15">
      <c r="A875" s="12">
        <v>857</v>
      </c>
      <c r="B875" s="12">
        <f t="shared" si="123"/>
        <v>5</v>
      </c>
      <c r="C875" s="12">
        <f t="shared" si="124"/>
        <v>1.3231124999999999</v>
      </c>
      <c r="D875" s="12">
        <f t="shared" si="125"/>
        <v>2.3912499999999559E-2</v>
      </c>
      <c r="E875" s="12">
        <f>SUM($D$19:D875)</f>
        <v>11.52311249999998</v>
      </c>
      <c r="F875" s="12">
        <f t="shared" si="121"/>
        <v>117.62747461917495</v>
      </c>
      <c r="G875" s="12">
        <f t="shared" si="122"/>
        <v>90.396293412005946</v>
      </c>
      <c r="H875" s="12">
        <f t="shared" si="126"/>
        <v>423400</v>
      </c>
      <c r="I875" s="12">
        <f t="shared" si="127"/>
        <v>325400</v>
      </c>
      <c r="J875" s="12">
        <f>IF(A875&lt;[3]关卡对接!$A$4,INDEX([3]关卡对接!$C$7:$C$141,A875),MATCH(E875,人物经验!$H$24:$H$573,1))</f>
        <v>351</v>
      </c>
      <c r="K875" s="12">
        <f>IF([3]关卡对接!F863="",INT(INDEX(人物经验!$J$24:$J$573,关卡!J875)*关卡!$S$7),[3]关卡对接!F863)</f>
        <v>10561</v>
      </c>
      <c r="L875" s="12">
        <f t="shared" si="128"/>
        <v>1.8</v>
      </c>
      <c r="M875" s="12">
        <f>L875/[4]货币基础!$B$4</f>
        <v>180</v>
      </c>
      <c r="N875" s="12">
        <f>IF(A875&lt;[3]关卡对接!$A$4,INDEX([3]关卡对接!$E$7:$E$141,A875),MATCH(E875,人物经验!$H$24:$H$573,1))</f>
        <v>351</v>
      </c>
      <c r="O875" s="12">
        <f>INDEX([2]关卡!$G$6:$G$2005,A875)</f>
        <v>3</v>
      </c>
      <c r="P875" s="13">
        <v>6</v>
      </c>
      <c r="Q875" s="12">
        <f>INT(P875/$S$15/O875*VLOOKUP(J875,[1]人物技能基础!$N$3:$O$553,2,0)*$U$15)</f>
        <v>9</v>
      </c>
      <c r="R875" s="12">
        <f t="shared" si="129"/>
        <v>112</v>
      </c>
    </row>
    <row r="876" spans="1:18" x14ac:dyDescent="0.15">
      <c r="A876" s="12">
        <v>858</v>
      </c>
      <c r="B876" s="12">
        <f t="shared" si="123"/>
        <v>5</v>
      </c>
      <c r="C876" s="12">
        <f t="shared" si="124"/>
        <v>1.3470499999999999</v>
      </c>
      <c r="D876" s="12">
        <f t="shared" si="125"/>
        <v>2.3937499999999945E-2</v>
      </c>
      <c r="E876" s="12">
        <f>SUM($D$19:D876)</f>
        <v>11.547049999999981</v>
      </c>
      <c r="F876" s="12">
        <f t="shared" si="121"/>
        <v>117.908841482719</v>
      </c>
      <c r="G876" s="12">
        <f t="shared" si="122"/>
        <v>90.566941869695</v>
      </c>
      <c r="H876" s="12">
        <f t="shared" si="126"/>
        <v>424400</v>
      </c>
      <c r="I876" s="12">
        <f t="shared" si="127"/>
        <v>326000</v>
      </c>
      <c r="J876" s="12">
        <f>IF(A876&lt;[3]关卡对接!$A$4,INDEX([3]关卡对接!$C$7:$C$141,A876),MATCH(E876,人物经验!$H$24:$H$573,1))</f>
        <v>351</v>
      </c>
      <c r="K876" s="12">
        <f>IF([3]关卡对接!F864="",INT(INDEX(人物经验!$J$24:$J$573,关卡!J876)*关卡!$S$7),[3]关卡对接!F864)</f>
        <v>10561</v>
      </c>
      <c r="L876" s="12">
        <f t="shared" si="128"/>
        <v>1.8</v>
      </c>
      <c r="M876" s="12">
        <f>L876/[4]货币基础!$B$4</f>
        <v>180</v>
      </c>
      <c r="N876" s="12">
        <f>IF(A876&lt;[3]关卡对接!$A$4,INDEX([3]关卡对接!$E$7:$E$141,A876),MATCH(E876,人物经验!$H$24:$H$573,1))</f>
        <v>351</v>
      </c>
      <c r="O876" s="12">
        <f>INDEX([2]关卡!$G$6:$G$2005,A876)</f>
        <v>3</v>
      </c>
      <c r="P876" s="13">
        <v>6</v>
      </c>
      <c r="Q876" s="12">
        <f>INT(P876/$S$15/O876*VLOOKUP(J876,[1]人物技能基础!$N$3:$O$553,2,0)*$U$15)</f>
        <v>9</v>
      </c>
      <c r="R876" s="12">
        <f t="shared" si="129"/>
        <v>112</v>
      </c>
    </row>
    <row r="877" spans="1:18" x14ac:dyDescent="0.15">
      <c r="A877" s="12">
        <v>859</v>
      </c>
      <c r="B877" s="12">
        <f t="shared" si="123"/>
        <v>5</v>
      </c>
      <c r="C877" s="12">
        <f t="shared" si="124"/>
        <v>1.3710125</v>
      </c>
      <c r="D877" s="12">
        <f t="shared" si="125"/>
        <v>2.3962500000000109E-2</v>
      </c>
      <c r="E877" s="12">
        <f>SUM($D$19:D877)</f>
        <v>11.571012499999981</v>
      </c>
      <c r="F877" s="12">
        <f t="shared" si="121"/>
        <v>118.19072169338993</v>
      </c>
      <c r="G877" s="12">
        <f t="shared" si="122"/>
        <v>90.737814304080942</v>
      </c>
      <c r="H877" s="12">
        <f t="shared" si="126"/>
        <v>425400</v>
      </c>
      <c r="I877" s="12">
        <f t="shared" si="127"/>
        <v>326600</v>
      </c>
      <c r="J877" s="12">
        <f>IF(A877&lt;[3]关卡对接!$A$4,INDEX([3]关卡对接!$C$7:$C$141,A877),MATCH(E877,人物经验!$H$24:$H$573,1))</f>
        <v>351</v>
      </c>
      <c r="K877" s="12">
        <f>IF([3]关卡对接!F865="",INT(INDEX(人物经验!$J$24:$J$573,关卡!J877)*关卡!$S$7),[3]关卡对接!F865)</f>
        <v>10561</v>
      </c>
      <c r="L877" s="12">
        <f t="shared" si="128"/>
        <v>1.8</v>
      </c>
      <c r="M877" s="12">
        <f>L877/[4]货币基础!$B$4</f>
        <v>180</v>
      </c>
      <c r="N877" s="12">
        <f>IF(A877&lt;[3]关卡对接!$A$4,INDEX([3]关卡对接!$E$7:$E$141,A877),MATCH(E877,人物经验!$H$24:$H$573,1))</f>
        <v>351</v>
      </c>
      <c r="O877" s="12">
        <f>INDEX([2]关卡!$G$6:$G$2005,A877)</f>
        <v>3</v>
      </c>
      <c r="P877" s="13">
        <v>6</v>
      </c>
      <c r="Q877" s="12">
        <f>INT(P877/$S$15/O877*VLOOKUP(J877,[1]人物技能基础!$N$3:$O$553,2,0)*$U$15)</f>
        <v>9</v>
      </c>
      <c r="R877" s="12">
        <f t="shared" si="129"/>
        <v>112</v>
      </c>
    </row>
    <row r="878" spans="1:18" x14ac:dyDescent="0.15">
      <c r="A878" s="12">
        <v>860</v>
      </c>
      <c r="B878" s="12">
        <f t="shared" si="123"/>
        <v>5</v>
      </c>
      <c r="C878" s="12">
        <f t="shared" si="124"/>
        <v>1.395</v>
      </c>
      <c r="D878" s="12">
        <f t="shared" si="125"/>
        <v>2.398750000000005E-2</v>
      </c>
      <c r="E878" s="12">
        <f>SUM($D$19:D878)</f>
        <v>11.594999999999981</v>
      </c>
      <c r="F878" s="12">
        <f t="shared" si="121"/>
        <v>118.47311598999998</v>
      </c>
      <c r="G878" s="12">
        <f t="shared" si="122"/>
        <v>90.908910949999992</v>
      </c>
      <c r="H878" s="12">
        <f t="shared" si="126"/>
        <v>426500</v>
      </c>
      <c r="I878" s="12">
        <f t="shared" si="127"/>
        <v>327200</v>
      </c>
      <c r="J878" s="12">
        <f>IF(A878&lt;[3]关卡对接!$A$4,INDEX([3]关卡对接!$C$7:$C$141,A878),MATCH(E878,人物经验!$H$24:$H$573,1))</f>
        <v>351</v>
      </c>
      <c r="K878" s="12">
        <f>IF([3]关卡对接!F866="",INT(INDEX(人物经验!$J$24:$J$573,关卡!J878)*关卡!$S$7),[3]关卡对接!F866)</f>
        <v>10561</v>
      </c>
      <c r="L878" s="12">
        <f t="shared" si="128"/>
        <v>1.8</v>
      </c>
      <c r="M878" s="12">
        <f>L878/[4]货币基础!$B$4</f>
        <v>180</v>
      </c>
      <c r="N878" s="12">
        <f>IF(A878&lt;[3]关卡对接!$A$4,INDEX([3]关卡对接!$E$7:$E$141,A878),MATCH(E878,人物经验!$H$24:$H$573,1))</f>
        <v>351</v>
      </c>
      <c r="O878" s="12">
        <f>INDEX([2]关卡!$G$6:$G$2005,A878)</f>
        <v>3</v>
      </c>
      <c r="P878" s="13">
        <v>6</v>
      </c>
      <c r="Q878" s="12">
        <f>INT(P878/$S$15/O878*VLOOKUP(J878,[1]人物技能基础!$N$3:$O$553,2,0)*$U$15)</f>
        <v>9</v>
      </c>
      <c r="R878" s="12">
        <f t="shared" si="129"/>
        <v>112</v>
      </c>
    </row>
    <row r="879" spans="1:18" x14ac:dyDescent="0.15">
      <c r="A879" s="12">
        <v>861</v>
      </c>
      <c r="B879" s="12">
        <f t="shared" si="123"/>
        <v>5</v>
      </c>
      <c r="C879" s="12">
        <f t="shared" si="124"/>
        <v>1.4190125</v>
      </c>
      <c r="D879" s="12">
        <f t="shared" si="125"/>
        <v>2.4012499999999992E-2</v>
      </c>
      <c r="E879" s="12">
        <f>SUM($D$19:D879)</f>
        <v>11.619012499999981</v>
      </c>
      <c r="F879" s="12">
        <f t="shared" si="121"/>
        <v>118.75602511195994</v>
      </c>
      <c r="G879" s="12">
        <f t="shared" si="122"/>
        <v>91.08023204243095</v>
      </c>
      <c r="H879" s="12">
        <f t="shared" si="126"/>
        <v>427500</v>
      </c>
      <c r="I879" s="12">
        <f t="shared" si="127"/>
        <v>327800</v>
      </c>
      <c r="J879" s="12">
        <f>IF(A879&lt;[3]关卡对接!$A$4,INDEX([3]关卡对接!$C$7:$C$141,A879),MATCH(E879,人物经验!$H$24:$H$573,1))</f>
        <v>351</v>
      </c>
      <c r="K879" s="12">
        <f>IF([3]关卡对接!F867="",INT(INDEX(人物经验!$J$24:$J$573,关卡!J879)*关卡!$S$7),[3]关卡对接!F867)</f>
        <v>10561</v>
      </c>
      <c r="L879" s="12">
        <f t="shared" si="128"/>
        <v>1.8</v>
      </c>
      <c r="M879" s="12">
        <f>L879/[4]货币基础!$B$4</f>
        <v>180</v>
      </c>
      <c r="N879" s="12">
        <f>IF(A879&lt;[3]关卡对接!$A$4,INDEX([3]关卡对接!$E$7:$E$141,A879),MATCH(E879,人物经验!$H$24:$H$573,1))</f>
        <v>351</v>
      </c>
      <c r="O879" s="12">
        <f>INDEX([2]关卡!$G$6:$G$2005,A879)</f>
        <v>3</v>
      </c>
      <c r="P879" s="13">
        <v>6</v>
      </c>
      <c r="Q879" s="12">
        <f>INT(P879/$S$15/O879*VLOOKUP(J879,[1]人物技能基础!$N$3:$O$553,2,0)*$U$15)</f>
        <v>9</v>
      </c>
      <c r="R879" s="12">
        <f t="shared" si="129"/>
        <v>112</v>
      </c>
    </row>
    <row r="880" spans="1:18" x14ac:dyDescent="0.15">
      <c r="A880" s="12">
        <v>862</v>
      </c>
      <c r="B880" s="12">
        <f t="shared" si="123"/>
        <v>5</v>
      </c>
      <c r="C880" s="12">
        <f t="shared" si="124"/>
        <v>1.4430500000000002</v>
      </c>
      <c r="D880" s="12">
        <f t="shared" si="125"/>
        <v>2.4037500000000156E-2</v>
      </c>
      <c r="E880" s="12">
        <f>SUM($D$19:D880)</f>
        <v>11.643049999999981</v>
      </c>
      <c r="F880" s="12">
        <f t="shared" si="121"/>
        <v>119.039449799279</v>
      </c>
      <c r="G880" s="12">
        <f t="shared" si="122"/>
        <v>91.251777816494993</v>
      </c>
      <c r="H880" s="12">
        <f t="shared" si="126"/>
        <v>428500</v>
      </c>
      <c r="I880" s="12">
        <f t="shared" si="127"/>
        <v>328500</v>
      </c>
      <c r="J880" s="12">
        <f>IF(A880&lt;[3]关卡对接!$A$4,INDEX([3]关卡对接!$C$7:$C$141,A880),MATCH(E880,人物经验!$H$24:$H$573,1))</f>
        <v>351</v>
      </c>
      <c r="K880" s="12">
        <f>IF([3]关卡对接!F868="",INT(INDEX(人物经验!$J$24:$J$573,关卡!J880)*关卡!$S$7),[3]关卡对接!F868)</f>
        <v>10561</v>
      </c>
      <c r="L880" s="12">
        <f t="shared" si="128"/>
        <v>1.8</v>
      </c>
      <c r="M880" s="12">
        <f>L880/[4]货币基础!$B$4</f>
        <v>180</v>
      </c>
      <c r="N880" s="12">
        <f>IF(A880&lt;[3]关卡对接!$A$4,INDEX([3]关卡对接!$E$7:$E$141,A880),MATCH(E880,人物经验!$H$24:$H$573,1))</f>
        <v>351</v>
      </c>
      <c r="O880" s="12">
        <f>INDEX([2]关卡!$G$6:$G$2005,A880)</f>
        <v>3</v>
      </c>
      <c r="P880" s="13">
        <v>6</v>
      </c>
      <c r="Q880" s="12">
        <f>INT(P880/$S$15/O880*VLOOKUP(J880,[1]人物技能基础!$N$3:$O$553,2,0)*$U$15)</f>
        <v>9</v>
      </c>
      <c r="R880" s="12">
        <f t="shared" si="129"/>
        <v>112</v>
      </c>
    </row>
    <row r="881" spans="1:18" x14ac:dyDescent="0.15">
      <c r="A881" s="12">
        <v>863</v>
      </c>
      <c r="B881" s="12">
        <f t="shared" si="123"/>
        <v>5</v>
      </c>
      <c r="C881" s="12">
        <f t="shared" si="124"/>
        <v>1.4671125000000003</v>
      </c>
      <c r="D881" s="12">
        <f t="shared" si="125"/>
        <v>2.4062500000000098E-2</v>
      </c>
      <c r="E881" s="12">
        <f>SUM($D$19:D881)</f>
        <v>11.66711249999998</v>
      </c>
      <c r="F881" s="12">
        <f t="shared" si="121"/>
        <v>119.32339079256495</v>
      </c>
      <c r="G881" s="12">
        <f t="shared" si="122"/>
        <v>91.423548507455934</v>
      </c>
      <c r="H881" s="12">
        <f t="shared" si="126"/>
        <v>429500</v>
      </c>
      <c r="I881" s="12">
        <f t="shared" si="127"/>
        <v>329100</v>
      </c>
      <c r="J881" s="12">
        <f>IF(A881&lt;[3]关卡对接!$A$4,INDEX([3]关卡对接!$C$7:$C$141,A881),MATCH(E881,人物经验!$H$24:$H$573,1))</f>
        <v>352</v>
      </c>
      <c r="K881" s="12">
        <f>IF([3]关卡对接!F869="",INT(INDEX(人物经验!$J$24:$J$573,关卡!J881)*关卡!$S$7),[3]关卡对接!F869)</f>
        <v>10713</v>
      </c>
      <c r="L881" s="12">
        <f t="shared" si="128"/>
        <v>1.8</v>
      </c>
      <c r="M881" s="12">
        <f>L881/[4]货币基础!$B$4</f>
        <v>180</v>
      </c>
      <c r="N881" s="12">
        <f>IF(A881&lt;[3]关卡对接!$A$4,INDEX([3]关卡对接!$E$7:$E$141,A881),MATCH(E881,人物经验!$H$24:$H$573,1))</f>
        <v>352</v>
      </c>
      <c r="O881" s="12">
        <f>INDEX([2]关卡!$G$6:$G$2005,A881)</f>
        <v>3</v>
      </c>
      <c r="P881" s="13">
        <v>6</v>
      </c>
      <c r="Q881" s="12">
        <f>INT(P881/$S$15/O881*VLOOKUP(J881,[1]人物技能基础!$N$3:$O$553,2,0)*$U$15)</f>
        <v>9</v>
      </c>
      <c r="R881" s="12">
        <f t="shared" si="129"/>
        <v>112</v>
      </c>
    </row>
    <row r="882" spans="1:18" x14ac:dyDescent="0.15">
      <c r="A882" s="12">
        <v>864</v>
      </c>
      <c r="B882" s="12">
        <f t="shared" si="123"/>
        <v>5</v>
      </c>
      <c r="C882" s="12">
        <f t="shared" si="124"/>
        <v>1.4912000000000003</v>
      </c>
      <c r="D882" s="12">
        <f t="shared" si="125"/>
        <v>2.4087500000000039E-2</v>
      </c>
      <c r="E882" s="12">
        <f>SUM($D$19:D882)</f>
        <v>11.691199999999981</v>
      </c>
      <c r="F882" s="12">
        <f t="shared" si="121"/>
        <v>119.60784883302399</v>
      </c>
      <c r="G882" s="12">
        <f t="shared" si="122"/>
        <v>91.59554435071999</v>
      </c>
      <c r="H882" s="12">
        <f t="shared" si="126"/>
        <v>430500</v>
      </c>
      <c r="I882" s="12">
        <f t="shared" si="127"/>
        <v>329700</v>
      </c>
      <c r="J882" s="12">
        <f>IF(A882&lt;[3]关卡对接!$A$4,INDEX([3]关卡对接!$C$7:$C$141,A882),MATCH(E882,人物经验!$H$24:$H$573,1))</f>
        <v>352</v>
      </c>
      <c r="K882" s="12">
        <f>IF([3]关卡对接!F870="",INT(INDEX(人物经验!$J$24:$J$573,关卡!J882)*关卡!$S$7),[3]关卡对接!F870)</f>
        <v>10713</v>
      </c>
      <c r="L882" s="12">
        <f t="shared" si="128"/>
        <v>1.8</v>
      </c>
      <c r="M882" s="12">
        <f>L882/[4]货币基础!$B$4</f>
        <v>180</v>
      </c>
      <c r="N882" s="12">
        <f>IF(A882&lt;[3]关卡对接!$A$4,INDEX([3]关卡对接!$E$7:$E$141,A882),MATCH(E882,人物经验!$H$24:$H$573,1))</f>
        <v>352</v>
      </c>
      <c r="O882" s="12">
        <f>INDEX([2]关卡!$G$6:$G$2005,A882)</f>
        <v>3</v>
      </c>
      <c r="P882" s="13">
        <v>6</v>
      </c>
      <c r="Q882" s="12">
        <f>INT(P882/$S$15/O882*VLOOKUP(J882,[1]人物技能基础!$N$3:$O$553,2,0)*$U$15)</f>
        <v>9</v>
      </c>
      <c r="R882" s="12">
        <f t="shared" si="129"/>
        <v>112</v>
      </c>
    </row>
    <row r="883" spans="1:18" x14ac:dyDescent="0.15">
      <c r="A883" s="12">
        <v>865</v>
      </c>
      <c r="B883" s="12">
        <f t="shared" si="123"/>
        <v>5</v>
      </c>
      <c r="C883" s="12">
        <f t="shared" si="124"/>
        <v>1.5153125000000001</v>
      </c>
      <c r="D883" s="12">
        <f t="shared" si="125"/>
        <v>2.4112499999999759E-2</v>
      </c>
      <c r="E883" s="12">
        <f>SUM($D$19:D883)</f>
        <v>11.71531249999998</v>
      </c>
      <c r="F883" s="12">
        <f t="shared" si="121"/>
        <v>119.89282466246094</v>
      </c>
      <c r="G883" s="12">
        <f t="shared" si="122"/>
        <v>91.767765581835945</v>
      </c>
      <c r="H883" s="12">
        <f t="shared" si="126"/>
        <v>431600</v>
      </c>
      <c r="I883" s="12">
        <f t="shared" si="127"/>
        <v>330300</v>
      </c>
      <c r="J883" s="12">
        <f>IF(A883&lt;[3]关卡对接!$A$4,INDEX([3]关卡对接!$C$7:$C$141,A883),MATCH(E883,人物经验!$H$24:$H$573,1))</f>
        <v>352</v>
      </c>
      <c r="K883" s="12">
        <f>IF([3]关卡对接!F871="",INT(INDEX(人物经验!$J$24:$J$573,关卡!J883)*关卡!$S$7),[3]关卡对接!F871)</f>
        <v>10713</v>
      </c>
      <c r="L883" s="12">
        <f t="shared" si="128"/>
        <v>1.8</v>
      </c>
      <c r="M883" s="12">
        <f>L883/[4]货币基础!$B$4</f>
        <v>180</v>
      </c>
      <c r="N883" s="12">
        <f>IF(A883&lt;[3]关卡对接!$A$4,INDEX([3]关卡对接!$E$7:$E$141,A883),MATCH(E883,人物经验!$H$24:$H$573,1))</f>
        <v>352</v>
      </c>
      <c r="O883" s="12">
        <f>INDEX([2]关卡!$G$6:$G$2005,A883)</f>
        <v>3</v>
      </c>
      <c r="P883" s="13">
        <v>6</v>
      </c>
      <c r="Q883" s="12">
        <f>INT(P883/$S$15/O883*VLOOKUP(J883,[1]人物技能基础!$N$3:$O$553,2,0)*$U$15)</f>
        <v>9</v>
      </c>
      <c r="R883" s="12">
        <f t="shared" si="129"/>
        <v>112</v>
      </c>
    </row>
    <row r="884" spans="1:18" x14ac:dyDescent="0.15">
      <c r="A884" s="12">
        <v>866</v>
      </c>
      <c r="B884" s="12">
        <f t="shared" si="123"/>
        <v>5</v>
      </c>
      <c r="C884" s="12">
        <f t="shared" si="124"/>
        <v>1.5394500000000002</v>
      </c>
      <c r="D884" s="12">
        <f t="shared" si="125"/>
        <v>2.4137500000000145E-2</v>
      </c>
      <c r="E884" s="12">
        <f>SUM($D$19:D884)</f>
        <v>11.73944999999998</v>
      </c>
      <c r="F884" s="12">
        <f t="shared" si="121"/>
        <v>120.178319023279</v>
      </c>
      <c r="G884" s="12">
        <f t="shared" si="122"/>
        <v>91.940212436495003</v>
      </c>
      <c r="H884" s="12">
        <f t="shared" si="126"/>
        <v>432600</v>
      </c>
      <c r="I884" s="12">
        <f t="shared" si="127"/>
        <v>330900</v>
      </c>
      <c r="J884" s="12">
        <f>IF(A884&lt;[3]关卡对接!$A$4,INDEX([3]关卡对接!$C$7:$C$141,A884),MATCH(E884,人物经验!$H$24:$H$573,1))</f>
        <v>352</v>
      </c>
      <c r="K884" s="12">
        <f>IF([3]关卡对接!F872="",INT(INDEX(人物经验!$J$24:$J$573,关卡!J884)*关卡!$S$7),[3]关卡对接!F872)</f>
        <v>10713</v>
      </c>
      <c r="L884" s="12">
        <f t="shared" si="128"/>
        <v>1.8</v>
      </c>
      <c r="M884" s="12">
        <f>L884/[4]货币基础!$B$4</f>
        <v>180</v>
      </c>
      <c r="N884" s="12">
        <f>IF(A884&lt;[3]关卡对接!$A$4,INDEX([3]关卡对接!$E$7:$E$141,A884),MATCH(E884,人物经验!$H$24:$H$573,1))</f>
        <v>352</v>
      </c>
      <c r="O884" s="12">
        <f>INDEX([2]关卡!$G$6:$G$2005,A884)</f>
        <v>3</v>
      </c>
      <c r="P884" s="13">
        <v>6</v>
      </c>
      <c r="Q884" s="12">
        <f>INT(P884/$S$15/O884*VLOOKUP(J884,[1]人物技能基础!$N$3:$O$553,2,0)*$U$15)</f>
        <v>9</v>
      </c>
      <c r="R884" s="12">
        <f t="shared" si="129"/>
        <v>112</v>
      </c>
    </row>
    <row r="885" spans="1:18" x14ac:dyDescent="0.15">
      <c r="A885" s="12">
        <v>867</v>
      </c>
      <c r="B885" s="12">
        <f t="shared" si="123"/>
        <v>5</v>
      </c>
      <c r="C885" s="12">
        <f t="shared" si="124"/>
        <v>1.5636125000000003</v>
      </c>
      <c r="D885" s="12">
        <f t="shared" si="125"/>
        <v>2.4162500000000087E-2</v>
      </c>
      <c r="E885" s="12">
        <f>SUM($D$19:D885)</f>
        <v>11.763612499999979</v>
      </c>
      <c r="F885" s="12">
        <f t="shared" si="121"/>
        <v>120.46433265847993</v>
      </c>
      <c r="G885" s="12">
        <f t="shared" si="122"/>
        <v>92.112885150530929</v>
      </c>
      <c r="H885" s="12">
        <f t="shared" si="126"/>
        <v>433600</v>
      </c>
      <c r="I885" s="12">
        <f t="shared" si="127"/>
        <v>331600</v>
      </c>
      <c r="J885" s="12">
        <f>IF(A885&lt;[3]关卡对接!$A$4,INDEX([3]关卡对接!$C$7:$C$141,A885),MATCH(E885,人物经验!$H$24:$H$573,1))</f>
        <v>352</v>
      </c>
      <c r="K885" s="12">
        <f>IF([3]关卡对接!F873="",INT(INDEX(人物经验!$J$24:$J$573,关卡!J885)*关卡!$S$7),[3]关卡对接!F873)</f>
        <v>10713</v>
      </c>
      <c r="L885" s="12">
        <f t="shared" si="128"/>
        <v>1.8</v>
      </c>
      <c r="M885" s="12">
        <f>L885/[4]货币基础!$B$4</f>
        <v>180</v>
      </c>
      <c r="N885" s="12">
        <f>IF(A885&lt;[3]关卡对接!$A$4,INDEX([3]关卡对接!$E$7:$E$141,A885),MATCH(E885,人物经验!$H$24:$H$573,1))</f>
        <v>352</v>
      </c>
      <c r="O885" s="12">
        <f>INDEX([2]关卡!$G$6:$G$2005,A885)</f>
        <v>3</v>
      </c>
      <c r="P885" s="13">
        <v>6</v>
      </c>
      <c r="Q885" s="12">
        <f>INT(P885/$S$15/O885*VLOOKUP(J885,[1]人物技能基础!$N$3:$O$553,2,0)*$U$15)</f>
        <v>9</v>
      </c>
      <c r="R885" s="12">
        <f t="shared" si="129"/>
        <v>112</v>
      </c>
    </row>
    <row r="886" spans="1:18" x14ac:dyDescent="0.15">
      <c r="A886" s="12">
        <v>868</v>
      </c>
      <c r="B886" s="12">
        <f t="shared" si="123"/>
        <v>5</v>
      </c>
      <c r="C886" s="12">
        <f t="shared" si="124"/>
        <v>1.5878000000000003</v>
      </c>
      <c r="D886" s="12">
        <f t="shared" si="125"/>
        <v>2.4187500000000028E-2</v>
      </c>
      <c r="E886" s="12">
        <f>SUM($D$19:D886)</f>
        <v>11.787799999999979</v>
      </c>
      <c r="F886" s="12">
        <f t="shared" si="121"/>
        <v>120.75086631166401</v>
      </c>
      <c r="G886" s="12">
        <f t="shared" si="122"/>
        <v>92.285783959919996</v>
      </c>
      <c r="H886" s="12">
        <f t="shared" si="126"/>
        <v>434700</v>
      </c>
      <c r="I886" s="12">
        <f t="shared" si="127"/>
        <v>332200</v>
      </c>
      <c r="J886" s="12">
        <f>IF(A886&lt;[3]关卡对接!$A$4,INDEX([3]关卡对接!$C$7:$C$141,A886),MATCH(E886,人物经验!$H$24:$H$573,1))</f>
        <v>353</v>
      </c>
      <c r="K886" s="12">
        <f>IF([3]关卡对接!F874="",INT(INDEX(人物经验!$J$24:$J$573,关卡!J886)*关卡!$S$7),[3]关卡对接!F874)</f>
        <v>10841</v>
      </c>
      <c r="L886" s="12">
        <f t="shared" si="128"/>
        <v>1.8</v>
      </c>
      <c r="M886" s="12">
        <f>L886/[4]货币基础!$B$4</f>
        <v>180</v>
      </c>
      <c r="N886" s="12">
        <f>IF(A886&lt;[3]关卡对接!$A$4,INDEX([3]关卡对接!$E$7:$E$141,A886),MATCH(E886,人物经验!$H$24:$H$573,1))</f>
        <v>353</v>
      </c>
      <c r="O886" s="12">
        <f>INDEX([2]关卡!$G$6:$G$2005,A886)</f>
        <v>3</v>
      </c>
      <c r="P886" s="13">
        <v>6</v>
      </c>
      <c r="Q886" s="12">
        <f>INT(P886/$S$15/O886*VLOOKUP(J886,[1]人物技能基础!$N$3:$O$553,2,0)*$U$15)</f>
        <v>9</v>
      </c>
      <c r="R886" s="12">
        <f t="shared" si="129"/>
        <v>112</v>
      </c>
    </row>
    <row r="887" spans="1:18" x14ac:dyDescent="0.15">
      <c r="A887" s="12">
        <v>869</v>
      </c>
      <c r="B887" s="12">
        <f t="shared" si="123"/>
        <v>5</v>
      </c>
      <c r="C887" s="12">
        <f t="shared" si="124"/>
        <v>1.6120124999999998</v>
      </c>
      <c r="D887" s="12">
        <f t="shared" si="125"/>
        <v>2.4212499999999526E-2</v>
      </c>
      <c r="E887" s="12">
        <f>SUM($D$19:D887)</f>
        <v>11.812012499999978</v>
      </c>
      <c r="F887" s="12">
        <f t="shared" si="121"/>
        <v>121.03792072702993</v>
      </c>
      <c r="G887" s="12">
        <f t="shared" si="122"/>
        <v>92.458909100780929</v>
      </c>
      <c r="H887" s="12">
        <f t="shared" si="126"/>
        <v>435700</v>
      </c>
      <c r="I887" s="12">
        <f t="shared" si="127"/>
        <v>332800</v>
      </c>
      <c r="J887" s="12">
        <f>IF(A887&lt;[3]关卡对接!$A$4,INDEX([3]关卡对接!$C$7:$C$141,A887),MATCH(E887,人物经验!$H$24:$H$573,1))</f>
        <v>353</v>
      </c>
      <c r="K887" s="12">
        <f>IF([3]关卡对接!F875="",INT(INDEX(人物经验!$J$24:$J$573,关卡!J887)*关卡!$S$7),[3]关卡对接!F875)</f>
        <v>10841</v>
      </c>
      <c r="L887" s="12">
        <f t="shared" si="128"/>
        <v>1.8</v>
      </c>
      <c r="M887" s="12">
        <f>L887/[4]货币基础!$B$4</f>
        <v>180</v>
      </c>
      <c r="N887" s="12">
        <f>IF(A887&lt;[3]关卡对接!$A$4,INDEX([3]关卡对接!$E$7:$E$141,A887),MATCH(E887,人物经验!$H$24:$H$573,1))</f>
        <v>353</v>
      </c>
      <c r="O887" s="12">
        <f>INDEX([2]关卡!$G$6:$G$2005,A887)</f>
        <v>3</v>
      </c>
      <c r="P887" s="13">
        <v>6</v>
      </c>
      <c r="Q887" s="12">
        <f>INT(P887/$S$15/O887*VLOOKUP(J887,[1]人物技能基础!$N$3:$O$553,2,0)*$U$15)</f>
        <v>9</v>
      </c>
      <c r="R887" s="12">
        <f t="shared" si="129"/>
        <v>112</v>
      </c>
    </row>
    <row r="888" spans="1:18" x14ac:dyDescent="0.15">
      <c r="A888" s="12">
        <v>870</v>
      </c>
      <c r="B888" s="12">
        <f t="shared" si="123"/>
        <v>5</v>
      </c>
      <c r="C888" s="12">
        <f t="shared" si="124"/>
        <v>1.63625</v>
      </c>
      <c r="D888" s="12">
        <f t="shared" si="125"/>
        <v>2.4237500000000134E-2</v>
      </c>
      <c r="E888" s="12">
        <f>SUM($D$19:D888)</f>
        <v>11.836249999999978</v>
      </c>
      <c r="F888" s="12">
        <f t="shared" si="121"/>
        <v>121.325496649375</v>
      </c>
      <c r="G888" s="12">
        <f t="shared" si="122"/>
        <v>92.632260809375012</v>
      </c>
      <c r="H888" s="12">
        <f t="shared" si="126"/>
        <v>436700</v>
      </c>
      <c r="I888" s="12">
        <f t="shared" si="127"/>
        <v>333400</v>
      </c>
      <c r="J888" s="12">
        <f>IF(A888&lt;[3]关卡对接!$A$4,INDEX([3]关卡对接!$C$7:$C$141,A888),MATCH(E888,人物经验!$H$24:$H$573,1))</f>
        <v>353</v>
      </c>
      <c r="K888" s="12">
        <f>IF([3]关卡对接!F876="",INT(INDEX(人物经验!$J$24:$J$573,关卡!J888)*关卡!$S$7),[3]关卡对接!F876)</f>
        <v>10841</v>
      </c>
      <c r="L888" s="12">
        <f t="shared" si="128"/>
        <v>1.8</v>
      </c>
      <c r="M888" s="12">
        <f>L888/[4]货币基础!$B$4</f>
        <v>180</v>
      </c>
      <c r="N888" s="12">
        <f>IF(A888&lt;[3]关卡对接!$A$4,INDEX([3]关卡对接!$E$7:$E$141,A888),MATCH(E888,人物经验!$H$24:$H$573,1))</f>
        <v>353</v>
      </c>
      <c r="O888" s="12">
        <f>INDEX([2]关卡!$G$6:$G$2005,A888)</f>
        <v>3</v>
      </c>
      <c r="P888" s="13">
        <v>6</v>
      </c>
      <c r="Q888" s="12">
        <f>INT(P888/$S$15/O888*VLOOKUP(J888,[1]人物技能基础!$N$3:$O$553,2,0)*$U$15)</f>
        <v>9</v>
      </c>
      <c r="R888" s="12">
        <f t="shared" si="129"/>
        <v>112</v>
      </c>
    </row>
    <row r="889" spans="1:18" x14ac:dyDescent="0.15">
      <c r="A889" s="12">
        <v>871</v>
      </c>
      <c r="B889" s="12">
        <f t="shared" si="123"/>
        <v>5</v>
      </c>
      <c r="C889" s="12">
        <f t="shared" si="124"/>
        <v>1.6605125000000001</v>
      </c>
      <c r="D889" s="12">
        <f t="shared" si="125"/>
        <v>2.4262500000000076E-2</v>
      </c>
      <c r="E889" s="12">
        <f>SUM($D$19:D889)</f>
        <v>11.860512499999979</v>
      </c>
      <c r="F889" s="12">
        <f t="shared" si="121"/>
        <v>121.61359482409493</v>
      </c>
      <c r="G889" s="12">
        <f t="shared" si="122"/>
        <v>92.805839322105939</v>
      </c>
      <c r="H889" s="12">
        <f t="shared" si="126"/>
        <v>437800</v>
      </c>
      <c r="I889" s="12">
        <f t="shared" si="127"/>
        <v>334100</v>
      </c>
      <c r="J889" s="12">
        <f>IF(A889&lt;[3]关卡对接!$A$4,INDEX([3]关卡对接!$C$7:$C$141,A889),MATCH(E889,人物经验!$H$24:$H$573,1))</f>
        <v>353</v>
      </c>
      <c r="K889" s="12">
        <f>IF([3]关卡对接!F877="",INT(INDEX(人物经验!$J$24:$J$573,关卡!J889)*关卡!$S$7),[3]关卡对接!F877)</f>
        <v>10841</v>
      </c>
      <c r="L889" s="12">
        <f t="shared" si="128"/>
        <v>1.8</v>
      </c>
      <c r="M889" s="12">
        <f>L889/[4]货币基础!$B$4</f>
        <v>180</v>
      </c>
      <c r="N889" s="12">
        <f>IF(A889&lt;[3]关卡对接!$A$4,INDEX([3]关卡对接!$E$7:$E$141,A889),MATCH(E889,人物经验!$H$24:$H$573,1))</f>
        <v>353</v>
      </c>
      <c r="O889" s="12">
        <f>INDEX([2]关卡!$G$6:$G$2005,A889)</f>
        <v>3</v>
      </c>
      <c r="P889" s="13">
        <v>6</v>
      </c>
      <c r="Q889" s="12">
        <f>INT(P889/$S$15/O889*VLOOKUP(J889,[1]人物技能基础!$N$3:$O$553,2,0)*$U$15)</f>
        <v>9</v>
      </c>
      <c r="R889" s="12">
        <f t="shared" si="129"/>
        <v>112</v>
      </c>
    </row>
    <row r="890" spans="1:18" x14ac:dyDescent="0.15">
      <c r="A890" s="12">
        <v>872</v>
      </c>
      <c r="B890" s="12">
        <f t="shared" si="123"/>
        <v>5</v>
      </c>
      <c r="C890" s="12">
        <f t="shared" si="124"/>
        <v>1.6848000000000001</v>
      </c>
      <c r="D890" s="12">
        <f t="shared" si="125"/>
        <v>2.4287500000000017E-2</v>
      </c>
      <c r="E890" s="12">
        <f>SUM($D$19:D890)</f>
        <v>11.884799999999979</v>
      </c>
      <c r="F890" s="12">
        <f t="shared" si="121"/>
        <v>121.902215997184</v>
      </c>
      <c r="G890" s="12">
        <f t="shared" si="122"/>
        <v>92.979644875519995</v>
      </c>
      <c r="H890" s="12">
        <f t="shared" si="126"/>
        <v>438800</v>
      </c>
      <c r="I890" s="12">
        <f t="shared" si="127"/>
        <v>334700</v>
      </c>
      <c r="J890" s="12">
        <f>IF(A890&lt;[3]关卡对接!$A$4,INDEX([3]关卡对接!$C$7:$C$141,A890),MATCH(E890,人物经验!$H$24:$H$573,1))</f>
        <v>353</v>
      </c>
      <c r="K890" s="12">
        <f>IF([3]关卡对接!F878="",INT(INDEX(人物经验!$J$24:$J$573,关卡!J890)*关卡!$S$7),[3]关卡对接!F878)</f>
        <v>10841</v>
      </c>
      <c r="L890" s="12">
        <f t="shared" si="128"/>
        <v>1.8</v>
      </c>
      <c r="M890" s="12">
        <f>L890/[4]货币基础!$B$4</f>
        <v>180</v>
      </c>
      <c r="N890" s="12">
        <f>IF(A890&lt;[3]关卡对接!$A$4,INDEX([3]关卡对接!$E$7:$E$141,A890),MATCH(E890,人物经验!$H$24:$H$573,1))</f>
        <v>353</v>
      </c>
      <c r="O890" s="12">
        <f>INDEX([2]关卡!$G$6:$G$2005,A890)</f>
        <v>3</v>
      </c>
      <c r="P890" s="13">
        <v>6</v>
      </c>
      <c r="Q890" s="12">
        <f>INT(P890/$S$15/O890*VLOOKUP(J890,[1]人物技能基础!$N$3:$O$553,2,0)*$U$15)</f>
        <v>9</v>
      </c>
      <c r="R890" s="12">
        <f t="shared" si="129"/>
        <v>112</v>
      </c>
    </row>
    <row r="891" spans="1:18" x14ac:dyDescent="0.15">
      <c r="A891" s="12">
        <v>873</v>
      </c>
      <c r="B891" s="12">
        <f t="shared" si="123"/>
        <v>5</v>
      </c>
      <c r="C891" s="12">
        <f t="shared" si="124"/>
        <v>1.7091125000000003</v>
      </c>
      <c r="D891" s="12">
        <f t="shared" si="125"/>
        <v>2.4312500000000181E-2</v>
      </c>
      <c r="E891" s="12">
        <f>SUM($D$19:D891)</f>
        <v>11.90911249999998</v>
      </c>
      <c r="F891" s="12">
        <f t="shared" si="121"/>
        <v>122.19136091523494</v>
      </c>
      <c r="G891" s="12">
        <f t="shared" si="122"/>
        <v>93.153677706305928</v>
      </c>
      <c r="H891" s="12">
        <f t="shared" si="126"/>
        <v>439800</v>
      </c>
      <c r="I891" s="12">
        <f t="shared" si="127"/>
        <v>335300</v>
      </c>
      <c r="J891" s="12">
        <f>IF(A891&lt;[3]关卡对接!$A$4,INDEX([3]关卡对接!$C$7:$C$141,A891),MATCH(E891,人物经验!$H$24:$H$573,1))</f>
        <v>353</v>
      </c>
      <c r="K891" s="12">
        <f>IF([3]关卡对接!F879="",INT(INDEX(人物经验!$J$24:$J$573,关卡!J891)*关卡!$S$7),[3]关卡对接!F879)</f>
        <v>10841</v>
      </c>
      <c r="L891" s="12">
        <f t="shared" si="128"/>
        <v>1.8</v>
      </c>
      <c r="M891" s="12">
        <f>L891/[4]货币基础!$B$4</f>
        <v>180</v>
      </c>
      <c r="N891" s="12">
        <f>IF(A891&lt;[3]关卡对接!$A$4,INDEX([3]关卡对接!$E$7:$E$141,A891),MATCH(E891,人物经验!$H$24:$H$573,1))</f>
        <v>353</v>
      </c>
      <c r="O891" s="12">
        <f>INDEX([2]关卡!$G$6:$G$2005,A891)</f>
        <v>3</v>
      </c>
      <c r="P891" s="13">
        <v>6</v>
      </c>
      <c r="Q891" s="12">
        <f>INT(P891/$S$15/O891*VLOOKUP(J891,[1]人物技能基础!$N$3:$O$553,2,0)*$U$15)</f>
        <v>9</v>
      </c>
      <c r="R891" s="12">
        <f t="shared" si="129"/>
        <v>112</v>
      </c>
    </row>
    <row r="892" spans="1:18" x14ac:dyDescent="0.15">
      <c r="A892" s="12">
        <v>874</v>
      </c>
      <c r="B892" s="12">
        <f t="shared" si="123"/>
        <v>5</v>
      </c>
      <c r="C892" s="12">
        <f t="shared" si="124"/>
        <v>1.7334499999999999</v>
      </c>
      <c r="D892" s="12">
        <f t="shared" si="125"/>
        <v>2.4337499999999679E-2</v>
      </c>
      <c r="E892" s="12">
        <f>SUM($D$19:D892)</f>
        <v>11.933449999999979</v>
      </c>
      <c r="F892" s="12">
        <f t="shared" si="121"/>
        <v>122.48103032543901</v>
      </c>
      <c r="G892" s="12">
        <f t="shared" si="122"/>
        <v>93.327938051295007</v>
      </c>
      <c r="H892" s="12">
        <f t="shared" si="126"/>
        <v>440900</v>
      </c>
      <c r="I892" s="12">
        <f t="shared" si="127"/>
        <v>335900</v>
      </c>
      <c r="J892" s="12">
        <f>IF(A892&lt;[3]关卡对接!$A$4,INDEX([3]关卡对接!$C$7:$C$141,A892),MATCH(E892,人物经验!$H$24:$H$573,1))</f>
        <v>354</v>
      </c>
      <c r="K892" s="12">
        <f>IF([3]关卡对接!F880="",INT(INDEX(人物经验!$J$24:$J$573,关卡!J892)*关卡!$S$7),[3]关卡对接!F880)</f>
        <v>10997</v>
      </c>
      <c r="L892" s="12">
        <f t="shared" si="128"/>
        <v>1.8</v>
      </c>
      <c r="M892" s="12">
        <f>L892/[4]货币基础!$B$4</f>
        <v>180</v>
      </c>
      <c r="N892" s="12">
        <f>IF(A892&lt;[3]关卡对接!$A$4,INDEX([3]关卡对接!$E$7:$E$141,A892),MATCH(E892,人物经验!$H$24:$H$573,1))</f>
        <v>354</v>
      </c>
      <c r="O892" s="12">
        <f>INDEX([2]关卡!$G$6:$G$2005,A892)</f>
        <v>3</v>
      </c>
      <c r="P892" s="13">
        <v>6</v>
      </c>
      <c r="Q892" s="12">
        <f>INT(P892/$S$15/O892*VLOOKUP(J892,[1]人物技能基础!$N$3:$O$553,2,0)*$U$15)</f>
        <v>9</v>
      </c>
      <c r="R892" s="12">
        <f t="shared" si="129"/>
        <v>112</v>
      </c>
    </row>
    <row r="893" spans="1:18" x14ac:dyDescent="0.15">
      <c r="A893" s="12">
        <v>875</v>
      </c>
      <c r="B893" s="12">
        <f t="shared" si="123"/>
        <v>5</v>
      </c>
      <c r="C893" s="12">
        <f t="shared" si="124"/>
        <v>1.7578125</v>
      </c>
      <c r="D893" s="12">
        <f t="shared" si="125"/>
        <v>2.4362500000000065E-2</v>
      </c>
      <c r="E893" s="12">
        <f>SUM($D$19:D893)</f>
        <v>11.95781249999998</v>
      </c>
      <c r="F893" s="12">
        <f t="shared" si="121"/>
        <v>122.77122497558592</v>
      </c>
      <c r="G893" s="12">
        <f t="shared" si="122"/>
        <v>93.502426147460938</v>
      </c>
      <c r="H893" s="12">
        <f t="shared" si="126"/>
        <v>441900</v>
      </c>
      <c r="I893" s="12">
        <f t="shared" si="127"/>
        <v>336600</v>
      </c>
      <c r="J893" s="12">
        <f>IF(A893&lt;[3]关卡对接!$A$4,INDEX([3]关卡对接!$C$7:$C$141,A893),MATCH(E893,人物经验!$H$24:$H$573,1))</f>
        <v>354</v>
      </c>
      <c r="K893" s="12">
        <f>IF([3]关卡对接!F881="",INT(INDEX(人物经验!$J$24:$J$573,关卡!J893)*关卡!$S$7),[3]关卡对接!F881)</f>
        <v>10997</v>
      </c>
      <c r="L893" s="12">
        <f t="shared" si="128"/>
        <v>1.8</v>
      </c>
      <c r="M893" s="12">
        <f>L893/[4]货币基础!$B$4</f>
        <v>180</v>
      </c>
      <c r="N893" s="12">
        <f>IF(A893&lt;[3]关卡对接!$A$4,INDEX([3]关卡对接!$E$7:$E$141,A893),MATCH(E893,人物经验!$H$24:$H$573,1))</f>
        <v>354</v>
      </c>
      <c r="O893" s="12">
        <f>INDEX([2]关卡!$G$6:$G$2005,A893)</f>
        <v>3</v>
      </c>
      <c r="P893" s="13">
        <v>6</v>
      </c>
      <c r="Q893" s="12">
        <f>INT(P893/$S$15/O893*VLOOKUP(J893,[1]人物技能基础!$N$3:$O$553,2,0)*$U$15)</f>
        <v>9</v>
      </c>
      <c r="R893" s="12">
        <f t="shared" si="129"/>
        <v>112</v>
      </c>
    </row>
    <row r="894" spans="1:18" x14ac:dyDescent="0.15">
      <c r="A894" s="12">
        <v>876</v>
      </c>
      <c r="B894" s="12">
        <f t="shared" si="123"/>
        <v>5</v>
      </c>
      <c r="C894" s="12">
        <f t="shared" si="124"/>
        <v>1.7822000000000002</v>
      </c>
      <c r="D894" s="12">
        <f t="shared" si="125"/>
        <v>2.4387500000000228E-2</v>
      </c>
      <c r="E894" s="12">
        <f>SUM($D$19:D894)</f>
        <v>11.982199999999979</v>
      </c>
      <c r="F894" s="12">
        <f t="shared" si="121"/>
        <v>123.06194561406402</v>
      </c>
      <c r="G894" s="12">
        <f t="shared" si="122"/>
        <v>93.677142231920001</v>
      </c>
      <c r="H894" s="12">
        <f t="shared" si="126"/>
        <v>443000</v>
      </c>
      <c r="I894" s="12">
        <f t="shared" si="127"/>
        <v>337200</v>
      </c>
      <c r="J894" s="12">
        <f>IF(A894&lt;[3]关卡对接!$A$4,INDEX([3]关卡对接!$C$7:$C$141,A894),MATCH(E894,人物经验!$H$24:$H$573,1))</f>
        <v>354</v>
      </c>
      <c r="K894" s="12">
        <f>IF([3]关卡对接!F882="",INT(INDEX(人物经验!$J$24:$J$573,关卡!J894)*关卡!$S$7),[3]关卡对接!F882)</f>
        <v>10997</v>
      </c>
      <c r="L894" s="12">
        <f t="shared" si="128"/>
        <v>1.8</v>
      </c>
      <c r="M894" s="12">
        <f>L894/[4]货币基础!$B$4</f>
        <v>180</v>
      </c>
      <c r="N894" s="12">
        <f>IF(A894&lt;[3]关卡对接!$A$4,INDEX([3]关卡对接!$E$7:$E$141,A894),MATCH(E894,人物经验!$H$24:$H$573,1))</f>
        <v>354</v>
      </c>
      <c r="O894" s="12">
        <f>INDEX([2]关卡!$G$6:$G$2005,A894)</f>
        <v>3</v>
      </c>
      <c r="P894" s="13">
        <v>6</v>
      </c>
      <c r="Q894" s="12">
        <f>INT(P894/$S$15/O894*VLOOKUP(J894,[1]人物技能基础!$N$3:$O$553,2,0)*$U$15)</f>
        <v>9</v>
      </c>
      <c r="R894" s="12">
        <f t="shared" si="129"/>
        <v>112</v>
      </c>
    </row>
    <row r="895" spans="1:18" x14ac:dyDescent="0.15">
      <c r="A895" s="12">
        <v>877</v>
      </c>
      <c r="B895" s="12">
        <f t="shared" si="123"/>
        <v>5</v>
      </c>
      <c r="C895" s="12">
        <f t="shared" si="124"/>
        <v>1.8066125000000002</v>
      </c>
      <c r="D895" s="12">
        <f t="shared" si="125"/>
        <v>2.4412499999999948E-2</v>
      </c>
      <c r="E895" s="12">
        <f>SUM($D$19:D895)</f>
        <v>12.00661249999998</v>
      </c>
      <c r="F895" s="12">
        <f t="shared" si="121"/>
        <v>123.35319298985995</v>
      </c>
      <c r="G895" s="12">
        <f t="shared" si="122"/>
        <v>93.852086541930916</v>
      </c>
      <c r="H895" s="12">
        <f t="shared" si="126"/>
        <v>444000</v>
      </c>
      <c r="I895" s="12">
        <f t="shared" si="127"/>
        <v>337800</v>
      </c>
      <c r="J895" s="12">
        <f>IF(A895&lt;[3]关卡对接!$A$4,INDEX([3]关卡对接!$C$7:$C$141,A895),MATCH(E895,人物经验!$H$24:$H$573,1))</f>
        <v>354</v>
      </c>
      <c r="K895" s="12">
        <f>IF([3]关卡对接!F883="",INT(INDEX(人物经验!$J$24:$J$573,关卡!J895)*关卡!$S$7),[3]关卡对接!F883)</f>
        <v>10997</v>
      </c>
      <c r="L895" s="12">
        <f t="shared" si="128"/>
        <v>1.8</v>
      </c>
      <c r="M895" s="12">
        <f>L895/[4]货币基础!$B$4</f>
        <v>180</v>
      </c>
      <c r="N895" s="12">
        <f>IF(A895&lt;[3]关卡对接!$A$4,INDEX([3]关卡对接!$E$7:$E$141,A895),MATCH(E895,人物经验!$H$24:$H$573,1))</f>
        <v>354</v>
      </c>
      <c r="O895" s="12">
        <f>INDEX([2]关卡!$G$6:$G$2005,A895)</f>
        <v>3</v>
      </c>
      <c r="P895" s="13">
        <v>6</v>
      </c>
      <c r="Q895" s="12">
        <f>INT(P895/$S$15/O895*VLOOKUP(J895,[1]人物技能基础!$N$3:$O$553,2,0)*$U$15)</f>
        <v>9</v>
      </c>
      <c r="R895" s="12">
        <f t="shared" si="129"/>
        <v>112</v>
      </c>
    </row>
    <row r="896" spans="1:18" x14ac:dyDescent="0.15">
      <c r="A896" s="12">
        <v>878</v>
      </c>
      <c r="B896" s="12">
        <f t="shared" si="123"/>
        <v>5</v>
      </c>
      <c r="C896" s="12">
        <f t="shared" si="124"/>
        <v>1.8310500000000003</v>
      </c>
      <c r="D896" s="12">
        <f t="shared" si="125"/>
        <v>2.4437500000000112E-2</v>
      </c>
      <c r="E896" s="12">
        <f>SUM($D$19:D896)</f>
        <v>12.031049999999979</v>
      </c>
      <c r="F896" s="12">
        <f t="shared" si="121"/>
        <v>123.64496785255899</v>
      </c>
      <c r="G896" s="12">
        <f t="shared" si="122"/>
        <v>94.027259314894991</v>
      </c>
      <c r="H896" s="12">
        <f t="shared" si="126"/>
        <v>445100</v>
      </c>
      <c r="I896" s="12">
        <f t="shared" si="127"/>
        <v>338400</v>
      </c>
      <c r="J896" s="12">
        <f>IF(A896&lt;[3]关卡对接!$A$4,INDEX([3]关卡对接!$C$7:$C$141,A896),MATCH(E896,人物经验!$H$24:$H$573,1))</f>
        <v>354</v>
      </c>
      <c r="K896" s="12">
        <f>IF([3]关卡对接!F884="",INT(INDEX(人物经验!$J$24:$J$573,关卡!J896)*关卡!$S$7),[3]关卡对接!F884)</f>
        <v>10997</v>
      </c>
      <c r="L896" s="12">
        <f t="shared" si="128"/>
        <v>1.8</v>
      </c>
      <c r="M896" s="12">
        <f>L896/[4]货币基础!$B$4</f>
        <v>180</v>
      </c>
      <c r="N896" s="12">
        <f>IF(A896&lt;[3]关卡对接!$A$4,INDEX([3]关卡对接!$E$7:$E$141,A896),MATCH(E896,人物经验!$H$24:$H$573,1))</f>
        <v>354</v>
      </c>
      <c r="O896" s="12">
        <f>INDEX([2]关卡!$G$6:$G$2005,A896)</f>
        <v>3</v>
      </c>
      <c r="P896" s="13">
        <v>6</v>
      </c>
      <c r="Q896" s="12">
        <f>INT(P896/$S$15/O896*VLOOKUP(J896,[1]人物技能基础!$N$3:$O$553,2,0)*$U$15)</f>
        <v>9</v>
      </c>
      <c r="R896" s="12">
        <f t="shared" si="129"/>
        <v>112</v>
      </c>
    </row>
    <row r="897" spans="1:18" x14ac:dyDescent="0.15">
      <c r="A897" s="12">
        <v>879</v>
      </c>
      <c r="B897" s="12">
        <f t="shared" si="123"/>
        <v>5</v>
      </c>
      <c r="C897" s="12">
        <f t="shared" si="124"/>
        <v>1.8555125000000003</v>
      </c>
      <c r="D897" s="12">
        <f t="shared" si="125"/>
        <v>2.4462500000000054E-2</v>
      </c>
      <c r="E897" s="12">
        <f>SUM($D$19:D897)</f>
        <v>12.055512499999979</v>
      </c>
      <c r="F897" s="12">
        <f t="shared" si="121"/>
        <v>123.93727095234495</v>
      </c>
      <c r="G897" s="12">
        <f t="shared" si="122"/>
        <v>94.202660788355942</v>
      </c>
      <c r="H897" s="12">
        <f t="shared" si="126"/>
        <v>446100</v>
      </c>
      <c r="I897" s="12">
        <f t="shared" si="127"/>
        <v>339100</v>
      </c>
      <c r="J897" s="12">
        <f>IF(A897&lt;[3]关卡对接!$A$4,INDEX([3]关卡对接!$C$7:$C$141,A897),MATCH(E897,人物经验!$H$24:$H$573,1))</f>
        <v>354</v>
      </c>
      <c r="K897" s="12">
        <f>IF([3]关卡对接!F885="",INT(INDEX(人物经验!$J$24:$J$573,关卡!J897)*关卡!$S$7),[3]关卡对接!F885)</f>
        <v>10997</v>
      </c>
      <c r="L897" s="12">
        <f t="shared" si="128"/>
        <v>1.8</v>
      </c>
      <c r="M897" s="12">
        <f>L897/[4]货币基础!$B$4</f>
        <v>180</v>
      </c>
      <c r="N897" s="12">
        <f>IF(A897&lt;[3]关卡对接!$A$4,INDEX([3]关卡对接!$E$7:$E$141,A897),MATCH(E897,人物经验!$H$24:$H$573,1))</f>
        <v>354</v>
      </c>
      <c r="O897" s="12">
        <f>INDEX([2]关卡!$G$6:$G$2005,A897)</f>
        <v>3</v>
      </c>
      <c r="P897" s="13">
        <v>6</v>
      </c>
      <c r="Q897" s="12">
        <f>INT(P897/$S$15/O897*VLOOKUP(J897,[1]人物技能基础!$N$3:$O$553,2,0)*$U$15)</f>
        <v>9</v>
      </c>
      <c r="R897" s="12">
        <f t="shared" si="129"/>
        <v>112</v>
      </c>
    </row>
    <row r="898" spans="1:18" x14ac:dyDescent="0.15">
      <c r="A898" s="12">
        <v>880</v>
      </c>
      <c r="B898" s="12">
        <f t="shared" si="123"/>
        <v>5</v>
      </c>
      <c r="C898" s="12">
        <f t="shared" si="124"/>
        <v>1.8800000000000003</v>
      </c>
      <c r="D898" s="12">
        <f t="shared" si="125"/>
        <v>2.4487499999999995E-2</v>
      </c>
      <c r="E898" s="12">
        <f>SUM($D$19:D898)</f>
        <v>12.079999999999979</v>
      </c>
      <c r="F898" s="12">
        <f t="shared" si="121"/>
        <v>124.23010304000002</v>
      </c>
      <c r="G898" s="12">
        <f t="shared" si="122"/>
        <v>94.378291199999993</v>
      </c>
      <c r="H898" s="12">
        <f t="shared" si="126"/>
        <v>447200</v>
      </c>
      <c r="I898" s="12">
        <f t="shared" si="127"/>
        <v>339700</v>
      </c>
      <c r="J898" s="12">
        <f>IF(A898&lt;[3]关卡对接!$A$4,INDEX([3]关卡对接!$C$7:$C$141,A898),MATCH(E898,人物经验!$H$24:$H$573,1))</f>
        <v>355</v>
      </c>
      <c r="K898" s="12">
        <f>IF([3]关卡对接!F886="",INT(INDEX(人物经验!$J$24:$J$573,关卡!J898)*关卡!$S$7),[3]关卡对接!F886)</f>
        <v>11154</v>
      </c>
      <c r="L898" s="12">
        <f t="shared" si="128"/>
        <v>1.8</v>
      </c>
      <c r="M898" s="12">
        <f>L898/[4]货币基础!$B$4</f>
        <v>180</v>
      </c>
      <c r="N898" s="12">
        <f>IF(A898&lt;[3]关卡对接!$A$4,INDEX([3]关卡对接!$E$7:$E$141,A898),MATCH(E898,人物经验!$H$24:$H$573,1))</f>
        <v>355</v>
      </c>
      <c r="O898" s="12">
        <f>INDEX([2]关卡!$G$6:$G$2005,A898)</f>
        <v>3</v>
      </c>
      <c r="P898" s="13">
        <v>6</v>
      </c>
      <c r="Q898" s="12">
        <f>INT(P898/$S$15/O898*VLOOKUP(J898,[1]人物技能基础!$N$3:$O$553,2,0)*$U$15)</f>
        <v>9</v>
      </c>
      <c r="R898" s="12">
        <f t="shared" si="129"/>
        <v>112</v>
      </c>
    </row>
    <row r="899" spans="1:18" x14ac:dyDescent="0.15">
      <c r="A899" s="12">
        <v>881</v>
      </c>
      <c r="B899" s="12">
        <f t="shared" si="123"/>
        <v>5</v>
      </c>
      <c r="C899" s="12">
        <f t="shared" si="124"/>
        <v>1.9045125000000001</v>
      </c>
      <c r="D899" s="12">
        <f t="shared" si="125"/>
        <v>2.4512499999999715E-2</v>
      </c>
      <c r="E899" s="12">
        <f>SUM($D$19:D899)</f>
        <v>12.104512499999979</v>
      </c>
      <c r="F899" s="12">
        <f t="shared" si="121"/>
        <v>124.52346486690496</v>
      </c>
      <c r="G899" s="12">
        <f t="shared" si="122"/>
        <v>94.554150787655928</v>
      </c>
      <c r="H899" s="12">
        <f t="shared" si="126"/>
        <v>448200</v>
      </c>
      <c r="I899" s="12">
        <f t="shared" si="127"/>
        <v>340300</v>
      </c>
      <c r="J899" s="12">
        <f>IF(A899&lt;[3]关卡对接!$A$4,INDEX([3]关卡对接!$C$7:$C$141,A899),MATCH(E899,人物经验!$H$24:$H$573,1))</f>
        <v>355</v>
      </c>
      <c r="K899" s="12">
        <f>IF([3]关卡对接!F887="",INT(INDEX(人物经验!$J$24:$J$573,关卡!J899)*关卡!$S$7),[3]关卡对接!F887)</f>
        <v>11154</v>
      </c>
      <c r="L899" s="12">
        <f t="shared" si="128"/>
        <v>1.8</v>
      </c>
      <c r="M899" s="12">
        <f>L899/[4]货币基础!$B$4</f>
        <v>180</v>
      </c>
      <c r="N899" s="12">
        <f>IF(A899&lt;[3]关卡对接!$A$4,INDEX([3]关卡对接!$E$7:$E$141,A899),MATCH(E899,人物经验!$H$24:$H$573,1))</f>
        <v>355</v>
      </c>
      <c r="O899" s="12">
        <f>INDEX([2]关卡!$G$6:$G$2005,A899)</f>
        <v>3</v>
      </c>
      <c r="P899" s="13">
        <v>6</v>
      </c>
      <c r="Q899" s="12">
        <f>INT(P899/$S$15/O899*VLOOKUP(J899,[1]人物技能基础!$N$3:$O$553,2,0)*$U$15)</f>
        <v>9</v>
      </c>
      <c r="R899" s="12">
        <f t="shared" si="129"/>
        <v>112</v>
      </c>
    </row>
    <row r="900" spans="1:18" x14ac:dyDescent="0.15">
      <c r="A900" s="12">
        <v>882</v>
      </c>
      <c r="B900" s="12">
        <f t="shared" si="123"/>
        <v>5</v>
      </c>
      <c r="C900" s="12">
        <f t="shared" si="124"/>
        <v>1.9290499999999999</v>
      </c>
      <c r="D900" s="12">
        <f t="shared" si="125"/>
        <v>2.4537499999999879E-2</v>
      </c>
      <c r="E900" s="12">
        <f>SUM($D$19:D900)</f>
        <v>12.129049999999978</v>
      </c>
      <c r="F900" s="12">
        <f t="shared" si="121"/>
        <v>124.81735718503901</v>
      </c>
      <c r="G900" s="12">
        <f t="shared" si="122"/>
        <v>94.730239789294998</v>
      </c>
      <c r="H900" s="12">
        <f t="shared" si="126"/>
        <v>449300</v>
      </c>
      <c r="I900" s="12">
        <f t="shared" si="127"/>
        <v>341000</v>
      </c>
      <c r="J900" s="12">
        <f>IF(A900&lt;[3]关卡对接!$A$4,INDEX([3]关卡对接!$C$7:$C$141,A900),MATCH(E900,人物经验!$H$24:$H$573,1))</f>
        <v>355</v>
      </c>
      <c r="K900" s="12">
        <f>IF([3]关卡对接!F888="",INT(INDEX(人物经验!$J$24:$J$573,关卡!J900)*关卡!$S$7),[3]关卡对接!F888)</f>
        <v>11154</v>
      </c>
      <c r="L900" s="12">
        <f t="shared" si="128"/>
        <v>1.8</v>
      </c>
      <c r="M900" s="12">
        <f>L900/[4]货币基础!$B$4</f>
        <v>180</v>
      </c>
      <c r="N900" s="12">
        <f>IF(A900&lt;[3]关卡对接!$A$4,INDEX([3]关卡对接!$E$7:$E$141,A900),MATCH(E900,人物经验!$H$24:$H$573,1))</f>
        <v>355</v>
      </c>
      <c r="O900" s="12">
        <f>INDEX([2]关卡!$G$6:$G$2005,A900)</f>
        <v>3</v>
      </c>
      <c r="P900" s="13">
        <v>6</v>
      </c>
      <c r="Q900" s="12">
        <f>INT(P900/$S$15/O900*VLOOKUP(J900,[1]人物技能基础!$N$3:$O$553,2,0)*$U$15)</f>
        <v>9</v>
      </c>
      <c r="R900" s="12">
        <f t="shared" si="129"/>
        <v>112</v>
      </c>
    </row>
    <row r="901" spans="1:18" x14ac:dyDescent="0.15">
      <c r="A901" s="12">
        <v>883</v>
      </c>
      <c r="B901" s="12">
        <f t="shared" si="123"/>
        <v>5</v>
      </c>
      <c r="C901" s="12">
        <f t="shared" si="124"/>
        <v>1.9536124999999998</v>
      </c>
      <c r="D901" s="12">
        <f t="shared" si="125"/>
        <v>2.4562499999999821E-2</v>
      </c>
      <c r="E901" s="12">
        <f>SUM($D$19:D901)</f>
        <v>12.153612499999978</v>
      </c>
      <c r="F901" s="12">
        <f t="shared" si="121"/>
        <v>125.11178074697993</v>
      </c>
      <c r="G901" s="12">
        <f t="shared" si="122"/>
        <v>94.906558443030917</v>
      </c>
      <c r="H901" s="12">
        <f t="shared" si="126"/>
        <v>450400</v>
      </c>
      <c r="I901" s="12">
        <f t="shared" si="127"/>
        <v>341600</v>
      </c>
      <c r="J901" s="12">
        <f>IF(A901&lt;[3]关卡对接!$A$4,INDEX([3]关卡对接!$C$7:$C$141,A901),MATCH(E901,人物经验!$H$24:$H$573,1))</f>
        <v>355</v>
      </c>
      <c r="K901" s="12">
        <f>IF([3]关卡对接!F889="",INT(INDEX(人物经验!$J$24:$J$573,关卡!J901)*关卡!$S$7),[3]关卡对接!F889)</f>
        <v>11154</v>
      </c>
      <c r="L901" s="12">
        <f t="shared" si="128"/>
        <v>1.8</v>
      </c>
      <c r="M901" s="12">
        <f>L901/[4]货币基础!$B$4</f>
        <v>180</v>
      </c>
      <c r="N901" s="12">
        <f>IF(A901&lt;[3]关卡对接!$A$4,INDEX([3]关卡对接!$E$7:$E$141,A901),MATCH(E901,人物经验!$H$24:$H$573,1))</f>
        <v>355</v>
      </c>
      <c r="O901" s="12">
        <f>INDEX([2]关卡!$G$6:$G$2005,A901)</f>
        <v>3</v>
      </c>
      <c r="P901" s="13">
        <v>6</v>
      </c>
      <c r="Q901" s="12">
        <f>INT(P901/$S$15/O901*VLOOKUP(J901,[1]人物技能基础!$N$3:$O$553,2,0)*$U$15)</f>
        <v>9</v>
      </c>
      <c r="R901" s="12">
        <f t="shared" si="129"/>
        <v>112</v>
      </c>
    </row>
    <row r="902" spans="1:18" x14ac:dyDescent="0.15">
      <c r="A902" s="12">
        <v>884</v>
      </c>
      <c r="B902" s="12">
        <f t="shared" si="123"/>
        <v>5</v>
      </c>
      <c r="C902" s="12">
        <f t="shared" si="124"/>
        <v>1.9782</v>
      </c>
      <c r="D902" s="12">
        <f t="shared" si="125"/>
        <v>2.4587500000000206E-2</v>
      </c>
      <c r="E902" s="12">
        <f>SUM($D$19:D902)</f>
        <v>12.178199999999979</v>
      </c>
      <c r="F902" s="12">
        <f t="shared" si="121"/>
        <v>125.40673630590402</v>
      </c>
      <c r="G902" s="12">
        <f t="shared" si="122"/>
        <v>95.083106987120004</v>
      </c>
      <c r="H902" s="12">
        <f t="shared" si="126"/>
        <v>451400</v>
      </c>
      <c r="I902" s="12">
        <f t="shared" si="127"/>
        <v>342200</v>
      </c>
      <c r="J902" s="12">
        <f>IF(A902&lt;[3]关卡对接!$A$4,INDEX([3]关卡对接!$C$7:$C$141,A902),MATCH(E902,人物经验!$H$24:$H$573,1))</f>
        <v>355</v>
      </c>
      <c r="K902" s="12">
        <f>IF([3]关卡对接!F890="",INT(INDEX(人物经验!$J$24:$J$573,关卡!J902)*关卡!$S$7),[3]关卡对接!F890)</f>
        <v>11154</v>
      </c>
      <c r="L902" s="12">
        <f t="shared" si="128"/>
        <v>1.8</v>
      </c>
      <c r="M902" s="12">
        <f>L902/[4]货币基础!$B$4</f>
        <v>180</v>
      </c>
      <c r="N902" s="12">
        <f>IF(A902&lt;[3]关卡对接!$A$4,INDEX([3]关卡对接!$E$7:$E$141,A902),MATCH(E902,人物经验!$H$24:$H$573,1))</f>
        <v>355</v>
      </c>
      <c r="O902" s="12">
        <f>INDEX([2]关卡!$G$6:$G$2005,A902)</f>
        <v>3</v>
      </c>
      <c r="P902" s="13">
        <v>6</v>
      </c>
      <c r="Q902" s="12">
        <f>INT(P902/$S$15/O902*VLOOKUP(J902,[1]人物技能基础!$N$3:$O$553,2,0)*$U$15)</f>
        <v>9</v>
      </c>
      <c r="R902" s="12">
        <f t="shared" si="129"/>
        <v>112</v>
      </c>
    </row>
    <row r="903" spans="1:18" x14ac:dyDescent="0.15">
      <c r="A903" s="12">
        <v>885</v>
      </c>
      <c r="B903" s="12">
        <f t="shared" si="123"/>
        <v>5</v>
      </c>
      <c r="C903" s="12">
        <f t="shared" si="124"/>
        <v>2.0028125000000001</v>
      </c>
      <c r="D903" s="12">
        <f t="shared" si="125"/>
        <v>2.4612500000000148E-2</v>
      </c>
      <c r="E903" s="12">
        <f>SUM($D$19:D903)</f>
        <v>12.202812499999979</v>
      </c>
      <c r="F903" s="12">
        <f t="shared" si="121"/>
        <v>125.70222461558598</v>
      </c>
      <c r="G903" s="12">
        <f t="shared" si="122"/>
        <v>95.259885659960943</v>
      </c>
      <c r="H903" s="12">
        <f t="shared" si="126"/>
        <v>452500</v>
      </c>
      <c r="I903" s="12">
        <f t="shared" si="127"/>
        <v>342900</v>
      </c>
      <c r="J903" s="12">
        <f>IF(A903&lt;[3]关卡对接!$A$4,INDEX([3]关卡对接!$C$7:$C$141,A903),MATCH(E903,人物经验!$H$24:$H$573,1))</f>
        <v>355</v>
      </c>
      <c r="K903" s="12">
        <f>IF([3]关卡对接!F891="",INT(INDEX(人物经验!$J$24:$J$573,关卡!J903)*关卡!$S$7),[3]关卡对接!F891)</f>
        <v>11154</v>
      </c>
      <c r="L903" s="12">
        <f t="shared" si="128"/>
        <v>1.8</v>
      </c>
      <c r="M903" s="12">
        <f>L903/[4]货币基础!$B$4</f>
        <v>180</v>
      </c>
      <c r="N903" s="12">
        <f>IF(A903&lt;[3]关卡对接!$A$4,INDEX([3]关卡对接!$E$7:$E$141,A903),MATCH(E903,人物经验!$H$24:$H$573,1))</f>
        <v>355</v>
      </c>
      <c r="O903" s="12">
        <f>INDEX([2]关卡!$G$6:$G$2005,A903)</f>
        <v>3</v>
      </c>
      <c r="P903" s="13">
        <v>6</v>
      </c>
      <c r="Q903" s="12">
        <f>INT(P903/$S$15/O903*VLOOKUP(J903,[1]人物技能基础!$N$3:$O$553,2,0)*$U$15)</f>
        <v>9</v>
      </c>
      <c r="R903" s="12">
        <f t="shared" si="129"/>
        <v>112</v>
      </c>
    </row>
    <row r="904" spans="1:18" x14ac:dyDescent="0.15">
      <c r="A904" s="12">
        <v>886</v>
      </c>
      <c r="B904" s="12">
        <f t="shared" si="123"/>
        <v>5</v>
      </c>
      <c r="C904" s="12">
        <f t="shared" si="124"/>
        <v>2.02745</v>
      </c>
      <c r="D904" s="12">
        <f t="shared" si="125"/>
        <v>2.4637499999999868E-2</v>
      </c>
      <c r="E904" s="12">
        <f>SUM($D$19:D904)</f>
        <v>12.22744999999998</v>
      </c>
      <c r="F904" s="12">
        <f t="shared" si="121"/>
        <v>125.99824643039904</v>
      </c>
      <c r="G904" s="12">
        <f t="shared" si="122"/>
        <v>95.43689470009501</v>
      </c>
      <c r="H904" s="12">
        <f t="shared" si="126"/>
        <v>453500</v>
      </c>
      <c r="I904" s="12">
        <f t="shared" si="127"/>
        <v>343500</v>
      </c>
      <c r="J904" s="12">
        <f>IF(A904&lt;[3]关卡对接!$A$4,INDEX([3]关卡对接!$C$7:$C$141,A904),MATCH(E904,人物经验!$H$24:$H$573,1))</f>
        <v>356</v>
      </c>
      <c r="K904" s="12">
        <f>IF([3]关卡对接!F892="",INT(INDEX(人物经验!$J$24:$J$573,关卡!J904)*关卡!$S$7),[3]关卡对接!F892)</f>
        <v>11313</v>
      </c>
      <c r="L904" s="12">
        <f t="shared" si="128"/>
        <v>1.8</v>
      </c>
      <c r="M904" s="12">
        <f>L904/[4]货币基础!$B$4</f>
        <v>180</v>
      </c>
      <c r="N904" s="12">
        <f>IF(A904&lt;[3]关卡对接!$A$4,INDEX([3]关卡对接!$E$7:$E$141,A904),MATCH(E904,人物经验!$H$24:$H$573,1))</f>
        <v>356</v>
      </c>
      <c r="O904" s="12">
        <f>INDEX([2]关卡!$G$6:$G$2005,A904)</f>
        <v>3</v>
      </c>
      <c r="P904" s="13">
        <v>6</v>
      </c>
      <c r="Q904" s="12">
        <f>INT(P904/$S$15/O904*VLOOKUP(J904,[1]人物技能基础!$N$3:$O$553,2,0)*$U$15)</f>
        <v>9</v>
      </c>
      <c r="R904" s="12">
        <f t="shared" si="129"/>
        <v>112</v>
      </c>
    </row>
    <row r="905" spans="1:18" x14ac:dyDescent="0.15">
      <c r="A905" s="12">
        <v>887</v>
      </c>
      <c r="B905" s="12">
        <f t="shared" si="123"/>
        <v>5</v>
      </c>
      <c r="C905" s="12">
        <f t="shared" si="124"/>
        <v>2.0521125000000002</v>
      </c>
      <c r="D905" s="12">
        <f t="shared" si="125"/>
        <v>2.4662500000000254E-2</v>
      </c>
      <c r="E905" s="12">
        <f>SUM($D$19:D905)</f>
        <v>12.25211249999998</v>
      </c>
      <c r="F905" s="12">
        <f t="shared" si="121"/>
        <v>126.29480250531493</v>
      </c>
      <c r="G905" s="12">
        <f t="shared" si="122"/>
        <v>95.614134346205944</v>
      </c>
      <c r="H905" s="12">
        <f t="shared" si="126"/>
        <v>454600</v>
      </c>
      <c r="I905" s="12">
        <f t="shared" si="127"/>
        <v>344200</v>
      </c>
      <c r="J905" s="12">
        <f>IF(A905&lt;[3]关卡对接!$A$4,INDEX([3]关卡对接!$C$7:$C$141,A905),MATCH(E905,人物经验!$H$24:$H$573,1))</f>
        <v>356</v>
      </c>
      <c r="K905" s="12">
        <f>IF([3]关卡对接!F893="",INT(INDEX(人物经验!$J$24:$J$573,关卡!J905)*关卡!$S$7),[3]关卡对接!F893)</f>
        <v>11313</v>
      </c>
      <c r="L905" s="12">
        <f t="shared" si="128"/>
        <v>1.8</v>
      </c>
      <c r="M905" s="12">
        <f>L905/[4]货币基础!$B$4</f>
        <v>180</v>
      </c>
      <c r="N905" s="12">
        <f>IF(A905&lt;[3]关卡对接!$A$4,INDEX([3]关卡对接!$E$7:$E$141,A905),MATCH(E905,人物经验!$H$24:$H$573,1))</f>
        <v>356</v>
      </c>
      <c r="O905" s="12">
        <f>INDEX([2]关卡!$G$6:$G$2005,A905)</f>
        <v>3</v>
      </c>
      <c r="P905" s="13">
        <v>6</v>
      </c>
      <c r="Q905" s="12">
        <f>INT(P905/$S$15/O905*VLOOKUP(J905,[1]人物技能基础!$N$3:$O$553,2,0)*$U$15)</f>
        <v>9</v>
      </c>
      <c r="R905" s="12">
        <f t="shared" si="129"/>
        <v>112</v>
      </c>
    </row>
    <row r="906" spans="1:18" x14ac:dyDescent="0.15">
      <c r="A906" s="12">
        <v>888</v>
      </c>
      <c r="B906" s="12">
        <f t="shared" si="123"/>
        <v>5</v>
      </c>
      <c r="C906" s="12">
        <f t="shared" si="124"/>
        <v>2.0768</v>
      </c>
      <c r="D906" s="12">
        <f t="shared" si="125"/>
        <v>2.4687499999999751E-2</v>
      </c>
      <c r="E906" s="12">
        <f>SUM($D$19:D906)</f>
        <v>12.27679999999998</v>
      </c>
      <c r="F906" s="12">
        <f t="shared" si="121"/>
        <v>126.591893595904</v>
      </c>
      <c r="G906" s="12">
        <f t="shared" si="122"/>
        <v>95.791604837120005</v>
      </c>
      <c r="H906" s="12">
        <f t="shared" si="126"/>
        <v>455700</v>
      </c>
      <c r="I906" s="12">
        <f t="shared" si="127"/>
        <v>344800</v>
      </c>
      <c r="J906" s="12">
        <f>IF(A906&lt;[3]关卡对接!$A$4,INDEX([3]关卡对接!$C$7:$C$141,A906),MATCH(E906,人物经验!$H$24:$H$573,1))</f>
        <v>356</v>
      </c>
      <c r="K906" s="12">
        <f>IF([3]关卡对接!F894="",INT(INDEX(人物经验!$J$24:$J$573,关卡!J906)*关卡!$S$7),[3]关卡对接!F894)</f>
        <v>11313</v>
      </c>
      <c r="L906" s="12">
        <f t="shared" si="128"/>
        <v>1.8</v>
      </c>
      <c r="M906" s="12">
        <f>L906/[4]货币基础!$B$4</f>
        <v>180</v>
      </c>
      <c r="N906" s="12">
        <f>IF(A906&lt;[3]关卡对接!$A$4,INDEX([3]关卡对接!$E$7:$E$141,A906),MATCH(E906,人物经验!$H$24:$H$573,1))</f>
        <v>356</v>
      </c>
      <c r="O906" s="12">
        <f>INDEX([2]关卡!$G$6:$G$2005,A906)</f>
        <v>3</v>
      </c>
      <c r="P906" s="13">
        <v>6</v>
      </c>
      <c r="Q906" s="12">
        <f>INT(P906/$S$15/O906*VLOOKUP(J906,[1]人物技能基础!$N$3:$O$553,2,0)*$U$15)</f>
        <v>9</v>
      </c>
      <c r="R906" s="12">
        <f t="shared" si="129"/>
        <v>112</v>
      </c>
    </row>
    <row r="907" spans="1:18" x14ac:dyDescent="0.15">
      <c r="A907" s="12">
        <v>889</v>
      </c>
      <c r="B907" s="12">
        <f t="shared" si="123"/>
        <v>5</v>
      </c>
      <c r="C907" s="12">
        <f t="shared" si="124"/>
        <v>2.1015125000000001</v>
      </c>
      <c r="D907" s="12">
        <f t="shared" si="125"/>
        <v>2.4712500000000137E-2</v>
      </c>
      <c r="E907" s="12">
        <f>SUM($D$19:D907)</f>
        <v>12.30151249999998</v>
      </c>
      <c r="F907" s="12">
        <f t="shared" si="121"/>
        <v>126.88952045833496</v>
      </c>
      <c r="G907" s="12">
        <f t="shared" si="122"/>
        <v>95.969306411805945</v>
      </c>
      <c r="H907" s="12">
        <f t="shared" si="126"/>
        <v>456800</v>
      </c>
      <c r="I907" s="12">
        <f t="shared" si="127"/>
        <v>345400</v>
      </c>
      <c r="J907" s="12">
        <f>IF(A907&lt;[3]关卡对接!$A$4,INDEX([3]关卡对接!$C$7:$C$141,A907),MATCH(E907,人物经验!$H$24:$H$573,1))</f>
        <v>356</v>
      </c>
      <c r="K907" s="12">
        <f>IF([3]关卡对接!F895="",INT(INDEX(人物经验!$J$24:$J$573,关卡!J907)*关卡!$S$7),[3]关卡对接!F895)</f>
        <v>11313</v>
      </c>
      <c r="L907" s="12">
        <f t="shared" si="128"/>
        <v>1.8</v>
      </c>
      <c r="M907" s="12">
        <f>L907/[4]货币基础!$B$4</f>
        <v>180</v>
      </c>
      <c r="N907" s="12">
        <f>IF(A907&lt;[3]关卡对接!$A$4,INDEX([3]关卡对接!$E$7:$E$141,A907),MATCH(E907,人物经验!$H$24:$H$573,1))</f>
        <v>356</v>
      </c>
      <c r="O907" s="12">
        <f>INDEX([2]关卡!$G$6:$G$2005,A907)</f>
        <v>3</v>
      </c>
      <c r="P907" s="13">
        <v>6</v>
      </c>
      <c r="Q907" s="12">
        <f>INT(P907/$S$15/O907*VLOOKUP(J907,[1]人物技能基础!$N$3:$O$553,2,0)*$U$15)</f>
        <v>9</v>
      </c>
      <c r="R907" s="12">
        <f t="shared" si="129"/>
        <v>112</v>
      </c>
    </row>
    <row r="908" spans="1:18" x14ac:dyDescent="0.15">
      <c r="A908" s="12">
        <v>890</v>
      </c>
      <c r="B908" s="12">
        <f t="shared" si="123"/>
        <v>5</v>
      </c>
      <c r="C908" s="12">
        <f t="shared" si="124"/>
        <v>2.1262500000000002</v>
      </c>
      <c r="D908" s="12">
        <f t="shared" si="125"/>
        <v>2.4737500000000079E-2</v>
      </c>
      <c r="E908" s="12">
        <f>SUM($D$19:D908)</f>
        <v>12.32624999999998</v>
      </c>
      <c r="F908" s="12">
        <f t="shared" si="121"/>
        <v>127.18768384937501</v>
      </c>
      <c r="G908" s="12">
        <f t="shared" si="122"/>
        <v>96.147239309374996</v>
      </c>
      <c r="H908" s="12">
        <f t="shared" si="126"/>
        <v>457800</v>
      </c>
      <c r="I908" s="12">
        <f t="shared" si="127"/>
        <v>346100</v>
      </c>
      <c r="J908" s="12">
        <f>IF(A908&lt;[3]关卡对接!$A$4,INDEX([3]关卡对接!$C$7:$C$141,A908),MATCH(E908,人物经验!$H$24:$H$573,1))</f>
        <v>356</v>
      </c>
      <c r="K908" s="12">
        <f>IF([3]关卡对接!F896="",INT(INDEX(人物经验!$J$24:$J$573,关卡!J908)*关卡!$S$7),[3]关卡对接!F896)</f>
        <v>11313</v>
      </c>
      <c r="L908" s="12">
        <f t="shared" si="128"/>
        <v>1.8</v>
      </c>
      <c r="M908" s="12">
        <f>L908/[4]货币基础!$B$4</f>
        <v>180</v>
      </c>
      <c r="N908" s="12">
        <f>IF(A908&lt;[3]关卡对接!$A$4,INDEX([3]关卡对接!$E$7:$E$141,A908),MATCH(E908,人物经验!$H$24:$H$573,1))</f>
        <v>356</v>
      </c>
      <c r="O908" s="12">
        <f>INDEX([2]关卡!$G$6:$G$2005,A908)</f>
        <v>3</v>
      </c>
      <c r="P908" s="13">
        <v>6</v>
      </c>
      <c r="Q908" s="12">
        <f>INT(P908/$S$15/O908*VLOOKUP(J908,[1]人物技能基础!$N$3:$O$553,2,0)*$U$15)</f>
        <v>9</v>
      </c>
      <c r="R908" s="12">
        <f t="shared" si="129"/>
        <v>112</v>
      </c>
    </row>
    <row r="909" spans="1:18" x14ac:dyDescent="0.15">
      <c r="A909" s="12">
        <v>891</v>
      </c>
      <c r="B909" s="12">
        <f t="shared" si="123"/>
        <v>5</v>
      </c>
      <c r="C909" s="12">
        <f t="shared" si="124"/>
        <v>2.1510125000000002</v>
      </c>
      <c r="D909" s="12">
        <f t="shared" si="125"/>
        <v>2.4762500000000021E-2</v>
      </c>
      <c r="E909" s="12">
        <f>SUM($D$19:D909)</f>
        <v>12.35101249999998</v>
      </c>
      <c r="F909" s="12">
        <f t="shared" si="121"/>
        <v>127.48638452638997</v>
      </c>
      <c r="G909" s="12">
        <f t="shared" si="122"/>
        <v>96.325403769080935</v>
      </c>
      <c r="H909" s="12">
        <f t="shared" si="126"/>
        <v>458900</v>
      </c>
      <c r="I909" s="12">
        <f t="shared" si="127"/>
        <v>346700</v>
      </c>
      <c r="J909" s="12">
        <f>IF(A909&lt;[3]关卡对接!$A$4,INDEX([3]关卡对接!$C$7:$C$141,A909),MATCH(E909,人物经验!$H$24:$H$573,1))</f>
        <v>357</v>
      </c>
      <c r="K909" s="12">
        <f>IF([3]关卡对接!F897="",INT(INDEX(人物经验!$J$24:$J$573,关卡!J909)*关卡!$S$7),[3]关卡对接!F897)</f>
        <v>11446</v>
      </c>
      <c r="L909" s="12">
        <f t="shared" si="128"/>
        <v>1.8</v>
      </c>
      <c r="M909" s="12">
        <f>L909/[4]货币基础!$B$4</f>
        <v>180</v>
      </c>
      <c r="N909" s="12">
        <f>IF(A909&lt;[3]关卡对接!$A$4,INDEX([3]关卡对接!$E$7:$E$141,A909),MATCH(E909,人物经验!$H$24:$H$573,1))</f>
        <v>357</v>
      </c>
      <c r="O909" s="12">
        <f>INDEX([2]关卡!$G$6:$G$2005,A909)</f>
        <v>3</v>
      </c>
      <c r="P909" s="13">
        <v>6</v>
      </c>
      <c r="Q909" s="12">
        <f>INT(P909/$S$15/O909*VLOOKUP(J909,[1]人物技能基础!$N$3:$O$553,2,0)*$U$15)</f>
        <v>9</v>
      </c>
      <c r="R909" s="12">
        <f t="shared" si="129"/>
        <v>112</v>
      </c>
    </row>
    <row r="910" spans="1:18" x14ac:dyDescent="0.15">
      <c r="A910" s="12">
        <v>892</v>
      </c>
      <c r="B910" s="12">
        <f t="shared" si="123"/>
        <v>5</v>
      </c>
      <c r="C910" s="12">
        <f t="shared" si="124"/>
        <v>2.1758000000000002</v>
      </c>
      <c r="D910" s="12">
        <f t="shared" si="125"/>
        <v>2.4787499999999962E-2</v>
      </c>
      <c r="E910" s="12">
        <f>SUM($D$19:D910)</f>
        <v>12.37579999999998</v>
      </c>
      <c r="F910" s="12">
        <f t="shared" si="121"/>
        <v>127.78562324734402</v>
      </c>
      <c r="G910" s="12">
        <f t="shared" si="122"/>
        <v>96.503800030319994</v>
      </c>
      <c r="H910" s="12">
        <f t="shared" si="126"/>
        <v>460000</v>
      </c>
      <c r="I910" s="12">
        <f t="shared" si="127"/>
        <v>347400</v>
      </c>
      <c r="J910" s="12">
        <f>IF(A910&lt;[3]关卡对接!$A$4,INDEX([3]关卡对接!$C$7:$C$141,A910),MATCH(E910,人物经验!$H$24:$H$573,1))</f>
        <v>357</v>
      </c>
      <c r="K910" s="12">
        <f>IF([3]关卡对接!F898="",INT(INDEX(人物经验!$J$24:$J$573,关卡!J910)*关卡!$S$7),[3]关卡对接!F898)</f>
        <v>11446</v>
      </c>
      <c r="L910" s="12">
        <f t="shared" si="128"/>
        <v>1.8</v>
      </c>
      <c r="M910" s="12">
        <f>L910/[4]货币基础!$B$4</f>
        <v>180</v>
      </c>
      <c r="N910" s="12">
        <f>IF(A910&lt;[3]关卡对接!$A$4,INDEX([3]关卡对接!$E$7:$E$141,A910),MATCH(E910,人物经验!$H$24:$H$573,1))</f>
        <v>357</v>
      </c>
      <c r="O910" s="12">
        <f>INDEX([2]关卡!$G$6:$G$2005,A910)</f>
        <v>3</v>
      </c>
      <c r="P910" s="13">
        <v>6</v>
      </c>
      <c r="Q910" s="12">
        <f>INT(P910/$S$15/O910*VLOOKUP(J910,[1]人物技能基础!$N$3:$O$553,2,0)*$U$15)</f>
        <v>9</v>
      </c>
      <c r="R910" s="12">
        <f t="shared" si="129"/>
        <v>112</v>
      </c>
    </row>
    <row r="911" spans="1:18" x14ac:dyDescent="0.15">
      <c r="A911" s="12">
        <v>893</v>
      </c>
      <c r="B911" s="12">
        <f t="shared" si="123"/>
        <v>5</v>
      </c>
      <c r="C911" s="12">
        <f t="shared" si="124"/>
        <v>2.2006125000000001</v>
      </c>
      <c r="D911" s="12">
        <f t="shared" si="125"/>
        <v>2.4812499999999904E-2</v>
      </c>
      <c r="E911" s="12">
        <f>SUM($D$19:D911)</f>
        <v>12.40061249999998</v>
      </c>
      <c r="F911" s="12">
        <f t="shared" si="121"/>
        <v>128.08540077079994</v>
      </c>
      <c r="G911" s="12">
        <f t="shared" si="122"/>
        <v>96.682428332630948</v>
      </c>
      <c r="H911" s="12">
        <f t="shared" si="126"/>
        <v>461100</v>
      </c>
      <c r="I911" s="12">
        <f t="shared" si="127"/>
        <v>348000</v>
      </c>
      <c r="J911" s="12">
        <f>IF(A911&lt;[3]关卡对接!$A$4,INDEX([3]关卡对接!$C$7:$C$141,A911),MATCH(E911,人物经验!$H$24:$H$573,1))</f>
        <v>357</v>
      </c>
      <c r="K911" s="12">
        <f>IF([3]关卡对接!F899="",INT(INDEX(人物经验!$J$24:$J$573,关卡!J911)*关卡!$S$7),[3]关卡对接!F899)</f>
        <v>11446</v>
      </c>
      <c r="L911" s="12">
        <f t="shared" si="128"/>
        <v>1.8</v>
      </c>
      <c r="M911" s="12">
        <f>L911/[4]货币基础!$B$4</f>
        <v>180</v>
      </c>
      <c r="N911" s="12">
        <f>IF(A911&lt;[3]关卡对接!$A$4,INDEX([3]关卡对接!$E$7:$E$141,A911),MATCH(E911,人物经验!$H$24:$H$573,1))</f>
        <v>357</v>
      </c>
      <c r="O911" s="12">
        <f>INDEX([2]关卡!$G$6:$G$2005,A911)</f>
        <v>3</v>
      </c>
      <c r="P911" s="13">
        <v>6</v>
      </c>
      <c r="Q911" s="12">
        <f>INT(P911/$S$15/O911*VLOOKUP(J911,[1]人物技能基础!$N$3:$O$553,2,0)*$U$15)</f>
        <v>9</v>
      </c>
      <c r="R911" s="12">
        <f t="shared" si="129"/>
        <v>112</v>
      </c>
    </row>
    <row r="912" spans="1:18" x14ac:dyDescent="0.15">
      <c r="A912" s="12">
        <v>894</v>
      </c>
      <c r="B912" s="12">
        <f t="shared" si="123"/>
        <v>5</v>
      </c>
      <c r="C912" s="12">
        <f t="shared" si="124"/>
        <v>2.2254499999999999</v>
      </c>
      <c r="D912" s="12">
        <f t="shared" si="125"/>
        <v>2.4837499999999846E-2</v>
      </c>
      <c r="E912" s="12">
        <f>SUM($D$19:D912)</f>
        <v>12.42544999999998</v>
      </c>
      <c r="F912" s="12">
        <f t="shared" si="121"/>
        <v>128.38571785591901</v>
      </c>
      <c r="G912" s="12">
        <f t="shared" si="122"/>
        <v>96.861288915694999</v>
      </c>
      <c r="H912" s="12">
        <f t="shared" si="126"/>
        <v>462100</v>
      </c>
      <c r="I912" s="12">
        <f t="shared" si="127"/>
        <v>348700</v>
      </c>
      <c r="J912" s="12">
        <f>IF(A912&lt;[3]关卡对接!$A$4,INDEX([3]关卡对接!$C$7:$C$141,A912),MATCH(E912,人物经验!$H$24:$H$573,1))</f>
        <v>357</v>
      </c>
      <c r="K912" s="12">
        <f>IF([3]关卡对接!F900="",INT(INDEX(人物经验!$J$24:$J$573,关卡!J912)*关卡!$S$7),[3]关卡对接!F900)</f>
        <v>11446</v>
      </c>
      <c r="L912" s="12">
        <f t="shared" si="128"/>
        <v>1.8</v>
      </c>
      <c r="M912" s="12">
        <f>L912/[4]货币基础!$B$4</f>
        <v>180</v>
      </c>
      <c r="N912" s="12">
        <f>IF(A912&lt;[3]关卡对接!$A$4,INDEX([3]关卡对接!$E$7:$E$141,A912),MATCH(E912,人物经验!$H$24:$H$573,1))</f>
        <v>357</v>
      </c>
      <c r="O912" s="12">
        <f>INDEX([2]关卡!$G$6:$G$2005,A912)</f>
        <v>3</v>
      </c>
      <c r="P912" s="13">
        <v>6</v>
      </c>
      <c r="Q912" s="12">
        <f>INT(P912/$S$15/O912*VLOOKUP(J912,[1]人物技能基础!$N$3:$O$553,2,0)*$U$15)</f>
        <v>9</v>
      </c>
      <c r="R912" s="12">
        <f t="shared" si="129"/>
        <v>112</v>
      </c>
    </row>
    <row r="913" spans="1:18" x14ac:dyDescent="0.15">
      <c r="A913" s="12">
        <v>895</v>
      </c>
      <c r="B913" s="12">
        <f t="shared" si="123"/>
        <v>5</v>
      </c>
      <c r="C913" s="12">
        <f t="shared" si="124"/>
        <v>2.2503124999999997</v>
      </c>
      <c r="D913" s="12">
        <f t="shared" si="125"/>
        <v>2.4862499999999788E-2</v>
      </c>
      <c r="E913" s="12">
        <f>SUM($D$19:D913)</f>
        <v>12.450312499999979</v>
      </c>
      <c r="F913" s="12">
        <f t="shared" si="121"/>
        <v>128.68657526246093</v>
      </c>
      <c r="G913" s="12">
        <f t="shared" si="122"/>
        <v>97.040382019335937</v>
      </c>
      <c r="H913" s="12">
        <f t="shared" si="126"/>
        <v>463200</v>
      </c>
      <c r="I913" s="12">
        <f t="shared" si="127"/>
        <v>349300</v>
      </c>
      <c r="J913" s="12">
        <f>IF(A913&lt;[3]关卡对接!$A$4,INDEX([3]关卡对接!$C$7:$C$141,A913),MATCH(E913,人物经验!$H$24:$H$573,1))</f>
        <v>357</v>
      </c>
      <c r="K913" s="12">
        <f>IF([3]关卡对接!F901="",INT(INDEX(人物经验!$J$24:$J$573,关卡!J913)*关卡!$S$7),[3]关卡对接!F901)</f>
        <v>11446</v>
      </c>
      <c r="L913" s="12">
        <f t="shared" si="128"/>
        <v>1.8</v>
      </c>
      <c r="M913" s="12">
        <f>L913/[4]货币基础!$B$4</f>
        <v>180</v>
      </c>
      <c r="N913" s="12">
        <f>IF(A913&lt;[3]关卡对接!$A$4,INDEX([3]关卡对接!$E$7:$E$141,A913),MATCH(E913,人物经验!$H$24:$H$573,1))</f>
        <v>357</v>
      </c>
      <c r="O913" s="12">
        <f>INDEX([2]关卡!$G$6:$G$2005,A913)</f>
        <v>3</v>
      </c>
      <c r="P913" s="13">
        <v>6</v>
      </c>
      <c r="Q913" s="12">
        <f>INT(P913/$S$15/O913*VLOOKUP(J913,[1]人物技能基础!$N$3:$O$553,2,0)*$U$15)</f>
        <v>9</v>
      </c>
      <c r="R913" s="12">
        <f t="shared" si="129"/>
        <v>112</v>
      </c>
    </row>
    <row r="914" spans="1:18" x14ac:dyDescent="0.15">
      <c r="A914" s="12">
        <v>896</v>
      </c>
      <c r="B914" s="12">
        <f t="shared" si="123"/>
        <v>5</v>
      </c>
      <c r="C914" s="12">
        <f t="shared" si="124"/>
        <v>2.2751999999999999</v>
      </c>
      <c r="D914" s="12">
        <f t="shared" si="125"/>
        <v>2.4887500000000173E-2</v>
      </c>
      <c r="E914" s="12">
        <f>SUM($D$19:D914)</f>
        <v>12.47519999999998</v>
      </c>
      <c r="F914" s="12">
        <f t="shared" si="121"/>
        <v>128.98797375078402</v>
      </c>
      <c r="G914" s="12">
        <f t="shared" si="122"/>
        <v>97.219707883520016</v>
      </c>
      <c r="H914" s="12">
        <f t="shared" si="126"/>
        <v>464300</v>
      </c>
      <c r="I914" s="12">
        <f t="shared" si="127"/>
        <v>349900</v>
      </c>
      <c r="J914" s="12">
        <f>IF(A914&lt;[3]关卡对接!$A$4,INDEX([3]关卡对接!$C$7:$C$141,A914),MATCH(E914,人物经验!$H$24:$H$573,1))</f>
        <v>357</v>
      </c>
      <c r="K914" s="12">
        <f>IF([3]关卡对接!F902="",INT(INDEX(人物经验!$J$24:$J$573,关卡!J914)*关卡!$S$7),[3]关卡对接!F902)</f>
        <v>11446</v>
      </c>
      <c r="L914" s="12">
        <f t="shared" si="128"/>
        <v>1.8</v>
      </c>
      <c r="M914" s="12">
        <f>L914/[4]货币基础!$B$4</f>
        <v>180</v>
      </c>
      <c r="N914" s="12">
        <f>IF(A914&lt;[3]关卡对接!$A$4,INDEX([3]关卡对接!$E$7:$E$141,A914),MATCH(E914,人物经验!$H$24:$H$573,1))</f>
        <v>357</v>
      </c>
      <c r="O914" s="12">
        <f>INDEX([2]关卡!$G$6:$G$2005,A914)</f>
        <v>3</v>
      </c>
      <c r="P914" s="13">
        <v>6</v>
      </c>
      <c r="Q914" s="12">
        <f>INT(P914/$S$15/O914*VLOOKUP(J914,[1]人物技能基础!$N$3:$O$553,2,0)*$U$15)</f>
        <v>9</v>
      </c>
      <c r="R914" s="12">
        <f t="shared" si="129"/>
        <v>112</v>
      </c>
    </row>
    <row r="915" spans="1:18" x14ac:dyDescent="0.15">
      <c r="A915" s="12">
        <v>897</v>
      </c>
      <c r="B915" s="12">
        <f t="shared" si="123"/>
        <v>5</v>
      </c>
      <c r="C915" s="12">
        <f t="shared" si="124"/>
        <v>2.3001125</v>
      </c>
      <c r="D915" s="12">
        <f t="shared" si="125"/>
        <v>2.4912500000000115E-2</v>
      </c>
      <c r="E915" s="12">
        <f>SUM($D$19:D915)</f>
        <v>12.500112499999979</v>
      </c>
      <c r="F915" s="12">
        <f t="shared" ref="F915:F978" si="130">$L$7*($M$7+$N$7*($A915/$B$3)^1+$O$7*($A915/$B$3)^2+$P$7*($A915/$B$3)^3+$Q$7*($A915/$B$3)^4)</f>
        <v>129.28991408184496</v>
      </c>
      <c r="G915" s="12">
        <f t="shared" ref="G915:G978" si="131">$L$11*($M$11+$N$11*($A915/$B$3)^1+$O$11*($A915/$B$3)^2+$P$11*($A915/$B$3)^3+$Q$11*($A915/$B$3)^4)</f>
        <v>97.399266748355942</v>
      </c>
      <c r="H915" s="12">
        <f t="shared" si="126"/>
        <v>465400</v>
      </c>
      <c r="I915" s="12">
        <f t="shared" si="127"/>
        <v>350600</v>
      </c>
      <c r="J915" s="12">
        <f>IF(A915&lt;[3]关卡对接!$A$4,INDEX([3]关卡对接!$C$7:$C$141,A915),MATCH(E915,人物经验!$H$24:$H$573,1))</f>
        <v>358</v>
      </c>
      <c r="K915" s="12">
        <f>IF([3]关卡对接!F903="",INT(INDEX(人物经验!$J$24:$J$573,关卡!J915)*关卡!$S$7),[3]关卡对接!F903)</f>
        <v>11608</v>
      </c>
      <c r="L915" s="12">
        <f t="shared" si="128"/>
        <v>1.8</v>
      </c>
      <c r="M915" s="12">
        <f>L915/[4]货币基础!$B$4</f>
        <v>180</v>
      </c>
      <c r="N915" s="12">
        <f>IF(A915&lt;[3]关卡对接!$A$4,INDEX([3]关卡对接!$E$7:$E$141,A915),MATCH(E915,人物经验!$H$24:$H$573,1))</f>
        <v>358</v>
      </c>
      <c r="O915" s="12">
        <f>INDEX([2]关卡!$G$6:$G$2005,A915)</f>
        <v>3</v>
      </c>
      <c r="P915" s="13">
        <v>6</v>
      </c>
      <c r="Q915" s="12">
        <f>INT(P915/$S$15/O915*VLOOKUP(J915,[1]人物技能基础!$N$3:$O$553,2,0)*$U$15)</f>
        <v>9</v>
      </c>
      <c r="R915" s="12">
        <f t="shared" si="129"/>
        <v>112</v>
      </c>
    </row>
    <row r="916" spans="1:18" x14ac:dyDescent="0.15">
      <c r="A916" s="12">
        <v>898</v>
      </c>
      <c r="B916" s="12">
        <f t="shared" ref="B916:B979" si="132">MATCH($A916,$A$5:$A$15,1)-1</f>
        <v>5</v>
      </c>
      <c r="C916" s="12">
        <f t="shared" ref="C916:C979" si="133">INDEX($C$5:$C$15,$B916+1)*(INDEX($E$5:$E$15,$B916+1)+INDEX($F$5:$F$15,$B916+1)*(($A916-INDEX($A$5:$A$15,$B916+1)+1)/(INDEX($B$5:$B$15,$B916+1)-INDEX($A$5:$A$15,$B916+1)+1))^1+INDEX($G$5:$G$15,$B916+1)*(($A916-INDEX($A$5:$A$15,$B916+1)+1)/(INDEX($B$5:$B$15,$B916+1)-INDEX($A$5:$A$15,$B916+1)+1))^2+INDEX($H$5:$H$15,$B916+1)*(($A916-INDEX($A$5:$A$15,$B916+1)+1)/(INDEX($B$5:$B$15,$B916+1)-INDEX($A$5:$A$15,$B916+1)+1))^3+INDEX($I$5:$I$15,$B916+1)*(($A916-INDEX($A$5:$A$15,$B916+1)+1)/(INDEX($B$5:$B$15,$B916+1)-INDEX($A$5:$A$15,$B916+1)+1))^4)</f>
        <v>2.3250500000000001</v>
      </c>
      <c r="D916" s="12">
        <f t="shared" ref="D916:D979" si="134">IF(ISNA(MATCH(A916,$A$6:$A$15,0)),C916-C915,C916)</f>
        <v>2.4937500000000057E-2</v>
      </c>
      <c r="E916" s="12">
        <f>SUM($D$19:D916)</f>
        <v>12.525049999999979</v>
      </c>
      <c r="F916" s="12">
        <f t="shared" si="130"/>
        <v>129.59239701719898</v>
      </c>
      <c r="G916" s="12">
        <f t="shared" si="131"/>
        <v>97.579058854094995</v>
      </c>
      <c r="H916" s="12">
        <f t="shared" ref="H916:H979" si="135">INT(F916*60*60/100)*100</f>
        <v>466500</v>
      </c>
      <c r="I916" s="12">
        <f t="shared" ref="I916:I979" si="136">INT(G916*60*60/100)*100</f>
        <v>351200</v>
      </c>
      <c r="J916" s="12">
        <f>IF(A916&lt;[3]关卡对接!$A$4,INDEX([3]关卡对接!$C$7:$C$141,A916),MATCH(E916,人物经验!$H$24:$H$573,1))</f>
        <v>358</v>
      </c>
      <c r="K916" s="12">
        <f>IF([3]关卡对接!F904="",INT(INDEX(人物经验!$J$24:$J$573,关卡!J916)*关卡!$S$7),[3]关卡对接!F904)</f>
        <v>11608</v>
      </c>
      <c r="L916" s="12">
        <f t="shared" ref="L916:L979" si="137">VLOOKUP(A916,$A$5:$J$15,10,1)</f>
        <v>1.8</v>
      </c>
      <c r="M916" s="12">
        <f>L916/[4]货币基础!$B$4</f>
        <v>180</v>
      </c>
      <c r="N916" s="12">
        <f>IF(A916&lt;[3]关卡对接!$A$4,INDEX([3]关卡对接!$E$7:$E$141,A916),MATCH(E916,人物经验!$H$24:$H$573,1))</f>
        <v>358</v>
      </c>
      <c r="O916" s="12">
        <f>INDEX([2]关卡!$G$6:$G$2005,A916)</f>
        <v>3</v>
      </c>
      <c r="P916" s="13">
        <v>6</v>
      </c>
      <c r="Q916" s="12">
        <f>INT(P916/$S$15/O916*VLOOKUP(J916,[1]人物技能基础!$N$3:$O$553,2,0)*$U$15)</f>
        <v>9</v>
      </c>
      <c r="R916" s="12">
        <f t="shared" ref="R916:R979" si="138">INT(Q916*12.5)</f>
        <v>112</v>
      </c>
    </row>
    <row r="917" spans="1:18" x14ac:dyDescent="0.15">
      <c r="A917" s="12">
        <v>899</v>
      </c>
      <c r="B917" s="12">
        <f t="shared" si="132"/>
        <v>5</v>
      </c>
      <c r="C917" s="12">
        <f t="shared" si="133"/>
        <v>2.3500125000000001</v>
      </c>
      <c r="D917" s="12">
        <f t="shared" si="134"/>
        <v>2.4962499999999999E-2</v>
      </c>
      <c r="E917" s="12">
        <f>SUM($D$19:D917)</f>
        <v>12.55001249999998</v>
      </c>
      <c r="F917" s="12">
        <f t="shared" si="130"/>
        <v>129.89542331899995</v>
      </c>
      <c r="G917" s="12">
        <f t="shared" si="131"/>
        <v>97.759084441130952</v>
      </c>
      <c r="H917" s="12">
        <f t="shared" si="135"/>
        <v>467600</v>
      </c>
      <c r="I917" s="12">
        <f t="shared" si="136"/>
        <v>351900</v>
      </c>
      <c r="J917" s="12">
        <f>IF(A917&lt;[3]关卡对接!$A$4,INDEX([3]关卡对接!$C$7:$C$141,A917),MATCH(E917,人物经验!$H$24:$H$573,1))</f>
        <v>358</v>
      </c>
      <c r="K917" s="12">
        <f>IF([3]关卡对接!F905="",INT(INDEX(人物经验!$J$24:$J$573,关卡!J917)*关卡!$S$7),[3]关卡对接!F905)</f>
        <v>11608</v>
      </c>
      <c r="L917" s="12">
        <f t="shared" si="137"/>
        <v>1.8</v>
      </c>
      <c r="M917" s="12">
        <f>L917/[4]货币基础!$B$4</f>
        <v>180</v>
      </c>
      <c r="N917" s="12">
        <f>IF(A917&lt;[3]关卡对接!$A$4,INDEX([3]关卡对接!$E$7:$E$141,A917),MATCH(E917,人物经验!$H$24:$H$573,1))</f>
        <v>358</v>
      </c>
      <c r="O917" s="12">
        <f>INDEX([2]关卡!$G$6:$G$2005,A917)</f>
        <v>3</v>
      </c>
      <c r="P917" s="13">
        <v>6</v>
      </c>
      <c r="Q917" s="12">
        <f>INT(P917/$S$15/O917*VLOOKUP(J917,[1]人物技能基础!$N$3:$O$553,2,0)*$U$15)</f>
        <v>9</v>
      </c>
      <c r="R917" s="12">
        <f t="shared" si="138"/>
        <v>112</v>
      </c>
    </row>
    <row r="918" spans="1:18" x14ac:dyDescent="0.15">
      <c r="A918" s="12">
        <v>900</v>
      </c>
      <c r="B918" s="12">
        <f t="shared" si="132"/>
        <v>5</v>
      </c>
      <c r="C918" s="12">
        <f t="shared" si="133"/>
        <v>2.375</v>
      </c>
      <c r="D918" s="12">
        <f t="shared" si="134"/>
        <v>2.498749999999994E-2</v>
      </c>
      <c r="E918" s="12">
        <f>SUM($D$19:D918)</f>
        <v>12.57499999999998</v>
      </c>
      <c r="F918" s="12">
        <f t="shared" si="130"/>
        <v>130.19899375000003</v>
      </c>
      <c r="G918" s="12">
        <f t="shared" si="131"/>
        <v>97.939343750000006</v>
      </c>
      <c r="H918" s="12">
        <f t="shared" si="135"/>
        <v>468700</v>
      </c>
      <c r="I918" s="12">
        <f t="shared" si="136"/>
        <v>352500</v>
      </c>
      <c r="J918" s="12">
        <f>IF(A918&lt;[3]关卡对接!$A$4,INDEX([3]关卡对接!$C$7:$C$141,A918),MATCH(E918,人物经验!$H$24:$H$573,1))</f>
        <v>358</v>
      </c>
      <c r="K918" s="12">
        <f>IF([3]关卡对接!F906="",INT(INDEX(人物经验!$J$24:$J$573,关卡!J918)*关卡!$S$7),[3]关卡对接!F906)</f>
        <v>11608</v>
      </c>
      <c r="L918" s="12">
        <f t="shared" si="137"/>
        <v>1.8</v>
      </c>
      <c r="M918" s="12">
        <f>L918/[4]货币基础!$B$4</f>
        <v>180</v>
      </c>
      <c r="N918" s="12">
        <f>IF(A918&lt;[3]关卡对接!$A$4,INDEX([3]关卡对接!$E$7:$E$141,A918),MATCH(E918,人物经验!$H$24:$H$573,1))</f>
        <v>358</v>
      </c>
      <c r="O918" s="12">
        <f>INDEX([2]关卡!$G$6:$G$2005,A918)</f>
        <v>3</v>
      </c>
      <c r="P918" s="13">
        <v>6</v>
      </c>
      <c r="Q918" s="12">
        <f>INT(P918/$S$15/O918*VLOOKUP(J918,[1]人物技能基础!$N$3:$O$553,2,0)*$U$15)</f>
        <v>9</v>
      </c>
      <c r="R918" s="12">
        <f t="shared" si="138"/>
        <v>112</v>
      </c>
    </row>
    <row r="919" spans="1:18" x14ac:dyDescent="0.15">
      <c r="A919" s="12">
        <v>901</v>
      </c>
      <c r="B919" s="12">
        <f t="shared" si="132"/>
        <v>5</v>
      </c>
      <c r="C919" s="12">
        <f t="shared" si="133"/>
        <v>2.4000124999999999</v>
      </c>
      <c r="D919" s="12">
        <f t="shared" si="134"/>
        <v>2.5012499999999882E-2</v>
      </c>
      <c r="E919" s="12">
        <f>SUM($D$19:D919)</f>
        <v>12.600012499999981</v>
      </c>
      <c r="F919" s="12">
        <f t="shared" si="130"/>
        <v>130.50310907354995</v>
      </c>
      <c r="G919" s="12">
        <f t="shared" si="131"/>
        <v>98.119837021380945</v>
      </c>
      <c r="H919" s="12">
        <f t="shared" si="135"/>
        <v>469800</v>
      </c>
      <c r="I919" s="12">
        <f t="shared" si="136"/>
        <v>353200</v>
      </c>
      <c r="J919" s="12">
        <f>IF(A919&lt;[3]关卡对接!$A$4,INDEX([3]关卡对接!$C$7:$C$141,A919),MATCH(E919,人物经验!$H$24:$H$573,1))</f>
        <v>358</v>
      </c>
      <c r="K919" s="12">
        <f>IF([3]关卡对接!F907="",INT(INDEX(人物经验!$J$24:$J$573,关卡!J919)*关卡!$S$7),[3]关卡对接!F907)</f>
        <v>11608</v>
      </c>
      <c r="L919" s="12">
        <f t="shared" si="137"/>
        <v>1.8</v>
      </c>
      <c r="M919" s="12">
        <f>L919/[4]货币基础!$B$4</f>
        <v>180</v>
      </c>
      <c r="N919" s="12">
        <f>IF(A919&lt;[3]关卡对接!$A$4,INDEX([3]关卡对接!$E$7:$E$141,A919),MATCH(E919,人物经验!$H$24:$H$573,1))</f>
        <v>358</v>
      </c>
      <c r="O919" s="12">
        <f>INDEX([2]关卡!$G$6:$G$2005,A919)</f>
        <v>3</v>
      </c>
      <c r="P919" s="13">
        <v>6</v>
      </c>
      <c r="Q919" s="12">
        <f>INT(P919/$S$15/O919*VLOOKUP(J919,[1]人物技能基础!$N$3:$O$553,2,0)*$U$15)</f>
        <v>9</v>
      </c>
      <c r="R919" s="12">
        <f t="shared" si="138"/>
        <v>112</v>
      </c>
    </row>
    <row r="920" spans="1:18" x14ac:dyDescent="0.15">
      <c r="A920" s="12">
        <v>902</v>
      </c>
      <c r="B920" s="12">
        <f t="shared" si="132"/>
        <v>5</v>
      </c>
      <c r="C920" s="12">
        <f t="shared" si="133"/>
        <v>2.4250500000000001</v>
      </c>
      <c r="D920" s="12">
        <f t="shared" si="134"/>
        <v>2.5037500000000268E-2</v>
      </c>
      <c r="E920" s="12">
        <f>SUM($D$19:D920)</f>
        <v>12.62504999999998</v>
      </c>
      <c r="F920" s="12">
        <f t="shared" si="130"/>
        <v>130.807770053599</v>
      </c>
      <c r="G920" s="12">
        <f t="shared" si="131"/>
        <v>98.300564496095006</v>
      </c>
      <c r="H920" s="12">
        <f t="shared" si="135"/>
        <v>470900</v>
      </c>
      <c r="I920" s="12">
        <f t="shared" si="136"/>
        <v>353800</v>
      </c>
      <c r="J920" s="12">
        <f>IF(A920&lt;[3]关卡对接!$A$4,INDEX([3]关卡对接!$C$7:$C$141,A920),MATCH(E920,人物经验!$H$24:$H$573,1))</f>
        <v>359</v>
      </c>
      <c r="K920" s="12">
        <f>IF([3]关卡对接!F908="",INT(INDEX(人物经验!$J$24:$J$573,关卡!J920)*关卡!$S$7),[3]关卡对接!F908)</f>
        <v>11745</v>
      </c>
      <c r="L920" s="12">
        <f t="shared" si="137"/>
        <v>1.8</v>
      </c>
      <c r="M920" s="12">
        <f>L920/[4]货币基础!$B$4</f>
        <v>180</v>
      </c>
      <c r="N920" s="12">
        <f>IF(A920&lt;[3]关卡对接!$A$4,INDEX([3]关卡对接!$E$7:$E$141,A920),MATCH(E920,人物经验!$H$24:$H$573,1))</f>
        <v>359</v>
      </c>
      <c r="O920" s="12">
        <f>INDEX([2]关卡!$G$6:$G$2005,A920)</f>
        <v>3</v>
      </c>
      <c r="P920" s="13">
        <v>6</v>
      </c>
      <c r="Q920" s="12">
        <f>INT(P920/$S$15/O920*VLOOKUP(J920,[1]人物技能基础!$N$3:$O$553,2,0)*$U$15)</f>
        <v>9</v>
      </c>
      <c r="R920" s="12">
        <f t="shared" si="138"/>
        <v>112</v>
      </c>
    </row>
    <row r="921" spans="1:18" x14ac:dyDescent="0.15">
      <c r="A921" s="12">
        <v>903</v>
      </c>
      <c r="B921" s="12">
        <f t="shared" si="132"/>
        <v>5</v>
      </c>
      <c r="C921" s="12">
        <f t="shared" si="133"/>
        <v>2.4501125000000004</v>
      </c>
      <c r="D921" s="12">
        <f t="shared" si="134"/>
        <v>2.506250000000021E-2</v>
      </c>
      <c r="E921" s="12">
        <f>SUM($D$19:D921)</f>
        <v>12.650112499999981</v>
      </c>
      <c r="F921" s="12">
        <f t="shared" si="130"/>
        <v>131.11297745469497</v>
      </c>
      <c r="G921" s="12">
        <f t="shared" si="131"/>
        <v>98.481526415105932</v>
      </c>
      <c r="H921" s="12">
        <f t="shared" si="135"/>
        <v>472000</v>
      </c>
      <c r="I921" s="12">
        <f t="shared" si="136"/>
        <v>354500</v>
      </c>
      <c r="J921" s="12">
        <f>IF(A921&lt;[3]关卡对接!$A$4,INDEX([3]关卡对接!$C$7:$C$141,A921),MATCH(E921,人物经验!$H$24:$H$573,1))</f>
        <v>359</v>
      </c>
      <c r="K921" s="12">
        <f>IF([3]关卡对接!F909="",INT(INDEX(人物经验!$J$24:$J$573,关卡!J921)*关卡!$S$7),[3]关卡对接!F909)</f>
        <v>11745</v>
      </c>
      <c r="L921" s="12">
        <f t="shared" si="137"/>
        <v>1.8</v>
      </c>
      <c r="M921" s="12">
        <f>L921/[4]货币基础!$B$4</f>
        <v>180</v>
      </c>
      <c r="N921" s="12">
        <f>IF(A921&lt;[3]关卡对接!$A$4,INDEX([3]关卡对接!$E$7:$E$141,A921),MATCH(E921,人物经验!$H$24:$H$573,1))</f>
        <v>359</v>
      </c>
      <c r="O921" s="12">
        <f>INDEX([2]关卡!$G$6:$G$2005,A921)</f>
        <v>3</v>
      </c>
      <c r="P921" s="13">
        <v>6</v>
      </c>
      <c r="Q921" s="12">
        <f>INT(P921/$S$15/O921*VLOOKUP(J921,[1]人物技能基础!$N$3:$O$553,2,0)*$U$15)</f>
        <v>9</v>
      </c>
      <c r="R921" s="12">
        <f t="shared" si="138"/>
        <v>112</v>
      </c>
    </row>
    <row r="922" spans="1:18" x14ac:dyDescent="0.15">
      <c r="A922" s="12">
        <v>904</v>
      </c>
      <c r="B922" s="12">
        <f t="shared" si="132"/>
        <v>5</v>
      </c>
      <c r="C922" s="12">
        <f t="shared" si="133"/>
        <v>2.4752000000000001</v>
      </c>
      <c r="D922" s="12">
        <f t="shared" si="134"/>
        <v>2.5087499999999707E-2</v>
      </c>
      <c r="E922" s="12">
        <f>SUM($D$19:D922)</f>
        <v>12.675199999999981</v>
      </c>
      <c r="F922" s="12">
        <f t="shared" si="130"/>
        <v>131.41873204198401</v>
      </c>
      <c r="G922" s="12">
        <f t="shared" si="131"/>
        <v>98.662723019520001</v>
      </c>
      <c r="H922" s="12">
        <f t="shared" si="135"/>
        <v>473100</v>
      </c>
      <c r="I922" s="12">
        <f t="shared" si="136"/>
        <v>355100</v>
      </c>
      <c r="J922" s="12">
        <f>IF(A922&lt;[3]关卡对接!$A$4,INDEX([3]关卡对接!$C$7:$C$141,A922),MATCH(E922,人物经验!$H$24:$H$573,1))</f>
        <v>359</v>
      </c>
      <c r="K922" s="12">
        <f>IF([3]关卡对接!F910="",INT(INDEX(人物经验!$J$24:$J$573,关卡!J922)*关卡!$S$7),[3]关卡对接!F910)</f>
        <v>11745</v>
      </c>
      <c r="L922" s="12">
        <f t="shared" si="137"/>
        <v>1.8</v>
      </c>
      <c r="M922" s="12">
        <f>L922/[4]货币基础!$B$4</f>
        <v>180</v>
      </c>
      <c r="N922" s="12">
        <f>IF(A922&lt;[3]关卡对接!$A$4,INDEX([3]关卡对接!$E$7:$E$141,A922),MATCH(E922,人物经验!$H$24:$H$573,1))</f>
        <v>359</v>
      </c>
      <c r="O922" s="12">
        <f>INDEX([2]关卡!$G$6:$G$2005,A922)</f>
        <v>3</v>
      </c>
      <c r="P922" s="13">
        <v>6</v>
      </c>
      <c r="Q922" s="12">
        <f>INT(P922/$S$15/O922*VLOOKUP(J922,[1]人物技能基础!$N$3:$O$553,2,0)*$U$15)</f>
        <v>9</v>
      </c>
      <c r="R922" s="12">
        <f t="shared" si="138"/>
        <v>112</v>
      </c>
    </row>
    <row r="923" spans="1:18" x14ac:dyDescent="0.15">
      <c r="A923" s="12">
        <v>905</v>
      </c>
      <c r="B923" s="12">
        <f t="shared" si="132"/>
        <v>5</v>
      </c>
      <c r="C923" s="12">
        <f t="shared" si="133"/>
        <v>2.5003125000000006</v>
      </c>
      <c r="D923" s="12">
        <f t="shared" si="134"/>
        <v>2.5112500000000537E-2</v>
      </c>
      <c r="E923" s="12">
        <f>SUM($D$19:D923)</f>
        <v>12.700312499999981</v>
      </c>
      <c r="F923" s="12">
        <f t="shared" si="130"/>
        <v>131.72503458121093</v>
      </c>
      <c r="G923" s="12">
        <f t="shared" si="131"/>
        <v>98.844154550585927</v>
      </c>
      <c r="H923" s="12">
        <f t="shared" si="135"/>
        <v>474200</v>
      </c>
      <c r="I923" s="12">
        <f t="shared" si="136"/>
        <v>355800</v>
      </c>
      <c r="J923" s="12">
        <f>IF(A923&lt;[3]关卡对接!$A$4,INDEX([3]关卡对接!$C$7:$C$141,A923),MATCH(E923,人物经验!$H$24:$H$573,1))</f>
        <v>359</v>
      </c>
      <c r="K923" s="12">
        <f>IF([3]关卡对接!F911="",INT(INDEX(人物经验!$J$24:$J$573,关卡!J923)*关卡!$S$7),[3]关卡对接!F911)</f>
        <v>11745</v>
      </c>
      <c r="L923" s="12">
        <f t="shared" si="137"/>
        <v>1.8</v>
      </c>
      <c r="M923" s="12">
        <f>L923/[4]货币基础!$B$4</f>
        <v>180</v>
      </c>
      <c r="N923" s="12">
        <f>IF(A923&lt;[3]关卡对接!$A$4,INDEX([3]关卡对接!$E$7:$E$141,A923),MATCH(E923,人物经验!$H$24:$H$573,1))</f>
        <v>359</v>
      </c>
      <c r="O923" s="12">
        <f>INDEX([2]关卡!$G$6:$G$2005,A923)</f>
        <v>3</v>
      </c>
      <c r="P923" s="13">
        <v>6</v>
      </c>
      <c r="Q923" s="12">
        <f>INT(P923/$S$15/O923*VLOOKUP(J923,[1]人物技能基础!$N$3:$O$553,2,0)*$U$15)</f>
        <v>9</v>
      </c>
      <c r="R923" s="12">
        <f t="shared" si="138"/>
        <v>112</v>
      </c>
    </row>
    <row r="924" spans="1:18" x14ac:dyDescent="0.15">
      <c r="A924" s="12">
        <v>906</v>
      </c>
      <c r="B924" s="12">
        <f t="shared" si="132"/>
        <v>5</v>
      </c>
      <c r="C924" s="12">
        <f t="shared" si="133"/>
        <v>2.5254500000000002</v>
      </c>
      <c r="D924" s="12">
        <f t="shared" si="134"/>
        <v>2.5137499999999591E-2</v>
      </c>
      <c r="E924" s="12">
        <f>SUM($D$19:D924)</f>
        <v>12.725449999999981</v>
      </c>
      <c r="F924" s="12">
        <f t="shared" si="130"/>
        <v>132.03188583871901</v>
      </c>
      <c r="G924" s="12">
        <f t="shared" si="131"/>
        <v>99.025821249694999</v>
      </c>
      <c r="H924" s="12">
        <f t="shared" si="135"/>
        <v>475300</v>
      </c>
      <c r="I924" s="12">
        <f t="shared" si="136"/>
        <v>356400</v>
      </c>
      <c r="J924" s="12">
        <f>IF(A924&lt;[3]关卡对接!$A$4,INDEX([3]关卡对接!$C$7:$C$141,A924),MATCH(E924,人物经验!$H$24:$H$573,1))</f>
        <v>359</v>
      </c>
      <c r="K924" s="12">
        <f>IF([3]关卡对接!F912="",INT(INDEX(人物经验!$J$24:$J$573,关卡!J924)*关卡!$S$7),[3]关卡对接!F912)</f>
        <v>11745</v>
      </c>
      <c r="L924" s="12">
        <f t="shared" si="137"/>
        <v>1.8</v>
      </c>
      <c r="M924" s="12">
        <f>L924/[4]货币基础!$B$4</f>
        <v>180</v>
      </c>
      <c r="N924" s="12">
        <f>IF(A924&lt;[3]关卡对接!$A$4,INDEX([3]关卡对接!$E$7:$E$141,A924),MATCH(E924,人物经验!$H$24:$H$573,1))</f>
        <v>359</v>
      </c>
      <c r="O924" s="12">
        <f>INDEX([2]关卡!$G$6:$G$2005,A924)</f>
        <v>3</v>
      </c>
      <c r="P924" s="13">
        <v>6</v>
      </c>
      <c r="Q924" s="12">
        <f>INT(P924/$S$15/O924*VLOOKUP(J924,[1]人物技能基础!$N$3:$O$553,2,0)*$U$15)</f>
        <v>9</v>
      </c>
      <c r="R924" s="12">
        <f t="shared" si="138"/>
        <v>112</v>
      </c>
    </row>
    <row r="925" spans="1:18" x14ac:dyDescent="0.15">
      <c r="A925" s="12">
        <v>907</v>
      </c>
      <c r="B925" s="12">
        <f t="shared" si="132"/>
        <v>5</v>
      </c>
      <c r="C925" s="12">
        <f t="shared" si="133"/>
        <v>2.5506125000000002</v>
      </c>
      <c r="D925" s="12">
        <f t="shared" si="134"/>
        <v>2.5162499999999977E-2</v>
      </c>
      <c r="E925" s="12">
        <f>SUM($D$19:D925)</f>
        <v>12.750612499999981</v>
      </c>
      <c r="F925" s="12">
        <f t="shared" si="130"/>
        <v>132.33928658144995</v>
      </c>
      <c r="G925" s="12">
        <f t="shared" si="131"/>
        <v>99.207723358380932</v>
      </c>
      <c r="H925" s="12">
        <f t="shared" si="135"/>
        <v>476400</v>
      </c>
      <c r="I925" s="12">
        <f t="shared" si="136"/>
        <v>357100</v>
      </c>
      <c r="J925" s="12">
        <f>IF(A925&lt;[3]关卡对接!$A$4,INDEX([3]关卡对接!$C$7:$C$141,A925),MATCH(E925,人物经验!$H$24:$H$573,1))</f>
        <v>359</v>
      </c>
      <c r="K925" s="12">
        <f>IF([3]关卡对接!F913="",INT(INDEX(人物经验!$J$24:$J$573,关卡!J925)*关卡!$S$7),[3]关卡对接!F913)</f>
        <v>11745</v>
      </c>
      <c r="L925" s="12">
        <f t="shared" si="137"/>
        <v>1.8</v>
      </c>
      <c r="M925" s="12">
        <f>L925/[4]货币基础!$B$4</f>
        <v>180</v>
      </c>
      <c r="N925" s="12">
        <f>IF(A925&lt;[3]关卡对接!$A$4,INDEX([3]关卡对接!$E$7:$E$141,A925),MATCH(E925,人物经验!$H$24:$H$573,1))</f>
        <v>359</v>
      </c>
      <c r="O925" s="12">
        <f>INDEX([2]关卡!$G$6:$G$2005,A925)</f>
        <v>3</v>
      </c>
      <c r="P925" s="13">
        <v>6</v>
      </c>
      <c r="Q925" s="12">
        <f>INT(P925/$S$15/O925*VLOOKUP(J925,[1]人物技能基础!$N$3:$O$553,2,0)*$U$15)</f>
        <v>9</v>
      </c>
      <c r="R925" s="12">
        <f t="shared" si="138"/>
        <v>112</v>
      </c>
    </row>
    <row r="926" spans="1:18" x14ac:dyDescent="0.15">
      <c r="A926" s="12">
        <v>908</v>
      </c>
      <c r="B926" s="12">
        <f t="shared" si="132"/>
        <v>5</v>
      </c>
      <c r="C926" s="12">
        <f t="shared" si="133"/>
        <v>2.5758000000000001</v>
      </c>
      <c r="D926" s="12">
        <f t="shared" si="134"/>
        <v>2.5187499999999918E-2</v>
      </c>
      <c r="E926" s="12">
        <f>SUM($D$19:D926)</f>
        <v>12.775799999999981</v>
      </c>
      <c r="F926" s="12">
        <f t="shared" si="130"/>
        <v>132.64723757694401</v>
      </c>
      <c r="G926" s="12">
        <f t="shared" si="131"/>
        <v>99.389861118319999</v>
      </c>
      <c r="H926" s="12">
        <f t="shared" si="135"/>
        <v>477500</v>
      </c>
      <c r="I926" s="12">
        <f t="shared" si="136"/>
        <v>357800</v>
      </c>
      <c r="J926" s="12">
        <f>IF(A926&lt;[3]关卡对接!$A$4,INDEX([3]关卡对接!$C$7:$C$141,A926),MATCH(E926,人物经验!$H$24:$H$573,1))</f>
        <v>360</v>
      </c>
      <c r="K926" s="12">
        <f>IF([3]关卡对接!F914="",INT(INDEX(人物经验!$J$24:$J$573,关卡!J926)*关卡!$S$7),[3]关卡对接!F914)</f>
        <v>11910</v>
      </c>
      <c r="L926" s="12">
        <f t="shared" si="137"/>
        <v>1.8</v>
      </c>
      <c r="M926" s="12">
        <f>L926/[4]货币基础!$B$4</f>
        <v>180</v>
      </c>
      <c r="N926" s="12">
        <f>IF(A926&lt;[3]关卡对接!$A$4,INDEX([3]关卡对接!$E$7:$E$141,A926),MATCH(E926,人物经验!$H$24:$H$573,1))</f>
        <v>360</v>
      </c>
      <c r="O926" s="12">
        <f>INDEX([2]关卡!$G$6:$G$2005,A926)</f>
        <v>3</v>
      </c>
      <c r="P926" s="13">
        <v>6</v>
      </c>
      <c r="Q926" s="12">
        <f>INT(P926/$S$15/O926*VLOOKUP(J926,[1]人物技能基础!$N$3:$O$553,2,0)*$U$15)</f>
        <v>9</v>
      </c>
      <c r="R926" s="12">
        <f t="shared" si="138"/>
        <v>112</v>
      </c>
    </row>
    <row r="927" spans="1:18" x14ac:dyDescent="0.15">
      <c r="A927" s="12">
        <v>909</v>
      </c>
      <c r="B927" s="12">
        <f t="shared" si="132"/>
        <v>5</v>
      </c>
      <c r="C927" s="12">
        <f t="shared" si="133"/>
        <v>2.6010124999999999</v>
      </c>
      <c r="D927" s="12">
        <f t="shared" si="134"/>
        <v>2.521249999999986E-2</v>
      </c>
      <c r="E927" s="12">
        <f>SUM($D$19:D927)</f>
        <v>12.801012499999981</v>
      </c>
      <c r="F927" s="12">
        <f t="shared" si="130"/>
        <v>132.95573959333996</v>
      </c>
      <c r="G927" s="12">
        <f t="shared" si="131"/>
        <v>99.57223477133094</v>
      </c>
      <c r="H927" s="12">
        <f t="shared" si="135"/>
        <v>478600</v>
      </c>
      <c r="I927" s="12">
        <f t="shared" si="136"/>
        <v>358400</v>
      </c>
      <c r="J927" s="12">
        <f>IF(A927&lt;[3]关卡对接!$A$4,INDEX([3]关卡对接!$C$7:$C$141,A927),MATCH(E927,人物经验!$H$24:$H$573,1))</f>
        <v>360</v>
      </c>
      <c r="K927" s="12">
        <f>IF([3]关卡对接!F915="",INT(INDEX(人物经验!$J$24:$J$573,关卡!J927)*关卡!$S$7),[3]关卡对接!F915)</f>
        <v>11910</v>
      </c>
      <c r="L927" s="12">
        <f t="shared" si="137"/>
        <v>1.8</v>
      </c>
      <c r="M927" s="12">
        <f>L927/[4]货币基础!$B$4</f>
        <v>180</v>
      </c>
      <c r="N927" s="12">
        <f>IF(A927&lt;[3]关卡对接!$A$4,INDEX([3]关卡对接!$E$7:$E$141,A927),MATCH(E927,人物经验!$H$24:$H$573,1))</f>
        <v>360</v>
      </c>
      <c r="O927" s="12">
        <f>INDEX([2]关卡!$G$6:$G$2005,A927)</f>
        <v>3</v>
      </c>
      <c r="P927" s="13">
        <v>6</v>
      </c>
      <c r="Q927" s="12">
        <f>INT(P927/$S$15/O927*VLOOKUP(J927,[1]人物技能基础!$N$3:$O$553,2,0)*$U$15)</f>
        <v>9</v>
      </c>
      <c r="R927" s="12">
        <f t="shared" si="138"/>
        <v>112</v>
      </c>
    </row>
    <row r="928" spans="1:18" x14ac:dyDescent="0.15">
      <c r="A928" s="12">
        <v>910</v>
      </c>
      <c r="B928" s="12">
        <f t="shared" si="132"/>
        <v>5</v>
      </c>
      <c r="C928" s="12">
        <f t="shared" si="133"/>
        <v>2.6262500000000006</v>
      </c>
      <c r="D928" s="12">
        <f t="shared" si="134"/>
        <v>2.523750000000069E-2</v>
      </c>
      <c r="E928" s="12">
        <f>SUM($D$19:D928)</f>
        <v>12.826249999999982</v>
      </c>
      <c r="F928" s="12">
        <f t="shared" si="130"/>
        <v>133.26479339937504</v>
      </c>
      <c r="G928" s="12">
        <f t="shared" si="131"/>
        <v>99.754844559375016</v>
      </c>
      <c r="H928" s="12">
        <f t="shared" si="135"/>
        <v>479700</v>
      </c>
      <c r="I928" s="12">
        <f t="shared" si="136"/>
        <v>359100</v>
      </c>
      <c r="J928" s="12">
        <f>IF(A928&lt;[3]关卡对接!$A$4,INDEX([3]关卡对接!$C$7:$C$141,A928),MATCH(E928,人物经验!$H$24:$H$573,1))</f>
        <v>360</v>
      </c>
      <c r="K928" s="12">
        <f>IF([3]关卡对接!F916="",INT(INDEX(人物经验!$J$24:$J$573,关卡!J928)*关卡!$S$7),[3]关卡对接!F916)</f>
        <v>11910</v>
      </c>
      <c r="L928" s="12">
        <f t="shared" si="137"/>
        <v>1.8</v>
      </c>
      <c r="M928" s="12">
        <f>L928/[4]货币基础!$B$4</f>
        <v>180</v>
      </c>
      <c r="N928" s="12">
        <f>IF(A928&lt;[3]关卡对接!$A$4,INDEX([3]关卡对接!$E$7:$E$141,A928),MATCH(E928,人物经验!$H$24:$H$573,1))</f>
        <v>360</v>
      </c>
      <c r="O928" s="12">
        <f>INDEX([2]关卡!$G$6:$G$2005,A928)</f>
        <v>3</v>
      </c>
      <c r="P928" s="13">
        <v>6</v>
      </c>
      <c r="Q928" s="12">
        <f>INT(P928/$S$15/O928*VLOOKUP(J928,[1]人物技能基础!$N$3:$O$553,2,0)*$U$15)</f>
        <v>9</v>
      </c>
      <c r="R928" s="12">
        <f t="shared" si="138"/>
        <v>112</v>
      </c>
    </row>
    <row r="929" spans="1:18" x14ac:dyDescent="0.15">
      <c r="A929" s="12">
        <v>911</v>
      </c>
      <c r="B929" s="12">
        <f t="shared" si="132"/>
        <v>5</v>
      </c>
      <c r="C929" s="12">
        <f t="shared" si="133"/>
        <v>2.6515124999999999</v>
      </c>
      <c r="D929" s="12">
        <f t="shared" si="134"/>
        <v>2.5262499999999299E-2</v>
      </c>
      <c r="E929" s="12">
        <f>SUM($D$19:D929)</f>
        <v>12.851512499999981</v>
      </c>
      <c r="F929" s="12">
        <f t="shared" si="130"/>
        <v>133.57439976438496</v>
      </c>
      <c r="G929" s="12">
        <f t="shared" si="131"/>
        <v>99.937690724555935</v>
      </c>
      <c r="H929" s="12">
        <f t="shared" si="135"/>
        <v>480800</v>
      </c>
      <c r="I929" s="12">
        <f t="shared" si="136"/>
        <v>359700</v>
      </c>
      <c r="J929" s="12">
        <f>IF(A929&lt;[3]关卡对接!$A$4,INDEX([3]关卡对接!$C$7:$C$141,A929),MATCH(E929,人物经验!$H$24:$H$573,1))</f>
        <v>360</v>
      </c>
      <c r="K929" s="12">
        <f>IF([3]关卡对接!F917="",INT(INDEX(人物经验!$J$24:$J$573,关卡!J929)*关卡!$S$7),[3]关卡对接!F917)</f>
        <v>11910</v>
      </c>
      <c r="L929" s="12">
        <f t="shared" si="137"/>
        <v>1.8</v>
      </c>
      <c r="M929" s="12">
        <f>L929/[4]货币基础!$B$4</f>
        <v>180</v>
      </c>
      <c r="N929" s="12">
        <f>IF(A929&lt;[3]关卡对接!$A$4,INDEX([3]关卡对接!$E$7:$E$141,A929),MATCH(E929,人物经验!$H$24:$H$573,1))</f>
        <v>360</v>
      </c>
      <c r="O929" s="12">
        <f>INDEX([2]关卡!$G$6:$G$2005,A929)</f>
        <v>3</v>
      </c>
      <c r="P929" s="13">
        <v>6</v>
      </c>
      <c r="Q929" s="12">
        <f>INT(P929/$S$15/O929*VLOOKUP(J929,[1]人物技能基础!$N$3:$O$553,2,0)*$U$15)</f>
        <v>9</v>
      </c>
      <c r="R929" s="12">
        <f t="shared" si="138"/>
        <v>112</v>
      </c>
    </row>
    <row r="930" spans="1:18" x14ac:dyDescent="0.15">
      <c r="A930" s="12">
        <v>912</v>
      </c>
      <c r="B930" s="12">
        <f t="shared" si="132"/>
        <v>5</v>
      </c>
      <c r="C930" s="12">
        <f t="shared" si="133"/>
        <v>2.676800000000001</v>
      </c>
      <c r="D930" s="12">
        <f t="shared" si="134"/>
        <v>2.5287500000001017E-2</v>
      </c>
      <c r="E930" s="12">
        <f>SUM($D$19:D930)</f>
        <v>12.876799999999982</v>
      </c>
      <c r="F930" s="12">
        <f t="shared" si="130"/>
        <v>133.88455945830401</v>
      </c>
      <c r="G930" s="12">
        <f t="shared" si="131"/>
        <v>100.12077350912</v>
      </c>
      <c r="H930" s="12">
        <f t="shared" si="135"/>
        <v>481900</v>
      </c>
      <c r="I930" s="12">
        <f t="shared" si="136"/>
        <v>360400</v>
      </c>
      <c r="J930" s="12">
        <f>IF(A930&lt;[3]关卡对接!$A$4,INDEX([3]关卡对接!$C$7:$C$141,A930),MATCH(E930,人物经验!$H$24:$H$573,1))</f>
        <v>360</v>
      </c>
      <c r="K930" s="12">
        <f>IF([3]关卡对接!F918="",INT(INDEX(人物经验!$J$24:$J$573,关卡!J930)*关卡!$S$7),[3]关卡对接!F918)</f>
        <v>11910</v>
      </c>
      <c r="L930" s="12">
        <f t="shared" si="137"/>
        <v>1.8</v>
      </c>
      <c r="M930" s="12">
        <f>L930/[4]货币基础!$B$4</f>
        <v>180</v>
      </c>
      <c r="N930" s="12">
        <f>IF(A930&lt;[3]关卡对接!$A$4,INDEX([3]关卡对接!$E$7:$E$141,A930),MATCH(E930,人物经验!$H$24:$H$573,1))</f>
        <v>360</v>
      </c>
      <c r="O930" s="12">
        <f>INDEX([2]关卡!$G$6:$G$2005,A930)</f>
        <v>3</v>
      </c>
      <c r="P930" s="13">
        <v>6</v>
      </c>
      <c r="Q930" s="12">
        <f>INT(P930/$S$15/O930*VLOOKUP(J930,[1]人物技能基础!$N$3:$O$553,2,0)*$U$15)</f>
        <v>9</v>
      </c>
      <c r="R930" s="12">
        <f t="shared" si="138"/>
        <v>112</v>
      </c>
    </row>
    <row r="931" spans="1:18" x14ac:dyDescent="0.15">
      <c r="A931" s="12">
        <v>913</v>
      </c>
      <c r="B931" s="12">
        <f t="shared" si="132"/>
        <v>5</v>
      </c>
      <c r="C931" s="12">
        <f t="shared" si="133"/>
        <v>2.7021124999999997</v>
      </c>
      <c r="D931" s="12">
        <f t="shared" si="134"/>
        <v>2.5312499999998739E-2</v>
      </c>
      <c r="E931" s="12">
        <f>SUM($D$19:D931)</f>
        <v>12.90211249999998</v>
      </c>
      <c r="F931" s="12">
        <f t="shared" si="130"/>
        <v>134.19527325166493</v>
      </c>
      <c r="G931" s="12">
        <f t="shared" si="131"/>
        <v>100.30409315545593</v>
      </c>
      <c r="H931" s="12">
        <f t="shared" si="135"/>
        <v>483100</v>
      </c>
      <c r="I931" s="12">
        <f t="shared" si="136"/>
        <v>361000</v>
      </c>
      <c r="J931" s="12">
        <f>IF(A931&lt;[3]关卡对接!$A$4,INDEX([3]关卡对接!$C$7:$C$141,A931),MATCH(E931,人物经验!$H$24:$H$573,1))</f>
        <v>360</v>
      </c>
      <c r="K931" s="12">
        <f>IF([3]关卡对接!F919="",INT(INDEX(人物经验!$J$24:$J$573,关卡!J931)*关卡!$S$7),[3]关卡对接!F919)</f>
        <v>11910</v>
      </c>
      <c r="L931" s="12">
        <f t="shared" si="137"/>
        <v>1.8</v>
      </c>
      <c r="M931" s="12">
        <f>L931/[4]货币基础!$B$4</f>
        <v>180</v>
      </c>
      <c r="N931" s="12">
        <f>IF(A931&lt;[3]关卡对接!$A$4,INDEX([3]关卡对接!$E$7:$E$141,A931),MATCH(E931,人物经验!$H$24:$H$573,1))</f>
        <v>360</v>
      </c>
      <c r="O931" s="12">
        <f>INDEX([2]关卡!$G$6:$G$2005,A931)</f>
        <v>3</v>
      </c>
      <c r="P931" s="13">
        <v>6</v>
      </c>
      <c r="Q931" s="12">
        <f>INT(P931/$S$15/O931*VLOOKUP(J931,[1]人物技能基础!$N$3:$O$553,2,0)*$U$15)</f>
        <v>9</v>
      </c>
      <c r="R931" s="12">
        <f t="shared" si="138"/>
        <v>112</v>
      </c>
    </row>
    <row r="932" spans="1:18" x14ac:dyDescent="0.15">
      <c r="A932" s="12">
        <v>914</v>
      </c>
      <c r="B932" s="12">
        <f t="shared" si="132"/>
        <v>5</v>
      </c>
      <c r="C932" s="12">
        <f t="shared" si="133"/>
        <v>2.7274500000000002</v>
      </c>
      <c r="D932" s="12">
        <f t="shared" si="134"/>
        <v>2.5337500000000457E-2</v>
      </c>
      <c r="E932" s="12">
        <f>SUM($D$19:D932)</f>
        <v>12.927449999999981</v>
      </c>
      <c r="F932" s="12">
        <f t="shared" si="130"/>
        <v>134.50654191559903</v>
      </c>
      <c r="G932" s="12">
        <f t="shared" si="131"/>
        <v>100.48764990609499</v>
      </c>
      <c r="H932" s="12">
        <f t="shared" si="135"/>
        <v>484200</v>
      </c>
      <c r="I932" s="12">
        <f t="shared" si="136"/>
        <v>361700</v>
      </c>
      <c r="J932" s="12">
        <f>IF(A932&lt;[3]关卡对接!$A$4,INDEX([3]关卡对接!$C$7:$C$141,A932),MATCH(E932,人物经验!$H$24:$H$573,1))</f>
        <v>361</v>
      </c>
      <c r="K932" s="12">
        <f>IF([3]关卡对接!F920="",INT(INDEX(人物经验!$J$24:$J$573,关卡!J932)*关卡!$S$7),[3]关卡对接!F920)</f>
        <v>12077</v>
      </c>
      <c r="L932" s="12">
        <f t="shared" si="137"/>
        <v>1.8</v>
      </c>
      <c r="M932" s="12">
        <f>L932/[4]货币基础!$B$4</f>
        <v>180</v>
      </c>
      <c r="N932" s="12">
        <f>IF(A932&lt;[3]关卡对接!$A$4,INDEX([3]关卡对接!$E$7:$E$141,A932),MATCH(E932,人物经验!$H$24:$H$573,1))</f>
        <v>361</v>
      </c>
      <c r="O932" s="12">
        <f>INDEX([2]关卡!$G$6:$G$2005,A932)</f>
        <v>3</v>
      </c>
      <c r="P932" s="13">
        <v>6</v>
      </c>
      <c r="Q932" s="12">
        <f>INT(P932/$S$15/O932*VLOOKUP(J932,[1]人物技能基础!$N$3:$O$553,2,0)*$U$15)</f>
        <v>9</v>
      </c>
      <c r="R932" s="12">
        <f t="shared" si="138"/>
        <v>112</v>
      </c>
    </row>
    <row r="933" spans="1:18" x14ac:dyDescent="0.15">
      <c r="A933" s="12">
        <v>915</v>
      </c>
      <c r="B933" s="12">
        <f t="shared" si="132"/>
        <v>5</v>
      </c>
      <c r="C933" s="12">
        <f t="shared" si="133"/>
        <v>2.7528124999999997</v>
      </c>
      <c r="D933" s="12">
        <f t="shared" si="134"/>
        <v>2.536249999999951E-2</v>
      </c>
      <c r="E933" s="12">
        <f>SUM($D$19:D933)</f>
        <v>12.952812499999981</v>
      </c>
      <c r="F933" s="12">
        <f t="shared" si="130"/>
        <v>134.81836622183596</v>
      </c>
      <c r="G933" s="12">
        <f t="shared" si="131"/>
        <v>100.67144400371096</v>
      </c>
      <c r="H933" s="12">
        <f t="shared" si="135"/>
        <v>485300</v>
      </c>
      <c r="I933" s="12">
        <f t="shared" si="136"/>
        <v>362400</v>
      </c>
      <c r="J933" s="12">
        <f>IF(A933&lt;[3]关卡对接!$A$4,INDEX([3]关卡对接!$C$7:$C$141,A933),MATCH(E933,人物经验!$H$24:$H$573,1))</f>
        <v>361</v>
      </c>
      <c r="K933" s="12">
        <f>IF([3]关卡对接!F921="",INT(INDEX(人物经验!$J$24:$J$573,关卡!J933)*关卡!$S$7),[3]关卡对接!F921)</f>
        <v>12077</v>
      </c>
      <c r="L933" s="12">
        <f t="shared" si="137"/>
        <v>1.8</v>
      </c>
      <c r="M933" s="12">
        <f>L933/[4]货币基础!$B$4</f>
        <v>180</v>
      </c>
      <c r="N933" s="12">
        <f>IF(A933&lt;[3]关卡对接!$A$4,INDEX([3]关卡对接!$E$7:$E$141,A933),MATCH(E933,人物经验!$H$24:$H$573,1))</f>
        <v>361</v>
      </c>
      <c r="O933" s="12">
        <f>INDEX([2]关卡!$G$6:$G$2005,A933)</f>
        <v>3</v>
      </c>
      <c r="P933" s="13">
        <v>6</v>
      </c>
      <c r="Q933" s="12">
        <f>INT(P933/$S$15/O933*VLOOKUP(J933,[1]人物技能基础!$N$3:$O$553,2,0)*$U$15)</f>
        <v>9</v>
      </c>
      <c r="R933" s="12">
        <f t="shared" si="138"/>
        <v>112</v>
      </c>
    </row>
    <row r="934" spans="1:18" x14ac:dyDescent="0.15">
      <c r="A934" s="12">
        <v>916</v>
      </c>
      <c r="B934" s="12">
        <f t="shared" si="132"/>
        <v>5</v>
      </c>
      <c r="C934" s="12">
        <f t="shared" si="133"/>
        <v>2.7782</v>
      </c>
      <c r="D934" s="12">
        <f t="shared" si="134"/>
        <v>2.538750000000034E-2</v>
      </c>
      <c r="E934" s="12">
        <f>SUM($D$19:D934)</f>
        <v>12.978199999999982</v>
      </c>
      <c r="F934" s="12">
        <f t="shared" si="130"/>
        <v>135.13074694270404</v>
      </c>
      <c r="G934" s="12">
        <f t="shared" si="131"/>
        <v>100.85547569112001</v>
      </c>
      <c r="H934" s="12">
        <f t="shared" si="135"/>
        <v>486400</v>
      </c>
      <c r="I934" s="12">
        <f t="shared" si="136"/>
        <v>363000</v>
      </c>
      <c r="J934" s="12">
        <f>IF(A934&lt;[3]关卡对接!$A$4,INDEX([3]关卡对接!$C$7:$C$141,A934),MATCH(E934,人物经验!$H$24:$H$573,1))</f>
        <v>361</v>
      </c>
      <c r="K934" s="12">
        <f>IF([3]关卡对接!F922="",INT(INDEX(人物经验!$J$24:$J$573,关卡!J934)*关卡!$S$7),[3]关卡对接!F922)</f>
        <v>12077</v>
      </c>
      <c r="L934" s="12">
        <f t="shared" si="137"/>
        <v>1.8</v>
      </c>
      <c r="M934" s="12">
        <f>L934/[4]货币基础!$B$4</f>
        <v>180</v>
      </c>
      <c r="N934" s="12">
        <f>IF(A934&lt;[3]关卡对接!$A$4,INDEX([3]关卡对接!$E$7:$E$141,A934),MATCH(E934,人物经验!$H$24:$H$573,1))</f>
        <v>361</v>
      </c>
      <c r="O934" s="12">
        <f>INDEX([2]关卡!$G$6:$G$2005,A934)</f>
        <v>3</v>
      </c>
      <c r="P934" s="13">
        <v>6</v>
      </c>
      <c r="Q934" s="12">
        <f>INT(P934/$S$15/O934*VLOOKUP(J934,[1]人物技能基础!$N$3:$O$553,2,0)*$U$15)</f>
        <v>9</v>
      </c>
      <c r="R934" s="12">
        <f t="shared" si="138"/>
        <v>112</v>
      </c>
    </row>
    <row r="935" spans="1:18" x14ac:dyDescent="0.15">
      <c r="A935" s="12">
        <v>917</v>
      </c>
      <c r="B935" s="12">
        <f t="shared" si="132"/>
        <v>5</v>
      </c>
      <c r="C935" s="12">
        <f t="shared" si="133"/>
        <v>2.8036124999999998</v>
      </c>
      <c r="D935" s="12">
        <f t="shared" si="134"/>
        <v>2.5412499999999838E-2</v>
      </c>
      <c r="E935" s="12">
        <f>SUM($D$19:D935)</f>
        <v>13.003612499999981</v>
      </c>
      <c r="F935" s="12">
        <f t="shared" si="130"/>
        <v>135.44368485112994</v>
      </c>
      <c r="G935" s="12">
        <f t="shared" si="131"/>
        <v>101.03974521128093</v>
      </c>
      <c r="H935" s="12">
        <f t="shared" si="135"/>
        <v>487500</v>
      </c>
      <c r="I935" s="12">
        <f t="shared" si="136"/>
        <v>363700</v>
      </c>
      <c r="J935" s="12">
        <f>IF(A935&lt;[3]关卡对接!$A$4,INDEX([3]关卡对接!$C$7:$C$141,A935),MATCH(E935,人物经验!$H$24:$H$573,1))</f>
        <v>361</v>
      </c>
      <c r="K935" s="12">
        <f>IF([3]关卡对接!F923="",INT(INDEX(人物经验!$J$24:$J$573,关卡!J935)*关卡!$S$7),[3]关卡对接!F923)</f>
        <v>12077</v>
      </c>
      <c r="L935" s="12">
        <f t="shared" si="137"/>
        <v>1.8</v>
      </c>
      <c r="M935" s="12">
        <f>L935/[4]货币基础!$B$4</f>
        <v>180</v>
      </c>
      <c r="N935" s="12">
        <f>IF(A935&lt;[3]关卡对接!$A$4,INDEX([3]关卡对接!$E$7:$E$141,A935),MATCH(E935,人物经验!$H$24:$H$573,1))</f>
        <v>361</v>
      </c>
      <c r="O935" s="12">
        <f>INDEX([2]关卡!$G$6:$G$2005,A935)</f>
        <v>3</v>
      </c>
      <c r="P935" s="13">
        <v>6</v>
      </c>
      <c r="Q935" s="12">
        <f>INT(P935/$S$15/O935*VLOOKUP(J935,[1]人物技能基础!$N$3:$O$553,2,0)*$U$15)</f>
        <v>9</v>
      </c>
      <c r="R935" s="12">
        <f t="shared" si="138"/>
        <v>112</v>
      </c>
    </row>
    <row r="936" spans="1:18" x14ac:dyDescent="0.15">
      <c r="A936" s="12">
        <v>918</v>
      </c>
      <c r="B936" s="12">
        <f t="shared" si="132"/>
        <v>5</v>
      </c>
      <c r="C936" s="12">
        <f t="shared" si="133"/>
        <v>2.8290500000000001</v>
      </c>
      <c r="D936" s="12">
        <f t="shared" si="134"/>
        <v>2.5437500000000224E-2</v>
      </c>
      <c r="E936" s="12">
        <f>SUM($D$19:D936)</f>
        <v>13.029049999999982</v>
      </c>
      <c r="F936" s="12">
        <f t="shared" si="130"/>
        <v>135.75718072063901</v>
      </c>
      <c r="G936" s="12">
        <f t="shared" si="131"/>
        <v>101.224252807295</v>
      </c>
      <c r="H936" s="12">
        <f t="shared" si="135"/>
        <v>488700</v>
      </c>
      <c r="I936" s="12">
        <f t="shared" si="136"/>
        <v>364400</v>
      </c>
      <c r="J936" s="12">
        <f>IF(A936&lt;[3]关卡对接!$A$4,INDEX([3]关卡对接!$C$7:$C$141,A936),MATCH(E936,人物经验!$H$24:$H$573,1))</f>
        <v>361</v>
      </c>
      <c r="K936" s="12">
        <f>IF([3]关卡对接!F924="",INT(INDEX(人物经验!$J$24:$J$573,关卡!J936)*关卡!$S$7),[3]关卡对接!F924)</f>
        <v>12077</v>
      </c>
      <c r="L936" s="12">
        <f t="shared" si="137"/>
        <v>1.8</v>
      </c>
      <c r="M936" s="12">
        <f>L936/[4]货币基础!$B$4</f>
        <v>180</v>
      </c>
      <c r="N936" s="12">
        <f>IF(A936&lt;[3]关卡对接!$A$4,INDEX([3]关卡对接!$E$7:$E$141,A936),MATCH(E936,人物经验!$H$24:$H$573,1))</f>
        <v>361</v>
      </c>
      <c r="O936" s="12">
        <f>INDEX([2]关卡!$G$6:$G$2005,A936)</f>
        <v>3</v>
      </c>
      <c r="P936" s="13">
        <v>6</v>
      </c>
      <c r="Q936" s="12">
        <f>INT(P936/$S$15/O936*VLOOKUP(J936,[1]人物技能基础!$N$3:$O$553,2,0)*$U$15)</f>
        <v>9</v>
      </c>
      <c r="R936" s="12">
        <f t="shared" si="138"/>
        <v>112</v>
      </c>
    </row>
    <row r="937" spans="1:18" x14ac:dyDescent="0.15">
      <c r="A937" s="12">
        <v>919</v>
      </c>
      <c r="B937" s="12">
        <f t="shared" si="132"/>
        <v>5</v>
      </c>
      <c r="C937" s="12">
        <f t="shared" si="133"/>
        <v>2.8545124999999998</v>
      </c>
      <c r="D937" s="12">
        <f t="shared" si="134"/>
        <v>2.5462499999999721E-2</v>
      </c>
      <c r="E937" s="12">
        <f>SUM($D$19:D937)</f>
        <v>13.054512499999982</v>
      </c>
      <c r="F937" s="12">
        <f t="shared" si="130"/>
        <v>136.07123532535496</v>
      </c>
      <c r="G937" s="12">
        <f t="shared" si="131"/>
        <v>101.40899872240594</v>
      </c>
      <c r="H937" s="12">
        <f t="shared" si="135"/>
        <v>489800</v>
      </c>
      <c r="I937" s="12">
        <f t="shared" si="136"/>
        <v>365000</v>
      </c>
      <c r="J937" s="12">
        <f>IF(A937&lt;[3]关卡对接!$A$4,INDEX([3]关卡对接!$C$7:$C$141,A937),MATCH(E937,人物经验!$H$24:$H$573,1))</f>
        <v>362</v>
      </c>
      <c r="K937" s="12">
        <f>IF([3]关卡对接!F925="",INT(INDEX(人物经验!$J$24:$J$573,关卡!J937)*关卡!$S$7),[3]关卡对接!F925)</f>
        <v>12218</v>
      </c>
      <c r="L937" s="12">
        <f t="shared" si="137"/>
        <v>1.8</v>
      </c>
      <c r="M937" s="12">
        <f>L937/[4]货币基础!$B$4</f>
        <v>180</v>
      </c>
      <c r="N937" s="12">
        <f>IF(A937&lt;[3]关卡对接!$A$4,INDEX([3]关卡对接!$E$7:$E$141,A937),MATCH(E937,人物经验!$H$24:$H$573,1))</f>
        <v>362</v>
      </c>
      <c r="O937" s="12">
        <f>INDEX([2]关卡!$G$6:$G$2005,A937)</f>
        <v>3</v>
      </c>
      <c r="P937" s="13">
        <v>6</v>
      </c>
      <c r="Q937" s="12">
        <f>INT(P937/$S$15/O937*VLOOKUP(J937,[1]人物技能基础!$N$3:$O$553,2,0)*$U$15)</f>
        <v>9</v>
      </c>
      <c r="R937" s="12">
        <f t="shared" si="138"/>
        <v>112</v>
      </c>
    </row>
    <row r="938" spans="1:18" x14ac:dyDescent="0.15">
      <c r="A938" s="12">
        <v>920</v>
      </c>
      <c r="B938" s="12">
        <f t="shared" si="132"/>
        <v>5</v>
      </c>
      <c r="C938" s="12">
        <f t="shared" si="133"/>
        <v>2.8800000000000003</v>
      </c>
      <c r="D938" s="12">
        <f t="shared" si="134"/>
        <v>2.5487500000000551E-2</v>
      </c>
      <c r="E938" s="12">
        <f>SUM($D$19:D938)</f>
        <v>13.079999999999982</v>
      </c>
      <c r="F938" s="12">
        <f t="shared" si="130"/>
        <v>136.38584944000002</v>
      </c>
      <c r="G938" s="12">
        <f t="shared" si="131"/>
        <v>101.5939832</v>
      </c>
      <c r="H938" s="12">
        <f t="shared" si="135"/>
        <v>490900</v>
      </c>
      <c r="I938" s="12">
        <f t="shared" si="136"/>
        <v>365700</v>
      </c>
      <c r="J938" s="12">
        <f>IF(A938&lt;[3]关卡对接!$A$4,INDEX([3]关卡对接!$C$7:$C$141,A938),MATCH(E938,人物经验!$H$24:$H$573,1))</f>
        <v>362</v>
      </c>
      <c r="K938" s="12">
        <f>IF([3]关卡对接!F926="",INT(INDEX(人物经验!$J$24:$J$573,关卡!J938)*关卡!$S$7),[3]关卡对接!F926)</f>
        <v>12218</v>
      </c>
      <c r="L938" s="12">
        <f t="shared" si="137"/>
        <v>1.8</v>
      </c>
      <c r="M938" s="12">
        <f>L938/[4]货币基础!$B$4</f>
        <v>180</v>
      </c>
      <c r="N938" s="12">
        <f>IF(A938&lt;[3]关卡对接!$A$4,INDEX([3]关卡对接!$E$7:$E$141,A938),MATCH(E938,人物经验!$H$24:$H$573,1))</f>
        <v>362</v>
      </c>
      <c r="O938" s="12">
        <f>INDEX([2]关卡!$G$6:$G$2005,A938)</f>
        <v>3</v>
      </c>
      <c r="P938" s="13">
        <v>6</v>
      </c>
      <c r="Q938" s="12">
        <f>INT(P938/$S$15/O938*VLOOKUP(J938,[1]人物技能基础!$N$3:$O$553,2,0)*$U$15)</f>
        <v>9</v>
      </c>
      <c r="R938" s="12">
        <f t="shared" si="138"/>
        <v>112</v>
      </c>
    </row>
    <row r="939" spans="1:18" x14ac:dyDescent="0.15">
      <c r="A939" s="12">
        <v>921</v>
      </c>
      <c r="B939" s="12">
        <f t="shared" si="132"/>
        <v>5</v>
      </c>
      <c r="C939" s="12">
        <f t="shared" si="133"/>
        <v>2.9055124999999999</v>
      </c>
      <c r="D939" s="12">
        <f t="shared" si="134"/>
        <v>2.5512499999999605E-2</v>
      </c>
      <c r="E939" s="12">
        <f>SUM($D$19:D939)</f>
        <v>13.105512499999982</v>
      </c>
      <c r="F939" s="12">
        <f t="shared" si="130"/>
        <v>136.70102383989496</v>
      </c>
      <c r="G939" s="12">
        <f t="shared" si="131"/>
        <v>101.77920648360595</v>
      </c>
      <c r="H939" s="12">
        <f t="shared" si="135"/>
        <v>492100</v>
      </c>
      <c r="I939" s="12">
        <f t="shared" si="136"/>
        <v>366400</v>
      </c>
      <c r="J939" s="12">
        <f>IF(A939&lt;[3]关卡对接!$A$4,INDEX([3]关卡对接!$C$7:$C$141,A939),MATCH(E939,人物经验!$H$24:$H$573,1))</f>
        <v>362</v>
      </c>
      <c r="K939" s="12">
        <f>IF([3]关卡对接!F927="",INT(INDEX(人物经验!$J$24:$J$573,关卡!J939)*关卡!$S$7),[3]关卡对接!F927)</f>
        <v>12218</v>
      </c>
      <c r="L939" s="12">
        <f t="shared" si="137"/>
        <v>1.8</v>
      </c>
      <c r="M939" s="12">
        <f>L939/[4]货币基础!$B$4</f>
        <v>180</v>
      </c>
      <c r="N939" s="12">
        <f>IF(A939&lt;[3]关卡对接!$A$4,INDEX([3]关卡对接!$E$7:$E$141,A939),MATCH(E939,人物经验!$H$24:$H$573,1))</f>
        <v>362</v>
      </c>
      <c r="O939" s="12">
        <f>INDEX([2]关卡!$G$6:$G$2005,A939)</f>
        <v>3</v>
      </c>
      <c r="P939" s="13">
        <v>6</v>
      </c>
      <c r="Q939" s="12">
        <f>INT(P939/$S$15/O939*VLOOKUP(J939,[1]人物技能基础!$N$3:$O$553,2,0)*$U$15)</f>
        <v>9</v>
      </c>
      <c r="R939" s="12">
        <f t="shared" si="138"/>
        <v>112</v>
      </c>
    </row>
    <row r="940" spans="1:18" x14ac:dyDescent="0.15">
      <c r="A940" s="12">
        <v>922</v>
      </c>
      <c r="B940" s="12">
        <f t="shared" si="132"/>
        <v>5</v>
      </c>
      <c r="C940" s="12">
        <f t="shared" si="133"/>
        <v>2.9310499999999999</v>
      </c>
      <c r="D940" s="12">
        <f t="shared" si="134"/>
        <v>2.5537499999999991E-2</v>
      </c>
      <c r="E940" s="12">
        <f>SUM($D$19:D940)</f>
        <v>13.131049999999982</v>
      </c>
      <c r="F940" s="12">
        <f t="shared" si="130"/>
        <v>137.01675930095902</v>
      </c>
      <c r="G940" s="12">
        <f t="shared" si="131"/>
        <v>101.964668816895</v>
      </c>
      <c r="H940" s="12">
        <f t="shared" si="135"/>
        <v>493200</v>
      </c>
      <c r="I940" s="12">
        <f t="shared" si="136"/>
        <v>367000</v>
      </c>
      <c r="J940" s="12">
        <f>IF(A940&lt;[3]关卡对接!$A$4,INDEX([3]关卡对接!$C$7:$C$141,A940),MATCH(E940,人物经验!$H$24:$H$573,1))</f>
        <v>362</v>
      </c>
      <c r="K940" s="12">
        <f>IF([3]关卡对接!F928="",INT(INDEX(人物经验!$J$24:$J$573,关卡!J940)*关卡!$S$7),[3]关卡对接!F928)</f>
        <v>12218</v>
      </c>
      <c r="L940" s="12">
        <f t="shared" si="137"/>
        <v>1.8</v>
      </c>
      <c r="M940" s="12">
        <f>L940/[4]货币基础!$B$4</f>
        <v>180</v>
      </c>
      <c r="N940" s="12">
        <f>IF(A940&lt;[3]关卡对接!$A$4,INDEX([3]关卡对接!$E$7:$E$141,A940),MATCH(E940,人物经验!$H$24:$H$573,1))</f>
        <v>362</v>
      </c>
      <c r="O940" s="12">
        <f>INDEX([2]关卡!$G$6:$G$2005,A940)</f>
        <v>3</v>
      </c>
      <c r="P940" s="13">
        <v>6</v>
      </c>
      <c r="Q940" s="12">
        <f>INT(P940/$S$15/O940*VLOOKUP(J940,[1]人物技能基础!$N$3:$O$553,2,0)*$U$15)</f>
        <v>9</v>
      </c>
      <c r="R940" s="12">
        <f t="shared" si="138"/>
        <v>112</v>
      </c>
    </row>
    <row r="941" spans="1:18" x14ac:dyDescent="0.15">
      <c r="A941" s="12">
        <v>923</v>
      </c>
      <c r="B941" s="12">
        <f t="shared" si="132"/>
        <v>5</v>
      </c>
      <c r="C941" s="12">
        <f t="shared" si="133"/>
        <v>2.9566124999999999</v>
      </c>
      <c r="D941" s="12">
        <f t="shared" si="134"/>
        <v>2.5562499999999932E-2</v>
      </c>
      <c r="E941" s="12">
        <f>SUM($D$19:D941)</f>
        <v>13.156612499999982</v>
      </c>
      <c r="F941" s="12">
        <f t="shared" si="130"/>
        <v>137.33305659970995</v>
      </c>
      <c r="G941" s="12">
        <f t="shared" si="131"/>
        <v>102.15037044368094</v>
      </c>
      <c r="H941" s="12">
        <f t="shared" si="135"/>
        <v>494300</v>
      </c>
      <c r="I941" s="12">
        <f t="shared" si="136"/>
        <v>367700</v>
      </c>
      <c r="J941" s="12">
        <f>IF(A941&lt;[3]关卡对接!$A$4,INDEX([3]关卡对接!$C$7:$C$141,A941),MATCH(E941,人物经验!$H$24:$H$573,1))</f>
        <v>362</v>
      </c>
      <c r="K941" s="12">
        <f>IF([3]关卡对接!F929="",INT(INDEX(人物经验!$J$24:$J$573,关卡!J941)*关卡!$S$7),[3]关卡对接!F929)</f>
        <v>12218</v>
      </c>
      <c r="L941" s="12">
        <f t="shared" si="137"/>
        <v>1.8</v>
      </c>
      <c r="M941" s="12">
        <f>L941/[4]货币基础!$B$4</f>
        <v>180</v>
      </c>
      <c r="N941" s="12">
        <f>IF(A941&lt;[3]关卡对接!$A$4,INDEX([3]关卡对接!$E$7:$E$141,A941),MATCH(E941,人物经验!$H$24:$H$573,1))</f>
        <v>362</v>
      </c>
      <c r="O941" s="12">
        <f>INDEX([2]关卡!$G$6:$G$2005,A941)</f>
        <v>3</v>
      </c>
      <c r="P941" s="13">
        <v>6</v>
      </c>
      <c r="Q941" s="12">
        <f>INT(P941/$S$15/O941*VLOOKUP(J941,[1]人物技能基础!$N$3:$O$553,2,0)*$U$15)</f>
        <v>9</v>
      </c>
      <c r="R941" s="12">
        <f t="shared" si="138"/>
        <v>112</v>
      </c>
    </row>
    <row r="942" spans="1:18" x14ac:dyDescent="0.15">
      <c r="A942" s="12">
        <v>924</v>
      </c>
      <c r="B942" s="12">
        <f t="shared" si="132"/>
        <v>5</v>
      </c>
      <c r="C942" s="12">
        <f t="shared" si="133"/>
        <v>2.9822000000000006</v>
      </c>
      <c r="D942" s="12">
        <f t="shared" si="134"/>
        <v>2.5587500000000762E-2</v>
      </c>
      <c r="E942" s="12">
        <f>SUM($D$19:D942)</f>
        <v>13.182199999999982</v>
      </c>
      <c r="F942" s="12">
        <f t="shared" si="130"/>
        <v>137.64991651326403</v>
      </c>
      <c r="G942" s="12">
        <f t="shared" si="131"/>
        <v>102.33631160792</v>
      </c>
      <c r="H942" s="12">
        <f t="shared" si="135"/>
        <v>495500</v>
      </c>
      <c r="I942" s="12">
        <f t="shared" si="136"/>
        <v>368400</v>
      </c>
      <c r="J942" s="12">
        <f>IF(A942&lt;[3]关卡对接!$A$4,INDEX([3]关卡对接!$C$7:$C$141,A942),MATCH(E942,人物经验!$H$24:$H$573,1))</f>
        <v>362</v>
      </c>
      <c r="K942" s="12">
        <f>IF([3]关卡对接!F930="",INT(INDEX(人物经验!$J$24:$J$573,关卡!J942)*关卡!$S$7),[3]关卡对接!F930)</f>
        <v>12218</v>
      </c>
      <c r="L942" s="12">
        <f t="shared" si="137"/>
        <v>1.8</v>
      </c>
      <c r="M942" s="12">
        <f>L942/[4]货币基础!$B$4</f>
        <v>180</v>
      </c>
      <c r="N942" s="12">
        <f>IF(A942&lt;[3]关卡对接!$A$4,INDEX([3]关卡对接!$E$7:$E$141,A942),MATCH(E942,人物经验!$H$24:$H$573,1))</f>
        <v>362</v>
      </c>
      <c r="O942" s="12">
        <f>INDEX([2]关卡!$G$6:$G$2005,A942)</f>
        <v>3</v>
      </c>
      <c r="P942" s="13">
        <v>6</v>
      </c>
      <c r="Q942" s="12">
        <f>INT(P942/$S$15/O942*VLOOKUP(J942,[1]人物技能基础!$N$3:$O$553,2,0)*$U$15)</f>
        <v>9</v>
      </c>
      <c r="R942" s="12">
        <f t="shared" si="138"/>
        <v>112</v>
      </c>
    </row>
    <row r="943" spans="1:18" x14ac:dyDescent="0.15">
      <c r="A943" s="12">
        <v>925</v>
      </c>
      <c r="B943" s="12">
        <f t="shared" si="132"/>
        <v>5</v>
      </c>
      <c r="C943" s="12">
        <f t="shared" si="133"/>
        <v>3.0078125</v>
      </c>
      <c r="D943" s="12">
        <f t="shared" si="134"/>
        <v>2.5612499999999372E-2</v>
      </c>
      <c r="E943" s="12">
        <f>SUM($D$19:D943)</f>
        <v>13.207812499999982</v>
      </c>
      <c r="F943" s="12">
        <f t="shared" si="130"/>
        <v>137.96733981933596</v>
      </c>
      <c r="G943" s="12">
        <f t="shared" si="131"/>
        <v>102.52249255371095</v>
      </c>
      <c r="H943" s="12">
        <f t="shared" si="135"/>
        <v>496600</v>
      </c>
      <c r="I943" s="12">
        <f t="shared" si="136"/>
        <v>369000</v>
      </c>
      <c r="J943" s="12">
        <f>IF(A943&lt;[3]关卡对接!$A$4,INDEX([3]关卡对接!$C$7:$C$141,A943),MATCH(E943,人物经验!$H$24:$H$573,1))</f>
        <v>363</v>
      </c>
      <c r="K943" s="12">
        <f>IF([3]关卡对接!F931="",INT(INDEX(人物经验!$J$24:$J$573,关卡!J943)*关卡!$S$7),[3]关卡对接!F931)</f>
        <v>12388</v>
      </c>
      <c r="L943" s="12">
        <f t="shared" si="137"/>
        <v>1.8</v>
      </c>
      <c r="M943" s="12">
        <f>L943/[4]货币基础!$B$4</f>
        <v>180</v>
      </c>
      <c r="N943" s="12">
        <f>IF(A943&lt;[3]关卡对接!$A$4,INDEX([3]关卡对接!$E$7:$E$141,A943),MATCH(E943,人物经验!$H$24:$H$573,1))</f>
        <v>363</v>
      </c>
      <c r="O943" s="12">
        <f>INDEX([2]关卡!$G$6:$G$2005,A943)</f>
        <v>3</v>
      </c>
      <c r="P943" s="13">
        <v>6</v>
      </c>
      <c r="Q943" s="12">
        <f>INT(P943/$S$15/O943*VLOOKUP(J943,[1]人物技能基础!$N$3:$O$553,2,0)*$U$15)</f>
        <v>9</v>
      </c>
      <c r="R943" s="12">
        <f t="shared" si="138"/>
        <v>112</v>
      </c>
    </row>
    <row r="944" spans="1:18" x14ac:dyDescent="0.15">
      <c r="A944" s="12">
        <v>926</v>
      </c>
      <c r="B944" s="12">
        <f t="shared" si="132"/>
        <v>5</v>
      </c>
      <c r="C944" s="12">
        <f t="shared" si="133"/>
        <v>3.0334500000000002</v>
      </c>
      <c r="D944" s="12">
        <f t="shared" si="134"/>
        <v>2.5637500000000202E-2</v>
      </c>
      <c r="E944" s="12">
        <f>SUM($D$19:D944)</f>
        <v>13.233449999999982</v>
      </c>
      <c r="F944" s="12">
        <f t="shared" si="130"/>
        <v>138.28532729623902</v>
      </c>
      <c r="G944" s="12">
        <f t="shared" si="131"/>
        <v>102.70891352529502</v>
      </c>
      <c r="H944" s="12">
        <f t="shared" si="135"/>
        <v>497800</v>
      </c>
      <c r="I944" s="12">
        <f t="shared" si="136"/>
        <v>369700</v>
      </c>
      <c r="J944" s="12">
        <f>IF(A944&lt;[3]关卡对接!$A$4,INDEX([3]关卡对接!$C$7:$C$141,A944),MATCH(E944,人物经验!$H$24:$H$573,1))</f>
        <v>363</v>
      </c>
      <c r="K944" s="12">
        <f>IF([3]关卡对接!F932="",INT(INDEX(人物经验!$J$24:$J$573,关卡!J944)*关卡!$S$7),[3]关卡对接!F932)</f>
        <v>12388</v>
      </c>
      <c r="L944" s="12">
        <f t="shared" si="137"/>
        <v>1.8</v>
      </c>
      <c r="M944" s="12">
        <f>L944/[4]货币基础!$B$4</f>
        <v>180</v>
      </c>
      <c r="N944" s="12">
        <f>IF(A944&lt;[3]关卡对接!$A$4,INDEX([3]关卡对接!$E$7:$E$141,A944),MATCH(E944,人物经验!$H$24:$H$573,1))</f>
        <v>363</v>
      </c>
      <c r="O944" s="12">
        <f>INDEX([2]关卡!$G$6:$G$2005,A944)</f>
        <v>3</v>
      </c>
      <c r="P944" s="13">
        <v>6</v>
      </c>
      <c r="Q944" s="12">
        <f>INT(P944/$S$15/O944*VLOOKUP(J944,[1]人物技能基础!$N$3:$O$553,2,0)*$U$15)</f>
        <v>9</v>
      </c>
      <c r="R944" s="12">
        <f t="shared" si="138"/>
        <v>112</v>
      </c>
    </row>
    <row r="945" spans="1:18" x14ac:dyDescent="0.15">
      <c r="A945" s="12">
        <v>927</v>
      </c>
      <c r="B945" s="12">
        <f t="shared" si="132"/>
        <v>5</v>
      </c>
      <c r="C945" s="12">
        <f t="shared" si="133"/>
        <v>3.0591125000000003</v>
      </c>
      <c r="D945" s="12">
        <f t="shared" si="134"/>
        <v>2.5662500000000144E-2</v>
      </c>
      <c r="E945" s="12">
        <f>SUM($D$19:D945)</f>
        <v>13.259112499999983</v>
      </c>
      <c r="F945" s="12">
        <f t="shared" si="130"/>
        <v>138.60387972288498</v>
      </c>
      <c r="G945" s="12">
        <f t="shared" si="131"/>
        <v>102.89557476705593</v>
      </c>
      <c r="H945" s="12">
        <f t="shared" si="135"/>
        <v>498900</v>
      </c>
      <c r="I945" s="12">
        <f t="shared" si="136"/>
        <v>370400</v>
      </c>
      <c r="J945" s="12">
        <f>IF(A945&lt;[3]关卡对接!$A$4,INDEX([3]关卡对接!$C$7:$C$141,A945),MATCH(E945,人物经验!$H$24:$H$573,1))</f>
        <v>363</v>
      </c>
      <c r="K945" s="12">
        <f>IF([3]关卡对接!F933="",INT(INDEX(人物经验!$J$24:$J$573,关卡!J945)*关卡!$S$7),[3]关卡对接!F933)</f>
        <v>12388</v>
      </c>
      <c r="L945" s="12">
        <f t="shared" si="137"/>
        <v>1.8</v>
      </c>
      <c r="M945" s="12">
        <f>L945/[4]货币基础!$B$4</f>
        <v>180</v>
      </c>
      <c r="N945" s="12">
        <f>IF(A945&lt;[3]关卡对接!$A$4,INDEX([3]关卡对接!$E$7:$E$141,A945),MATCH(E945,人物经验!$H$24:$H$573,1))</f>
        <v>363</v>
      </c>
      <c r="O945" s="12">
        <f>INDEX([2]关卡!$G$6:$G$2005,A945)</f>
        <v>3</v>
      </c>
      <c r="P945" s="13">
        <v>6</v>
      </c>
      <c r="Q945" s="12">
        <f>INT(P945/$S$15/O945*VLOOKUP(J945,[1]人物技能基础!$N$3:$O$553,2,0)*$U$15)</f>
        <v>9</v>
      </c>
      <c r="R945" s="12">
        <f t="shared" si="138"/>
        <v>112</v>
      </c>
    </row>
    <row r="946" spans="1:18" x14ac:dyDescent="0.15">
      <c r="A946" s="12">
        <v>928</v>
      </c>
      <c r="B946" s="12">
        <f t="shared" si="132"/>
        <v>5</v>
      </c>
      <c r="C946" s="12">
        <f t="shared" si="133"/>
        <v>3.0848000000000004</v>
      </c>
      <c r="D946" s="12">
        <f t="shared" si="134"/>
        <v>2.5687500000000085E-2</v>
      </c>
      <c r="E946" s="12">
        <f>SUM($D$19:D946)</f>
        <v>13.284799999999983</v>
      </c>
      <c r="F946" s="12">
        <f t="shared" si="130"/>
        <v>138.92299787878403</v>
      </c>
      <c r="G946" s="12">
        <f t="shared" si="131"/>
        <v>103.08247652352001</v>
      </c>
      <c r="H946" s="12">
        <f t="shared" si="135"/>
        <v>500100</v>
      </c>
      <c r="I946" s="12">
        <f t="shared" si="136"/>
        <v>371000</v>
      </c>
      <c r="J946" s="12">
        <f>IF(A946&lt;[3]关卡对接!$A$4,INDEX([3]关卡对接!$C$7:$C$141,A946),MATCH(E946,人物经验!$H$24:$H$573,1))</f>
        <v>363</v>
      </c>
      <c r="K946" s="12">
        <f>IF([3]关卡对接!F934="",INT(INDEX(人物经验!$J$24:$J$573,关卡!J946)*关卡!$S$7),[3]关卡对接!F934)</f>
        <v>12388</v>
      </c>
      <c r="L946" s="12">
        <f t="shared" si="137"/>
        <v>1.8</v>
      </c>
      <c r="M946" s="12">
        <f>L946/[4]货币基础!$B$4</f>
        <v>180</v>
      </c>
      <c r="N946" s="12">
        <f>IF(A946&lt;[3]关卡对接!$A$4,INDEX([3]关卡对接!$E$7:$E$141,A946),MATCH(E946,人物经验!$H$24:$H$573,1))</f>
        <v>363</v>
      </c>
      <c r="O946" s="12">
        <f>INDEX([2]关卡!$G$6:$G$2005,A946)</f>
        <v>3</v>
      </c>
      <c r="P946" s="13">
        <v>6</v>
      </c>
      <c r="Q946" s="12">
        <f>INT(P946/$S$15/O946*VLOOKUP(J946,[1]人物技能基础!$N$3:$O$553,2,0)*$U$15)</f>
        <v>9</v>
      </c>
      <c r="R946" s="12">
        <f t="shared" si="138"/>
        <v>112</v>
      </c>
    </row>
    <row r="947" spans="1:18" x14ac:dyDescent="0.15">
      <c r="A947" s="12">
        <v>929</v>
      </c>
      <c r="B947" s="12">
        <f t="shared" si="132"/>
        <v>5</v>
      </c>
      <c r="C947" s="12">
        <f t="shared" si="133"/>
        <v>3.1105125</v>
      </c>
      <c r="D947" s="12">
        <f t="shared" si="134"/>
        <v>2.5712499999999583E-2</v>
      </c>
      <c r="E947" s="12">
        <f>SUM($D$19:D947)</f>
        <v>13.310512499999982</v>
      </c>
      <c r="F947" s="12">
        <f t="shared" si="130"/>
        <v>139.24268254404495</v>
      </c>
      <c r="G947" s="12">
        <f t="shared" si="131"/>
        <v>103.26961903935593</v>
      </c>
      <c r="H947" s="12">
        <f t="shared" si="135"/>
        <v>501200</v>
      </c>
      <c r="I947" s="12">
        <f t="shared" si="136"/>
        <v>371700</v>
      </c>
      <c r="J947" s="12">
        <f>IF(A947&lt;[3]关卡对接!$A$4,INDEX([3]关卡对接!$C$7:$C$141,A947),MATCH(E947,人物经验!$H$24:$H$573,1))</f>
        <v>363</v>
      </c>
      <c r="K947" s="12">
        <f>IF([3]关卡对接!F935="",INT(INDEX(人物经验!$J$24:$J$573,关卡!J947)*关卡!$S$7),[3]关卡对接!F935)</f>
        <v>12388</v>
      </c>
      <c r="L947" s="12">
        <f t="shared" si="137"/>
        <v>1.8</v>
      </c>
      <c r="M947" s="12">
        <f>L947/[4]货币基础!$B$4</f>
        <v>180</v>
      </c>
      <c r="N947" s="12">
        <f>IF(A947&lt;[3]关卡对接!$A$4,INDEX([3]关卡对接!$E$7:$E$141,A947),MATCH(E947,人物经验!$H$24:$H$573,1))</f>
        <v>363</v>
      </c>
      <c r="O947" s="12">
        <f>INDEX([2]关卡!$G$6:$G$2005,A947)</f>
        <v>3</v>
      </c>
      <c r="P947" s="13">
        <v>6</v>
      </c>
      <c r="Q947" s="12">
        <f>INT(P947/$S$15/O947*VLOOKUP(J947,[1]人物技能基础!$N$3:$O$553,2,0)*$U$15)</f>
        <v>9</v>
      </c>
      <c r="R947" s="12">
        <f t="shared" si="138"/>
        <v>112</v>
      </c>
    </row>
    <row r="948" spans="1:18" x14ac:dyDescent="0.15">
      <c r="A948" s="12">
        <v>930</v>
      </c>
      <c r="B948" s="12">
        <f t="shared" si="132"/>
        <v>5</v>
      </c>
      <c r="C948" s="12">
        <f t="shared" si="133"/>
        <v>3.1362500000000004</v>
      </c>
      <c r="D948" s="12">
        <f t="shared" si="134"/>
        <v>2.5737500000000413E-2</v>
      </c>
      <c r="E948" s="12">
        <f>SUM($D$19:D948)</f>
        <v>13.336249999999982</v>
      </c>
      <c r="F948" s="12">
        <f t="shared" si="130"/>
        <v>139.56293449937502</v>
      </c>
      <c r="G948" s="12">
        <f t="shared" si="131"/>
        <v>103.457002559375</v>
      </c>
      <c r="H948" s="12">
        <f t="shared" si="135"/>
        <v>502400</v>
      </c>
      <c r="I948" s="12">
        <f t="shared" si="136"/>
        <v>372400</v>
      </c>
      <c r="J948" s="12">
        <f>IF(A948&lt;[3]关卡对接!$A$4,INDEX([3]关卡对接!$C$7:$C$141,A948),MATCH(E948,人物经验!$H$24:$H$573,1))</f>
        <v>364</v>
      </c>
      <c r="K948" s="12">
        <f>IF([3]关卡对接!F936="",INT(INDEX(人物经验!$J$24:$J$573,关卡!J948)*关卡!$S$7),[3]关卡对接!F936)</f>
        <v>12531</v>
      </c>
      <c r="L948" s="12">
        <f t="shared" si="137"/>
        <v>1.8</v>
      </c>
      <c r="M948" s="12">
        <f>L948/[4]货币基础!$B$4</f>
        <v>180</v>
      </c>
      <c r="N948" s="12">
        <f>IF(A948&lt;[3]关卡对接!$A$4,INDEX([3]关卡对接!$E$7:$E$141,A948),MATCH(E948,人物经验!$H$24:$H$573,1))</f>
        <v>364</v>
      </c>
      <c r="O948" s="12">
        <f>INDEX([2]关卡!$G$6:$G$2005,A948)</f>
        <v>3</v>
      </c>
      <c r="P948" s="13">
        <v>6</v>
      </c>
      <c r="Q948" s="12">
        <f>INT(P948/$S$15/O948*VLOOKUP(J948,[1]人物技能基础!$N$3:$O$553,2,0)*$U$15)</f>
        <v>9</v>
      </c>
      <c r="R948" s="12">
        <f t="shared" si="138"/>
        <v>112</v>
      </c>
    </row>
    <row r="949" spans="1:18" x14ac:dyDescent="0.15">
      <c r="A949" s="12">
        <v>931</v>
      </c>
      <c r="B949" s="12">
        <f t="shared" si="132"/>
        <v>5</v>
      </c>
      <c r="C949" s="12">
        <f t="shared" si="133"/>
        <v>3.1620124999999999</v>
      </c>
      <c r="D949" s="12">
        <f t="shared" si="134"/>
        <v>2.5762499999999466E-2</v>
      </c>
      <c r="E949" s="12">
        <f>SUM($D$19:D949)</f>
        <v>13.362012499999981</v>
      </c>
      <c r="F949" s="12">
        <f t="shared" si="130"/>
        <v>139.88375452608</v>
      </c>
      <c r="G949" s="12">
        <f t="shared" si="131"/>
        <v>103.64462732853096</v>
      </c>
      <c r="H949" s="12">
        <f t="shared" si="135"/>
        <v>503500</v>
      </c>
      <c r="I949" s="12">
        <f t="shared" si="136"/>
        <v>373100</v>
      </c>
      <c r="J949" s="12">
        <f>IF(A949&lt;[3]关卡对接!$A$4,INDEX([3]关卡对接!$C$7:$C$141,A949),MATCH(E949,人物经验!$H$24:$H$573,1))</f>
        <v>364</v>
      </c>
      <c r="K949" s="12">
        <f>IF([3]关卡对接!F937="",INT(INDEX(人物经验!$J$24:$J$573,关卡!J949)*关卡!$S$7),[3]关卡对接!F937)</f>
        <v>12531</v>
      </c>
      <c r="L949" s="12">
        <f t="shared" si="137"/>
        <v>1.8</v>
      </c>
      <c r="M949" s="12">
        <f>L949/[4]货币基础!$B$4</f>
        <v>180</v>
      </c>
      <c r="N949" s="12">
        <f>IF(A949&lt;[3]关卡对接!$A$4,INDEX([3]关卡对接!$E$7:$E$141,A949),MATCH(E949,人物经验!$H$24:$H$573,1))</f>
        <v>364</v>
      </c>
      <c r="O949" s="12">
        <f>INDEX([2]关卡!$G$6:$G$2005,A949)</f>
        <v>3</v>
      </c>
      <c r="P949" s="13">
        <v>6</v>
      </c>
      <c r="Q949" s="12">
        <f>INT(P949/$S$15/O949*VLOOKUP(J949,[1]人物技能基础!$N$3:$O$553,2,0)*$U$15)</f>
        <v>9</v>
      </c>
      <c r="R949" s="12">
        <f t="shared" si="138"/>
        <v>112</v>
      </c>
    </row>
    <row r="950" spans="1:18" x14ac:dyDescent="0.15">
      <c r="A950" s="12">
        <v>932</v>
      </c>
      <c r="B950" s="12">
        <f t="shared" si="132"/>
        <v>5</v>
      </c>
      <c r="C950" s="12">
        <f t="shared" si="133"/>
        <v>3.1878000000000006</v>
      </c>
      <c r="D950" s="12">
        <f t="shared" si="134"/>
        <v>2.578750000000074E-2</v>
      </c>
      <c r="E950" s="12">
        <f>SUM($D$19:D950)</f>
        <v>13.387799999999981</v>
      </c>
      <c r="F950" s="12">
        <f t="shared" si="130"/>
        <v>140.20514340606402</v>
      </c>
      <c r="G950" s="12">
        <f t="shared" si="131"/>
        <v>103.83249359192001</v>
      </c>
      <c r="H950" s="12">
        <f t="shared" si="135"/>
        <v>504700</v>
      </c>
      <c r="I950" s="12">
        <f t="shared" si="136"/>
        <v>373700</v>
      </c>
      <c r="J950" s="12">
        <f>IF(A950&lt;[3]关卡对接!$A$4,INDEX([3]关卡对接!$C$7:$C$141,A950),MATCH(E950,人物经验!$H$24:$H$573,1))</f>
        <v>364</v>
      </c>
      <c r="K950" s="12">
        <f>IF([3]关卡对接!F938="",INT(INDEX(人物经验!$J$24:$J$573,关卡!J950)*关卡!$S$7),[3]关卡对接!F938)</f>
        <v>12531</v>
      </c>
      <c r="L950" s="12">
        <f t="shared" si="137"/>
        <v>1.8</v>
      </c>
      <c r="M950" s="12">
        <f>L950/[4]货币基础!$B$4</f>
        <v>180</v>
      </c>
      <c r="N950" s="12">
        <f>IF(A950&lt;[3]关卡对接!$A$4,INDEX([3]关卡对接!$E$7:$E$141,A950),MATCH(E950,人物经验!$H$24:$H$573,1))</f>
        <v>364</v>
      </c>
      <c r="O950" s="12">
        <f>INDEX([2]关卡!$G$6:$G$2005,A950)</f>
        <v>3</v>
      </c>
      <c r="P950" s="13">
        <v>6</v>
      </c>
      <c r="Q950" s="12">
        <f>INT(P950/$S$15/O950*VLOOKUP(J950,[1]人物技能基础!$N$3:$O$553,2,0)*$U$15)</f>
        <v>9</v>
      </c>
      <c r="R950" s="12">
        <f t="shared" si="138"/>
        <v>112</v>
      </c>
    </row>
    <row r="951" spans="1:18" x14ac:dyDescent="0.15">
      <c r="A951" s="12">
        <v>933</v>
      </c>
      <c r="B951" s="12">
        <f t="shared" si="132"/>
        <v>5</v>
      </c>
      <c r="C951" s="12">
        <f t="shared" si="133"/>
        <v>3.2136125000000004</v>
      </c>
      <c r="D951" s="12">
        <f t="shared" si="134"/>
        <v>2.5812499999999794E-2</v>
      </c>
      <c r="E951" s="12">
        <f>SUM($D$19:D951)</f>
        <v>13.413612499999982</v>
      </c>
      <c r="F951" s="12">
        <f t="shared" si="130"/>
        <v>140.52710192182997</v>
      </c>
      <c r="G951" s="12">
        <f t="shared" si="131"/>
        <v>104.02060159478096</v>
      </c>
      <c r="H951" s="12">
        <f t="shared" si="135"/>
        <v>505800</v>
      </c>
      <c r="I951" s="12">
        <f t="shared" si="136"/>
        <v>374400</v>
      </c>
      <c r="J951" s="12">
        <f>IF(A951&lt;[3]关卡对接!$A$4,INDEX([3]关卡对接!$C$7:$C$141,A951),MATCH(E951,人物经验!$H$24:$H$573,1))</f>
        <v>364</v>
      </c>
      <c r="K951" s="12">
        <f>IF([3]关卡对接!F939="",INT(INDEX(人物经验!$J$24:$J$573,关卡!J951)*关卡!$S$7),[3]关卡对接!F939)</f>
        <v>12531</v>
      </c>
      <c r="L951" s="12">
        <f t="shared" si="137"/>
        <v>1.8</v>
      </c>
      <c r="M951" s="12">
        <f>L951/[4]货币基础!$B$4</f>
        <v>180</v>
      </c>
      <c r="N951" s="12">
        <f>IF(A951&lt;[3]关卡对接!$A$4,INDEX([3]关卡对接!$E$7:$E$141,A951),MATCH(E951,人物经验!$H$24:$H$573,1))</f>
        <v>364</v>
      </c>
      <c r="O951" s="12">
        <f>INDEX([2]关卡!$G$6:$G$2005,A951)</f>
        <v>3</v>
      </c>
      <c r="P951" s="13">
        <v>6</v>
      </c>
      <c r="Q951" s="12">
        <f>INT(P951/$S$15/O951*VLOOKUP(J951,[1]人物技能基础!$N$3:$O$553,2,0)*$U$15)</f>
        <v>9</v>
      </c>
      <c r="R951" s="12">
        <f t="shared" si="138"/>
        <v>112</v>
      </c>
    </row>
    <row r="952" spans="1:18" x14ac:dyDescent="0.15">
      <c r="A952" s="12">
        <v>934</v>
      </c>
      <c r="B952" s="12">
        <f t="shared" si="132"/>
        <v>5</v>
      </c>
      <c r="C952" s="12">
        <f t="shared" si="133"/>
        <v>3.2394500000000006</v>
      </c>
      <c r="D952" s="12">
        <f t="shared" si="134"/>
        <v>2.583750000000018E-2</v>
      </c>
      <c r="E952" s="12">
        <f>SUM($D$19:D952)</f>
        <v>13.439449999999981</v>
      </c>
      <c r="F952" s="12">
        <f t="shared" si="130"/>
        <v>140.84963085647902</v>
      </c>
      <c r="G952" s="12">
        <f t="shared" si="131"/>
        <v>104.208951582495</v>
      </c>
      <c r="H952" s="12">
        <f t="shared" si="135"/>
        <v>507000</v>
      </c>
      <c r="I952" s="12">
        <f t="shared" si="136"/>
        <v>375100</v>
      </c>
      <c r="J952" s="12">
        <f>IF(A952&lt;[3]关卡对接!$A$4,INDEX([3]关卡对接!$C$7:$C$141,A952),MATCH(E952,人物经验!$H$24:$H$573,1))</f>
        <v>364</v>
      </c>
      <c r="K952" s="12">
        <f>IF([3]关卡对接!F940="",INT(INDEX(人物经验!$J$24:$J$573,关卡!J952)*关卡!$S$7),[3]关卡对接!F940)</f>
        <v>12531</v>
      </c>
      <c r="L952" s="12">
        <f t="shared" si="137"/>
        <v>1.8</v>
      </c>
      <c r="M952" s="12">
        <f>L952/[4]货币基础!$B$4</f>
        <v>180</v>
      </c>
      <c r="N952" s="12">
        <f>IF(A952&lt;[3]关卡对接!$A$4,INDEX([3]关卡对接!$E$7:$E$141,A952),MATCH(E952,人物经验!$H$24:$H$573,1))</f>
        <v>364</v>
      </c>
      <c r="O952" s="12">
        <f>INDEX([2]关卡!$G$6:$G$2005,A952)</f>
        <v>3</v>
      </c>
      <c r="P952" s="13">
        <v>6</v>
      </c>
      <c r="Q952" s="12">
        <f>INT(P952/$S$15/O952*VLOOKUP(J952,[1]人物技能基础!$N$3:$O$553,2,0)*$U$15)</f>
        <v>9</v>
      </c>
      <c r="R952" s="12">
        <f t="shared" si="138"/>
        <v>112</v>
      </c>
    </row>
    <row r="953" spans="1:18" x14ac:dyDescent="0.15">
      <c r="A953" s="12">
        <v>935</v>
      </c>
      <c r="B953" s="12">
        <f t="shared" si="132"/>
        <v>5</v>
      </c>
      <c r="C953" s="12">
        <f t="shared" si="133"/>
        <v>3.2653125000000003</v>
      </c>
      <c r="D953" s="12">
        <f t="shared" si="134"/>
        <v>2.5862499999999677E-2</v>
      </c>
      <c r="E953" s="12">
        <f>SUM($D$19:D953)</f>
        <v>13.465312499999982</v>
      </c>
      <c r="F953" s="12">
        <f t="shared" si="130"/>
        <v>141.17273099371096</v>
      </c>
      <c r="G953" s="12">
        <f t="shared" si="131"/>
        <v>104.39754380058594</v>
      </c>
      <c r="H953" s="12">
        <f t="shared" si="135"/>
        <v>508200</v>
      </c>
      <c r="I953" s="12">
        <f t="shared" si="136"/>
        <v>375800</v>
      </c>
      <c r="J953" s="12">
        <f>IF(A953&lt;[3]关卡对接!$A$4,INDEX([3]关卡对接!$C$7:$C$141,A953),MATCH(E953,人物经验!$H$24:$H$573,1))</f>
        <v>365</v>
      </c>
      <c r="K953" s="12">
        <f>IF([3]关卡对接!F941="",INT(INDEX(人物经验!$J$24:$J$573,关卡!J953)*关卡!$S$7),[3]关卡对接!F941)</f>
        <v>12676</v>
      </c>
      <c r="L953" s="12">
        <f t="shared" si="137"/>
        <v>1.8</v>
      </c>
      <c r="M953" s="12">
        <f>L953/[4]货币基础!$B$4</f>
        <v>180</v>
      </c>
      <c r="N953" s="12">
        <f>IF(A953&lt;[3]关卡对接!$A$4,INDEX([3]关卡对接!$E$7:$E$141,A953),MATCH(E953,人物经验!$H$24:$H$573,1))</f>
        <v>365</v>
      </c>
      <c r="O953" s="12">
        <f>INDEX([2]关卡!$G$6:$G$2005,A953)</f>
        <v>3</v>
      </c>
      <c r="P953" s="13">
        <v>6</v>
      </c>
      <c r="Q953" s="12">
        <f>INT(P953/$S$15/O953*VLOOKUP(J953,[1]人物技能基础!$N$3:$O$553,2,0)*$U$15)</f>
        <v>9</v>
      </c>
      <c r="R953" s="12">
        <f t="shared" si="138"/>
        <v>112</v>
      </c>
    </row>
    <row r="954" spans="1:18" x14ac:dyDescent="0.15">
      <c r="A954" s="12">
        <v>936</v>
      </c>
      <c r="B954" s="12">
        <f t="shared" si="132"/>
        <v>5</v>
      </c>
      <c r="C954" s="12">
        <f t="shared" si="133"/>
        <v>3.2912000000000008</v>
      </c>
      <c r="D954" s="12">
        <f t="shared" si="134"/>
        <v>2.5887500000000507E-2</v>
      </c>
      <c r="E954" s="12">
        <f>SUM($D$19:D954)</f>
        <v>13.491199999999981</v>
      </c>
      <c r="F954" s="12">
        <f t="shared" si="130"/>
        <v>141.49640311782403</v>
      </c>
      <c r="G954" s="12">
        <f t="shared" si="131"/>
        <v>104.58637849472001</v>
      </c>
      <c r="H954" s="12">
        <f t="shared" si="135"/>
        <v>509300</v>
      </c>
      <c r="I954" s="12">
        <f t="shared" si="136"/>
        <v>376500</v>
      </c>
      <c r="J954" s="12">
        <f>IF(A954&lt;[3]关卡对接!$A$4,INDEX([3]关卡对接!$C$7:$C$141,A954),MATCH(E954,人物经验!$H$24:$H$573,1))</f>
        <v>365</v>
      </c>
      <c r="K954" s="12">
        <f>IF([3]关卡对接!F942="",INT(INDEX(人物经验!$J$24:$J$573,关卡!J954)*关卡!$S$7),[3]关卡对接!F942)</f>
        <v>12676</v>
      </c>
      <c r="L954" s="12">
        <f t="shared" si="137"/>
        <v>1.8</v>
      </c>
      <c r="M954" s="12">
        <f>L954/[4]货币基础!$B$4</f>
        <v>180</v>
      </c>
      <c r="N954" s="12">
        <f>IF(A954&lt;[3]关卡对接!$A$4,INDEX([3]关卡对接!$E$7:$E$141,A954),MATCH(E954,人物经验!$H$24:$H$573,1))</f>
        <v>365</v>
      </c>
      <c r="O954" s="12">
        <f>INDEX([2]关卡!$G$6:$G$2005,A954)</f>
        <v>3</v>
      </c>
      <c r="P954" s="13">
        <v>6</v>
      </c>
      <c r="Q954" s="12">
        <f>INT(P954/$S$15/O954*VLOOKUP(J954,[1]人物技能基础!$N$3:$O$553,2,0)*$U$15)</f>
        <v>9</v>
      </c>
      <c r="R954" s="12">
        <f t="shared" si="138"/>
        <v>112</v>
      </c>
    </row>
    <row r="955" spans="1:18" x14ac:dyDescent="0.15">
      <c r="A955" s="12">
        <v>937</v>
      </c>
      <c r="B955" s="12">
        <f t="shared" si="132"/>
        <v>5</v>
      </c>
      <c r="C955" s="12">
        <f t="shared" si="133"/>
        <v>3.3171125000000004</v>
      </c>
      <c r="D955" s="12">
        <f t="shared" si="134"/>
        <v>2.5912499999999561E-2</v>
      </c>
      <c r="E955" s="12">
        <f>SUM($D$19:D955)</f>
        <v>13.517112499999982</v>
      </c>
      <c r="F955" s="12">
        <f t="shared" si="130"/>
        <v>141.82064801371496</v>
      </c>
      <c r="G955" s="12">
        <f t="shared" si="131"/>
        <v>104.77545591070594</v>
      </c>
      <c r="H955" s="12">
        <f t="shared" si="135"/>
        <v>510500</v>
      </c>
      <c r="I955" s="12">
        <f t="shared" si="136"/>
        <v>377100</v>
      </c>
      <c r="J955" s="12">
        <f>IF(A955&lt;[3]关卡对接!$A$4,INDEX([3]关卡对接!$C$7:$C$141,A955),MATCH(E955,人物经验!$H$24:$H$573,1))</f>
        <v>365</v>
      </c>
      <c r="K955" s="12">
        <f>IF([3]关卡对接!F943="",INT(INDEX(人物经验!$J$24:$J$573,关卡!J955)*关卡!$S$7),[3]关卡对接!F943)</f>
        <v>12676</v>
      </c>
      <c r="L955" s="12">
        <f t="shared" si="137"/>
        <v>1.8</v>
      </c>
      <c r="M955" s="12">
        <f>L955/[4]货币基础!$B$4</f>
        <v>180</v>
      </c>
      <c r="N955" s="12">
        <f>IF(A955&lt;[3]关卡对接!$A$4,INDEX([3]关卡对接!$E$7:$E$141,A955),MATCH(E955,人物经验!$H$24:$H$573,1))</f>
        <v>365</v>
      </c>
      <c r="O955" s="12">
        <f>INDEX([2]关卡!$G$6:$G$2005,A955)</f>
        <v>3</v>
      </c>
      <c r="P955" s="13">
        <v>6</v>
      </c>
      <c r="Q955" s="12">
        <f>INT(P955/$S$15/O955*VLOOKUP(J955,[1]人物技能基础!$N$3:$O$553,2,0)*$U$15)</f>
        <v>9</v>
      </c>
      <c r="R955" s="12">
        <f t="shared" si="138"/>
        <v>112</v>
      </c>
    </row>
    <row r="956" spans="1:18" x14ac:dyDescent="0.15">
      <c r="A956" s="12">
        <v>938</v>
      </c>
      <c r="B956" s="12">
        <f t="shared" si="132"/>
        <v>5</v>
      </c>
      <c r="C956" s="12">
        <f t="shared" si="133"/>
        <v>3.3430500000000003</v>
      </c>
      <c r="D956" s="12">
        <f t="shared" si="134"/>
        <v>2.5937499999999947E-2</v>
      </c>
      <c r="E956" s="12">
        <f>SUM($D$19:D956)</f>
        <v>13.543049999999981</v>
      </c>
      <c r="F956" s="12">
        <f t="shared" si="130"/>
        <v>142.14546646687899</v>
      </c>
      <c r="G956" s="12">
        <f t="shared" si="131"/>
        <v>104.96477629449498</v>
      </c>
      <c r="H956" s="12">
        <f t="shared" si="135"/>
        <v>511700</v>
      </c>
      <c r="I956" s="12">
        <f t="shared" si="136"/>
        <v>377800</v>
      </c>
      <c r="J956" s="12">
        <f>IF(A956&lt;[3]关卡对接!$A$4,INDEX([3]关卡对接!$C$7:$C$141,A956),MATCH(E956,人物经验!$H$24:$H$573,1))</f>
        <v>365</v>
      </c>
      <c r="K956" s="12">
        <f>IF([3]关卡对接!F944="",INT(INDEX(人物经验!$J$24:$J$573,关卡!J956)*关卡!$S$7),[3]关卡对接!F944)</f>
        <v>12676</v>
      </c>
      <c r="L956" s="12">
        <f t="shared" si="137"/>
        <v>1.8</v>
      </c>
      <c r="M956" s="12">
        <f>L956/[4]货币基础!$B$4</f>
        <v>180</v>
      </c>
      <c r="N956" s="12">
        <f>IF(A956&lt;[3]关卡对接!$A$4,INDEX([3]关卡对接!$E$7:$E$141,A956),MATCH(E956,人物经验!$H$24:$H$573,1))</f>
        <v>365</v>
      </c>
      <c r="O956" s="12">
        <f>INDEX([2]关卡!$G$6:$G$2005,A956)</f>
        <v>3</v>
      </c>
      <c r="P956" s="13">
        <v>6</v>
      </c>
      <c r="Q956" s="12">
        <f>INT(P956/$S$15/O956*VLOOKUP(J956,[1]人物技能基础!$N$3:$O$553,2,0)*$U$15)</f>
        <v>9</v>
      </c>
      <c r="R956" s="12">
        <f t="shared" si="138"/>
        <v>112</v>
      </c>
    </row>
    <row r="957" spans="1:18" x14ac:dyDescent="0.15">
      <c r="A957" s="12">
        <v>939</v>
      </c>
      <c r="B957" s="12">
        <f t="shared" si="132"/>
        <v>5</v>
      </c>
      <c r="C957" s="12">
        <f t="shared" si="133"/>
        <v>3.3690124999999997</v>
      </c>
      <c r="D957" s="12">
        <f t="shared" si="134"/>
        <v>2.5962499999999444E-2</v>
      </c>
      <c r="E957" s="12">
        <f>SUM($D$19:D957)</f>
        <v>13.569012499999982</v>
      </c>
      <c r="F957" s="12">
        <f t="shared" si="130"/>
        <v>142.47085926340992</v>
      </c>
      <c r="G957" s="12">
        <f t="shared" si="131"/>
        <v>105.15433989218091</v>
      </c>
      <c r="H957" s="12">
        <f t="shared" si="135"/>
        <v>512800</v>
      </c>
      <c r="I957" s="12">
        <f t="shared" si="136"/>
        <v>378500</v>
      </c>
      <c r="J957" s="12">
        <f>IF(A957&lt;[3]关卡对接!$A$4,INDEX([3]关卡对接!$C$7:$C$141,A957),MATCH(E957,人物经验!$H$24:$H$573,1))</f>
        <v>365</v>
      </c>
      <c r="K957" s="12">
        <f>IF([3]关卡对接!F945="",INT(INDEX(人物经验!$J$24:$J$573,关卡!J957)*关卡!$S$7),[3]关卡对接!F945)</f>
        <v>12676</v>
      </c>
      <c r="L957" s="12">
        <f t="shared" si="137"/>
        <v>1.8</v>
      </c>
      <c r="M957" s="12">
        <f>L957/[4]货币基础!$B$4</f>
        <v>180</v>
      </c>
      <c r="N957" s="12">
        <f>IF(A957&lt;[3]关卡对接!$A$4,INDEX([3]关卡对接!$E$7:$E$141,A957),MATCH(E957,人物经验!$H$24:$H$573,1))</f>
        <v>365</v>
      </c>
      <c r="O957" s="12">
        <f>INDEX([2]关卡!$G$6:$G$2005,A957)</f>
        <v>3</v>
      </c>
      <c r="P957" s="13">
        <v>6</v>
      </c>
      <c r="Q957" s="12">
        <f>INT(P957/$S$15/O957*VLOOKUP(J957,[1]人物技能基础!$N$3:$O$553,2,0)*$U$15)</f>
        <v>9</v>
      </c>
      <c r="R957" s="12">
        <f t="shared" si="138"/>
        <v>112</v>
      </c>
    </row>
    <row r="958" spans="1:18" x14ac:dyDescent="0.15">
      <c r="A958" s="12">
        <v>940</v>
      </c>
      <c r="B958" s="12">
        <f t="shared" si="132"/>
        <v>5</v>
      </c>
      <c r="C958" s="12">
        <f t="shared" si="133"/>
        <v>3.3950000000000005</v>
      </c>
      <c r="D958" s="12">
        <f t="shared" si="134"/>
        <v>2.5987500000000718E-2</v>
      </c>
      <c r="E958" s="12">
        <f>SUM($D$19:D958)</f>
        <v>13.594999999999983</v>
      </c>
      <c r="F958" s="12">
        <f t="shared" si="130"/>
        <v>142.79682718999999</v>
      </c>
      <c r="G958" s="12">
        <f t="shared" si="131"/>
        <v>105.34414695</v>
      </c>
      <c r="H958" s="12">
        <f t="shared" si="135"/>
        <v>514000</v>
      </c>
      <c r="I958" s="12">
        <f t="shared" si="136"/>
        <v>379200</v>
      </c>
      <c r="J958" s="12">
        <f>IF(A958&lt;[3]关卡对接!$A$4,INDEX([3]关卡对接!$C$7:$C$141,A958),MATCH(E958,人物经验!$H$24:$H$573,1))</f>
        <v>365</v>
      </c>
      <c r="K958" s="12">
        <f>IF([3]关卡对接!F946="",INT(INDEX(人物经验!$J$24:$J$573,关卡!J958)*关卡!$S$7),[3]关卡对接!F946)</f>
        <v>12676</v>
      </c>
      <c r="L958" s="12">
        <f t="shared" si="137"/>
        <v>1.8</v>
      </c>
      <c r="M958" s="12">
        <f>L958/[4]货币基础!$B$4</f>
        <v>180</v>
      </c>
      <c r="N958" s="12">
        <f>IF(A958&lt;[3]关卡对接!$A$4,INDEX([3]关卡对接!$E$7:$E$141,A958),MATCH(E958,人物经验!$H$24:$H$573,1))</f>
        <v>365</v>
      </c>
      <c r="O958" s="12">
        <f>INDEX([2]关卡!$G$6:$G$2005,A958)</f>
        <v>3</v>
      </c>
      <c r="P958" s="13">
        <v>6</v>
      </c>
      <c r="Q958" s="12">
        <f>INT(P958/$S$15/O958*VLOOKUP(J958,[1]人物技能基础!$N$3:$O$553,2,0)*$U$15)</f>
        <v>9</v>
      </c>
      <c r="R958" s="12">
        <f t="shared" si="138"/>
        <v>112</v>
      </c>
    </row>
    <row r="959" spans="1:18" x14ac:dyDescent="0.15">
      <c r="A959" s="12">
        <v>941</v>
      </c>
      <c r="B959" s="12">
        <f t="shared" si="132"/>
        <v>5</v>
      </c>
      <c r="C959" s="12">
        <f t="shared" si="133"/>
        <v>3.4210124999999998</v>
      </c>
      <c r="D959" s="12">
        <f t="shared" si="134"/>
        <v>2.6012499999999328E-2</v>
      </c>
      <c r="E959" s="12">
        <f>SUM($D$19:D959)</f>
        <v>13.621012499999981</v>
      </c>
      <c r="F959" s="12">
        <f t="shared" si="130"/>
        <v>143.12337103393992</v>
      </c>
      <c r="G959" s="12">
        <f t="shared" si="131"/>
        <v>105.53419771433093</v>
      </c>
      <c r="H959" s="12">
        <f t="shared" si="135"/>
        <v>515200</v>
      </c>
      <c r="I959" s="12">
        <f t="shared" si="136"/>
        <v>379900</v>
      </c>
      <c r="J959" s="12">
        <f>IF(A959&lt;[3]关卡对接!$A$4,INDEX([3]关卡对接!$C$7:$C$141,A959),MATCH(E959,人物经验!$H$24:$H$573,1))</f>
        <v>366</v>
      </c>
      <c r="K959" s="12">
        <f>IF([3]关卡对接!F947="",INT(INDEX(人物经验!$J$24:$J$573,关卡!J959)*关卡!$S$7),[3]关卡对接!F947)</f>
        <v>12851</v>
      </c>
      <c r="L959" s="12">
        <f t="shared" si="137"/>
        <v>1.8</v>
      </c>
      <c r="M959" s="12">
        <f>L959/[4]货币基础!$B$4</f>
        <v>180</v>
      </c>
      <c r="N959" s="12">
        <f>IF(A959&lt;[3]关卡对接!$A$4,INDEX([3]关卡对接!$E$7:$E$141,A959),MATCH(E959,人物经验!$H$24:$H$573,1))</f>
        <v>366</v>
      </c>
      <c r="O959" s="12">
        <f>INDEX([2]关卡!$G$6:$G$2005,A959)</f>
        <v>3</v>
      </c>
      <c r="P959" s="13">
        <v>6</v>
      </c>
      <c r="Q959" s="12">
        <f>INT(P959/$S$15/O959*VLOOKUP(J959,[1]人物技能基础!$N$3:$O$553,2,0)*$U$15)</f>
        <v>9</v>
      </c>
      <c r="R959" s="12">
        <f t="shared" si="138"/>
        <v>112</v>
      </c>
    </row>
    <row r="960" spans="1:18" x14ac:dyDescent="0.15">
      <c r="A960" s="12">
        <v>942</v>
      </c>
      <c r="B960" s="12">
        <f t="shared" si="132"/>
        <v>5</v>
      </c>
      <c r="C960" s="12">
        <f t="shared" si="133"/>
        <v>3.4470499999999999</v>
      </c>
      <c r="D960" s="12">
        <f t="shared" si="134"/>
        <v>2.6037500000000158E-2</v>
      </c>
      <c r="E960" s="12">
        <f>SUM($D$19:D960)</f>
        <v>13.647049999999982</v>
      </c>
      <c r="F960" s="12">
        <f t="shared" si="130"/>
        <v>143.45049158311897</v>
      </c>
      <c r="G960" s="12">
        <f t="shared" si="131"/>
        <v>105.72449243169498</v>
      </c>
      <c r="H960" s="12">
        <f t="shared" si="135"/>
        <v>516400</v>
      </c>
      <c r="I960" s="12">
        <f t="shared" si="136"/>
        <v>380600</v>
      </c>
      <c r="J960" s="12">
        <f>IF(A960&lt;[3]关卡对接!$A$4,INDEX([3]关卡对接!$C$7:$C$141,A960),MATCH(E960,人物经验!$H$24:$H$573,1))</f>
        <v>366</v>
      </c>
      <c r="K960" s="12">
        <f>IF([3]关卡对接!F948="",INT(INDEX(人物经验!$J$24:$J$573,关卡!J960)*关卡!$S$7),[3]关卡对接!F948)</f>
        <v>12851</v>
      </c>
      <c r="L960" s="12">
        <f t="shared" si="137"/>
        <v>1.8</v>
      </c>
      <c r="M960" s="12">
        <f>L960/[4]货币基础!$B$4</f>
        <v>180</v>
      </c>
      <c r="N960" s="12">
        <f>IF(A960&lt;[3]关卡对接!$A$4,INDEX([3]关卡对接!$E$7:$E$141,A960),MATCH(E960,人物经验!$H$24:$H$573,1))</f>
        <v>366</v>
      </c>
      <c r="O960" s="12">
        <f>INDEX([2]关卡!$G$6:$G$2005,A960)</f>
        <v>3</v>
      </c>
      <c r="P960" s="13">
        <v>6</v>
      </c>
      <c r="Q960" s="12">
        <f>INT(P960/$S$15/O960*VLOOKUP(J960,[1]人物技能基础!$N$3:$O$553,2,0)*$U$15)</f>
        <v>9</v>
      </c>
      <c r="R960" s="12">
        <f t="shared" si="138"/>
        <v>112</v>
      </c>
    </row>
    <row r="961" spans="1:18" x14ac:dyDescent="0.15">
      <c r="A961" s="12">
        <v>943</v>
      </c>
      <c r="B961" s="12">
        <f t="shared" si="132"/>
        <v>5</v>
      </c>
      <c r="C961" s="12">
        <f t="shared" si="133"/>
        <v>3.4731124999999996</v>
      </c>
      <c r="D961" s="12">
        <f t="shared" si="134"/>
        <v>2.6062499999999655E-2</v>
      </c>
      <c r="E961" s="12">
        <f>SUM($D$19:D961)</f>
        <v>13.673112499999982</v>
      </c>
      <c r="F961" s="12">
        <f t="shared" si="130"/>
        <v>143.77818962602493</v>
      </c>
      <c r="G961" s="12">
        <f t="shared" si="131"/>
        <v>105.91503134875593</v>
      </c>
      <c r="H961" s="12">
        <f t="shared" si="135"/>
        <v>517600</v>
      </c>
      <c r="I961" s="12">
        <f t="shared" si="136"/>
        <v>381200</v>
      </c>
      <c r="J961" s="12">
        <f>IF(A961&lt;[3]关卡对接!$A$4,INDEX([3]关卡对接!$C$7:$C$141,A961),MATCH(E961,人物经验!$H$24:$H$573,1))</f>
        <v>366</v>
      </c>
      <c r="K961" s="12">
        <f>IF([3]关卡对接!F949="",INT(INDEX(人物经验!$J$24:$J$573,关卡!J961)*关卡!$S$7),[3]关卡对接!F949)</f>
        <v>12851</v>
      </c>
      <c r="L961" s="12">
        <f t="shared" si="137"/>
        <v>1.8</v>
      </c>
      <c r="M961" s="12">
        <f>L961/[4]货币基础!$B$4</f>
        <v>180</v>
      </c>
      <c r="N961" s="12">
        <f>IF(A961&lt;[3]关卡对接!$A$4,INDEX([3]关卡对接!$E$7:$E$141,A961),MATCH(E961,人物经验!$H$24:$H$573,1))</f>
        <v>366</v>
      </c>
      <c r="O961" s="12">
        <f>INDEX([2]关卡!$G$6:$G$2005,A961)</f>
        <v>3</v>
      </c>
      <c r="P961" s="13">
        <v>6</v>
      </c>
      <c r="Q961" s="12">
        <f>INT(P961/$S$15/O961*VLOOKUP(J961,[1]人物技能基础!$N$3:$O$553,2,0)*$U$15)</f>
        <v>9</v>
      </c>
      <c r="R961" s="12">
        <f t="shared" si="138"/>
        <v>112</v>
      </c>
    </row>
    <row r="962" spans="1:18" x14ac:dyDescent="0.15">
      <c r="A962" s="12">
        <v>944</v>
      </c>
      <c r="B962" s="12">
        <f t="shared" si="132"/>
        <v>5</v>
      </c>
      <c r="C962" s="12">
        <f t="shared" si="133"/>
        <v>3.4992000000000001</v>
      </c>
      <c r="D962" s="12">
        <f t="shared" si="134"/>
        <v>2.6087500000000485E-2</v>
      </c>
      <c r="E962" s="12">
        <f>SUM($D$19:D962)</f>
        <v>13.699199999999983</v>
      </c>
      <c r="F962" s="12">
        <f t="shared" si="130"/>
        <v>144.10646595174398</v>
      </c>
      <c r="G962" s="12">
        <f t="shared" si="131"/>
        <v>106.10581471231998</v>
      </c>
      <c r="H962" s="12">
        <f t="shared" si="135"/>
        <v>518700</v>
      </c>
      <c r="I962" s="12">
        <f t="shared" si="136"/>
        <v>381900</v>
      </c>
      <c r="J962" s="12">
        <f>IF(A962&lt;[3]关卡对接!$A$4,INDEX([3]关卡对接!$C$7:$C$141,A962),MATCH(E962,人物经验!$H$24:$H$573,1))</f>
        <v>366</v>
      </c>
      <c r="K962" s="12">
        <f>IF([3]关卡对接!F950="",INT(INDEX(人物经验!$J$24:$J$573,关卡!J962)*关卡!$S$7),[3]关卡对接!F950)</f>
        <v>12851</v>
      </c>
      <c r="L962" s="12">
        <f t="shared" si="137"/>
        <v>1.8</v>
      </c>
      <c r="M962" s="12">
        <f>L962/[4]货币基础!$B$4</f>
        <v>180</v>
      </c>
      <c r="N962" s="12">
        <f>IF(A962&lt;[3]关卡对接!$A$4,INDEX([3]关卡对接!$E$7:$E$141,A962),MATCH(E962,人物经验!$H$24:$H$573,1))</f>
        <v>366</v>
      </c>
      <c r="O962" s="12">
        <f>INDEX([2]关卡!$G$6:$G$2005,A962)</f>
        <v>3</v>
      </c>
      <c r="P962" s="13">
        <v>6</v>
      </c>
      <c r="Q962" s="12">
        <f>INT(P962/$S$15/O962*VLOOKUP(J962,[1]人物技能基础!$N$3:$O$553,2,0)*$U$15)</f>
        <v>9</v>
      </c>
      <c r="R962" s="12">
        <f t="shared" si="138"/>
        <v>112</v>
      </c>
    </row>
    <row r="963" spans="1:18" x14ac:dyDescent="0.15">
      <c r="A963" s="12">
        <v>945</v>
      </c>
      <c r="B963" s="12">
        <f t="shared" si="132"/>
        <v>5</v>
      </c>
      <c r="C963" s="12">
        <f t="shared" si="133"/>
        <v>3.5253124999999996</v>
      </c>
      <c r="D963" s="12">
        <f t="shared" si="134"/>
        <v>2.6112499999999539E-2</v>
      </c>
      <c r="E963" s="12">
        <f>SUM($D$19:D963)</f>
        <v>13.725312499999983</v>
      </c>
      <c r="F963" s="12">
        <f t="shared" si="130"/>
        <v>144.43532134996096</v>
      </c>
      <c r="G963" s="12">
        <f t="shared" si="131"/>
        <v>106.29684276933591</v>
      </c>
      <c r="H963" s="12">
        <f t="shared" si="135"/>
        <v>519900</v>
      </c>
      <c r="I963" s="12">
        <f t="shared" si="136"/>
        <v>382600</v>
      </c>
      <c r="J963" s="12">
        <f>IF(A963&lt;[3]关卡对接!$A$4,INDEX([3]关卡对接!$C$7:$C$141,A963),MATCH(E963,人物经验!$H$24:$H$573,1))</f>
        <v>366</v>
      </c>
      <c r="K963" s="12">
        <f>IF([3]关卡对接!F951="",INT(INDEX(人物经验!$J$24:$J$573,关卡!J963)*关卡!$S$7),[3]关卡对接!F951)</f>
        <v>12851</v>
      </c>
      <c r="L963" s="12">
        <f t="shared" si="137"/>
        <v>1.8</v>
      </c>
      <c r="M963" s="12">
        <f>L963/[4]货币基础!$B$4</f>
        <v>180</v>
      </c>
      <c r="N963" s="12">
        <f>IF(A963&lt;[3]关卡对接!$A$4,INDEX([3]关卡对接!$E$7:$E$141,A963),MATCH(E963,人物经验!$H$24:$H$573,1))</f>
        <v>366</v>
      </c>
      <c r="O963" s="12">
        <f>INDEX([2]关卡!$G$6:$G$2005,A963)</f>
        <v>3</v>
      </c>
      <c r="P963" s="13">
        <v>6</v>
      </c>
      <c r="Q963" s="12">
        <f>INT(P963/$S$15/O963*VLOOKUP(J963,[1]人物技能基础!$N$3:$O$553,2,0)*$U$15)</f>
        <v>9</v>
      </c>
      <c r="R963" s="12">
        <f t="shared" si="138"/>
        <v>112</v>
      </c>
    </row>
    <row r="964" spans="1:18" x14ac:dyDescent="0.15">
      <c r="A964" s="12">
        <v>946</v>
      </c>
      <c r="B964" s="12">
        <f t="shared" si="132"/>
        <v>5</v>
      </c>
      <c r="C964" s="12">
        <f t="shared" si="133"/>
        <v>3.55145</v>
      </c>
      <c r="D964" s="12">
        <f t="shared" si="134"/>
        <v>2.6137500000000369E-2</v>
      </c>
      <c r="E964" s="12">
        <f>SUM($D$19:D964)</f>
        <v>13.751449999999984</v>
      </c>
      <c r="F964" s="12">
        <f t="shared" si="130"/>
        <v>144.76475661095901</v>
      </c>
      <c r="G964" s="12">
        <f t="shared" si="131"/>
        <v>106.48811576689499</v>
      </c>
      <c r="H964" s="12">
        <f t="shared" si="135"/>
        <v>521100</v>
      </c>
      <c r="I964" s="12">
        <f t="shared" si="136"/>
        <v>383300</v>
      </c>
      <c r="J964" s="12">
        <f>IF(A964&lt;[3]关卡对接!$A$4,INDEX([3]关卡对接!$C$7:$C$141,A964),MATCH(E964,人物经验!$H$24:$H$573,1))</f>
        <v>367</v>
      </c>
      <c r="K964" s="12">
        <f>IF([3]关卡对接!F952="",INT(INDEX(人物经验!$J$24:$J$573,关卡!J964)*关卡!$S$7),[3]关卡对接!F952)</f>
        <v>12999</v>
      </c>
      <c r="L964" s="12">
        <f t="shared" si="137"/>
        <v>1.8</v>
      </c>
      <c r="M964" s="12">
        <f>L964/[4]货币基础!$B$4</f>
        <v>180</v>
      </c>
      <c r="N964" s="12">
        <f>IF(A964&lt;[3]关卡对接!$A$4,INDEX([3]关卡对接!$E$7:$E$141,A964),MATCH(E964,人物经验!$H$24:$H$573,1))</f>
        <v>367</v>
      </c>
      <c r="O964" s="12">
        <f>INDEX([2]关卡!$G$6:$G$2005,A964)</f>
        <v>3</v>
      </c>
      <c r="P964" s="13">
        <v>6</v>
      </c>
      <c r="Q964" s="12">
        <f>INT(P964/$S$15/O964*VLOOKUP(J964,[1]人物技能基础!$N$3:$O$553,2,0)*$U$15)</f>
        <v>9</v>
      </c>
      <c r="R964" s="12">
        <f t="shared" si="138"/>
        <v>112</v>
      </c>
    </row>
    <row r="965" spans="1:18" x14ac:dyDescent="0.15">
      <c r="A965" s="12">
        <v>947</v>
      </c>
      <c r="B965" s="12">
        <f t="shared" si="132"/>
        <v>5</v>
      </c>
      <c r="C965" s="12">
        <f t="shared" si="133"/>
        <v>3.5776124999999999</v>
      </c>
      <c r="D965" s="12">
        <f t="shared" si="134"/>
        <v>2.6162499999999866E-2</v>
      </c>
      <c r="E965" s="12">
        <f>SUM($D$19:D965)</f>
        <v>13.777612499999984</v>
      </c>
      <c r="F965" s="12">
        <f t="shared" si="130"/>
        <v>145.09477252561993</v>
      </c>
      <c r="G965" s="12">
        <f t="shared" si="131"/>
        <v>106.67963395223093</v>
      </c>
      <c r="H965" s="12">
        <f t="shared" si="135"/>
        <v>522300</v>
      </c>
      <c r="I965" s="12">
        <f t="shared" si="136"/>
        <v>384000</v>
      </c>
      <c r="J965" s="12">
        <f>IF(A965&lt;[3]关卡对接!$A$4,INDEX([3]关卡对接!$C$7:$C$141,A965),MATCH(E965,人物经验!$H$24:$H$573,1))</f>
        <v>367</v>
      </c>
      <c r="K965" s="12">
        <f>IF([3]关卡对接!F953="",INT(INDEX(人物经验!$J$24:$J$573,关卡!J965)*关卡!$S$7),[3]关卡对接!F953)</f>
        <v>12999</v>
      </c>
      <c r="L965" s="12">
        <f t="shared" si="137"/>
        <v>1.8</v>
      </c>
      <c r="M965" s="12">
        <f>L965/[4]货币基础!$B$4</f>
        <v>180</v>
      </c>
      <c r="N965" s="12">
        <f>IF(A965&lt;[3]关卡对接!$A$4,INDEX([3]关卡对接!$E$7:$E$141,A965),MATCH(E965,人物经验!$H$24:$H$573,1))</f>
        <v>367</v>
      </c>
      <c r="O965" s="12">
        <f>INDEX([2]关卡!$G$6:$G$2005,A965)</f>
        <v>3</v>
      </c>
      <c r="P965" s="13">
        <v>6</v>
      </c>
      <c r="Q965" s="12">
        <f>INT(P965/$S$15/O965*VLOOKUP(J965,[1]人物技能基础!$N$3:$O$553,2,0)*$U$15)</f>
        <v>9</v>
      </c>
      <c r="R965" s="12">
        <f t="shared" si="138"/>
        <v>112</v>
      </c>
    </row>
    <row r="966" spans="1:18" x14ac:dyDescent="0.15">
      <c r="A966" s="12">
        <v>948</v>
      </c>
      <c r="B966" s="12">
        <f t="shared" si="132"/>
        <v>5</v>
      </c>
      <c r="C966" s="12">
        <f t="shared" si="133"/>
        <v>3.6038000000000006</v>
      </c>
      <c r="D966" s="12">
        <f t="shared" si="134"/>
        <v>2.6187500000000696E-2</v>
      </c>
      <c r="E966" s="12">
        <f>SUM($D$19:D966)</f>
        <v>13.803799999999985</v>
      </c>
      <c r="F966" s="12">
        <f t="shared" si="130"/>
        <v>145.425369885424</v>
      </c>
      <c r="G966" s="12">
        <f t="shared" si="131"/>
        <v>106.87139757271999</v>
      </c>
      <c r="H966" s="12">
        <f t="shared" si="135"/>
        <v>523500</v>
      </c>
      <c r="I966" s="12">
        <f t="shared" si="136"/>
        <v>384700</v>
      </c>
      <c r="J966" s="12">
        <f>IF(A966&lt;[3]关卡对接!$A$4,INDEX([3]关卡对接!$C$7:$C$141,A966),MATCH(E966,人物经验!$H$24:$H$573,1))</f>
        <v>367</v>
      </c>
      <c r="K966" s="12">
        <f>IF([3]关卡对接!F954="",INT(INDEX(人物经验!$J$24:$J$573,关卡!J966)*关卡!$S$7),[3]关卡对接!F954)</f>
        <v>12999</v>
      </c>
      <c r="L966" s="12">
        <f t="shared" si="137"/>
        <v>1.8</v>
      </c>
      <c r="M966" s="12">
        <f>L966/[4]货币基础!$B$4</f>
        <v>180</v>
      </c>
      <c r="N966" s="12">
        <f>IF(A966&lt;[3]关卡对接!$A$4,INDEX([3]关卡对接!$E$7:$E$141,A966),MATCH(E966,人物经验!$H$24:$H$573,1))</f>
        <v>367</v>
      </c>
      <c r="O966" s="12">
        <f>INDEX([2]关卡!$G$6:$G$2005,A966)</f>
        <v>3</v>
      </c>
      <c r="P966" s="13">
        <v>6</v>
      </c>
      <c r="Q966" s="12">
        <f>INT(P966/$S$15/O966*VLOOKUP(J966,[1]人物技能基础!$N$3:$O$553,2,0)*$U$15)</f>
        <v>9</v>
      </c>
      <c r="R966" s="12">
        <f t="shared" si="138"/>
        <v>112</v>
      </c>
    </row>
    <row r="967" spans="1:18" x14ac:dyDescent="0.15">
      <c r="A967" s="12">
        <v>949</v>
      </c>
      <c r="B967" s="12">
        <f t="shared" si="132"/>
        <v>5</v>
      </c>
      <c r="C967" s="12">
        <f t="shared" si="133"/>
        <v>3.6300124999999999</v>
      </c>
      <c r="D967" s="12">
        <f t="shared" si="134"/>
        <v>2.6212499999999306E-2</v>
      </c>
      <c r="E967" s="12">
        <f>SUM($D$19:D967)</f>
        <v>13.830012499999984</v>
      </c>
      <c r="F967" s="12">
        <f t="shared" si="130"/>
        <v>145.75654948244991</v>
      </c>
      <c r="G967" s="12">
        <f t="shared" si="131"/>
        <v>107.06340687588091</v>
      </c>
      <c r="H967" s="12">
        <f t="shared" si="135"/>
        <v>524700</v>
      </c>
      <c r="I967" s="12">
        <f t="shared" si="136"/>
        <v>385400</v>
      </c>
      <c r="J967" s="12">
        <f>IF(A967&lt;[3]关卡对接!$A$4,INDEX([3]关卡对接!$C$7:$C$141,A967),MATCH(E967,人物经验!$H$24:$H$573,1))</f>
        <v>367</v>
      </c>
      <c r="K967" s="12">
        <f>IF([3]关卡对接!F955="",INT(INDEX(人物经验!$J$24:$J$573,关卡!J967)*关卡!$S$7),[3]关卡对接!F955)</f>
        <v>12999</v>
      </c>
      <c r="L967" s="12">
        <f t="shared" si="137"/>
        <v>1.8</v>
      </c>
      <c r="M967" s="12">
        <f>L967/[4]货币基础!$B$4</f>
        <v>180</v>
      </c>
      <c r="N967" s="12">
        <f>IF(A967&lt;[3]关卡对接!$A$4,INDEX([3]关卡对接!$E$7:$E$141,A967),MATCH(E967,人物经验!$H$24:$H$573,1))</f>
        <v>367</v>
      </c>
      <c r="O967" s="12">
        <f>INDEX([2]关卡!$G$6:$G$2005,A967)</f>
        <v>3</v>
      </c>
      <c r="P967" s="13">
        <v>6</v>
      </c>
      <c r="Q967" s="12">
        <f>INT(P967/$S$15/O967*VLOOKUP(J967,[1]人物技能基础!$N$3:$O$553,2,0)*$U$15)</f>
        <v>9</v>
      </c>
      <c r="R967" s="12">
        <f t="shared" si="138"/>
        <v>112</v>
      </c>
    </row>
    <row r="968" spans="1:18" x14ac:dyDescent="0.15">
      <c r="A968" s="12">
        <v>950</v>
      </c>
      <c r="B968" s="12">
        <f t="shared" si="132"/>
        <v>5</v>
      </c>
      <c r="C968" s="12">
        <f t="shared" si="133"/>
        <v>3.6562500000000004</v>
      </c>
      <c r="D968" s="12">
        <f t="shared" si="134"/>
        <v>2.623750000000058E-2</v>
      </c>
      <c r="E968" s="12">
        <f>SUM($D$19:D968)</f>
        <v>13.856249999999985</v>
      </c>
      <c r="F968" s="12">
        <f t="shared" si="130"/>
        <v>146.08831210937501</v>
      </c>
      <c r="G968" s="12">
        <f t="shared" si="131"/>
        <v>107.255662109375</v>
      </c>
      <c r="H968" s="12">
        <f t="shared" si="135"/>
        <v>525900</v>
      </c>
      <c r="I968" s="12">
        <f t="shared" si="136"/>
        <v>386100</v>
      </c>
      <c r="J968" s="12">
        <f>IF(A968&lt;[3]关卡对接!$A$4,INDEX([3]关卡对接!$C$7:$C$141,A968),MATCH(E968,人物经验!$H$24:$H$573,1))</f>
        <v>367</v>
      </c>
      <c r="K968" s="12">
        <f>IF([3]关卡对接!F956="",INT(INDEX(人物经验!$J$24:$J$573,关卡!J968)*关卡!$S$7),[3]关卡对接!F956)</f>
        <v>12999</v>
      </c>
      <c r="L968" s="12">
        <f t="shared" si="137"/>
        <v>1.8</v>
      </c>
      <c r="M968" s="12">
        <f>L968/[4]货币基础!$B$4</f>
        <v>180</v>
      </c>
      <c r="N968" s="12">
        <f>IF(A968&lt;[3]关卡对接!$A$4,INDEX([3]关卡对接!$E$7:$E$141,A968),MATCH(E968,人物经验!$H$24:$H$573,1))</f>
        <v>367</v>
      </c>
      <c r="O968" s="12">
        <f>INDEX([2]关卡!$G$6:$G$2005,A968)</f>
        <v>3</v>
      </c>
      <c r="P968" s="13">
        <v>6</v>
      </c>
      <c r="Q968" s="12">
        <f>INT(P968/$S$15/O968*VLOOKUP(J968,[1]人物技能基础!$N$3:$O$553,2,0)*$U$15)</f>
        <v>9</v>
      </c>
      <c r="R968" s="12">
        <f t="shared" si="138"/>
        <v>112</v>
      </c>
    </row>
    <row r="969" spans="1:18" x14ac:dyDescent="0.15">
      <c r="A969" s="12">
        <v>951</v>
      </c>
      <c r="B969" s="12">
        <f t="shared" si="132"/>
        <v>5</v>
      </c>
      <c r="C969" s="12">
        <f t="shared" si="133"/>
        <v>3.6825124999999996</v>
      </c>
      <c r="D969" s="12">
        <f t="shared" si="134"/>
        <v>2.6262499999999189E-2</v>
      </c>
      <c r="E969" s="12">
        <f>SUM($D$19:D969)</f>
        <v>13.882512499999985</v>
      </c>
      <c r="F969" s="12">
        <f t="shared" si="130"/>
        <v>146.4206585594749</v>
      </c>
      <c r="G969" s="12">
        <f t="shared" si="131"/>
        <v>107.44816352100594</v>
      </c>
      <c r="H969" s="12">
        <f t="shared" si="135"/>
        <v>527100</v>
      </c>
      <c r="I969" s="12">
        <f t="shared" si="136"/>
        <v>386800</v>
      </c>
      <c r="J969" s="12">
        <f>IF(A969&lt;[3]关卡对接!$A$4,INDEX([3]关卡对接!$C$7:$C$141,A969),MATCH(E969,人物经验!$H$24:$H$573,1))</f>
        <v>367</v>
      </c>
      <c r="K969" s="12">
        <f>IF([3]关卡对接!F957="",INT(INDEX(人物经验!$J$24:$J$573,关卡!J969)*关卡!$S$7),[3]关卡对接!F957)</f>
        <v>12999</v>
      </c>
      <c r="L969" s="12">
        <f t="shared" si="137"/>
        <v>1.8</v>
      </c>
      <c r="M969" s="12">
        <f>L969/[4]货币基础!$B$4</f>
        <v>180</v>
      </c>
      <c r="N969" s="12">
        <f>IF(A969&lt;[3]关卡对接!$A$4,INDEX([3]关卡对接!$E$7:$E$141,A969),MATCH(E969,人物经验!$H$24:$H$573,1))</f>
        <v>367</v>
      </c>
      <c r="O969" s="12">
        <f>INDEX([2]关卡!$G$6:$G$2005,A969)</f>
        <v>3</v>
      </c>
      <c r="P969" s="13">
        <v>6</v>
      </c>
      <c r="Q969" s="12">
        <f>INT(P969/$S$15/O969*VLOOKUP(J969,[1]人物技能基础!$N$3:$O$553,2,0)*$U$15)</f>
        <v>9</v>
      </c>
      <c r="R969" s="12">
        <f t="shared" si="138"/>
        <v>112</v>
      </c>
    </row>
    <row r="970" spans="1:18" x14ac:dyDescent="0.15">
      <c r="A970" s="12">
        <v>952</v>
      </c>
      <c r="B970" s="12">
        <f t="shared" si="132"/>
        <v>5</v>
      </c>
      <c r="C970" s="12">
        <f t="shared" si="133"/>
        <v>3.7088000000000005</v>
      </c>
      <c r="D970" s="12">
        <f t="shared" si="134"/>
        <v>2.6287500000000907E-2</v>
      </c>
      <c r="E970" s="12">
        <f>SUM($D$19:D970)</f>
        <v>13.908799999999985</v>
      </c>
      <c r="F970" s="12">
        <f t="shared" si="130"/>
        <v>146.75358962662401</v>
      </c>
      <c r="G970" s="12">
        <f t="shared" si="131"/>
        <v>107.64091135871998</v>
      </c>
      <c r="H970" s="12">
        <f t="shared" si="135"/>
        <v>528300</v>
      </c>
      <c r="I970" s="12">
        <f t="shared" si="136"/>
        <v>387500</v>
      </c>
      <c r="J970" s="12">
        <f>IF(A970&lt;[3]关卡对接!$A$4,INDEX([3]关卡对接!$C$7:$C$141,A970),MATCH(E970,人物经验!$H$24:$H$573,1))</f>
        <v>368</v>
      </c>
      <c r="K970" s="12">
        <f>IF([3]关卡对接!F958="",INT(INDEX(人物经验!$J$24:$J$573,关卡!J970)*关卡!$S$7),[3]关卡对接!F958)</f>
        <v>13177</v>
      </c>
      <c r="L970" s="12">
        <f t="shared" si="137"/>
        <v>1.8</v>
      </c>
      <c r="M970" s="12">
        <f>L970/[4]货币基础!$B$4</f>
        <v>180</v>
      </c>
      <c r="N970" s="12">
        <f>IF(A970&lt;[3]关卡对接!$A$4,INDEX([3]关卡对接!$E$7:$E$141,A970),MATCH(E970,人物经验!$H$24:$H$573,1))</f>
        <v>368</v>
      </c>
      <c r="O970" s="12">
        <f>INDEX([2]关卡!$G$6:$G$2005,A970)</f>
        <v>3</v>
      </c>
      <c r="P970" s="13">
        <v>6</v>
      </c>
      <c r="Q970" s="12">
        <f>INT(P970/$S$15/O970*VLOOKUP(J970,[1]人物技能基础!$N$3:$O$553,2,0)*$U$15)</f>
        <v>9</v>
      </c>
      <c r="R970" s="12">
        <f t="shared" si="138"/>
        <v>112</v>
      </c>
    </row>
    <row r="971" spans="1:18" x14ac:dyDescent="0.15">
      <c r="A971" s="12">
        <v>953</v>
      </c>
      <c r="B971" s="12">
        <f t="shared" si="132"/>
        <v>5</v>
      </c>
      <c r="C971" s="12">
        <f t="shared" si="133"/>
        <v>3.7351125000000001</v>
      </c>
      <c r="D971" s="12">
        <f t="shared" si="134"/>
        <v>2.6312499999999517E-2</v>
      </c>
      <c r="E971" s="12">
        <f>SUM($D$19:D971)</f>
        <v>13.935112499999985</v>
      </c>
      <c r="F971" s="12">
        <f t="shared" si="130"/>
        <v>147.08710610529491</v>
      </c>
      <c r="G971" s="12">
        <f t="shared" si="131"/>
        <v>107.83390587060593</v>
      </c>
      <c r="H971" s="12">
        <f t="shared" si="135"/>
        <v>529500</v>
      </c>
      <c r="I971" s="12">
        <f t="shared" si="136"/>
        <v>388200</v>
      </c>
      <c r="J971" s="12">
        <f>IF(A971&lt;[3]关卡对接!$A$4,INDEX([3]关卡对接!$C$7:$C$141,A971),MATCH(E971,人物经验!$H$24:$H$573,1))</f>
        <v>368</v>
      </c>
      <c r="K971" s="12">
        <f>IF([3]关卡对接!F959="",INT(INDEX(人物经验!$J$24:$J$573,关卡!J971)*关卡!$S$7),[3]关卡对接!F959)</f>
        <v>13177</v>
      </c>
      <c r="L971" s="12">
        <f t="shared" si="137"/>
        <v>1.8</v>
      </c>
      <c r="M971" s="12">
        <f>L971/[4]货币基础!$B$4</f>
        <v>180</v>
      </c>
      <c r="N971" s="12">
        <f>IF(A971&lt;[3]关卡对接!$A$4,INDEX([3]关卡对接!$E$7:$E$141,A971),MATCH(E971,人物经验!$H$24:$H$573,1))</f>
        <v>368</v>
      </c>
      <c r="O971" s="12">
        <f>INDEX([2]关卡!$G$6:$G$2005,A971)</f>
        <v>3</v>
      </c>
      <c r="P971" s="13">
        <v>6</v>
      </c>
      <c r="Q971" s="12">
        <f>INT(P971/$S$15/O971*VLOOKUP(J971,[1]人物技能基础!$N$3:$O$553,2,0)*$U$15)</f>
        <v>9</v>
      </c>
      <c r="R971" s="12">
        <f t="shared" si="138"/>
        <v>112</v>
      </c>
    </row>
    <row r="972" spans="1:18" x14ac:dyDescent="0.15">
      <c r="A972" s="12">
        <v>954</v>
      </c>
      <c r="B972" s="12">
        <f t="shared" si="132"/>
        <v>5</v>
      </c>
      <c r="C972" s="12">
        <f t="shared" si="133"/>
        <v>3.76145</v>
      </c>
      <c r="D972" s="12">
        <f t="shared" si="134"/>
        <v>2.6337499999999903E-2</v>
      </c>
      <c r="E972" s="12">
        <f>SUM($D$19:D972)</f>
        <v>13.961449999999985</v>
      </c>
      <c r="F972" s="12">
        <f t="shared" si="130"/>
        <v>147.42120879055901</v>
      </c>
      <c r="G972" s="12">
        <f t="shared" si="131"/>
        <v>108.027147304895</v>
      </c>
      <c r="H972" s="12">
        <f t="shared" si="135"/>
        <v>530700</v>
      </c>
      <c r="I972" s="12">
        <f t="shared" si="136"/>
        <v>388800</v>
      </c>
      <c r="J972" s="12">
        <f>IF(A972&lt;[3]关卡对接!$A$4,INDEX([3]关卡对接!$C$7:$C$141,A972),MATCH(E972,人物经验!$H$24:$H$573,1))</f>
        <v>368</v>
      </c>
      <c r="K972" s="12">
        <f>IF([3]关卡对接!F960="",INT(INDEX(人物经验!$J$24:$J$573,关卡!J972)*关卡!$S$7),[3]关卡对接!F960)</f>
        <v>13177</v>
      </c>
      <c r="L972" s="12">
        <f t="shared" si="137"/>
        <v>1.8</v>
      </c>
      <c r="M972" s="12">
        <f>L972/[4]货币基础!$B$4</f>
        <v>180</v>
      </c>
      <c r="N972" s="12">
        <f>IF(A972&lt;[3]关卡对接!$A$4,INDEX([3]关卡对接!$E$7:$E$141,A972),MATCH(E972,人物经验!$H$24:$H$573,1))</f>
        <v>368</v>
      </c>
      <c r="O972" s="12">
        <f>INDEX([2]关卡!$G$6:$G$2005,A972)</f>
        <v>3</v>
      </c>
      <c r="P972" s="13">
        <v>6</v>
      </c>
      <c r="Q972" s="12">
        <f>INT(P972/$S$15/O972*VLOOKUP(J972,[1]人物技能基础!$N$3:$O$553,2,0)*$U$15)</f>
        <v>9</v>
      </c>
      <c r="R972" s="12">
        <f t="shared" si="138"/>
        <v>112</v>
      </c>
    </row>
    <row r="973" spans="1:18" x14ac:dyDescent="0.15">
      <c r="A973" s="12">
        <v>955</v>
      </c>
      <c r="B973" s="12">
        <f t="shared" si="132"/>
        <v>5</v>
      </c>
      <c r="C973" s="12">
        <f t="shared" si="133"/>
        <v>3.7878125000000002</v>
      </c>
      <c r="D973" s="12">
        <f t="shared" si="134"/>
        <v>2.6362500000000288E-2</v>
      </c>
      <c r="E973" s="12">
        <f>SUM($D$19:D973)</f>
        <v>13.987812499999986</v>
      </c>
      <c r="F973" s="12">
        <f t="shared" si="130"/>
        <v>147.75589847808592</v>
      </c>
      <c r="G973" s="12">
        <f t="shared" si="131"/>
        <v>108.22063590996092</v>
      </c>
      <c r="H973" s="12">
        <f t="shared" si="135"/>
        <v>531900</v>
      </c>
      <c r="I973" s="12">
        <f t="shared" si="136"/>
        <v>389500</v>
      </c>
      <c r="J973" s="12">
        <f>IF(A973&lt;[3]关卡对接!$A$4,INDEX([3]关卡对接!$C$7:$C$141,A973),MATCH(E973,人物经验!$H$24:$H$573,1))</f>
        <v>368</v>
      </c>
      <c r="K973" s="12">
        <f>IF([3]关卡对接!F961="",INT(INDEX(人物经验!$J$24:$J$573,关卡!J973)*关卡!$S$7),[3]关卡对接!F961)</f>
        <v>13177</v>
      </c>
      <c r="L973" s="12">
        <f t="shared" si="137"/>
        <v>1.8</v>
      </c>
      <c r="M973" s="12">
        <f>L973/[4]货币基础!$B$4</f>
        <v>180</v>
      </c>
      <c r="N973" s="12">
        <f>IF(A973&lt;[3]关卡对接!$A$4,INDEX([3]关卡对接!$E$7:$E$141,A973),MATCH(E973,人物经验!$H$24:$H$573,1))</f>
        <v>368</v>
      </c>
      <c r="O973" s="12">
        <f>INDEX([2]关卡!$G$6:$G$2005,A973)</f>
        <v>3</v>
      </c>
      <c r="P973" s="13">
        <v>6</v>
      </c>
      <c r="Q973" s="12">
        <f>INT(P973/$S$15/O973*VLOOKUP(J973,[1]人物技能基础!$N$3:$O$553,2,0)*$U$15)</f>
        <v>9</v>
      </c>
      <c r="R973" s="12">
        <f t="shared" si="138"/>
        <v>112</v>
      </c>
    </row>
    <row r="974" spans="1:18" x14ac:dyDescent="0.15">
      <c r="A974" s="12">
        <v>956</v>
      </c>
      <c r="B974" s="12">
        <f t="shared" si="132"/>
        <v>5</v>
      </c>
      <c r="C974" s="12">
        <f t="shared" si="133"/>
        <v>3.8142000000000005</v>
      </c>
      <c r="D974" s="12">
        <f t="shared" si="134"/>
        <v>2.638750000000023E-2</v>
      </c>
      <c r="E974" s="12">
        <f>SUM($D$19:D974)</f>
        <v>14.014199999999986</v>
      </c>
      <c r="F974" s="12">
        <f t="shared" si="130"/>
        <v>148.09117596414399</v>
      </c>
      <c r="G974" s="12">
        <f t="shared" si="131"/>
        <v>108.41437193431999</v>
      </c>
      <c r="H974" s="12">
        <f t="shared" si="135"/>
        <v>533100</v>
      </c>
      <c r="I974" s="12">
        <f t="shared" si="136"/>
        <v>390200</v>
      </c>
      <c r="J974" s="12">
        <f>IF(A974&lt;[3]关卡对接!$A$4,INDEX([3]关卡对接!$C$7:$C$141,A974),MATCH(E974,人物经验!$H$24:$H$573,1))</f>
        <v>368</v>
      </c>
      <c r="K974" s="12">
        <f>IF([3]关卡对接!F962="",INT(INDEX(人物经验!$J$24:$J$573,关卡!J974)*关卡!$S$7),[3]关卡对接!F962)</f>
        <v>13177</v>
      </c>
      <c r="L974" s="12">
        <f t="shared" si="137"/>
        <v>1.8</v>
      </c>
      <c r="M974" s="12">
        <f>L974/[4]货币基础!$B$4</f>
        <v>180</v>
      </c>
      <c r="N974" s="12">
        <f>IF(A974&lt;[3]关卡对接!$A$4,INDEX([3]关卡对接!$E$7:$E$141,A974),MATCH(E974,人物经验!$H$24:$H$573,1))</f>
        <v>368</v>
      </c>
      <c r="O974" s="12">
        <f>INDEX([2]关卡!$G$6:$G$2005,A974)</f>
        <v>3</v>
      </c>
      <c r="P974" s="13">
        <v>6</v>
      </c>
      <c r="Q974" s="12">
        <f>INT(P974/$S$15/O974*VLOOKUP(J974,[1]人物技能基础!$N$3:$O$553,2,0)*$U$15)</f>
        <v>9</v>
      </c>
      <c r="R974" s="12">
        <f t="shared" si="138"/>
        <v>112</v>
      </c>
    </row>
    <row r="975" spans="1:18" x14ac:dyDescent="0.15">
      <c r="A975" s="12">
        <v>957</v>
      </c>
      <c r="B975" s="12">
        <f t="shared" si="132"/>
        <v>5</v>
      </c>
      <c r="C975" s="12">
        <f t="shared" si="133"/>
        <v>3.8406125000000002</v>
      </c>
      <c r="D975" s="12">
        <f t="shared" si="134"/>
        <v>2.6412499999999728E-2</v>
      </c>
      <c r="E975" s="12">
        <f>SUM($D$19:D975)</f>
        <v>14.040612499999986</v>
      </c>
      <c r="F975" s="12">
        <f t="shared" si="130"/>
        <v>148.42704204559993</v>
      </c>
      <c r="G975" s="12">
        <f t="shared" si="131"/>
        <v>108.60835562663092</v>
      </c>
      <c r="H975" s="12">
        <f t="shared" si="135"/>
        <v>534300</v>
      </c>
      <c r="I975" s="12">
        <f t="shared" si="136"/>
        <v>390900</v>
      </c>
      <c r="J975" s="12">
        <f>IF(A975&lt;[3]关卡对接!$A$4,INDEX([3]关卡对接!$C$7:$C$141,A975),MATCH(E975,人物经验!$H$24:$H$573,1))</f>
        <v>369</v>
      </c>
      <c r="K975" s="12">
        <f>IF([3]关卡对接!F963="",INT(INDEX(人物经验!$J$24:$J$573,关卡!J975)*关卡!$S$7),[3]关卡对接!F963)</f>
        <v>13328</v>
      </c>
      <c r="L975" s="12">
        <f t="shared" si="137"/>
        <v>1.8</v>
      </c>
      <c r="M975" s="12">
        <f>L975/[4]货币基础!$B$4</f>
        <v>180</v>
      </c>
      <c r="N975" s="12">
        <f>IF(A975&lt;[3]关卡对接!$A$4,INDEX([3]关卡对接!$E$7:$E$141,A975),MATCH(E975,人物经验!$H$24:$H$573,1))</f>
        <v>369</v>
      </c>
      <c r="O975" s="12">
        <f>INDEX([2]关卡!$G$6:$G$2005,A975)</f>
        <v>3</v>
      </c>
      <c r="P975" s="13">
        <v>6</v>
      </c>
      <c r="Q975" s="12">
        <f>INT(P975/$S$15/O975*VLOOKUP(J975,[1]人物技能基础!$N$3:$O$553,2,0)*$U$15)</f>
        <v>9</v>
      </c>
      <c r="R975" s="12">
        <f t="shared" si="138"/>
        <v>112</v>
      </c>
    </row>
    <row r="976" spans="1:18" x14ac:dyDescent="0.15">
      <c r="A976" s="12">
        <v>958</v>
      </c>
      <c r="B976" s="12">
        <f t="shared" si="132"/>
        <v>5</v>
      </c>
      <c r="C976" s="12">
        <f t="shared" si="133"/>
        <v>3.8670500000000003</v>
      </c>
      <c r="D976" s="12">
        <f t="shared" si="134"/>
        <v>2.6437500000000114E-2</v>
      </c>
      <c r="E976" s="12">
        <f>SUM($D$19:D976)</f>
        <v>14.067049999999986</v>
      </c>
      <c r="F976" s="12">
        <f t="shared" si="130"/>
        <v>148.76349751991899</v>
      </c>
      <c r="G976" s="12">
        <f t="shared" si="131"/>
        <v>108.80258723569499</v>
      </c>
      <c r="H976" s="12">
        <f t="shared" si="135"/>
        <v>535500</v>
      </c>
      <c r="I976" s="12">
        <f t="shared" si="136"/>
        <v>391600</v>
      </c>
      <c r="J976" s="12">
        <f>IF(A976&lt;[3]关卡对接!$A$4,INDEX([3]关卡对接!$C$7:$C$141,A976),MATCH(E976,人物经验!$H$24:$H$573,1))</f>
        <v>369</v>
      </c>
      <c r="K976" s="12">
        <f>IF([3]关卡对接!F964="",INT(INDEX(人物经验!$J$24:$J$573,关卡!J976)*关卡!$S$7),[3]关卡对接!F964)</f>
        <v>13328</v>
      </c>
      <c r="L976" s="12">
        <f t="shared" si="137"/>
        <v>1.8</v>
      </c>
      <c r="M976" s="12">
        <f>L976/[4]货币基础!$B$4</f>
        <v>180</v>
      </c>
      <c r="N976" s="12">
        <f>IF(A976&lt;[3]关卡对接!$A$4,INDEX([3]关卡对接!$E$7:$E$141,A976),MATCH(E976,人物经验!$H$24:$H$573,1))</f>
        <v>369</v>
      </c>
      <c r="O976" s="12">
        <f>INDEX([2]关卡!$G$6:$G$2005,A976)</f>
        <v>3</v>
      </c>
      <c r="P976" s="13">
        <v>6</v>
      </c>
      <c r="Q976" s="12">
        <f>INT(P976/$S$15/O976*VLOOKUP(J976,[1]人物技能基础!$N$3:$O$553,2,0)*$U$15)</f>
        <v>9</v>
      </c>
      <c r="R976" s="12">
        <f t="shared" si="138"/>
        <v>112</v>
      </c>
    </row>
    <row r="977" spans="1:18" x14ac:dyDescent="0.15">
      <c r="A977" s="12">
        <v>959</v>
      </c>
      <c r="B977" s="12">
        <f t="shared" si="132"/>
        <v>5</v>
      </c>
      <c r="C977" s="12">
        <f t="shared" si="133"/>
        <v>3.8935125000000004</v>
      </c>
      <c r="D977" s="12">
        <f t="shared" si="134"/>
        <v>2.6462500000000055E-2</v>
      </c>
      <c r="E977" s="12">
        <f>SUM($D$19:D977)</f>
        <v>14.093512499999985</v>
      </c>
      <c r="F977" s="12">
        <f t="shared" si="130"/>
        <v>149.10054318516495</v>
      </c>
      <c r="G977" s="12">
        <f t="shared" si="131"/>
        <v>108.99706701045594</v>
      </c>
      <c r="H977" s="12">
        <f t="shared" si="135"/>
        <v>536700</v>
      </c>
      <c r="I977" s="12">
        <f t="shared" si="136"/>
        <v>392300</v>
      </c>
      <c r="J977" s="12">
        <f>IF(A977&lt;[3]关卡对接!$A$4,INDEX([3]关卡对接!$C$7:$C$141,A977),MATCH(E977,人物经验!$H$24:$H$573,1))</f>
        <v>369</v>
      </c>
      <c r="K977" s="12">
        <f>IF([3]关卡对接!F965="",INT(INDEX(人物经验!$J$24:$J$573,关卡!J977)*关卡!$S$7),[3]关卡对接!F965)</f>
        <v>13328</v>
      </c>
      <c r="L977" s="12">
        <f t="shared" si="137"/>
        <v>1.8</v>
      </c>
      <c r="M977" s="12">
        <f>L977/[4]货币基础!$B$4</f>
        <v>180</v>
      </c>
      <c r="N977" s="12">
        <f>IF(A977&lt;[3]关卡对接!$A$4,INDEX([3]关卡对接!$E$7:$E$141,A977),MATCH(E977,人物经验!$H$24:$H$573,1))</f>
        <v>369</v>
      </c>
      <c r="O977" s="12">
        <f>INDEX([2]关卡!$G$6:$G$2005,A977)</f>
        <v>3</v>
      </c>
      <c r="P977" s="13">
        <v>6</v>
      </c>
      <c r="Q977" s="12">
        <f>INT(P977/$S$15/O977*VLOOKUP(J977,[1]人物技能基础!$N$3:$O$553,2,0)*$U$15)</f>
        <v>9</v>
      </c>
      <c r="R977" s="12">
        <f t="shared" si="138"/>
        <v>112</v>
      </c>
    </row>
    <row r="978" spans="1:18" x14ac:dyDescent="0.15">
      <c r="A978" s="12">
        <v>960</v>
      </c>
      <c r="B978" s="12">
        <f t="shared" si="132"/>
        <v>5</v>
      </c>
      <c r="C978" s="12">
        <f t="shared" si="133"/>
        <v>3.9200000000000008</v>
      </c>
      <c r="D978" s="12">
        <f t="shared" si="134"/>
        <v>2.6487500000000441E-2</v>
      </c>
      <c r="E978" s="12">
        <f>SUM($D$19:D978)</f>
        <v>14.119999999999985</v>
      </c>
      <c r="F978" s="12">
        <f t="shared" si="130"/>
        <v>149.43817984</v>
      </c>
      <c r="G978" s="12">
        <f t="shared" si="131"/>
        <v>109.1917952</v>
      </c>
      <c r="H978" s="12">
        <f t="shared" si="135"/>
        <v>537900</v>
      </c>
      <c r="I978" s="12">
        <f t="shared" si="136"/>
        <v>393000</v>
      </c>
      <c r="J978" s="12">
        <f>IF(A978&lt;[3]关卡对接!$A$4,INDEX([3]关卡对接!$C$7:$C$141,A978),MATCH(E978,人物经验!$H$24:$H$573,1))</f>
        <v>369</v>
      </c>
      <c r="K978" s="12">
        <f>IF([3]关卡对接!F966="",INT(INDEX(人物经验!$J$24:$J$573,关卡!J978)*关卡!$S$7),[3]关卡对接!F966)</f>
        <v>13328</v>
      </c>
      <c r="L978" s="12">
        <f t="shared" si="137"/>
        <v>1.8</v>
      </c>
      <c r="M978" s="12">
        <f>L978/[4]货币基础!$B$4</f>
        <v>180</v>
      </c>
      <c r="N978" s="12">
        <f>IF(A978&lt;[3]关卡对接!$A$4,INDEX([3]关卡对接!$E$7:$E$141,A978),MATCH(E978,人物经验!$H$24:$H$573,1))</f>
        <v>369</v>
      </c>
      <c r="O978" s="12">
        <f>INDEX([2]关卡!$G$6:$G$2005,A978)</f>
        <v>3</v>
      </c>
      <c r="P978" s="13">
        <v>6</v>
      </c>
      <c r="Q978" s="12">
        <f>INT(P978/$S$15/O978*VLOOKUP(J978,[1]人物技能基础!$N$3:$O$553,2,0)*$U$15)</f>
        <v>9</v>
      </c>
      <c r="R978" s="12">
        <f t="shared" si="138"/>
        <v>112</v>
      </c>
    </row>
    <row r="979" spans="1:18" x14ac:dyDescent="0.15">
      <c r="A979" s="12">
        <v>961</v>
      </c>
      <c r="B979" s="12">
        <f t="shared" si="132"/>
        <v>5</v>
      </c>
      <c r="C979" s="12">
        <f t="shared" si="133"/>
        <v>3.9465124999999999</v>
      </c>
      <c r="D979" s="12">
        <f t="shared" si="134"/>
        <v>2.6512499999999051E-2</v>
      </c>
      <c r="E979" s="12">
        <f>SUM($D$19:D979)</f>
        <v>14.146512499999984</v>
      </c>
      <c r="F979" s="12">
        <f t="shared" ref="F979:F1042" si="139">$L$7*($M$7+$N$7*($A979/$B$3)^1+$O$7*($A979/$B$3)^2+$P$7*($A979/$B$3)^3+$Q$7*($A979/$B$3)^4)</f>
        <v>149.77640828368493</v>
      </c>
      <c r="G979" s="12">
        <f t="shared" ref="G979:G1042" si="140">$L$11*($M$11+$N$11*($A979/$B$3)^1+$O$11*($A979/$B$3)^2+$P$11*($A979/$B$3)^3+$Q$11*($A979/$B$3)^4)</f>
        <v>109.38677205355594</v>
      </c>
      <c r="H979" s="12">
        <f t="shared" si="135"/>
        <v>539100</v>
      </c>
      <c r="I979" s="12">
        <f t="shared" si="136"/>
        <v>393700</v>
      </c>
      <c r="J979" s="12">
        <f>IF(A979&lt;[3]关卡对接!$A$4,INDEX([3]关卡对接!$C$7:$C$141,A979),MATCH(E979,人物经验!$H$24:$H$573,1))</f>
        <v>369</v>
      </c>
      <c r="K979" s="12">
        <f>IF([3]关卡对接!F967="",INT(INDEX(人物经验!$J$24:$J$573,关卡!J979)*关卡!$S$7),[3]关卡对接!F967)</f>
        <v>13328</v>
      </c>
      <c r="L979" s="12">
        <f t="shared" si="137"/>
        <v>1.8</v>
      </c>
      <c r="M979" s="12">
        <f>L979/[4]货币基础!$B$4</f>
        <v>180</v>
      </c>
      <c r="N979" s="12">
        <f>IF(A979&lt;[3]关卡对接!$A$4,INDEX([3]关卡对接!$E$7:$E$141,A979),MATCH(E979,人物经验!$H$24:$H$573,1))</f>
        <v>369</v>
      </c>
      <c r="O979" s="12">
        <f>INDEX([2]关卡!$G$6:$G$2005,A979)</f>
        <v>3</v>
      </c>
      <c r="P979" s="13">
        <v>6</v>
      </c>
      <c r="Q979" s="12">
        <f>INT(P979/$S$15/O979*VLOOKUP(J979,[1]人物技能基础!$N$3:$O$553,2,0)*$U$15)</f>
        <v>9</v>
      </c>
      <c r="R979" s="12">
        <f t="shared" si="138"/>
        <v>112</v>
      </c>
    </row>
    <row r="980" spans="1:18" x14ac:dyDescent="0.15">
      <c r="A980" s="12">
        <v>962</v>
      </c>
      <c r="B980" s="12">
        <f t="shared" ref="B980:B1043" si="141">MATCH($A980,$A$5:$A$15,1)-1</f>
        <v>5</v>
      </c>
      <c r="C980" s="12">
        <f t="shared" ref="C980:C1043" si="142">INDEX($C$5:$C$15,$B980+1)*(INDEX($E$5:$E$15,$B980+1)+INDEX($F$5:$F$15,$B980+1)*(($A980-INDEX($A$5:$A$15,$B980+1)+1)/(INDEX($B$5:$B$15,$B980+1)-INDEX($A$5:$A$15,$B980+1)+1))^1+INDEX($G$5:$G$15,$B980+1)*(($A980-INDEX($A$5:$A$15,$B980+1)+1)/(INDEX($B$5:$B$15,$B980+1)-INDEX($A$5:$A$15,$B980+1)+1))^2+INDEX($H$5:$H$15,$B980+1)*(($A980-INDEX($A$5:$A$15,$B980+1)+1)/(INDEX($B$5:$B$15,$B980+1)-INDEX($A$5:$A$15,$B980+1)+1))^3+INDEX($I$5:$I$15,$B980+1)*(($A980-INDEX($A$5:$A$15,$B980+1)+1)/(INDEX($B$5:$B$15,$B980+1)-INDEX($A$5:$A$15,$B980+1)+1))^4)</f>
        <v>3.9730500000000006</v>
      </c>
      <c r="D980" s="12">
        <f t="shared" ref="D980:D1018" si="143">IF(ISNA(MATCH(A980,$A$6:$A$15,0)),C980-C979,C980)</f>
        <v>2.6537500000000769E-2</v>
      </c>
      <c r="E980" s="12">
        <f>SUM($D$19:D980)</f>
        <v>14.173049999999986</v>
      </c>
      <c r="F980" s="12">
        <f t="shared" si="139"/>
        <v>150.11522931607902</v>
      </c>
      <c r="G980" s="12">
        <f t="shared" si="140"/>
        <v>109.58199782049499</v>
      </c>
      <c r="H980" s="12">
        <f t="shared" ref="H980:H1018" si="144">INT(F980*60*60/100)*100</f>
        <v>540400</v>
      </c>
      <c r="I980" s="12">
        <f t="shared" ref="I980:I1018" si="145">INT(G980*60*60/100)*100</f>
        <v>394400</v>
      </c>
      <c r="J980" s="12">
        <f>IF(A980&lt;[3]关卡对接!$A$4,INDEX([3]关卡对接!$C$7:$C$141,A980),MATCH(E980,人物经验!$H$24:$H$573,1))</f>
        <v>370</v>
      </c>
      <c r="K980" s="12">
        <f>IF([3]关卡对接!F968="",INT(INDEX(人物经验!$J$24:$J$573,关卡!J980)*关卡!$S$7),[3]关卡对接!F968)</f>
        <v>13479</v>
      </c>
      <c r="L980" s="12">
        <f t="shared" ref="L980:L1043" si="146">VLOOKUP(A980,$A$5:$J$15,10,1)</f>
        <v>1.8</v>
      </c>
      <c r="M980" s="12">
        <f>L980/[4]货币基础!$B$4</f>
        <v>180</v>
      </c>
      <c r="N980" s="12">
        <f>IF(A980&lt;[3]关卡对接!$A$4,INDEX([3]关卡对接!$E$7:$E$141,A980),MATCH(E980,人物经验!$H$24:$H$573,1))</f>
        <v>370</v>
      </c>
      <c r="O980" s="12">
        <f>INDEX([2]关卡!$G$6:$G$2005,A980)</f>
        <v>3</v>
      </c>
      <c r="P980" s="13">
        <v>6</v>
      </c>
      <c r="Q980" s="12">
        <f>INT(P980/$S$15/O980*VLOOKUP(J980,[1]人物技能基础!$N$3:$O$553,2,0)*$U$15)</f>
        <v>9</v>
      </c>
      <c r="R980" s="12">
        <f t="shared" ref="R980:R1043" si="147">INT(Q980*12.5)</f>
        <v>112</v>
      </c>
    </row>
    <row r="981" spans="1:18" x14ac:dyDescent="0.15">
      <c r="A981" s="12">
        <v>963</v>
      </c>
      <c r="B981" s="12">
        <f t="shared" si="141"/>
        <v>5</v>
      </c>
      <c r="C981" s="12">
        <f t="shared" si="142"/>
        <v>3.9996124999999996</v>
      </c>
      <c r="D981" s="12">
        <f t="shared" si="143"/>
        <v>2.6562499999998934E-2</v>
      </c>
      <c r="E981" s="12">
        <f>SUM($D$19:D981)</f>
        <v>14.199612499999985</v>
      </c>
      <c r="F981" s="12">
        <f t="shared" si="139"/>
        <v>150.45464373763994</v>
      </c>
      <c r="G981" s="12">
        <f t="shared" si="140"/>
        <v>109.77747275033093</v>
      </c>
      <c r="H981" s="12">
        <f t="shared" si="144"/>
        <v>541600</v>
      </c>
      <c r="I981" s="12">
        <f t="shared" si="145"/>
        <v>395100</v>
      </c>
      <c r="J981" s="12">
        <f>IF(A981&lt;[3]关卡对接!$A$4,INDEX([3]关卡对接!$C$7:$C$141,A981),MATCH(E981,人物经验!$H$24:$H$573,1))</f>
        <v>370</v>
      </c>
      <c r="K981" s="12">
        <f>IF([3]关卡对接!F969="",INT(INDEX(人物经验!$J$24:$J$573,关卡!J981)*关卡!$S$7),[3]关卡对接!F969)</f>
        <v>13479</v>
      </c>
      <c r="L981" s="12">
        <f t="shared" si="146"/>
        <v>1.8</v>
      </c>
      <c r="M981" s="12">
        <f>L981/[4]货币基础!$B$4</f>
        <v>180</v>
      </c>
      <c r="N981" s="12">
        <f>IF(A981&lt;[3]关卡对接!$A$4,INDEX([3]关卡对接!$E$7:$E$141,A981),MATCH(E981,人物经验!$H$24:$H$573,1))</f>
        <v>370</v>
      </c>
      <c r="O981" s="12">
        <f>INDEX([2]关卡!$G$6:$G$2005,A981)</f>
        <v>3</v>
      </c>
      <c r="P981" s="13">
        <v>6</v>
      </c>
      <c r="Q981" s="12">
        <f>INT(P981/$S$15/O981*VLOOKUP(J981,[1]人物技能基础!$N$3:$O$553,2,0)*$U$15)</f>
        <v>9</v>
      </c>
      <c r="R981" s="12">
        <f t="shared" si="147"/>
        <v>112</v>
      </c>
    </row>
    <row r="982" spans="1:18" x14ac:dyDescent="0.15">
      <c r="A982" s="12">
        <v>964</v>
      </c>
      <c r="B982" s="12">
        <f t="shared" si="141"/>
        <v>5</v>
      </c>
      <c r="C982" s="12">
        <f t="shared" si="142"/>
        <v>4.0261999999999993</v>
      </c>
      <c r="D982" s="12">
        <f t="shared" si="143"/>
        <v>2.6587499999999764E-2</v>
      </c>
      <c r="E982" s="12">
        <f>SUM($D$19:D982)</f>
        <v>14.226199999999984</v>
      </c>
      <c r="F982" s="12">
        <f t="shared" si="139"/>
        <v>150.79465234942398</v>
      </c>
      <c r="G982" s="12">
        <f t="shared" si="140"/>
        <v>109.97319709271999</v>
      </c>
      <c r="H982" s="12">
        <f t="shared" si="144"/>
        <v>542800</v>
      </c>
      <c r="I982" s="12">
        <f t="shared" si="145"/>
        <v>395900</v>
      </c>
      <c r="J982" s="12">
        <f>IF(A982&lt;[3]关卡对接!$A$4,INDEX([3]关卡对接!$C$7:$C$141,A982),MATCH(E982,人物经验!$H$24:$H$573,1))</f>
        <v>370</v>
      </c>
      <c r="K982" s="12">
        <f>IF([3]关卡对接!F970="",INT(INDEX(人物经验!$J$24:$J$573,关卡!J982)*关卡!$S$7),[3]关卡对接!F970)</f>
        <v>13479</v>
      </c>
      <c r="L982" s="12">
        <f t="shared" si="146"/>
        <v>1.8</v>
      </c>
      <c r="M982" s="12">
        <f>L982/[4]货币基础!$B$4</f>
        <v>180</v>
      </c>
      <c r="N982" s="12">
        <f>IF(A982&lt;[3]关卡对接!$A$4,INDEX([3]关卡对接!$E$7:$E$141,A982),MATCH(E982,人物经验!$H$24:$H$573,1))</f>
        <v>370</v>
      </c>
      <c r="O982" s="12">
        <f>INDEX([2]关卡!$G$6:$G$2005,A982)</f>
        <v>3</v>
      </c>
      <c r="P982" s="13">
        <v>6</v>
      </c>
      <c r="Q982" s="12">
        <f>INT(P982/$S$15/O982*VLOOKUP(J982,[1]人物技能基础!$N$3:$O$553,2,0)*$U$15)</f>
        <v>9</v>
      </c>
      <c r="R982" s="12">
        <f t="shared" si="147"/>
        <v>112</v>
      </c>
    </row>
    <row r="983" spans="1:18" x14ac:dyDescent="0.15">
      <c r="A983" s="12">
        <v>965</v>
      </c>
      <c r="B983" s="12">
        <f t="shared" si="141"/>
        <v>5</v>
      </c>
      <c r="C983" s="12">
        <f t="shared" si="142"/>
        <v>4.0528124999999999</v>
      </c>
      <c r="D983" s="12">
        <f t="shared" si="143"/>
        <v>2.6612500000000594E-2</v>
      </c>
      <c r="E983" s="12">
        <f>SUM($D$19:D983)</f>
        <v>14.252812499999985</v>
      </c>
      <c r="F983" s="12">
        <f t="shared" si="139"/>
        <v>151.1352559530859</v>
      </c>
      <c r="G983" s="12">
        <f t="shared" si="140"/>
        <v>110.16917109746092</v>
      </c>
      <c r="H983" s="12">
        <f t="shared" si="144"/>
        <v>544000</v>
      </c>
      <c r="I983" s="12">
        <f t="shared" si="145"/>
        <v>396600</v>
      </c>
      <c r="J983" s="12">
        <f>IF(A983&lt;[3]关卡对接!$A$4,INDEX([3]关卡对接!$C$7:$C$141,A983),MATCH(E983,人物经验!$H$24:$H$573,1))</f>
        <v>370</v>
      </c>
      <c r="K983" s="12">
        <f>IF([3]关卡对接!F971="",INT(INDEX(人物经验!$J$24:$J$573,关卡!J983)*关卡!$S$7),[3]关卡对接!F971)</f>
        <v>13479</v>
      </c>
      <c r="L983" s="12">
        <f t="shared" si="146"/>
        <v>1.8</v>
      </c>
      <c r="M983" s="12">
        <f>L983/[4]货币基础!$B$4</f>
        <v>180</v>
      </c>
      <c r="N983" s="12">
        <f>IF(A983&lt;[3]关卡对接!$A$4,INDEX([3]关卡对接!$E$7:$E$141,A983),MATCH(E983,人物经验!$H$24:$H$573,1))</f>
        <v>370</v>
      </c>
      <c r="O983" s="12">
        <f>INDEX([2]关卡!$G$6:$G$2005,A983)</f>
        <v>3</v>
      </c>
      <c r="P983" s="13">
        <v>6</v>
      </c>
      <c r="Q983" s="12">
        <f>INT(P983/$S$15/O983*VLOOKUP(J983,[1]人物技能基础!$N$3:$O$553,2,0)*$U$15)</f>
        <v>9</v>
      </c>
      <c r="R983" s="12">
        <f t="shared" si="147"/>
        <v>112</v>
      </c>
    </row>
    <row r="984" spans="1:18" x14ac:dyDescent="0.15">
      <c r="A984" s="12">
        <v>966</v>
      </c>
      <c r="B984" s="12">
        <f t="shared" si="141"/>
        <v>5</v>
      </c>
      <c r="C984" s="12">
        <f t="shared" si="142"/>
        <v>4.0794499999999996</v>
      </c>
      <c r="D984" s="12">
        <f t="shared" si="143"/>
        <v>2.6637499999999648E-2</v>
      </c>
      <c r="E984" s="12">
        <f>SUM($D$19:D984)</f>
        <v>14.279449999999985</v>
      </c>
      <c r="F984" s="12">
        <f t="shared" si="139"/>
        <v>151.47645535087901</v>
      </c>
      <c r="G984" s="12">
        <f t="shared" si="140"/>
        <v>110.36539501449499</v>
      </c>
      <c r="H984" s="12">
        <f t="shared" si="144"/>
        <v>545300</v>
      </c>
      <c r="I984" s="12">
        <f t="shared" si="145"/>
        <v>397300</v>
      </c>
      <c r="J984" s="12">
        <f>IF(A984&lt;[3]关卡对接!$A$4,INDEX([3]关卡对接!$C$7:$C$141,A984),MATCH(E984,人物经验!$H$24:$H$573,1))</f>
        <v>370</v>
      </c>
      <c r="K984" s="12">
        <f>IF([3]关卡对接!F972="",INT(INDEX(人物经验!$J$24:$J$573,关卡!J984)*关卡!$S$7),[3]关卡对接!F972)</f>
        <v>13479</v>
      </c>
      <c r="L984" s="12">
        <f t="shared" si="146"/>
        <v>1.8</v>
      </c>
      <c r="M984" s="12">
        <f>L984/[4]货币基础!$B$4</f>
        <v>180</v>
      </c>
      <c r="N984" s="12">
        <f>IF(A984&lt;[3]关卡对接!$A$4,INDEX([3]关卡对接!$E$7:$E$141,A984),MATCH(E984,人物经验!$H$24:$H$573,1))</f>
        <v>370</v>
      </c>
      <c r="O984" s="12">
        <f>INDEX([2]关卡!$G$6:$G$2005,A984)</f>
        <v>3</v>
      </c>
      <c r="P984" s="13">
        <v>6</v>
      </c>
      <c r="Q984" s="12">
        <f>INT(P984/$S$15/O984*VLOOKUP(J984,[1]人物技能基础!$N$3:$O$553,2,0)*$U$15)</f>
        <v>9</v>
      </c>
      <c r="R984" s="12">
        <f t="shared" si="147"/>
        <v>112</v>
      </c>
    </row>
    <row r="985" spans="1:18" x14ac:dyDescent="0.15">
      <c r="A985" s="12">
        <v>967</v>
      </c>
      <c r="B985" s="12">
        <f t="shared" si="141"/>
        <v>5</v>
      </c>
      <c r="C985" s="12">
        <f t="shared" si="142"/>
        <v>4.1061125000000001</v>
      </c>
      <c r="D985" s="12">
        <f t="shared" si="143"/>
        <v>2.6662500000000477E-2</v>
      </c>
      <c r="E985" s="12">
        <f>SUM($D$19:D985)</f>
        <v>14.306112499999985</v>
      </c>
      <c r="F985" s="12">
        <f t="shared" si="139"/>
        <v>151.81825134565494</v>
      </c>
      <c r="G985" s="12">
        <f t="shared" si="140"/>
        <v>110.56186909390593</v>
      </c>
      <c r="H985" s="12">
        <f t="shared" si="144"/>
        <v>546500</v>
      </c>
      <c r="I985" s="12">
        <f t="shared" si="145"/>
        <v>398000</v>
      </c>
      <c r="J985" s="12">
        <f>IF(A985&lt;[3]关卡对接!$A$4,INDEX([3]关卡对接!$C$7:$C$141,A985),MATCH(E985,人物经验!$H$24:$H$573,1))</f>
        <v>371</v>
      </c>
      <c r="K985" s="12">
        <f>IF([3]关卡对接!F973="",INT(INDEX(人物经验!$J$24:$J$573,关卡!J985)*关卡!$S$7),[3]关卡对接!F973)</f>
        <v>13632</v>
      </c>
      <c r="L985" s="12">
        <f t="shared" si="146"/>
        <v>1.8</v>
      </c>
      <c r="M985" s="12">
        <f>L985/[4]货币基础!$B$4</f>
        <v>180</v>
      </c>
      <c r="N985" s="12">
        <f>IF(A985&lt;[3]关卡对接!$A$4,INDEX([3]关卡对接!$E$7:$E$141,A985),MATCH(E985,人物经验!$H$24:$H$573,1))</f>
        <v>371</v>
      </c>
      <c r="O985" s="12">
        <f>INDEX([2]关卡!$G$6:$G$2005,A985)</f>
        <v>3</v>
      </c>
      <c r="P985" s="13">
        <v>6</v>
      </c>
      <c r="Q985" s="12">
        <f>INT(P985/$S$15/O985*VLOOKUP(J985,[1]人物技能基础!$N$3:$O$553,2,0)*$U$15)</f>
        <v>9</v>
      </c>
      <c r="R985" s="12">
        <f t="shared" si="147"/>
        <v>112</v>
      </c>
    </row>
    <row r="986" spans="1:18" x14ac:dyDescent="0.15">
      <c r="A986" s="12">
        <v>968</v>
      </c>
      <c r="B986" s="12">
        <f t="shared" si="141"/>
        <v>5</v>
      </c>
      <c r="C986" s="12">
        <f t="shared" si="142"/>
        <v>4.1327999999999996</v>
      </c>
      <c r="D986" s="12">
        <f t="shared" si="143"/>
        <v>2.6687499999999531E-2</v>
      </c>
      <c r="E986" s="12">
        <f>SUM($D$19:D986)</f>
        <v>14.332799999999985</v>
      </c>
      <c r="F986" s="12">
        <f t="shared" si="139"/>
        <v>152.160644740864</v>
      </c>
      <c r="G986" s="12">
        <f t="shared" si="140"/>
        <v>110.75859358591998</v>
      </c>
      <c r="H986" s="12">
        <f t="shared" si="144"/>
        <v>547700</v>
      </c>
      <c r="I986" s="12">
        <f t="shared" si="145"/>
        <v>398700</v>
      </c>
      <c r="J986" s="12">
        <f>IF(A986&lt;[3]关卡对接!$A$4,INDEX([3]关卡对接!$C$7:$C$141,A986),MATCH(E986,人物经验!$H$24:$H$573,1))</f>
        <v>371</v>
      </c>
      <c r="K986" s="12">
        <f>IF([3]关卡对接!F974="",INT(INDEX(人物经验!$J$24:$J$573,关卡!J986)*关卡!$S$7),[3]关卡对接!F974)</f>
        <v>13632</v>
      </c>
      <c r="L986" s="12">
        <f t="shared" si="146"/>
        <v>1.8</v>
      </c>
      <c r="M986" s="12">
        <f>L986/[4]货币基础!$B$4</f>
        <v>180</v>
      </c>
      <c r="N986" s="12">
        <f>IF(A986&lt;[3]关卡对接!$A$4,INDEX([3]关卡对接!$E$7:$E$141,A986),MATCH(E986,人物经验!$H$24:$H$573,1))</f>
        <v>371</v>
      </c>
      <c r="O986" s="12">
        <f>INDEX([2]关卡!$G$6:$G$2005,A986)</f>
        <v>3</v>
      </c>
      <c r="P986" s="13">
        <v>6</v>
      </c>
      <c r="Q986" s="12">
        <f>INT(P986/$S$15/O986*VLOOKUP(J986,[1]人物技能基础!$N$3:$O$553,2,0)*$U$15)</f>
        <v>9</v>
      </c>
      <c r="R986" s="12">
        <f t="shared" si="147"/>
        <v>112</v>
      </c>
    </row>
    <row r="987" spans="1:18" x14ac:dyDescent="0.15">
      <c r="A987" s="12">
        <v>969</v>
      </c>
      <c r="B987" s="12">
        <f t="shared" si="141"/>
        <v>5</v>
      </c>
      <c r="C987" s="12">
        <f t="shared" si="142"/>
        <v>4.1595124999999999</v>
      </c>
      <c r="D987" s="12">
        <f t="shared" si="143"/>
        <v>2.6712500000000361E-2</v>
      </c>
      <c r="E987" s="12">
        <f>SUM($D$19:D987)</f>
        <v>14.359512499999985</v>
      </c>
      <c r="F987" s="12">
        <f t="shared" si="139"/>
        <v>152.50363634055492</v>
      </c>
      <c r="G987" s="12">
        <f t="shared" si="140"/>
        <v>110.95556874090592</v>
      </c>
      <c r="H987" s="12">
        <f t="shared" si="144"/>
        <v>549000</v>
      </c>
      <c r="I987" s="12">
        <f t="shared" si="145"/>
        <v>399400</v>
      </c>
      <c r="J987" s="12">
        <f>IF(A987&lt;[3]关卡对接!$A$4,INDEX([3]关卡对接!$C$7:$C$141,A987),MATCH(E987,人物经验!$H$24:$H$573,1))</f>
        <v>371</v>
      </c>
      <c r="K987" s="12">
        <f>IF([3]关卡对接!F975="",INT(INDEX(人物经验!$J$24:$J$573,关卡!J987)*关卡!$S$7),[3]关卡对接!F975)</f>
        <v>13632</v>
      </c>
      <c r="L987" s="12">
        <f t="shared" si="146"/>
        <v>1.8</v>
      </c>
      <c r="M987" s="12">
        <f>L987/[4]货币基础!$B$4</f>
        <v>180</v>
      </c>
      <c r="N987" s="12">
        <f>IF(A987&lt;[3]关卡对接!$A$4,INDEX([3]关卡对接!$E$7:$E$141,A987),MATCH(E987,人物经验!$H$24:$H$573,1))</f>
        <v>371</v>
      </c>
      <c r="O987" s="12">
        <f>INDEX([2]关卡!$G$6:$G$2005,A987)</f>
        <v>3</v>
      </c>
      <c r="P987" s="13">
        <v>6</v>
      </c>
      <c r="Q987" s="12">
        <f>INT(P987/$S$15/O987*VLOOKUP(J987,[1]人物技能基础!$N$3:$O$553,2,0)*$U$15)</f>
        <v>9</v>
      </c>
      <c r="R987" s="12">
        <f t="shared" si="147"/>
        <v>112</v>
      </c>
    </row>
    <row r="988" spans="1:18" x14ac:dyDescent="0.15">
      <c r="A988" s="12">
        <v>970</v>
      </c>
      <c r="B988" s="12">
        <f t="shared" si="141"/>
        <v>5</v>
      </c>
      <c r="C988" s="12">
        <f t="shared" si="142"/>
        <v>4.1862500000000002</v>
      </c>
      <c r="D988" s="12">
        <f t="shared" si="143"/>
        <v>2.6737500000000303E-2</v>
      </c>
      <c r="E988" s="12">
        <f>SUM($D$19:D988)</f>
        <v>14.386249999999986</v>
      </c>
      <c r="F988" s="12">
        <f t="shared" si="139"/>
        <v>152.847226949375</v>
      </c>
      <c r="G988" s="12">
        <f t="shared" si="140"/>
        <v>111.152794809375</v>
      </c>
      <c r="H988" s="12">
        <f t="shared" si="144"/>
        <v>550200</v>
      </c>
      <c r="I988" s="12">
        <f t="shared" si="145"/>
        <v>400100</v>
      </c>
      <c r="J988" s="12">
        <f>IF(A988&lt;[3]关卡对接!$A$4,INDEX([3]关卡对接!$C$7:$C$141,A988),MATCH(E988,人物经验!$H$24:$H$573,1))</f>
        <v>371</v>
      </c>
      <c r="K988" s="12">
        <f>IF([3]关卡对接!F976="",INT(INDEX(人物经验!$J$24:$J$573,关卡!J988)*关卡!$S$7),[3]关卡对接!F976)</f>
        <v>13632</v>
      </c>
      <c r="L988" s="12">
        <f t="shared" si="146"/>
        <v>1.8</v>
      </c>
      <c r="M988" s="12">
        <f>L988/[4]货币基础!$B$4</f>
        <v>180</v>
      </c>
      <c r="N988" s="12">
        <f>IF(A988&lt;[3]关卡对接!$A$4,INDEX([3]关卡对接!$E$7:$E$141,A988),MATCH(E988,人物经验!$H$24:$H$573,1))</f>
        <v>371</v>
      </c>
      <c r="O988" s="12">
        <f>INDEX([2]关卡!$G$6:$G$2005,A988)</f>
        <v>3</v>
      </c>
      <c r="P988" s="13">
        <v>6</v>
      </c>
      <c r="Q988" s="12">
        <f>INT(P988/$S$15/O988*VLOOKUP(J988,[1]人物技能基础!$N$3:$O$553,2,0)*$U$15)</f>
        <v>9</v>
      </c>
      <c r="R988" s="12">
        <f t="shared" si="147"/>
        <v>112</v>
      </c>
    </row>
    <row r="989" spans="1:18" x14ac:dyDescent="0.15">
      <c r="A989" s="12">
        <v>971</v>
      </c>
      <c r="B989" s="12">
        <f t="shared" si="141"/>
        <v>5</v>
      </c>
      <c r="C989" s="12">
        <f t="shared" si="142"/>
        <v>4.2130124999999996</v>
      </c>
      <c r="D989" s="12">
        <f t="shared" si="143"/>
        <v>2.6762499999999356E-2</v>
      </c>
      <c r="E989" s="12">
        <f>SUM($D$19:D989)</f>
        <v>14.413012499999986</v>
      </c>
      <c r="F989" s="12">
        <f t="shared" si="139"/>
        <v>153.19141737256993</v>
      </c>
      <c r="G989" s="12">
        <f t="shared" si="140"/>
        <v>111.35027204198093</v>
      </c>
      <c r="H989" s="12">
        <f t="shared" si="144"/>
        <v>551400</v>
      </c>
      <c r="I989" s="12">
        <f t="shared" si="145"/>
        <v>400800</v>
      </c>
      <c r="J989" s="12">
        <f>IF(A989&lt;[3]关卡对接!$A$4,INDEX([3]关卡对接!$C$7:$C$141,A989),MATCH(E989,人物经验!$H$24:$H$573,1))</f>
        <v>371</v>
      </c>
      <c r="K989" s="12">
        <f>IF([3]关卡对接!F977="",INT(INDEX(人物经验!$J$24:$J$573,关卡!J989)*关卡!$S$7),[3]关卡对接!F977)</f>
        <v>13632</v>
      </c>
      <c r="L989" s="12">
        <f t="shared" si="146"/>
        <v>1.8</v>
      </c>
      <c r="M989" s="12">
        <f>L989/[4]货币基础!$B$4</f>
        <v>180</v>
      </c>
      <c r="N989" s="12">
        <f>IF(A989&lt;[3]关卡对接!$A$4,INDEX([3]关卡对接!$E$7:$E$141,A989),MATCH(E989,人物经验!$H$24:$H$573,1))</f>
        <v>371</v>
      </c>
      <c r="O989" s="12">
        <f>INDEX([2]关卡!$G$6:$G$2005,A989)</f>
        <v>3</v>
      </c>
      <c r="P989" s="13">
        <v>6</v>
      </c>
      <c r="Q989" s="12">
        <f>INT(P989/$S$15/O989*VLOOKUP(J989,[1]人物技能基础!$N$3:$O$553,2,0)*$U$15)</f>
        <v>9</v>
      </c>
      <c r="R989" s="12">
        <f t="shared" si="147"/>
        <v>112</v>
      </c>
    </row>
    <row r="990" spans="1:18" x14ac:dyDescent="0.15">
      <c r="A990" s="12">
        <v>972</v>
      </c>
      <c r="B990" s="12">
        <f t="shared" si="141"/>
        <v>5</v>
      </c>
      <c r="C990" s="12">
        <f t="shared" si="142"/>
        <v>4.2398000000000007</v>
      </c>
      <c r="D990" s="12">
        <f t="shared" si="143"/>
        <v>2.6787500000001074E-2</v>
      </c>
      <c r="E990" s="12">
        <f>SUM($D$19:D990)</f>
        <v>14.439799999999988</v>
      </c>
      <c r="F990" s="12">
        <f t="shared" si="139"/>
        <v>153.53620841598402</v>
      </c>
      <c r="G990" s="12">
        <f t="shared" si="140"/>
        <v>111.54800068952001</v>
      </c>
      <c r="H990" s="12">
        <f t="shared" si="144"/>
        <v>552700</v>
      </c>
      <c r="I990" s="12">
        <f t="shared" si="145"/>
        <v>401500</v>
      </c>
      <c r="J990" s="12">
        <f>IF(A990&lt;[3]关卡对接!$A$4,INDEX([3]关卡对接!$C$7:$C$141,A990),MATCH(E990,人物经验!$H$24:$H$573,1))</f>
        <v>371</v>
      </c>
      <c r="K990" s="12">
        <f>IF([3]关卡对接!F978="",INT(INDEX(人物经验!$J$24:$J$573,关卡!J990)*关卡!$S$7),[3]关卡对接!F978)</f>
        <v>13632</v>
      </c>
      <c r="L990" s="12">
        <f t="shared" si="146"/>
        <v>1.8</v>
      </c>
      <c r="M990" s="12">
        <f>L990/[4]货币基础!$B$4</f>
        <v>180</v>
      </c>
      <c r="N990" s="12">
        <f>IF(A990&lt;[3]关卡对接!$A$4,INDEX([3]关卡对接!$E$7:$E$141,A990),MATCH(E990,人物经验!$H$24:$H$573,1))</f>
        <v>371</v>
      </c>
      <c r="O990" s="12">
        <f>INDEX([2]关卡!$G$6:$G$2005,A990)</f>
        <v>3</v>
      </c>
      <c r="P990" s="13">
        <v>6</v>
      </c>
      <c r="Q990" s="12">
        <f>INT(P990/$S$15/O990*VLOOKUP(J990,[1]人物技能基础!$N$3:$O$553,2,0)*$U$15)</f>
        <v>9</v>
      </c>
      <c r="R990" s="12">
        <f t="shared" si="147"/>
        <v>112</v>
      </c>
    </row>
    <row r="991" spans="1:18" x14ac:dyDescent="0.15">
      <c r="A991" s="12">
        <v>973</v>
      </c>
      <c r="B991" s="12">
        <f t="shared" si="141"/>
        <v>5</v>
      </c>
      <c r="C991" s="12">
        <f t="shared" si="142"/>
        <v>4.2666124999999999</v>
      </c>
      <c r="D991" s="12">
        <f t="shared" si="143"/>
        <v>2.681249999999924E-2</v>
      </c>
      <c r="E991" s="12">
        <f>SUM($D$19:D991)</f>
        <v>14.466612499999986</v>
      </c>
      <c r="F991" s="12">
        <f t="shared" si="139"/>
        <v>153.88160088605994</v>
      </c>
      <c r="G991" s="12">
        <f t="shared" si="140"/>
        <v>111.74598100293093</v>
      </c>
      <c r="H991" s="12">
        <f t="shared" si="144"/>
        <v>553900</v>
      </c>
      <c r="I991" s="12">
        <f t="shared" si="145"/>
        <v>402200</v>
      </c>
      <c r="J991" s="12">
        <f>IF(A991&lt;[3]关卡对接!$A$4,INDEX([3]关卡对接!$C$7:$C$141,A991),MATCH(E991,人物经验!$H$24:$H$573,1))</f>
        <v>372</v>
      </c>
      <c r="K991" s="12">
        <f>IF([3]关卡对接!F979="",INT(INDEX(人物经验!$J$24:$J$573,关卡!J991)*关卡!$S$7),[3]关卡对接!F979)</f>
        <v>13818</v>
      </c>
      <c r="L991" s="12">
        <f t="shared" si="146"/>
        <v>1.8</v>
      </c>
      <c r="M991" s="12">
        <f>L991/[4]货币基础!$B$4</f>
        <v>180</v>
      </c>
      <c r="N991" s="12">
        <f>IF(A991&lt;[3]关卡对接!$A$4,INDEX([3]关卡对接!$E$7:$E$141,A991),MATCH(E991,人物经验!$H$24:$H$573,1))</f>
        <v>372</v>
      </c>
      <c r="O991" s="12">
        <f>INDEX([2]关卡!$G$6:$G$2005,A991)</f>
        <v>3</v>
      </c>
      <c r="P991" s="13">
        <v>6</v>
      </c>
      <c r="Q991" s="12">
        <f>INT(P991/$S$15/O991*VLOOKUP(J991,[1]人物技能基础!$N$3:$O$553,2,0)*$U$15)</f>
        <v>9</v>
      </c>
      <c r="R991" s="12">
        <f t="shared" si="147"/>
        <v>112</v>
      </c>
    </row>
    <row r="992" spans="1:18" x14ac:dyDescent="0.15">
      <c r="A992" s="12">
        <v>974</v>
      </c>
      <c r="B992" s="12">
        <f t="shared" si="141"/>
        <v>5</v>
      </c>
      <c r="C992" s="12">
        <f t="shared" si="142"/>
        <v>4.29345</v>
      </c>
      <c r="D992" s="12">
        <f t="shared" si="143"/>
        <v>2.683750000000007E-2</v>
      </c>
      <c r="E992" s="12">
        <f>SUM($D$19:D992)</f>
        <v>14.493449999999985</v>
      </c>
      <c r="F992" s="12">
        <f t="shared" si="139"/>
        <v>154.22759558983898</v>
      </c>
      <c r="G992" s="12">
        <f t="shared" si="140"/>
        <v>111.94421323329499</v>
      </c>
      <c r="H992" s="12">
        <f t="shared" si="144"/>
        <v>555200</v>
      </c>
      <c r="I992" s="12">
        <f t="shared" si="145"/>
        <v>402900</v>
      </c>
      <c r="J992" s="12">
        <f>IF(A992&lt;[3]关卡对接!$A$4,INDEX([3]关卡对接!$C$7:$C$141,A992),MATCH(E992,人物经验!$H$24:$H$573,1))</f>
        <v>372</v>
      </c>
      <c r="K992" s="12">
        <f>IF([3]关卡对接!F980="",INT(INDEX(人物经验!$J$24:$J$573,关卡!J992)*关卡!$S$7),[3]关卡对接!F980)</f>
        <v>13818</v>
      </c>
      <c r="L992" s="12">
        <f t="shared" si="146"/>
        <v>1.8</v>
      </c>
      <c r="M992" s="12">
        <f>L992/[4]货币基础!$B$4</f>
        <v>180</v>
      </c>
      <c r="N992" s="12">
        <f>IF(A992&lt;[3]关卡对接!$A$4,INDEX([3]关卡对接!$E$7:$E$141,A992),MATCH(E992,人物经验!$H$24:$H$573,1))</f>
        <v>372</v>
      </c>
      <c r="O992" s="12">
        <f>INDEX([2]关卡!$G$6:$G$2005,A992)</f>
        <v>3</v>
      </c>
      <c r="P992" s="13">
        <v>6</v>
      </c>
      <c r="Q992" s="12">
        <f>INT(P992/$S$15/O992*VLOOKUP(J992,[1]人物技能基础!$N$3:$O$553,2,0)*$U$15)</f>
        <v>9</v>
      </c>
      <c r="R992" s="12">
        <f t="shared" si="147"/>
        <v>112</v>
      </c>
    </row>
    <row r="993" spans="1:18" x14ac:dyDescent="0.15">
      <c r="A993" s="12">
        <v>975</v>
      </c>
      <c r="B993" s="12">
        <f t="shared" si="141"/>
        <v>5</v>
      </c>
      <c r="C993" s="12">
        <f t="shared" si="142"/>
        <v>4.3203125</v>
      </c>
      <c r="D993" s="12">
        <f t="shared" si="143"/>
        <v>2.6862500000000011E-2</v>
      </c>
      <c r="E993" s="12">
        <f>SUM($D$19:D993)</f>
        <v>14.520312499999985</v>
      </c>
      <c r="F993" s="12">
        <f t="shared" si="139"/>
        <v>154.57419333496094</v>
      </c>
      <c r="G993" s="12">
        <f t="shared" si="140"/>
        <v>112.14269763183593</v>
      </c>
      <c r="H993" s="12">
        <f t="shared" si="144"/>
        <v>556400</v>
      </c>
      <c r="I993" s="12">
        <f t="shared" si="145"/>
        <v>403700</v>
      </c>
      <c r="J993" s="12">
        <f>IF(A993&lt;[3]关卡对接!$A$4,INDEX([3]关卡对接!$C$7:$C$141,A993),MATCH(E993,人物经验!$H$24:$H$573,1))</f>
        <v>372</v>
      </c>
      <c r="K993" s="12">
        <f>IF([3]关卡对接!F981="",INT(INDEX(人物经验!$J$24:$J$573,关卡!J993)*关卡!$S$7),[3]关卡对接!F981)</f>
        <v>13818</v>
      </c>
      <c r="L993" s="12">
        <f t="shared" si="146"/>
        <v>1.8</v>
      </c>
      <c r="M993" s="12">
        <f>L993/[4]货币基础!$B$4</f>
        <v>180</v>
      </c>
      <c r="N993" s="12">
        <f>IF(A993&lt;[3]关卡对接!$A$4,INDEX([3]关卡对接!$E$7:$E$141,A993),MATCH(E993,人物经验!$H$24:$H$573,1))</f>
        <v>372</v>
      </c>
      <c r="O993" s="12">
        <f>INDEX([2]关卡!$G$6:$G$2005,A993)</f>
        <v>3</v>
      </c>
      <c r="P993" s="13">
        <v>6</v>
      </c>
      <c r="Q993" s="12">
        <f>INT(P993/$S$15/O993*VLOOKUP(J993,[1]人物技能基础!$N$3:$O$553,2,0)*$U$15)</f>
        <v>9</v>
      </c>
      <c r="R993" s="12">
        <f t="shared" si="147"/>
        <v>112</v>
      </c>
    </row>
    <row r="994" spans="1:18" x14ac:dyDescent="0.15">
      <c r="A994" s="12">
        <v>976</v>
      </c>
      <c r="B994" s="12">
        <f t="shared" si="141"/>
        <v>5</v>
      </c>
      <c r="C994" s="12">
        <f t="shared" si="142"/>
        <v>4.3472</v>
      </c>
      <c r="D994" s="12">
        <f t="shared" si="143"/>
        <v>2.6887499999999953E-2</v>
      </c>
      <c r="E994" s="12">
        <f>SUM($D$19:D994)</f>
        <v>14.547199999999986</v>
      </c>
      <c r="F994" s="12">
        <f t="shared" si="139"/>
        <v>154.92139492966399</v>
      </c>
      <c r="G994" s="12">
        <f t="shared" si="140"/>
        <v>112.34143444991999</v>
      </c>
      <c r="H994" s="12">
        <f t="shared" si="144"/>
        <v>557700</v>
      </c>
      <c r="I994" s="12">
        <f t="shared" si="145"/>
        <v>404400</v>
      </c>
      <c r="J994" s="12">
        <f>IF(A994&lt;[3]关卡对接!$A$4,INDEX([3]关卡对接!$C$7:$C$141,A994),MATCH(E994,人物经验!$H$24:$H$573,1))</f>
        <v>372</v>
      </c>
      <c r="K994" s="12">
        <f>IF([3]关卡对接!F982="",INT(INDEX(人物经验!$J$24:$J$573,关卡!J994)*关卡!$S$7),[3]关卡对接!F982)</f>
        <v>13818</v>
      </c>
      <c r="L994" s="12">
        <f t="shared" si="146"/>
        <v>1.8</v>
      </c>
      <c r="M994" s="12">
        <f>L994/[4]货币基础!$B$4</f>
        <v>180</v>
      </c>
      <c r="N994" s="12">
        <f>IF(A994&lt;[3]关卡对接!$A$4,INDEX([3]关卡对接!$E$7:$E$141,A994),MATCH(E994,人物经验!$H$24:$H$573,1))</f>
        <v>372</v>
      </c>
      <c r="O994" s="12">
        <f>INDEX([2]关卡!$G$6:$G$2005,A994)</f>
        <v>3</v>
      </c>
      <c r="P994" s="13">
        <v>6</v>
      </c>
      <c r="Q994" s="12">
        <f>INT(P994/$S$15/O994*VLOOKUP(J994,[1]人物技能基础!$N$3:$O$553,2,0)*$U$15)</f>
        <v>9</v>
      </c>
      <c r="R994" s="12">
        <f t="shared" si="147"/>
        <v>112</v>
      </c>
    </row>
    <row r="995" spans="1:18" x14ac:dyDescent="0.15">
      <c r="A995" s="12">
        <v>977</v>
      </c>
      <c r="B995" s="12">
        <f t="shared" si="141"/>
        <v>5</v>
      </c>
      <c r="C995" s="12">
        <f t="shared" si="142"/>
        <v>4.3741125000000007</v>
      </c>
      <c r="D995" s="12">
        <f t="shared" si="143"/>
        <v>2.6912500000000783E-2</v>
      </c>
      <c r="E995" s="12">
        <f>SUM($D$19:D995)</f>
        <v>14.574112499999988</v>
      </c>
      <c r="F995" s="12">
        <f t="shared" si="139"/>
        <v>155.26920118278494</v>
      </c>
      <c r="G995" s="12">
        <f t="shared" si="140"/>
        <v>112.54042393905593</v>
      </c>
      <c r="H995" s="12">
        <f t="shared" si="144"/>
        <v>558900</v>
      </c>
      <c r="I995" s="12">
        <f t="shared" si="145"/>
        <v>405100</v>
      </c>
      <c r="J995" s="12">
        <f>IF(A995&lt;[3]关卡对接!$A$4,INDEX([3]关卡对接!$C$7:$C$141,A995),MATCH(E995,人物经验!$H$24:$H$573,1))</f>
        <v>372</v>
      </c>
      <c r="K995" s="12">
        <f>IF([3]关卡对接!F983="",INT(INDEX(人物经验!$J$24:$J$573,关卡!J995)*关卡!$S$7),[3]关卡对接!F983)</f>
        <v>13818</v>
      </c>
      <c r="L995" s="12">
        <f t="shared" si="146"/>
        <v>1.8</v>
      </c>
      <c r="M995" s="12">
        <f>L995/[4]货币基础!$B$4</f>
        <v>180</v>
      </c>
      <c r="N995" s="12">
        <f>IF(A995&lt;[3]关卡对接!$A$4,INDEX([3]关卡对接!$E$7:$E$141,A995),MATCH(E995,人物经验!$H$24:$H$573,1))</f>
        <v>372</v>
      </c>
      <c r="O995" s="12">
        <f>INDEX([2]关卡!$G$6:$G$2005,A995)</f>
        <v>3</v>
      </c>
      <c r="P995" s="13">
        <v>6</v>
      </c>
      <c r="Q995" s="12">
        <f>INT(P995/$S$15/O995*VLOOKUP(J995,[1]人物技能基础!$N$3:$O$553,2,0)*$U$15)</f>
        <v>9</v>
      </c>
      <c r="R995" s="12">
        <f t="shared" si="147"/>
        <v>112</v>
      </c>
    </row>
    <row r="996" spans="1:18" x14ac:dyDescent="0.15">
      <c r="A996" s="12">
        <v>978</v>
      </c>
      <c r="B996" s="12">
        <f t="shared" si="141"/>
        <v>5</v>
      </c>
      <c r="C996" s="12">
        <f t="shared" si="142"/>
        <v>4.4010500000000006</v>
      </c>
      <c r="D996" s="12">
        <f t="shared" si="143"/>
        <v>2.6937499999999837E-2</v>
      </c>
      <c r="E996" s="12">
        <f>SUM($D$19:D996)</f>
        <v>14.601049999999987</v>
      </c>
      <c r="F996" s="12">
        <f t="shared" si="139"/>
        <v>155.61761290375904</v>
      </c>
      <c r="G996" s="12">
        <f t="shared" si="140"/>
        <v>112.73966635089499</v>
      </c>
      <c r="H996" s="12">
        <f t="shared" si="144"/>
        <v>560200</v>
      </c>
      <c r="I996" s="12">
        <f t="shared" si="145"/>
        <v>405800</v>
      </c>
      <c r="J996" s="12">
        <f>IF(A996&lt;[3]关卡对接!$A$4,INDEX([3]关卡对接!$C$7:$C$141,A996),MATCH(E996,人物经验!$H$24:$H$573,1))</f>
        <v>373</v>
      </c>
      <c r="K996" s="12">
        <f>IF([3]关卡对接!F984="",INT(INDEX(人物经验!$J$24:$J$573,关卡!J996)*关卡!$S$7),[3]关卡对接!F984)</f>
        <v>13974</v>
      </c>
      <c r="L996" s="12">
        <f t="shared" si="146"/>
        <v>1.8</v>
      </c>
      <c r="M996" s="12">
        <f>L996/[4]货币基础!$B$4</f>
        <v>180</v>
      </c>
      <c r="N996" s="12">
        <f>IF(A996&lt;[3]关卡对接!$A$4,INDEX([3]关卡对接!$E$7:$E$141,A996),MATCH(E996,人物经验!$H$24:$H$573,1))</f>
        <v>373</v>
      </c>
      <c r="O996" s="12">
        <f>INDEX([2]关卡!$G$6:$G$2005,A996)</f>
        <v>3</v>
      </c>
      <c r="P996" s="13">
        <v>6</v>
      </c>
      <c r="Q996" s="12">
        <f>INT(P996/$S$15/O996*VLOOKUP(J996,[1]人物技能基础!$N$3:$O$553,2,0)*$U$15)</f>
        <v>9</v>
      </c>
      <c r="R996" s="12">
        <f t="shared" si="147"/>
        <v>112</v>
      </c>
    </row>
    <row r="997" spans="1:18" x14ac:dyDescent="0.15">
      <c r="A997" s="12">
        <v>979</v>
      </c>
      <c r="B997" s="12">
        <f t="shared" si="141"/>
        <v>5</v>
      </c>
      <c r="C997" s="12">
        <f t="shared" si="142"/>
        <v>4.4280124999999995</v>
      </c>
      <c r="D997" s="12">
        <f t="shared" si="143"/>
        <v>2.696249999999889E-2</v>
      </c>
      <c r="E997" s="12">
        <f>SUM($D$19:D997)</f>
        <v>14.628012499999986</v>
      </c>
      <c r="F997" s="12">
        <f t="shared" si="139"/>
        <v>155.96663090261995</v>
      </c>
      <c r="G997" s="12">
        <f t="shared" si="140"/>
        <v>112.93916193723093</v>
      </c>
      <c r="H997" s="12">
        <f t="shared" si="144"/>
        <v>561400</v>
      </c>
      <c r="I997" s="12">
        <f t="shared" si="145"/>
        <v>406500</v>
      </c>
      <c r="J997" s="12">
        <f>IF(A997&lt;[3]关卡对接!$A$4,INDEX([3]关卡对接!$C$7:$C$141,A997),MATCH(E997,人物经验!$H$24:$H$573,1))</f>
        <v>373</v>
      </c>
      <c r="K997" s="12">
        <f>IF([3]关卡对接!F985="",INT(INDEX(人物经验!$J$24:$J$573,关卡!J997)*关卡!$S$7),[3]关卡对接!F985)</f>
        <v>13974</v>
      </c>
      <c r="L997" s="12">
        <f t="shared" si="146"/>
        <v>1.8</v>
      </c>
      <c r="M997" s="12">
        <f>L997/[4]货币基础!$B$4</f>
        <v>180</v>
      </c>
      <c r="N997" s="12">
        <f>IF(A997&lt;[3]关卡对接!$A$4,INDEX([3]关卡对接!$E$7:$E$141,A997),MATCH(E997,人物经验!$H$24:$H$573,1))</f>
        <v>373</v>
      </c>
      <c r="O997" s="12">
        <f>INDEX([2]关卡!$G$6:$G$2005,A997)</f>
        <v>3</v>
      </c>
      <c r="P997" s="13">
        <v>6</v>
      </c>
      <c r="Q997" s="12">
        <f>INT(P997/$S$15/O997*VLOOKUP(J997,[1]人物技能基础!$N$3:$O$553,2,0)*$U$15)</f>
        <v>9</v>
      </c>
      <c r="R997" s="12">
        <f t="shared" si="147"/>
        <v>112</v>
      </c>
    </row>
    <row r="998" spans="1:18" x14ac:dyDescent="0.15">
      <c r="A998" s="12">
        <v>980</v>
      </c>
      <c r="B998" s="12">
        <f t="shared" si="141"/>
        <v>5</v>
      </c>
      <c r="C998" s="12">
        <f t="shared" si="142"/>
        <v>4.4550000000000001</v>
      </c>
      <c r="D998" s="12">
        <f t="shared" si="143"/>
        <v>2.6987500000000608E-2</v>
      </c>
      <c r="E998" s="12">
        <f>SUM($D$19:D998)</f>
        <v>14.654999999999987</v>
      </c>
      <c r="F998" s="12">
        <f t="shared" si="139"/>
        <v>156.31625599</v>
      </c>
      <c r="G998" s="12">
        <f t="shared" si="140"/>
        <v>113.13891095</v>
      </c>
      <c r="H998" s="12">
        <f t="shared" si="144"/>
        <v>562700</v>
      </c>
      <c r="I998" s="12">
        <f t="shared" si="145"/>
        <v>407300</v>
      </c>
      <c r="J998" s="12">
        <f>IF(A998&lt;[3]关卡对接!$A$4,INDEX([3]关卡对接!$C$7:$C$141,A998),MATCH(E998,人物经验!$H$24:$H$573,1))</f>
        <v>373</v>
      </c>
      <c r="K998" s="12">
        <f>IF([3]关卡对接!F986="",INT(INDEX(人物经验!$J$24:$J$573,关卡!J998)*关卡!$S$7),[3]关卡对接!F986)</f>
        <v>13974</v>
      </c>
      <c r="L998" s="12">
        <f t="shared" si="146"/>
        <v>1.8</v>
      </c>
      <c r="M998" s="12">
        <f>L998/[4]货币基础!$B$4</f>
        <v>180</v>
      </c>
      <c r="N998" s="12">
        <f>IF(A998&lt;[3]关卡对接!$A$4,INDEX([3]关卡对接!$E$7:$E$141,A998),MATCH(E998,人物经验!$H$24:$H$573,1))</f>
        <v>373</v>
      </c>
      <c r="O998" s="12">
        <f>INDEX([2]关卡!$G$6:$G$2005,A998)</f>
        <v>3</v>
      </c>
      <c r="P998" s="13">
        <v>6</v>
      </c>
      <c r="Q998" s="12">
        <f>INT(P998/$S$15/O998*VLOOKUP(J998,[1]人物技能基础!$N$3:$O$553,2,0)*$U$15)</f>
        <v>9</v>
      </c>
      <c r="R998" s="12">
        <f t="shared" si="147"/>
        <v>112</v>
      </c>
    </row>
    <row r="999" spans="1:18" x14ac:dyDescent="0.15">
      <c r="A999" s="12">
        <v>981</v>
      </c>
      <c r="B999" s="12">
        <f t="shared" si="141"/>
        <v>5</v>
      </c>
      <c r="C999" s="12">
        <f t="shared" si="142"/>
        <v>4.4820124999999997</v>
      </c>
      <c r="D999" s="12">
        <f t="shared" si="143"/>
        <v>2.7012499999999662E-2</v>
      </c>
      <c r="E999" s="12">
        <f>SUM($D$19:D999)</f>
        <v>14.682012499999987</v>
      </c>
      <c r="F999" s="12">
        <f t="shared" si="139"/>
        <v>156.66648897712994</v>
      </c>
      <c r="G999" s="12">
        <f t="shared" si="140"/>
        <v>113.33891364128094</v>
      </c>
      <c r="H999" s="12">
        <f t="shared" si="144"/>
        <v>563900</v>
      </c>
      <c r="I999" s="12">
        <f t="shared" si="145"/>
        <v>408000</v>
      </c>
      <c r="J999" s="12">
        <f>IF(A999&lt;[3]关卡对接!$A$4,INDEX([3]关卡对接!$C$7:$C$141,A999),MATCH(E999,人物经验!$H$24:$H$573,1))</f>
        <v>373</v>
      </c>
      <c r="K999" s="12">
        <f>IF([3]关卡对接!F987="",INT(INDEX(人物经验!$J$24:$J$573,关卡!J999)*关卡!$S$7),[3]关卡对接!F987)</f>
        <v>13974</v>
      </c>
      <c r="L999" s="12">
        <f t="shared" si="146"/>
        <v>1.8</v>
      </c>
      <c r="M999" s="12">
        <f>L999/[4]货币基础!$B$4</f>
        <v>180</v>
      </c>
      <c r="N999" s="12">
        <f>IF(A999&lt;[3]关卡对接!$A$4,INDEX([3]关卡对接!$E$7:$E$141,A999),MATCH(E999,人物经验!$H$24:$H$573,1))</f>
        <v>373</v>
      </c>
      <c r="O999" s="12">
        <f>INDEX([2]关卡!$G$6:$G$2005,A999)</f>
        <v>3</v>
      </c>
      <c r="P999" s="13">
        <v>6</v>
      </c>
      <c r="Q999" s="12">
        <f>INT(P999/$S$15/O999*VLOOKUP(J999,[1]人物技能基础!$N$3:$O$553,2,0)*$U$15)</f>
        <v>9</v>
      </c>
      <c r="R999" s="12">
        <f t="shared" si="147"/>
        <v>112</v>
      </c>
    </row>
    <row r="1000" spans="1:18" x14ac:dyDescent="0.15">
      <c r="A1000" s="12">
        <v>982</v>
      </c>
      <c r="B1000" s="12">
        <f t="shared" si="141"/>
        <v>5</v>
      </c>
      <c r="C1000" s="12">
        <f t="shared" si="142"/>
        <v>4.5090500000000002</v>
      </c>
      <c r="D1000" s="12">
        <f t="shared" si="143"/>
        <v>2.7037500000000492E-2</v>
      </c>
      <c r="E1000" s="12">
        <f>SUM($D$19:D1000)</f>
        <v>14.709049999999987</v>
      </c>
      <c r="F1000" s="12">
        <f t="shared" si="139"/>
        <v>157.01733067583902</v>
      </c>
      <c r="G1000" s="12">
        <f t="shared" si="140"/>
        <v>113.53917026329499</v>
      </c>
      <c r="H1000" s="12">
        <f t="shared" si="144"/>
        <v>565200</v>
      </c>
      <c r="I1000" s="12">
        <f t="shared" si="145"/>
        <v>408700</v>
      </c>
      <c r="J1000" s="12">
        <f>IF(A1000&lt;[3]关卡对接!$A$4,INDEX([3]关卡对接!$C$7:$C$141,A1000),MATCH(E1000,人物经验!$H$24:$H$573,1))</f>
        <v>373</v>
      </c>
      <c r="K1000" s="12">
        <f>IF([3]关卡对接!F988="",INT(INDEX(人物经验!$J$24:$J$573,关卡!J1000)*关卡!$S$7),[3]关卡对接!F988)</f>
        <v>13974</v>
      </c>
      <c r="L1000" s="12">
        <f t="shared" si="146"/>
        <v>1.8</v>
      </c>
      <c r="M1000" s="12">
        <f>L1000/[4]货币基础!$B$4</f>
        <v>180</v>
      </c>
      <c r="N1000" s="12">
        <f>IF(A1000&lt;[3]关卡对接!$A$4,INDEX([3]关卡对接!$E$7:$E$141,A1000),MATCH(E1000,人物经验!$H$24:$H$573,1))</f>
        <v>373</v>
      </c>
      <c r="O1000" s="12">
        <f>INDEX([2]关卡!$G$6:$G$2005,A1000)</f>
        <v>3</v>
      </c>
      <c r="P1000" s="13">
        <v>6</v>
      </c>
      <c r="Q1000" s="12">
        <f>INT(P1000/$S$15/O1000*VLOOKUP(J1000,[1]人物技能基础!$N$3:$O$553,2,0)*$U$15)</f>
        <v>9</v>
      </c>
      <c r="R1000" s="12">
        <f t="shared" si="147"/>
        <v>112</v>
      </c>
    </row>
    <row r="1001" spans="1:18" x14ac:dyDescent="0.15">
      <c r="A1001" s="12">
        <v>983</v>
      </c>
      <c r="B1001" s="12">
        <f t="shared" si="141"/>
        <v>5</v>
      </c>
      <c r="C1001" s="12">
        <f t="shared" si="142"/>
        <v>4.5361124999999998</v>
      </c>
      <c r="D1001" s="12">
        <f t="shared" si="143"/>
        <v>2.7062499999999545E-2</v>
      </c>
      <c r="E1001" s="12">
        <f>SUM($D$19:D1001)</f>
        <v>14.736112499999987</v>
      </c>
      <c r="F1001" s="12">
        <f t="shared" si="139"/>
        <v>157.36878189855497</v>
      </c>
      <c r="G1001" s="12">
        <f t="shared" si="140"/>
        <v>113.73968106840594</v>
      </c>
      <c r="H1001" s="12">
        <f t="shared" si="144"/>
        <v>566500</v>
      </c>
      <c r="I1001" s="12">
        <f t="shared" si="145"/>
        <v>409400</v>
      </c>
      <c r="J1001" s="12">
        <f>IF(A1001&lt;[3]关卡对接!$A$4,INDEX([3]关卡对接!$C$7:$C$141,A1001),MATCH(E1001,人物经验!$H$24:$H$573,1))</f>
        <v>374</v>
      </c>
      <c r="K1001" s="12">
        <f>IF([3]关卡对接!F989="",INT(INDEX(人物经验!$J$24:$J$573,关卡!J1001)*关卡!$S$7),[3]关卡对接!F989)</f>
        <v>14131</v>
      </c>
      <c r="L1001" s="12">
        <f t="shared" si="146"/>
        <v>1.8</v>
      </c>
      <c r="M1001" s="12">
        <f>L1001/[4]货币基础!$B$4</f>
        <v>180</v>
      </c>
      <c r="N1001" s="12">
        <f>IF(A1001&lt;[3]关卡对接!$A$4,INDEX([3]关卡对接!$E$7:$E$141,A1001),MATCH(E1001,人物经验!$H$24:$H$573,1))</f>
        <v>374</v>
      </c>
      <c r="O1001" s="12">
        <f>INDEX([2]关卡!$G$6:$G$2005,A1001)</f>
        <v>3</v>
      </c>
      <c r="P1001" s="13">
        <v>6</v>
      </c>
      <c r="Q1001" s="12">
        <f>INT(P1001/$S$15/O1001*VLOOKUP(J1001,[1]人物技能基础!$N$3:$O$553,2,0)*$U$15)</f>
        <v>9</v>
      </c>
      <c r="R1001" s="12">
        <f t="shared" si="147"/>
        <v>112</v>
      </c>
    </row>
    <row r="1002" spans="1:18" x14ac:dyDescent="0.15">
      <c r="A1002" s="12">
        <v>984</v>
      </c>
      <c r="B1002" s="12">
        <f t="shared" si="141"/>
        <v>5</v>
      </c>
      <c r="C1002" s="12">
        <f t="shared" si="142"/>
        <v>4.5632000000000001</v>
      </c>
      <c r="D1002" s="12">
        <f t="shared" si="143"/>
        <v>2.7087500000000375E-2</v>
      </c>
      <c r="E1002" s="12">
        <f>SUM($D$19:D1002)</f>
        <v>14.763199999999987</v>
      </c>
      <c r="F1002" s="12">
        <f t="shared" si="139"/>
        <v>157.72084345830402</v>
      </c>
      <c r="G1002" s="12">
        <f t="shared" si="140"/>
        <v>113.94044630911999</v>
      </c>
      <c r="H1002" s="12">
        <f t="shared" si="144"/>
        <v>567700</v>
      </c>
      <c r="I1002" s="12">
        <f t="shared" si="145"/>
        <v>410100</v>
      </c>
      <c r="J1002" s="12">
        <f>IF(A1002&lt;[3]关卡对接!$A$4,INDEX([3]关卡对接!$C$7:$C$141,A1002),MATCH(E1002,人物经验!$H$24:$H$573,1))</f>
        <v>374</v>
      </c>
      <c r="K1002" s="12">
        <f>IF([3]关卡对接!F990="",INT(INDEX(人物经验!$J$24:$J$573,关卡!J1002)*关卡!$S$7),[3]关卡对接!F990)</f>
        <v>14131</v>
      </c>
      <c r="L1002" s="12">
        <f t="shared" si="146"/>
        <v>1.8</v>
      </c>
      <c r="M1002" s="12">
        <f>L1002/[4]货币基础!$B$4</f>
        <v>180</v>
      </c>
      <c r="N1002" s="12">
        <f>IF(A1002&lt;[3]关卡对接!$A$4,INDEX([3]关卡对接!$E$7:$E$141,A1002),MATCH(E1002,人物经验!$H$24:$H$573,1))</f>
        <v>374</v>
      </c>
      <c r="O1002" s="12">
        <f>INDEX([2]关卡!$G$6:$G$2005,A1002)</f>
        <v>3</v>
      </c>
      <c r="P1002" s="13">
        <v>6</v>
      </c>
      <c r="Q1002" s="12">
        <f>INT(P1002/$S$15/O1002*VLOOKUP(J1002,[1]人物技能基础!$N$3:$O$553,2,0)*$U$15)</f>
        <v>9</v>
      </c>
      <c r="R1002" s="12">
        <f t="shared" si="147"/>
        <v>112</v>
      </c>
    </row>
    <row r="1003" spans="1:18" x14ac:dyDescent="0.15">
      <c r="A1003" s="12">
        <v>985</v>
      </c>
      <c r="B1003" s="12">
        <f t="shared" si="141"/>
        <v>5</v>
      </c>
      <c r="C1003" s="12">
        <f t="shared" si="142"/>
        <v>4.5903124999999996</v>
      </c>
      <c r="D1003" s="12">
        <f t="shared" si="143"/>
        <v>2.7112499999999429E-2</v>
      </c>
      <c r="E1003" s="12">
        <f>SUM($D$19:D1003)</f>
        <v>14.790312499999986</v>
      </c>
      <c r="F1003" s="12">
        <f t="shared" si="139"/>
        <v>158.07351616871094</v>
      </c>
      <c r="G1003" s="12">
        <f t="shared" si="140"/>
        <v>114.14146623808594</v>
      </c>
      <c r="H1003" s="12">
        <f t="shared" si="144"/>
        <v>569000</v>
      </c>
      <c r="I1003" s="12">
        <f t="shared" si="145"/>
        <v>410900</v>
      </c>
      <c r="J1003" s="12">
        <f>IF(A1003&lt;[3]关卡对接!$A$4,INDEX([3]关卡对接!$C$7:$C$141,A1003),MATCH(E1003,人物经验!$H$24:$H$573,1))</f>
        <v>374</v>
      </c>
      <c r="K1003" s="12">
        <f>IF([3]关卡对接!F991="",INT(INDEX(人物经验!$J$24:$J$573,关卡!J1003)*关卡!$S$7),[3]关卡对接!F991)</f>
        <v>14131</v>
      </c>
      <c r="L1003" s="12">
        <f t="shared" si="146"/>
        <v>1.8</v>
      </c>
      <c r="M1003" s="12">
        <f>L1003/[4]货币基础!$B$4</f>
        <v>180</v>
      </c>
      <c r="N1003" s="12">
        <f>IF(A1003&lt;[3]关卡对接!$A$4,INDEX([3]关卡对接!$E$7:$E$141,A1003),MATCH(E1003,人物经验!$H$24:$H$573,1))</f>
        <v>374</v>
      </c>
      <c r="O1003" s="12">
        <f>INDEX([2]关卡!$G$6:$G$2005,A1003)</f>
        <v>3</v>
      </c>
      <c r="P1003" s="13">
        <v>6</v>
      </c>
      <c r="Q1003" s="12">
        <f>INT(P1003/$S$15/O1003*VLOOKUP(J1003,[1]人物技能基础!$N$3:$O$553,2,0)*$U$15)</f>
        <v>9</v>
      </c>
      <c r="R1003" s="12">
        <f t="shared" si="147"/>
        <v>112</v>
      </c>
    </row>
    <row r="1004" spans="1:18" x14ac:dyDescent="0.15">
      <c r="A1004" s="12">
        <v>986</v>
      </c>
      <c r="B1004" s="12">
        <f t="shared" si="141"/>
        <v>5</v>
      </c>
      <c r="C1004" s="12">
        <f t="shared" si="142"/>
        <v>4.6174500000000007</v>
      </c>
      <c r="D1004" s="12">
        <f t="shared" si="143"/>
        <v>2.7137500000001147E-2</v>
      </c>
      <c r="E1004" s="12">
        <f>SUM($D$19:D1004)</f>
        <v>14.817449999999987</v>
      </c>
      <c r="F1004" s="12">
        <f t="shared" si="139"/>
        <v>158.42680084399902</v>
      </c>
      <c r="G1004" s="12">
        <f t="shared" si="140"/>
        <v>114.34274110809498</v>
      </c>
      <c r="H1004" s="12">
        <f t="shared" si="144"/>
        <v>570300</v>
      </c>
      <c r="I1004" s="12">
        <f t="shared" si="145"/>
        <v>411600</v>
      </c>
      <c r="J1004" s="12">
        <f>IF(A1004&lt;[3]关卡对接!$A$4,INDEX([3]关卡对接!$C$7:$C$141,A1004),MATCH(E1004,人物经验!$H$24:$H$573,1))</f>
        <v>374</v>
      </c>
      <c r="K1004" s="12">
        <f>IF([3]关卡对接!F992="",INT(INDEX(人物经验!$J$24:$J$573,关卡!J1004)*关卡!$S$7),[3]关卡对接!F992)</f>
        <v>14131</v>
      </c>
      <c r="L1004" s="12">
        <f t="shared" si="146"/>
        <v>1.8</v>
      </c>
      <c r="M1004" s="12">
        <f>L1004/[4]货币基础!$B$4</f>
        <v>180</v>
      </c>
      <c r="N1004" s="12">
        <f>IF(A1004&lt;[3]关卡对接!$A$4,INDEX([3]关卡对接!$E$7:$E$141,A1004),MATCH(E1004,人物经验!$H$24:$H$573,1))</f>
        <v>374</v>
      </c>
      <c r="O1004" s="12">
        <f>INDEX([2]关卡!$G$6:$G$2005,A1004)</f>
        <v>3</v>
      </c>
      <c r="P1004" s="13">
        <v>6</v>
      </c>
      <c r="Q1004" s="12">
        <f>INT(P1004/$S$15/O1004*VLOOKUP(J1004,[1]人物技能基础!$N$3:$O$553,2,0)*$U$15)</f>
        <v>9</v>
      </c>
      <c r="R1004" s="12">
        <f t="shared" si="147"/>
        <v>112</v>
      </c>
    </row>
    <row r="1005" spans="1:18" x14ac:dyDescent="0.15">
      <c r="A1005" s="12">
        <v>987</v>
      </c>
      <c r="B1005" s="12">
        <f t="shared" si="141"/>
        <v>5</v>
      </c>
      <c r="C1005" s="12">
        <f t="shared" si="142"/>
        <v>4.6446125000000009</v>
      </c>
      <c r="D1005" s="12">
        <f t="shared" si="143"/>
        <v>2.71625000000002E-2</v>
      </c>
      <c r="E1005" s="12">
        <f>SUM($D$19:D1005)</f>
        <v>14.844612499999986</v>
      </c>
      <c r="F1005" s="12">
        <f t="shared" si="139"/>
        <v>158.78069829898993</v>
      </c>
      <c r="G1005" s="12">
        <f t="shared" si="140"/>
        <v>114.54427117208093</v>
      </c>
      <c r="H1005" s="12">
        <f t="shared" si="144"/>
        <v>571600</v>
      </c>
      <c r="I1005" s="12">
        <f t="shared" si="145"/>
        <v>412300</v>
      </c>
      <c r="J1005" s="12">
        <f>IF(A1005&lt;[3]关卡对接!$A$4,INDEX([3]关卡对接!$C$7:$C$141,A1005),MATCH(E1005,人物经验!$H$24:$H$573,1))</f>
        <v>374</v>
      </c>
      <c r="K1005" s="12">
        <f>IF([3]关卡对接!F993="",INT(INDEX(人物经验!$J$24:$J$573,关卡!J1005)*关卡!$S$7),[3]关卡对接!F993)</f>
        <v>14131</v>
      </c>
      <c r="L1005" s="12">
        <f t="shared" si="146"/>
        <v>1.8</v>
      </c>
      <c r="M1005" s="12">
        <f>L1005/[4]货币基础!$B$4</f>
        <v>180</v>
      </c>
      <c r="N1005" s="12">
        <f>IF(A1005&lt;[3]关卡对接!$A$4,INDEX([3]关卡对接!$E$7:$E$141,A1005),MATCH(E1005,人物经验!$H$24:$H$573,1))</f>
        <v>374</v>
      </c>
      <c r="O1005" s="12">
        <f>INDEX([2]关卡!$G$6:$G$2005,A1005)</f>
        <v>3</v>
      </c>
      <c r="P1005" s="13">
        <v>6</v>
      </c>
      <c r="Q1005" s="12">
        <f>INT(P1005/$S$15/O1005*VLOOKUP(J1005,[1]人物技能基础!$N$3:$O$553,2,0)*$U$15)</f>
        <v>9</v>
      </c>
      <c r="R1005" s="12">
        <f t="shared" si="147"/>
        <v>112</v>
      </c>
    </row>
    <row r="1006" spans="1:18" x14ac:dyDescent="0.15">
      <c r="A1006" s="12">
        <v>988</v>
      </c>
      <c r="B1006" s="12">
        <f t="shared" si="141"/>
        <v>5</v>
      </c>
      <c r="C1006" s="12">
        <f t="shared" si="142"/>
        <v>4.6718000000000002</v>
      </c>
      <c r="D1006" s="12">
        <f t="shared" si="143"/>
        <v>2.7187499999999254E-2</v>
      </c>
      <c r="E1006" s="12">
        <f>SUM($D$19:D1006)</f>
        <v>14.871799999999986</v>
      </c>
      <c r="F1006" s="12">
        <f t="shared" si="139"/>
        <v>159.135209349104</v>
      </c>
      <c r="G1006" s="12">
        <f t="shared" si="140"/>
        <v>114.74605668311999</v>
      </c>
      <c r="H1006" s="12">
        <f t="shared" si="144"/>
        <v>572800</v>
      </c>
      <c r="I1006" s="12">
        <f t="shared" si="145"/>
        <v>413000</v>
      </c>
      <c r="J1006" s="12">
        <f>IF(A1006&lt;[3]关卡对接!$A$4,INDEX([3]关卡对接!$C$7:$C$141,A1006),MATCH(E1006,人物经验!$H$24:$H$573,1))</f>
        <v>375</v>
      </c>
      <c r="K1006" s="12">
        <f>IF([3]关卡对接!F994="",INT(INDEX(人物经验!$J$24:$J$573,关卡!J1006)*关卡!$S$7),[3]关卡对接!F994)</f>
        <v>14290</v>
      </c>
      <c r="L1006" s="12">
        <f t="shared" si="146"/>
        <v>1.8</v>
      </c>
      <c r="M1006" s="12">
        <f>L1006/[4]货币基础!$B$4</f>
        <v>180</v>
      </c>
      <c r="N1006" s="12">
        <f>IF(A1006&lt;[3]关卡对接!$A$4,INDEX([3]关卡对接!$E$7:$E$141,A1006),MATCH(E1006,人物经验!$H$24:$H$573,1))</f>
        <v>375</v>
      </c>
      <c r="O1006" s="12">
        <f>INDEX([2]关卡!$G$6:$G$2005,A1006)</f>
        <v>3</v>
      </c>
      <c r="P1006" s="13">
        <v>6</v>
      </c>
      <c r="Q1006" s="12">
        <f>INT(P1006/$S$15/O1006*VLOOKUP(J1006,[1]人物技能基础!$N$3:$O$553,2,0)*$U$15)</f>
        <v>9</v>
      </c>
      <c r="R1006" s="12">
        <f t="shared" si="147"/>
        <v>112</v>
      </c>
    </row>
    <row r="1007" spans="1:18" x14ac:dyDescent="0.15">
      <c r="A1007" s="12">
        <v>989</v>
      </c>
      <c r="B1007" s="12">
        <f t="shared" si="141"/>
        <v>5</v>
      </c>
      <c r="C1007" s="12">
        <f t="shared" si="142"/>
        <v>4.6990124999999994</v>
      </c>
      <c r="D1007" s="12">
        <f t="shared" si="143"/>
        <v>2.7212499999999196E-2</v>
      </c>
      <c r="E1007" s="12">
        <f>SUM($D$19:D1007)</f>
        <v>14.899012499999985</v>
      </c>
      <c r="F1007" s="12">
        <f t="shared" si="139"/>
        <v>159.49033481035994</v>
      </c>
      <c r="G1007" s="12">
        <f t="shared" si="140"/>
        <v>114.94809789443093</v>
      </c>
      <c r="H1007" s="12">
        <f t="shared" si="144"/>
        <v>574100</v>
      </c>
      <c r="I1007" s="12">
        <f t="shared" si="145"/>
        <v>413800</v>
      </c>
      <c r="J1007" s="12">
        <f>IF(A1007&lt;[3]关卡对接!$A$4,INDEX([3]关卡对接!$C$7:$C$141,A1007),MATCH(E1007,人物经验!$H$24:$H$573,1))</f>
        <v>375</v>
      </c>
      <c r="K1007" s="12">
        <f>IF([3]关卡对接!F995="",INT(INDEX(人物经验!$J$24:$J$573,关卡!J1007)*关卡!$S$7),[3]关卡对接!F995)</f>
        <v>14290</v>
      </c>
      <c r="L1007" s="12">
        <f t="shared" si="146"/>
        <v>1.8</v>
      </c>
      <c r="M1007" s="12">
        <f>L1007/[4]货币基础!$B$4</f>
        <v>180</v>
      </c>
      <c r="N1007" s="12">
        <f>IF(A1007&lt;[3]关卡对接!$A$4,INDEX([3]关卡对接!$E$7:$E$141,A1007),MATCH(E1007,人物经验!$H$24:$H$573,1))</f>
        <v>375</v>
      </c>
      <c r="O1007" s="12">
        <f>INDEX([2]关卡!$G$6:$G$2005,A1007)</f>
        <v>3</v>
      </c>
      <c r="P1007" s="13">
        <v>6</v>
      </c>
      <c r="Q1007" s="12">
        <f>INT(P1007/$S$15/O1007*VLOOKUP(J1007,[1]人物技能基础!$N$3:$O$553,2,0)*$U$15)</f>
        <v>9</v>
      </c>
      <c r="R1007" s="12">
        <f t="shared" si="147"/>
        <v>112</v>
      </c>
    </row>
    <row r="1008" spans="1:18" x14ac:dyDescent="0.15">
      <c r="A1008" s="12">
        <v>990</v>
      </c>
      <c r="B1008" s="12">
        <f t="shared" si="141"/>
        <v>5</v>
      </c>
      <c r="C1008" s="12">
        <f t="shared" si="142"/>
        <v>4.7262499999999994</v>
      </c>
      <c r="D1008" s="12">
        <f t="shared" si="143"/>
        <v>2.7237500000000026E-2</v>
      </c>
      <c r="E1008" s="12">
        <f>SUM($D$19:D1008)</f>
        <v>14.926249999999985</v>
      </c>
      <c r="F1008" s="12">
        <f t="shared" si="139"/>
        <v>159.84607549937499</v>
      </c>
      <c r="G1008" s="12">
        <f t="shared" si="140"/>
        <v>115.15039505937499</v>
      </c>
      <c r="H1008" s="12">
        <f t="shared" si="144"/>
        <v>575400</v>
      </c>
      <c r="I1008" s="12">
        <f t="shared" si="145"/>
        <v>414500</v>
      </c>
      <c r="J1008" s="12">
        <f>IF(A1008&lt;[3]关卡对接!$A$4,INDEX([3]关卡对接!$C$7:$C$141,A1008),MATCH(E1008,人物经验!$H$24:$H$573,1))</f>
        <v>375</v>
      </c>
      <c r="K1008" s="12">
        <f>IF([3]关卡对接!F996="",INT(INDEX(人物经验!$J$24:$J$573,关卡!J1008)*关卡!$S$7),[3]关卡对接!F996)</f>
        <v>14290</v>
      </c>
      <c r="L1008" s="12">
        <f t="shared" si="146"/>
        <v>1.8</v>
      </c>
      <c r="M1008" s="12">
        <f>L1008/[4]货币基础!$B$4</f>
        <v>180</v>
      </c>
      <c r="N1008" s="12">
        <f>IF(A1008&lt;[3]关卡对接!$A$4,INDEX([3]关卡对接!$E$7:$E$141,A1008),MATCH(E1008,人物经验!$H$24:$H$573,1))</f>
        <v>375</v>
      </c>
      <c r="O1008" s="12">
        <f>INDEX([2]关卡!$G$6:$G$2005,A1008)</f>
        <v>3</v>
      </c>
      <c r="P1008" s="13">
        <v>6</v>
      </c>
      <c r="Q1008" s="12">
        <f>INT(P1008/$S$15/O1008*VLOOKUP(J1008,[1]人物技能基础!$N$3:$O$553,2,0)*$U$15)</f>
        <v>9</v>
      </c>
      <c r="R1008" s="12">
        <f t="shared" si="147"/>
        <v>112</v>
      </c>
    </row>
    <row r="1009" spans="1:18" x14ac:dyDescent="0.15">
      <c r="A1009" s="12">
        <v>991</v>
      </c>
      <c r="B1009" s="12">
        <f t="shared" si="141"/>
        <v>5</v>
      </c>
      <c r="C1009" s="12">
        <f t="shared" si="142"/>
        <v>4.7535124999999994</v>
      </c>
      <c r="D1009" s="12">
        <f t="shared" si="143"/>
        <v>2.7262499999999967E-2</v>
      </c>
      <c r="E1009" s="12">
        <f>SUM($D$19:D1009)</f>
        <v>14.953512499999984</v>
      </c>
      <c r="F1009" s="12">
        <f t="shared" si="139"/>
        <v>160.20243223336493</v>
      </c>
      <c r="G1009" s="12">
        <f t="shared" si="140"/>
        <v>115.35294843145594</v>
      </c>
      <c r="H1009" s="12">
        <f t="shared" si="144"/>
        <v>576700</v>
      </c>
      <c r="I1009" s="12">
        <f t="shared" si="145"/>
        <v>415200</v>
      </c>
      <c r="J1009" s="12">
        <f>IF(A1009&lt;[3]关卡对接!$A$4,INDEX([3]关卡对接!$C$7:$C$141,A1009),MATCH(E1009,人物经验!$H$24:$H$573,1))</f>
        <v>375</v>
      </c>
      <c r="K1009" s="12">
        <f>IF([3]关卡对接!F997="",INT(INDEX(人物经验!$J$24:$J$573,关卡!J1009)*关卡!$S$7),[3]关卡对接!F997)</f>
        <v>14290</v>
      </c>
      <c r="L1009" s="12">
        <f t="shared" si="146"/>
        <v>1.8</v>
      </c>
      <c r="M1009" s="12">
        <f>L1009/[4]货币基础!$B$4</f>
        <v>180</v>
      </c>
      <c r="N1009" s="12">
        <f>IF(A1009&lt;[3]关卡对接!$A$4,INDEX([3]关卡对接!$E$7:$E$141,A1009),MATCH(E1009,人物经验!$H$24:$H$573,1))</f>
        <v>375</v>
      </c>
      <c r="O1009" s="12">
        <f>INDEX([2]关卡!$G$6:$G$2005,A1009)</f>
        <v>3</v>
      </c>
      <c r="P1009" s="13">
        <v>6</v>
      </c>
      <c r="Q1009" s="12">
        <f>INT(P1009/$S$15/O1009*VLOOKUP(J1009,[1]人物技能基础!$N$3:$O$553,2,0)*$U$15)</f>
        <v>9</v>
      </c>
      <c r="R1009" s="12">
        <f t="shared" si="147"/>
        <v>112</v>
      </c>
    </row>
    <row r="1010" spans="1:18" x14ac:dyDescent="0.15">
      <c r="A1010" s="12">
        <v>992</v>
      </c>
      <c r="B1010" s="12">
        <f t="shared" si="141"/>
        <v>5</v>
      </c>
      <c r="C1010" s="12">
        <f t="shared" si="142"/>
        <v>4.7808000000000002</v>
      </c>
      <c r="D1010" s="12">
        <f t="shared" si="143"/>
        <v>2.7287500000000797E-2</v>
      </c>
      <c r="E1010" s="12">
        <f>SUM($D$19:D1010)</f>
        <v>14.980799999999984</v>
      </c>
      <c r="F1010" s="12">
        <f t="shared" si="139"/>
        <v>160.55940583014399</v>
      </c>
      <c r="G1010" s="12">
        <f t="shared" si="140"/>
        <v>115.55575826431999</v>
      </c>
      <c r="H1010" s="12">
        <f t="shared" si="144"/>
        <v>578000</v>
      </c>
      <c r="I1010" s="12">
        <f t="shared" si="145"/>
        <v>416000</v>
      </c>
      <c r="J1010" s="12">
        <f>IF(A1010&lt;[3]关卡对接!$A$4,INDEX([3]关卡对接!$C$7:$C$141,A1010),MATCH(E1010,人物经验!$H$24:$H$573,1))</f>
        <v>375</v>
      </c>
      <c r="K1010" s="12">
        <f>IF([3]关卡对接!F998="",INT(INDEX(人物经验!$J$24:$J$573,关卡!J1010)*关卡!$S$7),[3]关卡对接!F998)</f>
        <v>14290</v>
      </c>
      <c r="L1010" s="12">
        <f t="shared" si="146"/>
        <v>1.8</v>
      </c>
      <c r="M1010" s="12">
        <f>L1010/[4]货币基础!$B$4</f>
        <v>180</v>
      </c>
      <c r="N1010" s="12">
        <f>IF(A1010&lt;[3]关卡对接!$A$4,INDEX([3]关卡对接!$E$7:$E$141,A1010),MATCH(E1010,人物经验!$H$24:$H$573,1))</f>
        <v>375</v>
      </c>
      <c r="O1010" s="12">
        <f>INDEX([2]关卡!$G$6:$G$2005,A1010)</f>
        <v>3</v>
      </c>
      <c r="P1010" s="13">
        <v>6</v>
      </c>
      <c r="Q1010" s="12">
        <f>INT(P1010/$S$15/O1010*VLOOKUP(J1010,[1]人物技能基础!$N$3:$O$553,2,0)*$U$15)</f>
        <v>9</v>
      </c>
      <c r="R1010" s="12">
        <f t="shared" si="147"/>
        <v>112</v>
      </c>
    </row>
    <row r="1011" spans="1:18" x14ac:dyDescent="0.15">
      <c r="A1011" s="12">
        <v>993</v>
      </c>
      <c r="B1011" s="12">
        <f t="shared" si="141"/>
        <v>5</v>
      </c>
      <c r="C1011" s="12">
        <f t="shared" si="142"/>
        <v>4.8081125</v>
      </c>
      <c r="D1011" s="12">
        <f t="shared" si="143"/>
        <v>2.7312499999999851E-2</v>
      </c>
      <c r="E1011" s="12">
        <f>SUM($D$19:D1011)</f>
        <v>15.008112499999985</v>
      </c>
      <c r="F1011" s="12">
        <f t="shared" si="139"/>
        <v>160.91699710812495</v>
      </c>
      <c r="G1011" s="12">
        <f t="shared" si="140"/>
        <v>115.75882481175594</v>
      </c>
      <c r="H1011" s="12">
        <f t="shared" si="144"/>
        <v>579300</v>
      </c>
      <c r="I1011" s="12">
        <f t="shared" si="145"/>
        <v>416700</v>
      </c>
      <c r="J1011" s="12">
        <f>IF(A1011&lt;[3]关卡对接!$A$4,INDEX([3]关卡对接!$C$7:$C$141,A1011),MATCH(E1011,人物经验!$H$24:$H$573,1))</f>
        <v>376</v>
      </c>
      <c r="K1011" s="12">
        <f>IF([3]关卡对接!F999="",INT(INDEX(人物经验!$J$24:$J$573,关卡!J1011)*关卡!$S$7),[3]关卡对接!F999)</f>
        <v>14450</v>
      </c>
      <c r="L1011" s="12">
        <f t="shared" si="146"/>
        <v>1.8</v>
      </c>
      <c r="M1011" s="12">
        <f>L1011/[4]货币基础!$B$4</f>
        <v>180</v>
      </c>
      <c r="N1011" s="12">
        <f>IF(A1011&lt;[3]关卡对接!$A$4,INDEX([3]关卡对接!$E$7:$E$141,A1011),MATCH(E1011,人物经验!$H$24:$H$573,1))</f>
        <v>376</v>
      </c>
      <c r="O1011" s="12">
        <f>INDEX([2]关卡!$G$6:$G$2005,A1011)</f>
        <v>3</v>
      </c>
      <c r="P1011" s="13">
        <v>6</v>
      </c>
      <c r="Q1011" s="12">
        <f>INT(P1011/$S$15/O1011*VLOOKUP(J1011,[1]人物技能基础!$N$3:$O$553,2,0)*$U$15)</f>
        <v>9</v>
      </c>
      <c r="R1011" s="12">
        <f t="shared" si="147"/>
        <v>112</v>
      </c>
    </row>
    <row r="1012" spans="1:18" x14ac:dyDescent="0.15">
      <c r="A1012" s="12">
        <v>994</v>
      </c>
      <c r="B1012" s="12">
        <f t="shared" si="141"/>
        <v>5</v>
      </c>
      <c r="C1012" s="12">
        <f t="shared" si="142"/>
        <v>4.8354499999999998</v>
      </c>
      <c r="D1012" s="12">
        <f t="shared" si="143"/>
        <v>2.7337499999999793E-2</v>
      </c>
      <c r="E1012" s="12">
        <f>SUM($D$19:D1012)</f>
        <v>15.035449999999985</v>
      </c>
      <c r="F1012" s="12">
        <f t="shared" si="139"/>
        <v>161.27520688631898</v>
      </c>
      <c r="G1012" s="12">
        <f t="shared" si="140"/>
        <v>115.96214832769499</v>
      </c>
      <c r="H1012" s="12">
        <f t="shared" si="144"/>
        <v>580500</v>
      </c>
      <c r="I1012" s="12">
        <f t="shared" si="145"/>
        <v>417400</v>
      </c>
      <c r="J1012" s="12">
        <f>IF(A1012&lt;[3]关卡对接!$A$4,INDEX([3]关卡对接!$C$7:$C$141,A1012),MATCH(E1012,人物经验!$H$24:$H$573,1))</f>
        <v>376</v>
      </c>
      <c r="K1012" s="12">
        <f>IF([3]关卡对接!F1000="",INT(INDEX(人物经验!$J$24:$J$573,关卡!J1012)*关卡!$S$7),[3]关卡对接!F1000)</f>
        <v>14450</v>
      </c>
      <c r="L1012" s="12">
        <f t="shared" si="146"/>
        <v>1.8</v>
      </c>
      <c r="M1012" s="12">
        <f>L1012/[4]货币基础!$B$4</f>
        <v>180</v>
      </c>
      <c r="N1012" s="12">
        <f>IF(A1012&lt;[3]关卡对接!$A$4,INDEX([3]关卡对接!$E$7:$E$141,A1012),MATCH(E1012,人物经验!$H$24:$H$573,1))</f>
        <v>376</v>
      </c>
      <c r="O1012" s="12">
        <f>INDEX([2]关卡!$G$6:$G$2005,A1012)</f>
        <v>3</v>
      </c>
      <c r="P1012" s="13">
        <v>6</v>
      </c>
      <c r="Q1012" s="12">
        <f>INT(P1012/$S$15/O1012*VLOOKUP(J1012,[1]人物技能基础!$N$3:$O$553,2,0)*$U$15)</f>
        <v>9</v>
      </c>
      <c r="R1012" s="12">
        <f t="shared" si="147"/>
        <v>112</v>
      </c>
    </row>
    <row r="1013" spans="1:18" x14ac:dyDescent="0.15">
      <c r="A1013" s="12">
        <v>995</v>
      </c>
      <c r="B1013" s="12">
        <f t="shared" si="141"/>
        <v>5</v>
      </c>
      <c r="C1013" s="12">
        <f t="shared" si="142"/>
        <v>4.8628125000000004</v>
      </c>
      <c r="D1013" s="12">
        <f t="shared" si="143"/>
        <v>2.7362500000000622E-2</v>
      </c>
      <c r="E1013" s="12">
        <f>SUM($D$19:D1013)</f>
        <v>15.062812499999986</v>
      </c>
      <c r="F1013" s="12">
        <f t="shared" si="139"/>
        <v>161.63403598433595</v>
      </c>
      <c r="G1013" s="12">
        <f t="shared" si="140"/>
        <v>116.16572906621093</v>
      </c>
      <c r="H1013" s="12">
        <f t="shared" si="144"/>
        <v>581800</v>
      </c>
      <c r="I1013" s="12">
        <f t="shared" si="145"/>
        <v>418100</v>
      </c>
      <c r="J1013" s="12">
        <f>IF(A1013&lt;[3]关卡对接!$A$4,INDEX([3]关卡对接!$C$7:$C$141,A1013),MATCH(E1013,人物经验!$H$24:$H$573,1))</f>
        <v>376</v>
      </c>
      <c r="K1013" s="12">
        <f>IF([3]关卡对接!F1001="",INT(INDEX(人物经验!$J$24:$J$573,关卡!J1013)*关卡!$S$7),[3]关卡对接!F1001)</f>
        <v>14450</v>
      </c>
      <c r="L1013" s="12">
        <f t="shared" si="146"/>
        <v>1.8</v>
      </c>
      <c r="M1013" s="12">
        <f>L1013/[4]货币基础!$B$4</f>
        <v>180</v>
      </c>
      <c r="N1013" s="12">
        <f>IF(A1013&lt;[3]关卡对接!$A$4,INDEX([3]关卡对接!$E$7:$E$141,A1013),MATCH(E1013,人物经验!$H$24:$H$573,1))</f>
        <v>376</v>
      </c>
      <c r="O1013" s="12">
        <f>INDEX([2]关卡!$G$6:$G$2005,A1013)</f>
        <v>3</v>
      </c>
      <c r="P1013" s="13">
        <v>6</v>
      </c>
      <c r="Q1013" s="12">
        <f>INT(P1013/$S$15/O1013*VLOOKUP(J1013,[1]人物技能基础!$N$3:$O$553,2,0)*$U$15)</f>
        <v>9</v>
      </c>
      <c r="R1013" s="12">
        <f t="shared" si="147"/>
        <v>112</v>
      </c>
    </row>
    <row r="1014" spans="1:18" x14ac:dyDescent="0.15">
      <c r="A1014" s="12">
        <v>996</v>
      </c>
      <c r="B1014" s="12">
        <f t="shared" si="141"/>
        <v>5</v>
      </c>
      <c r="C1014" s="12">
        <f t="shared" si="142"/>
        <v>4.8902000000000001</v>
      </c>
      <c r="D1014" s="12">
        <f t="shared" si="143"/>
        <v>2.7387499999999676E-2</v>
      </c>
      <c r="E1014" s="12">
        <f>SUM($D$19:D1014)</f>
        <v>15.090199999999985</v>
      </c>
      <c r="F1014" s="12">
        <f t="shared" si="139"/>
        <v>161.99348522238398</v>
      </c>
      <c r="G1014" s="12">
        <f t="shared" si="140"/>
        <v>116.36956728151999</v>
      </c>
      <c r="H1014" s="12">
        <f t="shared" si="144"/>
        <v>583100</v>
      </c>
      <c r="I1014" s="12">
        <f t="shared" si="145"/>
        <v>418900</v>
      </c>
      <c r="J1014" s="12">
        <f>IF(A1014&lt;[3]关卡对接!$A$4,INDEX([3]关卡对接!$C$7:$C$141,A1014),MATCH(E1014,人物经验!$H$24:$H$573,1))</f>
        <v>376</v>
      </c>
      <c r="K1014" s="12">
        <f>IF([3]关卡对接!F1002="",INT(INDEX(人物经验!$J$24:$J$573,关卡!J1014)*关卡!$S$7),[3]关卡对接!F1002)</f>
        <v>14450</v>
      </c>
      <c r="L1014" s="12">
        <f t="shared" si="146"/>
        <v>1.8</v>
      </c>
      <c r="M1014" s="12">
        <f>L1014/[4]货币基础!$B$4</f>
        <v>180</v>
      </c>
      <c r="N1014" s="12">
        <f>IF(A1014&lt;[3]关卡对接!$A$4,INDEX([3]关卡对接!$E$7:$E$141,A1014),MATCH(E1014,人物经验!$H$24:$H$573,1))</f>
        <v>376</v>
      </c>
      <c r="O1014" s="12">
        <f>INDEX([2]关卡!$G$6:$G$2005,A1014)</f>
        <v>3</v>
      </c>
      <c r="P1014" s="13">
        <v>6</v>
      </c>
      <c r="Q1014" s="12">
        <f>INT(P1014/$S$15/O1014*VLOOKUP(J1014,[1]人物技能基础!$N$3:$O$553,2,0)*$U$15)</f>
        <v>9</v>
      </c>
      <c r="R1014" s="12">
        <f t="shared" si="147"/>
        <v>112</v>
      </c>
    </row>
    <row r="1015" spans="1:18" x14ac:dyDescent="0.15">
      <c r="A1015" s="12">
        <v>997</v>
      </c>
      <c r="B1015" s="12">
        <f t="shared" si="141"/>
        <v>5</v>
      </c>
      <c r="C1015" s="12">
        <f t="shared" si="142"/>
        <v>4.9176124999999997</v>
      </c>
      <c r="D1015" s="12">
        <f t="shared" si="143"/>
        <v>2.7412499999999618E-2</v>
      </c>
      <c r="E1015" s="12">
        <f>SUM($D$19:D1015)</f>
        <v>15.117612499999986</v>
      </c>
      <c r="F1015" s="12">
        <f t="shared" si="139"/>
        <v>162.35355542126996</v>
      </c>
      <c r="G1015" s="12">
        <f t="shared" si="140"/>
        <v>116.57366322798093</v>
      </c>
      <c r="H1015" s="12">
        <f t="shared" si="144"/>
        <v>584400</v>
      </c>
      <c r="I1015" s="12">
        <f t="shared" si="145"/>
        <v>419600</v>
      </c>
      <c r="J1015" s="12">
        <f>IF(A1015&lt;[3]关卡对接!$A$4,INDEX([3]关卡对接!$C$7:$C$141,A1015),MATCH(E1015,人物经验!$H$24:$H$573,1))</f>
        <v>376</v>
      </c>
      <c r="K1015" s="12">
        <f>IF([3]关卡对接!F1003="",INT(INDEX(人物经验!$J$24:$J$573,关卡!J1015)*关卡!$S$7),[3]关卡对接!F1003)</f>
        <v>14450</v>
      </c>
      <c r="L1015" s="12">
        <f t="shared" si="146"/>
        <v>1.8</v>
      </c>
      <c r="M1015" s="12">
        <f>L1015/[4]货币基础!$B$4</f>
        <v>180</v>
      </c>
      <c r="N1015" s="12">
        <f>IF(A1015&lt;[3]关卡对接!$A$4,INDEX([3]关卡对接!$E$7:$E$141,A1015),MATCH(E1015,人物经验!$H$24:$H$573,1))</f>
        <v>376</v>
      </c>
      <c r="O1015" s="12">
        <f>INDEX([2]关卡!$G$6:$G$2005,A1015)</f>
        <v>3</v>
      </c>
      <c r="P1015" s="13">
        <v>6</v>
      </c>
      <c r="Q1015" s="12">
        <f>INT(P1015/$S$15/O1015*VLOOKUP(J1015,[1]人物技能基础!$N$3:$O$553,2,0)*$U$15)</f>
        <v>9</v>
      </c>
      <c r="R1015" s="12">
        <f t="shared" si="147"/>
        <v>112</v>
      </c>
    </row>
    <row r="1016" spans="1:18" x14ac:dyDescent="0.15">
      <c r="A1016" s="12">
        <v>998</v>
      </c>
      <c r="B1016" s="12">
        <f t="shared" si="141"/>
        <v>5</v>
      </c>
      <c r="C1016" s="12">
        <f t="shared" si="142"/>
        <v>4.9450500000000002</v>
      </c>
      <c r="D1016" s="12">
        <f t="shared" si="143"/>
        <v>2.7437500000000448E-2</v>
      </c>
      <c r="E1016" s="12">
        <f>SUM($D$19:D1016)</f>
        <v>15.145049999999987</v>
      </c>
      <c r="F1016" s="12">
        <f t="shared" si="139"/>
        <v>162.714247402399</v>
      </c>
      <c r="G1016" s="12">
        <f t="shared" si="140"/>
        <v>116.77801716009499</v>
      </c>
      <c r="H1016" s="12">
        <f t="shared" si="144"/>
        <v>585700</v>
      </c>
      <c r="I1016" s="12">
        <f t="shared" si="145"/>
        <v>420400</v>
      </c>
      <c r="J1016" s="12">
        <f>IF(A1016&lt;[3]关卡对接!$A$4,INDEX([3]关卡对接!$C$7:$C$141,A1016),MATCH(E1016,人物经验!$H$24:$H$573,1))</f>
        <v>377</v>
      </c>
      <c r="K1016" s="12">
        <f>IF([3]关卡对接!F1004="",INT(INDEX(人物经验!$J$24:$J$573,关卡!J1016)*关卡!$S$7),[3]关卡对接!F1004)</f>
        <v>14611</v>
      </c>
      <c r="L1016" s="12">
        <f t="shared" si="146"/>
        <v>1.8</v>
      </c>
      <c r="M1016" s="12">
        <f>L1016/[4]货币基础!$B$4</f>
        <v>180</v>
      </c>
      <c r="N1016" s="12">
        <f>IF(A1016&lt;[3]关卡对接!$A$4,INDEX([3]关卡对接!$E$7:$E$141,A1016),MATCH(E1016,人物经验!$H$24:$H$573,1))</f>
        <v>377</v>
      </c>
      <c r="O1016" s="12">
        <f>INDEX([2]关卡!$G$6:$G$2005,A1016)</f>
        <v>3</v>
      </c>
      <c r="P1016" s="13">
        <v>6</v>
      </c>
      <c r="Q1016" s="12">
        <f>INT(P1016/$S$15/O1016*VLOOKUP(J1016,[1]人物技能基础!$N$3:$O$553,2,0)*$U$15)</f>
        <v>9</v>
      </c>
      <c r="R1016" s="12">
        <f t="shared" si="147"/>
        <v>112</v>
      </c>
    </row>
    <row r="1017" spans="1:18" x14ac:dyDescent="0.15">
      <c r="A1017" s="12">
        <v>999</v>
      </c>
      <c r="B1017" s="12">
        <f t="shared" si="141"/>
        <v>5</v>
      </c>
      <c r="C1017" s="12">
        <f t="shared" si="142"/>
        <v>4.9725124999999997</v>
      </c>
      <c r="D1017" s="12">
        <f t="shared" si="143"/>
        <v>2.7462499999999501E-2</v>
      </c>
      <c r="E1017" s="12">
        <f>SUM($D$19:D1017)</f>
        <v>15.172512499999986</v>
      </c>
      <c r="F1017" s="12">
        <f t="shared" si="139"/>
        <v>163.07556198777493</v>
      </c>
      <c r="G1017" s="12">
        <f t="shared" si="140"/>
        <v>116.98262933250595</v>
      </c>
      <c r="H1017" s="12">
        <f t="shared" si="144"/>
        <v>587000</v>
      </c>
      <c r="I1017" s="12">
        <f t="shared" si="145"/>
        <v>421100</v>
      </c>
      <c r="J1017" s="12">
        <f>IF(A1017&lt;[3]关卡对接!$A$4,INDEX([3]关卡对接!$C$7:$C$141,A1017),MATCH(E1017,人物经验!$H$24:$H$573,1))</f>
        <v>377</v>
      </c>
      <c r="K1017" s="12">
        <f>IF([3]关卡对接!F1005="",INT(INDEX(人物经验!$J$24:$J$573,关卡!J1017)*关卡!$S$7),[3]关卡对接!F1005)</f>
        <v>14611</v>
      </c>
      <c r="L1017" s="12">
        <f t="shared" si="146"/>
        <v>1.8</v>
      </c>
      <c r="M1017" s="12">
        <f>L1017/[4]货币基础!$B$4</f>
        <v>180</v>
      </c>
      <c r="N1017" s="12">
        <f>IF(A1017&lt;[3]关卡对接!$A$4,INDEX([3]关卡对接!$E$7:$E$141,A1017),MATCH(E1017,人物经验!$H$24:$H$573,1))</f>
        <v>377</v>
      </c>
      <c r="O1017" s="12">
        <f>INDEX([2]关卡!$G$6:$G$2005,A1017)</f>
        <v>3</v>
      </c>
      <c r="P1017" s="13">
        <v>6</v>
      </c>
      <c r="Q1017" s="12">
        <f>INT(P1017/$S$15/O1017*VLOOKUP(J1017,[1]人物技能基础!$N$3:$O$553,2,0)*$U$15)</f>
        <v>9</v>
      </c>
      <c r="R1017" s="12">
        <f t="shared" si="147"/>
        <v>112</v>
      </c>
    </row>
    <row r="1018" spans="1:18" x14ac:dyDescent="0.15">
      <c r="A1018" s="12">
        <v>1000</v>
      </c>
      <c r="B1018" s="12">
        <f t="shared" si="141"/>
        <v>5</v>
      </c>
      <c r="C1018" s="12">
        <f t="shared" si="142"/>
        <v>5</v>
      </c>
      <c r="D1018" s="12">
        <f t="shared" si="143"/>
        <v>2.7487500000000331E-2</v>
      </c>
      <c r="E1018" s="12">
        <f>SUM($D$19:D1018)</f>
        <v>15.199999999999985</v>
      </c>
      <c r="F1018" s="12">
        <f t="shared" si="139"/>
        <v>163.4375</v>
      </c>
      <c r="G1018" s="12">
        <f t="shared" si="140"/>
        <v>117.1875</v>
      </c>
      <c r="H1018" s="12">
        <f t="shared" si="144"/>
        <v>588300</v>
      </c>
      <c r="I1018" s="12">
        <f t="shared" si="145"/>
        <v>421800</v>
      </c>
      <c r="J1018" s="12">
        <f>IF(A1018&lt;[3]关卡对接!$A$4,INDEX([3]关卡对接!$C$7:$C$141,A1018),MATCH(E1018,人物经验!$H$24:$H$573,1))</f>
        <v>377</v>
      </c>
      <c r="K1018" s="12">
        <f>IF([3]关卡对接!F1006="",INT(INDEX(人物经验!$J$24:$J$573,关卡!J1018)*关卡!$S$7),[3]关卡对接!F1006)</f>
        <v>14611</v>
      </c>
      <c r="L1018" s="12">
        <f t="shared" si="146"/>
        <v>1.8</v>
      </c>
      <c r="M1018" s="12">
        <f>L1018/[4]货币基础!$B$4</f>
        <v>180</v>
      </c>
      <c r="N1018" s="12">
        <f>IF(A1018&lt;[3]关卡对接!$A$4,INDEX([3]关卡对接!$E$7:$E$141,A1018),MATCH(E1018,人物经验!$H$24:$H$573,1))</f>
        <v>377</v>
      </c>
      <c r="O1018" s="12">
        <f>INDEX([2]关卡!$G$6:$G$2005,A1018)</f>
        <v>3</v>
      </c>
      <c r="P1018" s="13">
        <v>6</v>
      </c>
      <c r="Q1018" s="12">
        <f>INT(P1018/$S$15/O1018*VLOOKUP(J1018,[1]人物技能基础!$N$3:$O$553,2,0)*$U$15)</f>
        <v>9</v>
      </c>
      <c r="R1018" s="12">
        <f t="shared" si="147"/>
        <v>112</v>
      </c>
    </row>
    <row r="1019" spans="1:18" x14ac:dyDescent="0.15">
      <c r="A1019" s="12">
        <v>1001</v>
      </c>
      <c r="B1019" s="12">
        <f t="shared" si="141"/>
        <v>6</v>
      </c>
      <c r="C1019" s="12">
        <f t="shared" si="142"/>
        <v>3.1517500000000004E-2</v>
      </c>
      <c r="D1019" s="12">
        <f t="shared" ref="D1019:D1082" si="148">IF(ISNA(MATCH(A1019,$A$6:$A$15,0)),C1019-C1018,C1019)</f>
        <v>3.1517500000000004E-2</v>
      </c>
      <c r="E1019" s="12">
        <f>SUM($D$19:D1019)</f>
        <v>15.231517499999985</v>
      </c>
      <c r="F1019" s="12">
        <f t="shared" si="139"/>
        <v>163.80006226227491</v>
      </c>
      <c r="G1019" s="12">
        <f t="shared" si="140"/>
        <v>117.3926294175059</v>
      </c>
      <c r="H1019" s="12">
        <f t="shared" ref="H1019:H1082" si="149">INT(F1019*60*60/100)*100</f>
        <v>589600</v>
      </c>
      <c r="I1019" s="12">
        <f t="shared" ref="I1019:I1082" si="150">INT(G1019*60*60/100)*100</f>
        <v>422600</v>
      </c>
      <c r="J1019" s="12">
        <f>IF(A1019&lt;[3]关卡对接!$A$4,INDEX([3]关卡对接!$C$7:$C$141,A1019),MATCH(E1019,人物经验!$H$24:$H$573,1))</f>
        <v>377</v>
      </c>
      <c r="K1019" s="12">
        <f>IF([3]关卡对接!F1007="",INT(INDEX(人物经验!$J$24:$J$573,关卡!J1019)*关卡!$S$7),[3]关卡对接!F1007)</f>
        <v>14611</v>
      </c>
      <c r="L1019" s="12">
        <f t="shared" si="146"/>
        <v>2</v>
      </c>
      <c r="M1019" s="12">
        <f>L1019/[4]货币基础!$B$4</f>
        <v>200</v>
      </c>
      <c r="N1019" s="12">
        <f>IF(A1019&lt;[3]关卡对接!$A$4,INDEX([3]关卡对接!$E$7:$E$141,A1019),MATCH(E1019,人物经验!$H$24:$H$573,1))</f>
        <v>377</v>
      </c>
      <c r="O1019" s="12">
        <f>INDEX([2]关卡!$G$6:$G$2005,A1019)</f>
        <v>3</v>
      </c>
      <c r="P1019" s="13">
        <v>6</v>
      </c>
      <c r="Q1019" s="12">
        <f>INT(P1019/$S$15/O1019*VLOOKUP(J1019,[1]人物技能基础!$N$3:$O$553,2,0)*$U$15)</f>
        <v>9</v>
      </c>
      <c r="R1019" s="12">
        <f t="shared" si="147"/>
        <v>112</v>
      </c>
    </row>
    <row r="1020" spans="1:18" x14ac:dyDescent="0.15">
      <c r="A1020" s="12">
        <v>1002</v>
      </c>
      <c r="B1020" s="12">
        <f t="shared" si="141"/>
        <v>6</v>
      </c>
      <c r="C1020" s="12">
        <f t="shared" si="142"/>
        <v>6.3070000000000001E-2</v>
      </c>
      <c r="D1020" s="12">
        <f t="shared" si="148"/>
        <v>3.1552499999999997E-2</v>
      </c>
      <c r="E1020" s="12">
        <f>SUM($D$19:D1020)</f>
        <v>15.263069999999985</v>
      </c>
      <c r="F1020" s="12">
        <f t="shared" si="139"/>
        <v>164.16324959839901</v>
      </c>
      <c r="G1020" s="12">
        <f t="shared" si="140"/>
        <v>117.598017840095</v>
      </c>
      <c r="H1020" s="12">
        <f t="shared" si="149"/>
        <v>590900</v>
      </c>
      <c r="I1020" s="12">
        <f t="shared" si="150"/>
        <v>423300</v>
      </c>
      <c r="J1020" s="12">
        <f>IF(A1020&lt;[3]关卡对接!$A$4,INDEX([3]关卡对接!$C$7:$C$141,A1020),MATCH(E1020,人物经验!$H$24:$H$573,1))</f>
        <v>377</v>
      </c>
      <c r="K1020" s="12">
        <f>IF([3]关卡对接!F1008="",INT(INDEX(人物经验!$J$24:$J$573,关卡!J1020)*关卡!$S$7),[3]关卡对接!F1008)</f>
        <v>14611</v>
      </c>
      <c r="L1020" s="12">
        <f t="shared" si="146"/>
        <v>2</v>
      </c>
      <c r="M1020" s="12">
        <f>L1020/[4]货币基础!$B$4</f>
        <v>200</v>
      </c>
      <c r="N1020" s="12">
        <f>IF(A1020&lt;[3]关卡对接!$A$4,INDEX([3]关卡对接!$E$7:$E$141,A1020),MATCH(E1020,人物经验!$H$24:$H$573,1))</f>
        <v>377</v>
      </c>
      <c r="O1020" s="12">
        <f>INDEX([2]关卡!$G$6:$G$2005,A1020)</f>
        <v>3</v>
      </c>
      <c r="P1020" s="13">
        <v>6</v>
      </c>
      <c r="Q1020" s="12">
        <f>INT(P1020/$S$15/O1020*VLOOKUP(J1020,[1]人物技能基础!$N$3:$O$553,2,0)*$U$15)</f>
        <v>9</v>
      </c>
      <c r="R1020" s="12">
        <f t="shared" si="147"/>
        <v>112</v>
      </c>
    </row>
    <row r="1021" spans="1:18" x14ac:dyDescent="0.15">
      <c r="A1021" s="12">
        <v>1003</v>
      </c>
      <c r="B1021" s="12">
        <f t="shared" si="141"/>
        <v>6</v>
      </c>
      <c r="C1021" s="12">
        <f t="shared" si="142"/>
        <v>9.4657500000000006E-2</v>
      </c>
      <c r="D1021" s="12">
        <f t="shared" si="148"/>
        <v>3.1587500000000004E-2</v>
      </c>
      <c r="E1021" s="12">
        <f>SUM($D$19:D1021)</f>
        <v>15.294657499999985</v>
      </c>
      <c r="F1021" s="12">
        <f t="shared" si="139"/>
        <v>164.5270628327699</v>
      </c>
      <c r="G1021" s="12">
        <f t="shared" si="140"/>
        <v>117.80366552298091</v>
      </c>
      <c r="H1021" s="12">
        <f t="shared" si="149"/>
        <v>592200</v>
      </c>
      <c r="I1021" s="12">
        <f t="shared" si="150"/>
        <v>424000</v>
      </c>
      <c r="J1021" s="12">
        <f>IF(A1021&lt;[3]关卡对接!$A$4,INDEX([3]关卡对接!$C$7:$C$141,A1021),MATCH(E1021,人物经验!$H$24:$H$573,1))</f>
        <v>378</v>
      </c>
      <c r="K1021" s="12">
        <f>IF([3]关卡对接!F1009="",INT(INDEX(人物经验!$J$24:$J$573,关卡!J1021)*关卡!$S$7),[3]关卡对接!F1009)</f>
        <v>14774</v>
      </c>
      <c r="L1021" s="12">
        <f t="shared" si="146"/>
        <v>2</v>
      </c>
      <c r="M1021" s="12">
        <f>L1021/[4]货币基础!$B$4</f>
        <v>200</v>
      </c>
      <c r="N1021" s="12">
        <f>IF(A1021&lt;[3]关卡对接!$A$4,INDEX([3]关卡对接!$E$7:$E$141,A1021),MATCH(E1021,人物经验!$H$24:$H$573,1))</f>
        <v>378</v>
      </c>
      <c r="O1021" s="12">
        <f>INDEX([2]关卡!$G$6:$G$2005,A1021)</f>
        <v>3</v>
      </c>
      <c r="P1021" s="13">
        <v>6</v>
      </c>
      <c r="Q1021" s="12">
        <f>INT(P1021/$S$15/O1021*VLOOKUP(J1021,[1]人物技能基础!$N$3:$O$553,2,0)*$U$15)</f>
        <v>9</v>
      </c>
      <c r="R1021" s="12">
        <f t="shared" si="147"/>
        <v>112</v>
      </c>
    </row>
    <row r="1022" spans="1:18" x14ac:dyDescent="0.15">
      <c r="A1022" s="12">
        <v>1004</v>
      </c>
      <c r="B1022" s="12">
        <f t="shared" si="141"/>
        <v>6</v>
      </c>
      <c r="C1022" s="12">
        <f t="shared" si="142"/>
        <v>0.12628</v>
      </c>
      <c r="D1022" s="12">
        <f t="shared" si="148"/>
        <v>3.1622499999999998E-2</v>
      </c>
      <c r="E1022" s="12">
        <f>SUM($D$19:D1022)</f>
        <v>15.326279999999985</v>
      </c>
      <c r="F1022" s="12">
        <f t="shared" si="139"/>
        <v>164.89150279038401</v>
      </c>
      <c r="G1022" s="12">
        <f t="shared" si="140"/>
        <v>118.00957272151999</v>
      </c>
      <c r="H1022" s="12">
        <f t="shared" si="149"/>
        <v>593600</v>
      </c>
      <c r="I1022" s="12">
        <f t="shared" si="150"/>
        <v>424800</v>
      </c>
      <c r="J1022" s="12">
        <f>IF(A1022&lt;[3]关卡对接!$A$4,INDEX([3]关卡对接!$C$7:$C$141,A1022),MATCH(E1022,人物经验!$H$24:$H$573,1))</f>
        <v>378</v>
      </c>
      <c r="K1022" s="12">
        <f>IF([3]关卡对接!F1010="",INT(INDEX(人物经验!$J$24:$J$573,关卡!J1022)*关卡!$S$7),[3]关卡对接!F1010)</f>
        <v>14774</v>
      </c>
      <c r="L1022" s="12">
        <f t="shared" si="146"/>
        <v>2</v>
      </c>
      <c r="M1022" s="12">
        <f>L1022/[4]货币基础!$B$4</f>
        <v>200</v>
      </c>
      <c r="N1022" s="12">
        <f>IF(A1022&lt;[3]关卡对接!$A$4,INDEX([3]关卡对接!$E$7:$E$141,A1022),MATCH(E1022,人物经验!$H$24:$H$573,1))</f>
        <v>378</v>
      </c>
      <c r="O1022" s="12">
        <f>INDEX([2]关卡!$G$6:$G$2005,A1022)</f>
        <v>3</v>
      </c>
      <c r="P1022" s="13">
        <v>6</v>
      </c>
      <c r="Q1022" s="12">
        <f>INT(P1022/$S$15/O1022*VLOOKUP(J1022,[1]人物技能基础!$N$3:$O$553,2,0)*$U$15)</f>
        <v>9</v>
      </c>
      <c r="R1022" s="12">
        <f t="shared" si="147"/>
        <v>112</v>
      </c>
    </row>
    <row r="1023" spans="1:18" x14ac:dyDescent="0.15">
      <c r="A1023" s="12">
        <v>1005</v>
      </c>
      <c r="B1023" s="12">
        <f t="shared" si="141"/>
        <v>6</v>
      </c>
      <c r="C1023" s="12">
        <f t="shared" si="142"/>
        <v>0.15793750000000001</v>
      </c>
      <c r="D1023" s="12">
        <f t="shared" si="148"/>
        <v>3.1657500000000005E-2</v>
      </c>
      <c r="E1023" s="12">
        <f>SUM($D$19:D1023)</f>
        <v>15.357937499999984</v>
      </c>
      <c r="F1023" s="12">
        <f t="shared" si="139"/>
        <v>165.25657029683589</v>
      </c>
      <c r="G1023" s="12">
        <f t="shared" si="140"/>
        <v>118.2157396912109</v>
      </c>
      <c r="H1023" s="12">
        <f t="shared" si="149"/>
        <v>594900</v>
      </c>
      <c r="I1023" s="12">
        <f t="shared" si="150"/>
        <v>425500</v>
      </c>
      <c r="J1023" s="12">
        <f>IF(A1023&lt;[3]关卡对接!$A$4,INDEX([3]关卡对接!$C$7:$C$141,A1023),MATCH(E1023,人物经验!$H$24:$H$573,1))</f>
        <v>378</v>
      </c>
      <c r="K1023" s="12">
        <f>IF([3]关卡对接!F1011="",INT(INDEX(人物经验!$J$24:$J$573,关卡!J1023)*关卡!$S$7),[3]关卡对接!F1011)</f>
        <v>14774</v>
      </c>
      <c r="L1023" s="12">
        <f t="shared" si="146"/>
        <v>2</v>
      </c>
      <c r="M1023" s="12">
        <f>L1023/[4]货币基础!$B$4</f>
        <v>200</v>
      </c>
      <c r="N1023" s="12">
        <f>IF(A1023&lt;[3]关卡对接!$A$4,INDEX([3]关卡对接!$E$7:$E$141,A1023),MATCH(E1023,人物经验!$H$24:$H$573,1))</f>
        <v>378</v>
      </c>
      <c r="O1023" s="12">
        <f>INDEX([2]关卡!$G$6:$G$2005,A1023)</f>
        <v>3</v>
      </c>
      <c r="P1023" s="13">
        <v>6</v>
      </c>
      <c r="Q1023" s="12">
        <f>INT(P1023/$S$15/O1023*VLOOKUP(J1023,[1]人物技能基础!$N$3:$O$553,2,0)*$U$15)</f>
        <v>9</v>
      </c>
      <c r="R1023" s="12">
        <f t="shared" si="147"/>
        <v>112</v>
      </c>
    </row>
    <row r="1024" spans="1:18" x14ac:dyDescent="0.15">
      <c r="A1024" s="12">
        <v>1006</v>
      </c>
      <c r="B1024" s="12">
        <f t="shared" si="141"/>
        <v>6</v>
      </c>
      <c r="C1024" s="12">
        <f t="shared" si="142"/>
        <v>0.18962999999999999</v>
      </c>
      <c r="D1024" s="12">
        <f t="shared" si="148"/>
        <v>3.1692499999999985E-2</v>
      </c>
      <c r="E1024" s="12">
        <f>SUM($D$19:D1024)</f>
        <v>15.389629999999984</v>
      </c>
      <c r="F1024" s="12">
        <f t="shared" si="139"/>
        <v>165.62226617831902</v>
      </c>
      <c r="G1024" s="12">
        <f t="shared" si="140"/>
        <v>118.422166687695</v>
      </c>
      <c r="H1024" s="12">
        <f t="shared" si="149"/>
        <v>596200</v>
      </c>
      <c r="I1024" s="12">
        <f t="shared" si="150"/>
        <v>426300</v>
      </c>
      <c r="J1024" s="12">
        <f>IF(A1024&lt;[3]关卡对接!$A$4,INDEX([3]关卡对接!$C$7:$C$141,A1024),MATCH(E1024,人物经验!$H$24:$H$573,1))</f>
        <v>378</v>
      </c>
      <c r="K1024" s="12">
        <f>IF([3]关卡对接!F1012="",INT(INDEX(人物经验!$J$24:$J$573,关卡!J1024)*关卡!$S$7),[3]关卡对接!F1012)</f>
        <v>14774</v>
      </c>
      <c r="L1024" s="12">
        <f t="shared" si="146"/>
        <v>2</v>
      </c>
      <c r="M1024" s="12">
        <f>L1024/[4]货币基础!$B$4</f>
        <v>200</v>
      </c>
      <c r="N1024" s="12">
        <f>IF(A1024&lt;[3]关卡对接!$A$4,INDEX([3]关卡对接!$E$7:$E$141,A1024),MATCH(E1024,人物经验!$H$24:$H$573,1))</f>
        <v>378</v>
      </c>
      <c r="O1024" s="12">
        <f>INDEX([2]关卡!$G$6:$G$2005,A1024)</f>
        <v>3</v>
      </c>
      <c r="P1024" s="13">
        <v>6</v>
      </c>
      <c r="Q1024" s="12">
        <f>INT(P1024/$S$15/O1024*VLOOKUP(J1024,[1]人物技能基础!$N$3:$O$553,2,0)*$U$15)</f>
        <v>9</v>
      </c>
      <c r="R1024" s="12">
        <f t="shared" si="147"/>
        <v>112</v>
      </c>
    </row>
    <row r="1025" spans="1:18" x14ac:dyDescent="0.15">
      <c r="A1025" s="12">
        <v>1007</v>
      </c>
      <c r="B1025" s="12">
        <f t="shared" si="141"/>
        <v>6</v>
      </c>
      <c r="C1025" s="12">
        <f t="shared" si="142"/>
        <v>0.22135750000000004</v>
      </c>
      <c r="D1025" s="12">
        <f t="shared" si="148"/>
        <v>3.1727500000000047E-2</v>
      </c>
      <c r="E1025" s="12">
        <f>SUM($D$19:D1025)</f>
        <v>15.421357499999985</v>
      </c>
      <c r="F1025" s="12">
        <f t="shared" si="139"/>
        <v>165.98859126162492</v>
      </c>
      <c r="G1025" s="12">
        <f t="shared" si="140"/>
        <v>118.6288539667559</v>
      </c>
      <c r="H1025" s="12">
        <f t="shared" si="149"/>
        <v>597500</v>
      </c>
      <c r="I1025" s="12">
        <f t="shared" si="150"/>
        <v>427000</v>
      </c>
      <c r="J1025" s="12">
        <f>IF(A1025&lt;[3]关卡对接!$A$4,INDEX([3]关卡对接!$C$7:$C$141,A1025),MATCH(E1025,人物经验!$H$24:$H$573,1))</f>
        <v>378</v>
      </c>
      <c r="K1025" s="12">
        <f>IF([3]关卡对接!F1013="",INT(INDEX(人物经验!$J$24:$J$573,关卡!J1025)*关卡!$S$7),[3]关卡对接!F1013)</f>
        <v>14774</v>
      </c>
      <c r="L1025" s="12">
        <f t="shared" si="146"/>
        <v>2</v>
      </c>
      <c r="M1025" s="12">
        <f>L1025/[4]货币基础!$B$4</f>
        <v>200</v>
      </c>
      <c r="N1025" s="12">
        <f>IF(A1025&lt;[3]关卡对接!$A$4,INDEX([3]关卡对接!$E$7:$E$141,A1025),MATCH(E1025,人物经验!$H$24:$H$573,1))</f>
        <v>378</v>
      </c>
      <c r="O1025" s="12">
        <f>INDEX([2]关卡!$G$6:$G$2005,A1025)</f>
        <v>3</v>
      </c>
      <c r="P1025" s="13">
        <v>6</v>
      </c>
      <c r="Q1025" s="12">
        <f>INT(P1025/$S$15/O1025*VLOOKUP(J1025,[1]人物技能基础!$N$3:$O$553,2,0)*$U$15)</f>
        <v>9</v>
      </c>
      <c r="R1025" s="12">
        <f t="shared" si="147"/>
        <v>112</v>
      </c>
    </row>
    <row r="1026" spans="1:18" x14ac:dyDescent="0.15">
      <c r="A1026" s="12">
        <v>1008</v>
      </c>
      <c r="B1026" s="12">
        <f t="shared" si="141"/>
        <v>6</v>
      </c>
      <c r="C1026" s="12">
        <f t="shared" si="142"/>
        <v>0.25312000000000001</v>
      </c>
      <c r="D1026" s="12">
        <f t="shared" si="148"/>
        <v>3.1762499999999971E-2</v>
      </c>
      <c r="E1026" s="12">
        <f>SUM($D$19:D1026)</f>
        <v>15.453119999999984</v>
      </c>
      <c r="F1026" s="12">
        <f t="shared" si="139"/>
        <v>166.35554637414401</v>
      </c>
      <c r="G1026" s="12">
        <f t="shared" si="140"/>
        <v>118.83580178432</v>
      </c>
      <c r="H1026" s="12">
        <f t="shared" si="149"/>
        <v>598800</v>
      </c>
      <c r="I1026" s="12">
        <f t="shared" si="150"/>
        <v>427800</v>
      </c>
      <c r="J1026" s="12">
        <f>IF(A1026&lt;[3]关卡对接!$A$4,INDEX([3]关卡对接!$C$7:$C$141,A1026),MATCH(E1026,人物经验!$H$24:$H$573,1))</f>
        <v>379</v>
      </c>
      <c r="K1026" s="12">
        <f>IF([3]关卡对接!F1014="",INT(INDEX(人物经验!$J$24:$J$573,关卡!J1026)*关卡!$S$7),[3]关卡对接!F1014)</f>
        <v>14938</v>
      </c>
      <c r="L1026" s="12">
        <f t="shared" si="146"/>
        <v>2</v>
      </c>
      <c r="M1026" s="12">
        <f>L1026/[4]货币基础!$B$4</f>
        <v>200</v>
      </c>
      <c r="N1026" s="12">
        <f>IF(A1026&lt;[3]关卡对接!$A$4,INDEX([3]关卡对接!$E$7:$E$141,A1026),MATCH(E1026,人物经验!$H$24:$H$573,1))</f>
        <v>379</v>
      </c>
      <c r="O1026" s="12">
        <f>INDEX([2]关卡!$G$6:$G$2005,A1026)</f>
        <v>3</v>
      </c>
      <c r="P1026" s="13">
        <v>6</v>
      </c>
      <c r="Q1026" s="12">
        <f>INT(P1026/$S$15/O1026*VLOOKUP(J1026,[1]人物技能基础!$N$3:$O$553,2,0)*$U$15)</f>
        <v>9</v>
      </c>
      <c r="R1026" s="12">
        <f t="shared" si="147"/>
        <v>112</v>
      </c>
    </row>
    <row r="1027" spans="1:18" x14ac:dyDescent="0.15">
      <c r="A1027" s="12">
        <v>1009</v>
      </c>
      <c r="B1027" s="12">
        <f t="shared" si="141"/>
        <v>6</v>
      </c>
      <c r="C1027" s="12">
        <f t="shared" si="142"/>
        <v>0.28491750000000005</v>
      </c>
      <c r="D1027" s="12">
        <f t="shared" si="148"/>
        <v>3.1797500000000034E-2</v>
      </c>
      <c r="E1027" s="12">
        <f>SUM($D$19:D1027)</f>
        <v>15.484917499999984</v>
      </c>
      <c r="F1027" s="12">
        <f t="shared" si="139"/>
        <v>166.7231323438649</v>
      </c>
      <c r="G1027" s="12">
        <f t="shared" si="140"/>
        <v>119.04301039645591</v>
      </c>
      <c r="H1027" s="12">
        <f t="shared" si="149"/>
        <v>600200</v>
      </c>
      <c r="I1027" s="12">
        <f t="shared" si="150"/>
        <v>428500</v>
      </c>
      <c r="J1027" s="12">
        <f>IF(A1027&lt;[3]关卡对接!$A$4,INDEX([3]关卡对接!$C$7:$C$141,A1027),MATCH(E1027,人物经验!$H$24:$H$573,1))</f>
        <v>379</v>
      </c>
      <c r="K1027" s="12">
        <f>IF([3]关卡对接!F1015="",INT(INDEX(人物经验!$J$24:$J$573,关卡!J1027)*关卡!$S$7),[3]关卡对接!F1015)</f>
        <v>14938</v>
      </c>
      <c r="L1027" s="12">
        <f t="shared" si="146"/>
        <v>2</v>
      </c>
      <c r="M1027" s="12">
        <f>L1027/[4]货币基础!$B$4</f>
        <v>200</v>
      </c>
      <c r="N1027" s="12">
        <f>IF(A1027&lt;[3]关卡对接!$A$4,INDEX([3]关卡对接!$E$7:$E$141,A1027),MATCH(E1027,人物经验!$H$24:$H$573,1))</f>
        <v>379</v>
      </c>
      <c r="O1027" s="12">
        <f>INDEX([2]关卡!$G$6:$G$2005,A1027)</f>
        <v>3</v>
      </c>
      <c r="P1027" s="13">
        <v>6</v>
      </c>
      <c r="Q1027" s="12">
        <f>INT(P1027/$S$15/O1027*VLOOKUP(J1027,[1]人物技能基础!$N$3:$O$553,2,0)*$U$15)</f>
        <v>9</v>
      </c>
      <c r="R1027" s="12">
        <f t="shared" si="147"/>
        <v>112</v>
      </c>
    </row>
    <row r="1028" spans="1:18" x14ac:dyDescent="0.15">
      <c r="A1028" s="12">
        <v>1010</v>
      </c>
      <c r="B1028" s="12">
        <f t="shared" si="141"/>
        <v>6</v>
      </c>
      <c r="C1028" s="12">
        <f t="shared" si="142"/>
        <v>0.31675000000000003</v>
      </c>
      <c r="D1028" s="12">
        <f t="shared" si="148"/>
        <v>3.1832499999999986E-2</v>
      </c>
      <c r="E1028" s="12">
        <f>SUM($D$19:D1028)</f>
        <v>15.516749999999984</v>
      </c>
      <c r="F1028" s="12">
        <f t="shared" si="139"/>
        <v>167.09134999937504</v>
      </c>
      <c r="G1028" s="12">
        <f t="shared" si="140"/>
        <v>119.25048005937499</v>
      </c>
      <c r="H1028" s="12">
        <f t="shared" si="149"/>
        <v>601500</v>
      </c>
      <c r="I1028" s="12">
        <f t="shared" si="150"/>
        <v>429300</v>
      </c>
      <c r="J1028" s="12">
        <f>IF(A1028&lt;[3]关卡对接!$A$4,INDEX([3]关卡对接!$C$7:$C$141,A1028),MATCH(E1028,人物经验!$H$24:$H$573,1))</f>
        <v>379</v>
      </c>
      <c r="K1028" s="12">
        <f>IF([3]关卡对接!F1016="",INT(INDEX(人物经验!$J$24:$J$573,关卡!J1028)*关卡!$S$7),[3]关卡对接!F1016)</f>
        <v>14938</v>
      </c>
      <c r="L1028" s="12">
        <f t="shared" si="146"/>
        <v>2</v>
      </c>
      <c r="M1028" s="12">
        <f>L1028/[4]货币基础!$B$4</f>
        <v>200</v>
      </c>
      <c r="N1028" s="12">
        <f>IF(A1028&lt;[3]关卡对接!$A$4,INDEX([3]关卡对接!$E$7:$E$141,A1028),MATCH(E1028,人物经验!$H$24:$H$573,1))</f>
        <v>379</v>
      </c>
      <c r="O1028" s="12">
        <f>INDEX([2]关卡!$G$6:$G$2005,A1028)</f>
        <v>3</v>
      </c>
      <c r="P1028" s="13">
        <v>6</v>
      </c>
      <c r="Q1028" s="12">
        <f>INT(P1028/$S$15/O1028*VLOOKUP(J1028,[1]人物技能基础!$N$3:$O$553,2,0)*$U$15)</f>
        <v>9</v>
      </c>
      <c r="R1028" s="12">
        <f t="shared" si="147"/>
        <v>112</v>
      </c>
    </row>
    <row r="1029" spans="1:18" x14ac:dyDescent="0.15">
      <c r="A1029" s="12">
        <v>1011</v>
      </c>
      <c r="B1029" s="12">
        <f t="shared" si="141"/>
        <v>6</v>
      </c>
      <c r="C1029" s="12">
        <f t="shared" si="142"/>
        <v>0.34861750000000002</v>
      </c>
      <c r="D1029" s="12">
        <f t="shared" si="148"/>
        <v>3.1867499999999993E-2</v>
      </c>
      <c r="E1029" s="12">
        <f>SUM($D$19:D1029)</f>
        <v>15.548617499999985</v>
      </c>
      <c r="F1029" s="12">
        <f t="shared" si="139"/>
        <v>167.46020016985992</v>
      </c>
      <c r="G1029" s="12">
        <f t="shared" si="140"/>
        <v>119.45821102943091</v>
      </c>
      <c r="H1029" s="12">
        <f t="shared" si="149"/>
        <v>602800</v>
      </c>
      <c r="I1029" s="12">
        <f t="shared" si="150"/>
        <v>430000</v>
      </c>
      <c r="J1029" s="12">
        <f>IF(A1029&lt;[3]关卡对接!$A$4,INDEX([3]关卡对接!$C$7:$C$141,A1029),MATCH(E1029,人物经验!$H$24:$H$573,1))</f>
        <v>379</v>
      </c>
      <c r="K1029" s="12">
        <f>IF([3]关卡对接!F1017="",INT(INDEX(人物经验!$J$24:$J$573,关卡!J1029)*关卡!$S$7),[3]关卡对接!F1017)</f>
        <v>14938</v>
      </c>
      <c r="L1029" s="12">
        <f t="shared" si="146"/>
        <v>2</v>
      </c>
      <c r="M1029" s="12">
        <f>L1029/[4]货币基础!$B$4</f>
        <v>200</v>
      </c>
      <c r="N1029" s="12">
        <f>IF(A1029&lt;[3]关卡对接!$A$4,INDEX([3]关卡对接!$E$7:$E$141,A1029),MATCH(E1029,人物经验!$H$24:$H$573,1))</f>
        <v>379</v>
      </c>
      <c r="O1029" s="12">
        <f>INDEX([2]关卡!$G$6:$G$2005,A1029)</f>
        <v>3</v>
      </c>
      <c r="P1029" s="13">
        <v>6</v>
      </c>
      <c r="Q1029" s="12">
        <f>INT(P1029/$S$15/O1029*VLOOKUP(J1029,[1]人物技能基础!$N$3:$O$553,2,0)*$U$15)</f>
        <v>9</v>
      </c>
      <c r="R1029" s="12">
        <f t="shared" si="147"/>
        <v>112</v>
      </c>
    </row>
    <row r="1030" spans="1:18" x14ac:dyDescent="0.15">
      <c r="A1030" s="12">
        <v>1012</v>
      </c>
      <c r="B1030" s="12">
        <f t="shared" si="141"/>
        <v>6</v>
      </c>
      <c r="C1030" s="12">
        <f t="shared" si="142"/>
        <v>0.38051999999999997</v>
      </c>
      <c r="D1030" s="12">
        <f t="shared" si="148"/>
        <v>3.1902499999999945E-2</v>
      </c>
      <c r="E1030" s="12">
        <f>SUM($D$19:D1030)</f>
        <v>15.580519999999984</v>
      </c>
      <c r="F1030" s="12">
        <f t="shared" si="139"/>
        <v>167.82968368510402</v>
      </c>
      <c r="G1030" s="12">
        <f t="shared" si="140"/>
        <v>119.66620356311999</v>
      </c>
      <c r="H1030" s="12">
        <f t="shared" si="149"/>
        <v>604100</v>
      </c>
      <c r="I1030" s="12">
        <f t="shared" si="150"/>
        <v>430700</v>
      </c>
      <c r="J1030" s="12">
        <f>IF(A1030&lt;[3]关卡对接!$A$4,INDEX([3]关卡对接!$C$7:$C$141,A1030),MATCH(E1030,人物经验!$H$24:$H$573,1))</f>
        <v>380</v>
      </c>
      <c r="K1030" s="12">
        <f>IF([3]关卡对接!F1018="",INT(INDEX(人物经验!$J$24:$J$573,关卡!J1030)*关卡!$S$7),[3]关卡对接!F1018)</f>
        <v>15071</v>
      </c>
      <c r="L1030" s="12">
        <f t="shared" si="146"/>
        <v>2</v>
      </c>
      <c r="M1030" s="12">
        <f>L1030/[4]货币基础!$B$4</f>
        <v>200</v>
      </c>
      <c r="N1030" s="12">
        <f>IF(A1030&lt;[3]关卡对接!$A$4,INDEX([3]关卡对接!$E$7:$E$141,A1030),MATCH(E1030,人物经验!$H$24:$H$573,1))</f>
        <v>380</v>
      </c>
      <c r="O1030" s="12">
        <f>INDEX([2]关卡!$G$6:$G$2005,A1030)</f>
        <v>3</v>
      </c>
      <c r="P1030" s="13">
        <v>6</v>
      </c>
      <c r="Q1030" s="12">
        <f>INT(P1030/$S$15/O1030*VLOOKUP(J1030,[1]人物技能基础!$N$3:$O$553,2,0)*$U$15)</f>
        <v>9</v>
      </c>
      <c r="R1030" s="12">
        <f t="shared" si="147"/>
        <v>112</v>
      </c>
    </row>
    <row r="1031" spans="1:18" x14ac:dyDescent="0.15">
      <c r="A1031" s="12">
        <v>1013</v>
      </c>
      <c r="B1031" s="12">
        <f t="shared" si="141"/>
        <v>6</v>
      </c>
      <c r="C1031" s="12">
        <f t="shared" si="142"/>
        <v>0.41245750000000003</v>
      </c>
      <c r="D1031" s="12">
        <f t="shared" si="148"/>
        <v>3.1937500000000063E-2</v>
      </c>
      <c r="E1031" s="12">
        <f>SUM($D$19:D1031)</f>
        <v>15.612457499999984</v>
      </c>
      <c r="F1031" s="12">
        <f t="shared" si="139"/>
        <v>168.19980137548995</v>
      </c>
      <c r="G1031" s="12">
        <f t="shared" si="140"/>
        <v>119.87445791708093</v>
      </c>
      <c r="H1031" s="12">
        <f t="shared" si="149"/>
        <v>605500</v>
      </c>
      <c r="I1031" s="12">
        <f t="shared" si="150"/>
        <v>431500</v>
      </c>
      <c r="J1031" s="12">
        <f>IF(A1031&lt;[3]关卡对接!$A$4,INDEX([3]关卡对接!$C$7:$C$141,A1031),MATCH(E1031,人物经验!$H$24:$H$573,1))</f>
        <v>380</v>
      </c>
      <c r="K1031" s="12">
        <f>IF([3]关卡对接!F1019="",INT(INDEX(人物经验!$J$24:$J$573,关卡!J1031)*关卡!$S$7),[3]关卡对接!F1019)</f>
        <v>15071</v>
      </c>
      <c r="L1031" s="12">
        <f t="shared" si="146"/>
        <v>2</v>
      </c>
      <c r="M1031" s="12">
        <f>L1031/[4]货币基础!$B$4</f>
        <v>200</v>
      </c>
      <c r="N1031" s="12">
        <f>IF(A1031&lt;[3]关卡对接!$A$4,INDEX([3]关卡对接!$E$7:$E$141,A1031),MATCH(E1031,人物经验!$H$24:$H$573,1))</f>
        <v>380</v>
      </c>
      <c r="O1031" s="12">
        <f>INDEX([2]关卡!$G$6:$G$2005,A1031)</f>
        <v>3</v>
      </c>
      <c r="P1031" s="13">
        <v>6</v>
      </c>
      <c r="Q1031" s="12">
        <f>INT(P1031/$S$15/O1031*VLOOKUP(J1031,[1]人物技能基础!$N$3:$O$553,2,0)*$U$15)</f>
        <v>9</v>
      </c>
      <c r="R1031" s="12">
        <f t="shared" si="147"/>
        <v>112</v>
      </c>
    </row>
    <row r="1032" spans="1:18" x14ac:dyDescent="0.15">
      <c r="A1032" s="12">
        <v>1014</v>
      </c>
      <c r="B1032" s="12">
        <f t="shared" si="141"/>
        <v>6</v>
      </c>
      <c r="C1032" s="12">
        <f t="shared" si="142"/>
        <v>0.4444300000000001</v>
      </c>
      <c r="D1032" s="12">
        <f t="shared" si="148"/>
        <v>3.197250000000007E-2</v>
      </c>
      <c r="E1032" s="12">
        <f>SUM($D$19:D1032)</f>
        <v>15.644429999999984</v>
      </c>
      <c r="F1032" s="12">
        <f t="shared" si="139"/>
        <v>168.57055407199903</v>
      </c>
      <c r="G1032" s="12">
        <f t="shared" si="140"/>
        <v>120.08297434809501</v>
      </c>
      <c r="H1032" s="12">
        <f t="shared" si="149"/>
        <v>606800</v>
      </c>
      <c r="I1032" s="12">
        <f t="shared" si="150"/>
        <v>432200</v>
      </c>
      <c r="J1032" s="12">
        <f>IF(A1032&lt;[3]关卡对接!$A$4,INDEX([3]关卡对接!$C$7:$C$141,A1032),MATCH(E1032,人物经验!$H$24:$H$573,1))</f>
        <v>380</v>
      </c>
      <c r="K1032" s="12">
        <f>IF([3]关卡对接!F1020="",INT(INDEX(人物经验!$J$24:$J$573,关卡!J1032)*关卡!$S$7),[3]关卡对接!F1020)</f>
        <v>15071</v>
      </c>
      <c r="L1032" s="12">
        <f t="shared" si="146"/>
        <v>2</v>
      </c>
      <c r="M1032" s="12">
        <f>L1032/[4]货币基础!$B$4</f>
        <v>200</v>
      </c>
      <c r="N1032" s="12">
        <f>IF(A1032&lt;[3]关卡对接!$A$4,INDEX([3]关卡对接!$E$7:$E$141,A1032),MATCH(E1032,人物经验!$H$24:$H$573,1))</f>
        <v>380</v>
      </c>
      <c r="O1032" s="12">
        <f>INDEX([2]关卡!$G$6:$G$2005,A1032)</f>
        <v>3</v>
      </c>
      <c r="P1032" s="13">
        <v>6</v>
      </c>
      <c r="Q1032" s="12">
        <f>INT(P1032/$S$15/O1032*VLOOKUP(J1032,[1]人物技能基础!$N$3:$O$553,2,0)*$U$15)</f>
        <v>9</v>
      </c>
      <c r="R1032" s="12">
        <f t="shared" si="147"/>
        <v>112</v>
      </c>
    </row>
    <row r="1033" spans="1:18" x14ac:dyDescent="0.15">
      <c r="A1033" s="12">
        <v>1015</v>
      </c>
      <c r="B1033" s="12">
        <f t="shared" si="141"/>
        <v>6</v>
      </c>
      <c r="C1033" s="12">
        <f t="shared" si="142"/>
        <v>0.47643749999999996</v>
      </c>
      <c r="D1033" s="12">
        <f t="shared" si="148"/>
        <v>3.2007499999999856E-2</v>
      </c>
      <c r="E1033" s="12">
        <f>SUM($D$19:D1033)</f>
        <v>15.676437499999984</v>
      </c>
      <c r="F1033" s="12">
        <f t="shared" si="139"/>
        <v>168.94194260621089</v>
      </c>
      <c r="G1033" s="12">
        <f t="shared" si="140"/>
        <v>120.29175311308589</v>
      </c>
      <c r="H1033" s="12">
        <f t="shared" si="149"/>
        <v>608100</v>
      </c>
      <c r="I1033" s="12">
        <f t="shared" si="150"/>
        <v>433000</v>
      </c>
      <c r="J1033" s="12">
        <f>IF(A1033&lt;[3]关卡对接!$A$4,INDEX([3]关卡对接!$C$7:$C$141,A1033),MATCH(E1033,人物经验!$H$24:$H$573,1))</f>
        <v>380</v>
      </c>
      <c r="K1033" s="12">
        <f>IF([3]关卡对接!F1021="",INT(INDEX(人物经验!$J$24:$J$573,关卡!J1033)*关卡!$S$7),[3]关卡对接!F1021)</f>
        <v>15071</v>
      </c>
      <c r="L1033" s="12">
        <f t="shared" si="146"/>
        <v>2</v>
      </c>
      <c r="M1033" s="12">
        <f>L1033/[4]货币基础!$B$4</f>
        <v>200</v>
      </c>
      <c r="N1033" s="12">
        <f>IF(A1033&lt;[3]关卡对接!$A$4,INDEX([3]关卡对接!$E$7:$E$141,A1033),MATCH(E1033,人物经验!$H$24:$H$573,1))</f>
        <v>380</v>
      </c>
      <c r="O1033" s="12">
        <f>INDEX([2]关卡!$G$6:$G$2005,A1033)</f>
        <v>3</v>
      </c>
      <c r="P1033" s="13">
        <v>6</v>
      </c>
      <c r="Q1033" s="12">
        <f>INT(P1033/$S$15/O1033*VLOOKUP(J1033,[1]人物技能基础!$N$3:$O$553,2,0)*$U$15)</f>
        <v>9</v>
      </c>
      <c r="R1033" s="12">
        <f t="shared" si="147"/>
        <v>112</v>
      </c>
    </row>
    <row r="1034" spans="1:18" x14ac:dyDescent="0.15">
      <c r="A1034" s="12">
        <v>1016</v>
      </c>
      <c r="B1034" s="12">
        <f t="shared" si="141"/>
        <v>6</v>
      </c>
      <c r="C1034" s="12">
        <f t="shared" si="142"/>
        <v>0.50848000000000004</v>
      </c>
      <c r="D1034" s="12">
        <f t="shared" si="148"/>
        <v>3.2042500000000085E-2</v>
      </c>
      <c r="E1034" s="12">
        <f>SUM($D$19:D1034)</f>
        <v>15.708479999999984</v>
      </c>
      <c r="F1034" s="12">
        <f t="shared" si="139"/>
        <v>169.31396781030404</v>
      </c>
      <c r="G1034" s="12">
        <f t="shared" si="140"/>
        <v>120.50079446911998</v>
      </c>
      <c r="H1034" s="12">
        <f t="shared" si="149"/>
        <v>609500</v>
      </c>
      <c r="I1034" s="12">
        <f t="shared" si="150"/>
        <v>433800</v>
      </c>
      <c r="J1034" s="12">
        <f>IF(A1034&lt;[3]关卡对接!$A$4,INDEX([3]关卡对接!$C$7:$C$141,A1034),MATCH(E1034,人物经验!$H$24:$H$573,1))</f>
        <v>381</v>
      </c>
      <c r="K1034" s="12">
        <f>IF([3]关卡对接!F1022="",INT(INDEX(人物经验!$J$24:$J$573,关卡!J1034)*关卡!$S$7),[3]关卡对接!F1022)</f>
        <v>15204</v>
      </c>
      <c r="L1034" s="12">
        <f t="shared" si="146"/>
        <v>2</v>
      </c>
      <c r="M1034" s="12">
        <f>L1034/[4]货币基础!$B$4</f>
        <v>200</v>
      </c>
      <c r="N1034" s="12">
        <f>IF(A1034&lt;[3]关卡对接!$A$4,INDEX([3]关卡对接!$E$7:$E$141,A1034),MATCH(E1034,人物经验!$H$24:$H$573,1))</f>
        <v>381</v>
      </c>
      <c r="O1034" s="12">
        <f>INDEX([2]关卡!$G$6:$G$2005,A1034)</f>
        <v>3</v>
      </c>
      <c r="P1034" s="13">
        <v>6</v>
      </c>
      <c r="Q1034" s="12">
        <f>INT(P1034/$S$15/O1034*VLOOKUP(J1034,[1]人物技能基础!$N$3:$O$553,2,0)*$U$15)</f>
        <v>9</v>
      </c>
      <c r="R1034" s="12">
        <f t="shared" si="147"/>
        <v>112</v>
      </c>
    </row>
    <row r="1035" spans="1:18" x14ac:dyDescent="0.15">
      <c r="A1035" s="12">
        <v>1017</v>
      </c>
      <c r="B1035" s="12">
        <f t="shared" si="141"/>
        <v>6</v>
      </c>
      <c r="C1035" s="12">
        <f t="shared" si="142"/>
        <v>0.54055750000000014</v>
      </c>
      <c r="D1035" s="12">
        <f t="shared" si="148"/>
        <v>3.2077500000000092E-2</v>
      </c>
      <c r="E1035" s="12">
        <f>SUM($D$19:D1035)</f>
        <v>15.740557499999984</v>
      </c>
      <c r="F1035" s="12">
        <f t="shared" si="139"/>
        <v>169.68663051705494</v>
      </c>
      <c r="G1035" s="12">
        <f t="shared" si="140"/>
        <v>120.71009867340591</v>
      </c>
      <c r="H1035" s="12">
        <f t="shared" si="149"/>
        <v>610800</v>
      </c>
      <c r="I1035" s="12">
        <f t="shared" si="150"/>
        <v>434500</v>
      </c>
      <c r="J1035" s="12">
        <f>IF(A1035&lt;[3]关卡对接!$A$4,INDEX([3]关卡对接!$C$7:$C$141,A1035),MATCH(E1035,人物经验!$H$24:$H$573,1))</f>
        <v>381</v>
      </c>
      <c r="K1035" s="12">
        <f>IF([3]关卡对接!F1023="",INT(INDEX(人物经验!$J$24:$J$573,关卡!J1035)*关卡!$S$7),[3]关卡对接!F1023)</f>
        <v>15204</v>
      </c>
      <c r="L1035" s="12">
        <f t="shared" si="146"/>
        <v>2</v>
      </c>
      <c r="M1035" s="12">
        <f>L1035/[4]货币基础!$B$4</f>
        <v>200</v>
      </c>
      <c r="N1035" s="12">
        <f>IF(A1035&lt;[3]关卡对接!$A$4,INDEX([3]关卡对接!$E$7:$E$141,A1035),MATCH(E1035,人物经验!$H$24:$H$573,1))</f>
        <v>381</v>
      </c>
      <c r="O1035" s="12">
        <f>INDEX([2]关卡!$G$6:$G$2005,A1035)</f>
        <v>3</v>
      </c>
      <c r="P1035" s="13">
        <v>6</v>
      </c>
      <c r="Q1035" s="12">
        <f>INT(P1035/$S$15/O1035*VLOOKUP(J1035,[1]人物技能基础!$N$3:$O$553,2,0)*$U$15)</f>
        <v>9</v>
      </c>
      <c r="R1035" s="12">
        <f t="shared" si="147"/>
        <v>112</v>
      </c>
    </row>
    <row r="1036" spans="1:18" x14ac:dyDescent="0.15">
      <c r="A1036" s="12">
        <v>1018</v>
      </c>
      <c r="B1036" s="12">
        <f t="shared" si="141"/>
        <v>6</v>
      </c>
      <c r="C1036" s="12">
        <f t="shared" si="142"/>
        <v>0.57267000000000001</v>
      </c>
      <c r="D1036" s="12">
        <f t="shared" si="148"/>
        <v>3.2112499999999877E-2</v>
      </c>
      <c r="E1036" s="12">
        <f>SUM($D$19:D1036)</f>
        <v>15.772669999999984</v>
      </c>
      <c r="F1036" s="12">
        <f t="shared" si="139"/>
        <v>170.05993155983901</v>
      </c>
      <c r="G1036" s="12">
        <f t="shared" si="140"/>
        <v>120.91966598329498</v>
      </c>
      <c r="H1036" s="12">
        <f t="shared" si="149"/>
        <v>612200</v>
      </c>
      <c r="I1036" s="12">
        <f t="shared" si="150"/>
        <v>435300</v>
      </c>
      <c r="J1036" s="12">
        <f>IF(A1036&lt;[3]关卡对接!$A$4,INDEX([3]关卡对接!$C$7:$C$141,A1036),MATCH(E1036,人物经验!$H$24:$H$573,1))</f>
        <v>381</v>
      </c>
      <c r="K1036" s="12">
        <f>IF([3]关卡对接!F1024="",INT(INDEX(人物经验!$J$24:$J$573,关卡!J1036)*关卡!$S$7),[3]关卡对接!F1024)</f>
        <v>15204</v>
      </c>
      <c r="L1036" s="12">
        <f t="shared" si="146"/>
        <v>2</v>
      </c>
      <c r="M1036" s="12">
        <f>L1036/[4]货币基础!$B$4</f>
        <v>200</v>
      </c>
      <c r="N1036" s="12">
        <f>IF(A1036&lt;[3]关卡对接!$A$4,INDEX([3]关卡对接!$E$7:$E$141,A1036),MATCH(E1036,人物经验!$H$24:$H$573,1))</f>
        <v>381</v>
      </c>
      <c r="O1036" s="12">
        <f>INDEX([2]关卡!$G$6:$G$2005,A1036)</f>
        <v>3</v>
      </c>
      <c r="P1036" s="13">
        <v>6</v>
      </c>
      <c r="Q1036" s="12">
        <f>INT(P1036/$S$15/O1036*VLOOKUP(J1036,[1]人物技能基础!$N$3:$O$553,2,0)*$U$15)</f>
        <v>9</v>
      </c>
      <c r="R1036" s="12">
        <f t="shared" si="147"/>
        <v>112</v>
      </c>
    </row>
    <row r="1037" spans="1:18" x14ac:dyDescent="0.15">
      <c r="A1037" s="12">
        <v>1019</v>
      </c>
      <c r="B1037" s="12">
        <f t="shared" si="141"/>
        <v>6</v>
      </c>
      <c r="C1037" s="12">
        <f t="shared" si="142"/>
        <v>0.60481750000000001</v>
      </c>
      <c r="D1037" s="12">
        <f t="shared" si="148"/>
        <v>3.2147499999999996E-2</v>
      </c>
      <c r="E1037" s="12">
        <f>SUM($D$19:D1037)</f>
        <v>15.804817499999984</v>
      </c>
      <c r="F1037" s="12">
        <f t="shared" si="139"/>
        <v>170.43387177262991</v>
      </c>
      <c r="G1037" s="12">
        <f t="shared" si="140"/>
        <v>121.12949665628091</v>
      </c>
      <c r="H1037" s="12">
        <f t="shared" si="149"/>
        <v>613500</v>
      </c>
      <c r="I1037" s="12">
        <f t="shared" si="150"/>
        <v>436000</v>
      </c>
      <c r="J1037" s="12">
        <f>IF(A1037&lt;[3]关卡对接!$A$4,INDEX([3]关卡对接!$C$7:$C$141,A1037),MATCH(E1037,人物经验!$H$24:$H$573,1))</f>
        <v>381</v>
      </c>
      <c r="K1037" s="12">
        <f>IF([3]关卡对接!F1025="",INT(INDEX(人物经验!$J$24:$J$573,关卡!J1037)*关卡!$S$7),[3]关卡对接!F1025)</f>
        <v>15204</v>
      </c>
      <c r="L1037" s="12">
        <f t="shared" si="146"/>
        <v>2</v>
      </c>
      <c r="M1037" s="12">
        <f>L1037/[4]货币基础!$B$4</f>
        <v>200</v>
      </c>
      <c r="N1037" s="12">
        <f>IF(A1037&lt;[3]关卡对接!$A$4,INDEX([3]关卡对接!$E$7:$E$141,A1037),MATCH(E1037,人物经验!$H$24:$H$573,1))</f>
        <v>381</v>
      </c>
      <c r="O1037" s="12">
        <f>INDEX([2]关卡!$G$6:$G$2005,A1037)</f>
        <v>3</v>
      </c>
      <c r="P1037" s="13">
        <v>6</v>
      </c>
      <c r="Q1037" s="12">
        <f>INT(P1037/$S$15/O1037*VLOOKUP(J1037,[1]人物技能基础!$N$3:$O$553,2,0)*$U$15)</f>
        <v>9</v>
      </c>
      <c r="R1037" s="12">
        <f t="shared" si="147"/>
        <v>112</v>
      </c>
    </row>
    <row r="1038" spans="1:18" x14ac:dyDescent="0.15">
      <c r="A1038" s="12">
        <v>1020</v>
      </c>
      <c r="B1038" s="12">
        <f t="shared" si="141"/>
        <v>6</v>
      </c>
      <c r="C1038" s="12">
        <f t="shared" si="142"/>
        <v>0.63700000000000012</v>
      </c>
      <c r="D1038" s="12">
        <f t="shared" si="148"/>
        <v>3.2182500000000114E-2</v>
      </c>
      <c r="E1038" s="12">
        <f>SUM($D$19:D1038)</f>
        <v>15.836999999999984</v>
      </c>
      <c r="F1038" s="12">
        <f t="shared" si="139"/>
        <v>170.80845199000001</v>
      </c>
      <c r="G1038" s="12">
        <f t="shared" si="140"/>
        <v>121.33959095</v>
      </c>
      <c r="H1038" s="12">
        <f t="shared" si="149"/>
        <v>614900</v>
      </c>
      <c r="I1038" s="12">
        <f t="shared" si="150"/>
        <v>436800</v>
      </c>
      <c r="J1038" s="12">
        <f>IF(A1038&lt;[3]关卡对接!$A$4,INDEX([3]关卡对接!$C$7:$C$141,A1038),MATCH(E1038,人物经验!$H$24:$H$573,1))</f>
        <v>381</v>
      </c>
      <c r="K1038" s="12">
        <f>IF([3]关卡对接!F1026="",INT(INDEX(人物经验!$J$24:$J$573,关卡!J1038)*关卡!$S$7),[3]关卡对接!F1026)</f>
        <v>15204</v>
      </c>
      <c r="L1038" s="12">
        <f t="shared" si="146"/>
        <v>2</v>
      </c>
      <c r="M1038" s="12">
        <f>L1038/[4]货币基础!$B$4</f>
        <v>200</v>
      </c>
      <c r="N1038" s="12">
        <f>IF(A1038&lt;[3]关卡对接!$A$4,INDEX([3]关卡对接!$E$7:$E$141,A1038),MATCH(E1038,人物经验!$H$24:$H$573,1))</f>
        <v>381</v>
      </c>
      <c r="O1038" s="12">
        <f>INDEX([2]关卡!$G$6:$G$2005,A1038)</f>
        <v>3</v>
      </c>
      <c r="P1038" s="13">
        <v>6</v>
      </c>
      <c r="Q1038" s="12">
        <f>INT(P1038/$S$15/O1038*VLOOKUP(J1038,[1]人物技能基础!$N$3:$O$553,2,0)*$U$15)</f>
        <v>9</v>
      </c>
      <c r="R1038" s="12">
        <f t="shared" si="147"/>
        <v>112</v>
      </c>
    </row>
    <row r="1039" spans="1:18" x14ac:dyDescent="0.15">
      <c r="A1039" s="12">
        <v>1021</v>
      </c>
      <c r="B1039" s="12">
        <f t="shared" si="141"/>
        <v>6</v>
      </c>
      <c r="C1039" s="12">
        <f t="shared" si="142"/>
        <v>0.66921750000000002</v>
      </c>
      <c r="D1039" s="12">
        <f t="shared" si="148"/>
        <v>3.2217499999999899E-2</v>
      </c>
      <c r="E1039" s="12">
        <f>SUM($D$19:D1039)</f>
        <v>15.869217499999984</v>
      </c>
      <c r="F1039" s="12">
        <f t="shared" si="139"/>
        <v>171.1836730471199</v>
      </c>
      <c r="G1039" s="12">
        <f t="shared" si="140"/>
        <v>121.54994912223091</v>
      </c>
      <c r="H1039" s="12">
        <f t="shared" si="149"/>
        <v>616200</v>
      </c>
      <c r="I1039" s="12">
        <f t="shared" si="150"/>
        <v>437500</v>
      </c>
      <c r="J1039" s="12">
        <f>IF(A1039&lt;[3]关卡对接!$A$4,INDEX([3]关卡对接!$C$7:$C$141,A1039),MATCH(E1039,人物经验!$H$24:$H$573,1))</f>
        <v>382</v>
      </c>
      <c r="K1039" s="12">
        <f>IF([3]关卡对接!F1027="",INT(INDEX(人物经验!$J$24:$J$573,关卡!J1039)*关卡!$S$7),[3]关卡对接!F1027)</f>
        <v>15372</v>
      </c>
      <c r="L1039" s="12">
        <f t="shared" si="146"/>
        <v>2</v>
      </c>
      <c r="M1039" s="12">
        <f>L1039/[4]货币基础!$B$4</f>
        <v>200</v>
      </c>
      <c r="N1039" s="12">
        <f>IF(A1039&lt;[3]关卡对接!$A$4,INDEX([3]关卡对接!$E$7:$E$141,A1039),MATCH(E1039,人物经验!$H$24:$H$573,1))</f>
        <v>382</v>
      </c>
      <c r="O1039" s="12">
        <f>INDEX([2]关卡!$G$6:$G$2005,A1039)</f>
        <v>3</v>
      </c>
      <c r="P1039" s="13">
        <v>6</v>
      </c>
      <c r="Q1039" s="12">
        <f>INT(P1039/$S$15/O1039*VLOOKUP(J1039,[1]人物技能基础!$N$3:$O$553,2,0)*$U$15)</f>
        <v>9</v>
      </c>
      <c r="R1039" s="12">
        <f t="shared" si="147"/>
        <v>112</v>
      </c>
    </row>
    <row r="1040" spans="1:18" x14ac:dyDescent="0.15">
      <c r="A1040" s="12">
        <v>1022</v>
      </c>
      <c r="B1040" s="12">
        <f t="shared" si="141"/>
        <v>6</v>
      </c>
      <c r="C1040" s="12">
        <f t="shared" si="142"/>
        <v>0.70147000000000004</v>
      </c>
      <c r="D1040" s="12">
        <f t="shared" si="148"/>
        <v>3.2252500000000017E-2</v>
      </c>
      <c r="E1040" s="12">
        <f>SUM($D$19:D1040)</f>
        <v>15.901469999999984</v>
      </c>
      <c r="F1040" s="12">
        <f t="shared" si="139"/>
        <v>171.55953577975902</v>
      </c>
      <c r="G1040" s="12">
        <f t="shared" si="140"/>
        <v>121.760571430895</v>
      </c>
      <c r="H1040" s="12">
        <f t="shared" si="149"/>
        <v>617600</v>
      </c>
      <c r="I1040" s="12">
        <f t="shared" si="150"/>
        <v>438300</v>
      </c>
      <c r="J1040" s="12">
        <f>IF(A1040&lt;[3]关卡对接!$A$4,INDEX([3]关卡对接!$C$7:$C$141,A1040),MATCH(E1040,人物经验!$H$24:$H$573,1))</f>
        <v>382</v>
      </c>
      <c r="K1040" s="12">
        <f>IF([3]关卡对接!F1028="",INT(INDEX(人物经验!$J$24:$J$573,关卡!J1040)*关卡!$S$7),[3]关卡对接!F1028)</f>
        <v>15372</v>
      </c>
      <c r="L1040" s="12">
        <f t="shared" si="146"/>
        <v>2</v>
      </c>
      <c r="M1040" s="12">
        <f>L1040/[4]货币基础!$B$4</f>
        <v>200</v>
      </c>
      <c r="N1040" s="12">
        <f>IF(A1040&lt;[3]关卡对接!$A$4,INDEX([3]关卡对接!$E$7:$E$141,A1040),MATCH(E1040,人物经验!$H$24:$H$573,1))</f>
        <v>382</v>
      </c>
      <c r="O1040" s="12">
        <f>INDEX([2]关卡!$G$6:$G$2005,A1040)</f>
        <v>3</v>
      </c>
      <c r="P1040" s="13">
        <v>6</v>
      </c>
      <c r="Q1040" s="12">
        <f>INT(P1040/$S$15/O1040*VLOOKUP(J1040,[1]人物技能基础!$N$3:$O$553,2,0)*$U$15)</f>
        <v>9</v>
      </c>
      <c r="R1040" s="12">
        <f t="shared" si="147"/>
        <v>112</v>
      </c>
    </row>
    <row r="1041" spans="1:18" x14ac:dyDescent="0.15">
      <c r="A1041" s="12">
        <v>1023</v>
      </c>
      <c r="B1041" s="12">
        <f t="shared" si="141"/>
        <v>6</v>
      </c>
      <c r="C1041" s="12">
        <f t="shared" si="142"/>
        <v>0.73375750000000006</v>
      </c>
      <c r="D1041" s="12">
        <f t="shared" si="148"/>
        <v>3.2287500000000025E-2</v>
      </c>
      <c r="E1041" s="12">
        <f>SUM($D$19:D1041)</f>
        <v>15.933757499999984</v>
      </c>
      <c r="F1041" s="12">
        <f t="shared" si="139"/>
        <v>171.93604102428489</v>
      </c>
      <c r="G1041" s="12">
        <f t="shared" si="140"/>
        <v>121.97145813405591</v>
      </c>
      <c r="H1041" s="12">
        <f t="shared" si="149"/>
        <v>618900</v>
      </c>
      <c r="I1041" s="12">
        <f t="shared" si="150"/>
        <v>439000</v>
      </c>
      <c r="J1041" s="12">
        <f>IF(A1041&lt;[3]关卡对接!$A$4,INDEX([3]关卡对接!$C$7:$C$141,A1041),MATCH(E1041,人物经验!$H$24:$H$573,1))</f>
        <v>382</v>
      </c>
      <c r="K1041" s="12">
        <f>IF([3]关卡对接!F1029="",INT(INDEX(人物经验!$J$24:$J$573,关卡!J1041)*关卡!$S$7),[3]关卡对接!F1029)</f>
        <v>15372</v>
      </c>
      <c r="L1041" s="12">
        <f t="shared" si="146"/>
        <v>2</v>
      </c>
      <c r="M1041" s="12">
        <f>L1041/[4]货币基础!$B$4</f>
        <v>200</v>
      </c>
      <c r="N1041" s="12">
        <f>IF(A1041&lt;[3]关卡对接!$A$4,INDEX([3]关卡对接!$E$7:$E$141,A1041),MATCH(E1041,人物经验!$H$24:$H$573,1))</f>
        <v>382</v>
      </c>
      <c r="O1041" s="12">
        <f>INDEX([2]关卡!$G$6:$G$2005,A1041)</f>
        <v>3</v>
      </c>
      <c r="P1041" s="13">
        <v>6</v>
      </c>
      <c r="Q1041" s="12">
        <f>INT(P1041/$S$15/O1041*VLOOKUP(J1041,[1]人物技能基础!$N$3:$O$553,2,0)*$U$15)</f>
        <v>9</v>
      </c>
      <c r="R1041" s="12">
        <f t="shared" si="147"/>
        <v>112</v>
      </c>
    </row>
    <row r="1042" spans="1:18" x14ac:dyDescent="0.15">
      <c r="A1042" s="12">
        <v>1024</v>
      </c>
      <c r="B1042" s="12">
        <f t="shared" si="141"/>
        <v>6</v>
      </c>
      <c r="C1042" s="12">
        <f t="shared" si="142"/>
        <v>0.76607999999999998</v>
      </c>
      <c r="D1042" s="12">
        <f t="shared" si="148"/>
        <v>3.2322499999999921E-2</v>
      </c>
      <c r="E1042" s="12">
        <f>SUM($D$19:D1042)</f>
        <v>15.966079999999984</v>
      </c>
      <c r="F1042" s="12">
        <f t="shared" si="139"/>
        <v>172.31318961766402</v>
      </c>
      <c r="G1042" s="12">
        <f t="shared" si="140"/>
        <v>122.18260948992</v>
      </c>
      <c r="H1042" s="12">
        <f t="shared" si="149"/>
        <v>620300</v>
      </c>
      <c r="I1042" s="12">
        <f t="shared" si="150"/>
        <v>439800</v>
      </c>
      <c r="J1042" s="12">
        <f>IF(A1042&lt;[3]关卡对接!$A$4,INDEX([3]关卡对接!$C$7:$C$141,A1042),MATCH(E1042,人物经验!$H$24:$H$573,1))</f>
        <v>382</v>
      </c>
      <c r="K1042" s="12">
        <f>IF([3]关卡对接!F1030="",INT(INDEX(人物经验!$J$24:$J$573,关卡!J1042)*关卡!$S$7),[3]关卡对接!F1030)</f>
        <v>15372</v>
      </c>
      <c r="L1042" s="12">
        <f t="shared" si="146"/>
        <v>2</v>
      </c>
      <c r="M1042" s="12">
        <f>L1042/[4]货币基础!$B$4</f>
        <v>200</v>
      </c>
      <c r="N1042" s="12">
        <f>IF(A1042&lt;[3]关卡对接!$A$4,INDEX([3]关卡对接!$E$7:$E$141,A1042),MATCH(E1042,人物经验!$H$24:$H$573,1))</f>
        <v>382</v>
      </c>
      <c r="O1042" s="12">
        <f>INDEX([2]关卡!$G$6:$G$2005,A1042)</f>
        <v>3</v>
      </c>
      <c r="P1042" s="13">
        <v>6</v>
      </c>
      <c r="Q1042" s="12">
        <f>INT(P1042/$S$15/O1042*VLOOKUP(J1042,[1]人物技能基础!$N$3:$O$553,2,0)*$U$15)</f>
        <v>9</v>
      </c>
      <c r="R1042" s="12">
        <f t="shared" si="147"/>
        <v>112</v>
      </c>
    </row>
    <row r="1043" spans="1:18" x14ac:dyDescent="0.15">
      <c r="A1043" s="12">
        <v>1025</v>
      </c>
      <c r="B1043" s="12">
        <f t="shared" si="141"/>
        <v>6</v>
      </c>
      <c r="C1043" s="12">
        <f t="shared" si="142"/>
        <v>0.79843750000000002</v>
      </c>
      <c r="D1043" s="12">
        <f t="shared" si="148"/>
        <v>3.2357500000000039E-2</v>
      </c>
      <c r="E1043" s="12">
        <f>SUM($D$19:D1043)</f>
        <v>15.998437499999984</v>
      </c>
      <c r="F1043" s="12">
        <f t="shared" ref="F1043:F1106" si="151">$L$7*($M$7+$N$7*($A1043/$B$3)^1+$O$7*($A1043/$B$3)^2+$P$7*($A1043/$B$3)^3+$Q$7*($A1043/$B$3)^4)</f>
        <v>172.69098239746091</v>
      </c>
      <c r="G1043" s="12">
        <f t="shared" ref="G1043:G1106" si="152">$L$11*($M$11+$N$11*($A1043/$B$3)^1+$O$11*($A1043/$B$3)^2+$P$11*($A1043/$B$3)^3+$Q$11*($A1043/$B$3)^4)</f>
        <v>122.39402575683592</v>
      </c>
      <c r="H1043" s="12">
        <f t="shared" si="149"/>
        <v>621600</v>
      </c>
      <c r="I1043" s="12">
        <f t="shared" si="150"/>
        <v>440600</v>
      </c>
      <c r="J1043" s="12">
        <f>IF(A1043&lt;[3]关卡对接!$A$4,INDEX([3]关卡对接!$C$7:$C$141,A1043),MATCH(E1043,人物经验!$H$24:$H$573,1))</f>
        <v>383</v>
      </c>
      <c r="K1043" s="12">
        <f>IF([3]关卡对接!F1031="",INT(INDEX(人物经验!$J$24:$J$573,关卡!J1043)*关卡!$S$7),[3]关卡对接!F1031)</f>
        <v>15508</v>
      </c>
      <c r="L1043" s="12">
        <f t="shared" si="146"/>
        <v>2</v>
      </c>
      <c r="M1043" s="12">
        <f>L1043/[4]货币基础!$B$4</f>
        <v>200</v>
      </c>
      <c r="N1043" s="12">
        <f>IF(A1043&lt;[3]关卡对接!$A$4,INDEX([3]关卡对接!$E$7:$E$141,A1043),MATCH(E1043,人物经验!$H$24:$H$573,1))</f>
        <v>383</v>
      </c>
      <c r="O1043" s="12">
        <f>INDEX([2]关卡!$G$6:$G$2005,A1043)</f>
        <v>3</v>
      </c>
      <c r="P1043" s="13">
        <v>6</v>
      </c>
      <c r="Q1043" s="12">
        <f>INT(P1043/$S$15/O1043*VLOOKUP(J1043,[1]人物技能基础!$N$3:$O$553,2,0)*$U$15)</f>
        <v>9</v>
      </c>
      <c r="R1043" s="12">
        <f t="shared" si="147"/>
        <v>112</v>
      </c>
    </row>
    <row r="1044" spans="1:18" x14ac:dyDescent="0.15">
      <c r="A1044" s="12">
        <v>1026</v>
      </c>
      <c r="B1044" s="12">
        <f t="shared" ref="B1044:B1107" si="153">MATCH($A1044,$A$5:$A$15,1)-1</f>
        <v>6</v>
      </c>
      <c r="C1044" s="12">
        <f t="shared" ref="C1044:C1107" si="154">INDEX($C$5:$C$15,$B1044+1)*(INDEX($E$5:$E$15,$B1044+1)+INDEX($F$5:$F$15,$B1044+1)*(($A1044-INDEX($A$5:$A$15,$B1044+1)+1)/(INDEX($B$5:$B$15,$B1044+1)-INDEX($A$5:$A$15,$B1044+1)+1))^1+INDEX($G$5:$G$15,$B1044+1)*(($A1044-INDEX($A$5:$A$15,$B1044+1)+1)/(INDEX($B$5:$B$15,$B1044+1)-INDEX($A$5:$A$15,$B1044+1)+1))^2+INDEX($H$5:$H$15,$B1044+1)*(($A1044-INDEX($A$5:$A$15,$B1044+1)+1)/(INDEX($B$5:$B$15,$B1044+1)-INDEX($A$5:$A$15,$B1044+1)+1))^3+INDEX($I$5:$I$15,$B1044+1)*(($A1044-INDEX($A$5:$A$15,$B1044+1)+1)/(INDEX($B$5:$B$15,$B1044+1)-INDEX($A$5:$A$15,$B1044+1)+1))^4)</f>
        <v>0.83083000000000007</v>
      </c>
      <c r="D1044" s="12">
        <f t="shared" si="148"/>
        <v>3.2392500000000046E-2</v>
      </c>
      <c r="E1044" s="12">
        <f>SUM($D$19:D1044)</f>
        <v>16.030829999999984</v>
      </c>
      <c r="F1044" s="12">
        <f t="shared" si="151"/>
        <v>173.06942020183899</v>
      </c>
      <c r="G1044" s="12">
        <f t="shared" si="152"/>
        <v>122.60570719329502</v>
      </c>
      <c r="H1044" s="12">
        <f t="shared" si="149"/>
        <v>623000</v>
      </c>
      <c r="I1044" s="12">
        <f t="shared" si="150"/>
        <v>441300</v>
      </c>
      <c r="J1044" s="12">
        <f>IF(A1044&lt;[3]关卡对接!$A$4,INDEX([3]关卡对接!$C$7:$C$141,A1044),MATCH(E1044,人物经验!$H$24:$H$573,1))</f>
        <v>383</v>
      </c>
      <c r="K1044" s="12">
        <f>IF([3]关卡对接!F1032="",INT(INDEX(人物经验!$J$24:$J$573,关卡!J1044)*关卡!$S$7),[3]关卡对接!F1032)</f>
        <v>15508</v>
      </c>
      <c r="L1044" s="12">
        <f t="shared" ref="L1044:L1107" si="155">VLOOKUP(A1044,$A$5:$J$15,10,1)</f>
        <v>2</v>
      </c>
      <c r="M1044" s="12">
        <f>L1044/[4]货币基础!$B$4</f>
        <v>200</v>
      </c>
      <c r="N1044" s="12">
        <f>IF(A1044&lt;[3]关卡对接!$A$4,INDEX([3]关卡对接!$E$7:$E$141,A1044),MATCH(E1044,人物经验!$H$24:$H$573,1))</f>
        <v>383</v>
      </c>
      <c r="O1044" s="12">
        <f>INDEX([2]关卡!$G$6:$G$2005,A1044)</f>
        <v>3</v>
      </c>
      <c r="P1044" s="13">
        <v>6</v>
      </c>
      <c r="Q1044" s="12">
        <f>INT(P1044/$S$15/O1044*VLOOKUP(J1044,[1]人物技能基础!$N$3:$O$553,2,0)*$U$15)</f>
        <v>9</v>
      </c>
      <c r="R1044" s="12">
        <f t="shared" ref="R1044:R1107" si="156">INT(Q1044*12.5)</f>
        <v>112</v>
      </c>
    </row>
    <row r="1045" spans="1:18" x14ac:dyDescent="0.15">
      <c r="A1045" s="12">
        <v>1027</v>
      </c>
      <c r="B1045" s="12">
        <f t="shared" si="153"/>
        <v>6</v>
      </c>
      <c r="C1045" s="12">
        <f t="shared" si="154"/>
        <v>0.86325750000000012</v>
      </c>
      <c r="D1045" s="12">
        <f t="shared" si="148"/>
        <v>3.2427500000000054E-2</v>
      </c>
      <c r="E1045" s="12">
        <f>SUM($D$19:D1045)</f>
        <v>16.063257499999985</v>
      </c>
      <c r="F1045" s="12">
        <f t="shared" si="151"/>
        <v>173.44850386955991</v>
      </c>
      <c r="G1045" s="12">
        <f t="shared" si="152"/>
        <v>122.81765405793092</v>
      </c>
      <c r="H1045" s="12">
        <f t="shared" si="149"/>
        <v>624400</v>
      </c>
      <c r="I1045" s="12">
        <f t="shared" si="150"/>
        <v>442100</v>
      </c>
      <c r="J1045" s="12">
        <f>IF(A1045&lt;[3]关卡对接!$A$4,INDEX([3]关卡对接!$C$7:$C$141,A1045),MATCH(E1045,人物经验!$H$24:$H$573,1))</f>
        <v>383</v>
      </c>
      <c r="K1045" s="12">
        <f>IF([3]关卡对接!F1033="",INT(INDEX(人物经验!$J$24:$J$573,关卡!J1045)*关卡!$S$7),[3]关卡对接!F1033)</f>
        <v>15508</v>
      </c>
      <c r="L1045" s="12">
        <f t="shared" si="155"/>
        <v>2</v>
      </c>
      <c r="M1045" s="12">
        <f>L1045/[4]货币基础!$B$4</f>
        <v>200</v>
      </c>
      <c r="N1045" s="12">
        <f>IF(A1045&lt;[3]关卡对接!$A$4,INDEX([3]关卡对接!$E$7:$E$141,A1045),MATCH(E1045,人物经验!$H$24:$H$573,1))</f>
        <v>383</v>
      </c>
      <c r="O1045" s="12">
        <f>INDEX([2]关卡!$G$6:$G$2005,A1045)</f>
        <v>3</v>
      </c>
      <c r="P1045" s="13">
        <v>6</v>
      </c>
      <c r="Q1045" s="12">
        <f>INT(P1045/$S$15/O1045*VLOOKUP(J1045,[1]人物技能基础!$N$3:$O$553,2,0)*$U$15)</f>
        <v>9</v>
      </c>
      <c r="R1045" s="12">
        <f t="shared" si="156"/>
        <v>112</v>
      </c>
    </row>
    <row r="1046" spans="1:18" x14ac:dyDescent="0.15">
      <c r="A1046" s="12">
        <v>1028</v>
      </c>
      <c r="B1046" s="12">
        <f t="shared" si="153"/>
        <v>6</v>
      </c>
      <c r="C1046" s="12">
        <f t="shared" si="154"/>
        <v>0.89572000000000007</v>
      </c>
      <c r="D1046" s="12">
        <f t="shared" si="148"/>
        <v>3.246249999999995E-2</v>
      </c>
      <c r="E1046" s="12">
        <f>SUM($D$19:D1046)</f>
        <v>16.095719999999986</v>
      </c>
      <c r="F1046" s="12">
        <f t="shared" si="151"/>
        <v>173.828234239984</v>
      </c>
      <c r="G1046" s="12">
        <f t="shared" si="152"/>
        <v>123.02986660951998</v>
      </c>
      <c r="H1046" s="12">
        <f t="shared" si="149"/>
        <v>625700</v>
      </c>
      <c r="I1046" s="12">
        <f t="shared" si="150"/>
        <v>442900</v>
      </c>
      <c r="J1046" s="12">
        <f>IF(A1046&lt;[3]关卡对接!$A$4,INDEX([3]关卡对接!$C$7:$C$141,A1046),MATCH(E1046,人物经验!$H$24:$H$573,1))</f>
        <v>383</v>
      </c>
      <c r="K1046" s="12">
        <f>IF([3]关卡对接!F1034="",INT(INDEX(人物经验!$J$24:$J$573,关卡!J1046)*关卡!$S$7),[3]关卡对接!F1034)</f>
        <v>15508</v>
      </c>
      <c r="L1046" s="12">
        <f t="shared" si="155"/>
        <v>2</v>
      </c>
      <c r="M1046" s="12">
        <f>L1046/[4]货币基础!$B$4</f>
        <v>200</v>
      </c>
      <c r="N1046" s="12">
        <f>IF(A1046&lt;[3]关卡对接!$A$4,INDEX([3]关卡对接!$E$7:$E$141,A1046),MATCH(E1046,人物经验!$H$24:$H$573,1))</f>
        <v>383</v>
      </c>
      <c r="O1046" s="12">
        <f>INDEX([2]关卡!$G$6:$G$2005,A1046)</f>
        <v>3</v>
      </c>
      <c r="P1046" s="13">
        <v>6</v>
      </c>
      <c r="Q1046" s="12">
        <f>INT(P1046/$S$15/O1046*VLOOKUP(J1046,[1]人物技能基础!$N$3:$O$553,2,0)*$U$15)</f>
        <v>9</v>
      </c>
      <c r="R1046" s="12">
        <f t="shared" si="156"/>
        <v>112</v>
      </c>
    </row>
    <row r="1047" spans="1:18" x14ac:dyDescent="0.15">
      <c r="A1047" s="12">
        <v>1029</v>
      </c>
      <c r="B1047" s="12">
        <f t="shared" si="153"/>
        <v>6</v>
      </c>
      <c r="C1047" s="12">
        <f t="shared" si="154"/>
        <v>0.92821750000000014</v>
      </c>
      <c r="D1047" s="12">
        <f t="shared" si="148"/>
        <v>3.2497500000000068E-2</v>
      </c>
      <c r="E1047" s="12">
        <f>SUM($D$19:D1047)</f>
        <v>16.128217499999987</v>
      </c>
      <c r="F1047" s="12">
        <f t="shared" si="151"/>
        <v>174.20861215306994</v>
      </c>
      <c r="G1047" s="12">
        <f t="shared" si="152"/>
        <v>123.24234510698092</v>
      </c>
      <c r="H1047" s="12">
        <f t="shared" si="149"/>
        <v>627100</v>
      </c>
      <c r="I1047" s="12">
        <f t="shared" si="150"/>
        <v>443600</v>
      </c>
      <c r="J1047" s="12">
        <f>IF(A1047&lt;[3]关卡对接!$A$4,INDEX([3]关卡对接!$C$7:$C$141,A1047),MATCH(E1047,人物经验!$H$24:$H$573,1))</f>
        <v>384</v>
      </c>
      <c r="K1047" s="12">
        <f>IF([3]关卡对接!F1035="",INT(INDEX(人物经验!$J$24:$J$573,关卡!J1047)*关卡!$S$7),[3]关卡对接!F1035)</f>
        <v>15644</v>
      </c>
      <c r="L1047" s="12">
        <f t="shared" si="155"/>
        <v>2</v>
      </c>
      <c r="M1047" s="12">
        <f>L1047/[4]货币基础!$B$4</f>
        <v>200</v>
      </c>
      <c r="N1047" s="12">
        <f>IF(A1047&lt;[3]关卡对接!$A$4,INDEX([3]关卡对接!$E$7:$E$141,A1047),MATCH(E1047,人物经验!$H$24:$H$573,1))</f>
        <v>384</v>
      </c>
      <c r="O1047" s="12">
        <f>INDEX([2]关卡!$G$6:$G$2005,A1047)</f>
        <v>3</v>
      </c>
      <c r="P1047" s="13">
        <v>6</v>
      </c>
      <c r="Q1047" s="12">
        <f>INT(P1047/$S$15/O1047*VLOOKUP(J1047,[1]人物技能基础!$N$3:$O$553,2,0)*$U$15)</f>
        <v>9</v>
      </c>
      <c r="R1047" s="12">
        <f t="shared" si="156"/>
        <v>112</v>
      </c>
    </row>
    <row r="1048" spans="1:18" x14ac:dyDescent="0.15">
      <c r="A1048" s="12">
        <v>1030</v>
      </c>
      <c r="B1048" s="12">
        <f t="shared" si="153"/>
        <v>6</v>
      </c>
      <c r="C1048" s="12">
        <f t="shared" si="154"/>
        <v>0.9607500000000001</v>
      </c>
      <c r="D1048" s="12">
        <f t="shared" si="148"/>
        <v>3.2532499999999964E-2</v>
      </c>
      <c r="E1048" s="12">
        <f>SUM($D$19:D1048)</f>
        <v>16.160749999999986</v>
      </c>
      <c r="F1048" s="12">
        <f t="shared" si="151"/>
        <v>174.589638449375</v>
      </c>
      <c r="G1048" s="12">
        <f t="shared" si="152"/>
        <v>123.455089809375</v>
      </c>
      <c r="H1048" s="12">
        <f t="shared" si="149"/>
        <v>628500</v>
      </c>
      <c r="I1048" s="12">
        <f t="shared" si="150"/>
        <v>444400</v>
      </c>
      <c r="J1048" s="12">
        <f>IF(A1048&lt;[3]关卡对接!$A$4,INDEX([3]关卡对接!$C$7:$C$141,A1048),MATCH(E1048,人物经验!$H$24:$H$573,1))</f>
        <v>384</v>
      </c>
      <c r="K1048" s="12">
        <f>IF([3]关卡对接!F1036="",INT(INDEX(人物经验!$J$24:$J$573,关卡!J1048)*关卡!$S$7),[3]关卡对接!F1036)</f>
        <v>15644</v>
      </c>
      <c r="L1048" s="12">
        <f t="shared" si="155"/>
        <v>2</v>
      </c>
      <c r="M1048" s="12">
        <f>L1048/[4]货币基础!$B$4</f>
        <v>200</v>
      </c>
      <c r="N1048" s="12">
        <f>IF(A1048&lt;[3]关卡对接!$A$4,INDEX([3]关卡对接!$E$7:$E$141,A1048),MATCH(E1048,人物经验!$H$24:$H$573,1))</f>
        <v>384</v>
      </c>
      <c r="O1048" s="12">
        <f>INDEX([2]关卡!$G$6:$G$2005,A1048)</f>
        <v>3</v>
      </c>
      <c r="P1048" s="13">
        <v>6</v>
      </c>
      <c r="Q1048" s="12">
        <f>INT(P1048/$S$15/O1048*VLOOKUP(J1048,[1]人物技能基础!$N$3:$O$553,2,0)*$U$15)</f>
        <v>9</v>
      </c>
      <c r="R1048" s="12">
        <f t="shared" si="156"/>
        <v>112</v>
      </c>
    </row>
    <row r="1049" spans="1:18" x14ac:dyDescent="0.15">
      <c r="A1049" s="12">
        <v>1031</v>
      </c>
      <c r="B1049" s="12">
        <f t="shared" si="153"/>
        <v>6</v>
      </c>
      <c r="C1049" s="12">
        <f t="shared" si="154"/>
        <v>0.99331750000000008</v>
      </c>
      <c r="D1049" s="12">
        <f t="shared" si="148"/>
        <v>3.2567499999999971E-2</v>
      </c>
      <c r="E1049" s="12">
        <f>SUM($D$19:D1049)</f>
        <v>16.193317499999985</v>
      </c>
      <c r="F1049" s="12">
        <f t="shared" si="151"/>
        <v>174.97131397005492</v>
      </c>
      <c r="G1049" s="12">
        <f t="shared" si="152"/>
        <v>123.66810097590593</v>
      </c>
      <c r="H1049" s="12">
        <f t="shared" si="149"/>
        <v>629800</v>
      </c>
      <c r="I1049" s="12">
        <f t="shared" si="150"/>
        <v>445200</v>
      </c>
      <c r="J1049" s="12">
        <f>IF(A1049&lt;[3]关卡对接!$A$4,INDEX([3]关卡对接!$C$7:$C$141,A1049),MATCH(E1049,人物经验!$H$24:$H$573,1))</f>
        <v>384</v>
      </c>
      <c r="K1049" s="12">
        <f>IF([3]关卡对接!F1037="",INT(INDEX(人物经验!$J$24:$J$573,关卡!J1049)*关卡!$S$7),[3]关卡对接!F1037)</f>
        <v>15644</v>
      </c>
      <c r="L1049" s="12">
        <f t="shared" si="155"/>
        <v>2</v>
      </c>
      <c r="M1049" s="12">
        <f>L1049/[4]货币基础!$B$4</f>
        <v>200</v>
      </c>
      <c r="N1049" s="12">
        <f>IF(A1049&lt;[3]关卡对接!$A$4,INDEX([3]关卡对接!$E$7:$E$141,A1049),MATCH(E1049,人物经验!$H$24:$H$573,1))</f>
        <v>384</v>
      </c>
      <c r="O1049" s="12">
        <f>INDEX([2]关卡!$G$6:$G$2005,A1049)</f>
        <v>3</v>
      </c>
      <c r="P1049" s="13">
        <v>6</v>
      </c>
      <c r="Q1049" s="12">
        <f>INT(P1049/$S$15/O1049*VLOOKUP(J1049,[1]人物技能基础!$N$3:$O$553,2,0)*$U$15)</f>
        <v>9</v>
      </c>
      <c r="R1049" s="12">
        <f t="shared" si="156"/>
        <v>112</v>
      </c>
    </row>
    <row r="1050" spans="1:18" x14ac:dyDescent="0.15">
      <c r="A1050" s="12">
        <v>1032</v>
      </c>
      <c r="B1050" s="12">
        <f t="shared" si="153"/>
        <v>6</v>
      </c>
      <c r="C1050" s="12">
        <f t="shared" si="154"/>
        <v>1.0259200000000002</v>
      </c>
      <c r="D1050" s="12">
        <f t="shared" si="148"/>
        <v>3.260250000000009E-2</v>
      </c>
      <c r="E1050" s="12">
        <f>SUM($D$19:D1050)</f>
        <v>16.225919999999984</v>
      </c>
      <c r="F1050" s="12">
        <f t="shared" si="151"/>
        <v>175.35363955686401</v>
      </c>
      <c r="G1050" s="12">
        <f t="shared" si="152"/>
        <v>123.88137886591998</v>
      </c>
      <c r="H1050" s="12">
        <f t="shared" si="149"/>
        <v>631200</v>
      </c>
      <c r="I1050" s="12">
        <f t="shared" si="150"/>
        <v>445900</v>
      </c>
      <c r="J1050" s="12">
        <f>IF(A1050&lt;[3]关卡对接!$A$4,INDEX([3]关卡对接!$C$7:$C$141,A1050),MATCH(E1050,人物经验!$H$24:$H$573,1))</f>
        <v>384</v>
      </c>
      <c r="K1050" s="12">
        <f>IF([3]关卡对接!F1038="",INT(INDEX(人物经验!$J$24:$J$573,关卡!J1050)*关卡!$S$7),[3]关卡对接!F1038)</f>
        <v>15644</v>
      </c>
      <c r="L1050" s="12">
        <f t="shared" si="155"/>
        <v>2</v>
      </c>
      <c r="M1050" s="12">
        <f>L1050/[4]货币基础!$B$4</f>
        <v>200</v>
      </c>
      <c r="N1050" s="12">
        <f>IF(A1050&lt;[3]关卡对接!$A$4,INDEX([3]关卡对接!$E$7:$E$141,A1050),MATCH(E1050,人物经验!$H$24:$H$573,1))</f>
        <v>384</v>
      </c>
      <c r="O1050" s="12">
        <f>INDEX([2]关卡!$G$6:$G$2005,A1050)</f>
        <v>3</v>
      </c>
      <c r="P1050" s="13">
        <v>6</v>
      </c>
      <c r="Q1050" s="12">
        <f>INT(P1050/$S$15/O1050*VLOOKUP(J1050,[1]人物技能基础!$N$3:$O$553,2,0)*$U$15)</f>
        <v>9</v>
      </c>
      <c r="R1050" s="12">
        <f t="shared" si="156"/>
        <v>112</v>
      </c>
    </row>
    <row r="1051" spans="1:18" x14ac:dyDescent="0.15">
      <c r="A1051" s="12">
        <v>1033</v>
      </c>
      <c r="B1051" s="12">
        <f t="shared" si="153"/>
        <v>6</v>
      </c>
      <c r="C1051" s="12">
        <f t="shared" si="154"/>
        <v>1.0585575</v>
      </c>
      <c r="D1051" s="12">
        <f t="shared" si="148"/>
        <v>3.2637499999999875E-2</v>
      </c>
      <c r="E1051" s="12">
        <f>SUM($D$19:D1051)</f>
        <v>16.258557499999984</v>
      </c>
      <c r="F1051" s="12">
        <f t="shared" si="151"/>
        <v>175.73661605215494</v>
      </c>
      <c r="G1051" s="12">
        <f t="shared" si="152"/>
        <v>124.0949237389059</v>
      </c>
      <c r="H1051" s="12">
        <f t="shared" si="149"/>
        <v>632600</v>
      </c>
      <c r="I1051" s="12">
        <f t="shared" si="150"/>
        <v>446700</v>
      </c>
      <c r="J1051" s="12">
        <f>IF(A1051&lt;[3]关卡对接!$A$4,INDEX([3]关卡对接!$C$7:$C$141,A1051),MATCH(E1051,人物经验!$H$24:$H$573,1))</f>
        <v>384</v>
      </c>
      <c r="K1051" s="12">
        <f>IF([3]关卡对接!F1039="",INT(INDEX(人物经验!$J$24:$J$573,关卡!J1051)*关卡!$S$7),[3]关卡对接!F1039)</f>
        <v>15644</v>
      </c>
      <c r="L1051" s="12">
        <f t="shared" si="155"/>
        <v>2</v>
      </c>
      <c r="M1051" s="12">
        <f>L1051/[4]货币基础!$B$4</f>
        <v>200</v>
      </c>
      <c r="N1051" s="12">
        <f>IF(A1051&lt;[3]关卡对接!$A$4,INDEX([3]关卡对接!$E$7:$E$141,A1051),MATCH(E1051,人物经验!$H$24:$H$573,1))</f>
        <v>384</v>
      </c>
      <c r="O1051" s="12">
        <f>INDEX([2]关卡!$G$6:$G$2005,A1051)</f>
        <v>3</v>
      </c>
      <c r="P1051" s="13">
        <v>6</v>
      </c>
      <c r="Q1051" s="12">
        <f>INT(P1051/$S$15/O1051*VLOOKUP(J1051,[1]人物技能基础!$N$3:$O$553,2,0)*$U$15)</f>
        <v>9</v>
      </c>
      <c r="R1051" s="12">
        <f t="shared" si="156"/>
        <v>112</v>
      </c>
    </row>
    <row r="1052" spans="1:18" x14ac:dyDescent="0.15">
      <c r="A1052" s="12">
        <v>1034</v>
      </c>
      <c r="B1052" s="12">
        <f t="shared" si="153"/>
        <v>6</v>
      </c>
      <c r="C1052" s="12">
        <f t="shared" si="154"/>
        <v>1.0912300000000001</v>
      </c>
      <c r="D1052" s="12">
        <f t="shared" si="148"/>
        <v>3.2672500000000104E-2</v>
      </c>
      <c r="E1052" s="12">
        <f>SUM($D$19:D1052)</f>
        <v>16.291229999999985</v>
      </c>
      <c r="F1052" s="12">
        <f t="shared" si="151"/>
        <v>176.12024429887902</v>
      </c>
      <c r="G1052" s="12">
        <f t="shared" si="152"/>
        <v>124.308735854495</v>
      </c>
      <c r="H1052" s="12">
        <f t="shared" si="149"/>
        <v>634000</v>
      </c>
      <c r="I1052" s="12">
        <f t="shared" si="150"/>
        <v>447500</v>
      </c>
      <c r="J1052" s="12">
        <f>IF(A1052&lt;[3]关卡对接!$A$4,INDEX([3]关卡对接!$C$7:$C$141,A1052),MATCH(E1052,人物经验!$H$24:$H$573,1))</f>
        <v>385</v>
      </c>
      <c r="K1052" s="12">
        <f>IF([3]关卡对接!F1040="",INT(INDEX(人物经验!$J$24:$J$573,关卡!J1052)*关卡!$S$7),[3]关卡对接!F1040)</f>
        <v>15816</v>
      </c>
      <c r="L1052" s="12">
        <f t="shared" si="155"/>
        <v>2</v>
      </c>
      <c r="M1052" s="12">
        <f>L1052/[4]货币基础!$B$4</f>
        <v>200</v>
      </c>
      <c r="N1052" s="12">
        <f>IF(A1052&lt;[3]关卡对接!$A$4,INDEX([3]关卡对接!$E$7:$E$141,A1052),MATCH(E1052,人物经验!$H$24:$H$573,1))</f>
        <v>385</v>
      </c>
      <c r="O1052" s="12">
        <f>INDEX([2]关卡!$G$6:$G$2005,A1052)</f>
        <v>3</v>
      </c>
      <c r="P1052" s="13">
        <v>6</v>
      </c>
      <c r="Q1052" s="12">
        <f>INT(P1052/$S$15/O1052*VLOOKUP(J1052,[1]人物技能基础!$N$3:$O$553,2,0)*$U$15)</f>
        <v>9</v>
      </c>
      <c r="R1052" s="12">
        <f t="shared" si="156"/>
        <v>112</v>
      </c>
    </row>
    <row r="1053" spans="1:18" x14ac:dyDescent="0.15">
      <c r="A1053" s="12">
        <v>1035</v>
      </c>
      <c r="B1053" s="12">
        <f t="shared" si="153"/>
        <v>6</v>
      </c>
      <c r="C1053" s="12">
        <f t="shared" si="154"/>
        <v>1.1239375</v>
      </c>
      <c r="D1053" s="12">
        <f t="shared" si="148"/>
        <v>3.2707499999999889E-2</v>
      </c>
      <c r="E1053" s="12">
        <f>SUM($D$19:D1053)</f>
        <v>16.323937499999985</v>
      </c>
      <c r="F1053" s="12">
        <f t="shared" si="151"/>
        <v>176.50452514058591</v>
      </c>
      <c r="G1053" s="12">
        <f t="shared" si="152"/>
        <v>124.52281547246092</v>
      </c>
      <c r="H1053" s="12">
        <f t="shared" si="149"/>
        <v>635400</v>
      </c>
      <c r="I1053" s="12">
        <f t="shared" si="150"/>
        <v>448200</v>
      </c>
      <c r="J1053" s="12">
        <f>IF(A1053&lt;[3]关卡对接!$A$4,INDEX([3]关卡对接!$C$7:$C$141,A1053),MATCH(E1053,人物经验!$H$24:$H$573,1))</f>
        <v>385</v>
      </c>
      <c r="K1053" s="12">
        <f>IF([3]关卡对接!F1041="",INT(INDEX(人物经验!$J$24:$J$573,关卡!J1053)*关卡!$S$7),[3]关卡对接!F1041)</f>
        <v>15816</v>
      </c>
      <c r="L1053" s="12">
        <f t="shared" si="155"/>
        <v>2</v>
      </c>
      <c r="M1053" s="12">
        <f>L1053/[4]货币基础!$B$4</f>
        <v>200</v>
      </c>
      <c r="N1053" s="12">
        <f>IF(A1053&lt;[3]关卡对接!$A$4,INDEX([3]关卡对接!$E$7:$E$141,A1053),MATCH(E1053,人物经验!$H$24:$H$573,1))</f>
        <v>385</v>
      </c>
      <c r="O1053" s="12">
        <f>INDEX([2]关卡!$G$6:$G$2005,A1053)</f>
        <v>3</v>
      </c>
      <c r="P1053" s="13">
        <v>6</v>
      </c>
      <c r="Q1053" s="12">
        <f>INT(P1053/$S$15/O1053*VLOOKUP(J1053,[1]人物技能基础!$N$3:$O$553,2,0)*$U$15)</f>
        <v>9</v>
      </c>
      <c r="R1053" s="12">
        <f t="shared" si="156"/>
        <v>112</v>
      </c>
    </row>
    <row r="1054" spans="1:18" x14ac:dyDescent="0.15">
      <c r="A1054" s="12">
        <v>1036</v>
      </c>
      <c r="B1054" s="12">
        <f t="shared" si="153"/>
        <v>6</v>
      </c>
      <c r="C1054" s="12">
        <f t="shared" si="154"/>
        <v>1.1566799999999999</v>
      </c>
      <c r="D1054" s="12">
        <f t="shared" si="148"/>
        <v>3.2742499999999897E-2</v>
      </c>
      <c r="E1054" s="12">
        <f>SUM($D$19:D1054)</f>
        <v>16.356679999999987</v>
      </c>
      <c r="F1054" s="12">
        <f t="shared" si="151"/>
        <v>176.88945942142402</v>
      </c>
      <c r="G1054" s="12">
        <f t="shared" si="152"/>
        <v>124.73716285272</v>
      </c>
      <c r="H1054" s="12">
        <f t="shared" si="149"/>
        <v>636800</v>
      </c>
      <c r="I1054" s="12">
        <f t="shared" si="150"/>
        <v>449000</v>
      </c>
      <c r="J1054" s="12">
        <f>IF(A1054&lt;[3]关卡对接!$A$4,INDEX([3]关卡对接!$C$7:$C$141,A1054),MATCH(E1054,人物经验!$H$24:$H$573,1))</f>
        <v>385</v>
      </c>
      <c r="K1054" s="12">
        <f>IF([3]关卡对接!F1042="",INT(INDEX(人物经验!$J$24:$J$573,关卡!J1054)*关卡!$S$7),[3]关卡对接!F1042)</f>
        <v>15816</v>
      </c>
      <c r="L1054" s="12">
        <f t="shared" si="155"/>
        <v>2</v>
      </c>
      <c r="M1054" s="12">
        <f>L1054/[4]货币基础!$B$4</f>
        <v>200</v>
      </c>
      <c r="N1054" s="12">
        <f>IF(A1054&lt;[3]关卡对接!$A$4,INDEX([3]关卡对接!$E$7:$E$141,A1054),MATCH(E1054,人物经验!$H$24:$H$573,1))</f>
        <v>385</v>
      </c>
      <c r="O1054" s="12">
        <f>INDEX([2]关卡!$G$6:$G$2005,A1054)</f>
        <v>3</v>
      </c>
      <c r="P1054" s="13">
        <v>6</v>
      </c>
      <c r="Q1054" s="12">
        <f>INT(P1054/$S$15/O1054*VLOOKUP(J1054,[1]人物技能基础!$N$3:$O$553,2,0)*$U$15)</f>
        <v>9</v>
      </c>
      <c r="R1054" s="12">
        <f t="shared" si="156"/>
        <v>112</v>
      </c>
    </row>
    <row r="1055" spans="1:18" x14ac:dyDescent="0.15">
      <c r="A1055" s="12">
        <v>1037</v>
      </c>
      <c r="B1055" s="12">
        <f t="shared" si="153"/>
        <v>6</v>
      </c>
      <c r="C1055" s="12">
        <f t="shared" si="154"/>
        <v>1.1894575000000001</v>
      </c>
      <c r="D1055" s="12">
        <f t="shared" si="148"/>
        <v>3.2777500000000126E-2</v>
      </c>
      <c r="E1055" s="12">
        <f>SUM($D$19:D1055)</f>
        <v>16.389457499999988</v>
      </c>
      <c r="F1055" s="12">
        <f t="shared" si="151"/>
        <v>177.27504798613995</v>
      </c>
      <c r="G1055" s="12">
        <f t="shared" si="152"/>
        <v>124.95177825533092</v>
      </c>
      <c r="H1055" s="12">
        <f t="shared" si="149"/>
        <v>638100</v>
      </c>
      <c r="I1055" s="12">
        <f t="shared" si="150"/>
        <v>449800</v>
      </c>
      <c r="J1055" s="12">
        <f>IF(A1055&lt;[3]关卡对接!$A$4,INDEX([3]关卡对接!$C$7:$C$141,A1055),MATCH(E1055,人物经验!$H$24:$H$573,1))</f>
        <v>385</v>
      </c>
      <c r="K1055" s="12">
        <f>IF([3]关卡对接!F1043="",INT(INDEX(人物经验!$J$24:$J$573,关卡!J1055)*关卡!$S$7),[3]关卡对接!F1043)</f>
        <v>15816</v>
      </c>
      <c r="L1055" s="12">
        <f t="shared" si="155"/>
        <v>2</v>
      </c>
      <c r="M1055" s="12">
        <f>L1055/[4]货币基础!$B$4</f>
        <v>200</v>
      </c>
      <c r="N1055" s="12">
        <f>IF(A1055&lt;[3]关卡对接!$A$4,INDEX([3]关卡对接!$E$7:$E$141,A1055),MATCH(E1055,人物经验!$H$24:$H$573,1))</f>
        <v>385</v>
      </c>
      <c r="O1055" s="12">
        <f>INDEX([2]关卡!$G$6:$G$2005,A1055)</f>
        <v>3</v>
      </c>
      <c r="P1055" s="13">
        <v>6</v>
      </c>
      <c r="Q1055" s="12">
        <f>INT(P1055/$S$15/O1055*VLOOKUP(J1055,[1]人物技能基础!$N$3:$O$553,2,0)*$U$15)</f>
        <v>9</v>
      </c>
      <c r="R1055" s="12">
        <f t="shared" si="156"/>
        <v>112</v>
      </c>
    </row>
    <row r="1056" spans="1:18" x14ac:dyDescent="0.15">
      <c r="A1056" s="12">
        <v>1038</v>
      </c>
      <c r="B1056" s="12">
        <f t="shared" si="153"/>
        <v>6</v>
      </c>
      <c r="C1056" s="12">
        <f t="shared" si="154"/>
        <v>1.2222700000000002</v>
      </c>
      <c r="D1056" s="12">
        <f t="shared" si="148"/>
        <v>3.2812500000000133E-2</v>
      </c>
      <c r="E1056" s="12">
        <f>SUM($D$19:D1056)</f>
        <v>16.422269999999987</v>
      </c>
      <c r="F1056" s="12">
        <f t="shared" si="151"/>
        <v>177.66129168007905</v>
      </c>
      <c r="G1056" s="12">
        <f t="shared" si="152"/>
        <v>125.166661940495</v>
      </c>
      <c r="H1056" s="12">
        <f t="shared" si="149"/>
        <v>639500</v>
      </c>
      <c r="I1056" s="12">
        <f t="shared" si="150"/>
        <v>450500</v>
      </c>
      <c r="J1056" s="12">
        <f>IF(A1056&lt;[3]关卡对接!$A$4,INDEX([3]关卡对接!$C$7:$C$141,A1056),MATCH(E1056,人物经验!$H$24:$H$573,1))</f>
        <v>386</v>
      </c>
      <c r="K1056" s="12">
        <f>IF([3]关卡对接!F1044="",INT(INDEX(人物经验!$J$24:$J$573,关卡!J1056)*关卡!$S$7),[3]关卡对接!F1044)</f>
        <v>15954</v>
      </c>
      <c r="L1056" s="12">
        <f t="shared" si="155"/>
        <v>2</v>
      </c>
      <c r="M1056" s="12">
        <f>L1056/[4]货币基础!$B$4</f>
        <v>200</v>
      </c>
      <c r="N1056" s="12">
        <f>IF(A1056&lt;[3]关卡对接!$A$4,INDEX([3]关卡对接!$E$7:$E$141,A1056),MATCH(E1056,人物经验!$H$24:$H$573,1))</f>
        <v>386</v>
      </c>
      <c r="O1056" s="12">
        <f>INDEX([2]关卡!$G$6:$G$2005,A1056)</f>
        <v>3</v>
      </c>
      <c r="P1056" s="13">
        <v>6</v>
      </c>
      <c r="Q1056" s="12">
        <f>INT(P1056/$S$15/O1056*VLOOKUP(J1056,[1]人物技能基础!$N$3:$O$553,2,0)*$U$15)</f>
        <v>9</v>
      </c>
      <c r="R1056" s="12">
        <f t="shared" si="156"/>
        <v>112</v>
      </c>
    </row>
    <row r="1057" spans="1:18" x14ac:dyDescent="0.15">
      <c r="A1057" s="12">
        <v>1039</v>
      </c>
      <c r="B1057" s="12">
        <f t="shared" si="153"/>
        <v>6</v>
      </c>
      <c r="C1057" s="12">
        <f t="shared" si="154"/>
        <v>1.2551175000000003</v>
      </c>
      <c r="D1057" s="12">
        <f t="shared" si="148"/>
        <v>3.284750000000014E-2</v>
      </c>
      <c r="E1057" s="12">
        <f>SUM($D$19:D1057)</f>
        <v>16.455117499999986</v>
      </c>
      <c r="F1057" s="12">
        <f t="shared" si="151"/>
        <v>178.04819134918489</v>
      </c>
      <c r="G1057" s="12">
        <f t="shared" si="152"/>
        <v>125.38181416855591</v>
      </c>
      <c r="H1057" s="12">
        <f t="shared" si="149"/>
        <v>640900</v>
      </c>
      <c r="I1057" s="12">
        <f t="shared" si="150"/>
        <v>451300</v>
      </c>
      <c r="J1057" s="12">
        <f>IF(A1057&lt;[3]关卡对接!$A$4,INDEX([3]关卡对接!$C$7:$C$141,A1057),MATCH(E1057,人物经验!$H$24:$H$573,1))</f>
        <v>386</v>
      </c>
      <c r="K1057" s="12">
        <f>IF([3]关卡对接!F1045="",INT(INDEX(人物经验!$J$24:$J$573,关卡!J1057)*关卡!$S$7),[3]关卡对接!F1045)</f>
        <v>15954</v>
      </c>
      <c r="L1057" s="12">
        <f t="shared" si="155"/>
        <v>2</v>
      </c>
      <c r="M1057" s="12">
        <f>L1057/[4]货币基础!$B$4</f>
        <v>200</v>
      </c>
      <c r="N1057" s="12">
        <f>IF(A1057&lt;[3]关卡对接!$A$4,INDEX([3]关卡对接!$E$7:$E$141,A1057),MATCH(E1057,人物经验!$H$24:$H$573,1))</f>
        <v>386</v>
      </c>
      <c r="O1057" s="12">
        <f>INDEX([2]关卡!$G$6:$G$2005,A1057)</f>
        <v>3</v>
      </c>
      <c r="P1057" s="13">
        <v>6</v>
      </c>
      <c r="Q1057" s="12">
        <f>INT(P1057/$S$15/O1057*VLOOKUP(J1057,[1]人物技能基础!$N$3:$O$553,2,0)*$U$15)</f>
        <v>9</v>
      </c>
      <c r="R1057" s="12">
        <f t="shared" si="156"/>
        <v>112</v>
      </c>
    </row>
    <row r="1058" spans="1:18" x14ac:dyDescent="0.15">
      <c r="A1058" s="12">
        <v>1040</v>
      </c>
      <c r="B1058" s="12">
        <f t="shared" si="153"/>
        <v>6</v>
      </c>
      <c r="C1058" s="12">
        <f t="shared" si="154"/>
        <v>1.2880000000000003</v>
      </c>
      <c r="D1058" s="12">
        <f t="shared" si="148"/>
        <v>3.2882499999999926E-2</v>
      </c>
      <c r="E1058" s="12">
        <f>SUM($D$19:D1058)</f>
        <v>16.487999999999985</v>
      </c>
      <c r="F1058" s="12">
        <f t="shared" si="151"/>
        <v>178.43574784000003</v>
      </c>
      <c r="G1058" s="12">
        <f t="shared" si="152"/>
        <v>125.59723520000001</v>
      </c>
      <c r="H1058" s="12">
        <f t="shared" si="149"/>
        <v>642300</v>
      </c>
      <c r="I1058" s="12">
        <f t="shared" si="150"/>
        <v>452100</v>
      </c>
      <c r="J1058" s="12">
        <f>IF(A1058&lt;[3]关卡对接!$A$4,INDEX([3]关卡对接!$C$7:$C$141,A1058),MATCH(E1058,人物经验!$H$24:$H$573,1))</f>
        <v>386</v>
      </c>
      <c r="K1058" s="12">
        <f>IF([3]关卡对接!F1046="",INT(INDEX(人物经验!$J$24:$J$573,关卡!J1058)*关卡!$S$7),[3]关卡对接!F1046)</f>
        <v>15954</v>
      </c>
      <c r="L1058" s="12">
        <f t="shared" si="155"/>
        <v>2</v>
      </c>
      <c r="M1058" s="12">
        <f>L1058/[4]货币基础!$B$4</f>
        <v>200</v>
      </c>
      <c r="N1058" s="12">
        <f>IF(A1058&lt;[3]关卡对接!$A$4,INDEX([3]关卡对接!$E$7:$E$141,A1058),MATCH(E1058,人物经验!$H$24:$H$573,1))</f>
        <v>386</v>
      </c>
      <c r="O1058" s="12">
        <f>INDEX([2]关卡!$G$6:$G$2005,A1058)</f>
        <v>3</v>
      </c>
      <c r="P1058" s="13">
        <v>6</v>
      </c>
      <c r="Q1058" s="12">
        <f>INT(P1058/$S$15/O1058*VLOOKUP(J1058,[1]人物技能基础!$N$3:$O$553,2,0)*$U$15)</f>
        <v>9</v>
      </c>
      <c r="R1058" s="12">
        <f t="shared" si="156"/>
        <v>112</v>
      </c>
    </row>
    <row r="1059" spans="1:18" x14ac:dyDescent="0.15">
      <c r="A1059" s="12">
        <v>1041</v>
      </c>
      <c r="B1059" s="12">
        <f t="shared" si="153"/>
        <v>6</v>
      </c>
      <c r="C1059" s="12">
        <f t="shared" si="154"/>
        <v>1.3209175</v>
      </c>
      <c r="D1059" s="12">
        <f t="shared" si="148"/>
        <v>3.2917499999999711E-2</v>
      </c>
      <c r="E1059" s="12">
        <f>SUM($D$19:D1059)</f>
        <v>16.520917499999985</v>
      </c>
      <c r="F1059" s="12">
        <f t="shared" si="151"/>
        <v>178.82396199966493</v>
      </c>
      <c r="G1059" s="12">
        <f t="shared" si="152"/>
        <v>125.81292529545593</v>
      </c>
      <c r="H1059" s="12">
        <f t="shared" si="149"/>
        <v>643700</v>
      </c>
      <c r="I1059" s="12">
        <f t="shared" si="150"/>
        <v>452900</v>
      </c>
      <c r="J1059" s="12">
        <f>IF(A1059&lt;[3]关卡对接!$A$4,INDEX([3]关卡对接!$C$7:$C$141,A1059),MATCH(E1059,人物经验!$H$24:$H$573,1))</f>
        <v>386</v>
      </c>
      <c r="K1059" s="12">
        <f>IF([3]关卡对接!F1047="",INT(INDEX(人物经验!$J$24:$J$573,关卡!J1059)*关卡!$S$7),[3]关卡对接!F1047)</f>
        <v>15954</v>
      </c>
      <c r="L1059" s="12">
        <f t="shared" si="155"/>
        <v>2</v>
      </c>
      <c r="M1059" s="12">
        <f>L1059/[4]货币基础!$B$4</f>
        <v>200</v>
      </c>
      <c r="N1059" s="12">
        <f>IF(A1059&lt;[3]关卡对接!$A$4,INDEX([3]关卡对接!$E$7:$E$141,A1059),MATCH(E1059,人物经验!$H$24:$H$573,1))</f>
        <v>386</v>
      </c>
      <c r="O1059" s="12">
        <f>INDEX([2]关卡!$G$6:$G$2005,A1059)</f>
        <v>3</v>
      </c>
      <c r="P1059" s="13">
        <v>6</v>
      </c>
      <c r="Q1059" s="12">
        <f>INT(P1059/$S$15/O1059*VLOOKUP(J1059,[1]人物技能基础!$N$3:$O$553,2,0)*$U$15)</f>
        <v>9</v>
      </c>
      <c r="R1059" s="12">
        <f t="shared" si="156"/>
        <v>112</v>
      </c>
    </row>
    <row r="1060" spans="1:18" x14ac:dyDescent="0.15">
      <c r="A1060" s="12">
        <v>1042</v>
      </c>
      <c r="B1060" s="12">
        <f t="shared" si="153"/>
        <v>6</v>
      </c>
      <c r="C1060" s="12">
        <f t="shared" si="154"/>
        <v>1.3538699999999999</v>
      </c>
      <c r="D1060" s="12">
        <f t="shared" si="148"/>
        <v>3.295249999999994E-2</v>
      </c>
      <c r="E1060" s="12">
        <f>SUM($D$19:D1060)</f>
        <v>16.553869999999986</v>
      </c>
      <c r="F1060" s="12">
        <f t="shared" si="151"/>
        <v>179.21283467591903</v>
      </c>
      <c r="G1060" s="12">
        <f t="shared" si="152"/>
        <v>126.02888471569501</v>
      </c>
      <c r="H1060" s="12">
        <f t="shared" si="149"/>
        <v>645100</v>
      </c>
      <c r="I1060" s="12">
        <f t="shared" si="150"/>
        <v>453700</v>
      </c>
      <c r="J1060" s="12">
        <f>IF(A1060&lt;[3]关卡对接!$A$4,INDEX([3]关卡对接!$C$7:$C$141,A1060),MATCH(E1060,人物经验!$H$24:$H$573,1))</f>
        <v>387</v>
      </c>
      <c r="K1060" s="12">
        <f>IF([3]关卡对接!F1048="",INT(INDEX(人物经验!$J$24:$J$573,关卡!J1060)*关卡!$S$7),[3]关卡对接!F1048)</f>
        <v>16094</v>
      </c>
      <c r="L1060" s="12">
        <f t="shared" si="155"/>
        <v>2</v>
      </c>
      <c r="M1060" s="12">
        <f>L1060/[4]货币基础!$B$4</f>
        <v>200</v>
      </c>
      <c r="N1060" s="12">
        <f>IF(A1060&lt;[3]关卡对接!$A$4,INDEX([3]关卡对接!$E$7:$E$141,A1060),MATCH(E1060,人物经验!$H$24:$H$573,1))</f>
        <v>387</v>
      </c>
      <c r="O1060" s="12">
        <f>INDEX([2]关卡!$G$6:$G$2005,A1060)</f>
        <v>3</v>
      </c>
      <c r="P1060" s="13">
        <v>6</v>
      </c>
      <c r="Q1060" s="12">
        <f>INT(P1060/$S$15/O1060*VLOOKUP(J1060,[1]人物技能基础!$N$3:$O$553,2,0)*$U$15)</f>
        <v>9</v>
      </c>
      <c r="R1060" s="12">
        <f t="shared" si="156"/>
        <v>112</v>
      </c>
    </row>
    <row r="1061" spans="1:18" x14ac:dyDescent="0.15">
      <c r="A1061" s="12">
        <v>1043</v>
      </c>
      <c r="B1061" s="12">
        <f t="shared" si="153"/>
        <v>6</v>
      </c>
      <c r="C1061" s="12">
        <f t="shared" si="154"/>
        <v>1.3868575000000001</v>
      </c>
      <c r="D1061" s="12">
        <f t="shared" si="148"/>
        <v>3.2987500000000169E-2</v>
      </c>
      <c r="E1061" s="12">
        <f>SUM($D$19:D1061)</f>
        <v>16.586857499999986</v>
      </c>
      <c r="F1061" s="12">
        <f t="shared" si="151"/>
        <v>179.6023667170999</v>
      </c>
      <c r="G1061" s="12">
        <f t="shared" si="152"/>
        <v>126.24511372163091</v>
      </c>
      <c r="H1061" s="12">
        <f t="shared" si="149"/>
        <v>646500</v>
      </c>
      <c r="I1061" s="12">
        <f t="shared" si="150"/>
        <v>454400</v>
      </c>
      <c r="J1061" s="12">
        <f>IF(A1061&lt;[3]关卡对接!$A$4,INDEX([3]关卡对接!$C$7:$C$141,A1061),MATCH(E1061,人物经验!$H$24:$H$573,1))</f>
        <v>387</v>
      </c>
      <c r="K1061" s="12">
        <f>IF([3]关卡对接!F1049="",INT(INDEX(人物经验!$J$24:$J$573,关卡!J1061)*关卡!$S$7),[3]关卡对接!F1049)</f>
        <v>16094</v>
      </c>
      <c r="L1061" s="12">
        <f t="shared" si="155"/>
        <v>2</v>
      </c>
      <c r="M1061" s="12">
        <f>L1061/[4]货币基础!$B$4</f>
        <v>200</v>
      </c>
      <c r="N1061" s="12">
        <f>IF(A1061&lt;[3]关卡对接!$A$4,INDEX([3]关卡对接!$E$7:$E$141,A1061),MATCH(E1061,人物经验!$H$24:$H$573,1))</f>
        <v>387</v>
      </c>
      <c r="O1061" s="12">
        <f>INDEX([2]关卡!$G$6:$G$2005,A1061)</f>
        <v>3</v>
      </c>
      <c r="P1061" s="13">
        <v>6</v>
      </c>
      <c r="Q1061" s="12">
        <f>INT(P1061/$S$15/O1061*VLOOKUP(J1061,[1]人物技能基础!$N$3:$O$553,2,0)*$U$15)</f>
        <v>9</v>
      </c>
      <c r="R1061" s="12">
        <f t="shared" si="156"/>
        <v>112</v>
      </c>
    </row>
    <row r="1062" spans="1:18" x14ac:dyDescent="0.15">
      <c r="A1062" s="12">
        <v>1044</v>
      </c>
      <c r="B1062" s="12">
        <f t="shared" si="153"/>
        <v>6</v>
      </c>
      <c r="C1062" s="12">
        <f t="shared" si="154"/>
        <v>1.41988</v>
      </c>
      <c r="D1062" s="12">
        <f t="shared" si="148"/>
        <v>3.3022499999999955E-2</v>
      </c>
      <c r="E1062" s="12">
        <f>SUM($D$19:D1062)</f>
        <v>16.619879999999988</v>
      </c>
      <c r="F1062" s="12">
        <f t="shared" si="151"/>
        <v>179.992558972144</v>
      </c>
      <c r="G1062" s="12">
        <f t="shared" si="152"/>
        <v>126.46161257432001</v>
      </c>
      <c r="H1062" s="12">
        <f t="shared" si="149"/>
        <v>647900</v>
      </c>
      <c r="I1062" s="12">
        <f t="shared" si="150"/>
        <v>455200</v>
      </c>
      <c r="J1062" s="12">
        <f>IF(A1062&lt;[3]关卡对接!$A$4,INDEX([3]关卡对接!$C$7:$C$141,A1062),MATCH(E1062,人物经验!$H$24:$H$573,1))</f>
        <v>387</v>
      </c>
      <c r="K1062" s="12">
        <f>IF([3]关卡对接!F1050="",INT(INDEX(人物经验!$J$24:$J$573,关卡!J1062)*关卡!$S$7),[3]关卡对接!F1050)</f>
        <v>16094</v>
      </c>
      <c r="L1062" s="12">
        <f t="shared" si="155"/>
        <v>2</v>
      </c>
      <c r="M1062" s="12">
        <f>L1062/[4]货币基础!$B$4</f>
        <v>200</v>
      </c>
      <c r="N1062" s="12">
        <f>IF(A1062&lt;[3]关卡对接!$A$4,INDEX([3]关卡对接!$E$7:$E$141,A1062),MATCH(E1062,人物经验!$H$24:$H$573,1))</f>
        <v>387</v>
      </c>
      <c r="O1062" s="12">
        <f>INDEX([2]关卡!$G$6:$G$2005,A1062)</f>
        <v>3</v>
      </c>
      <c r="P1062" s="13">
        <v>6</v>
      </c>
      <c r="Q1062" s="12">
        <f>INT(P1062/$S$15/O1062*VLOOKUP(J1062,[1]人物技能基础!$N$3:$O$553,2,0)*$U$15)</f>
        <v>9</v>
      </c>
      <c r="R1062" s="12">
        <f t="shared" si="156"/>
        <v>112</v>
      </c>
    </row>
    <row r="1063" spans="1:18" x14ac:dyDescent="0.15">
      <c r="A1063" s="12">
        <v>1045</v>
      </c>
      <c r="B1063" s="12">
        <f t="shared" si="153"/>
        <v>6</v>
      </c>
      <c r="C1063" s="12">
        <f t="shared" si="154"/>
        <v>1.4529375</v>
      </c>
      <c r="D1063" s="12">
        <f t="shared" si="148"/>
        <v>3.3057499999999962E-2</v>
      </c>
      <c r="E1063" s="12">
        <f>SUM($D$19:D1063)</f>
        <v>16.652937499999986</v>
      </c>
      <c r="F1063" s="12">
        <f t="shared" si="151"/>
        <v>180.38341229058588</v>
      </c>
      <c r="G1063" s="12">
        <f t="shared" si="152"/>
        <v>126.67838153496092</v>
      </c>
      <c r="H1063" s="12">
        <f t="shared" si="149"/>
        <v>649300</v>
      </c>
      <c r="I1063" s="12">
        <f t="shared" si="150"/>
        <v>456000</v>
      </c>
      <c r="J1063" s="12">
        <f>IF(A1063&lt;[3]关卡对接!$A$4,INDEX([3]关卡对接!$C$7:$C$141,A1063),MATCH(E1063,人物经验!$H$24:$H$573,1))</f>
        <v>387</v>
      </c>
      <c r="K1063" s="12">
        <f>IF([3]关卡对接!F1051="",INT(INDEX(人物经验!$J$24:$J$573,关卡!J1063)*关卡!$S$7),[3]关卡对接!F1051)</f>
        <v>16094</v>
      </c>
      <c r="L1063" s="12">
        <f t="shared" si="155"/>
        <v>2</v>
      </c>
      <c r="M1063" s="12">
        <f>L1063/[4]货币基础!$B$4</f>
        <v>200</v>
      </c>
      <c r="N1063" s="12">
        <f>IF(A1063&lt;[3]关卡对接!$A$4,INDEX([3]关卡对接!$E$7:$E$141,A1063),MATCH(E1063,人物经验!$H$24:$H$573,1))</f>
        <v>387</v>
      </c>
      <c r="O1063" s="12">
        <f>INDEX([2]关卡!$G$6:$G$2005,A1063)</f>
        <v>3</v>
      </c>
      <c r="P1063" s="13">
        <v>6</v>
      </c>
      <c r="Q1063" s="12">
        <f>INT(P1063/$S$15/O1063*VLOOKUP(J1063,[1]人物技能基础!$N$3:$O$553,2,0)*$U$15)</f>
        <v>9</v>
      </c>
      <c r="R1063" s="12">
        <f t="shared" si="156"/>
        <v>112</v>
      </c>
    </row>
    <row r="1064" spans="1:18" x14ac:dyDescent="0.15">
      <c r="A1064" s="12">
        <v>1046</v>
      </c>
      <c r="B1064" s="12">
        <f t="shared" si="153"/>
        <v>6</v>
      </c>
      <c r="C1064" s="12">
        <f t="shared" si="154"/>
        <v>1.48603</v>
      </c>
      <c r="D1064" s="12">
        <f t="shared" si="148"/>
        <v>3.3092499999999969E-2</v>
      </c>
      <c r="E1064" s="12">
        <f>SUM($D$19:D1064)</f>
        <v>16.686029999999985</v>
      </c>
      <c r="F1064" s="12">
        <f t="shared" si="151"/>
        <v>180.77492752255904</v>
      </c>
      <c r="G1064" s="12">
        <f t="shared" si="152"/>
        <v>126.89542086489503</v>
      </c>
      <c r="H1064" s="12">
        <f t="shared" si="149"/>
        <v>650700</v>
      </c>
      <c r="I1064" s="12">
        <f t="shared" si="150"/>
        <v>456800</v>
      </c>
      <c r="J1064" s="12">
        <f>IF(A1064&lt;[3]关卡对接!$A$4,INDEX([3]关卡对接!$C$7:$C$141,A1064),MATCH(E1064,人物经验!$H$24:$H$573,1))</f>
        <v>388</v>
      </c>
      <c r="K1064" s="12">
        <f>IF([3]关卡对接!F1052="",INT(INDEX(人物经验!$J$24:$J$573,关卡!J1064)*关卡!$S$7),[3]关卡对接!F1052)</f>
        <v>16234</v>
      </c>
      <c r="L1064" s="12">
        <f t="shared" si="155"/>
        <v>2</v>
      </c>
      <c r="M1064" s="12">
        <f>L1064/[4]货币基础!$B$4</f>
        <v>200</v>
      </c>
      <c r="N1064" s="12">
        <f>IF(A1064&lt;[3]关卡对接!$A$4,INDEX([3]关卡对接!$E$7:$E$141,A1064),MATCH(E1064,人物经验!$H$24:$H$573,1))</f>
        <v>388</v>
      </c>
      <c r="O1064" s="12">
        <f>INDEX([2]关卡!$G$6:$G$2005,A1064)</f>
        <v>3</v>
      </c>
      <c r="P1064" s="13">
        <v>6</v>
      </c>
      <c r="Q1064" s="12">
        <f>INT(P1064/$S$15/O1064*VLOOKUP(J1064,[1]人物技能基础!$N$3:$O$553,2,0)*$U$15)</f>
        <v>9</v>
      </c>
      <c r="R1064" s="12">
        <f t="shared" si="156"/>
        <v>112</v>
      </c>
    </row>
    <row r="1065" spans="1:18" x14ac:dyDescent="0.15">
      <c r="A1065" s="12">
        <v>1047</v>
      </c>
      <c r="B1065" s="12">
        <f t="shared" si="153"/>
        <v>6</v>
      </c>
      <c r="C1065" s="12">
        <f t="shared" si="154"/>
        <v>1.5191574999999999</v>
      </c>
      <c r="D1065" s="12">
        <f t="shared" si="148"/>
        <v>3.3127499999999976E-2</v>
      </c>
      <c r="E1065" s="12">
        <f>SUM($D$19:D1065)</f>
        <v>16.719157499999984</v>
      </c>
      <c r="F1065" s="12">
        <f t="shared" si="151"/>
        <v>181.1671055187949</v>
      </c>
      <c r="G1065" s="12">
        <f t="shared" si="152"/>
        <v>127.11273082560589</v>
      </c>
      <c r="H1065" s="12">
        <f t="shared" si="149"/>
        <v>652200</v>
      </c>
      <c r="I1065" s="12">
        <f t="shared" si="150"/>
        <v>457600</v>
      </c>
      <c r="J1065" s="12">
        <f>IF(A1065&lt;[3]关卡对接!$A$4,INDEX([3]关卡对接!$C$7:$C$141,A1065),MATCH(E1065,人物经验!$H$24:$H$573,1))</f>
        <v>388</v>
      </c>
      <c r="K1065" s="12">
        <f>IF([3]关卡对接!F1053="",INT(INDEX(人物经验!$J$24:$J$573,关卡!J1065)*关卡!$S$7),[3]关卡对接!F1053)</f>
        <v>16234</v>
      </c>
      <c r="L1065" s="12">
        <f t="shared" si="155"/>
        <v>2</v>
      </c>
      <c r="M1065" s="12">
        <f>L1065/[4]货币基础!$B$4</f>
        <v>200</v>
      </c>
      <c r="N1065" s="12">
        <f>IF(A1065&lt;[3]关卡对接!$A$4,INDEX([3]关卡对接!$E$7:$E$141,A1065),MATCH(E1065,人物经验!$H$24:$H$573,1))</f>
        <v>388</v>
      </c>
      <c r="O1065" s="12">
        <f>INDEX([2]关卡!$G$6:$G$2005,A1065)</f>
        <v>3</v>
      </c>
      <c r="P1065" s="13">
        <v>6</v>
      </c>
      <c r="Q1065" s="12">
        <f>INT(P1065/$S$15/O1065*VLOOKUP(J1065,[1]人物技能基础!$N$3:$O$553,2,0)*$U$15)</f>
        <v>9</v>
      </c>
      <c r="R1065" s="12">
        <f t="shared" si="156"/>
        <v>112</v>
      </c>
    </row>
    <row r="1066" spans="1:18" x14ac:dyDescent="0.15">
      <c r="A1066" s="12">
        <v>1048</v>
      </c>
      <c r="B1066" s="12">
        <f t="shared" si="153"/>
        <v>6</v>
      </c>
      <c r="C1066" s="12">
        <f t="shared" si="154"/>
        <v>1.5523199999999999</v>
      </c>
      <c r="D1066" s="12">
        <f t="shared" si="148"/>
        <v>3.3162499999999984E-2</v>
      </c>
      <c r="E1066" s="12">
        <f>SUM($D$19:D1066)</f>
        <v>16.752319999999983</v>
      </c>
      <c r="F1066" s="12">
        <f t="shared" si="151"/>
        <v>181.55994713062401</v>
      </c>
      <c r="G1066" s="12">
        <f t="shared" si="152"/>
        <v>127.33031167871999</v>
      </c>
      <c r="H1066" s="12">
        <f t="shared" si="149"/>
        <v>653600</v>
      </c>
      <c r="I1066" s="12">
        <f t="shared" si="150"/>
        <v>458300</v>
      </c>
      <c r="J1066" s="12">
        <f>IF(A1066&lt;[3]关卡对接!$A$4,INDEX([3]关卡对接!$C$7:$C$141,A1066),MATCH(E1066,人物经验!$H$24:$H$573,1))</f>
        <v>388</v>
      </c>
      <c r="K1066" s="12">
        <f>IF([3]关卡对接!F1054="",INT(INDEX(人物经验!$J$24:$J$573,关卡!J1066)*关卡!$S$7),[3]关卡对接!F1054)</f>
        <v>16234</v>
      </c>
      <c r="L1066" s="12">
        <f t="shared" si="155"/>
        <v>2</v>
      </c>
      <c r="M1066" s="12">
        <f>L1066/[4]货币基础!$B$4</f>
        <v>200</v>
      </c>
      <c r="N1066" s="12">
        <f>IF(A1066&lt;[3]关卡对接!$A$4,INDEX([3]关卡对接!$E$7:$E$141,A1066),MATCH(E1066,人物经验!$H$24:$H$573,1))</f>
        <v>388</v>
      </c>
      <c r="O1066" s="12">
        <f>INDEX([2]关卡!$G$6:$G$2005,A1066)</f>
        <v>3</v>
      </c>
      <c r="P1066" s="13">
        <v>6</v>
      </c>
      <c r="Q1066" s="12">
        <f>INT(P1066/$S$15/O1066*VLOOKUP(J1066,[1]人物技能基础!$N$3:$O$553,2,0)*$U$15)</f>
        <v>9</v>
      </c>
      <c r="R1066" s="12">
        <f t="shared" si="156"/>
        <v>112</v>
      </c>
    </row>
    <row r="1067" spans="1:18" x14ac:dyDescent="0.15">
      <c r="A1067" s="12">
        <v>1049</v>
      </c>
      <c r="B1067" s="12">
        <f t="shared" si="153"/>
        <v>6</v>
      </c>
      <c r="C1067" s="12">
        <f t="shared" si="154"/>
        <v>1.5855174999999999</v>
      </c>
      <c r="D1067" s="12">
        <f t="shared" si="148"/>
        <v>3.3197499999999991E-2</v>
      </c>
      <c r="E1067" s="12">
        <f>SUM($D$19:D1067)</f>
        <v>16.785517499999983</v>
      </c>
      <c r="F1067" s="12">
        <f t="shared" si="151"/>
        <v>181.95345320997495</v>
      </c>
      <c r="G1067" s="12">
        <f t="shared" si="152"/>
        <v>127.54816368600594</v>
      </c>
      <c r="H1067" s="12">
        <f t="shared" si="149"/>
        <v>655000</v>
      </c>
      <c r="I1067" s="12">
        <f t="shared" si="150"/>
        <v>459100</v>
      </c>
      <c r="J1067" s="12">
        <f>IF(A1067&lt;[3]关卡对接!$A$4,INDEX([3]关卡对接!$C$7:$C$141,A1067),MATCH(E1067,人物经验!$H$24:$H$573,1))</f>
        <v>388</v>
      </c>
      <c r="K1067" s="12">
        <f>IF([3]关卡对接!F1055="",INT(INDEX(人物经验!$J$24:$J$573,关卡!J1067)*关卡!$S$7),[3]关卡对接!F1055)</f>
        <v>16234</v>
      </c>
      <c r="L1067" s="12">
        <f t="shared" si="155"/>
        <v>2</v>
      </c>
      <c r="M1067" s="12">
        <f>L1067/[4]货币基础!$B$4</f>
        <v>200</v>
      </c>
      <c r="N1067" s="12">
        <f>IF(A1067&lt;[3]关卡对接!$A$4,INDEX([3]关卡对接!$E$7:$E$141,A1067),MATCH(E1067,人物经验!$H$24:$H$573,1))</f>
        <v>388</v>
      </c>
      <c r="O1067" s="12">
        <f>INDEX([2]关卡!$G$6:$G$2005,A1067)</f>
        <v>3</v>
      </c>
      <c r="P1067" s="13">
        <v>6</v>
      </c>
      <c r="Q1067" s="12">
        <f>INT(P1067/$S$15/O1067*VLOOKUP(J1067,[1]人物技能基础!$N$3:$O$553,2,0)*$U$15)</f>
        <v>9</v>
      </c>
      <c r="R1067" s="12">
        <f t="shared" si="156"/>
        <v>112</v>
      </c>
    </row>
    <row r="1068" spans="1:18" x14ac:dyDescent="0.15">
      <c r="A1068" s="12">
        <v>1050</v>
      </c>
      <c r="B1068" s="12">
        <f t="shared" si="153"/>
        <v>6</v>
      </c>
      <c r="C1068" s="12">
        <f t="shared" si="154"/>
        <v>1.6187500000000001</v>
      </c>
      <c r="D1068" s="12">
        <f t="shared" si="148"/>
        <v>3.323250000000022E-2</v>
      </c>
      <c r="E1068" s="12">
        <f>SUM($D$19:D1068)</f>
        <v>16.818749999999984</v>
      </c>
      <c r="F1068" s="12">
        <f t="shared" si="151"/>
        <v>182.34762460937503</v>
      </c>
      <c r="G1068" s="12">
        <f t="shared" si="152"/>
        <v>127.76628710937501</v>
      </c>
      <c r="H1068" s="12">
        <f t="shared" si="149"/>
        <v>656400</v>
      </c>
      <c r="I1068" s="12">
        <f t="shared" si="150"/>
        <v>459900</v>
      </c>
      <c r="J1068" s="12">
        <f>IF(A1068&lt;[3]关卡对接!$A$4,INDEX([3]关卡对接!$C$7:$C$141,A1068),MATCH(E1068,人物经验!$H$24:$H$573,1))</f>
        <v>388</v>
      </c>
      <c r="K1068" s="12">
        <f>IF([3]关卡对接!F1056="",INT(INDEX(人物经验!$J$24:$J$573,关卡!J1068)*关卡!$S$7),[3]关卡对接!F1056)</f>
        <v>16234</v>
      </c>
      <c r="L1068" s="12">
        <f t="shared" si="155"/>
        <v>2</v>
      </c>
      <c r="M1068" s="12">
        <f>L1068/[4]货币基础!$B$4</f>
        <v>200</v>
      </c>
      <c r="N1068" s="12">
        <f>IF(A1068&lt;[3]关卡对接!$A$4,INDEX([3]关卡对接!$E$7:$E$141,A1068),MATCH(E1068,人物经验!$H$24:$H$573,1))</f>
        <v>388</v>
      </c>
      <c r="O1068" s="12">
        <f>INDEX([2]关卡!$G$6:$G$2005,A1068)</f>
        <v>3</v>
      </c>
      <c r="P1068" s="13">
        <v>6</v>
      </c>
      <c r="Q1068" s="12">
        <f>INT(P1068/$S$15/O1068*VLOOKUP(J1068,[1]人物技能基础!$N$3:$O$553,2,0)*$U$15)</f>
        <v>9</v>
      </c>
      <c r="R1068" s="12">
        <f t="shared" si="156"/>
        <v>112</v>
      </c>
    </row>
    <row r="1069" spans="1:18" x14ac:dyDescent="0.15">
      <c r="A1069" s="12">
        <v>1051</v>
      </c>
      <c r="B1069" s="12">
        <f t="shared" si="153"/>
        <v>6</v>
      </c>
      <c r="C1069" s="12">
        <f t="shared" si="154"/>
        <v>1.6520174999999999</v>
      </c>
      <c r="D1069" s="12">
        <f t="shared" si="148"/>
        <v>3.3267499999999783E-2</v>
      </c>
      <c r="E1069" s="12">
        <f>SUM($D$19:D1069)</f>
        <v>16.852017499999985</v>
      </c>
      <c r="F1069" s="12">
        <f t="shared" si="151"/>
        <v>182.74246218194995</v>
      </c>
      <c r="G1069" s="12">
        <f t="shared" si="152"/>
        <v>127.98468221088092</v>
      </c>
      <c r="H1069" s="12">
        <f t="shared" si="149"/>
        <v>657800</v>
      </c>
      <c r="I1069" s="12">
        <f t="shared" si="150"/>
        <v>460700</v>
      </c>
      <c r="J1069" s="12">
        <f>IF(A1069&lt;[3]关卡对接!$A$4,INDEX([3]关卡对接!$C$7:$C$141,A1069),MATCH(E1069,人物经验!$H$24:$H$573,1))</f>
        <v>389</v>
      </c>
      <c r="K1069" s="12">
        <f>IF([3]关卡对接!F1057="",INT(INDEX(人物经验!$J$24:$J$573,关卡!J1069)*关卡!$S$7),[3]关卡对接!F1057)</f>
        <v>16411</v>
      </c>
      <c r="L1069" s="12">
        <f t="shared" si="155"/>
        <v>2</v>
      </c>
      <c r="M1069" s="12">
        <f>L1069/[4]货币基础!$B$4</f>
        <v>200</v>
      </c>
      <c r="N1069" s="12">
        <f>IF(A1069&lt;[3]关卡对接!$A$4,INDEX([3]关卡对接!$E$7:$E$141,A1069),MATCH(E1069,人物经验!$H$24:$H$573,1))</f>
        <v>389</v>
      </c>
      <c r="O1069" s="12">
        <f>INDEX([2]关卡!$G$6:$G$2005,A1069)</f>
        <v>3</v>
      </c>
      <c r="P1069" s="13">
        <v>6</v>
      </c>
      <c r="Q1069" s="12">
        <f>INT(P1069/$S$15/O1069*VLOOKUP(J1069,[1]人物技能基础!$N$3:$O$553,2,0)*$U$15)</f>
        <v>9</v>
      </c>
      <c r="R1069" s="12">
        <f t="shared" si="156"/>
        <v>112</v>
      </c>
    </row>
    <row r="1070" spans="1:18" x14ac:dyDescent="0.15">
      <c r="A1070" s="12">
        <v>1052</v>
      </c>
      <c r="B1070" s="12">
        <f t="shared" si="153"/>
        <v>6</v>
      </c>
      <c r="C1070" s="12">
        <f t="shared" si="154"/>
        <v>1.6853199999999999</v>
      </c>
      <c r="D1070" s="12">
        <f t="shared" si="148"/>
        <v>3.3302500000000013E-2</v>
      </c>
      <c r="E1070" s="12">
        <f>SUM($D$19:D1070)</f>
        <v>16.885319999999986</v>
      </c>
      <c r="F1070" s="12">
        <f t="shared" si="151"/>
        <v>183.13796678142401</v>
      </c>
      <c r="G1070" s="12">
        <f t="shared" si="152"/>
        <v>128.20334925272002</v>
      </c>
      <c r="H1070" s="12">
        <f t="shared" si="149"/>
        <v>659200</v>
      </c>
      <c r="I1070" s="12">
        <f t="shared" si="150"/>
        <v>461500</v>
      </c>
      <c r="J1070" s="12">
        <f>IF(A1070&lt;[3]关卡对接!$A$4,INDEX([3]关卡对接!$C$7:$C$141,A1070),MATCH(E1070,人物经验!$H$24:$H$573,1))</f>
        <v>389</v>
      </c>
      <c r="K1070" s="12">
        <f>IF([3]关卡对接!F1058="",INT(INDEX(人物经验!$J$24:$J$573,关卡!J1070)*关卡!$S$7),[3]关卡对接!F1058)</f>
        <v>16411</v>
      </c>
      <c r="L1070" s="12">
        <f t="shared" si="155"/>
        <v>2</v>
      </c>
      <c r="M1070" s="12">
        <f>L1070/[4]货币基础!$B$4</f>
        <v>200</v>
      </c>
      <c r="N1070" s="12">
        <f>IF(A1070&lt;[3]关卡对接!$A$4,INDEX([3]关卡对接!$E$7:$E$141,A1070),MATCH(E1070,人物经验!$H$24:$H$573,1))</f>
        <v>389</v>
      </c>
      <c r="O1070" s="12">
        <f>INDEX([2]关卡!$G$6:$G$2005,A1070)</f>
        <v>3</v>
      </c>
      <c r="P1070" s="13">
        <v>6</v>
      </c>
      <c r="Q1070" s="12">
        <f>INT(P1070/$S$15/O1070*VLOOKUP(J1070,[1]人物技能基础!$N$3:$O$553,2,0)*$U$15)</f>
        <v>9</v>
      </c>
      <c r="R1070" s="12">
        <f t="shared" si="156"/>
        <v>112</v>
      </c>
    </row>
    <row r="1071" spans="1:18" x14ac:dyDescent="0.15">
      <c r="A1071" s="12">
        <v>1053</v>
      </c>
      <c r="B1071" s="12">
        <f t="shared" si="153"/>
        <v>6</v>
      </c>
      <c r="C1071" s="12">
        <f t="shared" si="154"/>
        <v>1.7186575000000002</v>
      </c>
      <c r="D1071" s="12">
        <f t="shared" si="148"/>
        <v>3.3337500000000242E-2</v>
      </c>
      <c r="E1071" s="12">
        <f>SUM($D$19:D1071)</f>
        <v>16.918657499999988</v>
      </c>
      <c r="F1071" s="12">
        <f t="shared" si="151"/>
        <v>183.53413926211994</v>
      </c>
      <c r="G1071" s="12">
        <f t="shared" si="152"/>
        <v>128.42228849723091</v>
      </c>
      <c r="H1071" s="12">
        <f t="shared" si="149"/>
        <v>660700</v>
      </c>
      <c r="I1071" s="12">
        <f t="shared" si="150"/>
        <v>462300</v>
      </c>
      <c r="J1071" s="12">
        <f>IF(A1071&lt;[3]关卡对接!$A$4,INDEX([3]关卡对接!$C$7:$C$141,A1071),MATCH(E1071,人物经验!$H$24:$H$573,1))</f>
        <v>389</v>
      </c>
      <c r="K1071" s="12">
        <f>IF([3]关卡对接!F1059="",INT(INDEX(人物经验!$J$24:$J$573,关卡!J1071)*关卡!$S$7),[3]关卡对接!F1059)</f>
        <v>16411</v>
      </c>
      <c r="L1071" s="12">
        <f t="shared" si="155"/>
        <v>2</v>
      </c>
      <c r="M1071" s="12">
        <f>L1071/[4]货币基础!$B$4</f>
        <v>200</v>
      </c>
      <c r="N1071" s="12">
        <f>IF(A1071&lt;[3]关卡对接!$A$4,INDEX([3]关卡对接!$E$7:$E$141,A1071),MATCH(E1071,人物经验!$H$24:$H$573,1))</f>
        <v>389</v>
      </c>
      <c r="O1071" s="12">
        <f>INDEX([2]关卡!$G$6:$G$2005,A1071)</f>
        <v>3</v>
      </c>
      <c r="P1071" s="13">
        <v>6</v>
      </c>
      <c r="Q1071" s="12">
        <f>INT(P1071/$S$15/O1071*VLOOKUP(J1071,[1]人物技能基础!$N$3:$O$553,2,0)*$U$15)</f>
        <v>9</v>
      </c>
      <c r="R1071" s="12">
        <f t="shared" si="156"/>
        <v>112</v>
      </c>
    </row>
    <row r="1072" spans="1:18" x14ac:dyDescent="0.15">
      <c r="A1072" s="12">
        <v>1054</v>
      </c>
      <c r="B1072" s="12">
        <f t="shared" si="153"/>
        <v>6</v>
      </c>
      <c r="C1072" s="12">
        <f t="shared" si="154"/>
        <v>1.75203</v>
      </c>
      <c r="D1072" s="12">
        <f t="shared" si="148"/>
        <v>3.3372499999999805E-2</v>
      </c>
      <c r="E1072" s="12">
        <f>SUM($D$19:D1072)</f>
        <v>16.952029999999986</v>
      </c>
      <c r="F1072" s="12">
        <f t="shared" si="151"/>
        <v>183.93098047895901</v>
      </c>
      <c r="G1072" s="12">
        <f t="shared" si="152"/>
        <v>128.64150020689499</v>
      </c>
      <c r="H1072" s="12">
        <f t="shared" si="149"/>
        <v>662100</v>
      </c>
      <c r="I1072" s="12">
        <f t="shared" si="150"/>
        <v>463100</v>
      </c>
      <c r="J1072" s="12">
        <f>IF(A1072&lt;[3]关卡对接!$A$4,INDEX([3]关卡对接!$C$7:$C$141,A1072),MATCH(E1072,人物经验!$H$24:$H$573,1))</f>
        <v>389</v>
      </c>
      <c r="K1072" s="12">
        <f>IF([3]关卡对接!F1060="",INT(INDEX(人物经验!$J$24:$J$573,关卡!J1072)*关卡!$S$7),[3]关卡对接!F1060)</f>
        <v>16411</v>
      </c>
      <c r="L1072" s="12">
        <f t="shared" si="155"/>
        <v>2</v>
      </c>
      <c r="M1072" s="12">
        <f>L1072/[4]货币基础!$B$4</f>
        <v>200</v>
      </c>
      <c r="N1072" s="12">
        <f>IF(A1072&lt;[3]关卡对接!$A$4,INDEX([3]关卡对接!$E$7:$E$141,A1072),MATCH(E1072,人物经验!$H$24:$H$573,1))</f>
        <v>389</v>
      </c>
      <c r="O1072" s="12">
        <f>INDEX([2]关卡!$G$6:$G$2005,A1072)</f>
        <v>3</v>
      </c>
      <c r="P1072" s="13">
        <v>6</v>
      </c>
      <c r="Q1072" s="12">
        <f>INT(P1072/$S$15/O1072*VLOOKUP(J1072,[1]人物技能基础!$N$3:$O$553,2,0)*$U$15)</f>
        <v>9</v>
      </c>
      <c r="R1072" s="12">
        <f t="shared" si="156"/>
        <v>112</v>
      </c>
    </row>
    <row r="1073" spans="1:18" x14ac:dyDescent="0.15">
      <c r="A1073" s="12">
        <v>1055</v>
      </c>
      <c r="B1073" s="12">
        <f t="shared" si="153"/>
        <v>6</v>
      </c>
      <c r="C1073" s="12">
        <f t="shared" si="154"/>
        <v>1.7854375000000002</v>
      </c>
      <c r="D1073" s="12">
        <f t="shared" si="148"/>
        <v>3.3407500000000256E-2</v>
      </c>
      <c r="E1073" s="12">
        <f>SUM($D$19:D1073)</f>
        <v>16.985437499999986</v>
      </c>
      <c r="F1073" s="12">
        <f t="shared" si="151"/>
        <v>184.32849128746093</v>
      </c>
      <c r="G1073" s="12">
        <f t="shared" si="152"/>
        <v>128.86098464433593</v>
      </c>
      <c r="H1073" s="12">
        <f t="shared" si="149"/>
        <v>663500</v>
      </c>
      <c r="I1073" s="12">
        <f t="shared" si="150"/>
        <v>463800</v>
      </c>
      <c r="J1073" s="12">
        <f>IF(A1073&lt;[3]关卡对接!$A$4,INDEX([3]关卡对接!$C$7:$C$141,A1073),MATCH(E1073,人物经验!$H$24:$H$573,1))</f>
        <v>390</v>
      </c>
      <c r="K1073" s="12">
        <f>IF([3]关卡对接!F1061="",INT(INDEX(人物经验!$J$24:$J$573,关卡!J1073)*关卡!$S$7),[3]关卡对接!F1061)</f>
        <v>16553</v>
      </c>
      <c r="L1073" s="12">
        <f t="shared" si="155"/>
        <v>2</v>
      </c>
      <c r="M1073" s="12">
        <f>L1073/[4]货币基础!$B$4</f>
        <v>200</v>
      </c>
      <c r="N1073" s="12">
        <f>IF(A1073&lt;[3]关卡对接!$A$4,INDEX([3]关卡对接!$E$7:$E$141,A1073),MATCH(E1073,人物经验!$H$24:$H$573,1))</f>
        <v>390</v>
      </c>
      <c r="O1073" s="12">
        <f>INDEX([2]关卡!$G$6:$G$2005,A1073)</f>
        <v>3</v>
      </c>
      <c r="P1073" s="13">
        <v>6</v>
      </c>
      <c r="Q1073" s="12">
        <f>INT(P1073/$S$15/O1073*VLOOKUP(J1073,[1]人物技能基础!$N$3:$O$553,2,0)*$U$15)</f>
        <v>9</v>
      </c>
      <c r="R1073" s="12">
        <f t="shared" si="156"/>
        <v>112</v>
      </c>
    </row>
    <row r="1074" spans="1:18" x14ac:dyDescent="0.15">
      <c r="A1074" s="12">
        <v>1056</v>
      </c>
      <c r="B1074" s="12">
        <f t="shared" si="153"/>
        <v>6</v>
      </c>
      <c r="C1074" s="12">
        <f t="shared" si="154"/>
        <v>1.8188800000000005</v>
      </c>
      <c r="D1074" s="12">
        <f t="shared" si="148"/>
        <v>3.3442500000000264E-2</v>
      </c>
      <c r="E1074" s="12">
        <f>SUM($D$19:D1074)</f>
        <v>17.018879999999985</v>
      </c>
      <c r="F1074" s="12">
        <f t="shared" si="151"/>
        <v>184.726672543744</v>
      </c>
      <c r="G1074" s="12">
        <f t="shared" si="152"/>
        <v>129.08074207232002</v>
      </c>
      <c r="H1074" s="12">
        <f t="shared" si="149"/>
        <v>665000</v>
      </c>
      <c r="I1074" s="12">
        <f t="shared" si="150"/>
        <v>464600</v>
      </c>
      <c r="J1074" s="12">
        <f>IF(A1074&lt;[3]关卡对接!$A$4,INDEX([3]关卡对接!$C$7:$C$141,A1074),MATCH(E1074,人物经验!$H$24:$H$573,1))</f>
        <v>390</v>
      </c>
      <c r="K1074" s="12">
        <f>IF([3]关卡对接!F1062="",INT(INDEX(人物经验!$J$24:$J$573,关卡!J1074)*关卡!$S$7),[3]关卡对接!F1062)</f>
        <v>16553</v>
      </c>
      <c r="L1074" s="12">
        <f t="shared" si="155"/>
        <v>2</v>
      </c>
      <c r="M1074" s="12">
        <f>L1074/[4]货币基础!$B$4</f>
        <v>200</v>
      </c>
      <c r="N1074" s="12">
        <f>IF(A1074&lt;[3]关卡对接!$A$4,INDEX([3]关卡对接!$E$7:$E$141,A1074),MATCH(E1074,人物经验!$H$24:$H$573,1))</f>
        <v>390</v>
      </c>
      <c r="O1074" s="12">
        <f>INDEX([2]关卡!$G$6:$G$2005,A1074)</f>
        <v>3</v>
      </c>
      <c r="P1074" s="13">
        <v>6</v>
      </c>
      <c r="Q1074" s="12">
        <f>INT(P1074/$S$15/O1074*VLOOKUP(J1074,[1]人物技能基础!$N$3:$O$553,2,0)*$U$15)</f>
        <v>9</v>
      </c>
      <c r="R1074" s="12">
        <f t="shared" si="156"/>
        <v>112</v>
      </c>
    </row>
    <row r="1075" spans="1:18" x14ac:dyDescent="0.15">
      <c r="A1075" s="12">
        <v>1057</v>
      </c>
      <c r="B1075" s="12">
        <f t="shared" si="153"/>
        <v>6</v>
      </c>
      <c r="C1075" s="12">
        <f t="shared" si="154"/>
        <v>1.8523574999999999</v>
      </c>
      <c r="D1075" s="12">
        <f t="shared" si="148"/>
        <v>3.3477499999999383E-2</v>
      </c>
      <c r="E1075" s="12">
        <f>SUM($D$19:D1075)</f>
        <v>17.052357499999985</v>
      </c>
      <c r="F1075" s="12">
        <f t="shared" si="151"/>
        <v>185.12552510452494</v>
      </c>
      <c r="G1075" s="12">
        <f t="shared" si="152"/>
        <v>129.30077275375592</v>
      </c>
      <c r="H1075" s="12">
        <f t="shared" si="149"/>
        <v>666400</v>
      </c>
      <c r="I1075" s="12">
        <f t="shared" si="150"/>
        <v>465400</v>
      </c>
      <c r="J1075" s="12">
        <f>IF(A1075&lt;[3]关卡对接!$A$4,INDEX([3]关卡对接!$C$7:$C$141,A1075),MATCH(E1075,人物经验!$H$24:$H$573,1))</f>
        <v>390</v>
      </c>
      <c r="K1075" s="12">
        <f>IF([3]关卡对接!F1063="",INT(INDEX(人物经验!$J$24:$J$573,关卡!J1075)*关卡!$S$7),[3]关卡对接!F1063)</f>
        <v>16553</v>
      </c>
      <c r="L1075" s="12">
        <f t="shared" si="155"/>
        <v>2</v>
      </c>
      <c r="M1075" s="12">
        <f>L1075/[4]货币基础!$B$4</f>
        <v>200</v>
      </c>
      <c r="N1075" s="12">
        <f>IF(A1075&lt;[3]关卡对接!$A$4,INDEX([3]关卡对接!$E$7:$E$141,A1075),MATCH(E1075,人物经验!$H$24:$H$573,1))</f>
        <v>390</v>
      </c>
      <c r="O1075" s="12">
        <f>INDEX([2]关卡!$G$6:$G$2005,A1075)</f>
        <v>3</v>
      </c>
      <c r="P1075" s="13">
        <v>6</v>
      </c>
      <c r="Q1075" s="12">
        <f>INT(P1075/$S$15/O1075*VLOOKUP(J1075,[1]人物技能基础!$N$3:$O$553,2,0)*$U$15)</f>
        <v>9</v>
      </c>
      <c r="R1075" s="12">
        <f t="shared" si="156"/>
        <v>112</v>
      </c>
    </row>
    <row r="1076" spans="1:18" x14ac:dyDescent="0.15">
      <c r="A1076" s="12">
        <v>1058</v>
      </c>
      <c r="B1076" s="12">
        <f t="shared" si="153"/>
        <v>6</v>
      </c>
      <c r="C1076" s="12">
        <f t="shared" si="154"/>
        <v>1.8858699999999999</v>
      </c>
      <c r="D1076" s="12">
        <f t="shared" si="148"/>
        <v>3.3512500000000056E-2</v>
      </c>
      <c r="E1076" s="12">
        <f>SUM($D$19:D1076)</f>
        <v>17.085869999999986</v>
      </c>
      <c r="F1076" s="12">
        <f t="shared" si="151"/>
        <v>185.52504982711898</v>
      </c>
      <c r="G1076" s="12">
        <f t="shared" si="152"/>
        <v>129.52107695169499</v>
      </c>
      <c r="H1076" s="12">
        <f t="shared" si="149"/>
        <v>667800</v>
      </c>
      <c r="I1076" s="12">
        <f t="shared" si="150"/>
        <v>466200</v>
      </c>
      <c r="J1076" s="12">
        <f>IF(A1076&lt;[3]关卡对接!$A$4,INDEX([3]关卡对接!$C$7:$C$141,A1076),MATCH(E1076,人物经验!$H$24:$H$573,1))</f>
        <v>390</v>
      </c>
      <c r="K1076" s="12">
        <f>IF([3]关卡对接!F1064="",INT(INDEX(人物经验!$J$24:$J$573,关卡!J1076)*关卡!$S$7),[3]关卡对接!F1064)</f>
        <v>16553</v>
      </c>
      <c r="L1076" s="12">
        <f t="shared" si="155"/>
        <v>2</v>
      </c>
      <c r="M1076" s="12">
        <f>L1076/[4]货币基础!$B$4</f>
        <v>200</v>
      </c>
      <c r="N1076" s="12">
        <f>IF(A1076&lt;[3]关卡对接!$A$4,INDEX([3]关卡对接!$E$7:$E$141,A1076),MATCH(E1076,人物经验!$H$24:$H$573,1))</f>
        <v>390</v>
      </c>
      <c r="O1076" s="12">
        <f>INDEX([2]关卡!$G$6:$G$2005,A1076)</f>
        <v>3</v>
      </c>
      <c r="P1076" s="13">
        <v>6</v>
      </c>
      <c r="Q1076" s="12">
        <f>INT(P1076/$S$15/O1076*VLOOKUP(J1076,[1]人物技能基础!$N$3:$O$553,2,0)*$U$15)</f>
        <v>9</v>
      </c>
      <c r="R1076" s="12">
        <f t="shared" si="156"/>
        <v>112</v>
      </c>
    </row>
    <row r="1077" spans="1:18" x14ac:dyDescent="0.15">
      <c r="A1077" s="12">
        <v>1059</v>
      </c>
      <c r="B1077" s="12">
        <f t="shared" si="153"/>
        <v>6</v>
      </c>
      <c r="C1077" s="12">
        <f t="shared" si="154"/>
        <v>1.9194175000000002</v>
      </c>
      <c r="D1077" s="12">
        <f t="shared" si="148"/>
        <v>3.3547500000000285E-2</v>
      </c>
      <c r="E1077" s="12">
        <f>SUM($D$19:D1077)</f>
        <v>17.119417499999987</v>
      </c>
      <c r="F1077" s="12">
        <f t="shared" si="151"/>
        <v>185.92524756943993</v>
      </c>
      <c r="G1077" s="12">
        <f t="shared" si="152"/>
        <v>129.74165492933093</v>
      </c>
      <c r="H1077" s="12">
        <f t="shared" si="149"/>
        <v>669300</v>
      </c>
      <c r="I1077" s="12">
        <f t="shared" si="150"/>
        <v>467000</v>
      </c>
      <c r="J1077" s="12">
        <f>IF(A1077&lt;[3]关卡对接!$A$4,INDEX([3]关卡对接!$C$7:$C$141,A1077),MATCH(E1077,人物经验!$H$24:$H$573,1))</f>
        <v>391</v>
      </c>
      <c r="K1077" s="12">
        <f>IF([3]关卡对接!F1065="",INT(INDEX(人物经验!$J$24:$J$573,关卡!J1077)*关卡!$S$7),[3]关卡对接!F1065)</f>
        <v>16697</v>
      </c>
      <c r="L1077" s="12">
        <f t="shared" si="155"/>
        <v>2</v>
      </c>
      <c r="M1077" s="12">
        <f>L1077/[4]货币基础!$B$4</f>
        <v>200</v>
      </c>
      <c r="N1077" s="12">
        <f>IF(A1077&lt;[3]关卡对接!$A$4,INDEX([3]关卡对接!$E$7:$E$141,A1077),MATCH(E1077,人物经验!$H$24:$H$573,1))</f>
        <v>391</v>
      </c>
      <c r="O1077" s="12">
        <f>INDEX([2]关卡!$G$6:$G$2005,A1077)</f>
        <v>3</v>
      </c>
      <c r="P1077" s="13">
        <v>6</v>
      </c>
      <c r="Q1077" s="12">
        <f>INT(P1077/$S$15/O1077*VLOOKUP(J1077,[1]人物技能基础!$N$3:$O$553,2,0)*$U$15)</f>
        <v>9</v>
      </c>
      <c r="R1077" s="12">
        <f t="shared" si="156"/>
        <v>112</v>
      </c>
    </row>
    <row r="1078" spans="1:18" x14ac:dyDescent="0.15">
      <c r="A1078" s="12">
        <v>1060</v>
      </c>
      <c r="B1078" s="12">
        <f t="shared" si="153"/>
        <v>6</v>
      </c>
      <c r="C1078" s="12">
        <f t="shared" si="154"/>
        <v>1.9530000000000003</v>
      </c>
      <c r="D1078" s="12">
        <f t="shared" si="148"/>
        <v>3.3582500000000071E-2</v>
      </c>
      <c r="E1078" s="12">
        <f>SUM($D$19:D1078)</f>
        <v>17.152999999999988</v>
      </c>
      <c r="F1078" s="12">
        <f t="shared" si="151"/>
        <v>186.32611919000001</v>
      </c>
      <c r="G1078" s="12">
        <f t="shared" si="152"/>
        <v>129.96250695000001</v>
      </c>
      <c r="H1078" s="12">
        <f t="shared" si="149"/>
        <v>670700</v>
      </c>
      <c r="I1078" s="12">
        <f t="shared" si="150"/>
        <v>467800</v>
      </c>
      <c r="J1078" s="12">
        <f>IF(A1078&lt;[3]关卡对接!$A$4,INDEX([3]关卡对接!$C$7:$C$141,A1078),MATCH(E1078,人物经验!$H$24:$H$573,1))</f>
        <v>391</v>
      </c>
      <c r="K1078" s="12">
        <f>IF([3]关卡对接!F1066="",INT(INDEX(人物经验!$J$24:$J$573,关卡!J1078)*关卡!$S$7),[3]关卡对接!F1066)</f>
        <v>16697</v>
      </c>
      <c r="L1078" s="12">
        <f t="shared" si="155"/>
        <v>2</v>
      </c>
      <c r="M1078" s="12">
        <f>L1078/[4]货币基础!$B$4</f>
        <v>200</v>
      </c>
      <c r="N1078" s="12">
        <f>IF(A1078&lt;[3]关卡对接!$A$4,INDEX([3]关卡对接!$E$7:$E$141,A1078),MATCH(E1078,人物经验!$H$24:$H$573,1))</f>
        <v>391</v>
      </c>
      <c r="O1078" s="12">
        <f>INDEX([2]关卡!$G$6:$G$2005,A1078)</f>
        <v>3</v>
      </c>
      <c r="P1078" s="13">
        <v>6</v>
      </c>
      <c r="Q1078" s="12">
        <f>INT(P1078/$S$15/O1078*VLOOKUP(J1078,[1]人物技能基础!$N$3:$O$553,2,0)*$U$15)</f>
        <v>9</v>
      </c>
      <c r="R1078" s="12">
        <f t="shared" si="156"/>
        <v>112</v>
      </c>
    </row>
    <row r="1079" spans="1:18" x14ac:dyDescent="0.15">
      <c r="A1079" s="12">
        <v>1061</v>
      </c>
      <c r="B1079" s="12">
        <f t="shared" si="153"/>
        <v>6</v>
      </c>
      <c r="C1079" s="12">
        <f t="shared" si="154"/>
        <v>1.9866175000000001</v>
      </c>
      <c r="D1079" s="12">
        <f t="shared" si="148"/>
        <v>3.3617499999999856E-2</v>
      </c>
      <c r="E1079" s="12">
        <f>SUM($D$19:D1079)</f>
        <v>17.186617499999986</v>
      </c>
      <c r="F1079" s="12">
        <f t="shared" si="151"/>
        <v>186.72766554790994</v>
      </c>
      <c r="G1079" s="12">
        <f t="shared" si="152"/>
        <v>130.18363327718095</v>
      </c>
      <c r="H1079" s="12">
        <f t="shared" si="149"/>
        <v>672200</v>
      </c>
      <c r="I1079" s="12">
        <f t="shared" si="150"/>
        <v>468600</v>
      </c>
      <c r="J1079" s="12">
        <f>IF(A1079&lt;[3]关卡对接!$A$4,INDEX([3]关卡对接!$C$7:$C$141,A1079),MATCH(E1079,人物经验!$H$24:$H$573,1))</f>
        <v>391</v>
      </c>
      <c r="K1079" s="12">
        <f>IF([3]关卡对接!F1067="",INT(INDEX(人物经验!$J$24:$J$573,关卡!J1079)*关卡!$S$7),[3]关卡对接!F1067)</f>
        <v>16697</v>
      </c>
      <c r="L1079" s="12">
        <f t="shared" si="155"/>
        <v>2</v>
      </c>
      <c r="M1079" s="12">
        <f>L1079/[4]货币基础!$B$4</f>
        <v>200</v>
      </c>
      <c r="N1079" s="12">
        <f>IF(A1079&lt;[3]关卡对接!$A$4,INDEX([3]关卡对接!$E$7:$E$141,A1079),MATCH(E1079,人物经验!$H$24:$H$573,1))</f>
        <v>391</v>
      </c>
      <c r="O1079" s="12">
        <f>INDEX([2]关卡!$G$6:$G$2005,A1079)</f>
        <v>3</v>
      </c>
      <c r="P1079" s="13">
        <v>6</v>
      </c>
      <c r="Q1079" s="12">
        <f>INT(P1079/$S$15/O1079*VLOOKUP(J1079,[1]人物技能基础!$N$3:$O$553,2,0)*$U$15)</f>
        <v>9</v>
      </c>
      <c r="R1079" s="12">
        <f t="shared" si="156"/>
        <v>112</v>
      </c>
    </row>
    <row r="1080" spans="1:18" x14ac:dyDescent="0.15">
      <c r="A1080" s="12">
        <v>1062</v>
      </c>
      <c r="B1080" s="12">
        <f t="shared" si="153"/>
        <v>6</v>
      </c>
      <c r="C1080" s="12">
        <f t="shared" si="154"/>
        <v>2.02027</v>
      </c>
      <c r="D1080" s="12">
        <f t="shared" si="148"/>
        <v>3.3652499999999863E-2</v>
      </c>
      <c r="E1080" s="12">
        <f>SUM($D$19:D1080)</f>
        <v>17.220269999999985</v>
      </c>
      <c r="F1080" s="12">
        <f t="shared" si="151"/>
        <v>187.129887502879</v>
      </c>
      <c r="G1080" s="12">
        <f t="shared" si="152"/>
        <v>130.405034174495</v>
      </c>
      <c r="H1080" s="12">
        <f t="shared" si="149"/>
        <v>673600</v>
      </c>
      <c r="I1080" s="12">
        <f t="shared" si="150"/>
        <v>469400</v>
      </c>
      <c r="J1080" s="12">
        <f>IF(A1080&lt;[3]关卡对接!$A$4,INDEX([3]关卡对接!$C$7:$C$141,A1080),MATCH(E1080,人物经验!$H$24:$H$573,1))</f>
        <v>391</v>
      </c>
      <c r="K1080" s="12">
        <f>IF([3]关卡对接!F1068="",INT(INDEX(人物经验!$J$24:$J$573,关卡!J1080)*关卡!$S$7),[3]关卡对接!F1068)</f>
        <v>16697</v>
      </c>
      <c r="L1080" s="12">
        <f t="shared" si="155"/>
        <v>2</v>
      </c>
      <c r="M1080" s="12">
        <f>L1080/[4]货币基础!$B$4</f>
        <v>200</v>
      </c>
      <c r="N1080" s="12">
        <f>IF(A1080&lt;[3]关卡对接!$A$4,INDEX([3]关卡对接!$E$7:$E$141,A1080),MATCH(E1080,人物经验!$H$24:$H$573,1))</f>
        <v>391</v>
      </c>
      <c r="O1080" s="12">
        <f>INDEX([2]关卡!$G$6:$G$2005,A1080)</f>
        <v>3</v>
      </c>
      <c r="P1080" s="13">
        <v>6</v>
      </c>
      <c r="Q1080" s="12">
        <f>INT(P1080/$S$15/O1080*VLOOKUP(J1080,[1]人物技能基础!$N$3:$O$553,2,0)*$U$15)</f>
        <v>9</v>
      </c>
      <c r="R1080" s="12">
        <f t="shared" si="156"/>
        <v>112</v>
      </c>
    </row>
    <row r="1081" spans="1:18" x14ac:dyDescent="0.15">
      <c r="A1081" s="12">
        <v>1063</v>
      </c>
      <c r="B1081" s="12">
        <f t="shared" si="153"/>
        <v>6</v>
      </c>
      <c r="C1081" s="12">
        <f t="shared" si="154"/>
        <v>2.0539575000000001</v>
      </c>
      <c r="D1081" s="12">
        <f t="shared" si="148"/>
        <v>3.3687500000000092E-2</v>
      </c>
      <c r="E1081" s="12">
        <f>SUM($D$19:D1081)</f>
        <v>17.253957499999984</v>
      </c>
      <c r="F1081" s="12">
        <f t="shared" si="151"/>
        <v>187.5327859152149</v>
      </c>
      <c r="G1081" s="12">
        <f t="shared" si="152"/>
        <v>130.62670990570589</v>
      </c>
      <c r="H1081" s="12">
        <f t="shared" si="149"/>
        <v>675100</v>
      </c>
      <c r="I1081" s="12">
        <f t="shared" si="150"/>
        <v>470200</v>
      </c>
      <c r="J1081" s="12">
        <f>IF(A1081&lt;[3]关卡对接!$A$4,INDEX([3]关卡对接!$C$7:$C$141,A1081),MATCH(E1081,人物经验!$H$24:$H$573,1))</f>
        <v>392</v>
      </c>
      <c r="K1081" s="12">
        <f>IF([3]关卡对接!F1069="",INT(INDEX(人物经验!$J$24:$J$573,关卡!J1081)*关卡!$S$7),[3]关卡对接!F1069)</f>
        <v>16841</v>
      </c>
      <c r="L1081" s="12">
        <f t="shared" si="155"/>
        <v>2</v>
      </c>
      <c r="M1081" s="12">
        <f>L1081/[4]货币基础!$B$4</f>
        <v>200</v>
      </c>
      <c r="N1081" s="12">
        <f>IF(A1081&lt;[3]关卡对接!$A$4,INDEX([3]关卡对接!$E$7:$E$141,A1081),MATCH(E1081,人物经验!$H$24:$H$573,1))</f>
        <v>392</v>
      </c>
      <c r="O1081" s="12">
        <f>INDEX([2]关卡!$G$6:$G$2005,A1081)</f>
        <v>3</v>
      </c>
      <c r="P1081" s="13">
        <v>6</v>
      </c>
      <c r="Q1081" s="12">
        <f>INT(P1081/$S$15/O1081*VLOOKUP(J1081,[1]人物技能基础!$N$3:$O$553,2,0)*$U$15)</f>
        <v>9</v>
      </c>
      <c r="R1081" s="12">
        <f t="shared" si="156"/>
        <v>112</v>
      </c>
    </row>
    <row r="1082" spans="1:18" x14ac:dyDescent="0.15">
      <c r="A1082" s="12">
        <v>1064</v>
      </c>
      <c r="B1082" s="12">
        <f t="shared" si="153"/>
        <v>6</v>
      </c>
      <c r="C1082" s="12">
        <f t="shared" si="154"/>
        <v>2.0876800000000006</v>
      </c>
      <c r="D1082" s="12">
        <f t="shared" si="148"/>
        <v>3.3722500000000544E-2</v>
      </c>
      <c r="E1082" s="12">
        <f>SUM($D$19:D1082)</f>
        <v>17.287679999999984</v>
      </c>
      <c r="F1082" s="12">
        <f t="shared" si="151"/>
        <v>187.93636164582406</v>
      </c>
      <c r="G1082" s="12">
        <f t="shared" si="152"/>
        <v>130.84866073472</v>
      </c>
      <c r="H1082" s="12">
        <f t="shared" si="149"/>
        <v>676500</v>
      </c>
      <c r="I1082" s="12">
        <f t="shared" si="150"/>
        <v>471000</v>
      </c>
      <c r="J1082" s="12">
        <f>IF(A1082&lt;[3]关卡对接!$A$4,INDEX([3]关卡对接!$C$7:$C$141,A1082),MATCH(E1082,人物经验!$H$24:$H$573,1))</f>
        <v>392</v>
      </c>
      <c r="K1082" s="12">
        <f>IF([3]关卡对接!F1070="",INT(INDEX(人物经验!$J$24:$J$573,关卡!J1082)*关卡!$S$7),[3]关卡对接!F1070)</f>
        <v>16841</v>
      </c>
      <c r="L1082" s="12">
        <f t="shared" si="155"/>
        <v>2</v>
      </c>
      <c r="M1082" s="12">
        <f>L1082/[4]货币基础!$B$4</f>
        <v>200</v>
      </c>
      <c r="N1082" s="12">
        <f>IF(A1082&lt;[3]关卡对接!$A$4,INDEX([3]关卡对接!$E$7:$E$141,A1082),MATCH(E1082,人物经验!$H$24:$H$573,1))</f>
        <v>392</v>
      </c>
      <c r="O1082" s="12">
        <f>INDEX([2]关卡!$G$6:$G$2005,A1082)</f>
        <v>3</v>
      </c>
      <c r="P1082" s="13">
        <v>6</v>
      </c>
      <c r="Q1082" s="12">
        <f>INT(P1082/$S$15/O1082*VLOOKUP(J1082,[1]人物技能基础!$N$3:$O$553,2,0)*$U$15)</f>
        <v>9</v>
      </c>
      <c r="R1082" s="12">
        <f t="shared" si="156"/>
        <v>112</v>
      </c>
    </row>
    <row r="1083" spans="1:18" x14ac:dyDescent="0.15">
      <c r="A1083" s="12">
        <v>1065</v>
      </c>
      <c r="B1083" s="12">
        <f t="shared" si="153"/>
        <v>6</v>
      </c>
      <c r="C1083" s="12">
        <f t="shared" si="154"/>
        <v>2.1214374999999999</v>
      </c>
      <c r="D1083" s="12">
        <f t="shared" ref="D1083:D1146" si="157">IF(ISNA(MATCH(A1083,$A$6:$A$15,0)),C1083-C1082,C1083)</f>
        <v>3.3757499999999219E-2</v>
      </c>
      <c r="E1083" s="12">
        <f>SUM($D$19:D1083)</f>
        <v>17.321437499999984</v>
      </c>
      <c r="F1083" s="12">
        <f t="shared" si="151"/>
        <v>188.34061555621091</v>
      </c>
      <c r="G1083" s="12">
        <f t="shared" si="152"/>
        <v>131.07088692558591</v>
      </c>
      <c r="H1083" s="12">
        <f t="shared" ref="H1083:H1146" si="158">INT(F1083*60*60/100)*100</f>
        <v>678000</v>
      </c>
      <c r="I1083" s="12">
        <f t="shared" ref="I1083:I1146" si="159">INT(G1083*60*60/100)*100</f>
        <v>471800</v>
      </c>
      <c r="J1083" s="12">
        <f>IF(A1083&lt;[3]关卡对接!$A$4,INDEX([3]关卡对接!$C$7:$C$141,A1083),MATCH(E1083,人物经验!$H$24:$H$573,1))</f>
        <v>392</v>
      </c>
      <c r="K1083" s="12">
        <f>IF([3]关卡对接!F1071="",INT(INDEX(人物经验!$J$24:$J$573,关卡!J1083)*关卡!$S$7),[3]关卡对接!F1071)</f>
        <v>16841</v>
      </c>
      <c r="L1083" s="12">
        <f t="shared" si="155"/>
        <v>2</v>
      </c>
      <c r="M1083" s="12">
        <f>L1083/[4]货币基础!$B$4</f>
        <v>200</v>
      </c>
      <c r="N1083" s="12">
        <f>IF(A1083&lt;[3]关卡对接!$A$4,INDEX([3]关卡对接!$E$7:$E$141,A1083),MATCH(E1083,人物经验!$H$24:$H$573,1))</f>
        <v>392</v>
      </c>
      <c r="O1083" s="12">
        <f>INDEX([2]关卡!$G$6:$G$2005,A1083)</f>
        <v>3</v>
      </c>
      <c r="P1083" s="13">
        <v>6</v>
      </c>
      <c r="Q1083" s="12">
        <f>INT(P1083/$S$15/O1083*VLOOKUP(J1083,[1]人物技能基础!$N$3:$O$553,2,0)*$U$15)</f>
        <v>9</v>
      </c>
      <c r="R1083" s="12">
        <f t="shared" si="156"/>
        <v>112</v>
      </c>
    </row>
    <row r="1084" spans="1:18" x14ac:dyDescent="0.15">
      <c r="A1084" s="12">
        <v>1066</v>
      </c>
      <c r="B1084" s="12">
        <f t="shared" si="153"/>
        <v>6</v>
      </c>
      <c r="C1084" s="12">
        <f t="shared" si="154"/>
        <v>2.1552300000000004</v>
      </c>
      <c r="D1084" s="12">
        <f t="shared" si="157"/>
        <v>3.3792500000000558E-2</v>
      </c>
      <c r="E1084" s="12">
        <f>SUM($D$19:D1084)</f>
        <v>17.355229999999985</v>
      </c>
      <c r="F1084" s="12">
        <f t="shared" si="151"/>
        <v>188.74554850847903</v>
      </c>
      <c r="G1084" s="12">
        <f t="shared" si="152"/>
        <v>131.29338874249501</v>
      </c>
      <c r="H1084" s="12">
        <f t="shared" si="158"/>
        <v>679400</v>
      </c>
      <c r="I1084" s="12">
        <f t="shared" si="159"/>
        <v>472600</v>
      </c>
      <c r="J1084" s="12">
        <f>IF(A1084&lt;[3]关卡对接!$A$4,INDEX([3]关卡对接!$C$7:$C$141,A1084),MATCH(E1084,人物经验!$H$24:$H$573,1))</f>
        <v>392</v>
      </c>
      <c r="K1084" s="12">
        <f>IF([3]关卡对接!F1072="",INT(INDEX(人物经验!$J$24:$J$573,关卡!J1084)*关卡!$S$7),[3]关卡对接!F1072)</f>
        <v>16841</v>
      </c>
      <c r="L1084" s="12">
        <f t="shared" si="155"/>
        <v>2</v>
      </c>
      <c r="M1084" s="12">
        <f>L1084/[4]货币基础!$B$4</f>
        <v>200</v>
      </c>
      <c r="N1084" s="12">
        <f>IF(A1084&lt;[3]关卡对接!$A$4,INDEX([3]关卡对接!$E$7:$E$141,A1084),MATCH(E1084,人物经验!$H$24:$H$573,1))</f>
        <v>392</v>
      </c>
      <c r="O1084" s="12">
        <f>INDEX([2]关卡!$G$6:$G$2005,A1084)</f>
        <v>3</v>
      </c>
      <c r="P1084" s="13">
        <v>6</v>
      </c>
      <c r="Q1084" s="12">
        <f>INT(P1084/$S$15/O1084*VLOOKUP(J1084,[1]人物技能基础!$N$3:$O$553,2,0)*$U$15)</f>
        <v>9</v>
      </c>
      <c r="R1084" s="12">
        <f t="shared" si="156"/>
        <v>112</v>
      </c>
    </row>
    <row r="1085" spans="1:18" x14ac:dyDescent="0.15">
      <c r="A1085" s="12">
        <v>1067</v>
      </c>
      <c r="B1085" s="12">
        <f t="shared" si="153"/>
        <v>6</v>
      </c>
      <c r="C1085" s="12">
        <f t="shared" si="154"/>
        <v>2.1890575000000005</v>
      </c>
      <c r="D1085" s="12">
        <f t="shared" si="157"/>
        <v>3.3827500000000121E-2</v>
      </c>
      <c r="E1085" s="12">
        <f>SUM($D$19:D1085)</f>
        <v>17.389057499999986</v>
      </c>
      <c r="F1085" s="12">
        <f t="shared" si="151"/>
        <v>189.15116136532993</v>
      </c>
      <c r="G1085" s="12">
        <f t="shared" si="152"/>
        <v>131.51616644978091</v>
      </c>
      <c r="H1085" s="12">
        <f t="shared" si="158"/>
        <v>680900</v>
      </c>
      <c r="I1085" s="12">
        <f t="shared" si="159"/>
        <v>473400</v>
      </c>
      <c r="J1085" s="12">
        <f>IF(A1085&lt;[3]关卡对接!$A$4,INDEX([3]关卡对接!$C$7:$C$141,A1085),MATCH(E1085,人物经验!$H$24:$H$573,1))</f>
        <v>393</v>
      </c>
      <c r="K1085" s="12">
        <f>IF([3]关卡对接!F1073="",INT(INDEX(人物经验!$J$24:$J$573,关卡!J1085)*关卡!$S$7),[3]关卡对接!F1073)</f>
        <v>16987</v>
      </c>
      <c r="L1085" s="12">
        <f t="shared" si="155"/>
        <v>2</v>
      </c>
      <c r="M1085" s="12">
        <f>L1085/[4]货币基础!$B$4</f>
        <v>200</v>
      </c>
      <c r="N1085" s="12">
        <f>IF(A1085&lt;[3]关卡对接!$A$4,INDEX([3]关卡对接!$E$7:$E$141,A1085),MATCH(E1085,人物经验!$H$24:$H$573,1))</f>
        <v>393</v>
      </c>
      <c r="O1085" s="12">
        <f>INDEX([2]关卡!$G$6:$G$2005,A1085)</f>
        <v>3</v>
      </c>
      <c r="P1085" s="13">
        <v>6</v>
      </c>
      <c r="Q1085" s="12">
        <f>INT(P1085/$S$15/O1085*VLOOKUP(J1085,[1]人物技能基础!$N$3:$O$553,2,0)*$U$15)</f>
        <v>9</v>
      </c>
      <c r="R1085" s="12">
        <f t="shared" si="156"/>
        <v>112</v>
      </c>
    </row>
    <row r="1086" spans="1:18" x14ac:dyDescent="0.15">
      <c r="A1086" s="12">
        <v>1068</v>
      </c>
      <c r="B1086" s="12">
        <f t="shared" si="153"/>
        <v>6</v>
      </c>
      <c r="C1086" s="12">
        <f t="shared" si="154"/>
        <v>2.2229200000000002</v>
      </c>
      <c r="D1086" s="12">
        <f t="shared" si="157"/>
        <v>3.3862499999999685E-2</v>
      </c>
      <c r="E1086" s="12">
        <f>SUM($D$19:D1086)</f>
        <v>17.422919999999984</v>
      </c>
      <c r="F1086" s="12">
        <f t="shared" si="151"/>
        <v>189.55745499006403</v>
      </c>
      <c r="G1086" s="12">
        <f t="shared" si="152"/>
        <v>131.73922031191998</v>
      </c>
      <c r="H1086" s="12">
        <f t="shared" si="158"/>
        <v>682400</v>
      </c>
      <c r="I1086" s="12">
        <f t="shared" si="159"/>
        <v>474200</v>
      </c>
      <c r="J1086" s="12">
        <f>IF(A1086&lt;[3]关卡对接!$A$4,INDEX([3]关卡对接!$C$7:$C$141,A1086),MATCH(E1086,人物经验!$H$24:$H$573,1))</f>
        <v>393</v>
      </c>
      <c r="K1086" s="12">
        <f>IF([3]关卡对接!F1074="",INT(INDEX(人物经验!$J$24:$J$573,关卡!J1086)*关卡!$S$7),[3]关卡对接!F1074)</f>
        <v>16987</v>
      </c>
      <c r="L1086" s="12">
        <f t="shared" si="155"/>
        <v>2</v>
      </c>
      <c r="M1086" s="12">
        <f>L1086/[4]货币基础!$B$4</f>
        <v>200</v>
      </c>
      <c r="N1086" s="12">
        <f>IF(A1086&lt;[3]关卡对接!$A$4,INDEX([3]关卡对接!$E$7:$E$141,A1086),MATCH(E1086,人物经验!$H$24:$H$573,1))</f>
        <v>393</v>
      </c>
      <c r="O1086" s="12">
        <f>INDEX([2]关卡!$G$6:$G$2005,A1086)</f>
        <v>3</v>
      </c>
      <c r="P1086" s="13">
        <v>6</v>
      </c>
      <c r="Q1086" s="12">
        <f>INT(P1086/$S$15/O1086*VLOOKUP(J1086,[1]人物技能基础!$N$3:$O$553,2,0)*$U$15)</f>
        <v>9</v>
      </c>
      <c r="R1086" s="12">
        <f t="shared" si="156"/>
        <v>112</v>
      </c>
    </row>
    <row r="1087" spans="1:18" x14ac:dyDescent="0.15">
      <c r="A1087" s="12">
        <v>1069</v>
      </c>
      <c r="B1087" s="12">
        <f t="shared" si="153"/>
        <v>6</v>
      </c>
      <c r="C1087" s="12">
        <f t="shared" si="154"/>
        <v>2.2568174999999999</v>
      </c>
      <c r="D1087" s="12">
        <f t="shared" si="157"/>
        <v>3.3897499999999692E-2</v>
      </c>
      <c r="E1087" s="12">
        <f>SUM($D$19:D1087)</f>
        <v>17.456817499999982</v>
      </c>
      <c r="F1087" s="12">
        <f t="shared" si="151"/>
        <v>189.96443024657995</v>
      </c>
      <c r="G1087" s="12">
        <f t="shared" si="152"/>
        <v>131.96255059353092</v>
      </c>
      <c r="H1087" s="12">
        <f t="shared" si="158"/>
        <v>683800</v>
      </c>
      <c r="I1087" s="12">
        <f t="shared" si="159"/>
        <v>475000</v>
      </c>
      <c r="J1087" s="12">
        <f>IF(A1087&lt;[3]关卡对接!$A$4,INDEX([3]关卡对接!$C$7:$C$141,A1087),MATCH(E1087,人物经验!$H$24:$H$573,1))</f>
        <v>393</v>
      </c>
      <c r="K1087" s="12">
        <f>IF([3]关卡对接!F1075="",INT(INDEX(人物经验!$J$24:$J$573,关卡!J1087)*关卡!$S$7),[3]关卡对接!F1075)</f>
        <v>16987</v>
      </c>
      <c r="L1087" s="12">
        <f t="shared" si="155"/>
        <v>2</v>
      </c>
      <c r="M1087" s="12">
        <f>L1087/[4]货币基础!$B$4</f>
        <v>200</v>
      </c>
      <c r="N1087" s="12">
        <f>IF(A1087&lt;[3]关卡对接!$A$4,INDEX([3]关卡对接!$E$7:$E$141,A1087),MATCH(E1087,人物经验!$H$24:$H$573,1))</f>
        <v>393</v>
      </c>
      <c r="O1087" s="12">
        <f>INDEX([2]关卡!$G$6:$G$2005,A1087)</f>
        <v>3</v>
      </c>
      <c r="P1087" s="13">
        <v>6</v>
      </c>
      <c r="Q1087" s="12">
        <f>INT(P1087/$S$15/O1087*VLOOKUP(J1087,[1]人物技能基础!$N$3:$O$553,2,0)*$U$15)</f>
        <v>9</v>
      </c>
      <c r="R1087" s="12">
        <f t="shared" si="156"/>
        <v>112</v>
      </c>
    </row>
    <row r="1088" spans="1:18" x14ac:dyDescent="0.15">
      <c r="A1088" s="12">
        <v>1070</v>
      </c>
      <c r="B1088" s="12">
        <f t="shared" si="153"/>
        <v>6</v>
      </c>
      <c r="C1088" s="12">
        <f t="shared" si="154"/>
        <v>2.2907500000000001</v>
      </c>
      <c r="D1088" s="12">
        <f t="shared" si="157"/>
        <v>3.3932500000000143E-2</v>
      </c>
      <c r="E1088" s="12">
        <f>SUM($D$19:D1088)</f>
        <v>17.490749999999981</v>
      </c>
      <c r="F1088" s="12">
        <f t="shared" si="151"/>
        <v>190.37208799937503</v>
      </c>
      <c r="G1088" s="12">
        <f t="shared" si="152"/>
        <v>132.186157559375</v>
      </c>
      <c r="H1088" s="12">
        <f t="shared" si="158"/>
        <v>685300</v>
      </c>
      <c r="I1088" s="12">
        <f t="shared" si="159"/>
        <v>475800</v>
      </c>
      <c r="J1088" s="12">
        <f>IF(A1088&lt;[3]关卡对接!$A$4,INDEX([3]关卡对接!$C$7:$C$141,A1088),MATCH(E1088,人物经验!$H$24:$H$573,1))</f>
        <v>393</v>
      </c>
      <c r="K1088" s="12">
        <f>IF([3]关卡对接!F1076="",INT(INDEX(人物经验!$J$24:$J$573,关卡!J1088)*关卡!$S$7),[3]关卡对接!F1076)</f>
        <v>16987</v>
      </c>
      <c r="L1088" s="12">
        <f t="shared" si="155"/>
        <v>2</v>
      </c>
      <c r="M1088" s="12">
        <f>L1088/[4]货币基础!$B$4</f>
        <v>200</v>
      </c>
      <c r="N1088" s="12">
        <f>IF(A1088&lt;[3]关卡对接!$A$4,INDEX([3]关卡对接!$E$7:$E$141,A1088),MATCH(E1088,人物经验!$H$24:$H$573,1))</f>
        <v>393</v>
      </c>
      <c r="O1088" s="12">
        <f>INDEX([2]关卡!$G$6:$G$2005,A1088)</f>
        <v>3</v>
      </c>
      <c r="P1088" s="13">
        <v>6</v>
      </c>
      <c r="Q1088" s="12">
        <f>INT(P1088/$S$15/O1088*VLOOKUP(J1088,[1]人物技能基础!$N$3:$O$553,2,0)*$U$15)</f>
        <v>9</v>
      </c>
      <c r="R1088" s="12">
        <f t="shared" si="156"/>
        <v>112</v>
      </c>
    </row>
    <row r="1089" spans="1:18" x14ac:dyDescent="0.15">
      <c r="A1089" s="12">
        <v>1071</v>
      </c>
      <c r="B1089" s="12">
        <f t="shared" si="153"/>
        <v>6</v>
      </c>
      <c r="C1089" s="12">
        <f t="shared" si="154"/>
        <v>2.3247175000000002</v>
      </c>
      <c r="D1089" s="12">
        <f t="shared" si="157"/>
        <v>3.396750000000015E-2</v>
      </c>
      <c r="E1089" s="12">
        <f>SUM($D$19:D1089)</f>
        <v>17.52471749999998</v>
      </c>
      <c r="F1089" s="12">
        <f t="shared" si="151"/>
        <v>190.78042911354493</v>
      </c>
      <c r="G1089" s="12">
        <f t="shared" si="152"/>
        <v>132.41004147435592</v>
      </c>
      <c r="H1089" s="12">
        <f t="shared" si="158"/>
        <v>686800</v>
      </c>
      <c r="I1089" s="12">
        <f t="shared" si="159"/>
        <v>476600</v>
      </c>
      <c r="J1089" s="12">
        <f>IF(A1089&lt;[3]关卡对接!$A$4,INDEX([3]关卡对接!$C$7:$C$141,A1089),MATCH(E1089,人物经验!$H$24:$H$573,1))</f>
        <v>394</v>
      </c>
      <c r="K1089" s="12">
        <f>IF([3]关卡对接!F1077="",INT(INDEX(人物经验!$J$24:$J$573,关卡!J1089)*关卡!$S$7),[3]关卡对接!F1077)</f>
        <v>17133</v>
      </c>
      <c r="L1089" s="12">
        <f t="shared" si="155"/>
        <v>2</v>
      </c>
      <c r="M1089" s="12">
        <f>L1089/[4]货币基础!$B$4</f>
        <v>200</v>
      </c>
      <c r="N1089" s="12">
        <f>IF(A1089&lt;[3]关卡对接!$A$4,INDEX([3]关卡对接!$E$7:$E$141,A1089),MATCH(E1089,人物经验!$H$24:$H$573,1))</f>
        <v>394</v>
      </c>
      <c r="O1089" s="12">
        <f>INDEX([2]关卡!$G$6:$G$2005,A1089)</f>
        <v>3</v>
      </c>
      <c r="P1089" s="13">
        <v>6</v>
      </c>
      <c r="Q1089" s="12">
        <f>INT(P1089/$S$15/O1089*VLOOKUP(J1089,[1]人物技能基础!$N$3:$O$553,2,0)*$U$15)</f>
        <v>9</v>
      </c>
      <c r="R1089" s="12">
        <f t="shared" si="156"/>
        <v>112</v>
      </c>
    </row>
    <row r="1090" spans="1:18" x14ac:dyDescent="0.15">
      <c r="A1090" s="12">
        <v>1072</v>
      </c>
      <c r="B1090" s="12">
        <f t="shared" si="153"/>
        <v>6</v>
      </c>
      <c r="C1090" s="12">
        <f t="shared" si="154"/>
        <v>2.3587200000000004</v>
      </c>
      <c r="D1090" s="12">
        <f t="shared" si="157"/>
        <v>3.4002500000000158E-2</v>
      </c>
      <c r="E1090" s="12">
        <f>SUM($D$19:D1090)</f>
        <v>17.55871999999998</v>
      </c>
      <c r="F1090" s="12">
        <f t="shared" si="151"/>
        <v>191.18945445478406</v>
      </c>
      <c r="G1090" s="12">
        <f t="shared" si="152"/>
        <v>132.63420260352001</v>
      </c>
      <c r="H1090" s="12">
        <f t="shared" si="158"/>
        <v>688200</v>
      </c>
      <c r="I1090" s="12">
        <f t="shared" si="159"/>
        <v>477400</v>
      </c>
      <c r="J1090" s="12">
        <f>IF(A1090&lt;[3]关卡对接!$A$4,INDEX([3]关卡对接!$C$7:$C$141,A1090),MATCH(E1090,人物经验!$H$24:$H$573,1))</f>
        <v>394</v>
      </c>
      <c r="K1090" s="12">
        <f>IF([3]关卡对接!F1078="",INT(INDEX(人物经验!$J$24:$J$573,关卡!J1090)*关卡!$S$7),[3]关卡对接!F1078)</f>
        <v>17133</v>
      </c>
      <c r="L1090" s="12">
        <f t="shared" si="155"/>
        <v>2</v>
      </c>
      <c r="M1090" s="12">
        <f>L1090/[4]货币基础!$B$4</f>
        <v>200</v>
      </c>
      <c r="N1090" s="12">
        <f>IF(A1090&lt;[3]关卡对接!$A$4,INDEX([3]关卡对接!$E$7:$E$141,A1090),MATCH(E1090,人物经验!$H$24:$H$573,1))</f>
        <v>394</v>
      </c>
      <c r="O1090" s="12">
        <f>INDEX([2]关卡!$G$6:$G$2005,A1090)</f>
        <v>3</v>
      </c>
      <c r="P1090" s="13">
        <v>6</v>
      </c>
      <c r="Q1090" s="12">
        <f>INT(P1090/$S$15/O1090*VLOOKUP(J1090,[1]人物技能基础!$N$3:$O$553,2,0)*$U$15)</f>
        <v>9</v>
      </c>
      <c r="R1090" s="12">
        <f t="shared" si="156"/>
        <v>112</v>
      </c>
    </row>
    <row r="1091" spans="1:18" x14ac:dyDescent="0.15">
      <c r="A1091" s="12">
        <v>1073</v>
      </c>
      <c r="B1091" s="12">
        <f t="shared" si="153"/>
        <v>6</v>
      </c>
      <c r="C1091" s="12">
        <f t="shared" si="154"/>
        <v>2.3927575000000001</v>
      </c>
      <c r="D1091" s="12">
        <f t="shared" si="157"/>
        <v>3.4037499999999721E-2</v>
      </c>
      <c r="E1091" s="12">
        <f>SUM($D$19:D1091)</f>
        <v>17.59275749999998</v>
      </c>
      <c r="F1091" s="12">
        <f t="shared" si="151"/>
        <v>191.59916488938492</v>
      </c>
      <c r="G1091" s="12">
        <f t="shared" si="152"/>
        <v>132.85864121205591</v>
      </c>
      <c r="H1091" s="12">
        <f t="shared" si="158"/>
        <v>689700</v>
      </c>
      <c r="I1091" s="12">
        <f t="shared" si="159"/>
        <v>478200</v>
      </c>
      <c r="J1091" s="12">
        <f>IF(A1091&lt;[3]关卡对接!$A$4,INDEX([3]关卡对接!$C$7:$C$141,A1091),MATCH(E1091,人物经验!$H$24:$H$573,1))</f>
        <v>394</v>
      </c>
      <c r="K1091" s="12">
        <f>IF([3]关卡对接!F1079="",INT(INDEX(人物经验!$J$24:$J$573,关卡!J1091)*关卡!$S$7),[3]关卡对接!F1079)</f>
        <v>17133</v>
      </c>
      <c r="L1091" s="12">
        <f t="shared" si="155"/>
        <v>2</v>
      </c>
      <c r="M1091" s="12">
        <f>L1091/[4]货币基础!$B$4</f>
        <v>200</v>
      </c>
      <c r="N1091" s="12">
        <f>IF(A1091&lt;[3]关卡对接!$A$4,INDEX([3]关卡对接!$E$7:$E$141,A1091),MATCH(E1091,人物经验!$H$24:$H$573,1))</f>
        <v>394</v>
      </c>
      <c r="O1091" s="12">
        <f>INDEX([2]关卡!$G$6:$G$2005,A1091)</f>
        <v>3</v>
      </c>
      <c r="P1091" s="13">
        <v>6</v>
      </c>
      <c r="Q1091" s="12">
        <f>INT(P1091/$S$15/O1091*VLOOKUP(J1091,[1]人物技能基础!$N$3:$O$553,2,0)*$U$15)</f>
        <v>9</v>
      </c>
      <c r="R1091" s="12">
        <f t="shared" si="156"/>
        <v>112</v>
      </c>
    </row>
    <row r="1092" spans="1:18" x14ac:dyDescent="0.15">
      <c r="A1092" s="12">
        <v>1074</v>
      </c>
      <c r="B1092" s="12">
        <f t="shared" si="153"/>
        <v>6</v>
      </c>
      <c r="C1092" s="12">
        <f t="shared" si="154"/>
        <v>2.4268299999999998</v>
      </c>
      <c r="D1092" s="12">
        <f t="shared" si="157"/>
        <v>3.4072499999999728E-2</v>
      </c>
      <c r="E1092" s="12">
        <f>SUM($D$19:D1092)</f>
        <v>17.62682999999998</v>
      </c>
      <c r="F1092" s="12">
        <f t="shared" si="151"/>
        <v>192.00956128423906</v>
      </c>
      <c r="G1092" s="12">
        <f t="shared" si="152"/>
        <v>133.08335756529502</v>
      </c>
      <c r="H1092" s="12">
        <f t="shared" si="158"/>
        <v>691200</v>
      </c>
      <c r="I1092" s="12">
        <f t="shared" si="159"/>
        <v>479100</v>
      </c>
      <c r="J1092" s="12">
        <f>IF(A1092&lt;[3]关卡对接!$A$4,INDEX([3]关卡对接!$C$7:$C$141,A1092),MATCH(E1092,人物经验!$H$24:$H$573,1))</f>
        <v>394</v>
      </c>
      <c r="K1092" s="12">
        <f>IF([3]关卡对接!F1080="",INT(INDEX(人物经验!$J$24:$J$573,关卡!J1092)*关卡!$S$7),[3]关卡对接!F1080)</f>
        <v>17133</v>
      </c>
      <c r="L1092" s="12">
        <f t="shared" si="155"/>
        <v>2</v>
      </c>
      <c r="M1092" s="12">
        <f>L1092/[4]货币基础!$B$4</f>
        <v>200</v>
      </c>
      <c r="N1092" s="12">
        <f>IF(A1092&lt;[3]关卡对接!$A$4,INDEX([3]关卡对接!$E$7:$E$141,A1092),MATCH(E1092,人物经验!$H$24:$H$573,1))</f>
        <v>394</v>
      </c>
      <c r="O1092" s="12">
        <f>INDEX([2]关卡!$G$6:$G$2005,A1092)</f>
        <v>3</v>
      </c>
      <c r="P1092" s="13">
        <v>6</v>
      </c>
      <c r="Q1092" s="12">
        <f>INT(P1092/$S$15/O1092*VLOOKUP(J1092,[1]人物技能基础!$N$3:$O$553,2,0)*$U$15)</f>
        <v>9</v>
      </c>
      <c r="R1092" s="12">
        <f t="shared" si="156"/>
        <v>112</v>
      </c>
    </row>
    <row r="1093" spans="1:18" x14ac:dyDescent="0.15">
      <c r="A1093" s="12">
        <v>1075</v>
      </c>
      <c r="B1093" s="12">
        <f t="shared" si="153"/>
        <v>6</v>
      </c>
      <c r="C1093" s="12">
        <f t="shared" si="154"/>
        <v>2.4609375</v>
      </c>
      <c r="D1093" s="12">
        <f t="shared" si="157"/>
        <v>3.4107500000000179E-2</v>
      </c>
      <c r="E1093" s="12">
        <f>SUM($D$19:D1093)</f>
        <v>17.660937499999982</v>
      </c>
      <c r="F1093" s="12">
        <f t="shared" si="151"/>
        <v>192.42064450683594</v>
      </c>
      <c r="G1093" s="12">
        <f t="shared" si="152"/>
        <v>133.30835192871092</v>
      </c>
      <c r="H1093" s="12">
        <f t="shared" si="158"/>
        <v>692700</v>
      </c>
      <c r="I1093" s="12">
        <f t="shared" si="159"/>
        <v>479900</v>
      </c>
      <c r="J1093" s="12">
        <f>IF(A1093&lt;[3]关卡对接!$A$4,INDEX([3]关卡对接!$C$7:$C$141,A1093),MATCH(E1093,人物经验!$H$24:$H$573,1))</f>
        <v>394</v>
      </c>
      <c r="K1093" s="12">
        <f>IF([3]关卡对接!F1081="",INT(INDEX(人物经验!$J$24:$J$573,关卡!J1093)*关卡!$S$7),[3]关卡对接!F1081)</f>
        <v>17133</v>
      </c>
      <c r="L1093" s="12">
        <f t="shared" si="155"/>
        <v>2</v>
      </c>
      <c r="M1093" s="12">
        <f>L1093/[4]货币基础!$B$4</f>
        <v>200</v>
      </c>
      <c r="N1093" s="12">
        <f>IF(A1093&lt;[3]关卡对接!$A$4,INDEX([3]关卡对接!$E$7:$E$141,A1093),MATCH(E1093,人物经验!$H$24:$H$573,1))</f>
        <v>394</v>
      </c>
      <c r="O1093" s="12">
        <f>INDEX([2]关卡!$G$6:$G$2005,A1093)</f>
        <v>3</v>
      </c>
      <c r="P1093" s="13">
        <v>6</v>
      </c>
      <c r="Q1093" s="12">
        <f>INT(P1093/$S$15/O1093*VLOOKUP(J1093,[1]人物技能基础!$N$3:$O$553,2,0)*$U$15)</f>
        <v>9</v>
      </c>
      <c r="R1093" s="12">
        <f t="shared" si="156"/>
        <v>112</v>
      </c>
    </row>
    <row r="1094" spans="1:18" x14ac:dyDescent="0.15">
      <c r="A1094" s="12">
        <v>1076</v>
      </c>
      <c r="B1094" s="12">
        <f t="shared" si="153"/>
        <v>6</v>
      </c>
      <c r="C1094" s="12">
        <f t="shared" si="154"/>
        <v>2.4950800000000002</v>
      </c>
      <c r="D1094" s="12">
        <f t="shared" si="157"/>
        <v>3.4142500000000187E-2</v>
      </c>
      <c r="E1094" s="12">
        <f>SUM($D$19:D1094)</f>
        <v>17.695079999999983</v>
      </c>
      <c r="F1094" s="12">
        <f t="shared" si="151"/>
        <v>192.83241542526406</v>
      </c>
      <c r="G1094" s="12">
        <f t="shared" si="152"/>
        <v>133.53362456792004</v>
      </c>
      <c r="H1094" s="12">
        <f t="shared" si="158"/>
        <v>694100</v>
      </c>
      <c r="I1094" s="12">
        <f t="shared" si="159"/>
        <v>480700</v>
      </c>
      <c r="J1094" s="12">
        <f>IF(A1094&lt;[3]关卡对接!$A$4,INDEX([3]关卡对接!$C$7:$C$141,A1094),MATCH(E1094,人物经验!$H$24:$H$573,1))</f>
        <v>395</v>
      </c>
      <c r="K1094" s="12">
        <f>IF([3]关卡对接!F1082="",INT(INDEX(人物经验!$J$24:$J$573,关卡!J1094)*关卡!$S$7),[3]关卡对接!F1082)</f>
        <v>17317</v>
      </c>
      <c r="L1094" s="12">
        <f t="shared" si="155"/>
        <v>2</v>
      </c>
      <c r="M1094" s="12">
        <f>L1094/[4]货币基础!$B$4</f>
        <v>200</v>
      </c>
      <c r="N1094" s="12">
        <f>IF(A1094&lt;[3]关卡对接!$A$4,INDEX([3]关卡对接!$E$7:$E$141,A1094),MATCH(E1094,人物经验!$H$24:$H$573,1))</f>
        <v>395</v>
      </c>
      <c r="O1094" s="12">
        <f>INDEX([2]关卡!$G$6:$G$2005,A1094)</f>
        <v>3</v>
      </c>
      <c r="P1094" s="13">
        <v>6</v>
      </c>
      <c r="Q1094" s="12">
        <f>INT(P1094/$S$15/O1094*VLOOKUP(J1094,[1]人物技能基础!$N$3:$O$553,2,0)*$U$15)</f>
        <v>9</v>
      </c>
      <c r="R1094" s="12">
        <f t="shared" si="156"/>
        <v>112</v>
      </c>
    </row>
    <row r="1095" spans="1:18" x14ac:dyDescent="0.15">
      <c r="A1095" s="12">
        <v>1077</v>
      </c>
      <c r="B1095" s="12">
        <f t="shared" si="153"/>
        <v>6</v>
      </c>
      <c r="C1095" s="12">
        <f t="shared" si="154"/>
        <v>2.5292575000000004</v>
      </c>
      <c r="D1095" s="12">
        <f t="shared" si="157"/>
        <v>3.4177500000000194E-2</v>
      </c>
      <c r="E1095" s="12">
        <f>SUM($D$19:D1095)</f>
        <v>17.729257499999981</v>
      </c>
      <c r="F1095" s="12">
        <f t="shared" si="151"/>
        <v>193.24487490820997</v>
      </c>
      <c r="G1095" s="12">
        <f t="shared" si="152"/>
        <v>133.75917574868092</v>
      </c>
      <c r="H1095" s="12">
        <f t="shared" si="158"/>
        <v>695600</v>
      </c>
      <c r="I1095" s="12">
        <f t="shared" si="159"/>
        <v>481500</v>
      </c>
      <c r="J1095" s="12">
        <f>IF(A1095&lt;[3]关卡对接!$A$4,INDEX([3]关卡对接!$C$7:$C$141,A1095),MATCH(E1095,人物经验!$H$24:$H$573,1))</f>
        <v>395</v>
      </c>
      <c r="K1095" s="12">
        <f>IF([3]关卡对接!F1083="",INT(INDEX(人物经验!$J$24:$J$573,关卡!J1095)*关卡!$S$7),[3]关卡对接!F1083)</f>
        <v>17317</v>
      </c>
      <c r="L1095" s="12">
        <f t="shared" si="155"/>
        <v>2</v>
      </c>
      <c r="M1095" s="12">
        <f>L1095/[4]货币基础!$B$4</f>
        <v>200</v>
      </c>
      <c r="N1095" s="12">
        <f>IF(A1095&lt;[3]关卡对接!$A$4,INDEX([3]关卡对接!$E$7:$E$141,A1095),MATCH(E1095,人物经验!$H$24:$H$573,1))</f>
        <v>395</v>
      </c>
      <c r="O1095" s="12">
        <f>INDEX([2]关卡!$G$6:$G$2005,A1095)</f>
        <v>3</v>
      </c>
      <c r="P1095" s="13">
        <v>6</v>
      </c>
      <c r="Q1095" s="12">
        <f>INT(P1095/$S$15/O1095*VLOOKUP(J1095,[1]人物技能基础!$N$3:$O$553,2,0)*$U$15)</f>
        <v>9</v>
      </c>
      <c r="R1095" s="12">
        <f t="shared" si="156"/>
        <v>112</v>
      </c>
    </row>
    <row r="1096" spans="1:18" x14ac:dyDescent="0.15">
      <c r="A1096" s="12">
        <v>1078</v>
      </c>
      <c r="B1096" s="12">
        <f t="shared" si="153"/>
        <v>6</v>
      </c>
      <c r="C1096" s="12">
        <f t="shared" si="154"/>
        <v>2.5634700000000001</v>
      </c>
      <c r="D1096" s="12">
        <f t="shared" si="157"/>
        <v>3.4212499999999757E-2</v>
      </c>
      <c r="E1096" s="12">
        <f>SUM($D$19:D1096)</f>
        <v>17.76346999999998</v>
      </c>
      <c r="F1096" s="12">
        <f t="shared" si="151"/>
        <v>193.658023824959</v>
      </c>
      <c r="G1096" s="12">
        <f t="shared" si="152"/>
        <v>133.985005736895</v>
      </c>
      <c r="H1096" s="12">
        <f t="shared" si="158"/>
        <v>697100</v>
      </c>
      <c r="I1096" s="12">
        <f t="shared" si="159"/>
        <v>482300</v>
      </c>
      <c r="J1096" s="12">
        <f>IF(A1096&lt;[3]关卡对接!$A$4,INDEX([3]关卡对接!$C$7:$C$141,A1096),MATCH(E1096,人物经验!$H$24:$H$573,1))</f>
        <v>395</v>
      </c>
      <c r="K1096" s="12">
        <f>IF([3]关卡对接!F1084="",INT(INDEX(人物经验!$J$24:$J$573,关卡!J1096)*关卡!$S$7),[3]关卡对接!F1084)</f>
        <v>17317</v>
      </c>
      <c r="L1096" s="12">
        <f t="shared" si="155"/>
        <v>2</v>
      </c>
      <c r="M1096" s="12">
        <f>L1096/[4]货币基础!$B$4</f>
        <v>200</v>
      </c>
      <c r="N1096" s="12">
        <f>IF(A1096&lt;[3]关卡对接!$A$4,INDEX([3]关卡对接!$E$7:$E$141,A1096),MATCH(E1096,人物经验!$H$24:$H$573,1))</f>
        <v>395</v>
      </c>
      <c r="O1096" s="12">
        <f>INDEX([2]关卡!$G$6:$G$2005,A1096)</f>
        <v>3</v>
      </c>
      <c r="P1096" s="13">
        <v>6</v>
      </c>
      <c r="Q1096" s="12">
        <f>INT(P1096/$S$15/O1096*VLOOKUP(J1096,[1]人物技能基础!$N$3:$O$553,2,0)*$U$15)</f>
        <v>9</v>
      </c>
      <c r="R1096" s="12">
        <f t="shared" si="156"/>
        <v>112</v>
      </c>
    </row>
    <row r="1097" spans="1:18" x14ac:dyDescent="0.15">
      <c r="A1097" s="12">
        <v>1079</v>
      </c>
      <c r="B1097" s="12">
        <f t="shared" si="153"/>
        <v>6</v>
      </c>
      <c r="C1097" s="12">
        <f t="shared" si="154"/>
        <v>2.5977175000000003</v>
      </c>
      <c r="D1097" s="12">
        <f t="shared" si="157"/>
        <v>3.4247500000000208E-2</v>
      </c>
      <c r="E1097" s="12">
        <f>SUM($D$19:D1097)</f>
        <v>17.79771749999998</v>
      </c>
      <c r="F1097" s="12">
        <f t="shared" si="151"/>
        <v>194.07186304539493</v>
      </c>
      <c r="G1097" s="12">
        <f t="shared" si="152"/>
        <v>134.21111479860593</v>
      </c>
      <c r="H1097" s="12">
        <f t="shared" si="158"/>
        <v>698600</v>
      </c>
      <c r="I1097" s="12">
        <f t="shared" si="159"/>
        <v>483100</v>
      </c>
      <c r="J1097" s="12">
        <f>IF(A1097&lt;[3]关卡对接!$A$4,INDEX([3]关卡对接!$C$7:$C$141,A1097),MATCH(E1097,人物经验!$H$24:$H$573,1))</f>
        <v>395</v>
      </c>
      <c r="K1097" s="12">
        <f>IF([3]关卡对接!F1085="",INT(INDEX(人物经验!$J$24:$J$573,关卡!J1097)*关卡!$S$7),[3]关卡对接!F1085)</f>
        <v>17317</v>
      </c>
      <c r="L1097" s="12">
        <f t="shared" si="155"/>
        <v>2</v>
      </c>
      <c r="M1097" s="12">
        <f>L1097/[4]货币基础!$B$4</f>
        <v>200</v>
      </c>
      <c r="N1097" s="12">
        <f>IF(A1097&lt;[3]关卡对接!$A$4,INDEX([3]关卡对接!$E$7:$E$141,A1097),MATCH(E1097,人物经验!$H$24:$H$573,1))</f>
        <v>395</v>
      </c>
      <c r="O1097" s="12">
        <f>INDEX([2]关卡!$G$6:$G$2005,A1097)</f>
        <v>3</v>
      </c>
      <c r="P1097" s="13">
        <v>6</v>
      </c>
      <c r="Q1097" s="12">
        <f>INT(P1097/$S$15/O1097*VLOOKUP(J1097,[1]人物技能基础!$N$3:$O$553,2,0)*$U$15)</f>
        <v>9</v>
      </c>
      <c r="R1097" s="12">
        <f t="shared" si="156"/>
        <v>112</v>
      </c>
    </row>
    <row r="1098" spans="1:18" x14ac:dyDescent="0.15">
      <c r="A1098" s="12">
        <v>1080</v>
      </c>
      <c r="B1098" s="12">
        <f t="shared" si="153"/>
        <v>6</v>
      </c>
      <c r="C1098" s="12">
        <f t="shared" si="154"/>
        <v>2.6320000000000006</v>
      </c>
      <c r="D1098" s="12">
        <f t="shared" si="157"/>
        <v>3.4282500000000216E-2</v>
      </c>
      <c r="E1098" s="12">
        <f>SUM($D$19:D1098)</f>
        <v>17.831999999999979</v>
      </c>
      <c r="F1098" s="12">
        <f t="shared" si="151"/>
        <v>194.48639344000003</v>
      </c>
      <c r="G1098" s="12">
        <f t="shared" si="152"/>
        <v>134.43750319999998</v>
      </c>
      <c r="H1098" s="12">
        <f t="shared" si="158"/>
        <v>700100</v>
      </c>
      <c r="I1098" s="12">
        <f t="shared" si="159"/>
        <v>483900</v>
      </c>
      <c r="J1098" s="12">
        <f>IF(A1098&lt;[3]关卡对接!$A$4,INDEX([3]关卡对接!$C$7:$C$141,A1098),MATCH(E1098,人物经验!$H$24:$H$573,1))</f>
        <v>396</v>
      </c>
      <c r="K1098" s="12">
        <f>IF([3]关卡对接!F1086="",INT(INDEX(人物经验!$J$24:$J$573,关卡!J1098)*关卡!$S$7),[3]关卡对接!F1086)</f>
        <v>17466</v>
      </c>
      <c r="L1098" s="12">
        <f t="shared" si="155"/>
        <v>2</v>
      </c>
      <c r="M1098" s="12">
        <f>L1098/[4]货币基础!$B$4</f>
        <v>200</v>
      </c>
      <c r="N1098" s="12">
        <f>IF(A1098&lt;[3]关卡对接!$A$4,INDEX([3]关卡对接!$E$7:$E$141,A1098),MATCH(E1098,人物经验!$H$24:$H$573,1))</f>
        <v>396</v>
      </c>
      <c r="O1098" s="12">
        <f>INDEX([2]关卡!$G$6:$G$2005,A1098)</f>
        <v>3</v>
      </c>
      <c r="P1098" s="13">
        <v>6</v>
      </c>
      <c r="Q1098" s="12">
        <f>INT(P1098/$S$15/O1098*VLOOKUP(J1098,[1]人物技能基础!$N$3:$O$553,2,0)*$U$15)</f>
        <v>9</v>
      </c>
      <c r="R1098" s="12">
        <f t="shared" si="156"/>
        <v>112</v>
      </c>
    </row>
    <row r="1099" spans="1:18" x14ac:dyDescent="0.15">
      <c r="A1099" s="12">
        <v>1081</v>
      </c>
      <c r="B1099" s="12">
        <f t="shared" si="153"/>
        <v>6</v>
      </c>
      <c r="C1099" s="12">
        <f t="shared" si="154"/>
        <v>2.6663175000000003</v>
      </c>
      <c r="D1099" s="12">
        <f t="shared" si="157"/>
        <v>3.4317499999999779E-2</v>
      </c>
      <c r="E1099" s="12">
        <f>SUM($D$19:D1099)</f>
        <v>17.86631749999998</v>
      </c>
      <c r="F1099" s="12">
        <f t="shared" si="151"/>
        <v>194.90161587985494</v>
      </c>
      <c r="G1099" s="12">
        <f t="shared" si="152"/>
        <v>134.66417120740593</v>
      </c>
      <c r="H1099" s="12">
        <f t="shared" si="158"/>
        <v>701600</v>
      </c>
      <c r="I1099" s="12">
        <f t="shared" si="159"/>
        <v>484700</v>
      </c>
      <c r="J1099" s="12">
        <f>IF(A1099&lt;[3]关卡对接!$A$4,INDEX([3]关卡对接!$C$7:$C$141,A1099),MATCH(E1099,人物经验!$H$24:$H$573,1))</f>
        <v>396</v>
      </c>
      <c r="K1099" s="12">
        <f>IF([3]关卡对接!F1087="",INT(INDEX(人物经验!$J$24:$J$573,关卡!J1099)*关卡!$S$7),[3]关卡对接!F1087)</f>
        <v>17466</v>
      </c>
      <c r="L1099" s="12">
        <f t="shared" si="155"/>
        <v>2</v>
      </c>
      <c r="M1099" s="12">
        <f>L1099/[4]货币基础!$B$4</f>
        <v>200</v>
      </c>
      <c r="N1099" s="12">
        <f>IF(A1099&lt;[3]关卡对接!$A$4,INDEX([3]关卡对接!$E$7:$E$141,A1099),MATCH(E1099,人物经验!$H$24:$H$573,1))</f>
        <v>396</v>
      </c>
      <c r="O1099" s="12">
        <f>INDEX([2]关卡!$G$6:$G$2005,A1099)</f>
        <v>3</v>
      </c>
      <c r="P1099" s="13">
        <v>6</v>
      </c>
      <c r="Q1099" s="12">
        <f>INT(P1099/$S$15/O1099*VLOOKUP(J1099,[1]人物技能基础!$N$3:$O$553,2,0)*$U$15)</f>
        <v>9</v>
      </c>
      <c r="R1099" s="12">
        <f t="shared" si="156"/>
        <v>112</v>
      </c>
    </row>
    <row r="1100" spans="1:18" x14ac:dyDescent="0.15">
      <c r="A1100" s="12">
        <v>1082</v>
      </c>
      <c r="B1100" s="12">
        <f t="shared" si="153"/>
        <v>6</v>
      </c>
      <c r="C1100" s="12">
        <f t="shared" si="154"/>
        <v>2.7006699999999997</v>
      </c>
      <c r="D1100" s="12">
        <f t="shared" si="157"/>
        <v>3.4352499999999342E-2</v>
      </c>
      <c r="E1100" s="12">
        <f>SUM($D$19:D1100)</f>
        <v>17.90066999999998</v>
      </c>
      <c r="F1100" s="12">
        <f t="shared" si="151"/>
        <v>195.31753123663904</v>
      </c>
      <c r="G1100" s="12">
        <f t="shared" si="152"/>
        <v>134.89111908729501</v>
      </c>
      <c r="H1100" s="12">
        <f t="shared" si="158"/>
        <v>703100</v>
      </c>
      <c r="I1100" s="12">
        <f t="shared" si="159"/>
        <v>485600</v>
      </c>
      <c r="J1100" s="12">
        <f>IF(A1100&lt;[3]关卡对接!$A$4,INDEX([3]关卡对接!$C$7:$C$141,A1100),MATCH(E1100,人物经验!$H$24:$H$573,1))</f>
        <v>396</v>
      </c>
      <c r="K1100" s="12">
        <f>IF([3]关卡对接!F1088="",INT(INDEX(人物经验!$J$24:$J$573,关卡!J1100)*关卡!$S$7),[3]关卡对接!F1088)</f>
        <v>17466</v>
      </c>
      <c r="L1100" s="12">
        <f t="shared" si="155"/>
        <v>2</v>
      </c>
      <c r="M1100" s="12">
        <f>L1100/[4]货币基础!$B$4</f>
        <v>200</v>
      </c>
      <c r="N1100" s="12">
        <f>IF(A1100&lt;[3]关卡对接!$A$4,INDEX([3]关卡对接!$E$7:$E$141,A1100),MATCH(E1100,人物经验!$H$24:$H$573,1))</f>
        <v>396</v>
      </c>
      <c r="O1100" s="12">
        <f>INDEX([2]关卡!$G$6:$G$2005,A1100)</f>
        <v>3</v>
      </c>
      <c r="P1100" s="13">
        <v>6</v>
      </c>
      <c r="Q1100" s="12">
        <f>INT(P1100/$S$15/O1100*VLOOKUP(J1100,[1]人物技能基础!$N$3:$O$553,2,0)*$U$15)</f>
        <v>9</v>
      </c>
      <c r="R1100" s="12">
        <f t="shared" si="156"/>
        <v>112</v>
      </c>
    </row>
    <row r="1101" spans="1:18" x14ac:dyDescent="0.15">
      <c r="A1101" s="12">
        <v>1083</v>
      </c>
      <c r="B1101" s="12">
        <f t="shared" si="153"/>
        <v>6</v>
      </c>
      <c r="C1101" s="12">
        <f t="shared" si="154"/>
        <v>2.7350574999999999</v>
      </c>
      <c r="D1101" s="12">
        <f t="shared" si="157"/>
        <v>3.4387500000000237E-2</v>
      </c>
      <c r="E1101" s="12">
        <f>SUM($D$19:D1101)</f>
        <v>17.935057499999981</v>
      </c>
      <c r="F1101" s="12">
        <f t="shared" si="151"/>
        <v>195.73414038262993</v>
      </c>
      <c r="G1101" s="12">
        <f t="shared" si="152"/>
        <v>135.11834710628094</v>
      </c>
      <c r="H1101" s="12">
        <f t="shared" si="158"/>
        <v>704600</v>
      </c>
      <c r="I1101" s="12">
        <f t="shared" si="159"/>
        <v>486400</v>
      </c>
      <c r="J1101" s="12">
        <f>IF(A1101&lt;[3]关卡对接!$A$4,INDEX([3]关卡对接!$C$7:$C$141,A1101),MATCH(E1101,人物经验!$H$24:$H$573,1))</f>
        <v>396</v>
      </c>
      <c r="K1101" s="12">
        <f>IF([3]关卡对接!F1089="",INT(INDEX(人物经验!$J$24:$J$573,关卡!J1101)*关卡!$S$7),[3]关卡对接!F1089)</f>
        <v>17466</v>
      </c>
      <c r="L1101" s="12">
        <f t="shared" si="155"/>
        <v>2</v>
      </c>
      <c r="M1101" s="12">
        <f>L1101/[4]货币基础!$B$4</f>
        <v>200</v>
      </c>
      <c r="N1101" s="12">
        <f>IF(A1101&lt;[3]关卡对接!$A$4,INDEX([3]关卡对接!$E$7:$E$141,A1101),MATCH(E1101,人物经验!$H$24:$H$573,1))</f>
        <v>396</v>
      </c>
      <c r="O1101" s="12">
        <f>INDEX([2]关卡!$G$6:$G$2005,A1101)</f>
        <v>3</v>
      </c>
      <c r="P1101" s="13">
        <v>6</v>
      </c>
      <c r="Q1101" s="12">
        <f>INT(P1101/$S$15/O1101*VLOOKUP(J1101,[1]人物技能基础!$N$3:$O$553,2,0)*$U$15)</f>
        <v>9</v>
      </c>
      <c r="R1101" s="12">
        <f t="shared" si="156"/>
        <v>112</v>
      </c>
    </row>
    <row r="1102" spans="1:18" x14ac:dyDescent="0.15">
      <c r="A1102" s="12">
        <v>1084</v>
      </c>
      <c r="B1102" s="12">
        <f t="shared" si="153"/>
        <v>6</v>
      </c>
      <c r="C1102" s="12">
        <f t="shared" si="154"/>
        <v>2.7694799999999997</v>
      </c>
      <c r="D1102" s="12">
        <f t="shared" si="157"/>
        <v>3.44224999999998E-2</v>
      </c>
      <c r="E1102" s="12">
        <f>SUM($D$19:D1102)</f>
        <v>17.969479999999983</v>
      </c>
      <c r="F1102" s="12">
        <f t="shared" si="151"/>
        <v>196.15144419070401</v>
      </c>
      <c r="G1102" s="12">
        <f t="shared" si="152"/>
        <v>135.34585553112001</v>
      </c>
      <c r="H1102" s="12">
        <f t="shared" si="158"/>
        <v>706100</v>
      </c>
      <c r="I1102" s="12">
        <f t="shared" si="159"/>
        <v>487200</v>
      </c>
      <c r="J1102" s="12">
        <f>IF(A1102&lt;[3]关卡对接!$A$4,INDEX([3]关卡对接!$C$7:$C$141,A1102),MATCH(E1102,人物经验!$H$24:$H$573,1))</f>
        <v>397</v>
      </c>
      <c r="K1102" s="12">
        <f>IF([3]关卡对接!F1090="",INT(INDEX(人物经验!$J$24:$J$573,关卡!J1102)*关卡!$S$7),[3]关卡对接!F1090)</f>
        <v>17616</v>
      </c>
      <c r="L1102" s="12">
        <f t="shared" si="155"/>
        <v>2</v>
      </c>
      <c r="M1102" s="12">
        <f>L1102/[4]货币基础!$B$4</f>
        <v>200</v>
      </c>
      <c r="N1102" s="12">
        <f>IF(A1102&lt;[3]关卡对接!$A$4,INDEX([3]关卡对接!$E$7:$E$141,A1102),MATCH(E1102,人物经验!$H$24:$H$573,1))</f>
        <v>397</v>
      </c>
      <c r="O1102" s="12">
        <f>INDEX([2]关卡!$G$6:$G$2005,A1102)</f>
        <v>3</v>
      </c>
      <c r="P1102" s="13">
        <v>6</v>
      </c>
      <c r="Q1102" s="12">
        <f>INT(P1102/$S$15/O1102*VLOOKUP(J1102,[1]人物技能基础!$N$3:$O$553,2,0)*$U$15)</f>
        <v>9</v>
      </c>
      <c r="R1102" s="12">
        <f t="shared" si="156"/>
        <v>112</v>
      </c>
    </row>
    <row r="1103" spans="1:18" x14ac:dyDescent="0.15">
      <c r="A1103" s="12">
        <v>1085</v>
      </c>
      <c r="B1103" s="12">
        <f t="shared" si="153"/>
        <v>6</v>
      </c>
      <c r="C1103" s="12">
        <f t="shared" si="154"/>
        <v>2.8039375</v>
      </c>
      <c r="D1103" s="12">
        <f t="shared" si="157"/>
        <v>3.4457500000000252E-2</v>
      </c>
      <c r="E1103" s="12">
        <f>SUM($D$19:D1103)</f>
        <v>18.003937499999985</v>
      </c>
      <c r="F1103" s="12">
        <f t="shared" si="151"/>
        <v>196.56944353433593</v>
      </c>
      <c r="G1103" s="12">
        <f t="shared" si="152"/>
        <v>135.57364462871092</v>
      </c>
      <c r="H1103" s="12">
        <f t="shared" si="158"/>
        <v>707600</v>
      </c>
      <c r="I1103" s="12">
        <f t="shared" si="159"/>
        <v>488000</v>
      </c>
      <c r="J1103" s="12">
        <f>IF(A1103&lt;[3]关卡对接!$A$4,INDEX([3]关卡对接!$C$7:$C$141,A1103),MATCH(E1103,人物经验!$H$24:$H$573,1))</f>
        <v>397</v>
      </c>
      <c r="K1103" s="12">
        <f>IF([3]关卡对接!F1091="",INT(INDEX(人物经验!$J$24:$J$573,关卡!J1103)*关卡!$S$7),[3]关卡对接!F1091)</f>
        <v>17616</v>
      </c>
      <c r="L1103" s="12">
        <f t="shared" si="155"/>
        <v>2</v>
      </c>
      <c r="M1103" s="12">
        <f>L1103/[4]货币基础!$B$4</f>
        <v>200</v>
      </c>
      <c r="N1103" s="12">
        <f>IF(A1103&lt;[3]关卡对接!$A$4,INDEX([3]关卡对接!$E$7:$E$141,A1103),MATCH(E1103,人物经验!$H$24:$H$573,1))</f>
        <v>397</v>
      </c>
      <c r="O1103" s="12">
        <f>INDEX([2]关卡!$G$6:$G$2005,A1103)</f>
        <v>3</v>
      </c>
      <c r="P1103" s="13">
        <v>6</v>
      </c>
      <c r="Q1103" s="12">
        <f>INT(P1103/$S$15/O1103*VLOOKUP(J1103,[1]人物技能基础!$N$3:$O$553,2,0)*$U$15)</f>
        <v>9</v>
      </c>
      <c r="R1103" s="12">
        <f t="shared" si="156"/>
        <v>112</v>
      </c>
    </row>
    <row r="1104" spans="1:18" x14ac:dyDescent="0.15">
      <c r="A1104" s="12">
        <v>1086</v>
      </c>
      <c r="B1104" s="12">
        <f t="shared" si="153"/>
        <v>6</v>
      </c>
      <c r="C1104" s="12">
        <f t="shared" si="154"/>
        <v>2.8384300000000002</v>
      </c>
      <c r="D1104" s="12">
        <f t="shared" si="157"/>
        <v>3.4492500000000259E-2</v>
      </c>
      <c r="E1104" s="12">
        <f>SUM($D$19:D1104)</f>
        <v>18.038429999999984</v>
      </c>
      <c r="F1104" s="12">
        <f t="shared" si="151"/>
        <v>196.98813928759904</v>
      </c>
      <c r="G1104" s="12">
        <f t="shared" si="152"/>
        <v>135.80171466609499</v>
      </c>
      <c r="H1104" s="12">
        <f t="shared" si="158"/>
        <v>709100</v>
      </c>
      <c r="I1104" s="12">
        <f t="shared" si="159"/>
        <v>488800</v>
      </c>
      <c r="J1104" s="12">
        <f>IF(A1104&lt;[3]关卡对接!$A$4,INDEX([3]关卡对接!$C$7:$C$141,A1104),MATCH(E1104,人物经验!$H$24:$H$573,1))</f>
        <v>397</v>
      </c>
      <c r="K1104" s="12">
        <f>IF([3]关卡对接!F1092="",INT(INDEX(人物经验!$J$24:$J$573,关卡!J1104)*关卡!$S$7),[3]关卡对接!F1092)</f>
        <v>17616</v>
      </c>
      <c r="L1104" s="12">
        <f t="shared" si="155"/>
        <v>2</v>
      </c>
      <c r="M1104" s="12">
        <f>L1104/[4]货币基础!$B$4</f>
        <v>200</v>
      </c>
      <c r="N1104" s="12">
        <f>IF(A1104&lt;[3]关卡对接!$A$4,INDEX([3]关卡对接!$E$7:$E$141,A1104),MATCH(E1104,人物经验!$H$24:$H$573,1))</f>
        <v>397</v>
      </c>
      <c r="O1104" s="12">
        <f>INDEX([2]关卡!$G$6:$G$2005,A1104)</f>
        <v>3</v>
      </c>
      <c r="P1104" s="13">
        <v>6</v>
      </c>
      <c r="Q1104" s="12">
        <f>INT(P1104/$S$15/O1104*VLOOKUP(J1104,[1]人物技能基础!$N$3:$O$553,2,0)*$U$15)</f>
        <v>9</v>
      </c>
      <c r="R1104" s="12">
        <f t="shared" si="156"/>
        <v>112</v>
      </c>
    </row>
    <row r="1105" spans="1:18" x14ac:dyDescent="0.15">
      <c r="A1105" s="12">
        <v>1087</v>
      </c>
      <c r="B1105" s="12">
        <f t="shared" si="153"/>
        <v>6</v>
      </c>
      <c r="C1105" s="12">
        <f t="shared" si="154"/>
        <v>2.8729575000000001</v>
      </c>
      <c r="D1105" s="12">
        <f t="shared" si="157"/>
        <v>3.4527499999999822E-2</v>
      </c>
      <c r="E1105" s="12">
        <f>SUM($D$19:D1105)</f>
        <v>18.072957499999983</v>
      </c>
      <c r="F1105" s="12">
        <f t="shared" si="151"/>
        <v>197.40753232516491</v>
      </c>
      <c r="G1105" s="12">
        <f t="shared" si="152"/>
        <v>136.0300659104559</v>
      </c>
      <c r="H1105" s="12">
        <f t="shared" si="158"/>
        <v>710600</v>
      </c>
      <c r="I1105" s="12">
        <f t="shared" si="159"/>
        <v>489700</v>
      </c>
      <c r="J1105" s="12">
        <f>IF(A1105&lt;[3]关卡对接!$A$4,INDEX([3]关卡对接!$C$7:$C$141,A1105),MATCH(E1105,人物经验!$H$24:$H$573,1))</f>
        <v>397</v>
      </c>
      <c r="K1105" s="12">
        <f>IF([3]关卡对接!F1093="",INT(INDEX(人物经验!$J$24:$J$573,关卡!J1105)*关卡!$S$7),[3]关卡对接!F1093)</f>
        <v>17616</v>
      </c>
      <c r="L1105" s="12">
        <f t="shared" si="155"/>
        <v>2</v>
      </c>
      <c r="M1105" s="12">
        <f>L1105/[4]货币基础!$B$4</f>
        <v>200</v>
      </c>
      <c r="N1105" s="12">
        <f>IF(A1105&lt;[3]关卡对接!$A$4,INDEX([3]关卡对接!$E$7:$E$141,A1105),MATCH(E1105,人物经验!$H$24:$H$573,1))</f>
        <v>397</v>
      </c>
      <c r="O1105" s="12">
        <f>INDEX([2]关卡!$G$6:$G$2005,A1105)</f>
        <v>3</v>
      </c>
      <c r="P1105" s="13">
        <v>6</v>
      </c>
      <c r="Q1105" s="12">
        <f>INT(P1105/$S$15/O1105*VLOOKUP(J1105,[1]人物技能基础!$N$3:$O$553,2,0)*$U$15)</f>
        <v>9</v>
      </c>
      <c r="R1105" s="12">
        <f t="shared" si="156"/>
        <v>112</v>
      </c>
    </row>
    <row r="1106" spans="1:18" x14ac:dyDescent="0.15">
      <c r="A1106" s="12">
        <v>1088</v>
      </c>
      <c r="B1106" s="12">
        <f t="shared" si="153"/>
        <v>6</v>
      </c>
      <c r="C1106" s="12">
        <f t="shared" si="154"/>
        <v>2.9075199999999999</v>
      </c>
      <c r="D1106" s="12">
        <f t="shared" si="157"/>
        <v>3.4562499999999829E-2</v>
      </c>
      <c r="E1106" s="12">
        <f>SUM($D$19:D1106)</f>
        <v>18.107519999999983</v>
      </c>
      <c r="F1106" s="12">
        <f t="shared" si="151"/>
        <v>197.82762352230404</v>
      </c>
      <c r="G1106" s="12">
        <f t="shared" si="152"/>
        <v>136.25869862911998</v>
      </c>
      <c r="H1106" s="12">
        <f t="shared" si="158"/>
        <v>712100</v>
      </c>
      <c r="I1106" s="12">
        <f t="shared" si="159"/>
        <v>490500</v>
      </c>
      <c r="J1106" s="12">
        <f>IF(A1106&lt;[3]关卡对接!$A$4,INDEX([3]关卡对接!$C$7:$C$141,A1106),MATCH(E1106,人物经验!$H$24:$H$573,1))</f>
        <v>398</v>
      </c>
      <c r="K1106" s="12">
        <f>IF([3]关卡对接!F1094="",INT(INDEX(人物经验!$J$24:$J$573,关卡!J1106)*关卡!$S$7),[3]关卡对接!F1094)</f>
        <v>17766</v>
      </c>
      <c r="L1106" s="12">
        <f t="shared" si="155"/>
        <v>2</v>
      </c>
      <c r="M1106" s="12">
        <f>L1106/[4]货币基础!$B$4</f>
        <v>200</v>
      </c>
      <c r="N1106" s="12">
        <f>IF(A1106&lt;[3]关卡对接!$A$4,INDEX([3]关卡对接!$E$7:$E$141,A1106),MATCH(E1106,人物经验!$H$24:$H$573,1))</f>
        <v>398</v>
      </c>
      <c r="O1106" s="12">
        <f>INDEX([2]关卡!$G$6:$G$2005,A1106)</f>
        <v>3</v>
      </c>
      <c r="P1106" s="13">
        <v>6</v>
      </c>
      <c r="Q1106" s="12">
        <f>INT(P1106/$S$15/O1106*VLOOKUP(J1106,[1]人物技能基础!$N$3:$O$553,2,0)*$U$15)</f>
        <v>9</v>
      </c>
      <c r="R1106" s="12">
        <f t="shared" si="156"/>
        <v>112</v>
      </c>
    </row>
    <row r="1107" spans="1:18" x14ac:dyDescent="0.15">
      <c r="A1107" s="12">
        <v>1089</v>
      </c>
      <c r="B1107" s="12">
        <f t="shared" si="153"/>
        <v>6</v>
      </c>
      <c r="C1107" s="12">
        <f t="shared" si="154"/>
        <v>2.9421175000000002</v>
      </c>
      <c r="D1107" s="12">
        <f t="shared" si="157"/>
        <v>3.4597500000000281E-2</v>
      </c>
      <c r="E1107" s="12">
        <f>SUM($D$19:D1107)</f>
        <v>18.142117499999983</v>
      </c>
      <c r="F1107" s="12">
        <f t="shared" ref="F1107:F1170" si="160">$L$7*($M$7+$N$7*($A1107/$B$3)^1+$O$7*($A1107/$B$3)^2+$P$7*($A1107/$B$3)^3+$Q$7*($A1107/$B$3)^4)</f>
        <v>198.24841375488495</v>
      </c>
      <c r="G1107" s="12">
        <f t="shared" ref="G1107:G1170" si="161">$L$11*($M$11+$N$11*($A1107/$B$3)^1+$O$11*($A1107/$B$3)^2+$P$11*($A1107/$B$3)^3+$Q$11*($A1107/$B$3)^4)</f>
        <v>136.48761308955594</v>
      </c>
      <c r="H1107" s="12">
        <f t="shared" si="158"/>
        <v>713600</v>
      </c>
      <c r="I1107" s="12">
        <f t="shared" si="159"/>
        <v>491300</v>
      </c>
      <c r="J1107" s="12">
        <f>IF(A1107&lt;[3]关卡对接!$A$4,INDEX([3]关卡对接!$C$7:$C$141,A1107),MATCH(E1107,人物经验!$H$24:$H$573,1))</f>
        <v>398</v>
      </c>
      <c r="K1107" s="12">
        <f>IF([3]关卡对接!F1095="",INT(INDEX(人物经验!$J$24:$J$573,关卡!J1107)*关卡!$S$7),[3]关卡对接!F1095)</f>
        <v>17766</v>
      </c>
      <c r="L1107" s="12">
        <f t="shared" si="155"/>
        <v>2</v>
      </c>
      <c r="M1107" s="12">
        <f>L1107/[4]货币基础!$B$4</f>
        <v>200</v>
      </c>
      <c r="N1107" s="12">
        <f>IF(A1107&lt;[3]关卡对接!$A$4,INDEX([3]关卡对接!$E$7:$E$141,A1107),MATCH(E1107,人物经验!$H$24:$H$573,1))</f>
        <v>398</v>
      </c>
      <c r="O1107" s="12">
        <f>INDEX([2]关卡!$G$6:$G$2005,A1107)</f>
        <v>3</v>
      </c>
      <c r="P1107" s="13">
        <v>6</v>
      </c>
      <c r="Q1107" s="12">
        <f>INT(P1107/$S$15/O1107*VLOOKUP(J1107,[1]人物技能基础!$N$3:$O$553,2,0)*$U$15)</f>
        <v>9</v>
      </c>
      <c r="R1107" s="12">
        <f t="shared" si="156"/>
        <v>112</v>
      </c>
    </row>
    <row r="1108" spans="1:18" x14ac:dyDescent="0.15">
      <c r="A1108" s="12">
        <v>1090</v>
      </c>
      <c r="B1108" s="12">
        <f t="shared" ref="B1108:B1171" si="162">MATCH($A1108,$A$5:$A$15,1)-1</f>
        <v>6</v>
      </c>
      <c r="C1108" s="12">
        <f t="shared" ref="C1108:C1171" si="163">INDEX($C$5:$C$15,$B1108+1)*(INDEX($E$5:$E$15,$B1108+1)+INDEX($F$5:$F$15,$B1108+1)*(($A1108-INDEX($A$5:$A$15,$B1108+1)+1)/(INDEX($B$5:$B$15,$B1108+1)-INDEX($A$5:$A$15,$B1108+1)+1))^1+INDEX($G$5:$G$15,$B1108+1)*(($A1108-INDEX($A$5:$A$15,$B1108+1)+1)/(INDEX($B$5:$B$15,$B1108+1)-INDEX($A$5:$A$15,$B1108+1)+1))^2+INDEX($H$5:$H$15,$B1108+1)*(($A1108-INDEX($A$5:$A$15,$B1108+1)+1)/(INDEX($B$5:$B$15,$B1108+1)-INDEX($A$5:$A$15,$B1108+1)+1))^3+INDEX($I$5:$I$15,$B1108+1)*(($A1108-INDEX($A$5:$A$15,$B1108+1)+1)/(INDEX($B$5:$B$15,$B1108+1)-INDEX($A$5:$A$15,$B1108+1)+1))^4)</f>
        <v>2.97675</v>
      </c>
      <c r="D1108" s="12">
        <f t="shared" si="157"/>
        <v>3.4632499999999844E-2</v>
      </c>
      <c r="E1108" s="12">
        <f>SUM($D$19:D1108)</f>
        <v>18.176749999999984</v>
      </c>
      <c r="F1108" s="12">
        <f t="shared" si="160"/>
        <v>198.66990389937504</v>
      </c>
      <c r="G1108" s="12">
        <f t="shared" si="161"/>
        <v>136.71680955937501</v>
      </c>
      <c r="H1108" s="12">
        <f t="shared" si="158"/>
        <v>715200</v>
      </c>
      <c r="I1108" s="12">
        <f t="shared" si="159"/>
        <v>492100</v>
      </c>
      <c r="J1108" s="12">
        <f>IF(A1108&lt;[3]关卡对接!$A$4,INDEX([3]关卡对接!$C$7:$C$141,A1108),MATCH(E1108,人物经验!$H$24:$H$573,1))</f>
        <v>398</v>
      </c>
      <c r="K1108" s="12">
        <f>IF([3]关卡对接!F1096="",INT(INDEX(人物经验!$J$24:$J$573,关卡!J1108)*关卡!$S$7),[3]关卡对接!F1096)</f>
        <v>17766</v>
      </c>
      <c r="L1108" s="12">
        <f t="shared" ref="L1108:L1171" si="164">VLOOKUP(A1108,$A$5:$J$15,10,1)</f>
        <v>2</v>
      </c>
      <c r="M1108" s="12">
        <f>L1108/[4]货币基础!$B$4</f>
        <v>200</v>
      </c>
      <c r="N1108" s="12">
        <f>IF(A1108&lt;[3]关卡对接!$A$4,INDEX([3]关卡对接!$E$7:$E$141,A1108),MATCH(E1108,人物经验!$H$24:$H$573,1))</f>
        <v>398</v>
      </c>
      <c r="O1108" s="12">
        <f>INDEX([2]关卡!$G$6:$G$2005,A1108)</f>
        <v>3</v>
      </c>
      <c r="P1108" s="13">
        <v>6</v>
      </c>
      <c r="Q1108" s="12">
        <f>INT(P1108/$S$15/O1108*VLOOKUP(J1108,[1]人物技能基础!$N$3:$O$553,2,0)*$U$15)</f>
        <v>9</v>
      </c>
      <c r="R1108" s="12">
        <f t="shared" ref="R1108:R1171" si="165">INT(Q1108*12.5)</f>
        <v>112</v>
      </c>
    </row>
    <row r="1109" spans="1:18" x14ac:dyDescent="0.15">
      <c r="A1109" s="12">
        <v>1091</v>
      </c>
      <c r="B1109" s="12">
        <f t="shared" si="162"/>
        <v>6</v>
      </c>
      <c r="C1109" s="12">
        <f t="shared" si="163"/>
        <v>3.0114175000000003</v>
      </c>
      <c r="D1109" s="12">
        <f t="shared" si="157"/>
        <v>3.4667500000000295E-2</v>
      </c>
      <c r="E1109" s="12">
        <f>SUM($D$19:D1109)</f>
        <v>18.211417499999985</v>
      </c>
      <c r="F1109" s="12">
        <f t="shared" si="160"/>
        <v>199.09209483283993</v>
      </c>
      <c r="G1109" s="12">
        <f t="shared" si="161"/>
        <v>136.94628830633093</v>
      </c>
      <c r="H1109" s="12">
        <f t="shared" si="158"/>
        <v>716700</v>
      </c>
      <c r="I1109" s="12">
        <f t="shared" si="159"/>
        <v>493000</v>
      </c>
      <c r="J1109" s="12">
        <f>IF(A1109&lt;[3]关卡对接!$A$4,INDEX([3]关卡对接!$C$7:$C$141,A1109),MATCH(E1109,人物经验!$H$24:$H$573,1))</f>
        <v>398</v>
      </c>
      <c r="K1109" s="12">
        <f>IF([3]关卡对接!F1097="",INT(INDEX(人物经验!$J$24:$J$573,关卡!J1109)*关卡!$S$7),[3]关卡对接!F1097)</f>
        <v>17766</v>
      </c>
      <c r="L1109" s="12">
        <f t="shared" si="164"/>
        <v>2</v>
      </c>
      <c r="M1109" s="12">
        <f>L1109/[4]货币基础!$B$4</f>
        <v>200</v>
      </c>
      <c r="N1109" s="12">
        <f>IF(A1109&lt;[3]关卡对接!$A$4,INDEX([3]关卡对接!$E$7:$E$141,A1109),MATCH(E1109,人物经验!$H$24:$H$573,1))</f>
        <v>398</v>
      </c>
      <c r="O1109" s="12">
        <f>INDEX([2]关卡!$G$6:$G$2005,A1109)</f>
        <v>3</v>
      </c>
      <c r="P1109" s="13">
        <v>6</v>
      </c>
      <c r="Q1109" s="12">
        <f>INT(P1109/$S$15/O1109*VLOOKUP(J1109,[1]人物技能基础!$N$3:$O$553,2,0)*$U$15)</f>
        <v>9</v>
      </c>
      <c r="R1109" s="12">
        <f t="shared" si="165"/>
        <v>112</v>
      </c>
    </row>
    <row r="1110" spans="1:18" x14ac:dyDescent="0.15">
      <c r="A1110" s="12">
        <v>1092</v>
      </c>
      <c r="B1110" s="12">
        <f t="shared" si="162"/>
        <v>6</v>
      </c>
      <c r="C1110" s="12">
        <f t="shared" si="163"/>
        <v>3.0461200000000002</v>
      </c>
      <c r="D1110" s="12">
        <f t="shared" si="157"/>
        <v>3.4702499999999858E-2</v>
      </c>
      <c r="E1110" s="12">
        <f>SUM($D$19:D1110)</f>
        <v>18.246119999999983</v>
      </c>
      <c r="F1110" s="12">
        <f t="shared" si="160"/>
        <v>199.51498743294405</v>
      </c>
      <c r="G1110" s="12">
        <f t="shared" si="161"/>
        <v>137.17604959832002</v>
      </c>
      <c r="H1110" s="12">
        <f t="shared" si="158"/>
        <v>718200</v>
      </c>
      <c r="I1110" s="12">
        <f t="shared" si="159"/>
        <v>493800</v>
      </c>
      <c r="J1110" s="12">
        <f>IF(A1110&lt;[3]关卡对接!$A$4,INDEX([3]关卡对接!$C$7:$C$141,A1110),MATCH(E1110,人物经验!$H$24:$H$573,1))</f>
        <v>399</v>
      </c>
      <c r="K1110" s="12">
        <f>IF([3]关卡对接!F1098="",INT(INDEX(人物经验!$J$24:$J$573,关卡!J1110)*关卡!$S$7),[3]关卡对接!F1098)</f>
        <v>17918</v>
      </c>
      <c r="L1110" s="12">
        <f t="shared" si="164"/>
        <v>2</v>
      </c>
      <c r="M1110" s="12">
        <f>L1110/[4]货币基础!$B$4</f>
        <v>200</v>
      </c>
      <c r="N1110" s="12">
        <f>IF(A1110&lt;[3]关卡对接!$A$4,INDEX([3]关卡对接!$E$7:$E$141,A1110),MATCH(E1110,人物经验!$H$24:$H$573,1))</f>
        <v>399</v>
      </c>
      <c r="O1110" s="12">
        <f>INDEX([2]关卡!$G$6:$G$2005,A1110)</f>
        <v>3</v>
      </c>
      <c r="P1110" s="13">
        <v>6</v>
      </c>
      <c r="Q1110" s="12">
        <f>INT(P1110/$S$15/O1110*VLOOKUP(J1110,[1]人物技能基础!$N$3:$O$553,2,0)*$U$15)</f>
        <v>9</v>
      </c>
      <c r="R1110" s="12">
        <f t="shared" si="165"/>
        <v>112</v>
      </c>
    </row>
    <row r="1111" spans="1:18" x14ac:dyDescent="0.15">
      <c r="A1111" s="12">
        <v>1093</v>
      </c>
      <c r="B1111" s="12">
        <f t="shared" si="162"/>
        <v>6</v>
      </c>
      <c r="C1111" s="12">
        <f t="shared" si="163"/>
        <v>3.0808575</v>
      </c>
      <c r="D1111" s="12">
        <f t="shared" si="157"/>
        <v>3.4737499999999866E-2</v>
      </c>
      <c r="E1111" s="12">
        <f>SUM($D$19:D1111)</f>
        <v>18.280857499999982</v>
      </c>
      <c r="F1111" s="12">
        <f t="shared" si="160"/>
        <v>199.93858257794994</v>
      </c>
      <c r="G1111" s="12">
        <f t="shared" si="161"/>
        <v>137.40609370338092</v>
      </c>
      <c r="H1111" s="12">
        <f t="shared" si="158"/>
        <v>719700</v>
      </c>
      <c r="I1111" s="12">
        <f t="shared" si="159"/>
        <v>494600</v>
      </c>
      <c r="J1111" s="12">
        <f>IF(A1111&lt;[3]关卡对接!$A$4,INDEX([3]关卡对接!$C$7:$C$141,A1111),MATCH(E1111,人物经验!$H$24:$H$573,1))</f>
        <v>399</v>
      </c>
      <c r="K1111" s="12">
        <f>IF([3]关卡对接!F1099="",INT(INDEX(人物经验!$J$24:$J$573,关卡!J1111)*关卡!$S$7),[3]关卡对接!F1099)</f>
        <v>17918</v>
      </c>
      <c r="L1111" s="12">
        <f t="shared" si="164"/>
        <v>2</v>
      </c>
      <c r="M1111" s="12">
        <f>L1111/[4]货币基础!$B$4</f>
        <v>200</v>
      </c>
      <c r="N1111" s="12">
        <f>IF(A1111&lt;[3]关卡对接!$A$4,INDEX([3]关卡对接!$E$7:$E$141,A1111),MATCH(E1111,人物经验!$H$24:$H$573,1))</f>
        <v>399</v>
      </c>
      <c r="O1111" s="12">
        <f>INDEX([2]关卡!$G$6:$G$2005,A1111)</f>
        <v>3</v>
      </c>
      <c r="P1111" s="13">
        <v>6</v>
      </c>
      <c r="Q1111" s="12">
        <f>INT(P1111/$S$15/O1111*VLOOKUP(J1111,[1]人物技能基础!$N$3:$O$553,2,0)*$U$15)</f>
        <v>9</v>
      </c>
      <c r="R1111" s="12">
        <f t="shared" si="165"/>
        <v>112</v>
      </c>
    </row>
    <row r="1112" spans="1:18" x14ac:dyDescent="0.15">
      <c r="A1112" s="12">
        <v>1094</v>
      </c>
      <c r="B1112" s="12">
        <f t="shared" si="162"/>
        <v>6</v>
      </c>
      <c r="C1112" s="12">
        <f t="shared" si="163"/>
        <v>3.1156299999999999</v>
      </c>
      <c r="D1112" s="12">
        <f t="shared" si="157"/>
        <v>3.4772499999999873E-2</v>
      </c>
      <c r="E1112" s="12">
        <f>SUM($D$19:D1112)</f>
        <v>18.315629999999981</v>
      </c>
      <c r="F1112" s="12">
        <f t="shared" si="160"/>
        <v>200.36288114671905</v>
      </c>
      <c r="G1112" s="12">
        <f t="shared" si="161"/>
        <v>137.63642088969502</v>
      </c>
      <c r="H1112" s="12">
        <f t="shared" si="158"/>
        <v>721300</v>
      </c>
      <c r="I1112" s="12">
        <f t="shared" si="159"/>
        <v>495400</v>
      </c>
      <c r="J1112" s="12">
        <f>IF(A1112&lt;[3]关卡对接!$A$4,INDEX([3]关卡对接!$C$7:$C$141,A1112),MATCH(E1112,人物经验!$H$24:$H$573,1))</f>
        <v>399</v>
      </c>
      <c r="K1112" s="12">
        <f>IF([3]关卡对接!F1100="",INT(INDEX(人物经验!$J$24:$J$573,关卡!J1112)*关卡!$S$7),[3]关卡对接!F1100)</f>
        <v>17918</v>
      </c>
      <c r="L1112" s="12">
        <f t="shared" si="164"/>
        <v>2</v>
      </c>
      <c r="M1112" s="12">
        <f>L1112/[4]货币基础!$B$4</f>
        <v>200</v>
      </c>
      <c r="N1112" s="12">
        <f>IF(A1112&lt;[3]关卡对接!$A$4,INDEX([3]关卡对接!$E$7:$E$141,A1112),MATCH(E1112,人物经验!$H$24:$H$573,1))</f>
        <v>399</v>
      </c>
      <c r="O1112" s="12">
        <f>INDEX([2]关卡!$G$6:$G$2005,A1112)</f>
        <v>3</v>
      </c>
      <c r="P1112" s="13">
        <v>6</v>
      </c>
      <c r="Q1112" s="12">
        <f>INT(P1112/$S$15/O1112*VLOOKUP(J1112,[1]人物技能基础!$N$3:$O$553,2,0)*$U$15)</f>
        <v>9</v>
      </c>
      <c r="R1112" s="12">
        <f t="shared" si="165"/>
        <v>112</v>
      </c>
    </row>
    <row r="1113" spans="1:18" x14ac:dyDescent="0.15">
      <c r="A1113" s="12">
        <v>1095</v>
      </c>
      <c r="B1113" s="12">
        <f t="shared" si="162"/>
        <v>6</v>
      </c>
      <c r="C1113" s="12">
        <f t="shared" si="163"/>
        <v>3.1504374999999998</v>
      </c>
      <c r="D1113" s="12">
        <f t="shared" si="157"/>
        <v>3.480749999999988E-2</v>
      </c>
      <c r="E1113" s="12">
        <f>SUM($D$19:D1113)</f>
        <v>18.35043749999998</v>
      </c>
      <c r="F1113" s="12">
        <f t="shared" si="160"/>
        <v>200.78788401871094</v>
      </c>
      <c r="G1113" s="12">
        <f t="shared" si="161"/>
        <v>137.86703142558594</v>
      </c>
      <c r="H1113" s="12">
        <f t="shared" si="158"/>
        <v>722800</v>
      </c>
      <c r="I1113" s="12">
        <f t="shared" si="159"/>
        <v>496300</v>
      </c>
      <c r="J1113" s="12">
        <f>IF(A1113&lt;[3]关卡对接!$A$4,INDEX([3]关卡对接!$C$7:$C$141,A1113),MATCH(E1113,人物经验!$H$24:$H$573,1))</f>
        <v>399</v>
      </c>
      <c r="K1113" s="12">
        <f>IF([3]关卡对接!F1101="",INT(INDEX(人物经验!$J$24:$J$573,关卡!J1113)*关卡!$S$7),[3]关卡对接!F1101)</f>
        <v>17918</v>
      </c>
      <c r="L1113" s="12">
        <f t="shared" si="164"/>
        <v>2</v>
      </c>
      <c r="M1113" s="12">
        <f>L1113/[4]货币基础!$B$4</f>
        <v>200</v>
      </c>
      <c r="N1113" s="12">
        <f>IF(A1113&lt;[3]关卡对接!$A$4,INDEX([3]关卡对接!$E$7:$E$141,A1113),MATCH(E1113,人物经验!$H$24:$H$573,1))</f>
        <v>399</v>
      </c>
      <c r="O1113" s="12">
        <f>INDEX([2]关卡!$G$6:$G$2005,A1113)</f>
        <v>3</v>
      </c>
      <c r="P1113" s="13">
        <v>6</v>
      </c>
      <c r="Q1113" s="12">
        <f>INT(P1113/$S$15/O1113*VLOOKUP(J1113,[1]人物技能基础!$N$3:$O$553,2,0)*$U$15)</f>
        <v>9</v>
      </c>
      <c r="R1113" s="12">
        <f t="shared" si="165"/>
        <v>112</v>
      </c>
    </row>
    <row r="1114" spans="1:18" x14ac:dyDescent="0.15">
      <c r="A1114" s="12">
        <v>1096</v>
      </c>
      <c r="B1114" s="12">
        <f t="shared" si="162"/>
        <v>6</v>
      </c>
      <c r="C1114" s="12">
        <f t="shared" si="163"/>
        <v>3.1852800000000001</v>
      </c>
      <c r="D1114" s="12">
        <f t="shared" si="157"/>
        <v>3.4842500000000332E-2</v>
      </c>
      <c r="E1114" s="12">
        <f>SUM($D$19:D1114)</f>
        <v>18.38527999999998</v>
      </c>
      <c r="F1114" s="12">
        <f t="shared" si="160"/>
        <v>201.21359207398407</v>
      </c>
      <c r="G1114" s="12">
        <f t="shared" si="161"/>
        <v>138.09792557952002</v>
      </c>
      <c r="H1114" s="12">
        <f t="shared" si="158"/>
        <v>724300</v>
      </c>
      <c r="I1114" s="12">
        <f t="shared" si="159"/>
        <v>497100</v>
      </c>
      <c r="J1114" s="12">
        <f>IF(A1114&lt;[3]关卡对接!$A$4,INDEX([3]关卡对接!$C$7:$C$141,A1114),MATCH(E1114,人物经验!$H$24:$H$573,1))</f>
        <v>400</v>
      </c>
      <c r="K1114" s="12">
        <f>IF([3]关卡对接!F1102="",INT(INDEX(人物经验!$J$24:$J$573,关卡!J1114)*关卡!$S$7),[3]关卡对接!F1102)</f>
        <v>18070</v>
      </c>
      <c r="L1114" s="12">
        <f t="shared" si="164"/>
        <v>2</v>
      </c>
      <c r="M1114" s="12">
        <f>L1114/[4]货币基础!$B$4</f>
        <v>200</v>
      </c>
      <c r="N1114" s="12">
        <f>IF(A1114&lt;[3]关卡对接!$A$4,INDEX([3]关卡对接!$E$7:$E$141,A1114),MATCH(E1114,人物经验!$H$24:$H$573,1))</f>
        <v>400</v>
      </c>
      <c r="O1114" s="12">
        <f>INDEX([2]关卡!$G$6:$G$2005,A1114)</f>
        <v>3</v>
      </c>
      <c r="P1114" s="13">
        <v>6</v>
      </c>
      <c r="Q1114" s="12">
        <f>INT(P1114/$S$15/O1114*VLOOKUP(J1114,[1]人物技能基础!$N$3:$O$553,2,0)*$U$15)</f>
        <v>9</v>
      </c>
      <c r="R1114" s="12">
        <f t="shared" si="165"/>
        <v>112</v>
      </c>
    </row>
    <row r="1115" spans="1:18" x14ac:dyDescent="0.15">
      <c r="A1115" s="12">
        <v>1097</v>
      </c>
      <c r="B1115" s="12">
        <f t="shared" si="162"/>
        <v>6</v>
      </c>
      <c r="C1115" s="12">
        <f t="shared" si="163"/>
        <v>3.2201575</v>
      </c>
      <c r="D1115" s="12">
        <f t="shared" si="157"/>
        <v>3.4877499999999895E-2</v>
      </c>
      <c r="E1115" s="12">
        <f>SUM($D$19:D1115)</f>
        <v>18.420157499999981</v>
      </c>
      <c r="F1115" s="12">
        <f t="shared" si="160"/>
        <v>201.64000619319492</v>
      </c>
      <c r="G1115" s="12">
        <f t="shared" si="161"/>
        <v>138.32910362010591</v>
      </c>
      <c r="H1115" s="12">
        <f t="shared" si="158"/>
        <v>725900</v>
      </c>
      <c r="I1115" s="12">
        <f t="shared" si="159"/>
        <v>497900</v>
      </c>
      <c r="J1115" s="12">
        <f>IF(A1115&lt;[3]关卡对接!$A$4,INDEX([3]关卡对接!$C$7:$C$141,A1115),MATCH(E1115,人物经验!$H$24:$H$573,1))</f>
        <v>400</v>
      </c>
      <c r="K1115" s="12">
        <f>IF([3]关卡对接!F1103="",INT(INDEX(人物经验!$J$24:$J$573,关卡!J1115)*关卡!$S$7),[3]关卡对接!F1103)</f>
        <v>18070</v>
      </c>
      <c r="L1115" s="12">
        <f t="shared" si="164"/>
        <v>2</v>
      </c>
      <c r="M1115" s="12">
        <f>L1115/[4]货币基础!$B$4</f>
        <v>200</v>
      </c>
      <c r="N1115" s="12">
        <f>IF(A1115&lt;[3]关卡对接!$A$4,INDEX([3]关卡对接!$E$7:$E$141,A1115),MATCH(E1115,人物经验!$H$24:$H$573,1))</f>
        <v>400</v>
      </c>
      <c r="O1115" s="12">
        <f>INDEX([2]关卡!$G$6:$G$2005,A1115)</f>
        <v>3</v>
      </c>
      <c r="P1115" s="13">
        <v>6</v>
      </c>
      <c r="Q1115" s="12">
        <f>INT(P1115/$S$15/O1115*VLOOKUP(J1115,[1]人物技能基础!$N$3:$O$553,2,0)*$U$15)</f>
        <v>9</v>
      </c>
      <c r="R1115" s="12">
        <f t="shared" si="165"/>
        <v>112</v>
      </c>
    </row>
    <row r="1116" spans="1:18" x14ac:dyDescent="0.15">
      <c r="A1116" s="12">
        <v>1098</v>
      </c>
      <c r="B1116" s="12">
        <f t="shared" si="162"/>
        <v>6</v>
      </c>
      <c r="C1116" s="12">
        <f t="shared" si="163"/>
        <v>3.2550699999999999</v>
      </c>
      <c r="D1116" s="12">
        <f t="shared" si="157"/>
        <v>3.4912499999999902E-2</v>
      </c>
      <c r="E1116" s="12">
        <f>SUM($D$19:D1116)</f>
        <v>18.455069999999981</v>
      </c>
      <c r="F1116" s="12">
        <f t="shared" si="160"/>
        <v>202.06712725759903</v>
      </c>
      <c r="G1116" s="12">
        <f t="shared" si="161"/>
        <v>138.56056581609502</v>
      </c>
      <c r="H1116" s="12">
        <f t="shared" si="158"/>
        <v>727400</v>
      </c>
      <c r="I1116" s="12">
        <f t="shared" si="159"/>
        <v>498800</v>
      </c>
      <c r="J1116" s="12">
        <f>IF(A1116&lt;[3]关卡对接!$A$4,INDEX([3]关卡对接!$C$7:$C$141,A1116),MATCH(E1116,人物经验!$H$24:$H$573,1))</f>
        <v>400</v>
      </c>
      <c r="K1116" s="12">
        <f>IF([3]关卡对接!F1104="",INT(INDEX(人物经验!$J$24:$J$573,关卡!J1116)*关卡!$S$7),[3]关卡对接!F1104)</f>
        <v>18070</v>
      </c>
      <c r="L1116" s="12">
        <f t="shared" si="164"/>
        <v>2</v>
      </c>
      <c r="M1116" s="12">
        <f>L1116/[4]货币基础!$B$4</f>
        <v>200</v>
      </c>
      <c r="N1116" s="12">
        <f>IF(A1116&lt;[3]关卡对接!$A$4,INDEX([3]关卡对接!$E$7:$E$141,A1116),MATCH(E1116,人物经验!$H$24:$H$573,1))</f>
        <v>400</v>
      </c>
      <c r="O1116" s="12">
        <f>INDEX([2]关卡!$G$6:$G$2005,A1116)</f>
        <v>3</v>
      </c>
      <c r="P1116" s="13">
        <v>6</v>
      </c>
      <c r="Q1116" s="12">
        <f>INT(P1116/$S$15/O1116*VLOOKUP(J1116,[1]人物技能基础!$N$3:$O$553,2,0)*$U$15)</f>
        <v>9</v>
      </c>
      <c r="R1116" s="12">
        <f t="shared" si="165"/>
        <v>112</v>
      </c>
    </row>
    <row r="1117" spans="1:18" x14ac:dyDescent="0.15">
      <c r="A1117" s="12">
        <v>1099</v>
      </c>
      <c r="B1117" s="12">
        <f t="shared" si="162"/>
        <v>6</v>
      </c>
      <c r="C1117" s="12">
        <f t="shared" si="163"/>
        <v>3.2900174999999998</v>
      </c>
      <c r="D1117" s="12">
        <f t="shared" si="157"/>
        <v>3.4947499999999909E-2</v>
      </c>
      <c r="E1117" s="12">
        <f>SUM($D$19:D1117)</f>
        <v>18.490017499999983</v>
      </c>
      <c r="F1117" s="12">
        <f t="shared" si="160"/>
        <v>202.49495614904993</v>
      </c>
      <c r="G1117" s="12">
        <f t="shared" si="161"/>
        <v>138.79231243638094</v>
      </c>
      <c r="H1117" s="12">
        <f t="shared" si="158"/>
        <v>728900</v>
      </c>
      <c r="I1117" s="12">
        <f t="shared" si="159"/>
        <v>499600</v>
      </c>
      <c r="J1117" s="12">
        <f>IF(A1117&lt;[3]关卡对接!$A$4,INDEX([3]关卡对接!$C$7:$C$141,A1117),MATCH(E1117,人物经验!$H$24:$H$573,1))</f>
        <v>400</v>
      </c>
      <c r="K1117" s="12">
        <f>IF([3]关卡对接!F1105="",INT(INDEX(人物经验!$J$24:$J$573,关卡!J1117)*关卡!$S$7),[3]关卡对接!F1105)</f>
        <v>18070</v>
      </c>
      <c r="L1117" s="12">
        <f t="shared" si="164"/>
        <v>2</v>
      </c>
      <c r="M1117" s="12">
        <f>L1117/[4]货币基础!$B$4</f>
        <v>200</v>
      </c>
      <c r="N1117" s="12">
        <f>IF(A1117&lt;[3]关卡对接!$A$4,INDEX([3]关卡对接!$E$7:$E$141,A1117),MATCH(E1117,人物经验!$H$24:$H$573,1))</f>
        <v>400</v>
      </c>
      <c r="O1117" s="12">
        <f>INDEX([2]关卡!$G$6:$G$2005,A1117)</f>
        <v>3</v>
      </c>
      <c r="P1117" s="13">
        <v>6</v>
      </c>
      <c r="Q1117" s="12">
        <f>INT(P1117/$S$15/O1117*VLOOKUP(J1117,[1]人物技能基础!$N$3:$O$553,2,0)*$U$15)</f>
        <v>9</v>
      </c>
      <c r="R1117" s="12">
        <f t="shared" si="165"/>
        <v>112</v>
      </c>
    </row>
    <row r="1118" spans="1:18" x14ac:dyDescent="0.15">
      <c r="A1118" s="12">
        <v>1100</v>
      </c>
      <c r="B1118" s="12">
        <f t="shared" si="162"/>
        <v>6</v>
      </c>
      <c r="C1118" s="12">
        <f t="shared" si="163"/>
        <v>3.3250000000000002</v>
      </c>
      <c r="D1118" s="12">
        <f t="shared" si="157"/>
        <v>3.4982500000000361E-2</v>
      </c>
      <c r="E1118" s="12">
        <f>SUM($D$19:D1118)</f>
        <v>18.524999999999984</v>
      </c>
      <c r="F1118" s="12">
        <f t="shared" si="160"/>
        <v>202.92349375000001</v>
      </c>
      <c r="G1118" s="12">
        <f t="shared" si="161"/>
        <v>139.02434375000001</v>
      </c>
      <c r="H1118" s="12">
        <f t="shared" si="158"/>
        <v>730500</v>
      </c>
      <c r="I1118" s="12">
        <f t="shared" si="159"/>
        <v>500400</v>
      </c>
      <c r="J1118" s="12">
        <f>IF(A1118&lt;[3]关卡对接!$A$4,INDEX([3]关卡对接!$C$7:$C$141,A1118),MATCH(E1118,人物经验!$H$24:$H$573,1))</f>
        <v>401</v>
      </c>
      <c r="K1118" s="12">
        <f>IF([3]关卡对接!F1106="",INT(INDEX(人物经验!$J$24:$J$573,关卡!J1118)*关卡!$S$7),[3]关卡对接!F1106)</f>
        <v>18224</v>
      </c>
      <c r="L1118" s="12">
        <f t="shared" si="164"/>
        <v>2</v>
      </c>
      <c r="M1118" s="12">
        <f>L1118/[4]货币基础!$B$4</f>
        <v>200</v>
      </c>
      <c r="N1118" s="12">
        <f>IF(A1118&lt;[3]关卡对接!$A$4,INDEX([3]关卡对接!$E$7:$E$141,A1118),MATCH(E1118,人物经验!$H$24:$H$573,1))</f>
        <v>401</v>
      </c>
      <c r="O1118" s="12">
        <f>INDEX([2]关卡!$G$6:$G$2005,A1118)</f>
        <v>3</v>
      </c>
      <c r="P1118" s="13">
        <v>6</v>
      </c>
      <c r="Q1118" s="12">
        <f>INT(P1118/$S$15/O1118*VLOOKUP(J1118,[1]人物技能基础!$N$3:$O$553,2,0)*$U$15)</f>
        <v>9</v>
      </c>
      <c r="R1118" s="12">
        <f t="shared" si="165"/>
        <v>112</v>
      </c>
    </row>
    <row r="1119" spans="1:18" x14ac:dyDescent="0.15">
      <c r="A1119" s="12">
        <v>1101</v>
      </c>
      <c r="B1119" s="12">
        <f t="shared" si="162"/>
        <v>6</v>
      </c>
      <c r="C1119" s="12">
        <f t="shared" si="163"/>
        <v>3.3600175000000001</v>
      </c>
      <c r="D1119" s="12">
        <f t="shared" si="157"/>
        <v>3.5017499999999924E-2</v>
      </c>
      <c r="E1119" s="12">
        <f>SUM($D$19:D1119)</f>
        <v>18.560017499999983</v>
      </c>
      <c r="F1119" s="12">
        <f t="shared" si="160"/>
        <v>203.35274094349992</v>
      </c>
      <c r="G1119" s="12">
        <f t="shared" si="161"/>
        <v>139.25666002613093</v>
      </c>
      <c r="H1119" s="12">
        <f t="shared" si="158"/>
        <v>732000</v>
      </c>
      <c r="I1119" s="12">
        <f t="shared" si="159"/>
        <v>501300</v>
      </c>
      <c r="J1119" s="12">
        <f>IF(A1119&lt;[3]关卡对接!$A$4,INDEX([3]关卡对接!$C$7:$C$141,A1119),MATCH(E1119,人物经验!$H$24:$H$573,1))</f>
        <v>401</v>
      </c>
      <c r="K1119" s="12">
        <f>IF([3]关卡对接!F1107="",INT(INDEX(人物经验!$J$24:$J$573,关卡!J1119)*关卡!$S$7),[3]关卡对接!F1107)</f>
        <v>18224</v>
      </c>
      <c r="L1119" s="12">
        <f t="shared" si="164"/>
        <v>2</v>
      </c>
      <c r="M1119" s="12">
        <f>L1119/[4]货币基础!$B$4</f>
        <v>200</v>
      </c>
      <c r="N1119" s="12">
        <f>IF(A1119&lt;[3]关卡对接!$A$4,INDEX([3]关卡对接!$E$7:$E$141,A1119),MATCH(E1119,人物经验!$H$24:$H$573,1))</f>
        <v>401</v>
      </c>
      <c r="O1119" s="12">
        <f>INDEX([2]关卡!$G$6:$G$2005,A1119)</f>
        <v>3</v>
      </c>
      <c r="P1119" s="13">
        <v>6</v>
      </c>
      <c r="Q1119" s="12">
        <f>INT(P1119/$S$15/O1119*VLOOKUP(J1119,[1]人物技能基础!$N$3:$O$553,2,0)*$U$15)</f>
        <v>9</v>
      </c>
      <c r="R1119" s="12">
        <f t="shared" si="165"/>
        <v>112</v>
      </c>
    </row>
    <row r="1120" spans="1:18" x14ac:dyDescent="0.15">
      <c r="A1120" s="12">
        <v>1102</v>
      </c>
      <c r="B1120" s="12">
        <f t="shared" si="162"/>
        <v>6</v>
      </c>
      <c r="C1120" s="12">
        <f t="shared" si="163"/>
        <v>3.39507</v>
      </c>
      <c r="D1120" s="12">
        <f t="shared" si="157"/>
        <v>3.5052499999999931E-2</v>
      </c>
      <c r="E1120" s="12">
        <f>SUM($D$19:D1120)</f>
        <v>18.595069999999982</v>
      </c>
      <c r="F1120" s="12">
        <f t="shared" si="160"/>
        <v>203.78269861319907</v>
      </c>
      <c r="G1120" s="12">
        <f t="shared" si="161"/>
        <v>139.48926153409502</v>
      </c>
      <c r="H1120" s="12">
        <f t="shared" si="158"/>
        <v>733600</v>
      </c>
      <c r="I1120" s="12">
        <f t="shared" si="159"/>
        <v>502100</v>
      </c>
      <c r="J1120" s="12">
        <f>IF(A1120&lt;[3]关卡对接!$A$4,INDEX([3]关卡对接!$C$7:$C$141,A1120),MATCH(E1120,人物经验!$H$24:$H$573,1))</f>
        <v>401</v>
      </c>
      <c r="K1120" s="12">
        <f>IF([3]关卡对接!F1108="",INT(INDEX(人物经验!$J$24:$J$573,关卡!J1120)*关卡!$S$7),[3]关卡对接!F1108)</f>
        <v>18224</v>
      </c>
      <c r="L1120" s="12">
        <f t="shared" si="164"/>
        <v>2</v>
      </c>
      <c r="M1120" s="12">
        <f>L1120/[4]货币基础!$B$4</f>
        <v>200</v>
      </c>
      <c r="N1120" s="12">
        <f>IF(A1120&lt;[3]关卡对接!$A$4,INDEX([3]关卡对接!$E$7:$E$141,A1120),MATCH(E1120,人物经验!$H$24:$H$573,1))</f>
        <v>401</v>
      </c>
      <c r="O1120" s="12">
        <f>INDEX([2]关卡!$G$6:$G$2005,A1120)</f>
        <v>3</v>
      </c>
      <c r="P1120" s="13">
        <v>6</v>
      </c>
      <c r="Q1120" s="12">
        <f>INT(P1120/$S$15/O1120*VLOOKUP(J1120,[1]人物技能基础!$N$3:$O$553,2,0)*$U$15)</f>
        <v>9</v>
      </c>
      <c r="R1120" s="12">
        <f t="shared" si="165"/>
        <v>112</v>
      </c>
    </row>
    <row r="1121" spans="1:18" x14ac:dyDescent="0.15">
      <c r="A1121" s="12">
        <v>1103</v>
      </c>
      <c r="B1121" s="12">
        <f t="shared" si="162"/>
        <v>6</v>
      </c>
      <c r="C1121" s="12">
        <f t="shared" si="163"/>
        <v>3.4301575</v>
      </c>
      <c r="D1121" s="12">
        <f t="shared" si="157"/>
        <v>3.5087499999999938E-2</v>
      </c>
      <c r="E1121" s="12">
        <f>SUM($D$19:D1121)</f>
        <v>18.630157499999981</v>
      </c>
      <c r="F1121" s="12">
        <f t="shared" si="160"/>
        <v>204.21336764334495</v>
      </c>
      <c r="G1121" s="12">
        <f t="shared" si="161"/>
        <v>139.72214854335593</v>
      </c>
      <c r="H1121" s="12">
        <f t="shared" si="158"/>
        <v>735100</v>
      </c>
      <c r="I1121" s="12">
        <f t="shared" si="159"/>
        <v>502900</v>
      </c>
      <c r="J1121" s="12">
        <f>IF(A1121&lt;[3]关卡对接!$A$4,INDEX([3]关卡对接!$C$7:$C$141,A1121),MATCH(E1121,人物经验!$H$24:$H$573,1))</f>
        <v>401</v>
      </c>
      <c r="K1121" s="12">
        <f>IF([3]关卡对接!F1109="",INT(INDEX(人物经验!$J$24:$J$573,关卡!J1121)*关卡!$S$7),[3]关卡对接!F1109)</f>
        <v>18224</v>
      </c>
      <c r="L1121" s="12">
        <f t="shared" si="164"/>
        <v>2</v>
      </c>
      <c r="M1121" s="12">
        <f>L1121/[4]货币基础!$B$4</f>
        <v>200</v>
      </c>
      <c r="N1121" s="12">
        <f>IF(A1121&lt;[3]关卡对接!$A$4,INDEX([3]关卡对接!$E$7:$E$141,A1121),MATCH(E1121,人物经验!$H$24:$H$573,1))</f>
        <v>401</v>
      </c>
      <c r="O1121" s="12">
        <f>INDEX([2]关卡!$G$6:$G$2005,A1121)</f>
        <v>3</v>
      </c>
      <c r="P1121" s="13">
        <v>6</v>
      </c>
      <c r="Q1121" s="12">
        <f>INT(P1121/$S$15/O1121*VLOOKUP(J1121,[1]人物技能基础!$N$3:$O$553,2,0)*$U$15)</f>
        <v>9</v>
      </c>
      <c r="R1121" s="12">
        <f t="shared" si="165"/>
        <v>112</v>
      </c>
    </row>
    <row r="1122" spans="1:18" x14ac:dyDescent="0.15">
      <c r="A1122" s="12">
        <v>1104</v>
      </c>
      <c r="B1122" s="12">
        <f t="shared" si="162"/>
        <v>6</v>
      </c>
      <c r="C1122" s="12">
        <f t="shared" si="163"/>
        <v>3.4652800000000004</v>
      </c>
      <c r="D1122" s="12">
        <f t="shared" si="157"/>
        <v>3.512250000000039E-2</v>
      </c>
      <c r="E1122" s="12">
        <f>SUM($D$19:D1122)</f>
        <v>18.665279999999981</v>
      </c>
      <c r="F1122" s="12">
        <f t="shared" si="160"/>
        <v>204.64474891878405</v>
      </c>
      <c r="G1122" s="12">
        <f t="shared" si="161"/>
        <v>139.95532132352002</v>
      </c>
      <c r="H1122" s="12">
        <f t="shared" si="158"/>
        <v>736700</v>
      </c>
      <c r="I1122" s="12">
        <f t="shared" si="159"/>
        <v>503800</v>
      </c>
      <c r="J1122" s="12">
        <f>IF(A1122&lt;[3]关卡对接!$A$4,INDEX([3]关卡对接!$C$7:$C$141,A1122),MATCH(E1122,人物经验!$H$24:$H$573,1))</f>
        <v>402</v>
      </c>
      <c r="K1122" s="12">
        <f>IF([3]关卡对接!F1110="",INT(INDEX(人物经验!$J$24:$J$573,关卡!J1122)*关卡!$S$7),[3]关卡对接!F1110)</f>
        <v>18379</v>
      </c>
      <c r="L1122" s="12">
        <f t="shared" si="164"/>
        <v>2</v>
      </c>
      <c r="M1122" s="12">
        <f>L1122/[4]货币基础!$B$4</f>
        <v>200</v>
      </c>
      <c r="N1122" s="12">
        <f>IF(A1122&lt;[3]关卡对接!$A$4,INDEX([3]关卡对接!$E$7:$E$141,A1122),MATCH(E1122,人物经验!$H$24:$H$573,1))</f>
        <v>402</v>
      </c>
      <c r="O1122" s="12">
        <f>INDEX([2]关卡!$G$6:$G$2005,A1122)</f>
        <v>3</v>
      </c>
      <c r="P1122" s="13">
        <v>6</v>
      </c>
      <c r="Q1122" s="12">
        <f>INT(P1122/$S$15/O1122*VLOOKUP(J1122,[1]人物技能基础!$N$3:$O$553,2,0)*$U$15)</f>
        <v>9</v>
      </c>
      <c r="R1122" s="12">
        <f t="shared" si="165"/>
        <v>112</v>
      </c>
    </row>
    <row r="1123" spans="1:18" x14ac:dyDescent="0.15">
      <c r="A1123" s="12">
        <v>1105</v>
      </c>
      <c r="B1123" s="12">
        <f t="shared" si="162"/>
        <v>6</v>
      </c>
      <c r="C1123" s="12">
        <f t="shared" si="163"/>
        <v>3.5004375000000003</v>
      </c>
      <c r="D1123" s="12">
        <f t="shared" si="157"/>
        <v>3.5157499999999953E-2</v>
      </c>
      <c r="E1123" s="12">
        <f>SUM($D$19:D1123)</f>
        <v>18.700437499999982</v>
      </c>
      <c r="F1123" s="12">
        <f t="shared" si="160"/>
        <v>205.07684332496095</v>
      </c>
      <c r="G1123" s="12">
        <f t="shared" si="161"/>
        <v>140.18878014433591</v>
      </c>
      <c r="H1123" s="12">
        <f t="shared" si="158"/>
        <v>738200</v>
      </c>
      <c r="I1123" s="12">
        <f t="shared" si="159"/>
        <v>504600</v>
      </c>
      <c r="J1123" s="12">
        <f>IF(A1123&lt;[3]关卡对接!$A$4,INDEX([3]关卡对接!$C$7:$C$141,A1123),MATCH(E1123,人物经验!$H$24:$H$573,1))</f>
        <v>402</v>
      </c>
      <c r="K1123" s="12">
        <f>IF([3]关卡对接!F1111="",INT(INDEX(人物经验!$J$24:$J$573,关卡!J1123)*关卡!$S$7),[3]关卡对接!F1111)</f>
        <v>18379</v>
      </c>
      <c r="L1123" s="12">
        <f t="shared" si="164"/>
        <v>2</v>
      </c>
      <c r="M1123" s="12">
        <f>L1123/[4]货币基础!$B$4</f>
        <v>200</v>
      </c>
      <c r="N1123" s="12">
        <f>IF(A1123&lt;[3]关卡对接!$A$4,INDEX([3]关卡对接!$E$7:$E$141,A1123),MATCH(E1123,人物经验!$H$24:$H$573,1))</f>
        <v>402</v>
      </c>
      <c r="O1123" s="12">
        <f>INDEX([2]关卡!$G$6:$G$2005,A1123)</f>
        <v>3</v>
      </c>
      <c r="P1123" s="13">
        <v>6</v>
      </c>
      <c r="Q1123" s="12">
        <f>INT(P1123/$S$15/O1123*VLOOKUP(J1123,[1]人物技能基础!$N$3:$O$553,2,0)*$U$15)</f>
        <v>9</v>
      </c>
      <c r="R1123" s="12">
        <f t="shared" si="165"/>
        <v>112</v>
      </c>
    </row>
    <row r="1124" spans="1:18" x14ac:dyDescent="0.15">
      <c r="A1124" s="12">
        <v>1106</v>
      </c>
      <c r="B1124" s="12">
        <f t="shared" si="162"/>
        <v>6</v>
      </c>
      <c r="C1124" s="12">
        <f t="shared" si="163"/>
        <v>3.5356300000000003</v>
      </c>
      <c r="D1124" s="12">
        <f t="shared" si="157"/>
        <v>3.519249999999996E-2</v>
      </c>
      <c r="E1124" s="12">
        <f>SUM($D$19:D1124)</f>
        <v>18.735629999999983</v>
      </c>
      <c r="F1124" s="12">
        <f t="shared" si="160"/>
        <v>205.50965174791904</v>
      </c>
      <c r="G1124" s="12">
        <f t="shared" si="161"/>
        <v>140.42252527569502</v>
      </c>
      <c r="H1124" s="12">
        <f t="shared" si="158"/>
        <v>739800</v>
      </c>
      <c r="I1124" s="12">
        <f t="shared" si="159"/>
        <v>505500</v>
      </c>
      <c r="J1124" s="12">
        <f>IF(A1124&lt;[3]关卡对接!$A$4,INDEX([3]关卡对接!$C$7:$C$141,A1124),MATCH(E1124,人物经验!$H$24:$H$573,1))</f>
        <v>402</v>
      </c>
      <c r="K1124" s="12">
        <f>IF([3]关卡对接!F1112="",INT(INDEX(人物经验!$J$24:$J$573,关卡!J1124)*关卡!$S$7),[3]关卡对接!F1112)</f>
        <v>18379</v>
      </c>
      <c r="L1124" s="12">
        <f t="shared" si="164"/>
        <v>2</v>
      </c>
      <c r="M1124" s="12">
        <f>L1124/[4]货币基础!$B$4</f>
        <v>200</v>
      </c>
      <c r="N1124" s="12">
        <f>IF(A1124&lt;[3]关卡对接!$A$4,INDEX([3]关卡对接!$E$7:$E$141,A1124),MATCH(E1124,人物经验!$H$24:$H$573,1))</f>
        <v>402</v>
      </c>
      <c r="O1124" s="12">
        <f>INDEX([2]关卡!$G$6:$G$2005,A1124)</f>
        <v>3</v>
      </c>
      <c r="P1124" s="13">
        <v>6</v>
      </c>
      <c r="Q1124" s="12">
        <f>INT(P1124/$S$15/O1124*VLOOKUP(J1124,[1]人物技能基础!$N$3:$O$553,2,0)*$U$15)</f>
        <v>9</v>
      </c>
      <c r="R1124" s="12">
        <f t="shared" si="165"/>
        <v>112</v>
      </c>
    </row>
    <row r="1125" spans="1:18" x14ac:dyDescent="0.15">
      <c r="A1125" s="12">
        <v>1107</v>
      </c>
      <c r="B1125" s="12">
        <f t="shared" si="162"/>
        <v>6</v>
      </c>
      <c r="C1125" s="12">
        <f t="shared" si="163"/>
        <v>3.5708575000000002</v>
      </c>
      <c r="D1125" s="12">
        <f t="shared" si="157"/>
        <v>3.5227499999999967E-2</v>
      </c>
      <c r="E1125" s="12">
        <f>SUM($D$19:D1125)</f>
        <v>18.770857499999984</v>
      </c>
      <c r="F1125" s="12">
        <f t="shared" si="160"/>
        <v>205.94317507429994</v>
      </c>
      <c r="G1125" s="12">
        <f t="shared" si="161"/>
        <v>140.65655698763092</v>
      </c>
      <c r="H1125" s="12">
        <f t="shared" si="158"/>
        <v>741300</v>
      </c>
      <c r="I1125" s="12">
        <f t="shared" si="159"/>
        <v>506300</v>
      </c>
      <c r="J1125" s="12">
        <f>IF(A1125&lt;[3]关卡对接!$A$4,INDEX([3]关卡对接!$C$7:$C$141,A1125),MATCH(E1125,人物经验!$H$24:$H$573,1))</f>
        <v>402</v>
      </c>
      <c r="K1125" s="12">
        <f>IF([3]关卡对接!F1113="",INT(INDEX(人物经验!$J$24:$J$573,关卡!J1125)*关卡!$S$7),[3]关卡对接!F1113)</f>
        <v>18379</v>
      </c>
      <c r="L1125" s="12">
        <f t="shared" si="164"/>
        <v>2</v>
      </c>
      <c r="M1125" s="12">
        <f>L1125/[4]货币基础!$B$4</f>
        <v>200</v>
      </c>
      <c r="N1125" s="12">
        <f>IF(A1125&lt;[3]关卡对接!$A$4,INDEX([3]关卡对接!$E$7:$E$141,A1125),MATCH(E1125,人物经验!$H$24:$H$573,1))</f>
        <v>402</v>
      </c>
      <c r="O1125" s="12">
        <f>INDEX([2]关卡!$G$6:$G$2005,A1125)</f>
        <v>3</v>
      </c>
      <c r="P1125" s="13">
        <v>6</v>
      </c>
      <c r="Q1125" s="12">
        <f>INT(P1125/$S$15/O1125*VLOOKUP(J1125,[1]人物技能基础!$N$3:$O$553,2,0)*$U$15)</f>
        <v>9</v>
      </c>
      <c r="R1125" s="12">
        <f t="shared" si="165"/>
        <v>112</v>
      </c>
    </row>
    <row r="1126" spans="1:18" x14ac:dyDescent="0.15">
      <c r="A1126" s="12">
        <v>1108</v>
      </c>
      <c r="B1126" s="12">
        <f t="shared" si="162"/>
        <v>6</v>
      </c>
      <c r="C1126" s="12">
        <f t="shared" si="163"/>
        <v>3.6061200000000007</v>
      </c>
      <c r="D1126" s="12">
        <f t="shared" si="157"/>
        <v>3.5262500000000419E-2</v>
      </c>
      <c r="E1126" s="12">
        <f>SUM($D$19:D1126)</f>
        <v>18.806119999999986</v>
      </c>
      <c r="F1126" s="12">
        <f t="shared" si="160"/>
        <v>206.37741419134406</v>
      </c>
      <c r="G1126" s="12">
        <f t="shared" si="161"/>
        <v>140.89087555032</v>
      </c>
      <c r="H1126" s="12">
        <f t="shared" si="158"/>
        <v>742900</v>
      </c>
      <c r="I1126" s="12">
        <f t="shared" si="159"/>
        <v>507200</v>
      </c>
      <c r="J1126" s="12">
        <f>IF(A1126&lt;[3]关卡对接!$A$4,INDEX([3]关卡对接!$C$7:$C$141,A1126),MATCH(E1126,人物经验!$H$24:$H$573,1))</f>
        <v>403</v>
      </c>
      <c r="K1126" s="12">
        <f>IF([3]关卡对接!F1114="",INT(INDEX(人物经验!$J$24:$J$573,关卡!J1126)*关卡!$S$7),[3]关卡对接!F1114)</f>
        <v>18534</v>
      </c>
      <c r="L1126" s="12">
        <f t="shared" si="164"/>
        <v>2</v>
      </c>
      <c r="M1126" s="12">
        <f>L1126/[4]货币基础!$B$4</f>
        <v>200</v>
      </c>
      <c r="N1126" s="12">
        <f>IF(A1126&lt;[3]关卡对接!$A$4,INDEX([3]关卡对接!$E$7:$E$141,A1126),MATCH(E1126,人物经验!$H$24:$H$573,1))</f>
        <v>403</v>
      </c>
      <c r="O1126" s="12">
        <f>INDEX([2]关卡!$G$6:$G$2005,A1126)</f>
        <v>3</v>
      </c>
      <c r="P1126" s="13">
        <v>6</v>
      </c>
      <c r="Q1126" s="12">
        <f>INT(P1126/$S$15/O1126*VLOOKUP(J1126,[1]人物技能基础!$N$3:$O$553,2,0)*$U$15)</f>
        <v>9</v>
      </c>
      <c r="R1126" s="12">
        <f t="shared" si="165"/>
        <v>112</v>
      </c>
    </row>
    <row r="1127" spans="1:18" x14ac:dyDescent="0.15">
      <c r="A1127" s="12">
        <v>1109</v>
      </c>
      <c r="B1127" s="12">
        <f t="shared" si="162"/>
        <v>6</v>
      </c>
      <c r="C1127" s="12">
        <f t="shared" si="163"/>
        <v>3.6414175000000002</v>
      </c>
      <c r="D1127" s="12">
        <f t="shared" si="157"/>
        <v>3.5297499999999538E-2</v>
      </c>
      <c r="E1127" s="12">
        <f>SUM($D$19:D1127)</f>
        <v>18.841417499999984</v>
      </c>
      <c r="F1127" s="12">
        <f t="shared" si="160"/>
        <v>206.81236998688996</v>
      </c>
      <c r="G1127" s="12">
        <f t="shared" si="161"/>
        <v>141.12548123408092</v>
      </c>
      <c r="H1127" s="12">
        <f t="shared" si="158"/>
        <v>744500</v>
      </c>
      <c r="I1127" s="12">
        <f t="shared" si="159"/>
        <v>508000</v>
      </c>
      <c r="J1127" s="12">
        <f>IF(A1127&lt;[3]关卡对接!$A$4,INDEX([3]关卡对接!$C$7:$C$141,A1127),MATCH(E1127,人物经验!$H$24:$H$573,1))</f>
        <v>403</v>
      </c>
      <c r="K1127" s="12">
        <f>IF([3]关卡对接!F1115="",INT(INDEX(人物经验!$J$24:$J$573,关卡!J1127)*关卡!$S$7),[3]关卡对接!F1115)</f>
        <v>18534</v>
      </c>
      <c r="L1127" s="12">
        <f t="shared" si="164"/>
        <v>2</v>
      </c>
      <c r="M1127" s="12">
        <f>L1127/[4]货币基础!$B$4</f>
        <v>200</v>
      </c>
      <c r="N1127" s="12">
        <f>IF(A1127&lt;[3]关卡对接!$A$4,INDEX([3]关卡对接!$E$7:$E$141,A1127),MATCH(E1127,人物经验!$H$24:$H$573,1))</f>
        <v>403</v>
      </c>
      <c r="O1127" s="12">
        <f>INDEX([2]关卡!$G$6:$G$2005,A1127)</f>
        <v>3</v>
      </c>
      <c r="P1127" s="13">
        <v>6</v>
      </c>
      <c r="Q1127" s="12">
        <f>INT(P1127/$S$15/O1127*VLOOKUP(J1127,[1]人物技能基础!$N$3:$O$553,2,0)*$U$15)</f>
        <v>9</v>
      </c>
      <c r="R1127" s="12">
        <f t="shared" si="165"/>
        <v>112</v>
      </c>
    </row>
    <row r="1128" spans="1:18" x14ac:dyDescent="0.15">
      <c r="A1128" s="12">
        <v>1110</v>
      </c>
      <c r="B1128" s="12">
        <f t="shared" si="162"/>
        <v>6</v>
      </c>
      <c r="C1128" s="12">
        <f t="shared" si="163"/>
        <v>3.6767500000000006</v>
      </c>
      <c r="D1128" s="12">
        <f t="shared" si="157"/>
        <v>3.5332500000000433E-2</v>
      </c>
      <c r="E1128" s="12">
        <f>SUM($D$19:D1128)</f>
        <v>18.876749999999983</v>
      </c>
      <c r="F1128" s="12">
        <f t="shared" si="160"/>
        <v>207.24804334937502</v>
      </c>
      <c r="G1128" s="12">
        <f t="shared" si="161"/>
        <v>141.360374309375</v>
      </c>
      <c r="H1128" s="12">
        <f t="shared" si="158"/>
        <v>746000</v>
      </c>
      <c r="I1128" s="12">
        <f t="shared" si="159"/>
        <v>508800</v>
      </c>
      <c r="J1128" s="12">
        <f>IF(A1128&lt;[3]关卡对接!$A$4,INDEX([3]关卡对接!$C$7:$C$141,A1128),MATCH(E1128,人物经验!$H$24:$H$573,1))</f>
        <v>403</v>
      </c>
      <c r="K1128" s="12">
        <f>IF([3]关卡对接!F1116="",INT(INDEX(人物经验!$J$24:$J$573,关卡!J1128)*关卡!$S$7),[3]关卡对接!F1116)</f>
        <v>18534</v>
      </c>
      <c r="L1128" s="12">
        <f t="shared" si="164"/>
        <v>2</v>
      </c>
      <c r="M1128" s="12">
        <f>L1128/[4]货币基础!$B$4</f>
        <v>200</v>
      </c>
      <c r="N1128" s="12">
        <f>IF(A1128&lt;[3]关卡对接!$A$4,INDEX([3]关卡对接!$E$7:$E$141,A1128),MATCH(E1128,人物经验!$H$24:$H$573,1))</f>
        <v>403</v>
      </c>
      <c r="O1128" s="12">
        <f>INDEX([2]关卡!$G$6:$G$2005,A1128)</f>
        <v>3</v>
      </c>
      <c r="P1128" s="13">
        <v>6</v>
      </c>
      <c r="Q1128" s="12">
        <f>INT(P1128/$S$15/O1128*VLOOKUP(J1128,[1]人物技能基础!$N$3:$O$553,2,0)*$U$15)</f>
        <v>9</v>
      </c>
      <c r="R1128" s="12">
        <f t="shared" si="165"/>
        <v>112</v>
      </c>
    </row>
    <row r="1129" spans="1:18" x14ac:dyDescent="0.15">
      <c r="A1129" s="12">
        <v>1111</v>
      </c>
      <c r="B1129" s="12">
        <f t="shared" si="162"/>
        <v>6</v>
      </c>
      <c r="C1129" s="12">
        <f t="shared" si="163"/>
        <v>3.7121175000000002</v>
      </c>
      <c r="D1129" s="12">
        <f t="shared" si="157"/>
        <v>3.5367499999999552E-2</v>
      </c>
      <c r="E1129" s="12">
        <f>SUM($D$19:D1129)</f>
        <v>18.912117499999983</v>
      </c>
      <c r="F1129" s="12">
        <f t="shared" si="160"/>
        <v>207.68443516783495</v>
      </c>
      <c r="G1129" s="12">
        <f t="shared" si="161"/>
        <v>141.59555504680594</v>
      </c>
      <c r="H1129" s="12">
        <f t="shared" si="158"/>
        <v>747600</v>
      </c>
      <c r="I1129" s="12">
        <f t="shared" si="159"/>
        <v>509700</v>
      </c>
      <c r="J1129" s="12">
        <f>IF(A1129&lt;[3]关卡对接!$A$4,INDEX([3]关卡对接!$C$7:$C$141,A1129),MATCH(E1129,人物经验!$H$24:$H$573,1))</f>
        <v>403</v>
      </c>
      <c r="K1129" s="12">
        <f>IF([3]关卡对接!F1117="",INT(INDEX(人物经验!$J$24:$J$573,关卡!J1129)*关卡!$S$7),[3]关卡对接!F1117)</f>
        <v>18534</v>
      </c>
      <c r="L1129" s="12">
        <f t="shared" si="164"/>
        <v>2</v>
      </c>
      <c r="M1129" s="12">
        <f>L1129/[4]货币基础!$B$4</f>
        <v>200</v>
      </c>
      <c r="N1129" s="12">
        <f>IF(A1129&lt;[3]关卡对接!$A$4,INDEX([3]关卡对接!$E$7:$E$141,A1129),MATCH(E1129,人物经验!$H$24:$H$573,1))</f>
        <v>403</v>
      </c>
      <c r="O1129" s="12">
        <f>INDEX([2]关卡!$G$6:$G$2005,A1129)</f>
        <v>3</v>
      </c>
      <c r="P1129" s="13">
        <v>6</v>
      </c>
      <c r="Q1129" s="12">
        <f>INT(P1129/$S$15/O1129*VLOOKUP(J1129,[1]人物技能基础!$N$3:$O$553,2,0)*$U$15)</f>
        <v>9</v>
      </c>
      <c r="R1129" s="12">
        <f t="shared" si="165"/>
        <v>112</v>
      </c>
    </row>
    <row r="1130" spans="1:18" x14ac:dyDescent="0.15">
      <c r="A1130" s="12">
        <v>1112</v>
      </c>
      <c r="B1130" s="12">
        <f t="shared" si="162"/>
        <v>6</v>
      </c>
      <c r="C1130" s="12">
        <f t="shared" si="163"/>
        <v>3.7475200000000011</v>
      </c>
      <c r="D1130" s="12">
        <f t="shared" si="157"/>
        <v>3.5402500000000892E-2</v>
      </c>
      <c r="E1130" s="12">
        <f>SUM($D$19:D1130)</f>
        <v>18.947519999999983</v>
      </c>
      <c r="F1130" s="12">
        <f t="shared" si="160"/>
        <v>208.12154633190409</v>
      </c>
      <c r="G1130" s="12">
        <f t="shared" si="161"/>
        <v>141.83102371712002</v>
      </c>
      <c r="H1130" s="12">
        <f t="shared" si="158"/>
        <v>749200</v>
      </c>
      <c r="I1130" s="12">
        <f t="shared" si="159"/>
        <v>510500</v>
      </c>
      <c r="J1130" s="12">
        <f>IF(A1130&lt;[3]关卡对接!$A$4,INDEX([3]关卡对接!$C$7:$C$141,A1130),MATCH(E1130,人物经验!$H$24:$H$573,1))</f>
        <v>404</v>
      </c>
      <c r="K1130" s="12">
        <f>IF([3]关卡对接!F1118="",INT(INDEX(人物经验!$J$24:$J$573,关卡!J1130)*关卡!$S$7),[3]关卡对接!F1118)</f>
        <v>18691</v>
      </c>
      <c r="L1130" s="12">
        <f t="shared" si="164"/>
        <v>2</v>
      </c>
      <c r="M1130" s="12">
        <f>L1130/[4]货币基础!$B$4</f>
        <v>200</v>
      </c>
      <c r="N1130" s="12">
        <f>IF(A1130&lt;[3]关卡对接!$A$4,INDEX([3]关卡对接!$E$7:$E$141,A1130),MATCH(E1130,人物经验!$H$24:$H$573,1))</f>
        <v>404</v>
      </c>
      <c r="O1130" s="12">
        <f>INDEX([2]关卡!$G$6:$G$2005,A1130)</f>
        <v>3</v>
      </c>
      <c r="P1130" s="13">
        <v>6</v>
      </c>
      <c r="Q1130" s="12">
        <f>INT(P1130/$S$15/O1130*VLOOKUP(J1130,[1]人物技能基础!$N$3:$O$553,2,0)*$U$15)</f>
        <v>9</v>
      </c>
      <c r="R1130" s="12">
        <f t="shared" si="165"/>
        <v>112</v>
      </c>
    </row>
    <row r="1131" spans="1:18" x14ac:dyDescent="0.15">
      <c r="A1131" s="12">
        <v>1113</v>
      </c>
      <c r="B1131" s="12">
        <f t="shared" si="162"/>
        <v>6</v>
      </c>
      <c r="C1131" s="12">
        <f t="shared" si="163"/>
        <v>3.7829574999999993</v>
      </c>
      <c r="D1131" s="12">
        <f t="shared" si="157"/>
        <v>3.5437499999998234E-2</v>
      </c>
      <c r="E1131" s="12">
        <f>SUM($D$19:D1131)</f>
        <v>18.98295749999998</v>
      </c>
      <c r="F1131" s="12">
        <f t="shared" si="160"/>
        <v>208.55937773181495</v>
      </c>
      <c r="G1131" s="12">
        <f t="shared" si="161"/>
        <v>142.06678059120594</v>
      </c>
      <c r="H1131" s="12">
        <f t="shared" si="158"/>
        <v>750800</v>
      </c>
      <c r="I1131" s="12">
        <f t="shared" si="159"/>
        <v>511400</v>
      </c>
      <c r="J1131" s="12">
        <f>IF(A1131&lt;[3]关卡对接!$A$4,INDEX([3]关卡对接!$C$7:$C$141,A1131),MATCH(E1131,人物经验!$H$24:$H$573,1))</f>
        <v>404</v>
      </c>
      <c r="K1131" s="12">
        <f>IF([3]关卡对接!F1119="",INT(INDEX(人物经验!$J$24:$J$573,关卡!J1131)*关卡!$S$7),[3]关卡对接!F1119)</f>
        <v>18691</v>
      </c>
      <c r="L1131" s="12">
        <f t="shared" si="164"/>
        <v>2</v>
      </c>
      <c r="M1131" s="12">
        <f>L1131/[4]货币基础!$B$4</f>
        <v>200</v>
      </c>
      <c r="N1131" s="12">
        <f>IF(A1131&lt;[3]关卡对接!$A$4,INDEX([3]关卡对接!$E$7:$E$141,A1131),MATCH(E1131,人物经验!$H$24:$H$573,1))</f>
        <v>404</v>
      </c>
      <c r="O1131" s="12">
        <f>INDEX([2]关卡!$G$6:$G$2005,A1131)</f>
        <v>3</v>
      </c>
      <c r="P1131" s="13">
        <v>6</v>
      </c>
      <c r="Q1131" s="12">
        <f>INT(P1131/$S$15/O1131*VLOOKUP(J1131,[1]人物技能基础!$N$3:$O$553,2,0)*$U$15)</f>
        <v>9</v>
      </c>
      <c r="R1131" s="12">
        <f t="shared" si="165"/>
        <v>112</v>
      </c>
    </row>
    <row r="1132" spans="1:18" x14ac:dyDescent="0.15">
      <c r="A1132" s="12">
        <v>1114</v>
      </c>
      <c r="B1132" s="12">
        <f t="shared" si="162"/>
        <v>6</v>
      </c>
      <c r="C1132" s="12">
        <f t="shared" si="163"/>
        <v>3.8184300000000002</v>
      </c>
      <c r="D1132" s="12">
        <f t="shared" si="157"/>
        <v>3.5472500000000906E-2</v>
      </c>
      <c r="E1132" s="12">
        <f>SUM($D$19:D1132)</f>
        <v>19.018429999999981</v>
      </c>
      <c r="F1132" s="12">
        <f t="shared" si="160"/>
        <v>208.99793025839901</v>
      </c>
      <c r="G1132" s="12">
        <f t="shared" si="161"/>
        <v>142.30282594009503</v>
      </c>
      <c r="H1132" s="12">
        <f t="shared" si="158"/>
        <v>752300</v>
      </c>
      <c r="I1132" s="12">
        <f t="shared" si="159"/>
        <v>512200</v>
      </c>
      <c r="J1132" s="12">
        <f>IF(A1132&lt;[3]关卡对接!$A$4,INDEX([3]关卡对接!$C$7:$C$141,A1132),MATCH(E1132,人物经验!$H$24:$H$573,1))</f>
        <v>404</v>
      </c>
      <c r="K1132" s="12">
        <f>IF([3]关卡对接!F1120="",INT(INDEX(人物经验!$J$24:$J$573,关卡!J1132)*关卡!$S$7),[3]关卡对接!F1120)</f>
        <v>18691</v>
      </c>
      <c r="L1132" s="12">
        <f t="shared" si="164"/>
        <v>2</v>
      </c>
      <c r="M1132" s="12">
        <f>L1132/[4]货币基础!$B$4</f>
        <v>200</v>
      </c>
      <c r="N1132" s="12">
        <f>IF(A1132&lt;[3]关卡对接!$A$4,INDEX([3]关卡对接!$E$7:$E$141,A1132),MATCH(E1132,人物经验!$H$24:$H$573,1))</f>
        <v>404</v>
      </c>
      <c r="O1132" s="12">
        <f>INDEX([2]关卡!$G$6:$G$2005,A1132)</f>
        <v>3</v>
      </c>
      <c r="P1132" s="13">
        <v>6</v>
      </c>
      <c r="Q1132" s="12">
        <f>INT(P1132/$S$15/O1132*VLOOKUP(J1132,[1]人物技能基础!$N$3:$O$553,2,0)*$U$15)</f>
        <v>9</v>
      </c>
      <c r="R1132" s="12">
        <f t="shared" si="165"/>
        <v>112</v>
      </c>
    </row>
    <row r="1133" spans="1:18" x14ac:dyDescent="0.15">
      <c r="A1133" s="12">
        <v>1115</v>
      </c>
      <c r="B1133" s="12">
        <f t="shared" si="162"/>
        <v>6</v>
      </c>
      <c r="C1133" s="12">
        <f t="shared" si="163"/>
        <v>3.8539374999999998</v>
      </c>
      <c r="D1133" s="12">
        <f t="shared" si="157"/>
        <v>3.5507499999999581E-2</v>
      </c>
      <c r="E1133" s="12">
        <f>SUM($D$19:D1133)</f>
        <v>19.053937499999982</v>
      </c>
      <c r="F1133" s="12">
        <f t="shared" si="160"/>
        <v>209.43720480308593</v>
      </c>
      <c r="G1133" s="12">
        <f t="shared" si="161"/>
        <v>142.53916003496093</v>
      </c>
      <c r="H1133" s="12">
        <f t="shared" si="158"/>
        <v>753900</v>
      </c>
      <c r="I1133" s="12">
        <f t="shared" si="159"/>
        <v>513100</v>
      </c>
      <c r="J1133" s="12">
        <f>IF(A1133&lt;[3]关卡对接!$A$4,INDEX([3]关卡对接!$C$7:$C$141,A1133),MATCH(E1133,人物经验!$H$24:$H$573,1))</f>
        <v>404</v>
      </c>
      <c r="K1133" s="12">
        <f>IF([3]关卡对接!F1121="",INT(INDEX(人物经验!$J$24:$J$573,关卡!J1133)*关卡!$S$7),[3]关卡对接!F1121)</f>
        <v>18691</v>
      </c>
      <c r="L1133" s="12">
        <f t="shared" si="164"/>
        <v>2</v>
      </c>
      <c r="M1133" s="12">
        <f>L1133/[4]货币基础!$B$4</f>
        <v>200</v>
      </c>
      <c r="N1133" s="12">
        <f>IF(A1133&lt;[3]关卡对接!$A$4,INDEX([3]关卡对接!$E$7:$E$141,A1133),MATCH(E1133,人物经验!$H$24:$H$573,1))</f>
        <v>404</v>
      </c>
      <c r="O1133" s="12">
        <f>INDEX([2]关卡!$G$6:$G$2005,A1133)</f>
        <v>3</v>
      </c>
      <c r="P1133" s="13">
        <v>6</v>
      </c>
      <c r="Q1133" s="12">
        <f>INT(P1133/$S$15/O1133*VLOOKUP(J1133,[1]人物技能基础!$N$3:$O$553,2,0)*$U$15)</f>
        <v>9</v>
      </c>
      <c r="R1133" s="12">
        <f t="shared" si="165"/>
        <v>112</v>
      </c>
    </row>
    <row r="1134" spans="1:18" x14ac:dyDescent="0.15">
      <c r="A1134" s="12">
        <v>1116</v>
      </c>
      <c r="B1134" s="12">
        <f t="shared" si="162"/>
        <v>6</v>
      </c>
      <c r="C1134" s="12">
        <f t="shared" si="163"/>
        <v>3.8894800000000003</v>
      </c>
      <c r="D1134" s="12">
        <f t="shared" si="157"/>
        <v>3.5542500000000476E-2</v>
      </c>
      <c r="E1134" s="12">
        <f>SUM($D$19:D1134)</f>
        <v>19.089479999999984</v>
      </c>
      <c r="F1134" s="12">
        <f t="shared" si="160"/>
        <v>209.87720225790406</v>
      </c>
      <c r="G1134" s="12">
        <f t="shared" si="161"/>
        <v>142.77578314712005</v>
      </c>
      <c r="H1134" s="12">
        <f t="shared" si="158"/>
        <v>755500</v>
      </c>
      <c r="I1134" s="12">
        <f t="shared" si="159"/>
        <v>513900</v>
      </c>
      <c r="J1134" s="12">
        <f>IF(A1134&lt;[3]关卡对接!$A$4,INDEX([3]关卡对接!$C$7:$C$141,A1134),MATCH(E1134,人物经验!$H$24:$H$573,1))</f>
        <v>405</v>
      </c>
      <c r="K1134" s="12">
        <f>IF([3]关卡对接!F1122="",INT(INDEX(人物经验!$J$24:$J$573,关卡!J1134)*关卡!$S$7),[3]关卡对接!F1122)</f>
        <v>18849</v>
      </c>
      <c r="L1134" s="12">
        <f t="shared" si="164"/>
        <v>2</v>
      </c>
      <c r="M1134" s="12">
        <f>L1134/[4]货币基础!$B$4</f>
        <v>200</v>
      </c>
      <c r="N1134" s="12">
        <f>IF(A1134&lt;[3]关卡对接!$A$4,INDEX([3]关卡对接!$E$7:$E$141,A1134),MATCH(E1134,人物经验!$H$24:$H$573,1))</f>
        <v>405</v>
      </c>
      <c r="O1134" s="12">
        <f>INDEX([2]关卡!$G$6:$G$2005,A1134)</f>
        <v>3</v>
      </c>
      <c r="P1134" s="13">
        <v>6</v>
      </c>
      <c r="Q1134" s="12">
        <f>INT(P1134/$S$15/O1134*VLOOKUP(J1134,[1]人物技能基础!$N$3:$O$553,2,0)*$U$15)</f>
        <v>9</v>
      </c>
      <c r="R1134" s="12">
        <f t="shared" si="165"/>
        <v>112</v>
      </c>
    </row>
    <row r="1135" spans="1:18" x14ac:dyDescent="0.15">
      <c r="A1135" s="12">
        <v>1117</v>
      </c>
      <c r="B1135" s="12">
        <f t="shared" si="162"/>
        <v>6</v>
      </c>
      <c r="C1135" s="12">
        <f t="shared" si="163"/>
        <v>3.9250575000000003</v>
      </c>
      <c r="D1135" s="12">
        <f t="shared" si="157"/>
        <v>3.557750000000004E-2</v>
      </c>
      <c r="E1135" s="12">
        <f>SUM($D$19:D1135)</f>
        <v>19.125057499999983</v>
      </c>
      <c r="F1135" s="12">
        <f t="shared" si="160"/>
        <v>210.31792351547995</v>
      </c>
      <c r="G1135" s="12">
        <f t="shared" si="161"/>
        <v>143.01269554803096</v>
      </c>
      <c r="H1135" s="12">
        <f t="shared" si="158"/>
        <v>757100</v>
      </c>
      <c r="I1135" s="12">
        <f t="shared" si="159"/>
        <v>514800</v>
      </c>
      <c r="J1135" s="12">
        <f>IF(A1135&lt;[3]关卡对接!$A$4,INDEX([3]关卡对接!$C$7:$C$141,A1135),MATCH(E1135,人物经验!$H$24:$H$573,1))</f>
        <v>405</v>
      </c>
      <c r="K1135" s="12">
        <f>IF([3]关卡对接!F1123="",INT(INDEX(人物经验!$J$24:$J$573,关卡!J1135)*关卡!$S$7),[3]关卡对接!F1123)</f>
        <v>18849</v>
      </c>
      <c r="L1135" s="12">
        <f t="shared" si="164"/>
        <v>2</v>
      </c>
      <c r="M1135" s="12">
        <f>L1135/[4]货币基础!$B$4</f>
        <v>200</v>
      </c>
      <c r="N1135" s="12">
        <f>IF(A1135&lt;[3]关卡对接!$A$4,INDEX([3]关卡对接!$E$7:$E$141,A1135),MATCH(E1135,人物经验!$H$24:$H$573,1))</f>
        <v>405</v>
      </c>
      <c r="O1135" s="12">
        <f>INDEX([2]关卡!$G$6:$G$2005,A1135)</f>
        <v>3</v>
      </c>
      <c r="P1135" s="13">
        <v>6</v>
      </c>
      <c r="Q1135" s="12">
        <f>INT(P1135/$S$15/O1135*VLOOKUP(J1135,[1]人物技能基础!$N$3:$O$553,2,0)*$U$15)</f>
        <v>9</v>
      </c>
      <c r="R1135" s="12">
        <f t="shared" si="165"/>
        <v>112</v>
      </c>
    </row>
    <row r="1136" spans="1:18" x14ac:dyDescent="0.15">
      <c r="A1136" s="12">
        <v>1118</v>
      </c>
      <c r="B1136" s="12">
        <f t="shared" si="162"/>
        <v>6</v>
      </c>
      <c r="C1136" s="12">
        <f t="shared" si="163"/>
        <v>3.9606700000000004</v>
      </c>
      <c r="D1136" s="12">
        <f t="shared" si="157"/>
        <v>3.5612500000000047E-2</v>
      </c>
      <c r="E1136" s="12">
        <f>SUM($D$19:D1136)</f>
        <v>19.160669999999982</v>
      </c>
      <c r="F1136" s="12">
        <f t="shared" si="160"/>
        <v>210.75936946903906</v>
      </c>
      <c r="G1136" s="12">
        <f t="shared" si="161"/>
        <v>143.24989750929504</v>
      </c>
      <c r="H1136" s="12">
        <f t="shared" si="158"/>
        <v>758700</v>
      </c>
      <c r="I1136" s="12">
        <f t="shared" si="159"/>
        <v>515600</v>
      </c>
      <c r="J1136" s="12">
        <f>IF(A1136&lt;[3]关卡对接!$A$4,INDEX([3]关卡对接!$C$7:$C$141,A1136),MATCH(E1136,人物经验!$H$24:$H$573,1))</f>
        <v>405</v>
      </c>
      <c r="K1136" s="12">
        <f>IF([3]关卡对接!F1124="",INT(INDEX(人物经验!$J$24:$J$573,关卡!J1136)*关卡!$S$7),[3]关卡对接!F1124)</f>
        <v>18849</v>
      </c>
      <c r="L1136" s="12">
        <f t="shared" si="164"/>
        <v>2</v>
      </c>
      <c r="M1136" s="12">
        <f>L1136/[4]货币基础!$B$4</f>
        <v>200</v>
      </c>
      <c r="N1136" s="12">
        <f>IF(A1136&lt;[3]关卡对接!$A$4,INDEX([3]关卡对接!$E$7:$E$141,A1136),MATCH(E1136,人物经验!$H$24:$H$573,1))</f>
        <v>405</v>
      </c>
      <c r="O1136" s="12">
        <f>INDEX([2]关卡!$G$6:$G$2005,A1136)</f>
        <v>3</v>
      </c>
      <c r="P1136" s="13">
        <v>6</v>
      </c>
      <c r="Q1136" s="12">
        <f>INT(P1136/$S$15/O1136*VLOOKUP(J1136,[1]人物技能基础!$N$3:$O$553,2,0)*$U$15)</f>
        <v>9</v>
      </c>
      <c r="R1136" s="12">
        <f t="shared" si="165"/>
        <v>112</v>
      </c>
    </row>
    <row r="1137" spans="1:18" x14ac:dyDescent="0.15">
      <c r="A1137" s="12">
        <v>1119</v>
      </c>
      <c r="B1137" s="12">
        <f t="shared" si="162"/>
        <v>6</v>
      </c>
      <c r="C1137" s="12">
        <f t="shared" si="163"/>
        <v>3.9963175</v>
      </c>
      <c r="D1137" s="12">
        <f t="shared" si="157"/>
        <v>3.564749999999961E-2</v>
      </c>
      <c r="E1137" s="12">
        <f>SUM($D$19:D1137)</f>
        <v>19.196317499999981</v>
      </c>
      <c r="F1137" s="12">
        <f t="shared" si="160"/>
        <v>211.20154101240496</v>
      </c>
      <c r="G1137" s="12">
        <f t="shared" si="161"/>
        <v>143.48738930265594</v>
      </c>
      <c r="H1137" s="12">
        <f t="shared" si="158"/>
        <v>760300</v>
      </c>
      <c r="I1137" s="12">
        <f t="shared" si="159"/>
        <v>516500</v>
      </c>
      <c r="J1137" s="12">
        <f>IF(A1137&lt;[3]关卡对接!$A$4,INDEX([3]关卡对接!$C$7:$C$141,A1137),MATCH(E1137,人物经验!$H$24:$H$573,1))</f>
        <v>405</v>
      </c>
      <c r="K1137" s="12">
        <f>IF([3]关卡对接!F1125="",INT(INDEX(人物经验!$J$24:$J$573,关卡!J1137)*关卡!$S$7),[3]关卡对接!F1125)</f>
        <v>18849</v>
      </c>
      <c r="L1137" s="12">
        <f t="shared" si="164"/>
        <v>2</v>
      </c>
      <c r="M1137" s="12">
        <f>L1137/[4]货币基础!$B$4</f>
        <v>200</v>
      </c>
      <c r="N1137" s="12">
        <f>IF(A1137&lt;[3]关卡对接!$A$4,INDEX([3]关卡对接!$E$7:$E$141,A1137),MATCH(E1137,人物经验!$H$24:$H$573,1))</f>
        <v>405</v>
      </c>
      <c r="O1137" s="12">
        <f>INDEX([2]关卡!$G$6:$G$2005,A1137)</f>
        <v>3</v>
      </c>
      <c r="P1137" s="13">
        <v>6</v>
      </c>
      <c r="Q1137" s="12">
        <f>INT(P1137/$S$15/O1137*VLOOKUP(J1137,[1]人物技能基础!$N$3:$O$553,2,0)*$U$15)</f>
        <v>9</v>
      </c>
      <c r="R1137" s="12">
        <f t="shared" si="165"/>
        <v>112</v>
      </c>
    </row>
    <row r="1138" spans="1:18" x14ac:dyDescent="0.15">
      <c r="A1138" s="12">
        <v>1120</v>
      </c>
      <c r="B1138" s="12">
        <f t="shared" si="162"/>
        <v>6</v>
      </c>
      <c r="C1138" s="12">
        <f t="shared" si="163"/>
        <v>4.032</v>
      </c>
      <c r="D1138" s="12">
        <f t="shared" si="157"/>
        <v>3.5682500000000061E-2</v>
      </c>
      <c r="E1138" s="12">
        <f>SUM($D$19:D1138)</f>
        <v>19.231999999999982</v>
      </c>
      <c r="F1138" s="12">
        <f t="shared" si="160"/>
        <v>211.64443904000001</v>
      </c>
      <c r="G1138" s="12">
        <f t="shared" si="161"/>
        <v>143.72517120000001</v>
      </c>
      <c r="H1138" s="12">
        <f t="shared" si="158"/>
        <v>761900</v>
      </c>
      <c r="I1138" s="12">
        <f t="shared" si="159"/>
        <v>517400</v>
      </c>
      <c r="J1138" s="12">
        <f>IF(A1138&lt;[3]关卡对接!$A$4,INDEX([3]关卡对接!$C$7:$C$141,A1138),MATCH(E1138,人物经验!$H$24:$H$573,1))</f>
        <v>406</v>
      </c>
      <c r="K1138" s="12">
        <f>IF([3]关卡对接!F1126="",INT(INDEX(人物经验!$J$24:$J$573,关卡!J1138)*关卡!$S$7),[3]关卡对接!F1126)</f>
        <v>19008</v>
      </c>
      <c r="L1138" s="12">
        <f t="shared" si="164"/>
        <v>2</v>
      </c>
      <c r="M1138" s="12">
        <f>L1138/[4]货币基础!$B$4</f>
        <v>200</v>
      </c>
      <c r="N1138" s="12">
        <f>IF(A1138&lt;[3]关卡对接!$A$4,INDEX([3]关卡对接!$E$7:$E$141,A1138),MATCH(E1138,人物经验!$H$24:$H$573,1))</f>
        <v>406</v>
      </c>
      <c r="O1138" s="12">
        <f>INDEX([2]关卡!$G$6:$G$2005,A1138)</f>
        <v>3</v>
      </c>
      <c r="P1138" s="13">
        <v>6</v>
      </c>
      <c r="Q1138" s="12">
        <f>INT(P1138/$S$15/O1138*VLOOKUP(J1138,[1]人物技能基础!$N$3:$O$553,2,0)*$U$15)</f>
        <v>9</v>
      </c>
      <c r="R1138" s="12">
        <f t="shared" si="165"/>
        <v>112</v>
      </c>
    </row>
    <row r="1139" spans="1:18" x14ac:dyDescent="0.15">
      <c r="A1139" s="12">
        <v>1121</v>
      </c>
      <c r="B1139" s="12">
        <f t="shared" si="162"/>
        <v>6</v>
      </c>
      <c r="C1139" s="12">
        <f t="shared" si="163"/>
        <v>4.0677174999999997</v>
      </c>
      <c r="D1139" s="12">
        <f t="shared" si="157"/>
        <v>3.5717499999999625E-2</v>
      </c>
      <c r="E1139" s="12">
        <f>SUM($D$19:D1139)</f>
        <v>19.267717499999982</v>
      </c>
      <c r="F1139" s="12">
        <f t="shared" si="160"/>
        <v>212.08806444684495</v>
      </c>
      <c r="G1139" s="12">
        <f t="shared" si="161"/>
        <v>143.96324347335593</v>
      </c>
      <c r="H1139" s="12">
        <f t="shared" si="158"/>
        <v>763500</v>
      </c>
      <c r="I1139" s="12">
        <f t="shared" si="159"/>
        <v>518200</v>
      </c>
      <c r="J1139" s="12">
        <f>IF(A1139&lt;[3]关卡对接!$A$4,INDEX([3]关卡对接!$C$7:$C$141,A1139),MATCH(E1139,人物经验!$H$24:$H$573,1))</f>
        <v>406</v>
      </c>
      <c r="K1139" s="12">
        <f>IF([3]关卡对接!F1127="",INT(INDEX(人物经验!$J$24:$J$573,关卡!J1139)*关卡!$S$7),[3]关卡对接!F1127)</f>
        <v>19008</v>
      </c>
      <c r="L1139" s="12">
        <f t="shared" si="164"/>
        <v>2</v>
      </c>
      <c r="M1139" s="12">
        <f>L1139/[4]货币基础!$B$4</f>
        <v>200</v>
      </c>
      <c r="N1139" s="12">
        <f>IF(A1139&lt;[3]关卡对接!$A$4,INDEX([3]关卡对接!$E$7:$E$141,A1139),MATCH(E1139,人物经验!$H$24:$H$573,1))</f>
        <v>406</v>
      </c>
      <c r="O1139" s="12">
        <f>INDEX([2]关卡!$G$6:$G$2005,A1139)</f>
        <v>3</v>
      </c>
      <c r="P1139" s="13">
        <v>6</v>
      </c>
      <c r="Q1139" s="12">
        <f>INT(P1139/$S$15/O1139*VLOOKUP(J1139,[1]人物技能基础!$N$3:$O$553,2,0)*$U$15)</f>
        <v>9</v>
      </c>
      <c r="R1139" s="12">
        <f t="shared" si="165"/>
        <v>112</v>
      </c>
    </row>
    <row r="1140" spans="1:18" x14ac:dyDescent="0.15">
      <c r="A1140" s="12">
        <v>1122</v>
      </c>
      <c r="B1140" s="12">
        <f t="shared" si="162"/>
        <v>6</v>
      </c>
      <c r="C1140" s="12">
        <f t="shared" si="163"/>
        <v>4.1034699999999997</v>
      </c>
      <c r="D1140" s="12">
        <f t="shared" si="157"/>
        <v>3.5752500000000076E-2</v>
      </c>
      <c r="E1140" s="12">
        <f>SUM($D$19:D1140)</f>
        <v>19.303469999999983</v>
      </c>
      <c r="F1140" s="12">
        <f t="shared" si="160"/>
        <v>212.53241812855904</v>
      </c>
      <c r="G1140" s="12">
        <f t="shared" si="161"/>
        <v>144.20160639489501</v>
      </c>
      <c r="H1140" s="12">
        <f t="shared" si="158"/>
        <v>765100</v>
      </c>
      <c r="I1140" s="12">
        <f t="shared" si="159"/>
        <v>519100</v>
      </c>
      <c r="J1140" s="12">
        <f>IF(A1140&lt;[3]关卡对接!$A$4,INDEX([3]关卡对接!$C$7:$C$141,A1140),MATCH(E1140,人物经验!$H$24:$H$573,1))</f>
        <v>406</v>
      </c>
      <c r="K1140" s="12">
        <f>IF([3]关卡对接!F1128="",INT(INDEX(人物经验!$J$24:$J$573,关卡!J1140)*关卡!$S$7),[3]关卡对接!F1128)</f>
        <v>19008</v>
      </c>
      <c r="L1140" s="12">
        <f t="shared" si="164"/>
        <v>2</v>
      </c>
      <c r="M1140" s="12">
        <f>L1140/[4]货币基础!$B$4</f>
        <v>200</v>
      </c>
      <c r="N1140" s="12">
        <f>IF(A1140&lt;[3]关卡对接!$A$4,INDEX([3]关卡对接!$E$7:$E$141,A1140),MATCH(E1140,人物经验!$H$24:$H$573,1))</f>
        <v>406</v>
      </c>
      <c r="O1140" s="12">
        <f>INDEX([2]关卡!$G$6:$G$2005,A1140)</f>
        <v>3</v>
      </c>
      <c r="P1140" s="13">
        <v>6</v>
      </c>
      <c r="Q1140" s="12">
        <f>INT(P1140/$S$15/O1140*VLOOKUP(J1140,[1]人物技能基础!$N$3:$O$553,2,0)*$U$15)</f>
        <v>9</v>
      </c>
      <c r="R1140" s="12">
        <f t="shared" si="165"/>
        <v>112</v>
      </c>
    </row>
    <row r="1141" spans="1:18" x14ac:dyDescent="0.15">
      <c r="A1141" s="12">
        <v>1123</v>
      </c>
      <c r="B1141" s="12">
        <f t="shared" si="162"/>
        <v>6</v>
      </c>
      <c r="C1141" s="12">
        <f t="shared" si="163"/>
        <v>4.1392574999999994</v>
      </c>
      <c r="D1141" s="12">
        <f t="shared" si="157"/>
        <v>3.5787499999999639E-2</v>
      </c>
      <c r="E1141" s="12">
        <f>SUM($D$19:D1141)</f>
        <v>19.339257499999981</v>
      </c>
      <c r="F1141" s="12">
        <f t="shared" si="160"/>
        <v>212.97750098135992</v>
      </c>
      <c r="G1141" s="12">
        <f t="shared" si="161"/>
        <v>144.4402602369309</v>
      </c>
      <c r="H1141" s="12">
        <f t="shared" si="158"/>
        <v>766700</v>
      </c>
      <c r="I1141" s="12">
        <f t="shared" si="159"/>
        <v>519900</v>
      </c>
      <c r="J1141" s="12">
        <f>IF(A1141&lt;[3]关卡对接!$A$4,INDEX([3]关卡对接!$C$7:$C$141,A1141),MATCH(E1141,人物经验!$H$24:$H$573,1))</f>
        <v>406</v>
      </c>
      <c r="K1141" s="12">
        <f>IF([3]关卡对接!F1129="",INT(INDEX(人物经验!$J$24:$J$573,关卡!J1141)*关卡!$S$7),[3]关卡对接!F1129)</f>
        <v>19008</v>
      </c>
      <c r="L1141" s="12">
        <f t="shared" si="164"/>
        <v>2</v>
      </c>
      <c r="M1141" s="12">
        <f>L1141/[4]货币基础!$B$4</f>
        <v>200</v>
      </c>
      <c r="N1141" s="12">
        <f>IF(A1141&lt;[3]关卡对接!$A$4,INDEX([3]关卡对接!$E$7:$E$141,A1141),MATCH(E1141,人物经验!$H$24:$H$573,1))</f>
        <v>406</v>
      </c>
      <c r="O1141" s="12">
        <f>INDEX([2]关卡!$G$6:$G$2005,A1141)</f>
        <v>3</v>
      </c>
      <c r="P1141" s="13">
        <v>6</v>
      </c>
      <c r="Q1141" s="12">
        <f>INT(P1141/$S$15/O1141*VLOOKUP(J1141,[1]人物技能基础!$N$3:$O$553,2,0)*$U$15)</f>
        <v>9</v>
      </c>
      <c r="R1141" s="12">
        <f t="shared" si="165"/>
        <v>112</v>
      </c>
    </row>
    <row r="1142" spans="1:18" x14ac:dyDescent="0.15">
      <c r="A1142" s="12">
        <v>1124</v>
      </c>
      <c r="B1142" s="12">
        <f t="shared" si="162"/>
        <v>6</v>
      </c>
      <c r="C1142" s="12">
        <f t="shared" si="163"/>
        <v>4.1750800000000003</v>
      </c>
      <c r="D1142" s="12">
        <f t="shared" si="157"/>
        <v>3.5822500000000979E-2</v>
      </c>
      <c r="E1142" s="12">
        <f>SUM($D$19:D1142)</f>
        <v>19.375079999999983</v>
      </c>
      <c r="F1142" s="12">
        <f t="shared" si="160"/>
        <v>213.42331390206402</v>
      </c>
      <c r="G1142" s="12">
        <f t="shared" si="161"/>
        <v>144.67920527192004</v>
      </c>
      <c r="H1142" s="12">
        <f t="shared" si="158"/>
        <v>768300</v>
      </c>
      <c r="I1142" s="12">
        <f t="shared" si="159"/>
        <v>520800</v>
      </c>
      <c r="J1142" s="12">
        <f>IF(A1142&lt;[3]关卡对接!$A$4,INDEX([3]关卡对接!$C$7:$C$141,A1142),MATCH(E1142,人物经验!$H$24:$H$573,1))</f>
        <v>407</v>
      </c>
      <c r="K1142" s="12">
        <f>IF([3]关卡对接!F1130="",INT(INDEX(人物经验!$J$24:$J$573,关卡!J1142)*关卡!$S$7),[3]关卡对接!F1130)</f>
        <v>19167</v>
      </c>
      <c r="L1142" s="12">
        <f t="shared" si="164"/>
        <v>2</v>
      </c>
      <c r="M1142" s="12">
        <f>L1142/[4]货币基础!$B$4</f>
        <v>200</v>
      </c>
      <c r="N1142" s="12">
        <f>IF(A1142&lt;[3]关卡对接!$A$4,INDEX([3]关卡对接!$E$7:$E$141,A1142),MATCH(E1142,人物经验!$H$24:$H$573,1))</f>
        <v>407</v>
      </c>
      <c r="O1142" s="12">
        <f>INDEX([2]关卡!$G$6:$G$2005,A1142)</f>
        <v>3</v>
      </c>
      <c r="P1142" s="13">
        <v>6</v>
      </c>
      <c r="Q1142" s="12">
        <f>INT(P1142/$S$15/O1142*VLOOKUP(J1142,[1]人物技能基础!$N$3:$O$553,2,0)*$U$15)</f>
        <v>9</v>
      </c>
      <c r="R1142" s="12">
        <f t="shared" si="165"/>
        <v>112</v>
      </c>
    </row>
    <row r="1143" spans="1:18" x14ac:dyDescent="0.15">
      <c r="A1143" s="12">
        <v>1125</v>
      </c>
      <c r="B1143" s="12">
        <f t="shared" si="162"/>
        <v>6</v>
      </c>
      <c r="C1143" s="12">
        <f t="shared" si="163"/>
        <v>4.2109375</v>
      </c>
      <c r="D1143" s="12">
        <f t="shared" si="157"/>
        <v>3.5857499999999654E-2</v>
      </c>
      <c r="E1143" s="12">
        <f>SUM($D$19:D1143)</f>
        <v>19.410937499999982</v>
      </c>
      <c r="F1143" s="12">
        <f t="shared" si="160"/>
        <v>213.86985778808594</v>
      </c>
      <c r="G1143" s="12">
        <f t="shared" si="161"/>
        <v>144.91844177246094</v>
      </c>
      <c r="H1143" s="12">
        <f t="shared" si="158"/>
        <v>769900</v>
      </c>
      <c r="I1143" s="12">
        <f t="shared" si="159"/>
        <v>521700</v>
      </c>
      <c r="J1143" s="12">
        <f>IF(A1143&lt;[3]关卡对接!$A$4,INDEX([3]关卡对接!$C$7:$C$141,A1143),MATCH(E1143,人物经验!$H$24:$H$573,1))</f>
        <v>407</v>
      </c>
      <c r="K1143" s="12">
        <f>IF([3]关卡对接!F1131="",INT(INDEX(人物经验!$J$24:$J$573,关卡!J1143)*关卡!$S$7),[3]关卡对接!F1131)</f>
        <v>19167</v>
      </c>
      <c r="L1143" s="12">
        <f t="shared" si="164"/>
        <v>2</v>
      </c>
      <c r="M1143" s="12">
        <f>L1143/[4]货币基础!$B$4</f>
        <v>200</v>
      </c>
      <c r="N1143" s="12">
        <f>IF(A1143&lt;[3]关卡对接!$A$4,INDEX([3]关卡对接!$E$7:$E$141,A1143),MATCH(E1143,人物经验!$H$24:$H$573,1))</f>
        <v>407</v>
      </c>
      <c r="O1143" s="12">
        <f>INDEX([2]关卡!$G$6:$G$2005,A1143)</f>
        <v>3</v>
      </c>
      <c r="P1143" s="13">
        <v>6</v>
      </c>
      <c r="Q1143" s="12">
        <f>INT(P1143/$S$15/O1143*VLOOKUP(J1143,[1]人物技能基础!$N$3:$O$553,2,0)*$U$15)</f>
        <v>9</v>
      </c>
      <c r="R1143" s="12">
        <f t="shared" si="165"/>
        <v>112</v>
      </c>
    </row>
    <row r="1144" spans="1:18" x14ac:dyDescent="0.15">
      <c r="A1144" s="12">
        <v>1126</v>
      </c>
      <c r="B1144" s="12">
        <f t="shared" si="162"/>
        <v>6</v>
      </c>
      <c r="C1144" s="12">
        <f t="shared" si="163"/>
        <v>4.2468300000000001</v>
      </c>
      <c r="D1144" s="12">
        <f t="shared" si="157"/>
        <v>3.5892500000000105E-2</v>
      </c>
      <c r="E1144" s="12">
        <f>SUM($D$19:D1144)</f>
        <v>19.446829999999981</v>
      </c>
      <c r="F1144" s="12">
        <f t="shared" si="160"/>
        <v>214.31713353743893</v>
      </c>
      <c r="G1144" s="12">
        <f t="shared" si="161"/>
        <v>145.15797001129496</v>
      </c>
      <c r="H1144" s="12">
        <f t="shared" si="158"/>
        <v>771500</v>
      </c>
      <c r="I1144" s="12">
        <f t="shared" si="159"/>
        <v>522500</v>
      </c>
      <c r="J1144" s="12">
        <f>IF(A1144&lt;[3]关卡对接!$A$4,INDEX([3]关卡对接!$C$7:$C$141,A1144),MATCH(E1144,人物经验!$H$24:$H$573,1))</f>
        <v>407</v>
      </c>
      <c r="K1144" s="12">
        <f>IF([3]关卡对接!F1132="",INT(INDEX(人物经验!$J$24:$J$573,关卡!J1144)*关卡!$S$7),[3]关卡对接!F1132)</f>
        <v>19167</v>
      </c>
      <c r="L1144" s="12">
        <f t="shared" si="164"/>
        <v>2</v>
      </c>
      <c r="M1144" s="12">
        <f>L1144/[4]货币基础!$B$4</f>
        <v>200</v>
      </c>
      <c r="N1144" s="12">
        <f>IF(A1144&lt;[3]关卡对接!$A$4,INDEX([3]关卡对接!$E$7:$E$141,A1144),MATCH(E1144,人物经验!$H$24:$H$573,1))</f>
        <v>407</v>
      </c>
      <c r="O1144" s="12">
        <f>INDEX([2]关卡!$G$6:$G$2005,A1144)</f>
        <v>3</v>
      </c>
      <c r="P1144" s="13">
        <v>6</v>
      </c>
      <c r="Q1144" s="12">
        <f>INT(P1144/$S$15/O1144*VLOOKUP(J1144,[1]人物技能基础!$N$3:$O$553,2,0)*$U$15)</f>
        <v>9</v>
      </c>
      <c r="R1144" s="12">
        <f t="shared" si="165"/>
        <v>112</v>
      </c>
    </row>
    <row r="1145" spans="1:18" x14ac:dyDescent="0.15">
      <c r="A1145" s="12">
        <v>1127</v>
      </c>
      <c r="B1145" s="12">
        <f t="shared" si="162"/>
        <v>6</v>
      </c>
      <c r="C1145" s="12">
        <f t="shared" si="163"/>
        <v>4.2827575000000007</v>
      </c>
      <c r="D1145" s="12">
        <f t="shared" si="157"/>
        <v>3.5927500000000556E-2</v>
      </c>
      <c r="E1145" s="12">
        <f>SUM($D$19:D1145)</f>
        <v>19.48275749999998</v>
      </c>
      <c r="F1145" s="12">
        <f t="shared" si="160"/>
        <v>214.76514204873496</v>
      </c>
      <c r="G1145" s="12">
        <f t="shared" si="161"/>
        <v>145.39779026130594</v>
      </c>
      <c r="H1145" s="12">
        <f t="shared" si="158"/>
        <v>773100</v>
      </c>
      <c r="I1145" s="12">
        <f t="shared" si="159"/>
        <v>523400</v>
      </c>
      <c r="J1145" s="12">
        <f>IF(A1145&lt;[3]关卡对接!$A$4,INDEX([3]关卡对接!$C$7:$C$141,A1145),MATCH(E1145,人物经验!$H$24:$H$573,1))</f>
        <v>407</v>
      </c>
      <c r="K1145" s="12">
        <f>IF([3]关卡对接!F1133="",INT(INDEX(人物经验!$J$24:$J$573,关卡!J1145)*关卡!$S$7),[3]关卡对接!F1133)</f>
        <v>19167</v>
      </c>
      <c r="L1145" s="12">
        <f t="shared" si="164"/>
        <v>2</v>
      </c>
      <c r="M1145" s="12">
        <f>L1145/[4]货币基础!$B$4</f>
        <v>200</v>
      </c>
      <c r="N1145" s="12">
        <f>IF(A1145&lt;[3]关卡对接!$A$4,INDEX([3]关卡对接!$E$7:$E$141,A1145),MATCH(E1145,人物经验!$H$24:$H$573,1))</f>
        <v>407</v>
      </c>
      <c r="O1145" s="12">
        <f>INDEX([2]关卡!$G$6:$G$2005,A1145)</f>
        <v>3</v>
      </c>
      <c r="P1145" s="13">
        <v>6</v>
      </c>
      <c r="Q1145" s="12">
        <f>INT(P1145/$S$15/O1145*VLOOKUP(J1145,[1]人物技能基础!$N$3:$O$553,2,0)*$U$15)</f>
        <v>9</v>
      </c>
      <c r="R1145" s="12">
        <f t="shared" si="165"/>
        <v>112</v>
      </c>
    </row>
    <row r="1146" spans="1:18" x14ac:dyDescent="0.15">
      <c r="A1146" s="12">
        <v>1128</v>
      </c>
      <c r="B1146" s="12">
        <f t="shared" si="162"/>
        <v>6</v>
      </c>
      <c r="C1146" s="12">
        <f t="shared" si="163"/>
        <v>4.3187200000000008</v>
      </c>
      <c r="D1146" s="12">
        <f t="shared" si="157"/>
        <v>3.5962500000000119E-2</v>
      </c>
      <c r="E1146" s="12">
        <f>SUM($D$19:D1146)</f>
        <v>19.518719999999981</v>
      </c>
      <c r="F1146" s="12">
        <f t="shared" si="160"/>
        <v>215.21388422118395</v>
      </c>
      <c r="G1146" s="12">
        <f t="shared" si="161"/>
        <v>145.63790279551998</v>
      </c>
      <c r="H1146" s="12">
        <f t="shared" si="158"/>
        <v>774700</v>
      </c>
      <c r="I1146" s="12">
        <f t="shared" si="159"/>
        <v>524200</v>
      </c>
      <c r="J1146" s="12">
        <f>IF(A1146&lt;[3]关卡对接!$A$4,INDEX([3]关卡对接!$C$7:$C$141,A1146),MATCH(E1146,人物经验!$H$24:$H$573,1))</f>
        <v>408</v>
      </c>
      <c r="K1146" s="12">
        <f>IF([3]关卡对接!F1134="",INT(INDEX(人物经验!$J$24:$J$573,关卡!J1146)*关卡!$S$7),[3]关卡对接!F1134)</f>
        <v>19328</v>
      </c>
      <c r="L1146" s="12">
        <f t="shared" si="164"/>
        <v>2</v>
      </c>
      <c r="M1146" s="12">
        <f>L1146/[4]货币基础!$B$4</f>
        <v>200</v>
      </c>
      <c r="N1146" s="12">
        <f>IF(A1146&lt;[3]关卡对接!$A$4,INDEX([3]关卡对接!$E$7:$E$141,A1146),MATCH(E1146,人物经验!$H$24:$H$573,1))</f>
        <v>408</v>
      </c>
      <c r="O1146" s="12">
        <f>INDEX([2]关卡!$G$6:$G$2005,A1146)</f>
        <v>3</v>
      </c>
      <c r="P1146" s="13">
        <v>6</v>
      </c>
      <c r="Q1146" s="12">
        <f>INT(P1146/$S$15/O1146*VLOOKUP(J1146,[1]人物技能基础!$N$3:$O$553,2,0)*$U$15)</f>
        <v>9</v>
      </c>
      <c r="R1146" s="12">
        <f t="shared" si="165"/>
        <v>112</v>
      </c>
    </row>
    <row r="1147" spans="1:18" x14ac:dyDescent="0.15">
      <c r="A1147" s="12">
        <v>1129</v>
      </c>
      <c r="B1147" s="12">
        <f t="shared" si="162"/>
        <v>6</v>
      </c>
      <c r="C1147" s="12">
        <f t="shared" si="163"/>
        <v>4.3547174999999996</v>
      </c>
      <c r="D1147" s="12">
        <f t="shared" ref="D1147:D1210" si="166">IF(ISNA(MATCH(A1147,$A$6:$A$15,0)),C1147-C1146,C1147)</f>
        <v>3.5997499999998794E-2</v>
      </c>
      <c r="E1147" s="12">
        <f>SUM($D$19:D1147)</f>
        <v>19.554717499999981</v>
      </c>
      <c r="F1147" s="12">
        <f t="shared" si="160"/>
        <v>215.66336095459494</v>
      </c>
      <c r="G1147" s="12">
        <f t="shared" si="161"/>
        <v>145.87830788710593</v>
      </c>
      <c r="H1147" s="12">
        <f t="shared" ref="H1147:H1210" si="167">INT(F1147*60*60/100)*100</f>
        <v>776300</v>
      </c>
      <c r="I1147" s="12">
        <f t="shared" ref="I1147:I1210" si="168">INT(G1147*60*60/100)*100</f>
        <v>525100</v>
      </c>
      <c r="J1147" s="12">
        <f>IF(A1147&lt;[3]关卡对接!$A$4,INDEX([3]关卡对接!$C$7:$C$141,A1147),MATCH(E1147,人物经验!$H$24:$H$573,1))</f>
        <v>408</v>
      </c>
      <c r="K1147" s="12">
        <f>IF([3]关卡对接!F1135="",INT(INDEX(人物经验!$J$24:$J$573,关卡!J1147)*关卡!$S$7),[3]关卡对接!F1135)</f>
        <v>19328</v>
      </c>
      <c r="L1147" s="12">
        <f t="shared" si="164"/>
        <v>2</v>
      </c>
      <c r="M1147" s="12">
        <f>L1147/[4]货币基础!$B$4</f>
        <v>200</v>
      </c>
      <c r="N1147" s="12">
        <f>IF(A1147&lt;[3]关卡对接!$A$4,INDEX([3]关卡对接!$E$7:$E$141,A1147),MATCH(E1147,人物经验!$H$24:$H$573,1))</f>
        <v>408</v>
      </c>
      <c r="O1147" s="12">
        <f>INDEX([2]关卡!$G$6:$G$2005,A1147)</f>
        <v>3</v>
      </c>
      <c r="P1147" s="13">
        <v>6</v>
      </c>
      <c r="Q1147" s="12">
        <f>INT(P1147/$S$15/O1147*VLOOKUP(J1147,[1]人物技能基础!$N$3:$O$553,2,0)*$U$15)</f>
        <v>9</v>
      </c>
      <c r="R1147" s="12">
        <f t="shared" si="165"/>
        <v>112</v>
      </c>
    </row>
    <row r="1148" spans="1:18" x14ac:dyDescent="0.15">
      <c r="A1148" s="12">
        <v>1130</v>
      </c>
      <c r="B1148" s="12">
        <f t="shared" si="162"/>
        <v>6</v>
      </c>
      <c r="C1148" s="12">
        <f t="shared" si="163"/>
        <v>4.3907500000000006</v>
      </c>
      <c r="D1148" s="12">
        <f t="shared" si="166"/>
        <v>3.6032500000001022E-2</v>
      </c>
      <c r="E1148" s="12">
        <f>SUM($D$19:D1148)</f>
        <v>19.590749999999982</v>
      </c>
      <c r="F1148" s="12">
        <f t="shared" si="160"/>
        <v>216.11357314937493</v>
      </c>
      <c r="G1148" s="12">
        <f t="shared" si="161"/>
        <v>146.11900580937498</v>
      </c>
      <c r="H1148" s="12">
        <f t="shared" si="167"/>
        <v>778000</v>
      </c>
      <c r="I1148" s="12">
        <f t="shared" si="168"/>
        <v>526000</v>
      </c>
      <c r="J1148" s="12">
        <f>IF(A1148&lt;[3]关卡对接!$A$4,INDEX([3]关卡对接!$C$7:$C$141,A1148),MATCH(E1148,人物经验!$H$24:$H$573,1))</f>
        <v>408</v>
      </c>
      <c r="K1148" s="12">
        <f>IF([3]关卡对接!F1136="",INT(INDEX(人物经验!$J$24:$J$573,关卡!J1148)*关卡!$S$7),[3]关卡对接!F1136)</f>
        <v>19328</v>
      </c>
      <c r="L1148" s="12">
        <f t="shared" si="164"/>
        <v>2</v>
      </c>
      <c r="M1148" s="12">
        <f>L1148/[4]货币基础!$B$4</f>
        <v>200</v>
      </c>
      <c r="N1148" s="12">
        <f>IF(A1148&lt;[3]关卡对接!$A$4,INDEX([3]关卡对接!$E$7:$E$141,A1148),MATCH(E1148,人物经验!$H$24:$H$573,1))</f>
        <v>408</v>
      </c>
      <c r="O1148" s="12">
        <f>INDEX([2]关卡!$G$6:$G$2005,A1148)</f>
        <v>3</v>
      </c>
      <c r="P1148" s="13">
        <v>6</v>
      </c>
      <c r="Q1148" s="12">
        <f>INT(P1148/$S$15/O1148*VLOOKUP(J1148,[1]人物技能基础!$N$3:$O$553,2,0)*$U$15)</f>
        <v>9</v>
      </c>
      <c r="R1148" s="12">
        <f t="shared" si="165"/>
        <v>112</v>
      </c>
    </row>
    <row r="1149" spans="1:18" x14ac:dyDescent="0.15">
      <c r="A1149" s="12">
        <v>1131</v>
      </c>
      <c r="B1149" s="12">
        <f t="shared" si="162"/>
        <v>6</v>
      </c>
      <c r="C1149" s="12">
        <f t="shared" si="163"/>
        <v>4.4268175000000003</v>
      </c>
      <c r="D1149" s="12">
        <f t="shared" si="166"/>
        <v>3.6067499999999697E-2</v>
      </c>
      <c r="E1149" s="12">
        <f>SUM($D$19:D1149)</f>
        <v>19.62681749999998</v>
      </c>
      <c r="F1149" s="12">
        <f t="shared" si="160"/>
        <v>216.56452170652992</v>
      </c>
      <c r="G1149" s="12">
        <f t="shared" si="161"/>
        <v>146.35999683578095</v>
      </c>
      <c r="H1149" s="12">
        <f t="shared" si="167"/>
        <v>779600</v>
      </c>
      <c r="I1149" s="12">
        <f t="shared" si="168"/>
        <v>526800</v>
      </c>
      <c r="J1149" s="12">
        <f>IF(A1149&lt;[3]关卡对接!$A$4,INDEX([3]关卡对接!$C$7:$C$141,A1149),MATCH(E1149,人物经验!$H$24:$H$573,1))</f>
        <v>409</v>
      </c>
      <c r="K1149" s="12">
        <f>IF([3]关卡对接!F1137="",INT(INDEX(人物经验!$J$24:$J$573,关卡!J1149)*关卡!$S$7),[3]关卡对接!F1137)</f>
        <v>19450</v>
      </c>
      <c r="L1149" s="12">
        <f t="shared" si="164"/>
        <v>2</v>
      </c>
      <c r="M1149" s="12">
        <f>L1149/[4]货币基础!$B$4</f>
        <v>200</v>
      </c>
      <c r="N1149" s="12">
        <f>IF(A1149&lt;[3]关卡对接!$A$4,INDEX([3]关卡对接!$E$7:$E$141,A1149),MATCH(E1149,人物经验!$H$24:$H$573,1))</f>
        <v>409</v>
      </c>
      <c r="O1149" s="12">
        <f>INDEX([2]关卡!$G$6:$G$2005,A1149)</f>
        <v>3</v>
      </c>
      <c r="P1149" s="13">
        <v>6</v>
      </c>
      <c r="Q1149" s="12">
        <f>INT(P1149/$S$15/O1149*VLOOKUP(J1149,[1]人物技能基础!$N$3:$O$553,2,0)*$U$15)</f>
        <v>9</v>
      </c>
      <c r="R1149" s="12">
        <f t="shared" si="165"/>
        <v>112</v>
      </c>
    </row>
    <row r="1150" spans="1:18" x14ac:dyDescent="0.15">
      <c r="A1150" s="12">
        <v>1132</v>
      </c>
      <c r="B1150" s="12">
        <f t="shared" si="162"/>
        <v>6</v>
      </c>
      <c r="C1150" s="12">
        <f t="shared" si="163"/>
        <v>4.4629200000000004</v>
      </c>
      <c r="D1150" s="12">
        <f t="shared" si="166"/>
        <v>3.6102500000000148E-2</v>
      </c>
      <c r="E1150" s="12">
        <f>SUM($D$19:D1150)</f>
        <v>19.662919999999978</v>
      </c>
      <c r="F1150" s="12">
        <f t="shared" si="160"/>
        <v>217.01620752766397</v>
      </c>
      <c r="G1150" s="12">
        <f t="shared" si="161"/>
        <v>146.60128123991998</v>
      </c>
      <c r="H1150" s="12">
        <f t="shared" si="167"/>
        <v>781200</v>
      </c>
      <c r="I1150" s="12">
        <f t="shared" si="168"/>
        <v>527700</v>
      </c>
      <c r="J1150" s="12">
        <f>IF(A1150&lt;[3]关卡对接!$A$4,INDEX([3]关卡对接!$C$7:$C$141,A1150),MATCH(E1150,人物经验!$H$24:$H$573,1))</f>
        <v>409</v>
      </c>
      <c r="K1150" s="12">
        <f>IF([3]关卡对接!F1138="",INT(INDEX(人物经验!$J$24:$J$573,关卡!J1150)*关卡!$S$7),[3]关卡对接!F1138)</f>
        <v>19450</v>
      </c>
      <c r="L1150" s="12">
        <f t="shared" si="164"/>
        <v>2</v>
      </c>
      <c r="M1150" s="12">
        <f>L1150/[4]货币基础!$B$4</f>
        <v>200</v>
      </c>
      <c r="N1150" s="12">
        <f>IF(A1150&lt;[3]关卡对接!$A$4,INDEX([3]关卡对接!$E$7:$E$141,A1150),MATCH(E1150,人物经验!$H$24:$H$573,1))</f>
        <v>409</v>
      </c>
      <c r="O1150" s="12">
        <f>INDEX([2]关卡!$G$6:$G$2005,A1150)</f>
        <v>3</v>
      </c>
      <c r="P1150" s="13">
        <v>6</v>
      </c>
      <c r="Q1150" s="12">
        <f>INT(P1150/$S$15/O1150*VLOOKUP(J1150,[1]人物技能基础!$N$3:$O$553,2,0)*$U$15)</f>
        <v>9</v>
      </c>
      <c r="R1150" s="12">
        <f t="shared" si="165"/>
        <v>112</v>
      </c>
    </row>
    <row r="1151" spans="1:18" x14ac:dyDescent="0.15">
      <c r="A1151" s="12">
        <v>1133</v>
      </c>
      <c r="B1151" s="12">
        <f t="shared" si="162"/>
        <v>6</v>
      </c>
      <c r="C1151" s="12">
        <f t="shared" si="163"/>
        <v>4.499057500000001</v>
      </c>
      <c r="D1151" s="12">
        <f t="shared" si="166"/>
        <v>3.61375000000006E-2</v>
      </c>
      <c r="E1151" s="12">
        <f>SUM($D$19:D1151)</f>
        <v>19.699057499999981</v>
      </c>
      <c r="F1151" s="12">
        <f t="shared" si="160"/>
        <v>217.46863151497996</v>
      </c>
      <c r="G1151" s="12">
        <f t="shared" si="161"/>
        <v>146.84285929553096</v>
      </c>
      <c r="H1151" s="12">
        <f t="shared" si="167"/>
        <v>782800</v>
      </c>
      <c r="I1151" s="12">
        <f t="shared" si="168"/>
        <v>528600</v>
      </c>
      <c r="J1151" s="12">
        <f>IF(A1151&lt;[3]关卡对接!$A$4,INDEX([3]关卡对接!$C$7:$C$141,A1151),MATCH(E1151,人物经验!$H$24:$H$573,1))</f>
        <v>409</v>
      </c>
      <c r="K1151" s="12">
        <f>IF([3]关卡对接!F1139="",INT(INDEX(人物经验!$J$24:$J$573,关卡!J1151)*关卡!$S$7),[3]关卡对接!F1139)</f>
        <v>19450</v>
      </c>
      <c r="L1151" s="12">
        <f t="shared" si="164"/>
        <v>2</v>
      </c>
      <c r="M1151" s="12">
        <f>L1151/[4]货币基础!$B$4</f>
        <v>200</v>
      </c>
      <c r="N1151" s="12">
        <f>IF(A1151&lt;[3]关卡对接!$A$4,INDEX([3]关卡对接!$E$7:$E$141,A1151),MATCH(E1151,人物经验!$H$24:$H$573,1))</f>
        <v>409</v>
      </c>
      <c r="O1151" s="12">
        <f>INDEX([2]关卡!$G$6:$G$2005,A1151)</f>
        <v>3</v>
      </c>
      <c r="P1151" s="13">
        <v>6</v>
      </c>
      <c r="Q1151" s="12">
        <f>INT(P1151/$S$15/O1151*VLOOKUP(J1151,[1]人物技能基础!$N$3:$O$553,2,0)*$U$15)</f>
        <v>9</v>
      </c>
      <c r="R1151" s="12">
        <f t="shared" si="165"/>
        <v>112</v>
      </c>
    </row>
    <row r="1152" spans="1:18" x14ac:dyDescent="0.15">
      <c r="A1152" s="12">
        <v>1134</v>
      </c>
      <c r="B1152" s="12">
        <f t="shared" si="162"/>
        <v>6</v>
      </c>
      <c r="C1152" s="12">
        <f t="shared" si="163"/>
        <v>4.5352300000000003</v>
      </c>
      <c r="D1152" s="12">
        <f t="shared" si="166"/>
        <v>3.6172499999999275E-2</v>
      </c>
      <c r="E1152" s="12">
        <f>SUM($D$19:D1152)</f>
        <v>19.73522999999998</v>
      </c>
      <c r="F1152" s="12">
        <f t="shared" si="160"/>
        <v>217.92179457127898</v>
      </c>
      <c r="G1152" s="12">
        <f t="shared" si="161"/>
        <v>147.08473127649498</v>
      </c>
      <c r="H1152" s="12">
        <f t="shared" si="167"/>
        <v>784500</v>
      </c>
      <c r="I1152" s="12">
        <f t="shared" si="168"/>
        <v>529500</v>
      </c>
      <c r="J1152" s="12">
        <f>IF(A1152&lt;[3]关卡对接!$A$4,INDEX([3]关卡对接!$C$7:$C$141,A1152),MATCH(E1152,人物经验!$H$24:$H$573,1))</f>
        <v>409</v>
      </c>
      <c r="K1152" s="12">
        <f>IF([3]关卡对接!F1140="",INT(INDEX(人物经验!$J$24:$J$573,关卡!J1152)*关卡!$S$7),[3]关卡对接!F1140)</f>
        <v>19450</v>
      </c>
      <c r="L1152" s="12">
        <f t="shared" si="164"/>
        <v>2</v>
      </c>
      <c r="M1152" s="12">
        <f>L1152/[4]货币基础!$B$4</f>
        <v>200</v>
      </c>
      <c r="N1152" s="12">
        <f>IF(A1152&lt;[3]关卡对接!$A$4,INDEX([3]关卡对接!$E$7:$E$141,A1152),MATCH(E1152,人物经验!$H$24:$H$573,1))</f>
        <v>409</v>
      </c>
      <c r="O1152" s="12">
        <f>INDEX([2]关卡!$G$6:$G$2005,A1152)</f>
        <v>3</v>
      </c>
      <c r="P1152" s="13">
        <v>6</v>
      </c>
      <c r="Q1152" s="12">
        <f>INT(P1152/$S$15/O1152*VLOOKUP(J1152,[1]人物技能基础!$N$3:$O$553,2,0)*$U$15)</f>
        <v>9</v>
      </c>
      <c r="R1152" s="12">
        <f t="shared" si="165"/>
        <v>112</v>
      </c>
    </row>
    <row r="1153" spans="1:18" x14ac:dyDescent="0.15">
      <c r="A1153" s="12">
        <v>1135</v>
      </c>
      <c r="B1153" s="12">
        <f t="shared" si="162"/>
        <v>6</v>
      </c>
      <c r="C1153" s="12">
        <f t="shared" si="163"/>
        <v>4.5714375000000009</v>
      </c>
      <c r="D1153" s="12">
        <f t="shared" si="166"/>
        <v>3.6207500000000614E-2</v>
      </c>
      <c r="E1153" s="12">
        <f>SUM($D$19:D1153)</f>
        <v>19.77143749999998</v>
      </c>
      <c r="F1153" s="12">
        <f t="shared" si="160"/>
        <v>218.37569759996094</v>
      </c>
      <c r="G1153" s="12">
        <f t="shared" si="161"/>
        <v>147.32689745683592</v>
      </c>
      <c r="H1153" s="12">
        <f t="shared" si="167"/>
        <v>786100</v>
      </c>
      <c r="I1153" s="12">
        <f t="shared" si="168"/>
        <v>530300</v>
      </c>
      <c r="J1153" s="12">
        <f>IF(A1153&lt;[3]关卡对接!$A$4,INDEX([3]关卡对接!$C$7:$C$141,A1153),MATCH(E1153,人物经验!$H$24:$H$573,1))</f>
        <v>410</v>
      </c>
      <c r="K1153" s="12">
        <f>IF([3]关卡对接!F1141="",INT(INDEX(人物经验!$J$24:$J$573,关卡!J1153)*关卡!$S$7),[3]关卡对接!F1141)</f>
        <v>19612</v>
      </c>
      <c r="L1153" s="12">
        <f t="shared" si="164"/>
        <v>2</v>
      </c>
      <c r="M1153" s="12">
        <f>L1153/[4]货币基础!$B$4</f>
        <v>200</v>
      </c>
      <c r="N1153" s="12">
        <f>IF(A1153&lt;[3]关卡对接!$A$4,INDEX([3]关卡对接!$E$7:$E$141,A1153),MATCH(E1153,人物经验!$H$24:$H$573,1))</f>
        <v>410</v>
      </c>
      <c r="O1153" s="12">
        <f>INDEX([2]关卡!$G$6:$G$2005,A1153)</f>
        <v>3</v>
      </c>
      <c r="P1153" s="13">
        <v>6</v>
      </c>
      <c r="Q1153" s="12">
        <f>INT(P1153/$S$15/O1153*VLOOKUP(J1153,[1]人物技能基础!$N$3:$O$553,2,0)*$U$15)</f>
        <v>9</v>
      </c>
      <c r="R1153" s="12">
        <f t="shared" si="165"/>
        <v>112</v>
      </c>
    </row>
    <row r="1154" spans="1:18" x14ac:dyDescent="0.15">
      <c r="A1154" s="12">
        <v>1136</v>
      </c>
      <c r="B1154" s="12">
        <f t="shared" si="162"/>
        <v>6</v>
      </c>
      <c r="C1154" s="12">
        <f t="shared" si="163"/>
        <v>4.6076800000000011</v>
      </c>
      <c r="D1154" s="12">
        <f t="shared" si="166"/>
        <v>3.6242500000000177E-2</v>
      </c>
      <c r="E1154" s="12">
        <f>SUM($D$19:D1154)</f>
        <v>19.80767999999998</v>
      </c>
      <c r="F1154" s="12">
        <f t="shared" si="160"/>
        <v>218.83034150502394</v>
      </c>
      <c r="G1154" s="12">
        <f t="shared" si="161"/>
        <v>147.56935811071997</v>
      </c>
      <c r="H1154" s="12">
        <f t="shared" si="167"/>
        <v>787700</v>
      </c>
      <c r="I1154" s="12">
        <f t="shared" si="168"/>
        <v>531200</v>
      </c>
      <c r="J1154" s="12">
        <f>IF(A1154&lt;[3]关卡对接!$A$4,INDEX([3]关卡对接!$C$7:$C$141,A1154),MATCH(E1154,人物经验!$H$24:$H$573,1))</f>
        <v>410</v>
      </c>
      <c r="K1154" s="12">
        <f>IF([3]关卡对接!F1142="",INT(INDEX(人物经验!$J$24:$J$573,关卡!J1154)*关卡!$S$7),[3]关卡对接!F1142)</f>
        <v>19612</v>
      </c>
      <c r="L1154" s="12">
        <f t="shared" si="164"/>
        <v>2</v>
      </c>
      <c r="M1154" s="12">
        <f>L1154/[4]货币基础!$B$4</f>
        <v>200</v>
      </c>
      <c r="N1154" s="12">
        <f>IF(A1154&lt;[3]关卡对接!$A$4,INDEX([3]关卡对接!$E$7:$E$141,A1154),MATCH(E1154,人物经验!$H$24:$H$573,1))</f>
        <v>410</v>
      </c>
      <c r="O1154" s="12">
        <f>INDEX([2]关卡!$G$6:$G$2005,A1154)</f>
        <v>3</v>
      </c>
      <c r="P1154" s="13">
        <v>6</v>
      </c>
      <c r="Q1154" s="12">
        <f>INT(P1154/$S$15/O1154*VLOOKUP(J1154,[1]人物技能基础!$N$3:$O$553,2,0)*$U$15)</f>
        <v>9</v>
      </c>
      <c r="R1154" s="12">
        <f t="shared" si="165"/>
        <v>112</v>
      </c>
    </row>
    <row r="1155" spans="1:18" x14ac:dyDescent="0.15">
      <c r="A1155" s="12">
        <v>1137</v>
      </c>
      <c r="B1155" s="12">
        <f t="shared" si="162"/>
        <v>6</v>
      </c>
      <c r="C1155" s="12">
        <f t="shared" si="163"/>
        <v>4.6439575</v>
      </c>
      <c r="D1155" s="12">
        <f t="shared" si="166"/>
        <v>3.6277499999998852E-2</v>
      </c>
      <c r="E1155" s="12">
        <f>SUM($D$19:D1155)</f>
        <v>19.843957499999981</v>
      </c>
      <c r="F1155" s="12">
        <f t="shared" si="160"/>
        <v>219.28572719106495</v>
      </c>
      <c r="G1155" s="12">
        <f t="shared" si="161"/>
        <v>147.81211351245594</v>
      </c>
      <c r="H1155" s="12">
        <f t="shared" si="167"/>
        <v>789400</v>
      </c>
      <c r="I1155" s="12">
        <f t="shared" si="168"/>
        <v>532100</v>
      </c>
      <c r="J1155" s="12">
        <f>IF(A1155&lt;[3]关卡对接!$A$4,INDEX([3]关卡对接!$C$7:$C$141,A1155),MATCH(E1155,人物经验!$H$24:$H$573,1))</f>
        <v>410</v>
      </c>
      <c r="K1155" s="12">
        <f>IF([3]关卡对接!F1143="",INT(INDEX(人物经验!$J$24:$J$573,关卡!J1155)*关卡!$S$7),[3]关卡对接!F1143)</f>
        <v>19612</v>
      </c>
      <c r="L1155" s="12">
        <f t="shared" si="164"/>
        <v>2</v>
      </c>
      <c r="M1155" s="12">
        <f>L1155/[4]货币基础!$B$4</f>
        <v>200</v>
      </c>
      <c r="N1155" s="12">
        <f>IF(A1155&lt;[3]关卡对接!$A$4,INDEX([3]关卡对接!$E$7:$E$141,A1155),MATCH(E1155,人物经验!$H$24:$H$573,1))</f>
        <v>410</v>
      </c>
      <c r="O1155" s="12">
        <f>INDEX([2]关卡!$G$6:$G$2005,A1155)</f>
        <v>3</v>
      </c>
      <c r="P1155" s="13">
        <v>6</v>
      </c>
      <c r="Q1155" s="12">
        <f>INT(P1155/$S$15/O1155*VLOOKUP(J1155,[1]人物技能基础!$N$3:$O$553,2,0)*$U$15)</f>
        <v>9</v>
      </c>
      <c r="R1155" s="12">
        <f t="shared" si="165"/>
        <v>112</v>
      </c>
    </row>
    <row r="1156" spans="1:18" x14ac:dyDescent="0.15">
      <c r="A1156" s="12">
        <v>1138</v>
      </c>
      <c r="B1156" s="12">
        <f t="shared" si="162"/>
        <v>6</v>
      </c>
      <c r="C1156" s="12">
        <f t="shared" si="163"/>
        <v>4.6802700000000002</v>
      </c>
      <c r="D1156" s="12">
        <f t="shared" si="166"/>
        <v>3.6312500000000192E-2</v>
      </c>
      <c r="E1156" s="12">
        <f>SUM($D$19:D1156)</f>
        <v>19.880269999999982</v>
      </c>
      <c r="F1156" s="12">
        <f t="shared" si="160"/>
        <v>219.74185556327896</v>
      </c>
      <c r="G1156" s="12">
        <f t="shared" si="161"/>
        <v>148.05516393649498</v>
      </c>
      <c r="H1156" s="12">
        <f t="shared" si="167"/>
        <v>791000</v>
      </c>
      <c r="I1156" s="12">
        <f t="shared" si="168"/>
        <v>532900</v>
      </c>
      <c r="J1156" s="12">
        <f>IF(A1156&lt;[3]关卡对接!$A$4,INDEX([3]关卡对接!$C$7:$C$141,A1156),MATCH(E1156,人物经验!$H$24:$H$573,1))</f>
        <v>410</v>
      </c>
      <c r="K1156" s="12">
        <f>IF([3]关卡对接!F1144="",INT(INDEX(人物经验!$J$24:$J$573,关卡!J1156)*关卡!$S$7),[3]关卡对接!F1144)</f>
        <v>19612</v>
      </c>
      <c r="L1156" s="12">
        <f t="shared" si="164"/>
        <v>2</v>
      </c>
      <c r="M1156" s="12">
        <f>L1156/[4]货币基础!$B$4</f>
        <v>200</v>
      </c>
      <c r="N1156" s="12">
        <f>IF(A1156&lt;[3]关卡对接!$A$4,INDEX([3]关卡对接!$E$7:$E$141,A1156),MATCH(E1156,人物经验!$H$24:$H$573,1))</f>
        <v>410</v>
      </c>
      <c r="O1156" s="12">
        <f>INDEX([2]关卡!$G$6:$G$2005,A1156)</f>
        <v>3</v>
      </c>
      <c r="P1156" s="13">
        <v>6</v>
      </c>
      <c r="Q1156" s="12">
        <f>INT(P1156/$S$15/O1156*VLOOKUP(J1156,[1]人物技能基础!$N$3:$O$553,2,0)*$U$15)</f>
        <v>9</v>
      </c>
      <c r="R1156" s="12">
        <f t="shared" si="165"/>
        <v>112</v>
      </c>
    </row>
    <row r="1157" spans="1:18" x14ac:dyDescent="0.15">
      <c r="A1157" s="12">
        <v>1139</v>
      </c>
      <c r="B1157" s="12">
        <f t="shared" si="162"/>
        <v>6</v>
      </c>
      <c r="C1157" s="12">
        <f t="shared" si="163"/>
        <v>4.7166174999999999</v>
      </c>
      <c r="D1157" s="12">
        <f t="shared" si="166"/>
        <v>3.6347499999999755E-2</v>
      </c>
      <c r="E1157" s="12">
        <f>SUM($D$19:D1157)</f>
        <v>19.91661749999998</v>
      </c>
      <c r="F1157" s="12">
        <f t="shared" si="160"/>
        <v>220.19872752745994</v>
      </c>
      <c r="G1157" s="12">
        <f t="shared" si="161"/>
        <v>148.29850965743094</v>
      </c>
      <c r="H1157" s="12">
        <f t="shared" si="167"/>
        <v>792700</v>
      </c>
      <c r="I1157" s="12">
        <f t="shared" si="168"/>
        <v>533800</v>
      </c>
      <c r="J1157" s="12">
        <f>IF(A1157&lt;[3]关卡对接!$A$4,INDEX([3]关卡对接!$C$7:$C$141,A1157),MATCH(E1157,人物经验!$H$24:$H$573,1))</f>
        <v>411</v>
      </c>
      <c r="K1157" s="12">
        <f>IF([3]关卡对接!F1145="",INT(INDEX(人物经验!$J$24:$J$573,关卡!J1157)*关卡!$S$7),[3]关卡对接!F1145)</f>
        <v>19776</v>
      </c>
      <c r="L1157" s="12">
        <f t="shared" si="164"/>
        <v>2</v>
      </c>
      <c r="M1157" s="12">
        <f>L1157/[4]货币基础!$B$4</f>
        <v>200</v>
      </c>
      <c r="N1157" s="12">
        <f>IF(A1157&lt;[3]关卡对接!$A$4,INDEX([3]关卡对接!$E$7:$E$141,A1157),MATCH(E1157,人物经验!$H$24:$H$573,1))</f>
        <v>411</v>
      </c>
      <c r="O1157" s="12">
        <f>INDEX([2]关卡!$G$6:$G$2005,A1157)</f>
        <v>3</v>
      </c>
      <c r="P1157" s="13">
        <v>6</v>
      </c>
      <c r="Q1157" s="12">
        <f>INT(P1157/$S$15/O1157*VLOOKUP(J1157,[1]人物技能基础!$N$3:$O$553,2,0)*$U$15)</f>
        <v>9</v>
      </c>
      <c r="R1157" s="12">
        <f t="shared" si="165"/>
        <v>112</v>
      </c>
    </row>
    <row r="1158" spans="1:18" x14ac:dyDescent="0.15">
      <c r="A1158" s="12">
        <v>1140</v>
      </c>
      <c r="B1158" s="12">
        <f t="shared" si="162"/>
        <v>6</v>
      </c>
      <c r="C1158" s="12">
        <f t="shared" si="163"/>
        <v>4.7530000000000001</v>
      </c>
      <c r="D1158" s="12">
        <f t="shared" si="166"/>
        <v>3.6382500000000206E-2</v>
      </c>
      <c r="E1158" s="12">
        <f>SUM($D$19:D1158)</f>
        <v>19.952999999999982</v>
      </c>
      <c r="F1158" s="12">
        <f t="shared" si="160"/>
        <v>220.65634398999998</v>
      </c>
      <c r="G1158" s="12">
        <f t="shared" si="161"/>
        <v>148.54215094999995</v>
      </c>
      <c r="H1158" s="12">
        <f t="shared" si="167"/>
        <v>794300</v>
      </c>
      <c r="I1158" s="12">
        <f t="shared" si="168"/>
        <v>534700</v>
      </c>
      <c r="J1158" s="12">
        <f>IF(A1158&lt;[3]关卡对接!$A$4,INDEX([3]关卡对接!$C$7:$C$141,A1158),MATCH(E1158,人物经验!$H$24:$H$573,1))</f>
        <v>411</v>
      </c>
      <c r="K1158" s="12">
        <f>IF([3]关卡对接!F1146="",INT(INDEX(人物经验!$J$24:$J$573,关卡!J1158)*关卡!$S$7),[3]关卡对接!F1146)</f>
        <v>19776</v>
      </c>
      <c r="L1158" s="12">
        <f t="shared" si="164"/>
        <v>2</v>
      </c>
      <c r="M1158" s="12">
        <f>L1158/[4]货币基础!$B$4</f>
        <v>200</v>
      </c>
      <c r="N1158" s="12">
        <f>IF(A1158&lt;[3]关卡对接!$A$4,INDEX([3]关卡对接!$E$7:$E$141,A1158),MATCH(E1158,人物经验!$H$24:$H$573,1))</f>
        <v>411</v>
      </c>
      <c r="O1158" s="12">
        <f>INDEX([2]关卡!$G$6:$G$2005,A1158)</f>
        <v>3</v>
      </c>
      <c r="P1158" s="13">
        <v>6</v>
      </c>
      <c r="Q1158" s="12">
        <f>INT(P1158/$S$15/O1158*VLOOKUP(J1158,[1]人物技能基础!$N$3:$O$553,2,0)*$U$15)</f>
        <v>9</v>
      </c>
      <c r="R1158" s="12">
        <f t="shared" si="165"/>
        <v>112</v>
      </c>
    </row>
    <row r="1159" spans="1:18" x14ac:dyDescent="0.15">
      <c r="A1159" s="12">
        <v>1141</v>
      </c>
      <c r="B1159" s="12">
        <f t="shared" si="162"/>
        <v>6</v>
      </c>
      <c r="C1159" s="12">
        <f t="shared" si="163"/>
        <v>4.7894174999999999</v>
      </c>
      <c r="D1159" s="12">
        <f t="shared" si="166"/>
        <v>3.6417499999999769E-2</v>
      </c>
      <c r="E1159" s="12">
        <f>SUM($D$19:D1159)</f>
        <v>19.989417499999981</v>
      </c>
      <c r="F1159" s="12">
        <f t="shared" si="160"/>
        <v>221.11470585788996</v>
      </c>
      <c r="G1159" s="12">
        <f t="shared" si="161"/>
        <v>148.78608808908095</v>
      </c>
      <c r="H1159" s="12">
        <f t="shared" si="167"/>
        <v>796000</v>
      </c>
      <c r="I1159" s="12">
        <f t="shared" si="168"/>
        <v>535600</v>
      </c>
      <c r="J1159" s="12">
        <f>IF(A1159&lt;[3]关卡对接!$A$4,INDEX([3]关卡对接!$C$7:$C$141,A1159),MATCH(E1159,人物经验!$H$24:$H$573,1))</f>
        <v>411</v>
      </c>
      <c r="K1159" s="12">
        <f>IF([3]关卡对接!F1147="",INT(INDEX(人物经验!$J$24:$J$573,关卡!J1159)*关卡!$S$7),[3]关卡对接!F1147)</f>
        <v>19776</v>
      </c>
      <c r="L1159" s="12">
        <f t="shared" si="164"/>
        <v>2</v>
      </c>
      <c r="M1159" s="12">
        <f>L1159/[4]货币基础!$B$4</f>
        <v>200</v>
      </c>
      <c r="N1159" s="12">
        <f>IF(A1159&lt;[3]关卡对接!$A$4,INDEX([3]关卡对接!$E$7:$E$141,A1159),MATCH(E1159,人物经验!$H$24:$H$573,1))</f>
        <v>411</v>
      </c>
      <c r="O1159" s="12">
        <f>INDEX([2]关卡!$G$6:$G$2005,A1159)</f>
        <v>3</v>
      </c>
      <c r="P1159" s="13">
        <v>6</v>
      </c>
      <c r="Q1159" s="12">
        <f>INT(P1159/$S$15/O1159*VLOOKUP(J1159,[1]人物技能基础!$N$3:$O$553,2,0)*$U$15)</f>
        <v>9</v>
      </c>
      <c r="R1159" s="12">
        <f t="shared" si="165"/>
        <v>112</v>
      </c>
    </row>
    <row r="1160" spans="1:18" x14ac:dyDescent="0.15">
      <c r="A1160" s="12">
        <v>1142</v>
      </c>
      <c r="B1160" s="12">
        <f t="shared" si="162"/>
        <v>6</v>
      </c>
      <c r="C1160" s="12">
        <f t="shared" si="163"/>
        <v>4.8258700000000001</v>
      </c>
      <c r="D1160" s="12">
        <f t="shared" si="166"/>
        <v>3.6452500000000221E-2</v>
      </c>
      <c r="E1160" s="12">
        <f>SUM($D$19:D1160)</f>
        <v>20.02586999999998</v>
      </c>
      <c r="F1160" s="12">
        <f t="shared" si="160"/>
        <v>221.57381403871898</v>
      </c>
      <c r="G1160" s="12">
        <f t="shared" si="161"/>
        <v>149.03032134969496</v>
      </c>
      <c r="H1160" s="12">
        <f t="shared" si="167"/>
        <v>797600</v>
      </c>
      <c r="I1160" s="12">
        <f t="shared" si="168"/>
        <v>536500</v>
      </c>
      <c r="J1160" s="12">
        <f>IF(A1160&lt;[3]关卡对接!$A$4,INDEX([3]关卡对接!$C$7:$C$141,A1160),MATCH(E1160,人物经验!$H$24:$H$573,1))</f>
        <v>411</v>
      </c>
      <c r="K1160" s="12">
        <f>IF([3]关卡对接!F1148="",INT(INDEX(人物经验!$J$24:$J$573,关卡!J1160)*关卡!$S$7),[3]关卡对接!F1148)</f>
        <v>19776</v>
      </c>
      <c r="L1160" s="12">
        <f t="shared" si="164"/>
        <v>2</v>
      </c>
      <c r="M1160" s="12">
        <f>L1160/[4]货币基础!$B$4</f>
        <v>200</v>
      </c>
      <c r="N1160" s="12">
        <f>IF(A1160&lt;[3]关卡对接!$A$4,INDEX([3]关卡对接!$E$7:$E$141,A1160),MATCH(E1160,人物经验!$H$24:$H$573,1))</f>
        <v>411</v>
      </c>
      <c r="O1160" s="12">
        <f>INDEX([2]关卡!$G$6:$G$2005,A1160)</f>
        <v>3</v>
      </c>
      <c r="P1160" s="13">
        <v>6</v>
      </c>
      <c r="Q1160" s="12">
        <f>INT(P1160/$S$15/O1160*VLOOKUP(J1160,[1]人物技能基础!$N$3:$O$553,2,0)*$U$15)</f>
        <v>9</v>
      </c>
      <c r="R1160" s="12">
        <f t="shared" si="165"/>
        <v>112</v>
      </c>
    </row>
    <row r="1161" spans="1:18" x14ac:dyDescent="0.15">
      <c r="A1161" s="12">
        <v>1143</v>
      </c>
      <c r="B1161" s="12">
        <f t="shared" si="162"/>
        <v>6</v>
      </c>
      <c r="C1161" s="12">
        <f t="shared" si="163"/>
        <v>4.8623574999999999</v>
      </c>
      <c r="D1161" s="12">
        <f t="shared" si="166"/>
        <v>3.6487499999999784E-2</v>
      </c>
      <c r="E1161" s="12">
        <f>SUM($D$19:D1161)</f>
        <v>20.06235749999998</v>
      </c>
      <c r="F1161" s="12">
        <f t="shared" si="160"/>
        <v>222.03366944067494</v>
      </c>
      <c r="G1161" s="12">
        <f t="shared" si="161"/>
        <v>149.27485100700594</v>
      </c>
      <c r="H1161" s="12">
        <f t="shared" si="167"/>
        <v>799300</v>
      </c>
      <c r="I1161" s="12">
        <f t="shared" si="168"/>
        <v>537300</v>
      </c>
      <c r="J1161" s="12">
        <f>IF(A1161&lt;[3]关卡对接!$A$4,INDEX([3]关卡对接!$C$7:$C$141,A1161),MATCH(E1161,人物经验!$H$24:$H$573,1))</f>
        <v>412</v>
      </c>
      <c r="K1161" s="12">
        <f>IF([3]关卡对接!F1149="",INT(INDEX(人物经验!$J$24:$J$573,关卡!J1161)*关卡!$S$7),[3]关卡对接!F1149)</f>
        <v>19941</v>
      </c>
      <c r="L1161" s="12">
        <f t="shared" si="164"/>
        <v>2</v>
      </c>
      <c r="M1161" s="12">
        <f>L1161/[4]货币基础!$B$4</f>
        <v>200</v>
      </c>
      <c r="N1161" s="12">
        <f>IF(A1161&lt;[3]关卡对接!$A$4,INDEX([3]关卡对接!$E$7:$E$141,A1161),MATCH(E1161,人物经验!$H$24:$H$573,1))</f>
        <v>412</v>
      </c>
      <c r="O1161" s="12">
        <f>INDEX([2]关卡!$G$6:$G$2005,A1161)</f>
        <v>3</v>
      </c>
      <c r="P1161" s="13">
        <v>6</v>
      </c>
      <c r="Q1161" s="12">
        <f>INT(P1161/$S$15/O1161*VLOOKUP(J1161,[1]人物技能基础!$N$3:$O$553,2,0)*$U$15)</f>
        <v>9</v>
      </c>
      <c r="R1161" s="12">
        <f t="shared" si="165"/>
        <v>112</v>
      </c>
    </row>
    <row r="1162" spans="1:18" x14ac:dyDescent="0.15">
      <c r="A1162" s="12">
        <v>1144</v>
      </c>
      <c r="B1162" s="12">
        <f t="shared" si="162"/>
        <v>6</v>
      </c>
      <c r="C1162" s="12">
        <f t="shared" si="163"/>
        <v>4.8988800000000001</v>
      </c>
      <c r="D1162" s="12">
        <f t="shared" si="166"/>
        <v>3.6522500000000235E-2</v>
      </c>
      <c r="E1162" s="12">
        <f>SUM($D$19:D1162)</f>
        <v>20.09887999999998</v>
      </c>
      <c r="F1162" s="12">
        <f t="shared" si="160"/>
        <v>222.49427297254397</v>
      </c>
      <c r="G1162" s="12">
        <f t="shared" si="161"/>
        <v>149.51967733631997</v>
      </c>
      <c r="H1162" s="12">
        <f t="shared" si="167"/>
        <v>800900</v>
      </c>
      <c r="I1162" s="12">
        <f t="shared" si="168"/>
        <v>538200</v>
      </c>
      <c r="J1162" s="12">
        <f>IF(A1162&lt;[3]关卡对接!$A$4,INDEX([3]关卡对接!$C$7:$C$141,A1162),MATCH(E1162,人物经验!$H$24:$H$573,1))</f>
        <v>412</v>
      </c>
      <c r="K1162" s="12">
        <f>IF([3]关卡对接!F1150="",INT(INDEX(人物经验!$J$24:$J$573,关卡!J1162)*关卡!$S$7),[3]关卡对接!F1150)</f>
        <v>19941</v>
      </c>
      <c r="L1162" s="12">
        <f t="shared" si="164"/>
        <v>2</v>
      </c>
      <c r="M1162" s="12">
        <f>L1162/[4]货币基础!$B$4</f>
        <v>200</v>
      </c>
      <c r="N1162" s="12">
        <f>IF(A1162&lt;[3]关卡对接!$A$4,INDEX([3]关卡对接!$E$7:$E$141,A1162),MATCH(E1162,人物经验!$H$24:$H$573,1))</f>
        <v>412</v>
      </c>
      <c r="O1162" s="12">
        <f>INDEX([2]关卡!$G$6:$G$2005,A1162)</f>
        <v>3</v>
      </c>
      <c r="P1162" s="13">
        <v>6</v>
      </c>
      <c r="Q1162" s="12">
        <f>INT(P1162/$S$15/O1162*VLOOKUP(J1162,[1]人物技能基础!$N$3:$O$553,2,0)*$U$15)</f>
        <v>9</v>
      </c>
      <c r="R1162" s="12">
        <f t="shared" si="165"/>
        <v>112</v>
      </c>
    </row>
    <row r="1163" spans="1:18" x14ac:dyDescent="0.15">
      <c r="A1163" s="12">
        <v>1145</v>
      </c>
      <c r="B1163" s="12">
        <f t="shared" si="162"/>
        <v>6</v>
      </c>
      <c r="C1163" s="12">
        <f t="shared" si="163"/>
        <v>4.935437499999999</v>
      </c>
      <c r="D1163" s="12">
        <f t="shared" si="166"/>
        <v>3.655749999999891E-2</v>
      </c>
      <c r="E1163" s="12">
        <f>SUM($D$19:D1163)</f>
        <v>20.135437499999981</v>
      </c>
      <c r="F1163" s="12">
        <f t="shared" si="160"/>
        <v>222.95562554371097</v>
      </c>
      <c r="G1163" s="12">
        <f t="shared" si="161"/>
        <v>149.76480061308595</v>
      </c>
      <c r="H1163" s="12">
        <f t="shared" si="167"/>
        <v>802600</v>
      </c>
      <c r="I1163" s="12">
        <f t="shared" si="168"/>
        <v>539100</v>
      </c>
      <c r="J1163" s="12">
        <f>IF(A1163&lt;[3]关卡对接!$A$4,INDEX([3]关卡对接!$C$7:$C$141,A1163),MATCH(E1163,人物经验!$H$24:$H$573,1))</f>
        <v>412</v>
      </c>
      <c r="K1163" s="12">
        <f>IF([3]关卡对接!F1151="",INT(INDEX(人物经验!$J$24:$J$573,关卡!J1163)*关卡!$S$7),[3]关卡对接!F1151)</f>
        <v>19941</v>
      </c>
      <c r="L1163" s="12">
        <f t="shared" si="164"/>
        <v>2</v>
      </c>
      <c r="M1163" s="12">
        <f>L1163/[4]货币基础!$B$4</f>
        <v>200</v>
      </c>
      <c r="N1163" s="12">
        <f>IF(A1163&lt;[3]关卡对接!$A$4,INDEX([3]关卡对接!$E$7:$E$141,A1163),MATCH(E1163,人物经验!$H$24:$H$573,1))</f>
        <v>412</v>
      </c>
      <c r="O1163" s="12">
        <f>INDEX([2]关卡!$G$6:$G$2005,A1163)</f>
        <v>3</v>
      </c>
      <c r="P1163" s="13">
        <v>6</v>
      </c>
      <c r="Q1163" s="12">
        <f>INT(P1163/$S$15/O1163*VLOOKUP(J1163,[1]人物技能基础!$N$3:$O$553,2,0)*$U$15)</f>
        <v>9</v>
      </c>
      <c r="R1163" s="12">
        <f t="shared" si="165"/>
        <v>112</v>
      </c>
    </row>
    <row r="1164" spans="1:18" x14ac:dyDescent="0.15">
      <c r="A1164" s="12">
        <v>1146</v>
      </c>
      <c r="B1164" s="12">
        <f t="shared" si="162"/>
        <v>6</v>
      </c>
      <c r="C1164" s="12">
        <f t="shared" si="163"/>
        <v>4.9720300000000002</v>
      </c>
      <c r="D1164" s="12">
        <f t="shared" si="166"/>
        <v>3.6592500000001138E-2</v>
      </c>
      <c r="E1164" s="12">
        <f>SUM($D$19:D1164)</f>
        <v>20.172029999999982</v>
      </c>
      <c r="F1164" s="12">
        <f t="shared" si="160"/>
        <v>223.41772806415898</v>
      </c>
      <c r="G1164" s="12">
        <f t="shared" si="161"/>
        <v>150.01022111289498</v>
      </c>
      <c r="H1164" s="12">
        <f t="shared" si="167"/>
        <v>804300</v>
      </c>
      <c r="I1164" s="12">
        <f t="shared" si="168"/>
        <v>540000</v>
      </c>
      <c r="J1164" s="12">
        <f>IF(A1164&lt;[3]关卡对接!$A$4,INDEX([3]关卡对接!$C$7:$C$141,A1164),MATCH(E1164,人物经验!$H$24:$H$573,1))</f>
        <v>412</v>
      </c>
      <c r="K1164" s="12">
        <f>IF([3]关卡对接!F1152="",INT(INDEX(人物经验!$J$24:$J$573,关卡!J1164)*关卡!$S$7),[3]关卡对接!F1152)</f>
        <v>19941</v>
      </c>
      <c r="L1164" s="12">
        <f t="shared" si="164"/>
        <v>2</v>
      </c>
      <c r="M1164" s="12">
        <f>L1164/[4]货币基础!$B$4</f>
        <v>200</v>
      </c>
      <c r="N1164" s="12">
        <f>IF(A1164&lt;[3]关卡对接!$A$4,INDEX([3]关卡对接!$E$7:$E$141,A1164),MATCH(E1164,人物经验!$H$24:$H$573,1))</f>
        <v>412</v>
      </c>
      <c r="O1164" s="12">
        <f>INDEX([2]关卡!$G$6:$G$2005,A1164)</f>
        <v>3</v>
      </c>
      <c r="P1164" s="13">
        <v>6</v>
      </c>
      <c r="Q1164" s="12">
        <f>INT(P1164/$S$15/O1164*VLOOKUP(J1164,[1]人物技能基础!$N$3:$O$553,2,0)*$U$15)</f>
        <v>9</v>
      </c>
      <c r="R1164" s="12">
        <f t="shared" si="165"/>
        <v>112</v>
      </c>
    </row>
    <row r="1165" spans="1:18" x14ac:dyDescent="0.15">
      <c r="A1165" s="12">
        <v>1147</v>
      </c>
      <c r="B1165" s="12">
        <f t="shared" si="162"/>
        <v>6</v>
      </c>
      <c r="C1165" s="12">
        <f t="shared" si="163"/>
        <v>5.0086575</v>
      </c>
      <c r="D1165" s="12">
        <f t="shared" si="166"/>
        <v>3.6627499999999813E-2</v>
      </c>
      <c r="E1165" s="12">
        <f>SUM($D$19:D1165)</f>
        <v>20.20865749999998</v>
      </c>
      <c r="F1165" s="12">
        <f t="shared" si="160"/>
        <v>223.88058144446995</v>
      </c>
      <c r="G1165" s="12">
        <f t="shared" si="161"/>
        <v>150.25593911148093</v>
      </c>
      <c r="H1165" s="12">
        <f t="shared" si="167"/>
        <v>805900</v>
      </c>
      <c r="I1165" s="12">
        <f t="shared" si="168"/>
        <v>540900</v>
      </c>
      <c r="J1165" s="12">
        <f>IF(A1165&lt;[3]关卡对接!$A$4,INDEX([3]关卡对接!$C$7:$C$141,A1165),MATCH(E1165,人物经验!$H$24:$H$573,1))</f>
        <v>413</v>
      </c>
      <c r="K1165" s="12">
        <f>IF([3]关卡对接!F1153="",INT(INDEX(人物经验!$J$24:$J$573,关卡!J1165)*关卡!$S$7),[3]关卡对接!F1153)</f>
        <v>20107</v>
      </c>
      <c r="L1165" s="12">
        <f t="shared" si="164"/>
        <v>2</v>
      </c>
      <c r="M1165" s="12">
        <f>L1165/[4]货币基础!$B$4</f>
        <v>200</v>
      </c>
      <c r="N1165" s="12">
        <f>IF(A1165&lt;[3]关卡对接!$A$4,INDEX([3]关卡对接!$E$7:$E$141,A1165),MATCH(E1165,人物经验!$H$24:$H$573,1))</f>
        <v>413</v>
      </c>
      <c r="O1165" s="12">
        <f>INDEX([2]关卡!$G$6:$G$2005,A1165)</f>
        <v>3</v>
      </c>
      <c r="P1165" s="13">
        <v>6</v>
      </c>
      <c r="Q1165" s="12">
        <f>INT(P1165/$S$15/O1165*VLOOKUP(J1165,[1]人物技能基础!$N$3:$O$553,2,0)*$U$15)</f>
        <v>9</v>
      </c>
      <c r="R1165" s="12">
        <f t="shared" si="165"/>
        <v>112</v>
      </c>
    </row>
    <row r="1166" spans="1:18" x14ac:dyDescent="0.15">
      <c r="A1166" s="12">
        <v>1148</v>
      </c>
      <c r="B1166" s="12">
        <f t="shared" si="162"/>
        <v>6</v>
      </c>
      <c r="C1166" s="12">
        <f t="shared" si="163"/>
        <v>5.0453200000000002</v>
      </c>
      <c r="D1166" s="12">
        <f t="shared" si="166"/>
        <v>3.6662500000000264E-2</v>
      </c>
      <c r="E1166" s="12">
        <f>SUM($D$19:D1166)</f>
        <v>20.245319999999978</v>
      </c>
      <c r="F1166" s="12">
        <f t="shared" si="160"/>
        <v>224.34418659582394</v>
      </c>
      <c r="G1166" s="12">
        <f t="shared" si="161"/>
        <v>150.50195488471999</v>
      </c>
      <c r="H1166" s="12">
        <f t="shared" si="167"/>
        <v>807600</v>
      </c>
      <c r="I1166" s="12">
        <f t="shared" si="168"/>
        <v>541800</v>
      </c>
      <c r="J1166" s="12">
        <f>IF(A1166&lt;[3]关卡对接!$A$4,INDEX([3]关卡对接!$C$7:$C$141,A1166),MATCH(E1166,人物经验!$H$24:$H$573,1))</f>
        <v>413</v>
      </c>
      <c r="K1166" s="12">
        <f>IF([3]关卡对接!F1154="",INT(INDEX(人物经验!$J$24:$J$573,关卡!J1166)*关卡!$S$7),[3]关卡对接!F1154)</f>
        <v>20107</v>
      </c>
      <c r="L1166" s="12">
        <f t="shared" si="164"/>
        <v>2</v>
      </c>
      <c r="M1166" s="12">
        <f>L1166/[4]货币基础!$B$4</f>
        <v>200</v>
      </c>
      <c r="N1166" s="12">
        <f>IF(A1166&lt;[3]关卡对接!$A$4,INDEX([3]关卡对接!$E$7:$E$141,A1166),MATCH(E1166,人物经验!$H$24:$H$573,1))</f>
        <v>413</v>
      </c>
      <c r="O1166" s="12">
        <f>INDEX([2]关卡!$G$6:$G$2005,A1166)</f>
        <v>3</v>
      </c>
      <c r="P1166" s="13">
        <v>6</v>
      </c>
      <c r="Q1166" s="12">
        <f>INT(P1166/$S$15/O1166*VLOOKUP(J1166,[1]人物技能基础!$N$3:$O$553,2,0)*$U$15)</f>
        <v>9</v>
      </c>
      <c r="R1166" s="12">
        <f t="shared" si="165"/>
        <v>112</v>
      </c>
    </row>
    <row r="1167" spans="1:18" x14ac:dyDescent="0.15">
      <c r="A1167" s="12">
        <v>1149</v>
      </c>
      <c r="B1167" s="12">
        <f t="shared" si="162"/>
        <v>6</v>
      </c>
      <c r="C1167" s="12">
        <f t="shared" si="163"/>
        <v>5.0820175000000001</v>
      </c>
      <c r="D1167" s="12">
        <f t="shared" si="166"/>
        <v>3.6697499999999827E-2</v>
      </c>
      <c r="E1167" s="12">
        <f>SUM($D$19:D1167)</f>
        <v>20.282017499999977</v>
      </c>
      <c r="F1167" s="12">
        <f t="shared" si="160"/>
        <v>224.80854442999993</v>
      </c>
      <c r="G1167" s="12">
        <f t="shared" si="161"/>
        <v>150.74826870863092</v>
      </c>
      <c r="H1167" s="12">
        <f t="shared" si="167"/>
        <v>809300</v>
      </c>
      <c r="I1167" s="12">
        <f t="shared" si="168"/>
        <v>542600</v>
      </c>
      <c r="J1167" s="12">
        <f>IF(A1167&lt;[3]关卡对接!$A$4,INDEX([3]关卡对接!$C$7:$C$141,A1167),MATCH(E1167,人物经验!$H$24:$H$573,1))</f>
        <v>413</v>
      </c>
      <c r="K1167" s="12">
        <f>IF([3]关卡对接!F1155="",INT(INDEX(人物经验!$J$24:$J$573,关卡!J1167)*关卡!$S$7),[3]关卡对接!F1155)</f>
        <v>20107</v>
      </c>
      <c r="L1167" s="12">
        <f t="shared" si="164"/>
        <v>2</v>
      </c>
      <c r="M1167" s="12">
        <f>L1167/[4]货币基础!$B$4</f>
        <v>200</v>
      </c>
      <c r="N1167" s="12">
        <f>IF(A1167&lt;[3]关卡对接!$A$4,INDEX([3]关卡对接!$E$7:$E$141,A1167),MATCH(E1167,人物经验!$H$24:$H$573,1))</f>
        <v>413</v>
      </c>
      <c r="O1167" s="12">
        <f>INDEX([2]关卡!$G$6:$G$2005,A1167)</f>
        <v>3</v>
      </c>
      <c r="P1167" s="13">
        <v>6</v>
      </c>
      <c r="Q1167" s="12">
        <f>INT(P1167/$S$15/O1167*VLOOKUP(J1167,[1]人物技能基础!$N$3:$O$553,2,0)*$U$15)</f>
        <v>9</v>
      </c>
      <c r="R1167" s="12">
        <f t="shared" si="165"/>
        <v>112</v>
      </c>
    </row>
    <row r="1168" spans="1:18" x14ac:dyDescent="0.15">
      <c r="A1168" s="12">
        <v>1150</v>
      </c>
      <c r="B1168" s="12">
        <f t="shared" si="162"/>
        <v>6</v>
      </c>
      <c r="C1168" s="12">
        <f t="shared" si="163"/>
        <v>5.1187500000000004</v>
      </c>
      <c r="D1168" s="12">
        <f t="shared" si="166"/>
        <v>3.6732500000000279E-2</v>
      </c>
      <c r="E1168" s="12">
        <f>SUM($D$19:D1168)</f>
        <v>20.318749999999977</v>
      </c>
      <c r="F1168" s="12">
        <f t="shared" si="160"/>
        <v>225.27365585937494</v>
      </c>
      <c r="G1168" s="12">
        <f t="shared" si="161"/>
        <v>150.99488085937494</v>
      </c>
      <c r="H1168" s="12">
        <f t="shared" si="167"/>
        <v>810900</v>
      </c>
      <c r="I1168" s="12">
        <f t="shared" si="168"/>
        <v>543500</v>
      </c>
      <c r="J1168" s="12">
        <f>IF(A1168&lt;[3]关卡对接!$A$4,INDEX([3]关卡对接!$C$7:$C$141,A1168),MATCH(E1168,人物经验!$H$24:$H$573,1))</f>
        <v>413</v>
      </c>
      <c r="K1168" s="12">
        <f>IF([3]关卡对接!F1156="",INT(INDEX(人物经验!$J$24:$J$573,关卡!J1168)*关卡!$S$7),[3]关卡对接!F1156)</f>
        <v>20107</v>
      </c>
      <c r="L1168" s="12">
        <f t="shared" si="164"/>
        <v>2</v>
      </c>
      <c r="M1168" s="12">
        <f>L1168/[4]货币基础!$B$4</f>
        <v>200</v>
      </c>
      <c r="N1168" s="12">
        <f>IF(A1168&lt;[3]关卡对接!$A$4,INDEX([3]关卡对接!$E$7:$E$141,A1168),MATCH(E1168,人物经验!$H$24:$H$573,1))</f>
        <v>413</v>
      </c>
      <c r="O1168" s="12">
        <f>INDEX([2]关卡!$G$6:$G$2005,A1168)</f>
        <v>3</v>
      </c>
      <c r="P1168" s="13">
        <v>6</v>
      </c>
      <c r="Q1168" s="12">
        <f>INT(P1168/$S$15/O1168*VLOOKUP(J1168,[1]人物技能基础!$N$3:$O$553,2,0)*$U$15)</f>
        <v>9</v>
      </c>
      <c r="R1168" s="12">
        <f t="shared" si="165"/>
        <v>112</v>
      </c>
    </row>
    <row r="1169" spans="1:18" x14ac:dyDescent="0.15">
      <c r="A1169" s="12">
        <v>1151</v>
      </c>
      <c r="B1169" s="12">
        <f t="shared" si="162"/>
        <v>6</v>
      </c>
      <c r="C1169" s="12">
        <f t="shared" si="163"/>
        <v>5.1555174999999993</v>
      </c>
      <c r="D1169" s="12">
        <f t="shared" si="166"/>
        <v>3.6767499999998954E-2</v>
      </c>
      <c r="E1169" s="12">
        <f>SUM($D$19:D1169)</f>
        <v>20.355517499999976</v>
      </c>
      <c r="F1169" s="12">
        <f t="shared" si="160"/>
        <v>225.73952179692498</v>
      </c>
      <c r="G1169" s="12">
        <f t="shared" si="161"/>
        <v>151.24179161325594</v>
      </c>
      <c r="H1169" s="12">
        <f t="shared" si="167"/>
        <v>812600</v>
      </c>
      <c r="I1169" s="12">
        <f t="shared" si="168"/>
        <v>544400</v>
      </c>
      <c r="J1169" s="12">
        <f>IF(A1169&lt;[3]关卡对接!$A$4,INDEX([3]关卡对接!$C$7:$C$141,A1169),MATCH(E1169,人物经验!$H$24:$H$573,1))</f>
        <v>414</v>
      </c>
      <c r="K1169" s="12">
        <f>IF([3]关卡对接!F1157="",INT(INDEX(人物经验!$J$24:$J$573,关卡!J1169)*关卡!$S$7),[3]关卡对接!F1157)</f>
        <v>20274</v>
      </c>
      <c r="L1169" s="12">
        <f t="shared" si="164"/>
        <v>2</v>
      </c>
      <c r="M1169" s="12">
        <f>L1169/[4]货币基础!$B$4</f>
        <v>200</v>
      </c>
      <c r="N1169" s="12">
        <f>IF(A1169&lt;[3]关卡对接!$A$4,INDEX([3]关卡对接!$E$7:$E$141,A1169),MATCH(E1169,人物经验!$H$24:$H$573,1))</f>
        <v>414</v>
      </c>
      <c r="O1169" s="12">
        <f>INDEX([2]关卡!$G$6:$G$2005,A1169)</f>
        <v>3</v>
      </c>
      <c r="P1169" s="13">
        <v>6</v>
      </c>
      <c r="Q1169" s="12">
        <f>INT(P1169/$S$15/O1169*VLOOKUP(J1169,[1]人物技能基础!$N$3:$O$553,2,0)*$U$15)</f>
        <v>9</v>
      </c>
      <c r="R1169" s="12">
        <f t="shared" si="165"/>
        <v>112</v>
      </c>
    </row>
    <row r="1170" spans="1:18" x14ac:dyDescent="0.15">
      <c r="A1170" s="12">
        <v>1152</v>
      </c>
      <c r="B1170" s="12">
        <f t="shared" si="162"/>
        <v>6</v>
      </c>
      <c r="C1170" s="12">
        <f t="shared" si="163"/>
        <v>5.1923200000000005</v>
      </c>
      <c r="D1170" s="12">
        <f t="shared" si="166"/>
        <v>3.6802500000001181E-2</v>
      </c>
      <c r="E1170" s="12">
        <f>SUM($D$19:D1170)</f>
        <v>20.392319999999977</v>
      </c>
      <c r="F1170" s="12">
        <f t="shared" si="160"/>
        <v>226.20614315622396</v>
      </c>
      <c r="G1170" s="12">
        <f t="shared" si="161"/>
        <v>151.48900124671999</v>
      </c>
      <c r="H1170" s="12">
        <f t="shared" si="167"/>
        <v>814300</v>
      </c>
      <c r="I1170" s="12">
        <f t="shared" si="168"/>
        <v>545300</v>
      </c>
      <c r="J1170" s="12">
        <f>IF(A1170&lt;[3]关卡对接!$A$4,INDEX([3]关卡对接!$C$7:$C$141,A1170),MATCH(E1170,人物经验!$H$24:$H$573,1))</f>
        <v>414</v>
      </c>
      <c r="K1170" s="12">
        <f>IF([3]关卡对接!F1158="",INT(INDEX(人物经验!$J$24:$J$573,关卡!J1170)*关卡!$S$7),[3]关卡对接!F1158)</f>
        <v>20274</v>
      </c>
      <c r="L1170" s="12">
        <f t="shared" si="164"/>
        <v>2</v>
      </c>
      <c r="M1170" s="12">
        <f>L1170/[4]货币基础!$B$4</f>
        <v>200</v>
      </c>
      <c r="N1170" s="12">
        <f>IF(A1170&lt;[3]关卡对接!$A$4,INDEX([3]关卡对接!$E$7:$E$141,A1170),MATCH(E1170,人物经验!$H$24:$H$573,1))</f>
        <v>414</v>
      </c>
      <c r="O1170" s="12">
        <f>INDEX([2]关卡!$G$6:$G$2005,A1170)</f>
        <v>3</v>
      </c>
      <c r="P1170" s="13">
        <v>6</v>
      </c>
      <c r="Q1170" s="12">
        <f>INT(P1170/$S$15/O1170*VLOOKUP(J1170,[1]人物技能基础!$N$3:$O$553,2,0)*$U$15)</f>
        <v>9</v>
      </c>
      <c r="R1170" s="12">
        <f t="shared" si="165"/>
        <v>112</v>
      </c>
    </row>
    <row r="1171" spans="1:18" x14ac:dyDescent="0.15">
      <c r="A1171" s="12">
        <v>1153</v>
      </c>
      <c r="B1171" s="12">
        <f t="shared" si="162"/>
        <v>6</v>
      </c>
      <c r="C1171" s="12">
        <f t="shared" si="163"/>
        <v>5.2291575000000003</v>
      </c>
      <c r="D1171" s="12">
        <f t="shared" si="166"/>
        <v>3.6837499999999856E-2</v>
      </c>
      <c r="E1171" s="12">
        <f>SUM($D$19:D1171)</f>
        <v>20.429157499999977</v>
      </c>
      <c r="F1171" s="12">
        <f t="shared" ref="F1171:F1234" si="169">$L$7*($M$7+$N$7*($A1171/$B$3)^1+$O$7*($A1171/$B$3)^2+$P$7*($A1171/$B$3)^3+$Q$7*($A1171/$B$3)^4)</f>
        <v>226.67352085144492</v>
      </c>
      <c r="G1171" s="12">
        <f t="shared" ref="G1171:G1234" si="170">$L$11*($M$11+$N$11*($A1171/$B$3)^1+$O$11*($A1171/$B$3)^2+$P$11*($A1171/$B$3)^3+$Q$11*($A1171/$B$3)^4)</f>
        <v>151.73651003635592</v>
      </c>
      <c r="H1171" s="12">
        <f t="shared" si="167"/>
        <v>816000</v>
      </c>
      <c r="I1171" s="12">
        <f t="shared" si="168"/>
        <v>546200</v>
      </c>
      <c r="J1171" s="12">
        <f>IF(A1171&lt;[3]关卡对接!$A$4,INDEX([3]关卡对接!$C$7:$C$141,A1171),MATCH(E1171,人物经验!$H$24:$H$573,1))</f>
        <v>414</v>
      </c>
      <c r="K1171" s="12">
        <f>IF([3]关卡对接!F1159="",INT(INDEX(人物经验!$J$24:$J$573,关卡!J1171)*关卡!$S$7),[3]关卡对接!F1159)</f>
        <v>20274</v>
      </c>
      <c r="L1171" s="12">
        <f t="shared" si="164"/>
        <v>2</v>
      </c>
      <c r="M1171" s="12">
        <f>L1171/[4]货币基础!$B$4</f>
        <v>200</v>
      </c>
      <c r="N1171" s="12">
        <f>IF(A1171&lt;[3]关卡对接!$A$4,INDEX([3]关卡对接!$E$7:$E$141,A1171),MATCH(E1171,人物经验!$H$24:$H$573,1))</f>
        <v>414</v>
      </c>
      <c r="O1171" s="12">
        <f>INDEX([2]关卡!$G$6:$G$2005,A1171)</f>
        <v>3</v>
      </c>
      <c r="P1171" s="13">
        <v>6</v>
      </c>
      <c r="Q1171" s="12">
        <f>INT(P1171/$S$15/O1171*VLOOKUP(J1171,[1]人物技能基础!$N$3:$O$553,2,0)*$U$15)</f>
        <v>9</v>
      </c>
      <c r="R1171" s="12">
        <f t="shared" si="165"/>
        <v>112</v>
      </c>
    </row>
    <row r="1172" spans="1:18" x14ac:dyDescent="0.15">
      <c r="A1172" s="12">
        <v>1154</v>
      </c>
      <c r="B1172" s="12">
        <f t="shared" ref="B1172:B1235" si="171">MATCH($A1172,$A$5:$A$15,1)-1</f>
        <v>6</v>
      </c>
      <c r="C1172" s="12">
        <f t="shared" ref="C1172:C1235" si="172">INDEX($C$5:$C$15,$B1172+1)*(INDEX($E$5:$E$15,$B1172+1)+INDEX($F$5:$F$15,$B1172+1)*(($A1172-INDEX($A$5:$A$15,$B1172+1)+1)/(INDEX($B$5:$B$15,$B1172+1)-INDEX($A$5:$A$15,$B1172+1)+1))^1+INDEX($G$5:$G$15,$B1172+1)*(($A1172-INDEX($A$5:$A$15,$B1172+1)+1)/(INDEX($B$5:$B$15,$B1172+1)-INDEX($A$5:$A$15,$B1172+1)+1))^2+INDEX($H$5:$H$15,$B1172+1)*(($A1172-INDEX($A$5:$A$15,$B1172+1)+1)/(INDEX($B$5:$B$15,$B1172+1)-INDEX($A$5:$A$15,$B1172+1)+1))^3+INDEX($I$5:$I$15,$B1172+1)*(($A1172-INDEX($A$5:$A$15,$B1172+1)+1)/(INDEX($B$5:$B$15,$B1172+1)-INDEX($A$5:$A$15,$B1172+1)+1))^4)</f>
        <v>5.2660299999999998</v>
      </c>
      <c r="D1172" s="12">
        <f t="shared" si="166"/>
        <v>3.687249999999942E-2</v>
      </c>
      <c r="E1172" s="12">
        <f>SUM($D$19:D1172)</f>
        <v>20.466029999999975</v>
      </c>
      <c r="F1172" s="12">
        <f t="shared" si="169"/>
        <v>227.14165579735902</v>
      </c>
      <c r="G1172" s="12">
        <f t="shared" si="170"/>
        <v>151.984318258895</v>
      </c>
      <c r="H1172" s="12">
        <f t="shared" si="167"/>
        <v>817700</v>
      </c>
      <c r="I1172" s="12">
        <f t="shared" si="168"/>
        <v>547100</v>
      </c>
      <c r="J1172" s="12">
        <f>IF(A1172&lt;[3]关卡对接!$A$4,INDEX([3]关卡对接!$C$7:$C$141,A1172),MATCH(E1172,人物经验!$H$24:$H$573,1))</f>
        <v>415</v>
      </c>
      <c r="K1172" s="12">
        <f>IF([3]关卡对接!F1160="",INT(INDEX(人物经验!$J$24:$J$573,关卡!J1172)*关卡!$S$7),[3]关卡对接!F1160)</f>
        <v>20400</v>
      </c>
      <c r="L1172" s="12">
        <f t="shared" ref="L1172:L1235" si="173">VLOOKUP(A1172,$A$5:$J$15,10,1)</f>
        <v>2</v>
      </c>
      <c r="M1172" s="12">
        <f>L1172/[4]货币基础!$B$4</f>
        <v>200</v>
      </c>
      <c r="N1172" s="12">
        <f>IF(A1172&lt;[3]关卡对接!$A$4,INDEX([3]关卡对接!$E$7:$E$141,A1172),MATCH(E1172,人物经验!$H$24:$H$573,1))</f>
        <v>415</v>
      </c>
      <c r="O1172" s="12">
        <f>INDEX([2]关卡!$G$6:$G$2005,A1172)</f>
        <v>3</v>
      </c>
      <c r="P1172" s="13">
        <v>6</v>
      </c>
      <c r="Q1172" s="12">
        <f>INT(P1172/$S$15/O1172*VLOOKUP(J1172,[1]人物技能基础!$N$3:$O$553,2,0)*$U$15)</f>
        <v>9</v>
      </c>
      <c r="R1172" s="12">
        <f t="shared" ref="R1172:R1235" si="174">INT(Q1172*12.5)</f>
        <v>112</v>
      </c>
    </row>
    <row r="1173" spans="1:18" x14ac:dyDescent="0.15">
      <c r="A1173" s="12">
        <v>1155</v>
      </c>
      <c r="B1173" s="12">
        <f t="shared" si="171"/>
        <v>6</v>
      </c>
      <c r="C1173" s="12">
        <f t="shared" si="172"/>
        <v>5.3029375000000005</v>
      </c>
      <c r="D1173" s="12">
        <f t="shared" si="166"/>
        <v>3.6907500000000759E-2</v>
      </c>
      <c r="E1173" s="12">
        <f>SUM($D$19:D1173)</f>
        <v>20.502937499999977</v>
      </c>
      <c r="F1173" s="12">
        <f t="shared" si="169"/>
        <v>227.61054890933596</v>
      </c>
      <c r="G1173" s="12">
        <f t="shared" si="170"/>
        <v>152.23242619121095</v>
      </c>
      <c r="H1173" s="12">
        <f t="shared" si="167"/>
        <v>819300</v>
      </c>
      <c r="I1173" s="12">
        <f t="shared" si="168"/>
        <v>548000</v>
      </c>
      <c r="J1173" s="12">
        <f>IF(A1173&lt;[3]关卡对接!$A$4,INDEX([3]关卡对接!$C$7:$C$141,A1173),MATCH(E1173,人物经验!$H$24:$H$573,1))</f>
        <v>415</v>
      </c>
      <c r="K1173" s="12">
        <f>IF([3]关卡对接!F1161="",INT(INDEX(人物经验!$J$24:$J$573,关卡!J1173)*关卡!$S$7),[3]关卡对接!F1161)</f>
        <v>20400</v>
      </c>
      <c r="L1173" s="12">
        <f t="shared" si="173"/>
        <v>2</v>
      </c>
      <c r="M1173" s="12">
        <f>L1173/[4]货币基础!$B$4</f>
        <v>200</v>
      </c>
      <c r="N1173" s="12">
        <f>IF(A1173&lt;[3]关卡对接!$A$4,INDEX([3]关卡对接!$E$7:$E$141,A1173),MATCH(E1173,人物经验!$H$24:$H$573,1))</f>
        <v>415</v>
      </c>
      <c r="O1173" s="12">
        <f>INDEX([2]关卡!$G$6:$G$2005,A1173)</f>
        <v>3</v>
      </c>
      <c r="P1173" s="13">
        <v>6</v>
      </c>
      <c r="Q1173" s="12">
        <f>INT(P1173/$S$15/O1173*VLOOKUP(J1173,[1]人物技能基础!$N$3:$O$553,2,0)*$U$15)</f>
        <v>9</v>
      </c>
      <c r="R1173" s="12">
        <f t="shared" si="174"/>
        <v>112</v>
      </c>
    </row>
    <row r="1174" spans="1:18" x14ac:dyDescent="0.15">
      <c r="A1174" s="12">
        <v>1156</v>
      </c>
      <c r="B1174" s="12">
        <f t="shared" si="171"/>
        <v>6</v>
      </c>
      <c r="C1174" s="12">
        <f t="shared" si="172"/>
        <v>5.3398800000000008</v>
      </c>
      <c r="D1174" s="12">
        <f t="shared" si="166"/>
        <v>3.6942500000000322E-2</v>
      </c>
      <c r="E1174" s="12">
        <f>SUM($D$19:D1174)</f>
        <v>20.539879999999975</v>
      </c>
      <c r="F1174" s="12">
        <f t="shared" si="169"/>
        <v>228.080201103344</v>
      </c>
      <c r="G1174" s="12">
        <f t="shared" si="170"/>
        <v>152.48083411031996</v>
      </c>
      <c r="H1174" s="12">
        <f t="shared" si="167"/>
        <v>821000</v>
      </c>
      <c r="I1174" s="12">
        <f t="shared" si="168"/>
        <v>548900</v>
      </c>
      <c r="J1174" s="12">
        <f>IF(A1174&lt;[3]关卡对接!$A$4,INDEX([3]关卡对接!$C$7:$C$141,A1174),MATCH(E1174,人物经验!$H$24:$H$573,1))</f>
        <v>415</v>
      </c>
      <c r="K1174" s="12">
        <f>IF([3]关卡对接!F1162="",INT(INDEX(人物经验!$J$24:$J$573,关卡!J1174)*关卡!$S$7),[3]关卡对接!F1162)</f>
        <v>20400</v>
      </c>
      <c r="L1174" s="12">
        <f t="shared" si="173"/>
        <v>2</v>
      </c>
      <c r="M1174" s="12">
        <f>L1174/[4]货币基础!$B$4</f>
        <v>200</v>
      </c>
      <c r="N1174" s="12">
        <f>IF(A1174&lt;[3]关卡对接!$A$4,INDEX([3]关卡对接!$E$7:$E$141,A1174),MATCH(E1174,人物经验!$H$24:$H$573,1))</f>
        <v>415</v>
      </c>
      <c r="O1174" s="12">
        <f>INDEX([2]关卡!$G$6:$G$2005,A1174)</f>
        <v>3</v>
      </c>
      <c r="P1174" s="13">
        <v>6</v>
      </c>
      <c r="Q1174" s="12">
        <f>INT(P1174/$S$15/O1174*VLOOKUP(J1174,[1]人物技能基础!$N$3:$O$553,2,0)*$U$15)</f>
        <v>9</v>
      </c>
      <c r="R1174" s="12">
        <f t="shared" si="174"/>
        <v>112</v>
      </c>
    </row>
    <row r="1175" spans="1:18" x14ac:dyDescent="0.15">
      <c r="A1175" s="12">
        <v>1157</v>
      </c>
      <c r="B1175" s="12">
        <f t="shared" si="171"/>
        <v>6</v>
      </c>
      <c r="C1175" s="12">
        <f t="shared" si="172"/>
        <v>5.3768574999999998</v>
      </c>
      <c r="D1175" s="12">
        <f t="shared" si="166"/>
        <v>3.6977499999998997E-2</v>
      </c>
      <c r="E1175" s="12">
        <f>SUM($D$19:D1175)</f>
        <v>20.576857499999974</v>
      </c>
      <c r="F1175" s="12">
        <f t="shared" si="169"/>
        <v>228.55061329594994</v>
      </c>
      <c r="G1175" s="12">
        <f t="shared" si="170"/>
        <v>152.72954229338092</v>
      </c>
      <c r="H1175" s="12">
        <f t="shared" si="167"/>
        <v>822700</v>
      </c>
      <c r="I1175" s="12">
        <f t="shared" si="168"/>
        <v>549800</v>
      </c>
      <c r="J1175" s="12">
        <f>IF(A1175&lt;[3]关卡对接!$A$4,INDEX([3]关卡对接!$C$7:$C$141,A1175),MATCH(E1175,人物经验!$H$24:$H$573,1))</f>
        <v>415</v>
      </c>
      <c r="K1175" s="12">
        <f>IF([3]关卡对接!F1163="",INT(INDEX(人物经验!$J$24:$J$573,关卡!J1175)*关卡!$S$7),[3]关卡对接!F1163)</f>
        <v>20400</v>
      </c>
      <c r="L1175" s="12">
        <f t="shared" si="173"/>
        <v>2</v>
      </c>
      <c r="M1175" s="12">
        <f>L1175/[4]货币基础!$B$4</f>
        <v>200</v>
      </c>
      <c r="N1175" s="12">
        <f>IF(A1175&lt;[3]关卡对接!$A$4,INDEX([3]关卡对接!$E$7:$E$141,A1175),MATCH(E1175,人物经验!$H$24:$H$573,1))</f>
        <v>415</v>
      </c>
      <c r="O1175" s="12">
        <f>INDEX([2]关卡!$G$6:$G$2005,A1175)</f>
        <v>3</v>
      </c>
      <c r="P1175" s="13">
        <v>6</v>
      </c>
      <c r="Q1175" s="12">
        <f>INT(P1175/$S$15/O1175*VLOOKUP(J1175,[1]人物技能基础!$N$3:$O$553,2,0)*$U$15)</f>
        <v>9</v>
      </c>
      <c r="R1175" s="12">
        <f t="shared" si="174"/>
        <v>112</v>
      </c>
    </row>
    <row r="1176" spans="1:18" x14ac:dyDescent="0.15">
      <c r="A1176" s="12">
        <v>1158</v>
      </c>
      <c r="B1176" s="12">
        <f t="shared" si="171"/>
        <v>6</v>
      </c>
      <c r="C1176" s="12">
        <f t="shared" si="172"/>
        <v>5.4138700000000002</v>
      </c>
      <c r="D1176" s="12">
        <f t="shared" si="166"/>
        <v>3.7012500000000337E-2</v>
      </c>
      <c r="E1176" s="12">
        <f>SUM($D$19:D1176)</f>
        <v>20.613869999999974</v>
      </c>
      <c r="F1176" s="12">
        <f t="shared" si="169"/>
        <v>229.02178640431896</v>
      </c>
      <c r="G1176" s="12">
        <f t="shared" si="170"/>
        <v>152.97855101769497</v>
      </c>
      <c r="H1176" s="12">
        <f t="shared" si="167"/>
        <v>824400</v>
      </c>
      <c r="I1176" s="12">
        <f t="shared" si="168"/>
        <v>550700</v>
      </c>
      <c r="J1176" s="12">
        <f>IF(A1176&lt;[3]关卡对接!$A$4,INDEX([3]关卡对接!$C$7:$C$141,A1176),MATCH(E1176,人物经验!$H$24:$H$573,1))</f>
        <v>416</v>
      </c>
      <c r="K1176" s="12">
        <f>IF([3]关卡对接!F1164="",INT(INDEX(人物经验!$J$24:$J$573,关卡!J1176)*关卡!$S$7),[3]关卡对接!F1164)</f>
        <v>20569</v>
      </c>
      <c r="L1176" s="12">
        <f t="shared" si="173"/>
        <v>2</v>
      </c>
      <c r="M1176" s="12">
        <f>L1176/[4]货币基础!$B$4</f>
        <v>200</v>
      </c>
      <c r="N1176" s="12">
        <f>IF(A1176&lt;[3]关卡对接!$A$4,INDEX([3]关卡对接!$E$7:$E$141,A1176),MATCH(E1176,人物经验!$H$24:$H$573,1))</f>
        <v>416</v>
      </c>
      <c r="O1176" s="12">
        <f>INDEX([2]关卡!$G$6:$G$2005,A1176)</f>
        <v>3</v>
      </c>
      <c r="P1176" s="13">
        <v>6</v>
      </c>
      <c r="Q1176" s="12">
        <f>INT(P1176/$S$15/O1176*VLOOKUP(J1176,[1]人物技能基础!$N$3:$O$553,2,0)*$U$15)</f>
        <v>9</v>
      </c>
      <c r="R1176" s="12">
        <f t="shared" si="174"/>
        <v>112</v>
      </c>
    </row>
    <row r="1177" spans="1:18" x14ac:dyDescent="0.15">
      <c r="A1177" s="12">
        <v>1159</v>
      </c>
      <c r="B1177" s="12">
        <f t="shared" si="171"/>
        <v>6</v>
      </c>
      <c r="C1177" s="12">
        <f t="shared" si="172"/>
        <v>5.450917500000001</v>
      </c>
      <c r="D1177" s="12">
        <f t="shared" si="166"/>
        <v>3.7047500000000788E-2</v>
      </c>
      <c r="E1177" s="12">
        <f>SUM($D$19:D1177)</f>
        <v>20.650917499999974</v>
      </c>
      <c r="F1177" s="12">
        <f t="shared" si="169"/>
        <v>229.49372134621498</v>
      </c>
      <c r="G1177" s="12">
        <f t="shared" si="170"/>
        <v>153.22786056070595</v>
      </c>
      <c r="H1177" s="12">
        <f t="shared" si="167"/>
        <v>826100</v>
      </c>
      <c r="I1177" s="12">
        <f t="shared" si="168"/>
        <v>551600</v>
      </c>
      <c r="J1177" s="12">
        <f>IF(A1177&lt;[3]关卡对接!$A$4,INDEX([3]关卡对接!$C$7:$C$141,A1177),MATCH(E1177,人物经验!$H$24:$H$573,1))</f>
        <v>416</v>
      </c>
      <c r="K1177" s="12">
        <f>IF([3]关卡对接!F1165="",INT(INDEX(人物经验!$J$24:$J$573,关卡!J1177)*关卡!$S$7),[3]关卡对接!F1165)</f>
        <v>20569</v>
      </c>
      <c r="L1177" s="12">
        <f t="shared" si="173"/>
        <v>2</v>
      </c>
      <c r="M1177" s="12">
        <f>L1177/[4]货币基础!$B$4</f>
        <v>200</v>
      </c>
      <c r="N1177" s="12">
        <f>IF(A1177&lt;[3]关卡对接!$A$4,INDEX([3]关卡对接!$E$7:$E$141,A1177),MATCH(E1177,人物经验!$H$24:$H$573,1))</f>
        <v>416</v>
      </c>
      <c r="O1177" s="12">
        <f>INDEX([2]关卡!$G$6:$G$2005,A1177)</f>
        <v>3</v>
      </c>
      <c r="P1177" s="13">
        <v>6</v>
      </c>
      <c r="Q1177" s="12">
        <f>INT(P1177/$S$15/O1177*VLOOKUP(J1177,[1]人物技能基础!$N$3:$O$553,2,0)*$U$15)</f>
        <v>9</v>
      </c>
      <c r="R1177" s="12">
        <f t="shared" si="174"/>
        <v>112</v>
      </c>
    </row>
    <row r="1178" spans="1:18" x14ac:dyDescent="0.15">
      <c r="A1178" s="12">
        <v>1160</v>
      </c>
      <c r="B1178" s="12">
        <f t="shared" si="171"/>
        <v>6</v>
      </c>
      <c r="C1178" s="12">
        <f t="shared" si="172"/>
        <v>5.4880000000000013</v>
      </c>
      <c r="D1178" s="12">
        <f t="shared" si="166"/>
        <v>3.7082500000000351E-2</v>
      </c>
      <c r="E1178" s="12">
        <f>SUM($D$19:D1178)</f>
        <v>20.687999999999974</v>
      </c>
      <c r="F1178" s="12">
        <f t="shared" si="169"/>
        <v>229.96641903999998</v>
      </c>
      <c r="G1178" s="12">
        <f t="shared" si="170"/>
        <v>153.4774712</v>
      </c>
      <c r="H1178" s="12">
        <f t="shared" si="167"/>
        <v>827800</v>
      </c>
      <c r="I1178" s="12">
        <f t="shared" si="168"/>
        <v>552500</v>
      </c>
      <c r="J1178" s="12">
        <f>IF(A1178&lt;[3]关卡对接!$A$4,INDEX([3]关卡对接!$C$7:$C$141,A1178),MATCH(E1178,人物经验!$H$24:$H$573,1))</f>
        <v>416</v>
      </c>
      <c r="K1178" s="12">
        <f>IF([3]关卡对接!F1166="",INT(INDEX(人物经验!$J$24:$J$573,关卡!J1178)*关卡!$S$7),[3]关卡对接!F1166)</f>
        <v>20569</v>
      </c>
      <c r="L1178" s="12">
        <f t="shared" si="173"/>
        <v>2</v>
      </c>
      <c r="M1178" s="12">
        <f>L1178/[4]货币基础!$B$4</f>
        <v>200</v>
      </c>
      <c r="N1178" s="12">
        <f>IF(A1178&lt;[3]关卡对接!$A$4,INDEX([3]关卡对接!$E$7:$E$141,A1178),MATCH(E1178,人物经验!$H$24:$H$573,1))</f>
        <v>416</v>
      </c>
      <c r="O1178" s="12">
        <f>INDEX([2]关卡!$G$6:$G$2005,A1178)</f>
        <v>3</v>
      </c>
      <c r="P1178" s="13">
        <v>6</v>
      </c>
      <c r="Q1178" s="12">
        <f>INT(P1178/$S$15/O1178*VLOOKUP(J1178,[1]人物技能基础!$N$3:$O$553,2,0)*$U$15)</f>
        <v>9</v>
      </c>
      <c r="R1178" s="12">
        <f t="shared" si="174"/>
        <v>112</v>
      </c>
    </row>
    <row r="1179" spans="1:18" x14ac:dyDescent="0.15">
      <c r="A1179" s="12">
        <v>1161</v>
      </c>
      <c r="B1179" s="12">
        <f t="shared" si="171"/>
        <v>6</v>
      </c>
      <c r="C1179" s="12">
        <f t="shared" si="172"/>
        <v>5.5251175000000003</v>
      </c>
      <c r="D1179" s="12">
        <f t="shared" si="166"/>
        <v>3.7117499999999026E-2</v>
      </c>
      <c r="E1179" s="12">
        <f>SUM($D$19:D1179)</f>
        <v>20.725117499999975</v>
      </c>
      <c r="F1179" s="12">
        <f t="shared" si="169"/>
        <v>230.43988040463498</v>
      </c>
      <c r="G1179" s="12">
        <f t="shared" si="170"/>
        <v>153.72738321330596</v>
      </c>
      <c r="H1179" s="12">
        <f t="shared" si="167"/>
        <v>829500</v>
      </c>
      <c r="I1179" s="12">
        <f t="shared" si="168"/>
        <v>553400</v>
      </c>
      <c r="J1179" s="12">
        <f>IF(A1179&lt;[3]关卡对接!$A$4,INDEX([3]关卡对接!$C$7:$C$141,A1179),MATCH(E1179,人物经验!$H$24:$H$573,1))</f>
        <v>416</v>
      </c>
      <c r="K1179" s="12">
        <f>IF([3]关卡对接!F1167="",INT(INDEX(人物经验!$J$24:$J$573,关卡!J1179)*关卡!$S$7),[3]关卡对接!F1167)</f>
        <v>20569</v>
      </c>
      <c r="L1179" s="12">
        <f t="shared" si="173"/>
        <v>2</v>
      </c>
      <c r="M1179" s="12">
        <f>L1179/[4]货币基础!$B$4</f>
        <v>200</v>
      </c>
      <c r="N1179" s="12">
        <f>IF(A1179&lt;[3]关卡对接!$A$4,INDEX([3]关卡对接!$E$7:$E$141,A1179),MATCH(E1179,人物经验!$H$24:$H$573,1))</f>
        <v>416</v>
      </c>
      <c r="O1179" s="12">
        <f>INDEX([2]关卡!$G$6:$G$2005,A1179)</f>
        <v>3</v>
      </c>
      <c r="P1179" s="13">
        <v>6</v>
      </c>
      <c r="Q1179" s="12">
        <f>INT(P1179/$S$15/O1179*VLOOKUP(J1179,[1]人物技能基础!$N$3:$O$553,2,0)*$U$15)</f>
        <v>9</v>
      </c>
      <c r="R1179" s="12">
        <f t="shared" si="174"/>
        <v>112</v>
      </c>
    </row>
    <row r="1180" spans="1:18" x14ac:dyDescent="0.15">
      <c r="A1180" s="12">
        <v>1162</v>
      </c>
      <c r="B1180" s="12">
        <f t="shared" si="171"/>
        <v>6</v>
      </c>
      <c r="C1180" s="12">
        <f t="shared" si="172"/>
        <v>5.5622700000000007</v>
      </c>
      <c r="D1180" s="12">
        <f t="shared" si="166"/>
        <v>3.7152500000000366E-2</v>
      </c>
      <c r="E1180" s="12">
        <f>SUM($D$19:D1180)</f>
        <v>20.762269999999976</v>
      </c>
      <c r="F1180" s="12">
        <f t="shared" si="169"/>
        <v>230.91410635967898</v>
      </c>
      <c r="G1180" s="12">
        <f t="shared" si="170"/>
        <v>153.97759687849498</v>
      </c>
      <c r="H1180" s="12">
        <f t="shared" si="167"/>
        <v>831200</v>
      </c>
      <c r="I1180" s="12">
        <f t="shared" si="168"/>
        <v>554300</v>
      </c>
      <c r="J1180" s="12">
        <f>IF(A1180&lt;[3]关卡对接!$A$4,INDEX([3]关卡对接!$C$7:$C$141,A1180),MATCH(E1180,人物经验!$H$24:$H$573,1))</f>
        <v>417</v>
      </c>
      <c r="K1180" s="12">
        <f>IF([3]关卡对接!F1168="",INT(INDEX(人物经验!$J$24:$J$573,关卡!J1180)*关卡!$S$7),[3]关卡对接!F1168)</f>
        <v>20739</v>
      </c>
      <c r="L1180" s="12">
        <f t="shared" si="173"/>
        <v>2</v>
      </c>
      <c r="M1180" s="12">
        <f>L1180/[4]货币基础!$B$4</f>
        <v>200</v>
      </c>
      <c r="N1180" s="12">
        <f>IF(A1180&lt;[3]关卡对接!$A$4,INDEX([3]关卡对接!$E$7:$E$141,A1180),MATCH(E1180,人物经验!$H$24:$H$573,1))</f>
        <v>417</v>
      </c>
      <c r="O1180" s="12">
        <f>INDEX([2]关卡!$G$6:$G$2005,A1180)</f>
        <v>3</v>
      </c>
      <c r="P1180" s="13">
        <v>6</v>
      </c>
      <c r="Q1180" s="12">
        <f>INT(P1180/$S$15/O1180*VLOOKUP(J1180,[1]人物技能基础!$N$3:$O$553,2,0)*$U$15)</f>
        <v>9</v>
      </c>
      <c r="R1180" s="12">
        <f t="shared" si="174"/>
        <v>112</v>
      </c>
    </row>
    <row r="1181" spans="1:18" x14ac:dyDescent="0.15">
      <c r="A1181" s="12">
        <v>1163</v>
      </c>
      <c r="B1181" s="12">
        <f t="shared" si="171"/>
        <v>6</v>
      </c>
      <c r="C1181" s="12">
        <f t="shared" si="172"/>
        <v>5.5994574999999989</v>
      </c>
      <c r="D1181" s="12">
        <f t="shared" si="166"/>
        <v>3.7187499999998153E-2</v>
      </c>
      <c r="E1181" s="12">
        <f>SUM($D$19:D1181)</f>
        <v>20.799457499999974</v>
      </c>
      <c r="F1181" s="12">
        <f t="shared" si="169"/>
        <v>231.38909782528995</v>
      </c>
      <c r="G1181" s="12">
        <f t="shared" si="170"/>
        <v>154.22811247358095</v>
      </c>
      <c r="H1181" s="12">
        <f t="shared" si="167"/>
        <v>833000</v>
      </c>
      <c r="I1181" s="12">
        <f t="shared" si="168"/>
        <v>555200</v>
      </c>
      <c r="J1181" s="12">
        <f>IF(A1181&lt;[3]关卡对接!$A$4,INDEX([3]关卡对接!$C$7:$C$141,A1181),MATCH(E1181,人物经验!$H$24:$H$573,1))</f>
        <v>417</v>
      </c>
      <c r="K1181" s="12">
        <f>IF([3]关卡对接!F1169="",INT(INDEX(人物经验!$J$24:$J$573,关卡!J1181)*关卡!$S$7),[3]关卡对接!F1169)</f>
        <v>20739</v>
      </c>
      <c r="L1181" s="12">
        <f t="shared" si="173"/>
        <v>2</v>
      </c>
      <c r="M1181" s="12">
        <f>L1181/[4]货币基础!$B$4</f>
        <v>200</v>
      </c>
      <c r="N1181" s="12">
        <f>IF(A1181&lt;[3]关卡对接!$A$4,INDEX([3]关卡对接!$E$7:$E$141,A1181),MATCH(E1181,人物经验!$H$24:$H$573,1))</f>
        <v>417</v>
      </c>
      <c r="O1181" s="12">
        <f>INDEX([2]关卡!$G$6:$G$2005,A1181)</f>
        <v>3</v>
      </c>
      <c r="P1181" s="13">
        <v>6</v>
      </c>
      <c r="Q1181" s="12">
        <f>INT(P1181/$S$15/O1181*VLOOKUP(J1181,[1]人物技能基础!$N$3:$O$553,2,0)*$U$15)</f>
        <v>9</v>
      </c>
      <c r="R1181" s="12">
        <f t="shared" si="174"/>
        <v>112</v>
      </c>
    </row>
    <row r="1182" spans="1:18" x14ac:dyDescent="0.15">
      <c r="A1182" s="12">
        <v>1164</v>
      </c>
      <c r="B1182" s="12">
        <f t="shared" si="171"/>
        <v>6</v>
      </c>
      <c r="C1182" s="12">
        <f t="shared" si="172"/>
        <v>5.6366800000000001</v>
      </c>
      <c r="D1182" s="12">
        <f t="shared" si="166"/>
        <v>3.7222500000001268E-2</v>
      </c>
      <c r="E1182" s="12">
        <f>SUM($D$19:D1182)</f>
        <v>20.836679999999976</v>
      </c>
      <c r="F1182" s="12">
        <f t="shared" si="169"/>
        <v>231.86485572222398</v>
      </c>
      <c r="G1182" s="12">
        <f t="shared" si="170"/>
        <v>154.47893027672001</v>
      </c>
      <c r="H1182" s="12">
        <f t="shared" si="167"/>
        <v>834700</v>
      </c>
      <c r="I1182" s="12">
        <f t="shared" si="168"/>
        <v>556100</v>
      </c>
      <c r="J1182" s="12">
        <f>IF(A1182&lt;[3]关卡对接!$A$4,INDEX([3]关卡对接!$C$7:$C$141,A1182),MATCH(E1182,人物经验!$H$24:$H$573,1))</f>
        <v>417</v>
      </c>
      <c r="K1182" s="12">
        <f>IF([3]关卡对接!F1170="",INT(INDEX(人物经验!$J$24:$J$573,关卡!J1182)*关卡!$S$7),[3]关卡对接!F1170)</f>
        <v>20739</v>
      </c>
      <c r="L1182" s="12">
        <f t="shared" si="173"/>
        <v>2</v>
      </c>
      <c r="M1182" s="12">
        <f>L1182/[4]货币基础!$B$4</f>
        <v>200</v>
      </c>
      <c r="N1182" s="12">
        <f>IF(A1182&lt;[3]关卡对接!$A$4,INDEX([3]关卡对接!$E$7:$E$141,A1182),MATCH(E1182,人物经验!$H$24:$H$573,1))</f>
        <v>417</v>
      </c>
      <c r="O1182" s="12">
        <f>INDEX([2]关卡!$G$6:$G$2005,A1182)</f>
        <v>3</v>
      </c>
      <c r="P1182" s="13">
        <v>6</v>
      </c>
      <c r="Q1182" s="12">
        <f>INT(P1182/$S$15/O1182*VLOOKUP(J1182,[1]人物技能基础!$N$3:$O$553,2,0)*$U$15)</f>
        <v>9</v>
      </c>
      <c r="R1182" s="12">
        <f t="shared" si="174"/>
        <v>112</v>
      </c>
    </row>
    <row r="1183" spans="1:18" x14ac:dyDescent="0.15">
      <c r="A1183" s="12">
        <v>1165</v>
      </c>
      <c r="B1183" s="12">
        <f t="shared" si="171"/>
        <v>6</v>
      </c>
      <c r="C1183" s="12">
        <f t="shared" si="172"/>
        <v>5.6739375000000001</v>
      </c>
      <c r="D1183" s="12">
        <f t="shared" si="166"/>
        <v>3.7257499999999943E-2</v>
      </c>
      <c r="E1183" s="12">
        <f>SUM($D$19:D1183)</f>
        <v>20.873937499999975</v>
      </c>
      <c r="F1183" s="12">
        <f t="shared" si="169"/>
        <v>232.34138097183597</v>
      </c>
      <c r="G1183" s="12">
        <f t="shared" si="170"/>
        <v>154.73005056621091</v>
      </c>
      <c r="H1183" s="12">
        <f t="shared" si="167"/>
        <v>836400</v>
      </c>
      <c r="I1183" s="12">
        <f t="shared" si="168"/>
        <v>557000</v>
      </c>
      <c r="J1183" s="12">
        <f>IF(A1183&lt;[3]关卡对接!$A$4,INDEX([3]关卡对接!$C$7:$C$141,A1183),MATCH(E1183,人物经验!$H$24:$H$573,1))</f>
        <v>417</v>
      </c>
      <c r="K1183" s="12">
        <f>IF([3]关卡对接!F1171="",INT(INDEX(人物经验!$J$24:$J$573,关卡!J1183)*关卡!$S$7),[3]关卡对接!F1171)</f>
        <v>20739</v>
      </c>
      <c r="L1183" s="12">
        <f t="shared" si="173"/>
        <v>2</v>
      </c>
      <c r="M1183" s="12">
        <f>L1183/[4]货币基础!$B$4</f>
        <v>200</v>
      </c>
      <c r="N1183" s="12">
        <f>IF(A1183&lt;[3]关卡对接!$A$4,INDEX([3]关卡对接!$E$7:$E$141,A1183),MATCH(E1183,人物经验!$H$24:$H$573,1))</f>
        <v>417</v>
      </c>
      <c r="O1183" s="12">
        <f>INDEX([2]关卡!$G$6:$G$2005,A1183)</f>
        <v>3</v>
      </c>
      <c r="P1183" s="13">
        <v>6</v>
      </c>
      <c r="Q1183" s="12">
        <f>INT(P1183/$S$15/O1183*VLOOKUP(J1183,[1]人物技能基础!$N$3:$O$553,2,0)*$U$15)</f>
        <v>9</v>
      </c>
      <c r="R1183" s="12">
        <f t="shared" si="174"/>
        <v>112</v>
      </c>
    </row>
    <row r="1184" spans="1:18" x14ac:dyDescent="0.15">
      <c r="A1184" s="12">
        <v>1166</v>
      </c>
      <c r="B1184" s="12">
        <f t="shared" si="171"/>
        <v>6</v>
      </c>
      <c r="C1184" s="12">
        <f t="shared" si="172"/>
        <v>5.7112300000000005</v>
      </c>
      <c r="D1184" s="12">
        <f t="shared" si="166"/>
        <v>3.7292500000000395E-2</v>
      </c>
      <c r="E1184" s="12">
        <f>SUM($D$19:D1184)</f>
        <v>20.911229999999975</v>
      </c>
      <c r="F1184" s="12">
        <f t="shared" si="169"/>
        <v>232.81867449607896</v>
      </c>
      <c r="G1184" s="12">
        <f t="shared" si="170"/>
        <v>154.98147362049497</v>
      </c>
      <c r="H1184" s="12">
        <f t="shared" si="167"/>
        <v>838100</v>
      </c>
      <c r="I1184" s="12">
        <f t="shared" si="168"/>
        <v>557900</v>
      </c>
      <c r="J1184" s="12">
        <f>IF(A1184&lt;[3]关卡对接!$A$4,INDEX([3]关卡对接!$C$7:$C$141,A1184),MATCH(E1184,人物经验!$H$24:$H$573,1))</f>
        <v>418</v>
      </c>
      <c r="K1184" s="12">
        <f>IF([3]关卡对接!F1172="",INT(INDEX(人物经验!$J$24:$J$573,关卡!J1184)*关卡!$S$7),[3]关卡对接!F1172)</f>
        <v>20910</v>
      </c>
      <c r="L1184" s="12">
        <f t="shared" si="173"/>
        <v>2</v>
      </c>
      <c r="M1184" s="12">
        <f>L1184/[4]货币基础!$B$4</f>
        <v>200</v>
      </c>
      <c r="N1184" s="12">
        <f>IF(A1184&lt;[3]关卡对接!$A$4,INDEX([3]关卡对接!$E$7:$E$141,A1184),MATCH(E1184,人物经验!$H$24:$H$573,1))</f>
        <v>418</v>
      </c>
      <c r="O1184" s="12">
        <f>INDEX([2]关卡!$G$6:$G$2005,A1184)</f>
        <v>3</v>
      </c>
      <c r="P1184" s="13">
        <v>6</v>
      </c>
      <c r="Q1184" s="12">
        <f>INT(P1184/$S$15/O1184*VLOOKUP(J1184,[1]人物技能基础!$N$3:$O$553,2,0)*$U$15)</f>
        <v>9</v>
      </c>
      <c r="R1184" s="12">
        <f t="shared" si="174"/>
        <v>112</v>
      </c>
    </row>
    <row r="1185" spans="1:18" x14ac:dyDescent="0.15">
      <c r="A1185" s="12">
        <v>1167</v>
      </c>
      <c r="B1185" s="12">
        <f t="shared" si="171"/>
        <v>6</v>
      </c>
      <c r="C1185" s="12">
        <f t="shared" si="172"/>
        <v>5.7485574999999995</v>
      </c>
      <c r="D1185" s="12">
        <f t="shared" si="166"/>
        <v>3.732749999999907E-2</v>
      </c>
      <c r="E1185" s="12">
        <f>SUM($D$19:D1185)</f>
        <v>20.948557499999975</v>
      </c>
      <c r="F1185" s="12">
        <f t="shared" si="169"/>
        <v>233.29673721750498</v>
      </c>
      <c r="G1185" s="12">
        <f t="shared" si="170"/>
        <v>155.23319971815593</v>
      </c>
      <c r="H1185" s="12">
        <f t="shared" si="167"/>
        <v>839800</v>
      </c>
      <c r="I1185" s="12">
        <f t="shared" si="168"/>
        <v>558800</v>
      </c>
      <c r="J1185" s="12">
        <f>IF(A1185&lt;[3]关卡对接!$A$4,INDEX([3]关卡对接!$C$7:$C$141,A1185),MATCH(E1185,人物经验!$H$24:$H$573,1))</f>
        <v>418</v>
      </c>
      <c r="K1185" s="12">
        <f>IF([3]关卡对接!F1173="",INT(INDEX(人物经验!$J$24:$J$573,关卡!J1185)*关卡!$S$7),[3]关卡对接!F1173)</f>
        <v>20910</v>
      </c>
      <c r="L1185" s="12">
        <f t="shared" si="173"/>
        <v>2</v>
      </c>
      <c r="M1185" s="12">
        <f>L1185/[4]货币基础!$B$4</f>
        <v>200</v>
      </c>
      <c r="N1185" s="12">
        <f>IF(A1185&lt;[3]关卡对接!$A$4,INDEX([3]关卡对接!$E$7:$E$141,A1185),MATCH(E1185,人物经验!$H$24:$H$573,1))</f>
        <v>418</v>
      </c>
      <c r="O1185" s="12">
        <f>INDEX([2]关卡!$G$6:$G$2005,A1185)</f>
        <v>3</v>
      </c>
      <c r="P1185" s="13">
        <v>6</v>
      </c>
      <c r="Q1185" s="12">
        <f>INT(P1185/$S$15/O1185*VLOOKUP(J1185,[1]人物技能基础!$N$3:$O$553,2,0)*$U$15)</f>
        <v>9</v>
      </c>
      <c r="R1185" s="12">
        <f t="shared" si="174"/>
        <v>112</v>
      </c>
    </row>
    <row r="1186" spans="1:18" x14ac:dyDescent="0.15">
      <c r="A1186" s="12">
        <v>1168</v>
      </c>
      <c r="B1186" s="12">
        <f t="shared" si="171"/>
        <v>6</v>
      </c>
      <c r="C1186" s="12">
        <f t="shared" si="172"/>
        <v>5.78592</v>
      </c>
      <c r="D1186" s="12">
        <f t="shared" si="166"/>
        <v>3.7362500000000409E-2</v>
      </c>
      <c r="E1186" s="12">
        <f>SUM($D$19:D1186)</f>
        <v>20.985919999999975</v>
      </c>
      <c r="F1186" s="12">
        <f t="shared" si="169"/>
        <v>233.77557005926397</v>
      </c>
      <c r="G1186" s="12">
        <f t="shared" si="170"/>
        <v>155.48522913791999</v>
      </c>
      <c r="H1186" s="12">
        <f t="shared" si="167"/>
        <v>841500</v>
      </c>
      <c r="I1186" s="12">
        <f t="shared" si="168"/>
        <v>559700</v>
      </c>
      <c r="J1186" s="12">
        <f>IF(A1186&lt;[3]关卡对接!$A$4,INDEX([3]关卡对接!$C$7:$C$141,A1186),MATCH(E1186,人物经验!$H$24:$H$573,1))</f>
        <v>418</v>
      </c>
      <c r="K1186" s="12">
        <f>IF([3]关卡对接!F1174="",INT(INDEX(人物经验!$J$24:$J$573,关卡!J1186)*关卡!$S$7),[3]关卡对接!F1174)</f>
        <v>20910</v>
      </c>
      <c r="L1186" s="12">
        <f t="shared" si="173"/>
        <v>2</v>
      </c>
      <c r="M1186" s="12">
        <f>L1186/[4]货币基础!$B$4</f>
        <v>200</v>
      </c>
      <c r="N1186" s="12">
        <f>IF(A1186&lt;[3]关卡对接!$A$4,INDEX([3]关卡对接!$E$7:$E$141,A1186),MATCH(E1186,人物经验!$H$24:$H$573,1))</f>
        <v>418</v>
      </c>
      <c r="O1186" s="12">
        <f>INDEX([2]关卡!$G$6:$G$2005,A1186)</f>
        <v>3</v>
      </c>
      <c r="P1186" s="13">
        <v>6</v>
      </c>
      <c r="Q1186" s="12">
        <f>INT(P1186/$S$15/O1186*VLOOKUP(J1186,[1]人物技能基础!$N$3:$O$553,2,0)*$U$15)</f>
        <v>9</v>
      </c>
      <c r="R1186" s="12">
        <f t="shared" si="174"/>
        <v>112</v>
      </c>
    </row>
    <row r="1187" spans="1:18" x14ac:dyDescent="0.15">
      <c r="A1187" s="12">
        <v>1169</v>
      </c>
      <c r="B1187" s="12">
        <f t="shared" si="171"/>
        <v>6</v>
      </c>
      <c r="C1187" s="12">
        <f t="shared" si="172"/>
        <v>5.8233174999999999</v>
      </c>
      <c r="D1187" s="12">
        <f t="shared" si="166"/>
        <v>3.7397499999999972E-2</v>
      </c>
      <c r="E1187" s="12">
        <f>SUM($D$19:D1187)</f>
        <v>21.023317499999976</v>
      </c>
      <c r="F1187" s="12">
        <f t="shared" si="169"/>
        <v>234.25517394510499</v>
      </c>
      <c r="G1187" s="12">
        <f t="shared" si="170"/>
        <v>155.73756215865595</v>
      </c>
      <c r="H1187" s="12">
        <f t="shared" si="167"/>
        <v>843300</v>
      </c>
      <c r="I1187" s="12">
        <f t="shared" si="168"/>
        <v>560600</v>
      </c>
      <c r="J1187" s="12">
        <f>IF(A1187&lt;[3]关卡对接!$A$4,INDEX([3]关卡对接!$C$7:$C$141,A1187),MATCH(E1187,人物经验!$H$24:$H$573,1))</f>
        <v>418</v>
      </c>
      <c r="K1187" s="12">
        <f>IF([3]关卡对接!F1175="",INT(INDEX(人物经验!$J$24:$J$573,关卡!J1187)*关卡!$S$7),[3]关卡对接!F1175)</f>
        <v>20910</v>
      </c>
      <c r="L1187" s="12">
        <f t="shared" si="173"/>
        <v>2</v>
      </c>
      <c r="M1187" s="12">
        <f>L1187/[4]货币基础!$B$4</f>
        <v>200</v>
      </c>
      <c r="N1187" s="12">
        <f>IF(A1187&lt;[3]关卡对接!$A$4,INDEX([3]关卡对接!$E$7:$E$141,A1187),MATCH(E1187,人物经验!$H$24:$H$573,1))</f>
        <v>418</v>
      </c>
      <c r="O1187" s="12">
        <f>INDEX([2]关卡!$G$6:$G$2005,A1187)</f>
        <v>3</v>
      </c>
      <c r="P1187" s="13">
        <v>6</v>
      </c>
      <c r="Q1187" s="12">
        <f>INT(P1187/$S$15/O1187*VLOOKUP(J1187,[1]人物技能基础!$N$3:$O$553,2,0)*$U$15)</f>
        <v>9</v>
      </c>
      <c r="R1187" s="12">
        <f t="shared" si="174"/>
        <v>112</v>
      </c>
    </row>
    <row r="1188" spans="1:18" x14ac:dyDescent="0.15">
      <c r="A1188" s="12">
        <v>1170</v>
      </c>
      <c r="B1188" s="12">
        <f t="shared" si="171"/>
        <v>6</v>
      </c>
      <c r="C1188" s="12">
        <f t="shared" si="172"/>
        <v>5.8607500000000003</v>
      </c>
      <c r="D1188" s="12">
        <f t="shared" si="166"/>
        <v>3.7432500000000424E-2</v>
      </c>
      <c r="E1188" s="12">
        <f>SUM($D$19:D1188)</f>
        <v>21.060749999999977</v>
      </c>
      <c r="F1188" s="12">
        <f t="shared" si="169"/>
        <v>234.73554979937495</v>
      </c>
      <c r="G1188" s="12">
        <f t="shared" si="170"/>
        <v>155.99019905937499</v>
      </c>
      <c r="H1188" s="12">
        <f t="shared" si="167"/>
        <v>845000</v>
      </c>
      <c r="I1188" s="12">
        <f t="shared" si="168"/>
        <v>561500</v>
      </c>
      <c r="J1188" s="12">
        <f>IF(A1188&lt;[3]关卡对接!$A$4,INDEX([3]关卡对接!$C$7:$C$141,A1188),MATCH(E1188,人物经验!$H$24:$H$573,1))</f>
        <v>419</v>
      </c>
      <c r="K1188" s="12">
        <f>IF([3]关卡对接!F1176="",INT(INDEX(人物经验!$J$24:$J$573,关卡!J1188)*关卡!$S$7),[3]关卡对接!F1176)</f>
        <v>21082</v>
      </c>
      <c r="L1188" s="12">
        <f t="shared" si="173"/>
        <v>2</v>
      </c>
      <c r="M1188" s="12">
        <f>L1188/[4]货币基础!$B$4</f>
        <v>200</v>
      </c>
      <c r="N1188" s="12">
        <f>IF(A1188&lt;[3]关卡对接!$A$4,INDEX([3]关卡对接!$E$7:$E$141,A1188),MATCH(E1188,人物经验!$H$24:$H$573,1))</f>
        <v>419</v>
      </c>
      <c r="O1188" s="12">
        <f>INDEX([2]关卡!$G$6:$G$2005,A1188)</f>
        <v>3</v>
      </c>
      <c r="P1188" s="13">
        <v>6</v>
      </c>
      <c r="Q1188" s="12">
        <f>INT(P1188/$S$15/O1188*VLOOKUP(J1188,[1]人物技能基础!$N$3:$O$553,2,0)*$U$15)</f>
        <v>9</v>
      </c>
      <c r="R1188" s="12">
        <f t="shared" si="174"/>
        <v>112</v>
      </c>
    </row>
    <row r="1189" spans="1:18" x14ac:dyDescent="0.15">
      <c r="A1189" s="12">
        <v>1171</v>
      </c>
      <c r="B1189" s="12">
        <f t="shared" si="171"/>
        <v>6</v>
      </c>
      <c r="C1189" s="12">
        <f t="shared" si="172"/>
        <v>5.8982174999999994</v>
      </c>
      <c r="D1189" s="12">
        <f t="shared" si="166"/>
        <v>3.7467499999999099E-2</v>
      </c>
      <c r="E1189" s="12">
        <f>SUM($D$19:D1189)</f>
        <v>21.098217499999976</v>
      </c>
      <c r="F1189" s="12">
        <f t="shared" si="169"/>
        <v>235.21669854701997</v>
      </c>
      <c r="G1189" s="12">
        <f t="shared" si="170"/>
        <v>156.24314011923096</v>
      </c>
      <c r="H1189" s="12">
        <f t="shared" si="167"/>
        <v>846700</v>
      </c>
      <c r="I1189" s="12">
        <f t="shared" si="168"/>
        <v>562400</v>
      </c>
      <c r="J1189" s="12">
        <f>IF(A1189&lt;[3]关卡对接!$A$4,INDEX([3]关卡对接!$C$7:$C$141,A1189),MATCH(E1189,人物经验!$H$24:$H$573,1))</f>
        <v>419</v>
      </c>
      <c r="K1189" s="12">
        <f>IF([3]关卡对接!F1177="",INT(INDEX(人物经验!$J$24:$J$573,关卡!J1189)*关卡!$S$7),[3]关卡对接!F1177)</f>
        <v>21082</v>
      </c>
      <c r="L1189" s="12">
        <f t="shared" si="173"/>
        <v>2</v>
      </c>
      <c r="M1189" s="12">
        <f>L1189/[4]货币基础!$B$4</f>
        <v>200</v>
      </c>
      <c r="N1189" s="12">
        <f>IF(A1189&lt;[3]关卡对接!$A$4,INDEX([3]关卡对接!$E$7:$E$141,A1189),MATCH(E1189,人物经验!$H$24:$H$573,1))</f>
        <v>419</v>
      </c>
      <c r="O1189" s="12">
        <f>INDEX([2]关卡!$G$6:$G$2005,A1189)</f>
        <v>3</v>
      </c>
      <c r="P1189" s="13">
        <v>6</v>
      </c>
      <c r="Q1189" s="12">
        <f>INT(P1189/$S$15/O1189*VLOOKUP(J1189,[1]人物技能基础!$N$3:$O$553,2,0)*$U$15)</f>
        <v>9</v>
      </c>
      <c r="R1189" s="12">
        <f t="shared" si="174"/>
        <v>112</v>
      </c>
    </row>
    <row r="1190" spans="1:18" x14ac:dyDescent="0.15">
      <c r="A1190" s="12">
        <v>1172</v>
      </c>
      <c r="B1190" s="12">
        <f t="shared" si="171"/>
        <v>6</v>
      </c>
      <c r="C1190" s="12">
        <f t="shared" si="172"/>
        <v>5.9357199999999999</v>
      </c>
      <c r="D1190" s="12">
        <f t="shared" si="166"/>
        <v>3.7502500000000438E-2</v>
      </c>
      <c r="E1190" s="12">
        <f>SUM($D$19:D1190)</f>
        <v>21.135719999999978</v>
      </c>
      <c r="F1190" s="12">
        <f t="shared" si="169"/>
        <v>235.69862111358398</v>
      </c>
      <c r="G1190" s="12">
        <f t="shared" si="170"/>
        <v>156.49638561751999</v>
      </c>
      <c r="H1190" s="12">
        <f t="shared" si="167"/>
        <v>848500</v>
      </c>
      <c r="I1190" s="12">
        <f t="shared" si="168"/>
        <v>563300</v>
      </c>
      <c r="J1190" s="12">
        <f>IF(A1190&lt;[3]关卡对接!$A$4,INDEX([3]关卡对接!$C$7:$C$141,A1190),MATCH(E1190,人物经验!$H$24:$H$573,1))</f>
        <v>419</v>
      </c>
      <c r="K1190" s="12">
        <f>IF([3]关卡对接!F1178="",INT(INDEX(人物经验!$J$24:$J$573,关卡!J1190)*关卡!$S$7),[3]关卡对接!F1178)</f>
        <v>21082</v>
      </c>
      <c r="L1190" s="12">
        <f t="shared" si="173"/>
        <v>2</v>
      </c>
      <c r="M1190" s="12">
        <f>L1190/[4]货币基础!$B$4</f>
        <v>200</v>
      </c>
      <c r="N1190" s="12">
        <f>IF(A1190&lt;[3]关卡对接!$A$4,INDEX([3]关卡对接!$E$7:$E$141,A1190),MATCH(E1190,人物经验!$H$24:$H$573,1))</f>
        <v>419</v>
      </c>
      <c r="O1190" s="12">
        <f>INDEX([2]关卡!$G$6:$G$2005,A1190)</f>
        <v>3</v>
      </c>
      <c r="P1190" s="13">
        <v>6</v>
      </c>
      <c r="Q1190" s="12">
        <f>INT(P1190/$S$15/O1190*VLOOKUP(J1190,[1]人物技能基础!$N$3:$O$553,2,0)*$U$15)</f>
        <v>9</v>
      </c>
      <c r="R1190" s="12">
        <f t="shared" si="174"/>
        <v>112</v>
      </c>
    </row>
    <row r="1191" spans="1:18" x14ac:dyDescent="0.15">
      <c r="A1191" s="12">
        <v>1173</v>
      </c>
      <c r="B1191" s="12">
        <f t="shared" si="171"/>
        <v>6</v>
      </c>
      <c r="C1191" s="12">
        <f t="shared" si="172"/>
        <v>5.9732574999999999</v>
      </c>
      <c r="D1191" s="12">
        <f t="shared" si="166"/>
        <v>3.7537500000000001E-2</v>
      </c>
      <c r="E1191" s="12">
        <f>SUM($D$19:D1191)</f>
        <v>21.173257499999977</v>
      </c>
      <c r="F1191" s="12">
        <f t="shared" si="169"/>
        <v>236.18131842520998</v>
      </c>
      <c r="G1191" s="12">
        <f t="shared" si="170"/>
        <v>156.74993583368095</v>
      </c>
      <c r="H1191" s="12">
        <f t="shared" si="167"/>
        <v>850200</v>
      </c>
      <c r="I1191" s="12">
        <f t="shared" si="168"/>
        <v>564200</v>
      </c>
      <c r="J1191" s="12">
        <f>IF(A1191&lt;[3]关卡对接!$A$4,INDEX([3]关卡对接!$C$7:$C$141,A1191),MATCH(E1191,人物经验!$H$24:$H$573,1))</f>
        <v>420</v>
      </c>
      <c r="K1191" s="12">
        <f>IF([3]关卡对接!F1179="",INT(INDEX(人物经验!$J$24:$J$573,关卡!J1191)*关卡!$S$7),[3]关卡对接!F1179)</f>
        <v>21212</v>
      </c>
      <c r="L1191" s="12">
        <f t="shared" si="173"/>
        <v>2</v>
      </c>
      <c r="M1191" s="12">
        <f>L1191/[4]货币基础!$B$4</f>
        <v>200</v>
      </c>
      <c r="N1191" s="12">
        <f>IF(A1191&lt;[3]关卡对接!$A$4,INDEX([3]关卡对接!$E$7:$E$141,A1191),MATCH(E1191,人物经验!$H$24:$H$573,1))</f>
        <v>420</v>
      </c>
      <c r="O1191" s="12">
        <f>INDEX([2]关卡!$G$6:$G$2005,A1191)</f>
        <v>3</v>
      </c>
      <c r="P1191" s="13">
        <v>6</v>
      </c>
      <c r="Q1191" s="12">
        <f>INT(P1191/$S$15/O1191*VLOOKUP(J1191,[1]人物技能基础!$N$3:$O$553,2,0)*$U$15)</f>
        <v>9</v>
      </c>
      <c r="R1191" s="12">
        <f t="shared" si="174"/>
        <v>112</v>
      </c>
    </row>
    <row r="1192" spans="1:18" x14ac:dyDescent="0.15">
      <c r="A1192" s="12">
        <v>1174</v>
      </c>
      <c r="B1192" s="12">
        <f t="shared" si="171"/>
        <v>6</v>
      </c>
      <c r="C1192" s="12">
        <f t="shared" si="172"/>
        <v>6.0108300000000003</v>
      </c>
      <c r="D1192" s="12">
        <f t="shared" si="166"/>
        <v>3.7572500000000453E-2</v>
      </c>
      <c r="E1192" s="12">
        <f>SUM($D$19:D1192)</f>
        <v>21.210829999999977</v>
      </c>
      <c r="F1192" s="12">
        <f t="shared" si="169"/>
        <v>236.66479140863899</v>
      </c>
      <c r="G1192" s="12">
        <f t="shared" si="170"/>
        <v>157.00379104729498</v>
      </c>
      <c r="H1192" s="12">
        <f t="shared" si="167"/>
        <v>851900</v>
      </c>
      <c r="I1192" s="12">
        <f t="shared" si="168"/>
        <v>565200</v>
      </c>
      <c r="J1192" s="12">
        <f>IF(A1192&lt;[3]关卡对接!$A$4,INDEX([3]关卡对接!$C$7:$C$141,A1192),MATCH(E1192,人物经验!$H$24:$H$573,1))</f>
        <v>420</v>
      </c>
      <c r="K1192" s="12">
        <f>IF([3]关卡对接!F1180="",INT(INDEX(人物经验!$J$24:$J$573,关卡!J1192)*关卡!$S$7),[3]关卡对接!F1180)</f>
        <v>21212</v>
      </c>
      <c r="L1192" s="12">
        <f t="shared" si="173"/>
        <v>2</v>
      </c>
      <c r="M1192" s="12">
        <f>L1192/[4]货币基础!$B$4</f>
        <v>200</v>
      </c>
      <c r="N1192" s="12">
        <f>IF(A1192&lt;[3]关卡对接!$A$4,INDEX([3]关卡对接!$E$7:$E$141,A1192),MATCH(E1192,人物经验!$H$24:$H$573,1))</f>
        <v>420</v>
      </c>
      <c r="O1192" s="12">
        <f>INDEX([2]关卡!$G$6:$G$2005,A1192)</f>
        <v>3</v>
      </c>
      <c r="P1192" s="13">
        <v>6</v>
      </c>
      <c r="Q1192" s="12">
        <f>INT(P1192/$S$15/O1192*VLOOKUP(J1192,[1]人物技能基础!$N$3:$O$553,2,0)*$U$15)</f>
        <v>9</v>
      </c>
      <c r="R1192" s="12">
        <f t="shared" si="174"/>
        <v>112</v>
      </c>
    </row>
    <row r="1193" spans="1:18" x14ac:dyDescent="0.15">
      <c r="A1193" s="12">
        <v>1175</v>
      </c>
      <c r="B1193" s="12">
        <f t="shared" si="171"/>
        <v>6</v>
      </c>
      <c r="C1193" s="12">
        <f t="shared" si="172"/>
        <v>6.0484374999999995</v>
      </c>
      <c r="D1193" s="12">
        <f t="shared" si="166"/>
        <v>3.7607499999999128E-2</v>
      </c>
      <c r="E1193" s="12">
        <f>SUM($D$19:D1193)</f>
        <v>21.248437499999977</v>
      </c>
      <c r="F1193" s="12">
        <f t="shared" si="169"/>
        <v>237.14904099121097</v>
      </c>
      <c r="G1193" s="12">
        <f t="shared" si="170"/>
        <v>157.25795153808593</v>
      </c>
      <c r="H1193" s="12">
        <f t="shared" si="167"/>
        <v>853700</v>
      </c>
      <c r="I1193" s="12">
        <f t="shared" si="168"/>
        <v>566100</v>
      </c>
      <c r="J1193" s="12">
        <f>IF(A1193&lt;[3]关卡对接!$A$4,INDEX([3]关卡对接!$C$7:$C$141,A1193),MATCH(E1193,人物经验!$H$24:$H$573,1))</f>
        <v>420</v>
      </c>
      <c r="K1193" s="12">
        <f>IF([3]关卡对接!F1181="",INT(INDEX(人物经验!$J$24:$J$573,关卡!J1193)*关卡!$S$7),[3]关卡对接!F1181)</f>
        <v>21212</v>
      </c>
      <c r="L1193" s="12">
        <f t="shared" si="173"/>
        <v>2</v>
      </c>
      <c r="M1193" s="12">
        <f>L1193/[4]货币基础!$B$4</f>
        <v>200</v>
      </c>
      <c r="N1193" s="12">
        <f>IF(A1193&lt;[3]关卡对接!$A$4,INDEX([3]关卡对接!$E$7:$E$141,A1193),MATCH(E1193,人物经验!$H$24:$H$573,1))</f>
        <v>420</v>
      </c>
      <c r="O1193" s="12">
        <f>INDEX([2]关卡!$G$6:$G$2005,A1193)</f>
        <v>3</v>
      </c>
      <c r="P1193" s="13">
        <v>6</v>
      </c>
      <c r="Q1193" s="12">
        <f>INT(P1193/$S$15/O1193*VLOOKUP(J1193,[1]人物技能基础!$N$3:$O$553,2,0)*$U$15)</f>
        <v>9</v>
      </c>
      <c r="R1193" s="12">
        <f t="shared" si="174"/>
        <v>112</v>
      </c>
    </row>
    <row r="1194" spans="1:18" x14ac:dyDescent="0.15">
      <c r="A1194" s="12">
        <v>1176</v>
      </c>
      <c r="B1194" s="12">
        <f t="shared" si="171"/>
        <v>6</v>
      </c>
      <c r="C1194" s="12">
        <f t="shared" si="172"/>
        <v>6.0860799999999999</v>
      </c>
      <c r="D1194" s="12">
        <f t="shared" si="166"/>
        <v>3.7642500000000467E-2</v>
      </c>
      <c r="E1194" s="12">
        <f>SUM($D$19:D1194)</f>
        <v>21.286079999999977</v>
      </c>
      <c r="F1194" s="12">
        <f t="shared" si="169"/>
        <v>237.634068100864</v>
      </c>
      <c r="G1194" s="12">
        <f t="shared" si="170"/>
        <v>157.51241758591993</v>
      </c>
      <c r="H1194" s="12">
        <f t="shared" si="167"/>
        <v>855400</v>
      </c>
      <c r="I1194" s="12">
        <f t="shared" si="168"/>
        <v>567000</v>
      </c>
      <c r="J1194" s="12">
        <f>IF(A1194&lt;[3]关卡对接!$A$4,INDEX([3]关卡对接!$C$7:$C$141,A1194),MATCH(E1194,人物经验!$H$24:$H$573,1))</f>
        <v>420</v>
      </c>
      <c r="K1194" s="12">
        <f>IF([3]关卡对接!F1182="",INT(INDEX(人物经验!$J$24:$J$573,关卡!J1194)*关卡!$S$7),[3]关卡对接!F1182)</f>
        <v>21212</v>
      </c>
      <c r="L1194" s="12">
        <f t="shared" si="173"/>
        <v>2</v>
      </c>
      <c r="M1194" s="12">
        <f>L1194/[4]货币基础!$B$4</f>
        <v>200</v>
      </c>
      <c r="N1194" s="12">
        <f>IF(A1194&lt;[3]关卡对接!$A$4,INDEX([3]关卡对接!$E$7:$E$141,A1194),MATCH(E1194,人物经验!$H$24:$H$573,1))</f>
        <v>420</v>
      </c>
      <c r="O1194" s="12">
        <f>INDEX([2]关卡!$G$6:$G$2005,A1194)</f>
        <v>3</v>
      </c>
      <c r="P1194" s="13">
        <v>6</v>
      </c>
      <c r="Q1194" s="12">
        <f>INT(P1194/$S$15/O1194*VLOOKUP(J1194,[1]人物技能基础!$N$3:$O$553,2,0)*$U$15)</f>
        <v>9</v>
      </c>
      <c r="R1194" s="12">
        <f t="shared" si="174"/>
        <v>112</v>
      </c>
    </row>
    <row r="1195" spans="1:18" x14ac:dyDescent="0.15">
      <c r="A1195" s="12">
        <v>1177</v>
      </c>
      <c r="B1195" s="12">
        <f t="shared" si="171"/>
        <v>6</v>
      </c>
      <c r="C1195" s="12">
        <f t="shared" si="172"/>
        <v>6.1237575</v>
      </c>
      <c r="D1195" s="12">
        <f t="shared" si="166"/>
        <v>3.767750000000003E-2</v>
      </c>
      <c r="E1195" s="12">
        <f>SUM($D$19:D1195)</f>
        <v>21.323757499999978</v>
      </c>
      <c r="F1195" s="12">
        <f t="shared" si="169"/>
        <v>238.11987366613496</v>
      </c>
      <c r="G1195" s="12">
        <f t="shared" si="170"/>
        <v>157.76718947080593</v>
      </c>
      <c r="H1195" s="12">
        <f t="shared" si="167"/>
        <v>857200</v>
      </c>
      <c r="I1195" s="12">
        <f t="shared" si="168"/>
        <v>567900</v>
      </c>
      <c r="J1195" s="12">
        <f>IF(A1195&lt;[3]关卡对接!$A$4,INDEX([3]关卡对接!$C$7:$C$141,A1195),MATCH(E1195,人物经验!$H$24:$H$573,1))</f>
        <v>421</v>
      </c>
      <c r="K1195" s="12">
        <f>IF([3]关卡对接!F1183="",INT(INDEX(人物经验!$J$24:$J$573,关卡!J1195)*关卡!$S$7),[3]关卡对接!F1183)</f>
        <v>21387</v>
      </c>
      <c r="L1195" s="12">
        <f t="shared" si="173"/>
        <v>2</v>
      </c>
      <c r="M1195" s="12">
        <f>L1195/[4]货币基础!$B$4</f>
        <v>200</v>
      </c>
      <c r="N1195" s="12">
        <f>IF(A1195&lt;[3]关卡对接!$A$4,INDEX([3]关卡对接!$E$7:$E$141,A1195),MATCH(E1195,人物经验!$H$24:$H$573,1))</f>
        <v>421</v>
      </c>
      <c r="O1195" s="12">
        <f>INDEX([2]关卡!$G$6:$G$2005,A1195)</f>
        <v>3</v>
      </c>
      <c r="P1195" s="13">
        <v>6</v>
      </c>
      <c r="Q1195" s="12">
        <f>INT(P1195/$S$15/O1195*VLOOKUP(J1195,[1]人物技能基础!$N$3:$O$553,2,0)*$U$15)</f>
        <v>9</v>
      </c>
      <c r="R1195" s="12">
        <f t="shared" si="174"/>
        <v>112</v>
      </c>
    </row>
    <row r="1196" spans="1:18" x14ac:dyDescent="0.15">
      <c r="A1196" s="12">
        <v>1178</v>
      </c>
      <c r="B1196" s="12">
        <f t="shared" si="171"/>
        <v>6</v>
      </c>
      <c r="C1196" s="12">
        <f t="shared" si="172"/>
        <v>6.1614700000000004</v>
      </c>
      <c r="D1196" s="12">
        <f t="shared" si="166"/>
        <v>3.7712500000000482E-2</v>
      </c>
      <c r="E1196" s="12">
        <f>SUM($D$19:D1196)</f>
        <v>21.361469999999979</v>
      </c>
      <c r="F1196" s="12">
        <f t="shared" si="169"/>
        <v>238.60645861615899</v>
      </c>
      <c r="G1196" s="12">
        <f t="shared" si="170"/>
        <v>158.02226747289498</v>
      </c>
      <c r="H1196" s="12">
        <f t="shared" si="167"/>
        <v>858900</v>
      </c>
      <c r="I1196" s="12">
        <f t="shared" si="168"/>
        <v>568800</v>
      </c>
      <c r="J1196" s="12">
        <f>IF(A1196&lt;[3]关卡对接!$A$4,INDEX([3]关卡对接!$C$7:$C$141,A1196),MATCH(E1196,人物经验!$H$24:$H$573,1))</f>
        <v>421</v>
      </c>
      <c r="K1196" s="12">
        <f>IF([3]关卡对接!F1184="",INT(INDEX(人物经验!$J$24:$J$573,关卡!J1196)*关卡!$S$7),[3]关卡对接!F1184)</f>
        <v>21387</v>
      </c>
      <c r="L1196" s="12">
        <f t="shared" si="173"/>
        <v>2</v>
      </c>
      <c r="M1196" s="12">
        <f>L1196/[4]货币基础!$B$4</f>
        <v>200</v>
      </c>
      <c r="N1196" s="12">
        <f>IF(A1196&lt;[3]关卡对接!$A$4,INDEX([3]关卡对接!$E$7:$E$141,A1196),MATCH(E1196,人物经验!$H$24:$H$573,1))</f>
        <v>421</v>
      </c>
      <c r="O1196" s="12">
        <f>INDEX([2]关卡!$G$6:$G$2005,A1196)</f>
        <v>3</v>
      </c>
      <c r="P1196" s="13">
        <v>6</v>
      </c>
      <c r="Q1196" s="12">
        <f>INT(P1196/$S$15/O1196*VLOOKUP(J1196,[1]人物技能基础!$N$3:$O$553,2,0)*$U$15)</f>
        <v>9</v>
      </c>
      <c r="R1196" s="12">
        <f t="shared" si="174"/>
        <v>112</v>
      </c>
    </row>
    <row r="1197" spans="1:18" x14ac:dyDescent="0.15">
      <c r="A1197" s="12">
        <v>1179</v>
      </c>
      <c r="B1197" s="12">
        <f t="shared" si="171"/>
        <v>6</v>
      </c>
      <c r="C1197" s="12">
        <f t="shared" si="172"/>
        <v>6.1992174999999996</v>
      </c>
      <c r="D1197" s="12">
        <f t="shared" si="166"/>
        <v>3.7747499999999157E-2</v>
      </c>
      <c r="E1197" s="12">
        <f>SUM($D$19:D1197)</f>
        <v>21.399217499999978</v>
      </c>
      <c r="F1197" s="12">
        <f t="shared" si="169"/>
        <v>239.09382388066996</v>
      </c>
      <c r="G1197" s="12">
        <f t="shared" si="170"/>
        <v>158.27765187248093</v>
      </c>
      <c r="H1197" s="12">
        <f t="shared" si="167"/>
        <v>860700</v>
      </c>
      <c r="I1197" s="12">
        <f t="shared" si="168"/>
        <v>569700</v>
      </c>
      <c r="J1197" s="12">
        <f>IF(A1197&lt;[3]关卡对接!$A$4,INDEX([3]关卡对接!$C$7:$C$141,A1197),MATCH(E1197,人物经验!$H$24:$H$573,1))</f>
        <v>421</v>
      </c>
      <c r="K1197" s="12">
        <f>IF([3]关卡对接!F1185="",INT(INDEX(人物经验!$J$24:$J$573,关卡!J1197)*关卡!$S$7),[3]关卡对接!F1185)</f>
        <v>21387</v>
      </c>
      <c r="L1197" s="12">
        <f t="shared" si="173"/>
        <v>2</v>
      </c>
      <c r="M1197" s="12">
        <f>L1197/[4]货币基础!$B$4</f>
        <v>200</v>
      </c>
      <c r="N1197" s="12">
        <f>IF(A1197&lt;[3]关卡对接!$A$4,INDEX([3]关卡对接!$E$7:$E$141,A1197),MATCH(E1197,人物经验!$H$24:$H$573,1))</f>
        <v>421</v>
      </c>
      <c r="O1197" s="12">
        <f>INDEX([2]关卡!$G$6:$G$2005,A1197)</f>
        <v>3</v>
      </c>
      <c r="P1197" s="13">
        <v>6</v>
      </c>
      <c r="Q1197" s="12">
        <f>INT(P1197/$S$15/O1197*VLOOKUP(J1197,[1]人物技能基础!$N$3:$O$553,2,0)*$U$15)</f>
        <v>9</v>
      </c>
      <c r="R1197" s="12">
        <f t="shared" si="174"/>
        <v>112</v>
      </c>
    </row>
    <row r="1198" spans="1:18" x14ac:dyDescent="0.15">
      <c r="A1198" s="12">
        <v>1180</v>
      </c>
      <c r="B1198" s="12">
        <f t="shared" si="171"/>
        <v>6</v>
      </c>
      <c r="C1198" s="12">
        <f t="shared" si="172"/>
        <v>6.2370000000000001</v>
      </c>
      <c r="D1198" s="12">
        <f t="shared" si="166"/>
        <v>3.7782500000000496E-2</v>
      </c>
      <c r="E1198" s="12">
        <f>SUM($D$19:D1198)</f>
        <v>21.436999999999976</v>
      </c>
      <c r="F1198" s="12">
        <f t="shared" si="169"/>
        <v>239.58197039000001</v>
      </c>
      <c r="G1198" s="12">
        <f t="shared" si="170"/>
        <v>158.53334294999999</v>
      </c>
      <c r="H1198" s="12">
        <f t="shared" si="167"/>
        <v>862400</v>
      </c>
      <c r="I1198" s="12">
        <f t="shared" si="168"/>
        <v>570700</v>
      </c>
      <c r="J1198" s="12">
        <f>IF(A1198&lt;[3]关卡对接!$A$4,INDEX([3]关卡对接!$C$7:$C$141,A1198),MATCH(E1198,人物经验!$H$24:$H$573,1))</f>
        <v>421</v>
      </c>
      <c r="K1198" s="12">
        <f>IF([3]关卡对接!F1186="",INT(INDEX(人物经验!$J$24:$J$573,关卡!J1198)*关卡!$S$7),[3]关卡对接!F1186)</f>
        <v>21387</v>
      </c>
      <c r="L1198" s="12">
        <f t="shared" si="173"/>
        <v>2</v>
      </c>
      <c r="M1198" s="12">
        <f>L1198/[4]货币基础!$B$4</f>
        <v>200</v>
      </c>
      <c r="N1198" s="12">
        <f>IF(A1198&lt;[3]关卡对接!$A$4,INDEX([3]关卡对接!$E$7:$E$141,A1198),MATCH(E1198,人物经验!$H$24:$H$573,1))</f>
        <v>421</v>
      </c>
      <c r="O1198" s="12">
        <f>INDEX([2]关卡!$G$6:$G$2005,A1198)</f>
        <v>3</v>
      </c>
      <c r="P1198" s="13">
        <v>6</v>
      </c>
      <c r="Q1198" s="12">
        <f>INT(P1198/$S$15/O1198*VLOOKUP(J1198,[1]人物技能基础!$N$3:$O$553,2,0)*$U$15)</f>
        <v>9</v>
      </c>
      <c r="R1198" s="12">
        <f t="shared" si="174"/>
        <v>112</v>
      </c>
    </row>
    <row r="1199" spans="1:18" x14ac:dyDescent="0.15">
      <c r="A1199" s="12">
        <v>1181</v>
      </c>
      <c r="B1199" s="12">
        <f t="shared" si="171"/>
        <v>6</v>
      </c>
      <c r="C1199" s="12">
        <f t="shared" si="172"/>
        <v>6.2748175000000002</v>
      </c>
      <c r="D1199" s="12">
        <f t="shared" si="166"/>
        <v>3.7817500000000059E-2</v>
      </c>
      <c r="E1199" s="12">
        <f>SUM($D$19:D1199)</f>
        <v>21.474817499999975</v>
      </c>
      <c r="F1199" s="12">
        <f t="shared" si="169"/>
        <v>240.07089907507998</v>
      </c>
      <c r="G1199" s="12">
        <f t="shared" si="170"/>
        <v>158.78934098603096</v>
      </c>
      <c r="H1199" s="12">
        <f t="shared" si="167"/>
        <v>864200</v>
      </c>
      <c r="I1199" s="12">
        <f t="shared" si="168"/>
        <v>571600</v>
      </c>
      <c r="J1199" s="12">
        <f>IF(A1199&lt;[3]关卡对接!$A$4,INDEX([3]关卡对接!$C$7:$C$141,A1199),MATCH(E1199,人物经验!$H$24:$H$573,1))</f>
        <v>422</v>
      </c>
      <c r="K1199" s="12">
        <f>IF([3]关卡对接!F1187="",INT(INDEX(人物经验!$J$24:$J$573,关卡!J1199)*关卡!$S$7),[3]关卡对接!F1187)</f>
        <v>21562</v>
      </c>
      <c r="L1199" s="12">
        <f t="shared" si="173"/>
        <v>2</v>
      </c>
      <c r="M1199" s="12">
        <f>L1199/[4]货币基础!$B$4</f>
        <v>200</v>
      </c>
      <c r="N1199" s="12">
        <f>IF(A1199&lt;[3]关卡对接!$A$4,INDEX([3]关卡对接!$E$7:$E$141,A1199),MATCH(E1199,人物经验!$H$24:$H$573,1))</f>
        <v>422</v>
      </c>
      <c r="O1199" s="12">
        <f>INDEX([2]关卡!$G$6:$G$2005,A1199)</f>
        <v>3</v>
      </c>
      <c r="P1199" s="13">
        <v>6</v>
      </c>
      <c r="Q1199" s="12">
        <f>INT(P1199/$S$15/O1199*VLOOKUP(J1199,[1]人物技能基础!$N$3:$O$553,2,0)*$U$15)</f>
        <v>9</v>
      </c>
      <c r="R1199" s="12">
        <f t="shared" si="174"/>
        <v>112</v>
      </c>
    </row>
    <row r="1200" spans="1:18" x14ac:dyDescent="0.15">
      <c r="A1200" s="12">
        <v>1182</v>
      </c>
      <c r="B1200" s="12">
        <f t="shared" si="171"/>
        <v>6</v>
      </c>
      <c r="C1200" s="12">
        <f t="shared" si="172"/>
        <v>6.3126700000000007</v>
      </c>
      <c r="D1200" s="12">
        <f t="shared" si="166"/>
        <v>3.7852500000000511E-2</v>
      </c>
      <c r="E1200" s="12">
        <f>SUM($D$19:D1200)</f>
        <v>21.512669999999975</v>
      </c>
      <c r="F1200" s="12">
        <f t="shared" si="169"/>
        <v>240.56061086743895</v>
      </c>
      <c r="G1200" s="12">
        <f t="shared" si="170"/>
        <v>159.04564626129496</v>
      </c>
      <c r="H1200" s="12">
        <f t="shared" si="167"/>
        <v>866000</v>
      </c>
      <c r="I1200" s="12">
        <f t="shared" si="168"/>
        <v>572500</v>
      </c>
      <c r="J1200" s="12">
        <f>IF(A1200&lt;[3]关卡对接!$A$4,INDEX([3]关卡对接!$C$7:$C$141,A1200),MATCH(E1200,人物经验!$H$24:$H$573,1))</f>
        <v>422</v>
      </c>
      <c r="K1200" s="12">
        <f>IF([3]关卡对接!F1188="",INT(INDEX(人物经验!$J$24:$J$573,关卡!J1200)*关卡!$S$7),[3]关卡对接!F1188)</f>
        <v>21562</v>
      </c>
      <c r="L1200" s="12">
        <f t="shared" si="173"/>
        <v>2</v>
      </c>
      <c r="M1200" s="12">
        <f>L1200/[4]货币基础!$B$4</f>
        <v>200</v>
      </c>
      <c r="N1200" s="12">
        <f>IF(A1200&lt;[3]关卡对接!$A$4,INDEX([3]关卡对接!$E$7:$E$141,A1200),MATCH(E1200,人物经验!$H$24:$H$573,1))</f>
        <v>422</v>
      </c>
      <c r="O1200" s="12">
        <f>INDEX([2]关卡!$G$6:$G$2005,A1200)</f>
        <v>3</v>
      </c>
      <c r="P1200" s="13">
        <v>6</v>
      </c>
      <c r="Q1200" s="12">
        <f>INT(P1200/$S$15/O1200*VLOOKUP(J1200,[1]人物技能基础!$N$3:$O$553,2,0)*$U$15)</f>
        <v>9</v>
      </c>
      <c r="R1200" s="12">
        <f t="shared" si="174"/>
        <v>112</v>
      </c>
    </row>
    <row r="1201" spans="1:18" x14ac:dyDescent="0.15">
      <c r="A1201" s="12">
        <v>1183</v>
      </c>
      <c r="B1201" s="12">
        <f t="shared" si="171"/>
        <v>6</v>
      </c>
      <c r="C1201" s="12">
        <f t="shared" si="172"/>
        <v>6.3505575000000007</v>
      </c>
      <c r="D1201" s="12">
        <f t="shared" si="166"/>
        <v>3.7887500000000074E-2</v>
      </c>
      <c r="E1201" s="12">
        <f>SUM($D$19:D1201)</f>
        <v>21.550557499999975</v>
      </c>
      <c r="F1201" s="12">
        <f t="shared" si="169"/>
        <v>241.05110669920498</v>
      </c>
      <c r="G1201" s="12">
        <f t="shared" si="170"/>
        <v>159.30225905665597</v>
      </c>
      <c r="H1201" s="12">
        <f t="shared" si="167"/>
        <v>867700</v>
      </c>
      <c r="I1201" s="12">
        <f t="shared" si="168"/>
        <v>573400</v>
      </c>
      <c r="J1201" s="12">
        <f>IF(A1201&lt;[3]关卡对接!$A$4,INDEX([3]关卡对接!$C$7:$C$141,A1201),MATCH(E1201,人物经验!$H$24:$H$573,1))</f>
        <v>422</v>
      </c>
      <c r="K1201" s="12">
        <f>IF([3]关卡对接!F1189="",INT(INDEX(人物经验!$J$24:$J$573,关卡!J1201)*关卡!$S$7),[3]关卡对接!F1189)</f>
        <v>21562</v>
      </c>
      <c r="L1201" s="12">
        <f t="shared" si="173"/>
        <v>2</v>
      </c>
      <c r="M1201" s="12">
        <f>L1201/[4]货币基础!$B$4</f>
        <v>200</v>
      </c>
      <c r="N1201" s="12">
        <f>IF(A1201&lt;[3]关卡对接!$A$4,INDEX([3]关卡对接!$E$7:$E$141,A1201),MATCH(E1201,人物经验!$H$24:$H$573,1))</f>
        <v>422</v>
      </c>
      <c r="O1201" s="12">
        <f>INDEX([2]关卡!$G$6:$G$2005,A1201)</f>
        <v>3</v>
      </c>
      <c r="P1201" s="13">
        <v>6</v>
      </c>
      <c r="Q1201" s="12">
        <f>INT(P1201/$S$15/O1201*VLOOKUP(J1201,[1]人物技能基础!$N$3:$O$553,2,0)*$U$15)</f>
        <v>9</v>
      </c>
      <c r="R1201" s="12">
        <f t="shared" si="174"/>
        <v>112</v>
      </c>
    </row>
    <row r="1202" spans="1:18" x14ac:dyDescent="0.15">
      <c r="A1202" s="12">
        <v>1184</v>
      </c>
      <c r="B1202" s="12">
        <f t="shared" si="171"/>
        <v>6</v>
      </c>
      <c r="C1202" s="12">
        <f t="shared" si="172"/>
        <v>6.3884800000000013</v>
      </c>
      <c r="D1202" s="12">
        <f t="shared" si="166"/>
        <v>3.7922500000000525E-2</v>
      </c>
      <c r="E1202" s="12">
        <f>SUM($D$19:D1202)</f>
        <v>21.588479999999976</v>
      </c>
      <c r="F1202" s="12">
        <f t="shared" si="169"/>
        <v>241.54238750310395</v>
      </c>
      <c r="G1202" s="12">
        <f t="shared" si="170"/>
        <v>159.55917965312</v>
      </c>
      <c r="H1202" s="12">
        <f t="shared" si="167"/>
        <v>869500</v>
      </c>
      <c r="I1202" s="12">
        <f t="shared" si="168"/>
        <v>574400</v>
      </c>
      <c r="J1202" s="12">
        <f>IF(A1202&lt;[3]关卡对接!$A$4,INDEX([3]关卡对接!$C$7:$C$141,A1202),MATCH(E1202,人物经验!$H$24:$H$573,1))</f>
        <v>423</v>
      </c>
      <c r="K1202" s="12">
        <f>IF([3]关卡对接!F1190="",INT(INDEX(人物经验!$J$24:$J$573,关卡!J1202)*关卡!$S$7),[3]关卡对接!F1190)</f>
        <v>21694</v>
      </c>
      <c r="L1202" s="12">
        <f t="shared" si="173"/>
        <v>2</v>
      </c>
      <c r="M1202" s="12">
        <f>L1202/[4]货币基础!$B$4</f>
        <v>200</v>
      </c>
      <c r="N1202" s="12">
        <f>IF(A1202&lt;[3]关卡对接!$A$4,INDEX([3]关卡对接!$E$7:$E$141,A1202),MATCH(E1202,人物经验!$H$24:$H$573,1))</f>
        <v>423</v>
      </c>
      <c r="O1202" s="12">
        <f>INDEX([2]关卡!$G$6:$G$2005,A1202)</f>
        <v>3</v>
      </c>
      <c r="P1202" s="13">
        <v>6</v>
      </c>
      <c r="Q1202" s="12">
        <f>INT(P1202/$S$15/O1202*VLOOKUP(J1202,[1]人物技能基础!$N$3:$O$553,2,0)*$U$15)</f>
        <v>9</v>
      </c>
      <c r="R1202" s="12">
        <f t="shared" si="174"/>
        <v>112</v>
      </c>
    </row>
    <row r="1203" spans="1:18" x14ac:dyDescent="0.15">
      <c r="A1203" s="12">
        <v>1185</v>
      </c>
      <c r="B1203" s="12">
        <f t="shared" si="171"/>
        <v>6</v>
      </c>
      <c r="C1203" s="12">
        <f t="shared" si="172"/>
        <v>6.4264375000000005</v>
      </c>
      <c r="D1203" s="12">
        <f t="shared" si="166"/>
        <v>3.79574999999992E-2</v>
      </c>
      <c r="E1203" s="12">
        <f>SUM($D$19:D1203)</f>
        <v>21.626437499999973</v>
      </c>
      <c r="F1203" s="12">
        <f t="shared" si="169"/>
        <v>242.03445421246096</v>
      </c>
      <c r="G1203" s="12">
        <f t="shared" si="170"/>
        <v>159.81640833183593</v>
      </c>
      <c r="H1203" s="12">
        <f t="shared" si="167"/>
        <v>871300</v>
      </c>
      <c r="I1203" s="12">
        <f t="shared" si="168"/>
        <v>575300</v>
      </c>
      <c r="J1203" s="12">
        <f>IF(A1203&lt;[3]关卡对接!$A$4,INDEX([3]关卡对接!$C$7:$C$141,A1203),MATCH(E1203,人物经验!$H$24:$H$573,1))</f>
        <v>423</v>
      </c>
      <c r="K1203" s="12">
        <f>IF([3]关卡对接!F1191="",INT(INDEX(人物经验!$J$24:$J$573,关卡!J1203)*关卡!$S$7),[3]关卡对接!F1191)</f>
        <v>21694</v>
      </c>
      <c r="L1203" s="12">
        <f t="shared" si="173"/>
        <v>2</v>
      </c>
      <c r="M1203" s="12">
        <f>L1203/[4]货币基础!$B$4</f>
        <v>200</v>
      </c>
      <c r="N1203" s="12">
        <f>IF(A1203&lt;[3]关卡对接!$A$4,INDEX([3]关卡对接!$E$7:$E$141,A1203),MATCH(E1203,人物经验!$H$24:$H$573,1))</f>
        <v>423</v>
      </c>
      <c r="O1203" s="12">
        <f>INDEX([2]关卡!$G$6:$G$2005,A1203)</f>
        <v>3</v>
      </c>
      <c r="P1203" s="13">
        <v>6</v>
      </c>
      <c r="Q1203" s="12">
        <f>INT(P1203/$S$15/O1203*VLOOKUP(J1203,[1]人物技能基础!$N$3:$O$553,2,0)*$U$15)</f>
        <v>9</v>
      </c>
      <c r="R1203" s="12">
        <f t="shared" si="174"/>
        <v>112</v>
      </c>
    </row>
    <row r="1204" spans="1:18" x14ac:dyDescent="0.15">
      <c r="A1204" s="12">
        <v>1186</v>
      </c>
      <c r="B1204" s="12">
        <f t="shared" si="171"/>
        <v>6</v>
      </c>
      <c r="C1204" s="12">
        <f t="shared" si="172"/>
        <v>6.464430000000001</v>
      </c>
      <c r="D1204" s="12">
        <f t="shared" si="166"/>
        <v>3.799250000000054E-2</v>
      </c>
      <c r="E1204" s="12">
        <f>SUM($D$19:D1204)</f>
        <v>21.664429999999975</v>
      </c>
      <c r="F1204" s="12">
        <f t="shared" si="169"/>
        <v>242.52730776119895</v>
      </c>
      <c r="G1204" s="12">
        <f t="shared" si="170"/>
        <v>160.07394537409499</v>
      </c>
      <c r="H1204" s="12">
        <f t="shared" si="167"/>
        <v>873000</v>
      </c>
      <c r="I1204" s="12">
        <f t="shared" si="168"/>
        <v>576200</v>
      </c>
      <c r="J1204" s="12">
        <f>IF(A1204&lt;[3]关卡对接!$A$4,INDEX([3]关卡对接!$C$7:$C$141,A1204),MATCH(E1204,人物经验!$H$24:$H$573,1))</f>
        <v>423</v>
      </c>
      <c r="K1204" s="12">
        <f>IF([3]关卡对接!F1192="",INT(INDEX(人物经验!$J$24:$J$573,关卡!J1204)*关卡!$S$7),[3]关卡对接!F1192)</f>
        <v>21694</v>
      </c>
      <c r="L1204" s="12">
        <f t="shared" si="173"/>
        <v>2</v>
      </c>
      <c r="M1204" s="12">
        <f>L1204/[4]货币基础!$B$4</f>
        <v>200</v>
      </c>
      <c r="N1204" s="12">
        <f>IF(A1204&lt;[3]关卡对接!$A$4,INDEX([3]关卡对接!$E$7:$E$141,A1204),MATCH(E1204,人物经验!$H$24:$H$573,1))</f>
        <v>423</v>
      </c>
      <c r="O1204" s="12">
        <f>INDEX([2]关卡!$G$6:$G$2005,A1204)</f>
        <v>3</v>
      </c>
      <c r="P1204" s="13">
        <v>6</v>
      </c>
      <c r="Q1204" s="12">
        <f>INT(P1204/$S$15/O1204*VLOOKUP(J1204,[1]人物技能基础!$N$3:$O$553,2,0)*$U$15)</f>
        <v>9</v>
      </c>
      <c r="R1204" s="12">
        <f t="shared" si="174"/>
        <v>112</v>
      </c>
    </row>
    <row r="1205" spans="1:18" x14ac:dyDescent="0.15">
      <c r="A1205" s="12">
        <v>1187</v>
      </c>
      <c r="B1205" s="12">
        <f t="shared" si="171"/>
        <v>6</v>
      </c>
      <c r="C1205" s="12">
        <f t="shared" si="172"/>
        <v>6.5024575000000002</v>
      </c>
      <c r="D1205" s="12">
        <f t="shared" si="166"/>
        <v>3.8027499999999215E-2</v>
      </c>
      <c r="E1205" s="12">
        <f>SUM($D$19:D1205)</f>
        <v>21.702457499999973</v>
      </c>
      <c r="F1205" s="12">
        <f t="shared" si="169"/>
        <v>243.02094908383995</v>
      </c>
      <c r="G1205" s="12">
        <f t="shared" si="170"/>
        <v>160.33179106133093</v>
      </c>
      <c r="H1205" s="12">
        <f t="shared" si="167"/>
        <v>874800</v>
      </c>
      <c r="I1205" s="12">
        <f t="shared" si="168"/>
        <v>577100</v>
      </c>
      <c r="J1205" s="12">
        <f>IF(A1205&lt;[3]关卡对接!$A$4,INDEX([3]关卡对接!$C$7:$C$141,A1205),MATCH(E1205,人物经验!$H$24:$H$573,1))</f>
        <v>423</v>
      </c>
      <c r="K1205" s="12">
        <f>IF([3]关卡对接!F1193="",INT(INDEX(人物经验!$J$24:$J$573,关卡!J1205)*关卡!$S$7),[3]关卡对接!F1193)</f>
        <v>21694</v>
      </c>
      <c r="L1205" s="12">
        <f t="shared" si="173"/>
        <v>2</v>
      </c>
      <c r="M1205" s="12">
        <f>L1205/[4]货币基础!$B$4</f>
        <v>200</v>
      </c>
      <c r="N1205" s="12">
        <f>IF(A1205&lt;[3]关卡对接!$A$4,INDEX([3]关卡对接!$E$7:$E$141,A1205),MATCH(E1205,人物经验!$H$24:$H$573,1))</f>
        <v>423</v>
      </c>
      <c r="O1205" s="12">
        <f>INDEX([2]关卡!$G$6:$G$2005,A1205)</f>
        <v>3</v>
      </c>
      <c r="P1205" s="13">
        <v>6</v>
      </c>
      <c r="Q1205" s="12">
        <f>INT(P1205/$S$15/O1205*VLOOKUP(J1205,[1]人物技能基础!$N$3:$O$553,2,0)*$U$15)</f>
        <v>9</v>
      </c>
      <c r="R1205" s="12">
        <f t="shared" si="174"/>
        <v>112</v>
      </c>
    </row>
    <row r="1206" spans="1:18" x14ac:dyDescent="0.15">
      <c r="A1206" s="12">
        <v>1188</v>
      </c>
      <c r="B1206" s="12">
        <f t="shared" si="171"/>
        <v>6</v>
      </c>
      <c r="C1206" s="12">
        <f t="shared" si="172"/>
        <v>6.5405199999999999</v>
      </c>
      <c r="D1206" s="12">
        <f t="shared" si="166"/>
        <v>3.8062499999999666E-2</v>
      </c>
      <c r="E1206" s="12">
        <f>SUM($D$19:D1206)</f>
        <v>21.740519999999972</v>
      </c>
      <c r="F1206" s="12">
        <f t="shared" si="169"/>
        <v>243.515379115504</v>
      </c>
      <c r="G1206" s="12">
        <f t="shared" si="170"/>
        <v>160.58994567511999</v>
      </c>
      <c r="H1206" s="12">
        <f t="shared" si="167"/>
        <v>876600</v>
      </c>
      <c r="I1206" s="12">
        <f t="shared" si="168"/>
        <v>578100</v>
      </c>
      <c r="J1206" s="12">
        <f>IF(A1206&lt;[3]关卡对接!$A$4,INDEX([3]关卡对接!$C$7:$C$141,A1206),MATCH(E1206,人物经验!$H$24:$H$573,1))</f>
        <v>424</v>
      </c>
      <c r="K1206" s="12">
        <f>IF([3]关卡对接!F1194="",INT(INDEX(人物经验!$J$24:$J$573,关卡!J1206)*关卡!$S$7),[3]关卡对接!F1194)</f>
        <v>21871</v>
      </c>
      <c r="L1206" s="12">
        <f t="shared" si="173"/>
        <v>2</v>
      </c>
      <c r="M1206" s="12">
        <f>L1206/[4]货币基础!$B$4</f>
        <v>200</v>
      </c>
      <c r="N1206" s="12">
        <f>IF(A1206&lt;[3]关卡对接!$A$4,INDEX([3]关卡对接!$E$7:$E$141,A1206),MATCH(E1206,人物经验!$H$24:$H$573,1))</f>
        <v>424</v>
      </c>
      <c r="O1206" s="12">
        <f>INDEX([2]关卡!$G$6:$G$2005,A1206)</f>
        <v>3</v>
      </c>
      <c r="P1206" s="13">
        <v>6</v>
      </c>
      <c r="Q1206" s="12">
        <f>INT(P1206/$S$15/O1206*VLOOKUP(J1206,[1]人物技能基础!$N$3:$O$553,2,0)*$U$15)</f>
        <v>9</v>
      </c>
      <c r="R1206" s="12">
        <f t="shared" si="174"/>
        <v>112</v>
      </c>
    </row>
    <row r="1207" spans="1:18" x14ac:dyDescent="0.15">
      <c r="A1207" s="12">
        <v>1189</v>
      </c>
      <c r="B1207" s="12">
        <f t="shared" si="171"/>
        <v>6</v>
      </c>
      <c r="C1207" s="12">
        <f t="shared" si="172"/>
        <v>6.5786174999999991</v>
      </c>
      <c r="D1207" s="12">
        <f t="shared" si="166"/>
        <v>3.8097499999999229E-2</v>
      </c>
      <c r="E1207" s="12">
        <f>SUM($D$19:D1207)</f>
        <v>21.778617499999971</v>
      </c>
      <c r="F1207" s="12">
        <f t="shared" si="169"/>
        <v>244.01059879190996</v>
      </c>
      <c r="G1207" s="12">
        <f t="shared" si="170"/>
        <v>160.84840949718094</v>
      </c>
      <c r="H1207" s="12">
        <f t="shared" si="167"/>
        <v>878400</v>
      </c>
      <c r="I1207" s="12">
        <f t="shared" si="168"/>
        <v>579000</v>
      </c>
      <c r="J1207" s="12">
        <f>IF(A1207&lt;[3]关卡对接!$A$4,INDEX([3]关卡对接!$C$7:$C$141,A1207),MATCH(E1207,人物经验!$H$24:$H$573,1))</f>
        <v>424</v>
      </c>
      <c r="K1207" s="12">
        <f>IF([3]关卡对接!F1195="",INT(INDEX(人物经验!$J$24:$J$573,关卡!J1207)*关卡!$S$7),[3]关卡对接!F1195)</f>
        <v>21871</v>
      </c>
      <c r="L1207" s="12">
        <f t="shared" si="173"/>
        <v>2</v>
      </c>
      <c r="M1207" s="12">
        <f>L1207/[4]货币基础!$B$4</f>
        <v>200</v>
      </c>
      <c r="N1207" s="12">
        <f>IF(A1207&lt;[3]关卡对接!$A$4,INDEX([3]关卡对接!$E$7:$E$141,A1207),MATCH(E1207,人物经验!$H$24:$H$573,1))</f>
        <v>424</v>
      </c>
      <c r="O1207" s="12">
        <f>INDEX([2]关卡!$G$6:$G$2005,A1207)</f>
        <v>3</v>
      </c>
      <c r="P1207" s="13">
        <v>6</v>
      </c>
      <c r="Q1207" s="12">
        <f>INT(P1207/$S$15/O1207*VLOOKUP(J1207,[1]人物技能基础!$N$3:$O$553,2,0)*$U$15)</f>
        <v>9</v>
      </c>
      <c r="R1207" s="12">
        <f t="shared" si="174"/>
        <v>112</v>
      </c>
    </row>
    <row r="1208" spans="1:18" x14ac:dyDescent="0.15">
      <c r="A1208" s="12">
        <v>1190</v>
      </c>
      <c r="B1208" s="12">
        <f t="shared" si="171"/>
        <v>6</v>
      </c>
      <c r="C1208" s="12">
        <f t="shared" si="172"/>
        <v>6.6167499999999997</v>
      </c>
      <c r="D1208" s="12">
        <f t="shared" si="166"/>
        <v>3.8132500000000569E-2</v>
      </c>
      <c r="E1208" s="12">
        <f>SUM($D$19:D1208)</f>
        <v>21.816749999999971</v>
      </c>
      <c r="F1208" s="12">
        <f t="shared" si="169"/>
        <v>244.50660904937499</v>
      </c>
      <c r="G1208" s="12">
        <f t="shared" si="170"/>
        <v>161.10718280937502</v>
      </c>
      <c r="H1208" s="12">
        <f t="shared" si="167"/>
        <v>880200</v>
      </c>
      <c r="I1208" s="12">
        <f t="shared" si="168"/>
        <v>579900</v>
      </c>
      <c r="J1208" s="12">
        <f>IF(A1208&lt;[3]关卡对接!$A$4,INDEX([3]关卡对接!$C$7:$C$141,A1208),MATCH(E1208,人物经验!$H$24:$H$573,1))</f>
        <v>424</v>
      </c>
      <c r="K1208" s="12">
        <f>IF([3]关卡对接!F1196="",INT(INDEX(人物经验!$J$24:$J$573,关卡!J1208)*关卡!$S$7),[3]关卡对接!F1196)</f>
        <v>21871</v>
      </c>
      <c r="L1208" s="12">
        <f t="shared" si="173"/>
        <v>2</v>
      </c>
      <c r="M1208" s="12">
        <f>L1208/[4]货币基础!$B$4</f>
        <v>200</v>
      </c>
      <c r="N1208" s="12">
        <f>IF(A1208&lt;[3]关卡对接!$A$4,INDEX([3]关卡对接!$E$7:$E$141,A1208),MATCH(E1208,人物经验!$H$24:$H$573,1))</f>
        <v>424</v>
      </c>
      <c r="O1208" s="12">
        <f>INDEX([2]关卡!$G$6:$G$2005,A1208)</f>
        <v>3</v>
      </c>
      <c r="P1208" s="13">
        <v>6</v>
      </c>
      <c r="Q1208" s="12">
        <f>INT(P1208/$S$15/O1208*VLOOKUP(J1208,[1]人物技能基础!$N$3:$O$553,2,0)*$U$15)</f>
        <v>9</v>
      </c>
      <c r="R1208" s="12">
        <f t="shared" si="174"/>
        <v>112</v>
      </c>
    </row>
    <row r="1209" spans="1:18" x14ac:dyDescent="0.15">
      <c r="A1209" s="12">
        <v>1191</v>
      </c>
      <c r="B1209" s="12">
        <f t="shared" si="171"/>
        <v>6</v>
      </c>
      <c r="C1209" s="12">
        <f t="shared" si="172"/>
        <v>6.6549174999999989</v>
      </c>
      <c r="D1209" s="12">
        <f t="shared" si="166"/>
        <v>3.8167499999999244E-2</v>
      </c>
      <c r="E1209" s="12">
        <f>SUM($D$19:D1209)</f>
        <v>21.854917499999971</v>
      </c>
      <c r="F1209" s="12">
        <f t="shared" si="169"/>
        <v>245.00341082481498</v>
      </c>
      <c r="G1209" s="12">
        <f t="shared" si="170"/>
        <v>161.36626589370596</v>
      </c>
      <c r="H1209" s="12">
        <f t="shared" si="167"/>
        <v>882000</v>
      </c>
      <c r="I1209" s="12">
        <f t="shared" si="168"/>
        <v>580900</v>
      </c>
      <c r="J1209" s="12">
        <f>IF(A1209&lt;[3]关卡对接!$A$4,INDEX([3]关卡对接!$C$7:$C$141,A1209),MATCH(E1209,人物经验!$H$24:$H$573,1))</f>
        <v>424</v>
      </c>
      <c r="K1209" s="12">
        <f>IF([3]关卡对接!F1197="",INT(INDEX(人物经验!$J$24:$J$573,关卡!J1209)*关卡!$S$7),[3]关卡对接!F1197)</f>
        <v>21871</v>
      </c>
      <c r="L1209" s="12">
        <f t="shared" si="173"/>
        <v>2</v>
      </c>
      <c r="M1209" s="12">
        <f>L1209/[4]货币基础!$B$4</f>
        <v>200</v>
      </c>
      <c r="N1209" s="12">
        <f>IF(A1209&lt;[3]关卡对接!$A$4,INDEX([3]关卡对接!$E$7:$E$141,A1209),MATCH(E1209,人物经验!$H$24:$H$573,1))</f>
        <v>424</v>
      </c>
      <c r="O1209" s="12">
        <f>INDEX([2]关卡!$G$6:$G$2005,A1209)</f>
        <v>3</v>
      </c>
      <c r="P1209" s="13">
        <v>6</v>
      </c>
      <c r="Q1209" s="12">
        <f>INT(P1209/$S$15/O1209*VLOOKUP(J1209,[1]人物技能基础!$N$3:$O$553,2,0)*$U$15)</f>
        <v>9</v>
      </c>
      <c r="R1209" s="12">
        <f t="shared" si="174"/>
        <v>112</v>
      </c>
    </row>
    <row r="1210" spans="1:18" x14ac:dyDescent="0.15">
      <c r="A1210" s="12">
        <v>1192</v>
      </c>
      <c r="B1210" s="12">
        <f t="shared" si="171"/>
        <v>6</v>
      </c>
      <c r="C1210" s="12">
        <f t="shared" si="172"/>
        <v>6.6931200000000004</v>
      </c>
      <c r="D1210" s="12">
        <f t="shared" si="166"/>
        <v>3.8202500000001471E-2</v>
      </c>
      <c r="E1210" s="12">
        <f>SUM($D$19:D1210)</f>
        <v>21.893119999999971</v>
      </c>
      <c r="F1210" s="12">
        <f t="shared" si="169"/>
        <v>245.50100505574397</v>
      </c>
      <c r="G1210" s="12">
        <f t="shared" si="170"/>
        <v>161.62565903231999</v>
      </c>
      <c r="H1210" s="12">
        <f t="shared" si="167"/>
        <v>883800</v>
      </c>
      <c r="I1210" s="12">
        <f t="shared" si="168"/>
        <v>581800</v>
      </c>
      <c r="J1210" s="12">
        <f>IF(A1210&lt;[3]关卡对接!$A$4,INDEX([3]关卡对接!$C$7:$C$141,A1210),MATCH(E1210,人物经验!$H$24:$H$573,1))</f>
        <v>425</v>
      </c>
      <c r="K1210" s="12">
        <f>IF([3]关卡对接!F1198="",INT(INDEX(人物经验!$J$24:$J$573,关卡!J1210)*关卡!$S$7),[3]关卡对接!F1198)</f>
        <v>22050</v>
      </c>
      <c r="L1210" s="12">
        <f t="shared" si="173"/>
        <v>2</v>
      </c>
      <c r="M1210" s="12">
        <f>L1210/[4]货币基础!$B$4</f>
        <v>200</v>
      </c>
      <c r="N1210" s="12">
        <f>IF(A1210&lt;[3]关卡对接!$A$4,INDEX([3]关卡对接!$E$7:$E$141,A1210),MATCH(E1210,人物经验!$H$24:$H$573,1))</f>
        <v>425</v>
      </c>
      <c r="O1210" s="12">
        <f>INDEX([2]关卡!$G$6:$G$2005,A1210)</f>
        <v>3</v>
      </c>
      <c r="P1210" s="13">
        <v>6</v>
      </c>
      <c r="Q1210" s="12">
        <f>INT(P1210/$S$15/O1210*VLOOKUP(J1210,[1]人物技能基础!$N$3:$O$553,2,0)*$U$15)</f>
        <v>9</v>
      </c>
      <c r="R1210" s="12">
        <f t="shared" si="174"/>
        <v>112</v>
      </c>
    </row>
    <row r="1211" spans="1:18" x14ac:dyDescent="0.15">
      <c r="A1211" s="12">
        <v>1193</v>
      </c>
      <c r="B1211" s="12">
        <f t="shared" si="171"/>
        <v>6</v>
      </c>
      <c r="C1211" s="12">
        <f t="shared" si="172"/>
        <v>6.7313574999999997</v>
      </c>
      <c r="D1211" s="12">
        <f t="shared" ref="D1211:D1274" si="175">IF(ISNA(MATCH(A1211,$A$6:$A$15,0)),C1211-C1210,C1211)</f>
        <v>3.8237499999999258E-2</v>
      </c>
      <c r="E1211" s="12">
        <f>SUM($D$19:D1211)</f>
        <v>21.931357499999969</v>
      </c>
      <c r="F1211" s="12">
        <f t="shared" si="169"/>
        <v>245.99939268027498</v>
      </c>
      <c r="G1211" s="12">
        <f t="shared" si="170"/>
        <v>161.88536250750596</v>
      </c>
      <c r="H1211" s="12">
        <f t="shared" ref="H1211:H1274" si="176">INT(F1211*60*60/100)*100</f>
        <v>885500</v>
      </c>
      <c r="I1211" s="12">
        <f t="shared" ref="I1211:I1274" si="177">INT(G1211*60*60/100)*100</f>
        <v>582700</v>
      </c>
      <c r="J1211" s="12">
        <f>IF(A1211&lt;[3]关卡对接!$A$4,INDEX([3]关卡对接!$C$7:$C$141,A1211),MATCH(E1211,人物经验!$H$24:$H$573,1))</f>
        <v>425</v>
      </c>
      <c r="K1211" s="12">
        <f>IF([3]关卡对接!F1199="",INT(INDEX(人物经验!$J$24:$J$573,关卡!J1211)*关卡!$S$7),[3]关卡对接!F1199)</f>
        <v>22050</v>
      </c>
      <c r="L1211" s="12">
        <f t="shared" si="173"/>
        <v>2</v>
      </c>
      <c r="M1211" s="12">
        <f>L1211/[4]货币基础!$B$4</f>
        <v>200</v>
      </c>
      <c r="N1211" s="12">
        <f>IF(A1211&lt;[3]关卡对接!$A$4,INDEX([3]关卡对接!$E$7:$E$141,A1211),MATCH(E1211,人物经验!$H$24:$H$573,1))</f>
        <v>425</v>
      </c>
      <c r="O1211" s="12">
        <f>INDEX([2]关卡!$G$6:$G$2005,A1211)</f>
        <v>3</v>
      </c>
      <c r="P1211" s="13">
        <v>6</v>
      </c>
      <c r="Q1211" s="12">
        <f>INT(P1211/$S$15/O1211*VLOOKUP(J1211,[1]人物技能基础!$N$3:$O$553,2,0)*$U$15)</f>
        <v>9</v>
      </c>
      <c r="R1211" s="12">
        <f t="shared" si="174"/>
        <v>112</v>
      </c>
    </row>
    <row r="1212" spans="1:18" x14ac:dyDescent="0.15">
      <c r="A1212" s="12">
        <v>1194</v>
      </c>
      <c r="B1212" s="12">
        <f t="shared" si="171"/>
        <v>6</v>
      </c>
      <c r="C1212" s="12">
        <f t="shared" si="172"/>
        <v>6.7696300000000003</v>
      </c>
      <c r="D1212" s="12">
        <f t="shared" si="175"/>
        <v>3.8272500000000598E-2</v>
      </c>
      <c r="E1212" s="12">
        <f>SUM($D$19:D1212)</f>
        <v>21.96962999999997</v>
      </c>
      <c r="F1212" s="12">
        <f t="shared" si="169"/>
        <v>246.49857463711896</v>
      </c>
      <c r="G1212" s="12">
        <f t="shared" si="170"/>
        <v>162.14537660169498</v>
      </c>
      <c r="H1212" s="12">
        <f t="shared" si="176"/>
        <v>887300</v>
      </c>
      <c r="I1212" s="12">
        <f t="shared" si="177"/>
        <v>583700</v>
      </c>
      <c r="J1212" s="12">
        <f>IF(A1212&lt;[3]关卡对接!$A$4,INDEX([3]关卡对接!$C$7:$C$141,A1212),MATCH(E1212,人物经验!$H$24:$H$573,1))</f>
        <v>425</v>
      </c>
      <c r="K1212" s="12">
        <f>IF([3]关卡对接!F1200="",INT(INDEX(人物经验!$J$24:$J$573,关卡!J1212)*关卡!$S$7),[3]关卡对接!F1200)</f>
        <v>22050</v>
      </c>
      <c r="L1212" s="12">
        <f t="shared" si="173"/>
        <v>2</v>
      </c>
      <c r="M1212" s="12">
        <f>L1212/[4]货币基础!$B$4</f>
        <v>200</v>
      </c>
      <c r="N1212" s="12">
        <f>IF(A1212&lt;[3]关卡对接!$A$4,INDEX([3]关卡对接!$E$7:$E$141,A1212),MATCH(E1212,人物经验!$H$24:$H$573,1))</f>
        <v>425</v>
      </c>
      <c r="O1212" s="12">
        <f>INDEX([2]关卡!$G$6:$G$2005,A1212)</f>
        <v>3</v>
      </c>
      <c r="P1212" s="13">
        <v>6</v>
      </c>
      <c r="Q1212" s="12">
        <f>INT(P1212/$S$15/O1212*VLOOKUP(J1212,[1]人物技能基础!$N$3:$O$553,2,0)*$U$15)</f>
        <v>9</v>
      </c>
      <c r="R1212" s="12">
        <f t="shared" si="174"/>
        <v>112</v>
      </c>
    </row>
    <row r="1213" spans="1:18" x14ac:dyDescent="0.15">
      <c r="A1213" s="12">
        <v>1195</v>
      </c>
      <c r="B1213" s="12">
        <f t="shared" si="171"/>
        <v>6</v>
      </c>
      <c r="C1213" s="12">
        <f t="shared" si="172"/>
        <v>6.8079374999999995</v>
      </c>
      <c r="D1213" s="12">
        <f t="shared" si="175"/>
        <v>3.8307499999999273E-2</v>
      </c>
      <c r="E1213" s="12">
        <f>SUM($D$19:D1213)</f>
        <v>22.007937499999969</v>
      </c>
      <c r="F1213" s="12">
        <f t="shared" si="169"/>
        <v>246.99855186558594</v>
      </c>
      <c r="G1213" s="12">
        <f t="shared" si="170"/>
        <v>162.40570159746096</v>
      </c>
      <c r="H1213" s="12">
        <f t="shared" si="176"/>
        <v>889100</v>
      </c>
      <c r="I1213" s="12">
        <f t="shared" si="177"/>
        <v>584600</v>
      </c>
      <c r="J1213" s="12">
        <f>IF(A1213&lt;[3]关卡对接!$A$4,INDEX([3]关卡对接!$C$7:$C$141,A1213),MATCH(E1213,人物经验!$H$24:$H$573,1))</f>
        <v>426</v>
      </c>
      <c r="K1213" s="12">
        <f>IF([3]关卡对接!F1201="",INT(INDEX(人物经验!$J$24:$J$573,关卡!J1213)*关卡!$S$7),[3]关卡对接!F1201)</f>
        <v>22184</v>
      </c>
      <c r="L1213" s="12">
        <f t="shared" si="173"/>
        <v>2</v>
      </c>
      <c r="M1213" s="12">
        <f>L1213/[4]货币基础!$B$4</f>
        <v>200</v>
      </c>
      <c r="N1213" s="12">
        <f>IF(A1213&lt;[3]关卡对接!$A$4,INDEX([3]关卡对接!$E$7:$E$141,A1213),MATCH(E1213,人物经验!$H$24:$H$573,1))</f>
        <v>426</v>
      </c>
      <c r="O1213" s="12">
        <f>INDEX([2]关卡!$G$6:$G$2005,A1213)</f>
        <v>3</v>
      </c>
      <c r="P1213" s="13">
        <v>6</v>
      </c>
      <c r="Q1213" s="12">
        <f>INT(P1213/$S$15/O1213*VLOOKUP(J1213,[1]人物技能基础!$N$3:$O$553,2,0)*$U$15)</f>
        <v>9</v>
      </c>
      <c r="R1213" s="12">
        <f t="shared" si="174"/>
        <v>112</v>
      </c>
    </row>
    <row r="1214" spans="1:18" x14ac:dyDescent="0.15">
      <c r="A1214" s="12">
        <v>1196</v>
      </c>
      <c r="B1214" s="12">
        <f t="shared" si="171"/>
        <v>6</v>
      </c>
      <c r="C1214" s="12">
        <f t="shared" si="172"/>
        <v>6.8462800000000001</v>
      </c>
      <c r="D1214" s="12">
        <f t="shared" si="175"/>
        <v>3.8342500000000612E-2</v>
      </c>
      <c r="E1214" s="12">
        <f>SUM($D$19:D1214)</f>
        <v>22.046279999999967</v>
      </c>
      <c r="F1214" s="12">
        <f t="shared" si="169"/>
        <v>247.49932530558399</v>
      </c>
      <c r="G1214" s="12">
        <f t="shared" si="170"/>
        <v>162.66633777752</v>
      </c>
      <c r="H1214" s="12">
        <f t="shared" si="176"/>
        <v>890900</v>
      </c>
      <c r="I1214" s="12">
        <f t="shared" si="177"/>
        <v>585500</v>
      </c>
      <c r="J1214" s="12">
        <f>IF(A1214&lt;[3]关卡对接!$A$4,INDEX([3]关卡对接!$C$7:$C$141,A1214),MATCH(E1214,人物经验!$H$24:$H$573,1))</f>
        <v>426</v>
      </c>
      <c r="K1214" s="12">
        <f>IF([3]关卡对接!F1202="",INT(INDEX(人物经验!$J$24:$J$573,关卡!J1214)*关卡!$S$7),[3]关卡对接!F1202)</f>
        <v>22184</v>
      </c>
      <c r="L1214" s="12">
        <f t="shared" si="173"/>
        <v>2</v>
      </c>
      <c r="M1214" s="12">
        <f>L1214/[4]货币基础!$B$4</f>
        <v>200</v>
      </c>
      <c r="N1214" s="12">
        <f>IF(A1214&lt;[3]关卡对接!$A$4,INDEX([3]关卡对接!$E$7:$E$141,A1214),MATCH(E1214,人物经验!$H$24:$H$573,1))</f>
        <v>426</v>
      </c>
      <c r="O1214" s="12">
        <f>INDEX([2]关卡!$G$6:$G$2005,A1214)</f>
        <v>3</v>
      </c>
      <c r="P1214" s="13">
        <v>6</v>
      </c>
      <c r="Q1214" s="12">
        <f>INT(P1214/$S$15/O1214*VLOOKUP(J1214,[1]人物技能基础!$N$3:$O$553,2,0)*$U$15)</f>
        <v>9</v>
      </c>
      <c r="R1214" s="12">
        <f t="shared" si="174"/>
        <v>112</v>
      </c>
    </row>
    <row r="1215" spans="1:18" x14ac:dyDescent="0.15">
      <c r="A1215" s="12">
        <v>1197</v>
      </c>
      <c r="B1215" s="12">
        <f t="shared" si="171"/>
        <v>6</v>
      </c>
      <c r="C1215" s="12">
        <f t="shared" si="172"/>
        <v>6.8846574999999994</v>
      </c>
      <c r="D1215" s="12">
        <f t="shared" si="175"/>
        <v>3.8377499999999287E-2</v>
      </c>
      <c r="E1215" s="12">
        <f>SUM($D$19:D1215)</f>
        <v>22.084657499999967</v>
      </c>
      <c r="F1215" s="12">
        <f t="shared" si="169"/>
        <v>248.00089589761998</v>
      </c>
      <c r="G1215" s="12">
        <f t="shared" si="170"/>
        <v>162.92728542473094</v>
      </c>
      <c r="H1215" s="12">
        <f t="shared" si="176"/>
        <v>892800</v>
      </c>
      <c r="I1215" s="12">
        <f t="shared" si="177"/>
        <v>586500</v>
      </c>
      <c r="J1215" s="12">
        <f>IF(A1215&lt;[3]关卡对接!$A$4,INDEX([3]关卡对接!$C$7:$C$141,A1215),MATCH(E1215,人物经验!$H$24:$H$573,1))</f>
        <v>426</v>
      </c>
      <c r="K1215" s="12">
        <f>IF([3]关卡对接!F1203="",INT(INDEX(人物经验!$J$24:$J$573,关卡!J1215)*关卡!$S$7),[3]关卡对接!F1203)</f>
        <v>22184</v>
      </c>
      <c r="L1215" s="12">
        <f t="shared" si="173"/>
        <v>2</v>
      </c>
      <c r="M1215" s="12">
        <f>L1215/[4]货币基础!$B$4</f>
        <v>200</v>
      </c>
      <c r="N1215" s="12">
        <f>IF(A1215&lt;[3]关卡对接!$A$4,INDEX([3]关卡对接!$E$7:$E$141,A1215),MATCH(E1215,人物经验!$H$24:$H$573,1))</f>
        <v>426</v>
      </c>
      <c r="O1215" s="12">
        <f>INDEX([2]关卡!$G$6:$G$2005,A1215)</f>
        <v>3</v>
      </c>
      <c r="P1215" s="13">
        <v>6</v>
      </c>
      <c r="Q1215" s="12">
        <f>INT(P1215/$S$15/O1215*VLOOKUP(J1215,[1]人物技能基础!$N$3:$O$553,2,0)*$U$15)</f>
        <v>9</v>
      </c>
      <c r="R1215" s="12">
        <f t="shared" si="174"/>
        <v>112</v>
      </c>
    </row>
    <row r="1216" spans="1:18" x14ac:dyDescent="0.15">
      <c r="A1216" s="12">
        <v>1198</v>
      </c>
      <c r="B1216" s="12">
        <f t="shared" si="171"/>
        <v>6</v>
      </c>
      <c r="C1216" s="12">
        <f t="shared" si="172"/>
        <v>6.9230700000000001</v>
      </c>
      <c r="D1216" s="12">
        <f t="shared" si="175"/>
        <v>3.8412500000000627E-2</v>
      </c>
      <c r="E1216" s="12">
        <f>SUM($D$19:D1216)</f>
        <v>22.123069999999966</v>
      </c>
      <c r="F1216" s="12">
        <f t="shared" si="169"/>
        <v>248.50326458279901</v>
      </c>
      <c r="G1216" s="12">
        <f t="shared" si="170"/>
        <v>163.188544822095</v>
      </c>
      <c r="H1216" s="12">
        <f t="shared" si="176"/>
        <v>894600</v>
      </c>
      <c r="I1216" s="12">
        <f t="shared" si="177"/>
        <v>587400</v>
      </c>
      <c r="J1216" s="12">
        <f>IF(A1216&lt;[3]关卡对接!$A$4,INDEX([3]关卡对接!$C$7:$C$141,A1216),MATCH(E1216,人物经验!$H$24:$H$573,1))</f>
        <v>426</v>
      </c>
      <c r="K1216" s="12">
        <f>IF([3]关卡对接!F1204="",INT(INDEX(人物经验!$J$24:$J$573,关卡!J1216)*关卡!$S$7),[3]关卡对接!F1204)</f>
        <v>22184</v>
      </c>
      <c r="L1216" s="12">
        <f t="shared" si="173"/>
        <v>2</v>
      </c>
      <c r="M1216" s="12">
        <f>L1216/[4]货币基础!$B$4</f>
        <v>200</v>
      </c>
      <c r="N1216" s="12">
        <f>IF(A1216&lt;[3]关卡对接!$A$4,INDEX([3]关卡对接!$E$7:$E$141,A1216),MATCH(E1216,人物经验!$H$24:$H$573,1))</f>
        <v>426</v>
      </c>
      <c r="O1216" s="12">
        <f>INDEX([2]关卡!$G$6:$G$2005,A1216)</f>
        <v>3</v>
      </c>
      <c r="P1216" s="13">
        <v>6</v>
      </c>
      <c r="Q1216" s="12">
        <f>INT(P1216/$S$15/O1216*VLOOKUP(J1216,[1]人物技能基础!$N$3:$O$553,2,0)*$U$15)</f>
        <v>9</v>
      </c>
      <c r="R1216" s="12">
        <f t="shared" si="174"/>
        <v>112</v>
      </c>
    </row>
    <row r="1217" spans="1:18" x14ac:dyDescent="0.15">
      <c r="A1217" s="12">
        <v>1199</v>
      </c>
      <c r="B1217" s="12">
        <f t="shared" si="171"/>
        <v>6</v>
      </c>
      <c r="C1217" s="12">
        <f t="shared" si="172"/>
        <v>6.9615174999999994</v>
      </c>
      <c r="D1217" s="12">
        <f t="shared" si="175"/>
        <v>3.8447499999999302E-2</v>
      </c>
      <c r="E1217" s="12">
        <f>SUM($D$19:D1217)</f>
        <v>22.161517499999967</v>
      </c>
      <c r="F1217" s="12">
        <f t="shared" si="169"/>
        <v>249.00643230282498</v>
      </c>
      <c r="G1217" s="12">
        <f t="shared" si="170"/>
        <v>163.45011625275595</v>
      </c>
      <c r="H1217" s="12">
        <f t="shared" si="176"/>
        <v>896400</v>
      </c>
      <c r="I1217" s="12">
        <f t="shared" si="177"/>
        <v>588400</v>
      </c>
      <c r="J1217" s="12">
        <f>IF(A1217&lt;[3]关卡对接!$A$4,INDEX([3]关卡对接!$C$7:$C$141,A1217),MATCH(E1217,人物经验!$H$24:$H$573,1))</f>
        <v>427</v>
      </c>
      <c r="K1217" s="12">
        <f>IF([3]关卡对接!F1205="",INT(INDEX(人物经验!$J$24:$J$573,关卡!J1217)*关卡!$S$7),[3]关卡对接!F1205)</f>
        <v>22365</v>
      </c>
      <c r="L1217" s="12">
        <f t="shared" si="173"/>
        <v>2</v>
      </c>
      <c r="M1217" s="12">
        <f>L1217/[4]货币基础!$B$4</f>
        <v>200</v>
      </c>
      <c r="N1217" s="12">
        <f>IF(A1217&lt;[3]关卡对接!$A$4,INDEX([3]关卡对接!$E$7:$E$141,A1217),MATCH(E1217,人物经验!$H$24:$H$573,1))</f>
        <v>427</v>
      </c>
      <c r="O1217" s="12">
        <f>INDEX([2]关卡!$G$6:$G$2005,A1217)</f>
        <v>3</v>
      </c>
      <c r="P1217" s="13">
        <v>6</v>
      </c>
      <c r="Q1217" s="12">
        <f>INT(P1217/$S$15/O1217*VLOOKUP(J1217,[1]人物技能基础!$N$3:$O$553,2,0)*$U$15)</f>
        <v>9</v>
      </c>
      <c r="R1217" s="12">
        <f t="shared" si="174"/>
        <v>112</v>
      </c>
    </row>
    <row r="1218" spans="1:18" x14ac:dyDescent="0.15">
      <c r="A1218" s="12">
        <v>1200</v>
      </c>
      <c r="B1218" s="12">
        <f t="shared" si="171"/>
        <v>6</v>
      </c>
      <c r="C1218" s="12">
        <f t="shared" si="172"/>
        <v>7</v>
      </c>
      <c r="D1218" s="12">
        <f t="shared" si="175"/>
        <v>3.8482500000000641E-2</v>
      </c>
      <c r="E1218" s="12">
        <f>SUM($D$19:D1218)</f>
        <v>22.199999999999967</v>
      </c>
      <c r="F1218" s="12">
        <f t="shared" si="169"/>
        <v>249.5104</v>
      </c>
      <c r="G1218" s="12">
        <f t="shared" si="170"/>
        <v>163.71199999999996</v>
      </c>
      <c r="H1218" s="12">
        <f t="shared" si="176"/>
        <v>898200</v>
      </c>
      <c r="I1218" s="12">
        <f t="shared" si="177"/>
        <v>589300</v>
      </c>
      <c r="J1218" s="12">
        <f>IF(A1218&lt;[3]关卡对接!$A$4,INDEX([3]关卡对接!$C$7:$C$141,A1218),MATCH(E1218,人物经验!$H$24:$H$573,1))</f>
        <v>427</v>
      </c>
      <c r="K1218" s="12">
        <f>IF([3]关卡对接!F1206="",INT(INDEX(人物经验!$J$24:$J$573,关卡!J1218)*关卡!$S$7),[3]关卡对接!F1206)</f>
        <v>22365</v>
      </c>
      <c r="L1218" s="12">
        <f t="shared" si="173"/>
        <v>2</v>
      </c>
      <c r="M1218" s="12">
        <f>L1218/[4]货币基础!$B$4</f>
        <v>200</v>
      </c>
      <c r="N1218" s="12">
        <f>IF(A1218&lt;[3]关卡对接!$A$4,INDEX([3]关卡对接!$E$7:$E$141,A1218),MATCH(E1218,人物经验!$H$24:$H$573,1))</f>
        <v>427</v>
      </c>
      <c r="O1218" s="12">
        <f>INDEX([2]关卡!$G$6:$G$2005,A1218)</f>
        <v>3</v>
      </c>
      <c r="P1218" s="13">
        <v>6</v>
      </c>
      <c r="Q1218" s="12">
        <f>INT(P1218/$S$15/O1218*VLOOKUP(J1218,[1]人物技能基础!$N$3:$O$553,2,0)*$U$15)</f>
        <v>9</v>
      </c>
      <c r="R1218" s="12">
        <f t="shared" si="174"/>
        <v>112</v>
      </c>
    </row>
    <row r="1219" spans="1:18" x14ac:dyDescent="0.15">
      <c r="A1219" s="12">
        <v>1201</v>
      </c>
      <c r="B1219" s="12">
        <f t="shared" si="171"/>
        <v>7</v>
      </c>
      <c r="C1219" s="12">
        <f t="shared" si="172"/>
        <v>4.5025000000000003E-2</v>
      </c>
      <c r="D1219" s="12">
        <f t="shared" si="175"/>
        <v>4.5025000000000003E-2</v>
      </c>
      <c r="E1219" s="12">
        <f>SUM($D$19:D1219)</f>
        <v>22.245024999999966</v>
      </c>
      <c r="F1219" s="12">
        <f t="shared" si="169"/>
        <v>250.01516861722507</v>
      </c>
      <c r="G1219" s="12">
        <f t="shared" si="170"/>
        <v>163.97419634725597</v>
      </c>
      <c r="H1219" s="12">
        <f t="shared" si="176"/>
        <v>900000</v>
      </c>
      <c r="I1219" s="12">
        <f t="shared" si="177"/>
        <v>590300</v>
      </c>
      <c r="J1219" s="12">
        <f>IF(A1219&lt;[3]关卡对接!$A$4,INDEX([3]关卡对接!$C$7:$C$141,A1219),MATCH(E1219,人物经验!$H$24:$H$573,1))</f>
        <v>427</v>
      </c>
      <c r="K1219" s="12">
        <f>IF([3]关卡对接!F1207="",INT(INDEX(人物经验!$J$24:$J$573,关卡!J1219)*关卡!$S$7),[3]关卡对接!F1207)</f>
        <v>22365</v>
      </c>
      <c r="L1219" s="12">
        <f t="shared" si="173"/>
        <v>2.2000000000000002</v>
      </c>
      <c r="M1219" s="12">
        <f>L1219/[4]货币基础!$B$4</f>
        <v>220</v>
      </c>
      <c r="N1219" s="12">
        <f>IF(A1219&lt;[3]关卡对接!$A$4,INDEX([3]关卡对接!$E$7:$E$141,A1219),MATCH(E1219,人物经验!$H$24:$H$573,1))</f>
        <v>427</v>
      </c>
      <c r="O1219" s="12">
        <f>INDEX([2]关卡!$G$6:$G$2005,A1219)</f>
        <v>3</v>
      </c>
      <c r="P1219" s="13">
        <v>6</v>
      </c>
      <c r="Q1219" s="12">
        <f>INT(P1219/$S$15/O1219*VLOOKUP(J1219,[1]人物技能基础!$N$3:$O$553,2,0)*$U$15)</f>
        <v>9</v>
      </c>
      <c r="R1219" s="12">
        <f t="shared" si="174"/>
        <v>112</v>
      </c>
    </row>
    <row r="1220" spans="1:18" x14ac:dyDescent="0.15">
      <c r="A1220" s="12">
        <v>1202</v>
      </c>
      <c r="B1220" s="12">
        <f t="shared" si="171"/>
        <v>7</v>
      </c>
      <c r="C1220" s="12">
        <f t="shared" si="172"/>
        <v>9.0100000000000013E-2</v>
      </c>
      <c r="D1220" s="12">
        <f t="shared" si="175"/>
        <v>4.5075000000000011E-2</v>
      </c>
      <c r="E1220" s="12">
        <f>SUM($D$19:D1220)</f>
        <v>22.290099999999967</v>
      </c>
      <c r="F1220" s="12">
        <f t="shared" si="169"/>
        <v>250.52073909799898</v>
      </c>
      <c r="G1220" s="12">
        <f t="shared" si="170"/>
        <v>164.23670557809501</v>
      </c>
      <c r="H1220" s="12">
        <f t="shared" si="176"/>
        <v>901800</v>
      </c>
      <c r="I1220" s="12">
        <f t="shared" si="177"/>
        <v>591200</v>
      </c>
      <c r="J1220" s="12">
        <f>IF(A1220&lt;[3]关卡对接!$A$4,INDEX([3]关卡对接!$C$7:$C$141,A1220),MATCH(E1220,人物经验!$H$24:$H$573,1))</f>
        <v>428</v>
      </c>
      <c r="K1220" s="12">
        <f>IF([3]关卡对接!F1208="",INT(INDEX(人物经验!$J$24:$J$573,关卡!J1220)*关卡!$S$7),[3]关卡对接!F1208)</f>
        <v>22501</v>
      </c>
      <c r="L1220" s="12">
        <f t="shared" si="173"/>
        <v>2.2000000000000002</v>
      </c>
      <c r="M1220" s="12">
        <f>L1220/[4]货币基础!$B$4</f>
        <v>220</v>
      </c>
      <c r="N1220" s="12">
        <f>IF(A1220&lt;[3]关卡对接!$A$4,INDEX([3]关卡对接!$E$7:$E$141,A1220),MATCH(E1220,人物经验!$H$24:$H$573,1))</f>
        <v>428</v>
      </c>
      <c r="O1220" s="12">
        <f>INDEX([2]关卡!$G$6:$G$2005,A1220)</f>
        <v>3</v>
      </c>
      <c r="P1220" s="13">
        <v>6</v>
      </c>
      <c r="Q1220" s="12">
        <f>INT(P1220/$S$15/O1220*VLOOKUP(J1220,[1]人物技能基础!$N$3:$O$553,2,0)*$U$15)</f>
        <v>9</v>
      </c>
      <c r="R1220" s="12">
        <f t="shared" si="174"/>
        <v>112</v>
      </c>
    </row>
    <row r="1221" spans="1:18" x14ac:dyDescent="0.15">
      <c r="A1221" s="12">
        <v>1203</v>
      </c>
      <c r="B1221" s="12">
        <f t="shared" si="171"/>
        <v>7</v>
      </c>
      <c r="C1221" s="12">
        <f t="shared" si="172"/>
        <v>0.13522499999999998</v>
      </c>
      <c r="D1221" s="12">
        <f t="shared" si="175"/>
        <v>4.5124999999999971E-2</v>
      </c>
      <c r="E1221" s="12">
        <f>SUM($D$19:D1221)</f>
        <v>22.335224999999966</v>
      </c>
      <c r="F1221" s="12">
        <f t="shared" si="169"/>
        <v>251.02711238641996</v>
      </c>
      <c r="G1221" s="12">
        <f t="shared" si="170"/>
        <v>164.49952797623095</v>
      </c>
      <c r="H1221" s="12">
        <f t="shared" si="176"/>
        <v>903600</v>
      </c>
      <c r="I1221" s="12">
        <f t="shared" si="177"/>
        <v>592100</v>
      </c>
      <c r="J1221" s="12">
        <f>IF(A1221&lt;[3]关卡对接!$A$4,INDEX([3]关卡对接!$C$7:$C$141,A1221),MATCH(E1221,人物经验!$H$24:$H$573,1))</f>
        <v>428</v>
      </c>
      <c r="K1221" s="12">
        <f>IF([3]关卡对接!F1209="",INT(INDEX(人物经验!$J$24:$J$573,关卡!J1221)*关卡!$S$7),[3]关卡对接!F1209)</f>
        <v>22501</v>
      </c>
      <c r="L1221" s="12">
        <f t="shared" si="173"/>
        <v>2.2000000000000002</v>
      </c>
      <c r="M1221" s="12">
        <f>L1221/[4]货币基础!$B$4</f>
        <v>220</v>
      </c>
      <c r="N1221" s="12">
        <f>IF(A1221&lt;[3]关卡对接!$A$4,INDEX([3]关卡对接!$E$7:$E$141,A1221),MATCH(E1221,人物经验!$H$24:$H$573,1))</f>
        <v>428</v>
      </c>
      <c r="O1221" s="12">
        <f>INDEX([2]关卡!$G$6:$G$2005,A1221)</f>
        <v>3</v>
      </c>
      <c r="P1221" s="13">
        <v>6</v>
      </c>
      <c r="Q1221" s="12">
        <f>INT(P1221/$S$15/O1221*VLOOKUP(J1221,[1]人物技能基础!$N$3:$O$553,2,0)*$U$15)</f>
        <v>9</v>
      </c>
      <c r="R1221" s="12">
        <f t="shared" si="174"/>
        <v>112</v>
      </c>
    </row>
    <row r="1222" spans="1:18" x14ac:dyDescent="0.15">
      <c r="A1222" s="12">
        <v>1204</v>
      </c>
      <c r="B1222" s="12">
        <f t="shared" si="171"/>
        <v>7</v>
      </c>
      <c r="C1222" s="12">
        <f t="shared" si="172"/>
        <v>0.1804</v>
      </c>
      <c r="D1222" s="12">
        <f t="shared" si="175"/>
        <v>4.5175000000000021E-2</v>
      </c>
      <c r="E1222" s="12">
        <f>SUM($D$19:D1222)</f>
        <v>22.380399999999966</v>
      </c>
      <c r="F1222" s="12">
        <f t="shared" si="169"/>
        <v>251.53428942718398</v>
      </c>
      <c r="G1222" s="12">
        <f t="shared" si="170"/>
        <v>164.76266382551995</v>
      </c>
      <c r="H1222" s="12">
        <f t="shared" si="176"/>
        <v>905500</v>
      </c>
      <c r="I1222" s="12">
        <f t="shared" si="177"/>
        <v>593100</v>
      </c>
      <c r="J1222" s="12">
        <f>IF(A1222&lt;[3]关卡对接!$A$4,INDEX([3]关卡对接!$C$7:$C$141,A1222),MATCH(E1222,人物经验!$H$24:$H$573,1))</f>
        <v>428</v>
      </c>
      <c r="K1222" s="12">
        <f>IF([3]关卡对接!F1210="",INT(INDEX(人物经验!$J$24:$J$573,关卡!J1222)*关卡!$S$7),[3]关卡对接!F1210)</f>
        <v>22501</v>
      </c>
      <c r="L1222" s="12">
        <f t="shared" si="173"/>
        <v>2.2000000000000002</v>
      </c>
      <c r="M1222" s="12">
        <f>L1222/[4]货币基础!$B$4</f>
        <v>220</v>
      </c>
      <c r="N1222" s="12">
        <f>IF(A1222&lt;[3]关卡对接!$A$4,INDEX([3]关卡对接!$E$7:$E$141,A1222),MATCH(E1222,人物经验!$H$24:$H$573,1))</f>
        <v>428</v>
      </c>
      <c r="O1222" s="12">
        <f>INDEX([2]关卡!$G$6:$G$2005,A1222)</f>
        <v>3</v>
      </c>
      <c r="P1222" s="13">
        <v>6</v>
      </c>
      <c r="Q1222" s="12">
        <f>INT(P1222/$S$15/O1222*VLOOKUP(J1222,[1]人物技能基础!$N$3:$O$553,2,0)*$U$15)</f>
        <v>9</v>
      </c>
      <c r="R1222" s="12">
        <f t="shared" si="174"/>
        <v>112</v>
      </c>
    </row>
    <row r="1223" spans="1:18" x14ac:dyDescent="0.15">
      <c r="A1223" s="12">
        <v>1205</v>
      </c>
      <c r="B1223" s="12">
        <f t="shared" si="171"/>
        <v>7</v>
      </c>
      <c r="C1223" s="12">
        <f t="shared" si="172"/>
        <v>0.22562500000000002</v>
      </c>
      <c r="D1223" s="12">
        <f t="shared" si="175"/>
        <v>4.5225000000000015E-2</v>
      </c>
      <c r="E1223" s="12">
        <f>SUM($D$19:D1223)</f>
        <v>22.425624999999965</v>
      </c>
      <c r="F1223" s="12">
        <f t="shared" si="169"/>
        <v>252.04227116558599</v>
      </c>
      <c r="G1223" s="12">
        <f t="shared" si="170"/>
        <v>165.02611340996094</v>
      </c>
      <c r="H1223" s="12">
        <f t="shared" si="176"/>
        <v>907300</v>
      </c>
      <c r="I1223" s="12">
        <f t="shared" si="177"/>
        <v>594000</v>
      </c>
      <c r="J1223" s="12">
        <f>IF(A1223&lt;[3]关卡对接!$A$4,INDEX([3]关卡对接!$C$7:$C$141,A1223),MATCH(E1223,人物经验!$H$24:$H$573,1))</f>
        <v>429</v>
      </c>
      <c r="K1223" s="12">
        <f>IF([3]关卡对接!F1211="",INT(INDEX(人物经验!$J$24:$J$573,关卡!J1223)*关卡!$S$7),[3]关卡对接!F1211)</f>
        <v>22638</v>
      </c>
      <c r="L1223" s="12">
        <f t="shared" si="173"/>
        <v>2.2000000000000002</v>
      </c>
      <c r="M1223" s="12">
        <f>L1223/[4]货币基础!$B$4</f>
        <v>220</v>
      </c>
      <c r="N1223" s="12">
        <f>IF(A1223&lt;[3]关卡对接!$A$4,INDEX([3]关卡对接!$E$7:$E$141,A1223),MATCH(E1223,人物经验!$H$24:$H$573,1))</f>
        <v>429</v>
      </c>
      <c r="O1223" s="12">
        <f>INDEX([2]关卡!$G$6:$G$2005,A1223)</f>
        <v>3</v>
      </c>
      <c r="P1223" s="13">
        <v>6</v>
      </c>
      <c r="Q1223" s="12">
        <f>INT(P1223/$S$15/O1223*VLOOKUP(J1223,[1]人物技能基础!$N$3:$O$553,2,0)*$U$15)</f>
        <v>9</v>
      </c>
      <c r="R1223" s="12">
        <f t="shared" si="174"/>
        <v>112</v>
      </c>
    </row>
    <row r="1224" spans="1:18" x14ac:dyDescent="0.15">
      <c r="A1224" s="12">
        <v>1206</v>
      </c>
      <c r="B1224" s="12">
        <f t="shared" si="171"/>
        <v>7</v>
      </c>
      <c r="C1224" s="12">
        <f t="shared" si="172"/>
        <v>0.27089999999999997</v>
      </c>
      <c r="D1224" s="12">
        <f t="shared" si="175"/>
        <v>4.5274999999999954E-2</v>
      </c>
      <c r="E1224" s="12">
        <f>SUM($D$19:D1224)</f>
        <v>22.470899999999965</v>
      </c>
      <c r="F1224" s="12">
        <f t="shared" si="169"/>
        <v>252.55105854751898</v>
      </c>
      <c r="G1224" s="12">
        <f t="shared" si="170"/>
        <v>165.28987701369496</v>
      </c>
      <c r="H1224" s="12">
        <f t="shared" si="176"/>
        <v>909100</v>
      </c>
      <c r="I1224" s="12">
        <f t="shared" si="177"/>
        <v>595000</v>
      </c>
      <c r="J1224" s="12">
        <f>IF(A1224&lt;[3]关卡对接!$A$4,INDEX([3]关卡对接!$C$7:$C$141,A1224),MATCH(E1224,人物经验!$H$24:$H$573,1))</f>
        <v>429</v>
      </c>
      <c r="K1224" s="12">
        <f>IF([3]关卡对接!F1212="",INT(INDEX(人物经验!$J$24:$J$573,关卡!J1224)*关卡!$S$7),[3]关卡对接!F1212)</f>
        <v>22638</v>
      </c>
      <c r="L1224" s="12">
        <f t="shared" si="173"/>
        <v>2.2000000000000002</v>
      </c>
      <c r="M1224" s="12">
        <f>L1224/[4]货币基础!$B$4</f>
        <v>220</v>
      </c>
      <c r="N1224" s="12">
        <f>IF(A1224&lt;[3]关卡对接!$A$4,INDEX([3]关卡对接!$E$7:$E$141,A1224),MATCH(E1224,人物经验!$H$24:$H$573,1))</f>
        <v>429</v>
      </c>
      <c r="O1224" s="12">
        <f>INDEX([2]关卡!$G$6:$G$2005,A1224)</f>
        <v>3</v>
      </c>
      <c r="P1224" s="13">
        <v>6</v>
      </c>
      <c r="Q1224" s="12">
        <f>INT(P1224/$S$15/O1224*VLOOKUP(J1224,[1]人物技能基础!$N$3:$O$553,2,0)*$U$15)</f>
        <v>9</v>
      </c>
      <c r="R1224" s="12">
        <f t="shared" si="174"/>
        <v>112</v>
      </c>
    </row>
    <row r="1225" spans="1:18" x14ac:dyDescent="0.15">
      <c r="A1225" s="12">
        <v>1207</v>
      </c>
      <c r="B1225" s="12">
        <f t="shared" si="171"/>
        <v>7</v>
      </c>
      <c r="C1225" s="12">
        <f t="shared" si="172"/>
        <v>0.31622500000000003</v>
      </c>
      <c r="D1225" s="12">
        <f t="shared" si="175"/>
        <v>4.532500000000006E-2</v>
      </c>
      <c r="E1225" s="12">
        <f>SUM($D$19:D1225)</f>
        <v>22.516224999999963</v>
      </c>
      <c r="F1225" s="12">
        <f t="shared" si="169"/>
        <v>253.06065251947501</v>
      </c>
      <c r="G1225" s="12">
        <f t="shared" si="170"/>
        <v>165.55395492100598</v>
      </c>
      <c r="H1225" s="12">
        <f t="shared" si="176"/>
        <v>911000</v>
      </c>
      <c r="I1225" s="12">
        <f t="shared" si="177"/>
        <v>595900</v>
      </c>
      <c r="J1225" s="12">
        <f>IF(A1225&lt;[3]关卡对接!$A$4,INDEX([3]关卡对接!$C$7:$C$141,A1225),MATCH(E1225,人物经验!$H$24:$H$573,1))</f>
        <v>429</v>
      </c>
      <c r="K1225" s="12">
        <f>IF([3]关卡对接!F1213="",INT(INDEX(人物经验!$J$24:$J$573,关卡!J1225)*关卡!$S$7),[3]关卡对接!F1213)</f>
        <v>22638</v>
      </c>
      <c r="L1225" s="12">
        <f t="shared" si="173"/>
        <v>2.2000000000000002</v>
      </c>
      <c r="M1225" s="12">
        <f>L1225/[4]货币基础!$B$4</f>
        <v>220</v>
      </c>
      <c r="N1225" s="12">
        <f>IF(A1225&lt;[3]关卡对接!$A$4,INDEX([3]关卡对接!$E$7:$E$141,A1225),MATCH(E1225,人物经验!$H$24:$H$573,1))</f>
        <v>429</v>
      </c>
      <c r="O1225" s="12">
        <f>INDEX([2]关卡!$G$6:$G$2005,A1225)</f>
        <v>3</v>
      </c>
      <c r="P1225" s="13">
        <v>6</v>
      </c>
      <c r="Q1225" s="12">
        <f>INT(P1225/$S$15/O1225*VLOOKUP(J1225,[1]人物技能基础!$N$3:$O$553,2,0)*$U$15)</f>
        <v>9</v>
      </c>
      <c r="R1225" s="12">
        <f t="shared" si="174"/>
        <v>112</v>
      </c>
    </row>
    <row r="1226" spans="1:18" x14ac:dyDescent="0.15">
      <c r="A1226" s="12">
        <v>1208</v>
      </c>
      <c r="B1226" s="12">
        <f t="shared" si="171"/>
        <v>7</v>
      </c>
      <c r="C1226" s="12">
        <f t="shared" si="172"/>
        <v>0.36160000000000003</v>
      </c>
      <c r="D1226" s="12">
        <f t="shared" si="175"/>
        <v>4.5374999999999999E-2</v>
      </c>
      <c r="E1226" s="12">
        <f>SUM($D$19:D1226)</f>
        <v>22.561599999999963</v>
      </c>
      <c r="F1226" s="12">
        <f t="shared" si="169"/>
        <v>253.57105402854395</v>
      </c>
      <c r="G1226" s="12">
        <f t="shared" si="170"/>
        <v>165.81834741631999</v>
      </c>
      <c r="H1226" s="12">
        <f t="shared" si="176"/>
        <v>912800</v>
      </c>
      <c r="I1226" s="12">
        <f t="shared" si="177"/>
        <v>596900</v>
      </c>
      <c r="J1226" s="12">
        <f>IF(A1226&lt;[3]关卡对接!$A$4,INDEX([3]关卡对接!$C$7:$C$141,A1226),MATCH(E1226,人物经验!$H$24:$H$573,1))</f>
        <v>429</v>
      </c>
      <c r="K1226" s="12">
        <f>IF([3]关卡对接!F1214="",INT(INDEX(人物经验!$J$24:$J$573,关卡!J1226)*关卡!$S$7),[3]关卡对接!F1214)</f>
        <v>22638</v>
      </c>
      <c r="L1226" s="12">
        <f t="shared" si="173"/>
        <v>2.2000000000000002</v>
      </c>
      <c r="M1226" s="12">
        <f>L1226/[4]货币基础!$B$4</f>
        <v>220</v>
      </c>
      <c r="N1226" s="12">
        <f>IF(A1226&lt;[3]关卡对接!$A$4,INDEX([3]关卡对接!$E$7:$E$141,A1226),MATCH(E1226,人物经验!$H$24:$H$573,1))</f>
        <v>429</v>
      </c>
      <c r="O1226" s="12">
        <f>INDEX([2]关卡!$G$6:$G$2005,A1226)</f>
        <v>3</v>
      </c>
      <c r="P1226" s="13">
        <v>6</v>
      </c>
      <c r="Q1226" s="12">
        <f>INT(P1226/$S$15/O1226*VLOOKUP(J1226,[1]人物技能基础!$N$3:$O$553,2,0)*$U$15)</f>
        <v>9</v>
      </c>
      <c r="R1226" s="12">
        <f t="shared" si="174"/>
        <v>112</v>
      </c>
    </row>
    <row r="1227" spans="1:18" x14ac:dyDescent="0.15">
      <c r="A1227" s="12">
        <v>1209</v>
      </c>
      <c r="B1227" s="12">
        <f t="shared" si="171"/>
        <v>7</v>
      </c>
      <c r="C1227" s="12">
        <f t="shared" si="172"/>
        <v>0.40702500000000003</v>
      </c>
      <c r="D1227" s="12">
        <f t="shared" si="175"/>
        <v>4.5424999999999993E-2</v>
      </c>
      <c r="E1227" s="12">
        <f>SUM($D$19:D1227)</f>
        <v>22.607024999999965</v>
      </c>
      <c r="F1227" s="12">
        <f t="shared" si="169"/>
        <v>254.08226402241496</v>
      </c>
      <c r="G1227" s="12">
        <f t="shared" si="170"/>
        <v>166.08305478420596</v>
      </c>
      <c r="H1227" s="12">
        <f t="shared" si="176"/>
        <v>914600</v>
      </c>
      <c r="I1227" s="12">
        <f t="shared" si="177"/>
        <v>597800</v>
      </c>
      <c r="J1227" s="12">
        <f>IF(A1227&lt;[3]关卡对接!$A$4,INDEX([3]关卡对接!$C$7:$C$141,A1227),MATCH(E1227,人物经验!$H$24:$H$573,1))</f>
        <v>430</v>
      </c>
      <c r="K1227" s="12">
        <f>IF([3]关卡对接!F1215="",INT(INDEX(人物经验!$J$24:$J$573,关卡!J1227)*关卡!$S$7),[3]关卡对接!F1215)</f>
        <v>22821</v>
      </c>
      <c r="L1227" s="12">
        <f t="shared" si="173"/>
        <v>2.2000000000000002</v>
      </c>
      <c r="M1227" s="12">
        <f>L1227/[4]货币基础!$B$4</f>
        <v>220</v>
      </c>
      <c r="N1227" s="12">
        <f>IF(A1227&lt;[3]关卡对接!$A$4,INDEX([3]关卡对接!$E$7:$E$141,A1227),MATCH(E1227,人物经验!$H$24:$H$573,1))</f>
        <v>430</v>
      </c>
      <c r="O1227" s="12">
        <f>INDEX([2]关卡!$G$6:$G$2005,A1227)</f>
        <v>3</v>
      </c>
      <c r="P1227" s="13">
        <v>6</v>
      </c>
      <c r="Q1227" s="12">
        <f>INT(P1227/$S$15/O1227*VLOOKUP(J1227,[1]人物技能基础!$N$3:$O$553,2,0)*$U$15)</f>
        <v>9</v>
      </c>
      <c r="R1227" s="12">
        <f t="shared" si="174"/>
        <v>112</v>
      </c>
    </row>
    <row r="1228" spans="1:18" x14ac:dyDescent="0.15">
      <c r="A1228" s="12">
        <v>1210</v>
      </c>
      <c r="B1228" s="12">
        <f t="shared" si="171"/>
        <v>7</v>
      </c>
      <c r="C1228" s="12">
        <f t="shared" si="172"/>
        <v>0.45250000000000007</v>
      </c>
      <c r="D1228" s="12">
        <f t="shared" si="175"/>
        <v>4.5475000000000043E-2</v>
      </c>
      <c r="E1228" s="12">
        <f>SUM($D$19:D1228)</f>
        <v>22.652499999999964</v>
      </c>
      <c r="F1228" s="12">
        <f t="shared" si="169"/>
        <v>254.59428344937501</v>
      </c>
      <c r="G1228" s="12">
        <f t="shared" si="170"/>
        <v>166.34807730937499</v>
      </c>
      <c r="H1228" s="12">
        <f t="shared" si="176"/>
        <v>916500</v>
      </c>
      <c r="I1228" s="12">
        <f t="shared" si="177"/>
        <v>598800</v>
      </c>
      <c r="J1228" s="12">
        <f>IF(A1228&lt;[3]关卡对接!$A$4,INDEX([3]关卡对接!$C$7:$C$141,A1228),MATCH(E1228,人物经验!$H$24:$H$573,1))</f>
        <v>430</v>
      </c>
      <c r="K1228" s="12">
        <f>IF([3]关卡对接!F1216="",INT(INDEX(人物经验!$J$24:$J$573,关卡!J1228)*关卡!$S$7),[3]关卡对接!F1216)</f>
        <v>22821</v>
      </c>
      <c r="L1228" s="12">
        <f t="shared" si="173"/>
        <v>2.2000000000000002</v>
      </c>
      <c r="M1228" s="12">
        <f>L1228/[4]货币基础!$B$4</f>
        <v>220</v>
      </c>
      <c r="N1228" s="12">
        <f>IF(A1228&lt;[3]关卡对接!$A$4,INDEX([3]关卡对接!$E$7:$E$141,A1228),MATCH(E1228,人物经验!$H$24:$H$573,1))</f>
        <v>430</v>
      </c>
      <c r="O1228" s="12">
        <f>INDEX([2]关卡!$G$6:$G$2005,A1228)</f>
        <v>3</v>
      </c>
      <c r="P1228" s="13">
        <v>6</v>
      </c>
      <c r="Q1228" s="12">
        <f>INT(P1228/$S$15/O1228*VLOOKUP(J1228,[1]人物技能基础!$N$3:$O$553,2,0)*$U$15)</f>
        <v>9</v>
      </c>
      <c r="R1228" s="12">
        <f t="shared" si="174"/>
        <v>112</v>
      </c>
    </row>
    <row r="1229" spans="1:18" x14ac:dyDescent="0.15">
      <c r="A1229" s="12">
        <v>1211</v>
      </c>
      <c r="B1229" s="12">
        <f t="shared" si="171"/>
        <v>7</v>
      </c>
      <c r="C1229" s="12">
        <f t="shared" si="172"/>
        <v>0.498025</v>
      </c>
      <c r="D1229" s="12">
        <f t="shared" si="175"/>
        <v>4.5524999999999927E-2</v>
      </c>
      <c r="E1229" s="12">
        <f>SUM($D$19:D1229)</f>
        <v>22.698024999999966</v>
      </c>
      <c r="F1229" s="12">
        <f t="shared" si="169"/>
        <v>255.10711325830999</v>
      </c>
      <c r="G1229" s="12">
        <f t="shared" si="170"/>
        <v>166.61341527668094</v>
      </c>
      <c r="H1229" s="12">
        <f t="shared" si="176"/>
        <v>918300</v>
      </c>
      <c r="I1229" s="12">
        <f t="shared" si="177"/>
        <v>599800</v>
      </c>
      <c r="J1229" s="12">
        <f>IF(A1229&lt;[3]关卡对接!$A$4,INDEX([3]关卡对接!$C$7:$C$141,A1229),MATCH(E1229,人物经验!$H$24:$H$573,1))</f>
        <v>430</v>
      </c>
      <c r="K1229" s="12">
        <f>IF([3]关卡对接!F1217="",INT(INDEX(人物经验!$J$24:$J$573,关卡!J1229)*关卡!$S$7),[3]关卡对接!F1217)</f>
        <v>22821</v>
      </c>
      <c r="L1229" s="12">
        <f t="shared" si="173"/>
        <v>2.2000000000000002</v>
      </c>
      <c r="M1229" s="12">
        <f>L1229/[4]货币基础!$B$4</f>
        <v>220</v>
      </c>
      <c r="N1229" s="12">
        <f>IF(A1229&lt;[3]关卡对接!$A$4,INDEX([3]关卡对接!$E$7:$E$141,A1229),MATCH(E1229,人物经验!$H$24:$H$573,1))</f>
        <v>430</v>
      </c>
      <c r="O1229" s="12">
        <f>INDEX([2]关卡!$G$6:$G$2005,A1229)</f>
        <v>3</v>
      </c>
      <c r="P1229" s="13">
        <v>6</v>
      </c>
      <c r="Q1229" s="12">
        <f>INT(P1229/$S$15/O1229*VLOOKUP(J1229,[1]人物技能基础!$N$3:$O$553,2,0)*$U$15)</f>
        <v>9</v>
      </c>
      <c r="R1229" s="12">
        <f t="shared" si="174"/>
        <v>112</v>
      </c>
    </row>
    <row r="1230" spans="1:18" x14ac:dyDescent="0.15">
      <c r="A1230" s="12">
        <v>1212</v>
      </c>
      <c r="B1230" s="12">
        <f t="shared" si="171"/>
        <v>7</v>
      </c>
      <c r="C1230" s="12">
        <f t="shared" si="172"/>
        <v>0.54359999999999997</v>
      </c>
      <c r="D1230" s="12">
        <f t="shared" si="175"/>
        <v>4.5574999999999977E-2</v>
      </c>
      <c r="E1230" s="12">
        <f>SUM($D$19:D1230)</f>
        <v>22.743599999999965</v>
      </c>
      <c r="F1230" s="12">
        <f t="shared" si="169"/>
        <v>255.62075439870401</v>
      </c>
      <c r="G1230" s="12">
        <f t="shared" si="170"/>
        <v>166.87906897111998</v>
      </c>
      <c r="H1230" s="12">
        <f t="shared" si="176"/>
        <v>920200</v>
      </c>
      <c r="I1230" s="12">
        <f t="shared" si="177"/>
        <v>600700</v>
      </c>
      <c r="J1230" s="12">
        <f>IF(A1230&lt;[3]关卡对接!$A$4,INDEX([3]关卡对接!$C$7:$C$141,A1230),MATCH(E1230,人物经验!$H$24:$H$573,1))</f>
        <v>431</v>
      </c>
      <c r="K1230" s="12">
        <f>IF([3]关卡对接!F1218="",INT(INDEX(人物经验!$J$24:$J$573,关卡!J1230)*关卡!$S$7),[3]关卡对接!F1218)</f>
        <v>22959</v>
      </c>
      <c r="L1230" s="12">
        <f t="shared" si="173"/>
        <v>2.2000000000000002</v>
      </c>
      <c r="M1230" s="12">
        <f>L1230/[4]货币基础!$B$4</f>
        <v>220</v>
      </c>
      <c r="N1230" s="12">
        <f>IF(A1230&lt;[3]关卡对接!$A$4,INDEX([3]关卡对接!$E$7:$E$141,A1230),MATCH(E1230,人物经验!$H$24:$H$573,1))</f>
        <v>431</v>
      </c>
      <c r="O1230" s="12">
        <f>INDEX([2]关卡!$G$6:$G$2005,A1230)</f>
        <v>3</v>
      </c>
      <c r="P1230" s="13">
        <v>6</v>
      </c>
      <c r="Q1230" s="12">
        <f>INT(P1230/$S$15/O1230*VLOOKUP(J1230,[1]人物技能基础!$N$3:$O$553,2,0)*$U$15)</f>
        <v>9</v>
      </c>
      <c r="R1230" s="12">
        <f t="shared" si="174"/>
        <v>112</v>
      </c>
    </row>
    <row r="1231" spans="1:18" x14ac:dyDescent="0.15">
      <c r="A1231" s="12">
        <v>1213</v>
      </c>
      <c r="B1231" s="12">
        <f t="shared" si="171"/>
        <v>7</v>
      </c>
      <c r="C1231" s="12">
        <f t="shared" si="172"/>
        <v>0.589225</v>
      </c>
      <c r="D1231" s="12">
        <f t="shared" si="175"/>
        <v>4.5625000000000027E-2</v>
      </c>
      <c r="E1231" s="12">
        <f>SUM($D$19:D1231)</f>
        <v>22.789224999999966</v>
      </c>
      <c r="F1231" s="12">
        <f t="shared" si="169"/>
        <v>256.13520782063995</v>
      </c>
      <c r="G1231" s="12">
        <f t="shared" si="170"/>
        <v>167.14503867783097</v>
      </c>
      <c r="H1231" s="12">
        <f t="shared" si="176"/>
        <v>922000</v>
      </c>
      <c r="I1231" s="12">
        <f t="shared" si="177"/>
        <v>601700</v>
      </c>
      <c r="J1231" s="12">
        <f>IF(A1231&lt;[3]关卡对接!$A$4,INDEX([3]关卡对接!$C$7:$C$141,A1231),MATCH(E1231,人物经验!$H$24:$H$573,1))</f>
        <v>431</v>
      </c>
      <c r="K1231" s="12">
        <f>IF([3]关卡对接!F1219="",INT(INDEX(人物经验!$J$24:$J$573,关卡!J1231)*关卡!$S$7),[3]关卡对接!F1219)</f>
        <v>22959</v>
      </c>
      <c r="L1231" s="12">
        <f t="shared" si="173"/>
        <v>2.2000000000000002</v>
      </c>
      <c r="M1231" s="12">
        <f>L1231/[4]货币基础!$B$4</f>
        <v>220</v>
      </c>
      <c r="N1231" s="12">
        <f>IF(A1231&lt;[3]关卡对接!$A$4,INDEX([3]关卡对接!$E$7:$E$141,A1231),MATCH(E1231,人物经验!$H$24:$H$573,1))</f>
        <v>431</v>
      </c>
      <c r="O1231" s="12">
        <f>INDEX([2]关卡!$G$6:$G$2005,A1231)</f>
        <v>3</v>
      </c>
      <c r="P1231" s="13">
        <v>6</v>
      </c>
      <c r="Q1231" s="12">
        <f>INT(P1231/$S$15/O1231*VLOOKUP(J1231,[1]人物技能基础!$N$3:$O$553,2,0)*$U$15)</f>
        <v>9</v>
      </c>
      <c r="R1231" s="12">
        <f t="shared" si="174"/>
        <v>112</v>
      </c>
    </row>
    <row r="1232" spans="1:18" x14ac:dyDescent="0.15">
      <c r="A1232" s="12">
        <v>1214</v>
      </c>
      <c r="B1232" s="12">
        <f t="shared" si="171"/>
        <v>7</v>
      </c>
      <c r="C1232" s="12">
        <f t="shared" si="172"/>
        <v>0.63490000000000024</v>
      </c>
      <c r="D1232" s="12">
        <f t="shared" si="175"/>
        <v>4.5675000000000243E-2</v>
      </c>
      <c r="E1232" s="12">
        <f>SUM($D$19:D1232)</f>
        <v>22.834899999999966</v>
      </c>
      <c r="F1232" s="12">
        <f t="shared" si="169"/>
        <v>256.65047447479901</v>
      </c>
      <c r="G1232" s="12">
        <f t="shared" si="170"/>
        <v>167.411324682095</v>
      </c>
      <c r="H1232" s="12">
        <f t="shared" si="176"/>
        <v>923900</v>
      </c>
      <c r="I1232" s="12">
        <f t="shared" si="177"/>
        <v>602600</v>
      </c>
      <c r="J1232" s="12">
        <f>IF(A1232&lt;[3]关卡对接!$A$4,INDEX([3]关卡对接!$C$7:$C$141,A1232),MATCH(E1232,人物经验!$H$24:$H$573,1))</f>
        <v>431</v>
      </c>
      <c r="K1232" s="12">
        <f>IF([3]关卡对接!F1220="",INT(INDEX(人物经验!$J$24:$J$573,关卡!J1232)*关卡!$S$7),[3]关卡对接!F1220)</f>
        <v>22959</v>
      </c>
      <c r="L1232" s="12">
        <f t="shared" si="173"/>
        <v>2.2000000000000002</v>
      </c>
      <c r="M1232" s="12">
        <f>L1232/[4]货币基础!$B$4</f>
        <v>220</v>
      </c>
      <c r="N1232" s="12">
        <f>IF(A1232&lt;[3]关卡对接!$A$4,INDEX([3]关卡对接!$E$7:$E$141,A1232),MATCH(E1232,人物经验!$H$24:$H$573,1))</f>
        <v>431</v>
      </c>
      <c r="O1232" s="12">
        <f>INDEX([2]关卡!$G$6:$G$2005,A1232)</f>
        <v>3</v>
      </c>
      <c r="P1232" s="13">
        <v>6</v>
      </c>
      <c r="Q1232" s="12">
        <f>INT(P1232/$S$15/O1232*VLOOKUP(J1232,[1]人物技能基础!$N$3:$O$553,2,0)*$U$15)</f>
        <v>9</v>
      </c>
      <c r="R1232" s="12">
        <f t="shared" si="174"/>
        <v>112</v>
      </c>
    </row>
    <row r="1233" spans="1:18" x14ac:dyDescent="0.15">
      <c r="A1233" s="12">
        <v>1215</v>
      </c>
      <c r="B1233" s="12">
        <f t="shared" si="171"/>
        <v>7</v>
      </c>
      <c r="C1233" s="12">
        <f t="shared" si="172"/>
        <v>0.68062500000000004</v>
      </c>
      <c r="D1233" s="12">
        <f t="shared" si="175"/>
        <v>4.5724999999999794E-2</v>
      </c>
      <c r="E1233" s="12">
        <f>SUM($D$19:D1233)</f>
        <v>22.880624999999966</v>
      </c>
      <c r="F1233" s="12">
        <f t="shared" si="169"/>
        <v>257.16655531246101</v>
      </c>
      <c r="G1233" s="12">
        <f t="shared" si="170"/>
        <v>167.67792726933595</v>
      </c>
      <c r="H1233" s="12">
        <f t="shared" si="176"/>
        <v>925700</v>
      </c>
      <c r="I1233" s="12">
        <f t="shared" si="177"/>
        <v>603600</v>
      </c>
      <c r="J1233" s="12">
        <f>IF(A1233&lt;[3]关卡对接!$A$4,INDEX([3]关卡对接!$C$7:$C$141,A1233),MATCH(E1233,人物经验!$H$24:$H$573,1))</f>
        <v>432</v>
      </c>
      <c r="K1233" s="12">
        <f>IF([3]关卡对接!F1221="",INT(INDEX(人物经验!$J$24:$J$573,关卡!J1233)*关卡!$S$7),[3]关卡对接!F1221)</f>
        <v>23098</v>
      </c>
      <c r="L1233" s="12">
        <f t="shared" si="173"/>
        <v>2.2000000000000002</v>
      </c>
      <c r="M1233" s="12">
        <f>L1233/[4]货币基础!$B$4</f>
        <v>220</v>
      </c>
      <c r="N1233" s="12">
        <f>IF(A1233&lt;[3]关卡对接!$A$4,INDEX([3]关卡对接!$E$7:$E$141,A1233),MATCH(E1233,人物经验!$H$24:$H$573,1))</f>
        <v>432</v>
      </c>
      <c r="O1233" s="12">
        <f>INDEX([2]关卡!$G$6:$G$2005,A1233)</f>
        <v>3</v>
      </c>
      <c r="P1233" s="13">
        <v>6</v>
      </c>
      <c r="Q1233" s="12">
        <f>INT(P1233/$S$15/O1233*VLOOKUP(J1233,[1]人物技能基础!$N$3:$O$553,2,0)*$U$15)</f>
        <v>9</v>
      </c>
      <c r="R1233" s="12">
        <f t="shared" si="174"/>
        <v>112</v>
      </c>
    </row>
    <row r="1234" spans="1:18" x14ac:dyDescent="0.15">
      <c r="A1234" s="12">
        <v>1216</v>
      </c>
      <c r="B1234" s="12">
        <f t="shared" si="171"/>
        <v>7</v>
      </c>
      <c r="C1234" s="12">
        <f t="shared" si="172"/>
        <v>0.72640000000000016</v>
      </c>
      <c r="D1234" s="12">
        <f t="shared" si="175"/>
        <v>4.5775000000000121E-2</v>
      </c>
      <c r="E1234" s="12">
        <f>SUM($D$19:D1234)</f>
        <v>22.926399999999965</v>
      </c>
      <c r="F1234" s="12">
        <f t="shared" si="169"/>
        <v>257.68345128550402</v>
      </c>
      <c r="G1234" s="12">
        <f t="shared" si="170"/>
        <v>167.94484672511999</v>
      </c>
      <c r="H1234" s="12">
        <f t="shared" si="176"/>
        <v>927600</v>
      </c>
      <c r="I1234" s="12">
        <f t="shared" si="177"/>
        <v>604600</v>
      </c>
      <c r="J1234" s="12">
        <f>IF(A1234&lt;[3]关卡对接!$A$4,INDEX([3]关卡对接!$C$7:$C$141,A1234),MATCH(E1234,人物经验!$H$24:$H$573,1))</f>
        <v>432</v>
      </c>
      <c r="K1234" s="12">
        <f>IF([3]关卡对接!F1222="",INT(INDEX(人物经验!$J$24:$J$573,关卡!J1234)*关卡!$S$7),[3]关卡对接!F1222)</f>
        <v>23098</v>
      </c>
      <c r="L1234" s="12">
        <f t="shared" si="173"/>
        <v>2.2000000000000002</v>
      </c>
      <c r="M1234" s="12">
        <f>L1234/[4]货币基础!$B$4</f>
        <v>220</v>
      </c>
      <c r="N1234" s="12">
        <f>IF(A1234&lt;[3]关卡对接!$A$4,INDEX([3]关卡对接!$E$7:$E$141,A1234),MATCH(E1234,人物经验!$H$24:$H$573,1))</f>
        <v>432</v>
      </c>
      <c r="O1234" s="12">
        <f>INDEX([2]关卡!$G$6:$G$2005,A1234)</f>
        <v>3</v>
      </c>
      <c r="P1234" s="13">
        <v>6</v>
      </c>
      <c r="Q1234" s="12">
        <f>INT(P1234/$S$15/O1234*VLOOKUP(J1234,[1]人物技能基础!$N$3:$O$553,2,0)*$U$15)</f>
        <v>9</v>
      </c>
      <c r="R1234" s="12">
        <f t="shared" si="174"/>
        <v>112</v>
      </c>
    </row>
    <row r="1235" spans="1:18" x14ac:dyDescent="0.15">
      <c r="A1235" s="12">
        <v>1217</v>
      </c>
      <c r="B1235" s="12">
        <f t="shared" si="171"/>
        <v>7</v>
      </c>
      <c r="C1235" s="12">
        <f t="shared" si="172"/>
        <v>0.77222500000000016</v>
      </c>
      <c r="D1235" s="12">
        <f t="shared" si="175"/>
        <v>4.5825000000000005E-2</v>
      </c>
      <c r="E1235" s="12">
        <f>SUM($D$19:D1235)</f>
        <v>22.972224999999966</v>
      </c>
      <c r="F1235" s="12">
        <f t="shared" ref="F1235:F1298" si="178">$L$7*($M$7+$N$7*($A1235/$B$3)^1+$O$7*($A1235/$B$3)^2+$P$7*($A1235/$B$3)^3+$Q$7*($A1235/$B$3)^4)</f>
        <v>258.201163346405</v>
      </c>
      <c r="G1235" s="12">
        <f t="shared" ref="G1235:G1298" si="179">$L$11*($M$11+$N$11*($A1235/$B$3)^1+$O$11*($A1235/$B$3)^2+$P$11*($A1235/$B$3)^3+$Q$11*($A1235/$B$3)^4)</f>
        <v>168.21208333515594</v>
      </c>
      <c r="H1235" s="12">
        <f t="shared" si="176"/>
        <v>929500</v>
      </c>
      <c r="I1235" s="12">
        <f t="shared" si="177"/>
        <v>605500</v>
      </c>
      <c r="J1235" s="12">
        <f>IF(A1235&lt;[3]关卡对接!$A$4,INDEX([3]关卡对接!$C$7:$C$141,A1235),MATCH(E1235,人物经验!$H$24:$H$573,1))</f>
        <v>432</v>
      </c>
      <c r="K1235" s="12">
        <f>IF([3]关卡对接!F1223="",INT(INDEX(人物经验!$J$24:$J$573,关卡!J1235)*关卡!$S$7),[3]关卡对接!F1223)</f>
        <v>23098</v>
      </c>
      <c r="L1235" s="12">
        <f t="shared" si="173"/>
        <v>2.2000000000000002</v>
      </c>
      <c r="M1235" s="12">
        <f>L1235/[4]货币基础!$B$4</f>
        <v>220</v>
      </c>
      <c r="N1235" s="12">
        <f>IF(A1235&lt;[3]关卡对接!$A$4,INDEX([3]关卡对接!$E$7:$E$141,A1235),MATCH(E1235,人物经验!$H$24:$H$573,1))</f>
        <v>432</v>
      </c>
      <c r="O1235" s="12">
        <f>INDEX([2]关卡!$G$6:$G$2005,A1235)</f>
        <v>3</v>
      </c>
      <c r="P1235" s="13">
        <v>6</v>
      </c>
      <c r="Q1235" s="12">
        <f>INT(P1235/$S$15/O1235*VLOOKUP(J1235,[1]人物技能基础!$N$3:$O$553,2,0)*$U$15)</f>
        <v>9</v>
      </c>
      <c r="R1235" s="12">
        <f t="shared" si="174"/>
        <v>112</v>
      </c>
    </row>
    <row r="1236" spans="1:18" x14ac:dyDescent="0.15">
      <c r="A1236" s="12">
        <v>1218</v>
      </c>
      <c r="B1236" s="12">
        <f t="shared" ref="B1236:B1299" si="180">MATCH($A1236,$A$5:$A$15,1)-1</f>
        <v>7</v>
      </c>
      <c r="C1236" s="12">
        <f t="shared" ref="C1236:C1299" si="181">INDEX($C$5:$C$15,$B1236+1)*(INDEX($E$5:$E$15,$B1236+1)+INDEX($F$5:$F$15,$B1236+1)*(($A1236-INDEX($A$5:$A$15,$B1236+1)+1)/(INDEX($B$5:$B$15,$B1236+1)-INDEX($A$5:$A$15,$B1236+1)+1))^1+INDEX($G$5:$G$15,$B1236+1)*(($A1236-INDEX($A$5:$A$15,$B1236+1)+1)/(INDEX($B$5:$B$15,$B1236+1)-INDEX($A$5:$A$15,$B1236+1)+1))^2+INDEX($H$5:$H$15,$B1236+1)*(($A1236-INDEX($A$5:$A$15,$B1236+1)+1)/(INDEX($B$5:$B$15,$B1236+1)-INDEX($A$5:$A$15,$B1236+1)+1))^3+INDEX($I$5:$I$15,$B1236+1)*(($A1236-INDEX($A$5:$A$15,$B1236+1)+1)/(INDEX($B$5:$B$15,$B1236+1)-INDEX($A$5:$A$15,$B1236+1)+1))^4)</f>
        <v>0.81810000000000005</v>
      </c>
      <c r="D1236" s="12">
        <f t="shared" si="175"/>
        <v>4.5874999999999888E-2</v>
      </c>
      <c r="E1236" s="12">
        <f>SUM($D$19:D1236)</f>
        <v>23.018099999999965</v>
      </c>
      <c r="F1236" s="12">
        <f t="shared" si="178"/>
        <v>258.71969244823902</v>
      </c>
      <c r="G1236" s="12">
        <f t="shared" si="179"/>
        <v>168.47963738529498</v>
      </c>
      <c r="H1236" s="12">
        <f t="shared" si="176"/>
        <v>931300</v>
      </c>
      <c r="I1236" s="12">
        <f t="shared" si="177"/>
        <v>606500</v>
      </c>
      <c r="J1236" s="12">
        <f>IF(A1236&lt;[3]关卡对接!$A$4,INDEX([3]关卡对接!$C$7:$C$141,A1236),MATCH(E1236,人物经验!$H$24:$H$573,1))</f>
        <v>433</v>
      </c>
      <c r="K1236" s="12">
        <f>IF([3]关卡对接!F1224="",INT(INDEX(人物经验!$J$24:$J$573,关卡!J1236)*关卡!$S$7),[3]关卡对接!F1224)</f>
        <v>23238</v>
      </c>
      <c r="L1236" s="12">
        <f t="shared" ref="L1236:L1299" si="182">VLOOKUP(A1236,$A$5:$J$15,10,1)</f>
        <v>2.2000000000000002</v>
      </c>
      <c r="M1236" s="12">
        <f>L1236/[4]货币基础!$B$4</f>
        <v>220</v>
      </c>
      <c r="N1236" s="12">
        <f>IF(A1236&lt;[3]关卡对接!$A$4,INDEX([3]关卡对接!$E$7:$E$141,A1236),MATCH(E1236,人物经验!$H$24:$H$573,1))</f>
        <v>433</v>
      </c>
      <c r="O1236" s="12">
        <f>INDEX([2]关卡!$G$6:$G$2005,A1236)</f>
        <v>3</v>
      </c>
      <c r="P1236" s="13">
        <v>6</v>
      </c>
      <c r="Q1236" s="12">
        <f>INT(P1236/$S$15/O1236*VLOOKUP(J1236,[1]人物技能基础!$N$3:$O$553,2,0)*$U$15)</f>
        <v>9</v>
      </c>
      <c r="R1236" s="12">
        <f t="shared" ref="R1236:R1299" si="183">INT(Q1236*12.5)</f>
        <v>112</v>
      </c>
    </row>
    <row r="1237" spans="1:18" x14ac:dyDescent="0.15">
      <c r="A1237" s="12">
        <v>1219</v>
      </c>
      <c r="B1237" s="12">
        <f t="shared" si="180"/>
        <v>7</v>
      </c>
      <c r="C1237" s="12">
        <f t="shared" si="181"/>
        <v>0.86402500000000004</v>
      </c>
      <c r="D1237" s="12">
        <f t="shared" si="175"/>
        <v>4.5924999999999994E-2</v>
      </c>
      <c r="E1237" s="12">
        <f>SUM($D$19:D1237)</f>
        <v>23.064024999999965</v>
      </c>
      <c r="F1237" s="12">
        <f t="shared" si="178"/>
        <v>259.23903954468</v>
      </c>
      <c r="G1237" s="12">
        <f t="shared" si="179"/>
        <v>168.74750916153099</v>
      </c>
      <c r="H1237" s="12">
        <f t="shared" si="176"/>
        <v>933200</v>
      </c>
      <c r="I1237" s="12">
        <f t="shared" si="177"/>
        <v>607400</v>
      </c>
      <c r="J1237" s="12">
        <f>IF(A1237&lt;[3]关卡对接!$A$4,INDEX([3]关卡对接!$C$7:$C$141,A1237),MATCH(E1237,人物经验!$H$24:$H$573,1))</f>
        <v>433</v>
      </c>
      <c r="K1237" s="12">
        <f>IF([3]关卡对接!F1225="",INT(INDEX(人物经验!$J$24:$J$573,关卡!J1237)*关卡!$S$7),[3]关卡对接!F1225)</f>
        <v>23238</v>
      </c>
      <c r="L1237" s="12">
        <f t="shared" si="182"/>
        <v>2.2000000000000002</v>
      </c>
      <c r="M1237" s="12">
        <f>L1237/[4]货币基础!$B$4</f>
        <v>220</v>
      </c>
      <c r="N1237" s="12">
        <f>IF(A1237&lt;[3]关卡对接!$A$4,INDEX([3]关卡对接!$E$7:$E$141,A1237),MATCH(E1237,人物经验!$H$24:$H$573,1))</f>
        <v>433</v>
      </c>
      <c r="O1237" s="12">
        <f>INDEX([2]关卡!$G$6:$G$2005,A1237)</f>
        <v>3</v>
      </c>
      <c r="P1237" s="13">
        <v>6</v>
      </c>
      <c r="Q1237" s="12">
        <f>INT(P1237/$S$15/O1237*VLOOKUP(J1237,[1]人物技能基础!$N$3:$O$553,2,0)*$U$15)</f>
        <v>9</v>
      </c>
      <c r="R1237" s="12">
        <f t="shared" si="183"/>
        <v>112</v>
      </c>
    </row>
    <row r="1238" spans="1:18" x14ac:dyDescent="0.15">
      <c r="A1238" s="12">
        <v>1220</v>
      </c>
      <c r="B1238" s="12">
        <f t="shared" si="180"/>
        <v>7</v>
      </c>
      <c r="C1238" s="12">
        <f t="shared" si="181"/>
        <v>0.91000000000000014</v>
      </c>
      <c r="D1238" s="12">
        <f t="shared" si="175"/>
        <v>4.5975000000000099E-2</v>
      </c>
      <c r="E1238" s="12">
        <f>SUM($D$19:D1238)</f>
        <v>23.109999999999964</v>
      </c>
      <c r="F1238" s="12">
        <f t="shared" si="178"/>
        <v>259.75920558999997</v>
      </c>
      <c r="G1238" s="12">
        <f t="shared" si="179"/>
        <v>169.01569895</v>
      </c>
      <c r="H1238" s="12">
        <f t="shared" si="176"/>
        <v>935100</v>
      </c>
      <c r="I1238" s="12">
        <f t="shared" si="177"/>
        <v>608400</v>
      </c>
      <c r="J1238" s="12">
        <f>IF(A1238&lt;[3]关卡对接!$A$4,INDEX([3]关卡对接!$C$7:$C$141,A1238),MATCH(E1238,人物经验!$H$24:$H$573,1))</f>
        <v>433</v>
      </c>
      <c r="K1238" s="12">
        <f>IF([3]关卡对接!F1226="",INT(INDEX(人物经验!$J$24:$J$573,关卡!J1238)*关卡!$S$7),[3]关卡对接!F1226)</f>
        <v>23238</v>
      </c>
      <c r="L1238" s="12">
        <f t="shared" si="182"/>
        <v>2.2000000000000002</v>
      </c>
      <c r="M1238" s="12">
        <f>L1238/[4]货币基础!$B$4</f>
        <v>220</v>
      </c>
      <c r="N1238" s="12">
        <f>IF(A1238&lt;[3]关卡对接!$A$4,INDEX([3]关卡对接!$E$7:$E$141,A1238),MATCH(E1238,人物经验!$H$24:$H$573,1))</f>
        <v>433</v>
      </c>
      <c r="O1238" s="12">
        <f>INDEX([2]关卡!$G$6:$G$2005,A1238)</f>
        <v>3</v>
      </c>
      <c r="P1238" s="13">
        <v>6</v>
      </c>
      <c r="Q1238" s="12">
        <f>INT(P1238/$S$15/O1238*VLOOKUP(J1238,[1]人物技能基础!$N$3:$O$553,2,0)*$U$15)</f>
        <v>9</v>
      </c>
      <c r="R1238" s="12">
        <f t="shared" si="183"/>
        <v>112</v>
      </c>
    </row>
    <row r="1239" spans="1:18" x14ac:dyDescent="0.15">
      <c r="A1239" s="12">
        <v>1221</v>
      </c>
      <c r="B1239" s="12">
        <f t="shared" si="180"/>
        <v>7</v>
      </c>
      <c r="C1239" s="12">
        <f t="shared" si="181"/>
        <v>0.95602500000000012</v>
      </c>
      <c r="D1239" s="12">
        <f t="shared" si="175"/>
        <v>4.6024999999999983E-2</v>
      </c>
      <c r="E1239" s="12">
        <f>SUM($D$19:D1239)</f>
        <v>23.156024999999964</v>
      </c>
      <c r="F1239" s="12">
        <f t="shared" si="178"/>
        <v>260.28019153907002</v>
      </c>
      <c r="G1239" s="12">
        <f t="shared" si="179"/>
        <v>169.28420703698097</v>
      </c>
      <c r="H1239" s="12">
        <f t="shared" si="176"/>
        <v>937000</v>
      </c>
      <c r="I1239" s="12">
        <f t="shared" si="177"/>
        <v>609400</v>
      </c>
      <c r="J1239" s="12">
        <f>IF(A1239&lt;[3]关卡对接!$A$4,INDEX([3]关卡对接!$C$7:$C$141,A1239),MATCH(E1239,人物经验!$H$24:$H$573,1))</f>
        <v>434</v>
      </c>
      <c r="K1239" s="12">
        <f>IF([3]关卡对接!F1227="",INT(INDEX(人物经验!$J$24:$J$573,关卡!J1239)*关卡!$S$7),[3]关卡对接!F1227)</f>
        <v>23378</v>
      </c>
      <c r="L1239" s="12">
        <f t="shared" si="182"/>
        <v>2.2000000000000002</v>
      </c>
      <c r="M1239" s="12">
        <f>L1239/[4]货币基础!$B$4</f>
        <v>220</v>
      </c>
      <c r="N1239" s="12">
        <f>IF(A1239&lt;[3]关卡对接!$A$4,INDEX([3]关卡对接!$E$7:$E$141,A1239),MATCH(E1239,人物经验!$H$24:$H$573,1))</f>
        <v>434</v>
      </c>
      <c r="O1239" s="12">
        <f>INDEX([2]关卡!$G$6:$G$2005,A1239)</f>
        <v>3</v>
      </c>
      <c r="P1239" s="13">
        <v>6</v>
      </c>
      <c r="Q1239" s="12">
        <f>INT(P1239/$S$15/O1239*VLOOKUP(J1239,[1]人物技能基础!$N$3:$O$553,2,0)*$U$15)</f>
        <v>9</v>
      </c>
      <c r="R1239" s="12">
        <f t="shared" si="183"/>
        <v>112</v>
      </c>
    </row>
    <row r="1240" spans="1:18" x14ac:dyDescent="0.15">
      <c r="A1240" s="12">
        <v>1222</v>
      </c>
      <c r="B1240" s="12">
        <f t="shared" si="180"/>
        <v>7</v>
      </c>
      <c r="C1240" s="12">
        <f t="shared" si="181"/>
        <v>1.0021</v>
      </c>
      <c r="D1240" s="12">
        <f t="shared" si="175"/>
        <v>4.6074999999999866E-2</v>
      </c>
      <c r="E1240" s="12">
        <f>SUM($D$19:D1240)</f>
        <v>23.202099999999962</v>
      </c>
      <c r="F1240" s="12">
        <f t="shared" si="178"/>
        <v>260.80199834735896</v>
      </c>
      <c r="G1240" s="12">
        <f t="shared" si="179"/>
        <v>169.55303370889499</v>
      </c>
      <c r="H1240" s="12">
        <f t="shared" si="176"/>
        <v>938800</v>
      </c>
      <c r="I1240" s="12">
        <f t="shared" si="177"/>
        <v>610300</v>
      </c>
      <c r="J1240" s="12">
        <f>IF(A1240&lt;[3]关卡对接!$A$4,INDEX([3]关卡对接!$C$7:$C$141,A1240),MATCH(E1240,人物经验!$H$24:$H$573,1))</f>
        <v>434</v>
      </c>
      <c r="K1240" s="12">
        <f>IF([3]关卡对接!F1228="",INT(INDEX(人物经验!$J$24:$J$573,关卡!J1240)*关卡!$S$7),[3]关卡对接!F1228)</f>
        <v>23378</v>
      </c>
      <c r="L1240" s="12">
        <f t="shared" si="182"/>
        <v>2.2000000000000002</v>
      </c>
      <c r="M1240" s="12">
        <f>L1240/[4]货币基础!$B$4</f>
        <v>220</v>
      </c>
      <c r="N1240" s="12">
        <f>IF(A1240&lt;[3]关卡对接!$A$4,INDEX([3]关卡对接!$E$7:$E$141,A1240),MATCH(E1240,人物经验!$H$24:$H$573,1))</f>
        <v>434</v>
      </c>
      <c r="O1240" s="12">
        <f>INDEX([2]关卡!$G$6:$G$2005,A1240)</f>
        <v>3</v>
      </c>
      <c r="P1240" s="13">
        <v>6</v>
      </c>
      <c r="Q1240" s="12">
        <f>INT(P1240/$S$15/O1240*VLOOKUP(J1240,[1]人物技能基础!$N$3:$O$553,2,0)*$U$15)</f>
        <v>9</v>
      </c>
      <c r="R1240" s="12">
        <f t="shared" si="183"/>
        <v>112</v>
      </c>
    </row>
    <row r="1241" spans="1:18" x14ac:dyDescent="0.15">
      <c r="A1241" s="12">
        <v>1223</v>
      </c>
      <c r="B1241" s="12">
        <f t="shared" si="180"/>
        <v>7</v>
      </c>
      <c r="C1241" s="12">
        <f t="shared" si="181"/>
        <v>1.0482250000000002</v>
      </c>
      <c r="D1241" s="12">
        <f t="shared" si="175"/>
        <v>4.6125000000000194E-2</v>
      </c>
      <c r="E1241" s="12">
        <f>SUM($D$19:D1241)</f>
        <v>23.248224999999962</v>
      </c>
      <c r="F1241" s="12">
        <f t="shared" si="178"/>
        <v>261.32462697093501</v>
      </c>
      <c r="G1241" s="12">
        <f t="shared" si="179"/>
        <v>169.82217925230597</v>
      </c>
      <c r="H1241" s="12">
        <f t="shared" si="176"/>
        <v>940700</v>
      </c>
      <c r="I1241" s="12">
        <f t="shared" si="177"/>
        <v>611300</v>
      </c>
      <c r="J1241" s="12">
        <f>IF(A1241&lt;[3]关卡对接!$A$4,INDEX([3]关卡对接!$C$7:$C$141,A1241),MATCH(E1241,人物经验!$H$24:$H$573,1))</f>
        <v>434</v>
      </c>
      <c r="K1241" s="12">
        <f>IF([3]关卡对接!F1229="",INT(INDEX(人物经验!$J$24:$J$573,关卡!J1241)*关卡!$S$7),[3]关卡对接!F1229)</f>
        <v>23378</v>
      </c>
      <c r="L1241" s="12">
        <f t="shared" si="182"/>
        <v>2.2000000000000002</v>
      </c>
      <c r="M1241" s="12">
        <f>L1241/[4]货币基础!$B$4</f>
        <v>220</v>
      </c>
      <c r="N1241" s="12">
        <f>IF(A1241&lt;[3]关卡对接!$A$4,INDEX([3]关卡对接!$E$7:$E$141,A1241),MATCH(E1241,人物经验!$H$24:$H$573,1))</f>
        <v>434</v>
      </c>
      <c r="O1241" s="12">
        <f>INDEX([2]关卡!$G$6:$G$2005,A1241)</f>
        <v>3</v>
      </c>
      <c r="P1241" s="13">
        <v>6</v>
      </c>
      <c r="Q1241" s="12">
        <f>INT(P1241/$S$15/O1241*VLOOKUP(J1241,[1]人物技能基础!$N$3:$O$553,2,0)*$U$15)</f>
        <v>9</v>
      </c>
      <c r="R1241" s="12">
        <f t="shared" si="183"/>
        <v>112</v>
      </c>
    </row>
    <row r="1242" spans="1:18" x14ac:dyDescent="0.15">
      <c r="A1242" s="12">
        <v>1224</v>
      </c>
      <c r="B1242" s="12">
        <f t="shared" si="180"/>
        <v>7</v>
      </c>
      <c r="C1242" s="12">
        <f t="shared" si="181"/>
        <v>1.0944</v>
      </c>
      <c r="D1242" s="12">
        <f t="shared" si="175"/>
        <v>4.6174999999999855E-2</v>
      </c>
      <c r="E1242" s="12">
        <f>SUM($D$19:D1242)</f>
        <v>23.29439999999996</v>
      </c>
      <c r="F1242" s="12">
        <f t="shared" si="178"/>
        <v>261.84807836646399</v>
      </c>
      <c r="G1242" s="12">
        <f t="shared" si="179"/>
        <v>170.09164395392003</v>
      </c>
      <c r="H1242" s="12">
        <f t="shared" si="176"/>
        <v>942600</v>
      </c>
      <c r="I1242" s="12">
        <f t="shared" si="177"/>
        <v>612300</v>
      </c>
      <c r="J1242" s="12">
        <f>IF(A1242&lt;[3]关卡对接!$A$4,INDEX([3]关卡对接!$C$7:$C$141,A1242),MATCH(E1242,人物经验!$H$24:$H$573,1))</f>
        <v>435</v>
      </c>
      <c r="K1242" s="12">
        <f>IF([3]关卡对接!F1230="",INT(INDEX(人物经验!$J$24:$J$573,关卡!J1242)*关卡!$S$7),[3]关卡对接!F1230)</f>
        <v>23519</v>
      </c>
      <c r="L1242" s="12">
        <f t="shared" si="182"/>
        <v>2.2000000000000002</v>
      </c>
      <c r="M1242" s="12">
        <f>L1242/[4]货币基础!$B$4</f>
        <v>220</v>
      </c>
      <c r="N1242" s="12">
        <f>IF(A1242&lt;[3]关卡对接!$A$4,INDEX([3]关卡对接!$E$7:$E$141,A1242),MATCH(E1242,人物经验!$H$24:$H$573,1))</f>
        <v>435</v>
      </c>
      <c r="O1242" s="12">
        <f>INDEX([2]关卡!$G$6:$G$2005,A1242)</f>
        <v>3</v>
      </c>
      <c r="P1242" s="13">
        <v>6</v>
      </c>
      <c r="Q1242" s="12">
        <f>INT(P1242/$S$15/O1242*VLOOKUP(J1242,[1]人物技能基础!$N$3:$O$553,2,0)*$U$15)</f>
        <v>9</v>
      </c>
      <c r="R1242" s="12">
        <f t="shared" si="183"/>
        <v>112</v>
      </c>
    </row>
    <row r="1243" spans="1:18" x14ac:dyDescent="0.15">
      <c r="A1243" s="12">
        <v>1225</v>
      </c>
      <c r="B1243" s="12">
        <f t="shared" si="180"/>
        <v>7</v>
      </c>
      <c r="C1243" s="12">
        <f t="shared" si="181"/>
        <v>1.140625</v>
      </c>
      <c r="D1243" s="12">
        <f t="shared" si="175"/>
        <v>4.6224999999999961E-2</v>
      </c>
      <c r="E1243" s="12">
        <f>SUM($D$19:D1243)</f>
        <v>23.34062499999996</v>
      </c>
      <c r="F1243" s="12">
        <f t="shared" si="178"/>
        <v>262.37235349121102</v>
      </c>
      <c r="G1243" s="12">
        <f t="shared" si="179"/>
        <v>170.36142810058595</v>
      </c>
      <c r="H1243" s="12">
        <f t="shared" si="176"/>
        <v>944500</v>
      </c>
      <c r="I1243" s="12">
        <f t="shared" si="177"/>
        <v>613300</v>
      </c>
      <c r="J1243" s="12">
        <f>IF(A1243&lt;[3]关卡对接!$A$4,INDEX([3]关卡对接!$C$7:$C$141,A1243),MATCH(E1243,人物经验!$H$24:$H$573,1))</f>
        <v>435</v>
      </c>
      <c r="K1243" s="12">
        <f>IF([3]关卡对接!F1231="",INT(INDEX(人物经验!$J$24:$J$573,关卡!J1243)*关卡!$S$7),[3]关卡对接!F1231)</f>
        <v>23519</v>
      </c>
      <c r="L1243" s="12">
        <f t="shared" si="182"/>
        <v>2.2000000000000002</v>
      </c>
      <c r="M1243" s="12">
        <f>L1243/[4]货币基础!$B$4</f>
        <v>220</v>
      </c>
      <c r="N1243" s="12">
        <f>IF(A1243&lt;[3]关卡对接!$A$4,INDEX([3]关卡对接!$E$7:$E$141,A1243),MATCH(E1243,人物经验!$H$24:$H$573,1))</f>
        <v>435</v>
      </c>
      <c r="O1243" s="12">
        <f>INDEX([2]关卡!$G$6:$G$2005,A1243)</f>
        <v>3</v>
      </c>
      <c r="P1243" s="13">
        <v>6</v>
      </c>
      <c r="Q1243" s="12">
        <f>INT(P1243/$S$15/O1243*VLOOKUP(J1243,[1]人物技能基础!$N$3:$O$553,2,0)*$U$15)</f>
        <v>9</v>
      </c>
      <c r="R1243" s="12">
        <f t="shared" si="183"/>
        <v>112</v>
      </c>
    </row>
    <row r="1244" spans="1:18" x14ac:dyDescent="0.15">
      <c r="A1244" s="12">
        <v>1226</v>
      </c>
      <c r="B1244" s="12">
        <f t="shared" si="180"/>
        <v>7</v>
      </c>
      <c r="C1244" s="12">
        <f t="shared" si="181"/>
        <v>1.1869000000000001</v>
      </c>
      <c r="D1244" s="12">
        <f t="shared" si="175"/>
        <v>4.6275000000000066E-2</v>
      </c>
      <c r="E1244" s="12">
        <f>SUM($D$19:D1244)</f>
        <v>23.386899999999962</v>
      </c>
      <c r="F1244" s="12">
        <f t="shared" si="178"/>
        <v>262.89745330303896</v>
      </c>
      <c r="G1244" s="12">
        <f t="shared" si="179"/>
        <v>170.63153197929498</v>
      </c>
      <c r="H1244" s="12">
        <f t="shared" si="176"/>
        <v>946400</v>
      </c>
      <c r="I1244" s="12">
        <f t="shared" si="177"/>
        <v>614200</v>
      </c>
      <c r="J1244" s="12">
        <f>IF(A1244&lt;[3]关卡对接!$A$4,INDEX([3]关卡对接!$C$7:$C$141,A1244),MATCH(E1244,人物经验!$H$24:$H$573,1))</f>
        <v>435</v>
      </c>
      <c r="K1244" s="12">
        <f>IF([3]关卡对接!F1232="",INT(INDEX(人物经验!$J$24:$J$573,关卡!J1244)*关卡!$S$7),[3]关卡对接!F1232)</f>
        <v>23519</v>
      </c>
      <c r="L1244" s="12">
        <f t="shared" si="182"/>
        <v>2.2000000000000002</v>
      </c>
      <c r="M1244" s="12">
        <f>L1244/[4]货币基础!$B$4</f>
        <v>220</v>
      </c>
      <c r="N1244" s="12">
        <f>IF(A1244&lt;[3]关卡对接!$A$4,INDEX([3]关卡对接!$E$7:$E$141,A1244),MATCH(E1244,人物经验!$H$24:$H$573,1))</f>
        <v>435</v>
      </c>
      <c r="O1244" s="12">
        <f>INDEX([2]关卡!$G$6:$G$2005,A1244)</f>
        <v>3</v>
      </c>
      <c r="P1244" s="13">
        <v>6</v>
      </c>
      <c r="Q1244" s="12">
        <f>INT(P1244/$S$15/O1244*VLOOKUP(J1244,[1]人物技能基础!$N$3:$O$553,2,0)*$U$15)</f>
        <v>9</v>
      </c>
      <c r="R1244" s="12">
        <f t="shared" si="183"/>
        <v>112</v>
      </c>
    </row>
    <row r="1245" spans="1:18" x14ac:dyDescent="0.15">
      <c r="A1245" s="12">
        <v>1227</v>
      </c>
      <c r="B1245" s="12">
        <f t="shared" si="180"/>
        <v>7</v>
      </c>
      <c r="C1245" s="12">
        <f t="shared" si="181"/>
        <v>1.2332250000000002</v>
      </c>
      <c r="D1245" s="12">
        <f t="shared" si="175"/>
        <v>4.6325000000000172E-2</v>
      </c>
      <c r="E1245" s="12">
        <f>SUM($D$19:D1245)</f>
        <v>23.433224999999961</v>
      </c>
      <c r="F1245" s="12">
        <f t="shared" si="178"/>
        <v>263.42337876041</v>
      </c>
      <c r="G1245" s="12">
        <f t="shared" si="179"/>
        <v>170.90195587718097</v>
      </c>
      <c r="H1245" s="12">
        <f t="shared" si="176"/>
        <v>948300</v>
      </c>
      <c r="I1245" s="12">
        <f t="shared" si="177"/>
        <v>615200</v>
      </c>
      <c r="J1245" s="12">
        <f>IF(A1245&lt;[3]关卡对接!$A$4,INDEX([3]关卡对接!$C$7:$C$141,A1245),MATCH(E1245,人物经验!$H$24:$H$573,1))</f>
        <v>436</v>
      </c>
      <c r="K1245" s="12">
        <f>IF([3]关卡对接!F1233="",INT(INDEX(人物经验!$J$24:$J$573,关卡!J1245)*关卡!$S$7),[3]关卡对接!F1233)</f>
        <v>23660</v>
      </c>
      <c r="L1245" s="12">
        <f t="shared" si="182"/>
        <v>2.2000000000000002</v>
      </c>
      <c r="M1245" s="12">
        <f>L1245/[4]货币基础!$B$4</f>
        <v>220</v>
      </c>
      <c r="N1245" s="12">
        <f>IF(A1245&lt;[3]关卡对接!$A$4,INDEX([3]关卡对接!$E$7:$E$141,A1245),MATCH(E1245,人物经验!$H$24:$H$573,1))</f>
        <v>436</v>
      </c>
      <c r="O1245" s="12">
        <f>INDEX([2]关卡!$G$6:$G$2005,A1245)</f>
        <v>3</v>
      </c>
      <c r="P1245" s="13">
        <v>6</v>
      </c>
      <c r="Q1245" s="12">
        <f>INT(P1245/$S$15/O1245*VLOOKUP(J1245,[1]人物技能基础!$N$3:$O$553,2,0)*$U$15)</f>
        <v>9</v>
      </c>
      <c r="R1245" s="12">
        <f t="shared" si="183"/>
        <v>112</v>
      </c>
    </row>
    <row r="1246" spans="1:18" x14ac:dyDescent="0.15">
      <c r="A1246" s="12">
        <v>1228</v>
      </c>
      <c r="B1246" s="12">
        <f t="shared" si="180"/>
        <v>7</v>
      </c>
      <c r="C1246" s="12">
        <f t="shared" si="181"/>
        <v>1.2796000000000003</v>
      </c>
      <c r="D1246" s="12">
        <f t="shared" si="175"/>
        <v>4.6375000000000055E-2</v>
      </c>
      <c r="E1246" s="12">
        <f>SUM($D$19:D1246)</f>
        <v>23.479599999999962</v>
      </c>
      <c r="F1246" s="12">
        <f t="shared" si="178"/>
        <v>263.95013082238398</v>
      </c>
      <c r="G1246" s="12">
        <f t="shared" si="179"/>
        <v>171.17270008151999</v>
      </c>
      <c r="H1246" s="12">
        <f t="shared" si="176"/>
        <v>950200</v>
      </c>
      <c r="I1246" s="12">
        <f t="shared" si="177"/>
        <v>616200</v>
      </c>
      <c r="J1246" s="12">
        <f>IF(A1246&lt;[3]关卡对接!$A$4,INDEX([3]关卡对接!$C$7:$C$141,A1246),MATCH(E1246,人物经验!$H$24:$H$573,1))</f>
        <v>436</v>
      </c>
      <c r="K1246" s="12">
        <f>IF([3]关卡对接!F1234="",INT(INDEX(人物经验!$J$24:$J$573,关卡!J1246)*关卡!$S$7),[3]关卡对接!F1234)</f>
        <v>23660</v>
      </c>
      <c r="L1246" s="12">
        <f t="shared" si="182"/>
        <v>2.2000000000000002</v>
      </c>
      <c r="M1246" s="12">
        <f>L1246/[4]货币基础!$B$4</f>
        <v>220</v>
      </c>
      <c r="N1246" s="12">
        <f>IF(A1246&lt;[3]关卡对接!$A$4,INDEX([3]关卡对接!$E$7:$E$141,A1246),MATCH(E1246,人物经验!$H$24:$H$573,1))</f>
        <v>436</v>
      </c>
      <c r="O1246" s="12">
        <f>INDEX([2]关卡!$G$6:$G$2005,A1246)</f>
        <v>3</v>
      </c>
      <c r="P1246" s="13">
        <v>6</v>
      </c>
      <c r="Q1246" s="12">
        <f>INT(P1246/$S$15/O1246*VLOOKUP(J1246,[1]人物技能基础!$N$3:$O$553,2,0)*$U$15)</f>
        <v>9</v>
      </c>
      <c r="R1246" s="12">
        <f t="shared" si="183"/>
        <v>112</v>
      </c>
    </row>
    <row r="1247" spans="1:18" x14ac:dyDescent="0.15">
      <c r="A1247" s="12">
        <v>1229</v>
      </c>
      <c r="B1247" s="12">
        <f t="shared" si="180"/>
        <v>7</v>
      </c>
      <c r="C1247" s="12">
        <f t="shared" si="181"/>
        <v>1.326025</v>
      </c>
      <c r="D1247" s="12">
        <f t="shared" si="175"/>
        <v>4.6424999999999716E-2</v>
      </c>
      <c r="E1247" s="12">
        <f>SUM($D$19:D1247)</f>
        <v>23.526024999999962</v>
      </c>
      <c r="F1247" s="12">
        <f t="shared" si="178"/>
        <v>264.47771044862003</v>
      </c>
      <c r="G1247" s="12">
        <f t="shared" si="179"/>
        <v>171.44376487973096</v>
      </c>
      <c r="H1247" s="12">
        <f t="shared" si="176"/>
        <v>952100</v>
      </c>
      <c r="I1247" s="12">
        <f t="shared" si="177"/>
        <v>617100</v>
      </c>
      <c r="J1247" s="12">
        <f>IF(A1247&lt;[3]关卡对接!$A$4,INDEX([3]关卡对接!$C$7:$C$141,A1247),MATCH(E1247,人物经验!$H$24:$H$573,1))</f>
        <v>436</v>
      </c>
      <c r="K1247" s="12">
        <f>IF([3]关卡对接!F1235="",INT(INDEX(人物经验!$J$24:$J$573,关卡!J1247)*关卡!$S$7),[3]关卡对接!F1235)</f>
        <v>23660</v>
      </c>
      <c r="L1247" s="12">
        <f t="shared" si="182"/>
        <v>2.2000000000000002</v>
      </c>
      <c r="M1247" s="12">
        <f>L1247/[4]货币基础!$B$4</f>
        <v>220</v>
      </c>
      <c r="N1247" s="12">
        <f>IF(A1247&lt;[3]关卡对接!$A$4,INDEX([3]关卡对接!$E$7:$E$141,A1247),MATCH(E1247,人物经验!$H$24:$H$573,1))</f>
        <v>436</v>
      </c>
      <c r="O1247" s="12">
        <f>INDEX([2]关卡!$G$6:$G$2005,A1247)</f>
        <v>3</v>
      </c>
      <c r="P1247" s="13">
        <v>6</v>
      </c>
      <c r="Q1247" s="12">
        <f>INT(P1247/$S$15/O1247*VLOOKUP(J1247,[1]人物技能基础!$N$3:$O$553,2,0)*$U$15)</f>
        <v>9</v>
      </c>
      <c r="R1247" s="12">
        <f t="shared" si="183"/>
        <v>112</v>
      </c>
    </row>
    <row r="1248" spans="1:18" x14ac:dyDescent="0.15">
      <c r="A1248" s="12">
        <v>1230</v>
      </c>
      <c r="B1248" s="12">
        <f t="shared" si="180"/>
        <v>7</v>
      </c>
      <c r="C1248" s="12">
        <f t="shared" si="181"/>
        <v>1.3725000000000001</v>
      </c>
      <c r="D1248" s="12">
        <f t="shared" si="175"/>
        <v>4.6475000000000044E-2</v>
      </c>
      <c r="E1248" s="12">
        <f>SUM($D$19:D1248)</f>
        <v>23.572499999999962</v>
      </c>
      <c r="F1248" s="12">
        <f t="shared" si="178"/>
        <v>265.00611859937499</v>
      </c>
      <c r="G1248" s="12">
        <f t="shared" si="179"/>
        <v>171.71515055937499</v>
      </c>
      <c r="H1248" s="12">
        <f t="shared" si="176"/>
        <v>954000</v>
      </c>
      <c r="I1248" s="12">
        <f t="shared" si="177"/>
        <v>618100</v>
      </c>
      <c r="J1248" s="12">
        <f>IF(A1248&lt;[3]关卡对接!$A$4,INDEX([3]关卡对接!$C$7:$C$141,A1248),MATCH(E1248,人物经验!$H$24:$H$573,1))</f>
        <v>437</v>
      </c>
      <c r="K1248" s="12">
        <f>IF([3]关卡对接!F1236="",INT(INDEX(人物经验!$J$24:$J$573,关卡!J1248)*关卡!$S$7),[3]关卡对接!F1236)</f>
        <v>23802</v>
      </c>
      <c r="L1248" s="12">
        <f t="shared" si="182"/>
        <v>2.2000000000000002</v>
      </c>
      <c r="M1248" s="12">
        <f>L1248/[4]货币基础!$B$4</f>
        <v>220</v>
      </c>
      <c r="N1248" s="12">
        <f>IF(A1248&lt;[3]关卡对接!$A$4,INDEX([3]关卡对接!$E$7:$E$141,A1248),MATCH(E1248,人物经验!$H$24:$H$573,1))</f>
        <v>437</v>
      </c>
      <c r="O1248" s="12">
        <f>INDEX([2]关卡!$G$6:$G$2005,A1248)</f>
        <v>3</v>
      </c>
      <c r="P1248" s="13">
        <v>6</v>
      </c>
      <c r="Q1248" s="12">
        <f>INT(P1248/$S$15/O1248*VLOOKUP(J1248,[1]人物技能基础!$N$3:$O$553,2,0)*$U$15)</f>
        <v>9</v>
      </c>
      <c r="R1248" s="12">
        <f t="shared" si="183"/>
        <v>112</v>
      </c>
    </row>
    <row r="1249" spans="1:18" x14ac:dyDescent="0.15">
      <c r="A1249" s="12">
        <v>1231</v>
      </c>
      <c r="B1249" s="12">
        <f t="shared" si="180"/>
        <v>7</v>
      </c>
      <c r="C1249" s="12">
        <f t="shared" si="181"/>
        <v>1.4190250000000002</v>
      </c>
      <c r="D1249" s="12">
        <f t="shared" si="175"/>
        <v>4.652500000000015E-2</v>
      </c>
      <c r="E1249" s="12">
        <f>SUM($D$19:D1249)</f>
        <v>23.619024999999962</v>
      </c>
      <c r="F1249" s="12">
        <f t="shared" si="178"/>
        <v>265.53535623550499</v>
      </c>
      <c r="G1249" s="12">
        <f t="shared" si="179"/>
        <v>171.98685740815594</v>
      </c>
      <c r="H1249" s="12">
        <f t="shared" si="176"/>
        <v>955900</v>
      </c>
      <c r="I1249" s="12">
        <f t="shared" si="177"/>
        <v>619100</v>
      </c>
      <c r="J1249" s="12">
        <f>IF(A1249&lt;[3]关卡对接!$A$4,INDEX([3]关卡对接!$C$7:$C$141,A1249),MATCH(E1249,人物经验!$H$24:$H$573,1))</f>
        <v>437</v>
      </c>
      <c r="K1249" s="12">
        <f>IF([3]关卡对接!F1237="",INT(INDEX(人物经验!$J$24:$J$573,关卡!J1249)*关卡!$S$7),[3]关卡对接!F1237)</f>
        <v>23802</v>
      </c>
      <c r="L1249" s="12">
        <f t="shared" si="182"/>
        <v>2.2000000000000002</v>
      </c>
      <c r="M1249" s="12">
        <f>L1249/[4]货币基础!$B$4</f>
        <v>220</v>
      </c>
      <c r="N1249" s="12">
        <f>IF(A1249&lt;[3]关卡对接!$A$4,INDEX([3]关卡对接!$E$7:$E$141,A1249),MATCH(E1249,人物经验!$H$24:$H$573,1))</f>
        <v>437</v>
      </c>
      <c r="O1249" s="12">
        <f>INDEX([2]关卡!$G$6:$G$2005,A1249)</f>
        <v>3</v>
      </c>
      <c r="P1249" s="13">
        <v>6</v>
      </c>
      <c r="Q1249" s="12">
        <f>INT(P1249/$S$15/O1249*VLOOKUP(J1249,[1]人物技能基础!$N$3:$O$553,2,0)*$U$15)</f>
        <v>9</v>
      </c>
      <c r="R1249" s="12">
        <f t="shared" si="183"/>
        <v>112</v>
      </c>
    </row>
    <row r="1250" spans="1:18" x14ac:dyDescent="0.15">
      <c r="A1250" s="12">
        <v>1232</v>
      </c>
      <c r="B1250" s="12">
        <f t="shared" si="180"/>
        <v>7</v>
      </c>
      <c r="C1250" s="12">
        <f t="shared" si="181"/>
        <v>1.4656000000000002</v>
      </c>
      <c r="D1250" s="12">
        <f t="shared" si="175"/>
        <v>4.6575000000000033E-2</v>
      </c>
      <c r="E1250" s="12">
        <f>SUM($D$19:D1250)</f>
        <v>23.665599999999962</v>
      </c>
      <c r="F1250" s="12">
        <f t="shared" si="178"/>
        <v>266.06542431846401</v>
      </c>
      <c r="G1250" s="12">
        <f t="shared" si="179"/>
        <v>172.25888571391999</v>
      </c>
      <c r="H1250" s="12">
        <f t="shared" si="176"/>
        <v>957800</v>
      </c>
      <c r="I1250" s="12">
        <f t="shared" si="177"/>
        <v>620100</v>
      </c>
      <c r="J1250" s="12">
        <f>IF(A1250&lt;[3]关卡对接!$A$4,INDEX([3]关卡对接!$C$7:$C$141,A1250),MATCH(E1250,人物经验!$H$24:$H$573,1))</f>
        <v>437</v>
      </c>
      <c r="K1250" s="12">
        <f>IF([3]关卡对接!F1238="",INT(INDEX(人物经验!$J$24:$J$573,关卡!J1250)*关卡!$S$7),[3]关卡对接!F1238)</f>
        <v>23802</v>
      </c>
      <c r="L1250" s="12">
        <f t="shared" si="182"/>
        <v>2.2000000000000002</v>
      </c>
      <c r="M1250" s="12">
        <f>L1250/[4]货币基础!$B$4</f>
        <v>220</v>
      </c>
      <c r="N1250" s="12">
        <f>IF(A1250&lt;[3]关卡对接!$A$4,INDEX([3]关卡对接!$E$7:$E$141,A1250),MATCH(E1250,人物经验!$H$24:$H$573,1))</f>
        <v>437</v>
      </c>
      <c r="O1250" s="12">
        <f>INDEX([2]关卡!$G$6:$G$2005,A1250)</f>
        <v>3</v>
      </c>
      <c r="P1250" s="13">
        <v>6</v>
      </c>
      <c r="Q1250" s="12">
        <f>INT(P1250/$S$15/O1250*VLOOKUP(J1250,[1]人物技能基础!$N$3:$O$553,2,0)*$U$15)</f>
        <v>9</v>
      </c>
      <c r="R1250" s="12">
        <f t="shared" si="183"/>
        <v>112</v>
      </c>
    </row>
    <row r="1251" spans="1:18" x14ac:dyDescent="0.15">
      <c r="A1251" s="12">
        <v>1233</v>
      </c>
      <c r="B1251" s="12">
        <f t="shared" si="180"/>
        <v>7</v>
      </c>
      <c r="C1251" s="12">
        <f t="shared" si="181"/>
        <v>1.5122250000000002</v>
      </c>
      <c r="D1251" s="12">
        <f t="shared" si="175"/>
        <v>4.6624999999999917E-2</v>
      </c>
      <c r="E1251" s="12">
        <f>SUM($D$19:D1251)</f>
        <v>23.712224999999961</v>
      </c>
      <c r="F1251" s="12">
        <f t="shared" si="178"/>
        <v>266.59632381030502</v>
      </c>
      <c r="G1251" s="12">
        <f t="shared" si="179"/>
        <v>172.53123576465597</v>
      </c>
      <c r="H1251" s="12">
        <f t="shared" si="176"/>
        <v>959700</v>
      </c>
      <c r="I1251" s="12">
        <f t="shared" si="177"/>
        <v>621100</v>
      </c>
      <c r="J1251" s="12">
        <f>IF(A1251&lt;[3]关卡对接!$A$4,INDEX([3]关卡对接!$C$7:$C$141,A1251),MATCH(E1251,人物经验!$H$24:$H$573,1))</f>
        <v>438</v>
      </c>
      <c r="K1251" s="12">
        <f>IF([3]关卡对接!F1239="",INT(INDEX(人物经验!$J$24:$J$573,关卡!J1251)*关卡!$S$7),[3]关卡对接!F1239)</f>
        <v>23945</v>
      </c>
      <c r="L1251" s="12">
        <f t="shared" si="182"/>
        <v>2.2000000000000002</v>
      </c>
      <c r="M1251" s="12">
        <f>L1251/[4]货币基础!$B$4</f>
        <v>220</v>
      </c>
      <c r="N1251" s="12">
        <f>IF(A1251&lt;[3]关卡对接!$A$4,INDEX([3]关卡对接!$E$7:$E$141,A1251),MATCH(E1251,人物经验!$H$24:$H$573,1))</f>
        <v>438</v>
      </c>
      <c r="O1251" s="12">
        <f>INDEX([2]关卡!$G$6:$G$2005,A1251)</f>
        <v>3</v>
      </c>
      <c r="P1251" s="13">
        <v>6</v>
      </c>
      <c r="Q1251" s="12">
        <f>INT(P1251/$S$15/O1251*VLOOKUP(J1251,[1]人物技能基础!$N$3:$O$553,2,0)*$U$15)</f>
        <v>9</v>
      </c>
      <c r="R1251" s="12">
        <f t="shared" si="183"/>
        <v>112</v>
      </c>
    </row>
    <row r="1252" spans="1:18" x14ac:dyDescent="0.15">
      <c r="A1252" s="12">
        <v>1234</v>
      </c>
      <c r="B1252" s="12">
        <f t="shared" si="180"/>
        <v>7</v>
      </c>
      <c r="C1252" s="12">
        <f t="shared" si="181"/>
        <v>1.5589000000000004</v>
      </c>
      <c r="D1252" s="12">
        <f t="shared" si="175"/>
        <v>4.6675000000000244E-2</v>
      </c>
      <c r="E1252" s="12">
        <f>SUM($D$19:D1252)</f>
        <v>23.758899999999961</v>
      </c>
      <c r="F1252" s="12">
        <f t="shared" si="178"/>
        <v>267.12805567367906</v>
      </c>
      <c r="G1252" s="12">
        <f t="shared" si="179"/>
        <v>172.80390784849502</v>
      </c>
      <c r="H1252" s="12">
        <f t="shared" si="176"/>
        <v>961600</v>
      </c>
      <c r="I1252" s="12">
        <f t="shared" si="177"/>
        <v>622000</v>
      </c>
      <c r="J1252" s="12">
        <f>IF(A1252&lt;[3]关卡对接!$A$4,INDEX([3]关卡对接!$C$7:$C$141,A1252),MATCH(E1252,人物经验!$H$24:$H$573,1))</f>
        <v>438</v>
      </c>
      <c r="K1252" s="12">
        <f>IF([3]关卡对接!F1240="",INT(INDEX(人物经验!$J$24:$J$573,关卡!J1252)*关卡!$S$7),[3]关卡对接!F1240)</f>
        <v>23945</v>
      </c>
      <c r="L1252" s="12">
        <f t="shared" si="182"/>
        <v>2.2000000000000002</v>
      </c>
      <c r="M1252" s="12">
        <f>L1252/[4]货币基础!$B$4</f>
        <v>220</v>
      </c>
      <c r="N1252" s="12">
        <f>IF(A1252&lt;[3]关卡对接!$A$4,INDEX([3]关卡对接!$E$7:$E$141,A1252),MATCH(E1252,人物经验!$H$24:$H$573,1))</f>
        <v>438</v>
      </c>
      <c r="O1252" s="12">
        <f>INDEX([2]关卡!$G$6:$G$2005,A1252)</f>
        <v>3</v>
      </c>
      <c r="P1252" s="13">
        <v>6</v>
      </c>
      <c r="Q1252" s="12">
        <f>INT(P1252/$S$15/O1252*VLOOKUP(J1252,[1]人物技能基础!$N$3:$O$553,2,0)*$U$15)</f>
        <v>9</v>
      </c>
      <c r="R1252" s="12">
        <f t="shared" si="183"/>
        <v>112</v>
      </c>
    </row>
    <row r="1253" spans="1:18" x14ac:dyDescent="0.15">
      <c r="A1253" s="12">
        <v>1235</v>
      </c>
      <c r="B1253" s="12">
        <f t="shared" si="180"/>
        <v>7</v>
      </c>
      <c r="C1253" s="12">
        <f t="shared" si="181"/>
        <v>1.6056249999999999</v>
      </c>
      <c r="D1253" s="12">
        <f t="shared" si="175"/>
        <v>4.6724999999999461E-2</v>
      </c>
      <c r="E1253" s="12">
        <f>SUM($D$19:D1253)</f>
        <v>23.80562499999996</v>
      </c>
      <c r="F1253" s="12">
        <f t="shared" si="178"/>
        <v>267.66062087183599</v>
      </c>
      <c r="G1253" s="12">
        <f t="shared" si="179"/>
        <v>173.07690225371098</v>
      </c>
      <c r="H1253" s="12">
        <f t="shared" si="176"/>
        <v>963500</v>
      </c>
      <c r="I1253" s="12">
        <f t="shared" si="177"/>
        <v>623000</v>
      </c>
      <c r="J1253" s="12">
        <f>IF(A1253&lt;[3]关卡对接!$A$4,INDEX([3]关卡对接!$C$7:$C$141,A1253),MATCH(E1253,人物经验!$H$24:$H$573,1))</f>
        <v>438</v>
      </c>
      <c r="K1253" s="12">
        <f>IF([3]关卡对接!F1241="",INT(INDEX(人物经验!$J$24:$J$573,关卡!J1253)*关卡!$S$7),[3]关卡对接!F1241)</f>
        <v>23945</v>
      </c>
      <c r="L1253" s="12">
        <f t="shared" si="182"/>
        <v>2.2000000000000002</v>
      </c>
      <c r="M1253" s="12">
        <f>L1253/[4]货币基础!$B$4</f>
        <v>220</v>
      </c>
      <c r="N1253" s="12">
        <f>IF(A1253&lt;[3]关卡对接!$A$4,INDEX([3]关卡对接!$E$7:$E$141,A1253),MATCH(E1253,人物经验!$H$24:$H$573,1))</f>
        <v>438</v>
      </c>
      <c r="O1253" s="12">
        <f>INDEX([2]关卡!$G$6:$G$2005,A1253)</f>
        <v>3</v>
      </c>
      <c r="P1253" s="13">
        <v>6</v>
      </c>
      <c r="Q1253" s="12">
        <f>INT(P1253/$S$15/O1253*VLOOKUP(J1253,[1]人物技能基础!$N$3:$O$553,2,0)*$U$15)</f>
        <v>9</v>
      </c>
      <c r="R1253" s="12">
        <f t="shared" si="183"/>
        <v>112</v>
      </c>
    </row>
    <row r="1254" spans="1:18" x14ac:dyDescent="0.15">
      <c r="A1254" s="12">
        <v>1236</v>
      </c>
      <c r="B1254" s="12">
        <f t="shared" si="180"/>
        <v>7</v>
      </c>
      <c r="C1254" s="12">
        <f t="shared" si="181"/>
        <v>1.6524000000000001</v>
      </c>
      <c r="D1254" s="12">
        <f t="shared" si="175"/>
        <v>4.6775000000000233E-2</v>
      </c>
      <c r="E1254" s="12">
        <f>SUM($D$19:D1254)</f>
        <v>23.85239999999996</v>
      </c>
      <c r="F1254" s="12">
        <f t="shared" si="178"/>
        <v>268.19402036862402</v>
      </c>
      <c r="G1254" s="12">
        <f t="shared" si="179"/>
        <v>173.35021926871997</v>
      </c>
      <c r="H1254" s="12">
        <f t="shared" si="176"/>
        <v>965400</v>
      </c>
      <c r="I1254" s="12">
        <f t="shared" si="177"/>
        <v>624000</v>
      </c>
      <c r="J1254" s="12">
        <f>IF(A1254&lt;[3]关卡对接!$A$4,INDEX([3]关卡对接!$C$7:$C$141,A1254),MATCH(E1254,人物经验!$H$24:$H$573,1))</f>
        <v>439</v>
      </c>
      <c r="K1254" s="12">
        <f>IF([3]关卡对接!F1242="",INT(INDEX(人物经验!$J$24:$J$573,关卡!J1254)*关卡!$S$7),[3]关卡对接!F1242)</f>
        <v>24089</v>
      </c>
      <c r="L1254" s="12">
        <f t="shared" si="182"/>
        <v>2.2000000000000002</v>
      </c>
      <c r="M1254" s="12">
        <f>L1254/[4]货币基础!$B$4</f>
        <v>220</v>
      </c>
      <c r="N1254" s="12">
        <f>IF(A1254&lt;[3]关卡对接!$A$4,INDEX([3]关卡对接!$E$7:$E$141,A1254),MATCH(E1254,人物经验!$H$24:$H$573,1))</f>
        <v>439</v>
      </c>
      <c r="O1254" s="12">
        <f>INDEX([2]关卡!$G$6:$G$2005,A1254)</f>
        <v>3</v>
      </c>
      <c r="P1254" s="13">
        <v>6</v>
      </c>
      <c r="Q1254" s="12">
        <f>INT(P1254/$S$15/O1254*VLOOKUP(J1254,[1]人物技能基础!$N$3:$O$553,2,0)*$U$15)</f>
        <v>9</v>
      </c>
      <c r="R1254" s="12">
        <f t="shared" si="183"/>
        <v>112</v>
      </c>
    </row>
    <row r="1255" spans="1:18" x14ac:dyDescent="0.15">
      <c r="A1255" s="12">
        <v>1237</v>
      </c>
      <c r="B1255" s="12">
        <f t="shared" si="180"/>
        <v>7</v>
      </c>
      <c r="C1255" s="12">
        <f t="shared" si="181"/>
        <v>1.699225</v>
      </c>
      <c r="D1255" s="12">
        <f t="shared" si="175"/>
        <v>4.6824999999999894E-2</v>
      </c>
      <c r="E1255" s="12">
        <f>SUM($D$19:D1255)</f>
        <v>23.899224999999959</v>
      </c>
      <c r="F1255" s="12">
        <f t="shared" si="178"/>
        <v>268.72825512849005</v>
      </c>
      <c r="G1255" s="12">
        <f t="shared" si="179"/>
        <v>173.62385918208099</v>
      </c>
      <c r="H1255" s="12">
        <f t="shared" si="176"/>
        <v>967400</v>
      </c>
      <c r="I1255" s="12">
        <f t="shared" si="177"/>
        <v>625000</v>
      </c>
      <c r="J1255" s="12">
        <f>IF(A1255&lt;[3]关卡对接!$A$4,INDEX([3]关卡对接!$C$7:$C$141,A1255),MATCH(E1255,人物经验!$H$24:$H$573,1))</f>
        <v>439</v>
      </c>
      <c r="K1255" s="12">
        <f>IF([3]关卡对接!F1243="",INT(INDEX(人物经验!$J$24:$J$573,关卡!J1255)*关卡!$S$7),[3]关卡对接!F1243)</f>
        <v>24089</v>
      </c>
      <c r="L1255" s="12">
        <f t="shared" si="182"/>
        <v>2.2000000000000002</v>
      </c>
      <c r="M1255" s="12">
        <f>L1255/[4]货币基础!$B$4</f>
        <v>220</v>
      </c>
      <c r="N1255" s="12">
        <f>IF(A1255&lt;[3]关卡对接!$A$4,INDEX([3]关卡对接!$E$7:$E$141,A1255),MATCH(E1255,人物经验!$H$24:$H$573,1))</f>
        <v>439</v>
      </c>
      <c r="O1255" s="12">
        <f>INDEX([2]关卡!$G$6:$G$2005,A1255)</f>
        <v>3</v>
      </c>
      <c r="P1255" s="13">
        <v>6</v>
      </c>
      <c r="Q1255" s="12">
        <f>INT(P1255/$S$15/O1255*VLOOKUP(J1255,[1]人物技能基础!$N$3:$O$553,2,0)*$U$15)</f>
        <v>9</v>
      </c>
      <c r="R1255" s="12">
        <f t="shared" si="183"/>
        <v>112</v>
      </c>
    </row>
    <row r="1256" spans="1:18" x14ac:dyDescent="0.15">
      <c r="A1256" s="12">
        <v>1238</v>
      </c>
      <c r="B1256" s="12">
        <f t="shared" si="180"/>
        <v>7</v>
      </c>
      <c r="C1256" s="12">
        <f t="shared" si="181"/>
        <v>1.7461000000000002</v>
      </c>
      <c r="D1256" s="12">
        <f t="shared" si="175"/>
        <v>4.6875000000000222E-2</v>
      </c>
      <c r="E1256" s="12">
        <f>SUM($D$19:D1256)</f>
        <v>23.946099999999959</v>
      </c>
      <c r="F1256" s="12">
        <f t="shared" si="178"/>
        <v>269.26332611647894</v>
      </c>
      <c r="G1256" s="12">
        <f t="shared" si="179"/>
        <v>173.89782228249499</v>
      </c>
      <c r="H1256" s="12">
        <f t="shared" si="176"/>
        <v>969300</v>
      </c>
      <c r="I1256" s="12">
        <f t="shared" si="177"/>
        <v>626000</v>
      </c>
      <c r="J1256" s="12">
        <f>IF(A1256&lt;[3]关卡对接!$A$4,INDEX([3]关卡对接!$C$7:$C$141,A1256),MATCH(E1256,人物经验!$H$24:$H$573,1))</f>
        <v>439</v>
      </c>
      <c r="K1256" s="12">
        <f>IF([3]关卡对接!F1244="",INT(INDEX(人物经验!$J$24:$J$573,关卡!J1256)*关卡!$S$7),[3]关卡对接!F1244)</f>
        <v>24089</v>
      </c>
      <c r="L1256" s="12">
        <f t="shared" si="182"/>
        <v>2.2000000000000002</v>
      </c>
      <c r="M1256" s="12">
        <f>L1256/[4]货币基础!$B$4</f>
        <v>220</v>
      </c>
      <c r="N1256" s="12">
        <f>IF(A1256&lt;[3]关卡对接!$A$4,INDEX([3]关卡对接!$E$7:$E$141,A1256),MATCH(E1256,人物经验!$H$24:$H$573,1))</f>
        <v>439</v>
      </c>
      <c r="O1256" s="12">
        <f>INDEX([2]关卡!$G$6:$G$2005,A1256)</f>
        <v>3</v>
      </c>
      <c r="P1256" s="13">
        <v>6</v>
      </c>
      <c r="Q1256" s="12">
        <f>INT(P1256/$S$15/O1256*VLOOKUP(J1256,[1]人物技能基础!$N$3:$O$553,2,0)*$U$15)</f>
        <v>9</v>
      </c>
      <c r="R1256" s="12">
        <f t="shared" si="183"/>
        <v>112</v>
      </c>
    </row>
    <row r="1257" spans="1:18" x14ac:dyDescent="0.15">
      <c r="A1257" s="12">
        <v>1239</v>
      </c>
      <c r="B1257" s="12">
        <f t="shared" si="180"/>
        <v>7</v>
      </c>
      <c r="C1257" s="12">
        <f t="shared" si="181"/>
        <v>1.7930250000000003</v>
      </c>
      <c r="D1257" s="12">
        <f t="shared" si="175"/>
        <v>4.6925000000000106E-2</v>
      </c>
      <c r="E1257" s="12">
        <f>SUM($D$19:D1257)</f>
        <v>23.99302499999996</v>
      </c>
      <c r="F1257" s="12">
        <f t="shared" si="178"/>
        <v>269.79923429823498</v>
      </c>
      <c r="G1257" s="12">
        <f t="shared" si="179"/>
        <v>174.17210885880596</v>
      </c>
      <c r="H1257" s="12">
        <f t="shared" si="176"/>
        <v>971200</v>
      </c>
      <c r="I1257" s="12">
        <f t="shared" si="177"/>
        <v>627000</v>
      </c>
      <c r="J1257" s="12">
        <f>IF(A1257&lt;[3]关卡对接!$A$4,INDEX([3]关卡对接!$C$7:$C$141,A1257),MATCH(E1257,人物经验!$H$24:$H$573,1))</f>
        <v>440</v>
      </c>
      <c r="K1257" s="12">
        <f>IF([3]关卡对接!F1245="",INT(INDEX(人物经验!$J$24:$J$573,关卡!J1257)*关卡!$S$7),[3]关卡对接!F1245)</f>
        <v>24233</v>
      </c>
      <c r="L1257" s="12">
        <f t="shared" si="182"/>
        <v>2.2000000000000002</v>
      </c>
      <c r="M1257" s="12">
        <f>L1257/[4]货币基础!$B$4</f>
        <v>220</v>
      </c>
      <c r="N1257" s="12">
        <f>IF(A1257&lt;[3]关卡对接!$A$4,INDEX([3]关卡对接!$E$7:$E$141,A1257),MATCH(E1257,人物经验!$H$24:$H$573,1))</f>
        <v>440</v>
      </c>
      <c r="O1257" s="12">
        <f>INDEX([2]关卡!$G$6:$G$2005,A1257)</f>
        <v>3</v>
      </c>
      <c r="P1257" s="13">
        <v>6</v>
      </c>
      <c r="Q1257" s="12">
        <f>INT(P1257/$S$15/O1257*VLOOKUP(J1257,[1]人物技能基础!$N$3:$O$553,2,0)*$U$15)</f>
        <v>9</v>
      </c>
      <c r="R1257" s="12">
        <f t="shared" si="183"/>
        <v>112</v>
      </c>
    </row>
    <row r="1258" spans="1:18" x14ac:dyDescent="0.15">
      <c r="A1258" s="12">
        <v>1240</v>
      </c>
      <c r="B1258" s="12">
        <f t="shared" si="180"/>
        <v>7</v>
      </c>
      <c r="C1258" s="12">
        <f t="shared" si="181"/>
        <v>1.8400000000000003</v>
      </c>
      <c r="D1258" s="12">
        <f t="shared" si="175"/>
        <v>4.6974999999999989E-2</v>
      </c>
      <c r="E1258" s="12">
        <f>SUM($D$19:D1258)</f>
        <v>24.03999999999996</v>
      </c>
      <c r="F1258" s="12">
        <f t="shared" si="178"/>
        <v>270.33598064</v>
      </c>
      <c r="G1258" s="12">
        <f t="shared" si="179"/>
        <v>174.44671919999999</v>
      </c>
      <c r="H1258" s="12">
        <f t="shared" si="176"/>
        <v>973200</v>
      </c>
      <c r="I1258" s="12">
        <f t="shared" si="177"/>
        <v>628000</v>
      </c>
      <c r="J1258" s="12">
        <f>IF(A1258&lt;[3]关卡对接!$A$4,INDEX([3]关卡对接!$C$7:$C$141,A1258),MATCH(E1258,人物经验!$H$24:$H$573,1))</f>
        <v>440</v>
      </c>
      <c r="K1258" s="12">
        <f>IF([3]关卡对接!F1246="",INT(INDEX(人物经验!$J$24:$J$573,关卡!J1258)*关卡!$S$7),[3]关卡对接!F1246)</f>
        <v>24233</v>
      </c>
      <c r="L1258" s="12">
        <f t="shared" si="182"/>
        <v>2.2000000000000002</v>
      </c>
      <c r="M1258" s="12">
        <f>L1258/[4]货币基础!$B$4</f>
        <v>220</v>
      </c>
      <c r="N1258" s="12">
        <f>IF(A1258&lt;[3]关卡对接!$A$4,INDEX([3]关卡对接!$E$7:$E$141,A1258),MATCH(E1258,人物经验!$H$24:$H$573,1))</f>
        <v>440</v>
      </c>
      <c r="O1258" s="12">
        <f>INDEX([2]关卡!$G$6:$G$2005,A1258)</f>
        <v>3</v>
      </c>
      <c r="P1258" s="13">
        <v>6</v>
      </c>
      <c r="Q1258" s="12">
        <f>INT(P1258/$S$15/O1258*VLOOKUP(J1258,[1]人物技能基础!$N$3:$O$553,2,0)*$U$15)</f>
        <v>9</v>
      </c>
      <c r="R1258" s="12">
        <f t="shared" si="183"/>
        <v>112</v>
      </c>
    </row>
    <row r="1259" spans="1:18" x14ac:dyDescent="0.15">
      <c r="A1259" s="12">
        <v>1241</v>
      </c>
      <c r="B1259" s="12">
        <f t="shared" si="180"/>
        <v>7</v>
      </c>
      <c r="C1259" s="12">
        <f t="shared" si="181"/>
        <v>1.887025</v>
      </c>
      <c r="D1259" s="12">
        <f t="shared" si="175"/>
        <v>4.702499999999965E-2</v>
      </c>
      <c r="E1259" s="12">
        <f>SUM($D$19:D1259)</f>
        <v>24.087024999999961</v>
      </c>
      <c r="F1259" s="12">
        <f t="shared" si="178"/>
        <v>270.87356610861502</v>
      </c>
      <c r="G1259" s="12">
        <f t="shared" si="179"/>
        <v>174.72165359520596</v>
      </c>
      <c r="H1259" s="12">
        <f t="shared" si="176"/>
        <v>975100</v>
      </c>
      <c r="I1259" s="12">
        <f t="shared" si="177"/>
        <v>628900</v>
      </c>
      <c r="J1259" s="12">
        <f>IF(A1259&lt;[3]关卡对接!$A$4,INDEX([3]关卡对接!$C$7:$C$141,A1259),MATCH(E1259,人物经验!$H$24:$H$573,1))</f>
        <v>440</v>
      </c>
      <c r="K1259" s="12">
        <f>IF([3]关卡对接!F1247="",INT(INDEX(人物经验!$J$24:$J$573,关卡!J1259)*关卡!$S$7),[3]关卡对接!F1247)</f>
        <v>24233</v>
      </c>
      <c r="L1259" s="12">
        <f t="shared" si="182"/>
        <v>2.2000000000000002</v>
      </c>
      <c r="M1259" s="12">
        <f>L1259/[4]货币基础!$B$4</f>
        <v>220</v>
      </c>
      <c r="N1259" s="12">
        <f>IF(A1259&lt;[3]关卡对接!$A$4,INDEX([3]关卡对接!$E$7:$E$141,A1259),MATCH(E1259,人物经验!$H$24:$H$573,1))</f>
        <v>440</v>
      </c>
      <c r="O1259" s="12">
        <f>INDEX([2]关卡!$G$6:$G$2005,A1259)</f>
        <v>3</v>
      </c>
      <c r="P1259" s="13">
        <v>6</v>
      </c>
      <c r="Q1259" s="12">
        <f>INT(P1259/$S$15/O1259*VLOOKUP(J1259,[1]人物技能基础!$N$3:$O$553,2,0)*$U$15)</f>
        <v>9</v>
      </c>
      <c r="R1259" s="12">
        <f t="shared" si="183"/>
        <v>112</v>
      </c>
    </row>
    <row r="1260" spans="1:18" x14ac:dyDescent="0.15">
      <c r="A1260" s="12">
        <v>1242</v>
      </c>
      <c r="B1260" s="12">
        <f t="shared" si="180"/>
        <v>7</v>
      </c>
      <c r="C1260" s="12">
        <f t="shared" si="181"/>
        <v>1.9340999999999999</v>
      </c>
      <c r="D1260" s="12">
        <f t="shared" si="175"/>
        <v>4.7074999999999978E-2</v>
      </c>
      <c r="E1260" s="12">
        <f>SUM($D$19:D1260)</f>
        <v>24.134099999999961</v>
      </c>
      <c r="F1260" s="12">
        <f t="shared" si="178"/>
        <v>271.41199167151905</v>
      </c>
      <c r="G1260" s="12">
        <f t="shared" si="179"/>
        <v>174.99691233369498</v>
      </c>
      <c r="H1260" s="12">
        <f t="shared" si="176"/>
        <v>977000</v>
      </c>
      <c r="I1260" s="12">
        <f t="shared" si="177"/>
        <v>629900</v>
      </c>
      <c r="J1260" s="12">
        <f>IF(A1260&lt;[3]关卡对接!$A$4,INDEX([3]关卡对接!$C$7:$C$141,A1260),MATCH(E1260,人物经验!$H$24:$H$573,1))</f>
        <v>441</v>
      </c>
      <c r="K1260" s="12">
        <f>IF([3]关卡对接!F1248="",INT(INDEX(人物经验!$J$24:$J$573,关卡!J1260)*关卡!$S$7),[3]关卡对接!F1248)</f>
        <v>24378</v>
      </c>
      <c r="L1260" s="12">
        <f t="shared" si="182"/>
        <v>2.2000000000000002</v>
      </c>
      <c r="M1260" s="12">
        <f>L1260/[4]货币基础!$B$4</f>
        <v>220</v>
      </c>
      <c r="N1260" s="12">
        <f>IF(A1260&lt;[3]关卡对接!$A$4,INDEX([3]关卡对接!$E$7:$E$141,A1260),MATCH(E1260,人物经验!$H$24:$H$573,1))</f>
        <v>441</v>
      </c>
      <c r="O1260" s="12">
        <f>INDEX([2]关卡!$G$6:$G$2005,A1260)</f>
        <v>3</v>
      </c>
      <c r="P1260" s="13">
        <v>6</v>
      </c>
      <c r="Q1260" s="12">
        <f>INT(P1260/$S$15/O1260*VLOOKUP(J1260,[1]人物技能基础!$N$3:$O$553,2,0)*$U$15)</f>
        <v>9</v>
      </c>
      <c r="R1260" s="12">
        <f t="shared" si="183"/>
        <v>112</v>
      </c>
    </row>
    <row r="1261" spans="1:18" x14ac:dyDescent="0.15">
      <c r="A1261" s="12">
        <v>1243</v>
      </c>
      <c r="B1261" s="12">
        <f t="shared" si="180"/>
        <v>7</v>
      </c>
      <c r="C1261" s="12">
        <f t="shared" si="181"/>
        <v>1.981225</v>
      </c>
      <c r="D1261" s="12">
        <f t="shared" si="175"/>
        <v>4.7125000000000083E-2</v>
      </c>
      <c r="E1261" s="12">
        <f>SUM($D$19:D1261)</f>
        <v>24.181224999999962</v>
      </c>
      <c r="F1261" s="12">
        <f t="shared" si="178"/>
        <v>271.95125829675004</v>
      </c>
      <c r="G1261" s="12">
        <f t="shared" si="179"/>
        <v>175.27249570488095</v>
      </c>
      <c r="H1261" s="12">
        <f t="shared" si="176"/>
        <v>979000</v>
      </c>
      <c r="I1261" s="12">
        <f t="shared" si="177"/>
        <v>630900</v>
      </c>
      <c r="J1261" s="12">
        <f>IF(A1261&lt;[3]关卡对接!$A$4,INDEX([3]关卡对接!$C$7:$C$141,A1261),MATCH(E1261,人物经验!$H$24:$H$573,1))</f>
        <v>441</v>
      </c>
      <c r="K1261" s="12">
        <f>IF([3]关卡对接!F1249="",INT(INDEX(人物经验!$J$24:$J$573,关卡!J1261)*关卡!$S$7),[3]关卡对接!F1249)</f>
        <v>24378</v>
      </c>
      <c r="L1261" s="12">
        <f t="shared" si="182"/>
        <v>2.2000000000000002</v>
      </c>
      <c r="M1261" s="12">
        <f>L1261/[4]货币基础!$B$4</f>
        <v>220</v>
      </c>
      <c r="N1261" s="12">
        <f>IF(A1261&lt;[3]关卡对接!$A$4,INDEX([3]关卡对接!$E$7:$E$141,A1261),MATCH(E1261,人物经验!$H$24:$H$573,1))</f>
        <v>441</v>
      </c>
      <c r="O1261" s="12">
        <f>INDEX([2]关卡!$G$6:$G$2005,A1261)</f>
        <v>3</v>
      </c>
      <c r="P1261" s="13">
        <v>6</v>
      </c>
      <c r="Q1261" s="12">
        <f>INT(P1261/$S$15/O1261*VLOOKUP(J1261,[1]人物技能基础!$N$3:$O$553,2,0)*$U$15)</f>
        <v>9</v>
      </c>
      <c r="R1261" s="12">
        <f t="shared" si="183"/>
        <v>112</v>
      </c>
    </row>
    <row r="1262" spans="1:18" x14ac:dyDescent="0.15">
      <c r="A1262" s="12">
        <v>1244</v>
      </c>
      <c r="B1262" s="12">
        <f t="shared" si="180"/>
        <v>7</v>
      </c>
      <c r="C1262" s="12">
        <f t="shared" si="181"/>
        <v>2.0284000000000004</v>
      </c>
      <c r="D1262" s="12">
        <f t="shared" si="175"/>
        <v>4.7175000000000411E-2</v>
      </c>
      <c r="E1262" s="12">
        <f>SUM($D$19:D1262)</f>
        <v>24.228399999999962</v>
      </c>
      <c r="F1262" s="12">
        <f t="shared" si="178"/>
        <v>272.49136695294402</v>
      </c>
      <c r="G1262" s="12">
        <f t="shared" si="179"/>
        <v>175.54840399832</v>
      </c>
      <c r="H1262" s="12">
        <f t="shared" si="176"/>
        <v>980900</v>
      </c>
      <c r="I1262" s="12">
        <f t="shared" si="177"/>
        <v>631900</v>
      </c>
      <c r="J1262" s="12">
        <f>IF(A1262&lt;[3]关卡对接!$A$4,INDEX([3]关卡对接!$C$7:$C$141,A1262),MATCH(E1262,人物经验!$H$24:$H$573,1))</f>
        <v>441</v>
      </c>
      <c r="K1262" s="12">
        <f>IF([3]关卡对接!F1250="",INT(INDEX(人物经验!$J$24:$J$573,关卡!J1262)*关卡!$S$7),[3]关卡对接!F1250)</f>
        <v>24378</v>
      </c>
      <c r="L1262" s="12">
        <f t="shared" si="182"/>
        <v>2.2000000000000002</v>
      </c>
      <c r="M1262" s="12">
        <f>L1262/[4]货币基础!$B$4</f>
        <v>220</v>
      </c>
      <c r="N1262" s="12">
        <f>IF(A1262&lt;[3]关卡对接!$A$4,INDEX([3]关卡对接!$E$7:$E$141,A1262),MATCH(E1262,人物经验!$H$24:$H$573,1))</f>
        <v>441</v>
      </c>
      <c r="O1262" s="12">
        <f>INDEX([2]关卡!$G$6:$G$2005,A1262)</f>
        <v>3</v>
      </c>
      <c r="P1262" s="13">
        <v>6</v>
      </c>
      <c r="Q1262" s="12">
        <f>INT(P1262/$S$15/O1262*VLOOKUP(J1262,[1]人物技能基础!$N$3:$O$553,2,0)*$U$15)</f>
        <v>9</v>
      </c>
      <c r="R1262" s="12">
        <f t="shared" si="183"/>
        <v>112</v>
      </c>
    </row>
    <row r="1263" spans="1:18" x14ac:dyDescent="0.15">
      <c r="A1263" s="12">
        <v>1245</v>
      </c>
      <c r="B1263" s="12">
        <f t="shared" si="180"/>
        <v>7</v>
      </c>
      <c r="C1263" s="12">
        <f t="shared" si="181"/>
        <v>2.0756250000000001</v>
      </c>
      <c r="D1263" s="12">
        <f t="shared" si="175"/>
        <v>4.7224999999999628E-2</v>
      </c>
      <c r="E1263" s="12">
        <f>SUM($D$19:D1263)</f>
        <v>24.275624999999962</v>
      </c>
      <c r="F1263" s="12">
        <f t="shared" si="178"/>
        <v>273.03231860933596</v>
      </c>
      <c r="G1263" s="12">
        <f t="shared" si="179"/>
        <v>175.82463750371096</v>
      </c>
      <c r="H1263" s="12">
        <f t="shared" si="176"/>
        <v>982900</v>
      </c>
      <c r="I1263" s="12">
        <f t="shared" si="177"/>
        <v>632900</v>
      </c>
      <c r="J1263" s="12">
        <f>IF(A1263&lt;[3]关卡对接!$A$4,INDEX([3]关卡对接!$C$7:$C$141,A1263),MATCH(E1263,人物经验!$H$24:$H$573,1))</f>
        <v>442</v>
      </c>
      <c r="K1263" s="12">
        <f>IF([3]关卡对接!F1251="",INT(INDEX(人物经验!$J$24:$J$573,关卡!J1263)*关卡!$S$7),[3]关卡对接!F1251)</f>
        <v>24524</v>
      </c>
      <c r="L1263" s="12">
        <f t="shared" si="182"/>
        <v>2.2000000000000002</v>
      </c>
      <c r="M1263" s="12">
        <f>L1263/[4]货币基础!$B$4</f>
        <v>220</v>
      </c>
      <c r="N1263" s="12">
        <f>IF(A1263&lt;[3]关卡对接!$A$4,INDEX([3]关卡对接!$E$7:$E$141,A1263),MATCH(E1263,人物经验!$H$24:$H$573,1))</f>
        <v>442</v>
      </c>
      <c r="O1263" s="12">
        <f>INDEX([2]关卡!$G$6:$G$2005,A1263)</f>
        <v>3</v>
      </c>
      <c r="P1263" s="13">
        <v>6</v>
      </c>
      <c r="Q1263" s="12">
        <f>INT(P1263/$S$15/O1263*VLOOKUP(J1263,[1]人物技能基础!$N$3:$O$553,2,0)*$U$15)</f>
        <v>9</v>
      </c>
      <c r="R1263" s="12">
        <f t="shared" si="183"/>
        <v>112</v>
      </c>
    </row>
    <row r="1264" spans="1:18" x14ac:dyDescent="0.15">
      <c r="A1264" s="12">
        <v>1246</v>
      </c>
      <c r="B1264" s="12">
        <f t="shared" si="180"/>
        <v>7</v>
      </c>
      <c r="C1264" s="12">
        <f t="shared" si="181"/>
        <v>2.1229</v>
      </c>
      <c r="D1264" s="12">
        <f t="shared" si="175"/>
        <v>4.7274999999999956E-2</v>
      </c>
      <c r="E1264" s="12">
        <f>SUM($D$19:D1264)</f>
        <v>24.322899999999962</v>
      </c>
      <c r="F1264" s="12">
        <f t="shared" si="178"/>
        <v>273.57411423575894</v>
      </c>
      <c r="G1264" s="12">
        <f t="shared" si="179"/>
        <v>176.10119651089499</v>
      </c>
      <c r="H1264" s="12">
        <f t="shared" si="176"/>
        <v>984800</v>
      </c>
      <c r="I1264" s="12">
        <f t="shared" si="177"/>
        <v>633900</v>
      </c>
      <c r="J1264" s="12">
        <f>IF(A1264&lt;[3]关卡对接!$A$4,INDEX([3]关卡对接!$C$7:$C$141,A1264),MATCH(E1264,人物经验!$H$24:$H$573,1))</f>
        <v>442</v>
      </c>
      <c r="K1264" s="12">
        <f>IF([3]关卡对接!F1252="",INT(INDEX(人物经验!$J$24:$J$573,关卡!J1264)*关卡!$S$7),[3]关卡对接!F1252)</f>
        <v>24524</v>
      </c>
      <c r="L1264" s="12">
        <f t="shared" si="182"/>
        <v>2.2000000000000002</v>
      </c>
      <c r="M1264" s="12">
        <f>L1264/[4]货币基础!$B$4</f>
        <v>220</v>
      </c>
      <c r="N1264" s="12">
        <f>IF(A1264&lt;[3]关卡对接!$A$4,INDEX([3]关卡对接!$E$7:$E$141,A1264),MATCH(E1264,人物经验!$H$24:$H$573,1))</f>
        <v>442</v>
      </c>
      <c r="O1264" s="12">
        <f>INDEX([2]关卡!$G$6:$G$2005,A1264)</f>
        <v>3</v>
      </c>
      <c r="P1264" s="13">
        <v>6</v>
      </c>
      <c r="Q1264" s="12">
        <f>INT(P1264/$S$15/O1264*VLOOKUP(J1264,[1]人物技能基础!$N$3:$O$553,2,0)*$U$15)</f>
        <v>9</v>
      </c>
      <c r="R1264" s="12">
        <f t="shared" si="183"/>
        <v>112</v>
      </c>
    </row>
    <row r="1265" spans="1:18" x14ac:dyDescent="0.15">
      <c r="A1265" s="12">
        <v>1247</v>
      </c>
      <c r="B1265" s="12">
        <f t="shared" si="180"/>
        <v>7</v>
      </c>
      <c r="C1265" s="12">
        <f t="shared" si="181"/>
        <v>2.1702250000000003</v>
      </c>
      <c r="D1265" s="12">
        <f t="shared" si="175"/>
        <v>4.7325000000000284E-2</v>
      </c>
      <c r="E1265" s="12">
        <f>SUM($D$19:D1265)</f>
        <v>24.370224999999962</v>
      </c>
      <c r="F1265" s="12">
        <f t="shared" si="178"/>
        <v>274.116754802645</v>
      </c>
      <c r="G1265" s="12">
        <f t="shared" si="179"/>
        <v>176.37808130985596</v>
      </c>
      <c r="H1265" s="12">
        <f t="shared" si="176"/>
        <v>986800</v>
      </c>
      <c r="I1265" s="12">
        <f t="shared" si="177"/>
        <v>634900</v>
      </c>
      <c r="J1265" s="12">
        <f>IF(A1265&lt;[3]关卡对接!$A$4,INDEX([3]关卡对接!$C$7:$C$141,A1265),MATCH(E1265,人物经验!$H$24:$H$573,1))</f>
        <v>442</v>
      </c>
      <c r="K1265" s="12">
        <f>IF([3]关卡对接!F1253="",INT(INDEX(人物经验!$J$24:$J$573,关卡!J1265)*关卡!$S$7),[3]关卡对接!F1253)</f>
        <v>24524</v>
      </c>
      <c r="L1265" s="12">
        <f t="shared" si="182"/>
        <v>2.2000000000000002</v>
      </c>
      <c r="M1265" s="12">
        <f>L1265/[4]货币基础!$B$4</f>
        <v>220</v>
      </c>
      <c r="N1265" s="12">
        <f>IF(A1265&lt;[3]关卡对接!$A$4,INDEX([3]关卡对接!$E$7:$E$141,A1265),MATCH(E1265,人物经验!$H$24:$H$573,1))</f>
        <v>442</v>
      </c>
      <c r="O1265" s="12">
        <f>INDEX([2]关卡!$G$6:$G$2005,A1265)</f>
        <v>3</v>
      </c>
      <c r="P1265" s="13">
        <v>6</v>
      </c>
      <c r="Q1265" s="12">
        <f>INT(P1265/$S$15/O1265*VLOOKUP(J1265,[1]人物技能基础!$N$3:$O$553,2,0)*$U$15)</f>
        <v>9</v>
      </c>
      <c r="R1265" s="12">
        <f t="shared" si="183"/>
        <v>112</v>
      </c>
    </row>
    <row r="1266" spans="1:18" x14ac:dyDescent="0.15">
      <c r="A1266" s="12">
        <v>1248</v>
      </c>
      <c r="B1266" s="12">
        <f t="shared" si="180"/>
        <v>7</v>
      </c>
      <c r="C1266" s="12">
        <f t="shared" si="181"/>
        <v>2.2176</v>
      </c>
      <c r="D1266" s="12">
        <f t="shared" si="175"/>
        <v>4.7374999999999723E-2</v>
      </c>
      <c r="E1266" s="12">
        <f>SUM($D$19:D1266)</f>
        <v>24.417599999999961</v>
      </c>
      <c r="F1266" s="12">
        <f t="shared" si="178"/>
        <v>274.66024128102396</v>
      </c>
      <c r="G1266" s="12">
        <f t="shared" si="179"/>
        <v>176.65529219071996</v>
      </c>
      <c r="H1266" s="12">
        <f t="shared" si="176"/>
        <v>988700</v>
      </c>
      <c r="I1266" s="12">
        <f t="shared" si="177"/>
        <v>635900</v>
      </c>
      <c r="J1266" s="12">
        <f>IF(A1266&lt;[3]关卡对接!$A$4,INDEX([3]关卡对接!$C$7:$C$141,A1266),MATCH(E1266,人物经验!$H$24:$H$573,1))</f>
        <v>443</v>
      </c>
      <c r="K1266" s="12">
        <f>IF([3]关卡对接!F1254="",INT(INDEX(人物经验!$J$24:$J$573,关卡!J1266)*关卡!$S$7),[3]关卡对接!F1254)</f>
        <v>24670</v>
      </c>
      <c r="L1266" s="12">
        <f t="shared" si="182"/>
        <v>2.2000000000000002</v>
      </c>
      <c r="M1266" s="12">
        <f>L1266/[4]货币基础!$B$4</f>
        <v>220</v>
      </c>
      <c r="N1266" s="12">
        <f>IF(A1266&lt;[3]关卡对接!$A$4,INDEX([3]关卡对接!$E$7:$E$141,A1266),MATCH(E1266,人物经验!$H$24:$H$573,1))</f>
        <v>443</v>
      </c>
      <c r="O1266" s="12">
        <f>INDEX([2]关卡!$G$6:$G$2005,A1266)</f>
        <v>3</v>
      </c>
      <c r="P1266" s="13">
        <v>6</v>
      </c>
      <c r="Q1266" s="12">
        <f>INT(P1266/$S$15/O1266*VLOOKUP(J1266,[1]人物技能基础!$N$3:$O$553,2,0)*$U$15)</f>
        <v>9</v>
      </c>
      <c r="R1266" s="12">
        <f t="shared" si="183"/>
        <v>112</v>
      </c>
    </row>
    <row r="1267" spans="1:18" x14ac:dyDescent="0.15">
      <c r="A1267" s="12">
        <v>1249</v>
      </c>
      <c r="B1267" s="12">
        <f t="shared" si="180"/>
        <v>7</v>
      </c>
      <c r="C1267" s="12">
        <f t="shared" si="181"/>
        <v>2.2650250000000001</v>
      </c>
      <c r="D1267" s="12">
        <f t="shared" si="175"/>
        <v>4.742500000000005E-2</v>
      </c>
      <c r="E1267" s="12">
        <f>SUM($D$19:D1267)</f>
        <v>24.465024999999962</v>
      </c>
      <c r="F1267" s="12">
        <f t="shared" si="178"/>
        <v>275.20457464252496</v>
      </c>
      <c r="G1267" s="12">
        <f t="shared" si="179"/>
        <v>176.93282944375594</v>
      </c>
      <c r="H1267" s="12">
        <f t="shared" si="176"/>
        <v>990700</v>
      </c>
      <c r="I1267" s="12">
        <f t="shared" si="177"/>
        <v>636900</v>
      </c>
      <c r="J1267" s="12">
        <f>IF(A1267&lt;[3]关卡对接!$A$4,INDEX([3]关卡对接!$C$7:$C$141,A1267),MATCH(E1267,人物经验!$H$24:$H$573,1))</f>
        <v>443</v>
      </c>
      <c r="K1267" s="12">
        <f>IF([3]关卡对接!F1255="",INT(INDEX(人物经验!$J$24:$J$573,关卡!J1267)*关卡!$S$7),[3]关卡对接!F1255)</f>
        <v>24670</v>
      </c>
      <c r="L1267" s="12">
        <f t="shared" si="182"/>
        <v>2.2000000000000002</v>
      </c>
      <c r="M1267" s="12">
        <f>L1267/[4]货币基础!$B$4</f>
        <v>220</v>
      </c>
      <c r="N1267" s="12">
        <f>IF(A1267&lt;[3]关卡对接!$A$4,INDEX([3]关卡对接!$E$7:$E$141,A1267),MATCH(E1267,人物经验!$H$24:$H$573,1))</f>
        <v>443</v>
      </c>
      <c r="O1267" s="12">
        <f>INDEX([2]关卡!$G$6:$G$2005,A1267)</f>
        <v>3</v>
      </c>
      <c r="P1267" s="13">
        <v>6</v>
      </c>
      <c r="Q1267" s="12">
        <f>INT(P1267/$S$15/O1267*VLOOKUP(J1267,[1]人物技能基础!$N$3:$O$553,2,0)*$U$15)</f>
        <v>9</v>
      </c>
      <c r="R1267" s="12">
        <f t="shared" si="183"/>
        <v>112</v>
      </c>
    </row>
    <row r="1268" spans="1:18" x14ac:dyDescent="0.15">
      <c r="A1268" s="12">
        <v>1250</v>
      </c>
      <c r="B1268" s="12">
        <f t="shared" si="180"/>
        <v>7</v>
      </c>
      <c r="C1268" s="12">
        <f t="shared" si="181"/>
        <v>2.3125</v>
      </c>
      <c r="D1268" s="12">
        <f t="shared" si="175"/>
        <v>4.7474999999999934E-2</v>
      </c>
      <c r="E1268" s="12">
        <f>SUM($D$19:D1268)</f>
        <v>24.51249999999996</v>
      </c>
      <c r="F1268" s="12">
        <f t="shared" si="178"/>
        <v>275.749755859375</v>
      </c>
      <c r="G1268" s="12">
        <f t="shared" si="179"/>
        <v>177.210693359375</v>
      </c>
      <c r="H1268" s="12">
        <f t="shared" si="176"/>
        <v>992600</v>
      </c>
      <c r="I1268" s="12">
        <f t="shared" si="177"/>
        <v>637900</v>
      </c>
      <c r="J1268" s="12">
        <f>IF(A1268&lt;[3]关卡对接!$A$4,INDEX([3]关卡对接!$C$7:$C$141,A1268),MATCH(E1268,人物经验!$H$24:$H$573,1))</f>
        <v>443</v>
      </c>
      <c r="K1268" s="12">
        <f>IF([3]关卡对接!F1256="",INT(INDEX(人物经验!$J$24:$J$573,关卡!J1268)*关卡!$S$7),[3]关卡对接!F1256)</f>
        <v>24670</v>
      </c>
      <c r="L1268" s="12">
        <f t="shared" si="182"/>
        <v>2.2000000000000002</v>
      </c>
      <c r="M1268" s="12">
        <f>L1268/[4]货币基础!$B$4</f>
        <v>220</v>
      </c>
      <c r="N1268" s="12">
        <f>IF(A1268&lt;[3]关卡对接!$A$4,INDEX([3]关卡对接!$E$7:$E$141,A1268),MATCH(E1268,人物经验!$H$24:$H$573,1))</f>
        <v>443</v>
      </c>
      <c r="O1268" s="12">
        <f>INDEX([2]关卡!$G$6:$G$2005,A1268)</f>
        <v>3</v>
      </c>
      <c r="P1268" s="13">
        <v>6</v>
      </c>
      <c r="Q1268" s="12">
        <f>INT(P1268/$S$15/O1268*VLOOKUP(J1268,[1]人物技能基础!$N$3:$O$553,2,0)*$U$15)</f>
        <v>9</v>
      </c>
      <c r="R1268" s="12">
        <f t="shared" si="183"/>
        <v>112</v>
      </c>
    </row>
    <row r="1269" spans="1:18" x14ac:dyDescent="0.15">
      <c r="A1269" s="12">
        <v>1251</v>
      </c>
      <c r="B1269" s="12">
        <f t="shared" si="180"/>
        <v>7</v>
      </c>
      <c r="C1269" s="12">
        <f t="shared" si="181"/>
        <v>2.3600250000000003</v>
      </c>
      <c r="D1269" s="12">
        <f t="shared" si="175"/>
        <v>4.7525000000000261E-2</v>
      </c>
      <c r="E1269" s="12">
        <f>SUM($D$19:D1269)</f>
        <v>24.56002499999996</v>
      </c>
      <c r="F1269" s="12">
        <f t="shared" si="178"/>
        <v>276.29578590439985</v>
      </c>
      <c r="G1269" s="12">
        <f t="shared" si="179"/>
        <v>177.48888422813093</v>
      </c>
      <c r="H1269" s="12">
        <f t="shared" si="176"/>
        <v>994600</v>
      </c>
      <c r="I1269" s="12">
        <f t="shared" si="177"/>
        <v>638900</v>
      </c>
      <c r="J1269" s="12">
        <f>IF(A1269&lt;[3]关卡对接!$A$4,INDEX([3]关卡对接!$C$7:$C$141,A1269),MATCH(E1269,人物经验!$H$24:$H$573,1))</f>
        <v>444</v>
      </c>
      <c r="K1269" s="12">
        <f>IF([3]关卡对接!F1257="",INT(INDEX(人物经验!$J$24:$J$573,关卡!J1269)*关卡!$S$7),[3]关卡对接!F1257)</f>
        <v>24817</v>
      </c>
      <c r="L1269" s="12">
        <f t="shared" si="182"/>
        <v>2.2000000000000002</v>
      </c>
      <c r="M1269" s="12">
        <f>L1269/[4]货币基础!$B$4</f>
        <v>220</v>
      </c>
      <c r="N1269" s="12">
        <f>IF(A1269&lt;[3]关卡对接!$A$4,INDEX([3]关卡对接!$E$7:$E$141,A1269),MATCH(E1269,人物经验!$H$24:$H$573,1))</f>
        <v>444</v>
      </c>
      <c r="O1269" s="12">
        <f>INDEX([2]关卡!$G$6:$G$2005,A1269)</f>
        <v>3</v>
      </c>
      <c r="P1269" s="13">
        <v>6</v>
      </c>
      <c r="Q1269" s="12">
        <f>INT(P1269/$S$15/O1269*VLOOKUP(J1269,[1]人物技能基础!$N$3:$O$553,2,0)*$U$15)</f>
        <v>9</v>
      </c>
      <c r="R1269" s="12">
        <f t="shared" si="183"/>
        <v>112</v>
      </c>
    </row>
    <row r="1270" spans="1:18" x14ac:dyDescent="0.15">
      <c r="A1270" s="12">
        <v>1252</v>
      </c>
      <c r="B1270" s="12">
        <f t="shared" si="180"/>
        <v>7</v>
      </c>
      <c r="C1270" s="12">
        <f t="shared" si="181"/>
        <v>2.4076</v>
      </c>
      <c r="D1270" s="12">
        <f t="shared" si="175"/>
        <v>4.7574999999999701E-2</v>
      </c>
      <c r="E1270" s="12">
        <f>SUM($D$19:D1270)</f>
        <v>24.607599999999959</v>
      </c>
      <c r="F1270" s="12">
        <f t="shared" si="178"/>
        <v>276.84266575102401</v>
      </c>
      <c r="G1270" s="12">
        <f t="shared" si="179"/>
        <v>177.76740234072</v>
      </c>
      <c r="H1270" s="12">
        <f t="shared" si="176"/>
        <v>996600</v>
      </c>
      <c r="I1270" s="12">
        <f t="shared" si="177"/>
        <v>639900</v>
      </c>
      <c r="J1270" s="12">
        <f>IF(A1270&lt;[3]关卡对接!$A$4,INDEX([3]关卡对接!$C$7:$C$141,A1270),MATCH(E1270,人物经验!$H$24:$H$573,1))</f>
        <v>444</v>
      </c>
      <c r="K1270" s="12">
        <f>IF([3]关卡对接!F1258="",INT(INDEX(人物经验!$J$24:$J$573,关卡!J1270)*关卡!$S$7),[3]关卡对接!F1258)</f>
        <v>24817</v>
      </c>
      <c r="L1270" s="12">
        <f t="shared" si="182"/>
        <v>2.2000000000000002</v>
      </c>
      <c r="M1270" s="12">
        <f>L1270/[4]货币基础!$B$4</f>
        <v>220</v>
      </c>
      <c r="N1270" s="12">
        <f>IF(A1270&lt;[3]关卡对接!$A$4,INDEX([3]关卡对接!$E$7:$E$141,A1270),MATCH(E1270,人物经验!$H$24:$H$573,1))</f>
        <v>444</v>
      </c>
      <c r="O1270" s="12">
        <f>INDEX([2]关卡!$G$6:$G$2005,A1270)</f>
        <v>3</v>
      </c>
      <c r="P1270" s="13">
        <v>6</v>
      </c>
      <c r="Q1270" s="12">
        <f>INT(P1270/$S$15/O1270*VLOOKUP(J1270,[1]人物技能基础!$N$3:$O$553,2,0)*$U$15)</f>
        <v>9</v>
      </c>
      <c r="R1270" s="12">
        <f t="shared" si="183"/>
        <v>112</v>
      </c>
    </row>
    <row r="1271" spans="1:18" x14ac:dyDescent="0.15">
      <c r="A1271" s="12">
        <v>1253</v>
      </c>
      <c r="B1271" s="12">
        <f t="shared" si="180"/>
        <v>7</v>
      </c>
      <c r="C1271" s="12">
        <f t="shared" si="181"/>
        <v>2.4552250000000004</v>
      </c>
      <c r="D1271" s="12">
        <f t="shared" si="175"/>
        <v>4.7625000000000473E-2</v>
      </c>
      <c r="E1271" s="12">
        <f>SUM($D$19:D1271)</f>
        <v>24.655224999999959</v>
      </c>
      <c r="F1271" s="12">
        <f t="shared" si="178"/>
        <v>277.39039637326988</v>
      </c>
      <c r="G1271" s="12">
        <f t="shared" si="179"/>
        <v>178.04624798798091</v>
      </c>
      <c r="H1271" s="12">
        <f t="shared" si="176"/>
        <v>998600</v>
      </c>
      <c r="I1271" s="12">
        <f t="shared" si="177"/>
        <v>640900</v>
      </c>
      <c r="J1271" s="12">
        <f>IF(A1271&lt;[3]关卡对接!$A$4,INDEX([3]关卡对接!$C$7:$C$141,A1271),MATCH(E1271,人物经验!$H$24:$H$573,1))</f>
        <v>444</v>
      </c>
      <c r="K1271" s="12">
        <f>IF([3]关卡对接!F1259="",INT(INDEX(人物经验!$J$24:$J$573,关卡!J1271)*关卡!$S$7),[3]关卡对接!F1259)</f>
        <v>24817</v>
      </c>
      <c r="L1271" s="12">
        <f t="shared" si="182"/>
        <v>2.2000000000000002</v>
      </c>
      <c r="M1271" s="12">
        <f>L1271/[4]货币基础!$B$4</f>
        <v>220</v>
      </c>
      <c r="N1271" s="12">
        <f>IF(A1271&lt;[3]关卡对接!$A$4,INDEX([3]关卡对接!$E$7:$E$141,A1271),MATCH(E1271,人物经验!$H$24:$H$573,1))</f>
        <v>444</v>
      </c>
      <c r="O1271" s="12">
        <f>INDEX([2]关卡!$G$6:$G$2005,A1271)</f>
        <v>3</v>
      </c>
      <c r="P1271" s="13">
        <v>6</v>
      </c>
      <c r="Q1271" s="12">
        <f>INT(P1271/$S$15/O1271*VLOOKUP(J1271,[1]人物技能基础!$N$3:$O$553,2,0)*$U$15)</f>
        <v>9</v>
      </c>
      <c r="R1271" s="12">
        <f t="shared" si="183"/>
        <v>112</v>
      </c>
    </row>
    <row r="1272" spans="1:18" x14ac:dyDescent="0.15">
      <c r="A1272" s="12">
        <v>1254</v>
      </c>
      <c r="B1272" s="12">
        <f t="shared" si="180"/>
        <v>7</v>
      </c>
      <c r="C1272" s="12">
        <f t="shared" si="181"/>
        <v>2.5029000000000003</v>
      </c>
      <c r="D1272" s="12">
        <f t="shared" si="175"/>
        <v>4.7674999999999912E-2</v>
      </c>
      <c r="E1272" s="12">
        <f>SUM($D$19:D1272)</f>
        <v>24.702899999999957</v>
      </c>
      <c r="F1272" s="12">
        <f t="shared" si="178"/>
        <v>277.93897874575902</v>
      </c>
      <c r="G1272" s="12">
        <f t="shared" si="179"/>
        <v>178.325421460895</v>
      </c>
      <c r="H1272" s="12">
        <f t="shared" si="176"/>
        <v>1000500</v>
      </c>
      <c r="I1272" s="12">
        <f t="shared" si="177"/>
        <v>641900</v>
      </c>
      <c r="J1272" s="12">
        <f>IF(A1272&lt;[3]关卡对接!$A$4,INDEX([3]关卡对接!$C$7:$C$141,A1272),MATCH(E1272,人物经验!$H$24:$H$573,1))</f>
        <v>445</v>
      </c>
      <c r="K1272" s="12">
        <f>IF([3]关卡对接!F1260="",INT(INDEX(人物经验!$J$24:$J$573,关卡!J1272)*关卡!$S$7),[3]关卡对接!F1260)</f>
        <v>24965</v>
      </c>
      <c r="L1272" s="12">
        <f t="shared" si="182"/>
        <v>2.2000000000000002</v>
      </c>
      <c r="M1272" s="12">
        <f>L1272/[4]货币基础!$B$4</f>
        <v>220</v>
      </c>
      <c r="N1272" s="12">
        <f>IF(A1272&lt;[3]关卡对接!$A$4,INDEX([3]关卡对接!$E$7:$E$141,A1272),MATCH(E1272,人物经验!$H$24:$H$573,1))</f>
        <v>445</v>
      </c>
      <c r="O1272" s="12">
        <f>INDEX([2]关卡!$G$6:$G$2005,A1272)</f>
        <v>3</v>
      </c>
      <c r="P1272" s="13">
        <v>6</v>
      </c>
      <c r="Q1272" s="12">
        <f>INT(P1272/$S$15/O1272*VLOOKUP(J1272,[1]人物技能基础!$N$3:$O$553,2,0)*$U$15)</f>
        <v>9</v>
      </c>
      <c r="R1272" s="12">
        <f t="shared" si="183"/>
        <v>112</v>
      </c>
    </row>
    <row r="1273" spans="1:18" x14ac:dyDescent="0.15">
      <c r="A1273" s="12">
        <v>1255</v>
      </c>
      <c r="B1273" s="12">
        <f t="shared" si="180"/>
        <v>7</v>
      </c>
      <c r="C1273" s="12">
        <f t="shared" si="181"/>
        <v>2.5506250000000001</v>
      </c>
      <c r="D1273" s="12">
        <f t="shared" si="175"/>
        <v>4.7724999999999795E-2</v>
      </c>
      <c r="E1273" s="12">
        <f>SUM($D$19:D1273)</f>
        <v>24.750624999999957</v>
      </c>
      <c r="F1273" s="12">
        <f t="shared" si="178"/>
        <v>278.48841384371093</v>
      </c>
      <c r="G1273" s="12">
        <f t="shared" si="179"/>
        <v>178.60492305058588</v>
      </c>
      <c r="H1273" s="12">
        <f t="shared" si="176"/>
        <v>1002500</v>
      </c>
      <c r="I1273" s="12">
        <f t="shared" si="177"/>
        <v>642900</v>
      </c>
      <c r="J1273" s="12">
        <f>IF(A1273&lt;[3]关卡对接!$A$4,INDEX([3]关卡对接!$C$7:$C$141,A1273),MATCH(E1273,人物经验!$H$24:$H$573,1))</f>
        <v>445</v>
      </c>
      <c r="K1273" s="12">
        <f>IF([3]关卡对接!F1261="",INT(INDEX(人物经验!$J$24:$J$573,关卡!J1273)*关卡!$S$7),[3]关卡对接!F1261)</f>
        <v>24965</v>
      </c>
      <c r="L1273" s="12">
        <f t="shared" si="182"/>
        <v>2.2000000000000002</v>
      </c>
      <c r="M1273" s="12">
        <f>L1273/[4]货币基础!$B$4</f>
        <v>220</v>
      </c>
      <c r="N1273" s="12">
        <f>IF(A1273&lt;[3]关卡对接!$A$4,INDEX([3]关卡对接!$E$7:$E$141,A1273),MATCH(E1273,人物经验!$H$24:$H$573,1))</f>
        <v>445</v>
      </c>
      <c r="O1273" s="12">
        <f>INDEX([2]关卡!$G$6:$G$2005,A1273)</f>
        <v>3</v>
      </c>
      <c r="P1273" s="13">
        <v>6</v>
      </c>
      <c r="Q1273" s="12">
        <f>INT(P1273/$S$15/O1273*VLOOKUP(J1273,[1]人物技能基础!$N$3:$O$553,2,0)*$U$15)</f>
        <v>9</v>
      </c>
      <c r="R1273" s="12">
        <f t="shared" si="183"/>
        <v>112</v>
      </c>
    </row>
    <row r="1274" spans="1:18" x14ac:dyDescent="0.15">
      <c r="A1274" s="12">
        <v>1256</v>
      </c>
      <c r="B1274" s="12">
        <f t="shared" si="180"/>
        <v>7</v>
      </c>
      <c r="C1274" s="12">
        <f t="shared" si="181"/>
        <v>2.5984000000000007</v>
      </c>
      <c r="D1274" s="12">
        <f t="shared" si="175"/>
        <v>4.7775000000000567E-2</v>
      </c>
      <c r="E1274" s="12">
        <f>SUM($D$19:D1274)</f>
        <v>24.798399999999958</v>
      </c>
      <c r="F1274" s="12">
        <f t="shared" si="178"/>
        <v>279.03870264294403</v>
      </c>
      <c r="G1274" s="12">
        <f t="shared" si="179"/>
        <v>178.88475304832002</v>
      </c>
      <c r="H1274" s="12">
        <f t="shared" si="176"/>
        <v>1004500</v>
      </c>
      <c r="I1274" s="12">
        <f t="shared" si="177"/>
        <v>643900</v>
      </c>
      <c r="J1274" s="12">
        <f>IF(A1274&lt;[3]关卡对接!$A$4,INDEX([3]关卡对接!$C$7:$C$141,A1274),MATCH(E1274,人物经验!$H$24:$H$573,1))</f>
        <v>445</v>
      </c>
      <c r="K1274" s="12">
        <f>IF([3]关卡对接!F1262="",INT(INDEX(人物经验!$J$24:$J$573,关卡!J1274)*关卡!$S$7),[3]关卡对接!F1262)</f>
        <v>24965</v>
      </c>
      <c r="L1274" s="12">
        <f t="shared" si="182"/>
        <v>2.2000000000000002</v>
      </c>
      <c r="M1274" s="12">
        <f>L1274/[4]货币基础!$B$4</f>
        <v>220</v>
      </c>
      <c r="N1274" s="12">
        <f>IF(A1274&lt;[3]关卡对接!$A$4,INDEX([3]关卡对接!$E$7:$E$141,A1274),MATCH(E1274,人物经验!$H$24:$H$573,1))</f>
        <v>445</v>
      </c>
      <c r="O1274" s="12">
        <f>INDEX([2]关卡!$G$6:$G$2005,A1274)</f>
        <v>3</v>
      </c>
      <c r="P1274" s="13">
        <v>6</v>
      </c>
      <c r="Q1274" s="12">
        <f>INT(P1274/$S$15/O1274*VLOOKUP(J1274,[1]人物技能基础!$N$3:$O$553,2,0)*$U$15)</f>
        <v>9</v>
      </c>
      <c r="R1274" s="12">
        <f t="shared" si="183"/>
        <v>112</v>
      </c>
    </row>
    <row r="1275" spans="1:18" x14ac:dyDescent="0.15">
      <c r="A1275" s="12">
        <v>1257</v>
      </c>
      <c r="B1275" s="12">
        <f t="shared" si="180"/>
        <v>7</v>
      </c>
      <c r="C1275" s="12">
        <f t="shared" si="181"/>
        <v>2.6462249999999998</v>
      </c>
      <c r="D1275" s="12">
        <f t="shared" ref="D1275:D1338" si="184">IF(ISNA(MATCH(A1275,$A$6:$A$15,0)),C1275-C1274,C1275)</f>
        <v>4.7824999999999118E-2</v>
      </c>
      <c r="E1275" s="12">
        <f>SUM($D$19:D1275)</f>
        <v>24.846224999999958</v>
      </c>
      <c r="F1275" s="12">
        <f t="shared" si="178"/>
        <v>279.58984611987489</v>
      </c>
      <c r="G1275" s="12">
        <f t="shared" si="179"/>
        <v>179.16491174550589</v>
      </c>
      <c r="H1275" s="12">
        <f t="shared" ref="H1275:H1338" si="185">INT(F1275*60*60/100)*100</f>
        <v>1006500</v>
      </c>
      <c r="I1275" s="12">
        <f t="shared" ref="I1275:I1338" si="186">INT(G1275*60*60/100)*100</f>
        <v>644900</v>
      </c>
      <c r="J1275" s="12">
        <f>IF(A1275&lt;[3]关卡对接!$A$4,INDEX([3]关卡对接!$C$7:$C$141,A1275),MATCH(E1275,人物经验!$H$24:$H$573,1))</f>
        <v>446</v>
      </c>
      <c r="K1275" s="12">
        <f>IF([3]关卡对接!F1263="",INT(INDEX(人物经验!$J$24:$J$573,关卡!J1275)*关卡!$S$7),[3]关卡对接!F1263)</f>
        <v>25113</v>
      </c>
      <c r="L1275" s="12">
        <f t="shared" si="182"/>
        <v>2.2000000000000002</v>
      </c>
      <c r="M1275" s="12">
        <f>L1275/[4]货币基础!$B$4</f>
        <v>220</v>
      </c>
      <c r="N1275" s="12">
        <f>IF(A1275&lt;[3]关卡对接!$A$4,INDEX([3]关卡对接!$E$7:$E$141,A1275),MATCH(E1275,人物经验!$H$24:$H$573,1))</f>
        <v>446</v>
      </c>
      <c r="O1275" s="12">
        <f>INDEX([2]关卡!$G$6:$G$2005,A1275)</f>
        <v>3</v>
      </c>
      <c r="P1275" s="13">
        <v>6</v>
      </c>
      <c r="Q1275" s="12">
        <f>INT(P1275/$S$15/O1275*VLOOKUP(J1275,[1]人物技能基础!$N$3:$O$553,2,0)*$U$15)</f>
        <v>9</v>
      </c>
      <c r="R1275" s="12">
        <f t="shared" si="183"/>
        <v>112</v>
      </c>
    </row>
    <row r="1276" spans="1:18" x14ac:dyDescent="0.15">
      <c r="A1276" s="12">
        <v>1258</v>
      </c>
      <c r="B1276" s="12">
        <f t="shared" si="180"/>
        <v>7</v>
      </c>
      <c r="C1276" s="12">
        <f t="shared" si="181"/>
        <v>2.6940999999999997</v>
      </c>
      <c r="D1276" s="12">
        <f t="shared" si="184"/>
        <v>4.787499999999989E-2</v>
      </c>
      <c r="E1276" s="12">
        <f>SUM($D$19:D1276)</f>
        <v>24.894099999999959</v>
      </c>
      <c r="F1276" s="12">
        <f t="shared" si="178"/>
        <v>280.14184525151904</v>
      </c>
      <c r="G1276" s="12">
        <f t="shared" si="179"/>
        <v>179.445399433695</v>
      </c>
      <c r="H1276" s="12">
        <f t="shared" si="185"/>
        <v>1008500</v>
      </c>
      <c r="I1276" s="12">
        <f t="shared" si="186"/>
        <v>646000</v>
      </c>
      <c r="J1276" s="12">
        <f>IF(A1276&lt;[3]关卡对接!$A$4,INDEX([3]关卡对接!$C$7:$C$141,A1276),MATCH(E1276,人物经验!$H$24:$H$573,1))</f>
        <v>446</v>
      </c>
      <c r="K1276" s="12">
        <f>IF([3]关卡对接!F1264="",INT(INDEX(人物经验!$J$24:$J$573,关卡!J1276)*关卡!$S$7),[3]关卡对接!F1264)</f>
        <v>25113</v>
      </c>
      <c r="L1276" s="12">
        <f t="shared" si="182"/>
        <v>2.2000000000000002</v>
      </c>
      <c r="M1276" s="12">
        <f>L1276/[4]货币基础!$B$4</f>
        <v>220</v>
      </c>
      <c r="N1276" s="12">
        <f>IF(A1276&lt;[3]关卡对接!$A$4,INDEX([3]关卡对接!$E$7:$E$141,A1276),MATCH(E1276,人物经验!$H$24:$H$573,1))</f>
        <v>446</v>
      </c>
      <c r="O1276" s="12">
        <f>INDEX([2]关卡!$G$6:$G$2005,A1276)</f>
        <v>3</v>
      </c>
      <c r="P1276" s="13">
        <v>6</v>
      </c>
      <c r="Q1276" s="12">
        <f>INT(P1276/$S$15/O1276*VLOOKUP(J1276,[1]人物技能基础!$N$3:$O$553,2,0)*$U$15)</f>
        <v>9</v>
      </c>
      <c r="R1276" s="12">
        <f t="shared" si="183"/>
        <v>112</v>
      </c>
    </row>
    <row r="1277" spans="1:18" x14ac:dyDescent="0.15">
      <c r="A1277" s="12">
        <v>1259</v>
      </c>
      <c r="B1277" s="12">
        <f t="shared" si="180"/>
        <v>7</v>
      </c>
      <c r="C1277" s="12">
        <f t="shared" si="181"/>
        <v>2.7420249999999999</v>
      </c>
      <c r="D1277" s="12">
        <f t="shared" si="184"/>
        <v>4.7925000000000217E-2</v>
      </c>
      <c r="E1277" s="12">
        <f>SUM($D$19:D1277)</f>
        <v>24.942024999999958</v>
      </c>
      <c r="F1277" s="12">
        <f t="shared" si="178"/>
        <v>280.6947010154899</v>
      </c>
      <c r="G1277" s="12">
        <f t="shared" si="179"/>
        <v>179.72621640458092</v>
      </c>
      <c r="H1277" s="12">
        <f t="shared" si="185"/>
        <v>1010500</v>
      </c>
      <c r="I1277" s="12">
        <f t="shared" si="186"/>
        <v>647000</v>
      </c>
      <c r="J1277" s="12">
        <f>IF(A1277&lt;[3]关卡对接!$A$4,INDEX([3]关卡对接!$C$7:$C$141,A1277),MATCH(E1277,人物经验!$H$24:$H$573,1))</f>
        <v>446</v>
      </c>
      <c r="K1277" s="12">
        <f>IF([3]关卡对接!F1265="",INT(INDEX(人物经验!$J$24:$J$573,关卡!J1277)*关卡!$S$7),[3]关卡对接!F1265)</f>
        <v>25113</v>
      </c>
      <c r="L1277" s="12">
        <f t="shared" si="182"/>
        <v>2.2000000000000002</v>
      </c>
      <c r="M1277" s="12">
        <f>L1277/[4]货币基础!$B$4</f>
        <v>220</v>
      </c>
      <c r="N1277" s="12">
        <f>IF(A1277&lt;[3]关卡对接!$A$4,INDEX([3]关卡对接!$E$7:$E$141,A1277),MATCH(E1277,人物经验!$H$24:$H$573,1))</f>
        <v>446</v>
      </c>
      <c r="O1277" s="12">
        <f>INDEX([2]关卡!$G$6:$G$2005,A1277)</f>
        <v>3</v>
      </c>
      <c r="P1277" s="13">
        <v>6</v>
      </c>
      <c r="Q1277" s="12">
        <f>INT(P1277/$S$15/O1277*VLOOKUP(J1277,[1]人物技能基础!$N$3:$O$553,2,0)*$U$15)</f>
        <v>9</v>
      </c>
      <c r="R1277" s="12">
        <f t="shared" si="183"/>
        <v>112</v>
      </c>
    </row>
    <row r="1278" spans="1:18" x14ac:dyDescent="0.15">
      <c r="A1278" s="12">
        <v>1260</v>
      </c>
      <c r="B1278" s="12">
        <f t="shared" si="180"/>
        <v>7</v>
      </c>
      <c r="C1278" s="12">
        <f t="shared" si="181"/>
        <v>2.79</v>
      </c>
      <c r="D1278" s="12">
        <f t="shared" si="184"/>
        <v>4.7975000000000101E-2</v>
      </c>
      <c r="E1278" s="12">
        <f>SUM($D$19:D1278)</f>
        <v>24.989999999999959</v>
      </c>
      <c r="F1278" s="12">
        <f t="shared" si="178"/>
        <v>281.24841439000005</v>
      </c>
      <c r="G1278" s="12">
        <f t="shared" si="179"/>
        <v>180.00736294999999</v>
      </c>
      <c r="H1278" s="12">
        <f t="shared" si="185"/>
        <v>1012400</v>
      </c>
      <c r="I1278" s="12">
        <f t="shared" si="186"/>
        <v>648000</v>
      </c>
      <c r="J1278" s="12">
        <f>IF(A1278&lt;[3]关卡对接!$A$4,INDEX([3]关卡对接!$C$7:$C$141,A1278),MATCH(E1278,人物经验!$H$24:$H$573,1))</f>
        <v>447</v>
      </c>
      <c r="K1278" s="12">
        <f>IF([3]关卡对接!F1266="",INT(INDEX(人物经验!$J$24:$J$573,关卡!J1278)*关卡!$S$7),[3]关卡对接!F1266)</f>
        <v>25262</v>
      </c>
      <c r="L1278" s="12">
        <f t="shared" si="182"/>
        <v>2.2000000000000002</v>
      </c>
      <c r="M1278" s="12">
        <f>L1278/[4]货币基础!$B$4</f>
        <v>220</v>
      </c>
      <c r="N1278" s="12">
        <f>IF(A1278&lt;[3]关卡对接!$A$4,INDEX([3]关卡对接!$E$7:$E$141,A1278),MATCH(E1278,人物经验!$H$24:$H$573,1))</f>
        <v>447</v>
      </c>
      <c r="O1278" s="12">
        <f>INDEX([2]关卡!$G$6:$G$2005,A1278)</f>
        <v>3</v>
      </c>
      <c r="P1278" s="13">
        <v>6</v>
      </c>
      <c r="Q1278" s="12">
        <f>INT(P1278/$S$15/O1278*VLOOKUP(J1278,[1]人物技能基础!$N$3:$O$553,2,0)*$U$15)</f>
        <v>9</v>
      </c>
      <c r="R1278" s="12">
        <f t="shared" si="183"/>
        <v>112</v>
      </c>
    </row>
    <row r="1279" spans="1:18" x14ac:dyDescent="0.15">
      <c r="A1279" s="12">
        <v>1261</v>
      </c>
      <c r="B1279" s="12">
        <f t="shared" si="180"/>
        <v>7</v>
      </c>
      <c r="C1279" s="12">
        <f t="shared" si="181"/>
        <v>2.838025</v>
      </c>
      <c r="D1279" s="12">
        <f t="shared" si="184"/>
        <v>4.8024999999999984E-2</v>
      </c>
      <c r="E1279" s="12">
        <f>SUM($D$19:D1279)</f>
        <v>25.038024999999958</v>
      </c>
      <c r="F1279" s="12">
        <f t="shared" si="178"/>
        <v>281.80298635385992</v>
      </c>
      <c r="G1279" s="12">
        <f t="shared" si="179"/>
        <v>180.28883936193091</v>
      </c>
      <c r="H1279" s="12">
        <f t="shared" si="185"/>
        <v>1014400</v>
      </c>
      <c r="I1279" s="12">
        <f t="shared" si="186"/>
        <v>649000</v>
      </c>
      <c r="J1279" s="12">
        <f>IF(A1279&lt;[3]关卡对接!$A$4,INDEX([3]关卡对接!$C$7:$C$141,A1279),MATCH(E1279,人物经验!$H$24:$H$573,1))</f>
        <v>447</v>
      </c>
      <c r="K1279" s="12">
        <f>IF([3]关卡对接!F1267="",INT(INDEX(人物经验!$J$24:$J$573,关卡!J1279)*关卡!$S$7),[3]关卡对接!F1267)</f>
        <v>25262</v>
      </c>
      <c r="L1279" s="12">
        <f t="shared" si="182"/>
        <v>2.2000000000000002</v>
      </c>
      <c r="M1279" s="12">
        <f>L1279/[4]货币基础!$B$4</f>
        <v>220</v>
      </c>
      <c r="N1279" s="12">
        <f>IF(A1279&lt;[3]关卡对接!$A$4,INDEX([3]关卡对接!$E$7:$E$141,A1279),MATCH(E1279,人物经验!$H$24:$H$573,1))</f>
        <v>447</v>
      </c>
      <c r="O1279" s="12">
        <f>INDEX([2]关卡!$G$6:$G$2005,A1279)</f>
        <v>3</v>
      </c>
      <c r="P1279" s="13">
        <v>6</v>
      </c>
      <c r="Q1279" s="12">
        <f>INT(P1279/$S$15/O1279*VLOOKUP(J1279,[1]人物技能基础!$N$3:$O$553,2,0)*$U$15)</f>
        <v>9</v>
      </c>
      <c r="R1279" s="12">
        <f t="shared" si="183"/>
        <v>112</v>
      </c>
    </row>
    <row r="1280" spans="1:18" x14ac:dyDescent="0.15">
      <c r="A1280" s="12">
        <v>1262</v>
      </c>
      <c r="B1280" s="12">
        <f t="shared" si="180"/>
        <v>7</v>
      </c>
      <c r="C1280" s="12">
        <f t="shared" si="181"/>
        <v>2.8861000000000003</v>
      </c>
      <c r="D1280" s="12">
        <f t="shared" si="184"/>
        <v>4.8075000000000312E-2</v>
      </c>
      <c r="E1280" s="12">
        <f>SUM($D$19:D1280)</f>
        <v>25.086099999999959</v>
      </c>
      <c r="F1280" s="12">
        <f t="shared" si="178"/>
        <v>282.35841788647895</v>
      </c>
      <c r="G1280" s="12">
        <f t="shared" si="179"/>
        <v>180.57064593249501</v>
      </c>
      <c r="H1280" s="12">
        <f t="shared" si="185"/>
        <v>1016400</v>
      </c>
      <c r="I1280" s="12">
        <f t="shared" si="186"/>
        <v>650000</v>
      </c>
      <c r="J1280" s="12">
        <f>IF(A1280&lt;[3]关卡对接!$A$4,INDEX([3]关卡对接!$C$7:$C$141,A1280),MATCH(E1280,人物经验!$H$24:$H$573,1))</f>
        <v>448</v>
      </c>
      <c r="K1280" s="12">
        <f>IF([3]关卡对接!F1268="",INT(INDEX(人物经验!$J$24:$J$573,关卡!J1280)*关卡!$S$7),[3]关卡对接!F1268)</f>
        <v>25362</v>
      </c>
      <c r="L1280" s="12">
        <f t="shared" si="182"/>
        <v>2.2000000000000002</v>
      </c>
      <c r="M1280" s="12">
        <f>L1280/[4]货币基础!$B$4</f>
        <v>220</v>
      </c>
      <c r="N1280" s="12">
        <f>IF(A1280&lt;[3]关卡对接!$A$4,INDEX([3]关卡对接!$E$7:$E$141,A1280),MATCH(E1280,人物经验!$H$24:$H$573,1))</f>
        <v>448</v>
      </c>
      <c r="O1280" s="12">
        <f>INDEX([2]关卡!$G$6:$G$2005,A1280)</f>
        <v>3</v>
      </c>
      <c r="P1280" s="13">
        <v>6</v>
      </c>
      <c r="Q1280" s="12">
        <f>INT(P1280/$S$15/O1280*VLOOKUP(J1280,[1]人物技能基础!$N$3:$O$553,2,0)*$U$15)</f>
        <v>9</v>
      </c>
      <c r="R1280" s="12">
        <f t="shared" si="183"/>
        <v>112</v>
      </c>
    </row>
    <row r="1281" spans="1:18" x14ac:dyDescent="0.15">
      <c r="A1281" s="12">
        <v>1263</v>
      </c>
      <c r="B1281" s="12">
        <f t="shared" si="180"/>
        <v>7</v>
      </c>
      <c r="C1281" s="12">
        <f t="shared" si="181"/>
        <v>2.9342250000000005</v>
      </c>
      <c r="D1281" s="12">
        <f t="shared" si="184"/>
        <v>4.8125000000000195E-2</v>
      </c>
      <c r="E1281" s="12">
        <f>SUM($D$19:D1281)</f>
        <v>25.134224999999958</v>
      </c>
      <c r="F1281" s="12">
        <f t="shared" si="178"/>
        <v>282.91470996786495</v>
      </c>
      <c r="G1281" s="12">
        <f t="shared" si="179"/>
        <v>180.85278295395591</v>
      </c>
      <c r="H1281" s="12">
        <f t="shared" si="185"/>
        <v>1018400</v>
      </c>
      <c r="I1281" s="12">
        <f t="shared" si="186"/>
        <v>651000</v>
      </c>
      <c r="J1281" s="12">
        <f>IF(A1281&lt;[3]关卡对接!$A$4,INDEX([3]关卡对接!$C$7:$C$141,A1281),MATCH(E1281,人物经验!$H$24:$H$573,1))</f>
        <v>448</v>
      </c>
      <c r="K1281" s="12">
        <f>IF([3]关卡对接!F1269="",INT(INDEX(人物经验!$J$24:$J$573,关卡!J1281)*关卡!$S$7),[3]关卡对接!F1269)</f>
        <v>25362</v>
      </c>
      <c r="L1281" s="12">
        <f t="shared" si="182"/>
        <v>2.2000000000000002</v>
      </c>
      <c r="M1281" s="12">
        <f>L1281/[4]货币基础!$B$4</f>
        <v>220</v>
      </c>
      <c r="N1281" s="12">
        <f>IF(A1281&lt;[3]关卡对接!$A$4,INDEX([3]关卡对接!$E$7:$E$141,A1281),MATCH(E1281,人物经验!$H$24:$H$573,1))</f>
        <v>448</v>
      </c>
      <c r="O1281" s="12">
        <f>INDEX([2]关卡!$G$6:$G$2005,A1281)</f>
        <v>3</v>
      </c>
      <c r="P1281" s="13">
        <v>6</v>
      </c>
      <c r="Q1281" s="12">
        <f>INT(P1281/$S$15/O1281*VLOOKUP(J1281,[1]人物技能基础!$N$3:$O$553,2,0)*$U$15)</f>
        <v>9</v>
      </c>
      <c r="R1281" s="12">
        <f t="shared" si="183"/>
        <v>112</v>
      </c>
    </row>
    <row r="1282" spans="1:18" x14ac:dyDescent="0.15">
      <c r="A1282" s="12">
        <v>1264</v>
      </c>
      <c r="B1282" s="12">
        <f t="shared" si="180"/>
        <v>7</v>
      </c>
      <c r="C1282" s="12">
        <f t="shared" si="181"/>
        <v>2.9824000000000006</v>
      </c>
      <c r="D1282" s="12">
        <f t="shared" si="184"/>
        <v>4.8175000000000079E-2</v>
      </c>
      <c r="E1282" s="12">
        <f>SUM($D$19:D1282)</f>
        <v>25.182399999999959</v>
      </c>
      <c r="F1282" s="12">
        <f t="shared" si="178"/>
        <v>283.47186357862404</v>
      </c>
      <c r="G1282" s="12">
        <f t="shared" si="179"/>
        <v>181.13525071871996</v>
      </c>
      <c r="H1282" s="12">
        <f t="shared" si="185"/>
        <v>1020400</v>
      </c>
      <c r="I1282" s="12">
        <f t="shared" si="186"/>
        <v>652000</v>
      </c>
      <c r="J1282" s="12">
        <f>IF(A1282&lt;[3]关卡对接!$A$4,INDEX([3]关卡对接!$C$7:$C$141,A1282),MATCH(E1282,人物经验!$H$24:$H$573,1))</f>
        <v>448</v>
      </c>
      <c r="K1282" s="12">
        <f>IF([3]关卡对接!F1270="",INT(INDEX(人物经验!$J$24:$J$573,关卡!J1282)*关卡!$S$7),[3]关卡对接!F1270)</f>
        <v>25362</v>
      </c>
      <c r="L1282" s="12">
        <f t="shared" si="182"/>
        <v>2.2000000000000002</v>
      </c>
      <c r="M1282" s="12">
        <f>L1282/[4]货币基础!$B$4</f>
        <v>220</v>
      </c>
      <c r="N1282" s="12">
        <f>IF(A1282&lt;[3]关卡对接!$A$4,INDEX([3]关卡对接!$E$7:$E$141,A1282),MATCH(E1282,人物经验!$H$24:$H$573,1))</f>
        <v>448</v>
      </c>
      <c r="O1282" s="12">
        <f>INDEX([2]关卡!$G$6:$G$2005,A1282)</f>
        <v>3</v>
      </c>
      <c r="P1282" s="13">
        <v>6</v>
      </c>
      <c r="Q1282" s="12">
        <f>INT(P1282/$S$15/O1282*VLOOKUP(J1282,[1]人物技能基础!$N$3:$O$553,2,0)*$U$15)</f>
        <v>9</v>
      </c>
      <c r="R1282" s="12">
        <f t="shared" si="183"/>
        <v>112</v>
      </c>
    </row>
    <row r="1283" spans="1:18" x14ac:dyDescent="0.15">
      <c r="A1283" s="12">
        <v>1265</v>
      </c>
      <c r="B1283" s="12">
        <f t="shared" si="180"/>
        <v>7</v>
      </c>
      <c r="C1283" s="12">
        <f t="shared" si="181"/>
        <v>3.0306250000000001</v>
      </c>
      <c r="D1283" s="12">
        <f t="shared" si="184"/>
        <v>4.8224999999999518E-2</v>
      </c>
      <c r="E1283" s="12">
        <f>SUM($D$19:D1283)</f>
        <v>25.230624999999957</v>
      </c>
      <c r="F1283" s="12">
        <f t="shared" si="178"/>
        <v>284.02987969996093</v>
      </c>
      <c r="G1283" s="12">
        <f t="shared" si="179"/>
        <v>181.41804951933591</v>
      </c>
      <c r="H1283" s="12">
        <f t="shared" si="185"/>
        <v>1022500</v>
      </c>
      <c r="I1283" s="12">
        <f t="shared" si="186"/>
        <v>653100</v>
      </c>
      <c r="J1283" s="12">
        <f>IF(A1283&lt;[3]关卡对接!$A$4,INDEX([3]关卡对接!$C$7:$C$141,A1283),MATCH(E1283,人物经验!$H$24:$H$573,1))</f>
        <v>449</v>
      </c>
      <c r="K1283" s="12">
        <f>IF([3]关卡对接!F1271="",INT(INDEX(人物经验!$J$24:$J$573,关卡!J1283)*关卡!$S$7),[3]关卡对接!F1271)</f>
        <v>25512</v>
      </c>
      <c r="L1283" s="12">
        <f t="shared" si="182"/>
        <v>2.2000000000000002</v>
      </c>
      <c r="M1283" s="12">
        <f>L1283/[4]货币基础!$B$4</f>
        <v>220</v>
      </c>
      <c r="N1283" s="12">
        <f>IF(A1283&lt;[3]关卡对接!$A$4,INDEX([3]关卡对接!$E$7:$E$141,A1283),MATCH(E1283,人物经验!$H$24:$H$573,1))</f>
        <v>449</v>
      </c>
      <c r="O1283" s="12">
        <f>INDEX([2]关卡!$G$6:$G$2005,A1283)</f>
        <v>3</v>
      </c>
      <c r="P1283" s="13">
        <v>6</v>
      </c>
      <c r="Q1283" s="12">
        <f>INT(P1283/$S$15/O1283*VLOOKUP(J1283,[1]人物技能基础!$N$3:$O$553,2,0)*$U$15)</f>
        <v>9</v>
      </c>
      <c r="R1283" s="12">
        <f t="shared" si="183"/>
        <v>112</v>
      </c>
    </row>
    <row r="1284" spans="1:18" x14ac:dyDescent="0.15">
      <c r="A1284" s="12">
        <v>1266</v>
      </c>
      <c r="B1284" s="12">
        <f t="shared" si="180"/>
        <v>7</v>
      </c>
      <c r="C1284" s="12">
        <f t="shared" si="181"/>
        <v>3.0789000000000004</v>
      </c>
      <c r="D1284" s="12">
        <f t="shared" si="184"/>
        <v>4.827500000000029E-2</v>
      </c>
      <c r="E1284" s="12">
        <f>SUM($D$19:D1284)</f>
        <v>25.278899999999958</v>
      </c>
      <c r="F1284" s="12">
        <f t="shared" si="178"/>
        <v>284.58875931367908</v>
      </c>
      <c r="G1284" s="12">
        <f t="shared" si="179"/>
        <v>181.70117964849501</v>
      </c>
      <c r="H1284" s="12">
        <f t="shared" si="185"/>
        <v>1024500</v>
      </c>
      <c r="I1284" s="12">
        <f t="shared" si="186"/>
        <v>654100</v>
      </c>
      <c r="J1284" s="12">
        <f>IF(A1284&lt;[3]关卡对接!$A$4,INDEX([3]关卡对接!$C$7:$C$141,A1284),MATCH(E1284,人物经验!$H$24:$H$573,1))</f>
        <v>449</v>
      </c>
      <c r="K1284" s="12">
        <f>IF([3]关卡对接!F1272="",INT(INDEX(人物经验!$J$24:$J$573,关卡!J1284)*关卡!$S$7),[3]关卡对接!F1272)</f>
        <v>25512</v>
      </c>
      <c r="L1284" s="12">
        <f t="shared" si="182"/>
        <v>2.2000000000000002</v>
      </c>
      <c r="M1284" s="12">
        <f>L1284/[4]货币基础!$B$4</f>
        <v>220</v>
      </c>
      <c r="N1284" s="12">
        <f>IF(A1284&lt;[3]关卡对接!$A$4,INDEX([3]关卡对接!$E$7:$E$141,A1284),MATCH(E1284,人物经验!$H$24:$H$573,1))</f>
        <v>449</v>
      </c>
      <c r="O1284" s="12">
        <f>INDEX([2]关卡!$G$6:$G$2005,A1284)</f>
        <v>3</v>
      </c>
      <c r="P1284" s="13">
        <v>6</v>
      </c>
      <c r="Q1284" s="12">
        <f>INT(P1284/$S$15/O1284*VLOOKUP(J1284,[1]人物技能基础!$N$3:$O$553,2,0)*$U$15)</f>
        <v>9</v>
      </c>
      <c r="R1284" s="12">
        <f t="shared" si="183"/>
        <v>112</v>
      </c>
    </row>
    <row r="1285" spans="1:18" x14ac:dyDescent="0.15">
      <c r="A1285" s="12">
        <v>1267</v>
      </c>
      <c r="B1285" s="12">
        <f t="shared" si="180"/>
        <v>7</v>
      </c>
      <c r="C1285" s="12">
        <f t="shared" si="181"/>
        <v>3.1272250000000006</v>
      </c>
      <c r="D1285" s="12">
        <f t="shared" si="184"/>
        <v>4.8325000000000173E-2</v>
      </c>
      <c r="E1285" s="12">
        <f>SUM($D$19:D1285)</f>
        <v>25.327224999999956</v>
      </c>
      <c r="F1285" s="12">
        <f t="shared" si="178"/>
        <v>285.14850340217993</v>
      </c>
      <c r="G1285" s="12">
        <f t="shared" si="179"/>
        <v>181.98464139903089</v>
      </c>
      <c r="H1285" s="12">
        <f t="shared" si="185"/>
        <v>1026500</v>
      </c>
      <c r="I1285" s="12">
        <f t="shared" si="186"/>
        <v>655100</v>
      </c>
      <c r="J1285" s="12">
        <f>IF(A1285&lt;[3]关卡对接!$A$4,INDEX([3]关卡对接!$C$7:$C$141,A1285),MATCH(E1285,人物经验!$H$24:$H$573,1))</f>
        <v>449</v>
      </c>
      <c r="K1285" s="12">
        <f>IF([3]关卡对接!F1273="",INT(INDEX(人物经验!$J$24:$J$573,关卡!J1285)*关卡!$S$7),[3]关卡对接!F1273)</f>
        <v>25512</v>
      </c>
      <c r="L1285" s="12">
        <f t="shared" si="182"/>
        <v>2.2000000000000002</v>
      </c>
      <c r="M1285" s="12">
        <f>L1285/[4]货币基础!$B$4</f>
        <v>220</v>
      </c>
      <c r="N1285" s="12">
        <f>IF(A1285&lt;[3]关卡对接!$A$4,INDEX([3]关卡对接!$E$7:$E$141,A1285),MATCH(E1285,人物经验!$H$24:$H$573,1))</f>
        <v>449</v>
      </c>
      <c r="O1285" s="12">
        <f>INDEX([2]关卡!$G$6:$G$2005,A1285)</f>
        <v>3</v>
      </c>
      <c r="P1285" s="13">
        <v>6</v>
      </c>
      <c r="Q1285" s="12">
        <f>INT(P1285/$S$15/O1285*VLOOKUP(J1285,[1]人物技能基础!$N$3:$O$553,2,0)*$U$15)</f>
        <v>9</v>
      </c>
      <c r="R1285" s="12">
        <f t="shared" si="183"/>
        <v>112</v>
      </c>
    </row>
    <row r="1286" spans="1:18" x14ac:dyDescent="0.15">
      <c r="A1286" s="12">
        <v>1268</v>
      </c>
      <c r="B1286" s="12">
        <f t="shared" si="180"/>
        <v>7</v>
      </c>
      <c r="C1286" s="12">
        <f t="shared" si="181"/>
        <v>3.1756000000000006</v>
      </c>
      <c r="D1286" s="12">
        <f t="shared" si="184"/>
        <v>4.8375000000000057E-2</v>
      </c>
      <c r="E1286" s="12">
        <f>SUM($D$19:D1286)</f>
        <v>25.375599999999956</v>
      </c>
      <c r="F1286" s="12">
        <f t="shared" si="178"/>
        <v>285.709112948464</v>
      </c>
      <c r="G1286" s="12">
        <f t="shared" si="179"/>
        <v>182.26843506392001</v>
      </c>
      <c r="H1286" s="12">
        <f t="shared" si="185"/>
        <v>1028500</v>
      </c>
      <c r="I1286" s="12">
        <f t="shared" si="186"/>
        <v>656100</v>
      </c>
      <c r="J1286" s="12">
        <f>IF(A1286&lt;[3]关卡对接!$A$4,INDEX([3]关卡对接!$C$7:$C$141,A1286),MATCH(E1286,人物经验!$H$24:$H$573,1))</f>
        <v>450</v>
      </c>
      <c r="K1286" s="12">
        <f>IF([3]关卡对接!F1274="",INT(INDEX(人物经验!$J$24:$J$573,关卡!J1286)*关卡!$S$7),[3]关卡对接!F1274)</f>
        <v>25663</v>
      </c>
      <c r="L1286" s="12">
        <f t="shared" si="182"/>
        <v>2.2000000000000002</v>
      </c>
      <c r="M1286" s="12">
        <f>L1286/[4]货币基础!$B$4</f>
        <v>220</v>
      </c>
      <c r="N1286" s="12">
        <f>IF(A1286&lt;[3]关卡对接!$A$4,INDEX([3]关卡对接!$E$7:$E$141,A1286),MATCH(E1286,人物经验!$H$24:$H$573,1))</f>
        <v>450</v>
      </c>
      <c r="O1286" s="12">
        <f>INDEX([2]关卡!$G$6:$G$2005,A1286)</f>
        <v>3</v>
      </c>
      <c r="P1286" s="13">
        <v>6</v>
      </c>
      <c r="Q1286" s="12">
        <f>INT(P1286/$S$15/O1286*VLOOKUP(J1286,[1]人物技能基础!$N$3:$O$553,2,0)*$U$15)</f>
        <v>9</v>
      </c>
      <c r="R1286" s="12">
        <f t="shared" si="183"/>
        <v>112</v>
      </c>
    </row>
    <row r="1287" spans="1:18" x14ac:dyDescent="0.15">
      <c r="A1287" s="12">
        <v>1269</v>
      </c>
      <c r="B1287" s="12">
        <f t="shared" si="180"/>
        <v>7</v>
      </c>
      <c r="C1287" s="12">
        <f t="shared" si="181"/>
        <v>3.2240249999999997</v>
      </c>
      <c r="D1287" s="12">
        <f t="shared" si="184"/>
        <v>4.8424999999999052E-2</v>
      </c>
      <c r="E1287" s="12">
        <f>SUM($D$19:D1287)</f>
        <v>25.424024999999954</v>
      </c>
      <c r="F1287" s="12">
        <f t="shared" si="178"/>
        <v>286.27058893612991</v>
      </c>
      <c r="G1287" s="12">
        <f t="shared" si="179"/>
        <v>182.55256093628091</v>
      </c>
      <c r="H1287" s="12">
        <f t="shared" si="185"/>
        <v>1030500</v>
      </c>
      <c r="I1287" s="12">
        <f t="shared" si="186"/>
        <v>657100</v>
      </c>
      <c r="J1287" s="12">
        <f>IF(A1287&lt;[3]关卡对接!$A$4,INDEX([3]关卡对接!$C$7:$C$141,A1287),MATCH(E1287,人物经验!$H$24:$H$573,1))</f>
        <v>450</v>
      </c>
      <c r="K1287" s="12">
        <f>IF([3]关卡对接!F1275="",INT(INDEX(人物经验!$J$24:$J$573,关卡!J1287)*关卡!$S$7),[3]关卡对接!F1275)</f>
        <v>25663</v>
      </c>
      <c r="L1287" s="12">
        <f t="shared" si="182"/>
        <v>2.2000000000000002</v>
      </c>
      <c r="M1287" s="12">
        <f>L1287/[4]货币基础!$B$4</f>
        <v>220</v>
      </c>
      <c r="N1287" s="12">
        <f>IF(A1287&lt;[3]关卡对接!$A$4,INDEX([3]关卡对接!$E$7:$E$141,A1287),MATCH(E1287,人物经验!$H$24:$H$573,1))</f>
        <v>450</v>
      </c>
      <c r="O1287" s="12">
        <f>INDEX([2]关卡!$G$6:$G$2005,A1287)</f>
        <v>3</v>
      </c>
      <c r="P1287" s="13">
        <v>6</v>
      </c>
      <c r="Q1287" s="12">
        <f>INT(P1287/$S$15/O1287*VLOOKUP(J1287,[1]人物技能基础!$N$3:$O$553,2,0)*$U$15)</f>
        <v>9</v>
      </c>
      <c r="R1287" s="12">
        <f t="shared" si="183"/>
        <v>112</v>
      </c>
    </row>
    <row r="1288" spans="1:18" x14ac:dyDescent="0.15">
      <c r="A1288" s="12">
        <v>1270</v>
      </c>
      <c r="B1288" s="12">
        <f t="shared" si="180"/>
        <v>7</v>
      </c>
      <c r="C1288" s="12">
        <f t="shared" si="181"/>
        <v>3.2725</v>
      </c>
      <c r="D1288" s="12">
        <f t="shared" si="184"/>
        <v>4.8475000000000268E-2</v>
      </c>
      <c r="E1288" s="12">
        <f>SUM($D$19:D1288)</f>
        <v>25.472499999999954</v>
      </c>
      <c r="F1288" s="12">
        <f t="shared" si="178"/>
        <v>286.83293234937503</v>
      </c>
      <c r="G1288" s="12">
        <f t="shared" si="179"/>
        <v>182.83701930937502</v>
      </c>
      <c r="H1288" s="12">
        <f t="shared" si="185"/>
        <v>1032500</v>
      </c>
      <c r="I1288" s="12">
        <f t="shared" si="186"/>
        <v>658200</v>
      </c>
      <c r="J1288" s="12">
        <f>IF(A1288&lt;[3]关卡对接!$A$4,INDEX([3]关卡对接!$C$7:$C$141,A1288),MATCH(E1288,人物经验!$H$24:$H$573,1))</f>
        <v>450</v>
      </c>
      <c r="K1288" s="12">
        <f>IF([3]关卡对接!F1276="",INT(INDEX(人物经验!$J$24:$J$573,关卡!J1288)*关卡!$S$7),[3]关卡对接!F1276)</f>
        <v>25663</v>
      </c>
      <c r="L1288" s="12">
        <f t="shared" si="182"/>
        <v>2.2000000000000002</v>
      </c>
      <c r="M1288" s="12">
        <f>L1288/[4]货币基础!$B$4</f>
        <v>220</v>
      </c>
      <c r="N1288" s="12">
        <f>IF(A1288&lt;[3]关卡对接!$A$4,INDEX([3]关卡对接!$E$7:$E$141,A1288),MATCH(E1288,人物经验!$H$24:$H$573,1))</f>
        <v>450</v>
      </c>
      <c r="O1288" s="12">
        <f>INDEX([2]关卡!$G$6:$G$2005,A1288)</f>
        <v>3</v>
      </c>
      <c r="P1288" s="13">
        <v>6</v>
      </c>
      <c r="Q1288" s="12">
        <f>INT(P1288/$S$15/O1288*VLOOKUP(J1288,[1]人物技能基础!$N$3:$O$553,2,0)*$U$15)</f>
        <v>9</v>
      </c>
      <c r="R1288" s="12">
        <f t="shared" si="183"/>
        <v>112</v>
      </c>
    </row>
    <row r="1289" spans="1:18" x14ac:dyDescent="0.15">
      <c r="A1289" s="12">
        <v>1271</v>
      </c>
      <c r="B1289" s="12">
        <f t="shared" si="180"/>
        <v>7</v>
      </c>
      <c r="C1289" s="12">
        <f t="shared" si="181"/>
        <v>3.3210250000000001</v>
      </c>
      <c r="D1289" s="12">
        <f t="shared" si="184"/>
        <v>4.8525000000000151E-2</v>
      </c>
      <c r="E1289" s="12">
        <f>SUM($D$19:D1289)</f>
        <v>25.521024999999955</v>
      </c>
      <c r="F1289" s="12">
        <f t="shared" si="178"/>
        <v>287.39614417299487</v>
      </c>
      <c r="G1289" s="12">
        <f t="shared" si="179"/>
        <v>183.12181047660593</v>
      </c>
      <c r="H1289" s="12">
        <f t="shared" si="185"/>
        <v>1034600</v>
      </c>
      <c r="I1289" s="12">
        <f t="shared" si="186"/>
        <v>659200</v>
      </c>
      <c r="J1289" s="12">
        <f>IF(A1289&lt;[3]关卡对接!$A$4,INDEX([3]关卡对接!$C$7:$C$141,A1289),MATCH(E1289,人物经验!$H$24:$H$573,1))</f>
        <v>450</v>
      </c>
      <c r="K1289" s="12">
        <f>IF([3]关卡对接!F1277="",INT(INDEX(人物经验!$J$24:$J$573,关卡!J1289)*关卡!$S$7),[3]关卡对接!F1277)</f>
        <v>25663</v>
      </c>
      <c r="L1289" s="12">
        <f t="shared" si="182"/>
        <v>2.2000000000000002</v>
      </c>
      <c r="M1289" s="12">
        <f>L1289/[4]货币基础!$B$4</f>
        <v>220</v>
      </c>
      <c r="N1289" s="12">
        <f>IF(A1289&lt;[3]关卡对接!$A$4,INDEX([3]关卡对接!$E$7:$E$141,A1289),MATCH(E1289,人物经验!$H$24:$H$573,1))</f>
        <v>450</v>
      </c>
      <c r="O1289" s="12">
        <f>INDEX([2]关卡!$G$6:$G$2005,A1289)</f>
        <v>3</v>
      </c>
      <c r="P1289" s="13">
        <v>6</v>
      </c>
      <c r="Q1289" s="12">
        <f>INT(P1289/$S$15/O1289*VLOOKUP(J1289,[1]人物技能基础!$N$3:$O$553,2,0)*$U$15)</f>
        <v>9</v>
      </c>
      <c r="R1289" s="12">
        <f t="shared" si="183"/>
        <v>112</v>
      </c>
    </row>
    <row r="1290" spans="1:18" x14ac:dyDescent="0.15">
      <c r="A1290" s="12">
        <v>1272</v>
      </c>
      <c r="B1290" s="12">
        <f t="shared" si="180"/>
        <v>7</v>
      </c>
      <c r="C1290" s="12">
        <f t="shared" si="181"/>
        <v>3.3696000000000002</v>
      </c>
      <c r="D1290" s="12">
        <f t="shared" si="184"/>
        <v>4.8575000000000035E-2</v>
      </c>
      <c r="E1290" s="12">
        <f>SUM($D$19:D1290)</f>
        <v>25.569599999999955</v>
      </c>
      <c r="F1290" s="12">
        <f t="shared" si="178"/>
        <v>287.96022539238402</v>
      </c>
      <c r="G1290" s="12">
        <f t="shared" si="179"/>
        <v>183.40693473152001</v>
      </c>
      <c r="H1290" s="12">
        <f t="shared" si="185"/>
        <v>1036600</v>
      </c>
      <c r="I1290" s="12">
        <f t="shared" si="186"/>
        <v>660200</v>
      </c>
      <c r="J1290" s="12">
        <f>IF(A1290&lt;[3]关卡对接!$A$4,INDEX([3]关卡对接!$C$7:$C$141,A1290),MATCH(E1290,人物经验!$H$24:$H$573,1))</f>
        <v>450</v>
      </c>
      <c r="K1290" s="12">
        <f>IF([3]关卡对接!F1278="",INT(INDEX(人物经验!$J$24:$J$573,关卡!J1290)*关卡!$S$7),[3]关卡对接!F1278)</f>
        <v>25663</v>
      </c>
      <c r="L1290" s="12">
        <f t="shared" si="182"/>
        <v>2.2000000000000002</v>
      </c>
      <c r="M1290" s="12">
        <f>L1290/[4]货币基础!$B$4</f>
        <v>220</v>
      </c>
      <c r="N1290" s="12">
        <f>IF(A1290&lt;[3]关卡对接!$A$4,INDEX([3]关卡对接!$E$7:$E$141,A1290),MATCH(E1290,人物经验!$H$24:$H$573,1))</f>
        <v>450</v>
      </c>
      <c r="O1290" s="12">
        <f>INDEX([2]关卡!$G$6:$G$2005,A1290)</f>
        <v>3</v>
      </c>
      <c r="P1290" s="13">
        <v>6</v>
      </c>
      <c r="Q1290" s="12">
        <f>INT(P1290/$S$15/O1290*VLOOKUP(J1290,[1]人物技能基础!$N$3:$O$553,2,0)*$U$15)</f>
        <v>9</v>
      </c>
      <c r="R1290" s="12">
        <f t="shared" si="183"/>
        <v>112</v>
      </c>
    </row>
    <row r="1291" spans="1:18" x14ac:dyDescent="0.15">
      <c r="A1291" s="12">
        <v>1273</v>
      </c>
      <c r="B1291" s="12">
        <f t="shared" si="180"/>
        <v>7</v>
      </c>
      <c r="C1291" s="12">
        <f t="shared" si="181"/>
        <v>3.4182250000000005</v>
      </c>
      <c r="D1291" s="12">
        <f t="shared" si="184"/>
        <v>4.8625000000000362E-2</v>
      </c>
      <c r="E1291" s="12">
        <f>SUM($D$19:D1291)</f>
        <v>25.618224999999956</v>
      </c>
      <c r="F1291" s="12">
        <f t="shared" si="178"/>
        <v>288.52517699353484</v>
      </c>
      <c r="G1291" s="12">
        <f t="shared" si="179"/>
        <v>183.69239236780589</v>
      </c>
      <c r="H1291" s="12">
        <f t="shared" si="185"/>
        <v>1038600</v>
      </c>
      <c r="I1291" s="12">
        <f t="shared" si="186"/>
        <v>661200</v>
      </c>
      <c r="J1291" s="12">
        <f>IF(A1291&lt;[3]关卡对接!$A$4,INDEX([3]关卡对接!$C$7:$C$141,A1291),MATCH(E1291,人物经验!$H$24:$H$573,1))</f>
        <v>450</v>
      </c>
      <c r="K1291" s="12">
        <f>IF([3]关卡对接!F1279="",INT(INDEX(人物经验!$J$24:$J$573,关卡!J1291)*关卡!$S$7),[3]关卡对接!F1279)</f>
        <v>25663</v>
      </c>
      <c r="L1291" s="12">
        <f t="shared" si="182"/>
        <v>2.2000000000000002</v>
      </c>
      <c r="M1291" s="12">
        <f>L1291/[4]货币基础!$B$4</f>
        <v>220</v>
      </c>
      <c r="N1291" s="12">
        <f>IF(A1291&lt;[3]关卡对接!$A$4,INDEX([3]关卡对接!$E$7:$E$141,A1291),MATCH(E1291,人物经验!$H$24:$H$573,1))</f>
        <v>450</v>
      </c>
      <c r="O1291" s="12">
        <f>INDEX([2]关卡!$G$6:$G$2005,A1291)</f>
        <v>3</v>
      </c>
      <c r="P1291" s="13">
        <v>6</v>
      </c>
      <c r="Q1291" s="12">
        <f>INT(P1291/$S$15/O1291*VLOOKUP(J1291,[1]人物技能基础!$N$3:$O$553,2,0)*$U$15)</f>
        <v>9</v>
      </c>
      <c r="R1291" s="12">
        <f t="shared" si="183"/>
        <v>112</v>
      </c>
    </row>
    <row r="1292" spans="1:18" x14ac:dyDescent="0.15">
      <c r="A1292" s="12">
        <v>1274</v>
      </c>
      <c r="B1292" s="12">
        <f t="shared" si="180"/>
        <v>7</v>
      </c>
      <c r="C1292" s="12">
        <f t="shared" si="181"/>
        <v>3.4668999999999999</v>
      </c>
      <c r="D1292" s="12">
        <f t="shared" si="184"/>
        <v>4.8674999999999358E-2</v>
      </c>
      <c r="E1292" s="12">
        <f>SUM($D$19:D1292)</f>
        <v>25.666899999999956</v>
      </c>
      <c r="F1292" s="12">
        <f t="shared" si="178"/>
        <v>289.090999963039</v>
      </c>
      <c r="G1292" s="12">
        <f t="shared" si="179"/>
        <v>183.978183679295</v>
      </c>
      <c r="H1292" s="12">
        <f t="shared" si="185"/>
        <v>1040700</v>
      </c>
      <c r="I1292" s="12">
        <f t="shared" si="186"/>
        <v>662300</v>
      </c>
      <c r="J1292" s="12">
        <f>IF(A1292&lt;[3]关卡对接!$A$4,INDEX([3]关卡对接!$C$7:$C$141,A1292),MATCH(E1292,人物经验!$H$24:$H$573,1))</f>
        <v>451</v>
      </c>
      <c r="K1292" s="12">
        <f>IF([3]关卡对接!F1280="",INT(INDEX(人物经验!$J$24:$J$573,关卡!J1292)*关卡!$S$7),[3]关卡对接!F1280)</f>
        <v>25967</v>
      </c>
      <c r="L1292" s="12">
        <f t="shared" si="182"/>
        <v>2.2000000000000002</v>
      </c>
      <c r="M1292" s="12">
        <f>L1292/[4]货币基础!$B$4</f>
        <v>220</v>
      </c>
      <c r="N1292" s="12">
        <f>IF(A1292&lt;[3]关卡对接!$A$4,INDEX([3]关卡对接!$E$7:$E$141,A1292),MATCH(E1292,人物经验!$H$24:$H$573,1))</f>
        <v>451</v>
      </c>
      <c r="O1292" s="12">
        <f>INDEX([2]关卡!$G$6:$G$2005,A1292)</f>
        <v>3</v>
      </c>
      <c r="P1292" s="13">
        <v>6</v>
      </c>
      <c r="Q1292" s="12">
        <f>INT(P1292/$S$15/O1292*VLOOKUP(J1292,[1]人物技能基础!$N$3:$O$553,2,0)*$U$15)</f>
        <v>9</v>
      </c>
      <c r="R1292" s="12">
        <f t="shared" si="183"/>
        <v>112</v>
      </c>
    </row>
    <row r="1293" spans="1:18" x14ac:dyDescent="0.15">
      <c r="A1293" s="12">
        <v>1275</v>
      </c>
      <c r="B1293" s="12">
        <f t="shared" si="180"/>
        <v>7</v>
      </c>
      <c r="C1293" s="12">
        <f t="shared" si="181"/>
        <v>3.515625</v>
      </c>
      <c r="D1293" s="12">
        <f t="shared" si="184"/>
        <v>4.8725000000000129E-2</v>
      </c>
      <c r="E1293" s="12">
        <f>SUM($D$19:D1293)</f>
        <v>25.715624999999957</v>
      </c>
      <c r="F1293" s="12">
        <f t="shared" si="178"/>
        <v>289.65769528808596</v>
      </c>
      <c r="G1293" s="12">
        <f t="shared" si="179"/>
        <v>184.26430895996094</v>
      </c>
      <c r="H1293" s="12">
        <f t="shared" si="185"/>
        <v>1042700</v>
      </c>
      <c r="I1293" s="12">
        <f t="shared" si="186"/>
        <v>663300</v>
      </c>
      <c r="J1293" s="12">
        <f>IF(A1293&lt;[3]关卡对接!$A$4,INDEX([3]关卡对接!$C$7:$C$141,A1293),MATCH(E1293,人物经验!$H$24:$H$573,1))</f>
        <v>451</v>
      </c>
      <c r="K1293" s="12">
        <f>IF([3]关卡对接!F1281="",INT(INDEX(人物经验!$J$24:$J$573,关卡!J1293)*关卡!$S$7),[3]关卡对接!F1281)</f>
        <v>25967</v>
      </c>
      <c r="L1293" s="12">
        <f t="shared" si="182"/>
        <v>2.2000000000000002</v>
      </c>
      <c r="M1293" s="12">
        <f>L1293/[4]货币基础!$B$4</f>
        <v>220</v>
      </c>
      <c r="N1293" s="12">
        <f>IF(A1293&lt;[3]关卡对接!$A$4,INDEX([3]关卡对接!$E$7:$E$141,A1293),MATCH(E1293,人物经验!$H$24:$H$573,1))</f>
        <v>451</v>
      </c>
      <c r="O1293" s="12">
        <f>INDEX([2]关卡!$G$6:$G$2005,A1293)</f>
        <v>3</v>
      </c>
      <c r="P1293" s="13">
        <v>6</v>
      </c>
      <c r="Q1293" s="12">
        <f>INT(P1293/$S$15/O1293*VLOOKUP(J1293,[1]人物技能基础!$N$3:$O$553,2,0)*$U$15)</f>
        <v>9</v>
      </c>
      <c r="R1293" s="12">
        <f t="shared" si="183"/>
        <v>112</v>
      </c>
    </row>
    <row r="1294" spans="1:18" x14ac:dyDescent="0.15">
      <c r="A1294" s="12">
        <v>1276</v>
      </c>
      <c r="B1294" s="12">
        <f t="shared" si="180"/>
        <v>7</v>
      </c>
      <c r="C1294" s="12">
        <f t="shared" si="181"/>
        <v>3.5644000000000005</v>
      </c>
      <c r="D1294" s="12">
        <f t="shared" si="184"/>
        <v>4.8775000000000457E-2</v>
      </c>
      <c r="E1294" s="12">
        <f>SUM($D$19:D1294)</f>
        <v>25.764399999999956</v>
      </c>
      <c r="F1294" s="12">
        <f t="shared" si="178"/>
        <v>290.225263956464</v>
      </c>
      <c r="G1294" s="12">
        <f t="shared" si="179"/>
        <v>184.55076850392001</v>
      </c>
      <c r="H1294" s="12">
        <f t="shared" si="185"/>
        <v>1044800</v>
      </c>
      <c r="I1294" s="12">
        <f t="shared" si="186"/>
        <v>664300</v>
      </c>
      <c r="J1294" s="12">
        <f>IF(A1294&lt;[3]关卡对接!$A$4,INDEX([3]关卡对接!$C$7:$C$141,A1294),MATCH(E1294,人物经验!$H$24:$H$573,1))</f>
        <v>451</v>
      </c>
      <c r="K1294" s="12">
        <f>IF([3]关卡对接!F1282="",INT(INDEX(人物经验!$J$24:$J$573,关卡!J1294)*关卡!$S$7),[3]关卡对接!F1282)</f>
        <v>25967</v>
      </c>
      <c r="L1294" s="12">
        <f t="shared" si="182"/>
        <v>2.2000000000000002</v>
      </c>
      <c r="M1294" s="12">
        <f>L1294/[4]货币基础!$B$4</f>
        <v>220</v>
      </c>
      <c r="N1294" s="12">
        <f>IF(A1294&lt;[3]关卡对接!$A$4,INDEX([3]关卡对接!$E$7:$E$141,A1294),MATCH(E1294,人物经验!$H$24:$H$573,1))</f>
        <v>451</v>
      </c>
      <c r="O1294" s="12">
        <f>INDEX([2]关卡!$G$6:$G$2005,A1294)</f>
        <v>3</v>
      </c>
      <c r="P1294" s="13">
        <v>6</v>
      </c>
      <c r="Q1294" s="12">
        <f>INT(P1294/$S$15/O1294*VLOOKUP(J1294,[1]人物技能基础!$N$3:$O$553,2,0)*$U$15)</f>
        <v>9</v>
      </c>
      <c r="R1294" s="12">
        <f t="shared" si="183"/>
        <v>112</v>
      </c>
    </row>
    <row r="1295" spans="1:18" x14ac:dyDescent="0.15">
      <c r="A1295" s="12">
        <v>1277</v>
      </c>
      <c r="B1295" s="12">
        <f t="shared" si="180"/>
        <v>7</v>
      </c>
      <c r="C1295" s="12">
        <f t="shared" si="181"/>
        <v>3.6132250000000004</v>
      </c>
      <c r="D1295" s="12">
        <f t="shared" si="184"/>
        <v>4.8824999999999896E-2</v>
      </c>
      <c r="E1295" s="12">
        <f>SUM($D$19:D1295)</f>
        <v>25.813224999999957</v>
      </c>
      <c r="F1295" s="12">
        <f t="shared" si="178"/>
        <v>290.7937069565599</v>
      </c>
      <c r="G1295" s="12">
        <f t="shared" si="179"/>
        <v>184.83756260543095</v>
      </c>
      <c r="H1295" s="12">
        <f t="shared" si="185"/>
        <v>1046800</v>
      </c>
      <c r="I1295" s="12">
        <f t="shared" si="186"/>
        <v>665400</v>
      </c>
      <c r="J1295" s="12">
        <f>IF(A1295&lt;[3]关卡对接!$A$4,INDEX([3]关卡对接!$C$7:$C$141,A1295),MATCH(E1295,人物经验!$H$24:$H$573,1))</f>
        <v>451</v>
      </c>
      <c r="K1295" s="12">
        <f>IF([3]关卡对接!F1283="",INT(INDEX(人物经验!$J$24:$J$573,关卡!J1295)*关卡!$S$7),[3]关卡对接!F1283)</f>
        <v>25967</v>
      </c>
      <c r="L1295" s="12">
        <f t="shared" si="182"/>
        <v>2.2000000000000002</v>
      </c>
      <c r="M1295" s="12">
        <f>L1295/[4]货币基础!$B$4</f>
        <v>220</v>
      </c>
      <c r="N1295" s="12">
        <f>IF(A1295&lt;[3]关卡对接!$A$4,INDEX([3]关卡对接!$E$7:$E$141,A1295),MATCH(E1295,人物经验!$H$24:$H$573,1))</f>
        <v>451</v>
      </c>
      <c r="O1295" s="12">
        <f>INDEX([2]关卡!$G$6:$G$2005,A1295)</f>
        <v>3</v>
      </c>
      <c r="P1295" s="13">
        <v>6</v>
      </c>
      <c r="Q1295" s="12">
        <f>INT(P1295/$S$15/O1295*VLOOKUP(J1295,[1]人物技能基础!$N$3:$O$553,2,0)*$U$15)</f>
        <v>9</v>
      </c>
      <c r="R1295" s="12">
        <f t="shared" si="183"/>
        <v>112</v>
      </c>
    </row>
    <row r="1296" spans="1:18" x14ac:dyDescent="0.15">
      <c r="A1296" s="12">
        <v>1278</v>
      </c>
      <c r="B1296" s="12">
        <f t="shared" si="180"/>
        <v>7</v>
      </c>
      <c r="C1296" s="12">
        <f t="shared" si="181"/>
        <v>3.6621000000000006</v>
      </c>
      <c r="D1296" s="12">
        <f t="shared" si="184"/>
        <v>4.8875000000000224E-2</v>
      </c>
      <c r="E1296" s="12">
        <f>SUM($D$19:D1296)</f>
        <v>25.862099999999955</v>
      </c>
      <c r="F1296" s="12">
        <f t="shared" si="178"/>
        <v>291.36302527735899</v>
      </c>
      <c r="G1296" s="12">
        <f t="shared" si="179"/>
        <v>185.12469155889499</v>
      </c>
      <c r="H1296" s="12">
        <f t="shared" si="185"/>
        <v>1048900</v>
      </c>
      <c r="I1296" s="12">
        <f t="shared" si="186"/>
        <v>666400</v>
      </c>
      <c r="J1296" s="12">
        <f>IF(A1296&lt;[3]关卡对接!$A$4,INDEX([3]关卡对接!$C$7:$C$141,A1296),MATCH(E1296,人物经验!$H$24:$H$573,1))</f>
        <v>451</v>
      </c>
      <c r="K1296" s="12">
        <f>IF([3]关卡对接!F1284="",INT(INDEX(人物经验!$J$24:$J$573,关卡!J1296)*关卡!$S$7),[3]关卡对接!F1284)</f>
        <v>25967</v>
      </c>
      <c r="L1296" s="12">
        <f t="shared" si="182"/>
        <v>2.2000000000000002</v>
      </c>
      <c r="M1296" s="12">
        <f>L1296/[4]货币基础!$B$4</f>
        <v>220</v>
      </c>
      <c r="N1296" s="12">
        <f>IF(A1296&lt;[3]关卡对接!$A$4,INDEX([3]关卡对接!$E$7:$E$141,A1296),MATCH(E1296,人物经验!$H$24:$H$573,1))</f>
        <v>451</v>
      </c>
      <c r="O1296" s="12">
        <f>INDEX([2]关卡!$G$6:$G$2005,A1296)</f>
        <v>3</v>
      </c>
      <c r="P1296" s="13">
        <v>6</v>
      </c>
      <c r="Q1296" s="12">
        <f>INT(P1296/$S$15/O1296*VLOOKUP(J1296,[1]人物技能基础!$N$3:$O$553,2,0)*$U$15)</f>
        <v>9</v>
      </c>
      <c r="R1296" s="12">
        <f t="shared" si="183"/>
        <v>112</v>
      </c>
    </row>
    <row r="1297" spans="1:18" x14ac:dyDescent="0.15">
      <c r="A1297" s="12">
        <v>1279</v>
      </c>
      <c r="B1297" s="12">
        <f t="shared" si="180"/>
        <v>7</v>
      </c>
      <c r="C1297" s="12">
        <f t="shared" si="181"/>
        <v>3.7110250000000007</v>
      </c>
      <c r="D1297" s="12">
        <f t="shared" si="184"/>
        <v>4.8925000000000107E-2</v>
      </c>
      <c r="E1297" s="12">
        <f>SUM($D$19:D1297)</f>
        <v>25.911024999999956</v>
      </c>
      <c r="F1297" s="12">
        <f t="shared" si="178"/>
        <v>291.93321990844493</v>
      </c>
      <c r="G1297" s="12">
        <f t="shared" si="179"/>
        <v>185.41215565885591</v>
      </c>
      <c r="H1297" s="12">
        <f t="shared" si="185"/>
        <v>1050900</v>
      </c>
      <c r="I1297" s="12">
        <f t="shared" si="186"/>
        <v>667400</v>
      </c>
      <c r="J1297" s="12">
        <f>IF(A1297&lt;[3]关卡对接!$A$4,INDEX([3]关卡对接!$C$7:$C$141,A1297),MATCH(E1297,人物经验!$H$24:$H$573,1))</f>
        <v>451</v>
      </c>
      <c r="K1297" s="12">
        <f>IF([3]关卡对接!F1285="",INT(INDEX(人物经验!$J$24:$J$573,关卡!J1297)*关卡!$S$7),[3]关卡对接!F1285)</f>
        <v>25967</v>
      </c>
      <c r="L1297" s="12">
        <f t="shared" si="182"/>
        <v>2.2000000000000002</v>
      </c>
      <c r="M1297" s="12">
        <f>L1297/[4]货币基础!$B$4</f>
        <v>220</v>
      </c>
      <c r="N1297" s="12">
        <f>IF(A1297&lt;[3]关卡对接!$A$4,INDEX([3]关卡对接!$E$7:$E$141,A1297),MATCH(E1297,人物经验!$H$24:$H$573,1))</f>
        <v>451</v>
      </c>
      <c r="O1297" s="12">
        <f>INDEX([2]关卡!$G$6:$G$2005,A1297)</f>
        <v>3</v>
      </c>
      <c r="P1297" s="13">
        <v>6</v>
      </c>
      <c r="Q1297" s="12">
        <f>INT(P1297/$S$15/O1297*VLOOKUP(J1297,[1]人物技能基础!$N$3:$O$553,2,0)*$U$15)</f>
        <v>9</v>
      </c>
      <c r="R1297" s="12">
        <f t="shared" si="183"/>
        <v>112</v>
      </c>
    </row>
    <row r="1298" spans="1:18" x14ac:dyDescent="0.15">
      <c r="A1298" s="12">
        <v>1280</v>
      </c>
      <c r="B1298" s="12">
        <f t="shared" si="180"/>
        <v>7</v>
      </c>
      <c r="C1298" s="12">
        <f t="shared" si="181"/>
        <v>3.7600000000000007</v>
      </c>
      <c r="D1298" s="12">
        <f t="shared" si="184"/>
        <v>4.8974999999999991E-2</v>
      </c>
      <c r="E1298" s="12">
        <f>SUM($D$19:D1298)</f>
        <v>25.959999999999955</v>
      </c>
      <c r="F1298" s="12">
        <f t="shared" si="178"/>
        <v>292.50429184000006</v>
      </c>
      <c r="G1298" s="12">
        <f t="shared" si="179"/>
        <v>185.69995520000001</v>
      </c>
      <c r="H1298" s="12">
        <f t="shared" si="185"/>
        <v>1053000</v>
      </c>
      <c r="I1298" s="12">
        <f t="shared" si="186"/>
        <v>668500</v>
      </c>
      <c r="J1298" s="12">
        <f>IF(A1298&lt;[3]关卡对接!$A$4,INDEX([3]关卡对接!$C$7:$C$141,A1298),MATCH(E1298,人物经验!$H$24:$H$573,1))</f>
        <v>452</v>
      </c>
      <c r="K1298" s="12">
        <f>IF([3]关卡对接!F1286="",INT(INDEX(人物经验!$J$24:$J$573,关卡!J1298)*关卡!$S$7),[3]关卡对接!F1286)</f>
        <v>26273</v>
      </c>
      <c r="L1298" s="12">
        <f t="shared" si="182"/>
        <v>2.2000000000000002</v>
      </c>
      <c r="M1298" s="12">
        <f>L1298/[4]货币基础!$B$4</f>
        <v>220</v>
      </c>
      <c r="N1298" s="12">
        <f>IF(A1298&lt;[3]关卡对接!$A$4,INDEX([3]关卡对接!$E$7:$E$141,A1298),MATCH(E1298,人物经验!$H$24:$H$573,1))</f>
        <v>452</v>
      </c>
      <c r="O1298" s="12">
        <f>INDEX([2]关卡!$G$6:$G$2005,A1298)</f>
        <v>3</v>
      </c>
      <c r="P1298" s="13">
        <v>6</v>
      </c>
      <c r="Q1298" s="12">
        <f>INT(P1298/$S$15/O1298*VLOOKUP(J1298,[1]人物技能基础!$N$3:$O$553,2,0)*$U$15)</f>
        <v>9</v>
      </c>
      <c r="R1298" s="12">
        <f t="shared" si="183"/>
        <v>112</v>
      </c>
    </row>
    <row r="1299" spans="1:18" x14ac:dyDescent="0.15">
      <c r="A1299" s="12">
        <v>1281</v>
      </c>
      <c r="B1299" s="12">
        <f t="shared" si="180"/>
        <v>7</v>
      </c>
      <c r="C1299" s="12">
        <f t="shared" si="181"/>
        <v>3.8090250000000001</v>
      </c>
      <c r="D1299" s="12">
        <f t="shared" si="184"/>
        <v>4.902499999999943E-2</v>
      </c>
      <c r="E1299" s="12">
        <f>SUM($D$19:D1299)</f>
        <v>26.009024999999955</v>
      </c>
      <c r="F1299" s="12">
        <f t="shared" ref="F1299:F1362" si="187">$L$7*($M$7+$N$7*($A1299/$B$3)^1+$O$7*($A1299/$B$3)^2+$P$7*($A1299/$B$3)^3+$Q$7*($A1299/$B$3)^4)</f>
        <v>293.07624206280491</v>
      </c>
      <c r="G1299" s="12">
        <f t="shared" ref="G1299:G1362" si="188">$L$11*($M$11+$N$11*($A1299/$B$3)^1+$O$11*($A1299/$B$3)^2+$P$11*($A1299/$B$3)^3+$Q$11*($A1299/$B$3)^4)</f>
        <v>185.98809047715594</v>
      </c>
      <c r="H1299" s="12">
        <f t="shared" si="185"/>
        <v>1055000</v>
      </c>
      <c r="I1299" s="12">
        <f t="shared" si="186"/>
        <v>669500</v>
      </c>
      <c r="J1299" s="12">
        <f>IF(A1299&lt;[3]关卡对接!$A$4,INDEX([3]关卡对接!$C$7:$C$141,A1299),MATCH(E1299,人物经验!$H$24:$H$573,1))</f>
        <v>452</v>
      </c>
      <c r="K1299" s="12">
        <f>IF([3]关卡对接!F1287="",INT(INDEX(人物经验!$J$24:$J$573,关卡!J1299)*关卡!$S$7),[3]关卡对接!F1287)</f>
        <v>26273</v>
      </c>
      <c r="L1299" s="12">
        <f t="shared" si="182"/>
        <v>2.2000000000000002</v>
      </c>
      <c r="M1299" s="12">
        <f>L1299/[4]货币基础!$B$4</f>
        <v>220</v>
      </c>
      <c r="N1299" s="12">
        <f>IF(A1299&lt;[3]关卡对接!$A$4,INDEX([3]关卡对接!$E$7:$E$141,A1299),MATCH(E1299,人物经验!$H$24:$H$573,1))</f>
        <v>452</v>
      </c>
      <c r="O1299" s="12">
        <f>INDEX([2]关卡!$G$6:$G$2005,A1299)</f>
        <v>3</v>
      </c>
      <c r="P1299" s="13">
        <v>6</v>
      </c>
      <c r="Q1299" s="12">
        <f>INT(P1299/$S$15/O1299*VLOOKUP(J1299,[1]人物技能基础!$N$3:$O$553,2,0)*$U$15)</f>
        <v>9</v>
      </c>
      <c r="R1299" s="12">
        <f t="shared" si="183"/>
        <v>112</v>
      </c>
    </row>
    <row r="1300" spans="1:18" x14ac:dyDescent="0.15">
      <c r="A1300" s="12">
        <v>1282</v>
      </c>
      <c r="B1300" s="12">
        <f t="shared" ref="B1300:B1363" si="189">MATCH($A1300,$A$5:$A$15,1)-1</f>
        <v>7</v>
      </c>
      <c r="C1300" s="12">
        <f t="shared" ref="C1300:C1363" si="190">INDEX($C$5:$C$15,$B1300+1)*(INDEX($E$5:$E$15,$B1300+1)+INDEX($F$5:$F$15,$B1300+1)*(($A1300-INDEX($A$5:$A$15,$B1300+1)+1)/(INDEX($B$5:$B$15,$B1300+1)-INDEX($A$5:$A$15,$B1300+1)+1))^1+INDEX($G$5:$G$15,$B1300+1)*(($A1300-INDEX($A$5:$A$15,$B1300+1)+1)/(INDEX($B$5:$B$15,$B1300+1)-INDEX($A$5:$A$15,$B1300+1)+1))^2+INDEX($H$5:$H$15,$B1300+1)*(($A1300-INDEX($A$5:$A$15,$B1300+1)+1)/(INDEX($B$5:$B$15,$B1300+1)-INDEX($A$5:$A$15,$B1300+1)+1))^3+INDEX($I$5:$I$15,$B1300+1)*(($A1300-INDEX($A$5:$A$15,$B1300+1)+1)/(INDEX($B$5:$B$15,$B1300+1)-INDEX($A$5:$A$15,$B1300+1)+1))^4)</f>
        <v>3.8580999999999999</v>
      </c>
      <c r="D1300" s="12">
        <f t="shared" si="184"/>
        <v>4.9074999999999758E-2</v>
      </c>
      <c r="E1300" s="12">
        <f>SUM($D$19:D1300)</f>
        <v>26.058099999999953</v>
      </c>
      <c r="F1300" s="12">
        <f t="shared" si="187"/>
        <v>293.64907156823904</v>
      </c>
      <c r="G1300" s="12">
        <f t="shared" si="188"/>
        <v>186.27656178529497</v>
      </c>
      <c r="H1300" s="12">
        <f t="shared" si="185"/>
        <v>1057100</v>
      </c>
      <c r="I1300" s="12">
        <f t="shared" si="186"/>
        <v>670500</v>
      </c>
      <c r="J1300" s="12">
        <f>IF(A1300&lt;[3]关卡对接!$A$4,INDEX([3]关卡对接!$C$7:$C$141,A1300),MATCH(E1300,人物经验!$H$24:$H$573,1))</f>
        <v>452</v>
      </c>
      <c r="K1300" s="12">
        <f>IF([3]关卡对接!F1288="",INT(INDEX(人物经验!$J$24:$J$573,关卡!J1300)*关卡!$S$7),[3]关卡对接!F1288)</f>
        <v>26273</v>
      </c>
      <c r="L1300" s="12">
        <f t="shared" ref="L1300:L1363" si="191">VLOOKUP(A1300,$A$5:$J$15,10,1)</f>
        <v>2.2000000000000002</v>
      </c>
      <c r="M1300" s="12">
        <f>L1300/[4]货币基础!$B$4</f>
        <v>220</v>
      </c>
      <c r="N1300" s="12">
        <f>IF(A1300&lt;[3]关卡对接!$A$4,INDEX([3]关卡对接!$E$7:$E$141,A1300),MATCH(E1300,人物经验!$H$24:$H$573,1))</f>
        <v>452</v>
      </c>
      <c r="O1300" s="12">
        <f>INDEX([2]关卡!$G$6:$G$2005,A1300)</f>
        <v>3</v>
      </c>
      <c r="P1300" s="13">
        <v>6</v>
      </c>
      <c r="Q1300" s="12">
        <f>INT(P1300/$S$15/O1300*VLOOKUP(J1300,[1]人物技能基础!$N$3:$O$553,2,0)*$U$15)</f>
        <v>9</v>
      </c>
      <c r="R1300" s="12">
        <f t="shared" ref="R1300:R1363" si="192">INT(Q1300*12.5)</f>
        <v>112</v>
      </c>
    </row>
    <row r="1301" spans="1:18" x14ac:dyDescent="0.15">
      <c r="A1301" s="12">
        <v>1283</v>
      </c>
      <c r="B1301" s="12">
        <f t="shared" si="189"/>
        <v>7</v>
      </c>
      <c r="C1301" s="12">
        <f t="shared" si="190"/>
        <v>3.9072249999999995</v>
      </c>
      <c r="D1301" s="12">
        <f t="shared" si="184"/>
        <v>4.9124999999999641E-2</v>
      </c>
      <c r="E1301" s="12">
        <f>SUM($D$19:D1301)</f>
        <v>26.107224999999953</v>
      </c>
      <c r="F1301" s="12">
        <f t="shared" si="187"/>
        <v>294.22278134827985</v>
      </c>
      <c r="G1301" s="12">
        <f t="shared" si="188"/>
        <v>186.56536941953092</v>
      </c>
      <c r="H1301" s="12">
        <f t="shared" si="185"/>
        <v>1059200</v>
      </c>
      <c r="I1301" s="12">
        <f t="shared" si="186"/>
        <v>671600</v>
      </c>
      <c r="J1301" s="12">
        <f>IF(A1301&lt;[3]关卡对接!$A$4,INDEX([3]关卡对接!$C$7:$C$141,A1301),MATCH(E1301,人物经验!$H$24:$H$573,1))</f>
        <v>452</v>
      </c>
      <c r="K1301" s="12">
        <f>IF([3]关卡对接!F1289="",INT(INDEX(人物经验!$J$24:$J$573,关卡!J1301)*关卡!$S$7),[3]关卡对接!F1289)</f>
        <v>26273</v>
      </c>
      <c r="L1301" s="12">
        <f t="shared" si="191"/>
        <v>2.2000000000000002</v>
      </c>
      <c r="M1301" s="12">
        <f>L1301/[4]货币基础!$B$4</f>
        <v>220</v>
      </c>
      <c r="N1301" s="12">
        <f>IF(A1301&lt;[3]关卡对接!$A$4,INDEX([3]关卡对接!$E$7:$E$141,A1301),MATCH(E1301,人物经验!$H$24:$H$573,1))</f>
        <v>452</v>
      </c>
      <c r="O1301" s="12">
        <f>INDEX([2]关卡!$G$6:$G$2005,A1301)</f>
        <v>3</v>
      </c>
      <c r="P1301" s="13">
        <v>6</v>
      </c>
      <c r="Q1301" s="12">
        <f>INT(P1301/$S$15/O1301*VLOOKUP(J1301,[1]人物技能基础!$N$3:$O$553,2,0)*$U$15)</f>
        <v>9</v>
      </c>
      <c r="R1301" s="12">
        <f t="shared" si="192"/>
        <v>112</v>
      </c>
    </row>
    <row r="1302" spans="1:18" x14ac:dyDescent="0.15">
      <c r="A1302" s="12">
        <v>1284</v>
      </c>
      <c r="B1302" s="12">
        <f t="shared" si="189"/>
        <v>7</v>
      </c>
      <c r="C1302" s="12">
        <f t="shared" si="190"/>
        <v>3.9563999999999999</v>
      </c>
      <c r="D1302" s="12">
        <f t="shared" si="184"/>
        <v>4.9175000000000413E-2</v>
      </c>
      <c r="E1302" s="12">
        <f>SUM($D$19:D1302)</f>
        <v>26.156399999999955</v>
      </c>
      <c r="F1302" s="12">
        <f t="shared" si="187"/>
        <v>294.797372395504</v>
      </c>
      <c r="G1302" s="12">
        <f t="shared" si="188"/>
        <v>186.85451367512002</v>
      </c>
      <c r="H1302" s="12">
        <f t="shared" si="185"/>
        <v>1061200</v>
      </c>
      <c r="I1302" s="12">
        <f t="shared" si="186"/>
        <v>672600</v>
      </c>
      <c r="J1302" s="12">
        <f>IF(A1302&lt;[3]关卡对接!$A$4,INDEX([3]关卡对接!$C$7:$C$141,A1302),MATCH(E1302,人物经验!$H$24:$H$573,1))</f>
        <v>452</v>
      </c>
      <c r="K1302" s="12">
        <f>IF([3]关卡对接!F1290="",INT(INDEX(人物经验!$J$24:$J$573,关卡!J1302)*关卡!$S$7),[3]关卡对接!F1290)</f>
        <v>26273</v>
      </c>
      <c r="L1302" s="12">
        <f t="shared" si="191"/>
        <v>2.2000000000000002</v>
      </c>
      <c r="M1302" s="12">
        <f>L1302/[4]货币基础!$B$4</f>
        <v>220</v>
      </c>
      <c r="N1302" s="12">
        <f>IF(A1302&lt;[3]关卡对接!$A$4,INDEX([3]关卡对接!$E$7:$E$141,A1302),MATCH(E1302,人物经验!$H$24:$H$573,1))</f>
        <v>452</v>
      </c>
      <c r="O1302" s="12">
        <f>INDEX([2]关卡!$G$6:$G$2005,A1302)</f>
        <v>3</v>
      </c>
      <c r="P1302" s="13">
        <v>6</v>
      </c>
      <c r="Q1302" s="12">
        <f>INT(P1302/$S$15/O1302*VLOOKUP(J1302,[1]人物技能基础!$N$3:$O$553,2,0)*$U$15)</f>
        <v>9</v>
      </c>
      <c r="R1302" s="12">
        <f t="shared" si="192"/>
        <v>112</v>
      </c>
    </row>
    <row r="1303" spans="1:18" x14ac:dyDescent="0.15">
      <c r="A1303" s="12">
        <v>1285</v>
      </c>
      <c r="B1303" s="12">
        <f t="shared" si="189"/>
        <v>7</v>
      </c>
      <c r="C1303" s="12">
        <f t="shared" si="190"/>
        <v>4.0056250000000002</v>
      </c>
      <c r="D1303" s="12">
        <f t="shared" si="184"/>
        <v>4.9225000000000296E-2</v>
      </c>
      <c r="E1303" s="12">
        <f>SUM($D$19:D1303)</f>
        <v>26.205624999999955</v>
      </c>
      <c r="F1303" s="12">
        <f t="shared" si="187"/>
        <v>295.37284570308594</v>
      </c>
      <c r="G1303" s="12">
        <f t="shared" si="188"/>
        <v>187.1439948474609</v>
      </c>
      <c r="H1303" s="12">
        <f t="shared" si="185"/>
        <v>1063300</v>
      </c>
      <c r="I1303" s="12">
        <f t="shared" si="186"/>
        <v>673700</v>
      </c>
      <c r="J1303" s="12">
        <f>IF(A1303&lt;[3]关卡对接!$A$4,INDEX([3]关卡对接!$C$7:$C$141,A1303),MATCH(E1303,人物经验!$H$24:$H$573,1))</f>
        <v>453</v>
      </c>
      <c r="K1303" s="12">
        <f>IF([3]关卡对接!F1291="",INT(INDEX(人物经验!$J$24:$J$573,关卡!J1303)*关卡!$S$7),[3]关卡对接!F1291)</f>
        <v>26531</v>
      </c>
      <c r="L1303" s="12">
        <f t="shared" si="191"/>
        <v>2.2000000000000002</v>
      </c>
      <c r="M1303" s="12">
        <f>L1303/[4]货币基础!$B$4</f>
        <v>220</v>
      </c>
      <c r="N1303" s="12">
        <f>IF(A1303&lt;[3]关卡对接!$A$4,INDEX([3]关卡对接!$E$7:$E$141,A1303),MATCH(E1303,人物经验!$H$24:$H$573,1))</f>
        <v>453</v>
      </c>
      <c r="O1303" s="12">
        <f>INDEX([2]关卡!$G$6:$G$2005,A1303)</f>
        <v>3</v>
      </c>
      <c r="P1303" s="13">
        <v>6</v>
      </c>
      <c r="Q1303" s="12">
        <f>INT(P1303/$S$15/O1303*VLOOKUP(J1303,[1]人物技能基础!$N$3:$O$553,2,0)*$U$15)</f>
        <v>9</v>
      </c>
      <c r="R1303" s="12">
        <f t="shared" si="192"/>
        <v>112</v>
      </c>
    </row>
    <row r="1304" spans="1:18" x14ac:dyDescent="0.15">
      <c r="A1304" s="12">
        <v>1286</v>
      </c>
      <c r="B1304" s="12">
        <f t="shared" si="189"/>
        <v>7</v>
      </c>
      <c r="C1304" s="12">
        <f t="shared" si="190"/>
        <v>4.0548999999999999</v>
      </c>
      <c r="D1304" s="12">
        <f t="shared" si="184"/>
        <v>4.9274999999999736E-2</v>
      </c>
      <c r="E1304" s="12">
        <f>SUM($D$19:D1304)</f>
        <v>26.254899999999957</v>
      </c>
      <c r="F1304" s="12">
        <f t="shared" si="187"/>
        <v>295.94920226479906</v>
      </c>
      <c r="G1304" s="12">
        <f t="shared" si="188"/>
        <v>187.43381323209499</v>
      </c>
      <c r="H1304" s="12">
        <f t="shared" si="185"/>
        <v>1065400</v>
      </c>
      <c r="I1304" s="12">
        <f t="shared" si="186"/>
        <v>674700</v>
      </c>
      <c r="J1304" s="12">
        <f>IF(A1304&lt;[3]关卡对接!$A$4,INDEX([3]关卡对接!$C$7:$C$141,A1304),MATCH(E1304,人物经验!$H$24:$H$573,1))</f>
        <v>453</v>
      </c>
      <c r="K1304" s="12">
        <f>IF([3]关卡对接!F1292="",INT(INDEX(人物经验!$J$24:$J$573,关卡!J1304)*关卡!$S$7),[3]关卡对接!F1292)</f>
        <v>26531</v>
      </c>
      <c r="L1304" s="12">
        <f t="shared" si="191"/>
        <v>2.2000000000000002</v>
      </c>
      <c r="M1304" s="12">
        <f>L1304/[4]货币基础!$B$4</f>
        <v>220</v>
      </c>
      <c r="N1304" s="12">
        <f>IF(A1304&lt;[3]关卡对接!$A$4,INDEX([3]关卡对接!$E$7:$E$141,A1304),MATCH(E1304,人物经验!$H$24:$H$573,1))</f>
        <v>453</v>
      </c>
      <c r="O1304" s="12">
        <f>INDEX([2]关卡!$G$6:$G$2005,A1304)</f>
        <v>3</v>
      </c>
      <c r="P1304" s="13">
        <v>6</v>
      </c>
      <c r="Q1304" s="12">
        <f>INT(P1304/$S$15/O1304*VLOOKUP(J1304,[1]人物技能基础!$N$3:$O$553,2,0)*$U$15)</f>
        <v>9</v>
      </c>
      <c r="R1304" s="12">
        <f t="shared" si="192"/>
        <v>112</v>
      </c>
    </row>
    <row r="1305" spans="1:18" x14ac:dyDescent="0.15">
      <c r="A1305" s="12">
        <v>1287</v>
      </c>
      <c r="B1305" s="12">
        <f t="shared" si="189"/>
        <v>7</v>
      </c>
      <c r="C1305" s="12">
        <f t="shared" si="190"/>
        <v>4.1042250000000005</v>
      </c>
      <c r="D1305" s="12">
        <f t="shared" si="184"/>
        <v>4.9325000000000507E-2</v>
      </c>
      <c r="E1305" s="12">
        <f>SUM($D$19:D1305)</f>
        <v>26.304224999999956</v>
      </c>
      <c r="F1305" s="12">
        <f t="shared" si="187"/>
        <v>296.52644307501492</v>
      </c>
      <c r="G1305" s="12">
        <f t="shared" si="188"/>
        <v>187.72396912470592</v>
      </c>
      <c r="H1305" s="12">
        <f t="shared" si="185"/>
        <v>1067400</v>
      </c>
      <c r="I1305" s="12">
        <f t="shared" si="186"/>
        <v>675800</v>
      </c>
      <c r="J1305" s="12">
        <f>IF(A1305&lt;[3]关卡对接!$A$4,INDEX([3]关卡对接!$C$7:$C$141,A1305),MATCH(E1305,人物经验!$H$24:$H$573,1))</f>
        <v>453</v>
      </c>
      <c r="K1305" s="12">
        <f>IF([3]关卡对接!F1293="",INT(INDEX(人物经验!$J$24:$J$573,关卡!J1305)*关卡!$S$7),[3]关卡对接!F1293)</f>
        <v>26531</v>
      </c>
      <c r="L1305" s="12">
        <f t="shared" si="191"/>
        <v>2.2000000000000002</v>
      </c>
      <c r="M1305" s="12">
        <f>L1305/[4]货币基础!$B$4</f>
        <v>220</v>
      </c>
      <c r="N1305" s="12">
        <f>IF(A1305&lt;[3]关卡对接!$A$4,INDEX([3]关卡对接!$E$7:$E$141,A1305),MATCH(E1305,人物经验!$H$24:$H$573,1))</f>
        <v>453</v>
      </c>
      <c r="O1305" s="12">
        <f>INDEX([2]关卡!$G$6:$G$2005,A1305)</f>
        <v>3</v>
      </c>
      <c r="P1305" s="13">
        <v>6</v>
      </c>
      <c r="Q1305" s="12">
        <f>INT(P1305/$S$15/O1305*VLOOKUP(J1305,[1]人物技能基础!$N$3:$O$553,2,0)*$U$15)</f>
        <v>9</v>
      </c>
      <c r="R1305" s="12">
        <f t="shared" si="192"/>
        <v>112</v>
      </c>
    </row>
    <row r="1306" spans="1:18" x14ac:dyDescent="0.15">
      <c r="A1306" s="12">
        <v>1288</v>
      </c>
      <c r="B1306" s="12">
        <f t="shared" si="189"/>
        <v>7</v>
      </c>
      <c r="C1306" s="12">
        <f t="shared" si="190"/>
        <v>4.1536</v>
      </c>
      <c r="D1306" s="12">
        <f t="shared" si="184"/>
        <v>4.9374999999999503E-2</v>
      </c>
      <c r="E1306" s="12">
        <f>SUM($D$19:D1306)</f>
        <v>26.353599999999958</v>
      </c>
      <c r="F1306" s="12">
        <f t="shared" si="187"/>
        <v>297.10456912870404</v>
      </c>
      <c r="G1306" s="12">
        <f t="shared" si="188"/>
        <v>188.01446282112002</v>
      </c>
      <c r="H1306" s="12">
        <f t="shared" si="185"/>
        <v>1069500</v>
      </c>
      <c r="I1306" s="12">
        <f t="shared" si="186"/>
        <v>676800</v>
      </c>
      <c r="J1306" s="12">
        <f>IF(A1306&lt;[3]关卡对接!$A$4,INDEX([3]关卡对接!$C$7:$C$141,A1306),MATCH(E1306,人物经验!$H$24:$H$573,1))</f>
        <v>453</v>
      </c>
      <c r="K1306" s="12">
        <f>IF([3]关卡对接!F1294="",INT(INDEX(人物经验!$J$24:$J$573,关卡!J1306)*关卡!$S$7),[3]关卡对接!F1294)</f>
        <v>26531</v>
      </c>
      <c r="L1306" s="12">
        <f t="shared" si="191"/>
        <v>2.2000000000000002</v>
      </c>
      <c r="M1306" s="12">
        <f>L1306/[4]货币基础!$B$4</f>
        <v>220</v>
      </c>
      <c r="N1306" s="12">
        <f>IF(A1306&lt;[3]关卡对接!$A$4,INDEX([3]关卡对接!$E$7:$E$141,A1306),MATCH(E1306,人物经验!$H$24:$H$573,1))</f>
        <v>453</v>
      </c>
      <c r="O1306" s="12">
        <f>INDEX([2]关卡!$G$6:$G$2005,A1306)</f>
        <v>3</v>
      </c>
      <c r="P1306" s="13">
        <v>6</v>
      </c>
      <c r="Q1306" s="12">
        <f>INT(P1306/$S$15/O1306*VLOOKUP(J1306,[1]人物技能基础!$N$3:$O$553,2,0)*$U$15)</f>
        <v>9</v>
      </c>
      <c r="R1306" s="12">
        <f t="shared" si="192"/>
        <v>112</v>
      </c>
    </row>
    <row r="1307" spans="1:18" x14ac:dyDescent="0.15">
      <c r="A1307" s="12">
        <v>1289</v>
      </c>
      <c r="B1307" s="12">
        <f t="shared" si="189"/>
        <v>7</v>
      </c>
      <c r="C1307" s="12">
        <f t="shared" si="190"/>
        <v>4.2030250000000002</v>
      </c>
      <c r="D1307" s="12">
        <f t="shared" si="184"/>
        <v>4.9425000000000274E-2</v>
      </c>
      <c r="E1307" s="12">
        <f>SUM($D$19:D1307)</f>
        <v>26.403024999999957</v>
      </c>
      <c r="F1307" s="12">
        <f t="shared" si="187"/>
        <v>297.68358142143489</v>
      </c>
      <c r="G1307" s="12">
        <f t="shared" si="188"/>
        <v>188.30529461730592</v>
      </c>
      <c r="H1307" s="12">
        <f t="shared" si="185"/>
        <v>1071600</v>
      </c>
      <c r="I1307" s="12">
        <f t="shared" si="186"/>
        <v>677800</v>
      </c>
      <c r="J1307" s="12">
        <f>IF(A1307&lt;[3]关卡对接!$A$4,INDEX([3]关卡对接!$C$7:$C$141,A1307),MATCH(E1307,人物经验!$H$24:$H$573,1))</f>
        <v>453</v>
      </c>
      <c r="K1307" s="12">
        <f>IF([3]关卡对接!F1295="",INT(INDEX(人物经验!$J$24:$J$573,关卡!J1307)*关卡!$S$7),[3]关卡对接!F1295)</f>
        <v>26531</v>
      </c>
      <c r="L1307" s="12">
        <f t="shared" si="191"/>
        <v>2.2000000000000002</v>
      </c>
      <c r="M1307" s="12">
        <f>L1307/[4]货币基础!$B$4</f>
        <v>220</v>
      </c>
      <c r="N1307" s="12">
        <f>IF(A1307&lt;[3]关卡对接!$A$4,INDEX([3]关卡对接!$E$7:$E$141,A1307),MATCH(E1307,人物经验!$H$24:$H$573,1))</f>
        <v>453</v>
      </c>
      <c r="O1307" s="12">
        <f>INDEX([2]关卡!$G$6:$G$2005,A1307)</f>
        <v>3</v>
      </c>
      <c r="P1307" s="13">
        <v>6</v>
      </c>
      <c r="Q1307" s="12">
        <f>INT(P1307/$S$15/O1307*VLOOKUP(J1307,[1]人物技能基础!$N$3:$O$553,2,0)*$U$15)</f>
        <v>9</v>
      </c>
      <c r="R1307" s="12">
        <f t="shared" si="192"/>
        <v>112</v>
      </c>
    </row>
    <row r="1308" spans="1:18" x14ac:dyDescent="0.15">
      <c r="A1308" s="12">
        <v>1290</v>
      </c>
      <c r="B1308" s="12">
        <f t="shared" si="189"/>
        <v>7</v>
      </c>
      <c r="C1308" s="12">
        <f t="shared" si="190"/>
        <v>4.2525000000000004</v>
      </c>
      <c r="D1308" s="12">
        <f t="shared" si="184"/>
        <v>4.9475000000000158E-2</v>
      </c>
      <c r="E1308" s="12">
        <f>SUM($D$19:D1308)</f>
        <v>26.452499999999958</v>
      </c>
      <c r="F1308" s="12">
        <f t="shared" si="187"/>
        <v>298.26348094937504</v>
      </c>
      <c r="G1308" s="12">
        <f t="shared" si="188"/>
        <v>188.59646480937499</v>
      </c>
      <c r="H1308" s="12">
        <f t="shared" si="185"/>
        <v>1073700</v>
      </c>
      <c r="I1308" s="12">
        <f t="shared" si="186"/>
        <v>678900</v>
      </c>
      <c r="J1308" s="12">
        <f>IF(A1308&lt;[3]关卡对接!$A$4,INDEX([3]关卡对接!$C$7:$C$141,A1308),MATCH(E1308,人物经验!$H$24:$H$573,1))</f>
        <v>453</v>
      </c>
      <c r="K1308" s="12">
        <f>IF([3]关卡对接!F1296="",INT(INDEX(人物经验!$J$24:$J$573,关卡!J1308)*关卡!$S$7),[3]关卡对接!F1296)</f>
        <v>26531</v>
      </c>
      <c r="L1308" s="12">
        <f t="shared" si="191"/>
        <v>2.2000000000000002</v>
      </c>
      <c r="M1308" s="12">
        <f>L1308/[4]货币基础!$B$4</f>
        <v>220</v>
      </c>
      <c r="N1308" s="12">
        <f>IF(A1308&lt;[3]关卡对接!$A$4,INDEX([3]关卡对接!$E$7:$E$141,A1308),MATCH(E1308,人物经验!$H$24:$H$573,1))</f>
        <v>453</v>
      </c>
      <c r="O1308" s="12">
        <f>INDEX([2]关卡!$G$6:$G$2005,A1308)</f>
        <v>3</v>
      </c>
      <c r="P1308" s="13">
        <v>6</v>
      </c>
      <c r="Q1308" s="12">
        <f>INT(P1308/$S$15/O1308*VLOOKUP(J1308,[1]人物技能基础!$N$3:$O$553,2,0)*$U$15)</f>
        <v>9</v>
      </c>
      <c r="R1308" s="12">
        <f t="shared" si="192"/>
        <v>112</v>
      </c>
    </row>
    <row r="1309" spans="1:18" x14ac:dyDescent="0.15">
      <c r="A1309" s="12">
        <v>1291</v>
      </c>
      <c r="B1309" s="12">
        <f t="shared" si="189"/>
        <v>7</v>
      </c>
      <c r="C1309" s="12">
        <f t="shared" si="190"/>
        <v>4.3020250000000004</v>
      </c>
      <c r="D1309" s="12">
        <f t="shared" si="184"/>
        <v>4.9525000000000041E-2</v>
      </c>
      <c r="E1309" s="12">
        <f>SUM($D$19:D1309)</f>
        <v>26.502024999999957</v>
      </c>
      <c r="F1309" s="12">
        <f t="shared" si="187"/>
        <v>298.84426870928991</v>
      </c>
      <c r="G1309" s="12">
        <f t="shared" si="188"/>
        <v>188.88797369358093</v>
      </c>
      <c r="H1309" s="12">
        <f t="shared" si="185"/>
        <v>1075800</v>
      </c>
      <c r="I1309" s="12">
        <f t="shared" si="186"/>
        <v>679900</v>
      </c>
      <c r="J1309" s="12">
        <f>IF(A1309&lt;[3]关卡对接!$A$4,INDEX([3]关卡对接!$C$7:$C$141,A1309),MATCH(E1309,人物经验!$H$24:$H$573,1))</f>
        <v>454</v>
      </c>
      <c r="K1309" s="12">
        <f>IF([3]关卡对接!F1297="",INT(INDEX(人物经验!$J$24:$J$573,关卡!J1309)*关卡!$S$7),[3]关卡对接!F1297)</f>
        <v>26843</v>
      </c>
      <c r="L1309" s="12">
        <f t="shared" si="191"/>
        <v>2.2000000000000002</v>
      </c>
      <c r="M1309" s="12">
        <f>L1309/[4]货币基础!$B$4</f>
        <v>220</v>
      </c>
      <c r="N1309" s="12">
        <f>IF(A1309&lt;[3]关卡对接!$A$4,INDEX([3]关卡对接!$E$7:$E$141,A1309),MATCH(E1309,人物经验!$H$24:$H$573,1))</f>
        <v>454</v>
      </c>
      <c r="O1309" s="12">
        <f>INDEX([2]关卡!$G$6:$G$2005,A1309)</f>
        <v>3</v>
      </c>
      <c r="P1309" s="13">
        <v>6</v>
      </c>
      <c r="Q1309" s="12">
        <f>INT(P1309/$S$15/O1309*VLOOKUP(J1309,[1]人物技能基础!$N$3:$O$553,2,0)*$U$15)</f>
        <v>9</v>
      </c>
      <c r="R1309" s="12">
        <f t="shared" si="192"/>
        <v>112</v>
      </c>
    </row>
    <row r="1310" spans="1:18" x14ac:dyDescent="0.15">
      <c r="A1310" s="12">
        <v>1292</v>
      </c>
      <c r="B1310" s="12">
        <f t="shared" si="189"/>
        <v>7</v>
      </c>
      <c r="C1310" s="12">
        <f t="shared" si="190"/>
        <v>4.3516000000000004</v>
      </c>
      <c r="D1310" s="12">
        <f t="shared" si="184"/>
        <v>4.9574999999999925E-2</v>
      </c>
      <c r="E1310" s="12">
        <f>SUM($D$19:D1310)</f>
        <v>26.551599999999958</v>
      </c>
      <c r="F1310" s="12">
        <f t="shared" si="187"/>
        <v>299.42594569854396</v>
      </c>
      <c r="G1310" s="12">
        <f t="shared" si="188"/>
        <v>189.17982156632002</v>
      </c>
      <c r="H1310" s="12">
        <f t="shared" si="185"/>
        <v>1077900</v>
      </c>
      <c r="I1310" s="12">
        <f t="shared" si="186"/>
        <v>681000</v>
      </c>
      <c r="J1310" s="12">
        <f>IF(A1310&lt;[3]关卡对接!$A$4,INDEX([3]关卡对接!$C$7:$C$141,A1310),MATCH(E1310,人物经验!$H$24:$H$573,1))</f>
        <v>454</v>
      </c>
      <c r="K1310" s="12">
        <f>IF([3]关卡对接!F1298="",INT(INDEX(人物经验!$J$24:$J$573,关卡!J1310)*关卡!$S$7),[3]关卡对接!F1298)</f>
        <v>26843</v>
      </c>
      <c r="L1310" s="12">
        <f t="shared" si="191"/>
        <v>2.2000000000000002</v>
      </c>
      <c r="M1310" s="12">
        <f>L1310/[4]货币基础!$B$4</f>
        <v>220</v>
      </c>
      <c r="N1310" s="12">
        <f>IF(A1310&lt;[3]关卡对接!$A$4,INDEX([3]关卡对接!$E$7:$E$141,A1310),MATCH(E1310,人物经验!$H$24:$H$573,1))</f>
        <v>454</v>
      </c>
      <c r="O1310" s="12">
        <f>INDEX([2]关卡!$G$6:$G$2005,A1310)</f>
        <v>3</v>
      </c>
      <c r="P1310" s="13">
        <v>6</v>
      </c>
      <c r="Q1310" s="12">
        <f>INT(P1310/$S$15/O1310*VLOOKUP(J1310,[1]人物技能基础!$N$3:$O$553,2,0)*$U$15)</f>
        <v>9</v>
      </c>
      <c r="R1310" s="12">
        <f t="shared" si="192"/>
        <v>112</v>
      </c>
    </row>
    <row r="1311" spans="1:18" x14ac:dyDescent="0.15">
      <c r="A1311" s="12">
        <v>1293</v>
      </c>
      <c r="B1311" s="12">
        <f t="shared" si="189"/>
        <v>7</v>
      </c>
      <c r="C1311" s="12">
        <f t="shared" si="190"/>
        <v>4.4012250000000002</v>
      </c>
      <c r="D1311" s="12">
        <f t="shared" si="184"/>
        <v>4.9624999999999808E-2</v>
      </c>
      <c r="E1311" s="12">
        <f>SUM($D$19:D1311)</f>
        <v>26.601224999999957</v>
      </c>
      <c r="F1311" s="12">
        <f t="shared" si="187"/>
        <v>300.00851291509991</v>
      </c>
      <c r="G1311" s="12">
        <f t="shared" si="188"/>
        <v>189.47200872413092</v>
      </c>
      <c r="H1311" s="12">
        <f t="shared" si="185"/>
        <v>1080000</v>
      </c>
      <c r="I1311" s="12">
        <f t="shared" si="186"/>
        <v>682000</v>
      </c>
      <c r="J1311" s="12">
        <f>IF(A1311&lt;[3]关卡对接!$A$4,INDEX([3]关卡对接!$C$7:$C$141,A1311),MATCH(E1311,人物经验!$H$24:$H$573,1))</f>
        <v>454</v>
      </c>
      <c r="K1311" s="12">
        <f>IF([3]关卡对接!F1299="",INT(INDEX(人物经验!$J$24:$J$573,关卡!J1311)*关卡!$S$7),[3]关卡对接!F1299)</f>
        <v>26843</v>
      </c>
      <c r="L1311" s="12">
        <f t="shared" si="191"/>
        <v>2.2000000000000002</v>
      </c>
      <c r="M1311" s="12">
        <f>L1311/[4]货币基础!$B$4</f>
        <v>220</v>
      </c>
      <c r="N1311" s="12">
        <f>IF(A1311&lt;[3]关卡对接!$A$4,INDEX([3]关卡对接!$E$7:$E$141,A1311),MATCH(E1311,人物经验!$H$24:$H$573,1))</f>
        <v>454</v>
      </c>
      <c r="O1311" s="12">
        <f>INDEX([2]关卡!$G$6:$G$2005,A1311)</f>
        <v>3</v>
      </c>
      <c r="P1311" s="13">
        <v>6</v>
      </c>
      <c r="Q1311" s="12">
        <f>INT(P1311/$S$15/O1311*VLOOKUP(J1311,[1]人物技能基础!$N$3:$O$553,2,0)*$U$15)</f>
        <v>9</v>
      </c>
      <c r="R1311" s="12">
        <f t="shared" si="192"/>
        <v>112</v>
      </c>
    </row>
    <row r="1312" spans="1:18" x14ac:dyDescent="0.15">
      <c r="A1312" s="12">
        <v>1294</v>
      </c>
      <c r="B1312" s="12">
        <f t="shared" si="189"/>
        <v>7</v>
      </c>
      <c r="C1312" s="12">
        <f t="shared" si="190"/>
        <v>4.4508999999999999</v>
      </c>
      <c r="D1312" s="12">
        <f t="shared" si="184"/>
        <v>4.9674999999999692E-2</v>
      </c>
      <c r="E1312" s="12">
        <f>SUM($D$19:D1312)</f>
        <v>26.650899999999957</v>
      </c>
      <c r="F1312" s="12">
        <f t="shared" si="187"/>
        <v>300.59197135751901</v>
      </c>
      <c r="G1312" s="12">
        <f t="shared" si="188"/>
        <v>189.76453546369501</v>
      </c>
      <c r="H1312" s="12">
        <f t="shared" si="185"/>
        <v>1082100</v>
      </c>
      <c r="I1312" s="12">
        <f t="shared" si="186"/>
        <v>683100</v>
      </c>
      <c r="J1312" s="12">
        <f>IF(A1312&lt;[3]关卡对接!$A$4,INDEX([3]关卡对接!$C$7:$C$141,A1312),MATCH(E1312,人物经验!$H$24:$H$573,1))</f>
        <v>454</v>
      </c>
      <c r="K1312" s="12">
        <f>IF([3]关卡对接!F1300="",INT(INDEX(人物经验!$J$24:$J$573,关卡!J1312)*关卡!$S$7),[3]关卡对接!F1300)</f>
        <v>26843</v>
      </c>
      <c r="L1312" s="12">
        <f t="shared" si="191"/>
        <v>2.2000000000000002</v>
      </c>
      <c r="M1312" s="12">
        <f>L1312/[4]货币基础!$B$4</f>
        <v>220</v>
      </c>
      <c r="N1312" s="12">
        <f>IF(A1312&lt;[3]关卡对接!$A$4,INDEX([3]关卡对接!$E$7:$E$141,A1312),MATCH(E1312,人物经验!$H$24:$H$573,1))</f>
        <v>454</v>
      </c>
      <c r="O1312" s="12">
        <f>INDEX([2]关卡!$G$6:$G$2005,A1312)</f>
        <v>3</v>
      </c>
      <c r="P1312" s="13">
        <v>6</v>
      </c>
      <c r="Q1312" s="12">
        <f>INT(P1312/$S$15/O1312*VLOOKUP(J1312,[1]人物技能基础!$N$3:$O$553,2,0)*$U$15)</f>
        <v>9</v>
      </c>
      <c r="R1312" s="12">
        <f t="shared" si="192"/>
        <v>112</v>
      </c>
    </row>
    <row r="1313" spans="1:18" x14ac:dyDescent="0.15">
      <c r="A1313" s="12">
        <v>1295</v>
      </c>
      <c r="B1313" s="12">
        <f t="shared" si="189"/>
        <v>7</v>
      </c>
      <c r="C1313" s="12">
        <f t="shared" si="190"/>
        <v>4.5006249999999994</v>
      </c>
      <c r="D1313" s="12">
        <f t="shared" si="184"/>
        <v>4.9724999999999575E-2</v>
      </c>
      <c r="E1313" s="12">
        <f>SUM($D$19:D1313)</f>
        <v>26.700624999999956</v>
      </c>
      <c r="F1313" s="12">
        <f t="shared" si="187"/>
        <v>301.17632202496094</v>
      </c>
      <c r="G1313" s="12">
        <f t="shared" si="188"/>
        <v>190.0574020818359</v>
      </c>
      <c r="H1313" s="12">
        <f t="shared" si="185"/>
        <v>1084200</v>
      </c>
      <c r="I1313" s="12">
        <f t="shared" si="186"/>
        <v>684200</v>
      </c>
      <c r="J1313" s="12">
        <f>IF(A1313&lt;[3]关卡对接!$A$4,INDEX([3]关卡对接!$C$7:$C$141,A1313),MATCH(E1313,人物经验!$H$24:$H$573,1))</f>
        <v>454</v>
      </c>
      <c r="K1313" s="12">
        <f>IF([3]关卡对接!F1301="",INT(INDEX(人物经验!$J$24:$J$573,关卡!J1313)*关卡!$S$7),[3]关卡对接!F1301)</f>
        <v>26843</v>
      </c>
      <c r="L1313" s="12">
        <f t="shared" si="191"/>
        <v>2.2000000000000002</v>
      </c>
      <c r="M1313" s="12">
        <f>L1313/[4]货币基础!$B$4</f>
        <v>220</v>
      </c>
      <c r="N1313" s="12">
        <f>IF(A1313&lt;[3]关卡对接!$A$4,INDEX([3]关卡对接!$E$7:$E$141,A1313),MATCH(E1313,人物经验!$H$24:$H$573,1))</f>
        <v>454</v>
      </c>
      <c r="O1313" s="12">
        <f>INDEX([2]关卡!$G$6:$G$2005,A1313)</f>
        <v>3</v>
      </c>
      <c r="P1313" s="13">
        <v>6</v>
      </c>
      <c r="Q1313" s="12">
        <f>INT(P1313/$S$15/O1313*VLOOKUP(J1313,[1]人物技能基础!$N$3:$O$553,2,0)*$U$15)</f>
        <v>9</v>
      </c>
      <c r="R1313" s="12">
        <f t="shared" si="192"/>
        <v>112</v>
      </c>
    </row>
    <row r="1314" spans="1:18" x14ac:dyDescent="0.15">
      <c r="A1314" s="12">
        <v>1296</v>
      </c>
      <c r="B1314" s="12">
        <f t="shared" si="189"/>
        <v>7</v>
      </c>
      <c r="C1314" s="12">
        <f t="shared" si="190"/>
        <v>4.5503999999999998</v>
      </c>
      <c r="D1314" s="12">
        <f t="shared" si="184"/>
        <v>4.9775000000000347E-2</v>
      </c>
      <c r="E1314" s="12">
        <f>SUM($D$19:D1314)</f>
        <v>26.750399999999956</v>
      </c>
      <c r="F1314" s="12">
        <f t="shared" si="187"/>
        <v>301.76156591718399</v>
      </c>
      <c r="G1314" s="12">
        <f t="shared" si="188"/>
        <v>190.35060887552001</v>
      </c>
      <c r="H1314" s="12">
        <f t="shared" si="185"/>
        <v>1086300</v>
      </c>
      <c r="I1314" s="12">
        <f t="shared" si="186"/>
        <v>685200</v>
      </c>
      <c r="J1314" s="12">
        <f>IF(A1314&lt;[3]关卡对接!$A$4,INDEX([3]关卡对接!$C$7:$C$141,A1314),MATCH(E1314,人物经验!$H$24:$H$573,1))</f>
        <v>454</v>
      </c>
      <c r="K1314" s="12">
        <f>IF([3]关卡对接!F1302="",INT(INDEX(人物经验!$J$24:$J$573,关卡!J1314)*关卡!$S$7),[3]关卡对接!F1302)</f>
        <v>26843</v>
      </c>
      <c r="L1314" s="12">
        <f t="shared" si="191"/>
        <v>2.2000000000000002</v>
      </c>
      <c r="M1314" s="12">
        <f>L1314/[4]货币基础!$B$4</f>
        <v>220</v>
      </c>
      <c r="N1314" s="12">
        <f>IF(A1314&lt;[3]关卡对接!$A$4,INDEX([3]关卡对接!$E$7:$E$141,A1314),MATCH(E1314,人物经验!$H$24:$H$573,1))</f>
        <v>454</v>
      </c>
      <c r="O1314" s="12">
        <f>INDEX([2]关卡!$G$6:$G$2005,A1314)</f>
        <v>3</v>
      </c>
      <c r="P1314" s="13">
        <v>6</v>
      </c>
      <c r="Q1314" s="12">
        <f>INT(P1314/$S$15/O1314*VLOOKUP(J1314,[1]人物技能基础!$N$3:$O$553,2,0)*$U$15)</f>
        <v>9</v>
      </c>
      <c r="R1314" s="12">
        <f t="shared" si="192"/>
        <v>112</v>
      </c>
    </row>
    <row r="1315" spans="1:18" x14ac:dyDescent="0.15">
      <c r="A1315" s="12">
        <v>1297</v>
      </c>
      <c r="B1315" s="12">
        <f t="shared" si="189"/>
        <v>7</v>
      </c>
      <c r="C1315" s="12">
        <f t="shared" si="190"/>
        <v>4.600225</v>
      </c>
      <c r="D1315" s="12">
        <f t="shared" si="184"/>
        <v>4.982500000000023E-2</v>
      </c>
      <c r="E1315" s="12">
        <f>SUM($D$19:D1315)</f>
        <v>26.800224999999955</v>
      </c>
      <c r="F1315" s="12">
        <f t="shared" si="187"/>
        <v>302.3477040345449</v>
      </c>
      <c r="G1315" s="12">
        <f t="shared" si="188"/>
        <v>190.64415614185592</v>
      </c>
      <c r="H1315" s="12">
        <f t="shared" si="185"/>
        <v>1088400</v>
      </c>
      <c r="I1315" s="12">
        <f t="shared" si="186"/>
        <v>686300</v>
      </c>
      <c r="J1315" s="12">
        <f>IF(A1315&lt;[3]关卡对接!$A$4,INDEX([3]关卡对接!$C$7:$C$141,A1315),MATCH(E1315,人物经验!$H$24:$H$573,1))</f>
        <v>455</v>
      </c>
      <c r="K1315" s="12">
        <f>IF([3]关卡对接!F1303="",INT(INDEX(人物经验!$J$24:$J$573,关卡!J1315)*关卡!$S$7),[3]关卡对接!F1303)</f>
        <v>27158</v>
      </c>
      <c r="L1315" s="12">
        <f t="shared" si="191"/>
        <v>2.2000000000000002</v>
      </c>
      <c r="M1315" s="12">
        <f>L1315/[4]货币基础!$B$4</f>
        <v>220</v>
      </c>
      <c r="N1315" s="12">
        <f>IF(A1315&lt;[3]关卡对接!$A$4,INDEX([3]关卡对接!$E$7:$E$141,A1315),MATCH(E1315,人物经验!$H$24:$H$573,1))</f>
        <v>455</v>
      </c>
      <c r="O1315" s="12">
        <f>INDEX([2]关卡!$G$6:$G$2005,A1315)</f>
        <v>3</v>
      </c>
      <c r="P1315" s="13">
        <v>6</v>
      </c>
      <c r="Q1315" s="12">
        <f>INT(P1315/$S$15/O1315*VLOOKUP(J1315,[1]人物技能基础!$N$3:$O$553,2,0)*$U$15)</f>
        <v>9</v>
      </c>
      <c r="R1315" s="12">
        <f t="shared" si="192"/>
        <v>112</v>
      </c>
    </row>
    <row r="1316" spans="1:18" x14ac:dyDescent="0.15">
      <c r="A1316" s="12">
        <v>1298</v>
      </c>
      <c r="B1316" s="12">
        <f t="shared" si="189"/>
        <v>7</v>
      </c>
      <c r="C1316" s="12">
        <f t="shared" si="190"/>
        <v>4.6501000000000001</v>
      </c>
      <c r="D1316" s="12">
        <f t="shared" si="184"/>
        <v>4.9875000000000114E-2</v>
      </c>
      <c r="E1316" s="12">
        <f>SUM($D$19:D1316)</f>
        <v>26.850099999999955</v>
      </c>
      <c r="F1316" s="12">
        <f t="shared" si="187"/>
        <v>302.93473737799906</v>
      </c>
      <c r="G1316" s="12">
        <f t="shared" si="188"/>
        <v>190.93804417809503</v>
      </c>
      <c r="H1316" s="12">
        <f t="shared" si="185"/>
        <v>1090500</v>
      </c>
      <c r="I1316" s="12">
        <f t="shared" si="186"/>
        <v>687300</v>
      </c>
      <c r="J1316" s="12">
        <f>IF(A1316&lt;[3]关卡对接!$A$4,INDEX([3]关卡对接!$C$7:$C$141,A1316),MATCH(E1316,人物经验!$H$24:$H$573,1))</f>
        <v>455</v>
      </c>
      <c r="K1316" s="12">
        <f>IF([3]关卡对接!F1304="",INT(INDEX(人物经验!$J$24:$J$573,关卡!J1316)*关卡!$S$7),[3]关卡对接!F1304)</f>
        <v>27158</v>
      </c>
      <c r="L1316" s="12">
        <f t="shared" si="191"/>
        <v>2.2000000000000002</v>
      </c>
      <c r="M1316" s="12">
        <f>L1316/[4]货币基础!$B$4</f>
        <v>220</v>
      </c>
      <c r="N1316" s="12">
        <f>IF(A1316&lt;[3]关卡对接!$A$4,INDEX([3]关卡对接!$E$7:$E$141,A1316),MATCH(E1316,人物经验!$H$24:$H$573,1))</f>
        <v>455</v>
      </c>
      <c r="O1316" s="12">
        <f>INDEX([2]关卡!$G$6:$G$2005,A1316)</f>
        <v>3</v>
      </c>
      <c r="P1316" s="13">
        <v>6</v>
      </c>
      <c r="Q1316" s="12">
        <f>INT(P1316/$S$15/O1316*VLOOKUP(J1316,[1]人物技能基础!$N$3:$O$553,2,0)*$U$15)</f>
        <v>9</v>
      </c>
      <c r="R1316" s="12">
        <f t="shared" si="192"/>
        <v>112</v>
      </c>
    </row>
    <row r="1317" spans="1:18" x14ac:dyDescent="0.15">
      <c r="A1317" s="12">
        <v>1299</v>
      </c>
      <c r="B1317" s="12">
        <f t="shared" si="189"/>
        <v>7</v>
      </c>
      <c r="C1317" s="12">
        <f t="shared" si="190"/>
        <v>4.7000250000000001</v>
      </c>
      <c r="D1317" s="12">
        <f t="shared" si="184"/>
        <v>4.9924999999999997E-2</v>
      </c>
      <c r="E1317" s="12">
        <f>SUM($D$19:D1317)</f>
        <v>26.900024999999957</v>
      </c>
      <c r="F1317" s="12">
        <f t="shared" si="187"/>
        <v>303.52266694909991</v>
      </c>
      <c r="G1317" s="12">
        <f t="shared" si="188"/>
        <v>191.23227328163091</v>
      </c>
      <c r="H1317" s="12">
        <f t="shared" si="185"/>
        <v>1092600</v>
      </c>
      <c r="I1317" s="12">
        <f t="shared" si="186"/>
        <v>688400</v>
      </c>
      <c r="J1317" s="12">
        <f>IF(A1317&lt;[3]关卡对接!$A$4,INDEX([3]关卡对接!$C$7:$C$141,A1317),MATCH(E1317,人物经验!$H$24:$H$573,1))</f>
        <v>455</v>
      </c>
      <c r="K1317" s="12">
        <f>IF([3]关卡对接!F1305="",INT(INDEX(人物经验!$J$24:$J$573,关卡!J1317)*关卡!$S$7),[3]关卡对接!F1305)</f>
        <v>27158</v>
      </c>
      <c r="L1317" s="12">
        <f t="shared" si="191"/>
        <v>2.2000000000000002</v>
      </c>
      <c r="M1317" s="12">
        <f>L1317/[4]货币基础!$B$4</f>
        <v>220</v>
      </c>
      <c r="N1317" s="12">
        <f>IF(A1317&lt;[3]关卡对接!$A$4,INDEX([3]关卡对接!$E$7:$E$141,A1317),MATCH(E1317,人物经验!$H$24:$H$573,1))</f>
        <v>455</v>
      </c>
      <c r="O1317" s="12">
        <f>INDEX([2]关卡!$G$6:$G$2005,A1317)</f>
        <v>3</v>
      </c>
      <c r="P1317" s="13">
        <v>6</v>
      </c>
      <c r="Q1317" s="12">
        <f>INT(P1317/$S$15/O1317*VLOOKUP(J1317,[1]人物技能基础!$N$3:$O$553,2,0)*$U$15)</f>
        <v>9</v>
      </c>
      <c r="R1317" s="12">
        <f t="shared" si="192"/>
        <v>112</v>
      </c>
    </row>
    <row r="1318" spans="1:18" x14ac:dyDescent="0.15">
      <c r="A1318" s="12">
        <v>1300</v>
      </c>
      <c r="B1318" s="12">
        <f t="shared" si="189"/>
        <v>7</v>
      </c>
      <c r="C1318" s="12">
        <f t="shared" si="190"/>
        <v>4.75</v>
      </c>
      <c r="D1318" s="12">
        <f t="shared" si="184"/>
        <v>4.9974999999999881E-2</v>
      </c>
      <c r="E1318" s="12">
        <f>SUM($D$19:D1318)</f>
        <v>26.949999999999957</v>
      </c>
      <c r="F1318" s="12">
        <f t="shared" si="187"/>
        <v>304.11149375000002</v>
      </c>
      <c r="G1318" s="12">
        <f t="shared" si="188"/>
        <v>191.52684375000001</v>
      </c>
      <c r="H1318" s="12">
        <f t="shared" si="185"/>
        <v>1094800</v>
      </c>
      <c r="I1318" s="12">
        <f t="shared" si="186"/>
        <v>689400</v>
      </c>
      <c r="J1318" s="12">
        <f>IF(A1318&lt;[3]关卡对接!$A$4,INDEX([3]关卡对接!$C$7:$C$141,A1318),MATCH(E1318,人物经验!$H$24:$H$573,1))</f>
        <v>455</v>
      </c>
      <c r="K1318" s="12">
        <f>IF([3]关卡对接!F1306="",INT(INDEX(人物经验!$J$24:$J$573,关卡!J1318)*关卡!$S$7),[3]关卡对接!F1306)</f>
        <v>27158</v>
      </c>
      <c r="L1318" s="12">
        <f t="shared" si="191"/>
        <v>2.2000000000000002</v>
      </c>
      <c r="M1318" s="12">
        <f>L1318/[4]货币基础!$B$4</f>
        <v>220</v>
      </c>
      <c r="N1318" s="12">
        <f>IF(A1318&lt;[3]关卡对接!$A$4,INDEX([3]关卡对接!$E$7:$E$141,A1318),MATCH(E1318,人物经验!$H$24:$H$573,1))</f>
        <v>455</v>
      </c>
      <c r="O1318" s="12">
        <f>INDEX([2]关卡!$G$6:$G$2005,A1318)</f>
        <v>3</v>
      </c>
      <c r="P1318" s="13">
        <v>6</v>
      </c>
      <c r="Q1318" s="12">
        <f>INT(P1318/$S$15/O1318*VLOOKUP(J1318,[1]人物技能基础!$N$3:$O$553,2,0)*$U$15)</f>
        <v>9</v>
      </c>
      <c r="R1318" s="12">
        <f t="shared" si="192"/>
        <v>112</v>
      </c>
    </row>
    <row r="1319" spans="1:18" x14ac:dyDescent="0.15">
      <c r="A1319" s="12">
        <v>1301</v>
      </c>
      <c r="B1319" s="12">
        <f t="shared" si="189"/>
        <v>7</v>
      </c>
      <c r="C1319" s="12">
        <f t="shared" si="190"/>
        <v>4.8000249999999998</v>
      </c>
      <c r="D1319" s="12">
        <f t="shared" si="184"/>
        <v>5.0024999999999764E-2</v>
      </c>
      <c r="E1319" s="12">
        <f>SUM($D$19:D1319)</f>
        <v>27.000024999999958</v>
      </c>
      <c r="F1319" s="12">
        <f t="shared" si="187"/>
        <v>304.70121878344992</v>
      </c>
      <c r="G1319" s="12">
        <f t="shared" si="188"/>
        <v>191.82175588088091</v>
      </c>
      <c r="H1319" s="12">
        <f t="shared" si="185"/>
        <v>1096900</v>
      </c>
      <c r="I1319" s="12">
        <f t="shared" si="186"/>
        <v>690500</v>
      </c>
      <c r="J1319" s="12">
        <f>IF(A1319&lt;[3]关卡对接!$A$4,INDEX([3]关卡对接!$C$7:$C$141,A1319),MATCH(E1319,人物经验!$H$24:$H$573,1))</f>
        <v>455</v>
      </c>
      <c r="K1319" s="12">
        <f>IF([3]关卡对接!F1307="",INT(INDEX(人物经验!$J$24:$J$573,关卡!J1319)*关卡!$S$7),[3]关卡对接!F1307)</f>
        <v>27158</v>
      </c>
      <c r="L1319" s="12">
        <f t="shared" si="191"/>
        <v>2.2000000000000002</v>
      </c>
      <c r="M1319" s="12">
        <f>L1319/[4]货币基础!$B$4</f>
        <v>220</v>
      </c>
      <c r="N1319" s="12">
        <f>IF(A1319&lt;[3]关卡对接!$A$4,INDEX([3]关卡对接!$E$7:$E$141,A1319),MATCH(E1319,人物经验!$H$24:$H$573,1))</f>
        <v>455</v>
      </c>
      <c r="O1319" s="12">
        <f>INDEX([2]关卡!$G$6:$G$2005,A1319)</f>
        <v>3</v>
      </c>
      <c r="P1319" s="13">
        <v>6</v>
      </c>
      <c r="Q1319" s="12">
        <f>INT(P1319/$S$15/O1319*VLOOKUP(J1319,[1]人物技能基础!$N$3:$O$553,2,0)*$U$15)</f>
        <v>9</v>
      </c>
      <c r="R1319" s="12">
        <f t="shared" si="192"/>
        <v>112</v>
      </c>
    </row>
    <row r="1320" spans="1:18" x14ac:dyDescent="0.15">
      <c r="A1320" s="12">
        <v>1302</v>
      </c>
      <c r="B1320" s="12">
        <f t="shared" si="189"/>
        <v>7</v>
      </c>
      <c r="C1320" s="12">
        <f t="shared" si="190"/>
        <v>4.8501000000000003</v>
      </c>
      <c r="D1320" s="12">
        <f t="shared" si="184"/>
        <v>5.0075000000000536E-2</v>
      </c>
      <c r="E1320" s="12">
        <f>SUM($D$19:D1320)</f>
        <v>27.050099999999958</v>
      </c>
      <c r="F1320" s="12">
        <f t="shared" si="187"/>
        <v>305.29184305279898</v>
      </c>
      <c r="G1320" s="12">
        <f t="shared" si="188"/>
        <v>192.11700997209502</v>
      </c>
      <c r="H1320" s="12">
        <f t="shared" si="185"/>
        <v>1099000</v>
      </c>
      <c r="I1320" s="12">
        <f t="shared" si="186"/>
        <v>691600</v>
      </c>
      <c r="J1320" s="12">
        <f>IF(A1320&lt;[3]关卡对接!$A$4,INDEX([3]关卡对接!$C$7:$C$141,A1320),MATCH(E1320,人物经验!$H$24:$H$573,1))</f>
        <v>456</v>
      </c>
      <c r="K1320" s="12">
        <f>IF([3]关卡对接!F1308="",INT(INDEX(人物经验!$J$24:$J$573,关卡!J1320)*关卡!$S$7),[3]关卡对接!F1308)</f>
        <v>27423</v>
      </c>
      <c r="L1320" s="12">
        <f t="shared" si="191"/>
        <v>2.2000000000000002</v>
      </c>
      <c r="M1320" s="12">
        <f>L1320/[4]货币基础!$B$4</f>
        <v>220</v>
      </c>
      <c r="N1320" s="12">
        <f>IF(A1320&lt;[3]关卡对接!$A$4,INDEX([3]关卡对接!$E$7:$E$141,A1320),MATCH(E1320,人物经验!$H$24:$H$573,1))</f>
        <v>456</v>
      </c>
      <c r="O1320" s="12">
        <f>INDEX([2]关卡!$G$6:$G$2005,A1320)</f>
        <v>3</v>
      </c>
      <c r="P1320" s="13">
        <v>6</v>
      </c>
      <c r="Q1320" s="12">
        <f>INT(P1320/$S$15/O1320*VLOOKUP(J1320,[1]人物技能基础!$N$3:$O$553,2,0)*$U$15)</f>
        <v>9</v>
      </c>
      <c r="R1320" s="12">
        <f t="shared" si="192"/>
        <v>112</v>
      </c>
    </row>
    <row r="1321" spans="1:18" x14ac:dyDescent="0.15">
      <c r="A1321" s="12">
        <v>1303</v>
      </c>
      <c r="B1321" s="12">
        <f t="shared" si="189"/>
        <v>7</v>
      </c>
      <c r="C1321" s="12">
        <f t="shared" si="190"/>
        <v>4.9002250000000007</v>
      </c>
      <c r="D1321" s="12">
        <f t="shared" si="184"/>
        <v>5.0125000000000419E-2</v>
      </c>
      <c r="E1321" s="12">
        <f>SUM($D$19:D1321)</f>
        <v>27.100224999999959</v>
      </c>
      <c r="F1321" s="12">
        <f t="shared" si="187"/>
        <v>305.88336756199493</v>
      </c>
      <c r="G1321" s="12">
        <f t="shared" si="188"/>
        <v>192.41260632160589</v>
      </c>
      <c r="H1321" s="12">
        <f t="shared" si="185"/>
        <v>1101100</v>
      </c>
      <c r="I1321" s="12">
        <f t="shared" si="186"/>
        <v>692600</v>
      </c>
      <c r="J1321" s="12">
        <f>IF(A1321&lt;[3]关卡对接!$A$4,INDEX([3]关卡对接!$C$7:$C$141,A1321),MATCH(E1321,人物经验!$H$24:$H$573,1))</f>
        <v>456</v>
      </c>
      <c r="K1321" s="12">
        <f>IF([3]关卡对接!F1309="",INT(INDEX(人物经验!$J$24:$J$573,关卡!J1321)*关卡!$S$7),[3]关卡对接!F1309)</f>
        <v>27423</v>
      </c>
      <c r="L1321" s="12">
        <f t="shared" si="191"/>
        <v>2.2000000000000002</v>
      </c>
      <c r="M1321" s="12">
        <f>L1321/[4]货币基础!$B$4</f>
        <v>220</v>
      </c>
      <c r="N1321" s="12">
        <f>IF(A1321&lt;[3]关卡对接!$A$4,INDEX([3]关卡对接!$E$7:$E$141,A1321),MATCH(E1321,人物经验!$H$24:$H$573,1))</f>
        <v>456</v>
      </c>
      <c r="O1321" s="12">
        <f>INDEX([2]关卡!$G$6:$G$2005,A1321)</f>
        <v>3</v>
      </c>
      <c r="P1321" s="13">
        <v>6</v>
      </c>
      <c r="Q1321" s="12">
        <f>INT(P1321/$S$15/O1321*VLOOKUP(J1321,[1]人物技能基础!$N$3:$O$553,2,0)*$U$15)</f>
        <v>9</v>
      </c>
      <c r="R1321" s="12">
        <f t="shared" si="192"/>
        <v>112</v>
      </c>
    </row>
    <row r="1322" spans="1:18" x14ac:dyDescent="0.15">
      <c r="A1322" s="12">
        <v>1304</v>
      </c>
      <c r="B1322" s="12">
        <f t="shared" si="189"/>
        <v>7</v>
      </c>
      <c r="C1322" s="12">
        <f t="shared" si="190"/>
        <v>4.9504000000000001</v>
      </c>
      <c r="D1322" s="12">
        <f t="shared" si="184"/>
        <v>5.0174999999999415E-2</v>
      </c>
      <c r="E1322" s="12">
        <f>SUM($D$19:D1322)</f>
        <v>27.150399999999959</v>
      </c>
      <c r="F1322" s="12">
        <f t="shared" si="187"/>
        <v>306.47579331558404</v>
      </c>
      <c r="G1322" s="12">
        <f t="shared" si="188"/>
        <v>192.70854522752001</v>
      </c>
      <c r="H1322" s="12">
        <f t="shared" si="185"/>
        <v>1103300</v>
      </c>
      <c r="I1322" s="12">
        <f t="shared" si="186"/>
        <v>693700</v>
      </c>
      <c r="J1322" s="12">
        <f>IF(A1322&lt;[3]关卡对接!$A$4,INDEX([3]关卡对接!$C$7:$C$141,A1322),MATCH(E1322,人物经验!$H$24:$H$573,1))</f>
        <v>456</v>
      </c>
      <c r="K1322" s="12">
        <f>IF([3]关卡对接!F1310="",INT(INDEX(人物经验!$J$24:$J$573,关卡!J1322)*关卡!$S$7),[3]关卡对接!F1310)</f>
        <v>27423</v>
      </c>
      <c r="L1322" s="12">
        <f t="shared" si="191"/>
        <v>2.2000000000000002</v>
      </c>
      <c r="M1322" s="12">
        <f>L1322/[4]货币基础!$B$4</f>
        <v>220</v>
      </c>
      <c r="N1322" s="12">
        <f>IF(A1322&lt;[3]关卡对接!$A$4,INDEX([3]关卡对接!$E$7:$E$141,A1322),MATCH(E1322,人物经验!$H$24:$H$573,1))</f>
        <v>456</v>
      </c>
      <c r="O1322" s="12">
        <f>INDEX([2]关卡!$G$6:$G$2005,A1322)</f>
        <v>3</v>
      </c>
      <c r="P1322" s="13">
        <v>6</v>
      </c>
      <c r="Q1322" s="12">
        <f>INT(P1322/$S$15/O1322*VLOOKUP(J1322,[1]人物技能基础!$N$3:$O$553,2,0)*$U$15)</f>
        <v>9</v>
      </c>
      <c r="R1322" s="12">
        <f t="shared" si="192"/>
        <v>112</v>
      </c>
    </row>
    <row r="1323" spans="1:18" x14ac:dyDescent="0.15">
      <c r="A1323" s="12">
        <v>1305</v>
      </c>
      <c r="B1323" s="12">
        <f t="shared" si="189"/>
        <v>7</v>
      </c>
      <c r="C1323" s="12">
        <f t="shared" si="190"/>
        <v>5.0006250000000012</v>
      </c>
      <c r="D1323" s="12">
        <f t="shared" si="184"/>
        <v>5.0225000000001074E-2</v>
      </c>
      <c r="E1323" s="12">
        <f>SUM($D$19:D1323)</f>
        <v>27.20062499999996</v>
      </c>
      <c r="F1323" s="12">
        <f t="shared" si="187"/>
        <v>307.06912131871087</v>
      </c>
      <c r="G1323" s="12">
        <f t="shared" si="188"/>
        <v>193.00482698808591</v>
      </c>
      <c r="H1323" s="12">
        <f t="shared" si="185"/>
        <v>1105400</v>
      </c>
      <c r="I1323" s="12">
        <f t="shared" si="186"/>
        <v>694800</v>
      </c>
      <c r="J1323" s="12">
        <f>IF(A1323&lt;[3]关卡对接!$A$4,INDEX([3]关卡对接!$C$7:$C$141,A1323),MATCH(E1323,人物经验!$H$24:$H$573,1))</f>
        <v>456</v>
      </c>
      <c r="K1323" s="12">
        <f>IF([3]关卡对接!F1311="",INT(INDEX(人物经验!$J$24:$J$573,关卡!J1323)*关卡!$S$7),[3]关卡对接!F1311)</f>
        <v>27423</v>
      </c>
      <c r="L1323" s="12">
        <f t="shared" si="191"/>
        <v>2.2000000000000002</v>
      </c>
      <c r="M1323" s="12">
        <f>L1323/[4]货币基础!$B$4</f>
        <v>220</v>
      </c>
      <c r="N1323" s="12">
        <f>IF(A1323&lt;[3]关卡对接!$A$4,INDEX([3]关卡对接!$E$7:$E$141,A1323),MATCH(E1323,人物经验!$H$24:$H$573,1))</f>
        <v>456</v>
      </c>
      <c r="O1323" s="12">
        <f>INDEX([2]关卡!$G$6:$G$2005,A1323)</f>
        <v>3</v>
      </c>
      <c r="P1323" s="13">
        <v>6</v>
      </c>
      <c r="Q1323" s="12">
        <f>INT(P1323/$S$15/O1323*VLOOKUP(J1323,[1]人物技能基础!$N$3:$O$553,2,0)*$U$15)</f>
        <v>9</v>
      </c>
      <c r="R1323" s="12">
        <f t="shared" si="192"/>
        <v>112</v>
      </c>
    </row>
    <row r="1324" spans="1:18" x14ac:dyDescent="0.15">
      <c r="A1324" s="12">
        <v>1306</v>
      </c>
      <c r="B1324" s="12">
        <f t="shared" si="189"/>
        <v>7</v>
      </c>
      <c r="C1324" s="12">
        <f t="shared" si="190"/>
        <v>5.0509000000000004</v>
      </c>
      <c r="D1324" s="12">
        <f t="shared" si="184"/>
        <v>5.0274999999999181E-2</v>
      </c>
      <c r="E1324" s="12">
        <f>SUM($D$19:D1324)</f>
        <v>27.250899999999959</v>
      </c>
      <c r="F1324" s="12">
        <f t="shared" si="187"/>
        <v>307.6633525771191</v>
      </c>
      <c r="G1324" s="12">
        <f t="shared" si="188"/>
        <v>193.301451901695</v>
      </c>
      <c r="H1324" s="12">
        <f t="shared" si="185"/>
        <v>1107500</v>
      </c>
      <c r="I1324" s="12">
        <f t="shared" si="186"/>
        <v>695800</v>
      </c>
      <c r="J1324" s="12">
        <f>IF(A1324&lt;[3]关卡对接!$A$4,INDEX([3]关卡对接!$C$7:$C$141,A1324),MATCH(E1324,人物经验!$H$24:$H$573,1))</f>
        <v>456</v>
      </c>
      <c r="K1324" s="12">
        <f>IF([3]关卡对接!F1312="",INT(INDEX(人物经验!$J$24:$J$573,关卡!J1324)*关卡!$S$7),[3]关卡对接!F1312)</f>
        <v>27423</v>
      </c>
      <c r="L1324" s="12">
        <f t="shared" si="191"/>
        <v>2.2000000000000002</v>
      </c>
      <c r="M1324" s="12">
        <f>L1324/[4]货币基础!$B$4</f>
        <v>220</v>
      </c>
      <c r="N1324" s="12">
        <f>IF(A1324&lt;[3]关卡对接!$A$4,INDEX([3]关卡对接!$E$7:$E$141,A1324),MATCH(E1324,人物经验!$H$24:$H$573,1))</f>
        <v>456</v>
      </c>
      <c r="O1324" s="12">
        <f>INDEX([2]关卡!$G$6:$G$2005,A1324)</f>
        <v>3</v>
      </c>
      <c r="P1324" s="13">
        <v>6</v>
      </c>
      <c r="Q1324" s="12">
        <f>INT(P1324/$S$15/O1324*VLOOKUP(J1324,[1]人物技能基础!$N$3:$O$553,2,0)*$U$15)</f>
        <v>9</v>
      </c>
      <c r="R1324" s="12">
        <f t="shared" si="192"/>
        <v>112</v>
      </c>
    </row>
    <row r="1325" spans="1:18" x14ac:dyDescent="0.15">
      <c r="A1325" s="12">
        <v>1307</v>
      </c>
      <c r="B1325" s="12">
        <f t="shared" si="189"/>
        <v>7</v>
      </c>
      <c r="C1325" s="12">
        <f t="shared" si="190"/>
        <v>5.1012250000000003</v>
      </c>
      <c r="D1325" s="12">
        <f t="shared" si="184"/>
        <v>5.0324999999999953E-2</v>
      </c>
      <c r="E1325" s="12">
        <f>SUM($D$19:D1325)</f>
        <v>27.30122499999996</v>
      </c>
      <c r="F1325" s="12">
        <f t="shared" si="187"/>
        <v>308.25848809714995</v>
      </c>
      <c r="G1325" s="12">
        <f t="shared" si="188"/>
        <v>193.59842026688094</v>
      </c>
      <c r="H1325" s="12">
        <f t="shared" si="185"/>
        <v>1109700</v>
      </c>
      <c r="I1325" s="12">
        <f t="shared" si="186"/>
        <v>696900</v>
      </c>
      <c r="J1325" s="12">
        <f>IF(A1325&lt;[3]关卡对接!$A$4,INDEX([3]关卡对接!$C$7:$C$141,A1325),MATCH(E1325,人物经验!$H$24:$H$573,1))</f>
        <v>456</v>
      </c>
      <c r="K1325" s="12">
        <f>IF([3]关卡对接!F1313="",INT(INDEX(人物经验!$J$24:$J$573,关卡!J1325)*关卡!$S$7),[3]关卡对接!F1313)</f>
        <v>27423</v>
      </c>
      <c r="L1325" s="12">
        <f t="shared" si="191"/>
        <v>2.2000000000000002</v>
      </c>
      <c r="M1325" s="12">
        <f>L1325/[4]货币基础!$B$4</f>
        <v>220</v>
      </c>
      <c r="N1325" s="12">
        <f>IF(A1325&lt;[3]关卡对接!$A$4,INDEX([3]关卡对接!$E$7:$E$141,A1325),MATCH(E1325,人物经验!$H$24:$H$573,1))</f>
        <v>456</v>
      </c>
      <c r="O1325" s="12">
        <f>INDEX([2]关卡!$G$6:$G$2005,A1325)</f>
        <v>3</v>
      </c>
      <c r="P1325" s="13">
        <v>6</v>
      </c>
      <c r="Q1325" s="12">
        <f>INT(P1325/$S$15/O1325*VLOOKUP(J1325,[1]人物技能基础!$N$3:$O$553,2,0)*$U$15)</f>
        <v>9</v>
      </c>
      <c r="R1325" s="12">
        <f t="shared" si="192"/>
        <v>112</v>
      </c>
    </row>
    <row r="1326" spans="1:18" x14ac:dyDescent="0.15">
      <c r="A1326" s="12">
        <v>1308</v>
      </c>
      <c r="B1326" s="12">
        <f t="shared" si="189"/>
        <v>7</v>
      </c>
      <c r="C1326" s="12">
        <f t="shared" si="190"/>
        <v>5.1516000000000002</v>
      </c>
      <c r="D1326" s="12">
        <f t="shared" si="184"/>
        <v>5.0374999999999837E-2</v>
      </c>
      <c r="E1326" s="12">
        <f>SUM($D$19:D1326)</f>
        <v>27.351599999999959</v>
      </c>
      <c r="F1326" s="12">
        <f t="shared" si="187"/>
        <v>308.85452888574406</v>
      </c>
      <c r="G1326" s="12">
        <f t="shared" si="188"/>
        <v>193.89573238232003</v>
      </c>
      <c r="H1326" s="12">
        <f t="shared" si="185"/>
        <v>1111800</v>
      </c>
      <c r="I1326" s="12">
        <f t="shared" si="186"/>
        <v>698000</v>
      </c>
      <c r="J1326" s="12">
        <f>IF(A1326&lt;[3]关卡对接!$A$4,INDEX([3]关卡对接!$C$7:$C$141,A1326),MATCH(E1326,人物经验!$H$24:$H$573,1))</f>
        <v>457</v>
      </c>
      <c r="K1326" s="12">
        <f>IF([3]关卡对接!F1314="",INT(INDEX(人物经验!$J$24:$J$573,关卡!J1326)*关卡!$S$7),[3]关卡对接!F1314)</f>
        <v>27743</v>
      </c>
      <c r="L1326" s="12">
        <f t="shared" si="191"/>
        <v>2.2000000000000002</v>
      </c>
      <c r="M1326" s="12">
        <f>L1326/[4]货币基础!$B$4</f>
        <v>220</v>
      </c>
      <c r="N1326" s="12">
        <f>IF(A1326&lt;[3]关卡对接!$A$4,INDEX([3]关卡对接!$E$7:$E$141,A1326),MATCH(E1326,人物经验!$H$24:$H$573,1))</f>
        <v>457</v>
      </c>
      <c r="O1326" s="12">
        <f>INDEX([2]关卡!$G$6:$G$2005,A1326)</f>
        <v>3</v>
      </c>
      <c r="P1326" s="13">
        <v>6</v>
      </c>
      <c r="Q1326" s="12">
        <f>INT(P1326/$S$15/O1326*VLOOKUP(J1326,[1]人物技能基础!$N$3:$O$553,2,0)*$U$15)</f>
        <v>9</v>
      </c>
      <c r="R1326" s="12">
        <f t="shared" si="192"/>
        <v>112</v>
      </c>
    </row>
    <row r="1327" spans="1:18" x14ac:dyDescent="0.15">
      <c r="A1327" s="12">
        <v>1309</v>
      </c>
      <c r="B1327" s="12">
        <f t="shared" si="189"/>
        <v>7</v>
      </c>
      <c r="C1327" s="12">
        <f t="shared" si="190"/>
        <v>5.2020249999999999</v>
      </c>
      <c r="D1327" s="12">
        <f t="shared" si="184"/>
        <v>5.042499999999972E-2</v>
      </c>
      <c r="E1327" s="12">
        <f>SUM($D$19:D1327)</f>
        <v>27.402024999999959</v>
      </c>
      <c r="F1327" s="12">
        <f t="shared" si="187"/>
        <v>309.45147595043994</v>
      </c>
      <c r="G1327" s="12">
        <f t="shared" si="188"/>
        <v>194.19338854683087</v>
      </c>
      <c r="H1327" s="12">
        <f t="shared" si="185"/>
        <v>1114000</v>
      </c>
      <c r="I1327" s="12">
        <f t="shared" si="186"/>
        <v>699000</v>
      </c>
      <c r="J1327" s="12">
        <f>IF(A1327&lt;[3]关卡对接!$A$4,INDEX([3]关卡对接!$C$7:$C$141,A1327),MATCH(E1327,人物经验!$H$24:$H$573,1))</f>
        <v>457</v>
      </c>
      <c r="K1327" s="12">
        <f>IF([3]关卡对接!F1315="",INT(INDEX(人物经验!$J$24:$J$573,关卡!J1327)*关卡!$S$7),[3]关卡对接!F1315)</f>
        <v>27743</v>
      </c>
      <c r="L1327" s="12">
        <f t="shared" si="191"/>
        <v>2.2000000000000002</v>
      </c>
      <c r="M1327" s="12">
        <f>L1327/[4]货币基础!$B$4</f>
        <v>220</v>
      </c>
      <c r="N1327" s="12">
        <f>IF(A1327&lt;[3]关卡对接!$A$4,INDEX([3]关卡对接!$E$7:$E$141,A1327),MATCH(E1327,人物经验!$H$24:$H$573,1))</f>
        <v>457</v>
      </c>
      <c r="O1327" s="12">
        <f>INDEX([2]关卡!$G$6:$G$2005,A1327)</f>
        <v>3</v>
      </c>
      <c r="P1327" s="13">
        <v>6</v>
      </c>
      <c r="Q1327" s="12">
        <f>INT(P1327/$S$15/O1327*VLOOKUP(J1327,[1]人物技能基础!$N$3:$O$553,2,0)*$U$15)</f>
        <v>9</v>
      </c>
      <c r="R1327" s="12">
        <f t="shared" si="192"/>
        <v>112</v>
      </c>
    </row>
    <row r="1328" spans="1:18" x14ac:dyDescent="0.15">
      <c r="A1328" s="12">
        <v>1310</v>
      </c>
      <c r="B1328" s="12">
        <f t="shared" si="189"/>
        <v>7</v>
      </c>
      <c r="C1328" s="12">
        <f t="shared" si="190"/>
        <v>5.2525000000000013</v>
      </c>
      <c r="D1328" s="12">
        <f t="shared" si="184"/>
        <v>5.047500000000138E-2</v>
      </c>
      <c r="E1328" s="12">
        <f>SUM($D$19:D1328)</f>
        <v>27.452499999999961</v>
      </c>
      <c r="F1328" s="12">
        <f t="shared" si="187"/>
        <v>310.04933029937501</v>
      </c>
      <c r="G1328" s="12">
        <f t="shared" si="188"/>
        <v>194.491389059375</v>
      </c>
      <c r="H1328" s="12">
        <f t="shared" si="185"/>
        <v>1116100</v>
      </c>
      <c r="I1328" s="12">
        <f t="shared" si="186"/>
        <v>700100</v>
      </c>
      <c r="J1328" s="12">
        <f>IF(A1328&lt;[3]关卡对接!$A$4,INDEX([3]关卡对接!$C$7:$C$141,A1328),MATCH(E1328,人物经验!$H$24:$H$573,1))</f>
        <v>457</v>
      </c>
      <c r="K1328" s="12">
        <f>IF([3]关卡对接!F1316="",INT(INDEX(人物经验!$J$24:$J$573,关卡!J1328)*关卡!$S$7),[3]关卡对接!F1316)</f>
        <v>27743</v>
      </c>
      <c r="L1328" s="12">
        <f t="shared" si="191"/>
        <v>2.2000000000000002</v>
      </c>
      <c r="M1328" s="12">
        <f>L1328/[4]货币基础!$B$4</f>
        <v>220</v>
      </c>
      <c r="N1328" s="12">
        <f>IF(A1328&lt;[3]关卡对接!$A$4,INDEX([3]关卡对接!$E$7:$E$141,A1328),MATCH(E1328,人物经验!$H$24:$H$573,1))</f>
        <v>457</v>
      </c>
      <c r="O1328" s="12">
        <f>INDEX([2]关卡!$G$6:$G$2005,A1328)</f>
        <v>3</v>
      </c>
      <c r="P1328" s="13">
        <v>6</v>
      </c>
      <c r="Q1328" s="12">
        <f>INT(P1328/$S$15/O1328*VLOOKUP(J1328,[1]人物技能基础!$N$3:$O$553,2,0)*$U$15)</f>
        <v>9</v>
      </c>
      <c r="R1328" s="12">
        <f t="shared" si="192"/>
        <v>112</v>
      </c>
    </row>
    <row r="1329" spans="1:18" x14ac:dyDescent="0.15">
      <c r="A1329" s="12">
        <v>1311</v>
      </c>
      <c r="B1329" s="12">
        <f t="shared" si="189"/>
        <v>7</v>
      </c>
      <c r="C1329" s="12">
        <f t="shared" si="190"/>
        <v>5.3030249999999999</v>
      </c>
      <c r="D1329" s="12">
        <f t="shared" si="184"/>
        <v>5.0524999999998599E-2</v>
      </c>
      <c r="E1329" s="12">
        <f>SUM($D$19:D1329)</f>
        <v>27.503024999999958</v>
      </c>
      <c r="F1329" s="12">
        <f t="shared" si="187"/>
        <v>310.64809294128492</v>
      </c>
      <c r="G1329" s="12">
        <f t="shared" si="188"/>
        <v>194.78973421905593</v>
      </c>
      <c r="H1329" s="12">
        <f t="shared" si="185"/>
        <v>1118300</v>
      </c>
      <c r="I1329" s="12">
        <f t="shared" si="186"/>
        <v>701200</v>
      </c>
      <c r="J1329" s="12">
        <f>IF(A1329&lt;[3]关卡对接!$A$4,INDEX([3]关卡对接!$C$7:$C$141,A1329),MATCH(E1329,人物经验!$H$24:$H$573,1))</f>
        <v>457</v>
      </c>
      <c r="K1329" s="12">
        <f>IF([3]关卡对接!F1317="",INT(INDEX(人物经验!$J$24:$J$573,关卡!J1329)*关卡!$S$7),[3]关卡对接!F1317)</f>
        <v>27743</v>
      </c>
      <c r="L1329" s="12">
        <f t="shared" si="191"/>
        <v>2.2000000000000002</v>
      </c>
      <c r="M1329" s="12">
        <f>L1329/[4]货币基础!$B$4</f>
        <v>220</v>
      </c>
      <c r="N1329" s="12">
        <f>IF(A1329&lt;[3]关卡对接!$A$4,INDEX([3]关卡对接!$E$7:$E$141,A1329),MATCH(E1329,人物经验!$H$24:$H$573,1))</f>
        <v>457</v>
      </c>
      <c r="O1329" s="12">
        <f>INDEX([2]关卡!$G$6:$G$2005,A1329)</f>
        <v>3</v>
      </c>
      <c r="P1329" s="13">
        <v>6</v>
      </c>
      <c r="Q1329" s="12">
        <f>INT(P1329/$S$15/O1329*VLOOKUP(J1329,[1]人物技能基础!$N$3:$O$553,2,0)*$U$15)</f>
        <v>9</v>
      </c>
      <c r="R1329" s="12">
        <f t="shared" si="192"/>
        <v>112</v>
      </c>
    </row>
    <row r="1330" spans="1:18" x14ac:dyDescent="0.15">
      <c r="A1330" s="12">
        <v>1312</v>
      </c>
      <c r="B1330" s="12">
        <f t="shared" si="189"/>
        <v>7</v>
      </c>
      <c r="C1330" s="12">
        <f t="shared" si="190"/>
        <v>5.3536000000000019</v>
      </c>
      <c r="D1330" s="12">
        <f t="shared" si="184"/>
        <v>5.0575000000002035E-2</v>
      </c>
      <c r="E1330" s="12">
        <f>SUM($D$19:D1330)</f>
        <v>27.55359999999996</v>
      </c>
      <c r="F1330" s="12">
        <f t="shared" si="187"/>
        <v>311.24776488550407</v>
      </c>
      <c r="G1330" s="12">
        <f t="shared" si="188"/>
        <v>195.08842432512003</v>
      </c>
      <c r="H1330" s="12">
        <f t="shared" si="185"/>
        <v>1120400</v>
      </c>
      <c r="I1330" s="12">
        <f t="shared" si="186"/>
        <v>702300</v>
      </c>
      <c r="J1330" s="12">
        <f>IF(A1330&lt;[3]关卡对接!$A$4,INDEX([3]关卡对接!$C$7:$C$141,A1330),MATCH(E1330,人物经验!$H$24:$H$573,1))</f>
        <v>457</v>
      </c>
      <c r="K1330" s="12">
        <f>IF([3]关卡对接!F1318="",INT(INDEX(人物经验!$J$24:$J$573,关卡!J1330)*关卡!$S$7),[3]关卡对接!F1318)</f>
        <v>27743</v>
      </c>
      <c r="L1330" s="12">
        <f t="shared" si="191"/>
        <v>2.2000000000000002</v>
      </c>
      <c r="M1330" s="12">
        <f>L1330/[4]货币基础!$B$4</f>
        <v>220</v>
      </c>
      <c r="N1330" s="12">
        <f>IF(A1330&lt;[3]关卡对接!$A$4,INDEX([3]关卡对接!$E$7:$E$141,A1330),MATCH(E1330,人物经验!$H$24:$H$573,1))</f>
        <v>457</v>
      </c>
      <c r="O1330" s="12">
        <f>INDEX([2]关卡!$G$6:$G$2005,A1330)</f>
        <v>3</v>
      </c>
      <c r="P1330" s="13">
        <v>6</v>
      </c>
      <c r="Q1330" s="12">
        <f>INT(P1330/$S$15/O1330*VLOOKUP(J1330,[1]人物技能基础!$N$3:$O$553,2,0)*$U$15)</f>
        <v>9</v>
      </c>
      <c r="R1330" s="12">
        <f t="shared" si="192"/>
        <v>112</v>
      </c>
    </row>
    <row r="1331" spans="1:18" x14ac:dyDescent="0.15">
      <c r="A1331" s="12">
        <v>1313</v>
      </c>
      <c r="B1331" s="12">
        <f t="shared" si="189"/>
        <v>7</v>
      </c>
      <c r="C1331" s="12">
        <f t="shared" si="190"/>
        <v>5.4042249999999994</v>
      </c>
      <c r="D1331" s="12">
        <f t="shared" si="184"/>
        <v>5.0624999999997478E-2</v>
      </c>
      <c r="E1331" s="12">
        <f>SUM($D$19:D1331)</f>
        <v>27.604224999999957</v>
      </c>
      <c r="F1331" s="12">
        <f t="shared" si="187"/>
        <v>311.84834714196489</v>
      </c>
      <c r="G1331" s="12">
        <f t="shared" si="188"/>
        <v>195.3874596769559</v>
      </c>
      <c r="H1331" s="12">
        <f t="shared" si="185"/>
        <v>1122600</v>
      </c>
      <c r="I1331" s="12">
        <f t="shared" si="186"/>
        <v>703300</v>
      </c>
      <c r="J1331" s="12">
        <f>IF(A1331&lt;[3]关卡对接!$A$4,INDEX([3]关卡对接!$C$7:$C$141,A1331),MATCH(E1331,人物经验!$H$24:$H$573,1))</f>
        <v>457</v>
      </c>
      <c r="K1331" s="12">
        <f>IF([3]关卡对接!F1319="",INT(INDEX(人物经验!$J$24:$J$573,关卡!J1331)*关卡!$S$7),[3]关卡对接!F1319)</f>
        <v>27743</v>
      </c>
      <c r="L1331" s="12">
        <f t="shared" si="191"/>
        <v>2.2000000000000002</v>
      </c>
      <c r="M1331" s="12">
        <f>L1331/[4]货币基础!$B$4</f>
        <v>220</v>
      </c>
      <c r="N1331" s="12">
        <f>IF(A1331&lt;[3]关卡对接!$A$4,INDEX([3]关卡对接!$E$7:$E$141,A1331),MATCH(E1331,人物经验!$H$24:$H$573,1))</f>
        <v>457</v>
      </c>
      <c r="O1331" s="12">
        <f>INDEX([2]关卡!$G$6:$G$2005,A1331)</f>
        <v>3</v>
      </c>
      <c r="P1331" s="13">
        <v>6</v>
      </c>
      <c r="Q1331" s="12">
        <f>INT(P1331/$S$15/O1331*VLOOKUP(J1331,[1]人物技能基础!$N$3:$O$553,2,0)*$U$15)</f>
        <v>9</v>
      </c>
      <c r="R1331" s="12">
        <f t="shared" si="192"/>
        <v>112</v>
      </c>
    </row>
    <row r="1332" spans="1:18" x14ac:dyDescent="0.15">
      <c r="A1332" s="12">
        <v>1314</v>
      </c>
      <c r="B1332" s="12">
        <f t="shared" si="189"/>
        <v>7</v>
      </c>
      <c r="C1332" s="12">
        <f t="shared" si="190"/>
        <v>5.4549000000000003</v>
      </c>
      <c r="D1332" s="12">
        <f t="shared" si="184"/>
        <v>5.0675000000000914E-2</v>
      </c>
      <c r="E1332" s="12">
        <f>SUM($D$19:D1332)</f>
        <v>27.654899999999959</v>
      </c>
      <c r="F1332" s="12">
        <f t="shared" si="187"/>
        <v>312.449840721199</v>
      </c>
      <c r="G1332" s="12">
        <f t="shared" si="188"/>
        <v>195.68684057409502</v>
      </c>
      <c r="H1332" s="12">
        <f t="shared" si="185"/>
        <v>1124800</v>
      </c>
      <c r="I1332" s="12">
        <f t="shared" si="186"/>
        <v>704400</v>
      </c>
      <c r="J1332" s="12">
        <f>IF(A1332&lt;[3]关卡对接!$A$4,INDEX([3]关卡对接!$C$7:$C$141,A1332),MATCH(E1332,人物经验!$H$24:$H$573,1))</f>
        <v>458</v>
      </c>
      <c r="K1332" s="12">
        <f>IF([3]关卡对接!F1320="",INT(INDEX(人物经验!$J$24:$J$573,关卡!J1332)*关卡!$S$7),[3]关卡对接!F1320)</f>
        <v>28066</v>
      </c>
      <c r="L1332" s="12">
        <f t="shared" si="191"/>
        <v>2.2000000000000002</v>
      </c>
      <c r="M1332" s="12">
        <f>L1332/[4]货币基础!$B$4</f>
        <v>220</v>
      </c>
      <c r="N1332" s="12">
        <f>IF(A1332&lt;[3]关卡对接!$A$4,INDEX([3]关卡对接!$E$7:$E$141,A1332),MATCH(E1332,人物经验!$H$24:$H$573,1))</f>
        <v>458</v>
      </c>
      <c r="O1332" s="12">
        <f>INDEX([2]关卡!$G$6:$G$2005,A1332)</f>
        <v>3</v>
      </c>
      <c r="P1332" s="13">
        <v>6</v>
      </c>
      <c r="Q1332" s="12">
        <f>INT(P1332/$S$15/O1332*VLOOKUP(J1332,[1]人物技能基础!$N$3:$O$553,2,0)*$U$15)</f>
        <v>9</v>
      </c>
      <c r="R1332" s="12">
        <f t="shared" si="192"/>
        <v>112</v>
      </c>
    </row>
    <row r="1333" spans="1:18" x14ac:dyDescent="0.15">
      <c r="A1333" s="12">
        <v>1315</v>
      </c>
      <c r="B1333" s="12">
        <f t="shared" si="189"/>
        <v>7</v>
      </c>
      <c r="C1333" s="12">
        <f t="shared" si="190"/>
        <v>5.5056249999999993</v>
      </c>
      <c r="D1333" s="12">
        <f t="shared" si="184"/>
        <v>5.0724999999999021E-2</v>
      </c>
      <c r="E1333" s="12">
        <f>SUM($D$19:D1333)</f>
        <v>27.705624999999959</v>
      </c>
      <c r="F1333" s="12">
        <f t="shared" si="187"/>
        <v>313.05224663433592</v>
      </c>
      <c r="G1333" s="12">
        <f t="shared" si="188"/>
        <v>195.98656731621091</v>
      </c>
      <c r="H1333" s="12">
        <f t="shared" si="185"/>
        <v>1126900</v>
      </c>
      <c r="I1333" s="12">
        <f t="shared" si="186"/>
        <v>705500</v>
      </c>
      <c r="J1333" s="12">
        <f>IF(A1333&lt;[3]关卡对接!$A$4,INDEX([3]关卡对接!$C$7:$C$141,A1333),MATCH(E1333,人物经验!$H$24:$H$573,1))</f>
        <v>458</v>
      </c>
      <c r="K1333" s="12">
        <f>IF([3]关卡对接!F1321="",INT(INDEX(人物经验!$J$24:$J$573,关卡!J1333)*关卡!$S$7),[3]关卡对接!F1321)</f>
        <v>28066</v>
      </c>
      <c r="L1333" s="12">
        <f t="shared" si="191"/>
        <v>2.2000000000000002</v>
      </c>
      <c r="M1333" s="12">
        <f>L1333/[4]货币基础!$B$4</f>
        <v>220</v>
      </c>
      <c r="N1333" s="12">
        <f>IF(A1333&lt;[3]关卡对接!$A$4,INDEX([3]关卡对接!$E$7:$E$141,A1333),MATCH(E1333,人物经验!$H$24:$H$573,1))</f>
        <v>458</v>
      </c>
      <c r="O1333" s="12">
        <f>INDEX([2]关卡!$G$6:$G$2005,A1333)</f>
        <v>3</v>
      </c>
      <c r="P1333" s="13">
        <v>6</v>
      </c>
      <c r="Q1333" s="12">
        <f>INT(P1333/$S$15/O1333*VLOOKUP(J1333,[1]人物技能基础!$N$3:$O$553,2,0)*$U$15)</f>
        <v>9</v>
      </c>
      <c r="R1333" s="12">
        <f t="shared" si="192"/>
        <v>112</v>
      </c>
    </row>
    <row r="1334" spans="1:18" x14ac:dyDescent="0.15">
      <c r="A1334" s="12">
        <v>1316</v>
      </c>
      <c r="B1334" s="12">
        <f t="shared" si="189"/>
        <v>7</v>
      </c>
      <c r="C1334" s="12">
        <f t="shared" si="190"/>
        <v>5.5564</v>
      </c>
      <c r="D1334" s="12">
        <f t="shared" si="184"/>
        <v>5.0775000000000681E-2</v>
      </c>
      <c r="E1334" s="12">
        <f>SUM($D$19:D1334)</f>
        <v>27.75639999999996</v>
      </c>
      <c r="F1334" s="12">
        <f t="shared" si="187"/>
        <v>313.65556589310404</v>
      </c>
      <c r="G1334" s="12">
        <f t="shared" si="188"/>
        <v>196.28664020312002</v>
      </c>
      <c r="H1334" s="12">
        <f t="shared" si="185"/>
        <v>1129100</v>
      </c>
      <c r="I1334" s="12">
        <f t="shared" si="186"/>
        <v>706600</v>
      </c>
      <c r="J1334" s="12">
        <f>IF(A1334&lt;[3]关卡对接!$A$4,INDEX([3]关卡对接!$C$7:$C$141,A1334),MATCH(E1334,人物经验!$H$24:$H$573,1))</f>
        <v>458</v>
      </c>
      <c r="K1334" s="12">
        <f>IF([3]关卡对接!F1322="",INT(INDEX(人物经验!$J$24:$J$573,关卡!J1334)*关卡!$S$7),[3]关卡对接!F1322)</f>
        <v>28066</v>
      </c>
      <c r="L1334" s="12">
        <f t="shared" si="191"/>
        <v>2.2000000000000002</v>
      </c>
      <c r="M1334" s="12">
        <f>L1334/[4]货币基础!$B$4</f>
        <v>220</v>
      </c>
      <c r="N1334" s="12">
        <f>IF(A1334&lt;[3]关卡对接!$A$4,INDEX([3]关卡对接!$E$7:$E$141,A1334),MATCH(E1334,人物经验!$H$24:$H$573,1))</f>
        <v>458</v>
      </c>
      <c r="O1334" s="12">
        <f>INDEX([2]关卡!$G$6:$G$2005,A1334)</f>
        <v>3</v>
      </c>
      <c r="P1334" s="13">
        <v>6</v>
      </c>
      <c r="Q1334" s="12">
        <f>INT(P1334/$S$15/O1334*VLOOKUP(J1334,[1]人物技能基础!$N$3:$O$553,2,0)*$U$15)</f>
        <v>9</v>
      </c>
      <c r="R1334" s="12">
        <f t="shared" si="192"/>
        <v>112</v>
      </c>
    </row>
    <row r="1335" spans="1:18" x14ac:dyDescent="0.15">
      <c r="A1335" s="12">
        <v>1317</v>
      </c>
      <c r="B1335" s="12">
        <f t="shared" si="189"/>
        <v>7</v>
      </c>
      <c r="C1335" s="12">
        <f t="shared" si="190"/>
        <v>5.6072249999999997</v>
      </c>
      <c r="D1335" s="12">
        <f t="shared" si="184"/>
        <v>5.0824999999999676E-2</v>
      </c>
      <c r="E1335" s="12">
        <f>SUM($D$19:D1335)</f>
        <v>27.80722499999996</v>
      </c>
      <c r="F1335" s="12">
        <f t="shared" si="187"/>
        <v>314.25979950982997</v>
      </c>
      <c r="G1335" s="12">
        <f t="shared" si="188"/>
        <v>196.58705953478093</v>
      </c>
      <c r="H1335" s="12">
        <f t="shared" si="185"/>
        <v>1131300</v>
      </c>
      <c r="I1335" s="12">
        <f t="shared" si="186"/>
        <v>707700</v>
      </c>
      <c r="J1335" s="12">
        <f>IF(A1335&lt;[3]关卡对接!$A$4,INDEX([3]关卡对接!$C$7:$C$141,A1335),MATCH(E1335,人物经验!$H$24:$H$573,1))</f>
        <v>458</v>
      </c>
      <c r="K1335" s="12">
        <f>IF([3]关卡对接!F1323="",INT(INDEX(人物经验!$J$24:$J$573,关卡!J1335)*关卡!$S$7),[3]关卡对接!F1323)</f>
        <v>28066</v>
      </c>
      <c r="L1335" s="12">
        <f t="shared" si="191"/>
        <v>2.2000000000000002</v>
      </c>
      <c r="M1335" s="12">
        <f>L1335/[4]货币基础!$B$4</f>
        <v>220</v>
      </c>
      <c r="N1335" s="12">
        <f>IF(A1335&lt;[3]关卡对接!$A$4,INDEX([3]关卡对接!$E$7:$E$141,A1335),MATCH(E1335,人物经验!$H$24:$H$573,1))</f>
        <v>458</v>
      </c>
      <c r="O1335" s="12">
        <f>INDEX([2]关卡!$G$6:$G$2005,A1335)</f>
        <v>3</v>
      </c>
      <c r="P1335" s="13">
        <v>6</v>
      </c>
      <c r="Q1335" s="12">
        <f>INT(P1335/$S$15/O1335*VLOOKUP(J1335,[1]人物技能基础!$N$3:$O$553,2,0)*$U$15)</f>
        <v>9</v>
      </c>
      <c r="R1335" s="12">
        <f t="shared" si="192"/>
        <v>112</v>
      </c>
    </row>
    <row r="1336" spans="1:18" x14ac:dyDescent="0.15">
      <c r="A1336" s="12">
        <v>1318</v>
      </c>
      <c r="B1336" s="12">
        <f t="shared" si="189"/>
        <v>7</v>
      </c>
      <c r="C1336" s="12">
        <f t="shared" si="190"/>
        <v>5.6581000000000001</v>
      </c>
      <c r="D1336" s="12">
        <f t="shared" si="184"/>
        <v>5.0875000000000448E-2</v>
      </c>
      <c r="E1336" s="12">
        <f>SUM($D$19:D1336)</f>
        <v>27.858099999999961</v>
      </c>
      <c r="F1336" s="12">
        <f t="shared" si="187"/>
        <v>314.864948497439</v>
      </c>
      <c r="G1336" s="12">
        <f t="shared" si="188"/>
        <v>196.88782561129497</v>
      </c>
      <c r="H1336" s="12">
        <f t="shared" si="185"/>
        <v>1133500</v>
      </c>
      <c r="I1336" s="12">
        <f t="shared" si="186"/>
        <v>708700</v>
      </c>
      <c r="J1336" s="12">
        <f>IF(A1336&lt;[3]关卡对接!$A$4,INDEX([3]关卡对接!$C$7:$C$141,A1336),MATCH(E1336,人物经验!$H$24:$H$573,1))</f>
        <v>458</v>
      </c>
      <c r="K1336" s="12">
        <f>IF([3]关卡对接!F1324="",INT(INDEX(人物经验!$J$24:$J$573,关卡!J1336)*关卡!$S$7),[3]关卡对接!F1324)</f>
        <v>28066</v>
      </c>
      <c r="L1336" s="12">
        <f t="shared" si="191"/>
        <v>2.2000000000000002</v>
      </c>
      <c r="M1336" s="12">
        <f>L1336/[4]货币基础!$B$4</f>
        <v>220</v>
      </c>
      <c r="N1336" s="12">
        <f>IF(A1336&lt;[3]关卡对接!$A$4,INDEX([3]关卡对接!$E$7:$E$141,A1336),MATCH(E1336,人物经验!$H$24:$H$573,1))</f>
        <v>458</v>
      </c>
      <c r="O1336" s="12">
        <f>INDEX([2]关卡!$G$6:$G$2005,A1336)</f>
        <v>3</v>
      </c>
      <c r="P1336" s="13">
        <v>6</v>
      </c>
      <c r="Q1336" s="12">
        <f>INT(P1336/$S$15/O1336*VLOOKUP(J1336,[1]人物技能基础!$N$3:$O$553,2,0)*$U$15)</f>
        <v>9</v>
      </c>
      <c r="R1336" s="12">
        <f t="shared" si="192"/>
        <v>112</v>
      </c>
    </row>
    <row r="1337" spans="1:18" x14ac:dyDescent="0.15">
      <c r="A1337" s="12">
        <v>1319</v>
      </c>
      <c r="B1337" s="12">
        <f t="shared" si="189"/>
        <v>7</v>
      </c>
      <c r="C1337" s="12">
        <f t="shared" si="190"/>
        <v>5.7090249999999996</v>
      </c>
      <c r="D1337" s="12">
        <f t="shared" si="184"/>
        <v>5.0924999999999443E-2</v>
      </c>
      <c r="E1337" s="12">
        <f>SUM($D$19:D1337)</f>
        <v>27.909024999999961</v>
      </c>
      <c r="F1337" s="12">
        <f t="shared" si="187"/>
        <v>315.47101386945491</v>
      </c>
      <c r="G1337" s="12">
        <f t="shared" si="188"/>
        <v>197.18893873290594</v>
      </c>
      <c r="H1337" s="12">
        <f t="shared" si="185"/>
        <v>1135600</v>
      </c>
      <c r="I1337" s="12">
        <f t="shared" si="186"/>
        <v>709800</v>
      </c>
      <c r="J1337" s="12">
        <f>IF(A1337&lt;[3]关卡对接!$A$4,INDEX([3]关卡对接!$C$7:$C$141,A1337),MATCH(E1337,人物经验!$H$24:$H$573,1))</f>
        <v>459</v>
      </c>
      <c r="K1337" s="12">
        <f>IF([3]关卡对接!F1325="",INT(INDEX(人物经验!$J$24:$J$573,关卡!J1337)*关卡!$S$7),[3]关卡对接!F1325)</f>
        <v>28337</v>
      </c>
      <c r="L1337" s="12">
        <f t="shared" si="191"/>
        <v>2.2000000000000002</v>
      </c>
      <c r="M1337" s="12">
        <f>L1337/[4]货币基础!$B$4</f>
        <v>220</v>
      </c>
      <c r="N1337" s="12">
        <f>IF(A1337&lt;[3]关卡对接!$A$4,INDEX([3]关卡对接!$E$7:$E$141,A1337),MATCH(E1337,人物经验!$H$24:$H$573,1))</f>
        <v>459</v>
      </c>
      <c r="O1337" s="12">
        <f>INDEX([2]关卡!$G$6:$G$2005,A1337)</f>
        <v>3</v>
      </c>
      <c r="P1337" s="13">
        <v>6</v>
      </c>
      <c r="Q1337" s="12">
        <f>INT(P1337/$S$15/O1337*VLOOKUP(J1337,[1]人物技能基础!$N$3:$O$553,2,0)*$U$15)</f>
        <v>9</v>
      </c>
      <c r="R1337" s="12">
        <f t="shared" si="192"/>
        <v>112</v>
      </c>
    </row>
    <row r="1338" spans="1:18" x14ac:dyDescent="0.15">
      <c r="A1338" s="12">
        <v>1320</v>
      </c>
      <c r="B1338" s="12">
        <f t="shared" si="189"/>
        <v>7</v>
      </c>
      <c r="C1338" s="12">
        <f t="shared" si="190"/>
        <v>5.7600000000000007</v>
      </c>
      <c r="D1338" s="12">
        <f t="shared" si="184"/>
        <v>5.0975000000001103E-2</v>
      </c>
      <c r="E1338" s="12">
        <f>SUM($D$19:D1338)</f>
        <v>27.959999999999962</v>
      </c>
      <c r="F1338" s="12">
        <f t="shared" si="187"/>
        <v>316.07799664000009</v>
      </c>
      <c r="G1338" s="12">
        <f t="shared" si="188"/>
        <v>197.49039920000004</v>
      </c>
      <c r="H1338" s="12">
        <f t="shared" si="185"/>
        <v>1137800</v>
      </c>
      <c r="I1338" s="12">
        <f t="shared" si="186"/>
        <v>710900</v>
      </c>
      <c r="J1338" s="12">
        <f>IF(A1338&lt;[3]关卡对接!$A$4,INDEX([3]关卡对接!$C$7:$C$141,A1338),MATCH(E1338,人物经验!$H$24:$H$573,1))</f>
        <v>459</v>
      </c>
      <c r="K1338" s="12">
        <f>IF([3]关卡对接!F1326="",INT(INDEX(人物经验!$J$24:$J$573,关卡!J1338)*关卡!$S$7),[3]关卡对接!F1326)</f>
        <v>28337</v>
      </c>
      <c r="L1338" s="12">
        <f t="shared" si="191"/>
        <v>2.2000000000000002</v>
      </c>
      <c r="M1338" s="12">
        <f>L1338/[4]货币基础!$B$4</f>
        <v>220</v>
      </c>
      <c r="N1338" s="12">
        <f>IF(A1338&lt;[3]关卡对接!$A$4,INDEX([3]关卡对接!$E$7:$E$141,A1338),MATCH(E1338,人物经验!$H$24:$H$573,1))</f>
        <v>459</v>
      </c>
      <c r="O1338" s="12">
        <f>INDEX([2]关卡!$G$6:$G$2005,A1338)</f>
        <v>3</v>
      </c>
      <c r="P1338" s="13">
        <v>6</v>
      </c>
      <c r="Q1338" s="12">
        <f>INT(P1338/$S$15/O1338*VLOOKUP(J1338,[1]人物技能基础!$N$3:$O$553,2,0)*$U$15)</f>
        <v>9</v>
      </c>
      <c r="R1338" s="12">
        <f t="shared" si="192"/>
        <v>112</v>
      </c>
    </row>
    <row r="1339" spans="1:18" x14ac:dyDescent="0.15">
      <c r="A1339" s="12">
        <v>1321</v>
      </c>
      <c r="B1339" s="12">
        <f t="shared" si="189"/>
        <v>7</v>
      </c>
      <c r="C1339" s="12">
        <f t="shared" si="190"/>
        <v>5.8110249999999999</v>
      </c>
      <c r="D1339" s="12">
        <f t="shared" ref="D1339:D1402" si="193">IF(ISNA(MATCH(A1339,$A$6:$A$15,0)),C1339-C1338,C1339)</f>
        <v>5.102499999999921E-2</v>
      </c>
      <c r="E1339" s="12">
        <f>SUM($D$19:D1339)</f>
        <v>28.011024999999961</v>
      </c>
      <c r="F1339" s="12">
        <f t="shared" si="187"/>
        <v>316.6858978237949</v>
      </c>
      <c r="G1339" s="12">
        <f t="shared" si="188"/>
        <v>197.79220731310593</v>
      </c>
      <c r="H1339" s="12">
        <f t="shared" ref="H1339:H1402" si="194">INT(F1339*60*60/100)*100</f>
        <v>1140000</v>
      </c>
      <c r="I1339" s="12">
        <f t="shared" ref="I1339:I1402" si="195">INT(G1339*60*60/100)*100</f>
        <v>712000</v>
      </c>
      <c r="J1339" s="12">
        <f>IF(A1339&lt;[3]关卡对接!$A$4,INDEX([3]关卡对接!$C$7:$C$141,A1339),MATCH(E1339,人物经验!$H$24:$H$573,1))</f>
        <v>459</v>
      </c>
      <c r="K1339" s="12">
        <f>IF([3]关卡对接!F1327="",INT(INDEX(人物经验!$J$24:$J$573,关卡!J1339)*关卡!$S$7),[3]关卡对接!F1327)</f>
        <v>28337</v>
      </c>
      <c r="L1339" s="12">
        <f t="shared" si="191"/>
        <v>2.2000000000000002</v>
      </c>
      <c r="M1339" s="12">
        <f>L1339/[4]货币基础!$B$4</f>
        <v>220</v>
      </c>
      <c r="N1339" s="12">
        <f>IF(A1339&lt;[3]关卡对接!$A$4,INDEX([3]关卡对接!$E$7:$E$141,A1339),MATCH(E1339,人物经验!$H$24:$H$573,1))</f>
        <v>459</v>
      </c>
      <c r="O1339" s="12">
        <f>INDEX([2]关卡!$G$6:$G$2005,A1339)</f>
        <v>3</v>
      </c>
      <c r="P1339" s="13">
        <v>6</v>
      </c>
      <c r="Q1339" s="12">
        <f>INT(P1339/$S$15/O1339*VLOOKUP(J1339,[1]人物技能基础!$N$3:$O$553,2,0)*$U$15)</f>
        <v>9</v>
      </c>
      <c r="R1339" s="12">
        <f t="shared" si="192"/>
        <v>112</v>
      </c>
    </row>
    <row r="1340" spans="1:18" x14ac:dyDescent="0.15">
      <c r="A1340" s="12">
        <v>1322</v>
      </c>
      <c r="B1340" s="12">
        <f t="shared" si="189"/>
        <v>7</v>
      </c>
      <c r="C1340" s="12">
        <f t="shared" si="190"/>
        <v>5.8620999999999999</v>
      </c>
      <c r="D1340" s="12">
        <f t="shared" si="193"/>
        <v>5.1074999999999982E-2</v>
      </c>
      <c r="E1340" s="12">
        <f>SUM($D$19:D1340)</f>
        <v>28.062099999999962</v>
      </c>
      <c r="F1340" s="12">
        <f t="shared" si="187"/>
        <v>317.29471843615909</v>
      </c>
      <c r="G1340" s="12">
        <f t="shared" si="188"/>
        <v>198.09436337289503</v>
      </c>
      <c r="H1340" s="12">
        <f t="shared" si="194"/>
        <v>1142200</v>
      </c>
      <c r="I1340" s="12">
        <f t="shared" si="195"/>
        <v>713100</v>
      </c>
      <c r="J1340" s="12">
        <f>IF(A1340&lt;[3]关卡对接!$A$4,INDEX([3]关卡对接!$C$7:$C$141,A1340),MATCH(E1340,人物经验!$H$24:$H$573,1))</f>
        <v>459</v>
      </c>
      <c r="K1340" s="12">
        <f>IF([3]关卡对接!F1328="",INT(INDEX(人物经验!$J$24:$J$573,关卡!J1340)*关卡!$S$7),[3]关卡对接!F1328)</f>
        <v>28337</v>
      </c>
      <c r="L1340" s="12">
        <f t="shared" si="191"/>
        <v>2.2000000000000002</v>
      </c>
      <c r="M1340" s="12">
        <f>L1340/[4]货币基础!$B$4</f>
        <v>220</v>
      </c>
      <c r="N1340" s="12">
        <f>IF(A1340&lt;[3]关卡对接!$A$4,INDEX([3]关卡对接!$E$7:$E$141,A1340),MATCH(E1340,人物经验!$H$24:$H$573,1))</f>
        <v>459</v>
      </c>
      <c r="O1340" s="12">
        <f>INDEX([2]关卡!$G$6:$G$2005,A1340)</f>
        <v>3</v>
      </c>
      <c r="P1340" s="13">
        <v>6</v>
      </c>
      <c r="Q1340" s="12">
        <f>INT(P1340/$S$15/O1340*VLOOKUP(J1340,[1]人物技能基础!$N$3:$O$553,2,0)*$U$15)</f>
        <v>9</v>
      </c>
      <c r="R1340" s="12">
        <f t="shared" si="192"/>
        <v>112</v>
      </c>
    </row>
    <row r="1341" spans="1:18" x14ac:dyDescent="0.15">
      <c r="A1341" s="12">
        <v>1323</v>
      </c>
      <c r="B1341" s="12">
        <f t="shared" si="189"/>
        <v>7</v>
      </c>
      <c r="C1341" s="12">
        <f t="shared" si="190"/>
        <v>5.9132249999999997</v>
      </c>
      <c r="D1341" s="12">
        <f t="shared" si="193"/>
        <v>5.1124999999999865E-2</v>
      </c>
      <c r="E1341" s="12">
        <f>SUM($D$19:D1341)</f>
        <v>28.113224999999961</v>
      </c>
      <c r="F1341" s="12">
        <f t="shared" si="187"/>
        <v>317.90445949300994</v>
      </c>
      <c r="G1341" s="12">
        <f t="shared" si="188"/>
        <v>198.39686768018092</v>
      </c>
      <c r="H1341" s="12">
        <f t="shared" si="194"/>
        <v>1144400</v>
      </c>
      <c r="I1341" s="12">
        <f t="shared" si="195"/>
        <v>714200</v>
      </c>
      <c r="J1341" s="12">
        <f>IF(A1341&lt;[3]关卡对接!$A$4,INDEX([3]关卡对接!$C$7:$C$141,A1341),MATCH(E1341,人物经验!$H$24:$H$573,1))</f>
        <v>459</v>
      </c>
      <c r="K1341" s="12">
        <f>IF([3]关卡对接!F1329="",INT(INDEX(人物经验!$J$24:$J$573,关卡!J1341)*关卡!$S$7),[3]关卡对接!F1329)</f>
        <v>28337</v>
      </c>
      <c r="L1341" s="12">
        <f t="shared" si="191"/>
        <v>2.2000000000000002</v>
      </c>
      <c r="M1341" s="12">
        <f>L1341/[4]货币基础!$B$4</f>
        <v>220</v>
      </c>
      <c r="N1341" s="12">
        <f>IF(A1341&lt;[3]关卡对接!$A$4,INDEX([3]关卡对接!$E$7:$E$141,A1341),MATCH(E1341,人物经验!$H$24:$H$573,1))</f>
        <v>459</v>
      </c>
      <c r="O1341" s="12">
        <f>INDEX([2]关卡!$G$6:$G$2005,A1341)</f>
        <v>3</v>
      </c>
      <c r="P1341" s="13">
        <v>6</v>
      </c>
      <c r="Q1341" s="12">
        <f>INT(P1341/$S$15/O1341*VLOOKUP(J1341,[1]人物技能基础!$N$3:$O$553,2,0)*$U$15)</f>
        <v>9</v>
      </c>
      <c r="R1341" s="12">
        <f t="shared" si="192"/>
        <v>112</v>
      </c>
    </row>
    <row r="1342" spans="1:18" x14ac:dyDescent="0.15">
      <c r="A1342" s="12">
        <v>1324</v>
      </c>
      <c r="B1342" s="12">
        <f t="shared" si="189"/>
        <v>7</v>
      </c>
      <c r="C1342" s="12">
        <f t="shared" si="190"/>
        <v>5.9644000000000013</v>
      </c>
      <c r="D1342" s="12">
        <f t="shared" si="193"/>
        <v>5.1175000000001525E-2</v>
      </c>
      <c r="E1342" s="12">
        <f>SUM($D$19:D1342)</f>
        <v>28.164399999999961</v>
      </c>
      <c r="F1342" s="12">
        <f t="shared" si="187"/>
        <v>318.51512201086399</v>
      </c>
      <c r="G1342" s="12">
        <f t="shared" si="188"/>
        <v>198.69972053591999</v>
      </c>
      <c r="H1342" s="12">
        <f t="shared" si="194"/>
        <v>1146600</v>
      </c>
      <c r="I1342" s="12">
        <f t="shared" si="195"/>
        <v>715300</v>
      </c>
      <c r="J1342" s="12">
        <f>IF(A1342&lt;[3]关卡对接!$A$4,INDEX([3]关卡对接!$C$7:$C$141,A1342),MATCH(E1342,人物经验!$H$24:$H$573,1))</f>
        <v>459</v>
      </c>
      <c r="K1342" s="12">
        <f>IF([3]关卡对接!F1330="",INT(INDEX(人物经验!$J$24:$J$573,关卡!J1342)*关卡!$S$7),[3]关卡对接!F1330)</f>
        <v>28337</v>
      </c>
      <c r="L1342" s="12">
        <f t="shared" si="191"/>
        <v>2.2000000000000002</v>
      </c>
      <c r="M1342" s="12">
        <f>L1342/[4]货币基础!$B$4</f>
        <v>220</v>
      </c>
      <c r="N1342" s="12">
        <f>IF(A1342&lt;[3]关卡对接!$A$4,INDEX([3]关卡对接!$E$7:$E$141,A1342),MATCH(E1342,人物经验!$H$24:$H$573,1))</f>
        <v>459</v>
      </c>
      <c r="O1342" s="12">
        <f>INDEX([2]关卡!$G$6:$G$2005,A1342)</f>
        <v>3</v>
      </c>
      <c r="P1342" s="13">
        <v>6</v>
      </c>
      <c r="Q1342" s="12">
        <f>INT(P1342/$S$15/O1342*VLOOKUP(J1342,[1]人物技能基础!$N$3:$O$553,2,0)*$U$15)</f>
        <v>9</v>
      </c>
      <c r="R1342" s="12">
        <f t="shared" si="192"/>
        <v>112</v>
      </c>
    </row>
    <row r="1343" spans="1:18" x14ac:dyDescent="0.15">
      <c r="A1343" s="12">
        <v>1325</v>
      </c>
      <c r="B1343" s="12">
        <f t="shared" si="189"/>
        <v>7</v>
      </c>
      <c r="C1343" s="12">
        <f t="shared" si="190"/>
        <v>6.015625</v>
      </c>
      <c r="D1343" s="12">
        <f t="shared" si="193"/>
        <v>5.1224999999998744E-2</v>
      </c>
      <c r="E1343" s="12">
        <f>SUM($D$19:D1343)</f>
        <v>28.21562499999996</v>
      </c>
      <c r="F1343" s="12">
        <f t="shared" si="187"/>
        <v>319.12670700683594</v>
      </c>
      <c r="G1343" s="12">
        <f t="shared" si="188"/>
        <v>199.00292224121091</v>
      </c>
      <c r="H1343" s="12">
        <f t="shared" si="194"/>
        <v>1148800</v>
      </c>
      <c r="I1343" s="12">
        <f t="shared" si="195"/>
        <v>716400</v>
      </c>
      <c r="J1343" s="12">
        <f>IF(A1343&lt;[3]关卡对接!$A$4,INDEX([3]关卡对接!$C$7:$C$141,A1343),MATCH(E1343,人物经验!$H$24:$H$573,1))</f>
        <v>460</v>
      </c>
      <c r="K1343" s="12">
        <f>IF([3]关卡对接!F1331="",INT(INDEX(人物经验!$J$24:$J$573,关卡!J1343)*关卡!$S$7),[3]关卡对接!F1331)</f>
        <v>28666</v>
      </c>
      <c r="L1343" s="12">
        <f t="shared" si="191"/>
        <v>2.2000000000000002</v>
      </c>
      <c r="M1343" s="12">
        <f>L1343/[4]货币基础!$B$4</f>
        <v>220</v>
      </c>
      <c r="N1343" s="12">
        <f>IF(A1343&lt;[3]关卡对接!$A$4,INDEX([3]关卡对接!$E$7:$E$141,A1343),MATCH(E1343,人物经验!$H$24:$H$573,1))</f>
        <v>460</v>
      </c>
      <c r="O1343" s="12">
        <f>INDEX([2]关卡!$G$6:$G$2005,A1343)</f>
        <v>3</v>
      </c>
      <c r="P1343" s="13">
        <v>6</v>
      </c>
      <c r="Q1343" s="12">
        <f>INT(P1343/$S$15/O1343*VLOOKUP(J1343,[1]人物技能基础!$N$3:$O$553,2,0)*$U$15)</f>
        <v>9</v>
      </c>
      <c r="R1343" s="12">
        <f t="shared" si="192"/>
        <v>112</v>
      </c>
    </row>
    <row r="1344" spans="1:18" x14ac:dyDescent="0.15">
      <c r="A1344" s="12">
        <v>1326</v>
      </c>
      <c r="B1344" s="12">
        <f t="shared" si="189"/>
        <v>7</v>
      </c>
      <c r="C1344" s="12">
        <f t="shared" si="190"/>
        <v>6.0669000000000004</v>
      </c>
      <c r="D1344" s="12">
        <f t="shared" si="193"/>
        <v>5.1275000000000404E-2</v>
      </c>
      <c r="E1344" s="12">
        <f>SUM($D$19:D1344)</f>
        <v>28.266899999999961</v>
      </c>
      <c r="F1344" s="12">
        <f t="shared" si="187"/>
        <v>319.73921549863906</v>
      </c>
      <c r="G1344" s="12">
        <f t="shared" si="188"/>
        <v>199.30647309729505</v>
      </c>
      <c r="H1344" s="12">
        <f t="shared" si="194"/>
        <v>1151000</v>
      </c>
      <c r="I1344" s="12">
        <f t="shared" si="195"/>
        <v>717500</v>
      </c>
      <c r="J1344" s="12">
        <f>IF(A1344&lt;[3]关卡对接!$A$4,INDEX([3]关卡对接!$C$7:$C$141,A1344),MATCH(E1344,人物经验!$H$24:$H$573,1))</f>
        <v>460</v>
      </c>
      <c r="K1344" s="12">
        <f>IF([3]关卡对接!F1332="",INT(INDEX(人物经验!$J$24:$J$573,关卡!J1344)*关卡!$S$7),[3]关卡对接!F1332)</f>
        <v>28666</v>
      </c>
      <c r="L1344" s="12">
        <f t="shared" si="191"/>
        <v>2.2000000000000002</v>
      </c>
      <c r="M1344" s="12">
        <f>L1344/[4]货币基础!$B$4</f>
        <v>220</v>
      </c>
      <c r="N1344" s="12">
        <f>IF(A1344&lt;[3]关卡对接!$A$4,INDEX([3]关卡对接!$E$7:$E$141,A1344),MATCH(E1344,人物经验!$H$24:$H$573,1))</f>
        <v>460</v>
      </c>
      <c r="O1344" s="12">
        <f>INDEX([2]关卡!$G$6:$G$2005,A1344)</f>
        <v>3</v>
      </c>
      <c r="P1344" s="13">
        <v>6</v>
      </c>
      <c r="Q1344" s="12">
        <f>INT(P1344/$S$15/O1344*VLOOKUP(J1344,[1]人物技能基础!$N$3:$O$553,2,0)*$U$15)</f>
        <v>9</v>
      </c>
      <c r="R1344" s="12">
        <f t="shared" si="192"/>
        <v>112</v>
      </c>
    </row>
    <row r="1345" spans="1:18" x14ac:dyDescent="0.15">
      <c r="A1345" s="12">
        <v>1327</v>
      </c>
      <c r="B1345" s="12">
        <f t="shared" si="189"/>
        <v>7</v>
      </c>
      <c r="C1345" s="12">
        <f t="shared" si="190"/>
        <v>6.1182250000000007</v>
      </c>
      <c r="D1345" s="12">
        <f t="shared" si="193"/>
        <v>5.1325000000000287E-2</v>
      </c>
      <c r="E1345" s="12">
        <f>SUM($D$19:D1345)</f>
        <v>28.318224999999963</v>
      </c>
      <c r="F1345" s="12">
        <f t="shared" si="187"/>
        <v>320.35264850458492</v>
      </c>
      <c r="G1345" s="12">
        <f t="shared" si="188"/>
        <v>199.61037340555592</v>
      </c>
      <c r="H1345" s="12">
        <f t="shared" si="194"/>
        <v>1153200</v>
      </c>
      <c r="I1345" s="12">
        <f t="shared" si="195"/>
        <v>718500</v>
      </c>
      <c r="J1345" s="12">
        <f>IF(A1345&lt;[3]关卡对接!$A$4,INDEX([3]关卡对接!$C$7:$C$141,A1345),MATCH(E1345,人物经验!$H$24:$H$573,1))</f>
        <v>460</v>
      </c>
      <c r="K1345" s="12">
        <f>IF([3]关卡对接!F1333="",INT(INDEX(人物经验!$J$24:$J$573,关卡!J1345)*关卡!$S$7),[3]关卡对接!F1333)</f>
        <v>28666</v>
      </c>
      <c r="L1345" s="12">
        <f t="shared" si="191"/>
        <v>2.2000000000000002</v>
      </c>
      <c r="M1345" s="12">
        <f>L1345/[4]货币基础!$B$4</f>
        <v>220</v>
      </c>
      <c r="N1345" s="12">
        <f>IF(A1345&lt;[3]关卡对接!$A$4,INDEX([3]关卡对接!$E$7:$E$141,A1345),MATCH(E1345,人物经验!$H$24:$H$573,1))</f>
        <v>460</v>
      </c>
      <c r="O1345" s="12">
        <f>INDEX([2]关卡!$G$6:$G$2005,A1345)</f>
        <v>3</v>
      </c>
      <c r="P1345" s="13">
        <v>6</v>
      </c>
      <c r="Q1345" s="12">
        <f>INT(P1345/$S$15/O1345*VLOOKUP(J1345,[1]人物技能基础!$N$3:$O$553,2,0)*$U$15)</f>
        <v>9</v>
      </c>
      <c r="R1345" s="12">
        <f t="shared" si="192"/>
        <v>112</v>
      </c>
    </row>
    <row r="1346" spans="1:18" x14ac:dyDescent="0.15">
      <c r="A1346" s="12">
        <v>1328</v>
      </c>
      <c r="B1346" s="12">
        <f t="shared" si="189"/>
        <v>7</v>
      </c>
      <c r="C1346" s="12">
        <f t="shared" si="190"/>
        <v>6.1696000000000009</v>
      </c>
      <c r="D1346" s="12">
        <f t="shared" si="193"/>
        <v>5.1375000000000171E-2</v>
      </c>
      <c r="E1346" s="12">
        <f>SUM($D$19:D1346)</f>
        <v>28.369599999999963</v>
      </c>
      <c r="F1346" s="12">
        <f t="shared" si="187"/>
        <v>320.96700704358409</v>
      </c>
      <c r="G1346" s="12">
        <f t="shared" si="188"/>
        <v>199.91462346752002</v>
      </c>
      <c r="H1346" s="12">
        <f t="shared" si="194"/>
        <v>1155400</v>
      </c>
      <c r="I1346" s="12">
        <f t="shared" si="195"/>
        <v>719600</v>
      </c>
      <c r="J1346" s="12">
        <f>IF(A1346&lt;[3]关卡对接!$A$4,INDEX([3]关卡对接!$C$7:$C$141,A1346),MATCH(E1346,人物经验!$H$24:$H$573,1))</f>
        <v>460</v>
      </c>
      <c r="K1346" s="12">
        <f>IF([3]关卡对接!F1334="",INT(INDEX(人物经验!$J$24:$J$573,关卡!J1346)*关卡!$S$7),[3]关卡对接!F1334)</f>
        <v>28666</v>
      </c>
      <c r="L1346" s="12">
        <f t="shared" si="191"/>
        <v>2.2000000000000002</v>
      </c>
      <c r="M1346" s="12">
        <f>L1346/[4]货币基础!$B$4</f>
        <v>220</v>
      </c>
      <c r="N1346" s="12">
        <f>IF(A1346&lt;[3]关卡对接!$A$4,INDEX([3]关卡对接!$E$7:$E$141,A1346),MATCH(E1346,人物经验!$H$24:$H$573,1))</f>
        <v>460</v>
      </c>
      <c r="O1346" s="12">
        <f>INDEX([2]关卡!$G$6:$G$2005,A1346)</f>
        <v>3</v>
      </c>
      <c r="P1346" s="13">
        <v>6</v>
      </c>
      <c r="Q1346" s="12">
        <f>INT(P1346/$S$15/O1346*VLOOKUP(J1346,[1]人物技能基础!$N$3:$O$553,2,0)*$U$15)</f>
        <v>9</v>
      </c>
      <c r="R1346" s="12">
        <f t="shared" si="192"/>
        <v>112</v>
      </c>
    </row>
    <row r="1347" spans="1:18" x14ac:dyDescent="0.15">
      <c r="A1347" s="12">
        <v>1329</v>
      </c>
      <c r="B1347" s="12">
        <f t="shared" si="189"/>
        <v>7</v>
      </c>
      <c r="C1347" s="12">
        <f t="shared" si="190"/>
        <v>6.221025</v>
      </c>
      <c r="D1347" s="12">
        <f t="shared" si="193"/>
        <v>5.1424999999999166E-2</v>
      </c>
      <c r="E1347" s="12">
        <f>SUM($D$19:D1347)</f>
        <v>28.421024999999961</v>
      </c>
      <c r="F1347" s="12">
        <f t="shared" si="187"/>
        <v>321.58229213514488</v>
      </c>
      <c r="G1347" s="12">
        <f t="shared" si="188"/>
        <v>200.21922358485591</v>
      </c>
      <c r="H1347" s="12">
        <f t="shared" si="194"/>
        <v>1157600</v>
      </c>
      <c r="I1347" s="12">
        <f t="shared" si="195"/>
        <v>720700</v>
      </c>
      <c r="J1347" s="12">
        <f>IF(A1347&lt;[3]关卡对接!$A$4,INDEX([3]关卡对接!$C$7:$C$141,A1347),MATCH(E1347,人物经验!$H$24:$H$573,1))</f>
        <v>460</v>
      </c>
      <c r="K1347" s="12">
        <f>IF([3]关卡对接!F1335="",INT(INDEX(人物经验!$J$24:$J$573,关卡!J1347)*关卡!$S$7),[3]关卡对接!F1335)</f>
        <v>28666</v>
      </c>
      <c r="L1347" s="12">
        <f t="shared" si="191"/>
        <v>2.2000000000000002</v>
      </c>
      <c r="M1347" s="12">
        <f>L1347/[4]货币基础!$B$4</f>
        <v>220</v>
      </c>
      <c r="N1347" s="12">
        <f>IF(A1347&lt;[3]关卡对接!$A$4,INDEX([3]关卡对接!$E$7:$E$141,A1347),MATCH(E1347,人物经验!$H$24:$H$573,1))</f>
        <v>460</v>
      </c>
      <c r="O1347" s="12">
        <f>INDEX([2]关卡!$G$6:$G$2005,A1347)</f>
        <v>3</v>
      </c>
      <c r="P1347" s="13">
        <v>6</v>
      </c>
      <c r="Q1347" s="12">
        <f>INT(P1347/$S$15/O1347*VLOOKUP(J1347,[1]人物技能基础!$N$3:$O$553,2,0)*$U$15)</f>
        <v>9</v>
      </c>
      <c r="R1347" s="12">
        <f t="shared" si="192"/>
        <v>112</v>
      </c>
    </row>
    <row r="1348" spans="1:18" x14ac:dyDescent="0.15">
      <c r="A1348" s="12">
        <v>1330</v>
      </c>
      <c r="B1348" s="12">
        <f t="shared" si="189"/>
        <v>7</v>
      </c>
      <c r="C1348" s="12">
        <f t="shared" si="190"/>
        <v>6.2725000000000009</v>
      </c>
      <c r="D1348" s="12">
        <f t="shared" si="193"/>
        <v>5.1475000000000826E-2</v>
      </c>
      <c r="E1348" s="12">
        <f>SUM($D$19:D1348)</f>
        <v>28.472499999999961</v>
      </c>
      <c r="F1348" s="12">
        <f t="shared" si="187"/>
        <v>322.19850479937503</v>
      </c>
      <c r="G1348" s="12">
        <f t="shared" si="188"/>
        <v>200.52417405937501</v>
      </c>
      <c r="H1348" s="12">
        <f t="shared" si="194"/>
        <v>1159900</v>
      </c>
      <c r="I1348" s="12">
        <f t="shared" si="195"/>
        <v>721800</v>
      </c>
      <c r="J1348" s="12">
        <f>IF(A1348&lt;[3]关卡对接!$A$4,INDEX([3]关卡对接!$C$7:$C$141,A1348),MATCH(E1348,人物经验!$H$24:$H$573,1))</f>
        <v>461</v>
      </c>
      <c r="K1348" s="12">
        <f>IF([3]关卡对接!F1336="",INT(INDEX(人物经验!$J$24:$J$573,关卡!J1348)*关卡!$S$7),[3]关卡对接!F1336)</f>
        <v>28942</v>
      </c>
      <c r="L1348" s="12">
        <f t="shared" si="191"/>
        <v>2.2000000000000002</v>
      </c>
      <c r="M1348" s="12">
        <f>L1348/[4]货币基础!$B$4</f>
        <v>220</v>
      </c>
      <c r="N1348" s="12">
        <f>IF(A1348&lt;[3]关卡对接!$A$4,INDEX([3]关卡对接!$E$7:$E$141,A1348),MATCH(E1348,人物经验!$H$24:$H$573,1))</f>
        <v>461</v>
      </c>
      <c r="O1348" s="12">
        <f>INDEX([2]关卡!$G$6:$G$2005,A1348)</f>
        <v>3</v>
      </c>
      <c r="P1348" s="13">
        <v>6</v>
      </c>
      <c r="Q1348" s="12">
        <f>INT(P1348/$S$15/O1348*VLOOKUP(J1348,[1]人物技能基础!$N$3:$O$553,2,0)*$U$15)</f>
        <v>9</v>
      </c>
      <c r="R1348" s="12">
        <f t="shared" si="192"/>
        <v>112</v>
      </c>
    </row>
    <row r="1349" spans="1:18" x14ac:dyDescent="0.15">
      <c r="A1349" s="12">
        <v>1331</v>
      </c>
      <c r="B1349" s="12">
        <f t="shared" si="189"/>
        <v>7</v>
      </c>
      <c r="C1349" s="12">
        <f t="shared" si="190"/>
        <v>6.3240249999999998</v>
      </c>
      <c r="D1349" s="12">
        <f t="shared" si="193"/>
        <v>5.1524999999998933E-2</v>
      </c>
      <c r="E1349" s="12">
        <f>SUM($D$19:D1349)</f>
        <v>28.524024999999959</v>
      </c>
      <c r="F1349" s="12">
        <f t="shared" si="187"/>
        <v>322.81564605697992</v>
      </c>
      <c r="G1349" s="12">
        <f t="shared" si="188"/>
        <v>200.82947519303093</v>
      </c>
      <c r="H1349" s="12">
        <f t="shared" si="194"/>
        <v>1162100</v>
      </c>
      <c r="I1349" s="12">
        <f t="shared" si="195"/>
        <v>722900</v>
      </c>
      <c r="J1349" s="12">
        <f>IF(A1349&lt;[3]关卡对接!$A$4,INDEX([3]关卡对接!$C$7:$C$141,A1349),MATCH(E1349,人物经验!$H$24:$H$573,1))</f>
        <v>461</v>
      </c>
      <c r="K1349" s="12">
        <f>IF([3]关卡对接!F1337="",INT(INDEX(人物经验!$J$24:$J$573,关卡!J1349)*关卡!$S$7),[3]关卡对接!F1337)</f>
        <v>28942</v>
      </c>
      <c r="L1349" s="12">
        <f t="shared" si="191"/>
        <v>2.2000000000000002</v>
      </c>
      <c r="M1349" s="12">
        <f>L1349/[4]货币基础!$B$4</f>
        <v>220</v>
      </c>
      <c r="N1349" s="12">
        <f>IF(A1349&lt;[3]关卡对接!$A$4,INDEX([3]关卡对接!$E$7:$E$141,A1349),MATCH(E1349,人物经验!$H$24:$H$573,1))</f>
        <v>461</v>
      </c>
      <c r="O1349" s="12">
        <f>INDEX([2]关卡!$G$6:$G$2005,A1349)</f>
        <v>3</v>
      </c>
      <c r="P1349" s="13">
        <v>6</v>
      </c>
      <c r="Q1349" s="12">
        <f>INT(P1349/$S$15/O1349*VLOOKUP(J1349,[1]人物技能基础!$N$3:$O$553,2,0)*$U$15)</f>
        <v>9</v>
      </c>
      <c r="R1349" s="12">
        <f t="shared" si="192"/>
        <v>112</v>
      </c>
    </row>
    <row r="1350" spans="1:18" x14ac:dyDescent="0.15">
      <c r="A1350" s="12">
        <v>1332</v>
      </c>
      <c r="B1350" s="12">
        <f t="shared" si="189"/>
        <v>7</v>
      </c>
      <c r="C1350" s="12">
        <f t="shared" si="190"/>
        <v>6.3756000000000013</v>
      </c>
      <c r="D1350" s="12">
        <f t="shared" si="193"/>
        <v>5.1575000000001481E-2</v>
      </c>
      <c r="E1350" s="12">
        <f>SUM($D$19:D1350)</f>
        <v>28.575599999999959</v>
      </c>
      <c r="F1350" s="12">
        <f t="shared" si="187"/>
        <v>323.43371692926411</v>
      </c>
      <c r="G1350" s="12">
        <f t="shared" si="188"/>
        <v>201.13512728792003</v>
      </c>
      <c r="H1350" s="12">
        <f t="shared" si="194"/>
        <v>1164300</v>
      </c>
      <c r="I1350" s="12">
        <f t="shared" si="195"/>
        <v>724000</v>
      </c>
      <c r="J1350" s="12">
        <f>IF(A1350&lt;[3]关卡对接!$A$4,INDEX([3]关卡对接!$C$7:$C$141,A1350),MATCH(E1350,人物经验!$H$24:$H$573,1))</f>
        <v>461</v>
      </c>
      <c r="K1350" s="12">
        <f>IF([3]关卡对接!F1338="",INT(INDEX(人物经验!$J$24:$J$573,关卡!J1350)*关卡!$S$7),[3]关卡对接!F1338)</f>
        <v>28942</v>
      </c>
      <c r="L1350" s="12">
        <f t="shared" si="191"/>
        <v>2.2000000000000002</v>
      </c>
      <c r="M1350" s="12">
        <f>L1350/[4]货币基础!$B$4</f>
        <v>220</v>
      </c>
      <c r="N1350" s="12">
        <f>IF(A1350&lt;[3]关卡对接!$A$4,INDEX([3]关卡对接!$E$7:$E$141,A1350),MATCH(E1350,人物经验!$H$24:$H$573,1))</f>
        <v>461</v>
      </c>
      <c r="O1350" s="12">
        <f>INDEX([2]关卡!$G$6:$G$2005,A1350)</f>
        <v>3</v>
      </c>
      <c r="P1350" s="13">
        <v>6</v>
      </c>
      <c r="Q1350" s="12">
        <f>INT(P1350/$S$15/O1350*VLOOKUP(J1350,[1]人物技能基础!$N$3:$O$553,2,0)*$U$15)</f>
        <v>9</v>
      </c>
      <c r="R1350" s="12">
        <f t="shared" si="192"/>
        <v>112</v>
      </c>
    </row>
    <row r="1351" spans="1:18" x14ac:dyDescent="0.15">
      <c r="A1351" s="12">
        <v>1333</v>
      </c>
      <c r="B1351" s="12">
        <f t="shared" si="189"/>
        <v>7</v>
      </c>
      <c r="C1351" s="12">
        <f t="shared" si="190"/>
        <v>6.4272250000000009</v>
      </c>
      <c r="D1351" s="12">
        <f t="shared" si="193"/>
        <v>5.1624999999999588E-2</v>
      </c>
      <c r="E1351" s="12">
        <f>SUM($D$19:D1351)</f>
        <v>28.62722499999996</v>
      </c>
      <c r="F1351" s="12">
        <f t="shared" si="187"/>
        <v>324.05271843812994</v>
      </c>
      <c r="G1351" s="12">
        <f t="shared" si="188"/>
        <v>201.44113064628093</v>
      </c>
      <c r="H1351" s="12">
        <f t="shared" si="194"/>
        <v>1166500</v>
      </c>
      <c r="I1351" s="12">
        <f t="shared" si="195"/>
        <v>725100</v>
      </c>
      <c r="J1351" s="12">
        <f>IF(A1351&lt;[3]关卡对接!$A$4,INDEX([3]关卡对接!$C$7:$C$141,A1351),MATCH(E1351,人物经验!$H$24:$H$573,1))</f>
        <v>461</v>
      </c>
      <c r="K1351" s="12">
        <f>IF([3]关卡对接!F1339="",INT(INDEX(人物经验!$J$24:$J$573,关卡!J1351)*关卡!$S$7),[3]关卡对接!F1339)</f>
        <v>28942</v>
      </c>
      <c r="L1351" s="12">
        <f t="shared" si="191"/>
        <v>2.2000000000000002</v>
      </c>
      <c r="M1351" s="12">
        <f>L1351/[4]货币基础!$B$4</f>
        <v>220</v>
      </c>
      <c r="N1351" s="12">
        <f>IF(A1351&lt;[3]关卡对接!$A$4,INDEX([3]关卡对接!$E$7:$E$141,A1351),MATCH(E1351,人物经验!$H$24:$H$573,1))</f>
        <v>461</v>
      </c>
      <c r="O1351" s="12">
        <f>INDEX([2]关卡!$G$6:$G$2005,A1351)</f>
        <v>3</v>
      </c>
      <c r="P1351" s="13">
        <v>6</v>
      </c>
      <c r="Q1351" s="12">
        <f>INT(P1351/$S$15/O1351*VLOOKUP(J1351,[1]人物技能基础!$N$3:$O$553,2,0)*$U$15)</f>
        <v>9</v>
      </c>
      <c r="R1351" s="12">
        <f t="shared" si="192"/>
        <v>112</v>
      </c>
    </row>
    <row r="1352" spans="1:18" x14ac:dyDescent="0.15">
      <c r="A1352" s="12">
        <v>1334</v>
      </c>
      <c r="B1352" s="12">
        <f t="shared" si="189"/>
        <v>7</v>
      </c>
      <c r="C1352" s="12">
        <f t="shared" si="190"/>
        <v>6.4789000000000012</v>
      </c>
      <c r="D1352" s="12">
        <f t="shared" si="193"/>
        <v>5.167500000000036E-2</v>
      </c>
      <c r="E1352" s="12">
        <f>SUM($D$19:D1352)</f>
        <v>28.67889999999996</v>
      </c>
      <c r="F1352" s="12">
        <f t="shared" si="187"/>
        <v>324.67265160607906</v>
      </c>
      <c r="G1352" s="12">
        <f t="shared" si="188"/>
        <v>201.74748557049503</v>
      </c>
      <c r="H1352" s="12">
        <f t="shared" si="194"/>
        <v>1168800</v>
      </c>
      <c r="I1352" s="12">
        <f t="shared" si="195"/>
        <v>726200</v>
      </c>
      <c r="J1352" s="12">
        <f>IF(A1352&lt;[3]关卡对接!$A$4,INDEX([3]关卡对接!$C$7:$C$141,A1352),MATCH(E1352,人物经验!$H$24:$H$573,1))</f>
        <v>461</v>
      </c>
      <c r="K1352" s="12">
        <f>IF([3]关卡对接!F1340="",INT(INDEX(人物经验!$J$24:$J$573,关卡!J1352)*关卡!$S$7),[3]关卡对接!F1340)</f>
        <v>28942</v>
      </c>
      <c r="L1352" s="12">
        <f t="shared" si="191"/>
        <v>2.2000000000000002</v>
      </c>
      <c r="M1352" s="12">
        <f>L1352/[4]货币基础!$B$4</f>
        <v>220</v>
      </c>
      <c r="N1352" s="12">
        <f>IF(A1352&lt;[3]关卡对接!$A$4,INDEX([3]关卡对接!$E$7:$E$141,A1352),MATCH(E1352,人物经验!$H$24:$H$573,1))</f>
        <v>461</v>
      </c>
      <c r="O1352" s="12">
        <f>INDEX([2]关卡!$G$6:$G$2005,A1352)</f>
        <v>3</v>
      </c>
      <c r="P1352" s="13">
        <v>6</v>
      </c>
      <c r="Q1352" s="12">
        <f>INT(P1352/$S$15/O1352*VLOOKUP(J1352,[1]人物技能基础!$N$3:$O$553,2,0)*$U$15)</f>
        <v>9</v>
      </c>
      <c r="R1352" s="12">
        <f t="shared" si="192"/>
        <v>112</v>
      </c>
    </row>
    <row r="1353" spans="1:18" x14ac:dyDescent="0.15">
      <c r="A1353" s="12">
        <v>1335</v>
      </c>
      <c r="B1353" s="12">
        <f t="shared" si="189"/>
        <v>7</v>
      </c>
      <c r="C1353" s="12">
        <f t="shared" si="190"/>
        <v>6.5306250000000006</v>
      </c>
      <c r="D1353" s="12">
        <f t="shared" si="193"/>
        <v>5.1724999999999355E-2</v>
      </c>
      <c r="E1353" s="12">
        <f>SUM($D$19:D1353)</f>
        <v>28.730624999999961</v>
      </c>
      <c r="F1353" s="12">
        <f t="shared" si="187"/>
        <v>325.29351745621091</v>
      </c>
      <c r="G1353" s="12">
        <f t="shared" si="188"/>
        <v>202.05419236308595</v>
      </c>
      <c r="H1353" s="12">
        <f t="shared" si="194"/>
        <v>1171000</v>
      </c>
      <c r="I1353" s="12">
        <f t="shared" si="195"/>
        <v>727300</v>
      </c>
      <c r="J1353" s="12">
        <f>IF(A1353&lt;[3]关卡对接!$A$4,INDEX([3]关卡对接!$C$7:$C$141,A1353),MATCH(E1353,人物经验!$H$24:$H$573,1))</f>
        <v>462</v>
      </c>
      <c r="K1353" s="12">
        <f>IF([3]关卡对接!F1341="",INT(INDEX(人物经验!$J$24:$J$573,关卡!J1353)*关卡!$S$7),[3]关卡对接!F1341)</f>
        <v>29220</v>
      </c>
      <c r="L1353" s="12">
        <f t="shared" si="191"/>
        <v>2.2000000000000002</v>
      </c>
      <c r="M1353" s="12">
        <f>L1353/[4]货币基础!$B$4</f>
        <v>220</v>
      </c>
      <c r="N1353" s="12">
        <f>IF(A1353&lt;[3]关卡对接!$A$4,INDEX([3]关卡对接!$E$7:$E$141,A1353),MATCH(E1353,人物经验!$H$24:$H$573,1))</f>
        <v>462</v>
      </c>
      <c r="O1353" s="12">
        <f>INDEX([2]关卡!$G$6:$G$2005,A1353)</f>
        <v>3</v>
      </c>
      <c r="P1353" s="13">
        <v>6</v>
      </c>
      <c r="Q1353" s="12">
        <f>INT(P1353/$S$15/O1353*VLOOKUP(J1353,[1]人物技能基础!$N$3:$O$553,2,0)*$U$15)</f>
        <v>9</v>
      </c>
      <c r="R1353" s="12">
        <f t="shared" si="192"/>
        <v>112</v>
      </c>
    </row>
    <row r="1354" spans="1:18" x14ac:dyDescent="0.15">
      <c r="A1354" s="12">
        <v>1336</v>
      </c>
      <c r="B1354" s="12">
        <f t="shared" si="189"/>
        <v>7</v>
      </c>
      <c r="C1354" s="12">
        <f t="shared" si="190"/>
        <v>6.5824000000000016</v>
      </c>
      <c r="D1354" s="12">
        <f t="shared" si="193"/>
        <v>5.1775000000001015E-2</v>
      </c>
      <c r="E1354" s="12">
        <f>SUM($D$19:D1354)</f>
        <v>28.78239999999996</v>
      </c>
      <c r="F1354" s="12">
        <f t="shared" si="187"/>
        <v>325.91531701222408</v>
      </c>
      <c r="G1354" s="12">
        <f t="shared" si="188"/>
        <v>202.36125132672001</v>
      </c>
      <c r="H1354" s="12">
        <f t="shared" si="194"/>
        <v>1173200</v>
      </c>
      <c r="I1354" s="12">
        <f t="shared" si="195"/>
        <v>728500</v>
      </c>
      <c r="J1354" s="12">
        <f>IF(A1354&lt;[3]关卡对接!$A$4,INDEX([3]关卡对接!$C$7:$C$141,A1354),MATCH(E1354,人物经验!$H$24:$H$573,1))</f>
        <v>462</v>
      </c>
      <c r="K1354" s="12">
        <f>IF([3]关卡对接!F1342="",INT(INDEX(人物经验!$J$24:$J$573,关卡!J1354)*关卡!$S$7),[3]关卡对接!F1342)</f>
        <v>29220</v>
      </c>
      <c r="L1354" s="12">
        <f t="shared" si="191"/>
        <v>2.2000000000000002</v>
      </c>
      <c r="M1354" s="12">
        <f>L1354/[4]货币基础!$B$4</f>
        <v>220</v>
      </c>
      <c r="N1354" s="12">
        <f>IF(A1354&lt;[3]关卡对接!$A$4,INDEX([3]关卡对接!$E$7:$E$141,A1354),MATCH(E1354,人物经验!$H$24:$H$573,1))</f>
        <v>462</v>
      </c>
      <c r="O1354" s="12">
        <f>INDEX([2]关卡!$G$6:$G$2005,A1354)</f>
        <v>3</v>
      </c>
      <c r="P1354" s="13">
        <v>6</v>
      </c>
      <c r="Q1354" s="12">
        <f>INT(P1354/$S$15/O1354*VLOOKUP(J1354,[1]人物技能基础!$N$3:$O$553,2,0)*$U$15)</f>
        <v>9</v>
      </c>
      <c r="R1354" s="12">
        <f t="shared" si="192"/>
        <v>112</v>
      </c>
    </row>
    <row r="1355" spans="1:18" x14ac:dyDescent="0.15">
      <c r="A1355" s="12">
        <v>1337</v>
      </c>
      <c r="B1355" s="12">
        <f t="shared" si="189"/>
        <v>7</v>
      </c>
      <c r="C1355" s="12">
        <f t="shared" si="190"/>
        <v>6.6342250000000007</v>
      </c>
      <c r="D1355" s="12">
        <f t="shared" si="193"/>
        <v>5.1824999999999122E-2</v>
      </c>
      <c r="E1355" s="12">
        <f>SUM($D$19:D1355)</f>
        <v>28.834224999999961</v>
      </c>
      <c r="F1355" s="12">
        <f t="shared" si="187"/>
        <v>326.53805129841493</v>
      </c>
      <c r="G1355" s="12">
        <f t="shared" si="188"/>
        <v>202.66866276420592</v>
      </c>
      <c r="H1355" s="12">
        <f t="shared" si="194"/>
        <v>1175500</v>
      </c>
      <c r="I1355" s="12">
        <f t="shared" si="195"/>
        <v>729600</v>
      </c>
      <c r="J1355" s="12">
        <f>IF(A1355&lt;[3]关卡对接!$A$4,INDEX([3]关卡对接!$C$7:$C$141,A1355),MATCH(E1355,人物经验!$H$24:$H$573,1))</f>
        <v>462</v>
      </c>
      <c r="K1355" s="12">
        <f>IF([3]关卡对接!F1343="",INT(INDEX(人物经验!$J$24:$J$573,关卡!J1355)*关卡!$S$7),[3]关卡对接!F1343)</f>
        <v>29220</v>
      </c>
      <c r="L1355" s="12">
        <f t="shared" si="191"/>
        <v>2.2000000000000002</v>
      </c>
      <c r="M1355" s="12">
        <f>L1355/[4]货币基础!$B$4</f>
        <v>220</v>
      </c>
      <c r="N1355" s="12">
        <f>IF(A1355&lt;[3]关卡对接!$A$4,INDEX([3]关卡对接!$E$7:$E$141,A1355),MATCH(E1355,人物经验!$H$24:$H$573,1))</f>
        <v>462</v>
      </c>
      <c r="O1355" s="12">
        <f>INDEX([2]关卡!$G$6:$G$2005,A1355)</f>
        <v>3</v>
      </c>
      <c r="P1355" s="13">
        <v>6</v>
      </c>
      <c r="Q1355" s="12">
        <f>INT(P1355/$S$15/O1355*VLOOKUP(J1355,[1]人物技能基础!$N$3:$O$553,2,0)*$U$15)</f>
        <v>9</v>
      </c>
      <c r="R1355" s="12">
        <f t="shared" si="192"/>
        <v>112</v>
      </c>
    </row>
    <row r="1356" spans="1:18" x14ac:dyDescent="0.15">
      <c r="A1356" s="12">
        <v>1338</v>
      </c>
      <c r="B1356" s="12">
        <f t="shared" si="189"/>
        <v>7</v>
      </c>
      <c r="C1356" s="12">
        <f t="shared" si="190"/>
        <v>6.6861000000000006</v>
      </c>
      <c r="D1356" s="12">
        <f t="shared" si="193"/>
        <v>5.1874999999999893E-2</v>
      </c>
      <c r="E1356" s="12">
        <f>SUM($D$19:D1356)</f>
        <v>28.88609999999996</v>
      </c>
      <c r="F1356" s="12">
        <f t="shared" si="187"/>
        <v>327.16172133967905</v>
      </c>
      <c r="G1356" s="12">
        <f t="shared" si="188"/>
        <v>202.97642697849503</v>
      </c>
      <c r="H1356" s="12">
        <f t="shared" si="194"/>
        <v>1177700</v>
      </c>
      <c r="I1356" s="12">
        <f t="shared" si="195"/>
        <v>730700</v>
      </c>
      <c r="J1356" s="12">
        <f>IF(A1356&lt;[3]关卡对接!$A$4,INDEX([3]关卡对接!$C$7:$C$141,A1356),MATCH(E1356,人物经验!$H$24:$H$573,1))</f>
        <v>462</v>
      </c>
      <c r="K1356" s="12">
        <f>IF([3]关卡对接!F1344="",INT(INDEX(人物经验!$J$24:$J$573,关卡!J1356)*关卡!$S$7),[3]关卡对接!F1344)</f>
        <v>29220</v>
      </c>
      <c r="L1356" s="12">
        <f t="shared" si="191"/>
        <v>2.2000000000000002</v>
      </c>
      <c r="M1356" s="12">
        <f>L1356/[4]货币基础!$B$4</f>
        <v>220</v>
      </c>
      <c r="N1356" s="12">
        <f>IF(A1356&lt;[3]关卡对接!$A$4,INDEX([3]关卡对接!$E$7:$E$141,A1356),MATCH(E1356,人物经验!$H$24:$H$573,1))</f>
        <v>462</v>
      </c>
      <c r="O1356" s="12">
        <f>INDEX([2]关卡!$G$6:$G$2005,A1356)</f>
        <v>3</v>
      </c>
      <c r="P1356" s="13">
        <v>6</v>
      </c>
      <c r="Q1356" s="12">
        <f>INT(P1356/$S$15/O1356*VLOOKUP(J1356,[1]人物技能基础!$N$3:$O$553,2,0)*$U$15)</f>
        <v>9</v>
      </c>
      <c r="R1356" s="12">
        <f t="shared" si="192"/>
        <v>112</v>
      </c>
    </row>
    <row r="1357" spans="1:18" x14ac:dyDescent="0.15">
      <c r="A1357" s="12">
        <v>1339</v>
      </c>
      <c r="B1357" s="12">
        <f t="shared" si="189"/>
        <v>7</v>
      </c>
      <c r="C1357" s="12">
        <f t="shared" si="190"/>
        <v>6.7380249999999995</v>
      </c>
      <c r="D1357" s="12">
        <f t="shared" si="193"/>
        <v>5.1924999999998889E-2</v>
      </c>
      <c r="E1357" s="12">
        <f>SUM($D$19:D1357)</f>
        <v>28.938024999999961</v>
      </c>
      <c r="F1357" s="12">
        <f t="shared" si="187"/>
        <v>327.78632816150986</v>
      </c>
      <c r="G1357" s="12">
        <f t="shared" si="188"/>
        <v>203.28454427268088</v>
      </c>
      <c r="H1357" s="12">
        <f t="shared" si="194"/>
        <v>1180000</v>
      </c>
      <c r="I1357" s="12">
        <f t="shared" si="195"/>
        <v>731800</v>
      </c>
      <c r="J1357" s="12">
        <f>IF(A1357&lt;[3]关卡对接!$A$4,INDEX([3]关卡对接!$C$7:$C$141,A1357),MATCH(E1357,人物经验!$H$24:$H$573,1))</f>
        <v>462</v>
      </c>
      <c r="K1357" s="12">
        <f>IF([3]关卡对接!F1345="",INT(INDEX(人物经验!$J$24:$J$573,关卡!J1357)*关卡!$S$7),[3]关卡对接!F1345)</f>
        <v>29220</v>
      </c>
      <c r="L1357" s="12">
        <f t="shared" si="191"/>
        <v>2.2000000000000002</v>
      </c>
      <c r="M1357" s="12">
        <f>L1357/[4]货币基础!$B$4</f>
        <v>220</v>
      </c>
      <c r="N1357" s="12">
        <f>IF(A1357&lt;[3]关卡对接!$A$4,INDEX([3]关卡对接!$E$7:$E$141,A1357),MATCH(E1357,人物经验!$H$24:$H$573,1))</f>
        <v>462</v>
      </c>
      <c r="O1357" s="12">
        <f>INDEX([2]关卡!$G$6:$G$2005,A1357)</f>
        <v>3</v>
      </c>
      <c r="P1357" s="13">
        <v>6</v>
      </c>
      <c r="Q1357" s="12">
        <f>INT(P1357/$S$15/O1357*VLOOKUP(J1357,[1]人物技能基础!$N$3:$O$553,2,0)*$U$15)</f>
        <v>9</v>
      </c>
      <c r="R1357" s="12">
        <f t="shared" si="192"/>
        <v>112</v>
      </c>
    </row>
    <row r="1358" spans="1:18" x14ac:dyDescent="0.15">
      <c r="A1358" s="12">
        <v>1340</v>
      </c>
      <c r="B1358" s="12">
        <f t="shared" si="189"/>
        <v>7</v>
      </c>
      <c r="C1358" s="12">
        <f t="shared" si="190"/>
        <v>6.7900000000000009</v>
      </c>
      <c r="D1358" s="12">
        <f t="shared" si="193"/>
        <v>5.1975000000001437E-2</v>
      </c>
      <c r="E1358" s="12">
        <f>SUM($D$19:D1358)</f>
        <v>28.989999999999963</v>
      </c>
      <c r="F1358" s="12">
        <f t="shared" si="187"/>
        <v>328.41187279000007</v>
      </c>
      <c r="G1358" s="12">
        <f t="shared" si="188"/>
        <v>203.59301495000003</v>
      </c>
      <c r="H1358" s="12">
        <f t="shared" si="194"/>
        <v>1182200</v>
      </c>
      <c r="I1358" s="12">
        <f t="shared" si="195"/>
        <v>732900</v>
      </c>
      <c r="J1358" s="12">
        <f>IF(A1358&lt;[3]关卡对接!$A$4,INDEX([3]关卡对接!$C$7:$C$141,A1358),MATCH(E1358,人物经验!$H$24:$H$573,1))</f>
        <v>462</v>
      </c>
      <c r="K1358" s="12">
        <f>IF([3]关卡对接!F1346="",INT(INDEX(人物经验!$J$24:$J$573,关卡!J1358)*关卡!$S$7),[3]关卡对接!F1346)</f>
        <v>29220</v>
      </c>
      <c r="L1358" s="12">
        <f t="shared" si="191"/>
        <v>2.2000000000000002</v>
      </c>
      <c r="M1358" s="12">
        <f>L1358/[4]货币基础!$B$4</f>
        <v>220</v>
      </c>
      <c r="N1358" s="12">
        <f>IF(A1358&lt;[3]关卡对接!$A$4,INDEX([3]关卡对接!$E$7:$E$141,A1358),MATCH(E1358,人物经验!$H$24:$H$573,1))</f>
        <v>462</v>
      </c>
      <c r="O1358" s="12">
        <f>INDEX([2]关卡!$G$6:$G$2005,A1358)</f>
        <v>3</v>
      </c>
      <c r="P1358" s="13">
        <v>6</v>
      </c>
      <c r="Q1358" s="12">
        <f>INT(P1358/$S$15/O1358*VLOOKUP(J1358,[1]人物技能基础!$N$3:$O$553,2,0)*$U$15)</f>
        <v>9</v>
      </c>
      <c r="R1358" s="12">
        <f t="shared" si="192"/>
        <v>112</v>
      </c>
    </row>
    <row r="1359" spans="1:18" x14ac:dyDescent="0.15">
      <c r="A1359" s="12">
        <v>1341</v>
      </c>
      <c r="B1359" s="12">
        <f t="shared" si="189"/>
        <v>7</v>
      </c>
      <c r="C1359" s="12">
        <f t="shared" si="190"/>
        <v>6.8420249999999996</v>
      </c>
      <c r="D1359" s="12">
        <f t="shared" si="193"/>
        <v>5.2024999999998656E-2</v>
      </c>
      <c r="E1359" s="12">
        <f>SUM($D$19:D1359)</f>
        <v>29.04202499999996</v>
      </c>
      <c r="F1359" s="12">
        <f t="shared" si="187"/>
        <v>329.03835625183996</v>
      </c>
      <c r="G1359" s="12">
        <f t="shared" si="188"/>
        <v>203.90183931383095</v>
      </c>
      <c r="H1359" s="12">
        <f t="shared" si="194"/>
        <v>1184500</v>
      </c>
      <c r="I1359" s="12">
        <f t="shared" si="195"/>
        <v>734000</v>
      </c>
      <c r="J1359" s="12">
        <f>IF(A1359&lt;[3]关卡对接!$A$4,INDEX([3]关卡对接!$C$7:$C$141,A1359),MATCH(E1359,人物经验!$H$24:$H$573,1))</f>
        <v>463</v>
      </c>
      <c r="K1359" s="12">
        <f>IF([3]关卡对接!F1347="",INT(INDEX(人物经验!$J$24:$J$573,关卡!J1359)*关卡!$S$7),[3]关卡对接!F1347)</f>
        <v>29557</v>
      </c>
      <c r="L1359" s="12">
        <f t="shared" si="191"/>
        <v>2.2000000000000002</v>
      </c>
      <c r="M1359" s="12">
        <f>L1359/[4]货币基础!$B$4</f>
        <v>220</v>
      </c>
      <c r="N1359" s="12">
        <f>IF(A1359&lt;[3]关卡对接!$A$4,INDEX([3]关卡对接!$E$7:$E$141,A1359),MATCH(E1359,人物经验!$H$24:$H$573,1))</f>
        <v>463</v>
      </c>
      <c r="O1359" s="12">
        <f>INDEX([2]关卡!$G$6:$G$2005,A1359)</f>
        <v>3</v>
      </c>
      <c r="P1359" s="13">
        <v>6</v>
      </c>
      <c r="Q1359" s="12">
        <f>INT(P1359/$S$15/O1359*VLOOKUP(J1359,[1]人物技能基础!$N$3:$O$553,2,0)*$U$15)</f>
        <v>9</v>
      </c>
      <c r="R1359" s="12">
        <f t="shared" si="192"/>
        <v>112</v>
      </c>
    </row>
    <row r="1360" spans="1:18" x14ac:dyDescent="0.15">
      <c r="A1360" s="12">
        <v>1342</v>
      </c>
      <c r="B1360" s="12">
        <f t="shared" si="189"/>
        <v>7</v>
      </c>
      <c r="C1360" s="12">
        <f t="shared" si="190"/>
        <v>6.8940999999999999</v>
      </c>
      <c r="D1360" s="12">
        <f t="shared" si="193"/>
        <v>5.2075000000000315E-2</v>
      </c>
      <c r="E1360" s="12">
        <f>SUM($D$19:D1360)</f>
        <v>29.094099999999962</v>
      </c>
      <c r="F1360" s="12">
        <f t="shared" si="187"/>
        <v>329.66577957431906</v>
      </c>
      <c r="G1360" s="12">
        <f t="shared" si="188"/>
        <v>204.21101766769505</v>
      </c>
      <c r="H1360" s="12">
        <f t="shared" si="194"/>
        <v>1186700</v>
      </c>
      <c r="I1360" s="12">
        <f t="shared" si="195"/>
        <v>735100</v>
      </c>
      <c r="J1360" s="12">
        <f>IF(A1360&lt;[3]关卡对接!$A$4,INDEX([3]关卡对接!$C$7:$C$141,A1360),MATCH(E1360,人物经验!$H$24:$H$573,1))</f>
        <v>463</v>
      </c>
      <c r="K1360" s="12">
        <f>IF([3]关卡对接!F1348="",INT(INDEX(人物经验!$J$24:$J$573,关卡!J1360)*关卡!$S$7),[3]关卡对接!F1348)</f>
        <v>29557</v>
      </c>
      <c r="L1360" s="12">
        <f t="shared" si="191"/>
        <v>2.2000000000000002</v>
      </c>
      <c r="M1360" s="12">
        <f>L1360/[4]货币基础!$B$4</f>
        <v>220</v>
      </c>
      <c r="N1360" s="12">
        <f>IF(A1360&lt;[3]关卡对接!$A$4,INDEX([3]关卡对接!$E$7:$E$141,A1360),MATCH(E1360,人物经验!$H$24:$H$573,1))</f>
        <v>463</v>
      </c>
      <c r="O1360" s="12">
        <f>INDEX([2]关卡!$G$6:$G$2005,A1360)</f>
        <v>3</v>
      </c>
      <c r="P1360" s="13">
        <v>6</v>
      </c>
      <c r="Q1360" s="12">
        <f>INT(P1360/$S$15/O1360*VLOOKUP(J1360,[1]人物技能基础!$N$3:$O$553,2,0)*$U$15)</f>
        <v>9</v>
      </c>
      <c r="R1360" s="12">
        <f t="shared" si="192"/>
        <v>112</v>
      </c>
    </row>
    <row r="1361" spans="1:18" x14ac:dyDescent="0.15">
      <c r="A1361" s="12">
        <v>1343</v>
      </c>
      <c r="B1361" s="12">
        <f t="shared" si="189"/>
        <v>7</v>
      </c>
      <c r="C1361" s="12">
        <f t="shared" si="190"/>
        <v>6.9462249999999992</v>
      </c>
      <c r="D1361" s="12">
        <f t="shared" si="193"/>
        <v>5.2124999999999311E-2</v>
      </c>
      <c r="E1361" s="12">
        <f>SUM($D$19:D1361)</f>
        <v>29.146224999999962</v>
      </c>
      <c r="F1361" s="12">
        <f t="shared" si="187"/>
        <v>330.29414378532493</v>
      </c>
      <c r="G1361" s="12">
        <f t="shared" si="188"/>
        <v>204.52055031525589</v>
      </c>
      <c r="H1361" s="12">
        <f t="shared" si="194"/>
        <v>1189000</v>
      </c>
      <c r="I1361" s="12">
        <f t="shared" si="195"/>
        <v>736200</v>
      </c>
      <c r="J1361" s="12">
        <f>IF(A1361&lt;[3]关卡对接!$A$4,INDEX([3]关卡对接!$C$7:$C$141,A1361),MATCH(E1361,人物经验!$H$24:$H$573,1))</f>
        <v>463</v>
      </c>
      <c r="K1361" s="12">
        <f>IF([3]关卡对接!F1349="",INT(INDEX(人物经验!$J$24:$J$573,关卡!J1361)*关卡!$S$7),[3]关卡对接!F1349)</f>
        <v>29557</v>
      </c>
      <c r="L1361" s="12">
        <f t="shared" si="191"/>
        <v>2.2000000000000002</v>
      </c>
      <c r="M1361" s="12">
        <f>L1361/[4]货币基础!$B$4</f>
        <v>220</v>
      </c>
      <c r="N1361" s="12">
        <f>IF(A1361&lt;[3]关卡对接!$A$4,INDEX([3]关卡对接!$E$7:$E$141,A1361),MATCH(E1361,人物经验!$H$24:$H$573,1))</f>
        <v>463</v>
      </c>
      <c r="O1361" s="12">
        <f>INDEX([2]关卡!$G$6:$G$2005,A1361)</f>
        <v>3</v>
      </c>
      <c r="P1361" s="13">
        <v>6</v>
      </c>
      <c r="Q1361" s="12">
        <f>INT(P1361/$S$15/O1361*VLOOKUP(J1361,[1]人物技能基础!$N$3:$O$553,2,0)*$U$15)</f>
        <v>9</v>
      </c>
      <c r="R1361" s="12">
        <f t="shared" si="192"/>
        <v>112</v>
      </c>
    </row>
    <row r="1362" spans="1:18" x14ac:dyDescent="0.15">
      <c r="A1362" s="12">
        <v>1344</v>
      </c>
      <c r="B1362" s="12">
        <f t="shared" si="189"/>
        <v>7</v>
      </c>
      <c r="C1362" s="12">
        <f t="shared" si="190"/>
        <v>6.9984000000000002</v>
      </c>
      <c r="D1362" s="12">
        <f t="shared" si="193"/>
        <v>5.2175000000000971E-2</v>
      </c>
      <c r="E1362" s="12">
        <f>SUM($D$19:D1362)</f>
        <v>29.198399999999964</v>
      </c>
      <c r="F1362" s="12">
        <f t="shared" si="187"/>
        <v>330.92344991334403</v>
      </c>
      <c r="G1362" s="12">
        <f t="shared" si="188"/>
        <v>204.83043756032001</v>
      </c>
      <c r="H1362" s="12">
        <f t="shared" si="194"/>
        <v>1191300</v>
      </c>
      <c r="I1362" s="12">
        <f t="shared" si="195"/>
        <v>737300</v>
      </c>
      <c r="J1362" s="12">
        <f>IF(A1362&lt;[3]关卡对接!$A$4,INDEX([3]关卡对接!$C$7:$C$141,A1362),MATCH(E1362,人物经验!$H$24:$H$573,1))</f>
        <v>463</v>
      </c>
      <c r="K1362" s="12">
        <f>IF([3]关卡对接!F1350="",INT(INDEX(人物经验!$J$24:$J$573,关卡!J1362)*关卡!$S$7),[3]关卡对接!F1350)</f>
        <v>29557</v>
      </c>
      <c r="L1362" s="12">
        <f t="shared" si="191"/>
        <v>2.2000000000000002</v>
      </c>
      <c r="M1362" s="12">
        <f>L1362/[4]货币基础!$B$4</f>
        <v>220</v>
      </c>
      <c r="N1362" s="12">
        <f>IF(A1362&lt;[3]关卡对接!$A$4,INDEX([3]关卡对接!$E$7:$E$141,A1362),MATCH(E1362,人物经验!$H$24:$H$573,1))</f>
        <v>463</v>
      </c>
      <c r="O1362" s="12">
        <f>INDEX([2]关卡!$G$6:$G$2005,A1362)</f>
        <v>3</v>
      </c>
      <c r="P1362" s="13">
        <v>6</v>
      </c>
      <c r="Q1362" s="12">
        <f>INT(P1362/$S$15/O1362*VLOOKUP(J1362,[1]人物技能基础!$N$3:$O$553,2,0)*$U$15)</f>
        <v>9</v>
      </c>
      <c r="R1362" s="12">
        <f t="shared" si="192"/>
        <v>112</v>
      </c>
    </row>
    <row r="1363" spans="1:18" x14ac:dyDescent="0.15">
      <c r="A1363" s="12">
        <v>1345</v>
      </c>
      <c r="B1363" s="12">
        <f t="shared" si="189"/>
        <v>7</v>
      </c>
      <c r="C1363" s="12">
        <f t="shared" si="190"/>
        <v>7.0506249999999993</v>
      </c>
      <c r="D1363" s="12">
        <f t="shared" si="193"/>
        <v>5.2224999999999078E-2</v>
      </c>
      <c r="E1363" s="12">
        <f>SUM($D$19:D1363)</f>
        <v>29.250624999999964</v>
      </c>
      <c r="F1363" s="12">
        <f t="shared" ref="F1363:F1426" si="196">$L$7*($M$7+$N$7*($A1363/$B$3)^1+$O$7*($A1363/$B$3)^2+$P$7*($A1363/$B$3)^3+$Q$7*($A1363/$B$3)^4)</f>
        <v>331.55369898746096</v>
      </c>
      <c r="G1363" s="12">
        <f t="shared" ref="G1363:G1426" si="197">$L$11*($M$11+$N$11*($A1363/$B$3)^1+$O$11*($A1363/$B$3)^2+$P$11*($A1363/$B$3)^3+$Q$11*($A1363/$B$3)^4)</f>
        <v>205.14067970683593</v>
      </c>
      <c r="H1363" s="12">
        <f t="shared" si="194"/>
        <v>1193500</v>
      </c>
      <c r="I1363" s="12">
        <f t="shared" si="195"/>
        <v>738500</v>
      </c>
      <c r="J1363" s="12">
        <f>IF(A1363&lt;[3]关卡对接!$A$4,INDEX([3]关卡对接!$C$7:$C$141,A1363),MATCH(E1363,人物经验!$H$24:$H$573,1))</f>
        <v>463</v>
      </c>
      <c r="K1363" s="12">
        <f>IF([3]关卡对接!F1351="",INT(INDEX(人物经验!$J$24:$J$573,关卡!J1363)*关卡!$S$7),[3]关卡对接!F1351)</f>
        <v>29557</v>
      </c>
      <c r="L1363" s="12">
        <f t="shared" si="191"/>
        <v>2.2000000000000002</v>
      </c>
      <c r="M1363" s="12">
        <f>L1363/[4]货币基础!$B$4</f>
        <v>220</v>
      </c>
      <c r="N1363" s="12">
        <f>IF(A1363&lt;[3]关卡对接!$A$4,INDEX([3]关卡对接!$E$7:$E$141,A1363),MATCH(E1363,人物经验!$H$24:$H$573,1))</f>
        <v>463</v>
      </c>
      <c r="O1363" s="12">
        <f>INDEX([2]关卡!$G$6:$G$2005,A1363)</f>
        <v>3</v>
      </c>
      <c r="P1363" s="13">
        <v>6</v>
      </c>
      <c r="Q1363" s="12">
        <f>INT(P1363/$S$15/O1363*VLOOKUP(J1363,[1]人物技能基础!$N$3:$O$553,2,0)*$U$15)</f>
        <v>9</v>
      </c>
      <c r="R1363" s="12">
        <f t="shared" si="192"/>
        <v>112</v>
      </c>
    </row>
    <row r="1364" spans="1:18" x14ac:dyDescent="0.15">
      <c r="A1364" s="12">
        <v>1346</v>
      </c>
      <c r="B1364" s="12">
        <f t="shared" ref="B1364:B1427" si="198">MATCH($A1364,$A$5:$A$15,1)-1</f>
        <v>7</v>
      </c>
      <c r="C1364" s="12">
        <f t="shared" ref="C1364:C1427" si="199">INDEX($C$5:$C$15,$B1364+1)*(INDEX($E$5:$E$15,$B1364+1)+INDEX($F$5:$F$15,$B1364+1)*(($A1364-INDEX($A$5:$A$15,$B1364+1)+1)/(INDEX($B$5:$B$15,$B1364+1)-INDEX($A$5:$A$15,$B1364+1)+1))^1+INDEX($G$5:$G$15,$B1364+1)*(($A1364-INDEX($A$5:$A$15,$B1364+1)+1)/(INDEX($B$5:$B$15,$B1364+1)-INDEX($A$5:$A$15,$B1364+1)+1))^2+INDEX($H$5:$H$15,$B1364+1)*(($A1364-INDEX($A$5:$A$15,$B1364+1)+1)/(INDEX($B$5:$B$15,$B1364+1)-INDEX($A$5:$A$15,$B1364+1)+1))^3+INDEX($I$5:$I$15,$B1364+1)*(($A1364-INDEX($A$5:$A$15,$B1364+1)+1)/(INDEX($B$5:$B$15,$B1364+1)-INDEX($A$5:$A$15,$B1364+1)+1))^4)</f>
        <v>7.1029</v>
      </c>
      <c r="D1364" s="12">
        <f t="shared" si="193"/>
        <v>5.2275000000000738E-2</v>
      </c>
      <c r="E1364" s="12">
        <f>SUM($D$19:D1364)</f>
        <v>29.302899999999966</v>
      </c>
      <c r="F1364" s="12">
        <f t="shared" si="196"/>
        <v>332.18489203735908</v>
      </c>
      <c r="G1364" s="12">
        <f t="shared" si="197"/>
        <v>205.45127705889507</v>
      </c>
      <c r="H1364" s="12">
        <f t="shared" si="194"/>
        <v>1195800</v>
      </c>
      <c r="I1364" s="12">
        <f t="shared" si="195"/>
        <v>739600</v>
      </c>
      <c r="J1364" s="12">
        <f>IF(A1364&lt;[3]关卡对接!$A$4,INDEX([3]关卡对接!$C$7:$C$141,A1364),MATCH(E1364,人物经验!$H$24:$H$573,1))</f>
        <v>464</v>
      </c>
      <c r="K1364" s="12">
        <f>IF([3]关卡对接!F1352="",INT(INDEX(人物经验!$J$24:$J$573,关卡!J1364)*关卡!$S$7),[3]关卡对接!F1352)</f>
        <v>29839</v>
      </c>
      <c r="L1364" s="12">
        <f t="shared" ref="L1364:L1427" si="200">VLOOKUP(A1364,$A$5:$J$15,10,1)</f>
        <v>2.2000000000000002</v>
      </c>
      <c r="M1364" s="12">
        <f>L1364/[4]货币基础!$B$4</f>
        <v>220</v>
      </c>
      <c r="N1364" s="12">
        <f>IF(A1364&lt;[3]关卡对接!$A$4,INDEX([3]关卡对接!$E$7:$E$141,A1364),MATCH(E1364,人物经验!$H$24:$H$573,1))</f>
        <v>464</v>
      </c>
      <c r="O1364" s="12">
        <f>INDEX([2]关卡!$G$6:$G$2005,A1364)</f>
        <v>3</v>
      </c>
      <c r="P1364" s="13">
        <v>6</v>
      </c>
      <c r="Q1364" s="12">
        <f>INT(P1364/$S$15/O1364*VLOOKUP(J1364,[1]人物技能基础!$N$3:$O$553,2,0)*$U$15)</f>
        <v>9</v>
      </c>
      <c r="R1364" s="12">
        <f t="shared" ref="R1364:R1427" si="201">INT(Q1364*12.5)</f>
        <v>112</v>
      </c>
    </row>
    <row r="1365" spans="1:18" x14ac:dyDescent="0.15">
      <c r="A1365" s="12">
        <v>1347</v>
      </c>
      <c r="B1365" s="12">
        <f t="shared" si="198"/>
        <v>7</v>
      </c>
      <c r="C1365" s="12">
        <f t="shared" si="199"/>
        <v>7.1552249999999997</v>
      </c>
      <c r="D1365" s="12">
        <f t="shared" si="193"/>
        <v>5.2324999999999733E-2</v>
      </c>
      <c r="E1365" s="12">
        <f>SUM($D$19:D1365)</f>
        <v>29.355224999999965</v>
      </c>
      <c r="F1365" s="12">
        <f t="shared" si="196"/>
        <v>332.81703009332</v>
      </c>
      <c r="G1365" s="12">
        <f t="shared" si="197"/>
        <v>205.76222992073096</v>
      </c>
      <c r="H1365" s="12">
        <f t="shared" si="194"/>
        <v>1198100</v>
      </c>
      <c r="I1365" s="12">
        <f t="shared" si="195"/>
        <v>740700</v>
      </c>
      <c r="J1365" s="12">
        <f>IF(A1365&lt;[3]关卡对接!$A$4,INDEX([3]关卡对接!$C$7:$C$141,A1365),MATCH(E1365,人物经验!$H$24:$H$573,1))</f>
        <v>464</v>
      </c>
      <c r="K1365" s="12">
        <f>IF([3]关卡对接!F1353="",INT(INDEX(人物经验!$J$24:$J$573,关卡!J1365)*关卡!$S$7),[3]关卡对接!F1353)</f>
        <v>29839</v>
      </c>
      <c r="L1365" s="12">
        <f t="shared" si="200"/>
        <v>2.2000000000000002</v>
      </c>
      <c r="M1365" s="12">
        <f>L1365/[4]货币基础!$B$4</f>
        <v>220</v>
      </c>
      <c r="N1365" s="12">
        <f>IF(A1365&lt;[3]关卡对接!$A$4,INDEX([3]关卡对接!$E$7:$E$141,A1365),MATCH(E1365,人物经验!$H$24:$H$573,1))</f>
        <v>464</v>
      </c>
      <c r="O1365" s="12">
        <f>INDEX([2]关卡!$G$6:$G$2005,A1365)</f>
        <v>3</v>
      </c>
      <c r="P1365" s="13">
        <v>6</v>
      </c>
      <c r="Q1365" s="12">
        <f>INT(P1365/$S$15/O1365*VLOOKUP(J1365,[1]人物技能基础!$N$3:$O$553,2,0)*$U$15)</f>
        <v>9</v>
      </c>
      <c r="R1365" s="12">
        <f t="shared" si="201"/>
        <v>112</v>
      </c>
    </row>
    <row r="1366" spans="1:18" x14ac:dyDescent="0.15">
      <c r="A1366" s="12">
        <v>1348</v>
      </c>
      <c r="B1366" s="12">
        <f t="shared" si="198"/>
        <v>7</v>
      </c>
      <c r="C1366" s="12">
        <f t="shared" si="199"/>
        <v>7.2076000000000011</v>
      </c>
      <c r="D1366" s="12">
        <f t="shared" si="193"/>
        <v>5.2375000000001393E-2</v>
      </c>
      <c r="E1366" s="12">
        <f>SUM($D$19:D1366)</f>
        <v>29.407599999999967</v>
      </c>
      <c r="F1366" s="12">
        <f t="shared" si="196"/>
        <v>333.45011418622403</v>
      </c>
      <c r="G1366" s="12">
        <f t="shared" si="197"/>
        <v>206.07353859672</v>
      </c>
      <c r="H1366" s="12">
        <f t="shared" si="194"/>
        <v>1200400</v>
      </c>
      <c r="I1366" s="12">
        <f t="shared" si="195"/>
        <v>741800</v>
      </c>
      <c r="J1366" s="12">
        <f>IF(A1366&lt;[3]关卡对接!$A$4,INDEX([3]关卡对接!$C$7:$C$141,A1366),MATCH(E1366,人物经验!$H$24:$H$573,1))</f>
        <v>464</v>
      </c>
      <c r="K1366" s="12">
        <f>IF([3]关卡对接!F1354="",INT(INDEX(人物经验!$J$24:$J$573,关卡!J1366)*关卡!$S$7),[3]关卡对接!F1354)</f>
        <v>29839</v>
      </c>
      <c r="L1366" s="12">
        <f t="shared" si="200"/>
        <v>2.2000000000000002</v>
      </c>
      <c r="M1366" s="12">
        <f>L1366/[4]货币基础!$B$4</f>
        <v>220</v>
      </c>
      <c r="N1366" s="12">
        <f>IF(A1366&lt;[3]关卡对接!$A$4,INDEX([3]关卡对接!$E$7:$E$141,A1366),MATCH(E1366,人物经验!$H$24:$H$573,1))</f>
        <v>464</v>
      </c>
      <c r="O1366" s="12">
        <f>INDEX([2]关卡!$G$6:$G$2005,A1366)</f>
        <v>3</v>
      </c>
      <c r="P1366" s="13">
        <v>6</v>
      </c>
      <c r="Q1366" s="12">
        <f>INT(P1366/$S$15/O1366*VLOOKUP(J1366,[1]人物技能基础!$N$3:$O$553,2,0)*$U$15)</f>
        <v>9</v>
      </c>
      <c r="R1366" s="12">
        <f t="shared" si="201"/>
        <v>112</v>
      </c>
    </row>
    <row r="1367" spans="1:18" x14ac:dyDescent="0.15">
      <c r="A1367" s="12">
        <v>1349</v>
      </c>
      <c r="B1367" s="12">
        <f t="shared" si="198"/>
        <v>7</v>
      </c>
      <c r="C1367" s="12">
        <f t="shared" si="199"/>
        <v>7.2600249999999997</v>
      </c>
      <c r="D1367" s="12">
        <f t="shared" si="193"/>
        <v>5.2424999999998612E-2</v>
      </c>
      <c r="E1367" s="12">
        <f>SUM($D$19:D1367)</f>
        <v>29.460024999999966</v>
      </c>
      <c r="F1367" s="12">
        <f t="shared" si="196"/>
        <v>334.08414534754991</v>
      </c>
      <c r="G1367" s="12">
        <f t="shared" si="197"/>
        <v>206.38520339138091</v>
      </c>
      <c r="H1367" s="12">
        <f t="shared" si="194"/>
        <v>1202700</v>
      </c>
      <c r="I1367" s="12">
        <f t="shared" si="195"/>
        <v>742900</v>
      </c>
      <c r="J1367" s="12">
        <f>IF(A1367&lt;[3]关卡对接!$A$4,INDEX([3]关卡对接!$C$7:$C$141,A1367),MATCH(E1367,人物经验!$H$24:$H$573,1))</f>
        <v>464</v>
      </c>
      <c r="K1367" s="12">
        <f>IF([3]关卡对接!F1355="",INT(INDEX(人物经验!$J$24:$J$573,关卡!J1367)*关卡!$S$7),[3]关卡对接!F1355)</f>
        <v>29839</v>
      </c>
      <c r="L1367" s="12">
        <f t="shared" si="200"/>
        <v>2.2000000000000002</v>
      </c>
      <c r="M1367" s="12">
        <f>L1367/[4]货币基础!$B$4</f>
        <v>220</v>
      </c>
      <c r="N1367" s="12">
        <f>IF(A1367&lt;[3]关卡对接!$A$4,INDEX([3]关卡对接!$E$7:$E$141,A1367),MATCH(E1367,人物经验!$H$24:$H$573,1))</f>
        <v>464</v>
      </c>
      <c r="O1367" s="12">
        <f>INDEX([2]关卡!$G$6:$G$2005,A1367)</f>
        <v>3</v>
      </c>
      <c r="P1367" s="13">
        <v>6</v>
      </c>
      <c r="Q1367" s="12">
        <f>INT(P1367/$S$15/O1367*VLOOKUP(J1367,[1]人物技能基础!$N$3:$O$553,2,0)*$U$15)</f>
        <v>9</v>
      </c>
      <c r="R1367" s="12">
        <f t="shared" si="201"/>
        <v>112</v>
      </c>
    </row>
    <row r="1368" spans="1:18" x14ac:dyDescent="0.15">
      <c r="A1368" s="12">
        <v>1350</v>
      </c>
      <c r="B1368" s="12">
        <f t="shared" si="198"/>
        <v>7</v>
      </c>
      <c r="C1368" s="12">
        <f t="shared" si="199"/>
        <v>7.3125000000000009</v>
      </c>
      <c r="D1368" s="12">
        <f t="shared" si="193"/>
        <v>5.247500000000116E-2</v>
      </c>
      <c r="E1368" s="12">
        <f>SUM($D$19:D1368)</f>
        <v>29.512499999999967</v>
      </c>
      <c r="F1368" s="12">
        <f t="shared" si="196"/>
        <v>334.71912460937506</v>
      </c>
      <c r="G1368" s="12">
        <f t="shared" si="197"/>
        <v>206.69722460937504</v>
      </c>
      <c r="H1368" s="12">
        <f t="shared" si="194"/>
        <v>1204900</v>
      </c>
      <c r="I1368" s="12">
        <f t="shared" si="195"/>
        <v>744100</v>
      </c>
      <c r="J1368" s="12">
        <f>IF(A1368&lt;[3]关卡对接!$A$4,INDEX([3]关卡对接!$C$7:$C$141,A1368),MATCH(E1368,人物经验!$H$24:$H$573,1))</f>
        <v>464</v>
      </c>
      <c r="K1368" s="12">
        <f>IF([3]关卡对接!F1356="",INT(INDEX(人物经验!$J$24:$J$573,关卡!J1368)*关卡!$S$7),[3]关卡对接!F1356)</f>
        <v>29839</v>
      </c>
      <c r="L1368" s="12">
        <f t="shared" si="200"/>
        <v>2.2000000000000002</v>
      </c>
      <c r="M1368" s="12">
        <f>L1368/[4]货币基础!$B$4</f>
        <v>220</v>
      </c>
      <c r="N1368" s="12">
        <f>IF(A1368&lt;[3]关卡对接!$A$4,INDEX([3]关卡对接!$E$7:$E$141,A1368),MATCH(E1368,人物经验!$H$24:$H$573,1))</f>
        <v>464</v>
      </c>
      <c r="O1368" s="12">
        <f>INDEX([2]关卡!$G$6:$G$2005,A1368)</f>
        <v>3</v>
      </c>
      <c r="P1368" s="13">
        <v>6</v>
      </c>
      <c r="Q1368" s="12">
        <f>INT(P1368/$S$15/O1368*VLOOKUP(J1368,[1]人物技能基础!$N$3:$O$553,2,0)*$U$15)</f>
        <v>9</v>
      </c>
      <c r="R1368" s="12">
        <f t="shared" si="201"/>
        <v>112</v>
      </c>
    </row>
    <row r="1369" spans="1:18" x14ac:dyDescent="0.15">
      <c r="A1369" s="12">
        <v>1351</v>
      </c>
      <c r="B1369" s="12">
        <f t="shared" si="198"/>
        <v>7</v>
      </c>
      <c r="C1369" s="12">
        <f t="shared" si="199"/>
        <v>7.3650249999999993</v>
      </c>
      <c r="D1369" s="12">
        <f t="shared" si="193"/>
        <v>5.2524999999998379E-2</v>
      </c>
      <c r="E1369" s="12">
        <f>SUM($D$19:D1369)</f>
        <v>29.565024999999967</v>
      </c>
      <c r="F1369" s="12">
        <f t="shared" si="196"/>
        <v>335.35505300437489</v>
      </c>
      <c r="G1369" s="12">
        <f t="shared" si="197"/>
        <v>207.00960255550586</v>
      </c>
      <c r="H1369" s="12">
        <f t="shared" si="194"/>
        <v>1207200</v>
      </c>
      <c r="I1369" s="12">
        <f t="shared" si="195"/>
        <v>745200</v>
      </c>
      <c r="J1369" s="12">
        <f>IF(A1369&lt;[3]关卡对接!$A$4,INDEX([3]关卡对接!$C$7:$C$141,A1369),MATCH(E1369,人物经验!$H$24:$H$573,1))</f>
        <v>465</v>
      </c>
      <c r="K1369" s="12">
        <f>IF([3]关卡对接!F1357="",INT(INDEX(人物经验!$J$24:$J$573,关卡!J1369)*关卡!$S$7),[3]关卡对接!F1357)</f>
        <v>30124</v>
      </c>
      <c r="L1369" s="12">
        <f t="shared" si="200"/>
        <v>2.2000000000000002</v>
      </c>
      <c r="M1369" s="12">
        <f>L1369/[4]货币基础!$B$4</f>
        <v>220</v>
      </c>
      <c r="N1369" s="12">
        <f>IF(A1369&lt;[3]关卡对接!$A$4,INDEX([3]关卡对接!$E$7:$E$141,A1369),MATCH(E1369,人物经验!$H$24:$H$573,1))</f>
        <v>465</v>
      </c>
      <c r="O1369" s="12">
        <f>INDEX([2]关卡!$G$6:$G$2005,A1369)</f>
        <v>3</v>
      </c>
      <c r="P1369" s="13">
        <v>6</v>
      </c>
      <c r="Q1369" s="12">
        <f>INT(P1369/$S$15/O1369*VLOOKUP(J1369,[1]人物技能基础!$N$3:$O$553,2,0)*$U$15)</f>
        <v>9</v>
      </c>
      <c r="R1369" s="12">
        <f t="shared" si="201"/>
        <v>112</v>
      </c>
    </row>
    <row r="1370" spans="1:18" x14ac:dyDescent="0.15">
      <c r="A1370" s="12">
        <v>1352</v>
      </c>
      <c r="B1370" s="12">
        <f t="shared" si="198"/>
        <v>7</v>
      </c>
      <c r="C1370" s="12">
        <f t="shared" si="199"/>
        <v>7.4176000000000011</v>
      </c>
      <c r="D1370" s="12">
        <f t="shared" si="193"/>
        <v>5.2575000000001815E-2</v>
      </c>
      <c r="E1370" s="12">
        <f>SUM($D$19:D1370)</f>
        <v>29.617599999999968</v>
      </c>
      <c r="F1370" s="12">
        <f t="shared" si="196"/>
        <v>335.99193156582402</v>
      </c>
      <c r="G1370" s="12">
        <f t="shared" si="197"/>
        <v>207.32233753472002</v>
      </c>
      <c r="H1370" s="12">
        <f t="shared" si="194"/>
        <v>1209500</v>
      </c>
      <c r="I1370" s="12">
        <f t="shared" si="195"/>
        <v>746300</v>
      </c>
      <c r="J1370" s="12">
        <f>IF(A1370&lt;[3]关卡对接!$A$4,INDEX([3]关卡对接!$C$7:$C$141,A1370),MATCH(E1370,人物经验!$H$24:$H$573,1))</f>
        <v>465</v>
      </c>
      <c r="K1370" s="12">
        <f>IF([3]关卡对接!F1358="",INT(INDEX(人物经验!$J$24:$J$573,关卡!J1370)*关卡!$S$7),[3]关卡对接!F1358)</f>
        <v>30124</v>
      </c>
      <c r="L1370" s="12">
        <f t="shared" si="200"/>
        <v>2.2000000000000002</v>
      </c>
      <c r="M1370" s="12">
        <f>L1370/[4]货币基础!$B$4</f>
        <v>220</v>
      </c>
      <c r="N1370" s="12">
        <f>IF(A1370&lt;[3]关卡对接!$A$4,INDEX([3]关卡对接!$E$7:$E$141,A1370),MATCH(E1370,人物经验!$H$24:$H$573,1))</f>
        <v>465</v>
      </c>
      <c r="O1370" s="12">
        <f>INDEX([2]关卡!$G$6:$G$2005,A1370)</f>
        <v>3</v>
      </c>
      <c r="P1370" s="13">
        <v>6</v>
      </c>
      <c r="Q1370" s="12">
        <f>INT(P1370/$S$15/O1370*VLOOKUP(J1370,[1]人物技能基础!$N$3:$O$553,2,0)*$U$15)</f>
        <v>9</v>
      </c>
      <c r="R1370" s="12">
        <f t="shared" si="201"/>
        <v>112</v>
      </c>
    </row>
    <row r="1371" spans="1:18" x14ac:dyDescent="0.15">
      <c r="A1371" s="12">
        <v>1353</v>
      </c>
      <c r="B1371" s="12">
        <f t="shared" si="198"/>
        <v>7</v>
      </c>
      <c r="C1371" s="12">
        <f t="shared" si="199"/>
        <v>7.4702250000000001</v>
      </c>
      <c r="D1371" s="12">
        <f t="shared" si="193"/>
        <v>5.2624999999999034E-2</v>
      </c>
      <c r="E1371" s="12">
        <f>SUM($D$19:D1371)</f>
        <v>29.670224999999967</v>
      </c>
      <c r="F1371" s="12">
        <f t="shared" si="196"/>
        <v>336.62976132759491</v>
      </c>
      <c r="G1371" s="12">
        <f t="shared" si="197"/>
        <v>207.63542985210591</v>
      </c>
      <c r="H1371" s="12">
        <f t="shared" si="194"/>
        <v>1211800</v>
      </c>
      <c r="I1371" s="12">
        <f t="shared" si="195"/>
        <v>747400</v>
      </c>
      <c r="J1371" s="12">
        <f>IF(A1371&lt;[3]关卡对接!$A$4,INDEX([3]关卡对接!$C$7:$C$141,A1371),MATCH(E1371,人物经验!$H$24:$H$573,1))</f>
        <v>465</v>
      </c>
      <c r="K1371" s="12">
        <f>IF([3]关卡对接!F1359="",INT(INDEX(人物经验!$J$24:$J$573,关卡!J1371)*关卡!$S$7),[3]关卡对接!F1359)</f>
        <v>30124</v>
      </c>
      <c r="L1371" s="12">
        <f t="shared" si="200"/>
        <v>2.2000000000000002</v>
      </c>
      <c r="M1371" s="12">
        <f>L1371/[4]货币基础!$B$4</f>
        <v>220</v>
      </c>
      <c r="N1371" s="12">
        <f>IF(A1371&lt;[3]关卡对接!$A$4,INDEX([3]关卡对接!$E$7:$E$141,A1371),MATCH(E1371,人物经验!$H$24:$H$573,1))</f>
        <v>465</v>
      </c>
      <c r="O1371" s="12">
        <f>INDEX([2]关卡!$G$6:$G$2005,A1371)</f>
        <v>3</v>
      </c>
      <c r="P1371" s="13">
        <v>6</v>
      </c>
      <c r="Q1371" s="12">
        <f>INT(P1371/$S$15/O1371*VLOOKUP(J1371,[1]人物技能基础!$N$3:$O$553,2,0)*$U$15)</f>
        <v>9</v>
      </c>
      <c r="R1371" s="12">
        <f t="shared" si="201"/>
        <v>112</v>
      </c>
    </row>
    <row r="1372" spans="1:18" x14ac:dyDescent="0.15">
      <c r="A1372" s="12">
        <v>1354</v>
      </c>
      <c r="B1372" s="12">
        <f t="shared" si="198"/>
        <v>7</v>
      </c>
      <c r="C1372" s="12">
        <f t="shared" si="199"/>
        <v>7.5228999999999999</v>
      </c>
      <c r="D1372" s="12">
        <f t="shared" si="193"/>
        <v>5.2674999999999805E-2</v>
      </c>
      <c r="E1372" s="12">
        <f>SUM($D$19:D1372)</f>
        <v>29.722899999999967</v>
      </c>
      <c r="F1372" s="12">
        <f t="shared" si="196"/>
        <v>337.26854332415905</v>
      </c>
      <c r="G1372" s="12">
        <f t="shared" si="197"/>
        <v>207.94887981289503</v>
      </c>
      <c r="H1372" s="12">
        <f t="shared" si="194"/>
        <v>1214100</v>
      </c>
      <c r="I1372" s="12">
        <f t="shared" si="195"/>
        <v>748600</v>
      </c>
      <c r="J1372" s="12">
        <f>IF(A1372&lt;[3]关卡对接!$A$4,INDEX([3]关卡对接!$C$7:$C$141,A1372),MATCH(E1372,人物经验!$H$24:$H$573,1))</f>
        <v>465</v>
      </c>
      <c r="K1372" s="12">
        <f>IF([3]关卡对接!F1360="",INT(INDEX(人物经验!$J$24:$J$573,关卡!J1372)*关卡!$S$7),[3]关卡对接!F1360)</f>
        <v>30124</v>
      </c>
      <c r="L1372" s="12">
        <f t="shared" si="200"/>
        <v>2.2000000000000002</v>
      </c>
      <c r="M1372" s="12">
        <f>L1372/[4]货币基础!$B$4</f>
        <v>220</v>
      </c>
      <c r="N1372" s="12">
        <f>IF(A1372&lt;[3]关卡对接!$A$4,INDEX([3]关卡对接!$E$7:$E$141,A1372),MATCH(E1372,人物经验!$H$24:$H$573,1))</f>
        <v>465</v>
      </c>
      <c r="O1372" s="12">
        <f>INDEX([2]关卡!$G$6:$G$2005,A1372)</f>
        <v>3</v>
      </c>
      <c r="P1372" s="13">
        <v>6</v>
      </c>
      <c r="Q1372" s="12">
        <f>INT(P1372/$S$15/O1372*VLOOKUP(J1372,[1]人物技能基础!$N$3:$O$553,2,0)*$U$15)</f>
        <v>9</v>
      </c>
      <c r="R1372" s="12">
        <f t="shared" si="201"/>
        <v>112</v>
      </c>
    </row>
    <row r="1373" spans="1:18" x14ac:dyDescent="0.15">
      <c r="A1373" s="12">
        <v>1355</v>
      </c>
      <c r="B1373" s="12">
        <f t="shared" si="198"/>
        <v>7</v>
      </c>
      <c r="C1373" s="12">
        <f t="shared" si="199"/>
        <v>7.5756250000000005</v>
      </c>
      <c r="D1373" s="12">
        <f t="shared" si="193"/>
        <v>5.2725000000000577E-2</v>
      </c>
      <c r="E1373" s="12">
        <f>SUM($D$19:D1373)</f>
        <v>29.77562499999997</v>
      </c>
      <c r="F1373" s="12">
        <f t="shared" si="196"/>
        <v>337.90827859058589</v>
      </c>
      <c r="G1373" s="12">
        <f t="shared" si="197"/>
        <v>208.26268772246095</v>
      </c>
      <c r="H1373" s="12">
        <f t="shared" si="194"/>
        <v>1216400</v>
      </c>
      <c r="I1373" s="12">
        <f t="shared" si="195"/>
        <v>749700</v>
      </c>
      <c r="J1373" s="12">
        <f>IF(A1373&lt;[3]关卡对接!$A$4,INDEX([3]关卡对接!$C$7:$C$141,A1373),MATCH(E1373,人物经验!$H$24:$H$573,1))</f>
        <v>465</v>
      </c>
      <c r="K1373" s="12">
        <f>IF([3]关卡对接!F1361="",INT(INDEX(人物经验!$J$24:$J$573,关卡!J1373)*关卡!$S$7),[3]关卡对接!F1361)</f>
        <v>30124</v>
      </c>
      <c r="L1373" s="12">
        <f t="shared" si="200"/>
        <v>2.2000000000000002</v>
      </c>
      <c r="M1373" s="12">
        <f>L1373/[4]货币基础!$B$4</f>
        <v>220</v>
      </c>
      <c r="N1373" s="12">
        <f>IF(A1373&lt;[3]关卡对接!$A$4,INDEX([3]关卡对接!$E$7:$E$141,A1373),MATCH(E1373,人物经验!$H$24:$H$573,1))</f>
        <v>465</v>
      </c>
      <c r="O1373" s="12">
        <f>INDEX([2]关卡!$G$6:$G$2005,A1373)</f>
        <v>3</v>
      </c>
      <c r="P1373" s="13">
        <v>6</v>
      </c>
      <c r="Q1373" s="12">
        <f>INT(P1373/$S$15/O1373*VLOOKUP(J1373,[1]人物技能基础!$N$3:$O$553,2,0)*$U$15)</f>
        <v>9</v>
      </c>
      <c r="R1373" s="12">
        <f t="shared" si="201"/>
        <v>112</v>
      </c>
    </row>
    <row r="1374" spans="1:18" x14ac:dyDescent="0.15">
      <c r="A1374" s="12">
        <v>1356</v>
      </c>
      <c r="B1374" s="12">
        <f t="shared" si="198"/>
        <v>7</v>
      </c>
      <c r="C1374" s="12">
        <f t="shared" si="199"/>
        <v>7.628400000000001</v>
      </c>
      <c r="D1374" s="12">
        <f t="shared" si="193"/>
        <v>5.277500000000046E-2</v>
      </c>
      <c r="E1374" s="12">
        <f>SUM($D$19:D1374)</f>
        <v>29.82839999999997</v>
      </c>
      <c r="F1374" s="12">
        <f t="shared" si="196"/>
        <v>338.5489681625441</v>
      </c>
      <c r="G1374" s="12">
        <f t="shared" si="197"/>
        <v>208.57685388632004</v>
      </c>
      <c r="H1374" s="12">
        <f t="shared" si="194"/>
        <v>1218700</v>
      </c>
      <c r="I1374" s="12">
        <f t="shared" si="195"/>
        <v>750800</v>
      </c>
      <c r="J1374" s="12">
        <f>IF(A1374&lt;[3]关卡对接!$A$4,INDEX([3]关卡对接!$C$7:$C$141,A1374),MATCH(E1374,人物经验!$H$24:$H$573,1))</f>
        <v>465</v>
      </c>
      <c r="K1374" s="12">
        <f>IF([3]关卡对接!F1362="",INT(INDEX(人物经验!$J$24:$J$573,关卡!J1374)*关卡!$S$7),[3]关卡对接!F1362)</f>
        <v>30124</v>
      </c>
      <c r="L1374" s="12">
        <f t="shared" si="200"/>
        <v>2.2000000000000002</v>
      </c>
      <c r="M1374" s="12">
        <f>L1374/[4]货币基础!$B$4</f>
        <v>220</v>
      </c>
      <c r="N1374" s="12">
        <f>IF(A1374&lt;[3]关卡对接!$A$4,INDEX([3]关卡对接!$E$7:$E$141,A1374),MATCH(E1374,人物经验!$H$24:$H$573,1))</f>
        <v>465</v>
      </c>
      <c r="O1374" s="12">
        <f>INDEX([2]关卡!$G$6:$G$2005,A1374)</f>
        <v>3</v>
      </c>
      <c r="P1374" s="13">
        <v>6</v>
      </c>
      <c r="Q1374" s="12">
        <f>INT(P1374/$S$15/O1374*VLOOKUP(J1374,[1]人物技能基础!$N$3:$O$553,2,0)*$U$15)</f>
        <v>9</v>
      </c>
      <c r="R1374" s="12">
        <f t="shared" si="201"/>
        <v>112</v>
      </c>
    </row>
    <row r="1375" spans="1:18" x14ac:dyDescent="0.15">
      <c r="A1375" s="12">
        <v>1357</v>
      </c>
      <c r="B1375" s="12">
        <f t="shared" si="198"/>
        <v>7</v>
      </c>
      <c r="C1375" s="12">
        <f t="shared" si="199"/>
        <v>7.6812250000000004</v>
      </c>
      <c r="D1375" s="12">
        <f t="shared" si="193"/>
        <v>5.2824999999999456E-2</v>
      </c>
      <c r="E1375" s="12">
        <f>SUM($D$19:D1375)</f>
        <v>29.881224999999969</v>
      </c>
      <c r="F1375" s="12">
        <f t="shared" si="196"/>
        <v>339.19061307629988</v>
      </c>
      <c r="G1375" s="12">
        <f t="shared" si="197"/>
        <v>208.89137861013091</v>
      </c>
      <c r="H1375" s="12">
        <f t="shared" si="194"/>
        <v>1221000</v>
      </c>
      <c r="I1375" s="12">
        <f t="shared" si="195"/>
        <v>752000</v>
      </c>
      <c r="J1375" s="12">
        <f>IF(A1375&lt;[3]关卡对接!$A$4,INDEX([3]关卡对接!$C$7:$C$141,A1375),MATCH(E1375,人物经验!$H$24:$H$573,1))</f>
        <v>466</v>
      </c>
      <c r="K1375" s="12">
        <f>IF([3]关卡对接!F1363="",INT(INDEX(人物经验!$J$24:$J$573,关卡!J1375)*关卡!$S$7),[3]关卡对接!F1363)</f>
        <v>30469</v>
      </c>
      <c r="L1375" s="12">
        <f t="shared" si="200"/>
        <v>2.2000000000000002</v>
      </c>
      <c r="M1375" s="12">
        <f>L1375/[4]货币基础!$B$4</f>
        <v>220</v>
      </c>
      <c r="N1375" s="12">
        <f>IF(A1375&lt;[3]关卡对接!$A$4,INDEX([3]关卡对接!$E$7:$E$141,A1375),MATCH(E1375,人物经验!$H$24:$H$573,1))</f>
        <v>466</v>
      </c>
      <c r="O1375" s="12">
        <f>INDEX([2]关卡!$G$6:$G$2005,A1375)</f>
        <v>3</v>
      </c>
      <c r="P1375" s="13">
        <v>6</v>
      </c>
      <c r="Q1375" s="12">
        <f>INT(P1375/$S$15/O1375*VLOOKUP(J1375,[1]人物技能基础!$N$3:$O$553,2,0)*$U$15)</f>
        <v>9</v>
      </c>
      <c r="R1375" s="12">
        <f t="shared" si="201"/>
        <v>112</v>
      </c>
    </row>
    <row r="1376" spans="1:18" x14ac:dyDescent="0.15">
      <c r="A1376" s="12">
        <v>1358</v>
      </c>
      <c r="B1376" s="12">
        <f t="shared" si="198"/>
        <v>7</v>
      </c>
      <c r="C1376" s="12">
        <f t="shared" si="199"/>
        <v>7.7341000000000006</v>
      </c>
      <c r="D1376" s="12">
        <f t="shared" si="193"/>
        <v>5.2875000000000227E-2</v>
      </c>
      <c r="E1376" s="12">
        <f>SUM($D$19:D1376)</f>
        <v>29.934099999999969</v>
      </c>
      <c r="F1376" s="12">
        <f t="shared" si="196"/>
        <v>339.83321436871904</v>
      </c>
      <c r="G1376" s="12">
        <f t="shared" si="197"/>
        <v>209.206262199695</v>
      </c>
      <c r="H1376" s="12">
        <f t="shared" si="194"/>
        <v>1223300</v>
      </c>
      <c r="I1376" s="12">
        <f t="shared" si="195"/>
        <v>753100</v>
      </c>
      <c r="J1376" s="12">
        <f>IF(A1376&lt;[3]关卡对接!$A$4,INDEX([3]关卡对接!$C$7:$C$141,A1376),MATCH(E1376,人物经验!$H$24:$H$573,1))</f>
        <v>466</v>
      </c>
      <c r="K1376" s="12">
        <f>IF([3]关卡对接!F1364="",INT(INDEX(人物经验!$J$24:$J$573,关卡!J1376)*关卡!$S$7),[3]关卡对接!F1364)</f>
        <v>30469</v>
      </c>
      <c r="L1376" s="12">
        <f t="shared" si="200"/>
        <v>2.2000000000000002</v>
      </c>
      <c r="M1376" s="12">
        <f>L1376/[4]货币基础!$B$4</f>
        <v>220</v>
      </c>
      <c r="N1376" s="12">
        <f>IF(A1376&lt;[3]关卡对接!$A$4,INDEX([3]关卡对接!$E$7:$E$141,A1376),MATCH(E1376,人物经验!$H$24:$H$573,1))</f>
        <v>466</v>
      </c>
      <c r="O1376" s="12">
        <f>INDEX([2]关卡!$G$6:$G$2005,A1376)</f>
        <v>3</v>
      </c>
      <c r="P1376" s="13">
        <v>6</v>
      </c>
      <c r="Q1376" s="12">
        <f>INT(P1376/$S$15/O1376*VLOOKUP(J1376,[1]人物技能基础!$N$3:$O$553,2,0)*$U$15)</f>
        <v>9</v>
      </c>
      <c r="R1376" s="12">
        <f t="shared" si="201"/>
        <v>112</v>
      </c>
    </row>
    <row r="1377" spans="1:18" x14ac:dyDescent="0.15">
      <c r="A1377" s="12">
        <v>1359</v>
      </c>
      <c r="B1377" s="12">
        <f t="shared" si="198"/>
        <v>7</v>
      </c>
      <c r="C1377" s="12">
        <f t="shared" si="199"/>
        <v>7.7870250000000008</v>
      </c>
      <c r="D1377" s="12">
        <f t="shared" si="193"/>
        <v>5.2925000000000111E-2</v>
      </c>
      <c r="E1377" s="12">
        <f>SUM($D$19:D1377)</f>
        <v>29.987024999999967</v>
      </c>
      <c r="F1377" s="12">
        <f t="shared" si="196"/>
        <v>340.47677307726497</v>
      </c>
      <c r="G1377" s="12">
        <f t="shared" si="197"/>
        <v>209.52150496095589</v>
      </c>
      <c r="H1377" s="12">
        <f t="shared" si="194"/>
        <v>1225700</v>
      </c>
      <c r="I1377" s="12">
        <f t="shared" si="195"/>
        <v>754200</v>
      </c>
      <c r="J1377" s="12">
        <f>IF(A1377&lt;[3]关卡对接!$A$4,INDEX([3]关卡对接!$C$7:$C$141,A1377),MATCH(E1377,人物经验!$H$24:$H$573,1))</f>
        <v>466</v>
      </c>
      <c r="K1377" s="12">
        <f>IF([3]关卡对接!F1365="",INT(INDEX(人物经验!$J$24:$J$573,关卡!J1377)*关卡!$S$7),[3]关卡对接!F1365)</f>
        <v>30469</v>
      </c>
      <c r="L1377" s="12">
        <f t="shared" si="200"/>
        <v>2.2000000000000002</v>
      </c>
      <c r="M1377" s="12">
        <f>L1377/[4]货币基础!$B$4</f>
        <v>220</v>
      </c>
      <c r="N1377" s="12">
        <f>IF(A1377&lt;[3]关卡对接!$A$4,INDEX([3]关卡对接!$E$7:$E$141,A1377),MATCH(E1377,人物经验!$H$24:$H$573,1))</f>
        <v>466</v>
      </c>
      <c r="O1377" s="12">
        <f>INDEX([2]关卡!$G$6:$G$2005,A1377)</f>
        <v>3</v>
      </c>
      <c r="P1377" s="13">
        <v>6</v>
      </c>
      <c r="Q1377" s="12">
        <f>INT(P1377/$S$15/O1377*VLOOKUP(J1377,[1]人物技能基础!$N$3:$O$553,2,0)*$U$15)</f>
        <v>9</v>
      </c>
      <c r="R1377" s="12">
        <f t="shared" si="201"/>
        <v>112</v>
      </c>
    </row>
    <row r="1378" spans="1:18" x14ac:dyDescent="0.15">
      <c r="A1378" s="12">
        <v>1360</v>
      </c>
      <c r="B1378" s="12">
        <f t="shared" si="198"/>
        <v>7</v>
      </c>
      <c r="C1378" s="12">
        <f t="shared" si="199"/>
        <v>7.8400000000000016</v>
      </c>
      <c r="D1378" s="12">
        <f t="shared" si="193"/>
        <v>5.2975000000000882E-2</v>
      </c>
      <c r="E1378" s="12">
        <f>SUM($D$19:D1378)</f>
        <v>30.039999999999967</v>
      </c>
      <c r="F1378" s="12">
        <f t="shared" si="196"/>
        <v>341.12129024000006</v>
      </c>
      <c r="G1378" s="12">
        <f t="shared" si="197"/>
        <v>209.83710720000002</v>
      </c>
      <c r="H1378" s="12">
        <f t="shared" si="194"/>
        <v>1228000</v>
      </c>
      <c r="I1378" s="12">
        <f t="shared" si="195"/>
        <v>755400</v>
      </c>
      <c r="J1378" s="12">
        <f>IF(A1378&lt;[3]关卡对接!$A$4,INDEX([3]关卡对接!$C$7:$C$141,A1378),MATCH(E1378,人物经验!$H$24:$H$573,1))</f>
        <v>466</v>
      </c>
      <c r="K1378" s="12">
        <f>IF([3]关卡对接!F1366="",INT(INDEX(人物经验!$J$24:$J$573,关卡!J1378)*关卡!$S$7),[3]关卡对接!F1366)</f>
        <v>30469</v>
      </c>
      <c r="L1378" s="12">
        <f t="shared" si="200"/>
        <v>2.2000000000000002</v>
      </c>
      <c r="M1378" s="12">
        <f>L1378/[4]货币基础!$B$4</f>
        <v>220</v>
      </c>
      <c r="N1378" s="12">
        <f>IF(A1378&lt;[3]关卡对接!$A$4,INDEX([3]关卡对接!$E$7:$E$141,A1378),MATCH(E1378,人物经验!$H$24:$H$573,1))</f>
        <v>466</v>
      </c>
      <c r="O1378" s="12">
        <f>INDEX([2]关卡!$G$6:$G$2005,A1378)</f>
        <v>3</v>
      </c>
      <c r="P1378" s="13">
        <v>6</v>
      </c>
      <c r="Q1378" s="12">
        <f>INT(P1378/$S$15/O1378*VLOOKUP(J1378,[1]人物技能基础!$N$3:$O$553,2,0)*$U$15)</f>
        <v>9</v>
      </c>
      <c r="R1378" s="12">
        <f t="shared" si="201"/>
        <v>112</v>
      </c>
    </row>
    <row r="1379" spans="1:18" x14ac:dyDescent="0.15">
      <c r="A1379" s="12">
        <v>1361</v>
      </c>
      <c r="B1379" s="12">
        <f t="shared" si="198"/>
        <v>7</v>
      </c>
      <c r="C1379" s="12">
        <f t="shared" si="199"/>
        <v>7.8930249999999997</v>
      </c>
      <c r="D1379" s="12">
        <f t="shared" si="193"/>
        <v>5.3024999999998101E-2</v>
      </c>
      <c r="E1379" s="12">
        <f>SUM($D$19:D1379)</f>
        <v>30.093024999999965</v>
      </c>
      <c r="F1379" s="12">
        <f t="shared" si="196"/>
        <v>341.76676689558491</v>
      </c>
      <c r="G1379" s="12">
        <f t="shared" si="197"/>
        <v>210.15306922305592</v>
      </c>
      <c r="H1379" s="12">
        <f t="shared" si="194"/>
        <v>1230300</v>
      </c>
      <c r="I1379" s="12">
        <f t="shared" si="195"/>
        <v>756500</v>
      </c>
      <c r="J1379" s="12">
        <f>IF(A1379&lt;[3]关卡对接!$A$4,INDEX([3]关卡对接!$C$7:$C$141,A1379),MATCH(E1379,人物经验!$H$24:$H$573,1))</f>
        <v>466</v>
      </c>
      <c r="K1379" s="12">
        <f>IF([3]关卡对接!F1367="",INT(INDEX(人物经验!$J$24:$J$573,关卡!J1379)*关卡!$S$7),[3]关卡对接!F1367)</f>
        <v>30469</v>
      </c>
      <c r="L1379" s="12">
        <f t="shared" si="200"/>
        <v>2.2000000000000002</v>
      </c>
      <c r="M1379" s="12">
        <f>L1379/[4]货币基础!$B$4</f>
        <v>220</v>
      </c>
      <c r="N1379" s="12">
        <f>IF(A1379&lt;[3]关卡对接!$A$4,INDEX([3]关卡对接!$E$7:$E$141,A1379),MATCH(E1379,人物经验!$H$24:$H$573,1))</f>
        <v>466</v>
      </c>
      <c r="O1379" s="12">
        <f>INDEX([2]关卡!$G$6:$G$2005,A1379)</f>
        <v>3</v>
      </c>
      <c r="P1379" s="13">
        <v>6</v>
      </c>
      <c r="Q1379" s="12">
        <f>INT(P1379/$S$15/O1379*VLOOKUP(J1379,[1]人物技能基础!$N$3:$O$553,2,0)*$U$15)</f>
        <v>9</v>
      </c>
      <c r="R1379" s="12">
        <f t="shared" si="201"/>
        <v>112</v>
      </c>
    </row>
    <row r="1380" spans="1:18" x14ac:dyDescent="0.15">
      <c r="A1380" s="12">
        <v>1362</v>
      </c>
      <c r="B1380" s="12">
        <f t="shared" si="198"/>
        <v>7</v>
      </c>
      <c r="C1380" s="12">
        <f t="shared" si="199"/>
        <v>7.9461000000000013</v>
      </c>
      <c r="D1380" s="12">
        <f t="shared" si="193"/>
        <v>5.3075000000001538E-2</v>
      </c>
      <c r="E1380" s="12">
        <f>SUM($D$19:D1380)</f>
        <v>30.146099999999969</v>
      </c>
      <c r="F1380" s="12">
        <f t="shared" si="196"/>
        <v>342.41320408327908</v>
      </c>
      <c r="G1380" s="12">
        <f t="shared" si="197"/>
        <v>210.46939133649499</v>
      </c>
      <c r="H1380" s="12">
        <f t="shared" si="194"/>
        <v>1232600</v>
      </c>
      <c r="I1380" s="12">
        <f t="shared" si="195"/>
        <v>757600</v>
      </c>
      <c r="J1380" s="12">
        <f>IF(A1380&lt;[3]关卡对接!$A$4,INDEX([3]关卡对接!$C$7:$C$141,A1380),MATCH(E1380,人物经验!$H$24:$H$573,1))</f>
        <v>467</v>
      </c>
      <c r="K1380" s="12">
        <f>IF([3]关卡对接!F1368="",INT(INDEX(人物经验!$J$24:$J$573,关卡!J1380)*关卡!$S$7),[3]关卡对接!F1368)</f>
        <v>30759</v>
      </c>
      <c r="L1380" s="12">
        <f t="shared" si="200"/>
        <v>2.2000000000000002</v>
      </c>
      <c r="M1380" s="12">
        <f>L1380/[4]货币基础!$B$4</f>
        <v>220</v>
      </c>
      <c r="N1380" s="12">
        <f>IF(A1380&lt;[3]关卡对接!$A$4,INDEX([3]关卡对接!$E$7:$E$141,A1380),MATCH(E1380,人物经验!$H$24:$H$573,1))</f>
        <v>467</v>
      </c>
      <c r="O1380" s="12">
        <f>INDEX([2]关卡!$G$6:$G$2005,A1380)</f>
        <v>3</v>
      </c>
      <c r="P1380" s="13">
        <v>6</v>
      </c>
      <c r="Q1380" s="12">
        <f>INT(P1380/$S$15/O1380*VLOOKUP(J1380,[1]人物技能基础!$N$3:$O$553,2,0)*$U$15)</f>
        <v>9</v>
      </c>
      <c r="R1380" s="12">
        <f t="shared" si="201"/>
        <v>112</v>
      </c>
    </row>
    <row r="1381" spans="1:18" x14ac:dyDescent="0.15">
      <c r="A1381" s="12">
        <v>1363</v>
      </c>
      <c r="B1381" s="12">
        <f t="shared" si="198"/>
        <v>7</v>
      </c>
      <c r="C1381" s="12">
        <f t="shared" si="199"/>
        <v>7.9992249999999991</v>
      </c>
      <c r="D1381" s="12">
        <f t="shared" si="193"/>
        <v>5.3124999999997868E-2</v>
      </c>
      <c r="E1381" s="12">
        <f>SUM($D$19:D1381)</f>
        <v>30.199224999999966</v>
      </c>
      <c r="F1381" s="12">
        <f t="shared" si="196"/>
        <v>343.06060284293994</v>
      </c>
      <c r="G1381" s="12">
        <f t="shared" si="197"/>
        <v>210.78607384683093</v>
      </c>
      <c r="H1381" s="12">
        <f t="shared" si="194"/>
        <v>1235000</v>
      </c>
      <c r="I1381" s="12">
        <f t="shared" si="195"/>
        <v>758800</v>
      </c>
      <c r="J1381" s="12">
        <f>IF(A1381&lt;[3]关卡对接!$A$4,INDEX([3]关卡对接!$C$7:$C$141,A1381),MATCH(E1381,人物经验!$H$24:$H$573,1))</f>
        <v>467</v>
      </c>
      <c r="K1381" s="12">
        <f>IF([3]关卡对接!F1369="",INT(INDEX(人物经验!$J$24:$J$573,关卡!J1381)*关卡!$S$7),[3]关卡对接!F1369)</f>
        <v>30759</v>
      </c>
      <c r="L1381" s="12">
        <f t="shared" si="200"/>
        <v>2.2000000000000002</v>
      </c>
      <c r="M1381" s="12">
        <f>L1381/[4]货币基础!$B$4</f>
        <v>220</v>
      </c>
      <c r="N1381" s="12">
        <f>IF(A1381&lt;[3]关卡对接!$A$4,INDEX([3]关卡对接!$E$7:$E$141,A1381),MATCH(E1381,人物经验!$H$24:$H$573,1))</f>
        <v>467</v>
      </c>
      <c r="O1381" s="12">
        <f>INDEX([2]关卡!$G$6:$G$2005,A1381)</f>
        <v>3</v>
      </c>
      <c r="P1381" s="13">
        <v>6</v>
      </c>
      <c r="Q1381" s="12">
        <f>INT(P1381/$S$15/O1381*VLOOKUP(J1381,[1]人物技能基础!$N$3:$O$553,2,0)*$U$15)</f>
        <v>9</v>
      </c>
      <c r="R1381" s="12">
        <f t="shared" si="201"/>
        <v>112</v>
      </c>
    </row>
    <row r="1382" spans="1:18" x14ac:dyDescent="0.15">
      <c r="A1382" s="12">
        <v>1364</v>
      </c>
      <c r="B1382" s="12">
        <f t="shared" si="198"/>
        <v>7</v>
      </c>
      <c r="C1382" s="12">
        <f t="shared" si="199"/>
        <v>8.0523999999999987</v>
      </c>
      <c r="D1382" s="12">
        <f t="shared" si="193"/>
        <v>5.3174999999999528E-2</v>
      </c>
      <c r="E1382" s="12">
        <f>SUM($D$19:D1382)</f>
        <v>30.252399999999966</v>
      </c>
      <c r="F1382" s="12">
        <f t="shared" si="196"/>
        <v>343.70896421502408</v>
      </c>
      <c r="G1382" s="12">
        <f t="shared" si="197"/>
        <v>211.10311706072005</v>
      </c>
      <c r="H1382" s="12">
        <f t="shared" si="194"/>
        <v>1237300</v>
      </c>
      <c r="I1382" s="12">
        <f t="shared" si="195"/>
        <v>759900</v>
      </c>
      <c r="J1382" s="12">
        <f>IF(A1382&lt;[3]关卡对接!$A$4,INDEX([3]关卡对接!$C$7:$C$141,A1382),MATCH(E1382,人物经验!$H$24:$H$573,1))</f>
        <v>467</v>
      </c>
      <c r="K1382" s="12">
        <f>IF([3]关卡对接!F1370="",INT(INDEX(人物经验!$J$24:$J$573,关卡!J1382)*关卡!$S$7),[3]关卡对接!F1370)</f>
        <v>30759</v>
      </c>
      <c r="L1382" s="12">
        <f t="shared" si="200"/>
        <v>2.2000000000000002</v>
      </c>
      <c r="M1382" s="12">
        <f>L1382/[4]货币基础!$B$4</f>
        <v>220</v>
      </c>
      <c r="N1382" s="12">
        <f>IF(A1382&lt;[3]关卡对接!$A$4,INDEX([3]关卡对接!$E$7:$E$141,A1382),MATCH(E1382,人物经验!$H$24:$H$573,1))</f>
        <v>467</v>
      </c>
      <c r="O1382" s="12">
        <f>INDEX([2]关卡!$G$6:$G$2005,A1382)</f>
        <v>3</v>
      </c>
      <c r="P1382" s="13">
        <v>6</v>
      </c>
      <c r="Q1382" s="12">
        <f>INT(P1382/$S$15/O1382*VLOOKUP(J1382,[1]人物技能基础!$N$3:$O$553,2,0)*$U$15)</f>
        <v>9</v>
      </c>
      <c r="R1382" s="12">
        <f t="shared" si="201"/>
        <v>112</v>
      </c>
    </row>
    <row r="1383" spans="1:18" x14ac:dyDescent="0.15">
      <c r="A1383" s="12">
        <v>1365</v>
      </c>
      <c r="B1383" s="12">
        <f t="shared" si="198"/>
        <v>7</v>
      </c>
      <c r="C1383" s="12">
        <f t="shared" si="199"/>
        <v>8.1056249999999999</v>
      </c>
      <c r="D1383" s="12">
        <f t="shared" si="193"/>
        <v>5.3225000000001188E-2</v>
      </c>
      <c r="E1383" s="12">
        <f>SUM($D$19:D1383)</f>
        <v>30.305624999999967</v>
      </c>
      <c r="F1383" s="12">
        <f t="shared" si="196"/>
        <v>344.35828924058592</v>
      </c>
      <c r="G1383" s="12">
        <f t="shared" si="197"/>
        <v>211.42052128496093</v>
      </c>
      <c r="H1383" s="12">
        <f t="shared" si="194"/>
        <v>1239600</v>
      </c>
      <c r="I1383" s="12">
        <f t="shared" si="195"/>
        <v>761100</v>
      </c>
      <c r="J1383" s="12">
        <f>IF(A1383&lt;[3]关卡对接!$A$4,INDEX([3]关卡对接!$C$7:$C$141,A1383),MATCH(E1383,人物经验!$H$24:$H$573,1))</f>
        <v>467</v>
      </c>
      <c r="K1383" s="12">
        <f>IF([3]关卡对接!F1371="",INT(INDEX(人物经验!$J$24:$J$573,关卡!J1383)*关卡!$S$7),[3]关卡对接!F1371)</f>
        <v>30759</v>
      </c>
      <c r="L1383" s="12">
        <f t="shared" si="200"/>
        <v>2.2000000000000002</v>
      </c>
      <c r="M1383" s="12">
        <f>L1383/[4]货币基础!$B$4</f>
        <v>220</v>
      </c>
      <c r="N1383" s="12">
        <f>IF(A1383&lt;[3]关卡对接!$A$4,INDEX([3]关卡对接!$E$7:$E$141,A1383),MATCH(E1383,人物经验!$H$24:$H$573,1))</f>
        <v>467</v>
      </c>
      <c r="O1383" s="12">
        <f>INDEX([2]关卡!$G$6:$G$2005,A1383)</f>
        <v>3</v>
      </c>
      <c r="P1383" s="13">
        <v>6</v>
      </c>
      <c r="Q1383" s="12">
        <f>INT(P1383/$S$15/O1383*VLOOKUP(J1383,[1]人物技能基础!$N$3:$O$553,2,0)*$U$15)</f>
        <v>9</v>
      </c>
      <c r="R1383" s="12">
        <f t="shared" si="201"/>
        <v>112</v>
      </c>
    </row>
    <row r="1384" spans="1:18" x14ac:dyDescent="0.15">
      <c r="A1384" s="12">
        <v>1366</v>
      </c>
      <c r="B1384" s="12">
        <f t="shared" si="198"/>
        <v>7</v>
      </c>
      <c r="C1384" s="12">
        <f t="shared" si="199"/>
        <v>8.1588999999999992</v>
      </c>
      <c r="D1384" s="12">
        <f t="shared" si="193"/>
        <v>5.3274999999999295E-2</v>
      </c>
      <c r="E1384" s="12">
        <f>SUM($D$19:D1384)</f>
        <v>30.358899999999966</v>
      </c>
      <c r="F1384" s="12">
        <f t="shared" si="196"/>
        <v>345.00857896127911</v>
      </c>
      <c r="G1384" s="12">
        <f t="shared" si="197"/>
        <v>211.73828682649503</v>
      </c>
      <c r="H1384" s="12">
        <f t="shared" si="194"/>
        <v>1242000</v>
      </c>
      <c r="I1384" s="12">
        <f t="shared" si="195"/>
        <v>762200</v>
      </c>
      <c r="J1384" s="12">
        <f>IF(A1384&lt;[3]关卡对接!$A$4,INDEX([3]关卡对接!$C$7:$C$141,A1384),MATCH(E1384,人物经验!$H$24:$H$573,1))</f>
        <v>467</v>
      </c>
      <c r="K1384" s="12">
        <f>IF([3]关卡对接!F1372="",INT(INDEX(人物经验!$J$24:$J$573,关卡!J1384)*关卡!$S$7),[3]关卡对接!F1372)</f>
        <v>30759</v>
      </c>
      <c r="L1384" s="12">
        <f t="shared" si="200"/>
        <v>2.2000000000000002</v>
      </c>
      <c r="M1384" s="12">
        <f>L1384/[4]货币基础!$B$4</f>
        <v>220</v>
      </c>
      <c r="N1384" s="12">
        <f>IF(A1384&lt;[3]关卡对接!$A$4,INDEX([3]关卡对接!$E$7:$E$141,A1384),MATCH(E1384,人物经验!$H$24:$H$573,1))</f>
        <v>467</v>
      </c>
      <c r="O1384" s="12">
        <f>INDEX([2]关卡!$G$6:$G$2005,A1384)</f>
        <v>3</v>
      </c>
      <c r="P1384" s="13">
        <v>6</v>
      </c>
      <c r="Q1384" s="12">
        <f>INT(P1384/$S$15/O1384*VLOOKUP(J1384,[1]人物技能基础!$N$3:$O$553,2,0)*$U$15)</f>
        <v>9</v>
      </c>
      <c r="R1384" s="12">
        <f t="shared" si="201"/>
        <v>112</v>
      </c>
    </row>
    <row r="1385" spans="1:18" x14ac:dyDescent="0.15">
      <c r="A1385" s="12">
        <v>1367</v>
      </c>
      <c r="B1385" s="12">
        <f t="shared" si="198"/>
        <v>7</v>
      </c>
      <c r="C1385" s="12">
        <f t="shared" si="199"/>
        <v>8.2122250000000001</v>
      </c>
      <c r="D1385" s="12">
        <f t="shared" si="193"/>
        <v>5.3325000000000955E-2</v>
      </c>
      <c r="E1385" s="12">
        <f>SUM($D$19:D1385)</f>
        <v>30.412224999999967</v>
      </c>
      <c r="F1385" s="12">
        <f t="shared" si="196"/>
        <v>345.65983441935492</v>
      </c>
      <c r="G1385" s="12">
        <f t="shared" si="197"/>
        <v>212.05641399240594</v>
      </c>
      <c r="H1385" s="12">
        <f t="shared" si="194"/>
        <v>1244300</v>
      </c>
      <c r="I1385" s="12">
        <f t="shared" si="195"/>
        <v>763400</v>
      </c>
      <c r="J1385" s="12">
        <f>IF(A1385&lt;[3]关卡对接!$A$4,INDEX([3]关卡对接!$C$7:$C$141,A1385),MATCH(E1385,人物经验!$H$24:$H$573,1))</f>
        <v>468</v>
      </c>
      <c r="K1385" s="12">
        <f>IF([3]关卡对接!F1373="",INT(INDEX(人物经验!$J$24:$J$573,关卡!J1385)*关卡!$S$7),[3]关卡对接!F1373)</f>
        <v>31050</v>
      </c>
      <c r="L1385" s="12">
        <f t="shared" si="200"/>
        <v>2.2000000000000002</v>
      </c>
      <c r="M1385" s="12">
        <f>L1385/[4]货币基础!$B$4</f>
        <v>220</v>
      </c>
      <c r="N1385" s="12">
        <f>IF(A1385&lt;[3]关卡对接!$A$4,INDEX([3]关卡对接!$E$7:$E$141,A1385),MATCH(E1385,人物经验!$H$24:$H$573,1))</f>
        <v>468</v>
      </c>
      <c r="O1385" s="12">
        <f>INDEX([2]关卡!$G$6:$G$2005,A1385)</f>
        <v>3</v>
      </c>
      <c r="P1385" s="13">
        <v>6</v>
      </c>
      <c r="Q1385" s="12">
        <f>INT(P1385/$S$15/O1385*VLOOKUP(J1385,[1]人物技能基础!$N$3:$O$553,2,0)*$U$15)</f>
        <v>9</v>
      </c>
      <c r="R1385" s="12">
        <f t="shared" si="201"/>
        <v>112</v>
      </c>
    </row>
    <row r="1386" spans="1:18" x14ac:dyDescent="0.15">
      <c r="A1386" s="12">
        <v>1368</v>
      </c>
      <c r="B1386" s="12">
        <f t="shared" si="198"/>
        <v>7</v>
      </c>
      <c r="C1386" s="12">
        <f t="shared" si="199"/>
        <v>8.2655999999999992</v>
      </c>
      <c r="D1386" s="12">
        <f t="shared" si="193"/>
        <v>5.3374999999999062E-2</v>
      </c>
      <c r="E1386" s="12">
        <f>SUM($D$19:D1386)</f>
        <v>30.465599999999966</v>
      </c>
      <c r="F1386" s="12">
        <f t="shared" si="196"/>
        <v>346.31205665766407</v>
      </c>
      <c r="G1386" s="12">
        <f t="shared" si="197"/>
        <v>212.37490308992</v>
      </c>
      <c r="H1386" s="12">
        <f t="shared" si="194"/>
        <v>1246700</v>
      </c>
      <c r="I1386" s="12">
        <f t="shared" si="195"/>
        <v>764500</v>
      </c>
      <c r="J1386" s="12">
        <f>IF(A1386&lt;[3]关卡对接!$A$4,INDEX([3]关卡对接!$C$7:$C$141,A1386),MATCH(E1386,人物经验!$H$24:$H$573,1))</f>
        <v>468</v>
      </c>
      <c r="K1386" s="12">
        <f>IF([3]关卡对接!F1374="",INT(INDEX(人物经验!$J$24:$J$573,关卡!J1386)*关卡!$S$7),[3]关卡对接!F1374)</f>
        <v>31050</v>
      </c>
      <c r="L1386" s="12">
        <f t="shared" si="200"/>
        <v>2.2000000000000002</v>
      </c>
      <c r="M1386" s="12">
        <f>L1386/[4]货币基础!$B$4</f>
        <v>220</v>
      </c>
      <c r="N1386" s="12">
        <f>IF(A1386&lt;[3]关卡对接!$A$4,INDEX([3]关卡对接!$E$7:$E$141,A1386),MATCH(E1386,人物经验!$H$24:$H$573,1))</f>
        <v>468</v>
      </c>
      <c r="O1386" s="12">
        <f>INDEX([2]关卡!$G$6:$G$2005,A1386)</f>
        <v>3</v>
      </c>
      <c r="P1386" s="13">
        <v>6</v>
      </c>
      <c r="Q1386" s="12">
        <f>INT(P1386/$S$15/O1386*VLOOKUP(J1386,[1]人物技能基础!$N$3:$O$553,2,0)*$U$15)</f>
        <v>9</v>
      </c>
      <c r="R1386" s="12">
        <f t="shared" si="201"/>
        <v>112</v>
      </c>
    </row>
    <row r="1387" spans="1:18" x14ac:dyDescent="0.15">
      <c r="A1387" s="12">
        <v>1369</v>
      </c>
      <c r="B1387" s="12">
        <f t="shared" si="198"/>
        <v>7</v>
      </c>
      <c r="C1387" s="12">
        <f t="shared" si="199"/>
        <v>8.3190249999999999</v>
      </c>
      <c r="D1387" s="12">
        <f t="shared" si="193"/>
        <v>5.3425000000000722E-2</v>
      </c>
      <c r="E1387" s="12">
        <f>SUM($D$19:D1387)</f>
        <v>30.519024999999967</v>
      </c>
      <c r="F1387" s="12">
        <f t="shared" si="196"/>
        <v>346.96524671965489</v>
      </c>
      <c r="G1387" s="12">
        <f t="shared" si="197"/>
        <v>212.69375442640592</v>
      </c>
      <c r="H1387" s="12">
        <f t="shared" si="194"/>
        <v>1249000</v>
      </c>
      <c r="I1387" s="12">
        <f t="shared" si="195"/>
        <v>765600</v>
      </c>
      <c r="J1387" s="12">
        <f>IF(A1387&lt;[3]关卡对接!$A$4,INDEX([3]关卡对接!$C$7:$C$141,A1387),MATCH(E1387,人物经验!$H$24:$H$573,1))</f>
        <v>468</v>
      </c>
      <c r="K1387" s="12">
        <f>IF([3]关卡对接!F1375="",INT(INDEX(人物经验!$J$24:$J$573,关卡!J1387)*关卡!$S$7),[3]关卡对接!F1375)</f>
        <v>31050</v>
      </c>
      <c r="L1387" s="12">
        <f t="shared" si="200"/>
        <v>2.2000000000000002</v>
      </c>
      <c r="M1387" s="12">
        <f>L1387/[4]货币基础!$B$4</f>
        <v>220</v>
      </c>
      <c r="N1387" s="12">
        <f>IF(A1387&lt;[3]关卡对接!$A$4,INDEX([3]关卡对接!$E$7:$E$141,A1387),MATCH(E1387,人物经验!$H$24:$H$573,1))</f>
        <v>468</v>
      </c>
      <c r="O1387" s="12">
        <f>INDEX([2]关卡!$G$6:$G$2005,A1387)</f>
        <v>3</v>
      </c>
      <c r="P1387" s="13">
        <v>6</v>
      </c>
      <c r="Q1387" s="12">
        <f>INT(P1387/$S$15/O1387*VLOOKUP(J1387,[1]人物技能基础!$N$3:$O$553,2,0)*$U$15)</f>
        <v>9</v>
      </c>
      <c r="R1387" s="12">
        <f t="shared" si="201"/>
        <v>112</v>
      </c>
    </row>
    <row r="1388" spans="1:18" x14ac:dyDescent="0.15">
      <c r="A1388" s="12">
        <v>1370</v>
      </c>
      <c r="B1388" s="12">
        <f t="shared" si="198"/>
        <v>7</v>
      </c>
      <c r="C1388" s="12">
        <f t="shared" si="199"/>
        <v>8.3725000000000005</v>
      </c>
      <c r="D1388" s="12">
        <f t="shared" si="193"/>
        <v>5.3475000000000605E-2</v>
      </c>
      <c r="E1388" s="12">
        <f>SUM($D$19:D1388)</f>
        <v>30.57249999999997</v>
      </c>
      <c r="F1388" s="12">
        <f t="shared" si="196"/>
        <v>347.61940564937504</v>
      </c>
      <c r="G1388" s="12">
        <f t="shared" si="197"/>
        <v>213.01296830937505</v>
      </c>
      <c r="H1388" s="12">
        <f t="shared" si="194"/>
        <v>1251400</v>
      </c>
      <c r="I1388" s="12">
        <f t="shared" si="195"/>
        <v>766800</v>
      </c>
      <c r="J1388" s="12">
        <f>IF(A1388&lt;[3]关卡对接!$A$4,INDEX([3]关卡对接!$C$7:$C$141,A1388),MATCH(E1388,人物经验!$H$24:$H$573,1))</f>
        <v>468</v>
      </c>
      <c r="K1388" s="12">
        <f>IF([3]关卡对接!F1376="",INT(INDEX(人物经验!$J$24:$J$573,关卡!J1388)*关卡!$S$7),[3]关卡对接!F1376)</f>
        <v>31050</v>
      </c>
      <c r="L1388" s="12">
        <f t="shared" si="200"/>
        <v>2.2000000000000002</v>
      </c>
      <c r="M1388" s="12">
        <f>L1388/[4]货币基础!$B$4</f>
        <v>220</v>
      </c>
      <c r="N1388" s="12">
        <f>IF(A1388&lt;[3]关卡对接!$A$4,INDEX([3]关卡对接!$E$7:$E$141,A1388),MATCH(E1388,人物经验!$H$24:$H$573,1))</f>
        <v>468</v>
      </c>
      <c r="O1388" s="12">
        <f>INDEX([2]关卡!$G$6:$G$2005,A1388)</f>
        <v>3</v>
      </c>
      <c r="P1388" s="13">
        <v>6</v>
      </c>
      <c r="Q1388" s="12">
        <f>INT(P1388/$S$15/O1388*VLOOKUP(J1388,[1]人物技能基础!$N$3:$O$553,2,0)*$U$15)</f>
        <v>9</v>
      </c>
      <c r="R1388" s="12">
        <f t="shared" si="201"/>
        <v>112</v>
      </c>
    </row>
    <row r="1389" spans="1:18" x14ac:dyDescent="0.15">
      <c r="A1389" s="12">
        <v>1371</v>
      </c>
      <c r="B1389" s="12">
        <f t="shared" si="198"/>
        <v>7</v>
      </c>
      <c r="C1389" s="12">
        <f t="shared" si="199"/>
        <v>8.4260249999999992</v>
      </c>
      <c r="D1389" s="12">
        <f t="shared" si="193"/>
        <v>5.3524999999998712E-2</v>
      </c>
      <c r="E1389" s="12">
        <f>SUM($D$19:D1389)</f>
        <v>30.62602499999997</v>
      </c>
      <c r="F1389" s="12">
        <f t="shared" si="196"/>
        <v>348.27453449146992</v>
      </c>
      <c r="G1389" s="12">
        <f t="shared" si="197"/>
        <v>213.3325450464809</v>
      </c>
      <c r="H1389" s="12">
        <f t="shared" si="194"/>
        <v>1253700</v>
      </c>
      <c r="I1389" s="12">
        <f t="shared" si="195"/>
        <v>767900</v>
      </c>
      <c r="J1389" s="12">
        <f>IF(A1389&lt;[3]关卡对接!$A$4,INDEX([3]关卡对接!$C$7:$C$141,A1389),MATCH(E1389,人物经验!$H$24:$H$573,1))</f>
        <v>468</v>
      </c>
      <c r="K1389" s="12">
        <f>IF([3]关卡对接!F1377="",INT(INDEX(人物经验!$J$24:$J$573,关卡!J1389)*关卡!$S$7),[3]关卡对接!F1377)</f>
        <v>31050</v>
      </c>
      <c r="L1389" s="12">
        <f t="shared" si="200"/>
        <v>2.2000000000000002</v>
      </c>
      <c r="M1389" s="12">
        <f>L1389/[4]货币基础!$B$4</f>
        <v>220</v>
      </c>
      <c r="N1389" s="12">
        <f>IF(A1389&lt;[3]关卡对接!$A$4,INDEX([3]关卡对接!$E$7:$E$141,A1389),MATCH(E1389,人物经验!$H$24:$H$573,1))</f>
        <v>468</v>
      </c>
      <c r="O1389" s="12">
        <f>INDEX([2]关卡!$G$6:$G$2005,A1389)</f>
        <v>3</v>
      </c>
      <c r="P1389" s="13">
        <v>6</v>
      </c>
      <c r="Q1389" s="12">
        <f>INT(P1389/$S$15/O1389*VLOOKUP(J1389,[1]人物技能基础!$N$3:$O$553,2,0)*$U$15)</f>
        <v>9</v>
      </c>
      <c r="R1389" s="12">
        <f t="shared" si="201"/>
        <v>112</v>
      </c>
    </row>
    <row r="1390" spans="1:18" x14ac:dyDescent="0.15">
      <c r="A1390" s="12">
        <v>1372</v>
      </c>
      <c r="B1390" s="12">
        <f t="shared" si="198"/>
        <v>7</v>
      </c>
      <c r="C1390" s="12">
        <f t="shared" si="199"/>
        <v>8.4796000000000014</v>
      </c>
      <c r="D1390" s="12">
        <f t="shared" si="193"/>
        <v>5.3575000000002149E-2</v>
      </c>
      <c r="E1390" s="12">
        <f>SUM($D$19:D1390)</f>
        <v>30.679599999999972</v>
      </c>
      <c r="F1390" s="12">
        <f t="shared" si="196"/>
        <v>348.93063429118411</v>
      </c>
      <c r="G1390" s="12">
        <f t="shared" si="197"/>
        <v>213.65248494552003</v>
      </c>
      <c r="H1390" s="12">
        <f t="shared" si="194"/>
        <v>1256100</v>
      </c>
      <c r="I1390" s="12">
        <f t="shared" si="195"/>
        <v>769100</v>
      </c>
      <c r="J1390" s="12">
        <f>IF(A1390&lt;[3]关卡对接!$A$4,INDEX([3]关卡对接!$C$7:$C$141,A1390),MATCH(E1390,人物经验!$H$24:$H$573,1))</f>
        <v>468</v>
      </c>
      <c r="K1390" s="12">
        <f>IF([3]关卡对接!F1378="",INT(INDEX(人物经验!$J$24:$J$573,关卡!J1390)*关卡!$S$7),[3]关卡对接!F1378)</f>
        <v>31050</v>
      </c>
      <c r="L1390" s="12">
        <f t="shared" si="200"/>
        <v>2.2000000000000002</v>
      </c>
      <c r="M1390" s="12">
        <f>L1390/[4]货币基础!$B$4</f>
        <v>220</v>
      </c>
      <c r="N1390" s="12">
        <f>IF(A1390&lt;[3]关卡对接!$A$4,INDEX([3]关卡对接!$E$7:$E$141,A1390),MATCH(E1390,人物经验!$H$24:$H$573,1))</f>
        <v>468</v>
      </c>
      <c r="O1390" s="12">
        <f>INDEX([2]关卡!$G$6:$G$2005,A1390)</f>
        <v>3</v>
      </c>
      <c r="P1390" s="13">
        <v>6</v>
      </c>
      <c r="Q1390" s="12">
        <f>INT(P1390/$S$15/O1390*VLOOKUP(J1390,[1]人物技能基础!$N$3:$O$553,2,0)*$U$15)</f>
        <v>9</v>
      </c>
      <c r="R1390" s="12">
        <f t="shared" si="201"/>
        <v>112</v>
      </c>
    </row>
    <row r="1391" spans="1:18" x14ac:dyDescent="0.15">
      <c r="A1391" s="12">
        <v>1373</v>
      </c>
      <c r="B1391" s="12">
        <f t="shared" si="198"/>
        <v>7</v>
      </c>
      <c r="C1391" s="12">
        <f t="shared" si="199"/>
        <v>8.5332249999999998</v>
      </c>
      <c r="D1391" s="12">
        <f t="shared" si="193"/>
        <v>5.3624999999998479E-2</v>
      </c>
      <c r="E1391" s="12">
        <f>SUM($D$19:D1391)</f>
        <v>30.733224999999969</v>
      </c>
      <c r="F1391" s="12">
        <f t="shared" si="196"/>
        <v>349.58770609435999</v>
      </c>
      <c r="G1391" s="12">
        <f t="shared" si="197"/>
        <v>213.97278831443094</v>
      </c>
      <c r="H1391" s="12">
        <f t="shared" si="194"/>
        <v>1258500</v>
      </c>
      <c r="I1391" s="12">
        <f t="shared" si="195"/>
        <v>770300</v>
      </c>
      <c r="J1391" s="12">
        <f>IF(A1391&lt;[3]关卡对接!$A$4,INDEX([3]关卡对接!$C$7:$C$141,A1391),MATCH(E1391,人物经验!$H$24:$H$573,1))</f>
        <v>469</v>
      </c>
      <c r="K1391" s="12">
        <f>IF([3]关卡对接!F1379="",INT(INDEX(人物经验!$J$24:$J$573,关卡!J1391)*关卡!$S$7),[3]关卡对接!F1379)</f>
        <v>31403</v>
      </c>
      <c r="L1391" s="12">
        <f t="shared" si="200"/>
        <v>2.2000000000000002</v>
      </c>
      <c r="M1391" s="12">
        <f>L1391/[4]货币基础!$B$4</f>
        <v>220</v>
      </c>
      <c r="N1391" s="12">
        <f>IF(A1391&lt;[3]关卡对接!$A$4,INDEX([3]关卡对接!$E$7:$E$141,A1391),MATCH(E1391,人物经验!$H$24:$H$573,1))</f>
        <v>469</v>
      </c>
      <c r="O1391" s="12">
        <f>INDEX([2]关卡!$G$6:$G$2005,A1391)</f>
        <v>3</v>
      </c>
      <c r="P1391" s="13">
        <v>6</v>
      </c>
      <c r="Q1391" s="12">
        <f>INT(P1391/$S$15/O1391*VLOOKUP(J1391,[1]人物技能基础!$N$3:$O$553,2,0)*$U$15)</f>
        <v>9</v>
      </c>
      <c r="R1391" s="12">
        <f t="shared" si="201"/>
        <v>112</v>
      </c>
    </row>
    <row r="1392" spans="1:18" x14ac:dyDescent="0.15">
      <c r="A1392" s="12">
        <v>1374</v>
      </c>
      <c r="B1392" s="12">
        <f t="shared" si="198"/>
        <v>7</v>
      </c>
      <c r="C1392" s="12">
        <f t="shared" si="199"/>
        <v>8.5869</v>
      </c>
      <c r="D1392" s="12">
        <f t="shared" si="193"/>
        <v>5.3675000000000139E-2</v>
      </c>
      <c r="E1392" s="12">
        <f>SUM($D$19:D1392)</f>
        <v>30.786899999999967</v>
      </c>
      <c r="F1392" s="12">
        <f t="shared" si="196"/>
        <v>350.24575094743909</v>
      </c>
      <c r="G1392" s="12">
        <f t="shared" si="197"/>
        <v>214.29345546129503</v>
      </c>
      <c r="H1392" s="12">
        <f t="shared" si="194"/>
        <v>1260800</v>
      </c>
      <c r="I1392" s="12">
        <f t="shared" si="195"/>
        <v>771400</v>
      </c>
      <c r="J1392" s="12">
        <f>IF(A1392&lt;[3]关卡对接!$A$4,INDEX([3]关卡对接!$C$7:$C$141,A1392),MATCH(E1392,人物经验!$H$24:$H$573,1))</f>
        <v>469</v>
      </c>
      <c r="K1392" s="12">
        <f>IF([3]关卡对接!F1380="",INT(INDEX(人物经验!$J$24:$J$573,关卡!J1392)*关卡!$S$7),[3]关卡对接!F1380)</f>
        <v>31403</v>
      </c>
      <c r="L1392" s="12">
        <f t="shared" si="200"/>
        <v>2.2000000000000002</v>
      </c>
      <c r="M1392" s="12">
        <f>L1392/[4]货币基础!$B$4</f>
        <v>220</v>
      </c>
      <c r="N1392" s="12">
        <f>IF(A1392&lt;[3]关卡对接!$A$4,INDEX([3]关卡对接!$E$7:$E$141,A1392),MATCH(E1392,人物经验!$H$24:$H$573,1))</f>
        <v>469</v>
      </c>
      <c r="O1392" s="12">
        <f>INDEX([2]关卡!$G$6:$G$2005,A1392)</f>
        <v>3</v>
      </c>
      <c r="P1392" s="13">
        <v>6</v>
      </c>
      <c r="Q1392" s="12">
        <f>INT(P1392/$S$15/O1392*VLOOKUP(J1392,[1]人物技能基础!$N$3:$O$553,2,0)*$U$15)</f>
        <v>9</v>
      </c>
      <c r="R1392" s="12">
        <f t="shared" si="201"/>
        <v>112</v>
      </c>
    </row>
    <row r="1393" spans="1:18" x14ac:dyDescent="0.15">
      <c r="A1393" s="12">
        <v>1375</v>
      </c>
      <c r="B1393" s="12">
        <f t="shared" si="198"/>
        <v>7</v>
      </c>
      <c r="C1393" s="12">
        <f t="shared" si="199"/>
        <v>8.640625</v>
      </c>
      <c r="D1393" s="12">
        <f t="shared" si="193"/>
        <v>5.3725000000000023E-2</v>
      </c>
      <c r="E1393" s="12">
        <f>SUM($D$19:D1393)</f>
        <v>30.840624999999967</v>
      </c>
      <c r="F1393" s="12">
        <f t="shared" si="196"/>
        <v>350.90476989746099</v>
      </c>
      <c r="G1393" s="12">
        <f t="shared" si="197"/>
        <v>214.61448669433591</v>
      </c>
      <c r="H1393" s="12">
        <f t="shared" si="194"/>
        <v>1263200</v>
      </c>
      <c r="I1393" s="12">
        <f t="shared" si="195"/>
        <v>772600</v>
      </c>
      <c r="J1393" s="12">
        <f>IF(A1393&lt;[3]关卡对接!$A$4,INDEX([3]关卡对接!$C$7:$C$141,A1393),MATCH(E1393,人物经验!$H$24:$H$573,1))</f>
        <v>469</v>
      </c>
      <c r="K1393" s="12">
        <f>IF([3]关卡对接!F1381="",INT(INDEX(人物经验!$J$24:$J$573,关卡!J1393)*关卡!$S$7),[3]关卡对接!F1381)</f>
        <v>31403</v>
      </c>
      <c r="L1393" s="12">
        <f t="shared" si="200"/>
        <v>2.2000000000000002</v>
      </c>
      <c r="M1393" s="12">
        <f>L1393/[4]货币基础!$B$4</f>
        <v>220</v>
      </c>
      <c r="N1393" s="12">
        <f>IF(A1393&lt;[3]关卡对接!$A$4,INDEX([3]关卡对接!$E$7:$E$141,A1393),MATCH(E1393,人物经验!$H$24:$H$573,1))</f>
        <v>469</v>
      </c>
      <c r="O1393" s="12">
        <f>INDEX([2]关卡!$G$6:$G$2005,A1393)</f>
        <v>3</v>
      </c>
      <c r="P1393" s="13">
        <v>6</v>
      </c>
      <c r="Q1393" s="12">
        <f>INT(P1393/$S$15/O1393*VLOOKUP(J1393,[1]人物技能基础!$N$3:$O$553,2,0)*$U$15)</f>
        <v>9</v>
      </c>
      <c r="R1393" s="12">
        <f t="shared" si="201"/>
        <v>112</v>
      </c>
    </row>
    <row r="1394" spans="1:18" x14ac:dyDescent="0.15">
      <c r="A1394" s="12">
        <v>1376</v>
      </c>
      <c r="B1394" s="12">
        <f t="shared" si="198"/>
        <v>7</v>
      </c>
      <c r="C1394" s="12">
        <f t="shared" si="199"/>
        <v>8.6943999999999999</v>
      </c>
      <c r="D1394" s="12">
        <f t="shared" si="193"/>
        <v>5.3774999999999906E-2</v>
      </c>
      <c r="E1394" s="12">
        <f>SUM($D$19:D1394)</f>
        <v>30.894399999999969</v>
      </c>
      <c r="F1394" s="12">
        <f t="shared" si="196"/>
        <v>351.56476399206394</v>
      </c>
      <c r="G1394" s="12">
        <f t="shared" si="197"/>
        <v>214.93588232191996</v>
      </c>
      <c r="H1394" s="12">
        <f t="shared" si="194"/>
        <v>1265600</v>
      </c>
      <c r="I1394" s="12">
        <f t="shared" si="195"/>
        <v>773700</v>
      </c>
      <c r="J1394" s="12">
        <f>IF(A1394&lt;[3]关卡对接!$A$4,INDEX([3]关卡对接!$C$7:$C$141,A1394),MATCH(E1394,人物经验!$H$24:$H$573,1))</f>
        <v>469</v>
      </c>
      <c r="K1394" s="12">
        <f>IF([3]关卡对接!F1382="",INT(INDEX(人物经验!$J$24:$J$573,关卡!J1394)*关卡!$S$7),[3]关卡对接!F1382)</f>
        <v>31403</v>
      </c>
      <c r="L1394" s="12">
        <f t="shared" si="200"/>
        <v>2.2000000000000002</v>
      </c>
      <c r="M1394" s="12">
        <f>L1394/[4]货币基础!$B$4</f>
        <v>220</v>
      </c>
      <c r="N1394" s="12">
        <f>IF(A1394&lt;[3]关卡对接!$A$4,INDEX([3]关卡对接!$E$7:$E$141,A1394),MATCH(E1394,人物经验!$H$24:$H$573,1))</f>
        <v>469</v>
      </c>
      <c r="O1394" s="12">
        <f>INDEX([2]关卡!$G$6:$G$2005,A1394)</f>
        <v>3</v>
      </c>
      <c r="P1394" s="13">
        <v>6</v>
      </c>
      <c r="Q1394" s="12">
        <f>INT(P1394/$S$15/O1394*VLOOKUP(J1394,[1]人物技能基础!$N$3:$O$553,2,0)*$U$15)</f>
        <v>9</v>
      </c>
      <c r="R1394" s="12">
        <f t="shared" si="201"/>
        <v>112</v>
      </c>
    </row>
    <row r="1395" spans="1:18" x14ac:dyDescent="0.15">
      <c r="A1395" s="12">
        <v>1377</v>
      </c>
      <c r="B1395" s="12">
        <f t="shared" si="198"/>
        <v>7</v>
      </c>
      <c r="C1395" s="12">
        <f t="shared" si="199"/>
        <v>8.7482250000000015</v>
      </c>
      <c r="D1395" s="12">
        <f t="shared" si="193"/>
        <v>5.3825000000001566E-2</v>
      </c>
      <c r="E1395" s="12">
        <f>SUM($D$19:D1395)</f>
        <v>30.948224999999972</v>
      </c>
      <c r="F1395" s="12">
        <f t="shared" si="196"/>
        <v>352.22573427948493</v>
      </c>
      <c r="G1395" s="12">
        <f t="shared" si="197"/>
        <v>215.25764265255592</v>
      </c>
      <c r="H1395" s="12">
        <f t="shared" si="194"/>
        <v>1268000</v>
      </c>
      <c r="I1395" s="12">
        <f t="shared" si="195"/>
        <v>774900</v>
      </c>
      <c r="J1395" s="12">
        <f>IF(A1395&lt;[3]关卡对接!$A$4,INDEX([3]关卡对接!$C$7:$C$141,A1395),MATCH(E1395,人物经验!$H$24:$H$573,1))</f>
        <v>469</v>
      </c>
      <c r="K1395" s="12">
        <f>IF([3]关卡对接!F1383="",INT(INDEX(人物经验!$J$24:$J$573,关卡!J1395)*关卡!$S$7),[3]关卡对接!F1383)</f>
        <v>31403</v>
      </c>
      <c r="L1395" s="12">
        <f t="shared" si="200"/>
        <v>2.2000000000000002</v>
      </c>
      <c r="M1395" s="12">
        <f>L1395/[4]货币基础!$B$4</f>
        <v>220</v>
      </c>
      <c r="N1395" s="12">
        <f>IF(A1395&lt;[3]关卡对接!$A$4,INDEX([3]关卡对接!$E$7:$E$141,A1395),MATCH(E1395,人物经验!$H$24:$H$573,1))</f>
        <v>469</v>
      </c>
      <c r="O1395" s="12">
        <f>INDEX([2]关卡!$G$6:$G$2005,A1395)</f>
        <v>3</v>
      </c>
      <c r="P1395" s="13">
        <v>6</v>
      </c>
      <c r="Q1395" s="12">
        <f>INT(P1395/$S$15/O1395*VLOOKUP(J1395,[1]人物技能基础!$N$3:$O$553,2,0)*$U$15)</f>
        <v>9</v>
      </c>
      <c r="R1395" s="12">
        <f t="shared" si="201"/>
        <v>112</v>
      </c>
    </row>
    <row r="1396" spans="1:18" x14ac:dyDescent="0.15">
      <c r="A1396" s="12">
        <v>1378</v>
      </c>
      <c r="B1396" s="12">
        <f t="shared" si="198"/>
        <v>7</v>
      </c>
      <c r="C1396" s="12">
        <f t="shared" si="199"/>
        <v>8.8021000000000011</v>
      </c>
      <c r="D1396" s="12">
        <f t="shared" si="193"/>
        <v>5.3874999999999673E-2</v>
      </c>
      <c r="E1396" s="12">
        <f>SUM($D$19:D1396)</f>
        <v>31.00209999999997</v>
      </c>
      <c r="F1396" s="12">
        <f t="shared" si="196"/>
        <v>352.88768180855902</v>
      </c>
      <c r="G1396" s="12">
        <f t="shared" si="197"/>
        <v>215.57976799489498</v>
      </c>
      <c r="H1396" s="12">
        <f t="shared" si="194"/>
        <v>1270300</v>
      </c>
      <c r="I1396" s="12">
        <f t="shared" si="195"/>
        <v>776000</v>
      </c>
      <c r="J1396" s="12">
        <f>IF(A1396&lt;[3]关卡对接!$A$4,INDEX([3]关卡对接!$C$7:$C$141,A1396),MATCH(E1396,人物经验!$H$24:$H$573,1))</f>
        <v>470</v>
      </c>
      <c r="K1396" s="12">
        <f>IF([3]关卡对接!F1384="",INT(INDEX(人物经验!$J$24:$J$573,关卡!J1396)*关卡!$S$7),[3]关卡对接!F1384)</f>
        <v>31700</v>
      </c>
      <c r="L1396" s="12">
        <f t="shared" si="200"/>
        <v>2.2000000000000002</v>
      </c>
      <c r="M1396" s="12">
        <f>L1396/[4]货币基础!$B$4</f>
        <v>220</v>
      </c>
      <c r="N1396" s="12">
        <f>IF(A1396&lt;[3]关卡对接!$A$4,INDEX([3]关卡对接!$E$7:$E$141,A1396),MATCH(E1396,人物经验!$H$24:$H$573,1))</f>
        <v>470</v>
      </c>
      <c r="O1396" s="12">
        <f>INDEX([2]关卡!$G$6:$G$2005,A1396)</f>
        <v>3</v>
      </c>
      <c r="P1396" s="13">
        <v>6</v>
      </c>
      <c r="Q1396" s="12">
        <f>INT(P1396/$S$15/O1396*VLOOKUP(J1396,[1]人物技能基础!$N$3:$O$553,2,0)*$U$15)</f>
        <v>9</v>
      </c>
      <c r="R1396" s="12">
        <f t="shared" si="201"/>
        <v>112</v>
      </c>
    </row>
    <row r="1397" spans="1:18" x14ac:dyDescent="0.15">
      <c r="A1397" s="12">
        <v>1379</v>
      </c>
      <c r="B1397" s="12">
        <f t="shared" si="198"/>
        <v>7</v>
      </c>
      <c r="C1397" s="12">
        <f t="shared" si="199"/>
        <v>8.8560249999999989</v>
      </c>
      <c r="D1397" s="12">
        <f t="shared" si="193"/>
        <v>5.392499999999778E-2</v>
      </c>
      <c r="E1397" s="12">
        <f>SUM($D$19:D1397)</f>
        <v>31.05602499999997</v>
      </c>
      <c r="F1397" s="12">
        <f t="shared" si="196"/>
        <v>353.55060762871994</v>
      </c>
      <c r="G1397" s="12">
        <f t="shared" si="197"/>
        <v>215.9022586577309</v>
      </c>
      <c r="H1397" s="12">
        <f t="shared" si="194"/>
        <v>1272700</v>
      </c>
      <c r="I1397" s="12">
        <f t="shared" si="195"/>
        <v>777200</v>
      </c>
      <c r="J1397" s="12">
        <f>IF(A1397&lt;[3]关卡对接!$A$4,INDEX([3]关卡对接!$C$7:$C$141,A1397),MATCH(E1397,人物经验!$H$24:$H$573,1))</f>
        <v>470</v>
      </c>
      <c r="K1397" s="12">
        <f>IF([3]关卡对接!F1385="",INT(INDEX(人物经验!$J$24:$J$573,关卡!J1397)*关卡!$S$7),[3]关卡对接!F1385)</f>
        <v>31700</v>
      </c>
      <c r="L1397" s="12">
        <f t="shared" si="200"/>
        <v>2.2000000000000002</v>
      </c>
      <c r="M1397" s="12">
        <f>L1397/[4]货币基础!$B$4</f>
        <v>220</v>
      </c>
      <c r="N1397" s="12">
        <f>IF(A1397&lt;[3]关卡对接!$A$4,INDEX([3]关卡对接!$E$7:$E$141,A1397),MATCH(E1397,人物经验!$H$24:$H$573,1))</f>
        <v>470</v>
      </c>
      <c r="O1397" s="12">
        <f>INDEX([2]关卡!$G$6:$G$2005,A1397)</f>
        <v>3</v>
      </c>
      <c r="P1397" s="13">
        <v>6</v>
      </c>
      <c r="Q1397" s="12">
        <f>INT(P1397/$S$15/O1397*VLOOKUP(J1397,[1]人物技能基础!$N$3:$O$553,2,0)*$U$15)</f>
        <v>9</v>
      </c>
      <c r="R1397" s="12">
        <f t="shared" si="201"/>
        <v>112</v>
      </c>
    </row>
    <row r="1398" spans="1:18" x14ac:dyDescent="0.15">
      <c r="A1398" s="12">
        <v>1380</v>
      </c>
      <c r="B1398" s="12">
        <f t="shared" si="198"/>
        <v>7</v>
      </c>
      <c r="C1398" s="12">
        <f t="shared" si="199"/>
        <v>8.91</v>
      </c>
      <c r="D1398" s="12">
        <f t="shared" si="193"/>
        <v>5.3975000000001216E-2</v>
      </c>
      <c r="E1398" s="12">
        <f>SUM($D$19:D1398)</f>
        <v>31.109999999999971</v>
      </c>
      <c r="F1398" s="12">
        <f t="shared" si="196"/>
        <v>354.21451278999996</v>
      </c>
      <c r="G1398" s="12">
        <f t="shared" si="197"/>
        <v>216.22511494999995</v>
      </c>
      <c r="H1398" s="12">
        <f t="shared" si="194"/>
        <v>1275100</v>
      </c>
      <c r="I1398" s="12">
        <f t="shared" si="195"/>
        <v>778400</v>
      </c>
      <c r="J1398" s="12">
        <f>IF(A1398&lt;[3]关卡对接!$A$4,INDEX([3]关卡对接!$C$7:$C$141,A1398),MATCH(E1398,人物经验!$H$24:$H$573,1))</f>
        <v>470</v>
      </c>
      <c r="K1398" s="12">
        <f>IF([3]关卡对接!F1386="",INT(INDEX(人物经验!$J$24:$J$573,关卡!J1398)*关卡!$S$7),[3]关卡对接!F1386)</f>
        <v>31700</v>
      </c>
      <c r="L1398" s="12">
        <f t="shared" si="200"/>
        <v>2.2000000000000002</v>
      </c>
      <c r="M1398" s="12">
        <f>L1398/[4]货币基础!$B$4</f>
        <v>220</v>
      </c>
      <c r="N1398" s="12">
        <f>IF(A1398&lt;[3]关卡对接!$A$4,INDEX([3]关卡对接!$E$7:$E$141,A1398),MATCH(E1398,人物经验!$H$24:$H$573,1))</f>
        <v>470</v>
      </c>
      <c r="O1398" s="12">
        <f>INDEX([2]关卡!$G$6:$G$2005,A1398)</f>
        <v>3</v>
      </c>
      <c r="P1398" s="13">
        <v>6</v>
      </c>
      <c r="Q1398" s="12">
        <f>INT(P1398/$S$15/O1398*VLOOKUP(J1398,[1]人物技能基础!$N$3:$O$553,2,0)*$U$15)</f>
        <v>9</v>
      </c>
      <c r="R1398" s="12">
        <f t="shared" si="201"/>
        <v>112</v>
      </c>
    </row>
    <row r="1399" spans="1:18" x14ac:dyDescent="0.15">
      <c r="A1399" s="12">
        <v>1381</v>
      </c>
      <c r="B1399" s="12">
        <f t="shared" si="198"/>
        <v>7</v>
      </c>
      <c r="C1399" s="12">
        <f t="shared" si="199"/>
        <v>8.9640249999999995</v>
      </c>
      <c r="D1399" s="12">
        <f t="shared" si="193"/>
        <v>5.4024999999999324E-2</v>
      </c>
      <c r="E1399" s="12">
        <f>SUM($D$19:D1399)</f>
        <v>31.16402499999997</v>
      </c>
      <c r="F1399" s="12">
        <f t="shared" si="196"/>
        <v>354.87939834303</v>
      </c>
      <c r="G1399" s="12">
        <f t="shared" si="197"/>
        <v>216.54833718078092</v>
      </c>
      <c r="H1399" s="12">
        <f t="shared" si="194"/>
        <v>1277500</v>
      </c>
      <c r="I1399" s="12">
        <f t="shared" si="195"/>
        <v>779500</v>
      </c>
      <c r="J1399" s="12">
        <f>IF(A1399&lt;[3]关卡对接!$A$4,INDEX([3]关卡对接!$C$7:$C$141,A1399),MATCH(E1399,人物经验!$H$24:$H$573,1))</f>
        <v>470</v>
      </c>
      <c r="K1399" s="12">
        <f>IF([3]关卡对接!F1387="",INT(INDEX(人物经验!$J$24:$J$573,关卡!J1399)*关卡!$S$7),[3]关卡对接!F1387)</f>
        <v>31700</v>
      </c>
      <c r="L1399" s="12">
        <f t="shared" si="200"/>
        <v>2.2000000000000002</v>
      </c>
      <c r="M1399" s="12">
        <f>L1399/[4]货币基础!$B$4</f>
        <v>220</v>
      </c>
      <c r="N1399" s="12">
        <f>IF(A1399&lt;[3]关卡对接!$A$4,INDEX([3]关卡对接!$E$7:$E$141,A1399),MATCH(E1399,人物经验!$H$24:$H$573,1))</f>
        <v>470</v>
      </c>
      <c r="O1399" s="12">
        <f>INDEX([2]关卡!$G$6:$G$2005,A1399)</f>
        <v>3</v>
      </c>
      <c r="P1399" s="13">
        <v>6</v>
      </c>
      <c r="Q1399" s="12">
        <f>INT(P1399/$S$15/O1399*VLOOKUP(J1399,[1]人物技能基础!$N$3:$O$553,2,0)*$U$15)</f>
        <v>9</v>
      </c>
      <c r="R1399" s="12">
        <f t="shared" si="201"/>
        <v>112</v>
      </c>
    </row>
    <row r="1400" spans="1:18" x14ac:dyDescent="0.15">
      <c r="A1400" s="12">
        <v>1382</v>
      </c>
      <c r="B1400" s="12">
        <f t="shared" si="198"/>
        <v>7</v>
      </c>
      <c r="C1400" s="12">
        <f t="shared" si="199"/>
        <v>9.0181000000000004</v>
      </c>
      <c r="D1400" s="12">
        <f t="shared" si="193"/>
        <v>5.4075000000000983E-2</v>
      </c>
      <c r="E1400" s="12">
        <f>SUM($D$19:D1400)</f>
        <v>31.218099999999971</v>
      </c>
      <c r="F1400" s="12">
        <f t="shared" si="196"/>
        <v>355.54526533903891</v>
      </c>
      <c r="G1400" s="12">
        <f t="shared" si="197"/>
        <v>216.87192565929496</v>
      </c>
      <c r="H1400" s="12">
        <f t="shared" si="194"/>
        <v>1279900</v>
      </c>
      <c r="I1400" s="12">
        <f t="shared" si="195"/>
        <v>780700</v>
      </c>
      <c r="J1400" s="12">
        <f>IF(A1400&lt;[3]关卡对接!$A$4,INDEX([3]关卡对接!$C$7:$C$141,A1400),MATCH(E1400,人物经验!$H$24:$H$573,1))</f>
        <v>470</v>
      </c>
      <c r="K1400" s="12">
        <f>IF([3]关卡对接!F1388="",INT(INDEX(人物经验!$J$24:$J$573,关卡!J1400)*关卡!$S$7),[3]关卡对接!F1388)</f>
        <v>31700</v>
      </c>
      <c r="L1400" s="12">
        <f t="shared" si="200"/>
        <v>2.2000000000000002</v>
      </c>
      <c r="M1400" s="12">
        <f>L1400/[4]货币基础!$B$4</f>
        <v>220</v>
      </c>
      <c r="N1400" s="12">
        <f>IF(A1400&lt;[3]关卡对接!$A$4,INDEX([3]关卡对接!$E$7:$E$141,A1400),MATCH(E1400,人物经验!$H$24:$H$573,1))</f>
        <v>470</v>
      </c>
      <c r="O1400" s="12">
        <f>INDEX([2]关卡!$G$6:$G$2005,A1400)</f>
        <v>3</v>
      </c>
      <c r="P1400" s="13">
        <v>6</v>
      </c>
      <c r="Q1400" s="12">
        <f>INT(P1400/$S$15/O1400*VLOOKUP(J1400,[1]人物技能基础!$N$3:$O$553,2,0)*$U$15)</f>
        <v>9</v>
      </c>
      <c r="R1400" s="12">
        <f t="shared" si="201"/>
        <v>112</v>
      </c>
    </row>
    <row r="1401" spans="1:18" x14ac:dyDescent="0.15">
      <c r="A1401" s="12">
        <v>1383</v>
      </c>
      <c r="B1401" s="12">
        <f t="shared" si="198"/>
        <v>7</v>
      </c>
      <c r="C1401" s="12">
        <f t="shared" si="199"/>
        <v>9.0722249999999995</v>
      </c>
      <c r="D1401" s="12">
        <f t="shared" si="193"/>
        <v>5.4124999999999091E-2</v>
      </c>
      <c r="E1401" s="12">
        <f>SUM($D$19:D1401)</f>
        <v>31.27222499999997</v>
      </c>
      <c r="F1401" s="12">
        <f t="shared" si="196"/>
        <v>356.21211482985501</v>
      </c>
      <c r="G1401" s="12">
        <f t="shared" si="197"/>
        <v>217.19588069490592</v>
      </c>
      <c r="H1401" s="12">
        <f t="shared" si="194"/>
        <v>1282300</v>
      </c>
      <c r="I1401" s="12">
        <f t="shared" si="195"/>
        <v>781900</v>
      </c>
      <c r="J1401" s="12">
        <f>IF(A1401&lt;[3]关卡对接!$A$4,INDEX([3]关卡对接!$C$7:$C$141,A1401),MATCH(E1401,人物经验!$H$24:$H$573,1))</f>
        <v>471</v>
      </c>
      <c r="K1401" s="12">
        <f>IF([3]关卡对接!F1389="",INT(INDEX(人物经验!$J$24:$J$573,关卡!J1401)*关卡!$S$7),[3]关卡对接!F1389)</f>
        <v>31999</v>
      </c>
      <c r="L1401" s="12">
        <f t="shared" si="200"/>
        <v>2.2000000000000002</v>
      </c>
      <c r="M1401" s="12">
        <f>L1401/[4]货币基础!$B$4</f>
        <v>220</v>
      </c>
      <c r="N1401" s="12">
        <f>IF(A1401&lt;[3]关卡对接!$A$4,INDEX([3]关卡对接!$E$7:$E$141,A1401),MATCH(E1401,人物经验!$H$24:$H$573,1))</f>
        <v>471</v>
      </c>
      <c r="O1401" s="12">
        <f>INDEX([2]关卡!$G$6:$G$2005,A1401)</f>
        <v>3</v>
      </c>
      <c r="P1401" s="13">
        <v>6</v>
      </c>
      <c r="Q1401" s="12">
        <f>INT(P1401/$S$15/O1401*VLOOKUP(J1401,[1]人物技能基础!$N$3:$O$553,2,0)*$U$15)</f>
        <v>9</v>
      </c>
      <c r="R1401" s="12">
        <f t="shared" si="201"/>
        <v>112</v>
      </c>
    </row>
    <row r="1402" spans="1:18" x14ac:dyDescent="0.15">
      <c r="A1402" s="12">
        <v>1384</v>
      </c>
      <c r="B1402" s="12">
        <f t="shared" si="198"/>
        <v>7</v>
      </c>
      <c r="C1402" s="12">
        <f t="shared" si="199"/>
        <v>9.1264000000000003</v>
      </c>
      <c r="D1402" s="12">
        <f t="shared" si="193"/>
        <v>5.417500000000075E-2</v>
      </c>
      <c r="E1402" s="12">
        <f>SUM($D$19:D1402)</f>
        <v>31.326399999999971</v>
      </c>
      <c r="F1402" s="12">
        <f t="shared" si="196"/>
        <v>356.87994786790392</v>
      </c>
      <c r="G1402" s="12">
        <f t="shared" si="197"/>
        <v>217.52020259711995</v>
      </c>
      <c r="H1402" s="12">
        <f t="shared" si="194"/>
        <v>1284700</v>
      </c>
      <c r="I1402" s="12">
        <f t="shared" si="195"/>
        <v>783000</v>
      </c>
      <c r="J1402" s="12">
        <f>IF(A1402&lt;[3]关卡对接!$A$4,INDEX([3]关卡对接!$C$7:$C$141,A1402),MATCH(E1402,人物经验!$H$24:$H$573,1))</f>
        <v>471</v>
      </c>
      <c r="K1402" s="12">
        <f>IF([3]关卡对接!F1390="",INT(INDEX(人物经验!$J$24:$J$573,关卡!J1402)*关卡!$S$7),[3]关卡对接!F1390)</f>
        <v>31999</v>
      </c>
      <c r="L1402" s="12">
        <f t="shared" si="200"/>
        <v>2.2000000000000002</v>
      </c>
      <c r="M1402" s="12">
        <f>L1402/[4]货币基础!$B$4</f>
        <v>220</v>
      </c>
      <c r="N1402" s="12">
        <f>IF(A1402&lt;[3]关卡对接!$A$4,INDEX([3]关卡对接!$E$7:$E$141,A1402),MATCH(E1402,人物经验!$H$24:$H$573,1))</f>
        <v>471</v>
      </c>
      <c r="O1402" s="12">
        <f>INDEX([2]关卡!$G$6:$G$2005,A1402)</f>
        <v>3</v>
      </c>
      <c r="P1402" s="13">
        <v>6</v>
      </c>
      <c r="Q1402" s="12">
        <f>INT(P1402/$S$15/O1402*VLOOKUP(J1402,[1]人物技能基础!$N$3:$O$553,2,0)*$U$15)</f>
        <v>9</v>
      </c>
      <c r="R1402" s="12">
        <f t="shared" si="201"/>
        <v>112</v>
      </c>
    </row>
    <row r="1403" spans="1:18" x14ac:dyDescent="0.15">
      <c r="A1403" s="12">
        <v>1385</v>
      </c>
      <c r="B1403" s="12">
        <f t="shared" si="198"/>
        <v>7</v>
      </c>
      <c r="C1403" s="12">
        <f t="shared" si="199"/>
        <v>9.1806249999999991</v>
      </c>
      <c r="D1403" s="12">
        <f t="shared" ref="D1403:D1466" si="202">IF(ISNA(MATCH(A1403,$A$6:$A$15,0)),C1403-C1402,C1403)</f>
        <v>5.4224999999998857E-2</v>
      </c>
      <c r="E1403" s="12">
        <f>SUM($D$19:D1403)</f>
        <v>31.38062499999997</v>
      </c>
      <c r="F1403" s="12">
        <f t="shared" si="196"/>
        <v>357.54876550621094</v>
      </c>
      <c r="G1403" s="12">
        <f t="shared" si="197"/>
        <v>217.84489167558596</v>
      </c>
      <c r="H1403" s="12">
        <f t="shared" ref="H1403:H1466" si="203">INT(F1403*60*60/100)*100</f>
        <v>1287100</v>
      </c>
      <c r="I1403" s="12">
        <f t="shared" ref="I1403:I1466" si="204">INT(G1403*60*60/100)*100</f>
        <v>784200</v>
      </c>
      <c r="J1403" s="12">
        <f>IF(A1403&lt;[3]关卡对接!$A$4,INDEX([3]关卡对接!$C$7:$C$141,A1403),MATCH(E1403,人物经验!$H$24:$H$573,1))</f>
        <v>471</v>
      </c>
      <c r="K1403" s="12">
        <f>IF([3]关卡对接!F1391="",INT(INDEX(人物经验!$J$24:$J$573,关卡!J1403)*关卡!$S$7),[3]关卡对接!F1391)</f>
        <v>31999</v>
      </c>
      <c r="L1403" s="12">
        <f t="shared" si="200"/>
        <v>2.2000000000000002</v>
      </c>
      <c r="M1403" s="12">
        <f>L1403/[4]货币基础!$B$4</f>
        <v>220</v>
      </c>
      <c r="N1403" s="12">
        <f>IF(A1403&lt;[3]关卡对接!$A$4,INDEX([3]关卡对接!$E$7:$E$141,A1403),MATCH(E1403,人物经验!$H$24:$H$573,1))</f>
        <v>471</v>
      </c>
      <c r="O1403" s="12">
        <f>INDEX([2]关卡!$G$6:$G$2005,A1403)</f>
        <v>3</v>
      </c>
      <c r="P1403" s="13">
        <v>6</v>
      </c>
      <c r="Q1403" s="12">
        <f>INT(P1403/$S$15/O1403*VLOOKUP(J1403,[1]人物技能基础!$N$3:$O$553,2,0)*$U$15)</f>
        <v>9</v>
      </c>
      <c r="R1403" s="12">
        <f t="shared" si="201"/>
        <v>112</v>
      </c>
    </row>
    <row r="1404" spans="1:18" x14ac:dyDescent="0.15">
      <c r="A1404" s="12">
        <v>1386</v>
      </c>
      <c r="B1404" s="12">
        <f t="shared" si="198"/>
        <v>7</v>
      </c>
      <c r="C1404" s="12">
        <f t="shared" si="199"/>
        <v>9.2349000000000014</v>
      </c>
      <c r="D1404" s="12">
        <f t="shared" si="202"/>
        <v>5.4275000000002294E-2</v>
      </c>
      <c r="E1404" s="12">
        <f>SUM($D$19:D1404)</f>
        <v>31.434899999999971</v>
      </c>
      <c r="F1404" s="12">
        <f t="shared" si="196"/>
        <v>358.21856879839896</v>
      </c>
      <c r="G1404" s="12">
        <f t="shared" si="197"/>
        <v>218.16994824009495</v>
      </c>
      <c r="H1404" s="12">
        <f t="shared" si="203"/>
        <v>1289500</v>
      </c>
      <c r="I1404" s="12">
        <f t="shared" si="204"/>
        <v>785400</v>
      </c>
      <c r="J1404" s="12">
        <f>IF(A1404&lt;[3]关卡对接!$A$4,INDEX([3]关卡对接!$C$7:$C$141,A1404),MATCH(E1404,人物经验!$H$24:$H$573,1))</f>
        <v>471</v>
      </c>
      <c r="K1404" s="12">
        <f>IF([3]关卡对接!F1392="",INT(INDEX(人物经验!$J$24:$J$573,关卡!J1404)*关卡!$S$7),[3]关卡对接!F1392)</f>
        <v>31999</v>
      </c>
      <c r="L1404" s="12">
        <f t="shared" si="200"/>
        <v>2.2000000000000002</v>
      </c>
      <c r="M1404" s="12">
        <f>L1404/[4]货币基础!$B$4</f>
        <v>220</v>
      </c>
      <c r="N1404" s="12">
        <f>IF(A1404&lt;[3]关卡对接!$A$4,INDEX([3]关卡对接!$E$7:$E$141,A1404),MATCH(E1404,人物经验!$H$24:$H$573,1))</f>
        <v>471</v>
      </c>
      <c r="O1404" s="12">
        <f>INDEX([2]关卡!$G$6:$G$2005,A1404)</f>
        <v>3</v>
      </c>
      <c r="P1404" s="13">
        <v>6</v>
      </c>
      <c r="Q1404" s="12">
        <f>INT(P1404/$S$15/O1404*VLOOKUP(J1404,[1]人物技能基础!$N$3:$O$553,2,0)*$U$15)</f>
        <v>9</v>
      </c>
      <c r="R1404" s="12">
        <f t="shared" si="201"/>
        <v>112</v>
      </c>
    </row>
    <row r="1405" spans="1:18" x14ac:dyDescent="0.15">
      <c r="A1405" s="12">
        <v>1387</v>
      </c>
      <c r="B1405" s="12">
        <f t="shared" si="198"/>
        <v>7</v>
      </c>
      <c r="C1405" s="12">
        <f t="shared" si="199"/>
        <v>9.2892250000000018</v>
      </c>
      <c r="D1405" s="12">
        <f t="shared" si="202"/>
        <v>5.4325000000000401E-2</v>
      </c>
      <c r="E1405" s="12">
        <f>SUM($D$19:D1405)</f>
        <v>31.489224999999969</v>
      </c>
      <c r="F1405" s="12">
        <f t="shared" si="196"/>
        <v>358.88935879868995</v>
      </c>
      <c r="G1405" s="12">
        <f t="shared" si="197"/>
        <v>218.49537260058094</v>
      </c>
      <c r="H1405" s="12">
        <f t="shared" si="203"/>
        <v>1292000</v>
      </c>
      <c r="I1405" s="12">
        <f t="shared" si="204"/>
        <v>786500</v>
      </c>
      <c r="J1405" s="12">
        <f>IF(A1405&lt;[3]关卡对接!$A$4,INDEX([3]关卡对接!$C$7:$C$141,A1405),MATCH(E1405,人物经验!$H$24:$H$573,1))</f>
        <v>471</v>
      </c>
      <c r="K1405" s="12">
        <f>IF([3]关卡对接!F1393="",INT(INDEX(人物经验!$J$24:$J$573,关卡!J1405)*关卡!$S$7),[3]关卡对接!F1393)</f>
        <v>31999</v>
      </c>
      <c r="L1405" s="12">
        <f t="shared" si="200"/>
        <v>2.2000000000000002</v>
      </c>
      <c r="M1405" s="12">
        <f>L1405/[4]货币基础!$B$4</f>
        <v>220</v>
      </c>
      <c r="N1405" s="12">
        <f>IF(A1405&lt;[3]关卡对接!$A$4,INDEX([3]关卡对接!$E$7:$E$141,A1405),MATCH(E1405,人物经验!$H$24:$H$573,1))</f>
        <v>471</v>
      </c>
      <c r="O1405" s="12">
        <f>INDEX([2]关卡!$G$6:$G$2005,A1405)</f>
        <v>3</v>
      </c>
      <c r="P1405" s="13">
        <v>6</v>
      </c>
      <c r="Q1405" s="12">
        <f>INT(P1405/$S$15/O1405*VLOOKUP(J1405,[1]人物技能基础!$N$3:$O$553,2,0)*$U$15)</f>
        <v>9</v>
      </c>
      <c r="R1405" s="12">
        <f t="shared" si="201"/>
        <v>112</v>
      </c>
    </row>
    <row r="1406" spans="1:18" x14ac:dyDescent="0.15">
      <c r="A1406" s="12">
        <v>1388</v>
      </c>
      <c r="B1406" s="12">
        <f t="shared" si="198"/>
        <v>7</v>
      </c>
      <c r="C1406" s="12">
        <f t="shared" si="199"/>
        <v>9.3436000000000003</v>
      </c>
      <c r="D1406" s="12">
        <f t="shared" si="202"/>
        <v>5.4374999999998508E-2</v>
      </c>
      <c r="E1406" s="12">
        <f>SUM($D$19:D1406)</f>
        <v>31.543599999999969</v>
      </c>
      <c r="F1406" s="12">
        <f t="shared" si="196"/>
        <v>359.56113656190399</v>
      </c>
      <c r="G1406" s="12">
        <f t="shared" si="197"/>
        <v>218.82116506711995</v>
      </c>
      <c r="H1406" s="12">
        <f t="shared" si="203"/>
        <v>1294400</v>
      </c>
      <c r="I1406" s="12">
        <f t="shared" si="204"/>
        <v>787700</v>
      </c>
      <c r="J1406" s="12">
        <f>IF(A1406&lt;[3]关卡对接!$A$4,INDEX([3]关卡对接!$C$7:$C$141,A1406),MATCH(E1406,人物经验!$H$24:$H$573,1))</f>
        <v>472</v>
      </c>
      <c r="K1406" s="12">
        <f>IF([3]关卡对接!F1394="",INT(INDEX(人物经验!$J$24:$J$573,关卡!J1406)*关卡!$S$7),[3]关卡对接!F1394)</f>
        <v>32300</v>
      </c>
      <c r="L1406" s="12">
        <f t="shared" si="200"/>
        <v>2.2000000000000002</v>
      </c>
      <c r="M1406" s="12">
        <f>L1406/[4]货币基础!$B$4</f>
        <v>220</v>
      </c>
      <c r="N1406" s="12">
        <f>IF(A1406&lt;[3]关卡对接!$A$4,INDEX([3]关卡对接!$E$7:$E$141,A1406),MATCH(E1406,人物经验!$H$24:$H$573,1))</f>
        <v>472</v>
      </c>
      <c r="O1406" s="12">
        <f>INDEX([2]关卡!$G$6:$G$2005,A1406)</f>
        <v>3</v>
      </c>
      <c r="P1406" s="13">
        <v>6</v>
      </c>
      <c r="Q1406" s="12">
        <f>INT(P1406/$S$15/O1406*VLOOKUP(J1406,[1]人物技能基础!$N$3:$O$553,2,0)*$U$15)</f>
        <v>9</v>
      </c>
      <c r="R1406" s="12">
        <f t="shared" si="201"/>
        <v>112</v>
      </c>
    </row>
    <row r="1407" spans="1:18" x14ac:dyDescent="0.15">
      <c r="A1407" s="12">
        <v>1389</v>
      </c>
      <c r="B1407" s="12">
        <f t="shared" si="198"/>
        <v>7</v>
      </c>
      <c r="C1407" s="12">
        <f t="shared" si="199"/>
        <v>9.3980249999999987</v>
      </c>
      <c r="D1407" s="12">
        <f t="shared" si="202"/>
        <v>5.4424999999998391E-2</v>
      </c>
      <c r="E1407" s="12">
        <f>SUM($D$19:D1407)</f>
        <v>31.598024999999968</v>
      </c>
      <c r="F1407" s="12">
        <f t="shared" si="196"/>
        <v>360.23390314345994</v>
      </c>
      <c r="G1407" s="12">
        <f t="shared" si="197"/>
        <v>219.14732594993094</v>
      </c>
      <c r="H1407" s="12">
        <f t="shared" si="203"/>
        <v>1296800</v>
      </c>
      <c r="I1407" s="12">
        <f t="shared" si="204"/>
        <v>788900</v>
      </c>
      <c r="J1407" s="12">
        <f>IF(A1407&lt;[3]关卡对接!$A$4,INDEX([3]关卡对接!$C$7:$C$141,A1407),MATCH(E1407,人物经验!$H$24:$H$573,1))</f>
        <v>472</v>
      </c>
      <c r="K1407" s="12">
        <f>IF([3]关卡对接!F1395="",INT(INDEX(人物经验!$J$24:$J$573,关卡!J1407)*关卡!$S$7),[3]关卡对接!F1395)</f>
        <v>32300</v>
      </c>
      <c r="L1407" s="12">
        <f t="shared" si="200"/>
        <v>2.2000000000000002</v>
      </c>
      <c r="M1407" s="12">
        <f>L1407/[4]货币基础!$B$4</f>
        <v>220</v>
      </c>
      <c r="N1407" s="12">
        <f>IF(A1407&lt;[3]关卡对接!$A$4,INDEX([3]关卡对接!$E$7:$E$141,A1407),MATCH(E1407,人物经验!$H$24:$H$573,1))</f>
        <v>472</v>
      </c>
      <c r="O1407" s="12">
        <f>INDEX([2]关卡!$G$6:$G$2005,A1407)</f>
        <v>3</v>
      </c>
      <c r="P1407" s="13">
        <v>6</v>
      </c>
      <c r="Q1407" s="12">
        <f>INT(P1407/$S$15/O1407*VLOOKUP(J1407,[1]人物技能基础!$N$3:$O$553,2,0)*$U$15)</f>
        <v>9</v>
      </c>
      <c r="R1407" s="12">
        <f t="shared" si="201"/>
        <v>112</v>
      </c>
    </row>
    <row r="1408" spans="1:18" x14ac:dyDescent="0.15">
      <c r="A1408" s="12">
        <v>1390</v>
      </c>
      <c r="B1408" s="12">
        <f t="shared" si="198"/>
        <v>7</v>
      </c>
      <c r="C1408" s="12">
        <f t="shared" si="199"/>
        <v>9.4524999999999988</v>
      </c>
      <c r="D1408" s="12">
        <f t="shared" si="202"/>
        <v>5.4475000000000051E-2</v>
      </c>
      <c r="E1408" s="12">
        <f>SUM($D$19:D1408)</f>
        <v>31.652499999999968</v>
      </c>
      <c r="F1408" s="12">
        <f t="shared" si="196"/>
        <v>360.90765959937494</v>
      </c>
      <c r="G1408" s="12">
        <f t="shared" si="197"/>
        <v>219.47385555937495</v>
      </c>
      <c r="H1408" s="12">
        <f t="shared" si="203"/>
        <v>1299200</v>
      </c>
      <c r="I1408" s="12">
        <f t="shared" si="204"/>
        <v>790100</v>
      </c>
      <c r="J1408" s="12">
        <f>IF(A1408&lt;[3]关卡对接!$A$4,INDEX([3]关卡对接!$C$7:$C$141,A1408),MATCH(E1408,人物经验!$H$24:$H$573,1))</f>
        <v>472</v>
      </c>
      <c r="K1408" s="12">
        <f>IF([3]关卡对接!F1396="",INT(INDEX(人物经验!$J$24:$J$573,关卡!J1408)*关卡!$S$7),[3]关卡对接!F1396)</f>
        <v>32300</v>
      </c>
      <c r="L1408" s="12">
        <f t="shared" si="200"/>
        <v>2.2000000000000002</v>
      </c>
      <c r="M1408" s="12">
        <f>L1408/[4]货币基础!$B$4</f>
        <v>220</v>
      </c>
      <c r="N1408" s="12">
        <f>IF(A1408&lt;[3]关卡对接!$A$4,INDEX([3]关卡对接!$E$7:$E$141,A1408),MATCH(E1408,人物经验!$H$24:$H$573,1))</f>
        <v>472</v>
      </c>
      <c r="O1408" s="12">
        <f>INDEX([2]关卡!$G$6:$G$2005,A1408)</f>
        <v>3</v>
      </c>
      <c r="P1408" s="13">
        <v>6</v>
      </c>
      <c r="Q1408" s="12">
        <f>INT(P1408/$S$15/O1408*VLOOKUP(J1408,[1]人物技能基础!$N$3:$O$553,2,0)*$U$15)</f>
        <v>9</v>
      </c>
      <c r="R1408" s="12">
        <f t="shared" si="201"/>
        <v>112</v>
      </c>
    </row>
    <row r="1409" spans="1:18" x14ac:dyDescent="0.15">
      <c r="A1409" s="12">
        <v>1391</v>
      </c>
      <c r="B1409" s="12">
        <f t="shared" si="198"/>
        <v>7</v>
      </c>
      <c r="C1409" s="12">
        <f t="shared" si="199"/>
        <v>9.5070249999999987</v>
      </c>
      <c r="D1409" s="12">
        <f t="shared" si="202"/>
        <v>5.4524999999999935E-2</v>
      </c>
      <c r="E1409" s="12">
        <f>SUM($D$19:D1409)</f>
        <v>31.707024999999966</v>
      </c>
      <c r="F1409" s="12">
        <f t="shared" si="196"/>
        <v>361.58240698626497</v>
      </c>
      <c r="G1409" s="12">
        <f t="shared" si="197"/>
        <v>219.80075420595597</v>
      </c>
      <c r="H1409" s="12">
        <f t="shared" si="203"/>
        <v>1301600</v>
      </c>
      <c r="I1409" s="12">
        <f t="shared" si="204"/>
        <v>791200</v>
      </c>
      <c r="J1409" s="12">
        <f>IF(A1409&lt;[3]关卡对接!$A$4,INDEX([3]关卡对接!$C$7:$C$141,A1409),MATCH(E1409,人物经验!$H$24:$H$573,1))</f>
        <v>472</v>
      </c>
      <c r="K1409" s="12">
        <f>IF([3]关卡对接!F1397="",INT(INDEX(人物经验!$J$24:$J$573,关卡!J1409)*关卡!$S$7),[3]关卡对接!F1397)</f>
        <v>32300</v>
      </c>
      <c r="L1409" s="12">
        <f t="shared" si="200"/>
        <v>2.2000000000000002</v>
      </c>
      <c r="M1409" s="12">
        <f>L1409/[4]货币基础!$B$4</f>
        <v>220</v>
      </c>
      <c r="N1409" s="12">
        <f>IF(A1409&lt;[3]关卡对接!$A$4,INDEX([3]关卡对接!$E$7:$E$141,A1409),MATCH(E1409,人物经验!$H$24:$H$573,1))</f>
        <v>472</v>
      </c>
      <c r="O1409" s="12">
        <f>INDEX([2]关卡!$G$6:$G$2005,A1409)</f>
        <v>3</v>
      </c>
      <c r="P1409" s="13">
        <v>6</v>
      </c>
      <c r="Q1409" s="12">
        <f>INT(P1409/$S$15/O1409*VLOOKUP(J1409,[1]人物技能基础!$N$3:$O$553,2,0)*$U$15)</f>
        <v>9</v>
      </c>
      <c r="R1409" s="12">
        <f t="shared" si="201"/>
        <v>112</v>
      </c>
    </row>
    <row r="1410" spans="1:18" x14ac:dyDescent="0.15">
      <c r="A1410" s="12">
        <v>1392</v>
      </c>
      <c r="B1410" s="12">
        <f t="shared" si="198"/>
        <v>7</v>
      </c>
      <c r="C1410" s="12">
        <f t="shared" si="199"/>
        <v>9.5616000000000003</v>
      </c>
      <c r="D1410" s="12">
        <f t="shared" si="202"/>
        <v>5.4575000000001594E-2</v>
      </c>
      <c r="E1410" s="12">
        <f>SUM($D$19:D1410)</f>
        <v>31.761599999999966</v>
      </c>
      <c r="F1410" s="12">
        <f t="shared" si="196"/>
        <v>362.25814636134396</v>
      </c>
      <c r="G1410" s="12">
        <f t="shared" si="197"/>
        <v>220.12802220031998</v>
      </c>
      <c r="H1410" s="12">
        <f t="shared" si="203"/>
        <v>1304100</v>
      </c>
      <c r="I1410" s="12">
        <f t="shared" si="204"/>
        <v>792400</v>
      </c>
      <c r="J1410" s="12">
        <f>IF(A1410&lt;[3]关卡对接!$A$4,INDEX([3]关卡对接!$C$7:$C$141,A1410),MATCH(E1410,人物经验!$H$24:$H$573,1))</f>
        <v>472</v>
      </c>
      <c r="K1410" s="12">
        <f>IF([3]关卡对接!F1398="",INT(INDEX(人物经验!$J$24:$J$573,关卡!J1410)*关卡!$S$7),[3]关卡对接!F1398)</f>
        <v>32300</v>
      </c>
      <c r="L1410" s="12">
        <f t="shared" si="200"/>
        <v>2.2000000000000002</v>
      </c>
      <c r="M1410" s="12">
        <f>L1410/[4]货币基础!$B$4</f>
        <v>220</v>
      </c>
      <c r="N1410" s="12">
        <f>IF(A1410&lt;[3]关卡对接!$A$4,INDEX([3]关卡对接!$E$7:$E$141,A1410),MATCH(E1410,人物经验!$H$24:$H$573,1))</f>
        <v>472</v>
      </c>
      <c r="O1410" s="12">
        <f>INDEX([2]关卡!$G$6:$G$2005,A1410)</f>
        <v>3</v>
      </c>
      <c r="P1410" s="13">
        <v>6</v>
      </c>
      <c r="Q1410" s="12">
        <f>INT(P1410/$S$15/O1410*VLOOKUP(J1410,[1]人物技能基础!$N$3:$O$553,2,0)*$U$15)</f>
        <v>9</v>
      </c>
      <c r="R1410" s="12">
        <f t="shared" si="201"/>
        <v>112</v>
      </c>
    </row>
    <row r="1411" spans="1:18" x14ac:dyDescent="0.15">
      <c r="A1411" s="12">
        <v>1393</v>
      </c>
      <c r="B1411" s="12">
        <f t="shared" si="198"/>
        <v>7</v>
      </c>
      <c r="C1411" s="12">
        <f t="shared" si="199"/>
        <v>9.616225</v>
      </c>
      <c r="D1411" s="12">
        <f t="shared" si="202"/>
        <v>5.4624999999999702E-2</v>
      </c>
      <c r="E1411" s="12">
        <f>SUM($D$19:D1411)</f>
        <v>31.816224999999967</v>
      </c>
      <c r="F1411" s="12">
        <f t="shared" si="196"/>
        <v>362.93487878242496</v>
      </c>
      <c r="G1411" s="12">
        <f t="shared" si="197"/>
        <v>220.45565985325592</v>
      </c>
      <c r="H1411" s="12">
        <f t="shared" si="203"/>
        <v>1306500</v>
      </c>
      <c r="I1411" s="12">
        <f t="shared" si="204"/>
        <v>793600</v>
      </c>
      <c r="J1411" s="12">
        <f>IF(A1411&lt;[3]关卡对接!$A$4,INDEX([3]关卡对接!$C$7:$C$141,A1411),MATCH(E1411,人物经验!$H$24:$H$573,1))</f>
        <v>473</v>
      </c>
      <c r="K1411" s="12">
        <f>IF([3]关卡对接!F1399="",INT(INDEX(人物经验!$J$24:$J$573,关卡!J1411)*关卡!$S$7),[3]关卡对接!F1399)</f>
        <v>32603</v>
      </c>
      <c r="L1411" s="12">
        <f t="shared" si="200"/>
        <v>2.2000000000000002</v>
      </c>
      <c r="M1411" s="12">
        <f>L1411/[4]货币基础!$B$4</f>
        <v>220</v>
      </c>
      <c r="N1411" s="12">
        <f>IF(A1411&lt;[3]关卡对接!$A$4,INDEX([3]关卡对接!$E$7:$E$141,A1411),MATCH(E1411,人物经验!$H$24:$H$573,1))</f>
        <v>473</v>
      </c>
      <c r="O1411" s="12">
        <f>INDEX([2]关卡!$G$6:$G$2005,A1411)</f>
        <v>3</v>
      </c>
      <c r="P1411" s="13">
        <v>6</v>
      </c>
      <c r="Q1411" s="12">
        <f>INT(P1411/$S$15/O1411*VLOOKUP(J1411,[1]人物技能基础!$N$3:$O$553,2,0)*$U$15)</f>
        <v>9</v>
      </c>
      <c r="R1411" s="12">
        <f t="shared" si="201"/>
        <v>112</v>
      </c>
    </row>
    <row r="1412" spans="1:18" x14ac:dyDescent="0.15">
      <c r="A1412" s="12">
        <v>1394</v>
      </c>
      <c r="B1412" s="12">
        <f t="shared" si="198"/>
        <v>7</v>
      </c>
      <c r="C1412" s="12">
        <f t="shared" si="199"/>
        <v>9.6708999999999996</v>
      </c>
      <c r="D1412" s="12">
        <f t="shared" si="202"/>
        <v>5.4674999999999585E-2</v>
      </c>
      <c r="E1412" s="12">
        <f>SUM($D$19:D1412)</f>
        <v>31.870899999999967</v>
      </c>
      <c r="F1412" s="12">
        <f t="shared" si="196"/>
        <v>363.61260530791895</v>
      </c>
      <c r="G1412" s="12">
        <f t="shared" si="197"/>
        <v>220.78366747569498</v>
      </c>
      <c r="H1412" s="12">
        <f t="shared" si="203"/>
        <v>1309000</v>
      </c>
      <c r="I1412" s="12">
        <f t="shared" si="204"/>
        <v>794800</v>
      </c>
      <c r="J1412" s="12">
        <f>IF(A1412&lt;[3]关卡对接!$A$4,INDEX([3]关卡对接!$C$7:$C$141,A1412),MATCH(E1412,人物经验!$H$24:$H$573,1))</f>
        <v>473</v>
      </c>
      <c r="K1412" s="12">
        <f>IF([3]关卡对接!F1400="",INT(INDEX(人物经验!$J$24:$J$573,关卡!J1412)*关卡!$S$7),[3]关卡对接!F1400)</f>
        <v>32603</v>
      </c>
      <c r="L1412" s="12">
        <f t="shared" si="200"/>
        <v>2.2000000000000002</v>
      </c>
      <c r="M1412" s="12">
        <f>L1412/[4]货币基础!$B$4</f>
        <v>220</v>
      </c>
      <c r="N1412" s="12">
        <f>IF(A1412&lt;[3]关卡对接!$A$4,INDEX([3]关卡对接!$E$7:$E$141,A1412),MATCH(E1412,人物经验!$H$24:$H$573,1))</f>
        <v>473</v>
      </c>
      <c r="O1412" s="12">
        <f>INDEX([2]关卡!$G$6:$G$2005,A1412)</f>
        <v>3</v>
      </c>
      <c r="P1412" s="13">
        <v>6</v>
      </c>
      <c r="Q1412" s="12">
        <f>INT(P1412/$S$15/O1412*VLOOKUP(J1412,[1]人物技能基础!$N$3:$O$553,2,0)*$U$15)</f>
        <v>9</v>
      </c>
      <c r="R1412" s="12">
        <f t="shared" si="201"/>
        <v>112</v>
      </c>
    </row>
    <row r="1413" spans="1:18" x14ac:dyDescent="0.15">
      <c r="A1413" s="12">
        <v>1395</v>
      </c>
      <c r="B1413" s="12">
        <f t="shared" si="198"/>
        <v>7</v>
      </c>
      <c r="C1413" s="12">
        <f t="shared" si="199"/>
        <v>9.7256250000000009</v>
      </c>
      <c r="D1413" s="12">
        <f t="shared" si="202"/>
        <v>5.4725000000001245E-2</v>
      </c>
      <c r="E1413" s="12">
        <f>SUM($D$19:D1413)</f>
        <v>31.925624999999968</v>
      </c>
      <c r="F1413" s="12">
        <f t="shared" si="196"/>
        <v>364.29132699683595</v>
      </c>
      <c r="G1413" s="12">
        <f t="shared" si="197"/>
        <v>221.11204537871092</v>
      </c>
      <c r="H1413" s="12">
        <f t="shared" si="203"/>
        <v>1311400</v>
      </c>
      <c r="I1413" s="12">
        <f t="shared" si="204"/>
        <v>796000</v>
      </c>
      <c r="J1413" s="12">
        <f>IF(A1413&lt;[3]关卡对接!$A$4,INDEX([3]关卡对接!$C$7:$C$141,A1413),MATCH(E1413,人物经验!$H$24:$H$573,1))</f>
        <v>473</v>
      </c>
      <c r="K1413" s="12">
        <f>IF([3]关卡对接!F1401="",INT(INDEX(人物经验!$J$24:$J$573,关卡!J1413)*关卡!$S$7),[3]关卡对接!F1401)</f>
        <v>32603</v>
      </c>
      <c r="L1413" s="12">
        <f t="shared" si="200"/>
        <v>2.2000000000000002</v>
      </c>
      <c r="M1413" s="12">
        <f>L1413/[4]货币基础!$B$4</f>
        <v>220</v>
      </c>
      <c r="N1413" s="12">
        <f>IF(A1413&lt;[3]关卡对接!$A$4,INDEX([3]关卡对接!$E$7:$E$141,A1413),MATCH(E1413,人物经验!$H$24:$H$573,1))</f>
        <v>473</v>
      </c>
      <c r="O1413" s="12">
        <f>INDEX([2]关卡!$G$6:$G$2005,A1413)</f>
        <v>3</v>
      </c>
      <c r="P1413" s="13">
        <v>6</v>
      </c>
      <c r="Q1413" s="12">
        <f>INT(P1413/$S$15/O1413*VLOOKUP(J1413,[1]人物技能基础!$N$3:$O$553,2,0)*$U$15)</f>
        <v>9</v>
      </c>
      <c r="R1413" s="12">
        <f t="shared" si="201"/>
        <v>112</v>
      </c>
    </row>
    <row r="1414" spans="1:18" x14ac:dyDescent="0.15">
      <c r="A1414" s="12">
        <v>1396</v>
      </c>
      <c r="B1414" s="12">
        <f t="shared" si="198"/>
        <v>7</v>
      </c>
      <c r="C1414" s="12">
        <f t="shared" si="199"/>
        <v>9.7804000000000002</v>
      </c>
      <c r="D1414" s="12">
        <f t="shared" si="202"/>
        <v>5.4774999999999352E-2</v>
      </c>
      <c r="E1414" s="12">
        <f>SUM($D$19:D1414)</f>
        <v>31.980399999999968</v>
      </c>
      <c r="F1414" s="12">
        <f t="shared" si="196"/>
        <v>364.97104490878394</v>
      </c>
      <c r="G1414" s="12">
        <f t="shared" si="197"/>
        <v>221.44079387351994</v>
      </c>
      <c r="H1414" s="12">
        <f t="shared" si="203"/>
        <v>1313800</v>
      </c>
      <c r="I1414" s="12">
        <f t="shared" si="204"/>
        <v>797100</v>
      </c>
      <c r="J1414" s="12">
        <f>IF(A1414&lt;[3]关卡对接!$A$4,INDEX([3]关卡对接!$C$7:$C$141,A1414),MATCH(E1414,人物经验!$H$24:$H$573,1))</f>
        <v>473</v>
      </c>
      <c r="K1414" s="12">
        <f>IF([3]关卡对接!F1402="",INT(INDEX(人物经验!$J$24:$J$573,关卡!J1414)*关卡!$S$7),[3]关卡对接!F1402)</f>
        <v>32603</v>
      </c>
      <c r="L1414" s="12">
        <f t="shared" si="200"/>
        <v>2.2000000000000002</v>
      </c>
      <c r="M1414" s="12">
        <f>L1414/[4]货币基础!$B$4</f>
        <v>220</v>
      </c>
      <c r="N1414" s="12">
        <f>IF(A1414&lt;[3]关卡对接!$A$4,INDEX([3]关卡对接!$E$7:$E$141,A1414),MATCH(E1414,人物经验!$H$24:$H$573,1))</f>
        <v>473</v>
      </c>
      <c r="O1414" s="12">
        <f>INDEX([2]关卡!$G$6:$G$2005,A1414)</f>
        <v>3</v>
      </c>
      <c r="P1414" s="13">
        <v>6</v>
      </c>
      <c r="Q1414" s="12">
        <f>INT(P1414/$S$15/O1414*VLOOKUP(J1414,[1]人物技能基础!$N$3:$O$553,2,0)*$U$15)</f>
        <v>9</v>
      </c>
      <c r="R1414" s="12">
        <f t="shared" si="201"/>
        <v>112</v>
      </c>
    </row>
    <row r="1415" spans="1:18" x14ac:dyDescent="0.15">
      <c r="A1415" s="12">
        <v>1397</v>
      </c>
      <c r="B1415" s="12">
        <f t="shared" si="198"/>
        <v>7</v>
      </c>
      <c r="C1415" s="12">
        <f t="shared" si="199"/>
        <v>9.8352249999999994</v>
      </c>
      <c r="D1415" s="12">
        <f t="shared" si="202"/>
        <v>5.4824999999999235E-2</v>
      </c>
      <c r="E1415" s="12">
        <f>SUM($D$19:D1415)</f>
        <v>32.035224999999969</v>
      </c>
      <c r="F1415" s="12">
        <f t="shared" si="196"/>
        <v>365.65176010396999</v>
      </c>
      <c r="G1415" s="12">
        <f t="shared" si="197"/>
        <v>221.76991327148099</v>
      </c>
      <c r="H1415" s="12">
        <f t="shared" si="203"/>
        <v>1316300</v>
      </c>
      <c r="I1415" s="12">
        <f t="shared" si="204"/>
        <v>798300</v>
      </c>
      <c r="J1415" s="12">
        <f>IF(A1415&lt;[3]关卡对接!$A$4,INDEX([3]关卡对接!$C$7:$C$141,A1415),MATCH(E1415,人物经验!$H$24:$H$573,1))</f>
        <v>473</v>
      </c>
      <c r="K1415" s="12">
        <f>IF([3]关卡对接!F1403="",INT(INDEX(人物经验!$J$24:$J$573,关卡!J1415)*关卡!$S$7),[3]关卡对接!F1403)</f>
        <v>32603</v>
      </c>
      <c r="L1415" s="12">
        <f t="shared" si="200"/>
        <v>2.2000000000000002</v>
      </c>
      <c r="M1415" s="12">
        <f>L1415/[4]货币基础!$B$4</f>
        <v>220</v>
      </c>
      <c r="N1415" s="12">
        <f>IF(A1415&lt;[3]关卡对接!$A$4,INDEX([3]关卡对接!$E$7:$E$141,A1415),MATCH(E1415,人物经验!$H$24:$H$573,1))</f>
        <v>473</v>
      </c>
      <c r="O1415" s="12">
        <f>INDEX([2]关卡!$G$6:$G$2005,A1415)</f>
        <v>3</v>
      </c>
      <c r="P1415" s="13">
        <v>6</v>
      </c>
      <c r="Q1415" s="12">
        <f>INT(P1415/$S$15/O1415*VLOOKUP(J1415,[1]人物技能基础!$N$3:$O$553,2,0)*$U$15)</f>
        <v>9</v>
      </c>
      <c r="R1415" s="12">
        <f t="shared" si="201"/>
        <v>112</v>
      </c>
    </row>
    <row r="1416" spans="1:18" x14ac:dyDescent="0.15">
      <c r="A1416" s="12">
        <v>1398</v>
      </c>
      <c r="B1416" s="12">
        <f t="shared" si="198"/>
        <v>7</v>
      </c>
      <c r="C1416" s="12">
        <f t="shared" si="199"/>
        <v>9.8901000000000003</v>
      </c>
      <c r="D1416" s="12">
        <f t="shared" si="202"/>
        <v>5.4875000000000895E-2</v>
      </c>
      <c r="E1416" s="12">
        <f>SUM($D$19:D1416)</f>
        <v>32.090099999999971</v>
      </c>
      <c r="F1416" s="12">
        <f t="shared" si="196"/>
        <v>366.33347364319894</v>
      </c>
      <c r="G1416" s="12">
        <f t="shared" si="197"/>
        <v>222.09940388409495</v>
      </c>
      <c r="H1416" s="12">
        <f t="shared" si="203"/>
        <v>1318800</v>
      </c>
      <c r="I1416" s="12">
        <f t="shared" si="204"/>
        <v>799500</v>
      </c>
      <c r="J1416" s="12">
        <f>IF(A1416&lt;[3]关卡对接!$A$4,INDEX([3]关卡对接!$C$7:$C$141,A1416),MATCH(E1416,人物经验!$H$24:$H$573,1))</f>
        <v>474</v>
      </c>
      <c r="K1416" s="12">
        <f>IF([3]关卡对接!F1404="",INT(INDEX(人物经验!$J$24:$J$573,关卡!J1416)*关卡!$S$7),[3]关卡对接!F1404)</f>
        <v>32908</v>
      </c>
      <c r="L1416" s="12">
        <f t="shared" si="200"/>
        <v>2.2000000000000002</v>
      </c>
      <c r="M1416" s="12">
        <f>L1416/[4]货币基础!$B$4</f>
        <v>220</v>
      </c>
      <c r="N1416" s="12">
        <f>IF(A1416&lt;[3]关卡对接!$A$4,INDEX([3]关卡对接!$E$7:$E$141,A1416),MATCH(E1416,人物经验!$H$24:$H$573,1))</f>
        <v>474</v>
      </c>
      <c r="O1416" s="12">
        <f>INDEX([2]关卡!$G$6:$G$2005,A1416)</f>
        <v>3</v>
      </c>
      <c r="P1416" s="13">
        <v>6</v>
      </c>
      <c r="Q1416" s="12">
        <f>INT(P1416/$S$15/O1416*VLOOKUP(J1416,[1]人物技能基础!$N$3:$O$553,2,0)*$U$15)</f>
        <v>9</v>
      </c>
      <c r="R1416" s="12">
        <f t="shared" si="201"/>
        <v>112</v>
      </c>
    </row>
    <row r="1417" spans="1:18" x14ac:dyDescent="0.15">
      <c r="A1417" s="12">
        <v>1399</v>
      </c>
      <c r="B1417" s="12">
        <f t="shared" si="198"/>
        <v>7</v>
      </c>
      <c r="C1417" s="12">
        <f t="shared" si="199"/>
        <v>9.9450249999999993</v>
      </c>
      <c r="D1417" s="12">
        <f t="shared" si="202"/>
        <v>5.4924999999999002E-2</v>
      </c>
      <c r="E1417" s="12">
        <f>SUM($D$19:D1417)</f>
        <v>32.145024999999968</v>
      </c>
      <c r="F1417" s="12">
        <f t="shared" si="196"/>
        <v>367.01618658787493</v>
      </c>
      <c r="G1417" s="12">
        <f t="shared" si="197"/>
        <v>222.42926602300594</v>
      </c>
      <c r="H1417" s="12">
        <f t="shared" si="203"/>
        <v>1321200</v>
      </c>
      <c r="I1417" s="12">
        <f t="shared" si="204"/>
        <v>800700</v>
      </c>
      <c r="J1417" s="12">
        <f>IF(A1417&lt;[3]关卡对接!$A$4,INDEX([3]关卡对接!$C$7:$C$141,A1417),MATCH(E1417,人物经验!$H$24:$H$573,1))</f>
        <v>474</v>
      </c>
      <c r="K1417" s="12">
        <f>IF([3]关卡对接!F1405="",INT(INDEX(人物经验!$J$24:$J$573,关卡!J1417)*关卡!$S$7),[3]关卡对接!F1405)</f>
        <v>32908</v>
      </c>
      <c r="L1417" s="12">
        <f t="shared" si="200"/>
        <v>2.2000000000000002</v>
      </c>
      <c r="M1417" s="12">
        <f>L1417/[4]货币基础!$B$4</f>
        <v>220</v>
      </c>
      <c r="N1417" s="12">
        <f>IF(A1417&lt;[3]关卡对接!$A$4,INDEX([3]关卡对接!$E$7:$E$141,A1417),MATCH(E1417,人物经验!$H$24:$H$573,1))</f>
        <v>474</v>
      </c>
      <c r="O1417" s="12">
        <f>INDEX([2]关卡!$G$6:$G$2005,A1417)</f>
        <v>3</v>
      </c>
      <c r="P1417" s="13">
        <v>6</v>
      </c>
      <c r="Q1417" s="12">
        <f>INT(P1417/$S$15/O1417*VLOOKUP(J1417,[1]人物技能基础!$N$3:$O$553,2,0)*$U$15)</f>
        <v>9</v>
      </c>
      <c r="R1417" s="12">
        <f t="shared" si="201"/>
        <v>112</v>
      </c>
    </row>
    <row r="1418" spans="1:18" x14ac:dyDescent="0.15">
      <c r="A1418" s="12">
        <v>1400</v>
      </c>
      <c r="B1418" s="12">
        <f t="shared" si="198"/>
        <v>7</v>
      </c>
      <c r="C1418" s="12">
        <f t="shared" si="199"/>
        <v>10</v>
      </c>
      <c r="D1418" s="12">
        <f t="shared" si="202"/>
        <v>5.4975000000000662E-2</v>
      </c>
      <c r="E1418" s="12">
        <f>SUM($D$19:D1418)</f>
        <v>32.199999999999967</v>
      </c>
      <c r="F1418" s="12">
        <f t="shared" si="196"/>
        <v>367.69989999999996</v>
      </c>
      <c r="G1418" s="12">
        <f t="shared" si="197"/>
        <v>222.75949999999995</v>
      </c>
      <c r="H1418" s="12">
        <f t="shared" si="203"/>
        <v>1323700</v>
      </c>
      <c r="I1418" s="12">
        <f t="shared" si="204"/>
        <v>801900</v>
      </c>
      <c r="J1418" s="12">
        <f>IF(A1418&lt;[3]关卡对接!$A$4,INDEX([3]关卡对接!$C$7:$C$141,A1418),MATCH(E1418,人物经验!$H$24:$H$573,1))</f>
        <v>474</v>
      </c>
      <c r="K1418" s="12">
        <f>IF([3]关卡对接!F1406="",INT(INDEX(人物经验!$J$24:$J$573,关卡!J1418)*关卡!$S$7),[3]关卡对接!F1406)</f>
        <v>32908</v>
      </c>
      <c r="L1418" s="12">
        <f t="shared" si="200"/>
        <v>2.2000000000000002</v>
      </c>
      <c r="M1418" s="12">
        <f>L1418/[4]货币基础!$B$4</f>
        <v>220</v>
      </c>
      <c r="N1418" s="12">
        <f>IF(A1418&lt;[3]关卡对接!$A$4,INDEX([3]关卡对接!$E$7:$E$141,A1418),MATCH(E1418,人物经验!$H$24:$H$573,1))</f>
        <v>474</v>
      </c>
      <c r="O1418" s="12">
        <f>INDEX([2]关卡!$G$6:$G$2005,A1418)</f>
        <v>3</v>
      </c>
      <c r="P1418" s="13">
        <v>6</v>
      </c>
      <c r="Q1418" s="12">
        <f>INT(P1418/$S$15/O1418*VLOOKUP(J1418,[1]人物技能基础!$N$3:$O$553,2,0)*$U$15)</f>
        <v>9</v>
      </c>
      <c r="R1418" s="12">
        <f t="shared" si="201"/>
        <v>112</v>
      </c>
    </row>
    <row r="1419" spans="1:18" x14ac:dyDescent="0.15">
      <c r="A1419" s="12">
        <v>1401</v>
      </c>
      <c r="B1419" s="12">
        <f t="shared" si="198"/>
        <v>8</v>
      </c>
      <c r="C1419" s="12">
        <f t="shared" si="199"/>
        <v>6.3035000000000008E-2</v>
      </c>
      <c r="D1419" s="12">
        <f t="shared" si="202"/>
        <v>6.3035000000000008E-2</v>
      </c>
      <c r="E1419" s="12">
        <f>SUM($D$19:D1419)</f>
        <v>32.263034999999967</v>
      </c>
      <c r="F1419" s="12">
        <f t="shared" si="196"/>
        <v>368.38461494217489</v>
      </c>
      <c r="G1419" s="12">
        <f t="shared" si="197"/>
        <v>223.09010612700595</v>
      </c>
      <c r="H1419" s="12">
        <f t="shared" si="203"/>
        <v>1326100</v>
      </c>
      <c r="I1419" s="12">
        <f t="shared" si="204"/>
        <v>803100</v>
      </c>
      <c r="J1419" s="12">
        <f>IF(A1419&lt;[3]关卡对接!$A$4,INDEX([3]关卡对接!$C$7:$C$141,A1419),MATCH(E1419,人物经验!$H$24:$H$573,1))</f>
        <v>474</v>
      </c>
      <c r="K1419" s="12">
        <f>IF([3]关卡对接!F1407="",INT(INDEX(人物经验!$J$24:$J$573,关卡!J1419)*关卡!$S$7),[3]关卡对接!F1407)</f>
        <v>32908</v>
      </c>
      <c r="L1419" s="12">
        <f t="shared" si="200"/>
        <v>2.4</v>
      </c>
      <c r="M1419" s="12">
        <f>L1419/[4]货币基础!$B$4</f>
        <v>240</v>
      </c>
      <c r="N1419" s="12">
        <f>IF(A1419&lt;[3]关卡对接!$A$4,INDEX([3]关卡对接!$E$7:$E$141,A1419),MATCH(E1419,人物经验!$H$24:$H$573,1))</f>
        <v>474</v>
      </c>
      <c r="O1419" s="12">
        <f>INDEX([2]关卡!$G$6:$G$2005,A1419)</f>
        <v>3</v>
      </c>
      <c r="P1419" s="13">
        <v>6</v>
      </c>
      <c r="Q1419" s="12">
        <f>INT(P1419/$S$15/O1419*VLOOKUP(J1419,[1]人物技能基础!$N$3:$O$553,2,0)*$U$15)</f>
        <v>9</v>
      </c>
      <c r="R1419" s="12">
        <f t="shared" si="201"/>
        <v>112</v>
      </c>
    </row>
    <row r="1420" spans="1:18" x14ac:dyDescent="0.15">
      <c r="A1420" s="12">
        <v>1402</v>
      </c>
      <c r="B1420" s="12">
        <f t="shared" si="198"/>
        <v>8</v>
      </c>
      <c r="C1420" s="12">
        <f t="shared" si="199"/>
        <v>0.12614</v>
      </c>
      <c r="D1420" s="12">
        <f t="shared" si="202"/>
        <v>6.3104999999999994E-2</v>
      </c>
      <c r="E1420" s="12">
        <f>SUM($D$19:D1420)</f>
        <v>32.326139999999967</v>
      </c>
      <c r="F1420" s="12">
        <f t="shared" si="196"/>
        <v>369.07033247759898</v>
      </c>
      <c r="G1420" s="12">
        <f t="shared" si="197"/>
        <v>223.42108471609495</v>
      </c>
      <c r="H1420" s="12">
        <f t="shared" si="203"/>
        <v>1328600</v>
      </c>
      <c r="I1420" s="12">
        <f t="shared" si="204"/>
        <v>804300</v>
      </c>
      <c r="J1420" s="12">
        <f>IF(A1420&lt;[3]关卡对接!$A$4,INDEX([3]关卡对接!$C$7:$C$141,A1420),MATCH(E1420,人物经验!$H$24:$H$573,1))</f>
        <v>474</v>
      </c>
      <c r="K1420" s="12">
        <f>IF([3]关卡对接!F1408="",INT(INDEX(人物经验!$J$24:$J$573,关卡!J1420)*关卡!$S$7),[3]关卡对接!F1408)</f>
        <v>32908</v>
      </c>
      <c r="L1420" s="12">
        <f t="shared" si="200"/>
        <v>2.4</v>
      </c>
      <c r="M1420" s="12">
        <f>L1420/[4]货币基础!$B$4</f>
        <v>240</v>
      </c>
      <c r="N1420" s="12">
        <f>IF(A1420&lt;[3]关卡对接!$A$4,INDEX([3]关卡对接!$E$7:$E$141,A1420),MATCH(E1420,人物经验!$H$24:$H$573,1))</f>
        <v>474</v>
      </c>
      <c r="O1420" s="12">
        <f>INDEX([2]关卡!$G$6:$G$2005,A1420)</f>
        <v>3</v>
      </c>
      <c r="P1420" s="13">
        <v>6</v>
      </c>
      <c r="Q1420" s="12">
        <f>INT(P1420/$S$15/O1420*VLOOKUP(J1420,[1]人物技能基础!$N$3:$O$553,2,0)*$U$15)</f>
        <v>9</v>
      </c>
      <c r="R1420" s="12">
        <f t="shared" si="201"/>
        <v>112</v>
      </c>
    </row>
    <row r="1421" spans="1:18" x14ac:dyDescent="0.15">
      <c r="A1421" s="12">
        <v>1403</v>
      </c>
      <c r="B1421" s="12">
        <f t="shared" si="198"/>
        <v>8</v>
      </c>
      <c r="C1421" s="12">
        <f t="shared" si="199"/>
        <v>0.18931500000000001</v>
      </c>
      <c r="D1421" s="12">
        <f t="shared" si="202"/>
        <v>6.3175000000000009E-2</v>
      </c>
      <c r="E1421" s="12">
        <f>SUM($D$19:D1421)</f>
        <v>32.389314999999968</v>
      </c>
      <c r="F1421" s="12">
        <f t="shared" si="196"/>
        <v>369.75705367006992</v>
      </c>
      <c r="G1421" s="12">
        <f t="shared" si="197"/>
        <v>223.75243607948096</v>
      </c>
      <c r="H1421" s="12">
        <f t="shared" si="203"/>
        <v>1331100</v>
      </c>
      <c r="I1421" s="12">
        <f t="shared" si="204"/>
        <v>805500</v>
      </c>
      <c r="J1421" s="12">
        <f>IF(A1421&lt;[3]关卡对接!$A$4,INDEX([3]关卡对接!$C$7:$C$141,A1421),MATCH(E1421,人物经验!$H$24:$H$573,1))</f>
        <v>475</v>
      </c>
      <c r="K1421" s="12">
        <f>IF([3]关卡对接!F1409="",INT(INDEX(人物经验!$J$24:$J$573,关卡!J1421)*关卡!$S$7),[3]关卡对接!F1409)</f>
        <v>33216</v>
      </c>
      <c r="L1421" s="12">
        <f t="shared" si="200"/>
        <v>2.4</v>
      </c>
      <c r="M1421" s="12">
        <f>L1421/[4]货币基础!$B$4</f>
        <v>240</v>
      </c>
      <c r="N1421" s="12">
        <f>IF(A1421&lt;[3]关卡对接!$A$4,INDEX([3]关卡对接!$E$7:$E$141,A1421),MATCH(E1421,人物经验!$H$24:$H$573,1))</f>
        <v>475</v>
      </c>
      <c r="O1421" s="12">
        <f>INDEX([2]关卡!$G$6:$G$2005,A1421)</f>
        <v>3</v>
      </c>
      <c r="P1421" s="13">
        <v>6</v>
      </c>
      <c r="Q1421" s="12">
        <f>INT(P1421/$S$15/O1421*VLOOKUP(J1421,[1]人物技能基础!$N$3:$O$553,2,0)*$U$15)</f>
        <v>9</v>
      </c>
      <c r="R1421" s="12">
        <f t="shared" si="201"/>
        <v>112</v>
      </c>
    </row>
    <row r="1422" spans="1:18" x14ac:dyDescent="0.15">
      <c r="A1422" s="12">
        <v>1404</v>
      </c>
      <c r="B1422" s="12">
        <f t="shared" si="198"/>
        <v>8</v>
      </c>
      <c r="C1422" s="12">
        <f t="shared" si="199"/>
        <v>0.25256000000000001</v>
      </c>
      <c r="D1422" s="12">
        <f t="shared" si="202"/>
        <v>6.3244999999999996E-2</v>
      </c>
      <c r="E1422" s="12">
        <f>SUM($D$19:D1422)</f>
        <v>32.45255999999997</v>
      </c>
      <c r="F1422" s="12">
        <f t="shared" si="196"/>
        <v>370.44477958398392</v>
      </c>
      <c r="G1422" s="12">
        <f t="shared" si="197"/>
        <v>224.08416052951995</v>
      </c>
      <c r="H1422" s="12">
        <f t="shared" si="203"/>
        <v>1333600</v>
      </c>
      <c r="I1422" s="12">
        <f t="shared" si="204"/>
        <v>806700</v>
      </c>
      <c r="J1422" s="12">
        <f>IF(A1422&lt;[3]关卡对接!$A$4,INDEX([3]关卡对接!$C$7:$C$141,A1422),MATCH(E1422,人物经验!$H$24:$H$573,1))</f>
        <v>475</v>
      </c>
      <c r="K1422" s="12">
        <f>IF([3]关卡对接!F1410="",INT(INDEX(人物经验!$J$24:$J$573,关卡!J1422)*关卡!$S$7),[3]关卡对接!F1410)</f>
        <v>33216</v>
      </c>
      <c r="L1422" s="12">
        <f t="shared" si="200"/>
        <v>2.4</v>
      </c>
      <c r="M1422" s="12">
        <f>L1422/[4]货币基础!$B$4</f>
        <v>240</v>
      </c>
      <c r="N1422" s="12">
        <f>IF(A1422&lt;[3]关卡对接!$A$4,INDEX([3]关卡对接!$E$7:$E$141,A1422),MATCH(E1422,人物经验!$H$24:$H$573,1))</f>
        <v>475</v>
      </c>
      <c r="O1422" s="12">
        <f>INDEX([2]关卡!$G$6:$G$2005,A1422)</f>
        <v>3</v>
      </c>
      <c r="P1422" s="13">
        <v>6</v>
      </c>
      <c r="Q1422" s="12">
        <f>INT(P1422/$S$15/O1422*VLOOKUP(J1422,[1]人物技能基础!$N$3:$O$553,2,0)*$U$15)</f>
        <v>9</v>
      </c>
      <c r="R1422" s="12">
        <f t="shared" si="201"/>
        <v>112</v>
      </c>
    </row>
    <row r="1423" spans="1:18" x14ac:dyDescent="0.15">
      <c r="A1423" s="12">
        <v>1405</v>
      </c>
      <c r="B1423" s="12">
        <f t="shared" si="198"/>
        <v>8</v>
      </c>
      <c r="C1423" s="12">
        <f t="shared" si="199"/>
        <v>0.31587500000000002</v>
      </c>
      <c r="D1423" s="12">
        <f t="shared" si="202"/>
        <v>6.331500000000001E-2</v>
      </c>
      <c r="E1423" s="12">
        <f>SUM($D$19:D1423)</f>
        <v>32.515874999999973</v>
      </c>
      <c r="F1423" s="12">
        <f t="shared" si="196"/>
        <v>371.13351128433601</v>
      </c>
      <c r="G1423" s="12">
        <f t="shared" si="197"/>
        <v>224.41625837871092</v>
      </c>
      <c r="H1423" s="12">
        <f t="shared" si="203"/>
        <v>1336000</v>
      </c>
      <c r="I1423" s="12">
        <f t="shared" si="204"/>
        <v>807800</v>
      </c>
      <c r="J1423" s="12">
        <f>IF(A1423&lt;[3]关卡对接!$A$4,INDEX([3]关卡对接!$C$7:$C$141,A1423),MATCH(E1423,人物经验!$H$24:$H$573,1))</f>
        <v>475</v>
      </c>
      <c r="K1423" s="12">
        <f>IF([3]关卡对接!F1411="",INT(INDEX(人物经验!$J$24:$J$573,关卡!J1423)*关卡!$S$7),[3]关卡对接!F1411)</f>
        <v>33216</v>
      </c>
      <c r="L1423" s="12">
        <f t="shared" si="200"/>
        <v>2.4</v>
      </c>
      <c r="M1423" s="12">
        <f>L1423/[4]货币基础!$B$4</f>
        <v>240</v>
      </c>
      <c r="N1423" s="12">
        <f>IF(A1423&lt;[3]关卡对接!$A$4,INDEX([3]关卡对接!$E$7:$E$141,A1423),MATCH(E1423,人物经验!$H$24:$H$573,1))</f>
        <v>475</v>
      </c>
      <c r="O1423" s="12">
        <f>INDEX([2]关卡!$G$6:$G$2005,A1423)</f>
        <v>3</v>
      </c>
      <c r="P1423" s="13">
        <v>6</v>
      </c>
      <c r="Q1423" s="12">
        <f>INT(P1423/$S$15/O1423*VLOOKUP(J1423,[1]人物技能基础!$N$3:$O$553,2,0)*$U$15)</f>
        <v>9</v>
      </c>
      <c r="R1423" s="12">
        <f t="shared" si="201"/>
        <v>112</v>
      </c>
    </row>
    <row r="1424" spans="1:18" x14ac:dyDescent="0.15">
      <c r="A1424" s="12">
        <v>1406</v>
      </c>
      <c r="B1424" s="12">
        <f t="shared" si="198"/>
        <v>8</v>
      </c>
      <c r="C1424" s="12">
        <f t="shared" si="199"/>
        <v>0.37925999999999999</v>
      </c>
      <c r="D1424" s="12">
        <f t="shared" si="202"/>
        <v>6.3384999999999969E-2</v>
      </c>
      <c r="E1424" s="12">
        <f>SUM($D$19:D1424)</f>
        <v>32.579259999999969</v>
      </c>
      <c r="F1424" s="12">
        <f t="shared" si="196"/>
        <v>371.82324983671901</v>
      </c>
      <c r="G1424" s="12">
        <f t="shared" si="197"/>
        <v>224.74872993969498</v>
      </c>
      <c r="H1424" s="12">
        <f t="shared" si="203"/>
        <v>1338500</v>
      </c>
      <c r="I1424" s="12">
        <f t="shared" si="204"/>
        <v>809000</v>
      </c>
      <c r="J1424" s="12">
        <f>IF(A1424&lt;[3]关卡对接!$A$4,INDEX([3]关卡对接!$C$7:$C$141,A1424),MATCH(E1424,人物经验!$H$24:$H$573,1))</f>
        <v>475</v>
      </c>
      <c r="K1424" s="12">
        <f>IF([3]关卡对接!F1412="",INT(INDEX(人物经验!$J$24:$J$573,关卡!J1424)*关卡!$S$7),[3]关卡对接!F1412)</f>
        <v>33216</v>
      </c>
      <c r="L1424" s="12">
        <f t="shared" si="200"/>
        <v>2.4</v>
      </c>
      <c r="M1424" s="12">
        <f>L1424/[4]货币基础!$B$4</f>
        <v>240</v>
      </c>
      <c r="N1424" s="12">
        <f>IF(A1424&lt;[3]关卡对接!$A$4,INDEX([3]关卡对接!$E$7:$E$141,A1424),MATCH(E1424,人物经验!$H$24:$H$573,1))</f>
        <v>475</v>
      </c>
      <c r="O1424" s="12">
        <f>INDEX([2]关卡!$G$6:$G$2005,A1424)</f>
        <v>3</v>
      </c>
      <c r="P1424" s="13">
        <v>6</v>
      </c>
      <c r="Q1424" s="12">
        <f>INT(P1424/$S$15/O1424*VLOOKUP(J1424,[1]人物技能基础!$N$3:$O$553,2,0)*$U$15)</f>
        <v>9</v>
      </c>
      <c r="R1424" s="12">
        <f t="shared" si="201"/>
        <v>112</v>
      </c>
    </row>
    <row r="1425" spans="1:18" x14ac:dyDescent="0.15">
      <c r="A1425" s="12">
        <v>1407</v>
      </c>
      <c r="B1425" s="12">
        <f t="shared" si="198"/>
        <v>8</v>
      </c>
      <c r="C1425" s="12">
        <f t="shared" si="199"/>
        <v>0.44271500000000008</v>
      </c>
      <c r="D1425" s="12">
        <f t="shared" si="202"/>
        <v>6.3455000000000095E-2</v>
      </c>
      <c r="E1425" s="12">
        <f>SUM($D$19:D1425)</f>
        <v>32.642714999999967</v>
      </c>
      <c r="F1425" s="12">
        <f t="shared" si="196"/>
        <v>372.51399630732493</v>
      </c>
      <c r="G1425" s="12">
        <f t="shared" si="197"/>
        <v>225.08157552525591</v>
      </c>
      <c r="H1425" s="12">
        <f t="shared" si="203"/>
        <v>1341000</v>
      </c>
      <c r="I1425" s="12">
        <f t="shared" si="204"/>
        <v>810200</v>
      </c>
      <c r="J1425" s="12">
        <f>IF(A1425&lt;[3]关卡对接!$A$4,INDEX([3]关卡对接!$C$7:$C$141,A1425),MATCH(E1425,人物经验!$H$24:$H$573,1))</f>
        <v>475</v>
      </c>
      <c r="K1425" s="12">
        <f>IF([3]关卡对接!F1413="",INT(INDEX(人物经验!$J$24:$J$573,关卡!J1425)*关卡!$S$7),[3]关卡对接!F1413)</f>
        <v>33216</v>
      </c>
      <c r="L1425" s="12">
        <f t="shared" si="200"/>
        <v>2.4</v>
      </c>
      <c r="M1425" s="12">
        <f>L1425/[4]货币基础!$B$4</f>
        <v>240</v>
      </c>
      <c r="N1425" s="12">
        <f>IF(A1425&lt;[3]关卡对接!$A$4,INDEX([3]关卡对接!$E$7:$E$141,A1425),MATCH(E1425,人物经验!$H$24:$H$573,1))</f>
        <v>475</v>
      </c>
      <c r="O1425" s="12">
        <f>INDEX([2]关卡!$G$6:$G$2005,A1425)</f>
        <v>3</v>
      </c>
      <c r="P1425" s="13">
        <v>6</v>
      </c>
      <c r="Q1425" s="12">
        <f>INT(P1425/$S$15/O1425*VLOOKUP(J1425,[1]人物技能基础!$N$3:$O$553,2,0)*$U$15)</f>
        <v>9</v>
      </c>
      <c r="R1425" s="12">
        <f t="shared" si="201"/>
        <v>112</v>
      </c>
    </row>
    <row r="1426" spans="1:18" x14ac:dyDescent="0.15">
      <c r="A1426" s="12">
        <v>1408</v>
      </c>
      <c r="B1426" s="12">
        <f t="shared" si="198"/>
        <v>8</v>
      </c>
      <c r="C1426" s="12">
        <f t="shared" si="199"/>
        <v>0.50624000000000002</v>
      </c>
      <c r="D1426" s="12">
        <f t="shared" si="202"/>
        <v>6.3524999999999943E-2</v>
      </c>
      <c r="E1426" s="12">
        <f>SUM($D$19:D1426)</f>
        <v>32.706239999999966</v>
      </c>
      <c r="F1426" s="12">
        <f t="shared" si="196"/>
        <v>373.20575176294398</v>
      </c>
      <c r="G1426" s="12">
        <f t="shared" si="197"/>
        <v>225.41479544831998</v>
      </c>
      <c r="H1426" s="12">
        <f t="shared" si="203"/>
        <v>1343500</v>
      </c>
      <c r="I1426" s="12">
        <f t="shared" si="204"/>
        <v>811400</v>
      </c>
      <c r="J1426" s="12">
        <f>IF(A1426&lt;[3]关卡对接!$A$4,INDEX([3]关卡对接!$C$7:$C$141,A1426),MATCH(E1426,人物经验!$H$24:$H$573,1))</f>
        <v>476</v>
      </c>
      <c r="K1426" s="12">
        <f>IF([3]关卡对接!F1414="",INT(INDEX(人物经验!$J$24:$J$573,关卡!J1426)*关卡!$S$7),[3]关卡对接!F1414)</f>
        <v>33526</v>
      </c>
      <c r="L1426" s="12">
        <f t="shared" si="200"/>
        <v>2.4</v>
      </c>
      <c r="M1426" s="12">
        <f>L1426/[4]货币基础!$B$4</f>
        <v>240</v>
      </c>
      <c r="N1426" s="12">
        <f>IF(A1426&lt;[3]关卡对接!$A$4,INDEX([3]关卡对接!$E$7:$E$141,A1426),MATCH(E1426,人物经验!$H$24:$H$573,1))</f>
        <v>476</v>
      </c>
      <c r="O1426" s="12">
        <f>INDEX([2]关卡!$G$6:$G$2005,A1426)</f>
        <v>3</v>
      </c>
      <c r="P1426" s="13">
        <v>6</v>
      </c>
      <c r="Q1426" s="12">
        <f>INT(P1426/$S$15/O1426*VLOOKUP(J1426,[1]人物技能基础!$N$3:$O$553,2,0)*$U$15)</f>
        <v>9</v>
      </c>
      <c r="R1426" s="12">
        <f t="shared" si="201"/>
        <v>112</v>
      </c>
    </row>
    <row r="1427" spans="1:18" x14ac:dyDescent="0.15">
      <c r="A1427" s="12">
        <v>1409</v>
      </c>
      <c r="B1427" s="12">
        <f t="shared" si="198"/>
        <v>8</v>
      </c>
      <c r="C1427" s="12">
        <f t="shared" si="199"/>
        <v>0.56983500000000009</v>
      </c>
      <c r="D1427" s="12">
        <f t="shared" si="202"/>
        <v>6.3595000000000068E-2</v>
      </c>
      <c r="E1427" s="12">
        <f>SUM($D$19:D1427)</f>
        <v>32.769834999999965</v>
      </c>
      <c r="F1427" s="12">
        <f t="shared" ref="F1427:F1490" si="205">$L$7*($M$7+$N$7*($A1427/$B$3)^1+$O$7*($A1427/$B$3)^2+$P$7*($A1427/$B$3)^3+$Q$7*($A1427/$B$3)^4)</f>
        <v>373.89851727096493</v>
      </c>
      <c r="G1427" s="12">
        <f t="shared" ref="G1427:G1490" si="206">$L$11*($M$11+$N$11*($A1427/$B$3)^1+$O$11*($A1427/$B$3)^2+$P$11*($A1427/$B$3)^3+$Q$11*($A1427/$B$3)^4)</f>
        <v>225.74839002195594</v>
      </c>
      <c r="H1427" s="12">
        <f t="shared" si="203"/>
        <v>1346000</v>
      </c>
      <c r="I1427" s="12">
        <f t="shared" si="204"/>
        <v>812600</v>
      </c>
      <c r="J1427" s="12">
        <f>IF(A1427&lt;[3]关卡对接!$A$4,INDEX([3]关卡对接!$C$7:$C$141,A1427),MATCH(E1427,人物经验!$H$24:$H$573,1))</f>
        <v>476</v>
      </c>
      <c r="K1427" s="12">
        <f>IF([3]关卡对接!F1415="",INT(INDEX(人物经验!$J$24:$J$573,关卡!J1427)*关卡!$S$7),[3]关卡对接!F1415)</f>
        <v>33526</v>
      </c>
      <c r="L1427" s="12">
        <f t="shared" si="200"/>
        <v>2.4</v>
      </c>
      <c r="M1427" s="12">
        <f>L1427/[4]货币基础!$B$4</f>
        <v>240</v>
      </c>
      <c r="N1427" s="12">
        <f>IF(A1427&lt;[3]关卡对接!$A$4,INDEX([3]关卡对接!$E$7:$E$141,A1427),MATCH(E1427,人物经验!$H$24:$H$573,1))</f>
        <v>476</v>
      </c>
      <c r="O1427" s="12">
        <f>INDEX([2]关卡!$G$6:$G$2005,A1427)</f>
        <v>3</v>
      </c>
      <c r="P1427" s="13">
        <v>6</v>
      </c>
      <c r="Q1427" s="12">
        <f>INT(P1427/$S$15/O1427*VLOOKUP(J1427,[1]人物技能基础!$N$3:$O$553,2,0)*$U$15)</f>
        <v>9</v>
      </c>
      <c r="R1427" s="12">
        <f t="shared" si="201"/>
        <v>112</v>
      </c>
    </row>
    <row r="1428" spans="1:18" x14ac:dyDescent="0.15">
      <c r="A1428" s="12">
        <v>1410</v>
      </c>
      <c r="B1428" s="12">
        <f t="shared" ref="B1428:B1491" si="207">MATCH($A1428,$A$5:$A$15,1)-1</f>
        <v>8</v>
      </c>
      <c r="C1428" s="12">
        <f t="shared" ref="C1428:C1491" si="208">INDEX($C$5:$C$15,$B1428+1)*(INDEX($E$5:$E$15,$B1428+1)+INDEX($F$5:$F$15,$B1428+1)*(($A1428-INDEX($A$5:$A$15,$B1428+1)+1)/(INDEX($B$5:$B$15,$B1428+1)-INDEX($A$5:$A$15,$B1428+1)+1))^1+INDEX($G$5:$G$15,$B1428+1)*(($A1428-INDEX($A$5:$A$15,$B1428+1)+1)/(INDEX($B$5:$B$15,$B1428+1)-INDEX($A$5:$A$15,$B1428+1)+1))^2+INDEX($H$5:$H$15,$B1428+1)*(($A1428-INDEX($A$5:$A$15,$B1428+1)+1)/(INDEX($B$5:$B$15,$B1428+1)-INDEX($A$5:$A$15,$B1428+1)+1))^3+INDEX($I$5:$I$15,$B1428+1)*(($A1428-INDEX($A$5:$A$15,$B1428+1)+1)/(INDEX($B$5:$B$15,$B1428+1)-INDEX($A$5:$A$15,$B1428+1)+1))^4)</f>
        <v>0.63350000000000006</v>
      </c>
      <c r="D1428" s="12">
        <f t="shared" si="202"/>
        <v>6.3664999999999972E-2</v>
      </c>
      <c r="E1428" s="12">
        <f>SUM($D$19:D1428)</f>
        <v>32.833499999999965</v>
      </c>
      <c r="F1428" s="12">
        <f t="shared" si="205"/>
        <v>374.59229389937491</v>
      </c>
      <c r="G1428" s="12">
        <f t="shared" si="206"/>
        <v>226.08235955937496</v>
      </c>
      <c r="H1428" s="12">
        <f t="shared" si="203"/>
        <v>1348500</v>
      </c>
      <c r="I1428" s="12">
        <f t="shared" si="204"/>
        <v>813800</v>
      </c>
      <c r="J1428" s="12">
        <f>IF(A1428&lt;[3]关卡对接!$A$4,INDEX([3]关卡对接!$C$7:$C$141,A1428),MATCH(E1428,人物经验!$H$24:$H$573,1))</f>
        <v>476</v>
      </c>
      <c r="K1428" s="12">
        <f>IF([3]关卡对接!F1416="",INT(INDEX(人物经验!$J$24:$J$573,关卡!J1428)*关卡!$S$7),[3]关卡对接!F1416)</f>
        <v>33526</v>
      </c>
      <c r="L1428" s="12">
        <f t="shared" ref="L1428:L1491" si="209">VLOOKUP(A1428,$A$5:$J$15,10,1)</f>
        <v>2.4</v>
      </c>
      <c r="M1428" s="12">
        <f>L1428/[4]货币基础!$B$4</f>
        <v>240</v>
      </c>
      <c r="N1428" s="12">
        <f>IF(A1428&lt;[3]关卡对接!$A$4,INDEX([3]关卡对接!$E$7:$E$141,A1428),MATCH(E1428,人物经验!$H$24:$H$573,1))</f>
        <v>476</v>
      </c>
      <c r="O1428" s="12">
        <f>INDEX([2]关卡!$G$6:$G$2005,A1428)</f>
        <v>3</v>
      </c>
      <c r="P1428" s="13">
        <v>6</v>
      </c>
      <c r="Q1428" s="12">
        <f>INT(P1428/$S$15/O1428*VLOOKUP(J1428,[1]人物技能基础!$N$3:$O$553,2,0)*$U$15)</f>
        <v>9</v>
      </c>
      <c r="R1428" s="12">
        <f t="shared" ref="R1428:R1491" si="210">INT(Q1428*12.5)</f>
        <v>112</v>
      </c>
    </row>
    <row r="1429" spans="1:18" x14ac:dyDescent="0.15">
      <c r="A1429" s="12">
        <v>1411</v>
      </c>
      <c r="B1429" s="12">
        <f t="shared" si="207"/>
        <v>8</v>
      </c>
      <c r="C1429" s="12">
        <f t="shared" si="208"/>
        <v>0.69723500000000005</v>
      </c>
      <c r="D1429" s="12">
        <f t="shared" si="202"/>
        <v>6.3734999999999986E-2</v>
      </c>
      <c r="E1429" s="12">
        <f>SUM($D$19:D1429)</f>
        <v>32.897234999999966</v>
      </c>
      <c r="F1429" s="12">
        <f t="shared" si="205"/>
        <v>375.28708271675998</v>
      </c>
      <c r="G1429" s="12">
        <f t="shared" si="206"/>
        <v>226.41670437393094</v>
      </c>
      <c r="H1429" s="12">
        <f t="shared" si="203"/>
        <v>1351000</v>
      </c>
      <c r="I1429" s="12">
        <f t="shared" si="204"/>
        <v>815100</v>
      </c>
      <c r="J1429" s="12">
        <f>IF(A1429&lt;[3]关卡对接!$A$4,INDEX([3]关卡对接!$C$7:$C$141,A1429),MATCH(E1429,人物经验!$H$24:$H$573,1))</f>
        <v>476</v>
      </c>
      <c r="K1429" s="12">
        <f>IF([3]关卡对接!F1417="",INT(INDEX(人物经验!$J$24:$J$573,关卡!J1429)*关卡!$S$7),[3]关卡对接!F1417)</f>
        <v>33526</v>
      </c>
      <c r="L1429" s="12">
        <f t="shared" si="209"/>
        <v>2.4</v>
      </c>
      <c r="M1429" s="12">
        <f>L1429/[4]货币基础!$B$4</f>
        <v>240</v>
      </c>
      <c r="N1429" s="12">
        <f>IF(A1429&lt;[3]关卡对接!$A$4,INDEX([3]关卡对接!$E$7:$E$141,A1429),MATCH(E1429,人物经验!$H$24:$H$573,1))</f>
        <v>476</v>
      </c>
      <c r="O1429" s="12">
        <f>INDEX([2]关卡!$G$6:$G$2005,A1429)</f>
        <v>3</v>
      </c>
      <c r="P1429" s="13">
        <v>6</v>
      </c>
      <c r="Q1429" s="12">
        <f>INT(P1429/$S$15/O1429*VLOOKUP(J1429,[1]人物技能基础!$N$3:$O$553,2,0)*$U$15)</f>
        <v>9</v>
      </c>
      <c r="R1429" s="12">
        <f t="shared" si="210"/>
        <v>112</v>
      </c>
    </row>
    <row r="1430" spans="1:18" x14ac:dyDescent="0.15">
      <c r="A1430" s="12">
        <v>1412</v>
      </c>
      <c r="B1430" s="12">
        <f t="shared" si="207"/>
        <v>8</v>
      </c>
      <c r="C1430" s="12">
        <f t="shared" si="208"/>
        <v>0.76103999999999994</v>
      </c>
      <c r="D1430" s="12">
        <f t="shared" si="202"/>
        <v>6.380499999999989E-2</v>
      </c>
      <c r="E1430" s="12">
        <f>SUM($D$19:D1430)</f>
        <v>32.961039999999969</v>
      </c>
      <c r="F1430" s="12">
        <f t="shared" si="205"/>
        <v>375.98288479230393</v>
      </c>
      <c r="G1430" s="12">
        <f t="shared" si="206"/>
        <v>226.75142477911996</v>
      </c>
      <c r="H1430" s="12">
        <f t="shared" si="203"/>
        <v>1353500</v>
      </c>
      <c r="I1430" s="12">
        <f t="shared" si="204"/>
        <v>816300</v>
      </c>
      <c r="J1430" s="12">
        <f>IF(A1430&lt;[3]关卡对接!$A$4,INDEX([3]关卡对接!$C$7:$C$141,A1430),MATCH(E1430,人物经验!$H$24:$H$573,1))</f>
        <v>477</v>
      </c>
      <c r="K1430" s="12">
        <f>IF([3]关卡对接!F1418="",INT(INDEX(人物经验!$J$24:$J$573,关卡!J1430)*关卡!$S$7),[3]关卡对接!F1418)</f>
        <v>33775</v>
      </c>
      <c r="L1430" s="12">
        <f t="shared" si="209"/>
        <v>2.4</v>
      </c>
      <c r="M1430" s="12">
        <f>L1430/[4]货币基础!$B$4</f>
        <v>240</v>
      </c>
      <c r="N1430" s="12">
        <f>IF(A1430&lt;[3]关卡对接!$A$4,INDEX([3]关卡对接!$E$7:$E$141,A1430),MATCH(E1430,人物经验!$H$24:$H$573,1))</f>
        <v>477</v>
      </c>
      <c r="O1430" s="12">
        <f>INDEX([2]关卡!$G$6:$G$2005,A1430)</f>
        <v>3</v>
      </c>
      <c r="P1430" s="13">
        <v>6</v>
      </c>
      <c r="Q1430" s="12">
        <f>INT(P1430/$S$15/O1430*VLOOKUP(J1430,[1]人物技能基础!$N$3:$O$553,2,0)*$U$15)</f>
        <v>9</v>
      </c>
      <c r="R1430" s="12">
        <f t="shared" si="210"/>
        <v>112</v>
      </c>
    </row>
    <row r="1431" spans="1:18" x14ac:dyDescent="0.15">
      <c r="A1431" s="12">
        <v>1413</v>
      </c>
      <c r="B1431" s="12">
        <f t="shared" si="207"/>
        <v>8</v>
      </c>
      <c r="C1431" s="12">
        <f t="shared" si="208"/>
        <v>0.82491500000000006</v>
      </c>
      <c r="D1431" s="12">
        <f t="shared" si="202"/>
        <v>6.3875000000000126E-2</v>
      </c>
      <c r="E1431" s="12">
        <f>SUM($D$19:D1431)</f>
        <v>33.024914999999972</v>
      </c>
      <c r="F1431" s="12">
        <f t="shared" si="205"/>
        <v>376.67970119578996</v>
      </c>
      <c r="G1431" s="12">
        <f t="shared" si="206"/>
        <v>227.08652108858095</v>
      </c>
      <c r="H1431" s="12">
        <f t="shared" si="203"/>
        <v>1356000</v>
      </c>
      <c r="I1431" s="12">
        <f t="shared" si="204"/>
        <v>817500</v>
      </c>
      <c r="J1431" s="12">
        <f>IF(A1431&lt;[3]关卡对接!$A$4,INDEX([3]关卡对接!$C$7:$C$141,A1431),MATCH(E1431,人物经验!$H$24:$H$573,1))</f>
        <v>477</v>
      </c>
      <c r="K1431" s="12">
        <f>IF([3]关卡对接!F1419="",INT(INDEX(人物经验!$J$24:$J$573,关卡!J1431)*关卡!$S$7),[3]关卡对接!F1419)</f>
        <v>33775</v>
      </c>
      <c r="L1431" s="12">
        <f t="shared" si="209"/>
        <v>2.4</v>
      </c>
      <c r="M1431" s="12">
        <f>L1431/[4]货币基础!$B$4</f>
        <v>240</v>
      </c>
      <c r="N1431" s="12">
        <f>IF(A1431&lt;[3]关卡对接!$A$4,INDEX([3]关卡对接!$E$7:$E$141,A1431),MATCH(E1431,人物经验!$H$24:$H$573,1))</f>
        <v>477</v>
      </c>
      <c r="O1431" s="12">
        <f>INDEX([2]关卡!$G$6:$G$2005,A1431)</f>
        <v>3</v>
      </c>
      <c r="P1431" s="13">
        <v>6</v>
      </c>
      <c r="Q1431" s="12">
        <f>INT(P1431/$S$15/O1431*VLOOKUP(J1431,[1]人物技能基础!$N$3:$O$553,2,0)*$U$15)</f>
        <v>9</v>
      </c>
      <c r="R1431" s="12">
        <f t="shared" si="210"/>
        <v>112</v>
      </c>
    </row>
    <row r="1432" spans="1:18" x14ac:dyDescent="0.15">
      <c r="A1432" s="12">
        <v>1414</v>
      </c>
      <c r="B1432" s="12">
        <f t="shared" si="207"/>
        <v>8</v>
      </c>
      <c r="C1432" s="12">
        <f t="shared" si="208"/>
        <v>0.88886000000000021</v>
      </c>
      <c r="D1432" s="12">
        <f t="shared" si="202"/>
        <v>6.3945000000000141E-2</v>
      </c>
      <c r="E1432" s="12">
        <f>SUM($D$19:D1432)</f>
        <v>33.088859999999968</v>
      </c>
      <c r="F1432" s="12">
        <f t="shared" si="205"/>
        <v>377.37753299759896</v>
      </c>
      <c r="G1432" s="12">
        <f t="shared" si="206"/>
        <v>227.42199361609497</v>
      </c>
      <c r="H1432" s="12">
        <f t="shared" si="203"/>
        <v>1358500</v>
      </c>
      <c r="I1432" s="12">
        <f t="shared" si="204"/>
        <v>818700</v>
      </c>
      <c r="J1432" s="12">
        <f>IF(A1432&lt;[3]关卡对接!$A$4,INDEX([3]关卡对接!$C$7:$C$141,A1432),MATCH(E1432,人物经验!$H$24:$H$573,1))</f>
        <v>477</v>
      </c>
      <c r="K1432" s="12">
        <f>IF([3]关卡对接!F1420="",INT(INDEX(人物经验!$J$24:$J$573,关卡!J1432)*关卡!$S$7),[3]关卡对接!F1420)</f>
        <v>33775</v>
      </c>
      <c r="L1432" s="12">
        <f t="shared" si="209"/>
        <v>2.4</v>
      </c>
      <c r="M1432" s="12">
        <f>L1432/[4]货币基础!$B$4</f>
        <v>240</v>
      </c>
      <c r="N1432" s="12">
        <f>IF(A1432&lt;[3]关卡对接!$A$4,INDEX([3]关卡对接!$E$7:$E$141,A1432),MATCH(E1432,人物经验!$H$24:$H$573,1))</f>
        <v>477</v>
      </c>
      <c r="O1432" s="12">
        <f>INDEX([2]关卡!$G$6:$G$2005,A1432)</f>
        <v>3</v>
      </c>
      <c r="P1432" s="13">
        <v>6</v>
      </c>
      <c r="Q1432" s="12">
        <f>INT(P1432/$S$15/O1432*VLOOKUP(J1432,[1]人物技能基础!$N$3:$O$553,2,0)*$U$15)</f>
        <v>9</v>
      </c>
      <c r="R1432" s="12">
        <f t="shared" si="210"/>
        <v>112</v>
      </c>
    </row>
    <row r="1433" spans="1:18" x14ac:dyDescent="0.15">
      <c r="A1433" s="12">
        <v>1415</v>
      </c>
      <c r="B1433" s="12">
        <f t="shared" si="207"/>
        <v>8</v>
      </c>
      <c r="C1433" s="12">
        <f t="shared" si="208"/>
        <v>0.95287499999999992</v>
      </c>
      <c r="D1433" s="12">
        <f t="shared" si="202"/>
        <v>6.4014999999999711E-2</v>
      </c>
      <c r="E1433" s="12">
        <f>SUM($D$19:D1433)</f>
        <v>33.152874999999966</v>
      </c>
      <c r="F1433" s="12">
        <f t="shared" si="205"/>
        <v>378.07638126871097</v>
      </c>
      <c r="G1433" s="12">
        <f t="shared" si="206"/>
        <v>227.75784267558595</v>
      </c>
      <c r="H1433" s="12">
        <f t="shared" si="203"/>
        <v>1361000</v>
      </c>
      <c r="I1433" s="12">
        <f t="shared" si="204"/>
        <v>819900</v>
      </c>
      <c r="J1433" s="12">
        <f>IF(A1433&lt;[3]关卡对接!$A$4,INDEX([3]关卡对接!$C$7:$C$141,A1433),MATCH(E1433,人物经验!$H$24:$H$573,1))</f>
        <v>477</v>
      </c>
      <c r="K1433" s="12">
        <f>IF([3]关卡对接!F1421="",INT(INDEX(人物经验!$J$24:$J$573,关卡!J1433)*关卡!$S$7),[3]关卡对接!F1421)</f>
        <v>33775</v>
      </c>
      <c r="L1433" s="12">
        <f t="shared" si="209"/>
        <v>2.4</v>
      </c>
      <c r="M1433" s="12">
        <f>L1433/[4]货币基础!$B$4</f>
        <v>240</v>
      </c>
      <c r="N1433" s="12">
        <f>IF(A1433&lt;[3]关卡对接!$A$4,INDEX([3]关卡对接!$E$7:$E$141,A1433),MATCH(E1433,人物经验!$H$24:$H$573,1))</f>
        <v>477</v>
      </c>
      <c r="O1433" s="12">
        <f>INDEX([2]关卡!$G$6:$G$2005,A1433)</f>
        <v>3</v>
      </c>
      <c r="P1433" s="13">
        <v>6</v>
      </c>
      <c r="Q1433" s="12">
        <f>INT(P1433/$S$15/O1433*VLOOKUP(J1433,[1]人物技能基础!$N$3:$O$553,2,0)*$U$15)</f>
        <v>9</v>
      </c>
      <c r="R1433" s="12">
        <f t="shared" si="210"/>
        <v>112</v>
      </c>
    </row>
    <row r="1434" spans="1:18" x14ac:dyDescent="0.15">
      <c r="A1434" s="12">
        <v>1416</v>
      </c>
      <c r="B1434" s="12">
        <f t="shared" si="207"/>
        <v>8</v>
      </c>
      <c r="C1434" s="12">
        <f t="shared" si="208"/>
        <v>1.0169600000000001</v>
      </c>
      <c r="D1434" s="12">
        <f t="shared" si="202"/>
        <v>6.408500000000017E-2</v>
      </c>
      <c r="E1434" s="12">
        <f>SUM($D$19:D1434)</f>
        <v>33.216959999999965</v>
      </c>
      <c r="F1434" s="12">
        <f t="shared" si="205"/>
        <v>378.77624708070402</v>
      </c>
      <c r="G1434" s="12">
        <f t="shared" si="206"/>
        <v>228.09406858111998</v>
      </c>
      <c r="H1434" s="12">
        <f t="shared" si="203"/>
        <v>1363500</v>
      </c>
      <c r="I1434" s="12">
        <f t="shared" si="204"/>
        <v>821100</v>
      </c>
      <c r="J1434" s="12">
        <f>IF(A1434&lt;[3]关卡对接!$A$4,INDEX([3]关卡对接!$C$7:$C$141,A1434),MATCH(E1434,人物经验!$H$24:$H$573,1))</f>
        <v>478</v>
      </c>
      <c r="K1434" s="12">
        <f>IF([3]关卡对接!F1422="",INT(INDEX(人物经验!$J$24:$J$573,关卡!J1434)*关卡!$S$7),[3]关卡对接!F1422)</f>
        <v>34026</v>
      </c>
      <c r="L1434" s="12">
        <f t="shared" si="209"/>
        <v>2.4</v>
      </c>
      <c r="M1434" s="12">
        <f>L1434/[4]货币基础!$B$4</f>
        <v>240</v>
      </c>
      <c r="N1434" s="12">
        <f>IF(A1434&lt;[3]关卡对接!$A$4,INDEX([3]关卡对接!$E$7:$E$141,A1434),MATCH(E1434,人物经验!$H$24:$H$573,1))</f>
        <v>478</v>
      </c>
      <c r="O1434" s="12">
        <f>INDEX([2]关卡!$G$6:$G$2005,A1434)</f>
        <v>3</v>
      </c>
      <c r="P1434" s="13">
        <v>6</v>
      </c>
      <c r="Q1434" s="12">
        <f>INT(P1434/$S$15/O1434*VLOOKUP(J1434,[1]人物技能基础!$N$3:$O$553,2,0)*$U$15)</f>
        <v>9</v>
      </c>
      <c r="R1434" s="12">
        <f t="shared" si="210"/>
        <v>112</v>
      </c>
    </row>
    <row r="1435" spans="1:18" x14ac:dyDescent="0.15">
      <c r="A1435" s="12">
        <v>1417</v>
      </c>
      <c r="B1435" s="12">
        <f t="shared" si="207"/>
        <v>8</v>
      </c>
      <c r="C1435" s="12">
        <f t="shared" si="208"/>
        <v>1.0811150000000003</v>
      </c>
      <c r="D1435" s="12">
        <f t="shared" si="202"/>
        <v>6.4155000000000184E-2</v>
      </c>
      <c r="E1435" s="12">
        <f>SUM($D$19:D1435)</f>
        <v>33.281114999999964</v>
      </c>
      <c r="F1435" s="12">
        <f t="shared" si="205"/>
        <v>379.47713150575504</v>
      </c>
      <c r="G1435" s="12">
        <f t="shared" si="206"/>
        <v>228.43067164690595</v>
      </c>
      <c r="H1435" s="12">
        <f t="shared" si="203"/>
        <v>1366100</v>
      </c>
      <c r="I1435" s="12">
        <f t="shared" si="204"/>
        <v>822300</v>
      </c>
      <c r="J1435" s="12">
        <f>IF(A1435&lt;[3]关卡对接!$A$4,INDEX([3]关卡对接!$C$7:$C$141,A1435),MATCH(E1435,人物经验!$H$24:$H$573,1))</f>
        <v>478</v>
      </c>
      <c r="K1435" s="12">
        <f>IF([3]关卡对接!F1423="",INT(INDEX(人物经验!$J$24:$J$573,关卡!J1435)*关卡!$S$7),[3]关卡对接!F1423)</f>
        <v>34026</v>
      </c>
      <c r="L1435" s="12">
        <f t="shared" si="209"/>
        <v>2.4</v>
      </c>
      <c r="M1435" s="12">
        <f>L1435/[4]货币基础!$B$4</f>
        <v>240</v>
      </c>
      <c r="N1435" s="12">
        <f>IF(A1435&lt;[3]关卡对接!$A$4,INDEX([3]关卡对接!$E$7:$E$141,A1435),MATCH(E1435,人物经验!$H$24:$H$573,1))</f>
        <v>478</v>
      </c>
      <c r="O1435" s="12">
        <f>INDEX([2]关卡!$G$6:$G$2005,A1435)</f>
        <v>3</v>
      </c>
      <c r="P1435" s="13">
        <v>6</v>
      </c>
      <c r="Q1435" s="12">
        <f>INT(P1435/$S$15/O1435*VLOOKUP(J1435,[1]人物技能基础!$N$3:$O$553,2,0)*$U$15)</f>
        <v>9</v>
      </c>
      <c r="R1435" s="12">
        <f t="shared" si="210"/>
        <v>112</v>
      </c>
    </row>
    <row r="1436" spans="1:18" x14ac:dyDescent="0.15">
      <c r="A1436" s="12">
        <v>1418</v>
      </c>
      <c r="B1436" s="12">
        <f t="shared" si="207"/>
        <v>8</v>
      </c>
      <c r="C1436" s="12">
        <f t="shared" si="208"/>
        <v>1.14534</v>
      </c>
      <c r="D1436" s="12">
        <f t="shared" si="202"/>
        <v>6.4224999999999755E-2</v>
      </c>
      <c r="E1436" s="12">
        <f>SUM($D$19:D1436)</f>
        <v>33.345339999999965</v>
      </c>
      <c r="F1436" s="12">
        <f t="shared" si="205"/>
        <v>380.17903561663894</v>
      </c>
      <c r="G1436" s="12">
        <f t="shared" si="206"/>
        <v>228.76765218729497</v>
      </c>
      <c r="H1436" s="12">
        <f t="shared" si="203"/>
        <v>1368600</v>
      </c>
      <c r="I1436" s="12">
        <f t="shared" si="204"/>
        <v>823500</v>
      </c>
      <c r="J1436" s="12">
        <f>IF(A1436&lt;[3]关卡对接!$A$4,INDEX([3]关卡对接!$C$7:$C$141,A1436),MATCH(E1436,人物经验!$H$24:$H$573,1))</f>
        <v>478</v>
      </c>
      <c r="K1436" s="12">
        <f>IF([3]关卡对接!F1424="",INT(INDEX(人物经验!$J$24:$J$573,关卡!J1436)*关卡!$S$7),[3]关卡对接!F1424)</f>
        <v>34026</v>
      </c>
      <c r="L1436" s="12">
        <f t="shared" si="209"/>
        <v>2.4</v>
      </c>
      <c r="M1436" s="12">
        <f>L1436/[4]货币基础!$B$4</f>
        <v>240</v>
      </c>
      <c r="N1436" s="12">
        <f>IF(A1436&lt;[3]关卡对接!$A$4,INDEX([3]关卡对接!$E$7:$E$141,A1436),MATCH(E1436,人物经验!$H$24:$H$573,1))</f>
        <v>478</v>
      </c>
      <c r="O1436" s="12">
        <f>INDEX([2]关卡!$G$6:$G$2005,A1436)</f>
        <v>3</v>
      </c>
      <c r="P1436" s="13">
        <v>6</v>
      </c>
      <c r="Q1436" s="12">
        <f>INT(P1436/$S$15/O1436*VLOOKUP(J1436,[1]人物技能基础!$N$3:$O$553,2,0)*$U$15)</f>
        <v>9</v>
      </c>
      <c r="R1436" s="12">
        <f t="shared" si="210"/>
        <v>112</v>
      </c>
    </row>
    <row r="1437" spans="1:18" x14ac:dyDescent="0.15">
      <c r="A1437" s="12">
        <v>1419</v>
      </c>
      <c r="B1437" s="12">
        <f t="shared" si="207"/>
        <v>8</v>
      </c>
      <c r="C1437" s="12">
        <f t="shared" si="208"/>
        <v>1.209635</v>
      </c>
      <c r="D1437" s="12">
        <f t="shared" si="202"/>
        <v>6.4294999999999991E-2</v>
      </c>
      <c r="E1437" s="12">
        <f>SUM($D$19:D1437)</f>
        <v>33.409634999999966</v>
      </c>
      <c r="F1437" s="12">
        <f t="shared" si="205"/>
        <v>380.88196048673001</v>
      </c>
      <c r="G1437" s="12">
        <f t="shared" si="206"/>
        <v>229.10501051678094</v>
      </c>
      <c r="H1437" s="12">
        <f t="shared" si="203"/>
        <v>1371100</v>
      </c>
      <c r="I1437" s="12">
        <f t="shared" si="204"/>
        <v>824700</v>
      </c>
      <c r="J1437" s="12">
        <f>IF(A1437&lt;[3]关卡对接!$A$4,INDEX([3]关卡对接!$C$7:$C$141,A1437),MATCH(E1437,人物经验!$H$24:$H$573,1))</f>
        <v>478</v>
      </c>
      <c r="K1437" s="12">
        <f>IF([3]关卡对接!F1425="",INT(INDEX(人物经验!$J$24:$J$573,关卡!J1437)*关卡!$S$7),[3]关卡对接!F1425)</f>
        <v>34026</v>
      </c>
      <c r="L1437" s="12">
        <f t="shared" si="209"/>
        <v>2.4</v>
      </c>
      <c r="M1437" s="12">
        <f>L1437/[4]货币基础!$B$4</f>
        <v>240</v>
      </c>
      <c r="N1437" s="12">
        <f>IF(A1437&lt;[3]关卡对接!$A$4,INDEX([3]关卡对接!$E$7:$E$141,A1437),MATCH(E1437,人物经验!$H$24:$H$573,1))</f>
        <v>478</v>
      </c>
      <c r="O1437" s="12">
        <f>INDEX([2]关卡!$G$6:$G$2005,A1437)</f>
        <v>3</v>
      </c>
      <c r="P1437" s="13">
        <v>6</v>
      </c>
      <c r="Q1437" s="12">
        <f>INT(P1437/$S$15/O1437*VLOOKUP(J1437,[1]人物技能基础!$N$3:$O$553,2,0)*$U$15)</f>
        <v>9</v>
      </c>
      <c r="R1437" s="12">
        <f t="shared" si="210"/>
        <v>112</v>
      </c>
    </row>
    <row r="1438" spans="1:18" x14ac:dyDescent="0.15">
      <c r="A1438" s="12">
        <v>1420</v>
      </c>
      <c r="B1438" s="12">
        <f t="shared" si="207"/>
        <v>8</v>
      </c>
      <c r="C1438" s="12">
        <f t="shared" si="208"/>
        <v>1.2740000000000002</v>
      </c>
      <c r="D1438" s="12">
        <f t="shared" si="202"/>
        <v>6.4365000000000228E-2</v>
      </c>
      <c r="E1438" s="12">
        <f>SUM($D$19:D1438)</f>
        <v>33.473999999999968</v>
      </c>
      <c r="F1438" s="12">
        <f t="shared" si="205"/>
        <v>381.58590718999994</v>
      </c>
      <c r="G1438" s="12">
        <f t="shared" si="206"/>
        <v>229.44274694999999</v>
      </c>
      <c r="H1438" s="12">
        <f t="shared" si="203"/>
        <v>1373700</v>
      </c>
      <c r="I1438" s="12">
        <f t="shared" si="204"/>
        <v>825900</v>
      </c>
      <c r="J1438" s="12">
        <f>IF(A1438&lt;[3]关卡对接!$A$4,INDEX([3]关卡对接!$C$7:$C$141,A1438),MATCH(E1438,人物经验!$H$24:$H$573,1))</f>
        <v>478</v>
      </c>
      <c r="K1438" s="12">
        <f>IF([3]关卡对接!F1426="",INT(INDEX(人物经验!$J$24:$J$573,关卡!J1438)*关卡!$S$7),[3]关卡对接!F1426)</f>
        <v>34026</v>
      </c>
      <c r="L1438" s="12">
        <f t="shared" si="209"/>
        <v>2.4</v>
      </c>
      <c r="M1438" s="12">
        <f>L1438/[4]货币基础!$B$4</f>
        <v>240</v>
      </c>
      <c r="N1438" s="12">
        <f>IF(A1438&lt;[3]关卡对接!$A$4,INDEX([3]关卡对接!$E$7:$E$141,A1438),MATCH(E1438,人物经验!$H$24:$H$573,1))</f>
        <v>478</v>
      </c>
      <c r="O1438" s="12">
        <f>INDEX([2]关卡!$G$6:$G$2005,A1438)</f>
        <v>3</v>
      </c>
      <c r="P1438" s="13">
        <v>6</v>
      </c>
      <c r="Q1438" s="12">
        <f>INT(P1438/$S$15/O1438*VLOOKUP(J1438,[1]人物技能基础!$N$3:$O$553,2,0)*$U$15)</f>
        <v>9</v>
      </c>
      <c r="R1438" s="12">
        <f t="shared" si="210"/>
        <v>112</v>
      </c>
    </row>
    <row r="1439" spans="1:18" x14ac:dyDescent="0.15">
      <c r="A1439" s="12">
        <v>1421</v>
      </c>
      <c r="B1439" s="12">
        <f t="shared" si="207"/>
        <v>8</v>
      </c>
      <c r="C1439" s="12">
        <f t="shared" si="208"/>
        <v>1.338435</v>
      </c>
      <c r="D1439" s="12">
        <f t="shared" si="202"/>
        <v>6.4434999999999798E-2</v>
      </c>
      <c r="E1439" s="12">
        <f>SUM($D$19:D1439)</f>
        <v>33.538434999999971</v>
      </c>
      <c r="F1439" s="12">
        <f t="shared" si="205"/>
        <v>382.29087680101998</v>
      </c>
      <c r="G1439" s="12">
        <f t="shared" si="206"/>
        <v>229.78086180173094</v>
      </c>
      <c r="H1439" s="12">
        <f t="shared" si="203"/>
        <v>1376200</v>
      </c>
      <c r="I1439" s="12">
        <f t="shared" si="204"/>
        <v>827200</v>
      </c>
      <c r="J1439" s="12">
        <f>IF(A1439&lt;[3]关卡对接!$A$4,INDEX([3]关卡对接!$C$7:$C$141,A1439),MATCH(E1439,人物经验!$H$24:$H$573,1))</f>
        <v>479</v>
      </c>
      <c r="K1439" s="12">
        <f>IF([3]关卡对接!F1427="",INT(INDEX(人物经验!$J$24:$J$573,关卡!J1439)*关卡!$S$7),[3]关卡对接!F1427)</f>
        <v>34342</v>
      </c>
      <c r="L1439" s="12">
        <f t="shared" si="209"/>
        <v>2.4</v>
      </c>
      <c r="M1439" s="12">
        <f>L1439/[4]货币基础!$B$4</f>
        <v>240</v>
      </c>
      <c r="N1439" s="12">
        <f>IF(A1439&lt;[3]关卡对接!$A$4,INDEX([3]关卡对接!$E$7:$E$141,A1439),MATCH(E1439,人物经验!$H$24:$H$573,1))</f>
        <v>479</v>
      </c>
      <c r="O1439" s="12">
        <f>INDEX([2]关卡!$G$6:$G$2005,A1439)</f>
        <v>3</v>
      </c>
      <c r="P1439" s="13">
        <v>6</v>
      </c>
      <c r="Q1439" s="12">
        <f>INT(P1439/$S$15/O1439*VLOOKUP(J1439,[1]人物技能基础!$N$3:$O$553,2,0)*$U$15)</f>
        <v>9</v>
      </c>
      <c r="R1439" s="12">
        <f t="shared" si="210"/>
        <v>112</v>
      </c>
    </row>
    <row r="1440" spans="1:18" x14ac:dyDescent="0.15">
      <c r="A1440" s="12">
        <v>1422</v>
      </c>
      <c r="B1440" s="12">
        <f t="shared" si="207"/>
        <v>8</v>
      </c>
      <c r="C1440" s="12">
        <f t="shared" si="208"/>
        <v>1.4029400000000001</v>
      </c>
      <c r="D1440" s="12">
        <f t="shared" si="202"/>
        <v>6.4505000000000035E-2</v>
      </c>
      <c r="E1440" s="12">
        <f>SUM($D$19:D1440)</f>
        <v>33.602939999999968</v>
      </c>
      <c r="F1440" s="12">
        <f t="shared" si="205"/>
        <v>382.99687039495899</v>
      </c>
      <c r="G1440" s="12">
        <f t="shared" si="206"/>
        <v>230.11935538689499</v>
      </c>
      <c r="H1440" s="12">
        <f t="shared" si="203"/>
        <v>1378700</v>
      </c>
      <c r="I1440" s="12">
        <f t="shared" si="204"/>
        <v>828400</v>
      </c>
      <c r="J1440" s="12">
        <f>IF(A1440&lt;[3]关卡对接!$A$4,INDEX([3]关卡对接!$C$7:$C$141,A1440),MATCH(E1440,人物经验!$H$24:$H$573,1))</f>
        <v>479</v>
      </c>
      <c r="K1440" s="12">
        <f>IF([3]关卡对接!F1428="",INT(INDEX(人物经验!$J$24:$J$573,关卡!J1440)*关卡!$S$7),[3]关卡对接!F1428)</f>
        <v>34342</v>
      </c>
      <c r="L1440" s="12">
        <f t="shared" si="209"/>
        <v>2.4</v>
      </c>
      <c r="M1440" s="12">
        <f>L1440/[4]货币基础!$B$4</f>
        <v>240</v>
      </c>
      <c r="N1440" s="12">
        <f>IF(A1440&lt;[3]关卡对接!$A$4,INDEX([3]关卡对接!$E$7:$E$141,A1440),MATCH(E1440,人物经验!$H$24:$H$573,1))</f>
        <v>479</v>
      </c>
      <c r="O1440" s="12">
        <f>INDEX([2]关卡!$G$6:$G$2005,A1440)</f>
        <v>3</v>
      </c>
      <c r="P1440" s="13">
        <v>6</v>
      </c>
      <c r="Q1440" s="12">
        <f>INT(P1440/$S$15/O1440*VLOOKUP(J1440,[1]人物技能基础!$N$3:$O$553,2,0)*$U$15)</f>
        <v>9</v>
      </c>
      <c r="R1440" s="12">
        <f t="shared" si="210"/>
        <v>112</v>
      </c>
    </row>
    <row r="1441" spans="1:18" x14ac:dyDescent="0.15">
      <c r="A1441" s="12">
        <v>1423</v>
      </c>
      <c r="B1441" s="12">
        <f t="shared" si="207"/>
        <v>8</v>
      </c>
      <c r="C1441" s="12">
        <f t="shared" si="208"/>
        <v>1.4675150000000001</v>
      </c>
      <c r="D1441" s="12">
        <f t="shared" si="202"/>
        <v>6.4575000000000049E-2</v>
      </c>
      <c r="E1441" s="12">
        <f>SUM($D$19:D1441)</f>
        <v>33.667514999999966</v>
      </c>
      <c r="F1441" s="12">
        <f t="shared" si="205"/>
        <v>383.70388904758499</v>
      </c>
      <c r="G1441" s="12">
        <f t="shared" si="206"/>
        <v>230.45822802055596</v>
      </c>
      <c r="H1441" s="12">
        <f t="shared" si="203"/>
        <v>1381300</v>
      </c>
      <c r="I1441" s="12">
        <f t="shared" si="204"/>
        <v>829600</v>
      </c>
      <c r="J1441" s="12">
        <f>IF(A1441&lt;[3]关卡对接!$A$4,INDEX([3]关卡对接!$C$7:$C$141,A1441),MATCH(E1441,人物经验!$H$24:$H$573,1))</f>
        <v>479</v>
      </c>
      <c r="K1441" s="12">
        <f>IF([3]关卡对接!F1429="",INT(INDEX(人物经验!$J$24:$J$573,关卡!J1441)*关卡!$S$7),[3]关卡对接!F1429)</f>
        <v>34342</v>
      </c>
      <c r="L1441" s="12">
        <f t="shared" si="209"/>
        <v>2.4</v>
      </c>
      <c r="M1441" s="12">
        <f>L1441/[4]货币基础!$B$4</f>
        <v>240</v>
      </c>
      <c r="N1441" s="12">
        <f>IF(A1441&lt;[3]关卡对接!$A$4,INDEX([3]关卡对接!$E$7:$E$141,A1441),MATCH(E1441,人物经验!$H$24:$H$573,1))</f>
        <v>479</v>
      </c>
      <c r="O1441" s="12">
        <f>INDEX([2]关卡!$G$6:$G$2005,A1441)</f>
        <v>3</v>
      </c>
      <c r="P1441" s="13">
        <v>6</v>
      </c>
      <c r="Q1441" s="12">
        <f>INT(P1441/$S$15/O1441*VLOOKUP(J1441,[1]人物技能基础!$N$3:$O$553,2,0)*$U$15)</f>
        <v>9</v>
      </c>
      <c r="R1441" s="12">
        <f t="shared" si="210"/>
        <v>112</v>
      </c>
    </row>
    <row r="1442" spans="1:18" x14ac:dyDescent="0.15">
      <c r="A1442" s="12">
        <v>1424</v>
      </c>
      <c r="B1442" s="12">
        <f t="shared" si="207"/>
        <v>8</v>
      </c>
      <c r="C1442" s="12">
        <f t="shared" si="208"/>
        <v>1.53216</v>
      </c>
      <c r="D1442" s="12">
        <f t="shared" si="202"/>
        <v>6.4644999999999841E-2</v>
      </c>
      <c r="E1442" s="12">
        <f>SUM($D$19:D1442)</f>
        <v>33.732159999999965</v>
      </c>
      <c r="F1442" s="12">
        <f t="shared" si="205"/>
        <v>384.41193383526394</v>
      </c>
      <c r="G1442" s="12">
        <f t="shared" si="206"/>
        <v>230.79748001791995</v>
      </c>
      <c r="H1442" s="12">
        <f t="shared" si="203"/>
        <v>1383800</v>
      </c>
      <c r="I1442" s="12">
        <f t="shared" si="204"/>
        <v>830800</v>
      </c>
      <c r="J1442" s="12">
        <f>IF(A1442&lt;[3]关卡对接!$A$4,INDEX([3]关卡对接!$C$7:$C$141,A1442),MATCH(E1442,人物经验!$H$24:$H$573,1))</f>
        <v>479</v>
      </c>
      <c r="K1442" s="12">
        <f>IF([3]关卡对接!F1430="",INT(INDEX(人物经验!$J$24:$J$573,关卡!J1442)*关卡!$S$7),[3]关卡对接!F1430)</f>
        <v>34342</v>
      </c>
      <c r="L1442" s="12">
        <f t="shared" si="209"/>
        <v>2.4</v>
      </c>
      <c r="M1442" s="12">
        <f>L1442/[4]货币基础!$B$4</f>
        <v>240</v>
      </c>
      <c r="N1442" s="12">
        <f>IF(A1442&lt;[3]关卡对接!$A$4,INDEX([3]关卡对接!$E$7:$E$141,A1442),MATCH(E1442,人物经验!$H$24:$H$573,1))</f>
        <v>479</v>
      </c>
      <c r="O1442" s="12">
        <f>INDEX([2]关卡!$G$6:$G$2005,A1442)</f>
        <v>3</v>
      </c>
      <c r="P1442" s="13">
        <v>6</v>
      </c>
      <c r="Q1442" s="12">
        <f>INT(P1442/$S$15/O1442*VLOOKUP(J1442,[1]人物技能基础!$N$3:$O$553,2,0)*$U$15)</f>
        <v>9</v>
      </c>
      <c r="R1442" s="12">
        <f t="shared" si="210"/>
        <v>112</v>
      </c>
    </row>
    <row r="1443" spans="1:18" x14ac:dyDescent="0.15">
      <c r="A1443" s="12">
        <v>1425</v>
      </c>
      <c r="B1443" s="12">
        <f t="shared" si="207"/>
        <v>8</v>
      </c>
      <c r="C1443" s="12">
        <f t="shared" si="208"/>
        <v>1.596875</v>
      </c>
      <c r="D1443" s="12">
        <f t="shared" si="202"/>
        <v>6.4715000000000078E-2</v>
      </c>
      <c r="E1443" s="12">
        <f>SUM($D$19:D1443)</f>
        <v>33.796874999999964</v>
      </c>
      <c r="F1443" s="12">
        <f t="shared" si="205"/>
        <v>385.12100583496101</v>
      </c>
      <c r="G1443" s="12">
        <f t="shared" si="206"/>
        <v>231.13711169433594</v>
      </c>
      <c r="H1443" s="12">
        <f t="shared" si="203"/>
        <v>1386400</v>
      </c>
      <c r="I1443" s="12">
        <f t="shared" si="204"/>
        <v>832000</v>
      </c>
      <c r="J1443" s="12">
        <f>IF(A1443&lt;[3]关卡对接!$A$4,INDEX([3]关卡对接!$C$7:$C$141,A1443),MATCH(E1443,人物经验!$H$24:$H$573,1))</f>
        <v>480</v>
      </c>
      <c r="K1443" s="12">
        <f>IF([3]关卡对接!F1431="",INT(INDEX(人物经验!$J$24:$J$573,关卡!J1443)*关卡!$S$7),[3]关卡对接!F1431)</f>
        <v>34597</v>
      </c>
      <c r="L1443" s="12">
        <f t="shared" si="209"/>
        <v>2.4</v>
      </c>
      <c r="M1443" s="12">
        <f>L1443/[4]货币基础!$B$4</f>
        <v>240</v>
      </c>
      <c r="N1443" s="12">
        <f>IF(A1443&lt;[3]关卡对接!$A$4,INDEX([3]关卡对接!$E$7:$E$141,A1443),MATCH(E1443,人物经验!$H$24:$H$573,1))</f>
        <v>480</v>
      </c>
      <c r="O1443" s="12">
        <f>INDEX([2]关卡!$G$6:$G$2005,A1443)</f>
        <v>3</v>
      </c>
      <c r="P1443" s="13">
        <v>6</v>
      </c>
      <c r="Q1443" s="12">
        <f>INT(P1443/$S$15/O1443*VLOOKUP(J1443,[1]人物技能基础!$N$3:$O$553,2,0)*$U$15)</f>
        <v>9</v>
      </c>
      <c r="R1443" s="12">
        <f t="shared" si="210"/>
        <v>112</v>
      </c>
    </row>
    <row r="1444" spans="1:18" x14ac:dyDescent="0.15">
      <c r="A1444" s="12">
        <v>1426</v>
      </c>
      <c r="B1444" s="12">
        <f t="shared" si="207"/>
        <v>8</v>
      </c>
      <c r="C1444" s="12">
        <f t="shared" si="208"/>
        <v>1.6616600000000001</v>
      </c>
      <c r="D1444" s="12">
        <f t="shared" si="202"/>
        <v>6.4785000000000093E-2</v>
      </c>
      <c r="E1444" s="12">
        <f>SUM($D$19:D1444)</f>
        <v>33.861659999999965</v>
      </c>
      <c r="F1444" s="12">
        <f t="shared" si="205"/>
        <v>385.831106124239</v>
      </c>
      <c r="G1444" s="12">
        <f t="shared" si="206"/>
        <v>231.47712336529494</v>
      </c>
      <c r="H1444" s="12">
        <f t="shared" si="203"/>
        <v>1388900</v>
      </c>
      <c r="I1444" s="12">
        <f t="shared" si="204"/>
        <v>833300</v>
      </c>
      <c r="J1444" s="12">
        <f>IF(A1444&lt;[3]关卡对接!$A$4,INDEX([3]关卡对接!$C$7:$C$141,A1444),MATCH(E1444,人物经验!$H$24:$H$573,1))</f>
        <v>480</v>
      </c>
      <c r="K1444" s="12">
        <f>IF([3]关卡对接!F1432="",INT(INDEX(人物经验!$J$24:$J$573,关卡!J1444)*关卡!$S$7),[3]关卡对接!F1432)</f>
        <v>34597</v>
      </c>
      <c r="L1444" s="12">
        <f t="shared" si="209"/>
        <v>2.4</v>
      </c>
      <c r="M1444" s="12">
        <f>L1444/[4]货币基础!$B$4</f>
        <v>240</v>
      </c>
      <c r="N1444" s="12">
        <f>IF(A1444&lt;[3]关卡对接!$A$4,INDEX([3]关卡对接!$E$7:$E$141,A1444),MATCH(E1444,人物经验!$H$24:$H$573,1))</f>
        <v>480</v>
      </c>
      <c r="O1444" s="12">
        <f>INDEX([2]关卡!$G$6:$G$2005,A1444)</f>
        <v>3</v>
      </c>
      <c r="P1444" s="13">
        <v>6</v>
      </c>
      <c r="Q1444" s="12">
        <f>INT(P1444/$S$15/O1444*VLOOKUP(J1444,[1]人物技能基础!$N$3:$O$553,2,0)*$U$15)</f>
        <v>9</v>
      </c>
      <c r="R1444" s="12">
        <f t="shared" si="210"/>
        <v>112</v>
      </c>
    </row>
    <row r="1445" spans="1:18" x14ac:dyDescent="0.15">
      <c r="A1445" s="12">
        <v>1427</v>
      </c>
      <c r="B1445" s="12">
        <f t="shared" si="207"/>
        <v>8</v>
      </c>
      <c r="C1445" s="12">
        <f t="shared" si="208"/>
        <v>1.7265150000000002</v>
      </c>
      <c r="D1445" s="12">
        <f t="shared" si="202"/>
        <v>6.4855000000000107E-2</v>
      </c>
      <c r="E1445" s="12">
        <f>SUM($D$19:D1445)</f>
        <v>33.926514999999966</v>
      </c>
      <c r="F1445" s="12">
        <f t="shared" si="205"/>
        <v>386.54223578125999</v>
      </c>
      <c r="G1445" s="12">
        <f t="shared" si="206"/>
        <v>231.81751534643098</v>
      </c>
      <c r="H1445" s="12">
        <f t="shared" si="203"/>
        <v>1391500</v>
      </c>
      <c r="I1445" s="12">
        <f t="shared" si="204"/>
        <v>834500</v>
      </c>
      <c r="J1445" s="12">
        <f>IF(A1445&lt;[3]关卡对接!$A$4,INDEX([3]关卡对接!$C$7:$C$141,A1445),MATCH(E1445,人物经验!$H$24:$H$573,1))</f>
        <v>480</v>
      </c>
      <c r="K1445" s="12">
        <f>IF([3]关卡对接!F1433="",INT(INDEX(人物经验!$J$24:$J$573,关卡!J1445)*关卡!$S$7),[3]关卡对接!F1433)</f>
        <v>34597</v>
      </c>
      <c r="L1445" s="12">
        <f t="shared" si="209"/>
        <v>2.4</v>
      </c>
      <c r="M1445" s="12">
        <f>L1445/[4]货币基础!$B$4</f>
        <v>240</v>
      </c>
      <c r="N1445" s="12">
        <f>IF(A1445&lt;[3]关卡对接!$A$4,INDEX([3]关卡对接!$E$7:$E$141,A1445),MATCH(E1445,人物经验!$H$24:$H$573,1))</f>
        <v>480</v>
      </c>
      <c r="O1445" s="12">
        <f>INDEX([2]关卡!$G$6:$G$2005,A1445)</f>
        <v>3</v>
      </c>
      <c r="P1445" s="13">
        <v>6</v>
      </c>
      <c r="Q1445" s="12">
        <f>INT(P1445/$S$15/O1445*VLOOKUP(J1445,[1]人物技能基础!$N$3:$O$553,2,0)*$U$15)</f>
        <v>9</v>
      </c>
      <c r="R1445" s="12">
        <f t="shared" si="210"/>
        <v>112</v>
      </c>
    </row>
    <row r="1446" spans="1:18" x14ac:dyDescent="0.15">
      <c r="A1446" s="12">
        <v>1428</v>
      </c>
      <c r="B1446" s="12">
        <f t="shared" si="207"/>
        <v>8</v>
      </c>
      <c r="C1446" s="12">
        <f t="shared" si="208"/>
        <v>1.7914400000000001</v>
      </c>
      <c r="D1446" s="12">
        <f t="shared" si="202"/>
        <v>6.4924999999999899E-2</v>
      </c>
      <c r="E1446" s="12">
        <f>SUM($D$19:D1446)</f>
        <v>33.991439999999969</v>
      </c>
      <c r="F1446" s="12">
        <f t="shared" si="205"/>
        <v>387.25439588478395</v>
      </c>
      <c r="G1446" s="12">
        <f t="shared" si="206"/>
        <v>232.15828795351996</v>
      </c>
      <c r="H1446" s="12">
        <f t="shared" si="203"/>
        <v>1394100</v>
      </c>
      <c r="I1446" s="12">
        <f t="shared" si="204"/>
        <v>835700</v>
      </c>
      <c r="J1446" s="12">
        <f>IF(A1446&lt;[3]关卡对接!$A$4,INDEX([3]关卡对接!$C$7:$C$141,A1446),MATCH(E1446,人物经验!$H$24:$H$573,1))</f>
        <v>480</v>
      </c>
      <c r="K1446" s="12">
        <f>IF([3]关卡对接!F1434="",INT(INDEX(人物经验!$J$24:$J$573,关卡!J1446)*关卡!$S$7),[3]关卡对接!F1434)</f>
        <v>34597</v>
      </c>
      <c r="L1446" s="12">
        <f t="shared" si="209"/>
        <v>2.4</v>
      </c>
      <c r="M1446" s="12">
        <f>L1446/[4]货币基础!$B$4</f>
        <v>240</v>
      </c>
      <c r="N1446" s="12">
        <f>IF(A1446&lt;[3]关卡对接!$A$4,INDEX([3]关卡对接!$E$7:$E$141,A1446),MATCH(E1446,人物经验!$H$24:$H$573,1))</f>
        <v>480</v>
      </c>
      <c r="O1446" s="12">
        <f>INDEX([2]关卡!$G$6:$G$2005,A1446)</f>
        <v>3</v>
      </c>
      <c r="P1446" s="13">
        <v>6</v>
      </c>
      <c r="Q1446" s="12">
        <f>INT(P1446/$S$15/O1446*VLOOKUP(J1446,[1]人物技能基础!$N$3:$O$553,2,0)*$U$15)</f>
        <v>9</v>
      </c>
      <c r="R1446" s="12">
        <f t="shared" si="210"/>
        <v>112</v>
      </c>
    </row>
    <row r="1447" spans="1:18" x14ac:dyDescent="0.15">
      <c r="A1447" s="12">
        <v>1429</v>
      </c>
      <c r="B1447" s="12">
        <f t="shared" si="207"/>
        <v>8</v>
      </c>
      <c r="C1447" s="12">
        <f t="shared" si="208"/>
        <v>1.8564350000000003</v>
      </c>
      <c r="D1447" s="12">
        <f t="shared" si="202"/>
        <v>6.4995000000000136E-2</v>
      </c>
      <c r="E1447" s="12">
        <f>SUM($D$19:D1447)</f>
        <v>34.056434999999972</v>
      </c>
      <c r="F1447" s="12">
        <f t="shared" si="205"/>
        <v>387.96758751416991</v>
      </c>
      <c r="G1447" s="12">
        <f t="shared" si="206"/>
        <v>232.49944150248098</v>
      </c>
      <c r="H1447" s="12">
        <f t="shared" si="203"/>
        <v>1396600</v>
      </c>
      <c r="I1447" s="12">
        <f t="shared" si="204"/>
        <v>836900</v>
      </c>
      <c r="J1447" s="12">
        <f>IF(A1447&lt;[3]关卡对接!$A$4,INDEX([3]关卡对接!$C$7:$C$141,A1447),MATCH(E1447,人物经验!$H$24:$H$573,1))</f>
        <v>481</v>
      </c>
      <c r="K1447" s="12">
        <f>IF([3]关卡对接!F1435="",INT(INDEX(人物经验!$J$24:$J$573,关卡!J1447)*关卡!$S$7),[3]关卡对接!F1435)</f>
        <v>34852</v>
      </c>
      <c r="L1447" s="12">
        <f t="shared" si="209"/>
        <v>2.4</v>
      </c>
      <c r="M1447" s="12">
        <f>L1447/[4]货币基础!$B$4</f>
        <v>240</v>
      </c>
      <c r="N1447" s="12">
        <f>IF(A1447&lt;[3]关卡对接!$A$4,INDEX([3]关卡对接!$E$7:$E$141,A1447),MATCH(E1447,人物经验!$H$24:$H$573,1))</f>
        <v>481</v>
      </c>
      <c r="O1447" s="12">
        <f>INDEX([2]关卡!$G$6:$G$2005,A1447)</f>
        <v>3</v>
      </c>
      <c r="P1447" s="13">
        <v>6</v>
      </c>
      <c r="Q1447" s="12">
        <f>INT(P1447/$S$15/O1447*VLOOKUP(J1447,[1]人物技能基础!$N$3:$O$553,2,0)*$U$15)</f>
        <v>9</v>
      </c>
      <c r="R1447" s="12">
        <f t="shared" si="210"/>
        <v>112</v>
      </c>
    </row>
    <row r="1448" spans="1:18" x14ac:dyDescent="0.15">
      <c r="A1448" s="12">
        <v>1430</v>
      </c>
      <c r="B1448" s="12">
        <f t="shared" si="207"/>
        <v>8</v>
      </c>
      <c r="C1448" s="12">
        <f t="shared" si="208"/>
        <v>1.9215000000000002</v>
      </c>
      <c r="D1448" s="12">
        <f t="shared" si="202"/>
        <v>6.5064999999999928E-2</v>
      </c>
      <c r="E1448" s="12">
        <f>SUM($D$19:D1448)</f>
        <v>34.121499999999969</v>
      </c>
      <c r="F1448" s="12">
        <f t="shared" si="205"/>
        <v>388.68181174937496</v>
      </c>
      <c r="G1448" s="12">
        <f t="shared" si="206"/>
        <v>232.84097630937495</v>
      </c>
      <c r="H1448" s="12">
        <f t="shared" si="203"/>
        <v>1399200</v>
      </c>
      <c r="I1448" s="12">
        <f t="shared" si="204"/>
        <v>838200</v>
      </c>
      <c r="J1448" s="12">
        <f>IF(A1448&lt;[3]关卡对接!$A$4,INDEX([3]关卡对接!$C$7:$C$141,A1448),MATCH(E1448,人物经验!$H$24:$H$573,1))</f>
        <v>481</v>
      </c>
      <c r="K1448" s="12">
        <f>IF([3]关卡对接!F1436="",INT(INDEX(人物经验!$J$24:$J$573,关卡!J1448)*关卡!$S$7),[3]关卡对接!F1436)</f>
        <v>34852</v>
      </c>
      <c r="L1448" s="12">
        <f t="shared" si="209"/>
        <v>2.4</v>
      </c>
      <c r="M1448" s="12">
        <f>L1448/[4]货币基础!$B$4</f>
        <v>240</v>
      </c>
      <c r="N1448" s="12">
        <f>IF(A1448&lt;[3]关卡对接!$A$4,INDEX([3]关卡对接!$E$7:$E$141,A1448),MATCH(E1448,人物经验!$H$24:$H$573,1))</f>
        <v>481</v>
      </c>
      <c r="O1448" s="12">
        <f>INDEX([2]关卡!$G$6:$G$2005,A1448)</f>
        <v>3</v>
      </c>
      <c r="P1448" s="13">
        <v>6</v>
      </c>
      <c r="Q1448" s="12">
        <f>INT(P1448/$S$15/O1448*VLOOKUP(J1448,[1]人物技能基础!$N$3:$O$553,2,0)*$U$15)</f>
        <v>9</v>
      </c>
      <c r="R1448" s="12">
        <f t="shared" si="210"/>
        <v>112</v>
      </c>
    </row>
    <row r="1449" spans="1:18" x14ac:dyDescent="0.15">
      <c r="A1449" s="12">
        <v>1431</v>
      </c>
      <c r="B1449" s="12">
        <f t="shared" si="207"/>
        <v>8</v>
      </c>
      <c r="C1449" s="12">
        <f t="shared" si="208"/>
        <v>1.9866350000000002</v>
      </c>
      <c r="D1449" s="12">
        <f t="shared" si="202"/>
        <v>6.5134999999999943E-2</v>
      </c>
      <c r="E1449" s="12">
        <f>SUM($D$19:D1449)</f>
        <v>34.186634999999967</v>
      </c>
      <c r="F1449" s="12">
        <f t="shared" si="205"/>
        <v>389.39706967095492</v>
      </c>
      <c r="G1449" s="12">
        <f t="shared" si="206"/>
        <v>233.18289269040594</v>
      </c>
      <c r="H1449" s="12">
        <f t="shared" si="203"/>
        <v>1401800</v>
      </c>
      <c r="I1449" s="12">
        <f t="shared" si="204"/>
        <v>839400</v>
      </c>
      <c r="J1449" s="12">
        <f>IF(A1449&lt;[3]关卡对接!$A$4,INDEX([3]关卡对接!$C$7:$C$141,A1449),MATCH(E1449,人物经验!$H$24:$H$573,1))</f>
        <v>481</v>
      </c>
      <c r="K1449" s="12">
        <f>IF([3]关卡对接!F1437="",INT(INDEX(人物经验!$J$24:$J$573,关卡!J1449)*关卡!$S$7),[3]关卡对接!F1437)</f>
        <v>34852</v>
      </c>
      <c r="L1449" s="12">
        <f t="shared" si="209"/>
        <v>2.4</v>
      </c>
      <c r="M1449" s="12">
        <f>L1449/[4]货币基础!$B$4</f>
        <v>240</v>
      </c>
      <c r="N1449" s="12">
        <f>IF(A1449&lt;[3]关卡对接!$A$4,INDEX([3]关卡对接!$E$7:$E$141,A1449),MATCH(E1449,人物经验!$H$24:$H$573,1))</f>
        <v>481</v>
      </c>
      <c r="O1449" s="12">
        <f>INDEX([2]关卡!$G$6:$G$2005,A1449)</f>
        <v>3</v>
      </c>
      <c r="P1449" s="13">
        <v>6</v>
      </c>
      <c r="Q1449" s="12">
        <f>INT(P1449/$S$15/O1449*VLOOKUP(J1449,[1]人物技能基础!$N$3:$O$553,2,0)*$U$15)</f>
        <v>9</v>
      </c>
      <c r="R1449" s="12">
        <f t="shared" si="210"/>
        <v>112</v>
      </c>
    </row>
    <row r="1450" spans="1:18" x14ac:dyDescent="0.15">
      <c r="A1450" s="12">
        <v>1432</v>
      </c>
      <c r="B1450" s="12">
        <f t="shared" si="207"/>
        <v>8</v>
      </c>
      <c r="C1450" s="12">
        <f t="shared" si="208"/>
        <v>2.0518400000000003</v>
      </c>
      <c r="D1450" s="12">
        <f t="shared" si="202"/>
        <v>6.5205000000000179E-2</v>
      </c>
      <c r="E1450" s="12">
        <f>SUM($D$19:D1450)</f>
        <v>34.251839999999966</v>
      </c>
      <c r="F1450" s="12">
        <f t="shared" si="205"/>
        <v>390.113362360064</v>
      </c>
      <c r="G1450" s="12">
        <f t="shared" si="206"/>
        <v>233.52519096191998</v>
      </c>
      <c r="H1450" s="12">
        <f t="shared" si="203"/>
        <v>1404400</v>
      </c>
      <c r="I1450" s="12">
        <f t="shared" si="204"/>
        <v>840600</v>
      </c>
      <c r="J1450" s="12">
        <f>IF(A1450&lt;[3]关卡对接!$A$4,INDEX([3]关卡对接!$C$7:$C$141,A1450),MATCH(E1450,人物经验!$H$24:$H$573,1))</f>
        <v>481</v>
      </c>
      <c r="K1450" s="12">
        <f>IF([3]关卡对接!F1438="",INT(INDEX(人物经验!$J$24:$J$573,关卡!J1450)*关卡!$S$7),[3]关卡对接!F1438)</f>
        <v>34852</v>
      </c>
      <c r="L1450" s="12">
        <f t="shared" si="209"/>
        <v>2.4</v>
      </c>
      <c r="M1450" s="12">
        <f>L1450/[4]货币基础!$B$4</f>
        <v>240</v>
      </c>
      <c r="N1450" s="12">
        <f>IF(A1450&lt;[3]关卡对接!$A$4,INDEX([3]关卡对接!$E$7:$E$141,A1450),MATCH(E1450,人物经验!$H$24:$H$573,1))</f>
        <v>481</v>
      </c>
      <c r="O1450" s="12">
        <f>INDEX([2]关卡!$G$6:$G$2005,A1450)</f>
        <v>3</v>
      </c>
      <c r="P1450" s="13">
        <v>6</v>
      </c>
      <c r="Q1450" s="12">
        <f>INT(P1450/$S$15/O1450*VLOOKUP(J1450,[1]人物技能基础!$N$3:$O$553,2,0)*$U$15)</f>
        <v>9</v>
      </c>
      <c r="R1450" s="12">
        <f t="shared" si="210"/>
        <v>112</v>
      </c>
    </row>
    <row r="1451" spans="1:18" x14ac:dyDescent="0.15">
      <c r="A1451" s="12">
        <v>1433</v>
      </c>
      <c r="B1451" s="12">
        <f t="shared" si="207"/>
        <v>8</v>
      </c>
      <c r="C1451" s="12">
        <f t="shared" si="208"/>
        <v>2.1171150000000001</v>
      </c>
      <c r="D1451" s="12">
        <f t="shared" si="202"/>
        <v>6.527499999999975E-2</v>
      </c>
      <c r="E1451" s="12">
        <f>SUM($D$19:D1451)</f>
        <v>34.317114999999966</v>
      </c>
      <c r="F1451" s="12">
        <f t="shared" si="205"/>
        <v>390.83069089845503</v>
      </c>
      <c r="G1451" s="12">
        <f t="shared" si="206"/>
        <v>233.86787144040596</v>
      </c>
      <c r="H1451" s="12">
        <f t="shared" si="203"/>
        <v>1406900</v>
      </c>
      <c r="I1451" s="12">
        <f t="shared" si="204"/>
        <v>841900</v>
      </c>
      <c r="J1451" s="12">
        <f>IF(A1451&lt;[3]关卡对接!$A$4,INDEX([3]关卡对接!$C$7:$C$141,A1451),MATCH(E1451,人物经验!$H$24:$H$573,1))</f>
        <v>481</v>
      </c>
      <c r="K1451" s="12">
        <f>IF([3]关卡对接!F1439="",INT(INDEX(人物经验!$J$24:$J$573,关卡!J1451)*关卡!$S$7),[3]关卡对接!F1439)</f>
        <v>34852</v>
      </c>
      <c r="L1451" s="12">
        <f t="shared" si="209"/>
        <v>2.4</v>
      </c>
      <c r="M1451" s="12">
        <f>L1451/[4]货币基础!$B$4</f>
        <v>240</v>
      </c>
      <c r="N1451" s="12">
        <f>IF(A1451&lt;[3]关卡对接!$A$4,INDEX([3]关卡对接!$E$7:$E$141,A1451),MATCH(E1451,人物经验!$H$24:$H$573,1))</f>
        <v>481</v>
      </c>
      <c r="O1451" s="12">
        <f>INDEX([2]关卡!$G$6:$G$2005,A1451)</f>
        <v>3</v>
      </c>
      <c r="P1451" s="13">
        <v>6</v>
      </c>
      <c r="Q1451" s="12">
        <f>INT(P1451/$S$15/O1451*VLOOKUP(J1451,[1]人物技能基础!$N$3:$O$553,2,0)*$U$15)</f>
        <v>9</v>
      </c>
      <c r="R1451" s="12">
        <f t="shared" si="210"/>
        <v>112</v>
      </c>
    </row>
    <row r="1452" spans="1:18" x14ac:dyDescent="0.15">
      <c r="A1452" s="12">
        <v>1434</v>
      </c>
      <c r="B1452" s="12">
        <f t="shared" si="207"/>
        <v>8</v>
      </c>
      <c r="C1452" s="12">
        <f t="shared" si="208"/>
        <v>2.1824600000000003</v>
      </c>
      <c r="D1452" s="12">
        <f t="shared" si="202"/>
        <v>6.5345000000000208E-2</v>
      </c>
      <c r="E1452" s="12">
        <f>SUM($D$19:D1452)</f>
        <v>34.382459999999966</v>
      </c>
      <c r="F1452" s="12">
        <f t="shared" si="205"/>
        <v>391.549056368479</v>
      </c>
      <c r="G1452" s="12">
        <f t="shared" si="206"/>
        <v>234.21093444249496</v>
      </c>
      <c r="H1452" s="12">
        <f t="shared" si="203"/>
        <v>1409500</v>
      </c>
      <c r="I1452" s="12">
        <f t="shared" si="204"/>
        <v>843100</v>
      </c>
      <c r="J1452" s="12">
        <f>IF(A1452&lt;[3]关卡对接!$A$4,INDEX([3]关卡对接!$C$7:$C$141,A1452),MATCH(E1452,人物经验!$H$24:$H$573,1))</f>
        <v>482</v>
      </c>
      <c r="K1452" s="12">
        <f>IF([3]关卡对接!F1440="",INT(INDEX(人物经验!$J$24:$J$573,关卡!J1452)*关卡!$S$7),[3]关卡对接!F1440)</f>
        <v>35174</v>
      </c>
      <c r="L1452" s="12">
        <f t="shared" si="209"/>
        <v>2.4</v>
      </c>
      <c r="M1452" s="12">
        <f>L1452/[4]货币基础!$B$4</f>
        <v>240</v>
      </c>
      <c r="N1452" s="12">
        <f>IF(A1452&lt;[3]关卡对接!$A$4,INDEX([3]关卡对接!$E$7:$E$141,A1452),MATCH(E1452,人物经验!$H$24:$H$573,1))</f>
        <v>482</v>
      </c>
      <c r="O1452" s="12">
        <f>INDEX([2]关卡!$G$6:$G$2005,A1452)</f>
        <v>3</v>
      </c>
      <c r="P1452" s="13">
        <v>6</v>
      </c>
      <c r="Q1452" s="12">
        <f>INT(P1452/$S$15/O1452*VLOOKUP(J1452,[1]人物技能基础!$N$3:$O$553,2,0)*$U$15)</f>
        <v>9</v>
      </c>
      <c r="R1452" s="12">
        <f t="shared" si="210"/>
        <v>112</v>
      </c>
    </row>
    <row r="1453" spans="1:18" x14ac:dyDescent="0.15">
      <c r="A1453" s="12">
        <v>1435</v>
      </c>
      <c r="B1453" s="12">
        <f t="shared" si="207"/>
        <v>8</v>
      </c>
      <c r="C1453" s="12">
        <f t="shared" si="208"/>
        <v>2.2478750000000001</v>
      </c>
      <c r="D1453" s="12">
        <f t="shared" si="202"/>
        <v>6.5414999999999779E-2</v>
      </c>
      <c r="E1453" s="12">
        <f>SUM($D$19:D1453)</f>
        <v>34.447874999999968</v>
      </c>
      <c r="F1453" s="12">
        <f t="shared" si="205"/>
        <v>392.26845985308597</v>
      </c>
      <c r="G1453" s="12">
        <f t="shared" si="206"/>
        <v>234.55438028496096</v>
      </c>
      <c r="H1453" s="12">
        <f t="shared" si="203"/>
        <v>1412100</v>
      </c>
      <c r="I1453" s="12">
        <f t="shared" si="204"/>
        <v>844300</v>
      </c>
      <c r="J1453" s="12">
        <f>IF(A1453&lt;[3]关卡对接!$A$4,INDEX([3]关卡对接!$C$7:$C$141,A1453),MATCH(E1453,人物经验!$H$24:$H$573,1))</f>
        <v>482</v>
      </c>
      <c r="K1453" s="12">
        <f>IF([3]关卡对接!F1441="",INT(INDEX(人物经验!$J$24:$J$573,关卡!J1453)*关卡!$S$7),[3]关卡对接!F1441)</f>
        <v>35174</v>
      </c>
      <c r="L1453" s="12">
        <f t="shared" si="209"/>
        <v>2.4</v>
      </c>
      <c r="M1453" s="12">
        <f>L1453/[4]货币基础!$B$4</f>
        <v>240</v>
      </c>
      <c r="N1453" s="12">
        <f>IF(A1453&lt;[3]关卡对接!$A$4,INDEX([3]关卡对接!$E$7:$E$141,A1453),MATCH(E1453,人物经验!$H$24:$H$573,1))</f>
        <v>482</v>
      </c>
      <c r="O1453" s="12">
        <f>INDEX([2]关卡!$G$6:$G$2005,A1453)</f>
        <v>3</v>
      </c>
      <c r="P1453" s="13">
        <v>6</v>
      </c>
      <c r="Q1453" s="12">
        <f>INT(P1453/$S$15/O1453*VLOOKUP(J1453,[1]人物技能基础!$N$3:$O$553,2,0)*$U$15)</f>
        <v>9</v>
      </c>
      <c r="R1453" s="12">
        <f t="shared" si="210"/>
        <v>112</v>
      </c>
    </row>
    <row r="1454" spans="1:18" x14ac:dyDescent="0.15">
      <c r="A1454" s="12">
        <v>1436</v>
      </c>
      <c r="B1454" s="12">
        <f t="shared" si="207"/>
        <v>8</v>
      </c>
      <c r="C1454" s="12">
        <f t="shared" si="208"/>
        <v>2.3133599999999999</v>
      </c>
      <c r="D1454" s="12">
        <f t="shared" si="202"/>
        <v>6.5484999999999793E-2</v>
      </c>
      <c r="E1454" s="12">
        <f>SUM($D$19:D1454)</f>
        <v>34.51335999999997</v>
      </c>
      <c r="F1454" s="12">
        <f t="shared" si="205"/>
        <v>392.98890243582395</v>
      </c>
      <c r="G1454" s="12">
        <f t="shared" si="206"/>
        <v>234.89820928472</v>
      </c>
      <c r="H1454" s="12">
        <f t="shared" si="203"/>
        <v>1414700</v>
      </c>
      <c r="I1454" s="12">
        <f t="shared" si="204"/>
        <v>845600</v>
      </c>
      <c r="J1454" s="12">
        <f>IF(A1454&lt;[3]关卡对接!$A$4,INDEX([3]关卡对接!$C$7:$C$141,A1454),MATCH(E1454,人物经验!$H$24:$H$573,1))</f>
        <v>482</v>
      </c>
      <c r="K1454" s="12">
        <f>IF([3]关卡对接!F1442="",INT(INDEX(人物经验!$J$24:$J$573,关卡!J1454)*关卡!$S$7),[3]关卡对接!F1442)</f>
        <v>35174</v>
      </c>
      <c r="L1454" s="12">
        <f t="shared" si="209"/>
        <v>2.4</v>
      </c>
      <c r="M1454" s="12">
        <f>L1454/[4]货币基础!$B$4</f>
        <v>240</v>
      </c>
      <c r="N1454" s="12">
        <f>IF(A1454&lt;[3]关卡对接!$A$4,INDEX([3]关卡对接!$E$7:$E$141,A1454),MATCH(E1454,人物经验!$H$24:$H$573,1))</f>
        <v>482</v>
      </c>
      <c r="O1454" s="12">
        <f>INDEX([2]关卡!$G$6:$G$2005,A1454)</f>
        <v>3</v>
      </c>
      <c r="P1454" s="13">
        <v>6</v>
      </c>
      <c r="Q1454" s="12">
        <f>INT(P1454/$S$15/O1454*VLOOKUP(J1454,[1]人物技能基础!$N$3:$O$553,2,0)*$U$15)</f>
        <v>9</v>
      </c>
      <c r="R1454" s="12">
        <f t="shared" si="210"/>
        <v>112</v>
      </c>
    </row>
    <row r="1455" spans="1:18" x14ac:dyDescent="0.15">
      <c r="A1455" s="12">
        <v>1437</v>
      </c>
      <c r="B1455" s="12">
        <f t="shared" si="207"/>
        <v>8</v>
      </c>
      <c r="C1455" s="12">
        <f t="shared" si="208"/>
        <v>2.3789150000000001</v>
      </c>
      <c r="D1455" s="12">
        <f t="shared" si="202"/>
        <v>6.5555000000000252E-2</v>
      </c>
      <c r="E1455" s="12">
        <f>SUM($D$19:D1455)</f>
        <v>34.578914999999974</v>
      </c>
      <c r="F1455" s="12">
        <f t="shared" si="205"/>
        <v>393.71038520083994</v>
      </c>
      <c r="G1455" s="12">
        <f t="shared" si="206"/>
        <v>235.24242175883094</v>
      </c>
      <c r="H1455" s="12">
        <f t="shared" si="203"/>
        <v>1417300</v>
      </c>
      <c r="I1455" s="12">
        <f t="shared" si="204"/>
        <v>846800</v>
      </c>
      <c r="J1455" s="12">
        <f>IF(A1455&lt;[3]关卡对接!$A$4,INDEX([3]关卡对接!$C$7:$C$141,A1455),MATCH(E1455,人物经验!$H$24:$H$573,1))</f>
        <v>482</v>
      </c>
      <c r="K1455" s="12">
        <f>IF([3]关卡对接!F1443="",INT(INDEX(人物经验!$J$24:$J$573,关卡!J1455)*关卡!$S$7),[3]关卡对接!F1443)</f>
        <v>35174</v>
      </c>
      <c r="L1455" s="12">
        <f t="shared" si="209"/>
        <v>2.4</v>
      </c>
      <c r="M1455" s="12">
        <f>L1455/[4]货币基础!$B$4</f>
        <v>240</v>
      </c>
      <c r="N1455" s="12">
        <f>IF(A1455&lt;[3]关卡对接!$A$4,INDEX([3]关卡对接!$E$7:$E$141,A1455),MATCH(E1455,人物经验!$H$24:$H$573,1))</f>
        <v>482</v>
      </c>
      <c r="O1455" s="12">
        <f>INDEX([2]关卡!$G$6:$G$2005,A1455)</f>
        <v>3</v>
      </c>
      <c r="P1455" s="13">
        <v>6</v>
      </c>
      <c r="Q1455" s="12">
        <f>INT(P1455/$S$15/O1455*VLOOKUP(J1455,[1]人物技能基础!$N$3:$O$553,2,0)*$U$15)</f>
        <v>9</v>
      </c>
      <c r="R1455" s="12">
        <f t="shared" si="210"/>
        <v>112</v>
      </c>
    </row>
    <row r="1456" spans="1:18" x14ac:dyDescent="0.15">
      <c r="A1456" s="12">
        <v>1438</v>
      </c>
      <c r="B1456" s="12">
        <f t="shared" si="207"/>
        <v>8</v>
      </c>
      <c r="C1456" s="12">
        <f t="shared" si="208"/>
        <v>2.4445400000000004</v>
      </c>
      <c r="D1456" s="12">
        <f t="shared" si="202"/>
        <v>6.5625000000000266E-2</v>
      </c>
      <c r="E1456" s="12">
        <f>SUM($D$19:D1456)</f>
        <v>34.644539999999971</v>
      </c>
      <c r="F1456" s="12">
        <f t="shared" si="205"/>
        <v>394.43290923287901</v>
      </c>
      <c r="G1456" s="12">
        <f t="shared" si="206"/>
        <v>235.58701802449499</v>
      </c>
      <c r="H1456" s="12">
        <f t="shared" si="203"/>
        <v>1419900</v>
      </c>
      <c r="I1456" s="12">
        <f t="shared" si="204"/>
        <v>848100</v>
      </c>
      <c r="J1456" s="12">
        <f>IF(A1456&lt;[3]关卡对接!$A$4,INDEX([3]关卡对接!$C$7:$C$141,A1456),MATCH(E1456,人物经验!$H$24:$H$573,1))</f>
        <v>483</v>
      </c>
      <c r="K1456" s="12">
        <f>IF([3]关卡对接!F1444="",INT(INDEX(人物经验!$J$24:$J$573,关卡!J1456)*关卡!$S$7),[3]关卡对接!F1444)</f>
        <v>35433</v>
      </c>
      <c r="L1456" s="12">
        <f t="shared" si="209"/>
        <v>2.4</v>
      </c>
      <c r="M1456" s="12">
        <f>L1456/[4]货币基础!$B$4</f>
        <v>240</v>
      </c>
      <c r="N1456" s="12">
        <f>IF(A1456&lt;[3]关卡对接!$A$4,INDEX([3]关卡对接!$E$7:$E$141,A1456),MATCH(E1456,人物经验!$H$24:$H$573,1))</f>
        <v>483</v>
      </c>
      <c r="O1456" s="12">
        <f>INDEX([2]关卡!$G$6:$G$2005,A1456)</f>
        <v>3</v>
      </c>
      <c r="P1456" s="13">
        <v>6</v>
      </c>
      <c r="Q1456" s="12">
        <f>INT(P1456/$S$15/O1456*VLOOKUP(J1456,[1]人物技能基础!$N$3:$O$553,2,0)*$U$15)</f>
        <v>9</v>
      </c>
      <c r="R1456" s="12">
        <f t="shared" si="210"/>
        <v>112</v>
      </c>
    </row>
    <row r="1457" spans="1:18" x14ac:dyDescent="0.15">
      <c r="A1457" s="12">
        <v>1439</v>
      </c>
      <c r="B1457" s="12">
        <f t="shared" si="207"/>
        <v>8</v>
      </c>
      <c r="C1457" s="12">
        <f t="shared" si="208"/>
        <v>2.5102350000000007</v>
      </c>
      <c r="D1457" s="12">
        <f t="shared" si="202"/>
        <v>6.5695000000000281E-2</v>
      </c>
      <c r="E1457" s="12">
        <f>SUM($D$19:D1457)</f>
        <v>34.710234999999969</v>
      </c>
      <c r="F1457" s="12">
        <f t="shared" si="205"/>
        <v>395.15647561728503</v>
      </c>
      <c r="G1457" s="12">
        <f t="shared" si="206"/>
        <v>235.93199839905594</v>
      </c>
      <c r="H1457" s="12">
        <f t="shared" si="203"/>
        <v>1422500</v>
      </c>
      <c r="I1457" s="12">
        <f t="shared" si="204"/>
        <v>849300</v>
      </c>
      <c r="J1457" s="12">
        <f>IF(A1457&lt;[3]关卡对接!$A$4,INDEX([3]关卡对接!$C$7:$C$141,A1457),MATCH(E1457,人物经验!$H$24:$H$573,1))</f>
        <v>483</v>
      </c>
      <c r="K1457" s="12">
        <f>IF([3]关卡对接!F1445="",INT(INDEX(人物经验!$J$24:$J$573,关卡!J1457)*关卡!$S$7),[3]关卡对接!F1445)</f>
        <v>35433</v>
      </c>
      <c r="L1457" s="12">
        <f t="shared" si="209"/>
        <v>2.4</v>
      </c>
      <c r="M1457" s="12">
        <f>L1457/[4]货币基础!$B$4</f>
        <v>240</v>
      </c>
      <c r="N1457" s="12">
        <f>IF(A1457&lt;[3]关卡对接!$A$4,INDEX([3]关卡对接!$E$7:$E$141,A1457),MATCH(E1457,人物经验!$H$24:$H$573,1))</f>
        <v>483</v>
      </c>
      <c r="O1457" s="12">
        <f>INDEX([2]关卡!$G$6:$G$2005,A1457)</f>
        <v>3</v>
      </c>
      <c r="P1457" s="13">
        <v>6</v>
      </c>
      <c r="Q1457" s="12">
        <f>INT(P1457/$S$15/O1457*VLOOKUP(J1457,[1]人物技能基础!$N$3:$O$553,2,0)*$U$15)</f>
        <v>9</v>
      </c>
      <c r="R1457" s="12">
        <f t="shared" si="210"/>
        <v>112</v>
      </c>
    </row>
    <row r="1458" spans="1:18" x14ac:dyDescent="0.15">
      <c r="A1458" s="12">
        <v>1440</v>
      </c>
      <c r="B1458" s="12">
        <f t="shared" si="207"/>
        <v>8</v>
      </c>
      <c r="C1458" s="12">
        <f t="shared" si="208"/>
        <v>2.5760000000000005</v>
      </c>
      <c r="D1458" s="12">
        <f t="shared" si="202"/>
        <v>6.5764999999999851E-2</v>
      </c>
      <c r="E1458" s="12">
        <f>SUM($D$19:D1458)</f>
        <v>34.775999999999968</v>
      </c>
      <c r="F1458" s="12">
        <f t="shared" si="205"/>
        <v>395.88108543999994</v>
      </c>
      <c r="G1458" s="12">
        <f t="shared" si="206"/>
        <v>236.27736319999997</v>
      </c>
      <c r="H1458" s="12">
        <f t="shared" si="203"/>
        <v>1425100</v>
      </c>
      <c r="I1458" s="12">
        <f t="shared" si="204"/>
        <v>850500</v>
      </c>
      <c r="J1458" s="12">
        <f>IF(A1458&lt;[3]关卡对接!$A$4,INDEX([3]关卡对接!$C$7:$C$141,A1458),MATCH(E1458,人物经验!$H$24:$H$573,1))</f>
        <v>483</v>
      </c>
      <c r="K1458" s="12">
        <f>IF([3]关卡对接!F1446="",INT(INDEX(人物经验!$J$24:$J$573,关卡!J1458)*关卡!$S$7),[3]关卡对接!F1446)</f>
        <v>35433</v>
      </c>
      <c r="L1458" s="12">
        <f t="shared" si="209"/>
        <v>2.4</v>
      </c>
      <c r="M1458" s="12">
        <f>L1458/[4]货币基础!$B$4</f>
        <v>240</v>
      </c>
      <c r="N1458" s="12">
        <f>IF(A1458&lt;[3]关卡对接!$A$4,INDEX([3]关卡对接!$E$7:$E$141,A1458),MATCH(E1458,人物经验!$H$24:$H$573,1))</f>
        <v>483</v>
      </c>
      <c r="O1458" s="12">
        <f>INDEX([2]关卡!$G$6:$G$2005,A1458)</f>
        <v>3</v>
      </c>
      <c r="P1458" s="13">
        <v>6</v>
      </c>
      <c r="Q1458" s="12">
        <f>INT(P1458/$S$15/O1458*VLOOKUP(J1458,[1]人物技能基础!$N$3:$O$553,2,0)*$U$15)</f>
        <v>9</v>
      </c>
      <c r="R1458" s="12">
        <f t="shared" si="210"/>
        <v>112</v>
      </c>
    </row>
    <row r="1459" spans="1:18" x14ac:dyDescent="0.15">
      <c r="A1459" s="12">
        <v>1441</v>
      </c>
      <c r="B1459" s="12">
        <f t="shared" si="207"/>
        <v>8</v>
      </c>
      <c r="C1459" s="12">
        <f t="shared" si="208"/>
        <v>2.6418349999999999</v>
      </c>
      <c r="D1459" s="12">
        <f t="shared" si="202"/>
        <v>6.5834999999999422E-2</v>
      </c>
      <c r="E1459" s="12">
        <f>SUM($D$19:D1459)</f>
        <v>34.841834999999968</v>
      </c>
      <c r="F1459" s="12">
        <f t="shared" si="205"/>
        <v>396.606739787565</v>
      </c>
      <c r="G1459" s="12">
        <f t="shared" si="206"/>
        <v>236.62311274495593</v>
      </c>
      <c r="H1459" s="12">
        <f t="shared" si="203"/>
        <v>1427700</v>
      </c>
      <c r="I1459" s="12">
        <f t="shared" si="204"/>
        <v>851800</v>
      </c>
      <c r="J1459" s="12">
        <f>IF(A1459&lt;[3]关卡对接!$A$4,INDEX([3]关卡对接!$C$7:$C$141,A1459),MATCH(E1459,人物经验!$H$24:$H$573,1))</f>
        <v>483</v>
      </c>
      <c r="K1459" s="12">
        <f>IF([3]关卡对接!F1447="",INT(INDEX(人物经验!$J$24:$J$573,关卡!J1459)*关卡!$S$7),[3]关卡对接!F1447)</f>
        <v>35433</v>
      </c>
      <c r="L1459" s="12">
        <f t="shared" si="209"/>
        <v>2.4</v>
      </c>
      <c r="M1459" s="12">
        <f>L1459/[4]货币基础!$B$4</f>
        <v>240</v>
      </c>
      <c r="N1459" s="12">
        <f>IF(A1459&lt;[3]关卡对接!$A$4,INDEX([3]关卡对接!$E$7:$E$141,A1459),MATCH(E1459,人物经验!$H$24:$H$573,1))</f>
        <v>483</v>
      </c>
      <c r="O1459" s="12">
        <f>INDEX([2]关卡!$G$6:$G$2005,A1459)</f>
        <v>3</v>
      </c>
      <c r="P1459" s="13">
        <v>6</v>
      </c>
      <c r="Q1459" s="12">
        <f>INT(P1459/$S$15/O1459*VLOOKUP(J1459,[1]人物技能基础!$N$3:$O$553,2,0)*$U$15)</f>
        <v>9</v>
      </c>
      <c r="R1459" s="12">
        <f t="shared" si="210"/>
        <v>112</v>
      </c>
    </row>
    <row r="1460" spans="1:18" x14ac:dyDescent="0.15">
      <c r="A1460" s="12">
        <v>1442</v>
      </c>
      <c r="B1460" s="12">
        <f t="shared" si="207"/>
        <v>8</v>
      </c>
      <c r="C1460" s="12">
        <f t="shared" si="208"/>
        <v>2.7077399999999998</v>
      </c>
      <c r="D1460" s="12">
        <f t="shared" si="202"/>
        <v>6.590499999999988E-2</v>
      </c>
      <c r="E1460" s="12">
        <f>SUM($D$19:D1460)</f>
        <v>34.907739999999968</v>
      </c>
      <c r="F1460" s="12">
        <f t="shared" si="205"/>
        <v>397.33343974711897</v>
      </c>
      <c r="G1460" s="12">
        <f t="shared" si="206"/>
        <v>236.969247351695</v>
      </c>
      <c r="H1460" s="12">
        <f t="shared" si="203"/>
        <v>1430400</v>
      </c>
      <c r="I1460" s="12">
        <f t="shared" si="204"/>
        <v>853000</v>
      </c>
      <c r="J1460" s="12">
        <f>IF(A1460&lt;[3]关卡对接!$A$4,INDEX([3]关卡对接!$C$7:$C$141,A1460),MATCH(E1460,人物经验!$H$24:$H$573,1))</f>
        <v>484</v>
      </c>
      <c r="K1460" s="12">
        <f>IF([3]关卡对接!F1448="",INT(INDEX(人物经验!$J$24:$J$573,关卡!J1460)*关卡!$S$7),[3]关卡对接!F1448)</f>
        <v>35694</v>
      </c>
      <c r="L1460" s="12">
        <f t="shared" si="209"/>
        <v>2.4</v>
      </c>
      <c r="M1460" s="12">
        <f>L1460/[4]货币基础!$B$4</f>
        <v>240</v>
      </c>
      <c r="N1460" s="12">
        <f>IF(A1460&lt;[3]关卡对接!$A$4,INDEX([3]关卡对接!$E$7:$E$141,A1460),MATCH(E1460,人物经验!$H$24:$H$573,1))</f>
        <v>484</v>
      </c>
      <c r="O1460" s="12">
        <f>INDEX([2]关卡!$G$6:$G$2005,A1460)</f>
        <v>3</v>
      </c>
      <c r="P1460" s="13">
        <v>6</v>
      </c>
      <c r="Q1460" s="12">
        <f>INT(P1460/$S$15/O1460*VLOOKUP(J1460,[1]人物技能基础!$N$3:$O$553,2,0)*$U$15)</f>
        <v>9</v>
      </c>
      <c r="R1460" s="12">
        <f t="shared" si="210"/>
        <v>112</v>
      </c>
    </row>
    <row r="1461" spans="1:18" x14ac:dyDescent="0.15">
      <c r="A1461" s="12">
        <v>1443</v>
      </c>
      <c r="B1461" s="12">
        <f t="shared" si="207"/>
        <v>8</v>
      </c>
      <c r="C1461" s="12">
        <f t="shared" si="208"/>
        <v>2.7737150000000002</v>
      </c>
      <c r="D1461" s="12">
        <f t="shared" si="202"/>
        <v>6.5975000000000339E-2</v>
      </c>
      <c r="E1461" s="12">
        <f>SUM($D$19:D1461)</f>
        <v>34.97371499999997</v>
      </c>
      <c r="F1461" s="12">
        <f t="shared" si="205"/>
        <v>398.0611864064</v>
      </c>
      <c r="G1461" s="12">
        <f t="shared" si="206"/>
        <v>237.31576733813094</v>
      </c>
      <c r="H1461" s="12">
        <f t="shared" si="203"/>
        <v>1433000</v>
      </c>
      <c r="I1461" s="12">
        <f t="shared" si="204"/>
        <v>854300</v>
      </c>
      <c r="J1461" s="12">
        <f>IF(A1461&lt;[3]关卡对接!$A$4,INDEX([3]关卡对接!$C$7:$C$141,A1461),MATCH(E1461,人物经验!$H$24:$H$573,1))</f>
        <v>484</v>
      </c>
      <c r="K1461" s="12">
        <f>IF([3]关卡对接!F1449="",INT(INDEX(人物经验!$J$24:$J$573,关卡!J1461)*关卡!$S$7),[3]关卡对接!F1449)</f>
        <v>35694</v>
      </c>
      <c r="L1461" s="12">
        <f t="shared" si="209"/>
        <v>2.4</v>
      </c>
      <c r="M1461" s="12">
        <f>L1461/[4]货币基础!$B$4</f>
        <v>240</v>
      </c>
      <c r="N1461" s="12">
        <f>IF(A1461&lt;[3]关卡对接!$A$4,INDEX([3]关卡对接!$E$7:$E$141,A1461),MATCH(E1461,人物经验!$H$24:$H$573,1))</f>
        <v>484</v>
      </c>
      <c r="O1461" s="12">
        <f>INDEX([2]关卡!$G$6:$G$2005,A1461)</f>
        <v>3</v>
      </c>
      <c r="P1461" s="13">
        <v>6</v>
      </c>
      <c r="Q1461" s="12">
        <f>INT(P1461/$S$15/O1461*VLOOKUP(J1461,[1]人物技能基础!$N$3:$O$553,2,0)*$U$15)</f>
        <v>9</v>
      </c>
      <c r="R1461" s="12">
        <f t="shared" si="210"/>
        <v>112</v>
      </c>
    </row>
    <row r="1462" spans="1:18" x14ac:dyDescent="0.15">
      <c r="A1462" s="12">
        <v>1444</v>
      </c>
      <c r="B1462" s="12">
        <f t="shared" si="207"/>
        <v>8</v>
      </c>
      <c r="C1462" s="12">
        <f t="shared" si="208"/>
        <v>2.8397600000000001</v>
      </c>
      <c r="D1462" s="12">
        <f t="shared" si="202"/>
        <v>6.6044999999999909E-2</v>
      </c>
      <c r="E1462" s="12">
        <f>SUM($D$19:D1462)</f>
        <v>35.039759999999973</v>
      </c>
      <c r="F1462" s="12">
        <f t="shared" si="205"/>
        <v>398.78998085374394</v>
      </c>
      <c r="G1462" s="12">
        <f t="shared" si="206"/>
        <v>237.66267302231998</v>
      </c>
      <c r="H1462" s="12">
        <f t="shared" si="203"/>
        <v>1435600</v>
      </c>
      <c r="I1462" s="12">
        <f t="shared" si="204"/>
        <v>855500</v>
      </c>
      <c r="J1462" s="12">
        <f>IF(A1462&lt;[3]关卡对接!$A$4,INDEX([3]关卡对接!$C$7:$C$141,A1462),MATCH(E1462,人物经验!$H$24:$H$573,1))</f>
        <v>484</v>
      </c>
      <c r="K1462" s="12">
        <f>IF([3]关卡对接!F1450="",INT(INDEX(人物经验!$J$24:$J$573,关卡!J1462)*关卡!$S$7),[3]关卡对接!F1450)</f>
        <v>35694</v>
      </c>
      <c r="L1462" s="12">
        <f t="shared" si="209"/>
        <v>2.4</v>
      </c>
      <c r="M1462" s="12">
        <f>L1462/[4]货币基础!$B$4</f>
        <v>240</v>
      </c>
      <c r="N1462" s="12">
        <f>IF(A1462&lt;[3]关卡对接!$A$4,INDEX([3]关卡对接!$E$7:$E$141,A1462),MATCH(E1462,人物经验!$H$24:$H$573,1))</f>
        <v>484</v>
      </c>
      <c r="O1462" s="12">
        <f>INDEX([2]关卡!$G$6:$G$2005,A1462)</f>
        <v>3</v>
      </c>
      <c r="P1462" s="13">
        <v>6</v>
      </c>
      <c r="Q1462" s="12">
        <f>INT(P1462/$S$15/O1462*VLOOKUP(J1462,[1]人物技能基础!$N$3:$O$553,2,0)*$U$15)</f>
        <v>9</v>
      </c>
      <c r="R1462" s="12">
        <f t="shared" si="210"/>
        <v>112</v>
      </c>
    </row>
    <row r="1463" spans="1:18" x14ac:dyDescent="0.15">
      <c r="A1463" s="12">
        <v>1445</v>
      </c>
      <c r="B1463" s="12">
        <f t="shared" si="207"/>
        <v>8</v>
      </c>
      <c r="C1463" s="12">
        <f t="shared" si="208"/>
        <v>2.905875</v>
      </c>
      <c r="D1463" s="12">
        <f t="shared" si="202"/>
        <v>6.6114999999999924E-2</v>
      </c>
      <c r="E1463" s="12">
        <f>SUM($D$19:D1463)</f>
        <v>35.105874999999969</v>
      </c>
      <c r="F1463" s="12">
        <f t="shared" si="205"/>
        <v>399.51982417808597</v>
      </c>
      <c r="G1463" s="12">
        <f t="shared" si="206"/>
        <v>238.00996472246095</v>
      </c>
      <c r="H1463" s="12">
        <f t="shared" si="203"/>
        <v>1438200</v>
      </c>
      <c r="I1463" s="12">
        <f t="shared" si="204"/>
        <v>856800</v>
      </c>
      <c r="J1463" s="12">
        <f>IF(A1463&lt;[3]关卡对接!$A$4,INDEX([3]关卡对接!$C$7:$C$141,A1463),MATCH(E1463,人物经验!$H$24:$H$573,1))</f>
        <v>484</v>
      </c>
      <c r="K1463" s="12">
        <f>IF([3]关卡对接!F1451="",INT(INDEX(人物经验!$J$24:$J$573,关卡!J1463)*关卡!$S$7),[3]关卡对接!F1451)</f>
        <v>35694</v>
      </c>
      <c r="L1463" s="12">
        <f t="shared" si="209"/>
        <v>2.4</v>
      </c>
      <c r="M1463" s="12">
        <f>L1463/[4]货币基础!$B$4</f>
        <v>240</v>
      </c>
      <c r="N1463" s="12">
        <f>IF(A1463&lt;[3]关卡对接!$A$4,INDEX([3]关卡对接!$E$7:$E$141,A1463),MATCH(E1463,人物经验!$H$24:$H$573,1))</f>
        <v>484</v>
      </c>
      <c r="O1463" s="12">
        <f>INDEX([2]关卡!$G$6:$G$2005,A1463)</f>
        <v>3</v>
      </c>
      <c r="P1463" s="13">
        <v>6</v>
      </c>
      <c r="Q1463" s="12">
        <f>INT(P1463/$S$15/O1463*VLOOKUP(J1463,[1]人物技能基础!$N$3:$O$553,2,0)*$U$15)</f>
        <v>9</v>
      </c>
      <c r="R1463" s="12">
        <f t="shared" si="210"/>
        <v>112</v>
      </c>
    </row>
    <row r="1464" spans="1:18" x14ac:dyDescent="0.15">
      <c r="A1464" s="12">
        <v>1446</v>
      </c>
      <c r="B1464" s="12">
        <f t="shared" si="207"/>
        <v>8</v>
      </c>
      <c r="C1464" s="12">
        <f t="shared" si="208"/>
        <v>2.9720599999999999</v>
      </c>
      <c r="D1464" s="12">
        <f t="shared" si="202"/>
        <v>6.6184999999999938E-2</v>
      </c>
      <c r="E1464" s="12">
        <f>SUM($D$19:D1464)</f>
        <v>35.172059999999966</v>
      </c>
      <c r="F1464" s="12">
        <f t="shared" si="205"/>
        <v>400.25071746895901</v>
      </c>
      <c r="G1464" s="12">
        <f t="shared" si="206"/>
        <v>238.35764275689499</v>
      </c>
      <c r="H1464" s="12">
        <f t="shared" si="203"/>
        <v>1440900</v>
      </c>
      <c r="I1464" s="12">
        <f t="shared" si="204"/>
        <v>858000</v>
      </c>
      <c r="J1464" s="12">
        <f>IF(A1464&lt;[3]关卡对接!$A$4,INDEX([3]关卡对接!$C$7:$C$141,A1464),MATCH(E1464,人物经验!$H$24:$H$573,1))</f>
        <v>485</v>
      </c>
      <c r="K1464" s="12">
        <f>IF([3]关卡对接!F1452="",INT(INDEX(人物经验!$J$24:$J$573,关卡!J1464)*关卡!$S$7),[3]关卡对接!F1452)</f>
        <v>35956</v>
      </c>
      <c r="L1464" s="12">
        <f t="shared" si="209"/>
        <v>2.4</v>
      </c>
      <c r="M1464" s="12">
        <f>L1464/[4]货币基础!$B$4</f>
        <v>240</v>
      </c>
      <c r="N1464" s="12">
        <f>IF(A1464&lt;[3]关卡对接!$A$4,INDEX([3]关卡对接!$E$7:$E$141,A1464),MATCH(E1464,人物经验!$H$24:$H$573,1))</f>
        <v>485</v>
      </c>
      <c r="O1464" s="12">
        <f>INDEX([2]关卡!$G$6:$G$2005,A1464)</f>
        <v>3</v>
      </c>
      <c r="P1464" s="13">
        <v>6</v>
      </c>
      <c r="Q1464" s="12">
        <f>INT(P1464/$S$15/O1464*VLOOKUP(J1464,[1]人物技能基础!$N$3:$O$553,2,0)*$U$15)</f>
        <v>9</v>
      </c>
      <c r="R1464" s="12">
        <f t="shared" si="210"/>
        <v>112</v>
      </c>
    </row>
    <row r="1465" spans="1:18" x14ac:dyDescent="0.15">
      <c r="A1465" s="12">
        <v>1447</v>
      </c>
      <c r="B1465" s="12">
        <f t="shared" si="207"/>
        <v>8</v>
      </c>
      <c r="C1465" s="12">
        <f t="shared" si="208"/>
        <v>3.0383149999999999</v>
      </c>
      <c r="D1465" s="12">
        <f t="shared" si="202"/>
        <v>6.6254999999999953E-2</v>
      </c>
      <c r="E1465" s="12">
        <f>SUM($D$19:D1465)</f>
        <v>35.238314999999965</v>
      </c>
      <c r="F1465" s="12">
        <f t="shared" si="205"/>
        <v>400.98266181649501</v>
      </c>
      <c r="G1465" s="12">
        <f t="shared" si="206"/>
        <v>238.705707444106</v>
      </c>
      <c r="H1465" s="12">
        <f t="shared" si="203"/>
        <v>1443500</v>
      </c>
      <c r="I1465" s="12">
        <f t="shared" si="204"/>
        <v>859300</v>
      </c>
      <c r="J1465" s="12">
        <f>IF(A1465&lt;[3]关卡对接!$A$4,INDEX([3]关卡对接!$C$7:$C$141,A1465),MATCH(E1465,人物经验!$H$24:$H$573,1))</f>
        <v>485</v>
      </c>
      <c r="K1465" s="12">
        <f>IF([3]关卡对接!F1453="",INT(INDEX(人物经验!$J$24:$J$573,关卡!J1465)*关卡!$S$7),[3]关卡对接!F1453)</f>
        <v>35956</v>
      </c>
      <c r="L1465" s="12">
        <f t="shared" si="209"/>
        <v>2.4</v>
      </c>
      <c r="M1465" s="12">
        <f>L1465/[4]货币基础!$B$4</f>
        <v>240</v>
      </c>
      <c r="N1465" s="12">
        <f>IF(A1465&lt;[3]关卡对接!$A$4,INDEX([3]关卡对接!$E$7:$E$141,A1465),MATCH(E1465,人物经验!$H$24:$H$573,1))</f>
        <v>485</v>
      </c>
      <c r="O1465" s="12">
        <f>INDEX([2]关卡!$G$6:$G$2005,A1465)</f>
        <v>3</v>
      </c>
      <c r="P1465" s="13">
        <v>6</v>
      </c>
      <c r="Q1465" s="12">
        <f>INT(P1465/$S$15/O1465*VLOOKUP(J1465,[1]人物技能基础!$N$3:$O$553,2,0)*$U$15)</f>
        <v>9</v>
      </c>
      <c r="R1465" s="12">
        <f t="shared" si="210"/>
        <v>112</v>
      </c>
    </row>
    <row r="1466" spans="1:18" x14ac:dyDescent="0.15">
      <c r="A1466" s="12">
        <v>1448</v>
      </c>
      <c r="B1466" s="12">
        <f t="shared" si="207"/>
        <v>8</v>
      </c>
      <c r="C1466" s="12">
        <f t="shared" si="208"/>
        <v>3.1046399999999998</v>
      </c>
      <c r="D1466" s="12">
        <f t="shared" si="202"/>
        <v>6.6324999999999967E-2</v>
      </c>
      <c r="E1466" s="12">
        <f>SUM($D$19:D1466)</f>
        <v>35.304639999999964</v>
      </c>
      <c r="F1466" s="12">
        <f t="shared" si="205"/>
        <v>401.71565831142397</v>
      </c>
      <c r="G1466" s="12">
        <f t="shared" si="206"/>
        <v>239.05415910271998</v>
      </c>
      <c r="H1466" s="12">
        <f t="shared" si="203"/>
        <v>1446100</v>
      </c>
      <c r="I1466" s="12">
        <f t="shared" si="204"/>
        <v>860500</v>
      </c>
      <c r="J1466" s="12">
        <f>IF(A1466&lt;[3]关卡对接!$A$4,INDEX([3]关卡对接!$C$7:$C$141,A1466),MATCH(E1466,人物经验!$H$24:$H$573,1))</f>
        <v>485</v>
      </c>
      <c r="K1466" s="12">
        <f>IF([3]关卡对接!F1454="",INT(INDEX(人物经验!$J$24:$J$573,关卡!J1466)*关卡!$S$7),[3]关卡对接!F1454)</f>
        <v>35956</v>
      </c>
      <c r="L1466" s="12">
        <f t="shared" si="209"/>
        <v>2.4</v>
      </c>
      <c r="M1466" s="12">
        <f>L1466/[4]货币基础!$B$4</f>
        <v>240</v>
      </c>
      <c r="N1466" s="12">
        <f>IF(A1466&lt;[3]关卡对接!$A$4,INDEX([3]关卡对接!$E$7:$E$141,A1466),MATCH(E1466,人物经验!$H$24:$H$573,1))</f>
        <v>485</v>
      </c>
      <c r="O1466" s="12">
        <f>INDEX([2]关卡!$G$6:$G$2005,A1466)</f>
        <v>3</v>
      </c>
      <c r="P1466" s="13">
        <v>6</v>
      </c>
      <c r="Q1466" s="12">
        <f>INT(P1466/$S$15/O1466*VLOOKUP(J1466,[1]人物技能基础!$N$3:$O$553,2,0)*$U$15)</f>
        <v>9</v>
      </c>
      <c r="R1466" s="12">
        <f t="shared" si="210"/>
        <v>112</v>
      </c>
    </row>
    <row r="1467" spans="1:18" x14ac:dyDescent="0.15">
      <c r="A1467" s="12">
        <v>1449</v>
      </c>
      <c r="B1467" s="12">
        <f t="shared" si="207"/>
        <v>8</v>
      </c>
      <c r="C1467" s="12">
        <f t="shared" si="208"/>
        <v>3.1710349999999998</v>
      </c>
      <c r="D1467" s="12">
        <f t="shared" ref="D1467:D1530" si="211">IF(ISNA(MATCH(A1467,$A$6:$A$15,0)),C1467-C1466,C1467)</f>
        <v>6.6394999999999982E-2</v>
      </c>
      <c r="E1467" s="12">
        <f>SUM($D$19:D1467)</f>
        <v>35.371034999999964</v>
      </c>
      <c r="F1467" s="12">
        <f t="shared" si="205"/>
        <v>402.44970804507494</v>
      </c>
      <c r="G1467" s="12">
        <f t="shared" si="206"/>
        <v>239.40299805150593</v>
      </c>
      <c r="H1467" s="12">
        <f t="shared" ref="H1467:H1530" si="212">INT(F1467*60*60/100)*100</f>
        <v>1448800</v>
      </c>
      <c r="I1467" s="12">
        <f t="shared" ref="I1467:I1530" si="213">INT(G1467*60*60/100)*100</f>
        <v>861800</v>
      </c>
      <c r="J1467" s="12">
        <f>IF(A1467&lt;[3]关卡对接!$A$4,INDEX([3]关卡对接!$C$7:$C$141,A1467),MATCH(E1467,人物经验!$H$24:$H$573,1))</f>
        <v>485</v>
      </c>
      <c r="K1467" s="12">
        <f>IF([3]关卡对接!F1455="",INT(INDEX(人物经验!$J$24:$J$573,关卡!J1467)*关卡!$S$7),[3]关卡对接!F1455)</f>
        <v>35956</v>
      </c>
      <c r="L1467" s="12">
        <f t="shared" si="209"/>
        <v>2.4</v>
      </c>
      <c r="M1467" s="12">
        <f>L1467/[4]货币基础!$B$4</f>
        <v>240</v>
      </c>
      <c r="N1467" s="12">
        <f>IF(A1467&lt;[3]关卡对接!$A$4,INDEX([3]关卡对接!$E$7:$E$141,A1467),MATCH(E1467,人物经验!$H$24:$H$573,1))</f>
        <v>485</v>
      </c>
      <c r="O1467" s="12">
        <f>INDEX([2]关卡!$G$6:$G$2005,A1467)</f>
        <v>3</v>
      </c>
      <c r="P1467" s="13">
        <v>6</v>
      </c>
      <c r="Q1467" s="12">
        <f>INT(P1467/$S$15/O1467*VLOOKUP(J1467,[1]人物技能基础!$N$3:$O$553,2,0)*$U$15)</f>
        <v>9</v>
      </c>
      <c r="R1467" s="12">
        <f t="shared" si="210"/>
        <v>112</v>
      </c>
    </row>
    <row r="1468" spans="1:18" x14ac:dyDescent="0.15">
      <c r="A1468" s="12">
        <v>1450</v>
      </c>
      <c r="B1468" s="12">
        <f t="shared" si="207"/>
        <v>8</v>
      </c>
      <c r="C1468" s="12">
        <f t="shared" si="208"/>
        <v>3.2375000000000003</v>
      </c>
      <c r="D1468" s="12">
        <f t="shared" si="211"/>
        <v>6.646500000000044E-2</v>
      </c>
      <c r="E1468" s="12">
        <f>SUM($D$19:D1468)</f>
        <v>35.437499999999964</v>
      </c>
      <c r="F1468" s="12">
        <f t="shared" si="205"/>
        <v>403.184812109375</v>
      </c>
      <c r="G1468" s="12">
        <f t="shared" si="206"/>
        <v>239.75222460937499</v>
      </c>
      <c r="H1468" s="12">
        <f t="shared" si="212"/>
        <v>1451400</v>
      </c>
      <c r="I1468" s="12">
        <f t="shared" si="213"/>
        <v>863100</v>
      </c>
      <c r="J1468" s="12">
        <f>IF(A1468&lt;[3]关卡对接!$A$4,INDEX([3]关卡对接!$C$7:$C$141,A1468),MATCH(E1468,人物经验!$H$24:$H$573,1))</f>
        <v>485</v>
      </c>
      <c r="K1468" s="12">
        <f>IF([3]关卡对接!F1456="",INT(INDEX(人物经验!$J$24:$J$573,关卡!J1468)*关卡!$S$7),[3]关卡对接!F1456)</f>
        <v>35956</v>
      </c>
      <c r="L1468" s="12">
        <f t="shared" si="209"/>
        <v>2.4</v>
      </c>
      <c r="M1468" s="12">
        <f>L1468/[4]货币基础!$B$4</f>
        <v>240</v>
      </c>
      <c r="N1468" s="12">
        <f>IF(A1468&lt;[3]关卡对接!$A$4,INDEX([3]关卡对接!$E$7:$E$141,A1468),MATCH(E1468,人物经验!$H$24:$H$573,1))</f>
        <v>485</v>
      </c>
      <c r="O1468" s="12">
        <f>INDEX([2]关卡!$G$6:$G$2005,A1468)</f>
        <v>3</v>
      </c>
      <c r="P1468" s="13">
        <v>6</v>
      </c>
      <c r="Q1468" s="12">
        <f>INT(P1468/$S$15/O1468*VLOOKUP(J1468,[1]人物技能基础!$N$3:$O$553,2,0)*$U$15)</f>
        <v>9</v>
      </c>
      <c r="R1468" s="12">
        <f t="shared" si="210"/>
        <v>112</v>
      </c>
    </row>
    <row r="1469" spans="1:18" x14ac:dyDescent="0.15">
      <c r="A1469" s="12">
        <v>1451</v>
      </c>
      <c r="B1469" s="12">
        <f t="shared" si="207"/>
        <v>8</v>
      </c>
      <c r="C1469" s="12">
        <f t="shared" si="208"/>
        <v>3.3040349999999998</v>
      </c>
      <c r="D1469" s="12">
        <f t="shared" si="211"/>
        <v>6.6534999999999567E-2</v>
      </c>
      <c r="E1469" s="12">
        <f>SUM($D$19:D1469)</f>
        <v>35.504034999999966</v>
      </c>
      <c r="F1469" s="12">
        <f t="shared" si="205"/>
        <v>403.92097159684999</v>
      </c>
      <c r="G1469" s="12">
        <f t="shared" si="206"/>
        <v>240.10183909538094</v>
      </c>
      <c r="H1469" s="12">
        <f t="shared" si="212"/>
        <v>1454100</v>
      </c>
      <c r="I1469" s="12">
        <f t="shared" si="213"/>
        <v>864300</v>
      </c>
      <c r="J1469" s="12">
        <f>IF(A1469&lt;[3]关卡对接!$A$4,INDEX([3]关卡对接!$C$7:$C$141,A1469),MATCH(E1469,人物经验!$H$24:$H$573,1))</f>
        <v>486</v>
      </c>
      <c r="K1469" s="12">
        <f>IF([3]关卡对接!F1457="",INT(INDEX(人物经验!$J$24:$J$573,关卡!J1469)*关卡!$S$7),[3]关卡对接!F1457)</f>
        <v>36286</v>
      </c>
      <c r="L1469" s="12">
        <f t="shared" si="209"/>
        <v>2.4</v>
      </c>
      <c r="M1469" s="12">
        <f>L1469/[4]货币基础!$B$4</f>
        <v>240</v>
      </c>
      <c r="N1469" s="12">
        <f>IF(A1469&lt;[3]关卡对接!$A$4,INDEX([3]关卡对接!$E$7:$E$141,A1469),MATCH(E1469,人物经验!$H$24:$H$573,1))</f>
        <v>486</v>
      </c>
      <c r="O1469" s="12">
        <f>INDEX([2]关卡!$G$6:$G$2005,A1469)</f>
        <v>3</v>
      </c>
      <c r="P1469" s="13">
        <v>6</v>
      </c>
      <c r="Q1469" s="12">
        <f>INT(P1469/$S$15/O1469*VLOOKUP(J1469,[1]人物技能基础!$N$3:$O$553,2,0)*$U$15)</f>
        <v>9</v>
      </c>
      <c r="R1469" s="12">
        <f t="shared" si="210"/>
        <v>112</v>
      </c>
    </row>
    <row r="1470" spans="1:18" x14ac:dyDescent="0.15">
      <c r="A1470" s="12">
        <v>1452</v>
      </c>
      <c r="B1470" s="12">
        <f t="shared" si="207"/>
        <v>8</v>
      </c>
      <c r="C1470" s="12">
        <f t="shared" si="208"/>
        <v>3.3706399999999999</v>
      </c>
      <c r="D1470" s="12">
        <f t="shared" si="211"/>
        <v>6.6605000000000025E-2</v>
      </c>
      <c r="E1470" s="12">
        <f>SUM($D$19:D1470)</f>
        <v>35.570639999999969</v>
      </c>
      <c r="F1470" s="12">
        <f t="shared" si="205"/>
        <v>404.65818760062393</v>
      </c>
      <c r="G1470" s="12">
        <f t="shared" si="206"/>
        <v>240.45184182872001</v>
      </c>
      <c r="H1470" s="12">
        <f t="shared" si="212"/>
        <v>1456700</v>
      </c>
      <c r="I1470" s="12">
        <f t="shared" si="213"/>
        <v>865600</v>
      </c>
      <c r="J1470" s="12">
        <f>IF(A1470&lt;[3]关卡对接!$A$4,INDEX([3]关卡对接!$C$7:$C$141,A1470),MATCH(E1470,人物经验!$H$24:$H$573,1))</f>
        <v>486</v>
      </c>
      <c r="K1470" s="12">
        <f>IF([3]关卡对接!F1458="",INT(INDEX(人物经验!$J$24:$J$573,关卡!J1470)*关卡!$S$7),[3]关卡对接!F1458)</f>
        <v>36286</v>
      </c>
      <c r="L1470" s="12">
        <f t="shared" si="209"/>
        <v>2.4</v>
      </c>
      <c r="M1470" s="12">
        <f>L1470/[4]货币基础!$B$4</f>
        <v>240</v>
      </c>
      <c r="N1470" s="12">
        <f>IF(A1470&lt;[3]关卡对接!$A$4,INDEX([3]关卡对接!$E$7:$E$141,A1470),MATCH(E1470,人物经验!$H$24:$H$573,1))</f>
        <v>486</v>
      </c>
      <c r="O1470" s="12">
        <f>INDEX([2]关卡!$G$6:$G$2005,A1470)</f>
        <v>3</v>
      </c>
      <c r="P1470" s="13">
        <v>6</v>
      </c>
      <c r="Q1470" s="12">
        <f>INT(P1470/$S$15/O1470*VLOOKUP(J1470,[1]人物技能基础!$N$3:$O$553,2,0)*$U$15)</f>
        <v>9</v>
      </c>
      <c r="R1470" s="12">
        <f t="shared" si="210"/>
        <v>112</v>
      </c>
    </row>
    <row r="1471" spans="1:18" x14ac:dyDescent="0.15">
      <c r="A1471" s="12">
        <v>1453</v>
      </c>
      <c r="B1471" s="12">
        <f t="shared" si="207"/>
        <v>8</v>
      </c>
      <c r="C1471" s="12">
        <f t="shared" si="208"/>
        <v>3.4373150000000003</v>
      </c>
      <c r="D1471" s="12">
        <f t="shared" si="211"/>
        <v>6.6675000000000484E-2</v>
      </c>
      <c r="E1471" s="12">
        <f>SUM($D$19:D1471)</f>
        <v>35.637314999999973</v>
      </c>
      <c r="F1471" s="12">
        <f t="shared" si="205"/>
        <v>405.39646121442001</v>
      </c>
      <c r="G1471" s="12">
        <f t="shared" si="206"/>
        <v>240.80223312873096</v>
      </c>
      <c r="H1471" s="12">
        <f t="shared" si="212"/>
        <v>1459400</v>
      </c>
      <c r="I1471" s="12">
        <f t="shared" si="213"/>
        <v>866800</v>
      </c>
      <c r="J1471" s="12">
        <f>IF(A1471&lt;[3]关卡对接!$A$4,INDEX([3]关卡对接!$C$7:$C$141,A1471),MATCH(E1471,人物经验!$H$24:$H$573,1))</f>
        <v>486</v>
      </c>
      <c r="K1471" s="12">
        <f>IF([3]关卡对接!F1459="",INT(INDEX(人物经验!$J$24:$J$573,关卡!J1471)*关卡!$S$7),[3]关卡对接!F1459)</f>
        <v>36286</v>
      </c>
      <c r="L1471" s="12">
        <f t="shared" si="209"/>
        <v>2.4</v>
      </c>
      <c r="M1471" s="12">
        <f>L1471/[4]货币基础!$B$4</f>
        <v>240</v>
      </c>
      <c r="N1471" s="12">
        <f>IF(A1471&lt;[3]关卡对接!$A$4,INDEX([3]关卡对接!$E$7:$E$141,A1471),MATCH(E1471,人物经验!$H$24:$H$573,1))</f>
        <v>486</v>
      </c>
      <c r="O1471" s="12">
        <f>INDEX([2]关卡!$G$6:$G$2005,A1471)</f>
        <v>3</v>
      </c>
      <c r="P1471" s="13">
        <v>6</v>
      </c>
      <c r="Q1471" s="12">
        <f>INT(P1471/$S$15/O1471*VLOOKUP(J1471,[1]人物技能基础!$N$3:$O$553,2,0)*$U$15)</f>
        <v>9</v>
      </c>
      <c r="R1471" s="12">
        <f t="shared" si="210"/>
        <v>112</v>
      </c>
    </row>
    <row r="1472" spans="1:18" x14ac:dyDescent="0.15">
      <c r="A1472" s="12">
        <v>1454</v>
      </c>
      <c r="B1472" s="12">
        <f t="shared" si="207"/>
        <v>8</v>
      </c>
      <c r="C1472" s="12">
        <f t="shared" si="208"/>
        <v>3.50406</v>
      </c>
      <c r="D1472" s="12">
        <f t="shared" si="211"/>
        <v>6.674499999999961E-2</v>
      </c>
      <c r="E1472" s="12">
        <f>SUM($D$19:D1472)</f>
        <v>35.70405999999997</v>
      </c>
      <c r="F1472" s="12">
        <f t="shared" si="205"/>
        <v>406.13579353255898</v>
      </c>
      <c r="G1472" s="12">
        <f t="shared" si="206"/>
        <v>241.15301331489496</v>
      </c>
      <c r="H1472" s="12">
        <f t="shared" si="212"/>
        <v>1462000</v>
      </c>
      <c r="I1472" s="12">
        <f t="shared" si="213"/>
        <v>868100</v>
      </c>
      <c r="J1472" s="12">
        <f>IF(A1472&lt;[3]关卡对接!$A$4,INDEX([3]关卡对接!$C$7:$C$141,A1472),MATCH(E1472,人物经验!$H$24:$H$573,1))</f>
        <v>486</v>
      </c>
      <c r="K1472" s="12">
        <f>IF([3]关卡对接!F1460="",INT(INDEX(人物经验!$J$24:$J$573,关卡!J1472)*关卡!$S$7),[3]关卡对接!F1460)</f>
        <v>36286</v>
      </c>
      <c r="L1472" s="12">
        <f t="shared" si="209"/>
        <v>2.4</v>
      </c>
      <c r="M1472" s="12">
        <f>L1472/[4]货币基础!$B$4</f>
        <v>240</v>
      </c>
      <c r="N1472" s="12">
        <f>IF(A1472&lt;[3]关卡对接!$A$4,INDEX([3]关卡对接!$E$7:$E$141,A1472),MATCH(E1472,人物经验!$H$24:$H$573,1))</f>
        <v>486</v>
      </c>
      <c r="O1472" s="12">
        <f>INDEX([2]关卡!$G$6:$G$2005,A1472)</f>
        <v>3</v>
      </c>
      <c r="P1472" s="13">
        <v>6</v>
      </c>
      <c r="Q1472" s="12">
        <f>INT(P1472/$S$15/O1472*VLOOKUP(J1472,[1]人物技能基础!$N$3:$O$553,2,0)*$U$15)</f>
        <v>9</v>
      </c>
      <c r="R1472" s="12">
        <f t="shared" si="210"/>
        <v>112</v>
      </c>
    </row>
    <row r="1473" spans="1:18" x14ac:dyDescent="0.15">
      <c r="A1473" s="12">
        <v>1455</v>
      </c>
      <c r="B1473" s="12">
        <f t="shared" si="207"/>
        <v>8</v>
      </c>
      <c r="C1473" s="12">
        <f t="shared" si="208"/>
        <v>3.5708750000000005</v>
      </c>
      <c r="D1473" s="12">
        <f t="shared" si="211"/>
        <v>6.6815000000000513E-2</v>
      </c>
      <c r="E1473" s="12">
        <f>SUM($D$19:D1473)</f>
        <v>35.770874999999968</v>
      </c>
      <c r="F1473" s="12">
        <f t="shared" si="205"/>
        <v>406.87618564996103</v>
      </c>
      <c r="G1473" s="12">
        <f t="shared" si="206"/>
        <v>241.50418270683593</v>
      </c>
      <c r="H1473" s="12">
        <f t="shared" si="212"/>
        <v>1464700</v>
      </c>
      <c r="I1473" s="12">
        <f t="shared" si="213"/>
        <v>869400</v>
      </c>
      <c r="J1473" s="12">
        <f>IF(A1473&lt;[3]关卡对接!$A$4,INDEX([3]关卡对接!$C$7:$C$141,A1473),MATCH(E1473,人物经验!$H$24:$H$573,1))</f>
        <v>487</v>
      </c>
      <c r="K1473" s="12">
        <f>IF([3]关卡对接!F1461="",INT(INDEX(人物经验!$J$24:$J$573,关卡!J1473)*关卡!$S$7),[3]关卡对接!F1461)</f>
        <v>36552</v>
      </c>
      <c r="L1473" s="12">
        <f t="shared" si="209"/>
        <v>2.4</v>
      </c>
      <c r="M1473" s="12">
        <f>L1473/[4]货币基础!$B$4</f>
        <v>240</v>
      </c>
      <c r="N1473" s="12">
        <f>IF(A1473&lt;[3]关卡对接!$A$4,INDEX([3]关卡对接!$E$7:$E$141,A1473),MATCH(E1473,人物经验!$H$24:$H$573,1))</f>
        <v>487</v>
      </c>
      <c r="O1473" s="12">
        <f>INDEX([2]关卡!$G$6:$G$2005,A1473)</f>
        <v>3</v>
      </c>
      <c r="P1473" s="13">
        <v>6</v>
      </c>
      <c r="Q1473" s="12">
        <f>INT(P1473/$S$15/O1473*VLOOKUP(J1473,[1]人物技能基础!$N$3:$O$553,2,0)*$U$15)</f>
        <v>9</v>
      </c>
      <c r="R1473" s="12">
        <f t="shared" si="210"/>
        <v>112</v>
      </c>
    </row>
    <row r="1474" spans="1:18" x14ac:dyDescent="0.15">
      <c r="A1474" s="12">
        <v>1456</v>
      </c>
      <c r="B1474" s="12">
        <f t="shared" si="207"/>
        <v>8</v>
      </c>
      <c r="C1474" s="12">
        <f t="shared" si="208"/>
        <v>3.637760000000001</v>
      </c>
      <c r="D1474" s="12">
        <f t="shared" si="211"/>
        <v>6.6885000000000527E-2</v>
      </c>
      <c r="E1474" s="12">
        <f>SUM($D$19:D1474)</f>
        <v>35.837759999999967</v>
      </c>
      <c r="F1474" s="12">
        <f t="shared" si="205"/>
        <v>407.61763866214409</v>
      </c>
      <c r="G1474" s="12">
        <f t="shared" si="206"/>
        <v>241.85574162431999</v>
      </c>
      <c r="H1474" s="12">
        <f t="shared" si="212"/>
        <v>1467400</v>
      </c>
      <c r="I1474" s="12">
        <f t="shared" si="213"/>
        <v>870600</v>
      </c>
      <c r="J1474" s="12">
        <f>IF(A1474&lt;[3]关卡对接!$A$4,INDEX([3]关卡对接!$C$7:$C$141,A1474),MATCH(E1474,人物经验!$H$24:$H$573,1))</f>
        <v>487</v>
      </c>
      <c r="K1474" s="12">
        <f>IF([3]关卡对接!F1462="",INT(INDEX(人物经验!$J$24:$J$573,关卡!J1474)*关卡!$S$7),[3]关卡对接!F1462)</f>
        <v>36552</v>
      </c>
      <c r="L1474" s="12">
        <f t="shared" si="209"/>
        <v>2.4</v>
      </c>
      <c r="M1474" s="12">
        <f>L1474/[4]货币基础!$B$4</f>
        <v>240</v>
      </c>
      <c r="N1474" s="12">
        <f>IF(A1474&lt;[3]关卡对接!$A$4,INDEX([3]关卡对接!$E$7:$E$141,A1474),MATCH(E1474,人物经验!$H$24:$H$573,1))</f>
        <v>487</v>
      </c>
      <c r="O1474" s="12">
        <f>INDEX([2]关卡!$G$6:$G$2005,A1474)</f>
        <v>3</v>
      </c>
      <c r="P1474" s="13">
        <v>6</v>
      </c>
      <c r="Q1474" s="12">
        <f>INT(P1474/$S$15/O1474*VLOOKUP(J1474,[1]人物技能基础!$N$3:$O$553,2,0)*$U$15)</f>
        <v>9</v>
      </c>
      <c r="R1474" s="12">
        <f t="shared" si="210"/>
        <v>112</v>
      </c>
    </row>
    <row r="1475" spans="1:18" x14ac:dyDescent="0.15">
      <c r="A1475" s="12">
        <v>1457</v>
      </c>
      <c r="B1475" s="12">
        <f t="shared" si="207"/>
        <v>8</v>
      </c>
      <c r="C1475" s="12">
        <f t="shared" si="208"/>
        <v>3.7047149999999998</v>
      </c>
      <c r="D1475" s="12">
        <f t="shared" si="211"/>
        <v>6.6954999999998766E-2</v>
      </c>
      <c r="E1475" s="12">
        <f>SUM($D$19:D1475)</f>
        <v>35.904714999999968</v>
      </c>
      <c r="F1475" s="12">
        <f t="shared" si="205"/>
        <v>408.36015366522497</v>
      </c>
      <c r="G1475" s="12">
        <f t="shared" si="206"/>
        <v>242.20769038725598</v>
      </c>
      <c r="H1475" s="12">
        <f t="shared" si="212"/>
        <v>1470000</v>
      </c>
      <c r="I1475" s="12">
        <f t="shared" si="213"/>
        <v>871900</v>
      </c>
      <c r="J1475" s="12">
        <f>IF(A1475&lt;[3]关卡对接!$A$4,INDEX([3]关卡对接!$C$7:$C$141,A1475),MATCH(E1475,人物经验!$H$24:$H$573,1))</f>
        <v>487</v>
      </c>
      <c r="K1475" s="12">
        <f>IF([3]关卡对接!F1463="",INT(INDEX(人物经验!$J$24:$J$573,关卡!J1475)*关卡!$S$7),[3]关卡对接!F1463)</f>
        <v>36552</v>
      </c>
      <c r="L1475" s="12">
        <f t="shared" si="209"/>
        <v>2.4</v>
      </c>
      <c r="M1475" s="12">
        <f>L1475/[4]货币基础!$B$4</f>
        <v>240</v>
      </c>
      <c r="N1475" s="12">
        <f>IF(A1475&lt;[3]关卡对接!$A$4,INDEX([3]关卡对接!$E$7:$E$141,A1475),MATCH(E1475,人物经验!$H$24:$H$573,1))</f>
        <v>487</v>
      </c>
      <c r="O1475" s="12">
        <f>INDEX([2]关卡!$G$6:$G$2005,A1475)</f>
        <v>3</v>
      </c>
      <c r="P1475" s="13">
        <v>6</v>
      </c>
      <c r="Q1475" s="12">
        <f>INT(P1475/$S$15/O1475*VLOOKUP(J1475,[1]人物技能基础!$N$3:$O$553,2,0)*$U$15)</f>
        <v>9</v>
      </c>
      <c r="R1475" s="12">
        <f t="shared" si="210"/>
        <v>112</v>
      </c>
    </row>
    <row r="1476" spans="1:18" x14ac:dyDescent="0.15">
      <c r="A1476" s="12">
        <v>1458</v>
      </c>
      <c r="B1476" s="12">
        <f t="shared" si="207"/>
        <v>8</v>
      </c>
      <c r="C1476" s="12">
        <f t="shared" si="208"/>
        <v>3.7717399999999999</v>
      </c>
      <c r="D1476" s="12">
        <f t="shared" si="211"/>
        <v>6.7025000000000112E-2</v>
      </c>
      <c r="E1476" s="12">
        <f>SUM($D$19:D1476)</f>
        <v>35.971739999999969</v>
      </c>
      <c r="F1476" s="12">
        <f t="shared" si="205"/>
        <v>409.10373175591894</v>
      </c>
      <c r="G1476" s="12">
        <f t="shared" si="206"/>
        <v>242.56002931569498</v>
      </c>
      <c r="H1476" s="12">
        <f t="shared" si="212"/>
        <v>1472700</v>
      </c>
      <c r="I1476" s="12">
        <f t="shared" si="213"/>
        <v>873200</v>
      </c>
      <c r="J1476" s="12">
        <f>IF(A1476&lt;[3]关卡对接!$A$4,INDEX([3]关卡对接!$C$7:$C$141,A1476),MATCH(E1476,人物经验!$H$24:$H$573,1))</f>
        <v>487</v>
      </c>
      <c r="K1476" s="12">
        <f>IF([3]关卡对接!F1464="",INT(INDEX(人物经验!$J$24:$J$573,关卡!J1476)*关卡!$S$7),[3]关卡对接!F1464)</f>
        <v>36552</v>
      </c>
      <c r="L1476" s="12">
        <f t="shared" si="209"/>
        <v>2.4</v>
      </c>
      <c r="M1476" s="12">
        <f>L1476/[4]货币基础!$B$4</f>
        <v>240</v>
      </c>
      <c r="N1476" s="12">
        <f>IF(A1476&lt;[3]关卡对接!$A$4,INDEX([3]关卡对接!$E$7:$E$141,A1476),MATCH(E1476,人物经验!$H$24:$H$573,1))</f>
        <v>487</v>
      </c>
      <c r="O1476" s="12">
        <f>INDEX([2]关卡!$G$6:$G$2005,A1476)</f>
        <v>3</v>
      </c>
      <c r="P1476" s="13">
        <v>6</v>
      </c>
      <c r="Q1476" s="12">
        <f>INT(P1476/$S$15/O1476*VLOOKUP(J1476,[1]人物技能基础!$N$3:$O$553,2,0)*$U$15)</f>
        <v>9</v>
      </c>
      <c r="R1476" s="12">
        <f t="shared" si="210"/>
        <v>112</v>
      </c>
    </row>
    <row r="1477" spans="1:18" x14ac:dyDescent="0.15">
      <c r="A1477" s="12">
        <v>1459</v>
      </c>
      <c r="B1477" s="12">
        <f t="shared" si="207"/>
        <v>8</v>
      </c>
      <c r="C1477" s="12">
        <f t="shared" si="208"/>
        <v>3.8388350000000004</v>
      </c>
      <c r="D1477" s="12">
        <f t="shared" si="211"/>
        <v>6.7095000000000571E-2</v>
      </c>
      <c r="E1477" s="12">
        <f>SUM($D$19:D1477)</f>
        <v>36.03883499999997</v>
      </c>
      <c r="F1477" s="12">
        <f t="shared" si="205"/>
        <v>409.84837403154</v>
      </c>
      <c r="G1477" s="12">
        <f t="shared" si="206"/>
        <v>242.91275872983095</v>
      </c>
      <c r="H1477" s="12">
        <f t="shared" si="212"/>
        <v>1475400</v>
      </c>
      <c r="I1477" s="12">
        <f t="shared" si="213"/>
        <v>874400</v>
      </c>
      <c r="J1477" s="12">
        <f>IF(A1477&lt;[3]关卡对接!$A$4,INDEX([3]关卡对接!$C$7:$C$141,A1477),MATCH(E1477,人物经验!$H$24:$H$573,1))</f>
        <v>488</v>
      </c>
      <c r="K1477" s="12">
        <f>IF([3]关卡对接!F1465="",INT(INDEX(人物经验!$J$24:$J$573,关卡!J1477)*关卡!$S$7),[3]关卡对接!F1465)</f>
        <v>36819</v>
      </c>
      <c r="L1477" s="12">
        <f t="shared" si="209"/>
        <v>2.4</v>
      </c>
      <c r="M1477" s="12">
        <f>L1477/[4]货币基础!$B$4</f>
        <v>240</v>
      </c>
      <c r="N1477" s="12">
        <f>IF(A1477&lt;[3]关卡对接!$A$4,INDEX([3]关卡对接!$E$7:$E$141,A1477),MATCH(E1477,人物经验!$H$24:$H$573,1))</f>
        <v>488</v>
      </c>
      <c r="O1477" s="12">
        <f>INDEX([2]关卡!$G$6:$G$2005,A1477)</f>
        <v>3</v>
      </c>
      <c r="P1477" s="13">
        <v>6</v>
      </c>
      <c r="Q1477" s="12">
        <f>INT(P1477/$S$15/O1477*VLOOKUP(J1477,[1]人物技能基础!$N$3:$O$553,2,0)*$U$15)</f>
        <v>9</v>
      </c>
      <c r="R1477" s="12">
        <f t="shared" si="210"/>
        <v>112</v>
      </c>
    </row>
    <row r="1478" spans="1:18" x14ac:dyDescent="0.15">
      <c r="A1478" s="12">
        <v>1460</v>
      </c>
      <c r="B1478" s="12">
        <f t="shared" si="207"/>
        <v>8</v>
      </c>
      <c r="C1478" s="12">
        <f t="shared" si="208"/>
        <v>3.9060000000000006</v>
      </c>
      <c r="D1478" s="12">
        <f t="shared" si="211"/>
        <v>6.7165000000000141E-2</v>
      </c>
      <c r="E1478" s="12">
        <f>SUM($D$19:D1478)</f>
        <v>36.105999999999973</v>
      </c>
      <c r="F1478" s="12">
        <f t="shared" si="205"/>
        <v>410.59408158999992</v>
      </c>
      <c r="G1478" s="12">
        <f t="shared" si="206"/>
        <v>243.26587894999997</v>
      </c>
      <c r="H1478" s="12">
        <f t="shared" si="212"/>
        <v>1478100</v>
      </c>
      <c r="I1478" s="12">
        <f t="shared" si="213"/>
        <v>875700</v>
      </c>
      <c r="J1478" s="12">
        <f>IF(A1478&lt;[3]关卡对接!$A$4,INDEX([3]关卡对接!$C$7:$C$141,A1478),MATCH(E1478,人物经验!$H$24:$H$573,1))</f>
        <v>488</v>
      </c>
      <c r="K1478" s="12">
        <f>IF([3]关卡对接!F1466="",INT(INDEX(人物经验!$J$24:$J$573,关卡!J1478)*关卡!$S$7),[3]关卡对接!F1466)</f>
        <v>36819</v>
      </c>
      <c r="L1478" s="12">
        <f t="shared" si="209"/>
        <v>2.4</v>
      </c>
      <c r="M1478" s="12">
        <f>L1478/[4]货币基础!$B$4</f>
        <v>240</v>
      </c>
      <c r="N1478" s="12">
        <f>IF(A1478&lt;[3]关卡对接!$A$4,INDEX([3]关卡对接!$E$7:$E$141,A1478),MATCH(E1478,人物经验!$H$24:$H$573,1))</f>
        <v>488</v>
      </c>
      <c r="O1478" s="12">
        <f>INDEX([2]关卡!$G$6:$G$2005,A1478)</f>
        <v>3</v>
      </c>
      <c r="P1478" s="13">
        <v>6</v>
      </c>
      <c r="Q1478" s="12">
        <f>INT(P1478/$S$15/O1478*VLOOKUP(J1478,[1]人物技能基础!$N$3:$O$553,2,0)*$U$15)</f>
        <v>9</v>
      </c>
      <c r="R1478" s="12">
        <f t="shared" si="210"/>
        <v>112</v>
      </c>
    </row>
    <row r="1479" spans="1:18" x14ac:dyDescent="0.15">
      <c r="A1479" s="12">
        <v>1461</v>
      </c>
      <c r="B1479" s="12">
        <f t="shared" si="207"/>
        <v>8</v>
      </c>
      <c r="C1479" s="12">
        <f t="shared" si="208"/>
        <v>3.9732350000000003</v>
      </c>
      <c r="D1479" s="12">
        <f t="shared" si="211"/>
        <v>6.7234999999999712E-2</v>
      </c>
      <c r="E1479" s="12">
        <f>SUM($D$19:D1479)</f>
        <v>36.17323499999997</v>
      </c>
      <c r="F1479" s="12">
        <f t="shared" si="205"/>
        <v>411.34085552981003</v>
      </c>
      <c r="G1479" s="12">
        <f t="shared" si="206"/>
        <v>243.61939029668099</v>
      </c>
      <c r="H1479" s="12">
        <f t="shared" si="212"/>
        <v>1480800</v>
      </c>
      <c r="I1479" s="12">
        <f t="shared" si="213"/>
        <v>877000</v>
      </c>
      <c r="J1479" s="12">
        <f>IF(A1479&lt;[3]关卡对接!$A$4,INDEX([3]关卡对接!$C$7:$C$141,A1479),MATCH(E1479,人物经验!$H$24:$H$573,1))</f>
        <v>488</v>
      </c>
      <c r="K1479" s="12">
        <f>IF([3]关卡对接!F1467="",INT(INDEX(人物经验!$J$24:$J$573,关卡!J1479)*关卡!$S$7),[3]关卡对接!F1467)</f>
        <v>36819</v>
      </c>
      <c r="L1479" s="12">
        <f t="shared" si="209"/>
        <v>2.4</v>
      </c>
      <c r="M1479" s="12">
        <f>L1479/[4]货币基础!$B$4</f>
        <v>240</v>
      </c>
      <c r="N1479" s="12">
        <f>IF(A1479&lt;[3]关卡对接!$A$4,INDEX([3]关卡对接!$E$7:$E$141,A1479),MATCH(E1479,人物经验!$H$24:$H$573,1))</f>
        <v>488</v>
      </c>
      <c r="O1479" s="12">
        <f>INDEX([2]关卡!$G$6:$G$2005,A1479)</f>
        <v>3</v>
      </c>
      <c r="P1479" s="13">
        <v>6</v>
      </c>
      <c r="Q1479" s="12">
        <f>INT(P1479/$S$15/O1479*VLOOKUP(J1479,[1]人物技能基础!$N$3:$O$553,2,0)*$U$15)</f>
        <v>9</v>
      </c>
      <c r="R1479" s="12">
        <f t="shared" si="210"/>
        <v>112</v>
      </c>
    </row>
    <row r="1480" spans="1:18" x14ac:dyDescent="0.15">
      <c r="A1480" s="12">
        <v>1462</v>
      </c>
      <c r="B1480" s="12">
        <f t="shared" si="207"/>
        <v>8</v>
      </c>
      <c r="C1480" s="12">
        <f t="shared" si="208"/>
        <v>4.04054</v>
      </c>
      <c r="D1480" s="12">
        <f t="shared" si="211"/>
        <v>6.7304999999999726E-2</v>
      </c>
      <c r="E1480" s="12">
        <f>SUM($D$19:D1480)</f>
        <v>36.240539999999967</v>
      </c>
      <c r="F1480" s="12">
        <f t="shared" si="205"/>
        <v>412.088696950079</v>
      </c>
      <c r="G1480" s="12">
        <f t="shared" si="206"/>
        <v>243.97329309049499</v>
      </c>
      <c r="H1480" s="12">
        <f t="shared" si="212"/>
        <v>1483500</v>
      </c>
      <c r="I1480" s="12">
        <f t="shared" si="213"/>
        <v>878300</v>
      </c>
      <c r="J1480" s="12">
        <f>IF(A1480&lt;[3]关卡对接!$A$4,INDEX([3]关卡对接!$C$7:$C$141,A1480),MATCH(E1480,人物经验!$H$24:$H$573,1))</f>
        <v>488</v>
      </c>
      <c r="K1480" s="12">
        <f>IF([3]关卡对接!F1468="",INT(INDEX(人物经验!$J$24:$J$573,关卡!J1480)*关卡!$S$7),[3]关卡对接!F1468)</f>
        <v>36819</v>
      </c>
      <c r="L1480" s="12">
        <f t="shared" si="209"/>
        <v>2.4</v>
      </c>
      <c r="M1480" s="12">
        <f>L1480/[4]货币基础!$B$4</f>
        <v>240</v>
      </c>
      <c r="N1480" s="12">
        <f>IF(A1480&lt;[3]关卡对接!$A$4,INDEX([3]关卡对接!$E$7:$E$141,A1480),MATCH(E1480,人物经验!$H$24:$H$573,1))</f>
        <v>488</v>
      </c>
      <c r="O1480" s="12">
        <f>INDEX([2]关卡!$G$6:$G$2005,A1480)</f>
        <v>3</v>
      </c>
      <c r="P1480" s="13">
        <v>6</v>
      </c>
      <c r="Q1480" s="12">
        <f>INT(P1480/$S$15/O1480*VLOOKUP(J1480,[1]人物技能基础!$N$3:$O$553,2,0)*$U$15)</f>
        <v>9</v>
      </c>
      <c r="R1480" s="12">
        <f t="shared" si="210"/>
        <v>112</v>
      </c>
    </row>
    <row r="1481" spans="1:18" x14ac:dyDescent="0.15">
      <c r="A1481" s="12">
        <v>1463</v>
      </c>
      <c r="B1481" s="12">
        <f t="shared" si="207"/>
        <v>8</v>
      </c>
      <c r="C1481" s="12">
        <f t="shared" si="208"/>
        <v>4.1079150000000002</v>
      </c>
      <c r="D1481" s="12">
        <f t="shared" si="211"/>
        <v>6.7375000000000185E-2</v>
      </c>
      <c r="E1481" s="12">
        <f>SUM($D$19:D1481)</f>
        <v>36.307914999999966</v>
      </c>
      <c r="F1481" s="12">
        <f t="shared" si="205"/>
        <v>412.83760695051501</v>
      </c>
      <c r="G1481" s="12">
        <f t="shared" si="206"/>
        <v>244.32758765220595</v>
      </c>
      <c r="H1481" s="12">
        <f t="shared" si="212"/>
        <v>1486200</v>
      </c>
      <c r="I1481" s="12">
        <f t="shared" si="213"/>
        <v>879500</v>
      </c>
      <c r="J1481" s="12">
        <f>IF(A1481&lt;[3]关卡对接!$A$4,INDEX([3]关卡对接!$C$7:$C$141,A1481),MATCH(E1481,人物经验!$H$24:$H$573,1))</f>
        <v>489</v>
      </c>
      <c r="K1481" s="12">
        <f>IF([3]关卡对接!F1469="",INT(INDEX(人物经验!$J$24:$J$573,关卡!J1481)*关卡!$S$7),[3]关卡对接!F1469)</f>
        <v>37087</v>
      </c>
      <c r="L1481" s="12">
        <f t="shared" si="209"/>
        <v>2.4</v>
      </c>
      <c r="M1481" s="12">
        <f>L1481/[4]货币基础!$B$4</f>
        <v>240</v>
      </c>
      <c r="N1481" s="12">
        <f>IF(A1481&lt;[3]关卡对接!$A$4,INDEX([3]关卡对接!$E$7:$E$141,A1481),MATCH(E1481,人物经验!$H$24:$H$573,1))</f>
        <v>489</v>
      </c>
      <c r="O1481" s="12">
        <f>INDEX([2]关卡!$G$6:$G$2005,A1481)</f>
        <v>3</v>
      </c>
      <c r="P1481" s="13">
        <v>6</v>
      </c>
      <c r="Q1481" s="12">
        <f>INT(P1481/$S$15/O1481*VLOOKUP(J1481,[1]人物技能基础!$N$3:$O$553,2,0)*$U$15)</f>
        <v>9</v>
      </c>
      <c r="R1481" s="12">
        <f t="shared" si="210"/>
        <v>112</v>
      </c>
    </row>
    <row r="1482" spans="1:18" x14ac:dyDescent="0.15">
      <c r="A1482" s="12">
        <v>1464</v>
      </c>
      <c r="B1482" s="12">
        <f t="shared" si="207"/>
        <v>8</v>
      </c>
      <c r="C1482" s="12">
        <f t="shared" si="208"/>
        <v>4.1753600000000013</v>
      </c>
      <c r="D1482" s="12">
        <f t="shared" si="211"/>
        <v>6.7445000000001087E-2</v>
      </c>
      <c r="E1482" s="12">
        <f>SUM($D$19:D1482)</f>
        <v>36.375359999999965</v>
      </c>
      <c r="F1482" s="12">
        <f t="shared" si="205"/>
        <v>413.58758663142396</v>
      </c>
      <c r="G1482" s="12">
        <f t="shared" si="206"/>
        <v>244.68227430271997</v>
      </c>
      <c r="H1482" s="12">
        <f t="shared" si="212"/>
        <v>1488900</v>
      </c>
      <c r="I1482" s="12">
        <f t="shared" si="213"/>
        <v>880800</v>
      </c>
      <c r="J1482" s="12">
        <f>IF(A1482&lt;[3]关卡对接!$A$4,INDEX([3]关卡对接!$C$7:$C$141,A1482),MATCH(E1482,人物经验!$H$24:$H$573,1))</f>
        <v>489</v>
      </c>
      <c r="K1482" s="12">
        <f>IF([3]关卡对接!F1470="",INT(INDEX(人物经验!$J$24:$J$573,关卡!J1482)*关卡!$S$7),[3]关卡对接!F1470)</f>
        <v>37087</v>
      </c>
      <c r="L1482" s="12">
        <f t="shared" si="209"/>
        <v>2.4</v>
      </c>
      <c r="M1482" s="12">
        <f>L1482/[4]货币基础!$B$4</f>
        <v>240</v>
      </c>
      <c r="N1482" s="12">
        <f>IF(A1482&lt;[3]关卡对接!$A$4,INDEX([3]关卡对接!$E$7:$E$141,A1482),MATCH(E1482,人物经验!$H$24:$H$573,1))</f>
        <v>489</v>
      </c>
      <c r="O1482" s="12">
        <f>INDEX([2]关卡!$G$6:$G$2005,A1482)</f>
        <v>3</v>
      </c>
      <c r="P1482" s="13">
        <v>6</v>
      </c>
      <c r="Q1482" s="12">
        <f>INT(P1482/$S$15/O1482*VLOOKUP(J1482,[1]人物技能基础!$N$3:$O$553,2,0)*$U$15)</f>
        <v>9</v>
      </c>
      <c r="R1482" s="12">
        <f t="shared" si="210"/>
        <v>112</v>
      </c>
    </row>
    <row r="1483" spans="1:18" x14ac:dyDescent="0.15">
      <c r="A1483" s="12">
        <v>1465</v>
      </c>
      <c r="B1483" s="12">
        <f t="shared" si="207"/>
        <v>8</v>
      </c>
      <c r="C1483" s="12">
        <f t="shared" si="208"/>
        <v>4.2428749999999997</v>
      </c>
      <c r="D1483" s="12">
        <f t="shared" si="211"/>
        <v>6.7514999999998437E-2</v>
      </c>
      <c r="E1483" s="12">
        <f>SUM($D$19:D1483)</f>
        <v>36.442874999999965</v>
      </c>
      <c r="F1483" s="12">
        <f t="shared" si="205"/>
        <v>414.33863709371104</v>
      </c>
      <c r="G1483" s="12">
        <f t="shared" si="206"/>
        <v>245.03735336308597</v>
      </c>
      <c r="H1483" s="12">
        <f t="shared" si="212"/>
        <v>1491600</v>
      </c>
      <c r="I1483" s="12">
        <f t="shared" si="213"/>
        <v>882100</v>
      </c>
      <c r="J1483" s="12">
        <f>IF(A1483&lt;[3]关卡对接!$A$4,INDEX([3]关卡对接!$C$7:$C$141,A1483),MATCH(E1483,人物经验!$H$24:$H$573,1))</f>
        <v>489</v>
      </c>
      <c r="K1483" s="12">
        <f>IF([3]关卡对接!F1471="",INT(INDEX(人物经验!$J$24:$J$573,关卡!J1483)*关卡!$S$7),[3]关卡对接!F1471)</f>
        <v>37087</v>
      </c>
      <c r="L1483" s="12">
        <f t="shared" si="209"/>
        <v>2.4</v>
      </c>
      <c r="M1483" s="12">
        <f>L1483/[4]货币基础!$B$4</f>
        <v>240</v>
      </c>
      <c r="N1483" s="12">
        <f>IF(A1483&lt;[3]关卡对接!$A$4,INDEX([3]关卡对接!$E$7:$E$141,A1483),MATCH(E1483,人物经验!$H$24:$H$573,1))</f>
        <v>489</v>
      </c>
      <c r="O1483" s="12">
        <f>INDEX([2]关卡!$G$6:$G$2005,A1483)</f>
        <v>3</v>
      </c>
      <c r="P1483" s="13">
        <v>6</v>
      </c>
      <c r="Q1483" s="12">
        <f>INT(P1483/$S$15/O1483*VLOOKUP(J1483,[1]人物技能基础!$N$3:$O$553,2,0)*$U$15)</f>
        <v>9</v>
      </c>
      <c r="R1483" s="12">
        <f t="shared" si="210"/>
        <v>112</v>
      </c>
    </row>
    <row r="1484" spans="1:18" x14ac:dyDescent="0.15">
      <c r="A1484" s="12">
        <v>1466</v>
      </c>
      <c r="B1484" s="12">
        <f t="shared" si="207"/>
        <v>8</v>
      </c>
      <c r="C1484" s="12">
        <f t="shared" si="208"/>
        <v>4.3104600000000008</v>
      </c>
      <c r="D1484" s="12">
        <f t="shared" si="211"/>
        <v>6.7585000000001116E-2</v>
      </c>
      <c r="E1484" s="12">
        <f>SUM($D$19:D1484)</f>
        <v>36.510459999999966</v>
      </c>
      <c r="F1484" s="12">
        <f t="shared" si="205"/>
        <v>415.09075943887905</v>
      </c>
      <c r="G1484" s="12">
        <f t="shared" si="206"/>
        <v>245.39282515449497</v>
      </c>
      <c r="H1484" s="12">
        <f t="shared" si="212"/>
        <v>1494300</v>
      </c>
      <c r="I1484" s="12">
        <f t="shared" si="213"/>
        <v>883400</v>
      </c>
      <c r="J1484" s="12">
        <f>IF(A1484&lt;[3]关卡对接!$A$4,INDEX([3]关卡对接!$C$7:$C$141,A1484),MATCH(E1484,人物经验!$H$24:$H$573,1))</f>
        <v>489</v>
      </c>
      <c r="K1484" s="12">
        <f>IF([3]关卡对接!F1472="",INT(INDEX(人物经验!$J$24:$J$573,关卡!J1484)*关卡!$S$7),[3]关卡对接!F1472)</f>
        <v>37087</v>
      </c>
      <c r="L1484" s="12">
        <f t="shared" si="209"/>
        <v>2.4</v>
      </c>
      <c r="M1484" s="12">
        <f>L1484/[4]货币基础!$B$4</f>
        <v>240</v>
      </c>
      <c r="N1484" s="12">
        <f>IF(A1484&lt;[3]关卡对接!$A$4,INDEX([3]关卡对接!$E$7:$E$141,A1484),MATCH(E1484,人物经验!$H$24:$H$573,1))</f>
        <v>489</v>
      </c>
      <c r="O1484" s="12">
        <f>INDEX([2]关卡!$G$6:$G$2005,A1484)</f>
        <v>3</v>
      </c>
      <c r="P1484" s="13">
        <v>6</v>
      </c>
      <c r="Q1484" s="12">
        <f>INT(P1484/$S$15/O1484*VLOOKUP(J1484,[1]人物技能基础!$N$3:$O$553,2,0)*$U$15)</f>
        <v>9</v>
      </c>
      <c r="R1484" s="12">
        <f t="shared" si="210"/>
        <v>112</v>
      </c>
    </row>
    <row r="1485" spans="1:18" x14ac:dyDescent="0.15">
      <c r="A1485" s="12">
        <v>1467</v>
      </c>
      <c r="B1485" s="12">
        <f t="shared" si="207"/>
        <v>8</v>
      </c>
      <c r="C1485" s="12">
        <f t="shared" si="208"/>
        <v>4.3781150000000011</v>
      </c>
      <c r="D1485" s="12">
        <f t="shared" si="211"/>
        <v>6.7655000000000243E-2</v>
      </c>
      <c r="E1485" s="12">
        <f>SUM($D$19:D1485)</f>
        <v>36.578114999999968</v>
      </c>
      <c r="F1485" s="12">
        <f t="shared" si="205"/>
        <v>415.84395476903001</v>
      </c>
      <c r="G1485" s="12">
        <f t="shared" si="206"/>
        <v>245.74868999828095</v>
      </c>
      <c r="H1485" s="12">
        <f t="shared" si="212"/>
        <v>1497000</v>
      </c>
      <c r="I1485" s="12">
        <f t="shared" si="213"/>
        <v>884600</v>
      </c>
      <c r="J1485" s="12">
        <f>IF(A1485&lt;[3]关卡对接!$A$4,INDEX([3]关卡对接!$C$7:$C$141,A1485),MATCH(E1485,人物经验!$H$24:$H$573,1))</f>
        <v>490</v>
      </c>
      <c r="K1485" s="12">
        <f>IF([3]关卡对接!F1473="",INT(INDEX(人物经验!$J$24:$J$573,关卡!J1485)*关卡!$S$7),[3]关卡对接!F1473)</f>
        <v>37358</v>
      </c>
      <c r="L1485" s="12">
        <f t="shared" si="209"/>
        <v>2.4</v>
      </c>
      <c r="M1485" s="12">
        <f>L1485/[4]货币基础!$B$4</f>
        <v>240</v>
      </c>
      <c r="N1485" s="12">
        <f>IF(A1485&lt;[3]关卡对接!$A$4,INDEX([3]关卡对接!$E$7:$E$141,A1485),MATCH(E1485,人物经验!$H$24:$H$573,1))</f>
        <v>490</v>
      </c>
      <c r="O1485" s="12">
        <f>INDEX([2]关卡!$G$6:$G$2005,A1485)</f>
        <v>3</v>
      </c>
      <c r="P1485" s="13">
        <v>6</v>
      </c>
      <c r="Q1485" s="12">
        <f>INT(P1485/$S$15/O1485*VLOOKUP(J1485,[1]人物技能基础!$N$3:$O$553,2,0)*$U$15)</f>
        <v>9</v>
      </c>
      <c r="R1485" s="12">
        <f t="shared" si="210"/>
        <v>112</v>
      </c>
    </row>
    <row r="1486" spans="1:18" x14ac:dyDescent="0.15">
      <c r="A1486" s="12">
        <v>1468</v>
      </c>
      <c r="B1486" s="12">
        <f t="shared" si="207"/>
        <v>8</v>
      </c>
      <c r="C1486" s="12">
        <f t="shared" si="208"/>
        <v>4.4458400000000005</v>
      </c>
      <c r="D1486" s="12">
        <f t="shared" si="211"/>
        <v>6.7724999999999369E-2</v>
      </c>
      <c r="E1486" s="12">
        <f>SUM($D$19:D1486)</f>
        <v>36.645839999999964</v>
      </c>
      <c r="F1486" s="12">
        <f t="shared" si="205"/>
        <v>416.598224186864</v>
      </c>
      <c r="G1486" s="12">
        <f t="shared" si="206"/>
        <v>246.10494821591999</v>
      </c>
      <c r="H1486" s="12">
        <f t="shared" si="212"/>
        <v>1499700</v>
      </c>
      <c r="I1486" s="12">
        <f t="shared" si="213"/>
        <v>885900</v>
      </c>
      <c r="J1486" s="12">
        <f>IF(A1486&lt;[3]关卡对接!$A$4,INDEX([3]关卡对接!$C$7:$C$141,A1486),MATCH(E1486,人物经验!$H$24:$H$573,1))</f>
        <v>490</v>
      </c>
      <c r="K1486" s="12">
        <f>IF([3]关卡对接!F1474="",INT(INDEX(人物经验!$J$24:$J$573,关卡!J1486)*关卡!$S$7),[3]关卡对接!F1474)</f>
        <v>37358</v>
      </c>
      <c r="L1486" s="12">
        <f t="shared" si="209"/>
        <v>2.4</v>
      </c>
      <c r="M1486" s="12">
        <f>L1486/[4]货币基础!$B$4</f>
        <v>240</v>
      </c>
      <c r="N1486" s="12">
        <f>IF(A1486&lt;[3]关卡对接!$A$4,INDEX([3]关卡对接!$E$7:$E$141,A1486),MATCH(E1486,人物经验!$H$24:$H$573,1))</f>
        <v>490</v>
      </c>
      <c r="O1486" s="12">
        <f>INDEX([2]关卡!$G$6:$G$2005,A1486)</f>
        <v>3</v>
      </c>
      <c r="P1486" s="13">
        <v>6</v>
      </c>
      <c r="Q1486" s="12">
        <f>INT(P1486/$S$15/O1486*VLOOKUP(J1486,[1]人物技能基础!$N$3:$O$553,2,0)*$U$15)</f>
        <v>9</v>
      </c>
      <c r="R1486" s="12">
        <f t="shared" si="210"/>
        <v>112</v>
      </c>
    </row>
    <row r="1487" spans="1:18" x14ac:dyDescent="0.15">
      <c r="A1487" s="12">
        <v>1469</v>
      </c>
      <c r="B1487" s="12">
        <f t="shared" si="207"/>
        <v>8</v>
      </c>
      <c r="C1487" s="12">
        <f t="shared" si="208"/>
        <v>4.5136349999999998</v>
      </c>
      <c r="D1487" s="12">
        <f t="shared" si="211"/>
        <v>6.7794999999999384E-2</v>
      </c>
      <c r="E1487" s="12">
        <f>SUM($D$19:D1487)</f>
        <v>36.713634999999961</v>
      </c>
      <c r="F1487" s="12">
        <f t="shared" si="205"/>
        <v>417.35356879568002</v>
      </c>
      <c r="G1487" s="12">
        <f t="shared" si="206"/>
        <v>246.46160012903093</v>
      </c>
      <c r="H1487" s="12">
        <f t="shared" si="212"/>
        <v>1502400</v>
      </c>
      <c r="I1487" s="12">
        <f t="shared" si="213"/>
        <v>887200</v>
      </c>
      <c r="J1487" s="12">
        <f>IF(A1487&lt;[3]关卡对接!$A$4,INDEX([3]关卡对接!$C$7:$C$141,A1487),MATCH(E1487,人物经验!$H$24:$H$573,1))</f>
        <v>490</v>
      </c>
      <c r="K1487" s="12">
        <f>IF([3]关卡对接!F1475="",INT(INDEX(人物经验!$J$24:$J$573,关卡!J1487)*关卡!$S$7),[3]关卡对接!F1475)</f>
        <v>37358</v>
      </c>
      <c r="L1487" s="12">
        <f t="shared" si="209"/>
        <v>2.4</v>
      </c>
      <c r="M1487" s="12">
        <f>L1487/[4]货币基础!$B$4</f>
        <v>240</v>
      </c>
      <c r="N1487" s="12">
        <f>IF(A1487&lt;[3]关卡对接!$A$4,INDEX([3]关卡对接!$E$7:$E$141,A1487),MATCH(E1487,人物经验!$H$24:$H$573,1))</f>
        <v>490</v>
      </c>
      <c r="O1487" s="12">
        <f>INDEX([2]关卡!$G$6:$G$2005,A1487)</f>
        <v>3</v>
      </c>
      <c r="P1487" s="13">
        <v>6</v>
      </c>
      <c r="Q1487" s="12">
        <f>INT(P1487/$S$15/O1487*VLOOKUP(J1487,[1]人物技能基础!$N$3:$O$553,2,0)*$U$15)</f>
        <v>9</v>
      </c>
      <c r="R1487" s="12">
        <f t="shared" si="210"/>
        <v>112</v>
      </c>
    </row>
    <row r="1488" spans="1:18" x14ac:dyDescent="0.15">
      <c r="A1488" s="12">
        <v>1470</v>
      </c>
      <c r="B1488" s="12">
        <f t="shared" si="207"/>
        <v>8</v>
      </c>
      <c r="C1488" s="12">
        <f t="shared" si="208"/>
        <v>4.5815000000000001</v>
      </c>
      <c r="D1488" s="12">
        <f t="shared" si="211"/>
        <v>6.7865000000000286E-2</v>
      </c>
      <c r="E1488" s="12">
        <f>SUM($D$19:D1488)</f>
        <v>36.781499999999959</v>
      </c>
      <c r="F1488" s="12">
        <f t="shared" si="205"/>
        <v>418.10998969937498</v>
      </c>
      <c r="G1488" s="12">
        <f t="shared" si="206"/>
        <v>246.81864605937494</v>
      </c>
      <c r="H1488" s="12">
        <f t="shared" si="212"/>
        <v>1505100</v>
      </c>
      <c r="I1488" s="12">
        <f t="shared" si="213"/>
        <v>888500</v>
      </c>
      <c r="J1488" s="12">
        <f>IF(A1488&lt;[3]关卡对接!$A$4,INDEX([3]关卡对接!$C$7:$C$141,A1488),MATCH(E1488,人物经验!$H$24:$H$573,1))</f>
        <v>490</v>
      </c>
      <c r="K1488" s="12">
        <f>IF([3]关卡对接!F1476="",INT(INDEX(人物经验!$J$24:$J$573,关卡!J1488)*关卡!$S$7),[3]关卡对接!F1476)</f>
        <v>37358</v>
      </c>
      <c r="L1488" s="12">
        <f t="shared" si="209"/>
        <v>2.4</v>
      </c>
      <c r="M1488" s="12">
        <f>L1488/[4]货币基础!$B$4</f>
        <v>240</v>
      </c>
      <c r="N1488" s="12">
        <f>IF(A1488&lt;[3]关卡对接!$A$4,INDEX([3]关卡对接!$E$7:$E$141,A1488),MATCH(E1488,人物经验!$H$24:$H$573,1))</f>
        <v>490</v>
      </c>
      <c r="O1488" s="12">
        <f>INDEX([2]关卡!$G$6:$G$2005,A1488)</f>
        <v>3</v>
      </c>
      <c r="P1488" s="13">
        <v>6</v>
      </c>
      <c r="Q1488" s="12">
        <f>INT(P1488/$S$15/O1488*VLOOKUP(J1488,[1]人物技能基础!$N$3:$O$553,2,0)*$U$15)</f>
        <v>9</v>
      </c>
      <c r="R1488" s="12">
        <f t="shared" si="210"/>
        <v>112</v>
      </c>
    </row>
    <row r="1489" spans="1:18" x14ac:dyDescent="0.15">
      <c r="A1489" s="12">
        <v>1471</v>
      </c>
      <c r="B1489" s="12">
        <f t="shared" si="207"/>
        <v>8</v>
      </c>
      <c r="C1489" s="12">
        <f t="shared" si="208"/>
        <v>4.6494350000000004</v>
      </c>
      <c r="D1489" s="12">
        <f t="shared" si="211"/>
        <v>6.7935000000000301E-2</v>
      </c>
      <c r="E1489" s="12">
        <f>SUM($D$19:D1489)</f>
        <v>36.849434999999957</v>
      </c>
      <c r="F1489" s="12">
        <f t="shared" si="205"/>
        <v>418.86748800244499</v>
      </c>
      <c r="G1489" s="12">
        <f t="shared" si="206"/>
        <v>247.17608632885594</v>
      </c>
      <c r="H1489" s="12">
        <f t="shared" si="212"/>
        <v>1507900</v>
      </c>
      <c r="I1489" s="12">
        <f t="shared" si="213"/>
        <v>889800</v>
      </c>
      <c r="J1489" s="12">
        <f>IF(A1489&lt;[3]关卡对接!$A$4,INDEX([3]关卡对接!$C$7:$C$141,A1489),MATCH(E1489,人物经验!$H$24:$H$573,1))</f>
        <v>491</v>
      </c>
      <c r="K1489" s="12">
        <f>IF([3]关卡对接!F1477="",INT(INDEX(人物经验!$J$24:$J$573,关卡!J1489)*关卡!$S$7),[3]关卡对接!F1477)</f>
        <v>37629</v>
      </c>
      <c r="L1489" s="12">
        <f t="shared" si="209"/>
        <v>2.4</v>
      </c>
      <c r="M1489" s="12">
        <f>L1489/[4]货币基础!$B$4</f>
        <v>240</v>
      </c>
      <c r="N1489" s="12">
        <f>IF(A1489&lt;[3]关卡对接!$A$4,INDEX([3]关卡对接!$E$7:$E$141,A1489),MATCH(E1489,人物经验!$H$24:$H$573,1))</f>
        <v>491</v>
      </c>
      <c r="O1489" s="12">
        <f>INDEX([2]关卡!$G$6:$G$2005,A1489)</f>
        <v>3</v>
      </c>
      <c r="P1489" s="13">
        <v>6</v>
      </c>
      <c r="Q1489" s="12">
        <f>INT(P1489/$S$15/O1489*VLOOKUP(J1489,[1]人物技能基础!$N$3:$O$553,2,0)*$U$15)</f>
        <v>9</v>
      </c>
      <c r="R1489" s="12">
        <f t="shared" si="210"/>
        <v>112</v>
      </c>
    </row>
    <row r="1490" spans="1:18" x14ac:dyDescent="0.15">
      <c r="A1490" s="12">
        <v>1472</v>
      </c>
      <c r="B1490" s="12">
        <f t="shared" si="207"/>
        <v>8</v>
      </c>
      <c r="C1490" s="12">
        <f t="shared" si="208"/>
        <v>4.7174400000000007</v>
      </c>
      <c r="D1490" s="12">
        <f t="shared" si="211"/>
        <v>6.8005000000000315E-2</v>
      </c>
      <c r="E1490" s="12">
        <f>SUM($D$19:D1490)</f>
        <v>36.917439999999957</v>
      </c>
      <c r="F1490" s="12">
        <f t="shared" si="205"/>
        <v>419.62606480998397</v>
      </c>
      <c r="G1490" s="12">
        <f t="shared" si="206"/>
        <v>247.53392125951999</v>
      </c>
      <c r="H1490" s="12">
        <f t="shared" si="212"/>
        <v>1510600</v>
      </c>
      <c r="I1490" s="12">
        <f t="shared" si="213"/>
        <v>891100</v>
      </c>
      <c r="J1490" s="12">
        <f>IF(A1490&lt;[3]关卡对接!$A$4,INDEX([3]关卡对接!$C$7:$C$141,A1490),MATCH(E1490,人物经验!$H$24:$H$573,1))</f>
        <v>491</v>
      </c>
      <c r="K1490" s="12">
        <f>IF([3]关卡对接!F1478="",INT(INDEX(人物经验!$J$24:$J$573,关卡!J1490)*关卡!$S$7),[3]关卡对接!F1478)</f>
        <v>37629</v>
      </c>
      <c r="L1490" s="12">
        <f t="shared" si="209"/>
        <v>2.4</v>
      </c>
      <c r="M1490" s="12">
        <f>L1490/[4]货币基础!$B$4</f>
        <v>240</v>
      </c>
      <c r="N1490" s="12">
        <f>IF(A1490&lt;[3]关卡对接!$A$4,INDEX([3]关卡对接!$E$7:$E$141,A1490),MATCH(E1490,人物经验!$H$24:$H$573,1))</f>
        <v>491</v>
      </c>
      <c r="O1490" s="12">
        <f>INDEX([2]关卡!$G$6:$G$2005,A1490)</f>
        <v>3</v>
      </c>
      <c r="P1490" s="13">
        <v>6</v>
      </c>
      <c r="Q1490" s="12">
        <f>INT(P1490/$S$15/O1490*VLOOKUP(J1490,[1]人物技能基础!$N$3:$O$553,2,0)*$U$15)</f>
        <v>9</v>
      </c>
      <c r="R1490" s="12">
        <f t="shared" si="210"/>
        <v>112</v>
      </c>
    </row>
    <row r="1491" spans="1:18" x14ac:dyDescent="0.15">
      <c r="A1491" s="12">
        <v>1473</v>
      </c>
      <c r="B1491" s="12">
        <f t="shared" si="207"/>
        <v>8</v>
      </c>
      <c r="C1491" s="12">
        <f t="shared" si="208"/>
        <v>4.7855150000000002</v>
      </c>
      <c r="D1491" s="12">
        <f t="shared" si="211"/>
        <v>6.8074999999999442E-2</v>
      </c>
      <c r="E1491" s="12">
        <f>SUM($D$19:D1491)</f>
        <v>36.985514999999957</v>
      </c>
      <c r="F1491" s="12">
        <f t="shared" ref="F1491:F1554" si="214">$L$7*($M$7+$N$7*($A1491/$B$3)^1+$O$7*($A1491/$B$3)^2+$P$7*($A1491/$B$3)^3+$Q$7*($A1491/$B$3)^4)</f>
        <v>420.385721227685</v>
      </c>
      <c r="G1491" s="12">
        <f t="shared" ref="G1491:G1554" si="215">$L$11*($M$11+$N$11*($A1491/$B$3)^1+$O$11*($A1491/$B$3)^2+$P$11*($A1491/$B$3)^3+$Q$11*($A1491/$B$3)^4)</f>
        <v>247.89215117355596</v>
      </c>
      <c r="H1491" s="12">
        <f t="shared" si="212"/>
        <v>1513300</v>
      </c>
      <c r="I1491" s="12">
        <f t="shared" si="213"/>
        <v>892400</v>
      </c>
      <c r="J1491" s="12">
        <f>IF(A1491&lt;[3]关卡对接!$A$4,INDEX([3]关卡对接!$C$7:$C$141,A1491),MATCH(E1491,人物经验!$H$24:$H$573,1))</f>
        <v>491</v>
      </c>
      <c r="K1491" s="12">
        <f>IF([3]关卡对接!F1479="",INT(INDEX(人物经验!$J$24:$J$573,关卡!J1491)*关卡!$S$7),[3]关卡对接!F1479)</f>
        <v>37629</v>
      </c>
      <c r="L1491" s="12">
        <f t="shared" si="209"/>
        <v>2.4</v>
      </c>
      <c r="M1491" s="12">
        <f>L1491/[4]货币基础!$B$4</f>
        <v>240</v>
      </c>
      <c r="N1491" s="12">
        <f>IF(A1491&lt;[3]关卡对接!$A$4,INDEX([3]关卡对接!$E$7:$E$141,A1491),MATCH(E1491,人物经验!$H$24:$H$573,1))</f>
        <v>491</v>
      </c>
      <c r="O1491" s="12">
        <f>INDEX([2]关卡!$G$6:$G$2005,A1491)</f>
        <v>3</v>
      </c>
      <c r="P1491" s="13">
        <v>6</v>
      </c>
      <c r="Q1491" s="12">
        <f>INT(P1491/$S$15/O1491*VLOOKUP(J1491,[1]人物技能基础!$N$3:$O$553,2,0)*$U$15)</f>
        <v>9</v>
      </c>
      <c r="R1491" s="12">
        <f t="shared" si="210"/>
        <v>112</v>
      </c>
    </row>
    <row r="1492" spans="1:18" x14ac:dyDescent="0.15">
      <c r="A1492" s="12">
        <v>1474</v>
      </c>
      <c r="B1492" s="12">
        <f t="shared" ref="B1492:B1555" si="216">MATCH($A1492,$A$5:$A$15,1)-1</f>
        <v>8</v>
      </c>
      <c r="C1492" s="12">
        <f t="shared" ref="C1492:C1555" si="217">INDEX($C$5:$C$15,$B1492+1)*(INDEX($E$5:$E$15,$B1492+1)+INDEX($F$5:$F$15,$B1492+1)*(($A1492-INDEX($A$5:$A$15,$B1492+1)+1)/(INDEX($B$5:$B$15,$B1492+1)-INDEX($A$5:$A$15,$B1492+1)+1))^1+INDEX($G$5:$G$15,$B1492+1)*(($A1492-INDEX($A$5:$A$15,$B1492+1)+1)/(INDEX($B$5:$B$15,$B1492+1)-INDEX($A$5:$A$15,$B1492+1)+1))^2+INDEX($H$5:$H$15,$B1492+1)*(($A1492-INDEX($A$5:$A$15,$B1492+1)+1)/(INDEX($B$5:$B$15,$B1492+1)-INDEX($A$5:$A$15,$B1492+1)+1))^3+INDEX($I$5:$I$15,$B1492+1)*(($A1492-INDEX($A$5:$A$15,$B1492+1)+1)/(INDEX($B$5:$B$15,$B1492+1)-INDEX($A$5:$A$15,$B1492+1)+1))^4)</f>
        <v>4.8536599999999996</v>
      </c>
      <c r="D1492" s="12">
        <f t="shared" si="211"/>
        <v>6.8144999999999456E-2</v>
      </c>
      <c r="E1492" s="12">
        <f>SUM($D$19:D1492)</f>
        <v>37.053659999999958</v>
      </c>
      <c r="F1492" s="12">
        <f t="shared" si="214"/>
        <v>421.146458361839</v>
      </c>
      <c r="G1492" s="12">
        <f t="shared" si="215"/>
        <v>248.25077639329498</v>
      </c>
      <c r="H1492" s="12">
        <f t="shared" si="212"/>
        <v>1516100</v>
      </c>
      <c r="I1492" s="12">
        <f t="shared" si="213"/>
        <v>893700</v>
      </c>
      <c r="J1492" s="12">
        <f>IF(A1492&lt;[3]关卡对接!$A$4,INDEX([3]关卡对接!$C$7:$C$141,A1492),MATCH(E1492,人物经验!$H$24:$H$573,1))</f>
        <v>491</v>
      </c>
      <c r="K1492" s="12">
        <f>IF([3]关卡对接!F1480="",INT(INDEX(人物经验!$J$24:$J$573,关卡!J1492)*关卡!$S$7),[3]关卡对接!F1480)</f>
        <v>37629</v>
      </c>
      <c r="L1492" s="12">
        <f t="shared" ref="L1492:L1555" si="218">VLOOKUP(A1492,$A$5:$J$15,10,1)</f>
        <v>2.4</v>
      </c>
      <c r="M1492" s="12">
        <f>L1492/[4]货币基础!$B$4</f>
        <v>240</v>
      </c>
      <c r="N1492" s="12">
        <f>IF(A1492&lt;[3]关卡对接!$A$4,INDEX([3]关卡对接!$E$7:$E$141,A1492),MATCH(E1492,人物经验!$H$24:$H$573,1))</f>
        <v>491</v>
      </c>
      <c r="O1492" s="12">
        <f>INDEX([2]关卡!$G$6:$G$2005,A1492)</f>
        <v>3</v>
      </c>
      <c r="P1492" s="13">
        <v>6</v>
      </c>
      <c r="Q1492" s="12">
        <f>INT(P1492/$S$15/O1492*VLOOKUP(J1492,[1]人物技能基础!$N$3:$O$553,2,0)*$U$15)</f>
        <v>9</v>
      </c>
      <c r="R1492" s="12">
        <f t="shared" ref="R1492:R1555" si="219">INT(Q1492*12.5)</f>
        <v>112</v>
      </c>
    </row>
    <row r="1493" spans="1:18" x14ac:dyDescent="0.15">
      <c r="A1493" s="12">
        <v>1475</v>
      </c>
      <c r="B1493" s="12">
        <f t="shared" si="216"/>
        <v>8</v>
      </c>
      <c r="C1493" s="12">
        <f t="shared" si="217"/>
        <v>4.921875</v>
      </c>
      <c r="D1493" s="12">
        <f t="shared" si="211"/>
        <v>6.8215000000000359E-2</v>
      </c>
      <c r="E1493" s="12">
        <f>SUM($D$19:D1493)</f>
        <v>37.12187499999996</v>
      </c>
      <c r="F1493" s="12">
        <f t="shared" si="214"/>
        <v>421.90827731933598</v>
      </c>
      <c r="G1493" s="12">
        <f t="shared" si="215"/>
        <v>248.60979724121097</v>
      </c>
      <c r="H1493" s="12">
        <f t="shared" si="212"/>
        <v>1518800</v>
      </c>
      <c r="I1493" s="12">
        <f t="shared" si="213"/>
        <v>894900</v>
      </c>
      <c r="J1493" s="12">
        <f>IF(A1493&lt;[3]关卡对接!$A$4,INDEX([3]关卡对接!$C$7:$C$141,A1493),MATCH(E1493,人物经验!$H$24:$H$573,1))</f>
        <v>491</v>
      </c>
      <c r="K1493" s="12">
        <f>IF([3]关卡对接!F1481="",INT(INDEX(人物经验!$J$24:$J$573,关卡!J1493)*关卡!$S$7),[3]关卡对接!F1481)</f>
        <v>37629</v>
      </c>
      <c r="L1493" s="12">
        <f t="shared" si="218"/>
        <v>2.4</v>
      </c>
      <c r="M1493" s="12">
        <f>L1493/[4]货币基础!$B$4</f>
        <v>240</v>
      </c>
      <c r="N1493" s="12">
        <f>IF(A1493&lt;[3]关卡对接!$A$4,INDEX([3]关卡对接!$E$7:$E$141,A1493),MATCH(E1493,人物经验!$H$24:$H$573,1))</f>
        <v>491</v>
      </c>
      <c r="O1493" s="12">
        <f>INDEX([2]关卡!$G$6:$G$2005,A1493)</f>
        <v>3</v>
      </c>
      <c r="P1493" s="13">
        <v>6</v>
      </c>
      <c r="Q1493" s="12">
        <f>INT(P1493/$S$15/O1493*VLOOKUP(J1493,[1]人物技能基础!$N$3:$O$553,2,0)*$U$15)</f>
        <v>9</v>
      </c>
      <c r="R1493" s="12">
        <f t="shared" si="219"/>
        <v>112</v>
      </c>
    </row>
    <row r="1494" spans="1:18" x14ac:dyDescent="0.15">
      <c r="A1494" s="12">
        <v>1476</v>
      </c>
      <c r="B1494" s="12">
        <f t="shared" si="216"/>
        <v>8</v>
      </c>
      <c r="C1494" s="12">
        <f t="shared" si="217"/>
        <v>4.9901600000000004</v>
      </c>
      <c r="D1494" s="12">
        <f t="shared" si="211"/>
        <v>6.8285000000000373E-2</v>
      </c>
      <c r="E1494" s="12">
        <f>SUM($D$19:D1494)</f>
        <v>37.190159999999963</v>
      </c>
      <c r="F1494" s="12">
        <f t="shared" si="214"/>
        <v>422.67117920766407</v>
      </c>
      <c r="G1494" s="12">
        <f t="shared" si="215"/>
        <v>248.96921403991999</v>
      </c>
      <c r="H1494" s="12">
        <f t="shared" si="212"/>
        <v>1521600</v>
      </c>
      <c r="I1494" s="12">
        <f t="shared" si="213"/>
        <v>896200</v>
      </c>
      <c r="J1494" s="12">
        <f>IF(A1494&lt;[3]关卡对接!$A$4,INDEX([3]关卡对接!$C$7:$C$141,A1494),MATCH(E1494,人物经验!$H$24:$H$573,1))</f>
        <v>492</v>
      </c>
      <c r="K1494" s="12">
        <f>IF([3]关卡对接!F1482="",INT(INDEX(人物经验!$J$24:$J$573,关卡!J1494)*关卡!$S$7),[3]关卡对接!F1482)</f>
        <v>37971</v>
      </c>
      <c r="L1494" s="12">
        <f t="shared" si="218"/>
        <v>2.4</v>
      </c>
      <c r="M1494" s="12">
        <f>L1494/[4]货币基础!$B$4</f>
        <v>240</v>
      </c>
      <c r="N1494" s="12">
        <f>IF(A1494&lt;[3]关卡对接!$A$4,INDEX([3]关卡对接!$E$7:$E$141,A1494),MATCH(E1494,人物经验!$H$24:$H$573,1))</f>
        <v>492</v>
      </c>
      <c r="O1494" s="12">
        <f>INDEX([2]关卡!$G$6:$G$2005,A1494)</f>
        <v>3</v>
      </c>
      <c r="P1494" s="13">
        <v>6</v>
      </c>
      <c r="Q1494" s="12">
        <f>INT(P1494/$S$15/O1494*VLOOKUP(J1494,[1]人物技能基础!$N$3:$O$553,2,0)*$U$15)</f>
        <v>9</v>
      </c>
      <c r="R1494" s="12">
        <f t="shared" si="219"/>
        <v>112</v>
      </c>
    </row>
    <row r="1495" spans="1:18" x14ac:dyDescent="0.15">
      <c r="A1495" s="12">
        <v>1477</v>
      </c>
      <c r="B1495" s="12">
        <f t="shared" si="216"/>
        <v>8</v>
      </c>
      <c r="C1495" s="12">
        <f t="shared" si="217"/>
        <v>5.0585150000000008</v>
      </c>
      <c r="D1495" s="12">
        <f t="shared" si="211"/>
        <v>6.8355000000000388E-2</v>
      </c>
      <c r="E1495" s="12">
        <f>SUM($D$19:D1495)</f>
        <v>37.25851499999996</v>
      </c>
      <c r="F1495" s="12">
        <f t="shared" si="214"/>
        <v>423.43516513491005</v>
      </c>
      <c r="G1495" s="12">
        <f t="shared" si="215"/>
        <v>249.32902711218097</v>
      </c>
      <c r="H1495" s="12">
        <f t="shared" si="212"/>
        <v>1524300</v>
      </c>
      <c r="I1495" s="12">
        <f t="shared" si="213"/>
        <v>897500</v>
      </c>
      <c r="J1495" s="12">
        <f>IF(A1495&lt;[3]关卡对接!$A$4,INDEX([3]关卡对接!$C$7:$C$141,A1495),MATCH(E1495,人物经验!$H$24:$H$573,1))</f>
        <v>492</v>
      </c>
      <c r="K1495" s="12">
        <f>IF([3]关卡对接!F1483="",INT(INDEX(人物经验!$J$24:$J$573,关卡!J1495)*关卡!$S$7),[3]关卡对接!F1483)</f>
        <v>37971</v>
      </c>
      <c r="L1495" s="12">
        <f t="shared" si="218"/>
        <v>2.4</v>
      </c>
      <c r="M1495" s="12">
        <f>L1495/[4]货币基础!$B$4</f>
        <v>240</v>
      </c>
      <c r="N1495" s="12">
        <f>IF(A1495&lt;[3]关卡对接!$A$4,INDEX([3]关卡对接!$E$7:$E$141,A1495),MATCH(E1495,人物经验!$H$24:$H$573,1))</f>
        <v>492</v>
      </c>
      <c r="O1495" s="12">
        <f>INDEX([2]关卡!$G$6:$G$2005,A1495)</f>
        <v>3</v>
      </c>
      <c r="P1495" s="13">
        <v>6</v>
      </c>
      <c r="Q1495" s="12">
        <f>INT(P1495/$S$15/O1495*VLOOKUP(J1495,[1]人物技能基础!$N$3:$O$553,2,0)*$U$15)</f>
        <v>9</v>
      </c>
      <c r="R1495" s="12">
        <f t="shared" si="219"/>
        <v>112</v>
      </c>
    </row>
    <row r="1496" spans="1:18" x14ac:dyDescent="0.15">
      <c r="A1496" s="12">
        <v>1478</v>
      </c>
      <c r="B1496" s="12">
        <f t="shared" si="216"/>
        <v>8</v>
      </c>
      <c r="C1496" s="12">
        <f t="shared" si="217"/>
        <v>5.1269400000000003</v>
      </c>
      <c r="D1496" s="12">
        <f t="shared" si="211"/>
        <v>6.8424999999999514E-2</v>
      </c>
      <c r="E1496" s="12">
        <f>SUM($D$19:D1496)</f>
        <v>37.326939999999958</v>
      </c>
      <c r="F1496" s="12">
        <f t="shared" si="214"/>
        <v>424.200236209759</v>
      </c>
      <c r="G1496" s="12">
        <f t="shared" si="215"/>
        <v>249.68923678089496</v>
      </c>
      <c r="H1496" s="12">
        <f t="shared" si="212"/>
        <v>1527100</v>
      </c>
      <c r="I1496" s="12">
        <f t="shared" si="213"/>
        <v>898800</v>
      </c>
      <c r="J1496" s="12">
        <f>IF(A1496&lt;[3]关卡对接!$A$4,INDEX([3]关卡对接!$C$7:$C$141,A1496),MATCH(E1496,人物经验!$H$24:$H$573,1))</f>
        <v>492</v>
      </c>
      <c r="K1496" s="12">
        <f>IF([3]关卡对接!F1484="",INT(INDEX(人物经验!$J$24:$J$573,关卡!J1496)*关卡!$S$7),[3]关卡对接!F1484)</f>
        <v>37971</v>
      </c>
      <c r="L1496" s="12">
        <f t="shared" si="218"/>
        <v>2.4</v>
      </c>
      <c r="M1496" s="12">
        <f>L1496/[4]货币基础!$B$4</f>
        <v>240</v>
      </c>
      <c r="N1496" s="12">
        <f>IF(A1496&lt;[3]关卡对接!$A$4,INDEX([3]关卡对接!$E$7:$E$141,A1496),MATCH(E1496,人物经验!$H$24:$H$573,1))</f>
        <v>492</v>
      </c>
      <c r="O1496" s="12">
        <f>INDEX([2]关卡!$G$6:$G$2005,A1496)</f>
        <v>3</v>
      </c>
      <c r="P1496" s="13">
        <v>6</v>
      </c>
      <c r="Q1496" s="12">
        <f>INT(P1496/$S$15/O1496*VLOOKUP(J1496,[1]人物技能基础!$N$3:$O$553,2,0)*$U$15)</f>
        <v>9</v>
      </c>
      <c r="R1496" s="12">
        <f t="shared" si="219"/>
        <v>112</v>
      </c>
    </row>
    <row r="1497" spans="1:18" x14ac:dyDescent="0.15">
      <c r="A1497" s="12">
        <v>1479</v>
      </c>
      <c r="B1497" s="12">
        <f t="shared" si="216"/>
        <v>8</v>
      </c>
      <c r="C1497" s="12">
        <f t="shared" si="217"/>
        <v>5.1954350000000007</v>
      </c>
      <c r="D1497" s="12">
        <f t="shared" si="211"/>
        <v>6.8495000000000417E-2</v>
      </c>
      <c r="E1497" s="12">
        <f>SUM($D$19:D1497)</f>
        <v>37.395434999999956</v>
      </c>
      <c r="F1497" s="12">
        <f t="shared" si="214"/>
        <v>424.96639354149499</v>
      </c>
      <c r="G1497" s="12">
        <f t="shared" si="215"/>
        <v>250.04984336910596</v>
      </c>
      <c r="H1497" s="12">
        <f t="shared" si="212"/>
        <v>1529800</v>
      </c>
      <c r="I1497" s="12">
        <f t="shared" si="213"/>
        <v>900100</v>
      </c>
      <c r="J1497" s="12">
        <f>IF(A1497&lt;[3]关卡对接!$A$4,INDEX([3]关卡对接!$C$7:$C$141,A1497),MATCH(E1497,人物经验!$H$24:$H$573,1))</f>
        <v>492</v>
      </c>
      <c r="K1497" s="12">
        <f>IF([3]关卡对接!F1485="",INT(INDEX(人物经验!$J$24:$J$573,关卡!J1497)*关卡!$S$7),[3]关卡对接!F1485)</f>
        <v>37971</v>
      </c>
      <c r="L1497" s="12">
        <f t="shared" si="218"/>
        <v>2.4</v>
      </c>
      <c r="M1497" s="12">
        <f>L1497/[4]货币基础!$B$4</f>
        <v>240</v>
      </c>
      <c r="N1497" s="12">
        <f>IF(A1497&lt;[3]关卡对接!$A$4,INDEX([3]关卡对接!$E$7:$E$141,A1497),MATCH(E1497,人物经验!$H$24:$H$573,1))</f>
        <v>492</v>
      </c>
      <c r="O1497" s="12">
        <f>INDEX([2]关卡!$G$6:$G$2005,A1497)</f>
        <v>3</v>
      </c>
      <c r="P1497" s="13">
        <v>6</v>
      </c>
      <c r="Q1497" s="12">
        <f>INT(P1497/$S$15/O1497*VLOOKUP(J1497,[1]人物技能基础!$N$3:$O$553,2,0)*$U$15)</f>
        <v>9</v>
      </c>
      <c r="R1497" s="12">
        <f t="shared" si="219"/>
        <v>112</v>
      </c>
    </row>
    <row r="1498" spans="1:18" x14ac:dyDescent="0.15">
      <c r="A1498" s="12">
        <v>1480</v>
      </c>
      <c r="B1498" s="12">
        <f t="shared" si="216"/>
        <v>8</v>
      </c>
      <c r="C1498" s="12">
        <f t="shared" si="217"/>
        <v>5.2640000000000011</v>
      </c>
      <c r="D1498" s="12">
        <f t="shared" si="211"/>
        <v>6.8565000000000431E-2</v>
      </c>
      <c r="E1498" s="12">
        <f>SUM($D$19:D1498)</f>
        <v>37.463999999999956</v>
      </c>
      <c r="F1498" s="12">
        <f t="shared" si="214"/>
        <v>425.73363824</v>
      </c>
      <c r="G1498" s="12">
        <f t="shared" si="215"/>
        <v>250.41084720000001</v>
      </c>
      <c r="H1498" s="12">
        <f t="shared" si="212"/>
        <v>1532600</v>
      </c>
      <c r="I1498" s="12">
        <f t="shared" si="213"/>
        <v>901400</v>
      </c>
      <c r="J1498" s="12">
        <f>IF(A1498&lt;[3]关卡对接!$A$4,INDEX([3]关卡对接!$C$7:$C$141,A1498),MATCH(E1498,人物经验!$H$24:$H$573,1))</f>
        <v>493</v>
      </c>
      <c r="K1498" s="12">
        <f>IF([3]关卡对接!F1486="",INT(INDEX(人物经验!$J$24:$J$573,关卡!J1498)*关卡!$S$7),[3]关卡对接!F1486)</f>
        <v>38246</v>
      </c>
      <c r="L1498" s="12">
        <f t="shared" si="218"/>
        <v>2.4</v>
      </c>
      <c r="M1498" s="12">
        <f>L1498/[4]货币基础!$B$4</f>
        <v>240</v>
      </c>
      <c r="N1498" s="12">
        <f>IF(A1498&lt;[3]关卡对接!$A$4,INDEX([3]关卡对接!$E$7:$E$141,A1498),MATCH(E1498,人物经验!$H$24:$H$573,1))</f>
        <v>493</v>
      </c>
      <c r="O1498" s="12">
        <f>INDEX([2]关卡!$G$6:$G$2005,A1498)</f>
        <v>3</v>
      </c>
      <c r="P1498" s="13">
        <v>6</v>
      </c>
      <c r="Q1498" s="12">
        <f>INT(P1498/$S$15/O1498*VLOOKUP(J1498,[1]人物技能基础!$N$3:$O$553,2,0)*$U$15)</f>
        <v>9</v>
      </c>
      <c r="R1498" s="12">
        <f t="shared" si="219"/>
        <v>112</v>
      </c>
    </row>
    <row r="1499" spans="1:18" x14ac:dyDescent="0.15">
      <c r="A1499" s="12">
        <v>1481</v>
      </c>
      <c r="B1499" s="12">
        <f t="shared" si="216"/>
        <v>8</v>
      </c>
      <c r="C1499" s="12">
        <f t="shared" si="217"/>
        <v>5.3326350000000007</v>
      </c>
      <c r="D1499" s="12">
        <f t="shared" si="211"/>
        <v>6.8634999999999557E-2</v>
      </c>
      <c r="E1499" s="12">
        <f>SUM($D$19:D1499)</f>
        <v>37.532634999999956</v>
      </c>
      <c r="F1499" s="12">
        <f t="shared" si="214"/>
        <v>426.50197141575501</v>
      </c>
      <c r="G1499" s="12">
        <f t="shared" si="215"/>
        <v>250.77224859690594</v>
      </c>
      <c r="H1499" s="12">
        <f t="shared" si="212"/>
        <v>1535400</v>
      </c>
      <c r="I1499" s="12">
        <f t="shared" si="213"/>
        <v>902700</v>
      </c>
      <c r="J1499" s="12">
        <f>IF(A1499&lt;[3]关卡对接!$A$4,INDEX([3]关卡对接!$C$7:$C$141,A1499),MATCH(E1499,人物经验!$H$24:$H$573,1))</f>
        <v>493</v>
      </c>
      <c r="K1499" s="12">
        <f>IF([3]关卡对接!F1487="",INT(INDEX(人物经验!$J$24:$J$573,关卡!J1499)*关卡!$S$7),[3]关卡对接!F1487)</f>
        <v>38246</v>
      </c>
      <c r="L1499" s="12">
        <f t="shared" si="218"/>
        <v>2.4</v>
      </c>
      <c r="M1499" s="12">
        <f>L1499/[4]货币基础!$B$4</f>
        <v>240</v>
      </c>
      <c r="N1499" s="12">
        <f>IF(A1499&lt;[3]关卡对接!$A$4,INDEX([3]关卡对接!$E$7:$E$141,A1499),MATCH(E1499,人物经验!$H$24:$H$573,1))</f>
        <v>493</v>
      </c>
      <c r="O1499" s="12">
        <f>INDEX([2]关卡!$G$6:$G$2005,A1499)</f>
        <v>3</v>
      </c>
      <c r="P1499" s="13">
        <v>6</v>
      </c>
      <c r="Q1499" s="12">
        <f>INT(P1499/$S$15/O1499*VLOOKUP(J1499,[1]人物技能基础!$N$3:$O$553,2,0)*$U$15)</f>
        <v>9</v>
      </c>
      <c r="R1499" s="12">
        <f t="shared" si="219"/>
        <v>112</v>
      </c>
    </row>
    <row r="1500" spans="1:18" x14ac:dyDescent="0.15">
      <c r="A1500" s="12">
        <v>1482</v>
      </c>
      <c r="B1500" s="12">
        <f t="shared" si="216"/>
        <v>8</v>
      </c>
      <c r="C1500" s="12">
        <f t="shared" si="217"/>
        <v>5.4013399999999994</v>
      </c>
      <c r="D1500" s="12">
        <f t="shared" si="211"/>
        <v>6.8704999999998684E-2</v>
      </c>
      <c r="E1500" s="12">
        <f>SUM($D$19:D1500)</f>
        <v>37.601339999999958</v>
      </c>
      <c r="F1500" s="12">
        <f t="shared" si="214"/>
        <v>427.27139417983909</v>
      </c>
      <c r="G1500" s="12">
        <f t="shared" si="215"/>
        <v>251.13404788329501</v>
      </c>
      <c r="H1500" s="12">
        <f t="shared" si="212"/>
        <v>1538100</v>
      </c>
      <c r="I1500" s="12">
        <f t="shared" si="213"/>
        <v>904000</v>
      </c>
      <c r="J1500" s="12">
        <f>IF(A1500&lt;[3]关卡对接!$A$4,INDEX([3]关卡对接!$C$7:$C$141,A1500),MATCH(E1500,人物经验!$H$24:$H$573,1))</f>
        <v>493</v>
      </c>
      <c r="K1500" s="12">
        <f>IF([3]关卡对接!F1488="",INT(INDEX(人物经验!$J$24:$J$573,关卡!J1500)*关卡!$S$7),[3]关卡对接!F1488)</f>
        <v>38246</v>
      </c>
      <c r="L1500" s="12">
        <f t="shared" si="218"/>
        <v>2.4</v>
      </c>
      <c r="M1500" s="12">
        <f>L1500/[4]货币基础!$B$4</f>
        <v>240</v>
      </c>
      <c r="N1500" s="12">
        <f>IF(A1500&lt;[3]关卡对接!$A$4,INDEX([3]关卡对接!$E$7:$E$141,A1500),MATCH(E1500,人物经验!$H$24:$H$573,1))</f>
        <v>493</v>
      </c>
      <c r="O1500" s="12">
        <f>INDEX([2]关卡!$G$6:$G$2005,A1500)</f>
        <v>3</v>
      </c>
      <c r="P1500" s="13">
        <v>6</v>
      </c>
      <c r="Q1500" s="12">
        <f>INT(P1500/$S$15/O1500*VLOOKUP(J1500,[1]人物技能基础!$N$3:$O$553,2,0)*$U$15)</f>
        <v>9</v>
      </c>
      <c r="R1500" s="12">
        <f t="shared" si="219"/>
        <v>112</v>
      </c>
    </row>
    <row r="1501" spans="1:18" x14ac:dyDescent="0.15">
      <c r="A1501" s="12">
        <v>1483</v>
      </c>
      <c r="B1501" s="12">
        <f t="shared" si="216"/>
        <v>8</v>
      </c>
      <c r="C1501" s="12">
        <f t="shared" si="217"/>
        <v>5.4701149999999998</v>
      </c>
      <c r="D1501" s="12">
        <f t="shared" si="211"/>
        <v>6.8775000000000475E-2</v>
      </c>
      <c r="E1501" s="12">
        <f>SUM($D$19:D1501)</f>
        <v>37.67011499999996</v>
      </c>
      <c r="F1501" s="12">
        <f t="shared" si="214"/>
        <v>428.04190764393002</v>
      </c>
      <c r="G1501" s="12">
        <f t="shared" si="215"/>
        <v>251.49624538278098</v>
      </c>
      <c r="H1501" s="12">
        <f t="shared" si="212"/>
        <v>1540900</v>
      </c>
      <c r="I1501" s="12">
        <f t="shared" si="213"/>
        <v>905300</v>
      </c>
      <c r="J1501" s="12">
        <f>IF(A1501&lt;[3]关卡对接!$A$4,INDEX([3]关卡对接!$C$7:$C$141,A1501),MATCH(E1501,人物经验!$H$24:$H$573,1))</f>
        <v>493</v>
      </c>
      <c r="K1501" s="12">
        <f>IF([3]关卡对接!F1489="",INT(INDEX(人物经验!$J$24:$J$573,关卡!J1501)*关卡!$S$7),[3]关卡对接!F1489)</f>
        <v>38246</v>
      </c>
      <c r="L1501" s="12">
        <f t="shared" si="218"/>
        <v>2.4</v>
      </c>
      <c r="M1501" s="12">
        <f>L1501/[4]货币基础!$B$4</f>
        <v>240</v>
      </c>
      <c r="N1501" s="12">
        <f>IF(A1501&lt;[3]关卡对接!$A$4,INDEX([3]关卡对接!$E$7:$E$141,A1501),MATCH(E1501,人物经验!$H$24:$H$573,1))</f>
        <v>493</v>
      </c>
      <c r="O1501" s="12">
        <f>INDEX([2]关卡!$G$6:$G$2005,A1501)</f>
        <v>3</v>
      </c>
      <c r="P1501" s="13">
        <v>6</v>
      </c>
      <c r="Q1501" s="12">
        <f>INT(P1501/$S$15/O1501*VLOOKUP(J1501,[1]人物技能基础!$N$3:$O$553,2,0)*$U$15)</f>
        <v>9</v>
      </c>
      <c r="R1501" s="12">
        <f t="shared" si="219"/>
        <v>112</v>
      </c>
    </row>
    <row r="1502" spans="1:18" x14ac:dyDescent="0.15">
      <c r="A1502" s="12">
        <v>1484</v>
      </c>
      <c r="B1502" s="12">
        <f t="shared" si="216"/>
        <v>8</v>
      </c>
      <c r="C1502" s="12">
        <f t="shared" si="217"/>
        <v>5.5389599999999994</v>
      </c>
      <c r="D1502" s="12">
        <f t="shared" si="211"/>
        <v>6.8844999999999601E-2</v>
      </c>
      <c r="E1502" s="12">
        <f>SUM($D$19:D1502)</f>
        <v>37.738959999999963</v>
      </c>
      <c r="F1502" s="12">
        <f t="shared" si="214"/>
        <v>428.81351292030399</v>
      </c>
      <c r="G1502" s="12">
        <f t="shared" si="215"/>
        <v>251.85884141911995</v>
      </c>
      <c r="H1502" s="12">
        <f t="shared" si="212"/>
        <v>1543700</v>
      </c>
      <c r="I1502" s="12">
        <f t="shared" si="213"/>
        <v>906600</v>
      </c>
      <c r="J1502" s="12">
        <f>IF(A1502&lt;[3]关卡对接!$A$4,INDEX([3]关卡对接!$C$7:$C$141,A1502),MATCH(E1502,人物经验!$H$24:$H$573,1))</f>
        <v>494</v>
      </c>
      <c r="K1502" s="12">
        <f>IF([3]关卡对接!F1490="",INT(INDEX(人物经验!$J$24:$J$573,关卡!J1502)*关卡!$S$7),[3]关卡对接!F1490)</f>
        <v>38523</v>
      </c>
      <c r="L1502" s="12">
        <f t="shared" si="218"/>
        <v>2.4</v>
      </c>
      <c r="M1502" s="12">
        <f>L1502/[4]货币基础!$B$4</f>
        <v>240</v>
      </c>
      <c r="N1502" s="12">
        <f>IF(A1502&lt;[3]关卡对接!$A$4,INDEX([3]关卡对接!$E$7:$E$141,A1502),MATCH(E1502,人物经验!$H$24:$H$573,1))</f>
        <v>494</v>
      </c>
      <c r="O1502" s="12">
        <f>INDEX([2]关卡!$G$6:$G$2005,A1502)</f>
        <v>3</v>
      </c>
      <c r="P1502" s="13">
        <v>6</v>
      </c>
      <c r="Q1502" s="12">
        <f>INT(P1502/$S$15/O1502*VLOOKUP(J1502,[1]人物技能基础!$N$3:$O$553,2,0)*$U$15)</f>
        <v>9</v>
      </c>
      <c r="R1502" s="12">
        <f t="shared" si="219"/>
        <v>112</v>
      </c>
    </row>
    <row r="1503" spans="1:18" x14ac:dyDescent="0.15">
      <c r="A1503" s="12">
        <v>1485</v>
      </c>
      <c r="B1503" s="12">
        <f t="shared" si="216"/>
        <v>8</v>
      </c>
      <c r="C1503" s="12">
        <f t="shared" si="217"/>
        <v>5.6078749999999999</v>
      </c>
      <c r="D1503" s="12">
        <f t="shared" si="211"/>
        <v>6.8915000000000504E-2</v>
      </c>
      <c r="E1503" s="12">
        <f>SUM($D$19:D1503)</f>
        <v>37.807874999999967</v>
      </c>
      <c r="F1503" s="12">
        <f t="shared" si="214"/>
        <v>429.58621112183602</v>
      </c>
      <c r="G1503" s="12">
        <f t="shared" si="215"/>
        <v>252.22183631621098</v>
      </c>
      <c r="H1503" s="12">
        <f t="shared" si="212"/>
        <v>1546500</v>
      </c>
      <c r="I1503" s="12">
        <f t="shared" si="213"/>
        <v>907900</v>
      </c>
      <c r="J1503" s="12">
        <f>IF(A1503&lt;[3]关卡对接!$A$4,INDEX([3]关卡对接!$C$7:$C$141,A1503),MATCH(E1503,人物经验!$H$24:$H$573,1))</f>
        <v>494</v>
      </c>
      <c r="K1503" s="12">
        <f>IF([3]关卡对接!F1491="",INT(INDEX(人物经验!$J$24:$J$573,关卡!J1503)*关卡!$S$7),[3]关卡对接!F1491)</f>
        <v>38523</v>
      </c>
      <c r="L1503" s="12">
        <f t="shared" si="218"/>
        <v>2.4</v>
      </c>
      <c r="M1503" s="12">
        <f>L1503/[4]货币基础!$B$4</f>
        <v>240</v>
      </c>
      <c r="N1503" s="12">
        <f>IF(A1503&lt;[3]关卡对接!$A$4,INDEX([3]关卡对接!$E$7:$E$141,A1503),MATCH(E1503,人物经验!$H$24:$H$573,1))</f>
        <v>494</v>
      </c>
      <c r="O1503" s="12">
        <f>INDEX([2]关卡!$G$6:$G$2005,A1503)</f>
        <v>3</v>
      </c>
      <c r="P1503" s="13">
        <v>6</v>
      </c>
      <c r="Q1503" s="12">
        <f>INT(P1503/$S$15/O1503*VLOOKUP(J1503,[1]人物技能基础!$N$3:$O$553,2,0)*$U$15)</f>
        <v>9</v>
      </c>
      <c r="R1503" s="12">
        <f t="shared" si="219"/>
        <v>112</v>
      </c>
    </row>
    <row r="1504" spans="1:18" x14ac:dyDescent="0.15">
      <c r="A1504" s="12">
        <v>1486</v>
      </c>
      <c r="B1504" s="12">
        <f t="shared" si="216"/>
        <v>8</v>
      </c>
      <c r="C1504" s="12">
        <f t="shared" si="217"/>
        <v>5.6768600000000005</v>
      </c>
      <c r="D1504" s="12">
        <f t="shared" si="211"/>
        <v>6.8985000000000518E-2</v>
      </c>
      <c r="E1504" s="12">
        <f>SUM($D$19:D1504)</f>
        <v>37.876859999999965</v>
      </c>
      <c r="F1504" s="12">
        <f t="shared" si="214"/>
        <v>430.36000336199902</v>
      </c>
      <c r="G1504" s="12">
        <f t="shared" si="215"/>
        <v>252.58523039809501</v>
      </c>
      <c r="H1504" s="12">
        <f t="shared" si="212"/>
        <v>1549200</v>
      </c>
      <c r="I1504" s="12">
        <f t="shared" si="213"/>
        <v>909300</v>
      </c>
      <c r="J1504" s="12">
        <f>IF(A1504&lt;[3]关卡对接!$A$4,INDEX([3]关卡对接!$C$7:$C$141,A1504),MATCH(E1504,人物经验!$H$24:$H$573,1))</f>
        <v>494</v>
      </c>
      <c r="K1504" s="12">
        <f>IF([3]关卡对接!F1492="",INT(INDEX(人物经验!$J$24:$J$573,关卡!J1504)*关卡!$S$7),[3]关卡对接!F1492)</f>
        <v>38523</v>
      </c>
      <c r="L1504" s="12">
        <f t="shared" si="218"/>
        <v>2.4</v>
      </c>
      <c r="M1504" s="12">
        <f>L1504/[4]货币基础!$B$4</f>
        <v>240</v>
      </c>
      <c r="N1504" s="12">
        <f>IF(A1504&lt;[3]关卡对接!$A$4,INDEX([3]关卡对接!$E$7:$E$141,A1504),MATCH(E1504,人物经验!$H$24:$H$573,1))</f>
        <v>494</v>
      </c>
      <c r="O1504" s="12">
        <f>INDEX([2]关卡!$G$6:$G$2005,A1504)</f>
        <v>3</v>
      </c>
      <c r="P1504" s="13">
        <v>6</v>
      </c>
      <c r="Q1504" s="12">
        <f>INT(P1504/$S$15/O1504*VLOOKUP(J1504,[1]人物技能基础!$N$3:$O$553,2,0)*$U$15)</f>
        <v>9</v>
      </c>
      <c r="R1504" s="12">
        <f t="shared" si="219"/>
        <v>112</v>
      </c>
    </row>
    <row r="1505" spans="1:18" x14ac:dyDescent="0.15">
      <c r="A1505" s="12">
        <v>1487</v>
      </c>
      <c r="B1505" s="12">
        <f t="shared" si="216"/>
        <v>8</v>
      </c>
      <c r="C1505" s="12">
        <f t="shared" si="217"/>
        <v>5.7459150000000001</v>
      </c>
      <c r="D1505" s="12">
        <f t="shared" si="211"/>
        <v>6.9054999999999644E-2</v>
      </c>
      <c r="E1505" s="12">
        <f>SUM($D$19:D1505)</f>
        <v>37.945914999999964</v>
      </c>
      <c r="F1505" s="12">
        <f t="shared" si="214"/>
        <v>431.13489075486507</v>
      </c>
      <c r="G1505" s="12">
        <f t="shared" si="215"/>
        <v>252.94902398895596</v>
      </c>
      <c r="H1505" s="12">
        <f t="shared" si="212"/>
        <v>1552000</v>
      </c>
      <c r="I1505" s="12">
        <f t="shared" si="213"/>
        <v>910600</v>
      </c>
      <c r="J1505" s="12">
        <f>IF(A1505&lt;[3]关卡对接!$A$4,INDEX([3]关卡对接!$C$7:$C$141,A1505),MATCH(E1505,人物经验!$H$24:$H$573,1))</f>
        <v>494</v>
      </c>
      <c r="K1505" s="12">
        <f>IF([3]关卡对接!F1493="",INT(INDEX(人物经验!$J$24:$J$573,关卡!J1505)*关卡!$S$7),[3]关卡对接!F1493)</f>
        <v>38523</v>
      </c>
      <c r="L1505" s="12">
        <f t="shared" si="218"/>
        <v>2.4</v>
      </c>
      <c r="M1505" s="12">
        <f>L1505/[4]货币基础!$B$4</f>
        <v>240</v>
      </c>
      <c r="N1505" s="12">
        <f>IF(A1505&lt;[3]关卡对接!$A$4,INDEX([3]关卡对接!$E$7:$E$141,A1505),MATCH(E1505,人物经验!$H$24:$H$573,1))</f>
        <v>494</v>
      </c>
      <c r="O1505" s="12">
        <f>INDEX([2]关卡!$G$6:$G$2005,A1505)</f>
        <v>3</v>
      </c>
      <c r="P1505" s="13">
        <v>6</v>
      </c>
      <c r="Q1505" s="12">
        <f>INT(P1505/$S$15/O1505*VLOOKUP(J1505,[1]人物技能基础!$N$3:$O$553,2,0)*$U$15)</f>
        <v>9</v>
      </c>
      <c r="R1505" s="12">
        <f t="shared" si="219"/>
        <v>112</v>
      </c>
    </row>
    <row r="1506" spans="1:18" x14ac:dyDescent="0.15">
      <c r="A1506" s="12">
        <v>1488</v>
      </c>
      <c r="B1506" s="12">
        <f t="shared" si="216"/>
        <v>8</v>
      </c>
      <c r="C1506" s="12">
        <f t="shared" si="217"/>
        <v>5.8150399999999998</v>
      </c>
      <c r="D1506" s="12">
        <f t="shared" si="211"/>
        <v>6.9124999999999659E-2</v>
      </c>
      <c r="E1506" s="12">
        <f>SUM($D$19:D1506)</f>
        <v>38.015039999999964</v>
      </c>
      <c r="F1506" s="12">
        <f t="shared" si="214"/>
        <v>431.91087441510405</v>
      </c>
      <c r="G1506" s="12">
        <f t="shared" si="215"/>
        <v>253.31321741312001</v>
      </c>
      <c r="H1506" s="12">
        <f t="shared" si="212"/>
        <v>1554800</v>
      </c>
      <c r="I1506" s="12">
        <f t="shared" si="213"/>
        <v>911900</v>
      </c>
      <c r="J1506" s="12">
        <f>IF(A1506&lt;[3]关卡对接!$A$4,INDEX([3]关卡对接!$C$7:$C$141,A1506),MATCH(E1506,人物经验!$H$24:$H$573,1))</f>
        <v>495</v>
      </c>
      <c r="K1506" s="12">
        <f>IF([3]关卡对接!F1494="",INT(INDEX(人物经验!$J$24:$J$573,关卡!J1506)*关卡!$S$7),[3]关卡对接!F1494)</f>
        <v>38802</v>
      </c>
      <c r="L1506" s="12">
        <f t="shared" si="218"/>
        <v>2.4</v>
      </c>
      <c r="M1506" s="12">
        <f>L1506/[4]货币基础!$B$4</f>
        <v>240</v>
      </c>
      <c r="N1506" s="12">
        <f>IF(A1506&lt;[3]关卡对接!$A$4,INDEX([3]关卡对接!$E$7:$E$141,A1506),MATCH(E1506,人物经验!$H$24:$H$573,1))</f>
        <v>495</v>
      </c>
      <c r="O1506" s="12">
        <f>INDEX([2]关卡!$G$6:$G$2005,A1506)</f>
        <v>3</v>
      </c>
      <c r="P1506" s="13">
        <v>6</v>
      </c>
      <c r="Q1506" s="12">
        <f>INT(P1506/$S$15/O1506*VLOOKUP(J1506,[1]人物技能基础!$N$3:$O$553,2,0)*$U$15)</f>
        <v>9</v>
      </c>
      <c r="R1506" s="12">
        <f t="shared" si="219"/>
        <v>112</v>
      </c>
    </row>
    <row r="1507" spans="1:18" x14ac:dyDescent="0.15">
      <c r="A1507" s="12">
        <v>1489</v>
      </c>
      <c r="B1507" s="12">
        <f t="shared" si="216"/>
        <v>8</v>
      </c>
      <c r="C1507" s="12">
        <f t="shared" si="217"/>
        <v>5.8842350000000003</v>
      </c>
      <c r="D1507" s="12">
        <f t="shared" si="211"/>
        <v>6.9195000000000562E-2</v>
      </c>
      <c r="E1507" s="12">
        <f>SUM($D$19:D1507)</f>
        <v>38.084234999999964</v>
      </c>
      <c r="F1507" s="12">
        <f t="shared" si="214"/>
        <v>432.68795545798497</v>
      </c>
      <c r="G1507" s="12">
        <f t="shared" si="215"/>
        <v>253.67781099505592</v>
      </c>
      <c r="H1507" s="12">
        <f t="shared" si="212"/>
        <v>1557600</v>
      </c>
      <c r="I1507" s="12">
        <f t="shared" si="213"/>
        <v>913200</v>
      </c>
      <c r="J1507" s="12">
        <f>IF(A1507&lt;[3]关卡对接!$A$4,INDEX([3]关卡对接!$C$7:$C$141,A1507),MATCH(E1507,人物经验!$H$24:$H$573,1))</f>
        <v>495</v>
      </c>
      <c r="K1507" s="12">
        <f>IF([3]关卡对接!F1495="",INT(INDEX(人物经验!$J$24:$J$573,关卡!J1507)*关卡!$S$7),[3]关卡对接!F1495)</f>
        <v>38802</v>
      </c>
      <c r="L1507" s="12">
        <f t="shared" si="218"/>
        <v>2.4</v>
      </c>
      <c r="M1507" s="12">
        <f>L1507/[4]货币基础!$B$4</f>
        <v>240</v>
      </c>
      <c r="N1507" s="12">
        <f>IF(A1507&lt;[3]关卡对接!$A$4,INDEX([3]关卡对接!$E$7:$E$141,A1507),MATCH(E1507,人物经验!$H$24:$H$573,1))</f>
        <v>495</v>
      </c>
      <c r="O1507" s="12">
        <f>INDEX([2]关卡!$G$6:$G$2005,A1507)</f>
        <v>3</v>
      </c>
      <c r="P1507" s="13">
        <v>6</v>
      </c>
      <c r="Q1507" s="12">
        <f>INT(P1507/$S$15/O1507*VLOOKUP(J1507,[1]人物技能基础!$N$3:$O$553,2,0)*$U$15)</f>
        <v>9</v>
      </c>
      <c r="R1507" s="12">
        <f t="shared" si="219"/>
        <v>112</v>
      </c>
    </row>
    <row r="1508" spans="1:18" x14ac:dyDescent="0.15">
      <c r="A1508" s="12">
        <v>1490</v>
      </c>
      <c r="B1508" s="12">
        <f t="shared" si="216"/>
        <v>8</v>
      </c>
      <c r="C1508" s="12">
        <f t="shared" si="217"/>
        <v>5.9535</v>
      </c>
      <c r="D1508" s="12">
        <f t="shared" si="211"/>
        <v>6.9264999999999688E-2</v>
      </c>
      <c r="E1508" s="12">
        <f>SUM($D$19:D1508)</f>
        <v>38.153499999999966</v>
      </c>
      <c r="F1508" s="12">
        <f t="shared" si="214"/>
        <v>433.46613499937496</v>
      </c>
      <c r="G1508" s="12">
        <f t="shared" si="215"/>
        <v>254.04280505937498</v>
      </c>
      <c r="H1508" s="12">
        <f t="shared" si="212"/>
        <v>1560400</v>
      </c>
      <c r="I1508" s="12">
        <f t="shared" si="213"/>
        <v>914500</v>
      </c>
      <c r="J1508" s="12">
        <f>IF(A1508&lt;[3]关卡对接!$A$4,INDEX([3]关卡对接!$C$7:$C$141,A1508),MATCH(E1508,人物经验!$H$24:$H$573,1))</f>
        <v>495</v>
      </c>
      <c r="K1508" s="12">
        <f>IF([3]关卡对接!F1496="",INT(INDEX(人物经验!$J$24:$J$573,关卡!J1508)*关卡!$S$7),[3]关卡对接!F1496)</f>
        <v>38802</v>
      </c>
      <c r="L1508" s="12">
        <f t="shared" si="218"/>
        <v>2.4</v>
      </c>
      <c r="M1508" s="12">
        <f>L1508/[4]货币基础!$B$4</f>
        <v>240</v>
      </c>
      <c r="N1508" s="12">
        <f>IF(A1508&lt;[3]关卡对接!$A$4,INDEX([3]关卡对接!$E$7:$E$141,A1508),MATCH(E1508,人物经验!$H$24:$H$573,1))</f>
        <v>495</v>
      </c>
      <c r="O1508" s="12">
        <f>INDEX([2]关卡!$G$6:$G$2005,A1508)</f>
        <v>3</v>
      </c>
      <c r="P1508" s="13">
        <v>6</v>
      </c>
      <c r="Q1508" s="12">
        <f>INT(P1508/$S$15/O1508*VLOOKUP(J1508,[1]人物技能基础!$N$3:$O$553,2,0)*$U$15)</f>
        <v>9</v>
      </c>
      <c r="R1508" s="12">
        <f t="shared" si="219"/>
        <v>112</v>
      </c>
    </row>
    <row r="1509" spans="1:18" x14ac:dyDescent="0.15">
      <c r="A1509" s="12">
        <v>1491</v>
      </c>
      <c r="B1509" s="12">
        <f t="shared" si="216"/>
        <v>8</v>
      </c>
      <c r="C1509" s="12">
        <f t="shared" si="217"/>
        <v>6.0228350000000006</v>
      </c>
      <c r="D1509" s="12">
        <f t="shared" si="211"/>
        <v>6.9335000000000591E-2</v>
      </c>
      <c r="E1509" s="12">
        <f>SUM($D$19:D1509)</f>
        <v>38.222834999999968</v>
      </c>
      <c r="F1509" s="12">
        <f t="shared" si="214"/>
        <v>434.24541415574004</v>
      </c>
      <c r="G1509" s="12">
        <f t="shared" si="215"/>
        <v>254.40819993083102</v>
      </c>
      <c r="H1509" s="12">
        <f t="shared" si="212"/>
        <v>1563200</v>
      </c>
      <c r="I1509" s="12">
        <f t="shared" si="213"/>
        <v>915800</v>
      </c>
      <c r="J1509" s="12">
        <f>IF(A1509&lt;[3]关卡对接!$A$4,INDEX([3]关卡对接!$C$7:$C$141,A1509),MATCH(E1509,人物经验!$H$24:$H$573,1))</f>
        <v>495</v>
      </c>
      <c r="K1509" s="12">
        <f>IF([3]关卡对接!F1497="",INT(INDEX(人物经验!$J$24:$J$573,关卡!J1509)*关卡!$S$7),[3]关卡对接!F1497)</f>
        <v>38802</v>
      </c>
      <c r="L1509" s="12">
        <f t="shared" si="218"/>
        <v>2.4</v>
      </c>
      <c r="M1509" s="12">
        <f>L1509/[4]货币基础!$B$4</f>
        <v>240</v>
      </c>
      <c r="N1509" s="12">
        <f>IF(A1509&lt;[3]关卡对接!$A$4,INDEX([3]关卡对接!$E$7:$E$141,A1509),MATCH(E1509,人物经验!$H$24:$H$573,1))</f>
        <v>495</v>
      </c>
      <c r="O1509" s="12">
        <f>INDEX([2]关卡!$G$6:$G$2005,A1509)</f>
        <v>3</v>
      </c>
      <c r="P1509" s="13">
        <v>6</v>
      </c>
      <c r="Q1509" s="12">
        <f>INT(P1509/$S$15/O1509*VLOOKUP(J1509,[1]人物技能基础!$N$3:$O$553,2,0)*$U$15)</f>
        <v>9</v>
      </c>
      <c r="R1509" s="12">
        <f t="shared" si="219"/>
        <v>112</v>
      </c>
    </row>
    <row r="1510" spans="1:18" x14ac:dyDescent="0.15">
      <c r="A1510" s="12">
        <v>1492</v>
      </c>
      <c r="B1510" s="12">
        <f t="shared" si="216"/>
        <v>8</v>
      </c>
      <c r="C1510" s="12">
        <f t="shared" si="217"/>
        <v>6.0922400000000003</v>
      </c>
      <c r="D1510" s="12">
        <f t="shared" si="211"/>
        <v>6.9404999999999717E-2</v>
      </c>
      <c r="E1510" s="12">
        <f>SUM($D$19:D1510)</f>
        <v>38.292239999999964</v>
      </c>
      <c r="F1510" s="12">
        <f t="shared" si="214"/>
        <v>435.02579404414399</v>
      </c>
      <c r="G1510" s="12">
        <f t="shared" si="215"/>
        <v>254.77399593432</v>
      </c>
      <c r="H1510" s="12">
        <f t="shared" si="212"/>
        <v>1566000</v>
      </c>
      <c r="I1510" s="12">
        <f t="shared" si="213"/>
        <v>917100</v>
      </c>
      <c r="J1510" s="12">
        <f>IF(A1510&lt;[3]关卡对接!$A$4,INDEX([3]关卡对接!$C$7:$C$141,A1510),MATCH(E1510,人物经验!$H$24:$H$573,1))</f>
        <v>496</v>
      </c>
      <c r="K1510" s="12">
        <f>IF([3]关卡对接!F1498="",INT(INDEX(人物经验!$J$24:$J$573,关卡!J1510)*关卡!$S$7),[3]关卡对接!F1498)</f>
        <v>39082</v>
      </c>
      <c r="L1510" s="12">
        <f t="shared" si="218"/>
        <v>2.4</v>
      </c>
      <c r="M1510" s="12">
        <f>L1510/[4]货币基础!$B$4</f>
        <v>240</v>
      </c>
      <c r="N1510" s="12">
        <f>IF(A1510&lt;[3]关卡对接!$A$4,INDEX([3]关卡对接!$E$7:$E$141,A1510),MATCH(E1510,人物经验!$H$24:$H$573,1))</f>
        <v>496</v>
      </c>
      <c r="O1510" s="12">
        <f>INDEX([2]关卡!$G$6:$G$2005,A1510)</f>
        <v>3</v>
      </c>
      <c r="P1510" s="13">
        <v>6</v>
      </c>
      <c r="Q1510" s="12">
        <f>INT(P1510/$S$15/O1510*VLOOKUP(J1510,[1]人物技能基础!$N$3:$O$553,2,0)*$U$15)</f>
        <v>9</v>
      </c>
      <c r="R1510" s="12">
        <f t="shared" si="219"/>
        <v>112</v>
      </c>
    </row>
    <row r="1511" spans="1:18" x14ac:dyDescent="0.15">
      <c r="A1511" s="12">
        <v>1493</v>
      </c>
      <c r="B1511" s="12">
        <f t="shared" si="216"/>
        <v>8</v>
      </c>
      <c r="C1511" s="12">
        <f t="shared" si="217"/>
        <v>6.1617150000000001</v>
      </c>
      <c r="D1511" s="12">
        <f t="shared" si="211"/>
        <v>6.9474999999999731E-2</v>
      </c>
      <c r="E1511" s="12">
        <f>SUM($D$19:D1511)</f>
        <v>38.361714999999961</v>
      </c>
      <c r="F1511" s="12">
        <f t="shared" si="214"/>
        <v>435.80727578225003</v>
      </c>
      <c r="G1511" s="12">
        <f t="shared" si="215"/>
        <v>255.14019339488098</v>
      </c>
      <c r="H1511" s="12">
        <f t="shared" si="212"/>
        <v>1568900</v>
      </c>
      <c r="I1511" s="12">
        <f t="shared" si="213"/>
        <v>918500</v>
      </c>
      <c r="J1511" s="12">
        <f>IF(A1511&lt;[3]关卡对接!$A$4,INDEX([3]关卡对接!$C$7:$C$141,A1511),MATCH(E1511,人物经验!$H$24:$H$573,1))</f>
        <v>496</v>
      </c>
      <c r="K1511" s="12">
        <f>IF([3]关卡对接!F1499="",INT(INDEX(人物经验!$J$24:$J$573,关卡!J1511)*关卡!$S$7),[3]关卡对接!F1499)</f>
        <v>39082</v>
      </c>
      <c r="L1511" s="12">
        <f t="shared" si="218"/>
        <v>2.4</v>
      </c>
      <c r="M1511" s="12">
        <f>L1511/[4]货币基础!$B$4</f>
        <v>240</v>
      </c>
      <c r="N1511" s="12">
        <f>IF(A1511&lt;[3]关卡对接!$A$4,INDEX([3]关卡对接!$E$7:$E$141,A1511),MATCH(E1511,人物经验!$H$24:$H$573,1))</f>
        <v>496</v>
      </c>
      <c r="O1511" s="12">
        <f>INDEX([2]关卡!$G$6:$G$2005,A1511)</f>
        <v>3</v>
      </c>
      <c r="P1511" s="13">
        <v>6</v>
      </c>
      <c r="Q1511" s="12">
        <f>INT(P1511/$S$15/O1511*VLOOKUP(J1511,[1]人物技能基础!$N$3:$O$553,2,0)*$U$15)</f>
        <v>9</v>
      </c>
      <c r="R1511" s="12">
        <f t="shared" si="219"/>
        <v>112</v>
      </c>
    </row>
    <row r="1512" spans="1:18" x14ac:dyDescent="0.15">
      <c r="A1512" s="12">
        <v>1494</v>
      </c>
      <c r="B1512" s="12">
        <f t="shared" si="216"/>
        <v>8</v>
      </c>
      <c r="C1512" s="12">
        <f t="shared" si="217"/>
        <v>6.2312599999999998</v>
      </c>
      <c r="D1512" s="12">
        <f t="shared" si="211"/>
        <v>6.9544999999999746E-2</v>
      </c>
      <c r="E1512" s="12">
        <f>SUM($D$19:D1512)</f>
        <v>38.431259999999959</v>
      </c>
      <c r="F1512" s="12">
        <f t="shared" si="214"/>
        <v>436.58986048831906</v>
      </c>
      <c r="G1512" s="12">
        <f t="shared" si="215"/>
        <v>255.50679263769493</v>
      </c>
      <c r="H1512" s="12">
        <f t="shared" si="212"/>
        <v>1571700</v>
      </c>
      <c r="I1512" s="12">
        <f t="shared" si="213"/>
        <v>919800</v>
      </c>
      <c r="J1512" s="12">
        <f>IF(A1512&lt;[3]关卡对接!$A$4,INDEX([3]关卡对接!$C$7:$C$141,A1512),MATCH(E1512,人物经验!$H$24:$H$573,1))</f>
        <v>496</v>
      </c>
      <c r="K1512" s="12">
        <f>IF([3]关卡对接!F1500="",INT(INDEX(人物经验!$J$24:$J$573,关卡!J1512)*关卡!$S$7),[3]关卡对接!F1500)</f>
        <v>39082</v>
      </c>
      <c r="L1512" s="12">
        <f t="shared" si="218"/>
        <v>2.4</v>
      </c>
      <c r="M1512" s="12">
        <f>L1512/[4]货币基础!$B$4</f>
        <v>240</v>
      </c>
      <c r="N1512" s="12">
        <f>IF(A1512&lt;[3]关卡对接!$A$4,INDEX([3]关卡对接!$E$7:$E$141,A1512),MATCH(E1512,人物经验!$H$24:$H$573,1))</f>
        <v>496</v>
      </c>
      <c r="O1512" s="12">
        <f>INDEX([2]关卡!$G$6:$G$2005,A1512)</f>
        <v>3</v>
      </c>
      <c r="P1512" s="13">
        <v>6</v>
      </c>
      <c r="Q1512" s="12">
        <f>INT(P1512/$S$15/O1512*VLOOKUP(J1512,[1]人物技能基础!$N$3:$O$553,2,0)*$U$15)</f>
        <v>9</v>
      </c>
      <c r="R1512" s="12">
        <f t="shared" si="219"/>
        <v>112</v>
      </c>
    </row>
    <row r="1513" spans="1:18" x14ac:dyDescent="0.15">
      <c r="A1513" s="12">
        <v>1495</v>
      </c>
      <c r="B1513" s="12">
        <f t="shared" si="216"/>
        <v>8</v>
      </c>
      <c r="C1513" s="12">
        <f t="shared" si="217"/>
        <v>6.3008749999999996</v>
      </c>
      <c r="D1513" s="12">
        <f t="shared" si="211"/>
        <v>6.961499999999976E-2</v>
      </c>
      <c r="E1513" s="12">
        <f>SUM($D$19:D1513)</f>
        <v>38.500874999999958</v>
      </c>
      <c r="F1513" s="12">
        <f t="shared" si="214"/>
        <v>437.37354928121101</v>
      </c>
      <c r="G1513" s="12">
        <f t="shared" si="215"/>
        <v>255.87379398808596</v>
      </c>
      <c r="H1513" s="12">
        <f t="shared" si="212"/>
        <v>1574500</v>
      </c>
      <c r="I1513" s="12">
        <f t="shared" si="213"/>
        <v>921100</v>
      </c>
      <c r="J1513" s="12">
        <f>IF(A1513&lt;[3]关卡对接!$A$4,INDEX([3]关卡对接!$C$7:$C$141,A1513),MATCH(E1513,人物经验!$H$24:$H$573,1))</f>
        <v>496</v>
      </c>
      <c r="K1513" s="12">
        <f>IF([3]关卡对接!F1501="",INT(INDEX(人物经验!$J$24:$J$573,关卡!J1513)*关卡!$S$7),[3]关卡对接!F1501)</f>
        <v>39082</v>
      </c>
      <c r="L1513" s="12">
        <f t="shared" si="218"/>
        <v>2.4</v>
      </c>
      <c r="M1513" s="12">
        <f>L1513/[4]货币基础!$B$4</f>
        <v>240</v>
      </c>
      <c r="N1513" s="12">
        <f>IF(A1513&lt;[3]关卡对接!$A$4,INDEX([3]关卡对接!$E$7:$E$141,A1513),MATCH(E1513,人物经验!$H$24:$H$573,1))</f>
        <v>496</v>
      </c>
      <c r="O1513" s="12">
        <f>INDEX([2]关卡!$G$6:$G$2005,A1513)</f>
        <v>3</v>
      </c>
      <c r="P1513" s="13">
        <v>6</v>
      </c>
      <c r="Q1513" s="12">
        <f>INT(P1513/$S$15/O1513*VLOOKUP(J1513,[1]人物技能基础!$N$3:$O$553,2,0)*$U$15)</f>
        <v>9</v>
      </c>
      <c r="R1513" s="12">
        <f t="shared" si="219"/>
        <v>112</v>
      </c>
    </row>
    <row r="1514" spans="1:18" x14ac:dyDescent="0.15">
      <c r="A1514" s="12">
        <v>1496</v>
      </c>
      <c r="B1514" s="12">
        <f t="shared" si="216"/>
        <v>8</v>
      </c>
      <c r="C1514" s="12">
        <f t="shared" si="217"/>
        <v>6.3705600000000002</v>
      </c>
      <c r="D1514" s="12">
        <f t="shared" si="211"/>
        <v>6.9685000000000663E-2</v>
      </c>
      <c r="E1514" s="12">
        <f>SUM($D$19:D1514)</f>
        <v>38.570559999999958</v>
      </c>
      <c r="F1514" s="12">
        <f t="shared" si="214"/>
        <v>438.15834328038397</v>
      </c>
      <c r="G1514" s="12">
        <f t="shared" si="215"/>
        <v>256.24119777151998</v>
      </c>
      <c r="H1514" s="12">
        <f t="shared" si="212"/>
        <v>1577300</v>
      </c>
      <c r="I1514" s="12">
        <f t="shared" si="213"/>
        <v>922400</v>
      </c>
      <c r="J1514" s="12">
        <f>IF(A1514&lt;[3]关卡对接!$A$4,INDEX([3]关卡对接!$C$7:$C$141,A1514),MATCH(E1514,人物经验!$H$24:$H$573,1))</f>
        <v>497</v>
      </c>
      <c r="K1514" s="12">
        <f>IF([3]关卡对接!F1502="",INT(INDEX(人物经验!$J$24:$J$573,关卡!J1514)*关卡!$S$7),[3]关卡对接!F1502)</f>
        <v>39363</v>
      </c>
      <c r="L1514" s="12">
        <f t="shared" si="218"/>
        <v>2.4</v>
      </c>
      <c r="M1514" s="12">
        <f>L1514/[4]货币基础!$B$4</f>
        <v>240</v>
      </c>
      <c r="N1514" s="12">
        <f>IF(A1514&lt;[3]关卡对接!$A$4,INDEX([3]关卡对接!$E$7:$E$141,A1514),MATCH(E1514,人物经验!$H$24:$H$573,1))</f>
        <v>497</v>
      </c>
      <c r="O1514" s="12">
        <f>INDEX([2]关卡!$G$6:$G$2005,A1514)</f>
        <v>3</v>
      </c>
      <c r="P1514" s="13">
        <v>6</v>
      </c>
      <c r="Q1514" s="12">
        <f>INT(P1514/$S$15/O1514*VLOOKUP(J1514,[1]人物技能基础!$N$3:$O$553,2,0)*$U$15)</f>
        <v>9</v>
      </c>
      <c r="R1514" s="12">
        <f t="shared" si="219"/>
        <v>112</v>
      </c>
    </row>
    <row r="1515" spans="1:18" x14ac:dyDescent="0.15">
      <c r="A1515" s="12">
        <v>1497</v>
      </c>
      <c r="B1515" s="12">
        <f t="shared" si="216"/>
        <v>8</v>
      </c>
      <c r="C1515" s="12">
        <f t="shared" si="217"/>
        <v>6.440315</v>
      </c>
      <c r="D1515" s="12">
        <f t="shared" si="211"/>
        <v>6.9754999999999789E-2</v>
      </c>
      <c r="E1515" s="12">
        <f>SUM($D$19:D1515)</f>
        <v>38.640314999999958</v>
      </c>
      <c r="F1515" s="12">
        <f t="shared" si="214"/>
        <v>438.94424360589505</v>
      </c>
      <c r="G1515" s="12">
        <f t="shared" si="215"/>
        <v>256.60900431360602</v>
      </c>
      <c r="H1515" s="12">
        <f t="shared" si="212"/>
        <v>1580100</v>
      </c>
      <c r="I1515" s="12">
        <f t="shared" si="213"/>
        <v>923700</v>
      </c>
      <c r="J1515" s="12">
        <f>IF(A1515&lt;[3]关卡对接!$A$4,INDEX([3]关卡对接!$C$7:$C$141,A1515),MATCH(E1515,人物经验!$H$24:$H$573,1))</f>
        <v>497</v>
      </c>
      <c r="K1515" s="12">
        <f>IF([3]关卡对接!F1503="",INT(INDEX(人物经验!$J$24:$J$573,关卡!J1515)*关卡!$S$7),[3]关卡对接!F1503)</f>
        <v>39363</v>
      </c>
      <c r="L1515" s="12">
        <f t="shared" si="218"/>
        <v>2.4</v>
      </c>
      <c r="M1515" s="12">
        <f>L1515/[4]货币基础!$B$4</f>
        <v>240</v>
      </c>
      <c r="N1515" s="12">
        <f>IF(A1515&lt;[3]关卡对接!$A$4,INDEX([3]关卡对接!$E$7:$E$141,A1515),MATCH(E1515,人物经验!$H$24:$H$573,1))</f>
        <v>497</v>
      </c>
      <c r="O1515" s="12">
        <f>INDEX([2]关卡!$G$6:$G$2005,A1515)</f>
        <v>3</v>
      </c>
      <c r="P1515" s="13">
        <v>6</v>
      </c>
      <c r="Q1515" s="12">
        <f>INT(P1515/$S$15/O1515*VLOOKUP(J1515,[1]人物技能基础!$N$3:$O$553,2,0)*$U$15)</f>
        <v>9</v>
      </c>
      <c r="R1515" s="12">
        <f t="shared" si="219"/>
        <v>112</v>
      </c>
    </row>
    <row r="1516" spans="1:18" x14ac:dyDescent="0.15">
      <c r="A1516" s="12">
        <v>1498</v>
      </c>
      <c r="B1516" s="12">
        <f t="shared" si="216"/>
        <v>8</v>
      </c>
      <c r="C1516" s="12">
        <f t="shared" si="217"/>
        <v>6.5101399999999998</v>
      </c>
      <c r="D1516" s="12">
        <f t="shared" si="211"/>
        <v>6.9824999999999804E-2</v>
      </c>
      <c r="E1516" s="12">
        <f>SUM($D$19:D1516)</f>
        <v>38.71013999999996</v>
      </c>
      <c r="F1516" s="12">
        <f t="shared" si="214"/>
        <v>439.73125137839895</v>
      </c>
      <c r="G1516" s="12">
        <f t="shared" si="215"/>
        <v>256.977213940095</v>
      </c>
      <c r="H1516" s="12">
        <f t="shared" si="212"/>
        <v>1583000</v>
      </c>
      <c r="I1516" s="12">
        <f t="shared" si="213"/>
        <v>925100</v>
      </c>
      <c r="J1516" s="12">
        <f>IF(A1516&lt;[3]关卡对接!$A$4,INDEX([3]关卡对接!$C$7:$C$141,A1516),MATCH(E1516,人物经验!$H$24:$H$573,1))</f>
        <v>497</v>
      </c>
      <c r="K1516" s="12">
        <f>IF([3]关卡对接!F1504="",INT(INDEX(人物经验!$J$24:$J$573,关卡!J1516)*关卡!$S$7),[3]关卡对接!F1504)</f>
        <v>39363</v>
      </c>
      <c r="L1516" s="12">
        <f t="shared" si="218"/>
        <v>2.4</v>
      </c>
      <c r="M1516" s="12">
        <f>L1516/[4]货币基础!$B$4</f>
        <v>240</v>
      </c>
      <c r="N1516" s="12">
        <f>IF(A1516&lt;[3]关卡对接!$A$4,INDEX([3]关卡对接!$E$7:$E$141,A1516),MATCH(E1516,人物经验!$H$24:$H$573,1))</f>
        <v>497</v>
      </c>
      <c r="O1516" s="12">
        <f>INDEX([2]关卡!$G$6:$G$2005,A1516)</f>
        <v>3</v>
      </c>
      <c r="P1516" s="13">
        <v>6</v>
      </c>
      <c r="Q1516" s="12">
        <f>INT(P1516/$S$15/O1516*VLOOKUP(J1516,[1]人物技能基础!$N$3:$O$553,2,0)*$U$15)</f>
        <v>9</v>
      </c>
      <c r="R1516" s="12">
        <f t="shared" si="219"/>
        <v>112</v>
      </c>
    </row>
    <row r="1517" spans="1:18" x14ac:dyDescent="0.15">
      <c r="A1517" s="12">
        <v>1499</v>
      </c>
      <c r="B1517" s="12">
        <f t="shared" si="216"/>
        <v>8</v>
      </c>
      <c r="C1517" s="12">
        <f t="shared" si="217"/>
        <v>6.5800349999999996</v>
      </c>
      <c r="D1517" s="12">
        <f t="shared" si="211"/>
        <v>6.9894999999999818E-2</v>
      </c>
      <c r="E1517" s="12">
        <f>SUM($D$19:D1517)</f>
        <v>38.780034999999963</v>
      </c>
      <c r="F1517" s="12">
        <f t="shared" si="214"/>
        <v>440.51936771915007</v>
      </c>
      <c r="G1517" s="12">
        <f t="shared" si="215"/>
        <v>257.34582697688097</v>
      </c>
      <c r="H1517" s="12">
        <f t="shared" si="212"/>
        <v>1585800</v>
      </c>
      <c r="I1517" s="12">
        <f t="shared" si="213"/>
        <v>926400</v>
      </c>
      <c r="J1517" s="12">
        <f>IF(A1517&lt;[3]关卡对接!$A$4,INDEX([3]关卡对接!$C$7:$C$141,A1517),MATCH(E1517,人物经验!$H$24:$H$573,1))</f>
        <v>497</v>
      </c>
      <c r="K1517" s="12">
        <f>IF([3]关卡对接!F1505="",INT(INDEX(人物经验!$J$24:$J$573,关卡!J1517)*关卡!$S$7),[3]关卡对接!F1505)</f>
        <v>39363</v>
      </c>
      <c r="L1517" s="12">
        <f t="shared" si="218"/>
        <v>2.4</v>
      </c>
      <c r="M1517" s="12">
        <f>L1517/[4]货币基础!$B$4</f>
        <v>240</v>
      </c>
      <c r="N1517" s="12">
        <f>IF(A1517&lt;[3]关卡对接!$A$4,INDEX([3]关卡对接!$E$7:$E$141,A1517),MATCH(E1517,人物经验!$H$24:$H$573,1))</f>
        <v>497</v>
      </c>
      <c r="O1517" s="12">
        <f>INDEX([2]关卡!$G$6:$G$2005,A1517)</f>
        <v>3</v>
      </c>
      <c r="P1517" s="13">
        <v>6</v>
      </c>
      <c r="Q1517" s="12">
        <f>INT(P1517/$S$15/O1517*VLOOKUP(J1517,[1]人物技能基础!$N$3:$O$553,2,0)*$U$15)</f>
        <v>9</v>
      </c>
      <c r="R1517" s="12">
        <f t="shared" si="219"/>
        <v>112</v>
      </c>
    </row>
    <row r="1518" spans="1:18" x14ac:dyDescent="0.15">
      <c r="A1518" s="12">
        <v>1500</v>
      </c>
      <c r="B1518" s="12">
        <f t="shared" si="216"/>
        <v>8</v>
      </c>
      <c r="C1518" s="12">
        <f t="shared" si="217"/>
        <v>6.65</v>
      </c>
      <c r="D1518" s="12">
        <f t="shared" si="211"/>
        <v>6.9965000000000721E-2</v>
      </c>
      <c r="E1518" s="12">
        <f>SUM($D$19:D1518)</f>
        <v>38.849999999999966</v>
      </c>
      <c r="F1518" s="12">
        <f t="shared" si="214"/>
        <v>441.30859375000006</v>
      </c>
      <c r="G1518" s="12">
        <f t="shared" si="215"/>
        <v>257.71484375</v>
      </c>
      <c r="H1518" s="12">
        <f t="shared" si="212"/>
        <v>1588700</v>
      </c>
      <c r="I1518" s="12">
        <f t="shared" si="213"/>
        <v>927700</v>
      </c>
      <c r="J1518" s="12">
        <f>IF(A1518&lt;[3]关卡对接!$A$4,INDEX([3]关卡对接!$C$7:$C$141,A1518),MATCH(E1518,人物经验!$H$24:$H$573,1))</f>
        <v>498</v>
      </c>
      <c r="K1518" s="12">
        <f>IF([3]关卡对接!F1506="",INT(INDEX(人物经验!$J$24:$J$573,关卡!J1518)*关卡!$S$7),[3]关卡对接!F1506)</f>
        <v>39646</v>
      </c>
      <c r="L1518" s="12">
        <f t="shared" si="218"/>
        <v>2.4</v>
      </c>
      <c r="M1518" s="12">
        <f>L1518/[4]货币基础!$B$4</f>
        <v>240</v>
      </c>
      <c r="N1518" s="12">
        <f>IF(A1518&lt;[3]关卡对接!$A$4,INDEX([3]关卡对接!$E$7:$E$141,A1518),MATCH(E1518,人物经验!$H$24:$H$573,1))</f>
        <v>498</v>
      </c>
      <c r="O1518" s="12">
        <f>INDEX([2]关卡!$G$6:$G$2005,A1518)</f>
        <v>3</v>
      </c>
      <c r="P1518" s="13">
        <v>6</v>
      </c>
      <c r="Q1518" s="12">
        <f>INT(P1518/$S$15/O1518*VLOOKUP(J1518,[1]人物技能基础!$N$3:$O$553,2,0)*$U$15)</f>
        <v>9</v>
      </c>
      <c r="R1518" s="12">
        <f t="shared" si="219"/>
        <v>112</v>
      </c>
    </row>
    <row r="1519" spans="1:18" x14ac:dyDescent="0.15">
      <c r="A1519" s="12">
        <v>1501</v>
      </c>
      <c r="B1519" s="12">
        <f t="shared" si="216"/>
        <v>8</v>
      </c>
      <c r="C1519" s="12">
        <f t="shared" si="217"/>
        <v>6.7200350000000002</v>
      </c>
      <c r="D1519" s="12">
        <f t="shared" si="211"/>
        <v>7.0034999999999847E-2</v>
      </c>
      <c r="E1519" s="12">
        <f>SUM($D$19:D1519)</f>
        <v>38.920034999999963</v>
      </c>
      <c r="F1519" s="12">
        <f t="shared" si="214"/>
        <v>442.09893059339987</v>
      </c>
      <c r="G1519" s="12">
        <f t="shared" si="215"/>
        <v>258.08426458563088</v>
      </c>
      <c r="H1519" s="12">
        <f t="shared" si="212"/>
        <v>1591500</v>
      </c>
      <c r="I1519" s="12">
        <f t="shared" si="213"/>
        <v>929100</v>
      </c>
      <c r="J1519" s="12">
        <f>IF(A1519&lt;[3]关卡对接!$A$4,INDEX([3]关卡对接!$C$7:$C$141,A1519),MATCH(E1519,人物经验!$H$24:$H$573,1))</f>
        <v>498</v>
      </c>
      <c r="K1519" s="12">
        <f>IF([3]关卡对接!F1507="",INT(INDEX(人物经验!$J$24:$J$573,关卡!J1519)*关卡!$S$7),[3]关卡对接!F1507)</f>
        <v>39646</v>
      </c>
      <c r="L1519" s="12">
        <f t="shared" si="218"/>
        <v>2.4</v>
      </c>
      <c r="M1519" s="12">
        <f>L1519/[4]货币基础!$B$4</f>
        <v>240</v>
      </c>
      <c r="N1519" s="12">
        <f>IF(A1519&lt;[3]关卡对接!$A$4,INDEX([3]关卡对接!$E$7:$E$141,A1519),MATCH(E1519,人物经验!$H$24:$H$573,1))</f>
        <v>498</v>
      </c>
      <c r="O1519" s="12">
        <f>INDEX([2]关卡!$G$6:$G$2005,A1519)</f>
        <v>3</v>
      </c>
      <c r="P1519" s="13">
        <v>6</v>
      </c>
      <c r="Q1519" s="12">
        <f>INT(P1519/$S$15/O1519*VLOOKUP(J1519,[1]人物技能基础!$N$3:$O$553,2,0)*$U$15)</f>
        <v>9</v>
      </c>
      <c r="R1519" s="12">
        <f t="shared" si="219"/>
        <v>112</v>
      </c>
    </row>
    <row r="1520" spans="1:18" x14ac:dyDescent="0.15">
      <c r="A1520" s="12">
        <v>1502</v>
      </c>
      <c r="B1520" s="12">
        <f t="shared" si="216"/>
        <v>8</v>
      </c>
      <c r="C1520" s="12">
        <f t="shared" si="217"/>
        <v>6.7901400000000001</v>
      </c>
      <c r="D1520" s="12">
        <f t="shared" si="211"/>
        <v>7.0104999999999862E-2</v>
      </c>
      <c r="E1520" s="12">
        <f>SUM($D$19:D1520)</f>
        <v>38.990139999999961</v>
      </c>
      <c r="F1520" s="12">
        <f t="shared" si="214"/>
        <v>442.89037937239902</v>
      </c>
      <c r="G1520" s="12">
        <f t="shared" si="215"/>
        <v>258.45408981009501</v>
      </c>
      <c r="H1520" s="12">
        <f t="shared" si="212"/>
        <v>1594400</v>
      </c>
      <c r="I1520" s="12">
        <f t="shared" si="213"/>
        <v>930400</v>
      </c>
      <c r="J1520" s="12">
        <f>IF(A1520&lt;[3]关卡对接!$A$4,INDEX([3]关卡对接!$C$7:$C$141,A1520),MATCH(E1520,人物经验!$H$24:$H$573,1))</f>
        <v>498</v>
      </c>
      <c r="K1520" s="12">
        <f>IF([3]关卡对接!F1508="",INT(INDEX(人物经验!$J$24:$J$573,关卡!J1520)*关卡!$S$7),[3]关卡对接!F1508)</f>
        <v>39646</v>
      </c>
      <c r="L1520" s="12">
        <f t="shared" si="218"/>
        <v>2.4</v>
      </c>
      <c r="M1520" s="12">
        <f>L1520/[4]货币基础!$B$4</f>
        <v>240</v>
      </c>
      <c r="N1520" s="12">
        <f>IF(A1520&lt;[3]关卡对接!$A$4,INDEX([3]关卡对接!$E$7:$E$141,A1520),MATCH(E1520,人物经验!$H$24:$H$573,1))</f>
        <v>498</v>
      </c>
      <c r="O1520" s="12">
        <f>INDEX([2]关卡!$G$6:$G$2005,A1520)</f>
        <v>3</v>
      </c>
      <c r="P1520" s="13">
        <v>6</v>
      </c>
      <c r="Q1520" s="12">
        <f>INT(P1520/$S$15/O1520*VLOOKUP(J1520,[1]人物技能基础!$N$3:$O$553,2,0)*$U$15)</f>
        <v>9</v>
      </c>
      <c r="R1520" s="12">
        <f t="shared" si="219"/>
        <v>112</v>
      </c>
    </row>
    <row r="1521" spans="1:18" x14ac:dyDescent="0.15">
      <c r="A1521" s="12">
        <v>1503</v>
      </c>
      <c r="B1521" s="12">
        <f t="shared" si="216"/>
        <v>8</v>
      </c>
      <c r="C1521" s="12">
        <f t="shared" si="217"/>
        <v>6.8603149999999999</v>
      </c>
      <c r="D1521" s="12">
        <f t="shared" si="211"/>
        <v>7.0174999999999876E-2</v>
      </c>
      <c r="E1521" s="12">
        <f>SUM($D$19:D1521)</f>
        <v>39.06031499999996</v>
      </c>
      <c r="F1521" s="12">
        <f t="shared" si="214"/>
        <v>443.68294121064491</v>
      </c>
      <c r="G1521" s="12">
        <f t="shared" si="215"/>
        <v>258.82431974985587</v>
      </c>
      <c r="H1521" s="12">
        <f t="shared" si="212"/>
        <v>1597200</v>
      </c>
      <c r="I1521" s="12">
        <f t="shared" si="213"/>
        <v>931700</v>
      </c>
      <c r="J1521" s="12">
        <f>IF(A1521&lt;[3]关卡对接!$A$4,INDEX([3]关卡对接!$C$7:$C$141,A1521),MATCH(E1521,人物经验!$H$24:$H$573,1))</f>
        <v>498</v>
      </c>
      <c r="K1521" s="12">
        <f>IF([3]关卡对接!F1509="",INT(INDEX(人物经验!$J$24:$J$573,关卡!J1521)*关卡!$S$7),[3]关卡对接!F1509)</f>
        <v>39646</v>
      </c>
      <c r="L1521" s="12">
        <f t="shared" si="218"/>
        <v>2.4</v>
      </c>
      <c r="M1521" s="12">
        <f>L1521/[4]货币基础!$B$4</f>
        <v>240</v>
      </c>
      <c r="N1521" s="12">
        <f>IF(A1521&lt;[3]关卡对接!$A$4,INDEX([3]关卡对接!$E$7:$E$141,A1521),MATCH(E1521,人物经验!$H$24:$H$573,1))</f>
        <v>498</v>
      </c>
      <c r="O1521" s="12">
        <f>INDEX([2]关卡!$G$6:$G$2005,A1521)</f>
        <v>3</v>
      </c>
      <c r="P1521" s="13">
        <v>6</v>
      </c>
      <c r="Q1521" s="12">
        <f>INT(P1521/$S$15/O1521*VLOOKUP(J1521,[1]人物技能基础!$N$3:$O$553,2,0)*$U$15)</f>
        <v>9</v>
      </c>
      <c r="R1521" s="12">
        <f t="shared" si="219"/>
        <v>112</v>
      </c>
    </row>
    <row r="1522" spans="1:18" x14ac:dyDescent="0.15">
      <c r="A1522" s="12">
        <v>1504</v>
      </c>
      <c r="B1522" s="12">
        <f t="shared" si="216"/>
        <v>8</v>
      </c>
      <c r="C1522" s="12">
        <f t="shared" si="217"/>
        <v>6.9305600000000007</v>
      </c>
      <c r="D1522" s="12">
        <f t="shared" si="211"/>
        <v>7.0245000000000779E-2</v>
      </c>
      <c r="E1522" s="12">
        <f>SUM($D$19:D1522)</f>
        <v>39.13055999999996</v>
      </c>
      <c r="F1522" s="12">
        <f t="shared" si="214"/>
        <v>444.47661723238394</v>
      </c>
      <c r="G1522" s="12">
        <f t="shared" si="215"/>
        <v>259.19495473152</v>
      </c>
      <c r="H1522" s="12">
        <f t="shared" si="212"/>
        <v>1600100</v>
      </c>
      <c r="I1522" s="12">
        <f t="shared" si="213"/>
        <v>933100</v>
      </c>
      <c r="J1522" s="12">
        <f>IF(A1522&lt;[3]关卡对接!$A$4,INDEX([3]关卡对接!$C$7:$C$141,A1522),MATCH(E1522,人物经验!$H$24:$H$573,1))</f>
        <v>499</v>
      </c>
      <c r="K1522" s="12">
        <f>IF([3]关卡对接!F1510="",INT(INDEX(人物经验!$J$24:$J$573,关卡!J1522)*关卡!$S$7),[3]关卡对接!F1510)</f>
        <v>39931</v>
      </c>
      <c r="L1522" s="12">
        <f t="shared" si="218"/>
        <v>2.4</v>
      </c>
      <c r="M1522" s="12">
        <f>L1522/[4]货币基础!$B$4</f>
        <v>240</v>
      </c>
      <c r="N1522" s="12">
        <f>IF(A1522&lt;[3]关卡对接!$A$4,INDEX([3]关卡对接!$E$7:$E$141,A1522),MATCH(E1522,人物经验!$H$24:$H$573,1))</f>
        <v>499</v>
      </c>
      <c r="O1522" s="12">
        <f>INDEX([2]关卡!$G$6:$G$2005,A1522)</f>
        <v>3</v>
      </c>
      <c r="P1522" s="13">
        <v>6</v>
      </c>
      <c r="Q1522" s="12">
        <f>INT(P1522/$S$15/O1522*VLOOKUP(J1522,[1]人物技能基础!$N$3:$O$553,2,0)*$U$15)</f>
        <v>9</v>
      </c>
      <c r="R1522" s="12">
        <f t="shared" si="219"/>
        <v>112</v>
      </c>
    </row>
    <row r="1523" spans="1:18" x14ac:dyDescent="0.15">
      <c r="A1523" s="12">
        <v>1505</v>
      </c>
      <c r="B1523" s="12">
        <f t="shared" si="216"/>
        <v>8</v>
      </c>
      <c r="C1523" s="12">
        <f t="shared" si="217"/>
        <v>7.0008750000000006</v>
      </c>
      <c r="D1523" s="12">
        <f t="shared" si="211"/>
        <v>7.0314999999999905E-2</v>
      </c>
      <c r="E1523" s="12">
        <f>SUM($D$19:D1523)</f>
        <v>39.200874999999961</v>
      </c>
      <c r="F1523" s="12">
        <f t="shared" si="214"/>
        <v>445.27140856246086</v>
      </c>
      <c r="G1523" s="12">
        <f t="shared" si="215"/>
        <v>259.56599508183587</v>
      </c>
      <c r="H1523" s="12">
        <f t="shared" si="212"/>
        <v>1602900</v>
      </c>
      <c r="I1523" s="12">
        <f t="shared" si="213"/>
        <v>934400</v>
      </c>
      <c r="J1523" s="12">
        <f>IF(A1523&lt;[3]关卡对接!$A$4,INDEX([3]关卡对接!$C$7:$C$141,A1523),MATCH(E1523,人物经验!$H$24:$H$573,1))</f>
        <v>499</v>
      </c>
      <c r="K1523" s="12">
        <f>IF([3]关卡对接!F1511="",INT(INDEX(人物经验!$J$24:$J$573,关卡!J1523)*关卡!$S$7),[3]关卡对接!F1511)</f>
        <v>39931</v>
      </c>
      <c r="L1523" s="12">
        <f t="shared" si="218"/>
        <v>2.4</v>
      </c>
      <c r="M1523" s="12">
        <f>L1523/[4]货币基础!$B$4</f>
        <v>240</v>
      </c>
      <c r="N1523" s="12">
        <f>IF(A1523&lt;[3]关卡对接!$A$4,INDEX([3]关卡对接!$E$7:$E$141,A1523),MATCH(E1523,人物经验!$H$24:$H$573,1))</f>
        <v>499</v>
      </c>
      <c r="O1523" s="12">
        <f>INDEX([2]关卡!$G$6:$G$2005,A1523)</f>
        <v>3</v>
      </c>
      <c r="P1523" s="13">
        <v>6</v>
      </c>
      <c r="Q1523" s="12">
        <f>INT(P1523/$S$15/O1523*VLOOKUP(J1523,[1]人物技能基础!$N$3:$O$553,2,0)*$U$15)</f>
        <v>9</v>
      </c>
      <c r="R1523" s="12">
        <f t="shared" si="219"/>
        <v>112</v>
      </c>
    </row>
    <row r="1524" spans="1:18" x14ac:dyDescent="0.15">
      <c r="A1524" s="12">
        <v>1506</v>
      </c>
      <c r="B1524" s="12">
        <f t="shared" si="216"/>
        <v>8</v>
      </c>
      <c r="C1524" s="12">
        <f t="shared" si="217"/>
        <v>7.0712600000000005</v>
      </c>
      <c r="D1524" s="12">
        <f t="shared" si="211"/>
        <v>7.038499999999992E-2</v>
      </c>
      <c r="E1524" s="12">
        <f>SUM($D$19:D1524)</f>
        <v>39.271259999999963</v>
      </c>
      <c r="F1524" s="12">
        <f t="shared" si="214"/>
        <v>446.06731632631903</v>
      </c>
      <c r="G1524" s="12">
        <f t="shared" si="215"/>
        <v>259.93744112769502</v>
      </c>
      <c r="H1524" s="12">
        <f t="shared" si="212"/>
        <v>1605800</v>
      </c>
      <c r="I1524" s="12">
        <f t="shared" si="213"/>
        <v>935700</v>
      </c>
      <c r="J1524" s="12">
        <f>IF(A1524&lt;[3]关卡对接!$A$4,INDEX([3]关卡对接!$C$7:$C$141,A1524),MATCH(E1524,人物经验!$H$24:$H$573,1))</f>
        <v>499</v>
      </c>
      <c r="K1524" s="12">
        <f>IF([3]关卡对接!F1512="",INT(INDEX(人物经验!$J$24:$J$573,关卡!J1524)*关卡!$S$7),[3]关卡对接!F1512)</f>
        <v>39931</v>
      </c>
      <c r="L1524" s="12">
        <f t="shared" si="218"/>
        <v>2.4</v>
      </c>
      <c r="M1524" s="12">
        <f>L1524/[4]货币基础!$B$4</f>
        <v>240</v>
      </c>
      <c r="N1524" s="12">
        <f>IF(A1524&lt;[3]关卡对接!$A$4,INDEX([3]关卡对接!$E$7:$E$141,A1524),MATCH(E1524,人物经验!$H$24:$H$573,1))</f>
        <v>499</v>
      </c>
      <c r="O1524" s="12">
        <f>INDEX([2]关卡!$G$6:$G$2005,A1524)</f>
        <v>3</v>
      </c>
      <c r="P1524" s="13">
        <v>6</v>
      </c>
      <c r="Q1524" s="12">
        <f>INT(P1524/$S$15/O1524*VLOOKUP(J1524,[1]人物技能基础!$N$3:$O$553,2,0)*$U$15)</f>
        <v>9</v>
      </c>
      <c r="R1524" s="12">
        <f t="shared" si="219"/>
        <v>112</v>
      </c>
    </row>
    <row r="1525" spans="1:18" x14ac:dyDescent="0.15">
      <c r="A1525" s="12">
        <v>1507</v>
      </c>
      <c r="B1525" s="12">
        <f t="shared" si="216"/>
        <v>8</v>
      </c>
      <c r="C1525" s="12">
        <f t="shared" si="217"/>
        <v>7.1417150000000005</v>
      </c>
      <c r="D1525" s="12">
        <f t="shared" si="211"/>
        <v>7.0454999999999934E-2</v>
      </c>
      <c r="E1525" s="12">
        <f>SUM($D$19:D1525)</f>
        <v>39.341714999999965</v>
      </c>
      <c r="F1525" s="12">
        <f t="shared" si="214"/>
        <v>446.86434164999986</v>
      </c>
      <c r="G1525" s="12">
        <f t="shared" si="215"/>
        <v>260.30929319613097</v>
      </c>
      <c r="H1525" s="12">
        <f t="shared" si="212"/>
        <v>1608700</v>
      </c>
      <c r="I1525" s="12">
        <f t="shared" si="213"/>
        <v>937100</v>
      </c>
      <c r="J1525" s="12">
        <f>IF(A1525&lt;[3]关卡对接!$A$4,INDEX([3]关卡对接!$C$7:$C$141,A1525),MATCH(E1525,人物经验!$H$24:$H$573,1))</f>
        <v>499</v>
      </c>
      <c r="K1525" s="12">
        <f>IF([3]关卡对接!F1513="",INT(INDEX(人物经验!$J$24:$J$573,关卡!J1525)*关卡!$S$7),[3]关卡对接!F1513)</f>
        <v>39931</v>
      </c>
      <c r="L1525" s="12">
        <f t="shared" si="218"/>
        <v>2.4</v>
      </c>
      <c r="M1525" s="12">
        <f>L1525/[4]货币基础!$B$4</f>
        <v>240</v>
      </c>
      <c r="N1525" s="12">
        <f>IF(A1525&lt;[3]关卡对接!$A$4,INDEX([3]关卡对接!$E$7:$E$141,A1525),MATCH(E1525,人物经验!$H$24:$H$573,1))</f>
        <v>499</v>
      </c>
      <c r="O1525" s="12">
        <f>INDEX([2]关卡!$G$6:$G$2005,A1525)</f>
        <v>3</v>
      </c>
      <c r="P1525" s="13">
        <v>6</v>
      </c>
      <c r="Q1525" s="12">
        <f>INT(P1525/$S$15/O1525*VLOOKUP(J1525,[1]人物技能基础!$N$3:$O$553,2,0)*$U$15)</f>
        <v>9</v>
      </c>
      <c r="R1525" s="12">
        <f t="shared" si="219"/>
        <v>112</v>
      </c>
    </row>
    <row r="1526" spans="1:18" x14ac:dyDescent="0.15">
      <c r="A1526" s="12">
        <v>1508</v>
      </c>
      <c r="B1526" s="12">
        <f t="shared" si="216"/>
        <v>8</v>
      </c>
      <c r="C1526" s="12">
        <f t="shared" si="217"/>
        <v>7.2122400000000013</v>
      </c>
      <c r="D1526" s="12">
        <f t="shared" si="211"/>
        <v>7.0525000000000837E-2</v>
      </c>
      <c r="E1526" s="12">
        <f>SUM($D$19:D1526)</f>
        <v>39.412239999999969</v>
      </c>
      <c r="F1526" s="12">
        <f t="shared" si="214"/>
        <v>447.662485660144</v>
      </c>
      <c r="G1526" s="12">
        <f t="shared" si="215"/>
        <v>260.68155161431997</v>
      </c>
      <c r="H1526" s="12">
        <f t="shared" si="212"/>
        <v>1611500</v>
      </c>
      <c r="I1526" s="12">
        <f t="shared" si="213"/>
        <v>938400</v>
      </c>
      <c r="J1526" s="12">
        <f>IF(A1526&lt;[3]关卡对接!$A$4,INDEX([3]关卡对接!$C$7:$C$141,A1526),MATCH(E1526,人物经验!$H$24:$H$573,1))</f>
        <v>500</v>
      </c>
      <c r="K1526" s="12">
        <f>IF([3]关卡对接!F1514="",INT(INDEX(人物经验!$J$24:$J$573,关卡!J1526)*关卡!$S$7),[3]关卡对接!F1514)</f>
        <v>40217</v>
      </c>
      <c r="L1526" s="12">
        <f t="shared" si="218"/>
        <v>2.4</v>
      </c>
      <c r="M1526" s="12">
        <f>L1526/[4]货币基础!$B$4</f>
        <v>240</v>
      </c>
      <c r="N1526" s="12">
        <f>IF(A1526&lt;[3]关卡对接!$A$4,INDEX([3]关卡对接!$E$7:$E$141,A1526),MATCH(E1526,人物经验!$H$24:$H$573,1))</f>
        <v>500</v>
      </c>
      <c r="O1526" s="12">
        <f>INDEX([2]关卡!$G$6:$G$2005,A1526)</f>
        <v>3</v>
      </c>
      <c r="P1526" s="13">
        <v>6</v>
      </c>
      <c r="Q1526" s="12">
        <f>INT(P1526/$S$15/O1526*VLOOKUP(J1526,[1]人物技能基础!$N$3:$O$553,2,0)*$U$15)</f>
        <v>9</v>
      </c>
      <c r="R1526" s="12">
        <f t="shared" si="219"/>
        <v>112</v>
      </c>
    </row>
    <row r="1527" spans="1:18" x14ac:dyDescent="0.15">
      <c r="A1527" s="12">
        <v>1509</v>
      </c>
      <c r="B1527" s="12">
        <f t="shared" si="216"/>
        <v>8</v>
      </c>
      <c r="C1527" s="12">
        <f t="shared" si="217"/>
        <v>7.2828350000000004</v>
      </c>
      <c r="D1527" s="12">
        <f t="shared" si="211"/>
        <v>7.0594999999999075E-2</v>
      </c>
      <c r="E1527" s="12">
        <f>SUM($D$19:D1527)</f>
        <v>39.482834999999966</v>
      </c>
      <c r="F1527" s="12">
        <f t="shared" si="214"/>
        <v>448.46174948398999</v>
      </c>
      <c r="G1527" s="12">
        <f t="shared" si="215"/>
        <v>261.05421670958088</v>
      </c>
      <c r="H1527" s="12">
        <f t="shared" si="212"/>
        <v>1614400</v>
      </c>
      <c r="I1527" s="12">
        <f t="shared" si="213"/>
        <v>939700</v>
      </c>
      <c r="J1527" s="12">
        <f>IF(A1527&lt;[3]关卡对接!$A$4,INDEX([3]关卡对接!$C$7:$C$141,A1527),MATCH(E1527,人物经验!$H$24:$H$573,1))</f>
        <v>500</v>
      </c>
      <c r="K1527" s="12">
        <f>IF([3]关卡对接!F1515="",INT(INDEX(人物经验!$J$24:$J$573,关卡!J1527)*关卡!$S$7),[3]关卡对接!F1515)</f>
        <v>40217</v>
      </c>
      <c r="L1527" s="12">
        <f t="shared" si="218"/>
        <v>2.4</v>
      </c>
      <c r="M1527" s="12">
        <f>L1527/[4]货币基础!$B$4</f>
        <v>240</v>
      </c>
      <c r="N1527" s="12">
        <f>IF(A1527&lt;[3]关卡对接!$A$4,INDEX([3]关卡对接!$E$7:$E$141,A1527),MATCH(E1527,人物经验!$H$24:$H$573,1))</f>
        <v>500</v>
      </c>
      <c r="O1527" s="12">
        <f>INDEX([2]关卡!$G$6:$G$2005,A1527)</f>
        <v>3</v>
      </c>
      <c r="P1527" s="13">
        <v>6</v>
      </c>
      <c r="Q1527" s="12">
        <f>INT(P1527/$S$15/O1527*VLOOKUP(J1527,[1]人物技能基础!$N$3:$O$553,2,0)*$U$15)</f>
        <v>9</v>
      </c>
      <c r="R1527" s="12">
        <f t="shared" si="219"/>
        <v>112</v>
      </c>
    </row>
    <row r="1528" spans="1:18" x14ac:dyDescent="0.15">
      <c r="A1528" s="12">
        <v>1510</v>
      </c>
      <c r="B1528" s="12">
        <f t="shared" si="216"/>
        <v>8</v>
      </c>
      <c r="C1528" s="12">
        <f t="shared" si="217"/>
        <v>7.3535000000000013</v>
      </c>
      <c r="D1528" s="12">
        <f t="shared" si="211"/>
        <v>7.0665000000000866E-2</v>
      </c>
      <c r="E1528" s="12">
        <f>SUM($D$19:D1528)</f>
        <v>39.553499999999964</v>
      </c>
      <c r="F1528" s="12">
        <f t="shared" si="214"/>
        <v>449.26213424937509</v>
      </c>
      <c r="G1528" s="12">
        <f t="shared" si="215"/>
        <v>261.427288809375</v>
      </c>
      <c r="H1528" s="12">
        <f t="shared" si="212"/>
        <v>1617300</v>
      </c>
      <c r="I1528" s="12">
        <f t="shared" si="213"/>
        <v>941100</v>
      </c>
      <c r="J1528" s="12">
        <f>IF(A1528&lt;[3]关卡对接!$A$4,INDEX([3]关卡对接!$C$7:$C$141,A1528),MATCH(E1528,人物经验!$H$24:$H$573,1))</f>
        <v>500</v>
      </c>
      <c r="K1528" s="12">
        <f>IF([3]关卡对接!F1516="",INT(INDEX(人物经验!$J$24:$J$573,关卡!J1528)*关卡!$S$7),[3]关卡对接!F1516)</f>
        <v>40217</v>
      </c>
      <c r="L1528" s="12">
        <f t="shared" si="218"/>
        <v>2.4</v>
      </c>
      <c r="M1528" s="12">
        <f>L1528/[4]货币基础!$B$4</f>
        <v>240</v>
      </c>
      <c r="N1528" s="12">
        <f>IF(A1528&lt;[3]关卡对接!$A$4,INDEX([3]关卡对接!$E$7:$E$141,A1528),MATCH(E1528,人物经验!$H$24:$H$573,1))</f>
        <v>500</v>
      </c>
      <c r="O1528" s="12">
        <f>INDEX([2]关卡!$G$6:$G$2005,A1528)</f>
        <v>3</v>
      </c>
      <c r="P1528" s="13">
        <v>6</v>
      </c>
      <c r="Q1528" s="12">
        <f>INT(P1528/$S$15/O1528*VLOOKUP(J1528,[1]人物技能基础!$N$3:$O$553,2,0)*$U$15)</f>
        <v>9</v>
      </c>
      <c r="R1528" s="12">
        <f t="shared" si="219"/>
        <v>112</v>
      </c>
    </row>
    <row r="1529" spans="1:18" x14ac:dyDescent="0.15">
      <c r="A1529" s="12">
        <v>1511</v>
      </c>
      <c r="B1529" s="12">
        <f t="shared" si="216"/>
        <v>8</v>
      </c>
      <c r="C1529" s="12">
        <f t="shared" si="217"/>
        <v>7.4242350000000004</v>
      </c>
      <c r="D1529" s="12">
        <f t="shared" si="211"/>
        <v>7.0734999999999104E-2</v>
      </c>
      <c r="E1529" s="12">
        <f>SUM($D$19:D1529)</f>
        <v>39.624234999999963</v>
      </c>
      <c r="F1529" s="12">
        <f t="shared" si="214"/>
        <v>450.06364108473485</v>
      </c>
      <c r="G1529" s="12">
        <f t="shared" si="215"/>
        <v>261.80076824130589</v>
      </c>
      <c r="H1529" s="12">
        <f t="shared" si="212"/>
        <v>1620200</v>
      </c>
      <c r="I1529" s="12">
        <f t="shared" si="213"/>
        <v>942400</v>
      </c>
      <c r="J1529" s="12">
        <f>IF(A1529&lt;[3]关卡对接!$A$4,INDEX([3]关卡对接!$C$7:$C$141,A1529),MATCH(E1529,人物经验!$H$24:$H$573,1))</f>
        <v>500</v>
      </c>
      <c r="K1529" s="12">
        <f>IF([3]关卡对接!F1517="",INT(INDEX(人物经验!$J$24:$J$573,关卡!J1529)*关卡!$S$7),[3]关卡对接!F1517)</f>
        <v>40217</v>
      </c>
      <c r="L1529" s="12">
        <f t="shared" si="218"/>
        <v>2.4</v>
      </c>
      <c r="M1529" s="12">
        <f>L1529/[4]货币基础!$B$4</f>
        <v>240</v>
      </c>
      <c r="N1529" s="12">
        <f>IF(A1529&lt;[3]关卡对接!$A$4,INDEX([3]关卡对接!$E$7:$E$141,A1529),MATCH(E1529,人物经验!$H$24:$H$573,1))</f>
        <v>500</v>
      </c>
      <c r="O1529" s="12">
        <f>INDEX([2]关卡!$G$6:$G$2005,A1529)</f>
        <v>3</v>
      </c>
      <c r="P1529" s="13">
        <v>6</v>
      </c>
      <c r="Q1529" s="12">
        <f>INT(P1529/$S$15/O1529*VLOOKUP(J1529,[1]人物技能基础!$N$3:$O$553,2,0)*$U$15)</f>
        <v>9</v>
      </c>
      <c r="R1529" s="12">
        <f t="shared" si="219"/>
        <v>112</v>
      </c>
    </row>
    <row r="1530" spans="1:18" x14ac:dyDescent="0.15">
      <c r="A1530" s="12">
        <v>1512</v>
      </c>
      <c r="B1530" s="12">
        <f t="shared" si="216"/>
        <v>8</v>
      </c>
      <c r="C1530" s="12">
        <f t="shared" si="217"/>
        <v>7.4950400000000021</v>
      </c>
      <c r="D1530" s="12">
        <f t="shared" si="211"/>
        <v>7.0805000000001783E-2</v>
      </c>
      <c r="E1530" s="12">
        <f>SUM($D$19:D1530)</f>
        <v>39.695039999999963</v>
      </c>
      <c r="F1530" s="12">
        <f t="shared" si="214"/>
        <v>450.86627111910406</v>
      </c>
      <c r="G1530" s="12">
        <f t="shared" si="215"/>
        <v>262.17465533312003</v>
      </c>
      <c r="H1530" s="12">
        <f t="shared" si="212"/>
        <v>1623100</v>
      </c>
      <c r="I1530" s="12">
        <f t="shared" si="213"/>
        <v>943800</v>
      </c>
      <c r="J1530" s="12">
        <f>IF(A1530&lt;[3]关卡对接!$A$4,INDEX([3]关卡对接!$C$7:$C$141,A1530),MATCH(E1530,人物经验!$H$24:$H$573,1))</f>
        <v>501</v>
      </c>
      <c r="K1530" s="12">
        <f>IF([3]关卡对接!F1518="",INT(INDEX(人物经验!$J$24:$J$573,关卡!J1530)*关卡!$S$7),[3]关卡对接!F1518)</f>
        <v>40505</v>
      </c>
      <c r="L1530" s="12">
        <f t="shared" si="218"/>
        <v>2.4</v>
      </c>
      <c r="M1530" s="12">
        <f>L1530/[4]货币基础!$B$4</f>
        <v>240</v>
      </c>
      <c r="N1530" s="12">
        <f>IF(A1530&lt;[3]关卡对接!$A$4,INDEX([3]关卡对接!$E$7:$E$141,A1530),MATCH(E1530,人物经验!$H$24:$H$573,1))</f>
        <v>501</v>
      </c>
      <c r="O1530" s="12">
        <f>INDEX([2]关卡!$G$6:$G$2005,A1530)</f>
        <v>3</v>
      </c>
      <c r="P1530" s="13">
        <v>6</v>
      </c>
      <c r="Q1530" s="12">
        <f>INT(P1530/$S$15/O1530*VLOOKUP(J1530,[1]人物技能基础!$N$3:$O$553,2,0)*$U$15)</f>
        <v>9</v>
      </c>
      <c r="R1530" s="12">
        <f t="shared" si="219"/>
        <v>112</v>
      </c>
    </row>
    <row r="1531" spans="1:18" x14ac:dyDescent="0.15">
      <c r="A1531" s="12">
        <v>1513</v>
      </c>
      <c r="B1531" s="12">
        <f t="shared" si="216"/>
        <v>8</v>
      </c>
      <c r="C1531" s="12">
        <f t="shared" si="217"/>
        <v>7.5659149999999986</v>
      </c>
      <c r="D1531" s="12">
        <f t="shared" ref="D1531:D1594" si="220">IF(ISNA(MATCH(A1531,$A$6:$A$15,0)),C1531-C1530,C1531)</f>
        <v>7.0874999999996469E-2</v>
      </c>
      <c r="E1531" s="12">
        <f>SUM($D$19:D1531)</f>
        <v>39.765914999999957</v>
      </c>
      <c r="F1531" s="12">
        <f t="shared" si="214"/>
        <v>451.67002548211485</v>
      </c>
      <c r="G1531" s="12">
        <f t="shared" si="215"/>
        <v>262.54895041270595</v>
      </c>
      <c r="H1531" s="12">
        <f t="shared" ref="H1531:H1594" si="221">INT(F1531*60*60/100)*100</f>
        <v>1626000</v>
      </c>
      <c r="I1531" s="12">
        <f t="shared" ref="I1531:I1594" si="222">INT(G1531*60*60/100)*100</f>
        <v>945100</v>
      </c>
      <c r="J1531" s="12">
        <f>IF(A1531&lt;[3]关卡对接!$A$4,INDEX([3]关卡对接!$C$7:$C$141,A1531),MATCH(E1531,人物经验!$H$24:$H$573,1))</f>
        <v>501</v>
      </c>
      <c r="K1531" s="12">
        <f>IF([3]关卡对接!F1519="",INT(INDEX(人物经验!$J$24:$J$573,关卡!J1531)*关卡!$S$7),[3]关卡对接!F1519)</f>
        <v>40505</v>
      </c>
      <c r="L1531" s="12">
        <f t="shared" si="218"/>
        <v>2.4</v>
      </c>
      <c r="M1531" s="12">
        <f>L1531/[4]货币基础!$B$4</f>
        <v>240</v>
      </c>
      <c r="N1531" s="12">
        <f>IF(A1531&lt;[3]关卡对接!$A$4,INDEX([3]关卡对接!$E$7:$E$141,A1531),MATCH(E1531,人物经验!$H$24:$H$573,1))</f>
        <v>501</v>
      </c>
      <c r="O1531" s="12">
        <f>INDEX([2]关卡!$G$6:$G$2005,A1531)</f>
        <v>3</v>
      </c>
      <c r="P1531" s="13">
        <v>6</v>
      </c>
      <c r="Q1531" s="12">
        <f>INT(P1531/$S$15/O1531*VLOOKUP(J1531,[1]人物技能基础!$N$3:$O$553,2,0)*$U$15)</f>
        <v>9</v>
      </c>
      <c r="R1531" s="12">
        <f t="shared" si="219"/>
        <v>112</v>
      </c>
    </row>
    <row r="1532" spans="1:18" x14ac:dyDescent="0.15">
      <c r="A1532" s="12">
        <v>1514</v>
      </c>
      <c r="B1532" s="12">
        <f t="shared" si="216"/>
        <v>8</v>
      </c>
      <c r="C1532" s="12">
        <f t="shared" si="217"/>
        <v>7.6368600000000004</v>
      </c>
      <c r="D1532" s="12">
        <f t="shared" si="220"/>
        <v>7.0945000000001812E-2</v>
      </c>
      <c r="E1532" s="12">
        <f>SUM($D$19:D1532)</f>
        <v>39.836859999999959</v>
      </c>
      <c r="F1532" s="12">
        <f t="shared" si="214"/>
        <v>452.47490530399909</v>
      </c>
      <c r="G1532" s="12">
        <f t="shared" si="215"/>
        <v>262.92365380809503</v>
      </c>
      <c r="H1532" s="12">
        <f t="shared" si="221"/>
        <v>1628900</v>
      </c>
      <c r="I1532" s="12">
        <f t="shared" si="222"/>
        <v>946500</v>
      </c>
      <c r="J1532" s="12">
        <f>IF(A1532&lt;[3]关卡对接!$A$4,INDEX([3]关卡对接!$C$7:$C$141,A1532),MATCH(E1532,人物经验!$H$24:$H$573,1))</f>
        <v>501</v>
      </c>
      <c r="K1532" s="12">
        <f>IF([3]关卡对接!F1520="",INT(INDEX(人物经验!$J$24:$J$573,关卡!J1532)*关卡!$S$7),[3]关卡对接!F1520)</f>
        <v>40505</v>
      </c>
      <c r="L1532" s="12">
        <f t="shared" si="218"/>
        <v>2.4</v>
      </c>
      <c r="M1532" s="12">
        <f>L1532/[4]货币基础!$B$4</f>
        <v>240</v>
      </c>
      <c r="N1532" s="12">
        <f>IF(A1532&lt;[3]关卡对接!$A$4,INDEX([3]关卡对接!$E$7:$E$141,A1532),MATCH(E1532,人物经验!$H$24:$H$573,1))</f>
        <v>501</v>
      </c>
      <c r="O1532" s="12">
        <f>INDEX([2]关卡!$G$6:$G$2005,A1532)</f>
        <v>3</v>
      </c>
      <c r="P1532" s="13">
        <v>6</v>
      </c>
      <c r="Q1532" s="12">
        <f>INT(P1532/$S$15/O1532*VLOOKUP(J1532,[1]人物技能基础!$N$3:$O$553,2,0)*$U$15)</f>
        <v>9</v>
      </c>
      <c r="R1532" s="12">
        <f t="shared" si="219"/>
        <v>112</v>
      </c>
    </row>
    <row r="1533" spans="1:18" x14ac:dyDescent="0.15">
      <c r="A1533" s="12">
        <v>1515</v>
      </c>
      <c r="B1533" s="12">
        <f t="shared" si="216"/>
        <v>8</v>
      </c>
      <c r="C1533" s="12">
        <f t="shared" si="217"/>
        <v>7.7078749999999996</v>
      </c>
      <c r="D1533" s="12">
        <f t="shared" si="220"/>
        <v>7.1014999999999162E-2</v>
      </c>
      <c r="E1533" s="12">
        <f>SUM($D$19:D1533)</f>
        <v>39.907874999999962</v>
      </c>
      <c r="F1533" s="12">
        <f t="shared" si="214"/>
        <v>453.28091171558589</v>
      </c>
      <c r="G1533" s="12">
        <f t="shared" si="215"/>
        <v>263.29876584746091</v>
      </c>
      <c r="H1533" s="12">
        <f t="shared" si="221"/>
        <v>1631800</v>
      </c>
      <c r="I1533" s="12">
        <f t="shared" si="222"/>
        <v>947800</v>
      </c>
      <c r="J1533" s="12">
        <f>IF(A1533&lt;[3]关卡对接!$A$4,INDEX([3]关卡对接!$C$7:$C$141,A1533),MATCH(E1533,人物经验!$H$24:$H$573,1))</f>
        <v>501</v>
      </c>
      <c r="K1533" s="12">
        <f>IF([3]关卡对接!F1521="",INT(INDEX(人物经验!$J$24:$J$573,关卡!J1533)*关卡!$S$7),[3]关卡对接!F1521)</f>
        <v>40505</v>
      </c>
      <c r="L1533" s="12">
        <f t="shared" si="218"/>
        <v>2.4</v>
      </c>
      <c r="M1533" s="12">
        <f>L1533/[4]货币基础!$B$4</f>
        <v>240</v>
      </c>
      <c r="N1533" s="12">
        <f>IF(A1533&lt;[3]关卡对接!$A$4,INDEX([3]关卡对接!$E$7:$E$141,A1533),MATCH(E1533,人物经验!$H$24:$H$573,1))</f>
        <v>501</v>
      </c>
      <c r="O1533" s="12">
        <f>INDEX([2]关卡!$G$6:$G$2005,A1533)</f>
        <v>3</v>
      </c>
      <c r="P1533" s="13">
        <v>6</v>
      </c>
      <c r="Q1533" s="12">
        <f>INT(P1533/$S$15/O1533*VLOOKUP(J1533,[1]人物技能基础!$N$3:$O$553,2,0)*$U$15)</f>
        <v>9</v>
      </c>
      <c r="R1533" s="12">
        <f t="shared" si="219"/>
        <v>112</v>
      </c>
    </row>
    <row r="1534" spans="1:18" x14ac:dyDescent="0.15">
      <c r="A1534" s="12">
        <v>1516</v>
      </c>
      <c r="B1534" s="12">
        <f t="shared" si="216"/>
        <v>8</v>
      </c>
      <c r="C1534" s="12">
        <f t="shared" si="217"/>
        <v>7.7789600000000005</v>
      </c>
      <c r="D1534" s="12">
        <f t="shared" si="220"/>
        <v>7.1085000000000953E-2</v>
      </c>
      <c r="E1534" s="12">
        <f>SUM($D$19:D1534)</f>
        <v>39.978959999999965</v>
      </c>
      <c r="F1534" s="12">
        <f t="shared" si="214"/>
        <v>454.08804584830398</v>
      </c>
      <c r="G1534" s="12">
        <f t="shared" si="215"/>
        <v>263.67428685912</v>
      </c>
      <c r="H1534" s="12">
        <f t="shared" si="221"/>
        <v>1634700</v>
      </c>
      <c r="I1534" s="12">
        <f t="shared" si="222"/>
        <v>949200</v>
      </c>
      <c r="J1534" s="12">
        <f>IF(A1534&lt;[3]关卡对接!$A$4,INDEX([3]关卡对接!$C$7:$C$141,A1534),MATCH(E1534,人物经验!$H$24:$H$573,1))</f>
        <v>502</v>
      </c>
      <c r="K1534" s="12">
        <f>IF([3]关卡对接!F1522="",INT(INDEX(人物经验!$J$24:$J$573,关卡!J1534)*关卡!$S$7),[3]关卡对接!F1522)</f>
        <v>40795</v>
      </c>
      <c r="L1534" s="12">
        <f t="shared" si="218"/>
        <v>2.4</v>
      </c>
      <c r="M1534" s="12">
        <f>L1534/[4]货币基础!$B$4</f>
        <v>240</v>
      </c>
      <c r="N1534" s="12">
        <f>IF(A1534&lt;[3]关卡对接!$A$4,INDEX([3]关卡对接!$E$7:$E$141,A1534),MATCH(E1534,人物经验!$H$24:$H$573,1))</f>
        <v>502</v>
      </c>
      <c r="O1534" s="12">
        <f>INDEX([2]关卡!$G$6:$G$2005,A1534)</f>
        <v>3</v>
      </c>
      <c r="P1534" s="13">
        <v>6</v>
      </c>
      <c r="Q1534" s="12">
        <f>INT(P1534/$S$15/O1534*VLOOKUP(J1534,[1]人物技能基础!$N$3:$O$553,2,0)*$U$15)</f>
        <v>9</v>
      </c>
      <c r="R1534" s="12">
        <f t="shared" si="219"/>
        <v>112</v>
      </c>
    </row>
    <row r="1535" spans="1:18" x14ac:dyDescent="0.15">
      <c r="A1535" s="12">
        <v>1517</v>
      </c>
      <c r="B1535" s="12">
        <f t="shared" si="216"/>
        <v>8</v>
      </c>
      <c r="C1535" s="12">
        <f t="shared" si="217"/>
        <v>7.8501150000000006</v>
      </c>
      <c r="D1535" s="12">
        <f t="shared" si="220"/>
        <v>7.1155000000000079E-2</v>
      </c>
      <c r="E1535" s="12">
        <f>SUM($D$19:D1535)</f>
        <v>40.050114999999963</v>
      </c>
      <c r="F1535" s="12">
        <f t="shared" si="214"/>
        <v>454.89630883417988</v>
      </c>
      <c r="G1535" s="12">
        <f t="shared" si="215"/>
        <v>264.05021717153096</v>
      </c>
      <c r="H1535" s="12">
        <f t="shared" si="221"/>
        <v>1637600</v>
      </c>
      <c r="I1535" s="12">
        <f t="shared" si="222"/>
        <v>950500</v>
      </c>
      <c r="J1535" s="12">
        <f>IF(A1535&lt;[3]关卡对接!$A$4,INDEX([3]关卡对接!$C$7:$C$141,A1535),MATCH(E1535,人物经验!$H$24:$H$573,1))</f>
        <v>502</v>
      </c>
      <c r="K1535" s="12">
        <f>IF([3]关卡对接!F1523="",INT(INDEX(人物经验!$J$24:$J$573,关卡!J1535)*关卡!$S$7),[3]关卡对接!F1523)</f>
        <v>40795</v>
      </c>
      <c r="L1535" s="12">
        <f t="shared" si="218"/>
        <v>2.4</v>
      </c>
      <c r="M1535" s="12">
        <f>L1535/[4]货币基础!$B$4</f>
        <v>240</v>
      </c>
      <c r="N1535" s="12">
        <f>IF(A1535&lt;[3]关卡对接!$A$4,INDEX([3]关卡对接!$E$7:$E$141,A1535),MATCH(E1535,人物经验!$H$24:$H$573,1))</f>
        <v>502</v>
      </c>
      <c r="O1535" s="12">
        <f>INDEX([2]关卡!$G$6:$G$2005,A1535)</f>
        <v>3</v>
      </c>
      <c r="P1535" s="13">
        <v>6</v>
      </c>
      <c r="Q1535" s="12">
        <f>INT(P1535/$S$15/O1535*VLOOKUP(J1535,[1]人物技能基础!$N$3:$O$553,2,0)*$U$15)</f>
        <v>9</v>
      </c>
      <c r="R1535" s="12">
        <f t="shared" si="219"/>
        <v>112</v>
      </c>
    </row>
    <row r="1536" spans="1:18" x14ac:dyDescent="0.15">
      <c r="A1536" s="12">
        <v>1518</v>
      </c>
      <c r="B1536" s="12">
        <f t="shared" si="216"/>
        <v>8</v>
      </c>
      <c r="C1536" s="12">
        <f t="shared" si="217"/>
        <v>7.9213400000000007</v>
      </c>
      <c r="D1536" s="12">
        <f t="shared" si="220"/>
        <v>7.1225000000000094E-2</v>
      </c>
      <c r="E1536" s="12">
        <f>SUM($D$19:D1536)</f>
        <v>40.121339999999961</v>
      </c>
      <c r="F1536" s="12">
        <f t="shared" si="214"/>
        <v>455.705701805839</v>
      </c>
      <c r="G1536" s="12">
        <f t="shared" si="215"/>
        <v>264.42655711329502</v>
      </c>
      <c r="H1536" s="12">
        <f t="shared" si="221"/>
        <v>1640500</v>
      </c>
      <c r="I1536" s="12">
        <f t="shared" si="222"/>
        <v>951900</v>
      </c>
      <c r="J1536" s="12">
        <f>IF(A1536&lt;[3]关卡对接!$A$4,INDEX([3]关卡对接!$C$7:$C$141,A1536),MATCH(E1536,人物经验!$H$24:$H$573,1))</f>
        <v>502</v>
      </c>
      <c r="K1536" s="12">
        <f>IF([3]关卡对接!F1524="",INT(INDEX(人物经验!$J$24:$J$573,关卡!J1536)*关卡!$S$7),[3]关卡对接!F1524)</f>
        <v>40795</v>
      </c>
      <c r="L1536" s="12">
        <f t="shared" si="218"/>
        <v>2.4</v>
      </c>
      <c r="M1536" s="12">
        <f>L1536/[4]货币基础!$B$4</f>
        <v>240</v>
      </c>
      <c r="N1536" s="12">
        <f>IF(A1536&lt;[3]关卡对接!$A$4,INDEX([3]关卡对接!$E$7:$E$141,A1536),MATCH(E1536,人物经验!$H$24:$H$573,1))</f>
        <v>502</v>
      </c>
      <c r="O1536" s="12">
        <f>INDEX([2]关卡!$G$6:$G$2005,A1536)</f>
        <v>3</v>
      </c>
      <c r="P1536" s="13">
        <v>6</v>
      </c>
      <c r="Q1536" s="12">
        <f>INT(P1536/$S$15/O1536*VLOOKUP(J1536,[1]人物技能基础!$N$3:$O$553,2,0)*$U$15)</f>
        <v>9</v>
      </c>
      <c r="R1536" s="12">
        <f t="shared" si="219"/>
        <v>112</v>
      </c>
    </row>
    <row r="1537" spans="1:18" x14ac:dyDescent="0.15">
      <c r="A1537" s="12">
        <v>1519</v>
      </c>
      <c r="B1537" s="12">
        <f t="shared" si="216"/>
        <v>8</v>
      </c>
      <c r="C1537" s="12">
        <f t="shared" si="217"/>
        <v>7.9926349999999999</v>
      </c>
      <c r="D1537" s="12">
        <f t="shared" si="220"/>
        <v>7.129499999999922E-2</v>
      </c>
      <c r="E1537" s="12">
        <f>SUM($D$19:D1537)</f>
        <v>40.19263499999996</v>
      </c>
      <c r="F1537" s="12">
        <f t="shared" si="214"/>
        <v>456.51622589650498</v>
      </c>
      <c r="G1537" s="12">
        <f t="shared" si="215"/>
        <v>264.80330701315592</v>
      </c>
      <c r="H1537" s="12">
        <f t="shared" si="221"/>
        <v>1643400</v>
      </c>
      <c r="I1537" s="12">
        <f t="shared" si="222"/>
        <v>953200</v>
      </c>
      <c r="J1537" s="12">
        <f>IF(A1537&lt;[3]关卡对接!$A$4,INDEX([3]关卡对接!$C$7:$C$141,A1537),MATCH(E1537,人物经验!$H$24:$H$573,1))</f>
        <v>502</v>
      </c>
      <c r="K1537" s="12">
        <f>IF([3]关卡对接!F1525="",INT(INDEX(人物经验!$J$24:$J$573,关卡!J1537)*关卡!$S$7),[3]关卡对接!F1525)</f>
        <v>40795</v>
      </c>
      <c r="L1537" s="12">
        <f t="shared" si="218"/>
        <v>2.4</v>
      </c>
      <c r="M1537" s="12">
        <f>L1537/[4]货币基础!$B$4</f>
        <v>240</v>
      </c>
      <c r="N1537" s="12">
        <f>IF(A1537&lt;[3]关卡对接!$A$4,INDEX([3]关卡对接!$E$7:$E$141,A1537),MATCH(E1537,人物经验!$H$24:$H$573,1))</f>
        <v>502</v>
      </c>
      <c r="O1537" s="12">
        <f>INDEX([2]关卡!$G$6:$G$2005,A1537)</f>
        <v>3</v>
      </c>
      <c r="P1537" s="13">
        <v>6</v>
      </c>
      <c r="Q1537" s="12">
        <f>INT(P1537/$S$15/O1537*VLOOKUP(J1537,[1]人物技能基础!$N$3:$O$553,2,0)*$U$15)</f>
        <v>9</v>
      </c>
      <c r="R1537" s="12">
        <f t="shared" si="219"/>
        <v>112</v>
      </c>
    </row>
    <row r="1538" spans="1:18" x14ac:dyDescent="0.15">
      <c r="A1538" s="12">
        <v>1520</v>
      </c>
      <c r="B1538" s="12">
        <f t="shared" si="216"/>
        <v>8</v>
      </c>
      <c r="C1538" s="12">
        <f t="shared" si="217"/>
        <v>8.0640000000000001</v>
      </c>
      <c r="D1538" s="12">
        <f t="shared" si="220"/>
        <v>7.1365000000000123E-2</v>
      </c>
      <c r="E1538" s="12">
        <f>SUM($D$19:D1538)</f>
        <v>40.26399999999996</v>
      </c>
      <c r="F1538" s="12">
        <f t="shared" si="214"/>
        <v>457.32788224000006</v>
      </c>
      <c r="G1538" s="12">
        <f t="shared" si="215"/>
        <v>265.18046720000001</v>
      </c>
      <c r="H1538" s="12">
        <f t="shared" si="221"/>
        <v>1646300</v>
      </c>
      <c r="I1538" s="12">
        <f t="shared" si="222"/>
        <v>954600</v>
      </c>
      <c r="J1538" s="12">
        <f>IF(A1538&lt;[3]关卡对接!$A$4,INDEX([3]关卡对接!$C$7:$C$141,A1538),MATCH(E1538,人物经验!$H$24:$H$573,1))</f>
        <v>503</v>
      </c>
      <c r="K1538" s="12">
        <f>IF([3]关卡对接!F1526="",INT(INDEX(人物经验!$J$24:$J$573,关卡!J1538)*关卡!$S$7),[3]关卡对接!F1526)</f>
        <v>41086</v>
      </c>
      <c r="L1538" s="12">
        <f t="shared" si="218"/>
        <v>2.4</v>
      </c>
      <c r="M1538" s="12">
        <f>L1538/[4]货币基础!$B$4</f>
        <v>240</v>
      </c>
      <c r="N1538" s="12">
        <f>IF(A1538&lt;[3]关卡对接!$A$4,INDEX([3]关卡对接!$E$7:$E$141,A1538),MATCH(E1538,人物经验!$H$24:$H$573,1))</f>
        <v>503</v>
      </c>
      <c r="O1538" s="12">
        <f>INDEX([2]关卡!$G$6:$G$2005,A1538)</f>
        <v>3</v>
      </c>
      <c r="P1538" s="13">
        <v>6</v>
      </c>
      <c r="Q1538" s="12">
        <f>INT(P1538/$S$15/O1538*VLOOKUP(J1538,[1]人物技能基础!$N$3:$O$553,2,0)*$U$15)</f>
        <v>9</v>
      </c>
      <c r="R1538" s="12">
        <f t="shared" si="219"/>
        <v>112</v>
      </c>
    </row>
    <row r="1539" spans="1:18" x14ac:dyDescent="0.15">
      <c r="A1539" s="12">
        <v>1521</v>
      </c>
      <c r="B1539" s="12">
        <f t="shared" si="216"/>
        <v>8</v>
      </c>
      <c r="C1539" s="12">
        <f t="shared" si="217"/>
        <v>8.1354349999999993</v>
      </c>
      <c r="D1539" s="12">
        <f t="shared" si="220"/>
        <v>7.1434999999999249E-2</v>
      </c>
      <c r="E1539" s="12">
        <f>SUM($D$19:D1539)</f>
        <v>40.335434999999961</v>
      </c>
      <c r="F1539" s="12">
        <f t="shared" si="214"/>
        <v>458.14067197074479</v>
      </c>
      <c r="G1539" s="12">
        <f t="shared" si="215"/>
        <v>265.55803800285594</v>
      </c>
      <c r="H1539" s="12">
        <f t="shared" si="221"/>
        <v>1649300</v>
      </c>
      <c r="I1539" s="12">
        <f t="shared" si="222"/>
        <v>956000</v>
      </c>
      <c r="J1539" s="12">
        <f>IF(A1539&lt;[3]关卡对接!$A$4,INDEX([3]关卡对接!$C$7:$C$141,A1539),MATCH(E1539,人物经验!$H$24:$H$573,1))</f>
        <v>503</v>
      </c>
      <c r="K1539" s="12">
        <f>IF([3]关卡对接!F1527="",INT(INDEX(人物经验!$J$24:$J$573,关卡!J1539)*关卡!$S$7),[3]关卡对接!F1527)</f>
        <v>41086</v>
      </c>
      <c r="L1539" s="12">
        <f t="shared" si="218"/>
        <v>2.4</v>
      </c>
      <c r="M1539" s="12">
        <f>L1539/[4]货币基础!$B$4</f>
        <v>240</v>
      </c>
      <c r="N1539" s="12">
        <f>IF(A1539&lt;[3]关卡对接!$A$4,INDEX([3]关卡对接!$E$7:$E$141,A1539),MATCH(E1539,人物经验!$H$24:$H$573,1))</f>
        <v>503</v>
      </c>
      <c r="O1539" s="12">
        <f>INDEX([2]关卡!$G$6:$G$2005,A1539)</f>
        <v>3</v>
      </c>
      <c r="P1539" s="13">
        <v>6</v>
      </c>
      <c r="Q1539" s="12">
        <f>INT(P1539/$S$15/O1539*VLOOKUP(J1539,[1]人物技能基础!$N$3:$O$553,2,0)*$U$15)</f>
        <v>9</v>
      </c>
      <c r="R1539" s="12">
        <f t="shared" si="219"/>
        <v>112</v>
      </c>
    </row>
    <row r="1540" spans="1:18" x14ac:dyDescent="0.15">
      <c r="A1540" s="12">
        <v>1522</v>
      </c>
      <c r="B1540" s="12">
        <f t="shared" si="216"/>
        <v>8</v>
      </c>
      <c r="C1540" s="12">
        <f t="shared" si="217"/>
        <v>8.2069399999999995</v>
      </c>
      <c r="D1540" s="12">
        <f t="shared" si="220"/>
        <v>7.1505000000000152E-2</v>
      </c>
      <c r="E1540" s="12">
        <f>SUM($D$19:D1540)</f>
        <v>40.406939999999963</v>
      </c>
      <c r="F1540" s="12">
        <f t="shared" si="214"/>
        <v>458.95459622375898</v>
      </c>
      <c r="G1540" s="12">
        <f t="shared" si="215"/>
        <v>265.93601975089496</v>
      </c>
      <c r="H1540" s="12">
        <f t="shared" si="221"/>
        <v>1652200</v>
      </c>
      <c r="I1540" s="12">
        <f t="shared" si="222"/>
        <v>957300</v>
      </c>
      <c r="J1540" s="12">
        <f>IF(A1540&lt;[3]关卡对接!$A$4,INDEX([3]关卡对接!$C$7:$C$141,A1540),MATCH(E1540,人物经验!$H$24:$H$573,1))</f>
        <v>503</v>
      </c>
      <c r="K1540" s="12">
        <f>IF([3]关卡对接!F1528="",INT(INDEX(人物经验!$J$24:$J$573,关卡!J1540)*关卡!$S$7),[3]关卡对接!F1528)</f>
        <v>41086</v>
      </c>
      <c r="L1540" s="12">
        <f t="shared" si="218"/>
        <v>2.4</v>
      </c>
      <c r="M1540" s="12">
        <f>L1540/[4]货币基础!$B$4</f>
        <v>240</v>
      </c>
      <c r="N1540" s="12">
        <f>IF(A1540&lt;[3]关卡对接!$A$4,INDEX([3]关卡对接!$E$7:$E$141,A1540),MATCH(E1540,人物经验!$H$24:$H$573,1))</f>
        <v>503</v>
      </c>
      <c r="O1540" s="12">
        <f>INDEX([2]关卡!$G$6:$G$2005,A1540)</f>
        <v>3</v>
      </c>
      <c r="P1540" s="13">
        <v>6</v>
      </c>
      <c r="Q1540" s="12">
        <f>INT(P1540/$S$15/O1540*VLOOKUP(J1540,[1]人物技能基础!$N$3:$O$553,2,0)*$U$15)</f>
        <v>9</v>
      </c>
      <c r="R1540" s="12">
        <f t="shared" si="219"/>
        <v>112</v>
      </c>
    </row>
    <row r="1541" spans="1:18" x14ac:dyDescent="0.15">
      <c r="A1541" s="12">
        <v>1523</v>
      </c>
      <c r="B1541" s="12">
        <f t="shared" si="216"/>
        <v>8</v>
      </c>
      <c r="C1541" s="12">
        <f t="shared" si="217"/>
        <v>8.2785149999999987</v>
      </c>
      <c r="D1541" s="12">
        <f t="shared" si="220"/>
        <v>7.1574999999999278E-2</v>
      </c>
      <c r="E1541" s="12">
        <f>SUM($D$19:D1541)</f>
        <v>40.478514999999959</v>
      </c>
      <c r="F1541" s="12">
        <f t="shared" si="214"/>
        <v>459.7696561346599</v>
      </c>
      <c r="G1541" s="12">
        <f t="shared" si="215"/>
        <v>266.31441277343089</v>
      </c>
      <c r="H1541" s="12">
        <f t="shared" si="221"/>
        <v>1655100</v>
      </c>
      <c r="I1541" s="12">
        <f t="shared" si="222"/>
        <v>958700</v>
      </c>
      <c r="J1541" s="12">
        <f>IF(A1541&lt;[3]关卡对接!$A$4,INDEX([3]关卡对接!$C$7:$C$141,A1541),MATCH(E1541,人物经验!$H$24:$H$573,1))</f>
        <v>503</v>
      </c>
      <c r="K1541" s="12">
        <f>IF([3]关卡对接!F1529="",INT(INDEX(人物经验!$J$24:$J$573,关卡!J1541)*关卡!$S$7),[3]关卡对接!F1529)</f>
        <v>41086</v>
      </c>
      <c r="L1541" s="12">
        <f t="shared" si="218"/>
        <v>2.4</v>
      </c>
      <c r="M1541" s="12">
        <f>L1541/[4]货币基础!$B$4</f>
        <v>240</v>
      </c>
      <c r="N1541" s="12">
        <f>IF(A1541&lt;[3]关卡对接!$A$4,INDEX([3]关卡对接!$E$7:$E$141,A1541),MATCH(E1541,人物经验!$H$24:$H$573,1))</f>
        <v>503</v>
      </c>
      <c r="O1541" s="12">
        <f>INDEX([2]关卡!$G$6:$G$2005,A1541)</f>
        <v>3</v>
      </c>
      <c r="P1541" s="13">
        <v>6</v>
      </c>
      <c r="Q1541" s="12">
        <f>INT(P1541/$S$15/O1541*VLOOKUP(J1541,[1]人物技能基础!$N$3:$O$553,2,0)*$U$15)</f>
        <v>9</v>
      </c>
      <c r="R1541" s="12">
        <f t="shared" si="219"/>
        <v>112</v>
      </c>
    </row>
    <row r="1542" spans="1:18" x14ac:dyDescent="0.15">
      <c r="A1542" s="12">
        <v>1524</v>
      </c>
      <c r="B1542" s="12">
        <f t="shared" si="216"/>
        <v>8</v>
      </c>
      <c r="C1542" s="12">
        <f t="shared" si="217"/>
        <v>8.3501600000000007</v>
      </c>
      <c r="D1542" s="12">
        <f t="shared" si="220"/>
        <v>7.1645000000001957E-2</v>
      </c>
      <c r="E1542" s="12">
        <f>SUM($D$19:D1542)</f>
        <v>40.550159999999963</v>
      </c>
      <c r="F1542" s="12">
        <f t="shared" si="214"/>
        <v>460.58585283966408</v>
      </c>
      <c r="G1542" s="12">
        <f t="shared" si="215"/>
        <v>266.69321739992</v>
      </c>
      <c r="H1542" s="12">
        <f t="shared" si="221"/>
        <v>1658100</v>
      </c>
      <c r="I1542" s="12">
        <f t="shared" si="222"/>
        <v>960000</v>
      </c>
      <c r="J1542" s="12">
        <f>IF(A1542&lt;[3]关卡对接!$A$4,INDEX([3]关卡对接!$C$7:$C$141,A1542),MATCH(E1542,人物经验!$H$24:$H$573,1))</f>
        <v>504</v>
      </c>
      <c r="K1542" s="12">
        <f>IF([3]关卡对接!F1530="",INT(INDEX(人物经验!$J$24:$J$573,关卡!J1542)*关卡!$S$7),[3]关卡对接!F1530)</f>
        <v>41379</v>
      </c>
      <c r="L1542" s="12">
        <f t="shared" si="218"/>
        <v>2.4</v>
      </c>
      <c r="M1542" s="12">
        <f>L1542/[4]货币基础!$B$4</f>
        <v>240</v>
      </c>
      <c r="N1542" s="12">
        <f>IF(A1542&lt;[3]关卡对接!$A$4,INDEX([3]关卡对接!$E$7:$E$141,A1542),MATCH(E1542,人物经验!$H$24:$H$573,1))</f>
        <v>504</v>
      </c>
      <c r="O1542" s="12">
        <f>INDEX([2]关卡!$G$6:$G$2005,A1542)</f>
        <v>3</v>
      </c>
      <c r="P1542" s="13">
        <v>6</v>
      </c>
      <c r="Q1542" s="12">
        <f>INT(P1542/$S$15/O1542*VLOOKUP(J1542,[1]人物技能基础!$N$3:$O$553,2,0)*$U$15)</f>
        <v>9</v>
      </c>
      <c r="R1542" s="12">
        <f t="shared" si="219"/>
        <v>112</v>
      </c>
    </row>
    <row r="1543" spans="1:18" x14ac:dyDescent="0.15">
      <c r="A1543" s="12">
        <v>1525</v>
      </c>
      <c r="B1543" s="12">
        <f t="shared" si="216"/>
        <v>8</v>
      </c>
      <c r="C1543" s="12">
        <f t="shared" si="217"/>
        <v>8.421875</v>
      </c>
      <c r="D1543" s="12">
        <f t="shared" si="220"/>
        <v>7.1714999999999307E-2</v>
      </c>
      <c r="E1543" s="12">
        <f>SUM($D$19:D1543)</f>
        <v>40.62187499999996</v>
      </c>
      <c r="F1543" s="12">
        <f t="shared" si="214"/>
        <v>461.40318747558587</v>
      </c>
      <c r="G1543" s="12">
        <f t="shared" si="215"/>
        <v>267.0724339599609</v>
      </c>
      <c r="H1543" s="12">
        <f t="shared" si="221"/>
        <v>1661000</v>
      </c>
      <c r="I1543" s="12">
        <f t="shared" si="222"/>
        <v>961400</v>
      </c>
      <c r="J1543" s="12">
        <f>IF(A1543&lt;[3]关卡对接!$A$4,INDEX([3]关卡对接!$C$7:$C$141,A1543),MATCH(E1543,人物经验!$H$24:$H$573,1))</f>
        <v>504</v>
      </c>
      <c r="K1543" s="12">
        <f>IF([3]关卡对接!F1531="",INT(INDEX(人物经验!$J$24:$J$573,关卡!J1543)*关卡!$S$7),[3]关卡对接!F1531)</f>
        <v>41379</v>
      </c>
      <c r="L1543" s="12">
        <f t="shared" si="218"/>
        <v>2.4</v>
      </c>
      <c r="M1543" s="12">
        <f>L1543/[4]货币基础!$B$4</f>
        <v>240</v>
      </c>
      <c r="N1543" s="12">
        <f>IF(A1543&lt;[3]关卡对接!$A$4,INDEX([3]关卡对接!$E$7:$E$141,A1543),MATCH(E1543,人物经验!$H$24:$H$573,1))</f>
        <v>504</v>
      </c>
      <c r="O1543" s="12">
        <f>INDEX([2]关卡!$G$6:$G$2005,A1543)</f>
        <v>3</v>
      </c>
      <c r="P1543" s="13">
        <v>6</v>
      </c>
      <c r="Q1543" s="12">
        <f>INT(P1543/$S$15/O1543*VLOOKUP(J1543,[1]人物技能基础!$N$3:$O$553,2,0)*$U$15)</f>
        <v>9</v>
      </c>
      <c r="R1543" s="12">
        <f t="shared" si="219"/>
        <v>112</v>
      </c>
    </row>
    <row r="1544" spans="1:18" x14ac:dyDescent="0.15">
      <c r="A1544" s="12">
        <v>1526</v>
      </c>
      <c r="B1544" s="12">
        <f t="shared" si="216"/>
        <v>8</v>
      </c>
      <c r="C1544" s="12">
        <f t="shared" si="217"/>
        <v>8.4936600000000002</v>
      </c>
      <c r="D1544" s="12">
        <f t="shared" si="220"/>
        <v>7.178500000000021E-2</v>
      </c>
      <c r="E1544" s="12">
        <f>SUM($D$19:D1544)</f>
        <v>40.693659999999959</v>
      </c>
      <c r="F1544" s="12">
        <f t="shared" si="214"/>
        <v>462.22166117983909</v>
      </c>
      <c r="G1544" s="12">
        <f t="shared" si="215"/>
        <v>267.45206278329505</v>
      </c>
      <c r="H1544" s="12">
        <f t="shared" si="221"/>
        <v>1663900</v>
      </c>
      <c r="I1544" s="12">
        <f t="shared" si="222"/>
        <v>962800</v>
      </c>
      <c r="J1544" s="12">
        <f>IF(A1544&lt;[3]关卡对接!$A$4,INDEX([3]关卡对接!$C$7:$C$141,A1544),MATCH(E1544,人物经验!$H$24:$H$573,1))</f>
        <v>504</v>
      </c>
      <c r="K1544" s="12">
        <f>IF([3]关卡对接!F1532="",INT(INDEX(人物经验!$J$24:$J$573,关卡!J1544)*关卡!$S$7),[3]关卡对接!F1532)</f>
        <v>41379</v>
      </c>
      <c r="L1544" s="12">
        <f t="shared" si="218"/>
        <v>2.4</v>
      </c>
      <c r="M1544" s="12">
        <f>L1544/[4]货币基础!$B$4</f>
        <v>240</v>
      </c>
      <c r="N1544" s="12">
        <f>IF(A1544&lt;[3]关卡对接!$A$4,INDEX([3]关卡对接!$E$7:$E$141,A1544),MATCH(E1544,人物经验!$H$24:$H$573,1))</f>
        <v>504</v>
      </c>
      <c r="O1544" s="12">
        <f>INDEX([2]关卡!$G$6:$G$2005,A1544)</f>
        <v>3</v>
      </c>
      <c r="P1544" s="13">
        <v>6</v>
      </c>
      <c r="Q1544" s="12">
        <f>INT(P1544/$S$15/O1544*VLOOKUP(J1544,[1]人物技能基础!$N$3:$O$553,2,0)*$U$15)</f>
        <v>9</v>
      </c>
      <c r="R1544" s="12">
        <f t="shared" si="219"/>
        <v>112</v>
      </c>
    </row>
    <row r="1545" spans="1:18" x14ac:dyDescent="0.15">
      <c r="A1545" s="12">
        <v>1527</v>
      </c>
      <c r="B1545" s="12">
        <f t="shared" si="216"/>
        <v>8</v>
      </c>
      <c r="C1545" s="12">
        <f t="shared" si="217"/>
        <v>8.5655150000000013</v>
      </c>
      <c r="D1545" s="12">
        <f t="shared" si="220"/>
        <v>7.1855000000001112E-2</v>
      </c>
      <c r="E1545" s="12">
        <f>SUM($D$19:D1545)</f>
        <v>40.765514999999958</v>
      </c>
      <c r="F1545" s="12">
        <f t="shared" si="214"/>
        <v>463.04127509043485</v>
      </c>
      <c r="G1545" s="12">
        <f t="shared" si="215"/>
        <v>267.83210419980583</v>
      </c>
      <c r="H1545" s="12">
        <f t="shared" si="221"/>
        <v>1666900</v>
      </c>
      <c r="I1545" s="12">
        <f t="shared" si="222"/>
        <v>964100</v>
      </c>
      <c r="J1545" s="12">
        <f>IF(A1545&lt;[3]关卡对接!$A$4,INDEX([3]关卡对接!$C$7:$C$141,A1545),MATCH(E1545,人物经验!$H$24:$H$573,1))</f>
        <v>505</v>
      </c>
      <c r="K1545" s="12">
        <f>IF([3]关卡对接!F1533="",INT(INDEX(人物经验!$J$24:$J$573,关卡!J1545)*关卡!$S$7),[3]关卡对接!F1533)</f>
        <v>41599</v>
      </c>
      <c r="L1545" s="12">
        <f t="shared" si="218"/>
        <v>2.4</v>
      </c>
      <c r="M1545" s="12">
        <f>L1545/[4]货币基础!$B$4</f>
        <v>240</v>
      </c>
      <c r="N1545" s="12">
        <f>IF(A1545&lt;[3]关卡对接!$A$4,INDEX([3]关卡对接!$E$7:$E$141,A1545),MATCH(E1545,人物经验!$H$24:$H$573,1))</f>
        <v>505</v>
      </c>
      <c r="O1545" s="12">
        <f>INDEX([2]关卡!$G$6:$G$2005,A1545)</f>
        <v>3</v>
      </c>
      <c r="P1545" s="13">
        <v>6</v>
      </c>
      <c r="Q1545" s="12">
        <f>INT(P1545/$S$15/O1545*VLOOKUP(J1545,[1]人物技能基础!$N$3:$O$553,2,0)*$U$15)</f>
        <v>9</v>
      </c>
      <c r="R1545" s="12">
        <f t="shared" si="219"/>
        <v>112</v>
      </c>
    </row>
    <row r="1546" spans="1:18" x14ac:dyDescent="0.15">
      <c r="A1546" s="12">
        <v>1528</v>
      </c>
      <c r="B1546" s="12">
        <f t="shared" si="216"/>
        <v>8</v>
      </c>
      <c r="C1546" s="12">
        <f t="shared" si="217"/>
        <v>8.6374400000000016</v>
      </c>
      <c r="D1546" s="12">
        <f t="shared" si="220"/>
        <v>7.1925000000000239E-2</v>
      </c>
      <c r="E1546" s="12">
        <f>SUM($D$19:D1546)</f>
        <v>40.837439999999958</v>
      </c>
      <c r="F1546" s="12">
        <f t="shared" si="214"/>
        <v>463.86203034598407</v>
      </c>
      <c r="G1546" s="12">
        <f t="shared" si="215"/>
        <v>268.21255853951999</v>
      </c>
      <c r="H1546" s="12">
        <f t="shared" si="221"/>
        <v>1669900</v>
      </c>
      <c r="I1546" s="12">
        <f t="shared" si="222"/>
        <v>965500</v>
      </c>
      <c r="J1546" s="12">
        <f>IF(A1546&lt;[3]关卡对接!$A$4,INDEX([3]关卡对接!$C$7:$C$141,A1546),MATCH(E1546,人物经验!$H$24:$H$573,1))</f>
        <v>505</v>
      </c>
      <c r="K1546" s="12">
        <f>IF([3]关卡对接!F1534="",INT(INDEX(人物经验!$J$24:$J$573,关卡!J1546)*关卡!$S$7),[3]关卡对接!F1534)</f>
        <v>41599</v>
      </c>
      <c r="L1546" s="12">
        <f t="shared" si="218"/>
        <v>2.4</v>
      </c>
      <c r="M1546" s="12">
        <f>L1546/[4]货币基础!$B$4</f>
        <v>240</v>
      </c>
      <c r="N1546" s="12">
        <f>IF(A1546&lt;[3]关卡对接!$A$4,INDEX([3]关卡对接!$E$7:$E$141,A1546),MATCH(E1546,人物经验!$H$24:$H$573,1))</f>
        <v>505</v>
      </c>
      <c r="O1546" s="12">
        <f>INDEX([2]关卡!$G$6:$G$2005,A1546)</f>
        <v>3</v>
      </c>
      <c r="P1546" s="13">
        <v>6</v>
      </c>
      <c r="Q1546" s="12">
        <f>INT(P1546/$S$15/O1546*VLOOKUP(J1546,[1]人物技能基础!$N$3:$O$553,2,0)*$U$15)</f>
        <v>9</v>
      </c>
      <c r="R1546" s="12">
        <f t="shared" si="219"/>
        <v>112</v>
      </c>
    </row>
    <row r="1547" spans="1:18" x14ac:dyDescent="0.15">
      <c r="A1547" s="12">
        <v>1529</v>
      </c>
      <c r="B1547" s="12">
        <f t="shared" si="216"/>
        <v>8</v>
      </c>
      <c r="C1547" s="12">
        <f t="shared" si="217"/>
        <v>8.7094349999999991</v>
      </c>
      <c r="D1547" s="12">
        <f t="shared" si="220"/>
        <v>7.1994999999997589E-2</v>
      </c>
      <c r="E1547" s="12">
        <f>SUM($D$19:D1547)</f>
        <v>40.909434999999959</v>
      </c>
      <c r="F1547" s="12">
        <f t="shared" si="214"/>
        <v>464.68392808569479</v>
      </c>
      <c r="G1547" s="12">
        <f t="shared" si="215"/>
        <v>268.59342613260588</v>
      </c>
      <c r="H1547" s="12">
        <f t="shared" si="221"/>
        <v>1672800</v>
      </c>
      <c r="I1547" s="12">
        <f t="shared" si="222"/>
        <v>966900</v>
      </c>
      <c r="J1547" s="12">
        <f>IF(A1547&lt;[3]关卡对接!$A$4,INDEX([3]关卡对接!$C$7:$C$141,A1547),MATCH(E1547,人物经验!$H$24:$H$573,1))</f>
        <v>505</v>
      </c>
      <c r="K1547" s="12">
        <f>IF([3]关卡对接!F1535="",INT(INDEX(人物经验!$J$24:$J$573,关卡!J1547)*关卡!$S$7),[3]关卡对接!F1535)</f>
        <v>41599</v>
      </c>
      <c r="L1547" s="12">
        <f t="shared" si="218"/>
        <v>2.4</v>
      </c>
      <c r="M1547" s="12">
        <f>L1547/[4]货币基础!$B$4</f>
        <v>240</v>
      </c>
      <c r="N1547" s="12">
        <f>IF(A1547&lt;[3]关卡对接!$A$4,INDEX([3]关卡对接!$E$7:$E$141,A1547),MATCH(E1547,人物经验!$H$24:$H$573,1))</f>
        <v>505</v>
      </c>
      <c r="O1547" s="12">
        <f>INDEX([2]关卡!$G$6:$G$2005,A1547)</f>
        <v>3</v>
      </c>
      <c r="P1547" s="13">
        <v>6</v>
      </c>
      <c r="Q1547" s="12">
        <f>INT(P1547/$S$15/O1547*VLOOKUP(J1547,[1]人物技能基础!$N$3:$O$553,2,0)*$U$15)</f>
        <v>9</v>
      </c>
      <c r="R1547" s="12">
        <f t="shared" si="219"/>
        <v>112</v>
      </c>
    </row>
    <row r="1548" spans="1:18" x14ac:dyDescent="0.15">
      <c r="A1548" s="12">
        <v>1530</v>
      </c>
      <c r="B1548" s="12">
        <f t="shared" si="216"/>
        <v>8</v>
      </c>
      <c r="C1548" s="12">
        <f t="shared" si="217"/>
        <v>8.7815000000000012</v>
      </c>
      <c r="D1548" s="12">
        <f t="shared" si="220"/>
        <v>7.2065000000002044E-2</v>
      </c>
      <c r="E1548" s="12">
        <f>SUM($D$19:D1548)</f>
        <v>40.981499999999961</v>
      </c>
      <c r="F1548" s="12">
        <f t="shared" si="214"/>
        <v>465.50696944937511</v>
      </c>
      <c r="G1548" s="12">
        <f t="shared" si="215"/>
        <v>268.97470730937499</v>
      </c>
      <c r="H1548" s="12">
        <f t="shared" si="221"/>
        <v>1675800</v>
      </c>
      <c r="I1548" s="12">
        <f t="shared" si="222"/>
        <v>968300</v>
      </c>
      <c r="J1548" s="12">
        <f>IF(A1548&lt;[3]关卡对接!$A$4,INDEX([3]关卡对接!$C$7:$C$141,A1548),MATCH(E1548,人物经验!$H$24:$H$573,1))</f>
        <v>505</v>
      </c>
      <c r="K1548" s="12">
        <f>IF([3]关卡对接!F1536="",INT(INDEX(人物经验!$J$24:$J$573,关卡!J1548)*关卡!$S$7),[3]关卡对接!F1536)</f>
        <v>41599</v>
      </c>
      <c r="L1548" s="12">
        <f t="shared" si="218"/>
        <v>2.4</v>
      </c>
      <c r="M1548" s="12">
        <f>L1548/[4]货币基础!$B$4</f>
        <v>240</v>
      </c>
      <c r="N1548" s="12">
        <f>IF(A1548&lt;[3]关卡对接!$A$4,INDEX([3]关卡对接!$E$7:$E$141,A1548),MATCH(E1548,人物经验!$H$24:$H$573,1))</f>
        <v>505</v>
      </c>
      <c r="O1548" s="12">
        <f>INDEX([2]关卡!$G$6:$G$2005,A1548)</f>
        <v>3</v>
      </c>
      <c r="P1548" s="13">
        <v>6</v>
      </c>
      <c r="Q1548" s="12">
        <f>INT(P1548/$S$15/O1548*VLOOKUP(J1548,[1]人物技能基础!$N$3:$O$553,2,0)*$U$15)</f>
        <v>9</v>
      </c>
      <c r="R1548" s="12">
        <f t="shared" si="219"/>
        <v>112</v>
      </c>
    </row>
    <row r="1549" spans="1:18" x14ac:dyDescent="0.15">
      <c r="A1549" s="12">
        <v>1531</v>
      </c>
      <c r="B1549" s="12">
        <f t="shared" si="216"/>
        <v>8</v>
      </c>
      <c r="C1549" s="12">
        <f t="shared" si="217"/>
        <v>8.8536350000000006</v>
      </c>
      <c r="D1549" s="12">
        <f t="shared" si="220"/>
        <v>7.2134999999999394E-2</v>
      </c>
      <c r="E1549" s="12">
        <f>SUM($D$19:D1549)</f>
        <v>41.053634999999957</v>
      </c>
      <c r="F1549" s="12">
        <f t="shared" si="214"/>
        <v>466.33115557742985</v>
      </c>
      <c r="G1549" s="12">
        <f t="shared" si="215"/>
        <v>269.3564024002809</v>
      </c>
      <c r="H1549" s="12">
        <f t="shared" si="221"/>
        <v>1678700</v>
      </c>
      <c r="I1549" s="12">
        <f t="shared" si="222"/>
        <v>969600</v>
      </c>
      <c r="J1549" s="12">
        <f>IF(A1549&lt;[3]关卡对接!$A$4,INDEX([3]关卡对接!$C$7:$C$141,A1549),MATCH(E1549,人物经验!$H$24:$H$573,1))</f>
        <v>506</v>
      </c>
      <c r="K1549" s="12">
        <f>IF([3]关卡对接!F1537="",INT(INDEX(人物经验!$J$24:$J$573,关卡!J1549)*关卡!$S$7),[3]关卡对接!F1537)</f>
        <v>41895</v>
      </c>
      <c r="L1549" s="12">
        <f t="shared" si="218"/>
        <v>2.4</v>
      </c>
      <c r="M1549" s="12">
        <f>L1549/[4]货币基础!$B$4</f>
        <v>240</v>
      </c>
      <c r="N1549" s="12">
        <f>IF(A1549&lt;[3]关卡对接!$A$4,INDEX([3]关卡对接!$E$7:$E$141,A1549),MATCH(E1549,人物经验!$H$24:$H$573,1))</f>
        <v>506</v>
      </c>
      <c r="O1549" s="12">
        <f>INDEX([2]关卡!$G$6:$G$2005,A1549)</f>
        <v>3</v>
      </c>
      <c r="P1549" s="13">
        <v>6</v>
      </c>
      <c r="Q1549" s="12">
        <f>INT(P1549/$S$15/O1549*VLOOKUP(J1549,[1]人物技能基础!$N$3:$O$553,2,0)*$U$15)</f>
        <v>9</v>
      </c>
      <c r="R1549" s="12">
        <f t="shared" si="219"/>
        <v>112</v>
      </c>
    </row>
    <row r="1550" spans="1:18" x14ac:dyDescent="0.15">
      <c r="A1550" s="12">
        <v>1532</v>
      </c>
      <c r="B1550" s="12">
        <f t="shared" si="216"/>
        <v>8</v>
      </c>
      <c r="C1550" s="12">
        <f t="shared" si="217"/>
        <v>8.9258400000000009</v>
      </c>
      <c r="D1550" s="12">
        <f t="shared" si="220"/>
        <v>7.2205000000000297E-2</v>
      </c>
      <c r="E1550" s="12">
        <f>SUM($D$19:D1550)</f>
        <v>41.125839999999954</v>
      </c>
      <c r="F1550" s="12">
        <f t="shared" si="214"/>
        <v>467.15648761086408</v>
      </c>
      <c r="G1550" s="12">
        <f t="shared" si="215"/>
        <v>269.73851173591999</v>
      </c>
      <c r="H1550" s="12">
        <f t="shared" si="221"/>
        <v>1681700</v>
      </c>
      <c r="I1550" s="12">
        <f t="shared" si="222"/>
        <v>971000</v>
      </c>
      <c r="J1550" s="12">
        <f>IF(A1550&lt;[3]关卡对接!$A$4,INDEX([3]关卡对接!$C$7:$C$141,A1550),MATCH(E1550,人物经验!$H$24:$H$573,1))</f>
        <v>506</v>
      </c>
      <c r="K1550" s="12">
        <f>IF([3]关卡对接!F1538="",INT(INDEX(人物经验!$J$24:$J$573,关卡!J1550)*关卡!$S$7),[3]关卡对接!F1538)</f>
        <v>41895</v>
      </c>
      <c r="L1550" s="12">
        <f t="shared" si="218"/>
        <v>2.4</v>
      </c>
      <c r="M1550" s="12">
        <f>L1550/[4]货币基础!$B$4</f>
        <v>240</v>
      </c>
      <c r="N1550" s="12">
        <f>IF(A1550&lt;[3]关卡对接!$A$4,INDEX([3]关卡对接!$E$7:$E$141,A1550),MATCH(E1550,人物经验!$H$24:$H$573,1))</f>
        <v>506</v>
      </c>
      <c r="O1550" s="12">
        <f>INDEX([2]关卡!$G$6:$G$2005,A1550)</f>
        <v>3</v>
      </c>
      <c r="P1550" s="13">
        <v>6</v>
      </c>
      <c r="Q1550" s="12">
        <f>INT(P1550/$S$15/O1550*VLOOKUP(J1550,[1]人物技能基础!$N$3:$O$553,2,0)*$U$15)</f>
        <v>9</v>
      </c>
      <c r="R1550" s="12">
        <f t="shared" si="219"/>
        <v>112</v>
      </c>
    </row>
    <row r="1551" spans="1:18" x14ac:dyDescent="0.15">
      <c r="A1551" s="12">
        <v>1533</v>
      </c>
      <c r="B1551" s="12">
        <f t="shared" si="216"/>
        <v>8</v>
      </c>
      <c r="C1551" s="12">
        <f t="shared" si="217"/>
        <v>8.9981150000000021</v>
      </c>
      <c r="D1551" s="12">
        <f t="shared" si="220"/>
        <v>7.2275000000001199E-2</v>
      </c>
      <c r="E1551" s="12">
        <f>SUM($D$19:D1551)</f>
        <v>41.198114999999959</v>
      </c>
      <c r="F1551" s="12">
        <f t="shared" si="214"/>
        <v>467.98296669127978</v>
      </c>
      <c r="G1551" s="12">
        <f t="shared" si="215"/>
        <v>270.12103564703091</v>
      </c>
      <c r="H1551" s="12">
        <f t="shared" si="221"/>
        <v>1684700</v>
      </c>
      <c r="I1551" s="12">
        <f t="shared" si="222"/>
        <v>972400</v>
      </c>
      <c r="J1551" s="12">
        <f>IF(A1551&lt;[3]关卡对接!$A$4,INDEX([3]关卡对接!$C$7:$C$141,A1551),MATCH(E1551,人物经验!$H$24:$H$573,1))</f>
        <v>506</v>
      </c>
      <c r="K1551" s="12">
        <f>IF([3]关卡对接!F1539="",INT(INDEX(人物经验!$J$24:$J$573,关卡!J1551)*关卡!$S$7),[3]关卡对接!F1539)</f>
        <v>41895</v>
      </c>
      <c r="L1551" s="12">
        <f t="shared" si="218"/>
        <v>2.4</v>
      </c>
      <c r="M1551" s="12">
        <f>L1551/[4]货币基础!$B$4</f>
        <v>240</v>
      </c>
      <c r="N1551" s="12">
        <f>IF(A1551&lt;[3]关卡对接!$A$4,INDEX([3]关卡对接!$E$7:$E$141,A1551),MATCH(E1551,人物经验!$H$24:$H$573,1))</f>
        <v>506</v>
      </c>
      <c r="O1551" s="12">
        <f>INDEX([2]关卡!$G$6:$G$2005,A1551)</f>
        <v>3</v>
      </c>
      <c r="P1551" s="13">
        <v>6</v>
      </c>
      <c r="Q1551" s="12">
        <f>INT(P1551/$S$15/O1551*VLOOKUP(J1551,[1]人物技能基础!$N$3:$O$553,2,0)*$U$15)</f>
        <v>9</v>
      </c>
      <c r="R1551" s="12">
        <f t="shared" si="219"/>
        <v>112</v>
      </c>
    </row>
    <row r="1552" spans="1:18" x14ac:dyDescent="0.15">
      <c r="A1552" s="12">
        <v>1534</v>
      </c>
      <c r="B1552" s="12">
        <f t="shared" si="216"/>
        <v>8</v>
      </c>
      <c r="C1552" s="12">
        <f t="shared" si="217"/>
        <v>9.0704600000000006</v>
      </c>
      <c r="D1552" s="12">
        <f t="shared" si="220"/>
        <v>7.2344999999998549E-2</v>
      </c>
      <c r="E1552" s="12">
        <f>SUM($D$19:D1552)</f>
        <v>41.270459999999957</v>
      </c>
      <c r="F1552" s="12">
        <f t="shared" si="214"/>
        <v>468.81059396087909</v>
      </c>
      <c r="G1552" s="12">
        <f t="shared" si="215"/>
        <v>270.50397446449506</v>
      </c>
      <c r="H1552" s="12">
        <f t="shared" si="221"/>
        <v>1687700</v>
      </c>
      <c r="I1552" s="12">
        <f t="shared" si="222"/>
        <v>973800</v>
      </c>
      <c r="J1552" s="12">
        <f>IF(A1552&lt;[3]关卡对接!$A$4,INDEX([3]关卡对接!$C$7:$C$141,A1552),MATCH(E1552,人物经验!$H$24:$H$573,1))</f>
        <v>506</v>
      </c>
      <c r="K1552" s="12">
        <f>IF([3]关卡对接!F1540="",INT(INDEX(人物经验!$J$24:$J$573,关卡!J1552)*关卡!$S$7),[3]关卡对接!F1540)</f>
        <v>41895</v>
      </c>
      <c r="L1552" s="12">
        <f t="shared" si="218"/>
        <v>2.4</v>
      </c>
      <c r="M1552" s="12">
        <f>L1552/[4]货币基础!$B$4</f>
        <v>240</v>
      </c>
      <c r="N1552" s="12">
        <f>IF(A1552&lt;[3]关卡对接!$A$4,INDEX([3]关卡对接!$E$7:$E$141,A1552),MATCH(E1552,人物经验!$H$24:$H$573,1))</f>
        <v>506</v>
      </c>
      <c r="O1552" s="12">
        <f>INDEX([2]关卡!$G$6:$G$2005,A1552)</f>
        <v>3</v>
      </c>
      <c r="P1552" s="13">
        <v>6</v>
      </c>
      <c r="Q1552" s="12">
        <f>INT(P1552/$S$15/O1552*VLOOKUP(J1552,[1]人物技能基础!$N$3:$O$553,2,0)*$U$15)</f>
        <v>9</v>
      </c>
      <c r="R1552" s="12">
        <f t="shared" si="219"/>
        <v>112</v>
      </c>
    </row>
    <row r="1553" spans="1:18" x14ac:dyDescent="0.15">
      <c r="A1553" s="12">
        <v>1535</v>
      </c>
      <c r="B1553" s="12">
        <f t="shared" si="216"/>
        <v>8</v>
      </c>
      <c r="C1553" s="12">
        <f t="shared" si="217"/>
        <v>9.1428750000000019</v>
      </c>
      <c r="D1553" s="12">
        <f t="shared" si="220"/>
        <v>7.2415000000001228E-2</v>
      </c>
      <c r="E1553" s="12">
        <f>SUM($D$19:D1553)</f>
        <v>41.342874999999957</v>
      </c>
      <c r="F1553" s="12">
        <f t="shared" si="214"/>
        <v>469.63937056246084</v>
      </c>
      <c r="G1553" s="12">
        <f t="shared" si="215"/>
        <v>270.88732851933588</v>
      </c>
      <c r="H1553" s="12">
        <f t="shared" si="221"/>
        <v>1690700</v>
      </c>
      <c r="I1553" s="12">
        <f t="shared" si="222"/>
        <v>975100</v>
      </c>
      <c r="J1553" s="12">
        <f>IF(A1553&lt;[3]关卡对接!$A$4,INDEX([3]关卡对接!$C$7:$C$141,A1553),MATCH(E1553,人物经验!$H$24:$H$573,1))</f>
        <v>507</v>
      </c>
      <c r="K1553" s="12">
        <f>IF([3]关卡对接!F1541="",INT(INDEX(人物经验!$J$24:$J$573,关卡!J1553)*关卡!$S$7),[3]关卡对接!F1541)</f>
        <v>42192</v>
      </c>
      <c r="L1553" s="12">
        <f t="shared" si="218"/>
        <v>2.4</v>
      </c>
      <c r="M1553" s="12">
        <f>L1553/[4]货币基础!$B$4</f>
        <v>240</v>
      </c>
      <c r="N1553" s="12">
        <f>IF(A1553&lt;[3]关卡对接!$A$4,INDEX([3]关卡对接!$E$7:$E$141,A1553),MATCH(E1553,人物经验!$H$24:$H$573,1))</f>
        <v>507</v>
      </c>
      <c r="O1553" s="12">
        <f>INDEX([2]关卡!$G$6:$G$2005,A1553)</f>
        <v>3</v>
      </c>
      <c r="P1553" s="13">
        <v>6</v>
      </c>
      <c r="Q1553" s="12">
        <f>INT(P1553/$S$15/O1553*VLOOKUP(J1553,[1]人物技能基础!$N$3:$O$553,2,0)*$U$15)</f>
        <v>9</v>
      </c>
      <c r="R1553" s="12">
        <f t="shared" si="219"/>
        <v>112</v>
      </c>
    </row>
    <row r="1554" spans="1:18" x14ac:dyDescent="0.15">
      <c r="A1554" s="12">
        <v>1536</v>
      </c>
      <c r="B1554" s="12">
        <f t="shared" si="216"/>
        <v>8</v>
      </c>
      <c r="C1554" s="12">
        <f t="shared" si="217"/>
        <v>9.2153600000000022</v>
      </c>
      <c r="D1554" s="12">
        <f t="shared" si="220"/>
        <v>7.2485000000000355E-2</v>
      </c>
      <c r="E1554" s="12">
        <f>SUM($D$19:D1554)</f>
        <v>41.415359999999957</v>
      </c>
      <c r="F1554" s="12">
        <f t="shared" si="214"/>
        <v>470.46929763942404</v>
      </c>
      <c r="G1554" s="12">
        <f t="shared" si="215"/>
        <v>271.27109814272001</v>
      </c>
      <c r="H1554" s="12">
        <f t="shared" si="221"/>
        <v>1693600</v>
      </c>
      <c r="I1554" s="12">
        <f t="shared" si="222"/>
        <v>976500</v>
      </c>
      <c r="J1554" s="12">
        <f>IF(A1554&lt;[3]关卡对接!$A$4,INDEX([3]关卡对接!$C$7:$C$141,A1554),MATCH(E1554,人物经验!$H$24:$H$573,1))</f>
        <v>507</v>
      </c>
      <c r="K1554" s="12">
        <f>IF([3]关卡对接!F1542="",INT(INDEX(人物经验!$J$24:$J$573,关卡!J1554)*关卡!$S$7),[3]关卡对接!F1542)</f>
        <v>42192</v>
      </c>
      <c r="L1554" s="12">
        <f t="shared" si="218"/>
        <v>2.4</v>
      </c>
      <c r="M1554" s="12">
        <f>L1554/[4]货币基础!$B$4</f>
        <v>240</v>
      </c>
      <c r="N1554" s="12">
        <f>IF(A1554&lt;[3]关卡对接!$A$4,INDEX([3]关卡对接!$E$7:$E$141,A1554),MATCH(E1554,人物经验!$H$24:$H$573,1))</f>
        <v>507</v>
      </c>
      <c r="O1554" s="12">
        <f>INDEX([2]关卡!$G$6:$G$2005,A1554)</f>
        <v>3</v>
      </c>
      <c r="P1554" s="13">
        <v>6</v>
      </c>
      <c r="Q1554" s="12">
        <f>INT(P1554/$S$15/O1554*VLOOKUP(J1554,[1]人物技能基础!$N$3:$O$553,2,0)*$U$15)</f>
        <v>9</v>
      </c>
      <c r="R1554" s="12">
        <f t="shared" si="219"/>
        <v>112</v>
      </c>
    </row>
    <row r="1555" spans="1:18" x14ac:dyDescent="0.15">
      <c r="A1555" s="12">
        <v>1537</v>
      </c>
      <c r="B1555" s="12">
        <f t="shared" si="216"/>
        <v>8</v>
      </c>
      <c r="C1555" s="12">
        <f t="shared" si="217"/>
        <v>9.2879149999999999</v>
      </c>
      <c r="D1555" s="12">
        <f t="shared" si="220"/>
        <v>7.2554999999997705E-2</v>
      </c>
      <c r="E1555" s="12">
        <f>SUM($D$19:D1555)</f>
        <v>41.487914999999958</v>
      </c>
      <c r="F1555" s="12">
        <f t="shared" ref="F1555:F1618" si="223">$L$7*($M$7+$N$7*($A1555/$B$3)^1+$O$7*($A1555/$B$3)^2+$P$7*($A1555/$B$3)^3+$Q$7*($A1555/$B$3)^4)</f>
        <v>471.30037633576489</v>
      </c>
      <c r="G1555" s="12">
        <f t="shared" ref="G1555:G1618" si="224">$L$11*($M$11+$N$11*($A1555/$B$3)^1+$O$11*($A1555/$B$3)^2+$P$11*($A1555/$B$3)^3+$Q$11*($A1555/$B$3)^4)</f>
        <v>271.65528366595595</v>
      </c>
      <c r="H1555" s="12">
        <f t="shared" si="221"/>
        <v>1696600</v>
      </c>
      <c r="I1555" s="12">
        <f t="shared" si="222"/>
        <v>977900</v>
      </c>
      <c r="J1555" s="12">
        <f>IF(A1555&lt;[3]关卡对接!$A$4,INDEX([3]关卡对接!$C$7:$C$141,A1555),MATCH(E1555,人物经验!$H$24:$H$573,1))</f>
        <v>507</v>
      </c>
      <c r="K1555" s="12">
        <f>IF([3]关卡对接!F1543="",INT(INDEX(人物经验!$J$24:$J$573,关卡!J1555)*关卡!$S$7),[3]关卡对接!F1543)</f>
        <v>42192</v>
      </c>
      <c r="L1555" s="12">
        <f t="shared" si="218"/>
        <v>2.4</v>
      </c>
      <c r="M1555" s="12">
        <f>L1555/[4]货币基础!$B$4</f>
        <v>240</v>
      </c>
      <c r="N1555" s="12">
        <f>IF(A1555&lt;[3]关卡对接!$A$4,INDEX([3]关卡对接!$E$7:$E$141,A1555),MATCH(E1555,人物经验!$H$24:$H$573,1))</f>
        <v>507</v>
      </c>
      <c r="O1555" s="12">
        <f>INDEX([2]关卡!$G$6:$G$2005,A1555)</f>
        <v>3</v>
      </c>
      <c r="P1555" s="13">
        <v>6</v>
      </c>
      <c r="Q1555" s="12">
        <f>INT(P1555/$S$15/O1555*VLOOKUP(J1555,[1]人物技能基础!$N$3:$O$553,2,0)*$U$15)</f>
        <v>9</v>
      </c>
      <c r="R1555" s="12">
        <f t="shared" si="219"/>
        <v>112</v>
      </c>
    </row>
    <row r="1556" spans="1:18" x14ac:dyDescent="0.15">
      <c r="A1556" s="12">
        <v>1538</v>
      </c>
      <c r="B1556" s="12">
        <f t="shared" ref="B1556:B1619" si="225">MATCH($A1556,$A$5:$A$15,1)-1</f>
        <v>8</v>
      </c>
      <c r="C1556" s="12">
        <f t="shared" ref="C1556:C1619" si="226">INDEX($C$5:$C$15,$B1556+1)*(INDEX($E$5:$E$15,$B1556+1)+INDEX($F$5:$F$15,$B1556+1)*(($A1556-INDEX($A$5:$A$15,$B1556+1)+1)/(INDEX($B$5:$B$15,$B1556+1)-INDEX($A$5:$A$15,$B1556+1)+1))^1+INDEX($G$5:$G$15,$B1556+1)*(($A1556-INDEX($A$5:$A$15,$B1556+1)+1)/(INDEX($B$5:$B$15,$B1556+1)-INDEX($A$5:$A$15,$B1556+1)+1))^2+INDEX($H$5:$H$15,$B1556+1)*(($A1556-INDEX($A$5:$A$15,$B1556+1)+1)/(INDEX($B$5:$B$15,$B1556+1)-INDEX($A$5:$A$15,$B1556+1)+1))^3+INDEX($I$5:$I$15,$B1556+1)*(($A1556-INDEX($A$5:$A$15,$B1556+1)+1)/(INDEX($B$5:$B$15,$B1556+1)-INDEX($A$5:$A$15,$B1556+1)+1))^4)</f>
        <v>9.3605400000000003</v>
      </c>
      <c r="D1556" s="12">
        <f t="shared" si="220"/>
        <v>7.2625000000000384E-2</v>
      </c>
      <c r="E1556" s="12">
        <f>SUM($D$19:D1556)</f>
        <v>41.560539999999961</v>
      </c>
      <c r="F1556" s="12">
        <f t="shared" si="223"/>
        <v>472.13260779607901</v>
      </c>
      <c r="G1556" s="12">
        <f t="shared" si="224"/>
        <v>272.03988542049501</v>
      </c>
      <c r="H1556" s="12">
        <f t="shared" si="221"/>
        <v>1699600</v>
      </c>
      <c r="I1556" s="12">
        <f t="shared" si="222"/>
        <v>979300</v>
      </c>
      <c r="J1556" s="12">
        <f>IF(A1556&lt;[3]关卡对接!$A$4,INDEX([3]关卡对接!$C$7:$C$141,A1556),MATCH(E1556,人物经验!$H$24:$H$573,1))</f>
        <v>507</v>
      </c>
      <c r="K1556" s="12">
        <f>IF([3]关卡对接!F1544="",INT(INDEX(人物经验!$J$24:$J$573,关卡!J1556)*关卡!$S$7),[3]关卡对接!F1544)</f>
        <v>42192</v>
      </c>
      <c r="L1556" s="12">
        <f t="shared" ref="L1556:L1619" si="227">VLOOKUP(A1556,$A$5:$J$15,10,1)</f>
        <v>2.4</v>
      </c>
      <c r="M1556" s="12">
        <f>L1556/[4]货币基础!$B$4</f>
        <v>240</v>
      </c>
      <c r="N1556" s="12">
        <f>IF(A1556&lt;[3]关卡对接!$A$4,INDEX([3]关卡对接!$E$7:$E$141,A1556),MATCH(E1556,人物经验!$H$24:$H$573,1))</f>
        <v>507</v>
      </c>
      <c r="O1556" s="12">
        <f>INDEX([2]关卡!$G$6:$G$2005,A1556)</f>
        <v>3</v>
      </c>
      <c r="P1556" s="13">
        <v>6</v>
      </c>
      <c r="Q1556" s="12">
        <f>INT(P1556/$S$15/O1556*VLOOKUP(J1556,[1]人物技能基础!$N$3:$O$553,2,0)*$U$15)</f>
        <v>9</v>
      </c>
      <c r="R1556" s="12">
        <f t="shared" ref="R1556:R1619" si="228">INT(Q1556*12.5)</f>
        <v>112</v>
      </c>
    </row>
    <row r="1557" spans="1:18" x14ac:dyDescent="0.15">
      <c r="A1557" s="12">
        <v>1539</v>
      </c>
      <c r="B1557" s="12">
        <f t="shared" si="225"/>
        <v>8</v>
      </c>
      <c r="C1557" s="12">
        <f t="shared" si="226"/>
        <v>9.4332349999999998</v>
      </c>
      <c r="D1557" s="12">
        <f t="shared" si="220"/>
        <v>7.269499999999951E-2</v>
      </c>
      <c r="E1557" s="12">
        <f>SUM($D$19:D1557)</f>
        <v>41.633234999999956</v>
      </c>
      <c r="F1557" s="12">
        <f t="shared" si="223"/>
        <v>472.96599316555989</v>
      </c>
      <c r="G1557" s="12">
        <f t="shared" si="224"/>
        <v>272.42490373793095</v>
      </c>
      <c r="H1557" s="12">
        <f t="shared" si="221"/>
        <v>1702600</v>
      </c>
      <c r="I1557" s="12">
        <f t="shared" si="222"/>
        <v>980700</v>
      </c>
      <c r="J1557" s="12">
        <f>IF(A1557&lt;[3]关卡对接!$A$4,INDEX([3]关卡对接!$C$7:$C$141,A1557),MATCH(E1557,人物经验!$H$24:$H$573,1))</f>
        <v>508</v>
      </c>
      <c r="K1557" s="12">
        <f>IF([3]关卡对接!F1545="",INT(INDEX(人物经验!$J$24:$J$573,关卡!J1557)*关卡!$S$7),[3]关卡对接!F1545)</f>
        <v>42491</v>
      </c>
      <c r="L1557" s="12">
        <f t="shared" si="227"/>
        <v>2.4</v>
      </c>
      <c r="M1557" s="12">
        <f>L1557/[4]货币基础!$B$4</f>
        <v>240</v>
      </c>
      <c r="N1557" s="12">
        <f>IF(A1557&lt;[3]关卡对接!$A$4,INDEX([3]关卡对接!$E$7:$E$141,A1557),MATCH(E1557,人物经验!$H$24:$H$573,1))</f>
        <v>508</v>
      </c>
      <c r="O1557" s="12">
        <f>INDEX([2]关卡!$G$6:$G$2005,A1557)</f>
        <v>3</v>
      </c>
      <c r="P1557" s="13">
        <v>6</v>
      </c>
      <c r="Q1557" s="12">
        <f>INT(P1557/$S$15/O1557*VLOOKUP(J1557,[1]人物技能基础!$N$3:$O$553,2,0)*$U$15)</f>
        <v>9</v>
      </c>
      <c r="R1557" s="12">
        <f t="shared" si="228"/>
        <v>112</v>
      </c>
    </row>
    <row r="1558" spans="1:18" x14ac:dyDescent="0.15">
      <c r="A1558" s="12">
        <v>1540</v>
      </c>
      <c r="B1558" s="12">
        <f t="shared" si="225"/>
        <v>8</v>
      </c>
      <c r="C1558" s="12">
        <f t="shared" si="226"/>
        <v>9.5060000000000002</v>
      </c>
      <c r="D1558" s="12">
        <f t="shared" si="220"/>
        <v>7.2765000000000413E-2</v>
      </c>
      <c r="E1558" s="12">
        <f>SUM($D$19:D1558)</f>
        <v>41.70599999999996</v>
      </c>
      <c r="F1558" s="12">
        <f t="shared" si="223"/>
        <v>473.80053358999999</v>
      </c>
      <c r="G1558" s="12">
        <f t="shared" si="224"/>
        <v>272.81033895000002</v>
      </c>
      <c r="H1558" s="12">
        <f t="shared" si="221"/>
        <v>1705600</v>
      </c>
      <c r="I1558" s="12">
        <f t="shared" si="222"/>
        <v>982100</v>
      </c>
      <c r="J1558" s="12">
        <f>IF(A1558&lt;[3]关卡对接!$A$4,INDEX([3]关卡对接!$C$7:$C$141,A1558),MATCH(E1558,人物经验!$H$24:$H$573,1))</f>
        <v>508</v>
      </c>
      <c r="K1558" s="12">
        <f>IF([3]关卡对接!F1546="",INT(INDEX(人物经验!$J$24:$J$573,关卡!J1558)*关卡!$S$7),[3]关卡对接!F1546)</f>
        <v>42491</v>
      </c>
      <c r="L1558" s="12">
        <f t="shared" si="227"/>
        <v>2.4</v>
      </c>
      <c r="M1558" s="12">
        <f>L1558/[4]货币基础!$B$4</f>
        <v>240</v>
      </c>
      <c r="N1558" s="12">
        <f>IF(A1558&lt;[3]关卡对接!$A$4,INDEX([3]关卡对接!$E$7:$E$141,A1558),MATCH(E1558,人物经验!$H$24:$H$573,1))</f>
        <v>508</v>
      </c>
      <c r="O1558" s="12">
        <f>INDEX([2]关卡!$G$6:$G$2005,A1558)</f>
        <v>3</v>
      </c>
      <c r="P1558" s="13">
        <v>6</v>
      </c>
      <c r="Q1558" s="12">
        <f>INT(P1558/$S$15/O1558*VLOOKUP(J1558,[1]人物技能基础!$N$3:$O$553,2,0)*$U$15)</f>
        <v>9</v>
      </c>
      <c r="R1558" s="12">
        <f t="shared" si="228"/>
        <v>112</v>
      </c>
    </row>
    <row r="1559" spans="1:18" x14ac:dyDescent="0.15">
      <c r="A1559" s="12">
        <v>1541</v>
      </c>
      <c r="B1559" s="12">
        <f t="shared" si="225"/>
        <v>8</v>
      </c>
      <c r="C1559" s="12">
        <f t="shared" si="226"/>
        <v>9.5788349999999998</v>
      </c>
      <c r="D1559" s="12">
        <f t="shared" si="220"/>
        <v>7.2834999999999539E-2</v>
      </c>
      <c r="E1559" s="12">
        <f>SUM($D$19:D1559)</f>
        <v>41.778834999999958</v>
      </c>
      <c r="F1559" s="12">
        <f t="shared" si="223"/>
        <v>474.63623021578985</v>
      </c>
      <c r="G1559" s="12">
        <f t="shared" si="224"/>
        <v>273.19619138858087</v>
      </c>
      <c r="H1559" s="12">
        <f t="shared" si="221"/>
        <v>1708600</v>
      </c>
      <c r="I1559" s="12">
        <f t="shared" si="222"/>
        <v>983500</v>
      </c>
      <c r="J1559" s="12">
        <f>IF(A1559&lt;[3]关卡对接!$A$4,INDEX([3]关卡对接!$C$7:$C$141,A1559),MATCH(E1559,人物经验!$H$24:$H$573,1))</f>
        <v>508</v>
      </c>
      <c r="K1559" s="12">
        <f>IF([3]关卡对接!F1547="",INT(INDEX(人物经验!$J$24:$J$573,关卡!J1559)*关卡!$S$7),[3]关卡对接!F1547)</f>
        <v>42491</v>
      </c>
      <c r="L1559" s="12">
        <f t="shared" si="227"/>
        <v>2.4</v>
      </c>
      <c r="M1559" s="12">
        <f>L1559/[4]货币基础!$B$4</f>
        <v>240</v>
      </c>
      <c r="N1559" s="12">
        <f>IF(A1559&lt;[3]关卡对接!$A$4,INDEX([3]关卡对接!$E$7:$E$141,A1559),MATCH(E1559,人物经验!$H$24:$H$573,1))</f>
        <v>508</v>
      </c>
      <c r="O1559" s="12">
        <f>INDEX([2]关卡!$G$6:$G$2005,A1559)</f>
        <v>3</v>
      </c>
      <c r="P1559" s="13">
        <v>6</v>
      </c>
      <c r="Q1559" s="12">
        <f>INT(P1559/$S$15/O1559*VLOOKUP(J1559,[1]人物技能基础!$N$3:$O$553,2,0)*$U$15)</f>
        <v>9</v>
      </c>
      <c r="R1559" s="12">
        <f t="shared" si="228"/>
        <v>112</v>
      </c>
    </row>
    <row r="1560" spans="1:18" x14ac:dyDescent="0.15">
      <c r="A1560" s="12">
        <v>1542</v>
      </c>
      <c r="B1560" s="12">
        <f t="shared" si="225"/>
        <v>8</v>
      </c>
      <c r="C1560" s="12">
        <f t="shared" si="226"/>
        <v>9.6517400000000002</v>
      </c>
      <c r="D1560" s="12">
        <f t="shared" si="220"/>
        <v>7.2905000000000442E-2</v>
      </c>
      <c r="E1560" s="12">
        <f>SUM($D$19:D1560)</f>
        <v>41.851739999999957</v>
      </c>
      <c r="F1560" s="12">
        <f t="shared" si="223"/>
        <v>475.47308418991901</v>
      </c>
      <c r="G1560" s="12">
        <f t="shared" si="224"/>
        <v>273.58246138569496</v>
      </c>
      <c r="H1560" s="12">
        <f t="shared" si="221"/>
        <v>1711700</v>
      </c>
      <c r="I1560" s="12">
        <f t="shared" si="222"/>
        <v>984800</v>
      </c>
      <c r="J1560" s="12">
        <f>IF(A1560&lt;[3]关卡对接!$A$4,INDEX([3]关卡对接!$C$7:$C$141,A1560),MATCH(E1560,人物经验!$H$24:$H$573,1))</f>
        <v>508</v>
      </c>
      <c r="K1560" s="12">
        <f>IF([3]关卡对接!F1548="",INT(INDEX(人物经验!$J$24:$J$573,关卡!J1560)*关卡!$S$7),[3]关卡对接!F1548)</f>
        <v>42491</v>
      </c>
      <c r="L1560" s="12">
        <f t="shared" si="227"/>
        <v>2.4</v>
      </c>
      <c r="M1560" s="12">
        <f>L1560/[4]货币基础!$B$4</f>
        <v>240</v>
      </c>
      <c r="N1560" s="12">
        <f>IF(A1560&lt;[3]关卡对接!$A$4,INDEX([3]关卡对接!$E$7:$E$141,A1560),MATCH(E1560,人物经验!$H$24:$H$573,1))</f>
        <v>508</v>
      </c>
      <c r="O1560" s="12">
        <f>INDEX([2]关卡!$G$6:$G$2005,A1560)</f>
        <v>3</v>
      </c>
      <c r="P1560" s="13">
        <v>6</v>
      </c>
      <c r="Q1560" s="12">
        <f>INT(P1560/$S$15/O1560*VLOOKUP(J1560,[1]人物技能基础!$N$3:$O$553,2,0)*$U$15)</f>
        <v>9</v>
      </c>
      <c r="R1560" s="12">
        <f t="shared" si="228"/>
        <v>112</v>
      </c>
    </row>
    <row r="1561" spans="1:18" x14ac:dyDescent="0.15">
      <c r="A1561" s="12">
        <v>1543</v>
      </c>
      <c r="B1561" s="12">
        <f t="shared" si="225"/>
        <v>8</v>
      </c>
      <c r="C1561" s="12">
        <f t="shared" si="226"/>
        <v>9.7247149999999998</v>
      </c>
      <c r="D1561" s="12">
        <f t="shared" si="220"/>
        <v>7.2974999999999568E-2</v>
      </c>
      <c r="E1561" s="12">
        <f>SUM($D$19:D1561)</f>
        <v>41.924714999999956</v>
      </c>
      <c r="F1561" s="12">
        <f t="shared" si="223"/>
        <v>476.31109665997496</v>
      </c>
      <c r="G1561" s="12">
        <f t="shared" si="224"/>
        <v>273.96914927350599</v>
      </c>
      <c r="H1561" s="12">
        <f t="shared" si="221"/>
        <v>1714700</v>
      </c>
      <c r="I1561" s="12">
        <f t="shared" si="222"/>
        <v>986200</v>
      </c>
      <c r="J1561" s="12">
        <f>IF(A1561&lt;[3]关卡对接!$A$4,INDEX([3]关卡对接!$C$7:$C$141,A1561),MATCH(E1561,人物经验!$H$24:$H$573,1))</f>
        <v>509</v>
      </c>
      <c r="K1561" s="12">
        <f>IF([3]关卡对接!F1549="",INT(INDEX(人物经验!$J$24:$J$573,关卡!J1561)*关卡!$S$7),[3]关卡对接!F1549)</f>
        <v>42792</v>
      </c>
      <c r="L1561" s="12">
        <f t="shared" si="227"/>
        <v>2.4</v>
      </c>
      <c r="M1561" s="12">
        <f>L1561/[4]货币基础!$B$4</f>
        <v>240</v>
      </c>
      <c r="N1561" s="12">
        <f>IF(A1561&lt;[3]关卡对接!$A$4,INDEX([3]关卡对接!$E$7:$E$141,A1561),MATCH(E1561,人物经验!$H$24:$H$573,1))</f>
        <v>509</v>
      </c>
      <c r="O1561" s="12">
        <f>INDEX([2]关卡!$G$6:$G$2005,A1561)</f>
        <v>3</v>
      </c>
      <c r="P1561" s="13">
        <v>6</v>
      </c>
      <c r="Q1561" s="12">
        <f>INT(P1561/$S$15/O1561*VLOOKUP(J1561,[1]人物技能基础!$N$3:$O$553,2,0)*$U$15)</f>
        <v>9</v>
      </c>
      <c r="R1561" s="12">
        <f t="shared" si="228"/>
        <v>112</v>
      </c>
    </row>
    <row r="1562" spans="1:18" x14ac:dyDescent="0.15">
      <c r="A1562" s="12">
        <v>1544</v>
      </c>
      <c r="B1562" s="12">
        <f t="shared" si="225"/>
        <v>8</v>
      </c>
      <c r="C1562" s="12">
        <f t="shared" si="226"/>
        <v>9.7977600000000002</v>
      </c>
      <c r="D1562" s="12">
        <f t="shared" si="220"/>
        <v>7.3045000000000471E-2</v>
      </c>
      <c r="E1562" s="12">
        <f>SUM($D$19:D1562)</f>
        <v>41.997759999999957</v>
      </c>
      <c r="F1562" s="12">
        <f t="shared" si="223"/>
        <v>477.15026877414414</v>
      </c>
      <c r="G1562" s="12">
        <f t="shared" si="224"/>
        <v>274.35625538432004</v>
      </c>
      <c r="H1562" s="12">
        <f t="shared" si="221"/>
        <v>1717700</v>
      </c>
      <c r="I1562" s="12">
        <f t="shared" si="222"/>
        <v>987600</v>
      </c>
      <c r="J1562" s="12">
        <f>IF(A1562&lt;[3]关卡对接!$A$4,INDEX([3]关卡对接!$C$7:$C$141,A1562),MATCH(E1562,人物经验!$H$24:$H$573,1))</f>
        <v>509</v>
      </c>
      <c r="K1562" s="12">
        <f>IF([3]关卡对接!F1550="",INT(INDEX(人物经验!$J$24:$J$573,关卡!J1562)*关卡!$S$7),[3]关卡对接!F1550)</f>
        <v>42792</v>
      </c>
      <c r="L1562" s="12">
        <f t="shared" si="227"/>
        <v>2.4</v>
      </c>
      <c r="M1562" s="12">
        <f>L1562/[4]货币基础!$B$4</f>
        <v>240</v>
      </c>
      <c r="N1562" s="12">
        <f>IF(A1562&lt;[3]关卡对接!$A$4,INDEX([3]关卡对接!$E$7:$E$141,A1562),MATCH(E1562,人物经验!$H$24:$H$573,1))</f>
        <v>509</v>
      </c>
      <c r="O1562" s="12">
        <f>INDEX([2]关卡!$G$6:$G$2005,A1562)</f>
        <v>3</v>
      </c>
      <c r="P1562" s="13">
        <v>6</v>
      </c>
      <c r="Q1562" s="12">
        <f>INT(P1562/$S$15/O1562*VLOOKUP(J1562,[1]人物技能基础!$N$3:$O$553,2,0)*$U$15)</f>
        <v>9</v>
      </c>
      <c r="R1562" s="12">
        <f t="shared" si="228"/>
        <v>112</v>
      </c>
    </row>
    <row r="1563" spans="1:18" x14ac:dyDescent="0.15">
      <c r="A1563" s="12">
        <v>1545</v>
      </c>
      <c r="B1563" s="12">
        <f t="shared" si="225"/>
        <v>8</v>
      </c>
      <c r="C1563" s="12">
        <f t="shared" si="226"/>
        <v>9.8708749999999981</v>
      </c>
      <c r="D1563" s="12">
        <f t="shared" si="220"/>
        <v>7.3114999999997821E-2</v>
      </c>
      <c r="E1563" s="12">
        <f>SUM($D$19:D1563)</f>
        <v>42.070874999999958</v>
      </c>
      <c r="F1563" s="12">
        <f t="shared" si="223"/>
        <v>477.99060168121093</v>
      </c>
      <c r="G1563" s="12">
        <f t="shared" si="224"/>
        <v>274.74378005058594</v>
      </c>
      <c r="H1563" s="12">
        <f t="shared" si="221"/>
        <v>1720700</v>
      </c>
      <c r="I1563" s="12">
        <f t="shared" si="222"/>
        <v>989000</v>
      </c>
      <c r="J1563" s="12">
        <f>IF(A1563&lt;[3]关卡对接!$A$4,INDEX([3]关卡对接!$C$7:$C$141,A1563),MATCH(E1563,人物经验!$H$24:$H$573,1))</f>
        <v>509</v>
      </c>
      <c r="K1563" s="12">
        <f>IF([3]关卡对接!F1551="",INT(INDEX(人物经验!$J$24:$J$573,关卡!J1563)*关卡!$S$7),[3]关卡对接!F1551)</f>
        <v>42792</v>
      </c>
      <c r="L1563" s="12">
        <f t="shared" si="227"/>
        <v>2.4</v>
      </c>
      <c r="M1563" s="12">
        <f>L1563/[4]货币基础!$B$4</f>
        <v>240</v>
      </c>
      <c r="N1563" s="12">
        <f>IF(A1563&lt;[3]关卡对接!$A$4,INDEX([3]关卡对接!$E$7:$E$141,A1563),MATCH(E1563,人物经验!$H$24:$H$573,1))</f>
        <v>509</v>
      </c>
      <c r="O1563" s="12">
        <f>INDEX([2]关卡!$G$6:$G$2005,A1563)</f>
        <v>3</v>
      </c>
      <c r="P1563" s="13">
        <v>6</v>
      </c>
      <c r="Q1563" s="12">
        <f>INT(P1563/$S$15/O1563*VLOOKUP(J1563,[1]人物技能基础!$N$3:$O$553,2,0)*$U$15)</f>
        <v>9</v>
      </c>
      <c r="R1563" s="12">
        <f t="shared" si="228"/>
        <v>112</v>
      </c>
    </row>
    <row r="1564" spans="1:18" x14ac:dyDescent="0.15">
      <c r="A1564" s="12">
        <v>1546</v>
      </c>
      <c r="B1564" s="12">
        <f t="shared" si="225"/>
        <v>8</v>
      </c>
      <c r="C1564" s="12">
        <f t="shared" si="226"/>
        <v>9.9440600000000003</v>
      </c>
      <c r="D1564" s="12">
        <f t="shared" si="220"/>
        <v>7.3185000000002276E-2</v>
      </c>
      <c r="E1564" s="12">
        <f>SUM($D$19:D1564)</f>
        <v>42.144059999999961</v>
      </c>
      <c r="F1564" s="12">
        <f t="shared" si="223"/>
        <v>478.83209653055894</v>
      </c>
      <c r="G1564" s="12">
        <f t="shared" si="224"/>
        <v>275.131723604895</v>
      </c>
      <c r="H1564" s="12">
        <f t="shared" si="221"/>
        <v>1723700</v>
      </c>
      <c r="I1564" s="12">
        <f t="shared" si="222"/>
        <v>990400</v>
      </c>
      <c r="J1564" s="12">
        <f>IF(A1564&lt;[3]关卡对接!$A$4,INDEX([3]关卡对接!$C$7:$C$141,A1564),MATCH(E1564,人物经验!$H$24:$H$573,1))</f>
        <v>509</v>
      </c>
      <c r="K1564" s="12">
        <f>IF([3]关卡对接!F1552="",INT(INDEX(人物经验!$J$24:$J$573,关卡!J1564)*关卡!$S$7),[3]关卡对接!F1552)</f>
        <v>42792</v>
      </c>
      <c r="L1564" s="12">
        <f t="shared" si="227"/>
        <v>2.4</v>
      </c>
      <c r="M1564" s="12">
        <f>L1564/[4]货币基础!$B$4</f>
        <v>240</v>
      </c>
      <c r="N1564" s="12">
        <f>IF(A1564&lt;[3]关卡对接!$A$4,INDEX([3]关卡对接!$E$7:$E$141,A1564),MATCH(E1564,人物经验!$H$24:$H$573,1))</f>
        <v>509</v>
      </c>
      <c r="O1564" s="12">
        <f>INDEX([2]关卡!$G$6:$G$2005,A1564)</f>
        <v>3</v>
      </c>
      <c r="P1564" s="13">
        <v>6</v>
      </c>
      <c r="Q1564" s="12">
        <f>INT(P1564/$S$15/O1564*VLOOKUP(J1564,[1]人物技能基础!$N$3:$O$553,2,0)*$U$15)</f>
        <v>9</v>
      </c>
      <c r="R1564" s="12">
        <f t="shared" si="228"/>
        <v>112</v>
      </c>
    </row>
    <row r="1565" spans="1:18" x14ac:dyDescent="0.15">
      <c r="A1565" s="12">
        <v>1547</v>
      </c>
      <c r="B1565" s="12">
        <f t="shared" si="225"/>
        <v>8</v>
      </c>
      <c r="C1565" s="12">
        <f t="shared" si="226"/>
        <v>10.017315</v>
      </c>
      <c r="D1565" s="12">
        <f t="shared" si="220"/>
        <v>7.3254999999999626E-2</v>
      </c>
      <c r="E1565" s="12">
        <f>SUM($D$19:D1565)</f>
        <v>42.217314999999957</v>
      </c>
      <c r="F1565" s="12">
        <f t="shared" si="223"/>
        <v>479.67475447216992</v>
      </c>
      <c r="G1565" s="12">
        <f t="shared" si="224"/>
        <v>275.52008637998091</v>
      </c>
      <c r="H1565" s="12">
        <f t="shared" si="221"/>
        <v>1726800</v>
      </c>
      <c r="I1565" s="12">
        <f t="shared" si="222"/>
        <v>991800</v>
      </c>
      <c r="J1565" s="12">
        <f>IF(A1565&lt;[3]关卡对接!$A$4,INDEX([3]关卡对接!$C$7:$C$141,A1565),MATCH(E1565,人物经验!$H$24:$H$573,1))</f>
        <v>510</v>
      </c>
      <c r="K1565" s="12">
        <f>IF([3]关卡对接!F1553="",INT(INDEX(人物经验!$J$24:$J$573,关卡!J1565)*关卡!$S$7),[3]关卡对接!F1553)</f>
        <v>43094</v>
      </c>
      <c r="L1565" s="12">
        <f t="shared" si="227"/>
        <v>2.4</v>
      </c>
      <c r="M1565" s="12">
        <f>L1565/[4]货币基础!$B$4</f>
        <v>240</v>
      </c>
      <c r="N1565" s="12">
        <f>IF(A1565&lt;[3]关卡对接!$A$4,INDEX([3]关卡对接!$E$7:$E$141,A1565),MATCH(E1565,人物经验!$H$24:$H$573,1))</f>
        <v>510</v>
      </c>
      <c r="O1565" s="12">
        <f>INDEX([2]关卡!$G$6:$G$2005,A1565)</f>
        <v>3</v>
      </c>
      <c r="P1565" s="13">
        <v>6</v>
      </c>
      <c r="Q1565" s="12">
        <f>INT(P1565/$S$15/O1565*VLOOKUP(J1565,[1]人物技能基础!$N$3:$O$553,2,0)*$U$15)</f>
        <v>9</v>
      </c>
      <c r="R1565" s="12">
        <f t="shared" si="228"/>
        <v>112</v>
      </c>
    </row>
    <row r="1566" spans="1:18" x14ac:dyDescent="0.15">
      <c r="A1566" s="12">
        <v>1548</v>
      </c>
      <c r="B1566" s="12">
        <f t="shared" si="225"/>
        <v>8</v>
      </c>
      <c r="C1566" s="12">
        <f t="shared" si="226"/>
        <v>10.09064</v>
      </c>
      <c r="D1566" s="12">
        <f t="shared" si="220"/>
        <v>7.3325000000000529E-2</v>
      </c>
      <c r="E1566" s="12">
        <f>SUM($D$19:D1566)</f>
        <v>42.290639999999954</v>
      </c>
      <c r="F1566" s="12">
        <f t="shared" si="223"/>
        <v>480.51857665662413</v>
      </c>
      <c r="G1566" s="12">
        <f t="shared" si="224"/>
        <v>275.90886870871998</v>
      </c>
      <c r="H1566" s="12">
        <f t="shared" si="221"/>
        <v>1729800</v>
      </c>
      <c r="I1566" s="12">
        <f t="shared" si="222"/>
        <v>993200</v>
      </c>
      <c r="J1566" s="12">
        <f>IF(A1566&lt;[3]关卡对接!$A$4,INDEX([3]关卡对接!$C$7:$C$141,A1566),MATCH(E1566,人物经验!$H$24:$H$573,1))</f>
        <v>510</v>
      </c>
      <c r="K1566" s="12">
        <f>IF([3]关卡对接!F1554="",INT(INDEX(人物经验!$J$24:$J$573,关卡!J1566)*关卡!$S$7),[3]关卡对接!F1554)</f>
        <v>43094</v>
      </c>
      <c r="L1566" s="12">
        <f t="shared" si="227"/>
        <v>2.4</v>
      </c>
      <c r="M1566" s="12">
        <f>L1566/[4]货币基础!$B$4</f>
        <v>240</v>
      </c>
      <c r="N1566" s="12">
        <f>IF(A1566&lt;[3]关卡对接!$A$4,INDEX([3]关卡对接!$E$7:$E$141,A1566),MATCH(E1566,人物经验!$H$24:$H$573,1))</f>
        <v>510</v>
      </c>
      <c r="O1566" s="12">
        <f>INDEX([2]关卡!$G$6:$G$2005,A1566)</f>
        <v>3</v>
      </c>
      <c r="P1566" s="13">
        <v>6</v>
      </c>
      <c r="Q1566" s="12">
        <f>INT(P1566/$S$15/O1566*VLOOKUP(J1566,[1]人物技能基础!$N$3:$O$553,2,0)*$U$15)</f>
        <v>9</v>
      </c>
      <c r="R1566" s="12">
        <f t="shared" si="228"/>
        <v>112</v>
      </c>
    </row>
    <row r="1567" spans="1:18" x14ac:dyDescent="0.15">
      <c r="A1567" s="12">
        <v>1549</v>
      </c>
      <c r="B1567" s="12">
        <f t="shared" si="225"/>
        <v>8</v>
      </c>
      <c r="C1567" s="12">
        <f t="shared" si="226"/>
        <v>10.164035</v>
      </c>
      <c r="D1567" s="12">
        <f t="shared" si="220"/>
        <v>7.3394999999999655E-2</v>
      </c>
      <c r="E1567" s="12">
        <f>SUM($D$19:D1567)</f>
        <v>42.364034999999951</v>
      </c>
      <c r="F1567" s="12">
        <f t="shared" si="223"/>
        <v>481.36356423509989</v>
      </c>
      <c r="G1567" s="12">
        <f t="shared" si="224"/>
        <v>276.29807092413091</v>
      </c>
      <c r="H1567" s="12">
        <f t="shared" si="221"/>
        <v>1732900</v>
      </c>
      <c r="I1567" s="12">
        <f t="shared" si="222"/>
        <v>994600</v>
      </c>
      <c r="J1567" s="12">
        <f>IF(A1567&lt;[3]关卡对接!$A$4,INDEX([3]关卡对接!$C$7:$C$141,A1567),MATCH(E1567,人物经验!$H$24:$H$573,1))</f>
        <v>510</v>
      </c>
      <c r="K1567" s="12">
        <f>IF([3]关卡对接!F1555="",INT(INDEX(人物经验!$J$24:$J$573,关卡!J1567)*关卡!$S$7),[3]关卡对接!F1555)</f>
        <v>43094</v>
      </c>
      <c r="L1567" s="12">
        <f t="shared" si="227"/>
        <v>2.4</v>
      </c>
      <c r="M1567" s="12">
        <f>L1567/[4]货币基础!$B$4</f>
        <v>240</v>
      </c>
      <c r="N1567" s="12">
        <f>IF(A1567&lt;[3]关卡对接!$A$4,INDEX([3]关卡对接!$E$7:$E$141,A1567),MATCH(E1567,人物经验!$H$24:$H$573,1))</f>
        <v>510</v>
      </c>
      <c r="O1567" s="12">
        <f>INDEX([2]关卡!$G$6:$G$2005,A1567)</f>
        <v>3</v>
      </c>
      <c r="P1567" s="13">
        <v>6</v>
      </c>
      <c r="Q1567" s="12">
        <f>INT(P1567/$S$15/O1567*VLOOKUP(J1567,[1]人物技能基础!$N$3:$O$553,2,0)*$U$15)</f>
        <v>9</v>
      </c>
      <c r="R1567" s="12">
        <f t="shared" si="228"/>
        <v>112</v>
      </c>
    </row>
    <row r="1568" spans="1:18" x14ac:dyDescent="0.15">
      <c r="A1568" s="12">
        <v>1550</v>
      </c>
      <c r="B1568" s="12">
        <f t="shared" si="225"/>
        <v>8</v>
      </c>
      <c r="C1568" s="12">
        <f t="shared" si="226"/>
        <v>10.237500000000001</v>
      </c>
      <c r="D1568" s="12">
        <f t="shared" si="220"/>
        <v>7.3465000000000558E-2</v>
      </c>
      <c r="E1568" s="12">
        <f>SUM($D$19:D1568)</f>
        <v>42.43749999999995</v>
      </c>
      <c r="F1568" s="12">
        <f t="shared" si="223"/>
        <v>482.20971835937507</v>
      </c>
      <c r="G1568" s="12">
        <f t="shared" si="224"/>
        <v>276.68769335937503</v>
      </c>
      <c r="H1568" s="12">
        <f t="shared" si="221"/>
        <v>1735900</v>
      </c>
      <c r="I1568" s="12">
        <f t="shared" si="222"/>
        <v>996000</v>
      </c>
      <c r="J1568" s="12">
        <f>IF(A1568&lt;[3]关卡对接!$A$4,INDEX([3]关卡对接!$C$7:$C$141,A1568),MATCH(E1568,人物经验!$H$24:$H$573,1))</f>
        <v>510</v>
      </c>
      <c r="K1568" s="12">
        <f>IF([3]关卡对接!F1556="",INT(INDEX(人物经验!$J$24:$J$573,关卡!J1568)*关卡!$S$7),[3]关卡对接!F1556)</f>
        <v>43094</v>
      </c>
      <c r="L1568" s="12">
        <f t="shared" si="227"/>
        <v>2.4</v>
      </c>
      <c r="M1568" s="12">
        <f>L1568/[4]货币基础!$B$4</f>
        <v>240</v>
      </c>
      <c r="N1568" s="12">
        <f>IF(A1568&lt;[3]关卡对接!$A$4,INDEX([3]关卡对接!$E$7:$E$141,A1568),MATCH(E1568,人物经验!$H$24:$H$573,1))</f>
        <v>510</v>
      </c>
      <c r="O1568" s="12">
        <f>INDEX([2]关卡!$G$6:$G$2005,A1568)</f>
        <v>3</v>
      </c>
      <c r="P1568" s="13">
        <v>6</v>
      </c>
      <c r="Q1568" s="12">
        <f>INT(P1568/$S$15/O1568*VLOOKUP(J1568,[1]人物技能基础!$N$3:$O$553,2,0)*$U$15)</f>
        <v>9</v>
      </c>
      <c r="R1568" s="12">
        <f t="shared" si="228"/>
        <v>112</v>
      </c>
    </row>
    <row r="1569" spans="1:18" x14ac:dyDescent="0.15">
      <c r="A1569" s="12">
        <v>1551</v>
      </c>
      <c r="B1569" s="12">
        <f t="shared" si="225"/>
        <v>8</v>
      </c>
      <c r="C1569" s="12">
        <f t="shared" si="226"/>
        <v>10.311034999999999</v>
      </c>
      <c r="D1569" s="12">
        <f t="shared" si="220"/>
        <v>7.3534999999997908E-2</v>
      </c>
      <c r="E1569" s="12">
        <f>SUM($D$19:D1569)</f>
        <v>42.51103499999995</v>
      </c>
      <c r="F1569" s="12">
        <f t="shared" si="223"/>
        <v>483.05704018182496</v>
      </c>
      <c r="G1569" s="12">
        <f t="shared" si="224"/>
        <v>277.07773634775589</v>
      </c>
      <c r="H1569" s="12">
        <f t="shared" si="221"/>
        <v>1739000</v>
      </c>
      <c r="I1569" s="12">
        <f t="shared" si="222"/>
        <v>997400</v>
      </c>
      <c r="J1569" s="12">
        <f>IF(A1569&lt;[3]关卡对接!$A$4,INDEX([3]关卡对接!$C$7:$C$141,A1569),MATCH(E1569,人物经验!$H$24:$H$573,1))</f>
        <v>511</v>
      </c>
      <c r="K1569" s="12">
        <f>IF([3]关卡对接!F1557="",INT(INDEX(人物经验!$J$24:$J$573,关卡!J1569)*关卡!$S$7),[3]关卡对接!F1557)</f>
        <v>43398</v>
      </c>
      <c r="L1569" s="12">
        <f t="shared" si="227"/>
        <v>2.4</v>
      </c>
      <c r="M1569" s="12">
        <f>L1569/[4]货币基础!$B$4</f>
        <v>240</v>
      </c>
      <c r="N1569" s="12">
        <f>IF(A1569&lt;[3]关卡对接!$A$4,INDEX([3]关卡对接!$E$7:$E$141,A1569),MATCH(E1569,人物经验!$H$24:$H$573,1))</f>
        <v>511</v>
      </c>
      <c r="O1569" s="12">
        <f>INDEX([2]关卡!$G$6:$G$2005,A1569)</f>
        <v>3</v>
      </c>
      <c r="P1569" s="13">
        <v>6</v>
      </c>
      <c r="Q1569" s="12">
        <f>INT(P1569/$S$15/O1569*VLOOKUP(J1569,[1]人物技能基础!$N$3:$O$553,2,0)*$U$15)</f>
        <v>9</v>
      </c>
      <c r="R1569" s="12">
        <f t="shared" si="228"/>
        <v>112</v>
      </c>
    </row>
    <row r="1570" spans="1:18" x14ac:dyDescent="0.15">
      <c r="A1570" s="12">
        <v>1552</v>
      </c>
      <c r="B1570" s="12">
        <f t="shared" si="225"/>
        <v>8</v>
      </c>
      <c r="C1570" s="12">
        <f t="shared" si="226"/>
        <v>10.384640000000001</v>
      </c>
      <c r="D1570" s="12">
        <f t="shared" si="220"/>
        <v>7.3605000000002363E-2</v>
      </c>
      <c r="E1570" s="12">
        <f>SUM($D$19:D1570)</f>
        <v>42.584639999999951</v>
      </c>
      <c r="F1570" s="12">
        <f t="shared" si="223"/>
        <v>483.9055308554241</v>
      </c>
      <c r="G1570" s="12">
        <f t="shared" si="224"/>
        <v>277.46820022271999</v>
      </c>
      <c r="H1570" s="12">
        <f t="shared" si="221"/>
        <v>1742000</v>
      </c>
      <c r="I1570" s="12">
        <f t="shared" si="222"/>
        <v>998800</v>
      </c>
      <c r="J1570" s="12">
        <f>IF(A1570&lt;[3]关卡对接!$A$4,INDEX([3]关卡对接!$C$7:$C$141,A1570),MATCH(E1570,人物经验!$H$24:$H$573,1))</f>
        <v>511</v>
      </c>
      <c r="K1570" s="12">
        <f>IF([3]关卡对接!F1558="",INT(INDEX(人物经验!$J$24:$J$573,关卡!J1570)*关卡!$S$7),[3]关卡对接!F1558)</f>
        <v>43398</v>
      </c>
      <c r="L1570" s="12">
        <f t="shared" si="227"/>
        <v>2.4</v>
      </c>
      <c r="M1570" s="12">
        <f>L1570/[4]货币基础!$B$4</f>
        <v>240</v>
      </c>
      <c r="N1570" s="12">
        <f>IF(A1570&lt;[3]关卡对接!$A$4,INDEX([3]关卡对接!$E$7:$E$141,A1570),MATCH(E1570,人物经验!$H$24:$H$573,1))</f>
        <v>511</v>
      </c>
      <c r="O1570" s="12">
        <f>INDEX([2]关卡!$G$6:$G$2005,A1570)</f>
        <v>3</v>
      </c>
      <c r="P1570" s="13">
        <v>6</v>
      </c>
      <c r="Q1570" s="12">
        <f>INT(P1570/$S$15/O1570*VLOOKUP(J1570,[1]人物技能基础!$N$3:$O$553,2,0)*$U$15)</f>
        <v>9</v>
      </c>
      <c r="R1570" s="12">
        <f t="shared" si="228"/>
        <v>112</v>
      </c>
    </row>
    <row r="1571" spans="1:18" x14ac:dyDescent="0.15">
      <c r="A1571" s="12">
        <v>1553</v>
      </c>
      <c r="B1571" s="12">
        <f t="shared" si="225"/>
        <v>8</v>
      </c>
      <c r="C1571" s="12">
        <f t="shared" si="226"/>
        <v>10.458315000000001</v>
      </c>
      <c r="D1571" s="12">
        <f t="shared" si="220"/>
        <v>7.3674999999999713E-2</v>
      </c>
      <c r="E1571" s="12">
        <f>SUM($D$19:D1571)</f>
        <v>42.658314999999952</v>
      </c>
      <c r="F1571" s="12">
        <f t="shared" si="223"/>
        <v>484.75519153374489</v>
      </c>
      <c r="G1571" s="12">
        <f t="shared" si="224"/>
        <v>277.85908531785589</v>
      </c>
      <c r="H1571" s="12">
        <f t="shared" si="221"/>
        <v>1745100</v>
      </c>
      <c r="I1571" s="12">
        <f t="shared" si="222"/>
        <v>1000200</v>
      </c>
      <c r="J1571" s="12">
        <f>IF(A1571&lt;[3]关卡对接!$A$4,INDEX([3]关卡对接!$C$7:$C$141,A1571),MATCH(E1571,人物经验!$H$24:$H$573,1))</f>
        <v>511</v>
      </c>
      <c r="K1571" s="12">
        <f>IF([3]关卡对接!F1559="",INT(INDEX(人物经验!$J$24:$J$573,关卡!J1571)*关卡!$S$7),[3]关卡对接!F1559)</f>
        <v>43398</v>
      </c>
      <c r="L1571" s="12">
        <f t="shared" si="227"/>
        <v>2.4</v>
      </c>
      <c r="M1571" s="12">
        <f>L1571/[4]货币基础!$B$4</f>
        <v>240</v>
      </c>
      <c r="N1571" s="12">
        <f>IF(A1571&lt;[3]关卡对接!$A$4,INDEX([3]关卡对接!$E$7:$E$141,A1571),MATCH(E1571,人物经验!$H$24:$H$573,1))</f>
        <v>511</v>
      </c>
      <c r="O1571" s="12">
        <f>INDEX([2]关卡!$G$6:$G$2005,A1571)</f>
        <v>3</v>
      </c>
      <c r="P1571" s="13">
        <v>6</v>
      </c>
      <c r="Q1571" s="12">
        <f>INT(P1571/$S$15/O1571*VLOOKUP(J1571,[1]人物技能基础!$N$3:$O$553,2,0)*$U$15)</f>
        <v>9</v>
      </c>
      <c r="R1571" s="12">
        <f t="shared" si="228"/>
        <v>112</v>
      </c>
    </row>
    <row r="1572" spans="1:18" x14ac:dyDescent="0.15">
      <c r="A1572" s="12">
        <v>1554</v>
      </c>
      <c r="B1572" s="12">
        <f t="shared" si="225"/>
        <v>8</v>
      </c>
      <c r="C1572" s="12">
        <f t="shared" si="226"/>
        <v>10.53206</v>
      </c>
      <c r="D1572" s="12">
        <f t="shared" si="220"/>
        <v>7.3744999999998839E-2</v>
      </c>
      <c r="E1572" s="12">
        <f>SUM($D$19:D1572)</f>
        <v>42.732059999999947</v>
      </c>
      <c r="F1572" s="12">
        <f t="shared" si="223"/>
        <v>485.60602337095912</v>
      </c>
      <c r="G1572" s="12">
        <f t="shared" si="224"/>
        <v>278.25039196689505</v>
      </c>
      <c r="H1572" s="12">
        <f t="shared" si="221"/>
        <v>1748100</v>
      </c>
      <c r="I1572" s="12">
        <f t="shared" si="222"/>
        <v>1001700</v>
      </c>
      <c r="J1572" s="12">
        <f>IF(A1572&lt;[3]关卡对接!$A$4,INDEX([3]关卡对接!$C$7:$C$141,A1572),MATCH(E1572,人物经验!$H$24:$H$573,1))</f>
        <v>512</v>
      </c>
      <c r="K1572" s="12">
        <f>IF([3]关卡对接!F1560="",INT(INDEX(人物经验!$J$24:$J$573,关卡!J1572)*关卡!$S$7),[3]关卡对接!F1560)</f>
        <v>43627</v>
      </c>
      <c r="L1572" s="12">
        <f t="shared" si="227"/>
        <v>2.4</v>
      </c>
      <c r="M1572" s="12">
        <f>L1572/[4]货币基础!$B$4</f>
        <v>240</v>
      </c>
      <c r="N1572" s="12">
        <f>IF(A1572&lt;[3]关卡对接!$A$4,INDEX([3]关卡对接!$E$7:$E$141,A1572),MATCH(E1572,人物经验!$H$24:$H$573,1))</f>
        <v>512</v>
      </c>
      <c r="O1572" s="12">
        <f>INDEX([2]关卡!$G$6:$G$2005,A1572)</f>
        <v>3</v>
      </c>
      <c r="P1572" s="13">
        <v>6</v>
      </c>
      <c r="Q1572" s="12">
        <f>INT(P1572/$S$15/O1572*VLOOKUP(J1572,[1]人物技能基础!$N$3:$O$553,2,0)*$U$15)</f>
        <v>9</v>
      </c>
      <c r="R1572" s="12">
        <f t="shared" si="228"/>
        <v>112</v>
      </c>
    </row>
    <row r="1573" spans="1:18" x14ac:dyDescent="0.15">
      <c r="A1573" s="12">
        <v>1555</v>
      </c>
      <c r="B1573" s="12">
        <f t="shared" si="225"/>
        <v>8</v>
      </c>
      <c r="C1573" s="12">
        <f t="shared" si="226"/>
        <v>10.605875000000001</v>
      </c>
      <c r="D1573" s="12">
        <f t="shared" si="220"/>
        <v>7.3815000000001518E-2</v>
      </c>
      <c r="E1573" s="12">
        <f>SUM($D$19:D1573)</f>
        <v>42.805874999999951</v>
      </c>
      <c r="F1573" s="12">
        <f t="shared" si="223"/>
        <v>486.45802752183585</v>
      </c>
      <c r="G1573" s="12">
        <f t="shared" si="224"/>
        <v>278.64212050371088</v>
      </c>
      <c r="H1573" s="12">
        <f t="shared" si="221"/>
        <v>1751200</v>
      </c>
      <c r="I1573" s="12">
        <f t="shared" si="222"/>
        <v>1003100</v>
      </c>
      <c r="J1573" s="12">
        <f>IF(A1573&lt;[3]关卡对接!$A$4,INDEX([3]关卡对接!$C$7:$C$141,A1573),MATCH(E1573,人物经验!$H$24:$H$573,1))</f>
        <v>512</v>
      </c>
      <c r="K1573" s="12">
        <f>IF([3]关卡对接!F1561="",INT(INDEX(人物经验!$J$24:$J$573,关卡!J1573)*关卡!$S$7),[3]关卡对接!F1561)</f>
        <v>43627</v>
      </c>
      <c r="L1573" s="12">
        <f t="shared" si="227"/>
        <v>2.4</v>
      </c>
      <c r="M1573" s="12">
        <f>L1573/[4]货币基础!$B$4</f>
        <v>240</v>
      </c>
      <c r="N1573" s="12">
        <f>IF(A1573&lt;[3]关卡对接!$A$4,INDEX([3]关卡对接!$E$7:$E$141,A1573),MATCH(E1573,人物经验!$H$24:$H$573,1))</f>
        <v>512</v>
      </c>
      <c r="O1573" s="12">
        <f>INDEX([2]关卡!$G$6:$G$2005,A1573)</f>
        <v>3</v>
      </c>
      <c r="P1573" s="13">
        <v>6</v>
      </c>
      <c r="Q1573" s="12">
        <f>INT(P1573/$S$15/O1573*VLOOKUP(J1573,[1]人物技能基础!$N$3:$O$553,2,0)*$U$15)</f>
        <v>9</v>
      </c>
      <c r="R1573" s="12">
        <f t="shared" si="228"/>
        <v>112</v>
      </c>
    </row>
    <row r="1574" spans="1:18" x14ac:dyDescent="0.15">
      <c r="A1574" s="12">
        <v>1556</v>
      </c>
      <c r="B1574" s="12">
        <f t="shared" si="225"/>
        <v>8</v>
      </c>
      <c r="C1574" s="12">
        <f t="shared" si="226"/>
        <v>10.679760000000002</v>
      </c>
      <c r="D1574" s="12">
        <f t="shared" si="220"/>
        <v>7.3885000000000645E-2</v>
      </c>
      <c r="E1574" s="12">
        <f>SUM($D$19:D1574)</f>
        <v>42.879759999999948</v>
      </c>
      <c r="F1574" s="12">
        <f t="shared" si="223"/>
        <v>487.3112051417441</v>
      </c>
      <c r="G1574" s="12">
        <f t="shared" si="224"/>
        <v>279.03427126231998</v>
      </c>
      <c r="H1574" s="12">
        <f t="shared" si="221"/>
        <v>1754300</v>
      </c>
      <c r="I1574" s="12">
        <f t="shared" si="222"/>
        <v>1004500</v>
      </c>
      <c r="J1574" s="12">
        <f>IF(A1574&lt;[3]关卡对接!$A$4,INDEX([3]关卡对接!$C$7:$C$141,A1574),MATCH(E1574,人物经验!$H$24:$H$573,1))</f>
        <v>512</v>
      </c>
      <c r="K1574" s="12">
        <f>IF([3]关卡对接!F1562="",INT(INDEX(人物经验!$J$24:$J$573,关卡!J1574)*关卡!$S$7),[3]关卡对接!F1562)</f>
        <v>43627</v>
      </c>
      <c r="L1574" s="12">
        <f t="shared" si="227"/>
        <v>2.4</v>
      </c>
      <c r="M1574" s="12">
        <f>L1574/[4]货币基础!$B$4</f>
        <v>240</v>
      </c>
      <c r="N1574" s="12">
        <f>IF(A1574&lt;[3]关卡对接!$A$4,INDEX([3]关卡对接!$E$7:$E$141,A1574),MATCH(E1574,人物经验!$H$24:$H$573,1))</f>
        <v>512</v>
      </c>
      <c r="O1574" s="12">
        <f>INDEX([2]关卡!$G$6:$G$2005,A1574)</f>
        <v>3</v>
      </c>
      <c r="P1574" s="13">
        <v>6</v>
      </c>
      <c r="Q1574" s="12">
        <f>INT(P1574/$S$15/O1574*VLOOKUP(J1574,[1]人物技能基础!$N$3:$O$553,2,0)*$U$15)</f>
        <v>9</v>
      </c>
      <c r="R1574" s="12">
        <f t="shared" si="228"/>
        <v>112</v>
      </c>
    </row>
    <row r="1575" spans="1:18" x14ac:dyDescent="0.15">
      <c r="A1575" s="12">
        <v>1557</v>
      </c>
      <c r="B1575" s="12">
        <f t="shared" si="225"/>
        <v>8</v>
      </c>
      <c r="C1575" s="12">
        <f t="shared" si="226"/>
        <v>10.753715</v>
      </c>
      <c r="D1575" s="12">
        <f t="shared" si="220"/>
        <v>7.3954999999997995E-2</v>
      </c>
      <c r="E1575" s="12">
        <f>SUM($D$19:D1575)</f>
        <v>42.953714999999946</v>
      </c>
      <c r="F1575" s="12">
        <f t="shared" si="223"/>
        <v>488.16555738664988</v>
      </c>
      <c r="G1575" s="12">
        <f t="shared" si="224"/>
        <v>279.42684457688091</v>
      </c>
      <c r="H1575" s="12">
        <f t="shared" si="221"/>
        <v>1757300</v>
      </c>
      <c r="I1575" s="12">
        <f t="shared" si="222"/>
        <v>1005900</v>
      </c>
      <c r="J1575" s="12">
        <f>IF(A1575&lt;[3]关卡对接!$A$4,INDEX([3]关卡对接!$C$7:$C$141,A1575),MATCH(E1575,人物经验!$H$24:$H$573,1))</f>
        <v>512</v>
      </c>
      <c r="K1575" s="12">
        <f>IF([3]关卡对接!F1563="",INT(INDEX(人物经验!$J$24:$J$573,关卡!J1575)*关卡!$S$7),[3]关卡对接!F1563)</f>
        <v>43627</v>
      </c>
      <c r="L1575" s="12">
        <f t="shared" si="227"/>
        <v>2.4</v>
      </c>
      <c r="M1575" s="12">
        <f>L1575/[4]货币基础!$B$4</f>
        <v>240</v>
      </c>
      <c r="N1575" s="12">
        <f>IF(A1575&lt;[3]关卡对接!$A$4,INDEX([3]关卡对接!$E$7:$E$141,A1575),MATCH(E1575,人物经验!$H$24:$H$573,1))</f>
        <v>512</v>
      </c>
      <c r="O1575" s="12">
        <f>INDEX([2]关卡!$G$6:$G$2005,A1575)</f>
        <v>3</v>
      </c>
      <c r="P1575" s="13">
        <v>6</v>
      </c>
      <c r="Q1575" s="12">
        <f>INT(P1575/$S$15/O1575*VLOOKUP(J1575,[1]人物技能基础!$N$3:$O$553,2,0)*$U$15)</f>
        <v>9</v>
      </c>
      <c r="R1575" s="12">
        <f t="shared" si="228"/>
        <v>112</v>
      </c>
    </row>
    <row r="1576" spans="1:18" x14ac:dyDescent="0.15">
      <c r="A1576" s="12">
        <v>1558</v>
      </c>
      <c r="B1576" s="12">
        <f t="shared" si="225"/>
        <v>8</v>
      </c>
      <c r="C1576" s="12">
        <f t="shared" si="226"/>
        <v>10.82774</v>
      </c>
      <c r="D1576" s="12">
        <f t="shared" si="220"/>
        <v>7.4025000000000674E-2</v>
      </c>
      <c r="E1576" s="12">
        <f>SUM($D$19:D1576)</f>
        <v>43.027739999999945</v>
      </c>
      <c r="F1576" s="12">
        <f t="shared" si="223"/>
        <v>489.02108541311918</v>
      </c>
      <c r="G1576" s="12">
        <f t="shared" si="224"/>
        <v>279.81984078169501</v>
      </c>
      <c r="H1576" s="12">
        <f t="shared" si="221"/>
        <v>1760400</v>
      </c>
      <c r="I1576" s="12">
        <f t="shared" si="222"/>
        <v>1007300</v>
      </c>
      <c r="J1576" s="12">
        <f>IF(A1576&lt;[3]关卡对接!$A$4,INDEX([3]关卡对接!$C$7:$C$141,A1576),MATCH(E1576,人物经验!$H$24:$H$573,1))</f>
        <v>513</v>
      </c>
      <c r="K1576" s="12">
        <f>IF([3]关卡对接!F1564="",INT(INDEX(人物经验!$J$24:$J$573,关卡!J1576)*关卡!$S$7),[3]关卡对接!F1564)</f>
        <v>43934</v>
      </c>
      <c r="L1576" s="12">
        <f t="shared" si="227"/>
        <v>2.4</v>
      </c>
      <c r="M1576" s="12">
        <f>L1576/[4]货币基础!$B$4</f>
        <v>240</v>
      </c>
      <c r="N1576" s="12">
        <f>IF(A1576&lt;[3]关卡对接!$A$4,INDEX([3]关卡对接!$E$7:$E$141,A1576),MATCH(E1576,人物经验!$H$24:$H$573,1))</f>
        <v>513</v>
      </c>
      <c r="O1576" s="12">
        <f>INDEX([2]关卡!$G$6:$G$2005,A1576)</f>
        <v>3</v>
      </c>
      <c r="P1576" s="13">
        <v>6</v>
      </c>
      <c r="Q1576" s="12">
        <f>INT(P1576/$S$15/O1576*VLOOKUP(J1576,[1]人物技能基础!$N$3:$O$553,2,0)*$U$15)</f>
        <v>9</v>
      </c>
      <c r="R1576" s="12">
        <f t="shared" si="228"/>
        <v>112</v>
      </c>
    </row>
    <row r="1577" spans="1:18" x14ac:dyDescent="0.15">
      <c r="A1577" s="12">
        <v>1559</v>
      </c>
      <c r="B1577" s="12">
        <f t="shared" si="225"/>
        <v>8</v>
      </c>
      <c r="C1577" s="12">
        <f t="shared" si="226"/>
        <v>10.901835000000002</v>
      </c>
      <c r="D1577" s="12">
        <f t="shared" si="220"/>
        <v>7.4095000000001576E-2</v>
      </c>
      <c r="E1577" s="12">
        <f>SUM($D$19:D1577)</f>
        <v>43.101834999999944</v>
      </c>
      <c r="F1577" s="12">
        <f t="shared" si="223"/>
        <v>489.87779037831496</v>
      </c>
      <c r="G1577" s="12">
        <f t="shared" si="224"/>
        <v>280.21326021120592</v>
      </c>
      <c r="H1577" s="12">
        <f t="shared" si="221"/>
        <v>1763500</v>
      </c>
      <c r="I1577" s="12">
        <f t="shared" si="222"/>
        <v>1008700</v>
      </c>
      <c r="J1577" s="12">
        <f>IF(A1577&lt;[3]关卡对接!$A$4,INDEX([3]关卡对接!$C$7:$C$141,A1577),MATCH(E1577,人物经验!$H$24:$H$573,1))</f>
        <v>513</v>
      </c>
      <c r="K1577" s="12">
        <f>IF([3]关卡对接!F1565="",INT(INDEX(人物经验!$J$24:$J$573,关卡!J1577)*关卡!$S$7),[3]关卡对接!F1565)</f>
        <v>43934</v>
      </c>
      <c r="L1577" s="12">
        <f t="shared" si="227"/>
        <v>2.4</v>
      </c>
      <c r="M1577" s="12">
        <f>L1577/[4]货币基础!$B$4</f>
        <v>240</v>
      </c>
      <c r="N1577" s="12">
        <f>IF(A1577&lt;[3]关卡对接!$A$4,INDEX([3]关卡对接!$E$7:$E$141,A1577),MATCH(E1577,人物经验!$H$24:$H$573,1))</f>
        <v>513</v>
      </c>
      <c r="O1577" s="12">
        <f>INDEX([2]关卡!$G$6:$G$2005,A1577)</f>
        <v>3</v>
      </c>
      <c r="P1577" s="13">
        <v>6</v>
      </c>
      <c r="Q1577" s="12">
        <f>INT(P1577/$S$15/O1577*VLOOKUP(J1577,[1]人物技能基础!$N$3:$O$553,2,0)*$U$15)</f>
        <v>9</v>
      </c>
      <c r="R1577" s="12">
        <f t="shared" si="228"/>
        <v>112</v>
      </c>
    </row>
    <row r="1578" spans="1:18" x14ac:dyDescent="0.15">
      <c r="A1578" s="12">
        <v>1560</v>
      </c>
      <c r="B1578" s="12">
        <f t="shared" si="225"/>
        <v>8</v>
      </c>
      <c r="C1578" s="12">
        <f t="shared" si="226"/>
        <v>10.976000000000003</v>
      </c>
      <c r="D1578" s="12">
        <f t="shared" si="220"/>
        <v>7.4165000000000703E-2</v>
      </c>
      <c r="E1578" s="12">
        <f>SUM($D$19:D1578)</f>
        <v>43.175999999999945</v>
      </c>
      <c r="F1578" s="12">
        <f t="shared" si="223"/>
        <v>490.73567344000014</v>
      </c>
      <c r="G1578" s="12">
        <f t="shared" si="224"/>
        <v>280.60710320000004</v>
      </c>
      <c r="H1578" s="12">
        <f t="shared" si="221"/>
        <v>1766600</v>
      </c>
      <c r="I1578" s="12">
        <f t="shared" si="222"/>
        <v>1010100</v>
      </c>
      <c r="J1578" s="12">
        <f>IF(A1578&lt;[3]关卡对接!$A$4,INDEX([3]关卡对接!$C$7:$C$141,A1578),MATCH(E1578,人物经验!$H$24:$H$573,1))</f>
        <v>513</v>
      </c>
      <c r="K1578" s="12">
        <f>IF([3]关卡对接!F1566="",INT(INDEX(人物经验!$J$24:$J$573,关卡!J1578)*关卡!$S$7),[3]关卡对接!F1566)</f>
        <v>43934</v>
      </c>
      <c r="L1578" s="12">
        <f t="shared" si="227"/>
        <v>2.4</v>
      </c>
      <c r="M1578" s="12">
        <f>L1578/[4]货币基础!$B$4</f>
        <v>240</v>
      </c>
      <c r="N1578" s="12">
        <f>IF(A1578&lt;[3]关卡对接!$A$4,INDEX([3]关卡对接!$E$7:$E$141,A1578),MATCH(E1578,人物经验!$H$24:$H$573,1))</f>
        <v>513</v>
      </c>
      <c r="O1578" s="12">
        <f>INDEX([2]关卡!$G$6:$G$2005,A1578)</f>
        <v>3</v>
      </c>
      <c r="P1578" s="13">
        <v>6</v>
      </c>
      <c r="Q1578" s="12">
        <f>INT(P1578/$S$15/O1578*VLOOKUP(J1578,[1]人物技能基础!$N$3:$O$553,2,0)*$U$15)</f>
        <v>9</v>
      </c>
      <c r="R1578" s="12">
        <f t="shared" si="228"/>
        <v>112</v>
      </c>
    </row>
    <row r="1579" spans="1:18" x14ac:dyDescent="0.15">
      <c r="A1579" s="12">
        <v>1561</v>
      </c>
      <c r="B1579" s="12">
        <f t="shared" si="225"/>
        <v>8</v>
      </c>
      <c r="C1579" s="12">
        <f t="shared" si="226"/>
        <v>11.050235000000001</v>
      </c>
      <c r="D1579" s="12">
        <f t="shared" si="220"/>
        <v>7.4234999999998053E-2</v>
      </c>
      <c r="E1579" s="12">
        <f>SUM($D$19:D1579)</f>
        <v>43.250234999999947</v>
      </c>
      <c r="F1579" s="12">
        <f t="shared" si="223"/>
        <v>491.59473575653493</v>
      </c>
      <c r="G1579" s="12">
        <f t="shared" si="224"/>
        <v>281.00137008280592</v>
      </c>
      <c r="H1579" s="12">
        <f t="shared" si="221"/>
        <v>1769700</v>
      </c>
      <c r="I1579" s="12">
        <f t="shared" si="222"/>
        <v>1011600</v>
      </c>
      <c r="J1579" s="12">
        <f>IF(A1579&lt;[3]关卡对接!$A$4,INDEX([3]关卡对接!$C$7:$C$141,A1579),MATCH(E1579,人物经验!$H$24:$H$573,1))</f>
        <v>513</v>
      </c>
      <c r="K1579" s="12">
        <f>IF([3]关卡对接!F1567="",INT(INDEX(人物经验!$J$24:$J$573,关卡!J1579)*关卡!$S$7),[3]关卡对接!F1567)</f>
        <v>43934</v>
      </c>
      <c r="L1579" s="12">
        <f t="shared" si="227"/>
        <v>2.4</v>
      </c>
      <c r="M1579" s="12">
        <f>L1579/[4]货币基础!$B$4</f>
        <v>240</v>
      </c>
      <c r="N1579" s="12">
        <f>IF(A1579&lt;[3]关卡对接!$A$4,INDEX([3]关卡对接!$E$7:$E$141,A1579),MATCH(E1579,人物经验!$H$24:$H$573,1))</f>
        <v>513</v>
      </c>
      <c r="O1579" s="12">
        <f>INDEX([2]关卡!$G$6:$G$2005,A1579)</f>
        <v>3</v>
      </c>
      <c r="P1579" s="13">
        <v>6</v>
      </c>
      <c r="Q1579" s="12">
        <f>INT(P1579/$S$15/O1579*VLOOKUP(J1579,[1]人物技能基础!$N$3:$O$553,2,0)*$U$15)</f>
        <v>9</v>
      </c>
      <c r="R1579" s="12">
        <f t="shared" si="228"/>
        <v>112</v>
      </c>
    </row>
    <row r="1580" spans="1:18" x14ac:dyDescent="0.15">
      <c r="A1580" s="12">
        <v>1562</v>
      </c>
      <c r="B1580" s="12">
        <f t="shared" si="225"/>
        <v>8</v>
      </c>
      <c r="C1580" s="12">
        <f t="shared" si="226"/>
        <v>11.124540000000001</v>
      </c>
      <c r="D1580" s="12">
        <f t="shared" si="220"/>
        <v>7.4305000000000732E-2</v>
      </c>
      <c r="E1580" s="12">
        <f>SUM($D$19:D1580)</f>
        <v>43.324539999999949</v>
      </c>
      <c r="F1580" s="12">
        <f t="shared" si="223"/>
        <v>492.45497848687916</v>
      </c>
      <c r="G1580" s="12">
        <f t="shared" si="224"/>
        <v>281.39606119449502</v>
      </c>
      <c r="H1580" s="12">
        <f t="shared" si="221"/>
        <v>1772800</v>
      </c>
      <c r="I1580" s="12">
        <f t="shared" si="222"/>
        <v>1013000</v>
      </c>
      <c r="J1580" s="12">
        <f>IF(A1580&lt;[3]关卡对接!$A$4,INDEX([3]关卡对接!$C$7:$C$141,A1580),MATCH(E1580,人物经验!$H$24:$H$573,1))</f>
        <v>514</v>
      </c>
      <c r="K1580" s="12">
        <f>IF([3]关卡对接!F1568="",INT(INDEX(人物经验!$J$24:$J$573,关卡!J1580)*关卡!$S$7),[3]关卡对接!F1568)</f>
        <v>44243</v>
      </c>
      <c r="L1580" s="12">
        <f t="shared" si="227"/>
        <v>2.4</v>
      </c>
      <c r="M1580" s="12">
        <f>L1580/[4]货币基础!$B$4</f>
        <v>240</v>
      </c>
      <c r="N1580" s="12">
        <f>IF(A1580&lt;[3]关卡对接!$A$4,INDEX([3]关卡对接!$E$7:$E$141,A1580),MATCH(E1580,人物经验!$H$24:$H$573,1))</f>
        <v>514</v>
      </c>
      <c r="O1580" s="12">
        <f>INDEX([2]关卡!$G$6:$G$2005,A1580)</f>
        <v>3</v>
      </c>
      <c r="P1580" s="13">
        <v>6</v>
      </c>
      <c r="Q1580" s="12">
        <f>INT(P1580/$S$15/O1580*VLOOKUP(J1580,[1]人物技能基础!$N$3:$O$553,2,0)*$U$15)</f>
        <v>9</v>
      </c>
      <c r="R1580" s="12">
        <f t="shared" si="228"/>
        <v>112</v>
      </c>
    </row>
    <row r="1581" spans="1:18" x14ac:dyDescent="0.15">
      <c r="A1581" s="12">
        <v>1563</v>
      </c>
      <c r="B1581" s="12">
        <f t="shared" si="225"/>
        <v>8</v>
      </c>
      <c r="C1581" s="12">
        <f t="shared" si="226"/>
        <v>11.198914999999998</v>
      </c>
      <c r="D1581" s="12">
        <f t="shared" si="220"/>
        <v>7.4374999999996305E-2</v>
      </c>
      <c r="E1581" s="12">
        <f>SUM($D$19:D1581)</f>
        <v>43.398914999999946</v>
      </c>
      <c r="F1581" s="12">
        <f t="shared" si="223"/>
        <v>493.31640279058985</v>
      </c>
      <c r="G1581" s="12">
        <f t="shared" si="224"/>
        <v>281.7911768700809</v>
      </c>
      <c r="H1581" s="12">
        <f t="shared" si="221"/>
        <v>1775900</v>
      </c>
      <c r="I1581" s="12">
        <f t="shared" si="222"/>
        <v>1014400</v>
      </c>
      <c r="J1581" s="12">
        <f>IF(A1581&lt;[3]关卡对接!$A$4,INDEX([3]关卡对接!$C$7:$C$141,A1581),MATCH(E1581,人物经验!$H$24:$H$573,1))</f>
        <v>514</v>
      </c>
      <c r="K1581" s="12">
        <f>IF([3]关卡对接!F1569="",INT(INDEX(人物经验!$J$24:$J$573,关卡!J1581)*关卡!$S$7),[3]关卡对接!F1569)</f>
        <v>44243</v>
      </c>
      <c r="L1581" s="12">
        <f t="shared" si="227"/>
        <v>2.4</v>
      </c>
      <c r="M1581" s="12">
        <f>L1581/[4]货币基础!$B$4</f>
        <v>240</v>
      </c>
      <c r="N1581" s="12">
        <f>IF(A1581&lt;[3]关卡对接!$A$4,INDEX([3]关卡对接!$E$7:$E$141,A1581),MATCH(E1581,人物经验!$H$24:$H$573,1))</f>
        <v>514</v>
      </c>
      <c r="O1581" s="12">
        <f>INDEX([2]关卡!$G$6:$G$2005,A1581)</f>
        <v>3</v>
      </c>
      <c r="P1581" s="13">
        <v>6</v>
      </c>
      <c r="Q1581" s="12">
        <f>INT(P1581/$S$15/O1581*VLOOKUP(J1581,[1]人物技能基础!$N$3:$O$553,2,0)*$U$15)</f>
        <v>9</v>
      </c>
      <c r="R1581" s="12">
        <f t="shared" si="228"/>
        <v>112</v>
      </c>
    </row>
    <row r="1582" spans="1:18" x14ac:dyDescent="0.15">
      <c r="A1582" s="12">
        <v>1564</v>
      </c>
      <c r="B1582" s="12">
        <f t="shared" si="225"/>
        <v>8</v>
      </c>
      <c r="C1582" s="12">
        <f t="shared" si="226"/>
        <v>11.27336</v>
      </c>
      <c r="D1582" s="12">
        <f t="shared" si="220"/>
        <v>7.4445000000002537E-2</v>
      </c>
      <c r="E1582" s="12">
        <f>SUM($D$19:D1582)</f>
        <v>43.47335999999995</v>
      </c>
      <c r="F1582" s="12">
        <f t="shared" si="223"/>
        <v>494.17900982782413</v>
      </c>
      <c r="G1582" s="12">
        <f t="shared" si="224"/>
        <v>282.18671744471999</v>
      </c>
      <c r="H1582" s="12">
        <f t="shared" si="221"/>
        <v>1779000</v>
      </c>
      <c r="I1582" s="12">
        <f t="shared" si="222"/>
        <v>1015800</v>
      </c>
      <c r="J1582" s="12">
        <f>IF(A1582&lt;[3]关卡对接!$A$4,INDEX([3]关卡对接!$C$7:$C$141,A1582),MATCH(E1582,人物经验!$H$24:$H$573,1))</f>
        <v>514</v>
      </c>
      <c r="K1582" s="12">
        <f>IF([3]关卡对接!F1570="",INT(INDEX(人物经验!$J$24:$J$573,关卡!J1582)*关卡!$S$7),[3]关卡对接!F1570)</f>
        <v>44243</v>
      </c>
      <c r="L1582" s="12">
        <f t="shared" si="227"/>
        <v>2.4</v>
      </c>
      <c r="M1582" s="12">
        <f>L1582/[4]货币基础!$B$4</f>
        <v>240</v>
      </c>
      <c r="N1582" s="12">
        <f>IF(A1582&lt;[3]关卡对接!$A$4,INDEX([3]关卡对接!$E$7:$E$141,A1582),MATCH(E1582,人物经验!$H$24:$H$573,1))</f>
        <v>514</v>
      </c>
      <c r="O1582" s="12">
        <f>INDEX([2]关卡!$G$6:$G$2005,A1582)</f>
        <v>3</v>
      </c>
      <c r="P1582" s="13">
        <v>6</v>
      </c>
      <c r="Q1582" s="12">
        <f>INT(P1582/$S$15/O1582*VLOOKUP(J1582,[1]人物技能基础!$N$3:$O$553,2,0)*$U$15)</f>
        <v>9</v>
      </c>
      <c r="R1582" s="12">
        <f t="shared" si="228"/>
        <v>112</v>
      </c>
    </row>
    <row r="1583" spans="1:18" x14ac:dyDescent="0.15">
      <c r="A1583" s="12">
        <v>1565</v>
      </c>
      <c r="B1583" s="12">
        <f t="shared" si="225"/>
        <v>8</v>
      </c>
      <c r="C1583" s="12">
        <f t="shared" si="226"/>
        <v>11.347875</v>
      </c>
      <c r="D1583" s="12">
        <f t="shared" si="220"/>
        <v>7.4514999999999887E-2</v>
      </c>
      <c r="E1583" s="12">
        <f>SUM($D$19:D1583)</f>
        <v>43.547874999999948</v>
      </c>
      <c r="F1583" s="12">
        <f t="shared" si="223"/>
        <v>495.04280075933593</v>
      </c>
      <c r="G1583" s="12">
        <f t="shared" si="224"/>
        <v>282.58268325371091</v>
      </c>
      <c r="H1583" s="12">
        <f t="shared" si="221"/>
        <v>1782100</v>
      </c>
      <c r="I1583" s="12">
        <f t="shared" si="222"/>
        <v>1017200</v>
      </c>
      <c r="J1583" s="12">
        <f>IF(A1583&lt;[3]关卡对接!$A$4,INDEX([3]关卡对接!$C$7:$C$141,A1583),MATCH(E1583,人物经验!$H$24:$H$573,1))</f>
        <v>514</v>
      </c>
      <c r="K1583" s="12">
        <f>IF([3]关卡对接!F1571="",INT(INDEX(人物经验!$J$24:$J$573,关卡!J1583)*关卡!$S$7),[3]关卡对接!F1571)</f>
        <v>44243</v>
      </c>
      <c r="L1583" s="12">
        <f t="shared" si="227"/>
        <v>2.4</v>
      </c>
      <c r="M1583" s="12">
        <f>L1583/[4]货币基础!$B$4</f>
        <v>240</v>
      </c>
      <c r="N1583" s="12">
        <f>IF(A1583&lt;[3]关卡对接!$A$4,INDEX([3]关卡对接!$E$7:$E$141,A1583),MATCH(E1583,人物经验!$H$24:$H$573,1))</f>
        <v>514</v>
      </c>
      <c r="O1583" s="12">
        <f>INDEX([2]关卡!$G$6:$G$2005,A1583)</f>
        <v>3</v>
      </c>
      <c r="P1583" s="13">
        <v>6</v>
      </c>
      <c r="Q1583" s="12">
        <f>INT(P1583/$S$15/O1583*VLOOKUP(J1583,[1]人物技能基础!$N$3:$O$553,2,0)*$U$15)</f>
        <v>9</v>
      </c>
      <c r="R1583" s="12">
        <f t="shared" si="228"/>
        <v>112</v>
      </c>
    </row>
    <row r="1584" spans="1:18" x14ac:dyDescent="0.15">
      <c r="A1584" s="12">
        <v>1566</v>
      </c>
      <c r="B1584" s="12">
        <f t="shared" si="225"/>
        <v>8</v>
      </c>
      <c r="C1584" s="12">
        <f t="shared" si="226"/>
        <v>11.422460000000001</v>
      </c>
      <c r="D1584" s="12">
        <f t="shared" si="220"/>
        <v>7.458500000000079E-2</v>
      </c>
      <c r="E1584" s="12">
        <f>SUM($D$19:D1584)</f>
        <v>43.622459999999947</v>
      </c>
      <c r="F1584" s="12">
        <f t="shared" si="223"/>
        <v>495.90777674647899</v>
      </c>
      <c r="G1584" s="12">
        <f t="shared" si="224"/>
        <v>282.97907463249499</v>
      </c>
      <c r="H1584" s="12">
        <f t="shared" si="221"/>
        <v>1785200</v>
      </c>
      <c r="I1584" s="12">
        <f t="shared" si="222"/>
        <v>1018700</v>
      </c>
      <c r="J1584" s="12">
        <f>IF(A1584&lt;[3]关卡对接!$A$4,INDEX([3]关卡对接!$C$7:$C$141,A1584),MATCH(E1584,人物经验!$H$24:$H$573,1))</f>
        <v>515</v>
      </c>
      <c r="K1584" s="12">
        <f>IF([3]关卡对接!F1572="",INT(INDEX(人物经验!$J$24:$J$573,关卡!J1584)*关卡!$S$7),[3]关卡对接!F1572)</f>
        <v>44553</v>
      </c>
      <c r="L1584" s="12">
        <f t="shared" si="227"/>
        <v>2.4</v>
      </c>
      <c r="M1584" s="12">
        <f>L1584/[4]货币基础!$B$4</f>
        <v>240</v>
      </c>
      <c r="N1584" s="12">
        <f>IF(A1584&lt;[3]关卡对接!$A$4,INDEX([3]关卡对接!$E$7:$E$141,A1584),MATCH(E1584,人物经验!$H$24:$H$573,1))</f>
        <v>515</v>
      </c>
      <c r="O1584" s="12">
        <f>INDEX([2]关卡!$G$6:$G$2005,A1584)</f>
        <v>3</v>
      </c>
      <c r="P1584" s="13">
        <v>6</v>
      </c>
      <c r="Q1584" s="12">
        <f>INT(P1584/$S$15/O1584*VLOOKUP(J1584,[1]人物技能基础!$N$3:$O$553,2,0)*$U$15)</f>
        <v>9</v>
      </c>
      <c r="R1584" s="12">
        <f t="shared" si="228"/>
        <v>112</v>
      </c>
    </row>
    <row r="1585" spans="1:18" x14ac:dyDescent="0.15">
      <c r="A1585" s="12">
        <v>1567</v>
      </c>
      <c r="B1585" s="12">
        <f t="shared" si="225"/>
        <v>8</v>
      </c>
      <c r="C1585" s="12">
        <f t="shared" si="226"/>
        <v>11.497114999999999</v>
      </c>
      <c r="D1585" s="12">
        <f t="shared" si="220"/>
        <v>7.465499999999814E-2</v>
      </c>
      <c r="E1585" s="12">
        <f>SUM($D$19:D1585)</f>
        <v>43.697114999999947</v>
      </c>
      <c r="F1585" s="12">
        <f t="shared" si="223"/>
        <v>496.77393895120503</v>
      </c>
      <c r="G1585" s="12">
        <f t="shared" si="224"/>
        <v>283.37589191665597</v>
      </c>
      <c r="H1585" s="12">
        <f t="shared" si="221"/>
        <v>1788300</v>
      </c>
      <c r="I1585" s="12">
        <f t="shared" si="222"/>
        <v>1020100</v>
      </c>
      <c r="J1585" s="12">
        <f>IF(A1585&lt;[3]关卡对接!$A$4,INDEX([3]关卡对接!$C$7:$C$141,A1585),MATCH(E1585,人物经验!$H$24:$H$573,1))</f>
        <v>515</v>
      </c>
      <c r="K1585" s="12">
        <f>IF([3]关卡对接!F1573="",INT(INDEX(人物经验!$J$24:$J$573,关卡!J1585)*关卡!$S$7),[3]关卡对接!F1573)</f>
        <v>44553</v>
      </c>
      <c r="L1585" s="12">
        <f t="shared" si="227"/>
        <v>2.4</v>
      </c>
      <c r="M1585" s="12">
        <f>L1585/[4]货币基础!$B$4</f>
        <v>240</v>
      </c>
      <c r="N1585" s="12">
        <f>IF(A1585&lt;[3]关卡对接!$A$4,INDEX([3]关卡对接!$E$7:$E$141,A1585),MATCH(E1585,人物经验!$H$24:$H$573,1))</f>
        <v>515</v>
      </c>
      <c r="O1585" s="12">
        <f>INDEX([2]关卡!$G$6:$G$2005,A1585)</f>
        <v>3</v>
      </c>
      <c r="P1585" s="13">
        <v>6</v>
      </c>
      <c r="Q1585" s="12">
        <f>INT(P1585/$S$15/O1585*VLOOKUP(J1585,[1]人物技能基础!$N$3:$O$553,2,0)*$U$15)</f>
        <v>9</v>
      </c>
      <c r="R1585" s="12">
        <f t="shared" si="228"/>
        <v>112</v>
      </c>
    </row>
    <row r="1586" spans="1:18" x14ac:dyDescent="0.15">
      <c r="A1586" s="12">
        <v>1568</v>
      </c>
      <c r="B1586" s="12">
        <f t="shared" si="225"/>
        <v>8</v>
      </c>
      <c r="C1586" s="12">
        <f t="shared" si="226"/>
        <v>11.57184</v>
      </c>
      <c r="D1586" s="12">
        <f t="shared" si="220"/>
        <v>7.4725000000000819E-2</v>
      </c>
      <c r="E1586" s="12">
        <f>SUM($D$19:D1586)</f>
        <v>43.771839999999948</v>
      </c>
      <c r="F1586" s="12">
        <f t="shared" si="223"/>
        <v>497.64128853606411</v>
      </c>
      <c r="G1586" s="12">
        <f t="shared" si="224"/>
        <v>283.77313544192009</v>
      </c>
      <c r="H1586" s="12">
        <f t="shared" si="221"/>
        <v>1791500</v>
      </c>
      <c r="I1586" s="12">
        <f t="shared" si="222"/>
        <v>1021500</v>
      </c>
      <c r="J1586" s="12">
        <f>IF(A1586&lt;[3]关卡对接!$A$4,INDEX([3]关卡对接!$C$7:$C$141,A1586),MATCH(E1586,人物经验!$H$24:$H$573,1))</f>
        <v>515</v>
      </c>
      <c r="K1586" s="12">
        <f>IF([3]关卡对接!F1574="",INT(INDEX(人物经验!$J$24:$J$573,关卡!J1586)*关卡!$S$7),[3]关卡对接!F1574)</f>
        <v>44553</v>
      </c>
      <c r="L1586" s="12">
        <f t="shared" si="227"/>
        <v>2.4</v>
      </c>
      <c r="M1586" s="12">
        <f>L1586/[4]货币基础!$B$4</f>
        <v>240</v>
      </c>
      <c r="N1586" s="12">
        <f>IF(A1586&lt;[3]关卡对接!$A$4,INDEX([3]关卡对接!$E$7:$E$141,A1586),MATCH(E1586,人物经验!$H$24:$H$573,1))</f>
        <v>515</v>
      </c>
      <c r="O1586" s="12">
        <f>INDEX([2]关卡!$G$6:$G$2005,A1586)</f>
        <v>3</v>
      </c>
      <c r="P1586" s="13">
        <v>6</v>
      </c>
      <c r="Q1586" s="12">
        <f>INT(P1586/$S$15/O1586*VLOOKUP(J1586,[1]人物技能基础!$N$3:$O$553,2,0)*$U$15)</f>
        <v>9</v>
      </c>
      <c r="R1586" s="12">
        <f t="shared" si="228"/>
        <v>112</v>
      </c>
    </row>
    <row r="1587" spans="1:18" x14ac:dyDescent="0.15">
      <c r="A1587" s="12">
        <v>1569</v>
      </c>
      <c r="B1587" s="12">
        <f t="shared" si="225"/>
        <v>8</v>
      </c>
      <c r="C1587" s="12">
        <f t="shared" si="226"/>
        <v>11.646635</v>
      </c>
      <c r="D1587" s="12">
        <f t="shared" si="220"/>
        <v>7.4794999999999945E-2</v>
      </c>
      <c r="E1587" s="12">
        <f>SUM($D$19:D1587)</f>
        <v>43.846634999999949</v>
      </c>
      <c r="F1587" s="12">
        <f t="shared" si="223"/>
        <v>498.50982666420487</v>
      </c>
      <c r="G1587" s="12">
        <f t="shared" si="224"/>
        <v>284.17080554415594</v>
      </c>
      <c r="H1587" s="12">
        <f t="shared" si="221"/>
        <v>1794600</v>
      </c>
      <c r="I1587" s="12">
        <f t="shared" si="222"/>
        <v>1023000</v>
      </c>
      <c r="J1587" s="12">
        <f>IF(A1587&lt;[3]关卡对接!$A$4,INDEX([3]关卡对接!$C$7:$C$141,A1587),MATCH(E1587,人物经验!$H$24:$H$573,1))</f>
        <v>516</v>
      </c>
      <c r="K1587" s="12">
        <f>IF([3]关卡对接!F1575="",INT(INDEX(人物经验!$J$24:$J$573,关卡!J1587)*关卡!$S$7),[3]关卡对接!F1575)</f>
        <v>44787</v>
      </c>
      <c r="L1587" s="12">
        <f t="shared" si="227"/>
        <v>2.4</v>
      </c>
      <c r="M1587" s="12">
        <f>L1587/[4]货币基础!$B$4</f>
        <v>240</v>
      </c>
      <c r="N1587" s="12">
        <f>IF(A1587&lt;[3]关卡对接!$A$4,INDEX([3]关卡对接!$E$7:$E$141,A1587),MATCH(E1587,人物经验!$H$24:$H$573,1))</f>
        <v>516</v>
      </c>
      <c r="O1587" s="12">
        <f>INDEX([2]关卡!$G$6:$G$2005,A1587)</f>
        <v>3</v>
      </c>
      <c r="P1587" s="13">
        <v>6</v>
      </c>
      <c r="Q1587" s="12">
        <f>INT(P1587/$S$15/O1587*VLOOKUP(J1587,[1]人物技能基础!$N$3:$O$553,2,0)*$U$15)</f>
        <v>9</v>
      </c>
      <c r="R1587" s="12">
        <f t="shared" si="228"/>
        <v>112</v>
      </c>
    </row>
    <row r="1588" spans="1:18" x14ac:dyDescent="0.15">
      <c r="A1588" s="12">
        <v>1570</v>
      </c>
      <c r="B1588" s="12">
        <f t="shared" si="225"/>
        <v>8</v>
      </c>
      <c r="C1588" s="12">
        <f t="shared" si="226"/>
        <v>11.721500000000001</v>
      </c>
      <c r="D1588" s="12">
        <f t="shared" si="220"/>
        <v>7.4865000000000848E-2</v>
      </c>
      <c r="E1588" s="12">
        <f>SUM($D$19:D1588)</f>
        <v>43.921499999999952</v>
      </c>
      <c r="F1588" s="12">
        <f t="shared" si="223"/>
        <v>499.37955449937499</v>
      </c>
      <c r="G1588" s="12">
        <f t="shared" si="224"/>
        <v>284.56890255937498</v>
      </c>
      <c r="H1588" s="12">
        <f t="shared" si="221"/>
        <v>1797700</v>
      </c>
      <c r="I1588" s="12">
        <f t="shared" si="222"/>
        <v>1024400</v>
      </c>
      <c r="J1588" s="12">
        <f>IF(A1588&lt;[3]关卡对接!$A$4,INDEX([3]关卡对接!$C$7:$C$141,A1588),MATCH(E1588,人物经验!$H$24:$H$573,1))</f>
        <v>516</v>
      </c>
      <c r="K1588" s="12">
        <f>IF([3]关卡对接!F1576="",INT(INDEX(人物经验!$J$24:$J$573,关卡!J1588)*关卡!$S$7),[3]关卡对接!F1576)</f>
        <v>44787</v>
      </c>
      <c r="L1588" s="12">
        <f t="shared" si="227"/>
        <v>2.4</v>
      </c>
      <c r="M1588" s="12">
        <f>L1588/[4]货币基础!$B$4</f>
        <v>240</v>
      </c>
      <c r="N1588" s="12">
        <f>IF(A1588&lt;[3]关卡对接!$A$4,INDEX([3]关卡对接!$E$7:$E$141,A1588),MATCH(E1588,人物经验!$H$24:$H$573,1))</f>
        <v>516</v>
      </c>
      <c r="O1588" s="12">
        <f>INDEX([2]关卡!$G$6:$G$2005,A1588)</f>
        <v>3</v>
      </c>
      <c r="P1588" s="13">
        <v>6</v>
      </c>
      <c r="Q1588" s="12">
        <f>INT(P1588/$S$15/O1588*VLOOKUP(J1588,[1]人物技能基础!$N$3:$O$553,2,0)*$U$15)</f>
        <v>9</v>
      </c>
      <c r="R1588" s="12">
        <f t="shared" si="228"/>
        <v>112</v>
      </c>
    </row>
    <row r="1589" spans="1:18" x14ac:dyDescent="0.15">
      <c r="A1589" s="12">
        <v>1571</v>
      </c>
      <c r="B1589" s="12">
        <f t="shared" si="225"/>
        <v>8</v>
      </c>
      <c r="C1589" s="12">
        <f t="shared" si="226"/>
        <v>11.796434999999999</v>
      </c>
      <c r="D1589" s="12">
        <f t="shared" si="220"/>
        <v>7.4934999999998197E-2</v>
      </c>
      <c r="E1589" s="12">
        <f>SUM($D$19:D1589)</f>
        <v>43.996434999999948</v>
      </c>
      <c r="F1589" s="12">
        <f t="shared" si="223"/>
        <v>500.25047320591989</v>
      </c>
      <c r="G1589" s="12">
        <f t="shared" si="224"/>
        <v>284.96742682373093</v>
      </c>
      <c r="H1589" s="12">
        <f t="shared" si="221"/>
        <v>1800900</v>
      </c>
      <c r="I1589" s="12">
        <f t="shared" si="222"/>
        <v>1025800</v>
      </c>
      <c r="J1589" s="12">
        <f>IF(A1589&lt;[3]关卡对接!$A$4,INDEX([3]关卡对接!$C$7:$C$141,A1589),MATCH(E1589,人物经验!$H$24:$H$573,1))</f>
        <v>516</v>
      </c>
      <c r="K1589" s="12">
        <f>IF([3]关卡对接!F1577="",INT(INDEX(人物经验!$J$24:$J$573,关卡!J1589)*关卡!$S$7),[3]关卡对接!F1577)</f>
        <v>44787</v>
      </c>
      <c r="L1589" s="12">
        <f t="shared" si="227"/>
        <v>2.4</v>
      </c>
      <c r="M1589" s="12">
        <f>L1589/[4]货币基础!$B$4</f>
        <v>240</v>
      </c>
      <c r="N1589" s="12">
        <f>IF(A1589&lt;[3]关卡对接!$A$4,INDEX([3]关卡对接!$E$7:$E$141,A1589),MATCH(E1589,人物经验!$H$24:$H$573,1))</f>
        <v>516</v>
      </c>
      <c r="O1589" s="12">
        <f>INDEX([2]关卡!$G$6:$G$2005,A1589)</f>
        <v>3</v>
      </c>
      <c r="P1589" s="13">
        <v>6</v>
      </c>
      <c r="Q1589" s="12">
        <f>INT(P1589/$S$15/O1589*VLOOKUP(J1589,[1]人物技能基础!$N$3:$O$553,2,0)*$U$15)</f>
        <v>9</v>
      </c>
      <c r="R1589" s="12">
        <f t="shared" si="228"/>
        <v>112</v>
      </c>
    </row>
    <row r="1590" spans="1:18" x14ac:dyDescent="0.15">
      <c r="A1590" s="12">
        <v>1572</v>
      </c>
      <c r="B1590" s="12">
        <f t="shared" si="225"/>
        <v>8</v>
      </c>
      <c r="C1590" s="12">
        <f t="shared" si="226"/>
        <v>11.87144</v>
      </c>
      <c r="D1590" s="12">
        <f t="shared" si="220"/>
        <v>7.5005000000000877E-2</v>
      </c>
      <c r="E1590" s="12">
        <f>SUM($D$19:D1590)</f>
        <v>44.071439999999953</v>
      </c>
      <c r="F1590" s="12">
        <f t="shared" si="223"/>
        <v>501.12258394878404</v>
      </c>
      <c r="G1590" s="12">
        <f t="shared" si="224"/>
        <v>285.36637867351999</v>
      </c>
      <c r="H1590" s="12">
        <f t="shared" si="221"/>
        <v>1804000</v>
      </c>
      <c r="I1590" s="12">
        <f t="shared" si="222"/>
        <v>1027300</v>
      </c>
      <c r="J1590" s="12">
        <f>IF(A1590&lt;[3]关卡对接!$A$4,INDEX([3]关卡对接!$C$7:$C$141,A1590),MATCH(E1590,人物经验!$H$24:$H$573,1))</f>
        <v>516</v>
      </c>
      <c r="K1590" s="12">
        <f>IF([3]关卡对接!F1578="",INT(INDEX(人物经验!$J$24:$J$573,关卡!J1590)*关卡!$S$7),[3]关卡对接!F1578)</f>
        <v>44787</v>
      </c>
      <c r="L1590" s="12">
        <f t="shared" si="227"/>
        <v>2.4</v>
      </c>
      <c r="M1590" s="12">
        <f>L1590/[4]货币基础!$B$4</f>
        <v>240</v>
      </c>
      <c r="N1590" s="12">
        <f>IF(A1590&lt;[3]关卡对接!$A$4,INDEX([3]关卡对接!$E$7:$E$141,A1590),MATCH(E1590,人物经验!$H$24:$H$573,1))</f>
        <v>516</v>
      </c>
      <c r="O1590" s="12">
        <f>INDEX([2]关卡!$G$6:$G$2005,A1590)</f>
        <v>3</v>
      </c>
      <c r="P1590" s="13">
        <v>6</v>
      </c>
      <c r="Q1590" s="12">
        <f>INT(P1590/$S$15/O1590*VLOOKUP(J1590,[1]人物技能基础!$N$3:$O$553,2,0)*$U$15)</f>
        <v>9</v>
      </c>
      <c r="R1590" s="12">
        <f t="shared" si="228"/>
        <v>112</v>
      </c>
    </row>
    <row r="1591" spans="1:18" x14ac:dyDescent="0.15">
      <c r="A1591" s="12">
        <v>1573</v>
      </c>
      <c r="B1591" s="12">
        <f t="shared" si="225"/>
        <v>8</v>
      </c>
      <c r="C1591" s="12">
        <f t="shared" si="226"/>
        <v>11.946515</v>
      </c>
      <c r="D1591" s="12">
        <f t="shared" si="220"/>
        <v>7.5075000000000003E-2</v>
      </c>
      <c r="E1591" s="12">
        <f>SUM($D$19:D1591)</f>
        <v>44.146514999999951</v>
      </c>
      <c r="F1591" s="12">
        <f t="shared" si="223"/>
        <v>501.99588789351003</v>
      </c>
      <c r="G1591" s="12">
        <f t="shared" si="224"/>
        <v>285.76575844518095</v>
      </c>
      <c r="H1591" s="12">
        <f t="shared" si="221"/>
        <v>1807100</v>
      </c>
      <c r="I1591" s="12">
        <f t="shared" si="222"/>
        <v>1028700</v>
      </c>
      <c r="J1591" s="12">
        <f>IF(A1591&lt;[3]关卡对接!$A$4,INDEX([3]关卡对接!$C$7:$C$141,A1591),MATCH(E1591,人物经验!$H$24:$H$573,1))</f>
        <v>517</v>
      </c>
      <c r="K1591" s="12">
        <f>IF([3]关卡对接!F1579="",INT(INDEX(人物经验!$J$24:$J$573,关卡!J1591)*关卡!$S$7),[3]关卡对接!F1579)</f>
        <v>45101</v>
      </c>
      <c r="L1591" s="12">
        <f t="shared" si="227"/>
        <v>2.4</v>
      </c>
      <c r="M1591" s="12">
        <f>L1591/[4]货币基础!$B$4</f>
        <v>240</v>
      </c>
      <c r="N1591" s="12">
        <f>IF(A1591&lt;[3]关卡对接!$A$4,INDEX([3]关卡对接!$E$7:$E$141,A1591),MATCH(E1591,人物经验!$H$24:$H$573,1))</f>
        <v>517</v>
      </c>
      <c r="O1591" s="12">
        <f>INDEX([2]关卡!$G$6:$G$2005,A1591)</f>
        <v>3</v>
      </c>
      <c r="P1591" s="13">
        <v>6</v>
      </c>
      <c r="Q1591" s="12">
        <f>INT(P1591/$S$15/O1591*VLOOKUP(J1591,[1]人物技能基础!$N$3:$O$553,2,0)*$U$15)</f>
        <v>9</v>
      </c>
      <c r="R1591" s="12">
        <f t="shared" si="228"/>
        <v>112</v>
      </c>
    </row>
    <row r="1592" spans="1:18" x14ac:dyDescent="0.15">
      <c r="A1592" s="12">
        <v>1574</v>
      </c>
      <c r="B1592" s="12">
        <f t="shared" si="225"/>
        <v>8</v>
      </c>
      <c r="C1592" s="12">
        <f t="shared" si="226"/>
        <v>12.021660000000001</v>
      </c>
      <c r="D1592" s="12">
        <f t="shared" si="220"/>
        <v>7.5145000000000906E-2</v>
      </c>
      <c r="E1592" s="12">
        <f>SUM($D$19:D1592)</f>
        <v>44.22165999999995</v>
      </c>
      <c r="F1592" s="12">
        <f t="shared" si="223"/>
        <v>502.87038620623912</v>
      </c>
      <c r="G1592" s="12">
        <f t="shared" si="224"/>
        <v>286.16556647529501</v>
      </c>
      <c r="H1592" s="12">
        <f t="shared" si="221"/>
        <v>1810300</v>
      </c>
      <c r="I1592" s="12">
        <f t="shared" si="222"/>
        <v>1030100</v>
      </c>
      <c r="J1592" s="12">
        <f>IF(A1592&lt;[3]关卡对接!$A$4,INDEX([3]关卡对接!$C$7:$C$141,A1592),MATCH(E1592,人物经验!$H$24:$H$573,1))</f>
        <v>517</v>
      </c>
      <c r="K1592" s="12">
        <f>IF([3]关卡对接!F1580="",INT(INDEX(人物经验!$J$24:$J$573,关卡!J1592)*关卡!$S$7),[3]关卡对接!F1580)</f>
        <v>45101</v>
      </c>
      <c r="L1592" s="12">
        <f t="shared" si="227"/>
        <v>2.4</v>
      </c>
      <c r="M1592" s="12">
        <f>L1592/[4]货币基础!$B$4</f>
        <v>240</v>
      </c>
      <c r="N1592" s="12">
        <f>IF(A1592&lt;[3]关卡对接!$A$4,INDEX([3]关卡对接!$E$7:$E$141,A1592),MATCH(E1592,人物经验!$H$24:$H$573,1))</f>
        <v>517</v>
      </c>
      <c r="O1592" s="12">
        <f>INDEX([2]关卡!$G$6:$G$2005,A1592)</f>
        <v>3</v>
      </c>
      <c r="P1592" s="13">
        <v>6</v>
      </c>
      <c r="Q1592" s="12">
        <f>INT(P1592/$S$15/O1592*VLOOKUP(J1592,[1]人物技能基础!$N$3:$O$553,2,0)*$U$15)</f>
        <v>9</v>
      </c>
      <c r="R1592" s="12">
        <f t="shared" si="228"/>
        <v>112</v>
      </c>
    </row>
    <row r="1593" spans="1:18" x14ac:dyDescent="0.15">
      <c r="A1593" s="12">
        <v>1575</v>
      </c>
      <c r="B1593" s="12">
        <f t="shared" si="225"/>
        <v>8</v>
      </c>
      <c r="C1593" s="12">
        <f t="shared" si="226"/>
        <v>12.096874999999999</v>
      </c>
      <c r="D1593" s="12">
        <f t="shared" si="220"/>
        <v>7.5214999999998255E-2</v>
      </c>
      <c r="E1593" s="12">
        <f>SUM($D$19:D1593)</f>
        <v>44.29687499999995</v>
      </c>
      <c r="F1593" s="12">
        <f t="shared" si="223"/>
        <v>503.7460800537109</v>
      </c>
      <c r="G1593" s="12">
        <f t="shared" si="224"/>
        <v>286.56580310058587</v>
      </c>
      <c r="H1593" s="12">
        <f t="shared" si="221"/>
        <v>1813400</v>
      </c>
      <c r="I1593" s="12">
        <f t="shared" si="222"/>
        <v>1031600</v>
      </c>
      <c r="J1593" s="12">
        <f>IF(A1593&lt;[3]关卡对接!$A$4,INDEX([3]关卡对接!$C$7:$C$141,A1593),MATCH(E1593,人物经验!$H$24:$H$573,1))</f>
        <v>517</v>
      </c>
      <c r="K1593" s="12">
        <f>IF([3]关卡对接!F1581="",INT(INDEX(人物经验!$J$24:$J$573,关卡!J1593)*关卡!$S$7),[3]关卡对接!F1581)</f>
        <v>45101</v>
      </c>
      <c r="L1593" s="12">
        <f t="shared" si="227"/>
        <v>2.4</v>
      </c>
      <c r="M1593" s="12">
        <f>L1593/[4]货币基础!$B$4</f>
        <v>240</v>
      </c>
      <c r="N1593" s="12">
        <f>IF(A1593&lt;[3]关卡对接!$A$4,INDEX([3]关卡对接!$E$7:$E$141,A1593),MATCH(E1593,人物经验!$H$24:$H$573,1))</f>
        <v>517</v>
      </c>
      <c r="O1593" s="12">
        <f>INDEX([2]关卡!$G$6:$G$2005,A1593)</f>
        <v>3</v>
      </c>
      <c r="P1593" s="13">
        <v>6</v>
      </c>
      <c r="Q1593" s="12">
        <f>INT(P1593/$S$15/O1593*VLOOKUP(J1593,[1]人物技能基础!$N$3:$O$553,2,0)*$U$15)</f>
        <v>9</v>
      </c>
      <c r="R1593" s="12">
        <f t="shared" si="228"/>
        <v>112</v>
      </c>
    </row>
    <row r="1594" spans="1:18" x14ac:dyDescent="0.15">
      <c r="A1594" s="12">
        <v>1576</v>
      </c>
      <c r="B1594" s="12">
        <f t="shared" si="225"/>
        <v>8</v>
      </c>
      <c r="C1594" s="12">
        <f t="shared" si="226"/>
        <v>12.17216</v>
      </c>
      <c r="D1594" s="12">
        <f t="shared" si="220"/>
        <v>7.5285000000000935E-2</v>
      </c>
      <c r="E1594" s="12">
        <f>SUM($D$19:D1594)</f>
        <v>44.372159999999951</v>
      </c>
      <c r="F1594" s="12">
        <f t="shared" si="223"/>
        <v>504.62297060326409</v>
      </c>
      <c r="G1594" s="12">
        <f t="shared" si="224"/>
        <v>286.96646865792007</v>
      </c>
      <c r="H1594" s="12">
        <f t="shared" si="221"/>
        <v>1816600</v>
      </c>
      <c r="I1594" s="12">
        <f t="shared" si="222"/>
        <v>1033000</v>
      </c>
      <c r="J1594" s="12">
        <f>IF(A1594&lt;[3]关卡对接!$A$4,INDEX([3]关卡对接!$C$7:$C$141,A1594),MATCH(E1594,人物经验!$H$24:$H$573,1))</f>
        <v>517</v>
      </c>
      <c r="K1594" s="12">
        <f>IF([3]关卡对接!F1582="",INT(INDEX(人物经验!$J$24:$J$573,关卡!J1594)*关卡!$S$7),[3]关卡对接!F1582)</f>
        <v>45101</v>
      </c>
      <c r="L1594" s="12">
        <f t="shared" si="227"/>
        <v>2.4</v>
      </c>
      <c r="M1594" s="12">
        <f>L1594/[4]货币基础!$B$4</f>
        <v>240</v>
      </c>
      <c r="N1594" s="12">
        <f>IF(A1594&lt;[3]关卡对接!$A$4,INDEX([3]关卡对接!$E$7:$E$141,A1594),MATCH(E1594,人物经验!$H$24:$H$573,1))</f>
        <v>517</v>
      </c>
      <c r="O1594" s="12">
        <f>INDEX([2]关卡!$G$6:$G$2005,A1594)</f>
        <v>3</v>
      </c>
      <c r="P1594" s="13">
        <v>6</v>
      </c>
      <c r="Q1594" s="12">
        <f>INT(P1594/$S$15/O1594*VLOOKUP(J1594,[1]人物技能基础!$N$3:$O$553,2,0)*$U$15)</f>
        <v>9</v>
      </c>
      <c r="R1594" s="12">
        <f t="shared" si="228"/>
        <v>112</v>
      </c>
    </row>
    <row r="1595" spans="1:18" x14ac:dyDescent="0.15">
      <c r="A1595" s="12">
        <v>1577</v>
      </c>
      <c r="B1595" s="12">
        <f t="shared" si="225"/>
        <v>8</v>
      </c>
      <c r="C1595" s="12">
        <f t="shared" si="226"/>
        <v>12.247515</v>
      </c>
      <c r="D1595" s="12">
        <f t="shared" ref="D1595:D1658" si="229">IF(ISNA(MATCH(A1595,$A$6:$A$15,0)),C1595-C1594,C1595)</f>
        <v>7.5355000000000061E-2</v>
      </c>
      <c r="E1595" s="12">
        <f>SUM($D$19:D1595)</f>
        <v>44.447514999999953</v>
      </c>
      <c r="F1595" s="12">
        <f t="shared" si="223"/>
        <v>505.50105902283491</v>
      </c>
      <c r="G1595" s="12">
        <f t="shared" si="224"/>
        <v>287.36756348430595</v>
      </c>
      <c r="H1595" s="12">
        <f t="shared" ref="H1595:H1658" si="230">INT(F1595*60*60/100)*100</f>
        <v>1819800</v>
      </c>
      <c r="I1595" s="12">
        <f t="shared" ref="I1595:I1658" si="231">INT(G1595*60*60/100)*100</f>
        <v>1034500</v>
      </c>
      <c r="J1595" s="12">
        <f>IF(A1595&lt;[3]关卡对接!$A$4,INDEX([3]关卡对接!$C$7:$C$141,A1595),MATCH(E1595,人物经验!$H$24:$H$573,1))</f>
        <v>518</v>
      </c>
      <c r="K1595" s="12">
        <f>IF([3]关卡对接!F1583="",INT(INDEX(人物经验!$J$24:$J$573,关卡!J1595)*关卡!$S$7),[3]关卡对接!F1583)</f>
        <v>45416</v>
      </c>
      <c r="L1595" s="12">
        <f t="shared" si="227"/>
        <v>2.4</v>
      </c>
      <c r="M1595" s="12">
        <f>L1595/[4]货币基础!$B$4</f>
        <v>240</v>
      </c>
      <c r="N1595" s="12">
        <f>IF(A1595&lt;[3]关卡对接!$A$4,INDEX([3]关卡对接!$E$7:$E$141,A1595),MATCH(E1595,人物经验!$H$24:$H$573,1))</f>
        <v>518</v>
      </c>
      <c r="O1595" s="12">
        <f>INDEX([2]关卡!$G$6:$G$2005,A1595)</f>
        <v>3</v>
      </c>
      <c r="P1595" s="13">
        <v>6</v>
      </c>
      <c r="Q1595" s="12">
        <f>INT(P1595/$S$15/O1595*VLOOKUP(J1595,[1]人物技能基础!$N$3:$O$553,2,0)*$U$15)</f>
        <v>9</v>
      </c>
      <c r="R1595" s="12">
        <f t="shared" si="228"/>
        <v>112</v>
      </c>
    </row>
    <row r="1596" spans="1:18" x14ac:dyDescent="0.15">
      <c r="A1596" s="12">
        <v>1578</v>
      </c>
      <c r="B1596" s="12">
        <f t="shared" si="225"/>
        <v>8</v>
      </c>
      <c r="C1596" s="12">
        <f t="shared" si="226"/>
        <v>12.322940000000001</v>
      </c>
      <c r="D1596" s="12">
        <f t="shared" si="229"/>
        <v>7.5425000000000963E-2</v>
      </c>
      <c r="E1596" s="12">
        <f>SUM($D$19:D1596)</f>
        <v>44.522939999999956</v>
      </c>
      <c r="F1596" s="12">
        <f t="shared" si="223"/>
        <v>506.38034648095908</v>
      </c>
      <c r="G1596" s="12">
        <f t="shared" si="224"/>
        <v>287.76908791689505</v>
      </c>
      <c r="H1596" s="12">
        <f t="shared" si="230"/>
        <v>1822900</v>
      </c>
      <c r="I1596" s="12">
        <f t="shared" si="231"/>
        <v>1035900</v>
      </c>
      <c r="J1596" s="12">
        <f>IF(A1596&lt;[3]关卡对接!$A$4,INDEX([3]关卡对接!$C$7:$C$141,A1596),MATCH(E1596,人物经验!$H$24:$H$573,1))</f>
        <v>518</v>
      </c>
      <c r="K1596" s="12">
        <f>IF([3]关卡对接!F1584="",INT(INDEX(人物经验!$J$24:$J$573,关卡!J1596)*关卡!$S$7),[3]关卡对接!F1584)</f>
        <v>45416</v>
      </c>
      <c r="L1596" s="12">
        <f t="shared" si="227"/>
        <v>2.4</v>
      </c>
      <c r="M1596" s="12">
        <f>L1596/[4]货币基础!$B$4</f>
        <v>240</v>
      </c>
      <c r="N1596" s="12">
        <f>IF(A1596&lt;[3]关卡对接!$A$4,INDEX([3]关卡对接!$E$7:$E$141,A1596),MATCH(E1596,人物经验!$H$24:$H$573,1))</f>
        <v>518</v>
      </c>
      <c r="O1596" s="12">
        <f>INDEX([2]关卡!$G$6:$G$2005,A1596)</f>
        <v>3</v>
      </c>
      <c r="P1596" s="13">
        <v>6</v>
      </c>
      <c r="Q1596" s="12">
        <f>INT(P1596/$S$15/O1596*VLOOKUP(J1596,[1]人物技能基础!$N$3:$O$553,2,0)*$U$15)</f>
        <v>9</v>
      </c>
      <c r="R1596" s="12">
        <f t="shared" si="228"/>
        <v>112</v>
      </c>
    </row>
    <row r="1597" spans="1:18" x14ac:dyDescent="0.15">
      <c r="A1597" s="12">
        <v>1579</v>
      </c>
      <c r="B1597" s="12">
        <f t="shared" si="225"/>
        <v>8</v>
      </c>
      <c r="C1597" s="12">
        <f t="shared" si="226"/>
        <v>12.398434999999999</v>
      </c>
      <c r="D1597" s="12">
        <f t="shared" si="229"/>
        <v>7.5494999999998313E-2</v>
      </c>
      <c r="E1597" s="12">
        <f>SUM($D$19:D1597)</f>
        <v>44.598434999999952</v>
      </c>
      <c r="F1597" s="12">
        <f t="shared" si="223"/>
        <v>507.26083414676992</v>
      </c>
      <c r="G1597" s="12">
        <f t="shared" si="224"/>
        <v>288.17104229298093</v>
      </c>
      <c r="H1597" s="12">
        <f t="shared" si="230"/>
        <v>1826100</v>
      </c>
      <c r="I1597" s="12">
        <f t="shared" si="231"/>
        <v>1037400</v>
      </c>
      <c r="J1597" s="12">
        <f>IF(A1597&lt;[3]关卡对接!$A$4,INDEX([3]关卡对接!$C$7:$C$141,A1597),MATCH(E1597,人物经验!$H$24:$H$573,1))</f>
        <v>518</v>
      </c>
      <c r="K1597" s="12">
        <f>IF([3]关卡对接!F1585="",INT(INDEX(人物经验!$J$24:$J$573,关卡!J1597)*关卡!$S$7),[3]关卡对接!F1585)</f>
        <v>45416</v>
      </c>
      <c r="L1597" s="12">
        <f t="shared" si="227"/>
        <v>2.4</v>
      </c>
      <c r="M1597" s="12">
        <f>L1597/[4]货币基础!$B$4</f>
        <v>240</v>
      </c>
      <c r="N1597" s="12">
        <f>IF(A1597&lt;[3]关卡对接!$A$4,INDEX([3]关卡对接!$E$7:$E$141,A1597),MATCH(E1597,人物经验!$H$24:$H$573,1))</f>
        <v>518</v>
      </c>
      <c r="O1597" s="12">
        <f>INDEX([2]关卡!$G$6:$G$2005,A1597)</f>
        <v>3</v>
      </c>
      <c r="P1597" s="13">
        <v>6</v>
      </c>
      <c r="Q1597" s="12">
        <f>INT(P1597/$S$15/O1597*VLOOKUP(J1597,[1]人物技能基础!$N$3:$O$553,2,0)*$U$15)</f>
        <v>9</v>
      </c>
      <c r="R1597" s="12">
        <f t="shared" si="228"/>
        <v>112</v>
      </c>
    </row>
    <row r="1598" spans="1:18" x14ac:dyDescent="0.15">
      <c r="A1598" s="12">
        <v>1580</v>
      </c>
      <c r="B1598" s="12">
        <f t="shared" si="225"/>
        <v>8</v>
      </c>
      <c r="C1598" s="12">
        <f t="shared" si="226"/>
        <v>12.474</v>
      </c>
      <c r="D1598" s="12">
        <f t="shared" si="229"/>
        <v>7.5565000000000992E-2</v>
      </c>
      <c r="E1598" s="12">
        <f>SUM($D$19:D1598)</f>
        <v>44.67399999999995</v>
      </c>
      <c r="F1598" s="12">
        <f t="shared" si="223"/>
        <v>508.14252319000019</v>
      </c>
      <c r="G1598" s="12">
        <f t="shared" si="224"/>
        <v>288.57342695</v>
      </c>
      <c r="H1598" s="12">
        <f t="shared" si="230"/>
        <v>1829300</v>
      </c>
      <c r="I1598" s="12">
        <f t="shared" si="231"/>
        <v>1038800</v>
      </c>
      <c r="J1598" s="12">
        <f>IF(A1598&lt;[3]关卡对接!$A$4,INDEX([3]关卡对接!$C$7:$C$141,A1598),MATCH(E1598,人物经验!$H$24:$H$573,1))</f>
        <v>518</v>
      </c>
      <c r="K1598" s="12">
        <f>IF([3]关卡对接!F1586="",INT(INDEX(人物经验!$J$24:$J$573,关卡!J1598)*关卡!$S$7),[3]关卡对接!F1586)</f>
        <v>45416</v>
      </c>
      <c r="L1598" s="12">
        <f t="shared" si="227"/>
        <v>2.4</v>
      </c>
      <c r="M1598" s="12">
        <f>L1598/[4]货币基础!$B$4</f>
        <v>240</v>
      </c>
      <c r="N1598" s="12">
        <f>IF(A1598&lt;[3]关卡对接!$A$4,INDEX([3]关卡对接!$E$7:$E$141,A1598),MATCH(E1598,人物经验!$H$24:$H$573,1))</f>
        <v>518</v>
      </c>
      <c r="O1598" s="12">
        <f>INDEX([2]关卡!$G$6:$G$2005,A1598)</f>
        <v>3</v>
      </c>
      <c r="P1598" s="13">
        <v>6</v>
      </c>
      <c r="Q1598" s="12">
        <f>INT(P1598/$S$15/O1598*VLOOKUP(J1598,[1]人物技能基础!$N$3:$O$553,2,0)*$U$15)</f>
        <v>9</v>
      </c>
      <c r="R1598" s="12">
        <f t="shared" si="228"/>
        <v>112</v>
      </c>
    </row>
    <row r="1599" spans="1:18" x14ac:dyDescent="0.15">
      <c r="A1599" s="12">
        <v>1581</v>
      </c>
      <c r="B1599" s="12">
        <f t="shared" si="225"/>
        <v>8</v>
      </c>
      <c r="C1599" s="12">
        <f t="shared" si="226"/>
        <v>12.549635</v>
      </c>
      <c r="D1599" s="12">
        <f t="shared" si="229"/>
        <v>7.5635000000000119E-2</v>
      </c>
      <c r="E1599" s="12">
        <f>SUM($D$19:D1599)</f>
        <v>44.749634999999948</v>
      </c>
      <c r="F1599" s="12">
        <f t="shared" si="223"/>
        <v>509.02541478097987</v>
      </c>
      <c r="G1599" s="12">
        <f t="shared" si="224"/>
        <v>288.97624222553094</v>
      </c>
      <c r="H1599" s="12">
        <f t="shared" si="230"/>
        <v>1832400</v>
      </c>
      <c r="I1599" s="12">
        <f t="shared" si="231"/>
        <v>1040300</v>
      </c>
      <c r="J1599" s="12">
        <f>IF(A1599&lt;[3]关卡对接!$A$4,INDEX([3]关卡对接!$C$7:$C$141,A1599),MATCH(E1599,人物经验!$H$24:$H$573,1))</f>
        <v>519</v>
      </c>
      <c r="K1599" s="12">
        <f>IF([3]关卡对接!F1587="",INT(INDEX(人物经验!$J$24:$J$573,关卡!J1599)*关卡!$S$7),[3]关卡对接!F1587)</f>
        <v>45732</v>
      </c>
      <c r="L1599" s="12">
        <f t="shared" si="227"/>
        <v>2.4</v>
      </c>
      <c r="M1599" s="12">
        <f>L1599/[4]货币基础!$B$4</f>
        <v>240</v>
      </c>
      <c r="N1599" s="12">
        <f>IF(A1599&lt;[3]关卡对接!$A$4,INDEX([3]关卡对接!$E$7:$E$141,A1599),MATCH(E1599,人物经验!$H$24:$H$573,1))</f>
        <v>519</v>
      </c>
      <c r="O1599" s="12">
        <f>INDEX([2]关卡!$G$6:$G$2005,A1599)</f>
        <v>3</v>
      </c>
      <c r="P1599" s="13">
        <v>6</v>
      </c>
      <c r="Q1599" s="12">
        <f>INT(P1599/$S$15/O1599*VLOOKUP(J1599,[1]人物技能基础!$N$3:$O$553,2,0)*$U$15)</f>
        <v>9</v>
      </c>
      <c r="R1599" s="12">
        <f t="shared" si="228"/>
        <v>112</v>
      </c>
    </row>
    <row r="1600" spans="1:18" x14ac:dyDescent="0.15">
      <c r="A1600" s="12">
        <v>1582</v>
      </c>
      <c r="B1600" s="12">
        <f t="shared" si="225"/>
        <v>8</v>
      </c>
      <c r="C1600" s="12">
        <f t="shared" si="226"/>
        <v>12.625340000000001</v>
      </c>
      <c r="D1600" s="12">
        <f t="shared" si="229"/>
        <v>7.5705000000001021E-2</v>
      </c>
      <c r="E1600" s="12">
        <f>SUM($D$19:D1600)</f>
        <v>44.825339999999947</v>
      </c>
      <c r="F1600" s="12">
        <f t="shared" si="223"/>
        <v>509.909510090639</v>
      </c>
      <c r="G1600" s="12">
        <f t="shared" si="224"/>
        <v>289.37948845729505</v>
      </c>
      <c r="H1600" s="12">
        <f t="shared" si="230"/>
        <v>1835600</v>
      </c>
      <c r="I1600" s="12">
        <f t="shared" si="231"/>
        <v>1041700</v>
      </c>
      <c r="J1600" s="12">
        <f>IF(A1600&lt;[3]关卡对接!$A$4,INDEX([3]关卡对接!$C$7:$C$141,A1600),MATCH(E1600,人物经验!$H$24:$H$573,1))</f>
        <v>519</v>
      </c>
      <c r="K1600" s="12">
        <f>IF([3]关卡对接!F1588="",INT(INDEX(人物经验!$J$24:$J$573,关卡!J1600)*关卡!$S$7),[3]关卡对接!F1588)</f>
        <v>45732</v>
      </c>
      <c r="L1600" s="12">
        <f t="shared" si="227"/>
        <v>2.4</v>
      </c>
      <c r="M1600" s="12">
        <f>L1600/[4]货币基础!$B$4</f>
        <v>240</v>
      </c>
      <c r="N1600" s="12">
        <f>IF(A1600&lt;[3]关卡对接!$A$4,INDEX([3]关卡对接!$E$7:$E$141,A1600),MATCH(E1600,人物经验!$H$24:$H$573,1))</f>
        <v>519</v>
      </c>
      <c r="O1600" s="12">
        <f>INDEX([2]关卡!$G$6:$G$2005,A1600)</f>
        <v>3</v>
      </c>
      <c r="P1600" s="13">
        <v>6</v>
      </c>
      <c r="Q1600" s="12">
        <f>INT(P1600/$S$15/O1600*VLOOKUP(J1600,[1]人物技能基础!$N$3:$O$553,2,0)*$U$15)</f>
        <v>9</v>
      </c>
      <c r="R1600" s="12">
        <f t="shared" si="228"/>
        <v>112</v>
      </c>
    </row>
    <row r="1601" spans="1:18" x14ac:dyDescent="0.15">
      <c r="A1601" s="12">
        <v>1583</v>
      </c>
      <c r="B1601" s="12">
        <f t="shared" si="225"/>
        <v>8</v>
      </c>
      <c r="C1601" s="12">
        <f t="shared" si="226"/>
        <v>12.701115000000001</v>
      </c>
      <c r="D1601" s="12">
        <f t="shared" si="229"/>
        <v>7.5775000000000148E-2</v>
      </c>
      <c r="E1601" s="12">
        <f>SUM($D$19:D1601)</f>
        <v>44.901114999999947</v>
      </c>
      <c r="F1601" s="12">
        <f t="shared" si="223"/>
        <v>510.79481029050487</v>
      </c>
      <c r="G1601" s="12">
        <f t="shared" si="224"/>
        <v>289.78316598315593</v>
      </c>
      <c r="H1601" s="12">
        <f t="shared" si="230"/>
        <v>1838800</v>
      </c>
      <c r="I1601" s="12">
        <f t="shared" si="231"/>
        <v>1043200</v>
      </c>
      <c r="J1601" s="12">
        <f>IF(A1601&lt;[3]关卡对接!$A$4,INDEX([3]关卡对接!$C$7:$C$141,A1601),MATCH(E1601,人物经验!$H$24:$H$573,1))</f>
        <v>519</v>
      </c>
      <c r="K1601" s="12">
        <f>IF([3]关卡对接!F1589="",INT(INDEX(人物经验!$J$24:$J$573,关卡!J1601)*关卡!$S$7),[3]关卡对接!F1589)</f>
        <v>45732</v>
      </c>
      <c r="L1601" s="12">
        <f t="shared" si="227"/>
        <v>2.4</v>
      </c>
      <c r="M1601" s="12">
        <f>L1601/[4]货币基础!$B$4</f>
        <v>240</v>
      </c>
      <c r="N1601" s="12">
        <f>IF(A1601&lt;[3]关卡对接!$A$4,INDEX([3]关卡对接!$E$7:$E$141,A1601),MATCH(E1601,人物经验!$H$24:$H$573,1))</f>
        <v>519</v>
      </c>
      <c r="O1601" s="12">
        <f>INDEX([2]关卡!$G$6:$G$2005,A1601)</f>
        <v>3</v>
      </c>
      <c r="P1601" s="13">
        <v>6</v>
      </c>
      <c r="Q1601" s="12">
        <f>INT(P1601/$S$15/O1601*VLOOKUP(J1601,[1]人物技能基础!$N$3:$O$553,2,0)*$U$15)</f>
        <v>9</v>
      </c>
      <c r="R1601" s="12">
        <f t="shared" si="228"/>
        <v>112</v>
      </c>
    </row>
    <row r="1602" spans="1:18" x14ac:dyDescent="0.15">
      <c r="A1602" s="12">
        <v>1584</v>
      </c>
      <c r="B1602" s="12">
        <f t="shared" si="225"/>
        <v>8</v>
      </c>
      <c r="C1602" s="12">
        <f t="shared" si="226"/>
        <v>12.776960000000003</v>
      </c>
      <c r="D1602" s="12">
        <f t="shared" si="229"/>
        <v>7.584500000000105E-2</v>
      </c>
      <c r="E1602" s="12">
        <f>SUM($D$19:D1602)</f>
        <v>44.976959999999949</v>
      </c>
      <c r="F1602" s="12">
        <f t="shared" si="223"/>
        <v>511.68131655270412</v>
      </c>
      <c r="G1602" s="12">
        <f t="shared" si="224"/>
        <v>290.18727514111998</v>
      </c>
      <c r="H1602" s="12">
        <f t="shared" si="230"/>
        <v>1842000</v>
      </c>
      <c r="I1602" s="12">
        <f t="shared" si="231"/>
        <v>1044600</v>
      </c>
      <c r="J1602" s="12">
        <f>IF(A1602&lt;[3]关卡对接!$A$4,INDEX([3]关卡对接!$C$7:$C$141,A1602),MATCH(E1602,人物经验!$H$24:$H$573,1))</f>
        <v>520</v>
      </c>
      <c r="K1602" s="12">
        <f>IF([3]关卡对接!F1590="",INT(INDEX(人物经验!$J$24:$J$573,关卡!J1602)*关卡!$S$7),[3]关卡对接!F1590)</f>
        <v>45971</v>
      </c>
      <c r="L1602" s="12">
        <f t="shared" si="227"/>
        <v>2.4</v>
      </c>
      <c r="M1602" s="12">
        <f>L1602/[4]货币基础!$B$4</f>
        <v>240</v>
      </c>
      <c r="N1602" s="12">
        <f>IF(A1602&lt;[3]关卡对接!$A$4,INDEX([3]关卡对接!$E$7:$E$141,A1602),MATCH(E1602,人物经验!$H$24:$H$573,1))</f>
        <v>520</v>
      </c>
      <c r="O1602" s="12">
        <f>INDEX([2]关卡!$G$6:$G$2005,A1602)</f>
        <v>3</v>
      </c>
      <c r="P1602" s="13">
        <v>6</v>
      </c>
      <c r="Q1602" s="12">
        <f>INT(P1602/$S$15/O1602*VLOOKUP(J1602,[1]人物技能基础!$N$3:$O$553,2,0)*$U$15)</f>
        <v>9</v>
      </c>
      <c r="R1602" s="12">
        <f t="shared" si="228"/>
        <v>112</v>
      </c>
    </row>
    <row r="1603" spans="1:18" x14ac:dyDescent="0.15">
      <c r="A1603" s="12">
        <v>1585</v>
      </c>
      <c r="B1603" s="12">
        <f t="shared" si="225"/>
        <v>8</v>
      </c>
      <c r="C1603" s="12">
        <f t="shared" si="226"/>
        <v>12.852875000000001</v>
      </c>
      <c r="D1603" s="12">
        <f t="shared" si="229"/>
        <v>7.59149999999984E-2</v>
      </c>
      <c r="E1603" s="12">
        <f>SUM($D$19:D1603)</f>
        <v>45.052874999999943</v>
      </c>
      <c r="F1603" s="12">
        <f t="shared" si="223"/>
        <v>512.56903004996093</v>
      </c>
      <c r="G1603" s="12">
        <f t="shared" si="224"/>
        <v>290.59181626933588</v>
      </c>
      <c r="H1603" s="12">
        <f t="shared" si="230"/>
        <v>1845200</v>
      </c>
      <c r="I1603" s="12">
        <f t="shared" si="231"/>
        <v>1046100</v>
      </c>
      <c r="J1603" s="12">
        <f>IF(A1603&lt;[3]关卡对接!$A$4,INDEX([3]关卡对接!$C$7:$C$141,A1603),MATCH(E1603,人物经验!$H$24:$H$573,1))</f>
        <v>520</v>
      </c>
      <c r="K1603" s="12">
        <f>IF([3]关卡对接!F1591="",INT(INDEX(人物经验!$J$24:$J$573,关卡!J1603)*关卡!$S$7),[3]关卡对接!F1591)</f>
        <v>45971</v>
      </c>
      <c r="L1603" s="12">
        <f t="shared" si="227"/>
        <v>2.4</v>
      </c>
      <c r="M1603" s="12">
        <f>L1603/[4]货币基础!$B$4</f>
        <v>240</v>
      </c>
      <c r="N1603" s="12">
        <f>IF(A1603&lt;[3]关卡对接!$A$4,INDEX([3]关卡对接!$E$7:$E$141,A1603),MATCH(E1603,人物经验!$H$24:$H$573,1))</f>
        <v>520</v>
      </c>
      <c r="O1603" s="12">
        <f>INDEX([2]关卡!$G$6:$G$2005,A1603)</f>
        <v>3</v>
      </c>
      <c r="P1603" s="13">
        <v>6</v>
      </c>
      <c r="Q1603" s="12">
        <f>INT(P1603/$S$15/O1603*VLOOKUP(J1603,[1]人物技能基础!$N$3:$O$553,2,0)*$U$15)</f>
        <v>9</v>
      </c>
      <c r="R1603" s="12">
        <f t="shared" si="228"/>
        <v>112</v>
      </c>
    </row>
    <row r="1604" spans="1:18" x14ac:dyDescent="0.15">
      <c r="A1604" s="12">
        <v>1586</v>
      </c>
      <c r="B1604" s="12">
        <f t="shared" si="225"/>
        <v>8</v>
      </c>
      <c r="C1604" s="12">
        <f t="shared" si="226"/>
        <v>12.928860000000002</v>
      </c>
      <c r="D1604" s="12">
        <f t="shared" si="229"/>
        <v>7.5985000000001079E-2</v>
      </c>
      <c r="E1604" s="12">
        <f>SUM($D$19:D1604)</f>
        <v>45.128859999999946</v>
      </c>
      <c r="F1604" s="12">
        <f t="shared" si="223"/>
        <v>513.45795195559901</v>
      </c>
      <c r="G1604" s="12">
        <f t="shared" si="224"/>
        <v>290.99678970609506</v>
      </c>
      <c r="H1604" s="12">
        <f t="shared" si="230"/>
        <v>1848400</v>
      </c>
      <c r="I1604" s="12">
        <f t="shared" si="231"/>
        <v>1047500</v>
      </c>
      <c r="J1604" s="12">
        <f>IF(A1604&lt;[3]关卡对接!$A$4,INDEX([3]关卡对接!$C$7:$C$141,A1604),MATCH(E1604,人物经验!$H$24:$H$573,1))</f>
        <v>520</v>
      </c>
      <c r="K1604" s="12">
        <f>IF([3]关卡对接!F1592="",INT(INDEX(人物经验!$J$24:$J$573,关卡!J1604)*关卡!$S$7),[3]关卡对接!F1592)</f>
        <v>45971</v>
      </c>
      <c r="L1604" s="12">
        <f t="shared" si="227"/>
        <v>2.4</v>
      </c>
      <c r="M1604" s="12">
        <f>L1604/[4]货币基础!$B$4</f>
        <v>240</v>
      </c>
      <c r="N1604" s="12">
        <f>IF(A1604&lt;[3]关卡对接!$A$4,INDEX([3]关卡对接!$E$7:$E$141,A1604),MATCH(E1604,人物经验!$H$24:$H$573,1))</f>
        <v>520</v>
      </c>
      <c r="O1604" s="12">
        <f>INDEX([2]关卡!$G$6:$G$2005,A1604)</f>
        <v>3</v>
      </c>
      <c r="P1604" s="13">
        <v>6</v>
      </c>
      <c r="Q1604" s="12">
        <f>INT(P1604/$S$15/O1604*VLOOKUP(J1604,[1]人物技能基础!$N$3:$O$553,2,0)*$U$15)</f>
        <v>9</v>
      </c>
      <c r="R1604" s="12">
        <f t="shared" si="228"/>
        <v>112</v>
      </c>
    </row>
    <row r="1605" spans="1:18" x14ac:dyDescent="0.15">
      <c r="A1605" s="12">
        <v>1587</v>
      </c>
      <c r="B1605" s="12">
        <f t="shared" si="225"/>
        <v>8</v>
      </c>
      <c r="C1605" s="12">
        <f t="shared" si="226"/>
        <v>13.004915</v>
      </c>
      <c r="D1605" s="12">
        <f t="shared" si="229"/>
        <v>7.6054999999998429E-2</v>
      </c>
      <c r="E1605" s="12">
        <f>SUM($D$19:D1605)</f>
        <v>45.204914999999943</v>
      </c>
      <c r="F1605" s="12">
        <f t="shared" si="223"/>
        <v>514.34808344353985</v>
      </c>
      <c r="G1605" s="12">
        <f t="shared" si="224"/>
        <v>291.4021957898309</v>
      </c>
      <c r="H1605" s="12">
        <f t="shared" si="230"/>
        <v>1851600</v>
      </c>
      <c r="I1605" s="12">
        <f t="shared" si="231"/>
        <v>1049000</v>
      </c>
      <c r="J1605" s="12">
        <f>IF(A1605&lt;[3]关卡对接!$A$4,INDEX([3]关卡对接!$C$7:$C$141,A1605),MATCH(E1605,人物经验!$H$24:$H$573,1))</f>
        <v>520</v>
      </c>
      <c r="K1605" s="12">
        <f>IF([3]关卡对接!F1593="",INT(INDEX(人物经验!$J$24:$J$573,关卡!J1605)*关卡!$S$7),[3]关卡对接!F1593)</f>
        <v>45971</v>
      </c>
      <c r="L1605" s="12">
        <f t="shared" si="227"/>
        <v>2.4</v>
      </c>
      <c r="M1605" s="12">
        <f>L1605/[4]货币基础!$B$4</f>
        <v>240</v>
      </c>
      <c r="N1605" s="12">
        <f>IF(A1605&lt;[3]关卡对接!$A$4,INDEX([3]关卡对接!$E$7:$E$141,A1605),MATCH(E1605,人物经验!$H$24:$H$573,1))</f>
        <v>520</v>
      </c>
      <c r="O1605" s="12">
        <f>INDEX([2]关卡!$G$6:$G$2005,A1605)</f>
        <v>3</v>
      </c>
      <c r="P1605" s="13">
        <v>6</v>
      </c>
      <c r="Q1605" s="12">
        <f>INT(P1605/$S$15/O1605*VLOOKUP(J1605,[1]人物技能基础!$N$3:$O$553,2,0)*$U$15)</f>
        <v>9</v>
      </c>
      <c r="R1605" s="12">
        <f t="shared" si="228"/>
        <v>112</v>
      </c>
    </row>
    <row r="1606" spans="1:18" x14ac:dyDescent="0.15">
      <c r="A1606" s="12">
        <v>1588</v>
      </c>
      <c r="B1606" s="12">
        <f t="shared" si="225"/>
        <v>8</v>
      </c>
      <c r="C1606" s="12">
        <f t="shared" si="226"/>
        <v>13.08104</v>
      </c>
      <c r="D1606" s="12">
        <f t="shared" si="229"/>
        <v>7.6124999999999332E-2</v>
      </c>
      <c r="E1606" s="12">
        <f>SUM($D$19:D1606)</f>
        <v>45.28103999999994</v>
      </c>
      <c r="F1606" s="12">
        <f t="shared" si="223"/>
        <v>515.2394256883041</v>
      </c>
      <c r="G1606" s="12">
        <f t="shared" si="224"/>
        <v>291.80803485911997</v>
      </c>
      <c r="H1606" s="12">
        <f t="shared" si="230"/>
        <v>1854800</v>
      </c>
      <c r="I1606" s="12">
        <f t="shared" si="231"/>
        <v>1050500</v>
      </c>
      <c r="J1606" s="12">
        <f>IF(A1606&lt;[3]关卡对接!$A$4,INDEX([3]关卡对接!$C$7:$C$141,A1606),MATCH(E1606,人物经验!$H$24:$H$573,1))</f>
        <v>521</v>
      </c>
      <c r="K1606" s="12">
        <f>IF([3]关卡对接!F1594="",INT(INDEX(人物经验!$J$24:$J$573,关卡!J1606)*关卡!$S$7),[3]关卡对接!F1594)</f>
        <v>46291</v>
      </c>
      <c r="L1606" s="12">
        <f t="shared" si="227"/>
        <v>2.4</v>
      </c>
      <c r="M1606" s="12">
        <f>L1606/[4]货币基础!$B$4</f>
        <v>240</v>
      </c>
      <c r="N1606" s="12">
        <f>IF(A1606&lt;[3]关卡对接!$A$4,INDEX([3]关卡对接!$E$7:$E$141,A1606),MATCH(E1606,人物经验!$H$24:$H$573,1))</f>
        <v>521</v>
      </c>
      <c r="O1606" s="12">
        <f>INDEX([2]关卡!$G$6:$G$2005,A1606)</f>
        <v>3</v>
      </c>
      <c r="P1606" s="13">
        <v>6</v>
      </c>
      <c r="Q1606" s="12">
        <f>INT(P1606/$S$15/O1606*VLOOKUP(J1606,[1]人物技能基础!$N$3:$O$553,2,0)*$U$15)</f>
        <v>9</v>
      </c>
      <c r="R1606" s="12">
        <f t="shared" si="228"/>
        <v>112</v>
      </c>
    </row>
    <row r="1607" spans="1:18" x14ac:dyDescent="0.15">
      <c r="A1607" s="12">
        <v>1589</v>
      </c>
      <c r="B1607" s="12">
        <f t="shared" si="225"/>
        <v>8</v>
      </c>
      <c r="C1607" s="12">
        <f t="shared" si="226"/>
        <v>13.157234999999998</v>
      </c>
      <c r="D1607" s="12">
        <f t="shared" si="229"/>
        <v>7.6194999999998458E-2</v>
      </c>
      <c r="E1607" s="12">
        <f>SUM($D$19:D1607)</f>
        <v>45.357234999999939</v>
      </c>
      <c r="F1607" s="12">
        <f t="shared" si="223"/>
        <v>516.13197986500995</v>
      </c>
      <c r="G1607" s="12">
        <f t="shared" si="224"/>
        <v>292.21430725268095</v>
      </c>
      <c r="H1607" s="12">
        <f t="shared" si="230"/>
        <v>1858000</v>
      </c>
      <c r="I1607" s="12">
        <f t="shared" si="231"/>
        <v>1051900</v>
      </c>
      <c r="J1607" s="12">
        <f>IF(A1607&lt;[3]关卡对接!$A$4,INDEX([3]关卡对接!$C$7:$C$141,A1607),MATCH(E1607,人物经验!$H$24:$H$573,1))</f>
        <v>521</v>
      </c>
      <c r="K1607" s="12">
        <f>IF([3]关卡对接!F1595="",INT(INDEX(人物经验!$J$24:$J$573,关卡!J1607)*关卡!$S$7),[3]关卡对接!F1595)</f>
        <v>46291</v>
      </c>
      <c r="L1607" s="12">
        <f t="shared" si="227"/>
        <v>2.4</v>
      </c>
      <c r="M1607" s="12">
        <f>L1607/[4]货币基础!$B$4</f>
        <v>240</v>
      </c>
      <c r="N1607" s="12">
        <f>IF(A1607&lt;[3]关卡对接!$A$4,INDEX([3]关卡对接!$E$7:$E$141,A1607),MATCH(E1607,人物经验!$H$24:$H$573,1))</f>
        <v>521</v>
      </c>
      <c r="O1607" s="12">
        <f>INDEX([2]关卡!$G$6:$G$2005,A1607)</f>
        <v>3</v>
      </c>
      <c r="P1607" s="13">
        <v>6</v>
      </c>
      <c r="Q1607" s="12">
        <f>INT(P1607/$S$15/O1607*VLOOKUP(J1607,[1]人物技能基础!$N$3:$O$553,2,0)*$U$15)</f>
        <v>9</v>
      </c>
      <c r="R1607" s="12">
        <f t="shared" si="228"/>
        <v>112</v>
      </c>
    </row>
    <row r="1608" spans="1:18" x14ac:dyDescent="0.15">
      <c r="A1608" s="12">
        <v>1590</v>
      </c>
      <c r="B1608" s="12">
        <f t="shared" si="225"/>
        <v>8</v>
      </c>
      <c r="C1608" s="12">
        <f t="shared" si="226"/>
        <v>13.233499999999999</v>
      </c>
      <c r="D1608" s="12">
        <f t="shared" si="229"/>
        <v>7.6265000000001137E-2</v>
      </c>
      <c r="E1608" s="12">
        <f>SUM($D$19:D1608)</f>
        <v>45.433499999999938</v>
      </c>
      <c r="F1608" s="12">
        <f t="shared" si="223"/>
        <v>517.02574714937509</v>
      </c>
      <c r="G1608" s="12">
        <f t="shared" si="224"/>
        <v>292.62101330937509</v>
      </c>
      <c r="H1608" s="12">
        <f t="shared" si="230"/>
        <v>1861200</v>
      </c>
      <c r="I1608" s="12">
        <f t="shared" si="231"/>
        <v>1053400</v>
      </c>
      <c r="J1608" s="12">
        <f>IF(A1608&lt;[3]关卡对接!$A$4,INDEX([3]关卡对接!$C$7:$C$141,A1608),MATCH(E1608,人物经验!$H$24:$H$573,1))</f>
        <v>521</v>
      </c>
      <c r="K1608" s="12">
        <f>IF([3]关卡对接!F1596="",INT(INDEX(人物经验!$J$24:$J$573,关卡!J1608)*关卡!$S$7),[3]关卡对接!F1596)</f>
        <v>46291</v>
      </c>
      <c r="L1608" s="12">
        <f t="shared" si="227"/>
        <v>2.4</v>
      </c>
      <c r="M1608" s="12">
        <f>L1608/[4]货币基础!$B$4</f>
        <v>240</v>
      </c>
      <c r="N1608" s="12">
        <f>IF(A1608&lt;[3]关卡对接!$A$4,INDEX([3]关卡对接!$E$7:$E$141,A1608),MATCH(E1608,人物经验!$H$24:$H$573,1))</f>
        <v>521</v>
      </c>
      <c r="O1608" s="12">
        <f>INDEX([2]关卡!$G$6:$G$2005,A1608)</f>
        <v>3</v>
      </c>
      <c r="P1608" s="13">
        <v>6</v>
      </c>
      <c r="Q1608" s="12">
        <f>INT(P1608/$S$15/O1608*VLOOKUP(J1608,[1]人物技能基础!$N$3:$O$553,2,0)*$U$15)</f>
        <v>9</v>
      </c>
      <c r="R1608" s="12">
        <f t="shared" si="228"/>
        <v>112</v>
      </c>
    </row>
    <row r="1609" spans="1:18" x14ac:dyDescent="0.15">
      <c r="A1609" s="12">
        <v>1591</v>
      </c>
      <c r="B1609" s="12">
        <f t="shared" si="225"/>
        <v>8</v>
      </c>
      <c r="C1609" s="12">
        <f t="shared" si="226"/>
        <v>13.309834999999998</v>
      </c>
      <c r="D1609" s="12">
        <f t="shared" si="229"/>
        <v>7.6334999999998487E-2</v>
      </c>
      <c r="E1609" s="12">
        <f>SUM($D$19:D1609)</f>
        <v>45.509834999999939</v>
      </c>
      <c r="F1609" s="12">
        <f t="shared" si="223"/>
        <v>517.92072871771495</v>
      </c>
      <c r="G1609" s="12">
        <f t="shared" si="224"/>
        <v>293.02815336820589</v>
      </c>
      <c r="H1609" s="12">
        <f t="shared" si="230"/>
        <v>1864500</v>
      </c>
      <c r="I1609" s="12">
        <f t="shared" si="231"/>
        <v>1054900</v>
      </c>
      <c r="J1609" s="12">
        <f>IF(A1609&lt;[3]关卡对接!$A$4,INDEX([3]关卡对接!$C$7:$C$141,A1609),MATCH(E1609,人物经验!$H$24:$H$573,1))</f>
        <v>521</v>
      </c>
      <c r="K1609" s="12">
        <f>IF([3]关卡对接!F1597="",INT(INDEX(人物经验!$J$24:$J$573,关卡!J1609)*关卡!$S$7),[3]关卡对接!F1597)</f>
        <v>46291</v>
      </c>
      <c r="L1609" s="12">
        <f t="shared" si="227"/>
        <v>2.4</v>
      </c>
      <c r="M1609" s="12">
        <f>L1609/[4]货币基础!$B$4</f>
        <v>240</v>
      </c>
      <c r="N1609" s="12">
        <f>IF(A1609&lt;[3]关卡对接!$A$4,INDEX([3]关卡对接!$E$7:$E$141,A1609),MATCH(E1609,人物经验!$H$24:$H$573,1))</f>
        <v>521</v>
      </c>
      <c r="O1609" s="12">
        <f>INDEX([2]关卡!$G$6:$G$2005,A1609)</f>
        <v>3</v>
      </c>
      <c r="P1609" s="13">
        <v>6</v>
      </c>
      <c r="Q1609" s="12">
        <f>INT(P1609/$S$15/O1609*VLOOKUP(J1609,[1]人物技能基础!$N$3:$O$553,2,0)*$U$15)</f>
        <v>9</v>
      </c>
      <c r="R1609" s="12">
        <f t="shared" si="228"/>
        <v>112</v>
      </c>
    </row>
    <row r="1610" spans="1:18" x14ac:dyDescent="0.15">
      <c r="A1610" s="12">
        <v>1592</v>
      </c>
      <c r="B1610" s="12">
        <f t="shared" si="225"/>
        <v>8</v>
      </c>
      <c r="C1610" s="12">
        <f t="shared" si="226"/>
        <v>13.386240000000001</v>
      </c>
      <c r="D1610" s="12">
        <f t="shared" si="229"/>
        <v>7.6405000000002943E-2</v>
      </c>
      <c r="E1610" s="12">
        <f>SUM($D$19:D1610)</f>
        <v>45.58623999999994</v>
      </c>
      <c r="F1610" s="12">
        <f t="shared" si="223"/>
        <v>518.81692574694409</v>
      </c>
      <c r="G1610" s="12">
        <f t="shared" si="224"/>
        <v>293.43572776832008</v>
      </c>
      <c r="H1610" s="12">
        <f t="shared" si="230"/>
        <v>1867700</v>
      </c>
      <c r="I1610" s="12">
        <f t="shared" si="231"/>
        <v>1056300</v>
      </c>
      <c r="J1610" s="12">
        <f>IF(A1610&lt;[3]关卡对接!$A$4,INDEX([3]关卡对接!$C$7:$C$141,A1610),MATCH(E1610,人物经验!$H$24:$H$573,1))</f>
        <v>522</v>
      </c>
      <c r="K1610" s="12">
        <f>IF([3]关卡对接!F1598="",INT(INDEX(人物经验!$J$24:$J$573,关卡!J1610)*关卡!$S$7),[3]关卡对接!F1598)</f>
        <v>46612</v>
      </c>
      <c r="L1610" s="12">
        <f t="shared" si="227"/>
        <v>2.4</v>
      </c>
      <c r="M1610" s="12">
        <f>L1610/[4]货币基础!$B$4</f>
        <v>240</v>
      </c>
      <c r="N1610" s="12">
        <f>IF(A1610&lt;[3]关卡对接!$A$4,INDEX([3]关卡对接!$E$7:$E$141,A1610),MATCH(E1610,人物经验!$H$24:$H$573,1))</f>
        <v>522</v>
      </c>
      <c r="O1610" s="12">
        <f>INDEX([2]关卡!$G$6:$G$2005,A1610)</f>
        <v>3</v>
      </c>
      <c r="P1610" s="13">
        <v>6</v>
      </c>
      <c r="Q1610" s="12">
        <f>INT(P1610/$S$15/O1610*VLOOKUP(J1610,[1]人物技能基础!$N$3:$O$553,2,0)*$U$15)</f>
        <v>9</v>
      </c>
      <c r="R1610" s="12">
        <f t="shared" si="228"/>
        <v>112</v>
      </c>
    </row>
    <row r="1611" spans="1:18" x14ac:dyDescent="0.15">
      <c r="A1611" s="12">
        <v>1593</v>
      </c>
      <c r="B1611" s="12">
        <f t="shared" si="225"/>
        <v>8</v>
      </c>
      <c r="C1611" s="12">
        <f t="shared" si="226"/>
        <v>13.462714999999999</v>
      </c>
      <c r="D1611" s="12">
        <f t="shared" si="229"/>
        <v>7.6474999999998516E-2</v>
      </c>
      <c r="E1611" s="12">
        <f>SUM($D$19:D1611)</f>
        <v>45.662714999999935</v>
      </c>
      <c r="F1611" s="12">
        <f t="shared" si="223"/>
        <v>519.71433941457485</v>
      </c>
      <c r="G1611" s="12">
        <f t="shared" si="224"/>
        <v>293.84373684900595</v>
      </c>
      <c r="H1611" s="12">
        <f t="shared" si="230"/>
        <v>1870900</v>
      </c>
      <c r="I1611" s="12">
        <f t="shared" si="231"/>
        <v>1057800</v>
      </c>
      <c r="J1611" s="12">
        <f>IF(A1611&lt;[3]关卡对接!$A$4,INDEX([3]关卡对接!$C$7:$C$141,A1611),MATCH(E1611,人物经验!$H$24:$H$573,1))</f>
        <v>522</v>
      </c>
      <c r="K1611" s="12">
        <f>IF([3]关卡对接!F1599="",INT(INDEX(人物经验!$J$24:$J$573,关卡!J1611)*关卡!$S$7),[3]关卡对接!F1599)</f>
        <v>46612</v>
      </c>
      <c r="L1611" s="12">
        <f t="shared" si="227"/>
        <v>2.4</v>
      </c>
      <c r="M1611" s="12">
        <f>L1611/[4]货币基础!$B$4</f>
        <v>240</v>
      </c>
      <c r="N1611" s="12">
        <f>IF(A1611&lt;[3]关卡对接!$A$4,INDEX([3]关卡对接!$E$7:$E$141,A1611),MATCH(E1611,人物经验!$H$24:$H$573,1))</f>
        <v>522</v>
      </c>
      <c r="O1611" s="12">
        <f>INDEX([2]关卡!$G$6:$G$2005,A1611)</f>
        <v>3</v>
      </c>
      <c r="P1611" s="13">
        <v>6</v>
      </c>
      <c r="Q1611" s="12">
        <f>INT(P1611/$S$15/O1611*VLOOKUP(J1611,[1]人物技能基础!$N$3:$O$553,2,0)*$U$15)</f>
        <v>9</v>
      </c>
      <c r="R1611" s="12">
        <f t="shared" si="228"/>
        <v>112</v>
      </c>
    </row>
    <row r="1612" spans="1:18" x14ac:dyDescent="0.15">
      <c r="A1612" s="12">
        <v>1594</v>
      </c>
      <c r="B1612" s="12">
        <f t="shared" si="225"/>
        <v>8</v>
      </c>
      <c r="C1612" s="12">
        <f t="shared" si="226"/>
        <v>13.539260000000001</v>
      </c>
      <c r="D1612" s="12">
        <f t="shared" si="229"/>
        <v>7.6545000000001195E-2</v>
      </c>
      <c r="E1612" s="12">
        <f>SUM($D$19:D1612)</f>
        <v>45.739259999999938</v>
      </c>
      <c r="F1612" s="12">
        <f t="shared" si="223"/>
        <v>520.61297089871903</v>
      </c>
      <c r="G1612" s="12">
        <f t="shared" si="224"/>
        <v>294.252180949695</v>
      </c>
      <c r="H1612" s="12">
        <f t="shared" si="230"/>
        <v>1874200</v>
      </c>
      <c r="I1612" s="12">
        <f t="shared" si="231"/>
        <v>1059300</v>
      </c>
      <c r="J1612" s="12">
        <f>IF(A1612&lt;[3]关卡对接!$A$4,INDEX([3]关卡对接!$C$7:$C$141,A1612),MATCH(E1612,人物经验!$H$24:$H$573,1))</f>
        <v>522</v>
      </c>
      <c r="K1612" s="12">
        <f>IF([3]关卡对接!F1600="",INT(INDEX(人物经验!$J$24:$J$573,关卡!J1612)*关卡!$S$7),[3]关卡对接!F1600)</f>
        <v>46612</v>
      </c>
      <c r="L1612" s="12">
        <f t="shared" si="227"/>
        <v>2.4</v>
      </c>
      <c r="M1612" s="12">
        <f>L1612/[4]货币基础!$B$4</f>
        <v>240</v>
      </c>
      <c r="N1612" s="12">
        <f>IF(A1612&lt;[3]关卡对接!$A$4,INDEX([3]关卡对接!$E$7:$E$141,A1612),MATCH(E1612,人物经验!$H$24:$H$573,1))</f>
        <v>522</v>
      </c>
      <c r="O1612" s="12">
        <f>INDEX([2]关卡!$G$6:$G$2005,A1612)</f>
        <v>3</v>
      </c>
      <c r="P1612" s="13">
        <v>6</v>
      </c>
      <c r="Q1612" s="12">
        <f>INT(P1612/$S$15/O1612*VLOOKUP(J1612,[1]人物技能基础!$N$3:$O$553,2,0)*$U$15)</f>
        <v>9</v>
      </c>
      <c r="R1612" s="12">
        <f t="shared" si="228"/>
        <v>112</v>
      </c>
    </row>
    <row r="1613" spans="1:18" x14ac:dyDescent="0.15">
      <c r="A1613" s="12">
        <v>1595</v>
      </c>
      <c r="B1613" s="12">
        <f t="shared" si="225"/>
        <v>8</v>
      </c>
      <c r="C1613" s="12">
        <f t="shared" si="226"/>
        <v>13.615874999999999</v>
      </c>
      <c r="D1613" s="12">
        <f t="shared" si="229"/>
        <v>7.6614999999998545E-2</v>
      </c>
      <c r="E1613" s="12">
        <f>SUM($D$19:D1613)</f>
        <v>45.815874999999934</v>
      </c>
      <c r="F1613" s="12">
        <f t="shared" si="223"/>
        <v>521.51282137808596</v>
      </c>
      <c r="G1613" s="12">
        <f t="shared" si="224"/>
        <v>294.66106040996095</v>
      </c>
      <c r="H1613" s="12">
        <f t="shared" si="230"/>
        <v>1877400</v>
      </c>
      <c r="I1613" s="12">
        <f t="shared" si="231"/>
        <v>1060700</v>
      </c>
      <c r="J1613" s="12">
        <f>IF(A1613&lt;[3]关卡对接!$A$4,INDEX([3]关卡对接!$C$7:$C$141,A1613),MATCH(E1613,人物经验!$H$24:$H$573,1))</f>
        <v>523</v>
      </c>
      <c r="K1613" s="12">
        <f>IF([3]关卡对接!F1601="",INT(INDEX(人物经验!$J$24:$J$573,关卡!J1613)*关卡!$S$7),[3]关卡对接!F1601)</f>
        <v>46855</v>
      </c>
      <c r="L1613" s="12">
        <f t="shared" si="227"/>
        <v>2.4</v>
      </c>
      <c r="M1613" s="12">
        <f>L1613/[4]货币基础!$B$4</f>
        <v>240</v>
      </c>
      <c r="N1613" s="12">
        <f>IF(A1613&lt;[3]关卡对接!$A$4,INDEX([3]关卡对接!$E$7:$E$141,A1613),MATCH(E1613,人物经验!$H$24:$H$573,1))</f>
        <v>523</v>
      </c>
      <c r="O1613" s="12">
        <f>INDEX([2]关卡!$G$6:$G$2005,A1613)</f>
        <v>3</v>
      </c>
      <c r="P1613" s="13">
        <v>6</v>
      </c>
      <c r="Q1613" s="12">
        <f>INT(P1613/$S$15/O1613*VLOOKUP(J1613,[1]人物技能基础!$N$3:$O$553,2,0)*$U$15)</f>
        <v>9</v>
      </c>
      <c r="R1613" s="12">
        <f t="shared" si="228"/>
        <v>112</v>
      </c>
    </row>
    <row r="1614" spans="1:18" x14ac:dyDescent="0.15">
      <c r="A1614" s="12">
        <v>1596</v>
      </c>
      <c r="B1614" s="12">
        <f t="shared" si="225"/>
        <v>8</v>
      </c>
      <c r="C1614" s="12">
        <f t="shared" si="226"/>
        <v>13.69256</v>
      </c>
      <c r="D1614" s="12">
        <f t="shared" si="229"/>
        <v>7.6685000000001224E-2</v>
      </c>
      <c r="E1614" s="12">
        <f>SUM($D$19:D1614)</f>
        <v>45.892559999999932</v>
      </c>
      <c r="F1614" s="12">
        <f t="shared" si="223"/>
        <v>522.41389203198412</v>
      </c>
      <c r="G1614" s="12">
        <f t="shared" si="224"/>
        <v>295.07037556951997</v>
      </c>
      <c r="H1614" s="12">
        <f t="shared" si="230"/>
        <v>1880600</v>
      </c>
      <c r="I1614" s="12">
        <f t="shared" si="231"/>
        <v>1062200</v>
      </c>
      <c r="J1614" s="12">
        <f>IF(A1614&lt;[3]关卡对接!$A$4,INDEX([3]关卡对接!$C$7:$C$141,A1614),MATCH(E1614,人物经验!$H$24:$H$573,1))</f>
        <v>523</v>
      </c>
      <c r="K1614" s="12">
        <f>IF([3]关卡对接!F1602="",INT(INDEX(人物经验!$J$24:$J$573,关卡!J1614)*关卡!$S$7),[3]关卡对接!F1602)</f>
        <v>46855</v>
      </c>
      <c r="L1614" s="12">
        <f t="shared" si="227"/>
        <v>2.4</v>
      </c>
      <c r="M1614" s="12">
        <f>L1614/[4]货币基础!$B$4</f>
        <v>240</v>
      </c>
      <c r="N1614" s="12">
        <f>IF(A1614&lt;[3]关卡对接!$A$4,INDEX([3]关卡对接!$E$7:$E$141,A1614),MATCH(E1614,人物经验!$H$24:$H$573,1))</f>
        <v>523</v>
      </c>
      <c r="O1614" s="12">
        <f>INDEX([2]关卡!$G$6:$G$2005,A1614)</f>
        <v>3</v>
      </c>
      <c r="P1614" s="13">
        <v>6</v>
      </c>
      <c r="Q1614" s="12">
        <f>INT(P1614/$S$15/O1614*VLOOKUP(J1614,[1]人物技能基础!$N$3:$O$553,2,0)*$U$15)</f>
        <v>9</v>
      </c>
      <c r="R1614" s="12">
        <f t="shared" si="228"/>
        <v>112</v>
      </c>
    </row>
    <row r="1615" spans="1:18" x14ac:dyDescent="0.15">
      <c r="A1615" s="12">
        <v>1597</v>
      </c>
      <c r="B1615" s="12">
        <f t="shared" si="225"/>
        <v>8</v>
      </c>
      <c r="C1615" s="12">
        <f t="shared" si="226"/>
        <v>13.769314999999999</v>
      </c>
      <c r="D1615" s="12">
        <f t="shared" si="229"/>
        <v>7.6754999999998574E-2</v>
      </c>
      <c r="E1615" s="12">
        <f>SUM($D$19:D1615)</f>
        <v>45.969314999999931</v>
      </c>
      <c r="F1615" s="12">
        <f t="shared" si="223"/>
        <v>523.31618404031974</v>
      </c>
      <c r="G1615" s="12">
        <f t="shared" si="224"/>
        <v>295.48012676823089</v>
      </c>
      <c r="H1615" s="12">
        <f t="shared" si="230"/>
        <v>1883900</v>
      </c>
      <c r="I1615" s="12">
        <f t="shared" si="231"/>
        <v>1063700</v>
      </c>
      <c r="J1615" s="12">
        <f>IF(A1615&lt;[3]关卡对接!$A$4,INDEX([3]关卡对接!$C$7:$C$141,A1615),MATCH(E1615,人物经验!$H$24:$H$573,1))</f>
        <v>523</v>
      </c>
      <c r="K1615" s="12">
        <f>IF([3]关卡对接!F1603="",INT(INDEX(人物经验!$J$24:$J$573,关卡!J1615)*关卡!$S$7),[3]关卡对接!F1603)</f>
        <v>46855</v>
      </c>
      <c r="L1615" s="12">
        <f t="shared" si="227"/>
        <v>2.4</v>
      </c>
      <c r="M1615" s="12">
        <f>L1615/[4]货币基础!$B$4</f>
        <v>240</v>
      </c>
      <c r="N1615" s="12">
        <f>IF(A1615&lt;[3]关卡对接!$A$4,INDEX([3]关卡对接!$E$7:$E$141,A1615),MATCH(E1615,人物经验!$H$24:$H$573,1))</f>
        <v>523</v>
      </c>
      <c r="O1615" s="12">
        <f>INDEX([2]关卡!$G$6:$G$2005,A1615)</f>
        <v>3</v>
      </c>
      <c r="P1615" s="13">
        <v>6</v>
      </c>
      <c r="Q1615" s="12">
        <f>INT(P1615/$S$15/O1615*VLOOKUP(J1615,[1]人物技能基础!$N$3:$O$553,2,0)*$U$15)</f>
        <v>9</v>
      </c>
      <c r="R1615" s="12">
        <f t="shared" si="228"/>
        <v>112</v>
      </c>
    </row>
    <row r="1616" spans="1:18" x14ac:dyDescent="0.15">
      <c r="A1616" s="12">
        <v>1598</v>
      </c>
      <c r="B1616" s="12">
        <f t="shared" si="225"/>
        <v>8</v>
      </c>
      <c r="C1616" s="12">
        <f t="shared" si="226"/>
        <v>13.84614</v>
      </c>
      <c r="D1616" s="12">
        <f t="shared" si="229"/>
        <v>7.6825000000001253E-2</v>
      </c>
      <c r="E1616" s="12">
        <f>SUM($D$19:D1616)</f>
        <v>46.04613999999993</v>
      </c>
      <c r="F1616" s="12">
        <f t="shared" si="223"/>
        <v>524.21969858359921</v>
      </c>
      <c r="G1616" s="12">
        <f t="shared" si="224"/>
        <v>295.89031434609501</v>
      </c>
      <c r="H1616" s="12">
        <f t="shared" si="230"/>
        <v>1887100</v>
      </c>
      <c r="I1616" s="12">
        <f t="shared" si="231"/>
        <v>1065200</v>
      </c>
      <c r="J1616" s="12">
        <f>IF(A1616&lt;[3]关卡对接!$A$4,INDEX([3]关卡对接!$C$7:$C$141,A1616),MATCH(E1616,人物经验!$H$24:$H$573,1))</f>
        <v>523</v>
      </c>
      <c r="K1616" s="12">
        <f>IF([3]关卡对接!F1604="",INT(INDEX(人物经验!$J$24:$J$573,关卡!J1616)*关卡!$S$7),[3]关卡对接!F1604)</f>
        <v>46855</v>
      </c>
      <c r="L1616" s="12">
        <f t="shared" si="227"/>
        <v>2.4</v>
      </c>
      <c r="M1616" s="12">
        <f>L1616/[4]货币基础!$B$4</f>
        <v>240</v>
      </c>
      <c r="N1616" s="12">
        <f>IF(A1616&lt;[3]关卡对接!$A$4,INDEX([3]关卡对接!$E$7:$E$141,A1616),MATCH(E1616,人物经验!$H$24:$H$573,1))</f>
        <v>523</v>
      </c>
      <c r="O1616" s="12">
        <f>INDEX([2]关卡!$G$6:$G$2005,A1616)</f>
        <v>3</v>
      </c>
      <c r="P1616" s="13">
        <v>6</v>
      </c>
      <c r="Q1616" s="12">
        <f>INT(P1616/$S$15/O1616*VLOOKUP(J1616,[1]人物技能基础!$N$3:$O$553,2,0)*$U$15)</f>
        <v>9</v>
      </c>
      <c r="R1616" s="12">
        <f t="shared" si="228"/>
        <v>112</v>
      </c>
    </row>
    <row r="1617" spans="1:18" x14ac:dyDescent="0.15">
      <c r="A1617" s="12">
        <v>1599</v>
      </c>
      <c r="B1617" s="12">
        <f t="shared" si="225"/>
        <v>8</v>
      </c>
      <c r="C1617" s="12">
        <f t="shared" si="226"/>
        <v>13.923034999999999</v>
      </c>
      <c r="D1617" s="12">
        <f t="shared" si="229"/>
        <v>7.6894999999998603E-2</v>
      </c>
      <c r="E1617" s="12">
        <f>SUM($D$19:D1617)</f>
        <v>46.123034999999931</v>
      </c>
      <c r="F1617" s="12">
        <f t="shared" si="223"/>
        <v>525.12443684292498</v>
      </c>
      <c r="G1617" s="12">
        <f t="shared" si="224"/>
        <v>296.3009386432559</v>
      </c>
      <c r="H1617" s="12">
        <f t="shared" si="230"/>
        <v>1890400</v>
      </c>
      <c r="I1617" s="12">
        <f t="shared" si="231"/>
        <v>1066600</v>
      </c>
      <c r="J1617" s="12">
        <f>IF(A1617&lt;[3]关卡对接!$A$4,INDEX([3]关卡对接!$C$7:$C$141,A1617),MATCH(E1617,人物经验!$H$24:$H$573,1))</f>
        <v>524</v>
      </c>
      <c r="K1617" s="12">
        <f>IF([3]关卡对接!F1605="",INT(INDEX(人物经验!$J$24:$J$573,关卡!J1617)*关卡!$S$7),[3]关卡对接!F1605)</f>
        <v>47179</v>
      </c>
      <c r="L1617" s="12">
        <f t="shared" si="227"/>
        <v>2.4</v>
      </c>
      <c r="M1617" s="12">
        <f>L1617/[4]货币基础!$B$4</f>
        <v>240</v>
      </c>
      <c r="N1617" s="12">
        <f>IF(A1617&lt;[3]关卡对接!$A$4,INDEX([3]关卡对接!$E$7:$E$141,A1617),MATCH(E1617,人物经验!$H$24:$H$573,1))</f>
        <v>524</v>
      </c>
      <c r="O1617" s="12">
        <f>INDEX([2]关卡!$G$6:$G$2005,A1617)</f>
        <v>3</v>
      </c>
      <c r="P1617" s="13">
        <v>6</v>
      </c>
      <c r="Q1617" s="12">
        <f>INT(P1617/$S$15/O1617*VLOOKUP(J1617,[1]人物技能基础!$N$3:$O$553,2,0)*$U$15)</f>
        <v>9</v>
      </c>
      <c r="R1617" s="12">
        <f t="shared" si="228"/>
        <v>112</v>
      </c>
    </row>
    <row r="1618" spans="1:18" x14ac:dyDescent="0.15">
      <c r="A1618" s="12">
        <v>1600</v>
      </c>
      <c r="B1618" s="12">
        <f t="shared" si="225"/>
        <v>8</v>
      </c>
      <c r="C1618" s="12">
        <f t="shared" si="226"/>
        <v>14</v>
      </c>
      <c r="D1618" s="12">
        <f t="shared" si="229"/>
        <v>7.6965000000001282E-2</v>
      </c>
      <c r="E1618" s="12">
        <f>SUM($D$19:D1618)</f>
        <v>46.199999999999932</v>
      </c>
      <c r="F1618" s="12">
        <f t="shared" si="223"/>
        <v>526.03040000000021</v>
      </c>
      <c r="G1618" s="12">
        <f t="shared" si="224"/>
        <v>296.7120000000001</v>
      </c>
      <c r="H1618" s="12">
        <f t="shared" si="230"/>
        <v>1893700</v>
      </c>
      <c r="I1618" s="12">
        <f t="shared" si="231"/>
        <v>1068100</v>
      </c>
      <c r="J1618" s="12">
        <f>IF(A1618&lt;[3]关卡对接!$A$4,INDEX([3]关卡对接!$C$7:$C$141,A1618),MATCH(E1618,人物经验!$H$24:$H$573,1))</f>
        <v>524</v>
      </c>
      <c r="K1618" s="12">
        <f>IF([3]关卡对接!F1606="",INT(INDEX(人物经验!$J$24:$J$573,关卡!J1618)*关卡!$S$7),[3]关卡对接!F1606)</f>
        <v>47179</v>
      </c>
      <c r="L1618" s="12">
        <f t="shared" si="227"/>
        <v>2.4</v>
      </c>
      <c r="M1618" s="12">
        <f>L1618/[4]货币基础!$B$4</f>
        <v>240</v>
      </c>
      <c r="N1618" s="12">
        <f>IF(A1618&lt;[3]关卡对接!$A$4,INDEX([3]关卡对接!$E$7:$E$141,A1618),MATCH(E1618,人物经验!$H$24:$H$573,1))</f>
        <v>524</v>
      </c>
      <c r="O1618" s="12">
        <f>INDEX([2]关卡!$G$6:$G$2005,A1618)</f>
        <v>3</v>
      </c>
      <c r="P1618" s="13">
        <v>6</v>
      </c>
      <c r="Q1618" s="12">
        <f>INT(P1618/$S$15/O1618*VLOOKUP(J1618,[1]人物技能基础!$N$3:$O$553,2,0)*$U$15)</f>
        <v>9</v>
      </c>
      <c r="R1618" s="12">
        <f t="shared" si="228"/>
        <v>112</v>
      </c>
    </row>
    <row r="1619" spans="1:18" x14ac:dyDescent="0.15">
      <c r="A1619" s="12">
        <v>1601</v>
      </c>
      <c r="B1619" s="12">
        <f t="shared" si="225"/>
        <v>9</v>
      </c>
      <c r="C1619" s="12">
        <f t="shared" si="226"/>
        <v>9.027375E-2</v>
      </c>
      <c r="D1619" s="12">
        <f t="shared" si="229"/>
        <v>9.027375E-2</v>
      </c>
      <c r="E1619" s="12">
        <f>SUM($D$19:D1619)</f>
        <v>46.290273749999933</v>
      </c>
      <c r="F1619" s="12">
        <f t="shared" ref="F1619:F1682" si="232">$L$7*($M$7+$N$7*($A1619/$B$3)^1+$O$7*($A1619/$B$3)^2+$P$7*($A1619/$B$3)^3+$Q$7*($A1619/$B$3)^4)</f>
        <v>526.93758923712483</v>
      </c>
      <c r="G1619" s="12">
        <f t="shared" ref="G1619:G1682" si="233">$L$11*($M$11+$N$11*($A1619/$B$3)^1+$O$11*($A1619/$B$3)^2+$P$11*($A1619/$B$3)^3+$Q$11*($A1619/$B$3)^4)</f>
        <v>297.12349875675585</v>
      </c>
      <c r="H1619" s="12">
        <f t="shared" si="230"/>
        <v>1896900</v>
      </c>
      <c r="I1619" s="12">
        <f t="shared" si="231"/>
        <v>1069600</v>
      </c>
      <c r="J1619" s="12">
        <f>IF(A1619&lt;[3]关卡对接!$A$4,INDEX([3]关卡对接!$C$7:$C$141,A1619),MATCH(E1619,人物经验!$H$24:$H$573,1))</f>
        <v>524</v>
      </c>
      <c r="K1619" s="12">
        <f>IF([3]关卡对接!F1607="",INT(INDEX(人物经验!$J$24:$J$573,关卡!J1619)*关卡!$S$7),[3]关卡对接!F1607)</f>
        <v>47179</v>
      </c>
      <c r="L1619" s="12">
        <f t="shared" si="227"/>
        <v>2.6</v>
      </c>
      <c r="M1619" s="12">
        <f>L1619/[4]货币基础!$B$4</f>
        <v>260</v>
      </c>
      <c r="N1619" s="12">
        <f>IF(A1619&lt;[3]关卡对接!$A$4,INDEX([3]关卡对接!$E$7:$E$141,A1619),MATCH(E1619,人物经验!$H$24:$H$573,1))</f>
        <v>524</v>
      </c>
      <c r="O1619" s="12">
        <f>INDEX([2]关卡!$G$6:$G$2005,A1619)</f>
        <v>3</v>
      </c>
      <c r="P1619" s="13">
        <v>6</v>
      </c>
      <c r="Q1619" s="12">
        <f>INT(P1619/$S$15/O1619*VLOOKUP(J1619,[1]人物技能基础!$N$3:$O$553,2,0)*$U$15)</f>
        <v>9</v>
      </c>
      <c r="R1619" s="12">
        <f t="shared" si="228"/>
        <v>112</v>
      </c>
    </row>
    <row r="1620" spans="1:18" x14ac:dyDescent="0.15">
      <c r="A1620" s="12">
        <v>1602</v>
      </c>
      <c r="B1620" s="12">
        <f t="shared" ref="B1620:B1683" si="234">MATCH($A1620,$A$5:$A$15,1)-1</f>
        <v>9</v>
      </c>
      <c r="C1620" s="12">
        <f t="shared" ref="C1620:C1683" si="235">INDEX($C$5:$C$15,$B1620+1)*(INDEX($E$5:$E$15,$B1620+1)+INDEX($F$5:$F$15,$B1620+1)*(($A1620-INDEX($A$5:$A$15,$B1620+1)+1)/(INDEX($B$5:$B$15,$B1620+1)-INDEX($A$5:$A$15,$B1620+1)+1))^1+INDEX($G$5:$G$15,$B1620+1)*(($A1620-INDEX($A$5:$A$15,$B1620+1)+1)/(INDEX($B$5:$B$15,$B1620+1)-INDEX($A$5:$A$15,$B1620+1)+1))^2+INDEX($H$5:$H$15,$B1620+1)*(($A1620-INDEX($A$5:$A$15,$B1620+1)+1)/(INDEX($B$5:$B$15,$B1620+1)-INDEX($A$5:$A$15,$B1620+1)+1))^3+INDEX($I$5:$I$15,$B1620+1)*(($A1620-INDEX($A$5:$A$15,$B1620+1)+1)/(INDEX($B$5:$B$15,$B1620+1)-INDEX($A$5:$A$15,$B1620+1)+1))^4)</f>
        <v>0.18059500000000001</v>
      </c>
      <c r="D1620" s="12">
        <f t="shared" si="229"/>
        <v>9.0321250000000006E-2</v>
      </c>
      <c r="E1620" s="12">
        <f>SUM($D$19:D1620)</f>
        <v>46.380594999999936</v>
      </c>
      <c r="F1620" s="12">
        <f t="shared" si="232"/>
        <v>527.84600573719911</v>
      </c>
      <c r="G1620" s="12">
        <f t="shared" si="233"/>
        <v>297.53543525409498</v>
      </c>
      <c r="H1620" s="12">
        <f t="shared" si="230"/>
        <v>1900200</v>
      </c>
      <c r="I1620" s="12">
        <f t="shared" si="231"/>
        <v>1071100</v>
      </c>
      <c r="J1620" s="12">
        <f>IF(A1620&lt;[3]关卡对接!$A$4,INDEX([3]关卡对接!$C$7:$C$141,A1620),MATCH(E1620,人物经验!$H$24:$H$573,1))</f>
        <v>525</v>
      </c>
      <c r="K1620" s="12">
        <f>IF([3]关卡对接!F1608="",INT(INDEX(人物经验!$J$24:$J$573,关卡!J1620)*关卡!$S$7),[3]关卡对接!F1608)</f>
        <v>47424</v>
      </c>
      <c r="L1620" s="12">
        <f t="shared" ref="L1620:L1683" si="236">VLOOKUP(A1620,$A$5:$J$15,10,1)</f>
        <v>2.6</v>
      </c>
      <c r="M1620" s="12">
        <f>L1620/[4]货币基础!$B$4</f>
        <v>260</v>
      </c>
      <c r="N1620" s="12">
        <f>IF(A1620&lt;[3]关卡对接!$A$4,INDEX([3]关卡对接!$E$7:$E$141,A1620),MATCH(E1620,人物经验!$H$24:$H$573,1))</f>
        <v>525</v>
      </c>
      <c r="O1620" s="12">
        <f>INDEX([2]关卡!$G$6:$G$2005,A1620)</f>
        <v>3</v>
      </c>
      <c r="P1620" s="13">
        <v>6</v>
      </c>
      <c r="Q1620" s="12">
        <f>INT(P1620/$S$15/O1620*VLOOKUP(J1620,[1]人物技能基础!$N$3:$O$553,2,0)*$U$15)</f>
        <v>9</v>
      </c>
      <c r="R1620" s="12">
        <f t="shared" ref="R1620:R1683" si="237">INT(Q1620*12.5)</f>
        <v>112</v>
      </c>
    </row>
    <row r="1621" spans="1:18" x14ac:dyDescent="0.15">
      <c r="A1621" s="12">
        <v>1603</v>
      </c>
      <c r="B1621" s="12">
        <f t="shared" si="234"/>
        <v>9</v>
      </c>
      <c r="C1621" s="12">
        <f t="shared" si="235"/>
        <v>0.27096375</v>
      </c>
      <c r="D1621" s="12">
        <f t="shared" si="229"/>
        <v>9.0368749999999998E-2</v>
      </c>
      <c r="E1621" s="12">
        <f>SUM($D$19:D1621)</f>
        <v>46.470963749999939</v>
      </c>
      <c r="F1621" s="12">
        <f t="shared" si="232"/>
        <v>528.75565068371986</v>
      </c>
      <c r="G1621" s="12">
        <f t="shared" si="233"/>
        <v>297.94780983273091</v>
      </c>
      <c r="H1621" s="12">
        <f t="shared" si="230"/>
        <v>1903500</v>
      </c>
      <c r="I1621" s="12">
        <f t="shared" si="231"/>
        <v>1072600</v>
      </c>
      <c r="J1621" s="12">
        <f>IF(A1621&lt;[3]关卡对接!$A$4,INDEX([3]关卡对接!$C$7:$C$141,A1621),MATCH(E1621,人物经验!$H$24:$H$573,1))</f>
        <v>525</v>
      </c>
      <c r="K1621" s="12">
        <f>IF([3]关卡对接!F1609="",INT(INDEX(人物经验!$J$24:$J$573,关卡!J1621)*关卡!$S$7),[3]关卡对接!F1609)</f>
        <v>47424</v>
      </c>
      <c r="L1621" s="12">
        <f t="shared" si="236"/>
        <v>2.6</v>
      </c>
      <c r="M1621" s="12">
        <f>L1621/[4]货币基础!$B$4</f>
        <v>260</v>
      </c>
      <c r="N1621" s="12">
        <f>IF(A1621&lt;[3]关卡对接!$A$4,INDEX([3]关卡对接!$E$7:$E$141,A1621),MATCH(E1621,人物经验!$H$24:$H$573,1))</f>
        <v>525</v>
      </c>
      <c r="O1621" s="12">
        <f>INDEX([2]关卡!$G$6:$G$2005,A1621)</f>
        <v>3</v>
      </c>
      <c r="P1621" s="13">
        <v>6</v>
      </c>
      <c r="Q1621" s="12">
        <f>INT(P1621/$S$15/O1621*VLOOKUP(J1621,[1]人物技能基础!$N$3:$O$553,2,0)*$U$15)</f>
        <v>9</v>
      </c>
      <c r="R1621" s="12">
        <f t="shared" si="237"/>
        <v>112</v>
      </c>
    </row>
    <row r="1622" spans="1:18" x14ac:dyDescent="0.15">
      <c r="A1622" s="12">
        <v>1604</v>
      </c>
      <c r="B1622" s="12">
        <f t="shared" si="234"/>
        <v>9</v>
      </c>
      <c r="C1622" s="12">
        <f t="shared" si="235"/>
        <v>0.36137999999999998</v>
      </c>
      <c r="D1622" s="12">
        <f t="shared" si="229"/>
        <v>9.0416249999999976E-2</v>
      </c>
      <c r="E1622" s="12">
        <f>SUM($D$19:D1622)</f>
        <v>46.561379999999936</v>
      </c>
      <c r="F1622" s="12">
        <f t="shared" si="232"/>
        <v>529.66652526078417</v>
      </c>
      <c r="G1622" s="12">
        <f t="shared" si="233"/>
        <v>298.36062283352004</v>
      </c>
      <c r="H1622" s="12">
        <f t="shared" si="230"/>
        <v>1906700</v>
      </c>
      <c r="I1622" s="12">
        <f t="shared" si="231"/>
        <v>1074000</v>
      </c>
      <c r="J1622" s="12">
        <f>IF(A1622&lt;[3]关卡对接!$A$4,INDEX([3]关卡对接!$C$7:$C$141,A1622),MATCH(E1622,人物经验!$H$24:$H$573,1))</f>
        <v>525</v>
      </c>
      <c r="K1622" s="12">
        <f>IF([3]关卡对接!F1610="",INT(INDEX(人物经验!$J$24:$J$573,关卡!J1622)*关卡!$S$7),[3]关卡对接!F1610)</f>
        <v>47424</v>
      </c>
      <c r="L1622" s="12">
        <f t="shared" si="236"/>
        <v>2.6</v>
      </c>
      <c r="M1622" s="12">
        <f>L1622/[4]货币基础!$B$4</f>
        <v>260</v>
      </c>
      <c r="N1622" s="12">
        <f>IF(A1622&lt;[3]关卡对接!$A$4,INDEX([3]关卡对接!$E$7:$E$141,A1622),MATCH(E1622,人物经验!$H$24:$H$573,1))</f>
        <v>525</v>
      </c>
      <c r="O1622" s="12">
        <f>INDEX([2]关卡!$G$6:$G$2005,A1622)</f>
        <v>3</v>
      </c>
      <c r="P1622" s="13">
        <v>6</v>
      </c>
      <c r="Q1622" s="12">
        <f>INT(P1622/$S$15/O1622*VLOOKUP(J1622,[1]人物技能基础!$N$3:$O$553,2,0)*$U$15)</f>
        <v>9</v>
      </c>
      <c r="R1622" s="12">
        <f t="shared" si="237"/>
        <v>112</v>
      </c>
    </row>
    <row r="1623" spans="1:18" x14ac:dyDescent="0.15">
      <c r="A1623" s="12">
        <v>1605</v>
      </c>
      <c r="B1623" s="12">
        <f t="shared" si="234"/>
        <v>9</v>
      </c>
      <c r="C1623" s="12">
        <f t="shared" si="235"/>
        <v>0.45184374999999999</v>
      </c>
      <c r="D1623" s="12">
        <f t="shared" si="229"/>
        <v>9.0463750000000009E-2</v>
      </c>
      <c r="E1623" s="12">
        <f>SUM($D$19:D1623)</f>
        <v>46.651843749999934</v>
      </c>
      <c r="F1623" s="12">
        <f t="shared" si="232"/>
        <v>530.57863065308595</v>
      </c>
      <c r="G1623" s="12">
        <f t="shared" si="233"/>
        <v>298.77387459746097</v>
      </c>
      <c r="H1623" s="12">
        <f t="shared" si="230"/>
        <v>1910000</v>
      </c>
      <c r="I1623" s="12">
        <f t="shared" si="231"/>
        <v>1075500</v>
      </c>
      <c r="J1623" s="12">
        <f>IF(A1623&lt;[3]关卡对接!$A$4,INDEX([3]关卡对接!$C$7:$C$141,A1623),MATCH(E1623,人物经验!$H$24:$H$573,1))</f>
        <v>526</v>
      </c>
      <c r="K1623" s="12">
        <f>IF([3]关卡对接!F1611="",INT(INDEX(人物经验!$J$24:$J$573,关卡!J1623)*关卡!$S$7),[3]关卡对接!F1611)</f>
        <v>47669</v>
      </c>
      <c r="L1623" s="12">
        <f t="shared" si="236"/>
        <v>2.6</v>
      </c>
      <c r="M1623" s="12">
        <f>L1623/[4]货币基础!$B$4</f>
        <v>260</v>
      </c>
      <c r="N1623" s="12">
        <f>IF(A1623&lt;[3]关卡对接!$A$4,INDEX([3]关卡对接!$E$7:$E$141,A1623),MATCH(E1623,人物经验!$H$24:$H$573,1))</f>
        <v>526</v>
      </c>
      <c r="O1623" s="12">
        <f>INDEX([2]关卡!$G$6:$G$2005,A1623)</f>
        <v>3</v>
      </c>
      <c r="P1623" s="13">
        <v>6</v>
      </c>
      <c r="Q1623" s="12">
        <f>INT(P1623/$S$15/O1623*VLOOKUP(J1623,[1]人物技能基础!$N$3:$O$553,2,0)*$U$15)</f>
        <v>9</v>
      </c>
      <c r="R1623" s="12">
        <f t="shared" si="237"/>
        <v>112</v>
      </c>
    </row>
    <row r="1624" spans="1:18" x14ac:dyDescent="0.15">
      <c r="A1624" s="12">
        <v>1606</v>
      </c>
      <c r="B1624" s="12">
        <f t="shared" si="234"/>
        <v>9</v>
      </c>
      <c r="C1624" s="12">
        <f t="shared" si="235"/>
        <v>0.54235499999999992</v>
      </c>
      <c r="D1624" s="12">
        <f t="shared" si="229"/>
        <v>9.0511249999999932E-2</v>
      </c>
      <c r="E1624" s="12">
        <f>SUM($D$19:D1624)</f>
        <v>46.742354999999932</v>
      </c>
      <c r="F1624" s="12">
        <f t="shared" si="232"/>
        <v>531.49196804591918</v>
      </c>
      <c r="G1624" s="12">
        <f t="shared" si="233"/>
        <v>299.187565465695</v>
      </c>
      <c r="H1624" s="12">
        <f t="shared" si="230"/>
        <v>1913300</v>
      </c>
      <c r="I1624" s="12">
        <f t="shared" si="231"/>
        <v>1077000</v>
      </c>
      <c r="J1624" s="12">
        <f>IF(A1624&lt;[3]关卡对接!$A$4,INDEX([3]关卡对接!$C$7:$C$141,A1624),MATCH(E1624,人物经验!$H$24:$H$573,1))</f>
        <v>526</v>
      </c>
      <c r="K1624" s="12">
        <f>IF([3]关卡对接!F1612="",INT(INDEX(人物经验!$J$24:$J$573,关卡!J1624)*关卡!$S$7),[3]关卡对接!F1612)</f>
        <v>47669</v>
      </c>
      <c r="L1624" s="12">
        <f t="shared" si="236"/>
        <v>2.6</v>
      </c>
      <c r="M1624" s="12">
        <f>L1624/[4]货币基础!$B$4</f>
        <v>260</v>
      </c>
      <c r="N1624" s="12">
        <f>IF(A1624&lt;[3]关卡对接!$A$4,INDEX([3]关卡对接!$E$7:$E$141,A1624),MATCH(E1624,人物经验!$H$24:$H$573,1))</f>
        <v>526</v>
      </c>
      <c r="O1624" s="12">
        <f>INDEX([2]关卡!$G$6:$G$2005,A1624)</f>
        <v>3</v>
      </c>
      <c r="P1624" s="13">
        <v>6</v>
      </c>
      <c r="Q1624" s="12">
        <f>INT(P1624/$S$15/O1624*VLOOKUP(J1624,[1]人物技能基础!$N$3:$O$553,2,0)*$U$15)</f>
        <v>9</v>
      </c>
      <c r="R1624" s="12">
        <f t="shared" si="237"/>
        <v>112</v>
      </c>
    </row>
    <row r="1625" spans="1:18" x14ac:dyDescent="0.15">
      <c r="A1625" s="12">
        <v>1607</v>
      </c>
      <c r="B1625" s="12">
        <f t="shared" si="234"/>
        <v>9</v>
      </c>
      <c r="C1625" s="12">
        <f t="shared" si="235"/>
        <v>0.63291375000000005</v>
      </c>
      <c r="D1625" s="12">
        <f t="shared" si="229"/>
        <v>9.0558750000000132E-2</v>
      </c>
      <c r="E1625" s="12">
        <f>SUM($D$19:D1625)</f>
        <v>46.832913749999932</v>
      </c>
      <c r="F1625" s="12">
        <f t="shared" si="232"/>
        <v>532.4065386251749</v>
      </c>
      <c r="G1625" s="12">
        <f t="shared" si="233"/>
        <v>299.60169577950597</v>
      </c>
      <c r="H1625" s="12">
        <f t="shared" si="230"/>
        <v>1916600</v>
      </c>
      <c r="I1625" s="12">
        <f t="shared" si="231"/>
        <v>1078500</v>
      </c>
      <c r="J1625" s="12">
        <f>IF(A1625&lt;[3]关卡对接!$A$4,INDEX([3]关卡对接!$C$7:$C$141,A1625),MATCH(E1625,人物经验!$H$24:$H$573,1))</f>
        <v>526</v>
      </c>
      <c r="K1625" s="12">
        <f>IF([3]关卡对接!F1613="",INT(INDEX(人物经验!$J$24:$J$573,关卡!J1625)*关卡!$S$7),[3]关卡对接!F1613)</f>
        <v>47669</v>
      </c>
      <c r="L1625" s="12">
        <f t="shared" si="236"/>
        <v>2.6</v>
      </c>
      <c r="M1625" s="12">
        <f>L1625/[4]货币基础!$B$4</f>
        <v>260</v>
      </c>
      <c r="N1625" s="12">
        <f>IF(A1625&lt;[3]关卡对接!$A$4,INDEX([3]关卡对接!$E$7:$E$141,A1625),MATCH(E1625,人物经验!$H$24:$H$573,1))</f>
        <v>526</v>
      </c>
      <c r="O1625" s="12">
        <f>INDEX([2]关卡!$G$6:$G$2005,A1625)</f>
        <v>3</v>
      </c>
      <c r="P1625" s="13">
        <v>6</v>
      </c>
      <c r="Q1625" s="12">
        <f>INT(P1625/$S$15/O1625*VLOOKUP(J1625,[1]人物技能基础!$N$3:$O$553,2,0)*$U$15)</f>
        <v>9</v>
      </c>
      <c r="R1625" s="12">
        <f t="shared" si="237"/>
        <v>112</v>
      </c>
    </row>
    <row r="1626" spans="1:18" x14ac:dyDescent="0.15">
      <c r="A1626" s="12">
        <v>1608</v>
      </c>
      <c r="B1626" s="12">
        <f t="shared" si="234"/>
        <v>9</v>
      </c>
      <c r="C1626" s="12">
        <f t="shared" si="235"/>
        <v>0.72351999999999994</v>
      </c>
      <c r="D1626" s="12">
        <f t="shared" si="229"/>
        <v>9.0606249999999888E-2</v>
      </c>
      <c r="E1626" s="12">
        <f>SUM($D$19:D1626)</f>
        <v>46.923519999999932</v>
      </c>
      <c r="F1626" s="12">
        <f t="shared" si="232"/>
        <v>533.32234357734421</v>
      </c>
      <c r="G1626" s="12">
        <f t="shared" si="233"/>
        <v>300.01626588032002</v>
      </c>
      <c r="H1626" s="12">
        <f t="shared" si="230"/>
        <v>1919900</v>
      </c>
      <c r="I1626" s="12">
        <f t="shared" si="231"/>
        <v>1080000</v>
      </c>
      <c r="J1626" s="12">
        <f>IF(A1626&lt;[3]关卡对接!$A$4,INDEX([3]关卡对接!$C$7:$C$141,A1626),MATCH(E1626,人物经验!$H$24:$H$573,1))</f>
        <v>526</v>
      </c>
      <c r="K1626" s="12">
        <f>IF([3]关卡对接!F1614="",INT(INDEX(人物经验!$J$24:$J$573,关卡!J1626)*关卡!$S$7),[3]关卡对接!F1614)</f>
        <v>47669</v>
      </c>
      <c r="L1626" s="12">
        <f t="shared" si="236"/>
        <v>2.6</v>
      </c>
      <c r="M1626" s="12">
        <f>L1626/[4]货币基础!$B$4</f>
        <v>260</v>
      </c>
      <c r="N1626" s="12">
        <f>IF(A1626&lt;[3]关卡对接!$A$4,INDEX([3]关卡对接!$E$7:$E$141,A1626),MATCH(E1626,人物经验!$H$24:$H$573,1))</f>
        <v>526</v>
      </c>
      <c r="O1626" s="12">
        <f>INDEX([2]关卡!$G$6:$G$2005,A1626)</f>
        <v>3</v>
      </c>
      <c r="P1626" s="13">
        <v>6</v>
      </c>
      <c r="Q1626" s="12">
        <f>INT(P1626/$S$15/O1626*VLOOKUP(J1626,[1]人物技能基础!$N$3:$O$553,2,0)*$U$15)</f>
        <v>9</v>
      </c>
      <c r="R1626" s="12">
        <f t="shared" si="237"/>
        <v>112</v>
      </c>
    </row>
    <row r="1627" spans="1:18" x14ac:dyDescent="0.15">
      <c r="A1627" s="12">
        <v>1609</v>
      </c>
      <c r="B1627" s="12">
        <f t="shared" si="234"/>
        <v>9</v>
      </c>
      <c r="C1627" s="12">
        <f t="shared" si="235"/>
        <v>0.81417374999999992</v>
      </c>
      <c r="D1627" s="12">
        <f t="shared" si="229"/>
        <v>9.0653749999999977E-2</v>
      </c>
      <c r="E1627" s="12">
        <f>SUM($D$19:D1627)</f>
        <v>47.014173749999934</v>
      </c>
      <c r="F1627" s="12">
        <f t="shared" si="232"/>
        <v>534.23938408951483</v>
      </c>
      <c r="G1627" s="12">
        <f t="shared" si="233"/>
        <v>300.43127610970595</v>
      </c>
      <c r="H1627" s="12">
        <f t="shared" si="230"/>
        <v>1923200</v>
      </c>
      <c r="I1627" s="12">
        <f t="shared" si="231"/>
        <v>1081500</v>
      </c>
      <c r="J1627" s="12">
        <f>IF(A1627&lt;[3]关卡对接!$A$4,INDEX([3]关卡对接!$C$7:$C$141,A1627),MATCH(E1627,人物经验!$H$24:$H$573,1))</f>
        <v>527</v>
      </c>
      <c r="K1627" s="12">
        <f>IF([3]关卡对接!F1615="",INT(INDEX(人物经验!$J$24:$J$573,关卡!J1627)*关卡!$S$7),[3]关卡对接!F1615)</f>
        <v>47999</v>
      </c>
      <c r="L1627" s="12">
        <f t="shared" si="236"/>
        <v>2.6</v>
      </c>
      <c r="M1627" s="12">
        <f>L1627/[4]货币基础!$B$4</f>
        <v>260</v>
      </c>
      <c r="N1627" s="12">
        <f>IF(A1627&lt;[3]关卡对接!$A$4,INDEX([3]关卡对接!$E$7:$E$141,A1627),MATCH(E1627,人物经验!$H$24:$H$573,1))</f>
        <v>527</v>
      </c>
      <c r="O1627" s="12">
        <f>INDEX([2]关卡!$G$6:$G$2005,A1627)</f>
        <v>3</v>
      </c>
      <c r="P1627" s="13">
        <v>6</v>
      </c>
      <c r="Q1627" s="12">
        <f>INT(P1627/$S$15/O1627*VLOOKUP(J1627,[1]人物技能基础!$N$3:$O$553,2,0)*$U$15)</f>
        <v>9</v>
      </c>
      <c r="R1627" s="12">
        <f t="shared" si="237"/>
        <v>112</v>
      </c>
    </row>
    <row r="1628" spans="1:18" x14ac:dyDescent="0.15">
      <c r="A1628" s="12">
        <v>1610</v>
      </c>
      <c r="B1628" s="12">
        <f t="shared" si="234"/>
        <v>9</v>
      </c>
      <c r="C1628" s="12">
        <f t="shared" si="235"/>
        <v>0.90487499999999998</v>
      </c>
      <c r="D1628" s="12">
        <f t="shared" si="229"/>
        <v>9.0701250000000067E-2</v>
      </c>
      <c r="E1628" s="12">
        <f>SUM($D$19:D1628)</f>
        <v>47.104874999999936</v>
      </c>
      <c r="F1628" s="12">
        <f t="shared" si="232"/>
        <v>535.15766134937519</v>
      </c>
      <c r="G1628" s="12">
        <f t="shared" si="233"/>
        <v>300.84672680937507</v>
      </c>
      <c r="H1628" s="12">
        <f t="shared" si="230"/>
        <v>1926500</v>
      </c>
      <c r="I1628" s="12">
        <f t="shared" si="231"/>
        <v>1083000</v>
      </c>
      <c r="J1628" s="12">
        <f>IF(A1628&lt;[3]关卡对接!$A$4,INDEX([3]关卡对接!$C$7:$C$141,A1628),MATCH(E1628,人物经验!$H$24:$H$573,1))</f>
        <v>527</v>
      </c>
      <c r="K1628" s="12">
        <f>IF([3]关卡对接!F1616="",INT(INDEX(人物经验!$J$24:$J$573,关卡!J1628)*关卡!$S$7),[3]关卡对接!F1616)</f>
        <v>47999</v>
      </c>
      <c r="L1628" s="12">
        <f t="shared" si="236"/>
        <v>2.6</v>
      </c>
      <c r="M1628" s="12">
        <f>L1628/[4]货币基础!$B$4</f>
        <v>260</v>
      </c>
      <c r="N1628" s="12">
        <f>IF(A1628&lt;[3]关卡对接!$A$4,INDEX([3]关卡对接!$E$7:$E$141,A1628),MATCH(E1628,人物经验!$H$24:$H$573,1))</f>
        <v>527</v>
      </c>
      <c r="O1628" s="12">
        <f>INDEX([2]关卡!$G$6:$G$2005,A1628)</f>
        <v>3</v>
      </c>
      <c r="P1628" s="13">
        <v>6</v>
      </c>
      <c r="Q1628" s="12">
        <f>INT(P1628/$S$15/O1628*VLOOKUP(J1628,[1]人物技能基础!$N$3:$O$553,2,0)*$U$15)</f>
        <v>9</v>
      </c>
      <c r="R1628" s="12">
        <f t="shared" si="237"/>
        <v>112</v>
      </c>
    </row>
    <row r="1629" spans="1:18" x14ac:dyDescent="0.15">
      <c r="A1629" s="12">
        <v>1611</v>
      </c>
      <c r="B1629" s="12">
        <f t="shared" si="234"/>
        <v>9</v>
      </c>
      <c r="C1629" s="12">
        <f t="shared" si="235"/>
        <v>0.99562374999999992</v>
      </c>
      <c r="D1629" s="12">
        <f t="shared" si="229"/>
        <v>9.0748749999999934E-2</v>
      </c>
      <c r="E1629" s="12">
        <f>SUM($D$19:D1629)</f>
        <v>47.195623749999939</v>
      </c>
      <c r="F1629" s="12">
        <f t="shared" si="232"/>
        <v>536.07717654520991</v>
      </c>
      <c r="G1629" s="12">
        <f t="shared" si="233"/>
        <v>301.26261832118092</v>
      </c>
      <c r="H1629" s="12">
        <f t="shared" si="230"/>
        <v>1929800</v>
      </c>
      <c r="I1629" s="12">
        <f t="shared" si="231"/>
        <v>1084500</v>
      </c>
      <c r="J1629" s="12">
        <f>IF(A1629&lt;[3]关卡对接!$A$4,INDEX([3]关卡对接!$C$7:$C$141,A1629),MATCH(E1629,人物经验!$H$24:$H$573,1))</f>
        <v>527</v>
      </c>
      <c r="K1629" s="12">
        <f>IF([3]关卡对接!F1617="",INT(INDEX(人物经验!$J$24:$J$573,关卡!J1629)*关卡!$S$7),[3]关卡对接!F1617)</f>
        <v>47999</v>
      </c>
      <c r="L1629" s="12">
        <f t="shared" si="236"/>
        <v>2.6</v>
      </c>
      <c r="M1629" s="12">
        <f>L1629/[4]货币基础!$B$4</f>
        <v>260</v>
      </c>
      <c r="N1629" s="12">
        <f>IF(A1629&lt;[3]关卡对接!$A$4,INDEX([3]关卡对接!$E$7:$E$141,A1629),MATCH(E1629,人物经验!$H$24:$H$573,1))</f>
        <v>527</v>
      </c>
      <c r="O1629" s="12">
        <f>INDEX([2]关卡!$G$6:$G$2005,A1629)</f>
        <v>3</v>
      </c>
      <c r="P1629" s="13">
        <v>6</v>
      </c>
      <c r="Q1629" s="12">
        <f>INT(P1629/$S$15/O1629*VLOOKUP(J1629,[1]人物技能基础!$N$3:$O$553,2,0)*$U$15)</f>
        <v>9</v>
      </c>
      <c r="R1629" s="12">
        <f t="shared" si="237"/>
        <v>112</v>
      </c>
    </row>
    <row r="1630" spans="1:18" x14ac:dyDescent="0.15">
      <c r="A1630" s="12">
        <v>1612</v>
      </c>
      <c r="B1630" s="12">
        <f t="shared" si="234"/>
        <v>9</v>
      </c>
      <c r="C1630" s="12">
        <f t="shared" si="235"/>
        <v>1.0864199999999999</v>
      </c>
      <c r="D1630" s="12">
        <f t="shared" si="229"/>
        <v>9.0796250000000023E-2</v>
      </c>
      <c r="E1630" s="12">
        <f>SUM($D$19:D1630)</f>
        <v>47.286419999999936</v>
      </c>
      <c r="F1630" s="12">
        <f t="shared" si="232"/>
        <v>536.9979308659041</v>
      </c>
      <c r="G1630" s="12">
        <f t="shared" si="233"/>
        <v>301.67895098712006</v>
      </c>
      <c r="H1630" s="12">
        <f t="shared" si="230"/>
        <v>1933100</v>
      </c>
      <c r="I1630" s="12">
        <f t="shared" si="231"/>
        <v>1086000</v>
      </c>
      <c r="J1630" s="12">
        <f>IF(A1630&lt;[3]关卡对接!$A$4,INDEX([3]关卡对接!$C$7:$C$141,A1630),MATCH(E1630,人物经验!$H$24:$H$573,1))</f>
        <v>528</v>
      </c>
      <c r="K1630" s="12">
        <f>IF([3]关卡对接!F1618="",INT(INDEX(人物经验!$J$24:$J$573,关卡!J1630)*关卡!$S$7),[3]关卡对接!F1618)</f>
        <v>48246</v>
      </c>
      <c r="L1630" s="12">
        <f t="shared" si="236"/>
        <v>2.6</v>
      </c>
      <c r="M1630" s="12">
        <f>L1630/[4]货币基础!$B$4</f>
        <v>260</v>
      </c>
      <c r="N1630" s="12">
        <f>IF(A1630&lt;[3]关卡对接!$A$4,INDEX([3]关卡对接!$E$7:$E$141,A1630),MATCH(E1630,人物经验!$H$24:$H$573,1))</f>
        <v>528</v>
      </c>
      <c r="O1630" s="12">
        <f>INDEX([2]关卡!$G$6:$G$2005,A1630)</f>
        <v>3</v>
      </c>
      <c r="P1630" s="13">
        <v>6</v>
      </c>
      <c r="Q1630" s="12">
        <f>INT(P1630/$S$15/O1630*VLOOKUP(J1630,[1]人物技能基础!$N$3:$O$553,2,0)*$U$15)</f>
        <v>9</v>
      </c>
      <c r="R1630" s="12">
        <f t="shared" si="237"/>
        <v>112</v>
      </c>
    </row>
    <row r="1631" spans="1:18" x14ac:dyDescent="0.15">
      <c r="A1631" s="12">
        <v>1613</v>
      </c>
      <c r="B1631" s="12">
        <f t="shared" si="234"/>
        <v>9</v>
      </c>
      <c r="C1631" s="12">
        <f t="shared" si="235"/>
        <v>1.1772637500000001</v>
      </c>
      <c r="D1631" s="12">
        <f t="shared" si="229"/>
        <v>9.0843750000000112E-2</v>
      </c>
      <c r="E1631" s="12">
        <f>SUM($D$19:D1631)</f>
        <v>47.377263749999933</v>
      </c>
      <c r="F1631" s="12">
        <f t="shared" si="232"/>
        <v>537.91992550093994</v>
      </c>
      <c r="G1631" s="12">
        <f t="shared" si="233"/>
        <v>302.09572514933092</v>
      </c>
      <c r="H1631" s="12">
        <f t="shared" si="230"/>
        <v>1936500</v>
      </c>
      <c r="I1631" s="12">
        <f t="shared" si="231"/>
        <v>1087500</v>
      </c>
      <c r="J1631" s="12">
        <f>IF(A1631&lt;[3]关卡对接!$A$4,INDEX([3]关卡对接!$C$7:$C$141,A1631),MATCH(E1631,人物经验!$H$24:$H$573,1))</f>
        <v>528</v>
      </c>
      <c r="K1631" s="12">
        <f>IF([3]关卡对接!F1619="",INT(INDEX(人物经验!$J$24:$J$573,关卡!J1631)*关卡!$S$7),[3]关卡对接!F1619)</f>
        <v>48246</v>
      </c>
      <c r="L1631" s="12">
        <f t="shared" si="236"/>
        <v>2.6</v>
      </c>
      <c r="M1631" s="12">
        <f>L1631/[4]货币基础!$B$4</f>
        <v>260</v>
      </c>
      <c r="N1631" s="12">
        <f>IF(A1631&lt;[3]关卡对接!$A$4,INDEX([3]关卡对接!$E$7:$E$141,A1631),MATCH(E1631,人物经验!$H$24:$H$573,1))</f>
        <v>528</v>
      </c>
      <c r="O1631" s="12">
        <f>INDEX([2]关卡!$G$6:$G$2005,A1631)</f>
        <v>3</v>
      </c>
      <c r="P1631" s="13">
        <v>6</v>
      </c>
      <c r="Q1631" s="12">
        <f>INT(P1631/$S$15/O1631*VLOOKUP(J1631,[1]人物技能基础!$N$3:$O$553,2,0)*$U$15)</f>
        <v>9</v>
      </c>
      <c r="R1631" s="12">
        <f t="shared" si="237"/>
        <v>112</v>
      </c>
    </row>
    <row r="1632" spans="1:18" x14ac:dyDescent="0.15">
      <c r="A1632" s="12">
        <v>1614</v>
      </c>
      <c r="B1632" s="12">
        <f t="shared" si="234"/>
        <v>9</v>
      </c>
      <c r="C1632" s="12">
        <f t="shared" si="235"/>
        <v>1.2681549999999999</v>
      </c>
      <c r="D1632" s="12">
        <f t="shared" si="229"/>
        <v>9.0891249999999868E-2</v>
      </c>
      <c r="E1632" s="12">
        <f>SUM($D$19:D1632)</f>
        <v>47.468154999999932</v>
      </c>
      <c r="F1632" s="12">
        <f t="shared" si="232"/>
        <v>538.8431616403991</v>
      </c>
      <c r="G1632" s="12">
        <f t="shared" si="233"/>
        <v>302.512941150095</v>
      </c>
      <c r="H1632" s="12">
        <f t="shared" si="230"/>
        <v>1939800</v>
      </c>
      <c r="I1632" s="12">
        <f t="shared" si="231"/>
        <v>1089000</v>
      </c>
      <c r="J1632" s="12">
        <f>IF(A1632&lt;[3]关卡对接!$A$4,INDEX([3]关卡对接!$C$7:$C$141,A1632),MATCH(E1632,人物经验!$H$24:$H$573,1))</f>
        <v>528</v>
      </c>
      <c r="K1632" s="12">
        <f>IF([3]关卡对接!F1620="",INT(INDEX(人物经验!$J$24:$J$573,关卡!J1632)*关卡!$S$7),[3]关卡对接!F1620)</f>
        <v>48246</v>
      </c>
      <c r="L1632" s="12">
        <f t="shared" si="236"/>
        <v>2.6</v>
      </c>
      <c r="M1632" s="12">
        <f>L1632/[4]货币基础!$B$4</f>
        <v>260</v>
      </c>
      <c r="N1632" s="12">
        <f>IF(A1632&lt;[3]关卡对接!$A$4,INDEX([3]关卡对接!$E$7:$E$141,A1632),MATCH(E1632,人物经验!$H$24:$H$573,1))</f>
        <v>528</v>
      </c>
      <c r="O1632" s="12">
        <f>INDEX([2]关卡!$G$6:$G$2005,A1632)</f>
        <v>3</v>
      </c>
      <c r="P1632" s="13">
        <v>6</v>
      </c>
      <c r="Q1632" s="12">
        <f>INT(P1632/$S$15/O1632*VLOOKUP(J1632,[1]人物技能基础!$N$3:$O$553,2,0)*$U$15)</f>
        <v>9</v>
      </c>
      <c r="R1632" s="12">
        <f t="shared" si="237"/>
        <v>112</v>
      </c>
    </row>
    <row r="1633" spans="1:18" x14ac:dyDescent="0.15">
      <c r="A1633" s="12">
        <v>1615</v>
      </c>
      <c r="B1633" s="12">
        <f t="shared" si="234"/>
        <v>9</v>
      </c>
      <c r="C1633" s="12">
        <f t="shared" si="235"/>
        <v>1.3590937499999998</v>
      </c>
      <c r="D1633" s="12">
        <f t="shared" si="229"/>
        <v>9.0938749999999846E-2</v>
      </c>
      <c r="E1633" s="12">
        <f>SUM($D$19:D1633)</f>
        <v>47.559093749999931</v>
      </c>
      <c r="F1633" s="12">
        <f t="shared" si="232"/>
        <v>539.7676404749609</v>
      </c>
      <c r="G1633" s="12">
        <f t="shared" si="233"/>
        <v>302.93059933183594</v>
      </c>
      <c r="H1633" s="12">
        <f t="shared" si="230"/>
        <v>1943100</v>
      </c>
      <c r="I1633" s="12">
        <f t="shared" si="231"/>
        <v>1090500</v>
      </c>
      <c r="J1633" s="12">
        <f>IF(A1633&lt;[3]关卡对接!$A$4,INDEX([3]关卡对接!$C$7:$C$141,A1633),MATCH(E1633,人物经验!$H$24:$H$573,1))</f>
        <v>529</v>
      </c>
      <c r="K1633" s="12">
        <f>IF([3]关卡对接!F1621="",INT(INDEX(人物经验!$J$24:$J$573,关卡!J1633)*关卡!$S$7),[3]关卡对接!F1621)</f>
        <v>48495</v>
      </c>
      <c r="L1633" s="12">
        <f t="shared" si="236"/>
        <v>2.6</v>
      </c>
      <c r="M1633" s="12">
        <f>L1633/[4]货币基础!$B$4</f>
        <v>260</v>
      </c>
      <c r="N1633" s="12">
        <f>IF(A1633&lt;[3]关卡对接!$A$4,INDEX([3]关卡对接!$E$7:$E$141,A1633),MATCH(E1633,人物经验!$H$24:$H$573,1))</f>
        <v>529</v>
      </c>
      <c r="O1633" s="12">
        <f>INDEX([2]关卡!$G$6:$G$2005,A1633)</f>
        <v>3</v>
      </c>
      <c r="P1633" s="13">
        <v>6</v>
      </c>
      <c r="Q1633" s="12">
        <f>INT(P1633/$S$15/O1633*VLOOKUP(J1633,[1]人物技能基础!$N$3:$O$553,2,0)*$U$15)</f>
        <v>9</v>
      </c>
      <c r="R1633" s="12">
        <f t="shared" si="237"/>
        <v>112</v>
      </c>
    </row>
    <row r="1634" spans="1:18" x14ac:dyDescent="0.15">
      <c r="A1634" s="12">
        <v>1616</v>
      </c>
      <c r="B1634" s="12">
        <f t="shared" si="234"/>
        <v>9</v>
      </c>
      <c r="C1634" s="12">
        <f t="shared" si="235"/>
        <v>1.45008</v>
      </c>
      <c r="D1634" s="12">
        <f t="shared" si="229"/>
        <v>9.0986250000000268E-2</v>
      </c>
      <c r="E1634" s="12">
        <f>SUM($D$19:D1634)</f>
        <v>47.650079999999932</v>
      </c>
      <c r="F1634" s="12">
        <f t="shared" si="232"/>
        <v>540.69336319590411</v>
      </c>
      <c r="G1634" s="12">
        <f t="shared" si="233"/>
        <v>303.34870003712007</v>
      </c>
      <c r="H1634" s="12">
        <f t="shared" si="230"/>
        <v>1946400</v>
      </c>
      <c r="I1634" s="12">
        <f t="shared" si="231"/>
        <v>1092000</v>
      </c>
      <c r="J1634" s="12">
        <f>IF(A1634&lt;[3]关卡对接!$A$4,INDEX([3]关卡对接!$C$7:$C$141,A1634),MATCH(E1634,人物经验!$H$24:$H$573,1))</f>
        <v>529</v>
      </c>
      <c r="K1634" s="12">
        <f>IF([3]关卡对接!F1622="",INT(INDEX(人物经验!$J$24:$J$573,关卡!J1634)*关卡!$S$7),[3]关卡对接!F1622)</f>
        <v>48495</v>
      </c>
      <c r="L1634" s="12">
        <f t="shared" si="236"/>
        <v>2.6</v>
      </c>
      <c r="M1634" s="12">
        <f>L1634/[4]货币基础!$B$4</f>
        <v>260</v>
      </c>
      <c r="N1634" s="12">
        <f>IF(A1634&lt;[3]关卡对接!$A$4,INDEX([3]关卡对接!$E$7:$E$141,A1634),MATCH(E1634,人物经验!$H$24:$H$573,1))</f>
        <v>529</v>
      </c>
      <c r="O1634" s="12">
        <f>INDEX([2]关卡!$G$6:$G$2005,A1634)</f>
        <v>3</v>
      </c>
      <c r="P1634" s="13">
        <v>6</v>
      </c>
      <c r="Q1634" s="12">
        <f>INT(P1634/$S$15/O1634*VLOOKUP(J1634,[1]人物技能基础!$N$3:$O$553,2,0)*$U$15)</f>
        <v>9</v>
      </c>
      <c r="R1634" s="12">
        <f t="shared" si="237"/>
        <v>112</v>
      </c>
    </row>
    <row r="1635" spans="1:18" x14ac:dyDescent="0.15">
      <c r="A1635" s="12">
        <v>1617</v>
      </c>
      <c r="B1635" s="12">
        <f t="shared" si="234"/>
        <v>9</v>
      </c>
      <c r="C1635" s="12">
        <f t="shared" si="235"/>
        <v>1.5411137499999998</v>
      </c>
      <c r="D1635" s="12">
        <f t="shared" si="229"/>
        <v>9.1033749999999802E-2</v>
      </c>
      <c r="E1635" s="12">
        <f>SUM($D$19:D1635)</f>
        <v>47.741113749999933</v>
      </c>
      <c r="F1635" s="12">
        <f t="shared" si="232"/>
        <v>541.62033099510484</v>
      </c>
      <c r="G1635" s="12">
        <f t="shared" si="233"/>
        <v>303.76724360865592</v>
      </c>
      <c r="H1635" s="12">
        <f t="shared" si="230"/>
        <v>1949800</v>
      </c>
      <c r="I1635" s="12">
        <f t="shared" si="231"/>
        <v>1093500</v>
      </c>
      <c r="J1635" s="12">
        <f>IF(A1635&lt;[3]关卡对接!$A$4,INDEX([3]关卡对接!$C$7:$C$141,A1635),MATCH(E1635,人物经验!$H$24:$H$573,1))</f>
        <v>529</v>
      </c>
      <c r="K1635" s="12">
        <f>IF([3]关卡对接!F1623="",INT(INDEX(人物经验!$J$24:$J$573,关卡!J1635)*关卡!$S$7),[3]关卡对接!F1623)</f>
        <v>48495</v>
      </c>
      <c r="L1635" s="12">
        <f t="shared" si="236"/>
        <v>2.6</v>
      </c>
      <c r="M1635" s="12">
        <f>L1635/[4]货币基础!$B$4</f>
        <v>260</v>
      </c>
      <c r="N1635" s="12">
        <f>IF(A1635&lt;[3]关卡对接!$A$4,INDEX([3]关卡对接!$E$7:$E$141,A1635),MATCH(E1635,人物经验!$H$24:$H$573,1))</f>
        <v>529</v>
      </c>
      <c r="O1635" s="12">
        <f>INDEX([2]关卡!$G$6:$G$2005,A1635)</f>
        <v>3</v>
      </c>
      <c r="P1635" s="13">
        <v>6</v>
      </c>
      <c r="Q1635" s="12">
        <f>INT(P1635/$S$15/O1635*VLOOKUP(J1635,[1]人物技能基础!$N$3:$O$553,2,0)*$U$15)</f>
        <v>9</v>
      </c>
      <c r="R1635" s="12">
        <f t="shared" si="237"/>
        <v>112</v>
      </c>
    </row>
    <row r="1636" spans="1:18" x14ac:dyDescent="0.15">
      <c r="A1636" s="12">
        <v>1618</v>
      </c>
      <c r="B1636" s="12">
        <f t="shared" si="234"/>
        <v>9</v>
      </c>
      <c r="C1636" s="12">
        <f t="shared" si="235"/>
        <v>1.6321949999999998</v>
      </c>
      <c r="D1636" s="12">
        <f t="shared" si="229"/>
        <v>9.1081250000000002E-2</v>
      </c>
      <c r="E1636" s="12">
        <f>SUM($D$19:D1636)</f>
        <v>47.832194999999935</v>
      </c>
      <c r="F1636" s="12">
        <f t="shared" si="232"/>
        <v>542.54854506503909</v>
      </c>
      <c r="G1636" s="12">
        <f t="shared" si="233"/>
        <v>304.18623038929502</v>
      </c>
      <c r="H1636" s="12">
        <f t="shared" si="230"/>
        <v>1953100</v>
      </c>
      <c r="I1636" s="12">
        <f t="shared" si="231"/>
        <v>1095000</v>
      </c>
      <c r="J1636" s="12">
        <f>IF(A1636&lt;[3]关卡对接!$A$4,INDEX([3]关卡对接!$C$7:$C$141,A1636),MATCH(E1636,人物经验!$H$24:$H$573,1))</f>
        <v>530</v>
      </c>
      <c r="K1636" s="12">
        <f>IF([3]关卡对接!F1624="",INT(INDEX(人物经验!$J$24:$J$573,关卡!J1636)*关卡!$S$7),[3]关卡对接!F1624)</f>
        <v>48745</v>
      </c>
      <c r="L1636" s="12">
        <f t="shared" si="236"/>
        <v>2.6</v>
      </c>
      <c r="M1636" s="12">
        <f>L1636/[4]货币基础!$B$4</f>
        <v>260</v>
      </c>
      <c r="N1636" s="12">
        <f>IF(A1636&lt;[3]关卡对接!$A$4,INDEX([3]关卡对接!$E$7:$E$141,A1636),MATCH(E1636,人物经验!$H$24:$H$573,1))</f>
        <v>530</v>
      </c>
      <c r="O1636" s="12">
        <f>INDEX([2]关卡!$G$6:$G$2005,A1636)</f>
        <v>3</v>
      </c>
      <c r="P1636" s="13">
        <v>6</v>
      </c>
      <c r="Q1636" s="12">
        <f>INT(P1636/$S$15/O1636*VLOOKUP(J1636,[1]人物技能基础!$N$3:$O$553,2,0)*$U$15)</f>
        <v>9</v>
      </c>
      <c r="R1636" s="12">
        <f t="shared" si="237"/>
        <v>112</v>
      </c>
    </row>
    <row r="1637" spans="1:18" x14ac:dyDescent="0.15">
      <c r="A1637" s="12">
        <v>1619</v>
      </c>
      <c r="B1637" s="12">
        <f t="shared" si="234"/>
        <v>9</v>
      </c>
      <c r="C1637" s="12">
        <f t="shared" si="235"/>
        <v>1.72332375</v>
      </c>
      <c r="D1637" s="12">
        <f t="shared" si="229"/>
        <v>9.1128750000000203E-2</v>
      </c>
      <c r="E1637" s="12">
        <f>SUM($D$19:D1637)</f>
        <v>47.923323749999938</v>
      </c>
      <c r="F1637" s="12">
        <f t="shared" si="232"/>
        <v>543.47800659877987</v>
      </c>
      <c r="G1637" s="12">
        <f t="shared" si="233"/>
        <v>304.6056607220309</v>
      </c>
      <c r="H1637" s="12">
        <f t="shared" si="230"/>
        <v>1956500</v>
      </c>
      <c r="I1637" s="12">
        <f t="shared" si="231"/>
        <v>1096500</v>
      </c>
      <c r="J1637" s="12">
        <f>IF(A1637&lt;[3]关卡对接!$A$4,INDEX([3]关卡对接!$C$7:$C$141,A1637),MATCH(E1637,人物经验!$H$24:$H$573,1))</f>
        <v>530</v>
      </c>
      <c r="K1637" s="12">
        <f>IF([3]关卡对接!F1625="",INT(INDEX(人物经验!$J$24:$J$573,关卡!J1637)*关卡!$S$7),[3]关卡对接!F1625)</f>
        <v>48745</v>
      </c>
      <c r="L1637" s="12">
        <f t="shared" si="236"/>
        <v>2.6</v>
      </c>
      <c r="M1637" s="12">
        <f>L1637/[4]货币基础!$B$4</f>
        <v>260</v>
      </c>
      <c r="N1637" s="12">
        <f>IF(A1637&lt;[3]关卡对接!$A$4,INDEX([3]关卡对接!$E$7:$E$141,A1637),MATCH(E1637,人物经验!$H$24:$H$573,1))</f>
        <v>530</v>
      </c>
      <c r="O1637" s="12">
        <f>INDEX([2]关卡!$G$6:$G$2005,A1637)</f>
        <v>3</v>
      </c>
      <c r="P1637" s="13">
        <v>6</v>
      </c>
      <c r="Q1637" s="12">
        <f>INT(P1637/$S$15/O1637*VLOOKUP(J1637,[1]人物技能基础!$N$3:$O$553,2,0)*$U$15)</f>
        <v>9</v>
      </c>
      <c r="R1637" s="12">
        <f t="shared" si="237"/>
        <v>112</v>
      </c>
    </row>
    <row r="1638" spans="1:18" x14ac:dyDescent="0.15">
      <c r="A1638" s="12">
        <v>1620</v>
      </c>
      <c r="B1638" s="12">
        <f t="shared" si="234"/>
        <v>9</v>
      </c>
      <c r="C1638" s="12">
        <f t="shared" si="235"/>
        <v>1.8145</v>
      </c>
      <c r="D1638" s="12">
        <f t="shared" si="229"/>
        <v>9.1176249999999959E-2</v>
      </c>
      <c r="E1638" s="12">
        <f>SUM($D$19:D1638)</f>
        <v>48.014499999999934</v>
      </c>
      <c r="F1638" s="12">
        <f t="shared" si="232"/>
        <v>544.40871679000008</v>
      </c>
      <c r="G1638" s="12">
        <f t="shared" si="233"/>
        <v>305.02553495000006</v>
      </c>
      <c r="H1638" s="12">
        <f t="shared" si="230"/>
        <v>1959800</v>
      </c>
      <c r="I1638" s="12">
        <f t="shared" si="231"/>
        <v>1098000</v>
      </c>
      <c r="J1638" s="12">
        <f>IF(A1638&lt;[3]关卡对接!$A$4,INDEX([3]关卡对接!$C$7:$C$141,A1638),MATCH(E1638,人物经验!$H$24:$H$573,1))</f>
        <v>530</v>
      </c>
      <c r="K1638" s="12">
        <f>IF([3]关卡对接!F1626="",INT(INDEX(人物经验!$J$24:$J$573,关卡!J1638)*关卡!$S$7),[3]关卡对接!F1626)</f>
        <v>48745</v>
      </c>
      <c r="L1638" s="12">
        <f t="shared" si="236"/>
        <v>2.6</v>
      </c>
      <c r="M1638" s="12">
        <f>L1638/[4]货币基础!$B$4</f>
        <v>260</v>
      </c>
      <c r="N1638" s="12">
        <f>IF(A1638&lt;[3]关卡对接!$A$4,INDEX([3]关卡对接!$E$7:$E$141,A1638),MATCH(E1638,人物经验!$H$24:$H$573,1))</f>
        <v>530</v>
      </c>
      <c r="O1638" s="12">
        <f>INDEX([2]关卡!$G$6:$G$2005,A1638)</f>
        <v>3</v>
      </c>
      <c r="P1638" s="13">
        <v>6</v>
      </c>
      <c r="Q1638" s="12">
        <f>INT(P1638/$S$15/O1638*VLOOKUP(J1638,[1]人物技能基础!$N$3:$O$553,2,0)*$U$15)</f>
        <v>9</v>
      </c>
      <c r="R1638" s="12">
        <f t="shared" si="237"/>
        <v>112</v>
      </c>
    </row>
    <row r="1639" spans="1:18" x14ac:dyDescent="0.15">
      <c r="A1639" s="12">
        <v>1621</v>
      </c>
      <c r="B1639" s="12">
        <f t="shared" si="234"/>
        <v>9</v>
      </c>
      <c r="C1639" s="12">
        <f t="shared" si="235"/>
        <v>1.9057237499999999</v>
      </c>
      <c r="D1639" s="12">
        <f t="shared" si="229"/>
        <v>9.1223749999999937E-2</v>
      </c>
      <c r="E1639" s="12">
        <f>SUM($D$19:D1639)</f>
        <v>48.105723749999932</v>
      </c>
      <c r="F1639" s="12">
        <f t="shared" si="232"/>
        <v>545.34067683296996</v>
      </c>
      <c r="G1639" s="12">
        <f t="shared" si="233"/>
        <v>305.44585341648093</v>
      </c>
      <c r="H1639" s="12">
        <f t="shared" si="230"/>
        <v>1963200</v>
      </c>
      <c r="I1639" s="12">
        <f t="shared" si="231"/>
        <v>1099600</v>
      </c>
      <c r="J1639" s="12">
        <f>IF(A1639&lt;[3]关卡对接!$A$4,INDEX([3]关卡对接!$C$7:$C$141,A1639),MATCH(E1639,人物经验!$H$24:$H$573,1))</f>
        <v>531</v>
      </c>
      <c r="K1639" s="12">
        <f>IF([3]关卡对接!F1627="",INT(INDEX(人物经验!$J$24:$J$573,关卡!J1639)*关卡!$S$7),[3]关卡对接!F1627)</f>
        <v>48996</v>
      </c>
      <c r="L1639" s="12">
        <f t="shared" si="236"/>
        <v>2.6</v>
      </c>
      <c r="M1639" s="12">
        <f>L1639/[4]货币基础!$B$4</f>
        <v>260</v>
      </c>
      <c r="N1639" s="12">
        <f>IF(A1639&lt;[3]关卡对接!$A$4,INDEX([3]关卡对接!$E$7:$E$141,A1639),MATCH(E1639,人物经验!$H$24:$H$573,1))</f>
        <v>531</v>
      </c>
      <c r="O1639" s="12">
        <f>INDEX([2]关卡!$G$6:$G$2005,A1639)</f>
        <v>3</v>
      </c>
      <c r="P1639" s="13">
        <v>6</v>
      </c>
      <c r="Q1639" s="12">
        <f>INT(P1639/$S$15/O1639*VLOOKUP(J1639,[1]人物技能基础!$N$3:$O$553,2,0)*$U$15)</f>
        <v>9</v>
      </c>
      <c r="R1639" s="12">
        <f t="shared" si="237"/>
        <v>112</v>
      </c>
    </row>
    <row r="1640" spans="1:18" x14ac:dyDescent="0.15">
      <c r="A1640" s="12">
        <v>1622</v>
      </c>
      <c r="B1640" s="12">
        <f t="shared" si="234"/>
        <v>9</v>
      </c>
      <c r="C1640" s="12">
        <f t="shared" si="235"/>
        <v>1.9969949999999999</v>
      </c>
      <c r="D1640" s="12">
        <f t="shared" si="229"/>
        <v>9.1271249999999915E-2</v>
      </c>
      <c r="E1640" s="12">
        <f>SUM($D$19:D1640)</f>
        <v>48.19699499999993</v>
      </c>
      <c r="F1640" s="12">
        <f t="shared" si="232"/>
        <v>546.2738879225592</v>
      </c>
      <c r="G1640" s="12">
        <f t="shared" si="233"/>
        <v>305.86661646489506</v>
      </c>
      <c r="H1640" s="12">
        <f t="shared" si="230"/>
        <v>1966500</v>
      </c>
      <c r="I1640" s="12">
        <f t="shared" si="231"/>
        <v>1101100</v>
      </c>
      <c r="J1640" s="12">
        <f>IF(A1640&lt;[3]关卡对接!$A$4,INDEX([3]关卡对接!$C$7:$C$141,A1640),MATCH(E1640,人物经验!$H$24:$H$573,1))</f>
        <v>531</v>
      </c>
      <c r="K1640" s="12">
        <f>IF([3]关卡对接!F1628="",INT(INDEX(人物经验!$J$24:$J$573,关卡!J1640)*关卡!$S$7),[3]关卡对接!F1628)</f>
        <v>48996</v>
      </c>
      <c r="L1640" s="12">
        <f t="shared" si="236"/>
        <v>2.6</v>
      </c>
      <c r="M1640" s="12">
        <f>L1640/[4]货币基础!$B$4</f>
        <v>260</v>
      </c>
      <c r="N1640" s="12">
        <f>IF(A1640&lt;[3]关卡对接!$A$4,INDEX([3]关卡对接!$E$7:$E$141,A1640),MATCH(E1640,人物经验!$H$24:$H$573,1))</f>
        <v>531</v>
      </c>
      <c r="O1640" s="12">
        <f>INDEX([2]关卡!$G$6:$G$2005,A1640)</f>
        <v>3</v>
      </c>
      <c r="P1640" s="13">
        <v>6</v>
      </c>
      <c r="Q1640" s="12">
        <f>INT(P1640/$S$15/O1640*VLOOKUP(J1640,[1]人物技能基础!$N$3:$O$553,2,0)*$U$15)</f>
        <v>9</v>
      </c>
      <c r="R1640" s="12">
        <f t="shared" si="237"/>
        <v>112</v>
      </c>
    </row>
    <row r="1641" spans="1:18" x14ac:dyDescent="0.15">
      <c r="A1641" s="12">
        <v>1623</v>
      </c>
      <c r="B1641" s="12">
        <f t="shared" si="234"/>
        <v>9</v>
      </c>
      <c r="C1641" s="12">
        <f t="shared" si="235"/>
        <v>2.0883137500000002</v>
      </c>
      <c r="D1641" s="12">
        <f t="shared" si="229"/>
        <v>9.1318750000000337E-2</v>
      </c>
      <c r="E1641" s="12">
        <f>SUM($D$19:D1641)</f>
        <v>48.288313749999929</v>
      </c>
      <c r="F1641" s="12">
        <f t="shared" si="232"/>
        <v>547.20835125423491</v>
      </c>
      <c r="G1641" s="12">
        <f t="shared" si="233"/>
        <v>306.28782443880596</v>
      </c>
      <c r="H1641" s="12">
        <f t="shared" si="230"/>
        <v>1969900</v>
      </c>
      <c r="I1641" s="12">
        <f t="shared" si="231"/>
        <v>1102600</v>
      </c>
      <c r="J1641" s="12">
        <f>IF(A1641&lt;[3]关卡对接!$A$4,INDEX([3]关卡对接!$C$7:$C$141,A1641),MATCH(E1641,人物经验!$H$24:$H$573,1))</f>
        <v>531</v>
      </c>
      <c r="K1641" s="12">
        <f>IF([3]关卡对接!F1629="",INT(INDEX(人物经验!$J$24:$J$573,关卡!J1641)*关卡!$S$7),[3]关卡对接!F1629)</f>
        <v>48996</v>
      </c>
      <c r="L1641" s="12">
        <f t="shared" si="236"/>
        <v>2.6</v>
      </c>
      <c r="M1641" s="12">
        <f>L1641/[4]货币基础!$B$4</f>
        <v>260</v>
      </c>
      <c r="N1641" s="12">
        <f>IF(A1641&lt;[3]关卡对接!$A$4,INDEX([3]关卡对接!$E$7:$E$141,A1641),MATCH(E1641,人物经验!$H$24:$H$573,1))</f>
        <v>531</v>
      </c>
      <c r="O1641" s="12">
        <f>INDEX([2]关卡!$G$6:$G$2005,A1641)</f>
        <v>3</v>
      </c>
      <c r="P1641" s="13">
        <v>6</v>
      </c>
      <c r="Q1641" s="12">
        <f>INT(P1641/$S$15/O1641*VLOOKUP(J1641,[1]人物技能基础!$N$3:$O$553,2,0)*$U$15)</f>
        <v>9</v>
      </c>
      <c r="R1641" s="12">
        <f t="shared" si="237"/>
        <v>112</v>
      </c>
    </row>
    <row r="1642" spans="1:18" x14ac:dyDescent="0.15">
      <c r="A1642" s="12">
        <v>1624</v>
      </c>
      <c r="B1642" s="12">
        <f t="shared" si="234"/>
        <v>9</v>
      </c>
      <c r="C1642" s="12">
        <f t="shared" si="235"/>
        <v>2.1796799999999998</v>
      </c>
      <c r="D1642" s="12">
        <f t="shared" si="229"/>
        <v>9.1366249999999649E-2</v>
      </c>
      <c r="E1642" s="12">
        <f>SUM($D$19:D1642)</f>
        <v>48.379679999999929</v>
      </c>
      <c r="F1642" s="12">
        <f t="shared" si="232"/>
        <v>548.14406802406415</v>
      </c>
      <c r="G1642" s="12">
        <f t="shared" si="233"/>
        <v>306.70947768192002</v>
      </c>
      <c r="H1642" s="12">
        <f t="shared" si="230"/>
        <v>1973300</v>
      </c>
      <c r="I1642" s="12">
        <f t="shared" si="231"/>
        <v>1104100</v>
      </c>
      <c r="J1642" s="12">
        <f>IF(A1642&lt;[3]关卡对接!$A$4,INDEX([3]关卡对接!$C$7:$C$141,A1642),MATCH(E1642,人物经验!$H$24:$H$573,1))</f>
        <v>532</v>
      </c>
      <c r="K1642" s="12">
        <f>IF([3]关卡对接!F1630="",INT(INDEX(人物经验!$J$24:$J$573,关卡!J1642)*关卡!$S$7),[3]关卡对接!F1630)</f>
        <v>49248</v>
      </c>
      <c r="L1642" s="12">
        <f t="shared" si="236"/>
        <v>2.6</v>
      </c>
      <c r="M1642" s="12">
        <f>L1642/[4]货币基础!$B$4</f>
        <v>260</v>
      </c>
      <c r="N1642" s="12">
        <f>IF(A1642&lt;[3]关卡对接!$A$4,INDEX([3]关卡对接!$E$7:$E$141,A1642),MATCH(E1642,人物经验!$H$24:$H$573,1))</f>
        <v>532</v>
      </c>
      <c r="O1642" s="12">
        <f>INDEX([2]关卡!$G$6:$G$2005,A1642)</f>
        <v>3</v>
      </c>
      <c r="P1642" s="13">
        <v>6</v>
      </c>
      <c r="Q1642" s="12">
        <f>INT(P1642/$S$15/O1642*VLOOKUP(J1642,[1]人物技能基础!$N$3:$O$553,2,0)*$U$15)</f>
        <v>9</v>
      </c>
      <c r="R1642" s="12">
        <f t="shared" si="237"/>
        <v>112</v>
      </c>
    </row>
    <row r="1643" spans="1:18" x14ac:dyDescent="0.15">
      <c r="A1643" s="12">
        <v>1625</v>
      </c>
      <c r="B1643" s="12">
        <f t="shared" si="234"/>
        <v>9</v>
      </c>
      <c r="C1643" s="12">
        <f t="shared" si="235"/>
        <v>2.2710937499999999</v>
      </c>
      <c r="D1643" s="12">
        <f t="shared" si="229"/>
        <v>9.1413750000000071E-2</v>
      </c>
      <c r="E1643" s="12">
        <f>SUM($D$19:D1643)</f>
        <v>48.47109374999993</v>
      </c>
      <c r="F1643" s="12">
        <f t="shared" si="232"/>
        <v>549.08103942871105</v>
      </c>
      <c r="G1643" s="12">
        <f t="shared" si="233"/>
        <v>307.13157653808594</v>
      </c>
      <c r="H1643" s="12">
        <f t="shared" si="230"/>
        <v>1976600</v>
      </c>
      <c r="I1643" s="12">
        <f t="shared" si="231"/>
        <v>1105600</v>
      </c>
      <c r="J1643" s="12">
        <f>IF(A1643&lt;[3]关卡对接!$A$4,INDEX([3]关卡对接!$C$7:$C$141,A1643),MATCH(E1643,人物经验!$H$24:$H$573,1))</f>
        <v>532</v>
      </c>
      <c r="K1643" s="12">
        <f>IF([3]关卡对接!F1631="",INT(INDEX(人物经验!$J$24:$J$573,关卡!J1643)*关卡!$S$7),[3]关卡对接!F1631)</f>
        <v>49248</v>
      </c>
      <c r="L1643" s="12">
        <f t="shared" si="236"/>
        <v>2.6</v>
      </c>
      <c r="M1643" s="12">
        <f>L1643/[4]货币基础!$B$4</f>
        <v>260</v>
      </c>
      <c r="N1643" s="12">
        <f>IF(A1643&lt;[3]关卡对接!$A$4,INDEX([3]关卡对接!$E$7:$E$141,A1643),MATCH(E1643,人物经验!$H$24:$H$573,1))</f>
        <v>532</v>
      </c>
      <c r="O1643" s="12">
        <f>INDEX([2]关卡!$G$6:$G$2005,A1643)</f>
        <v>3</v>
      </c>
      <c r="P1643" s="13">
        <v>6</v>
      </c>
      <c r="Q1643" s="12">
        <f>INT(P1643/$S$15/O1643*VLOOKUP(J1643,[1]人物技能基础!$N$3:$O$553,2,0)*$U$15)</f>
        <v>9</v>
      </c>
      <c r="R1643" s="12">
        <f t="shared" si="237"/>
        <v>112</v>
      </c>
    </row>
    <row r="1644" spans="1:18" x14ac:dyDescent="0.15">
      <c r="A1644" s="12">
        <v>1626</v>
      </c>
      <c r="B1644" s="12">
        <f t="shared" si="234"/>
        <v>9</v>
      </c>
      <c r="C1644" s="12">
        <f t="shared" si="235"/>
        <v>2.362555</v>
      </c>
      <c r="D1644" s="12">
        <f t="shared" si="229"/>
        <v>9.1461250000000049E-2</v>
      </c>
      <c r="E1644" s="12">
        <f>SUM($D$19:D1644)</f>
        <v>48.562554999999932</v>
      </c>
      <c r="F1644" s="12">
        <f t="shared" si="232"/>
        <v>550.01926666543898</v>
      </c>
      <c r="G1644" s="12">
        <f t="shared" si="233"/>
        <v>307.55412135129495</v>
      </c>
      <c r="H1644" s="12">
        <f t="shared" si="230"/>
        <v>1980000</v>
      </c>
      <c r="I1644" s="12">
        <f t="shared" si="231"/>
        <v>1107100</v>
      </c>
      <c r="J1644" s="12">
        <f>IF(A1644&lt;[3]关卡对接!$A$4,INDEX([3]关卡对接!$C$7:$C$141,A1644),MATCH(E1644,人物经验!$H$24:$H$573,1))</f>
        <v>532</v>
      </c>
      <c r="K1644" s="12">
        <f>IF([3]关卡对接!F1632="",INT(INDEX(人物经验!$J$24:$J$573,关卡!J1644)*关卡!$S$7),[3]关卡对接!F1632)</f>
        <v>49248</v>
      </c>
      <c r="L1644" s="12">
        <f t="shared" si="236"/>
        <v>2.6</v>
      </c>
      <c r="M1644" s="12">
        <f>L1644/[4]货币基础!$B$4</f>
        <v>260</v>
      </c>
      <c r="N1644" s="12">
        <f>IF(A1644&lt;[3]关卡对接!$A$4,INDEX([3]关卡对接!$E$7:$E$141,A1644),MATCH(E1644,人物经验!$H$24:$H$573,1))</f>
        <v>532</v>
      </c>
      <c r="O1644" s="12">
        <f>INDEX([2]关卡!$G$6:$G$2005,A1644)</f>
        <v>3</v>
      </c>
      <c r="P1644" s="13">
        <v>6</v>
      </c>
      <c r="Q1644" s="12">
        <f>INT(P1644/$S$15/O1644*VLOOKUP(J1644,[1]人物技能基础!$N$3:$O$553,2,0)*$U$15)</f>
        <v>9</v>
      </c>
      <c r="R1644" s="12">
        <f t="shared" si="237"/>
        <v>112</v>
      </c>
    </row>
    <row r="1645" spans="1:18" x14ac:dyDescent="0.15">
      <c r="A1645" s="12">
        <v>1627</v>
      </c>
      <c r="B1645" s="12">
        <f t="shared" si="234"/>
        <v>9</v>
      </c>
      <c r="C1645" s="12">
        <f t="shared" si="235"/>
        <v>2.45406375</v>
      </c>
      <c r="D1645" s="12">
        <f t="shared" si="229"/>
        <v>9.1508750000000028E-2</v>
      </c>
      <c r="E1645" s="12">
        <f>SUM($D$19:D1645)</f>
        <v>48.654063749999935</v>
      </c>
      <c r="F1645" s="12">
        <f t="shared" si="232"/>
        <v>550.95875093210998</v>
      </c>
      <c r="G1645" s="12">
        <f t="shared" si="233"/>
        <v>307.97711246568093</v>
      </c>
      <c r="H1645" s="12">
        <f t="shared" si="230"/>
        <v>1983400</v>
      </c>
      <c r="I1645" s="12">
        <f t="shared" si="231"/>
        <v>1108700</v>
      </c>
      <c r="J1645" s="12">
        <f>IF(A1645&lt;[3]关卡对接!$A$4,INDEX([3]关卡对接!$C$7:$C$141,A1645),MATCH(E1645,人物经验!$H$24:$H$573,1))</f>
        <v>533</v>
      </c>
      <c r="K1645" s="12">
        <f>IF([3]关卡对接!F1633="",INT(INDEX(人物经验!$J$24:$J$573,关卡!J1645)*关卡!$S$7),[3]关卡对接!F1633)</f>
        <v>49501</v>
      </c>
      <c r="L1645" s="12">
        <f t="shared" si="236"/>
        <v>2.6</v>
      </c>
      <c r="M1645" s="12">
        <f>L1645/[4]货币基础!$B$4</f>
        <v>260</v>
      </c>
      <c r="N1645" s="12">
        <f>IF(A1645&lt;[3]关卡对接!$A$4,INDEX([3]关卡对接!$E$7:$E$141,A1645),MATCH(E1645,人物经验!$H$24:$H$573,1))</f>
        <v>533</v>
      </c>
      <c r="O1645" s="12">
        <f>INDEX([2]关卡!$G$6:$G$2005,A1645)</f>
        <v>3</v>
      </c>
      <c r="P1645" s="13">
        <v>6</v>
      </c>
      <c r="Q1645" s="12">
        <f>INT(P1645/$S$15/O1645*VLOOKUP(J1645,[1]人物技能基础!$N$3:$O$553,2,0)*$U$15)</f>
        <v>9</v>
      </c>
      <c r="R1645" s="12">
        <f t="shared" si="237"/>
        <v>112</v>
      </c>
    </row>
    <row r="1646" spans="1:18" x14ac:dyDescent="0.15">
      <c r="A1646" s="12">
        <v>1628</v>
      </c>
      <c r="B1646" s="12">
        <f t="shared" si="234"/>
        <v>9</v>
      </c>
      <c r="C1646" s="12">
        <f t="shared" si="235"/>
        <v>2.5456200000000004</v>
      </c>
      <c r="D1646" s="12">
        <f t="shared" si="229"/>
        <v>9.155625000000045E-2</v>
      </c>
      <c r="E1646" s="12">
        <f>SUM($D$19:D1646)</f>
        <v>48.745619999999938</v>
      </c>
      <c r="F1646" s="12">
        <f t="shared" si="232"/>
        <v>551.89949342718387</v>
      </c>
      <c r="G1646" s="12">
        <f t="shared" si="233"/>
        <v>308.40055022551991</v>
      </c>
      <c r="H1646" s="12">
        <f t="shared" si="230"/>
        <v>1986800</v>
      </c>
      <c r="I1646" s="12">
        <f t="shared" si="231"/>
        <v>1110200</v>
      </c>
      <c r="J1646" s="12">
        <f>IF(A1646&lt;[3]关卡对接!$A$4,INDEX([3]关卡对接!$C$7:$C$141,A1646),MATCH(E1646,人物经验!$H$24:$H$573,1))</f>
        <v>533</v>
      </c>
      <c r="K1646" s="12">
        <f>IF([3]关卡对接!F1634="",INT(INDEX(人物经验!$J$24:$J$573,关卡!J1646)*关卡!$S$7),[3]关卡对接!F1634)</f>
        <v>49501</v>
      </c>
      <c r="L1646" s="12">
        <f t="shared" si="236"/>
        <v>2.6</v>
      </c>
      <c r="M1646" s="12">
        <f>L1646/[4]货币基础!$B$4</f>
        <v>260</v>
      </c>
      <c r="N1646" s="12">
        <f>IF(A1646&lt;[3]关卡对接!$A$4,INDEX([3]关卡对接!$E$7:$E$141,A1646),MATCH(E1646,人物经验!$H$24:$H$573,1))</f>
        <v>533</v>
      </c>
      <c r="O1646" s="12">
        <f>INDEX([2]关卡!$G$6:$G$2005,A1646)</f>
        <v>3</v>
      </c>
      <c r="P1646" s="13">
        <v>6</v>
      </c>
      <c r="Q1646" s="12">
        <f>INT(P1646/$S$15/O1646*VLOOKUP(J1646,[1]人物技能基础!$N$3:$O$553,2,0)*$U$15)</f>
        <v>9</v>
      </c>
      <c r="R1646" s="12">
        <f t="shared" si="237"/>
        <v>112</v>
      </c>
    </row>
    <row r="1647" spans="1:18" x14ac:dyDescent="0.15">
      <c r="A1647" s="12">
        <v>1629</v>
      </c>
      <c r="B1647" s="12">
        <f t="shared" si="234"/>
        <v>9</v>
      </c>
      <c r="C1647" s="12">
        <f t="shared" si="235"/>
        <v>2.6372237499999995</v>
      </c>
      <c r="D1647" s="12">
        <f t="shared" si="229"/>
        <v>9.1603749999999096E-2</v>
      </c>
      <c r="E1647" s="12">
        <f>SUM($D$19:D1647)</f>
        <v>48.837223749999936</v>
      </c>
      <c r="F1647" s="12">
        <f t="shared" si="232"/>
        <v>552.84149534971993</v>
      </c>
      <c r="G1647" s="12">
        <f t="shared" si="233"/>
        <v>308.82443497523093</v>
      </c>
      <c r="H1647" s="12">
        <f t="shared" si="230"/>
        <v>1990200</v>
      </c>
      <c r="I1647" s="12">
        <f t="shared" si="231"/>
        <v>1111700</v>
      </c>
      <c r="J1647" s="12">
        <f>IF(A1647&lt;[3]关卡对接!$A$4,INDEX([3]关卡对接!$C$7:$C$141,A1647),MATCH(E1647,人物经验!$H$24:$H$573,1))</f>
        <v>533</v>
      </c>
      <c r="K1647" s="12">
        <f>IF([3]关卡对接!F1635="",INT(INDEX(人物经验!$J$24:$J$573,关卡!J1647)*关卡!$S$7),[3]关卡对接!F1635)</f>
        <v>49501</v>
      </c>
      <c r="L1647" s="12">
        <f t="shared" si="236"/>
        <v>2.6</v>
      </c>
      <c r="M1647" s="12">
        <f>L1647/[4]货币基础!$B$4</f>
        <v>260</v>
      </c>
      <c r="N1647" s="12">
        <f>IF(A1647&lt;[3]关卡对接!$A$4,INDEX([3]关卡对接!$E$7:$E$141,A1647),MATCH(E1647,人物经验!$H$24:$H$573,1))</f>
        <v>533</v>
      </c>
      <c r="O1647" s="12">
        <f>INDEX([2]关卡!$G$6:$G$2005,A1647)</f>
        <v>3</v>
      </c>
      <c r="P1647" s="13">
        <v>6</v>
      </c>
      <c r="Q1647" s="12">
        <f>INT(P1647/$S$15/O1647*VLOOKUP(J1647,[1]人物技能基础!$N$3:$O$553,2,0)*$U$15)</f>
        <v>9</v>
      </c>
      <c r="R1647" s="12">
        <f t="shared" si="237"/>
        <v>112</v>
      </c>
    </row>
    <row r="1648" spans="1:18" x14ac:dyDescent="0.15">
      <c r="A1648" s="12">
        <v>1630</v>
      </c>
      <c r="B1648" s="12">
        <f t="shared" si="234"/>
        <v>9</v>
      </c>
      <c r="C1648" s="12">
        <f t="shared" si="235"/>
        <v>2.7288749999999995</v>
      </c>
      <c r="D1648" s="12">
        <f t="shared" si="229"/>
        <v>9.1651249999999962E-2</v>
      </c>
      <c r="E1648" s="12">
        <f>SUM($D$19:D1648)</f>
        <v>48.928874999999934</v>
      </c>
      <c r="F1648" s="12">
        <f t="shared" si="232"/>
        <v>553.78475789937499</v>
      </c>
      <c r="G1648" s="12">
        <f t="shared" si="233"/>
        <v>309.24876705937498</v>
      </c>
      <c r="H1648" s="12">
        <f t="shared" si="230"/>
        <v>1993600</v>
      </c>
      <c r="I1648" s="12">
        <f t="shared" si="231"/>
        <v>1113200</v>
      </c>
      <c r="J1648" s="12">
        <f>IF(A1648&lt;[3]关卡对接!$A$4,INDEX([3]关卡对接!$C$7:$C$141,A1648),MATCH(E1648,人物经验!$H$24:$H$573,1))</f>
        <v>534</v>
      </c>
      <c r="K1648" s="12">
        <f>IF([3]关卡对接!F1636="",INT(INDEX(人物经验!$J$24:$J$573,关卡!J1648)*关卡!$S$7),[3]关卡对接!F1636)</f>
        <v>49755</v>
      </c>
      <c r="L1648" s="12">
        <f t="shared" si="236"/>
        <v>2.6</v>
      </c>
      <c r="M1648" s="12">
        <f>L1648/[4]货币基础!$B$4</f>
        <v>260</v>
      </c>
      <c r="N1648" s="12">
        <f>IF(A1648&lt;[3]关卡对接!$A$4,INDEX([3]关卡对接!$E$7:$E$141,A1648),MATCH(E1648,人物经验!$H$24:$H$573,1))</f>
        <v>534</v>
      </c>
      <c r="O1648" s="12">
        <f>INDEX([2]关卡!$G$6:$G$2005,A1648)</f>
        <v>3</v>
      </c>
      <c r="P1648" s="13">
        <v>6</v>
      </c>
      <c r="Q1648" s="12">
        <f>INT(P1648/$S$15/O1648*VLOOKUP(J1648,[1]人物技能基础!$N$3:$O$553,2,0)*$U$15)</f>
        <v>9</v>
      </c>
      <c r="R1648" s="12">
        <f t="shared" si="237"/>
        <v>112</v>
      </c>
    </row>
    <row r="1649" spans="1:18" x14ac:dyDescent="0.15">
      <c r="A1649" s="12">
        <v>1631</v>
      </c>
      <c r="B1649" s="12">
        <f t="shared" si="234"/>
        <v>9</v>
      </c>
      <c r="C1649" s="12">
        <f t="shared" si="235"/>
        <v>2.8205737499999994</v>
      </c>
      <c r="D1649" s="12">
        <f t="shared" si="229"/>
        <v>9.169874999999994E-2</v>
      </c>
      <c r="E1649" s="12">
        <f>SUM($D$19:D1649)</f>
        <v>49.020573749999933</v>
      </c>
      <c r="F1649" s="12">
        <f t="shared" si="232"/>
        <v>554.729282276405</v>
      </c>
      <c r="G1649" s="12">
        <f t="shared" si="233"/>
        <v>309.67354682265591</v>
      </c>
      <c r="H1649" s="12">
        <f t="shared" si="230"/>
        <v>1997000</v>
      </c>
      <c r="I1649" s="12">
        <f t="shared" si="231"/>
        <v>1114800</v>
      </c>
      <c r="J1649" s="12">
        <f>IF(A1649&lt;[3]关卡对接!$A$4,INDEX([3]关卡对接!$C$7:$C$141,A1649),MATCH(E1649,人物经验!$H$24:$H$573,1))</f>
        <v>534</v>
      </c>
      <c r="K1649" s="12">
        <f>IF([3]关卡对接!F1637="",INT(INDEX(人物经验!$J$24:$J$573,关卡!J1649)*关卡!$S$7),[3]关卡对接!F1637)</f>
        <v>49755</v>
      </c>
      <c r="L1649" s="12">
        <f t="shared" si="236"/>
        <v>2.6</v>
      </c>
      <c r="M1649" s="12">
        <f>L1649/[4]货币基础!$B$4</f>
        <v>260</v>
      </c>
      <c r="N1649" s="12">
        <f>IF(A1649&lt;[3]关卡对接!$A$4,INDEX([3]关卡对接!$E$7:$E$141,A1649),MATCH(E1649,人物经验!$H$24:$H$573,1))</f>
        <v>534</v>
      </c>
      <c r="O1649" s="12">
        <f>INDEX([2]关卡!$G$6:$G$2005,A1649)</f>
        <v>3</v>
      </c>
      <c r="P1649" s="13">
        <v>6</v>
      </c>
      <c r="Q1649" s="12">
        <f>INT(P1649/$S$15/O1649*VLOOKUP(J1649,[1]人物技能基础!$N$3:$O$553,2,0)*$U$15)</f>
        <v>9</v>
      </c>
      <c r="R1649" s="12">
        <f t="shared" si="237"/>
        <v>112</v>
      </c>
    </row>
    <row r="1650" spans="1:18" x14ac:dyDescent="0.15">
      <c r="A1650" s="12">
        <v>1632</v>
      </c>
      <c r="B1650" s="12">
        <f t="shared" si="234"/>
        <v>9</v>
      </c>
      <c r="C1650" s="12">
        <f t="shared" si="235"/>
        <v>2.9123199999999998</v>
      </c>
      <c r="D1650" s="12">
        <f t="shared" si="229"/>
        <v>9.1746250000000362E-2</v>
      </c>
      <c r="E1650" s="12">
        <f>SUM($D$19:D1650)</f>
        <v>49.112319999999933</v>
      </c>
      <c r="F1650" s="12">
        <f t="shared" si="232"/>
        <v>555.6750696816639</v>
      </c>
      <c r="G1650" s="12">
        <f t="shared" si="233"/>
        <v>310.09877460991999</v>
      </c>
      <c r="H1650" s="12">
        <f t="shared" si="230"/>
        <v>2000400</v>
      </c>
      <c r="I1650" s="12">
        <f t="shared" si="231"/>
        <v>1116300</v>
      </c>
      <c r="J1650" s="12">
        <f>IF(A1650&lt;[3]关卡对接!$A$4,INDEX([3]关卡对接!$C$7:$C$141,A1650),MATCH(E1650,人物经验!$H$24:$H$573,1))</f>
        <v>534</v>
      </c>
      <c r="K1650" s="12">
        <f>IF([3]关卡对接!F1638="",INT(INDEX(人物经验!$J$24:$J$573,关卡!J1650)*关卡!$S$7),[3]关卡对接!F1638)</f>
        <v>49755</v>
      </c>
      <c r="L1650" s="12">
        <f t="shared" si="236"/>
        <v>2.6</v>
      </c>
      <c r="M1650" s="12">
        <f>L1650/[4]货币基础!$B$4</f>
        <v>260</v>
      </c>
      <c r="N1650" s="12">
        <f>IF(A1650&lt;[3]关卡对接!$A$4,INDEX([3]关卡对接!$E$7:$E$141,A1650),MATCH(E1650,人物经验!$H$24:$H$573,1))</f>
        <v>534</v>
      </c>
      <c r="O1650" s="12">
        <f>INDEX([2]关卡!$G$6:$G$2005,A1650)</f>
        <v>3</v>
      </c>
      <c r="P1650" s="13">
        <v>6</v>
      </c>
      <c r="Q1650" s="12">
        <f>INT(P1650/$S$15/O1650*VLOOKUP(J1650,[1]人物技能基础!$N$3:$O$553,2,0)*$U$15)</f>
        <v>9</v>
      </c>
      <c r="R1650" s="12">
        <f t="shared" si="237"/>
        <v>112</v>
      </c>
    </row>
    <row r="1651" spans="1:18" x14ac:dyDescent="0.15">
      <c r="A1651" s="12">
        <v>1633</v>
      </c>
      <c r="B1651" s="12">
        <f t="shared" si="234"/>
        <v>9</v>
      </c>
      <c r="C1651" s="12">
        <f t="shared" si="235"/>
        <v>3.0041137500000001</v>
      </c>
      <c r="D1651" s="12">
        <f t="shared" si="229"/>
        <v>9.179375000000034E-2</v>
      </c>
      <c r="E1651" s="12">
        <f>SUM($D$19:D1651)</f>
        <v>49.204113749999934</v>
      </c>
      <c r="F1651" s="12">
        <f t="shared" si="232"/>
        <v>556.62212131660499</v>
      </c>
      <c r="G1651" s="12">
        <f t="shared" si="233"/>
        <v>310.52445076615589</v>
      </c>
      <c r="H1651" s="12">
        <f t="shared" si="230"/>
        <v>2003800</v>
      </c>
      <c r="I1651" s="12">
        <f t="shared" si="231"/>
        <v>1117800</v>
      </c>
      <c r="J1651" s="12">
        <f>IF(A1651&lt;[3]关卡对接!$A$4,INDEX([3]关卡对接!$C$7:$C$141,A1651),MATCH(E1651,人物经验!$H$24:$H$573,1))</f>
        <v>535</v>
      </c>
      <c r="K1651" s="12">
        <f>IF([3]关卡对接!F1639="",INT(INDEX(人物经验!$J$24:$J$573,关卡!J1651)*关卡!$S$7),[3]关卡对接!F1639)</f>
        <v>50010</v>
      </c>
      <c r="L1651" s="12">
        <f t="shared" si="236"/>
        <v>2.6</v>
      </c>
      <c r="M1651" s="12">
        <f>L1651/[4]货币基础!$B$4</f>
        <v>260</v>
      </c>
      <c r="N1651" s="12">
        <f>IF(A1651&lt;[3]关卡对接!$A$4,INDEX([3]关卡对接!$E$7:$E$141,A1651),MATCH(E1651,人物经验!$H$24:$H$573,1))</f>
        <v>535</v>
      </c>
      <c r="O1651" s="12">
        <f>INDEX([2]关卡!$G$6:$G$2005,A1651)</f>
        <v>3</v>
      </c>
      <c r="P1651" s="13">
        <v>6</v>
      </c>
      <c r="Q1651" s="12">
        <f>INT(P1651/$S$15/O1651*VLOOKUP(J1651,[1]人物技能基础!$N$3:$O$553,2,0)*$U$15)</f>
        <v>9</v>
      </c>
      <c r="R1651" s="12">
        <f t="shared" si="237"/>
        <v>112</v>
      </c>
    </row>
    <row r="1652" spans="1:18" x14ac:dyDescent="0.15">
      <c r="A1652" s="12">
        <v>1634</v>
      </c>
      <c r="B1652" s="12">
        <f t="shared" si="234"/>
        <v>9</v>
      </c>
      <c r="C1652" s="12">
        <f t="shared" si="235"/>
        <v>3.095955</v>
      </c>
      <c r="D1652" s="12">
        <f t="shared" si="229"/>
        <v>9.1841249999999874E-2</v>
      </c>
      <c r="E1652" s="12">
        <f>SUM($D$19:D1652)</f>
        <v>49.295954999999935</v>
      </c>
      <c r="F1652" s="12">
        <f t="shared" si="232"/>
        <v>557.57043838327888</v>
      </c>
      <c r="G1652" s="12">
        <f t="shared" si="233"/>
        <v>310.95057563649499</v>
      </c>
      <c r="H1652" s="12">
        <f t="shared" si="230"/>
        <v>2007200</v>
      </c>
      <c r="I1652" s="12">
        <f t="shared" si="231"/>
        <v>1119400</v>
      </c>
      <c r="J1652" s="12">
        <f>IF(A1652&lt;[3]关卡对接!$A$4,INDEX([3]关卡对接!$C$7:$C$141,A1652),MATCH(E1652,人物经验!$H$24:$H$573,1))</f>
        <v>535</v>
      </c>
      <c r="K1652" s="12">
        <f>IF([3]关卡对接!F1640="",INT(INDEX(人物经验!$J$24:$J$573,关卡!J1652)*关卡!$S$7),[3]关卡对接!F1640)</f>
        <v>50010</v>
      </c>
      <c r="L1652" s="12">
        <f t="shared" si="236"/>
        <v>2.6</v>
      </c>
      <c r="M1652" s="12">
        <f>L1652/[4]货币基础!$B$4</f>
        <v>260</v>
      </c>
      <c r="N1652" s="12">
        <f>IF(A1652&lt;[3]关卡对接!$A$4,INDEX([3]关卡对接!$E$7:$E$141,A1652),MATCH(E1652,人物经验!$H$24:$H$573,1))</f>
        <v>535</v>
      </c>
      <c r="O1652" s="12">
        <f>INDEX([2]关卡!$G$6:$G$2005,A1652)</f>
        <v>3</v>
      </c>
      <c r="P1652" s="13">
        <v>6</v>
      </c>
      <c r="Q1652" s="12">
        <f>INT(P1652/$S$15/O1652*VLOOKUP(J1652,[1]人物技能基础!$N$3:$O$553,2,0)*$U$15)</f>
        <v>9</v>
      </c>
      <c r="R1652" s="12">
        <f t="shared" si="237"/>
        <v>112</v>
      </c>
    </row>
    <row r="1653" spans="1:18" x14ac:dyDescent="0.15">
      <c r="A1653" s="12">
        <v>1635</v>
      </c>
      <c r="B1653" s="12">
        <f t="shared" si="234"/>
        <v>9</v>
      </c>
      <c r="C1653" s="12">
        <f t="shared" si="235"/>
        <v>3.1878437499999999</v>
      </c>
      <c r="D1653" s="12">
        <f t="shared" si="229"/>
        <v>9.1888749999999852E-2</v>
      </c>
      <c r="E1653" s="12">
        <f>SUM($D$19:D1653)</f>
        <v>49.387843749999938</v>
      </c>
      <c r="F1653" s="12">
        <f t="shared" si="232"/>
        <v>558.52002208433589</v>
      </c>
      <c r="G1653" s="12">
        <f t="shared" si="233"/>
        <v>311.3771495662109</v>
      </c>
      <c r="H1653" s="12">
        <f t="shared" si="230"/>
        <v>2010600</v>
      </c>
      <c r="I1653" s="12">
        <f t="shared" si="231"/>
        <v>1120900</v>
      </c>
      <c r="J1653" s="12">
        <f>IF(A1653&lt;[3]关卡对接!$A$4,INDEX([3]关卡对接!$C$7:$C$141,A1653),MATCH(E1653,人物经验!$H$24:$H$573,1))</f>
        <v>535</v>
      </c>
      <c r="K1653" s="12">
        <f>IF([3]关卡对接!F1641="",INT(INDEX(人物经验!$J$24:$J$573,关卡!J1653)*关卡!$S$7),[3]关卡对接!F1641)</f>
        <v>50010</v>
      </c>
      <c r="L1653" s="12">
        <f t="shared" si="236"/>
        <v>2.6</v>
      </c>
      <c r="M1653" s="12">
        <f>L1653/[4]货币基础!$B$4</f>
        <v>260</v>
      </c>
      <c r="N1653" s="12">
        <f>IF(A1653&lt;[3]关卡对接!$A$4,INDEX([3]关卡对接!$E$7:$E$141,A1653),MATCH(E1653,人物经验!$H$24:$H$573,1))</f>
        <v>535</v>
      </c>
      <c r="O1653" s="12">
        <f>INDEX([2]关卡!$G$6:$G$2005,A1653)</f>
        <v>3</v>
      </c>
      <c r="P1653" s="13">
        <v>6</v>
      </c>
      <c r="Q1653" s="12">
        <f>INT(P1653/$S$15/O1653*VLOOKUP(J1653,[1]人物技能基础!$N$3:$O$553,2,0)*$U$15)</f>
        <v>9</v>
      </c>
      <c r="R1653" s="12">
        <f t="shared" si="237"/>
        <v>112</v>
      </c>
    </row>
    <row r="1654" spans="1:18" x14ac:dyDescent="0.15">
      <c r="A1654" s="12">
        <v>1636</v>
      </c>
      <c r="B1654" s="12">
        <f t="shared" si="234"/>
        <v>9</v>
      </c>
      <c r="C1654" s="12">
        <f t="shared" si="235"/>
        <v>3.2797799999999997</v>
      </c>
      <c r="D1654" s="12">
        <f t="shared" si="229"/>
        <v>9.1936249999999831E-2</v>
      </c>
      <c r="E1654" s="12">
        <f>SUM($D$19:D1654)</f>
        <v>49.479779999999934</v>
      </c>
      <c r="F1654" s="12">
        <f t="shared" si="232"/>
        <v>559.47087362302398</v>
      </c>
      <c r="G1654" s="12">
        <f t="shared" si="233"/>
        <v>311.80417290071995</v>
      </c>
      <c r="H1654" s="12">
        <f t="shared" si="230"/>
        <v>2014000</v>
      </c>
      <c r="I1654" s="12">
        <f t="shared" si="231"/>
        <v>1122400</v>
      </c>
      <c r="J1654" s="12">
        <f>IF(A1654&lt;[3]关卡对接!$A$4,INDEX([3]关卡对接!$C$7:$C$141,A1654),MATCH(E1654,人物经验!$H$24:$H$573,1))</f>
        <v>536</v>
      </c>
      <c r="K1654" s="12">
        <f>IF([3]关卡对接!F1642="",INT(INDEX(人物经验!$J$24:$J$573,关卡!J1654)*关卡!$S$7),[3]关卡对接!F1642)</f>
        <v>50266</v>
      </c>
      <c r="L1654" s="12">
        <f t="shared" si="236"/>
        <v>2.6</v>
      </c>
      <c r="M1654" s="12">
        <f>L1654/[4]货币基础!$B$4</f>
        <v>260</v>
      </c>
      <c r="N1654" s="12">
        <f>IF(A1654&lt;[3]关卡对接!$A$4,INDEX([3]关卡对接!$E$7:$E$141,A1654),MATCH(E1654,人物经验!$H$24:$H$573,1))</f>
        <v>536</v>
      </c>
      <c r="O1654" s="12">
        <f>INDEX([2]关卡!$G$6:$G$2005,A1654)</f>
        <v>3</v>
      </c>
      <c r="P1654" s="13">
        <v>6</v>
      </c>
      <c r="Q1654" s="12">
        <f>INT(P1654/$S$15/O1654*VLOOKUP(J1654,[1]人物技能基础!$N$3:$O$553,2,0)*$U$15)</f>
        <v>9</v>
      </c>
      <c r="R1654" s="12">
        <f t="shared" si="237"/>
        <v>112</v>
      </c>
    </row>
    <row r="1655" spans="1:18" x14ac:dyDescent="0.15">
      <c r="A1655" s="12">
        <v>1637</v>
      </c>
      <c r="B1655" s="12">
        <f t="shared" si="234"/>
        <v>9</v>
      </c>
      <c r="C1655" s="12">
        <f t="shared" si="235"/>
        <v>3.3717637499999999</v>
      </c>
      <c r="D1655" s="12">
        <f t="shared" si="229"/>
        <v>9.1983750000000253E-2</v>
      </c>
      <c r="E1655" s="12">
        <f>SUM($D$19:D1655)</f>
        <v>49.571763749999931</v>
      </c>
      <c r="F1655" s="12">
        <f t="shared" si="232"/>
        <v>560.42299420319</v>
      </c>
      <c r="G1655" s="12">
        <f t="shared" si="233"/>
        <v>312.23164598558088</v>
      </c>
      <c r="H1655" s="12">
        <f t="shared" si="230"/>
        <v>2017500</v>
      </c>
      <c r="I1655" s="12">
        <f t="shared" si="231"/>
        <v>1124000</v>
      </c>
      <c r="J1655" s="12">
        <f>IF(A1655&lt;[3]关卡对接!$A$4,INDEX([3]关卡对接!$C$7:$C$141,A1655),MATCH(E1655,人物经验!$H$24:$H$573,1))</f>
        <v>536</v>
      </c>
      <c r="K1655" s="12">
        <f>IF([3]关卡对接!F1643="",INT(INDEX(人物经验!$J$24:$J$573,关卡!J1655)*关卡!$S$7),[3]关卡对接!F1643)</f>
        <v>50266</v>
      </c>
      <c r="L1655" s="12">
        <f t="shared" si="236"/>
        <v>2.6</v>
      </c>
      <c r="M1655" s="12">
        <f>L1655/[4]货币基础!$B$4</f>
        <v>260</v>
      </c>
      <c r="N1655" s="12">
        <f>IF(A1655&lt;[3]关卡对接!$A$4,INDEX([3]关卡对接!$E$7:$E$141,A1655),MATCH(E1655,人物经验!$H$24:$H$573,1))</f>
        <v>536</v>
      </c>
      <c r="O1655" s="12">
        <f>INDEX([2]关卡!$G$6:$G$2005,A1655)</f>
        <v>3</v>
      </c>
      <c r="P1655" s="13">
        <v>6</v>
      </c>
      <c r="Q1655" s="12">
        <f>INT(P1655/$S$15/O1655*VLOOKUP(J1655,[1]人物技能基础!$N$3:$O$553,2,0)*$U$15)</f>
        <v>9</v>
      </c>
      <c r="R1655" s="12">
        <f t="shared" si="237"/>
        <v>112</v>
      </c>
    </row>
    <row r="1656" spans="1:18" x14ac:dyDescent="0.15">
      <c r="A1656" s="12">
        <v>1638</v>
      </c>
      <c r="B1656" s="12">
        <f t="shared" si="234"/>
        <v>9</v>
      </c>
      <c r="C1656" s="12">
        <f t="shared" si="235"/>
        <v>3.4637949999999997</v>
      </c>
      <c r="D1656" s="12">
        <f t="shared" si="229"/>
        <v>9.2031249999999787E-2</v>
      </c>
      <c r="E1656" s="12">
        <f>SUM($D$19:D1656)</f>
        <v>49.663794999999929</v>
      </c>
      <c r="F1656" s="12">
        <f t="shared" si="232"/>
        <v>561.37638502927905</v>
      </c>
      <c r="G1656" s="12">
        <f t="shared" si="233"/>
        <v>312.65956916649498</v>
      </c>
      <c r="H1656" s="12">
        <f t="shared" si="230"/>
        <v>2020900</v>
      </c>
      <c r="I1656" s="12">
        <f t="shared" si="231"/>
        <v>1125500</v>
      </c>
      <c r="J1656" s="12">
        <f>IF(A1656&lt;[3]关卡对接!$A$4,INDEX([3]关卡对接!$C$7:$C$141,A1656),MATCH(E1656,人物经验!$H$24:$H$573,1))</f>
        <v>536</v>
      </c>
      <c r="K1656" s="12">
        <f>IF([3]关卡对接!F1644="",INT(INDEX(人物经验!$J$24:$J$573,关卡!J1656)*关卡!$S$7),[3]关卡对接!F1644)</f>
        <v>50266</v>
      </c>
      <c r="L1656" s="12">
        <f t="shared" si="236"/>
        <v>2.6</v>
      </c>
      <c r="M1656" s="12">
        <f>L1656/[4]货币基础!$B$4</f>
        <v>260</v>
      </c>
      <c r="N1656" s="12">
        <f>IF(A1656&lt;[3]关卡对接!$A$4,INDEX([3]关卡对接!$E$7:$E$141,A1656),MATCH(E1656,人物经验!$H$24:$H$573,1))</f>
        <v>536</v>
      </c>
      <c r="O1656" s="12">
        <f>INDEX([2]关卡!$G$6:$G$2005,A1656)</f>
        <v>3</v>
      </c>
      <c r="P1656" s="13">
        <v>6</v>
      </c>
      <c r="Q1656" s="12">
        <f>INT(P1656/$S$15/O1656*VLOOKUP(J1656,[1]人物技能基础!$N$3:$O$553,2,0)*$U$15)</f>
        <v>9</v>
      </c>
      <c r="R1656" s="12">
        <f t="shared" si="237"/>
        <v>112</v>
      </c>
    </row>
    <row r="1657" spans="1:18" x14ac:dyDescent="0.15">
      <c r="A1657" s="12">
        <v>1639</v>
      </c>
      <c r="B1657" s="12">
        <f t="shared" si="234"/>
        <v>9</v>
      </c>
      <c r="C1657" s="12">
        <f t="shared" si="235"/>
        <v>3.5558737499999999</v>
      </c>
      <c r="D1657" s="12">
        <f t="shared" si="229"/>
        <v>9.2078750000000209E-2</v>
      </c>
      <c r="E1657" s="12">
        <f>SUM($D$19:D1657)</f>
        <v>49.755873749999928</v>
      </c>
      <c r="F1657" s="12">
        <f t="shared" si="232"/>
        <v>562.33104730633488</v>
      </c>
      <c r="G1657" s="12">
        <f t="shared" si="233"/>
        <v>313.08794278930594</v>
      </c>
      <c r="H1657" s="12">
        <f t="shared" si="230"/>
        <v>2024300</v>
      </c>
      <c r="I1657" s="12">
        <f t="shared" si="231"/>
        <v>1127100</v>
      </c>
      <c r="J1657" s="12">
        <f>IF(A1657&lt;[3]关卡对接!$A$4,INDEX([3]关卡对接!$C$7:$C$141,A1657),MATCH(E1657,人物经验!$H$24:$H$573,1))</f>
        <v>537</v>
      </c>
      <c r="K1657" s="12">
        <f>IF([3]关卡对接!F1645="",INT(INDEX(人物经验!$J$24:$J$573,关卡!J1657)*关卡!$S$7),[3]关卡对接!F1645)</f>
        <v>50523</v>
      </c>
      <c r="L1657" s="12">
        <f t="shared" si="236"/>
        <v>2.6</v>
      </c>
      <c r="M1657" s="12">
        <f>L1657/[4]货币基础!$B$4</f>
        <v>260</v>
      </c>
      <c r="N1657" s="12">
        <f>IF(A1657&lt;[3]关卡对接!$A$4,INDEX([3]关卡对接!$E$7:$E$141,A1657),MATCH(E1657,人物经验!$H$24:$H$573,1))</f>
        <v>537</v>
      </c>
      <c r="O1657" s="12">
        <f>INDEX([2]关卡!$G$6:$G$2005,A1657)</f>
        <v>3</v>
      </c>
      <c r="P1657" s="13">
        <v>6</v>
      </c>
      <c r="Q1657" s="12">
        <f>INT(P1657/$S$15/O1657*VLOOKUP(J1657,[1]人物技能基础!$N$3:$O$553,2,0)*$U$15)</f>
        <v>9</v>
      </c>
      <c r="R1657" s="12">
        <f t="shared" si="237"/>
        <v>112</v>
      </c>
    </row>
    <row r="1658" spans="1:18" x14ac:dyDescent="0.15">
      <c r="A1658" s="12">
        <v>1640</v>
      </c>
      <c r="B1658" s="12">
        <f t="shared" si="234"/>
        <v>9</v>
      </c>
      <c r="C1658" s="12">
        <f t="shared" si="235"/>
        <v>3.6480000000000001</v>
      </c>
      <c r="D1658" s="12">
        <f t="shared" si="229"/>
        <v>9.2126250000000187E-2</v>
      </c>
      <c r="E1658" s="12">
        <f>SUM($D$19:D1658)</f>
        <v>49.847999999999928</v>
      </c>
      <c r="F1658" s="12">
        <f t="shared" si="232"/>
        <v>563.28698223999993</v>
      </c>
      <c r="G1658" s="12">
        <f t="shared" si="233"/>
        <v>313.51676719999995</v>
      </c>
      <c r="H1658" s="12">
        <f t="shared" si="230"/>
        <v>2027800</v>
      </c>
      <c r="I1658" s="12">
        <f t="shared" si="231"/>
        <v>1128600</v>
      </c>
      <c r="J1658" s="12">
        <f>IF(A1658&lt;[3]关卡对接!$A$4,INDEX([3]关卡对接!$C$7:$C$141,A1658),MATCH(E1658,人物经验!$H$24:$H$573,1))</f>
        <v>537</v>
      </c>
      <c r="K1658" s="12">
        <f>IF([3]关卡对接!F1646="",INT(INDEX(人物经验!$J$24:$J$573,关卡!J1658)*关卡!$S$7),[3]关卡对接!F1646)</f>
        <v>50523</v>
      </c>
      <c r="L1658" s="12">
        <f t="shared" si="236"/>
        <v>2.6</v>
      </c>
      <c r="M1658" s="12">
        <f>L1658/[4]货币基础!$B$4</f>
        <v>260</v>
      </c>
      <c r="N1658" s="12">
        <f>IF(A1658&lt;[3]关卡对接!$A$4,INDEX([3]关卡对接!$E$7:$E$141,A1658),MATCH(E1658,人物经验!$H$24:$H$573,1))</f>
        <v>537</v>
      </c>
      <c r="O1658" s="12">
        <f>INDEX([2]关卡!$G$6:$G$2005,A1658)</f>
        <v>3</v>
      </c>
      <c r="P1658" s="13">
        <v>6</v>
      </c>
      <c r="Q1658" s="12">
        <f>INT(P1658/$S$15/O1658*VLOOKUP(J1658,[1]人物技能基础!$N$3:$O$553,2,0)*$U$15)</f>
        <v>9</v>
      </c>
      <c r="R1658" s="12">
        <f t="shared" si="237"/>
        <v>112</v>
      </c>
    </row>
    <row r="1659" spans="1:18" x14ac:dyDescent="0.15">
      <c r="A1659" s="12">
        <v>1641</v>
      </c>
      <c r="B1659" s="12">
        <f t="shared" si="234"/>
        <v>9</v>
      </c>
      <c r="C1659" s="12">
        <f t="shared" si="235"/>
        <v>3.7401737499999994</v>
      </c>
      <c r="D1659" s="12">
        <f t="shared" ref="D1659:D1722" si="238">IF(ISNA(MATCH(A1659,$A$6:$A$15,0)),C1659-C1658,C1659)</f>
        <v>9.2173749999999277E-2</v>
      </c>
      <c r="E1659" s="12">
        <f>SUM($D$19:D1659)</f>
        <v>49.940173749999929</v>
      </c>
      <c r="F1659" s="12">
        <f t="shared" si="232"/>
        <v>564.24419103651496</v>
      </c>
      <c r="G1659" s="12">
        <f t="shared" si="233"/>
        <v>313.94604274470589</v>
      </c>
      <c r="H1659" s="12">
        <f t="shared" ref="H1659:H1722" si="239">INT(F1659*60*60/100)*100</f>
        <v>2031200</v>
      </c>
      <c r="I1659" s="12">
        <f t="shared" ref="I1659:I1722" si="240">INT(G1659*60*60/100)*100</f>
        <v>1130200</v>
      </c>
      <c r="J1659" s="12">
        <f>IF(A1659&lt;[3]关卡对接!$A$4,INDEX([3]关卡对接!$C$7:$C$141,A1659),MATCH(E1659,人物经验!$H$24:$H$573,1))</f>
        <v>537</v>
      </c>
      <c r="K1659" s="12">
        <f>IF([3]关卡对接!F1647="",INT(INDEX(人物经验!$J$24:$J$573,关卡!J1659)*关卡!$S$7),[3]关卡对接!F1647)</f>
        <v>50523</v>
      </c>
      <c r="L1659" s="12">
        <f t="shared" si="236"/>
        <v>2.6</v>
      </c>
      <c r="M1659" s="12">
        <f>L1659/[4]货币基础!$B$4</f>
        <v>260</v>
      </c>
      <c r="N1659" s="12">
        <f>IF(A1659&lt;[3]关卡对接!$A$4,INDEX([3]关卡对接!$E$7:$E$141,A1659),MATCH(E1659,人物经验!$H$24:$H$573,1))</f>
        <v>537</v>
      </c>
      <c r="O1659" s="12">
        <f>INDEX([2]关卡!$G$6:$G$2005,A1659)</f>
        <v>3</v>
      </c>
      <c r="P1659" s="13">
        <v>6</v>
      </c>
      <c r="Q1659" s="12">
        <f>INT(P1659/$S$15/O1659*VLOOKUP(J1659,[1]人物技能基础!$N$3:$O$553,2,0)*$U$15)</f>
        <v>9</v>
      </c>
      <c r="R1659" s="12">
        <f t="shared" si="237"/>
        <v>112</v>
      </c>
    </row>
    <row r="1660" spans="1:18" x14ac:dyDescent="0.15">
      <c r="A1660" s="12">
        <v>1642</v>
      </c>
      <c r="B1660" s="12">
        <f t="shared" si="234"/>
        <v>9</v>
      </c>
      <c r="C1660" s="12">
        <f t="shared" si="235"/>
        <v>3.832395</v>
      </c>
      <c r="D1660" s="12">
        <f t="shared" si="238"/>
        <v>9.2221250000000587E-2</v>
      </c>
      <c r="E1660" s="12">
        <f>SUM($D$19:D1660)</f>
        <v>50.03239499999993</v>
      </c>
      <c r="F1660" s="12">
        <f t="shared" si="232"/>
        <v>565.20267490271897</v>
      </c>
      <c r="G1660" s="12">
        <f t="shared" si="233"/>
        <v>314.37576976969495</v>
      </c>
      <c r="H1660" s="12">
        <f t="shared" si="239"/>
        <v>2034700</v>
      </c>
      <c r="I1660" s="12">
        <f t="shared" si="240"/>
        <v>1131700</v>
      </c>
      <c r="J1660" s="12">
        <f>IF(A1660&lt;[3]关卡对接!$A$4,INDEX([3]关卡对接!$C$7:$C$141,A1660),MATCH(E1660,人物经验!$H$24:$H$573,1))</f>
        <v>538</v>
      </c>
      <c r="K1660" s="12">
        <f>IF([3]关卡对接!F1648="",INT(INDEX(人物经验!$J$24:$J$573,关卡!J1660)*关卡!$S$7),[3]关卡对接!F1648)</f>
        <v>50781</v>
      </c>
      <c r="L1660" s="12">
        <f t="shared" si="236"/>
        <v>2.6</v>
      </c>
      <c r="M1660" s="12">
        <f>L1660/[4]货币基础!$B$4</f>
        <v>260</v>
      </c>
      <c r="N1660" s="12">
        <f>IF(A1660&lt;[3]关卡对接!$A$4,INDEX([3]关卡对接!$E$7:$E$141,A1660),MATCH(E1660,人物经验!$H$24:$H$573,1))</f>
        <v>538</v>
      </c>
      <c r="O1660" s="12">
        <f>INDEX([2]关卡!$G$6:$G$2005,A1660)</f>
        <v>3</v>
      </c>
      <c r="P1660" s="13">
        <v>6</v>
      </c>
      <c r="Q1660" s="12">
        <f>INT(P1660/$S$15/O1660*VLOOKUP(J1660,[1]人物技能基础!$N$3:$O$553,2,0)*$U$15)</f>
        <v>9</v>
      </c>
      <c r="R1660" s="12">
        <f t="shared" si="237"/>
        <v>112</v>
      </c>
    </row>
    <row r="1661" spans="1:18" x14ac:dyDescent="0.15">
      <c r="A1661" s="12">
        <v>1643</v>
      </c>
      <c r="B1661" s="12">
        <f t="shared" si="234"/>
        <v>9</v>
      </c>
      <c r="C1661" s="12">
        <f t="shared" si="235"/>
        <v>3.9246637499999997</v>
      </c>
      <c r="D1661" s="12">
        <f t="shared" si="238"/>
        <v>9.2268749999999677E-2</v>
      </c>
      <c r="E1661" s="12">
        <f>SUM($D$19:D1661)</f>
        <v>50.124663749999932</v>
      </c>
      <c r="F1661" s="12">
        <f t="shared" si="232"/>
        <v>566.16243504604995</v>
      </c>
      <c r="G1661" s="12">
        <f t="shared" si="233"/>
        <v>314.80594862138094</v>
      </c>
      <c r="H1661" s="12">
        <f t="shared" si="239"/>
        <v>2038100</v>
      </c>
      <c r="I1661" s="12">
        <f t="shared" si="240"/>
        <v>1133300</v>
      </c>
      <c r="J1661" s="12">
        <f>IF(A1661&lt;[3]关卡对接!$A$4,INDEX([3]关卡对接!$C$7:$C$141,A1661),MATCH(E1661,人物经验!$H$24:$H$573,1))</f>
        <v>538</v>
      </c>
      <c r="K1661" s="12">
        <f>IF([3]关卡对接!F1649="",INT(INDEX(人物经验!$J$24:$J$573,关卡!J1661)*关卡!$S$7),[3]关卡对接!F1649)</f>
        <v>50781</v>
      </c>
      <c r="L1661" s="12">
        <f t="shared" si="236"/>
        <v>2.6</v>
      </c>
      <c r="M1661" s="12">
        <f>L1661/[4]货币基础!$B$4</f>
        <v>260</v>
      </c>
      <c r="N1661" s="12">
        <f>IF(A1661&lt;[3]关卡对接!$A$4,INDEX([3]关卡对接!$E$7:$E$141,A1661),MATCH(E1661,人物经验!$H$24:$H$573,1))</f>
        <v>538</v>
      </c>
      <c r="O1661" s="12">
        <f>INDEX([2]关卡!$G$6:$G$2005,A1661)</f>
        <v>3</v>
      </c>
      <c r="P1661" s="13">
        <v>6</v>
      </c>
      <c r="Q1661" s="12">
        <f>INT(P1661/$S$15/O1661*VLOOKUP(J1661,[1]人物技能基础!$N$3:$O$553,2,0)*$U$15)</f>
        <v>9</v>
      </c>
      <c r="R1661" s="12">
        <f t="shared" si="237"/>
        <v>112</v>
      </c>
    </row>
    <row r="1662" spans="1:18" x14ac:dyDescent="0.15">
      <c r="A1662" s="12">
        <v>1644</v>
      </c>
      <c r="B1662" s="12">
        <f t="shared" si="234"/>
        <v>9</v>
      </c>
      <c r="C1662" s="12">
        <f t="shared" si="235"/>
        <v>4.0169800000000002</v>
      </c>
      <c r="D1662" s="12">
        <f t="shared" si="238"/>
        <v>9.2316250000000544E-2</v>
      </c>
      <c r="E1662" s="12">
        <f>SUM($D$19:D1662)</f>
        <v>50.216979999999936</v>
      </c>
      <c r="F1662" s="12">
        <f t="shared" si="232"/>
        <v>567.1234726745439</v>
      </c>
      <c r="G1662" s="12">
        <f t="shared" si="233"/>
        <v>315.23657964631997</v>
      </c>
      <c r="H1662" s="12">
        <f t="shared" si="239"/>
        <v>2041600</v>
      </c>
      <c r="I1662" s="12">
        <f t="shared" si="240"/>
        <v>1134800</v>
      </c>
      <c r="J1662" s="12">
        <f>IF(A1662&lt;[3]关卡对接!$A$4,INDEX([3]关卡对接!$C$7:$C$141,A1662),MATCH(E1662,人物经验!$H$24:$H$573,1))</f>
        <v>538</v>
      </c>
      <c r="K1662" s="12">
        <f>IF([3]关卡对接!F1650="",INT(INDEX(人物经验!$J$24:$J$573,关卡!J1662)*关卡!$S$7),[3]关卡对接!F1650)</f>
        <v>50781</v>
      </c>
      <c r="L1662" s="12">
        <f t="shared" si="236"/>
        <v>2.6</v>
      </c>
      <c r="M1662" s="12">
        <f>L1662/[4]货币基础!$B$4</f>
        <v>260</v>
      </c>
      <c r="N1662" s="12">
        <f>IF(A1662&lt;[3]关卡对接!$A$4,INDEX([3]关卡对接!$E$7:$E$141,A1662),MATCH(E1662,人物经验!$H$24:$H$573,1))</f>
        <v>538</v>
      </c>
      <c r="O1662" s="12">
        <f>INDEX([2]关卡!$G$6:$G$2005,A1662)</f>
        <v>3</v>
      </c>
      <c r="P1662" s="13">
        <v>6</v>
      </c>
      <c r="Q1662" s="12">
        <f>INT(P1662/$S$15/O1662*VLOOKUP(J1662,[1]人物技能基础!$N$3:$O$553,2,0)*$U$15)</f>
        <v>9</v>
      </c>
      <c r="R1662" s="12">
        <f t="shared" si="237"/>
        <v>112</v>
      </c>
    </row>
    <row r="1663" spans="1:18" x14ac:dyDescent="0.15">
      <c r="A1663" s="12">
        <v>1645</v>
      </c>
      <c r="B1663" s="12">
        <f t="shared" si="234"/>
        <v>9</v>
      </c>
      <c r="C1663" s="12">
        <f t="shared" si="235"/>
        <v>4.1093437499999999</v>
      </c>
      <c r="D1663" s="12">
        <f t="shared" si="238"/>
        <v>9.2363749999999634E-2</v>
      </c>
      <c r="E1663" s="12">
        <f>SUM($D$19:D1663)</f>
        <v>50.309343749999933</v>
      </c>
      <c r="F1663" s="12">
        <f t="shared" si="232"/>
        <v>568.08578899683596</v>
      </c>
      <c r="G1663" s="12">
        <f t="shared" si="233"/>
        <v>315.66766319121092</v>
      </c>
      <c r="H1663" s="12">
        <f t="shared" si="239"/>
        <v>2045100</v>
      </c>
      <c r="I1663" s="12">
        <f t="shared" si="240"/>
        <v>1136400</v>
      </c>
      <c r="J1663" s="12">
        <f>IF(A1663&lt;[3]关卡对接!$A$4,INDEX([3]关卡对接!$C$7:$C$141,A1663),MATCH(E1663,人物经验!$H$24:$H$573,1))</f>
        <v>539</v>
      </c>
      <c r="K1663" s="12">
        <f>IF([3]关卡对接!F1651="",INT(INDEX(人物经验!$J$24:$J$573,关卡!J1663)*关卡!$S$7),[3]关卡对接!F1651)</f>
        <v>51041</v>
      </c>
      <c r="L1663" s="12">
        <f t="shared" si="236"/>
        <v>2.6</v>
      </c>
      <c r="M1663" s="12">
        <f>L1663/[4]货币基础!$B$4</f>
        <v>260</v>
      </c>
      <c r="N1663" s="12">
        <f>IF(A1663&lt;[3]关卡对接!$A$4,INDEX([3]关卡对接!$E$7:$E$141,A1663),MATCH(E1663,人物经验!$H$24:$H$573,1))</f>
        <v>539</v>
      </c>
      <c r="O1663" s="12">
        <f>INDEX([2]关卡!$G$6:$G$2005,A1663)</f>
        <v>3</v>
      </c>
      <c r="P1663" s="13">
        <v>6</v>
      </c>
      <c r="Q1663" s="12">
        <f>INT(P1663/$S$15/O1663*VLOOKUP(J1663,[1]人物技能基础!$N$3:$O$553,2,0)*$U$15)</f>
        <v>9</v>
      </c>
      <c r="R1663" s="12">
        <f t="shared" si="237"/>
        <v>112</v>
      </c>
    </row>
    <row r="1664" spans="1:18" x14ac:dyDescent="0.15">
      <c r="A1664" s="12">
        <v>1646</v>
      </c>
      <c r="B1664" s="12">
        <f t="shared" si="234"/>
        <v>9</v>
      </c>
      <c r="C1664" s="12">
        <f t="shared" si="235"/>
        <v>4.2017550000000004</v>
      </c>
      <c r="D1664" s="12">
        <f t="shared" si="238"/>
        <v>9.24112500000005E-2</v>
      </c>
      <c r="E1664" s="12">
        <f>SUM($D$19:D1664)</f>
        <v>50.40175499999993</v>
      </c>
      <c r="F1664" s="12">
        <f t="shared" si="232"/>
        <v>569.049385222159</v>
      </c>
      <c r="G1664" s="12">
        <f t="shared" si="233"/>
        <v>316.09919960289494</v>
      </c>
      <c r="H1664" s="12">
        <f t="shared" si="239"/>
        <v>2048500</v>
      </c>
      <c r="I1664" s="12">
        <f t="shared" si="240"/>
        <v>1137900</v>
      </c>
      <c r="J1664" s="12">
        <f>IF(A1664&lt;[3]关卡对接!$A$4,INDEX([3]关卡对接!$C$7:$C$141,A1664),MATCH(E1664,人物经验!$H$24:$H$573,1))</f>
        <v>539</v>
      </c>
      <c r="K1664" s="12">
        <f>IF([3]关卡对接!F1652="",INT(INDEX(人物经验!$J$24:$J$573,关卡!J1664)*关卡!$S$7),[3]关卡对接!F1652)</f>
        <v>51041</v>
      </c>
      <c r="L1664" s="12">
        <f t="shared" si="236"/>
        <v>2.6</v>
      </c>
      <c r="M1664" s="12">
        <f>L1664/[4]货币基础!$B$4</f>
        <v>260</v>
      </c>
      <c r="N1664" s="12">
        <f>IF(A1664&lt;[3]关卡对接!$A$4,INDEX([3]关卡对接!$E$7:$E$141,A1664),MATCH(E1664,人物经验!$H$24:$H$573,1))</f>
        <v>539</v>
      </c>
      <c r="O1664" s="12">
        <f>INDEX([2]关卡!$G$6:$G$2005,A1664)</f>
        <v>3</v>
      </c>
      <c r="P1664" s="13">
        <v>6</v>
      </c>
      <c r="Q1664" s="12">
        <f>INT(P1664/$S$15/O1664*VLOOKUP(J1664,[1]人物技能基础!$N$3:$O$553,2,0)*$U$15)</f>
        <v>9</v>
      </c>
      <c r="R1664" s="12">
        <f t="shared" si="237"/>
        <v>112</v>
      </c>
    </row>
    <row r="1665" spans="1:18" x14ac:dyDescent="0.15">
      <c r="A1665" s="12">
        <v>1647</v>
      </c>
      <c r="B1665" s="12">
        <f t="shared" si="234"/>
        <v>9</v>
      </c>
      <c r="C1665" s="12">
        <f t="shared" si="235"/>
        <v>4.2942137499999991</v>
      </c>
      <c r="D1665" s="12">
        <f t="shared" si="238"/>
        <v>9.2458749999998702E-2</v>
      </c>
      <c r="E1665" s="12">
        <f>SUM($D$19:D1665)</f>
        <v>50.494213749999929</v>
      </c>
      <c r="F1665" s="12">
        <f t="shared" si="232"/>
        <v>570.01426256034495</v>
      </c>
      <c r="G1665" s="12">
        <f t="shared" si="233"/>
        <v>316.53118922835586</v>
      </c>
      <c r="H1665" s="12">
        <f t="shared" si="239"/>
        <v>2052000</v>
      </c>
      <c r="I1665" s="12">
        <f t="shared" si="240"/>
        <v>1139500</v>
      </c>
      <c r="J1665" s="12">
        <f>IF(A1665&lt;[3]关卡对接!$A$4,INDEX([3]关卡对接!$C$7:$C$141,A1665),MATCH(E1665,人物经验!$H$24:$H$573,1))</f>
        <v>539</v>
      </c>
      <c r="K1665" s="12">
        <f>IF([3]关卡对接!F1653="",INT(INDEX(人物经验!$J$24:$J$573,关卡!J1665)*关卡!$S$7),[3]关卡对接!F1653)</f>
        <v>51041</v>
      </c>
      <c r="L1665" s="12">
        <f t="shared" si="236"/>
        <v>2.6</v>
      </c>
      <c r="M1665" s="12">
        <f>L1665/[4]货币基础!$B$4</f>
        <v>260</v>
      </c>
      <c r="N1665" s="12">
        <f>IF(A1665&lt;[3]关卡对接!$A$4,INDEX([3]关卡对接!$E$7:$E$141,A1665),MATCH(E1665,人物经验!$H$24:$H$573,1))</f>
        <v>539</v>
      </c>
      <c r="O1665" s="12">
        <f>INDEX([2]关卡!$G$6:$G$2005,A1665)</f>
        <v>3</v>
      </c>
      <c r="P1665" s="13">
        <v>6</v>
      </c>
      <c r="Q1665" s="12">
        <f>INT(P1665/$S$15/O1665*VLOOKUP(J1665,[1]人物技能基础!$N$3:$O$553,2,0)*$U$15)</f>
        <v>9</v>
      </c>
      <c r="R1665" s="12">
        <f t="shared" si="237"/>
        <v>112</v>
      </c>
    </row>
    <row r="1666" spans="1:18" x14ac:dyDescent="0.15">
      <c r="A1666" s="12">
        <v>1648</v>
      </c>
      <c r="B1666" s="12">
        <f t="shared" si="234"/>
        <v>9</v>
      </c>
      <c r="C1666" s="12">
        <f t="shared" si="235"/>
        <v>4.3867199999999995</v>
      </c>
      <c r="D1666" s="12">
        <f t="shared" si="238"/>
        <v>9.2506250000000456E-2</v>
      </c>
      <c r="E1666" s="12">
        <f>SUM($D$19:D1666)</f>
        <v>50.586719999999929</v>
      </c>
      <c r="F1666" s="12">
        <f t="shared" si="232"/>
        <v>570.98042222182391</v>
      </c>
      <c r="G1666" s="12">
        <f t="shared" si="233"/>
        <v>316.96363241471994</v>
      </c>
      <c r="H1666" s="12">
        <f t="shared" si="239"/>
        <v>2055500</v>
      </c>
      <c r="I1666" s="12">
        <f t="shared" si="240"/>
        <v>1141000</v>
      </c>
      <c r="J1666" s="12">
        <f>IF(A1666&lt;[3]关卡对接!$A$4,INDEX([3]关卡对接!$C$7:$C$141,A1666),MATCH(E1666,人物经验!$H$24:$H$573,1))</f>
        <v>540</v>
      </c>
      <c r="K1666" s="12">
        <f>IF([3]关卡对接!F1654="",INT(INDEX(人物经验!$J$24:$J$573,关卡!J1666)*关卡!$S$7),[3]关卡对接!F1654)</f>
        <v>51301</v>
      </c>
      <c r="L1666" s="12">
        <f t="shared" si="236"/>
        <v>2.6</v>
      </c>
      <c r="M1666" s="12">
        <f>L1666/[4]货币基础!$B$4</f>
        <v>260</v>
      </c>
      <c r="N1666" s="12">
        <f>IF(A1666&lt;[3]关卡对接!$A$4,INDEX([3]关卡对接!$E$7:$E$141,A1666),MATCH(E1666,人物经验!$H$24:$H$573,1))</f>
        <v>540</v>
      </c>
      <c r="O1666" s="12">
        <f>INDEX([2]关卡!$G$6:$G$2005,A1666)</f>
        <v>3</v>
      </c>
      <c r="P1666" s="13">
        <v>6</v>
      </c>
      <c r="Q1666" s="12">
        <f>INT(P1666/$S$15/O1666*VLOOKUP(J1666,[1]人物技能基础!$N$3:$O$553,2,0)*$U$15)</f>
        <v>9</v>
      </c>
      <c r="R1666" s="12">
        <f t="shared" si="237"/>
        <v>112</v>
      </c>
    </row>
    <row r="1667" spans="1:18" x14ac:dyDescent="0.15">
      <c r="A1667" s="12">
        <v>1649</v>
      </c>
      <c r="B1667" s="12">
        <f t="shared" si="234"/>
        <v>9</v>
      </c>
      <c r="C1667" s="12">
        <f t="shared" si="235"/>
        <v>4.4792737499999999</v>
      </c>
      <c r="D1667" s="12">
        <f t="shared" si="238"/>
        <v>9.2553750000000434E-2</v>
      </c>
      <c r="E1667" s="12">
        <f>SUM($D$19:D1667)</f>
        <v>50.679273749999929</v>
      </c>
      <c r="F1667" s="12">
        <f t="shared" si="232"/>
        <v>571.94786541762483</v>
      </c>
      <c r="G1667" s="12">
        <f t="shared" si="233"/>
        <v>317.39652950925597</v>
      </c>
      <c r="H1667" s="12">
        <f t="shared" si="239"/>
        <v>2059000</v>
      </c>
      <c r="I1667" s="12">
        <f t="shared" si="240"/>
        <v>1142600</v>
      </c>
      <c r="J1667" s="12">
        <f>IF(A1667&lt;[3]关卡对接!$A$4,INDEX([3]关卡对接!$C$7:$C$141,A1667),MATCH(E1667,人物经验!$H$24:$H$573,1))</f>
        <v>540</v>
      </c>
      <c r="K1667" s="12">
        <f>IF([3]关卡对接!F1655="",INT(INDEX(人物经验!$J$24:$J$573,关卡!J1667)*关卡!$S$7),[3]关卡对接!F1655)</f>
        <v>51301</v>
      </c>
      <c r="L1667" s="12">
        <f t="shared" si="236"/>
        <v>2.6</v>
      </c>
      <c r="M1667" s="12">
        <f>L1667/[4]货币基础!$B$4</f>
        <v>260</v>
      </c>
      <c r="N1667" s="12">
        <f>IF(A1667&lt;[3]关卡对接!$A$4,INDEX([3]关卡对接!$E$7:$E$141,A1667),MATCH(E1667,人物经验!$H$24:$H$573,1))</f>
        <v>540</v>
      </c>
      <c r="O1667" s="12">
        <f>INDEX([2]关卡!$G$6:$G$2005,A1667)</f>
        <v>3</v>
      </c>
      <c r="P1667" s="13">
        <v>6</v>
      </c>
      <c r="Q1667" s="12">
        <f>INT(P1667/$S$15/O1667*VLOOKUP(J1667,[1]人物技能基础!$N$3:$O$553,2,0)*$U$15)</f>
        <v>9</v>
      </c>
      <c r="R1667" s="12">
        <f t="shared" si="237"/>
        <v>112</v>
      </c>
    </row>
    <row r="1668" spans="1:18" x14ac:dyDescent="0.15">
      <c r="A1668" s="12">
        <v>1650</v>
      </c>
      <c r="B1668" s="12">
        <f t="shared" si="234"/>
        <v>9</v>
      </c>
      <c r="C1668" s="12">
        <f t="shared" si="235"/>
        <v>4.5718749999999995</v>
      </c>
      <c r="D1668" s="12">
        <f t="shared" si="238"/>
        <v>9.2601249999999524E-2</v>
      </c>
      <c r="E1668" s="12">
        <f>SUM($D$19:D1668)</f>
        <v>50.77187499999993</v>
      </c>
      <c r="F1668" s="12">
        <f t="shared" si="232"/>
        <v>572.91659335937493</v>
      </c>
      <c r="G1668" s="12">
        <f t="shared" si="233"/>
        <v>317.8298808593749</v>
      </c>
      <c r="H1668" s="12">
        <f t="shared" si="239"/>
        <v>2062400</v>
      </c>
      <c r="I1668" s="12">
        <f t="shared" si="240"/>
        <v>1144100</v>
      </c>
      <c r="J1668" s="12">
        <f>IF(A1668&lt;[3]关卡对接!$A$4,INDEX([3]关卡对接!$C$7:$C$141,A1668),MATCH(E1668,人物经验!$H$24:$H$573,1))</f>
        <v>540</v>
      </c>
      <c r="K1668" s="12">
        <f>IF([3]关卡对接!F1656="",INT(INDEX(人物经验!$J$24:$J$573,关卡!J1668)*关卡!$S$7),[3]关卡对接!F1656)</f>
        <v>51301</v>
      </c>
      <c r="L1668" s="12">
        <f t="shared" si="236"/>
        <v>2.6</v>
      </c>
      <c r="M1668" s="12">
        <f>L1668/[4]货币基础!$B$4</f>
        <v>260</v>
      </c>
      <c r="N1668" s="12">
        <f>IF(A1668&lt;[3]关卡对接!$A$4,INDEX([3]关卡对接!$E$7:$E$141,A1668),MATCH(E1668,人物经验!$H$24:$H$573,1))</f>
        <v>540</v>
      </c>
      <c r="O1668" s="12">
        <f>INDEX([2]关卡!$G$6:$G$2005,A1668)</f>
        <v>3</v>
      </c>
      <c r="P1668" s="13">
        <v>6</v>
      </c>
      <c r="Q1668" s="12">
        <f>INT(P1668/$S$15/O1668*VLOOKUP(J1668,[1]人物技能基础!$N$3:$O$553,2,0)*$U$15)</f>
        <v>9</v>
      </c>
      <c r="R1668" s="12">
        <f t="shared" si="237"/>
        <v>112</v>
      </c>
    </row>
    <row r="1669" spans="1:18" x14ac:dyDescent="0.15">
      <c r="A1669" s="12">
        <v>1651</v>
      </c>
      <c r="B1669" s="12">
        <f t="shared" si="234"/>
        <v>9</v>
      </c>
      <c r="C1669" s="12">
        <f t="shared" si="235"/>
        <v>4.6645237499999999</v>
      </c>
      <c r="D1669" s="12">
        <f t="shared" si="238"/>
        <v>9.2648750000000391E-2</v>
      </c>
      <c r="E1669" s="12">
        <f>SUM($D$19:D1669)</f>
        <v>50.864523749999933</v>
      </c>
      <c r="F1669" s="12">
        <f t="shared" si="232"/>
        <v>573.88660725930004</v>
      </c>
      <c r="G1669" s="12">
        <f t="shared" si="233"/>
        <v>318.26368681263102</v>
      </c>
      <c r="H1669" s="12">
        <f t="shared" si="239"/>
        <v>2065900</v>
      </c>
      <c r="I1669" s="12">
        <f t="shared" si="240"/>
        <v>1145700</v>
      </c>
      <c r="J1669" s="12">
        <f>IF(A1669&lt;[3]关卡对接!$A$4,INDEX([3]关卡对接!$C$7:$C$141,A1669),MATCH(E1669,人物经验!$H$24:$H$573,1))</f>
        <v>541</v>
      </c>
      <c r="K1669" s="12">
        <f>IF([3]关卡对接!F1657="",INT(INDEX(人物经验!$J$24:$J$573,关卡!J1669)*关卡!$S$7),[3]关卡对接!F1657)</f>
        <v>51562</v>
      </c>
      <c r="L1669" s="12">
        <f t="shared" si="236"/>
        <v>2.6</v>
      </c>
      <c r="M1669" s="12">
        <f>L1669/[4]货币基础!$B$4</f>
        <v>260</v>
      </c>
      <c r="N1669" s="12">
        <f>IF(A1669&lt;[3]关卡对接!$A$4,INDEX([3]关卡对接!$E$7:$E$141,A1669),MATCH(E1669,人物经验!$H$24:$H$573,1))</f>
        <v>541</v>
      </c>
      <c r="O1669" s="12">
        <f>INDEX([2]关卡!$G$6:$G$2005,A1669)</f>
        <v>3</v>
      </c>
      <c r="P1669" s="13">
        <v>6</v>
      </c>
      <c r="Q1669" s="12">
        <f>INT(P1669/$S$15/O1669*VLOOKUP(J1669,[1]人物技能基础!$N$3:$O$553,2,0)*$U$15)</f>
        <v>9</v>
      </c>
      <c r="R1669" s="12">
        <f t="shared" si="237"/>
        <v>112</v>
      </c>
    </row>
    <row r="1670" spans="1:18" x14ac:dyDescent="0.15">
      <c r="A1670" s="12">
        <v>1652</v>
      </c>
      <c r="B1670" s="12">
        <f t="shared" si="234"/>
        <v>9</v>
      </c>
      <c r="C1670" s="12">
        <f t="shared" si="235"/>
        <v>4.7572200000000002</v>
      </c>
      <c r="D1670" s="12">
        <f t="shared" si="238"/>
        <v>9.2696250000000369E-2</v>
      </c>
      <c r="E1670" s="12">
        <f>SUM($D$19:D1670)</f>
        <v>50.957219999999936</v>
      </c>
      <c r="F1670" s="12">
        <f t="shared" si="232"/>
        <v>574.85790833022384</v>
      </c>
      <c r="G1670" s="12">
        <f t="shared" si="233"/>
        <v>318.69794771671997</v>
      </c>
      <c r="H1670" s="12">
        <f t="shared" si="239"/>
        <v>2069400</v>
      </c>
      <c r="I1670" s="12">
        <f t="shared" si="240"/>
        <v>1147300</v>
      </c>
      <c r="J1670" s="12">
        <f>IF(A1670&lt;[3]关卡对接!$A$4,INDEX([3]关卡对接!$C$7:$C$141,A1670),MATCH(E1670,人物经验!$H$24:$H$573,1))</f>
        <v>541</v>
      </c>
      <c r="K1670" s="12">
        <f>IF([3]关卡对接!F1658="",INT(INDEX(人物经验!$J$24:$J$573,关卡!J1670)*关卡!$S$7),[3]关卡对接!F1658)</f>
        <v>51562</v>
      </c>
      <c r="L1670" s="12">
        <f t="shared" si="236"/>
        <v>2.6</v>
      </c>
      <c r="M1670" s="12">
        <f>L1670/[4]货币基础!$B$4</f>
        <v>260</v>
      </c>
      <c r="N1670" s="12">
        <f>IF(A1670&lt;[3]关卡对接!$A$4,INDEX([3]关卡对接!$E$7:$E$141,A1670),MATCH(E1670,人物经验!$H$24:$H$573,1))</f>
        <v>541</v>
      </c>
      <c r="O1670" s="12">
        <f>INDEX([2]关卡!$G$6:$G$2005,A1670)</f>
        <v>3</v>
      </c>
      <c r="P1670" s="13">
        <v>6</v>
      </c>
      <c r="Q1670" s="12">
        <f>INT(P1670/$S$15/O1670*VLOOKUP(J1670,[1]人物技能基础!$N$3:$O$553,2,0)*$U$15)</f>
        <v>9</v>
      </c>
      <c r="R1670" s="12">
        <f t="shared" si="237"/>
        <v>112</v>
      </c>
    </row>
    <row r="1671" spans="1:18" x14ac:dyDescent="0.15">
      <c r="A1671" s="12">
        <v>1653</v>
      </c>
      <c r="B1671" s="12">
        <f t="shared" si="234"/>
        <v>9</v>
      </c>
      <c r="C1671" s="12">
        <f t="shared" si="235"/>
        <v>4.8499637499999997</v>
      </c>
      <c r="D1671" s="12">
        <f t="shared" si="238"/>
        <v>9.2743749999999459E-2</v>
      </c>
      <c r="E1671" s="12">
        <f>SUM($D$19:D1671)</f>
        <v>51.049963749999932</v>
      </c>
      <c r="F1671" s="12">
        <f t="shared" si="232"/>
        <v>575.83049778556995</v>
      </c>
      <c r="G1671" s="12">
        <f t="shared" si="233"/>
        <v>319.13266391948093</v>
      </c>
      <c r="H1671" s="12">
        <f t="shared" si="239"/>
        <v>2072900</v>
      </c>
      <c r="I1671" s="12">
        <f t="shared" si="240"/>
        <v>1148800</v>
      </c>
      <c r="J1671" s="12">
        <f>IF(A1671&lt;[3]关卡对接!$A$4,INDEX([3]关卡对接!$C$7:$C$141,A1671),MATCH(E1671,人物经验!$H$24:$H$573,1))</f>
        <v>541</v>
      </c>
      <c r="K1671" s="12">
        <f>IF([3]关卡对接!F1659="",INT(INDEX(人物经验!$J$24:$J$573,关卡!J1671)*关卡!$S$7),[3]关卡对接!F1659)</f>
        <v>51562</v>
      </c>
      <c r="L1671" s="12">
        <f t="shared" si="236"/>
        <v>2.6</v>
      </c>
      <c r="M1671" s="12">
        <f>L1671/[4]货币基础!$B$4</f>
        <v>260</v>
      </c>
      <c r="N1671" s="12">
        <f>IF(A1671&lt;[3]关卡对接!$A$4,INDEX([3]关卡对接!$E$7:$E$141,A1671),MATCH(E1671,人物经验!$H$24:$H$573,1))</f>
        <v>541</v>
      </c>
      <c r="O1671" s="12">
        <f>INDEX([2]关卡!$G$6:$G$2005,A1671)</f>
        <v>3</v>
      </c>
      <c r="P1671" s="13">
        <v>6</v>
      </c>
      <c r="Q1671" s="12">
        <f>INT(P1671/$S$15/O1671*VLOOKUP(J1671,[1]人物技能基础!$N$3:$O$553,2,0)*$U$15)</f>
        <v>9</v>
      </c>
      <c r="R1671" s="12">
        <f t="shared" si="237"/>
        <v>112</v>
      </c>
    </row>
    <row r="1672" spans="1:18" x14ac:dyDescent="0.15">
      <c r="A1672" s="12">
        <v>1654</v>
      </c>
      <c r="B1672" s="12">
        <f t="shared" si="234"/>
        <v>9</v>
      </c>
      <c r="C1672" s="12">
        <f t="shared" si="235"/>
        <v>4.942755</v>
      </c>
      <c r="D1672" s="12">
        <f t="shared" si="238"/>
        <v>9.2791250000000325E-2</v>
      </c>
      <c r="E1672" s="12">
        <f>SUM($D$19:D1672)</f>
        <v>51.14275499999993</v>
      </c>
      <c r="F1672" s="12">
        <f t="shared" si="232"/>
        <v>576.80437683935895</v>
      </c>
      <c r="G1672" s="12">
        <f t="shared" si="233"/>
        <v>319.56783576889489</v>
      </c>
      <c r="H1672" s="12">
        <f t="shared" si="239"/>
        <v>2076400</v>
      </c>
      <c r="I1672" s="12">
        <f t="shared" si="240"/>
        <v>1150400</v>
      </c>
      <c r="J1672" s="12">
        <f>IF(A1672&lt;[3]关卡对接!$A$4,INDEX([3]关卡对接!$C$7:$C$141,A1672),MATCH(E1672,人物经验!$H$24:$H$573,1))</f>
        <v>542</v>
      </c>
      <c r="K1672" s="12">
        <f>IF([3]关卡对接!F1660="",INT(INDEX(人物经验!$J$24:$J$573,关卡!J1672)*关卡!$S$7),[3]关卡对接!F1660)</f>
        <v>51824</v>
      </c>
      <c r="L1672" s="12">
        <f t="shared" si="236"/>
        <v>2.6</v>
      </c>
      <c r="M1672" s="12">
        <f>L1672/[4]货币基础!$B$4</f>
        <v>260</v>
      </c>
      <c r="N1672" s="12">
        <f>IF(A1672&lt;[3]关卡对接!$A$4,INDEX([3]关卡对接!$E$7:$E$141,A1672),MATCH(E1672,人物经验!$H$24:$H$573,1))</f>
        <v>542</v>
      </c>
      <c r="O1672" s="12">
        <f>INDEX([2]关卡!$G$6:$G$2005,A1672)</f>
        <v>3</v>
      </c>
      <c r="P1672" s="13">
        <v>6</v>
      </c>
      <c r="Q1672" s="12">
        <f>INT(P1672/$S$15/O1672*VLOOKUP(J1672,[1]人物技能基础!$N$3:$O$553,2,0)*$U$15)</f>
        <v>9</v>
      </c>
      <c r="R1672" s="12">
        <f t="shared" si="237"/>
        <v>112</v>
      </c>
    </row>
    <row r="1673" spans="1:18" x14ac:dyDescent="0.15">
      <c r="A1673" s="12">
        <v>1655</v>
      </c>
      <c r="B1673" s="12">
        <f t="shared" si="234"/>
        <v>9</v>
      </c>
      <c r="C1673" s="12">
        <f t="shared" si="235"/>
        <v>5.0355937500000003</v>
      </c>
      <c r="D1673" s="12">
        <f t="shared" si="238"/>
        <v>9.2838750000000303E-2</v>
      </c>
      <c r="E1673" s="12">
        <f>SUM($D$19:D1673)</f>
        <v>51.235593749999929</v>
      </c>
      <c r="F1673" s="12">
        <f t="shared" si="232"/>
        <v>577.77954670621102</v>
      </c>
      <c r="G1673" s="12">
        <f t="shared" si="233"/>
        <v>320.00346361308596</v>
      </c>
      <c r="H1673" s="12">
        <f t="shared" si="239"/>
        <v>2080000</v>
      </c>
      <c r="I1673" s="12">
        <f t="shared" si="240"/>
        <v>1152000</v>
      </c>
      <c r="J1673" s="12">
        <f>IF(A1673&lt;[3]关卡对接!$A$4,INDEX([3]关卡对接!$C$7:$C$141,A1673),MATCH(E1673,人物经验!$H$24:$H$573,1))</f>
        <v>542</v>
      </c>
      <c r="K1673" s="12">
        <f>IF([3]关卡对接!F1661="",INT(INDEX(人物经验!$J$24:$J$573,关卡!J1673)*关卡!$S$7),[3]关卡对接!F1661)</f>
        <v>51824</v>
      </c>
      <c r="L1673" s="12">
        <f t="shared" si="236"/>
        <v>2.6</v>
      </c>
      <c r="M1673" s="12">
        <f>L1673/[4]货币基础!$B$4</f>
        <v>260</v>
      </c>
      <c r="N1673" s="12">
        <f>IF(A1673&lt;[3]关卡对接!$A$4,INDEX([3]关卡对接!$E$7:$E$141,A1673),MATCH(E1673,人物经验!$H$24:$H$573,1))</f>
        <v>542</v>
      </c>
      <c r="O1673" s="12">
        <f>INDEX([2]关卡!$G$6:$G$2005,A1673)</f>
        <v>3</v>
      </c>
      <c r="P1673" s="13">
        <v>6</v>
      </c>
      <c r="Q1673" s="12">
        <f>INT(P1673/$S$15/O1673*VLOOKUP(J1673,[1]人物技能基础!$N$3:$O$553,2,0)*$U$15)</f>
        <v>9</v>
      </c>
      <c r="R1673" s="12">
        <f t="shared" si="237"/>
        <v>112</v>
      </c>
    </row>
    <row r="1674" spans="1:18" x14ac:dyDescent="0.15">
      <c r="A1674" s="12">
        <v>1656</v>
      </c>
      <c r="B1674" s="12">
        <f t="shared" si="234"/>
        <v>9</v>
      </c>
      <c r="C1674" s="12">
        <f t="shared" si="235"/>
        <v>5.1284799999999997</v>
      </c>
      <c r="D1674" s="12">
        <f t="shared" si="238"/>
        <v>9.2886249999999393E-2</v>
      </c>
      <c r="E1674" s="12">
        <f>SUM($D$19:D1674)</f>
        <v>51.328479999999928</v>
      </c>
      <c r="F1674" s="12">
        <f t="shared" si="232"/>
        <v>578.75600860134398</v>
      </c>
      <c r="G1674" s="12">
        <f t="shared" si="233"/>
        <v>320.43954780031999</v>
      </c>
      <c r="H1674" s="12">
        <f t="shared" si="239"/>
        <v>2083500</v>
      </c>
      <c r="I1674" s="12">
        <f t="shared" si="240"/>
        <v>1153500</v>
      </c>
      <c r="J1674" s="12">
        <f>IF(A1674&lt;[3]关卡对接!$A$4,INDEX([3]关卡对接!$C$7:$C$141,A1674),MATCH(E1674,人物经验!$H$24:$H$573,1))</f>
        <v>542</v>
      </c>
      <c r="K1674" s="12">
        <f>IF([3]关卡对接!F1662="",INT(INDEX(人物经验!$J$24:$J$573,关卡!J1674)*关卡!$S$7),[3]关卡对接!F1662)</f>
        <v>51824</v>
      </c>
      <c r="L1674" s="12">
        <f t="shared" si="236"/>
        <v>2.6</v>
      </c>
      <c r="M1674" s="12">
        <f>L1674/[4]货币基础!$B$4</f>
        <v>260</v>
      </c>
      <c r="N1674" s="12">
        <f>IF(A1674&lt;[3]关卡对接!$A$4,INDEX([3]关卡对接!$E$7:$E$141,A1674),MATCH(E1674,人物经验!$H$24:$H$573,1))</f>
        <v>542</v>
      </c>
      <c r="O1674" s="12">
        <f>INDEX([2]关卡!$G$6:$G$2005,A1674)</f>
        <v>3</v>
      </c>
      <c r="P1674" s="13">
        <v>6</v>
      </c>
      <c r="Q1674" s="12">
        <f>INT(P1674/$S$15/O1674*VLOOKUP(J1674,[1]人物技能基础!$N$3:$O$553,2,0)*$U$15)</f>
        <v>9</v>
      </c>
      <c r="R1674" s="12">
        <f t="shared" si="237"/>
        <v>112</v>
      </c>
    </row>
    <row r="1675" spans="1:18" x14ac:dyDescent="0.15">
      <c r="A1675" s="12">
        <v>1657</v>
      </c>
      <c r="B1675" s="12">
        <f t="shared" si="234"/>
        <v>9</v>
      </c>
      <c r="C1675" s="12">
        <f t="shared" si="235"/>
        <v>5.22141375</v>
      </c>
      <c r="D1675" s="12">
        <f t="shared" si="238"/>
        <v>9.2933750000000259E-2</v>
      </c>
      <c r="E1675" s="12">
        <f>SUM($D$19:D1675)</f>
        <v>51.421413749999928</v>
      </c>
      <c r="F1675" s="12">
        <f t="shared" si="232"/>
        <v>579.73376374057511</v>
      </c>
      <c r="G1675" s="12">
        <f t="shared" si="233"/>
        <v>320.87608867900599</v>
      </c>
      <c r="H1675" s="12">
        <f t="shared" si="239"/>
        <v>2087000</v>
      </c>
      <c r="I1675" s="12">
        <f t="shared" si="240"/>
        <v>1155100</v>
      </c>
      <c r="J1675" s="12">
        <f>IF(A1675&lt;[3]关卡对接!$A$4,INDEX([3]关卡对接!$C$7:$C$141,A1675),MATCH(E1675,人物经验!$H$24:$H$573,1))</f>
        <v>543</v>
      </c>
      <c r="K1675" s="12">
        <f>IF([3]关卡对接!F1663="",INT(INDEX(人物经验!$J$24:$J$573,关卡!J1675)*关卡!$S$7),[3]关卡对接!F1663)</f>
        <v>52088</v>
      </c>
      <c r="L1675" s="12">
        <f t="shared" si="236"/>
        <v>2.6</v>
      </c>
      <c r="M1675" s="12">
        <f>L1675/[4]货币基础!$B$4</f>
        <v>260</v>
      </c>
      <c r="N1675" s="12">
        <f>IF(A1675&lt;[3]关卡对接!$A$4,INDEX([3]关卡对接!$E$7:$E$141,A1675),MATCH(E1675,人物经验!$H$24:$H$573,1))</f>
        <v>543</v>
      </c>
      <c r="O1675" s="12">
        <f>INDEX([2]关卡!$G$6:$G$2005,A1675)</f>
        <v>3</v>
      </c>
      <c r="P1675" s="13">
        <v>6</v>
      </c>
      <c r="Q1675" s="12">
        <f>INT(P1675/$S$15/O1675*VLOOKUP(J1675,[1]人物技能基础!$N$3:$O$553,2,0)*$U$15)</f>
        <v>9</v>
      </c>
      <c r="R1675" s="12">
        <f t="shared" si="237"/>
        <v>112</v>
      </c>
    </row>
    <row r="1676" spans="1:18" x14ac:dyDescent="0.15">
      <c r="A1676" s="12">
        <v>1658</v>
      </c>
      <c r="B1676" s="12">
        <f t="shared" si="234"/>
        <v>9</v>
      </c>
      <c r="C1676" s="12">
        <f t="shared" si="235"/>
        <v>5.3143949999999993</v>
      </c>
      <c r="D1676" s="12">
        <f t="shared" si="238"/>
        <v>9.2981249999999349E-2</v>
      </c>
      <c r="E1676" s="12">
        <f>SUM($D$19:D1676)</f>
        <v>51.514394999999929</v>
      </c>
      <c r="F1676" s="12">
        <f t="shared" si="232"/>
        <v>580.71281334031892</v>
      </c>
      <c r="G1676" s="12">
        <f t="shared" si="233"/>
        <v>321.31308659769485</v>
      </c>
      <c r="H1676" s="12">
        <f t="shared" si="239"/>
        <v>2090500</v>
      </c>
      <c r="I1676" s="12">
        <f t="shared" si="240"/>
        <v>1156700</v>
      </c>
      <c r="J1676" s="12">
        <f>IF(A1676&lt;[3]关卡对接!$A$4,INDEX([3]关卡对接!$C$7:$C$141,A1676),MATCH(E1676,人物经验!$H$24:$H$573,1))</f>
        <v>543</v>
      </c>
      <c r="K1676" s="12">
        <f>IF([3]关卡对接!F1664="",INT(INDEX(人物经验!$J$24:$J$573,关卡!J1676)*关卡!$S$7),[3]关卡对接!F1664)</f>
        <v>52088</v>
      </c>
      <c r="L1676" s="12">
        <f t="shared" si="236"/>
        <v>2.6</v>
      </c>
      <c r="M1676" s="12">
        <f>L1676/[4]货币基础!$B$4</f>
        <v>260</v>
      </c>
      <c r="N1676" s="12">
        <f>IF(A1676&lt;[3]关卡对接!$A$4,INDEX([3]关卡对接!$E$7:$E$141,A1676),MATCH(E1676,人物经验!$H$24:$H$573,1))</f>
        <v>543</v>
      </c>
      <c r="O1676" s="12">
        <f>INDEX([2]关卡!$G$6:$G$2005,A1676)</f>
        <v>3</v>
      </c>
      <c r="P1676" s="13">
        <v>6</v>
      </c>
      <c r="Q1676" s="12">
        <f>INT(P1676/$S$15/O1676*VLOOKUP(J1676,[1]人物技能基础!$N$3:$O$553,2,0)*$U$15)</f>
        <v>9</v>
      </c>
      <c r="R1676" s="12">
        <f t="shared" si="237"/>
        <v>112</v>
      </c>
    </row>
    <row r="1677" spans="1:18" x14ac:dyDescent="0.15">
      <c r="A1677" s="12">
        <v>1659</v>
      </c>
      <c r="B1677" s="12">
        <f t="shared" si="234"/>
        <v>9</v>
      </c>
      <c r="C1677" s="12">
        <f t="shared" si="235"/>
        <v>5.4074237499999995</v>
      </c>
      <c r="D1677" s="12">
        <f t="shared" si="238"/>
        <v>9.3028750000000215E-2</v>
      </c>
      <c r="E1677" s="12">
        <f>SUM($D$19:D1677)</f>
        <v>51.607423749999931</v>
      </c>
      <c r="F1677" s="12">
        <f t="shared" si="232"/>
        <v>581.69315861758992</v>
      </c>
      <c r="G1677" s="12">
        <f t="shared" si="233"/>
        <v>321.75054190508092</v>
      </c>
      <c r="H1677" s="12">
        <f t="shared" si="239"/>
        <v>2094000</v>
      </c>
      <c r="I1677" s="12">
        <f t="shared" si="240"/>
        <v>1158300</v>
      </c>
      <c r="J1677" s="12">
        <f>IF(A1677&lt;[3]关卡对接!$A$4,INDEX([3]关卡对接!$C$7:$C$141,A1677),MATCH(E1677,人物经验!$H$24:$H$573,1))</f>
        <v>543</v>
      </c>
      <c r="K1677" s="12">
        <f>IF([3]关卡对接!F1665="",INT(INDEX(人物经验!$J$24:$J$573,关卡!J1677)*关卡!$S$7),[3]关卡对接!F1665)</f>
        <v>52088</v>
      </c>
      <c r="L1677" s="12">
        <f t="shared" si="236"/>
        <v>2.6</v>
      </c>
      <c r="M1677" s="12">
        <f>L1677/[4]货币基础!$B$4</f>
        <v>260</v>
      </c>
      <c r="N1677" s="12">
        <f>IF(A1677&lt;[3]关卡对接!$A$4,INDEX([3]关卡对接!$E$7:$E$141,A1677),MATCH(E1677,人物经验!$H$24:$H$573,1))</f>
        <v>543</v>
      </c>
      <c r="O1677" s="12">
        <f>INDEX([2]关卡!$G$6:$G$2005,A1677)</f>
        <v>3</v>
      </c>
      <c r="P1677" s="13">
        <v>6</v>
      </c>
      <c r="Q1677" s="12">
        <f>INT(P1677/$S$15/O1677*VLOOKUP(J1677,[1]人物技能基础!$N$3:$O$553,2,0)*$U$15)</f>
        <v>9</v>
      </c>
      <c r="R1677" s="12">
        <f t="shared" si="237"/>
        <v>112</v>
      </c>
    </row>
    <row r="1678" spans="1:18" x14ac:dyDescent="0.15">
      <c r="A1678" s="12">
        <v>1660</v>
      </c>
      <c r="B1678" s="12">
        <f t="shared" si="234"/>
        <v>9</v>
      </c>
      <c r="C1678" s="12">
        <f t="shared" si="235"/>
        <v>5.5004999999999997</v>
      </c>
      <c r="D1678" s="12">
        <f t="shared" si="238"/>
        <v>9.3076250000000194E-2</v>
      </c>
      <c r="E1678" s="12">
        <f>SUM($D$19:D1678)</f>
        <v>51.700499999999934</v>
      </c>
      <c r="F1678" s="12">
        <f t="shared" si="232"/>
        <v>582.67480078999984</v>
      </c>
      <c r="G1678" s="12">
        <f t="shared" si="233"/>
        <v>322.18845494999999</v>
      </c>
      <c r="H1678" s="12">
        <f t="shared" si="239"/>
        <v>2097600</v>
      </c>
      <c r="I1678" s="12">
        <f t="shared" si="240"/>
        <v>1159800</v>
      </c>
      <c r="J1678" s="12">
        <f>IF(A1678&lt;[3]关卡对接!$A$4,INDEX([3]关卡对接!$C$7:$C$141,A1678),MATCH(E1678,人物经验!$H$24:$H$573,1))</f>
        <v>544</v>
      </c>
      <c r="K1678" s="12">
        <f>IF([3]关卡对接!F1666="",INT(INDEX(人物经验!$J$24:$J$573,关卡!J1678)*关卡!$S$7),[3]关卡对接!F1666)</f>
        <v>52352</v>
      </c>
      <c r="L1678" s="12">
        <f t="shared" si="236"/>
        <v>2.6</v>
      </c>
      <c r="M1678" s="12">
        <f>L1678/[4]货币基础!$B$4</f>
        <v>260</v>
      </c>
      <c r="N1678" s="12">
        <f>IF(A1678&lt;[3]关卡对接!$A$4,INDEX([3]关卡对接!$E$7:$E$141,A1678),MATCH(E1678,人物经验!$H$24:$H$573,1))</f>
        <v>544</v>
      </c>
      <c r="O1678" s="12">
        <f>INDEX([2]关卡!$G$6:$G$2005,A1678)</f>
        <v>3</v>
      </c>
      <c r="P1678" s="13">
        <v>6</v>
      </c>
      <c r="Q1678" s="12">
        <f>INT(P1678/$S$15/O1678*VLOOKUP(J1678,[1]人物技能基础!$N$3:$O$553,2,0)*$U$15)</f>
        <v>9</v>
      </c>
      <c r="R1678" s="12">
        <f t="shared" si="237"/>
        <v>112</v>
      </c>
    </row>
    <row r="1679" spans="1:18" x14ac:dyDescent="0.15">
      <c r="A1679" s="12">
        <v>1661</v>
      </c>
      <c r="B1679" s="12">
        <f t="shared" si="234"/>
        <v>9</v>
      </c>
      <c r="C1679" s="12">
        <f t="shared" si="235"/>
        <v>5.5936237499999999</v>
      </c>
      <c r="D1679" s="12">
        <f t="shared" si="238"/>
        <v>9.3123750000000172E-2</v>
      </c>
      <c r="E1679" s="12">
        <f>SUM($D$19:D1679)</f>
        <v>51.793623749999938</v>
      </c>
      <c r="F1679" s="12">
        <f t="shared" si="232"/>
        <v>583.65774107575999</v>
      </c>
      <c r="G1679" s="12">
        <f t="shared" si="233"/>
        <v>322.62682608143092</v>
      </c>
      <c r="H1679" s="12">
        <f t="shared" si="239"/>
        <v>2101100</v>
      </c>
      <c r="I1679" s="12">
        <f t="shared" si="240"/>
        <v>1161400</v>
      </c>
      <c r="J1679" s="12">
        <f>IF(A1679&lt;[3]关卡对接!$A$4,INDEX([3]关卡对接!$C$7:$C$141,A1679),MATCH(E1679,人物经验!$H$24:$H$573,1))</f>
        <v>544</v>
      </c>
      <c r="K1679" s="12">
        <f>IF([3]关卡对接!F1667="",INT(INDEX(人物经验!$J$24:$J$573,关卡!J1679)*关卡!$S$7),[3]关卡对接!F1667)</f>
        <v>52352</v>
      </c>
      <c r="L1679" s="12">
        <f t="shared" si="236"/>
        <v>2.6</v>
      </c>
      <c r="M1679" s="12">
        <f>L1679/[4]货币基础!$B$4</f>
        <v>260</v>
      </c>
      <c r="N1679" s="12">
        <f>IF(A1679&lt;[3]关卡对接!$A$4,INDEX([3]关卡对接!$E$7:$E$141,A1679),MATCH(E1679,人物经验!$H$24:$H$573,1))</f>
        <v>544</v>
      </c>
      <c r="O1679" s="12">
        <f>INDEX([2]关卡!$G$6:$G$2005,A1679)</f>
        <v>3</v>
      </c>
      <c r="P1679" s="13">
        <v>6</v>
      </c>
      <c r="Q1679" s="12">
        <f>INT(P1679/$S$15/O1679*VLOOKUP(J1679,[1]人物技能基础!$N$3:$O$553,2,0)*$U$15)</f>
        <v>9</v>
      </c>
      <c r="R1679" s="12">
        <f t="shared" si="237"/>
        <v>112</v>
      </c>
    </row>
    <row r="1680" spans="1:18" x14ac:dyDescent="0.15">
      <c r="A1680" s="12">
        <v>1662</v>
      </c>
      <c r="B1680" s="12">
        <f t="shared" si="234"/>
        <v>9</v>
      </c>
      <c r="C1680" s="12">
        <f t="shared" si="235"/>
        <v>5.686795</v>
      </c>
      <c r="D1680" s="12">
        <f t="shared" si="238"/>
        <v>9.317125000000015E-2</v>
      </c>
      <c r="E1680" s="12">
        <f>SUM($D$19:D1680)</f>
        <v>51.886794999999935</v>
      </c>
      <c r="F1680" s="12">
        <f t="shared" si="232"/>
        <v>584.64198069367899</v>
      </c>
      <c r="G1680" s="12">
        <f t="shared" si="233"/>
        <v>323.06565564849501</v>
      </c>
      <c r="H1680" s="12">
        <f t="shared" si="239"/>
        <v>2104700</v>
      </c>
      <c r="I1680" s="12">
        <f t="shared" si="240"/>
        <v>1163000</v>
      </c>
      <c r="J1680" s="12">
        <f>IF(A1680&lt;[3]关卡对接!$A$4,INDEX([3]关卡对接!$C$7:$C$141,A1680),MATCH(E1680,人物经验!$H$24:$H$573,1))</f>
        <v>544</v>
      </c>
      <c r="K1680" s="12">
        <f>IF([3]关卡对接!F1668="",INT(INDEX(人物经验!$J$24:$J$573,关卡!J1680)*关卡!$S$7),[3]关卡对接!F1668)</f>
        <v>52352</v>
      </c>
      <c r="L1680" s="12">
        <f t="shared" si="236"/>
        <v>2.6</v>
      </c>
      <c r="M1680" s="12">
        <f>L1680/[4]货币基础!$B$4</f>
        <v>260</v>
      </c>
      <c r="N1680" s="12">
        <f>IF(A1680&lt;[3]关卡对接!$A$4,INDEX([3]关卡对接!$E$7:$E$141,A1680),MATCH(E1680,人物经验!$H$24:$H$573,1))</f>
        <v>544</v>
      </c>
      <c r="O1680" s="12">
        <f>INDEX([2]关卡!$G$6:$G$2005,A1680)</f>
        <v>3</v>
      </c>
      <c r="P1680" s="13">
        <v>6</v>
      </c>
      <c r="Q1680" s="12">
        <f>INT(P1680/$S$15/O1680*VLOOKUP(J1680,[1]人物技能基础!$N$3:$O$553,2,0)*$U$15)</f>
        <v>9</v>
      </c>
      <c r="R1680" s="12">
        <f t="shared" si="237"/>
        <v>112</v>
      </c>
    </row>
    <row r="1681" spans="1:18" x14ac:dyDescent="0.15">
      <c r="A1681" s="12">
        <v>1663</v>
      </c>
      <c r="B1681" s="12">
        <f t="shared" si="234"/>
        <v>9</v>
      </c>
      <c r="C1681" s="12">
        <f t="shared" si="235"/>
        <v>5.7800137499999984</v>
      </c>
      <c r="D1681" s="12">
        <f t="shared" si="238"/>
        <v>9.3218749999998352E-2</v>
      </c>
      <c r="E1681" s="12">
        <f>SUM($D$19:D1681)</f>
        <v>51.980013749999934</v>
      </c>
      <c r="F1681" s="12">
        <f t="shared" si="232"/>
        <v>585.62752086316493</v>
      </c>
      <c r="G1681" s="12">
        <f t="shared" si="233"/>
        <v>323.50494400045591</v>
      </c>
      <c r="H1681" s="12">
        <f t="shared" si="239"/>
        <v>2108200</v>
      </c>
      <c r="I1681" s="12">
        <f t="shared" si="240"/>
        <v>1164600</v>
      </c>
      <c r="J1681" s="12">
        <f>IF(A1681&lt;[3]关卡对接!$A$4,INDEX([3]关卡对接!$C$7:$C$141,A1681),MATCH(E1681,人物经验!$H$24:$H$573,1))</f>
        <v>545</v>
      </c>
      <c r="K1681" s="12">
        <f>IF([3]关卡对接!F1669="",INT(INDEX(人物经验!$J$24:$J$573,关卡!J1681)*关卡!$S$7),[3]关卡对接!F1669)</f>
        <v>52617</v>
      </c>
      <c r="L1681" s="12">
        <f t="shared" si="236"/>
        <v>2.6</v>
      </c>
      <c r="M1681" s="12">
        <f>L1681/[4]货币基础!$B$4</f>
        <v>260</v>
      </c>
      <c r="N1681" s="12">
        <f>IF(A1681&lt;[3]关卡对接!$A$4,INDEX([3]关卡对接!$E$7:$E$141,A1681),MATCH(E1681,人物经验!$H$24:$H$573,1))</f>
        <v>545</v>
      </c>
      <c r="O1681" s="12">
        <f>INDEX([2]关卡!$G$6:$G$2005,A1681)</f>
        <v>3</v>
      </c>
      <c r="P1681" s="13">
        <v>6</v>
      </c>
      <c r="Q1681" s="12">
        <f>INT(P1681/$S$15/O1681*VLOOKUP(J1681,[1]人物技能基础!$N$3:$O$553,2,0)*$U$15)</f>
        <v>9</v>
      </c>
      <c r="R1681" s="12">
        <f t="shared" si="237"/>
        <v>112</v>
      </c>
    </row>
    <row r="1682" spans="1:18" x14ac:dyDescent="0.15">
      <c r="A1682" s="12">
        <v>1664</v>
      </c>
      <c r="B1682" s="12">
        <f t="shared" si="234"/>
        <v>9</v>
      </c>
      <c r="C1682" s="12">
        <f t="shared" si="235"/>
        <v>5.8732800000000003</v>
      </c>
      <c r="D1682" s="12">
        <f t="shared" si="238"/>
        <v>9.3266250000001882E-2</v>
      </c>
      <c r="E1682" s="12">
        <f>SUM($D$19:D1682)</f>
        <v>52.073279999999933</v>
      </c>
      <c r="F1682" s="12">
        <f t="shared" si="232"/>
        <v>586.61436280422402</v>
      </c>
      <c r="G1682" s="12">
        <f t="shared" si="233"/>
        <v>323.94469148671988</v>
      </c>
      <c r="H1682" s="12">
        <f t="shared" si="239"/>
        <v>2111800</v>
      </c>
      <c r="I1682" s="12">
        <f t="shared" si="240"/>
        <v>1166200</v>
      </c>
      <c r="J1682" s="12">
        <f>IF(A1682&lt;[3]关卡对接!$A$4,INDEX([3]关卡对接!$C$7:$C$141,A1682),MATCH(E1682,人物经验!$H$24:$H$573,1))</f>
        <v>545</v>
      </c>
      <c r="K1682" s="12">
        <f>IF([3]关卡对接!F1670="",INT(INDEX(人物经验!$J$24:$J$573,关卡!J1682)*关卡!$S$7),[3]关卡对接!F1670)</f>
        <v>52617</v>
      </c>
      <c r="L1682" s="12">
        <f t="shared" si="236"/>
        <v>2.6</v>
      </c>
      <c r="M1682" s="12">
        <f>L1682/[4]货币基础!$B$4</f>
        <v>260</v>
      </c>
      <c r="N1682" s="12">
        <f>IF(A1682&lt;[3]关卡对接!$A$4,INDEX([3]关卡对接!$E$7:$E$141,A1682),MATCH(E1682,人物经验!$H$24:$H$573,1))</f>
        <v>545</v>
      </c>
      <c r="O1682" s="12">
        <f>INDEX([2]关卡!$G$6:$G$2005,A1682)</f>
        <v>3</v>
      </c>
      <c r="P1682" s="13">
        <v>6</v>
      </c>
      <c r="Q1682" s="12">
        <f>INT(P1682/$S$15/O1682*VLOOKUP(J1682,[1]人物技能基础!$N$3:$O$553,2,0)*$U$15)</f>
        <v>9</v>
      </c>
      <c r="R1682" s="12">
        <f t="shared" si="237"/>
        <v>112</v>
      </c>
    </row>
    <row r="1683" spans="1:18" x14ac:dyDescent="0.15">
      <c r="A1683" s="12">
        <v>1665</v>
      </c>
      <c r="B1683" s="12">
        <f t="shared" si="234"/>
        <v>9</v>
      </c>
      <c r="C1683" s="12">
        <f t="shared" si="235"/>
        <v>5.9665937499999995</v>
      </c>
      <c r="D1683" s="12">
        <f t="shared" si="238"/>
        <v>9.3313749999999196E-2</v>
      </c>
      <c r="E1683" s="12">
        <f>SUM($D$19:D1683)</f>
        <v>52.166593749999933</v>
      </c>
      <c r="F1683" s="12">
        <f t="shared" ref="F1683:F1746" si="241">$L$7*($M$7+$N$7*($A1683/$B$3)^1+$O$7*($A1683/$B$3)^2+$P$7*($A1683/$B$3)^3+$Q$7*($A1683/$B$3)^4)</f>
        <v>587.60250773746088</v>
      </c>
      <c r="G1683" s="12">
        <f t="shared" ref="G1683:G1746" si="242">$L$11*($M$11+$N$11*($A1683/$B$3)^1+$O$11*($A1683/$B$3)^2+$P$11*($A1683/$B$3)^3+$Q$11*($A1683/$B$3)^4)</f>
        <v>324.38489845683591</v>
      </c>
      <c r="H1683" s="12">
        <f t="shared" si="239"/>
        <v>2115300</v>
      </c>
      <c r="I1683" s="12">
        <f t="shared" si="240"/>
        <v>1167700</v>
      </c>
      <c r="J1683" s="12">
        <f>IF(A1683&lt;[3]关卡对接!$A$4,INDEX([3]关卡对接!$C$7:$C$141,A1683),MATCH(E1683,人物经验!$H$24:$H$573,1))</f>
        <v>545</v>
      </c>
      <c r="K1683" s="12">
        <f>IF([3]关卡对接!F1671="",INT(INDEX(人物经验!$J$24:$J$573,关卡!J1683)*关卡!$S$7),[3]关卡对接!F1671)</f>
        <v>52617</v>
      </c>
      <c r="L1683" s="12">
        <f t="shared" si="236"/>
        <v>2.6</v>
      </c>
      <c r="M1683" s="12">
        <f>L1683/[4]货币基础!$B$4</f>
        <v>260</v>
      </c>
      <c r="N1683" s="12">
        <f>IF(A1683&lt;[3]关卡对接!$A$4,INDEX([3]关卡对接!$E$7:$E$141,A1683),MATCH(E1683,人物经验!$H$24:$H$573,1))</f>
        <v>545</v>
      </c>
      <c r="O1683" s="12">
        <f>INDEX([2]关卡!$G$6:$G$2005,A1683)</f>
        <v>3</v>
      </c>
      <c r="P1683" s="13">
        <v>6</v>
      </c>
      <c r="Q1683" s="12">
        <f>INT(P1683/$S$15/O1683*VLOOKUP(J1683,[1]人物技能基础!$N$3:$O$553,2,0)*$U$15)</f>
        <v>9</v>
      </c>
      <c r="R1683" s="12">
        <f t="shared" si="237"/>
        <v>112</v>
      </c>
    </row>
    <row r="1684" spans="1:18" x14ac:dyDescent="0.15">
      <c r="A1684" s="12">
        <v>1666</v>
      </c>
      <c r="B1684" s="12">
        <f t="shared" ref="B1684:B1747" si="243">MATCH($A1684,$A$5:$A$15,1)-1</f>
        <v>9</v>
      </c>
      <c r="C1684" s="12">
        <f t="shared" ref="C1684:C1747" si="244">INDEX($C$5:$C$15,$B1684+1)*(INDEX($E$5:$E$15,$B1684+1)+INDEX($F$5:$F$15,$B1684+1)*(($A1684-INDEX($A$5:$A$15,$B1684+1)+1)/(INDEX($B$5:$B$15,$B1684+1)-INDEX($A$5:$A$15,$B1684+1)+1))^1+INDEX($G$5:$G$15,$B1684+1)*(($A1684-INDEX($A$5:$A$15,$B1684+1)+1)/(INDEX($B$5:$B$15,$B1684+1)-INDEX($A$5:$A$15,$B1684+1)+1))^2+INDEX($H$5:$H$15,$B1684+1)*(($A1684-INDEX($A$5:$A$15,$B1684+1)+1)/(INDEX($B$5:$B$15,$B1684+1)-INDEX($A$5:$A$15,$B1684+1)+1))^3+INDEX($I$5:$I$15,$B1684+1)*(($A1684-INDEX($A$5:$A$15,$B1684+1)+1)/(INDEX($B$5:$B$15,$B1684+1)-INDEX($A$5:$A$15,$B1684+1)+1))^4)</f>
        <v>6.0599549999999995</v>
      </c>
      <c r="D1684" s="12">
        <f t="shared" si="238"/>
        <v>9.3361250000000062E-2</v>
      </c>
      <c r="E1684" s="12">
        <f>SUM($D$19:D1684)</f>
        <v>52.259954999999934</v>
      </c>
      <c r="F1684" s="12">
        <f t="shared" si="241"/>
        <v>588.59195688407897</v>
      </c>
      <c r="G1684" s="12">
        <f t="shared" si="242"/>
        <v>324.82556526049495</v>
      </c>
      <c r="H1684" s="12">
        <f t="shared" si="239"/>
        <v>2118900</v>
      </c>
      <c r="I1684" s="12">
        <f t="shared" si="240"/>
        <v>1169300</v>
      </c>
      <c r="J1684" s="12">
        <f>IF(A1684&lt;[3]关卡对接!$A$4,INDEX([3]关卡对接!$C$7:$C$141,A1684),MATCH(E1684,人物经验!$H$24:$H$573,1))</f>
        <v>546</v>
      </c>
      <c r="K1684" s="12">
        <f>IF([3]关卡对接!F1672="",INT(INDEX(人物经验!$J$24:$J$573,关卡!J1684)*关卡!$S$7),[3]关卡对接!F1672)</f>
        <v>52884</v>
      </c>
      <c r="L1684" s="12">
        <f t="shared" ref="L1684:L1747" si="245">VLOOKUP(A1684,$A$5:$J$15,10,1)</f>
        <v>2.6</v>
      </c>
      <c r="M1684" s="12">
        <f>L1684/[4]货币基础!$B$4</f>
        <v>260</v>
      </c>
      <c r="N1684" s="12">
        <f>IF(A1684&lt;[3]关卡对接!$A$4,INDEX([3]关卡对接!$E$7:$E$141,A1684),MATCH(E1684,人物经验!$H$24:$H$573,1))</f>
        <v>546</v>
      </c>
      <c r="O1684" s="12">
        <f>INDEX([2]关卡!$G$6:$G$2005,A1684)</f>
        <v>3</v>
      </c>
      <c r="P1684" s="13">
        <v>6</v>
      </c>
      <c r="Q1684" s="12">
        <f>INT(P1684/$S$15/O1684*VLOOKUP(J1684,[1]人物技能基础!$N$3:$O$553,2,0)*$U$15)</f>
        <v>9</v>
      </c>
      <c r="R1684" s="12">
        <f t="shared" ref="R1684:R1747" si="246">INT(Q1684*12.5)</f>
        <v>112</v>
      </c>
    </row>
    <row r="1685" spans="1:18" x14ac:dyDescent="0.15">
      <c r="A1685" s="12">
        <v>1667</v>
      </c>
      <c r="B1685" s="12">
        <f t="shared" si="243"/>
        <v>9</v>
      </c>
      <c r="C1685" s="12">
        <f t="shared" si="244"/>
        <v>6.1533637499999996</v>
      </c>
      <c r="D1685" s="12">
        <f t="shared" si="238"/>
        <v>9.340875000000004E-2</v>
      </c>
      <c r="E1685" s="12">
        <f>SUM($D$19:D1685)</f>
        <v>52.353363749999936</v>
      </c>
      <c r="F1685" s="12">
        <f t="shared" si="241"/>
        <v>589.58271146588004</v>
      </c>
      <c r="G1685" s="12">
        <f t="shared" si="242"/>
        <v>325.2666922475309</v>
      </c>
      <c r="H1685" s="12">
        <f t="shared" si="239"/>
        <v>2122400</v>
      </c>
      <c r="I1685" s="12">
        <f t="shared" si="240"/>
        <v>1170900</v>
      </c>
      <c r="J1685" s="12">
        <f>IF(A1685&lt;[3]关卡对接!$A$4,INDEX([3]关卡对接!$C$7:$C$141,A1685),MATCH(E1685,人物经验!$H$24:$H$573,1))</f>
        <v>546</v>
      </c>
      <c r="K1685" s="12">
        <f>IF([3]关卡对接!F1673="",INT(INDEX(人物经验!$J$24:$J$573,关卡!J1685)*关卡!$S$7),[3]关卡对接!F1673)</f>
        <v>52884</v>
      </c>
      <c r="L1685" s="12">
        <f t="shared" si="245"/>
        <v>2.6</v>
      </c>
      <c r="M1685" s="12">
        <f>L1685/[4]货币基础!$B$4</f>
        <v>260</v>
      </c>
      <c r="N1685" s="12">
        <f>IF(A1685&lt;[3]关卡对接!$A$4,INDEX([3]关卡对接!$E$7:$E$141,A1685),MATCH(E1685,人物经验!$H$24:$H$573,1))</f>
        <v>546</v>
      </c>
      <c r="O1685" s="12">
        <f>INDEX([2]关卡!$G$6:$G$2005,A1685)</f>
        <v>3</v>
      </c>
      <c r="P1685" s="13">
        <v>6</v>
      </c>
      <c r="Q1685" s="12">
        <f>INT(P1685/$S$15/O1685*VLOOKUP(J1685,[1]人物技能基础!$N$3:$O$553,2,0)*$U$15)</f>
        <v>9</v>
      </c>
      <c r="R1685" s="12">
        <f t="shared" si="246"/>
        <v>112</v>
      </c>
    </row>
    <row r="1686" spans="1:18" x14ac:dyDescent="0.15">
      <c r="A1686" s="12">
        <v>1668</v>
      </c>
      <c r="B1686" s="12">
        <f t="shared" si="243"/>
        <v>9</v>
      </c>
      <c r="C1686" s="12">
        <f t="shared" si="244"/>
        <v>6.2468200000000005</v>
      </c>
      <c r="D1686" s="12">
        <f t="shared" si="238"/>
        <v>9.3456250000000907E-2</v>
      </c>
      <c r="E1686" s="12">
        <f>SUM($D$19:D1686)</f>
        <v>52.446819999999938</v>
      </c>
      <c r="F1686" s="12">
        <f t="shared" si="241"/>
        <v>590.57477270526397</v>
      </c>
      <c r="G1686" s="12">
        <f t="shared" si="242"/>
        <v>325.70827976791992</v>
      </c>
      <c r="H1686" s="12">
        <f t="shared" si="239"/>
        <v>2126000</v>
      </c>
      <c r="I1686" s="12">
        <f t="shared" si="240"/>
        <v>1172500</v>
      </c>
      <c r="J1686" s="12">
        <f>IF(A1686&lt;[3]关卡对接!$A$4,INDEX([3]关卡对接!$C$7:$C$141,A1686),MATCH(E1686,人物经验!$H$24:$H$573,1))</f>
        <v>546</v>
      </c>
      <c r="K1686" s="12">
        <f>IF([3]关卡对接!F1674="",INT(INDEX(人物经验!$J$24:$J$573,关卡!J1686)*关卡!$S$7),[3]关卡对接!F1674)</f>
        <v>52884</v>
      </c>
      <c r="L1686" s="12">
        <f t="shared" si="245"/>
        <v>2.6</v>
      </c>
      <c r="M1686" s="12">
        <f>L1686/[4]货币基础!$B$4</f>
        <v>260</v>
      </c>
      <c r="N1686" s="12">
        <f>IF(A1686&lt;[3]关卡对接!$A$4,INDEX([3]关卡对接!$E$7:$E$141,A1686),MATCH(E1686,人物经验!$H$24:$H$573,1))</f>
        <v>546</v>
      </c>
      <c r="O1686" s="12">
        <f>INDEX([2]关卡!$G$6:$G$2005,A1686)</f>
        <v>3</v>
      </c>
      <c r="P1686" s="13">
        <v>6</v>
      </c>
      <c r="Q1686" s="12">
        <f>INT(P1686/$S$15/O1686*VLOOKUP(J1686,[1]人物技能基础!$N$3:$O$553,2,0)*$U$15)</f>
        <v>9</v>
      </c>
      <c r="R1686" s="12">
        <f t="shared" si="246"/>
        <v>112</v>
      </c>
    </row>
    <row r="1687" spans="1:18" x14ac:dyDescent="0.15">
      <c r="A1687" s="12">
        <v>1669</v>
      </c>
      <c r="B1687" s="12">
        <f t="shared" si="243"/>
        <v>9</v>
      </c>
      <c r="C1687" s="12">
        <f t="shared" si="244"/>
        <v>6.3403237500000005</v>
      </c>
      <c r="D1687" s="12">
        <f t="shared" si="238"/>
        <v>9.3503749999999997E-2</v>
      </c>
      <c r="E1687" s="12">
        <f>SUM($D$19:D1687)</f>
        <v>52.540323749999942</v>
      </c>
      <c r="F1687" s="12">
        <f t="shared" si="241"/>
        <v>591.56814182522999</v>
      </c>
      <c r="G1687" s="12">
        <f t="shared" si="242"/>
        <v>326.15032817178093</v>
      </c>
      <c r="H1687" s="12">
        <f t="shared" si="239"/>
        <v>2129600</v>
      </c>
      <c r="I1687" s="12">
        <f t="shared" si="240"/>
        <v>1174100</v>
      </c>
      <c r="J1687" s="12">
        <f>IF(A1687&lt;[3]关卡对接!$A$4,INDEX([3]关卡对接!$C$7:$C$141,A1687),MATCH(E1687,人物经验!$H$24:$H$573,1))</f>
        <v>547</v>
      </c>
      <c r="K1687" s="12">
        <f>IF([3]关卡对接!F1675="",INT(INDEX(人物经验!$J$24:$J$573,关卡!J1687)*关卡!$S$7),[3]关卡对接!F1675)</f>
        <v>53151</v>
      </c>
      <c r="L1687" s="12">
        <f t="shared" si="245"/>
        <v>2.6</v>
      </c>
      <c r="M1687" s="12">
        <f>L1687/[4]货币基础!$B$4</f>
        <v>260</v>
      </c>
      <c r="N1687" s="12">
        <f>IF(A1687&lt;[3]关卡对接!$A$4,INDEX([3]关卡对接!$E$7:$E$141,A1687),MATCH(E1687,人物经验!$H$24:$H$573,1))</f>
        <v>547</v>
      </c>
      <c r="O1687" s="12">
        <f>INDEX([2]关卡!$G$6:$G$2005,A1687)</f>
        <v>3</v>
      </c>
      <c r="P1687" s="13">
        <v>6</v>
      </c>
      <c r="Q1687" s="12">
        <f>INT(P1687/$S$15/O1687*VLOOKUP(J1687,[1]人物技能基础!$N$3:$O$553,2,0)*$U$15)</f>
        <v>9</v>
      </c>
      <c r="R1687" s="12">
        <f t="shared" si="246"/>
        <v>112</v>
      </c>
    </row>
    <row r="1688" spans="1:18" x14ac:dyDescent="0.15">
      <c r="A1688" s="12">
        <v>1670</v>
      </c>
      <c r="B1688" s="12">
        <f t="shared" si="243"/>
        <v>9</v>
      </c>
      <c r="C1688" s="12">
        <f t="shared" si="244"/>
        <v>6.4338749999999987</v>
      </c>
      <c r="D1688" s="12">
        <f t="shared" si="238"/>
        <v>9.3551249999998198E-2</v>
      </c>
      <c r="E1688" s="12">
        <f>SUM($D$19:D1688)</f>
        <v>52.633874999999939</v>
      </c>
      <c r="F1688" s="12">
        <f t="shared" si="241"/>
        <v>592.56282004937498</v>
      </c>
      <c r="G1688" s="12">
        <f t="shared" si="242"/>
        <v>326.592837809375</v>
      </c>
      <c r="H1688" s="12">
        <f t="shared" si="239"/>
        <v>2133200</v>
      </c>
      <c r="I1688" s="12">
        <f t="shared" si="240"/>
        <v>1175700</v>
      </c>
      <c r="J1688" s="12">
        <f>IF(A1688&lt;[3]关卡对接!$A$4,INDEX([3]关卡对接!$C$7:$C$141,A1688),MATCH(E1688,人物经验!$H$24:$H$573,1))</f>
        <v>547</v>
      </c>
      <c r="K1688" s="12">
        <f>IF([3]关卡对接!F1676="",INT(INDEX(人物经验!$J$24:$J$573,关卡!J1688)*关卡!$S$7),[3]关卡对接!F1676)</f>
        <v>53151</v>
      </c>
      <c r="L1688" s="12">
        <f t="shared" si="245"/>
        <v>2.6</v>
      </c>
      <c r="M1688" s="12">
        <f>L1688/[4]货币基础!$B$4</f>
        <v>260</v>
      </c>
      <c r="N1688" s="12">
        <f>IF(A1688&lt;[3]关卡对接!$A$4,INDEX([3]关卡对接!$E$7:$E$141,A1688),MATCH(E1688,人物经验!$H$24:$H$573,1))</f>
        <v>547</v>
      </c>
      <c r="O1688" s="12">
        <f>INDEX([2]关卡!$G$6:$G$2005,A1688)</f>
        <v>3</v>
      </c>
      <c r="P1688" s="13">
        <v>6</v>
      </c>
      <c r="Q1688" s="12">
        <f>INT(P1688/$S$15/O1688*VLOOKUP(J1688,[1]人物技能基础!$N$3:$O$553,2,0)*$U$15)</f>
        <v>9</v>
      </c>
      <c r="R1688" s="12">
        <f t="shared" si="246"/>
        <v>112</v>
      </c>
    </row>
    <row r="1689" spans="1:18" x14ac:dyDescent="0.15">
      <c r="A1689" s="12">
        <v>1671</v>
      </c>
      <c r="B1689" s="12">
        <f t="shared" si="243"/>
        <v>9</v>
      </c>
      <c r="C1689" s="12">
        <f t="shared" si="244"/>
        <v>6.5274737499999995</v>
      </c>
      <c r="D1689" s="12">
        <f t="shared" si="238"/>
        <v>9.3598750000000841E-2</v>
      </c>
      <c r="E1689" s="12">
        <f>SUM($D$19:D1689)</f>
        <v>52.727473749999938</v>
      </c>
      <c r="F1689" s="12">
        <f t="shared" si="241"/>
        <v>593.55880860189507</v>
      </c>
      <c r="G1689" s="12">
        <f t="shared" si="242"/>
        <v>327.03580903110594</v>
      </c>
      <c r="H1689" s="12">
        <f t="shared" si="239"/>
        <v>2136800</v>
      </c>
      <c r="I1689" s="12">
        <f t="shared" si="240"/>
        <v>1177300</v>
      </c>
      <c r="J1689" s="12">
        <f>IF(A1689&lt;[3]关卡对接!$A$4,INDEX([3]关卡对接!$C$7:$C$141,A1689),MATCH(E1689,人物经验!$H$24:$H$573,1))</f>
        <v>547</v>
      </c>
      <c r="K1689" s="12">
        <f>IF([3]关卡对接!F1677="",INT(INDEX(人物经验!$J$24:$J$573,关卡!J1689)*关卡!$S$7),[3]关卡对接!F1677)</f>
        <v>53151</v>
      </c>
      <c r="L1689" s="12">
        <f t="shared" si="245"/>
        <v>2.6</v>
      </c>
      <c r="M1689" s="12">
        <f>L1689/[4]货币基础!$B$4</f>
        <v>260</v>
      </c>
      <c r="N1689" s="12">
        <f>IF(A1689&lt;[3]关卡对接!$A$4,INDEX([3]关卡对接!$E$7:$E$141,A1689),MATCH(E1689,人物经验!$H$24:$H$573,1))</f>
        <v>547</v>
      </c>
      <c r="O1689" s="12">
        <f>INDEX([2]关卡!$G$6:$G$2005,A1689)</f>
        <v>3</v>
      </c>
      <c r="P1689" s="13">
        <v>6</v>
      </c>
      <c r="Q1689" s="12">
        <f>INT(P1689/$S$15/O1689*VLOOKUP(J1689,[1]人物技能基础!$N$3:$O$553,2,0)*$U$15)</f>
        <v>9</v>
      </c>
      <c r="R1689" s="12">
        <f t="shared" si="246"/>
        <v>112</v>
      </c>
    </row>
    <row r="1690" spans="1:18" x14ac:dyDescent="0.15">
      <c r="A1690" s="12">
        <v>1672</v>
      </c>
      <c r="B1690" s="12">
        <f t="shared" si="243"/>
        <v>9</v>
      </c>
      <c r="C1690" s="12">
        <f t="shared" si="244"/>
        <v>6.6211199999999995</v>
      </c>
      <c r="D1690" s="12">
        <f t="shared" si="238"/>
        <v>9.3646249999999931E-2</v>
      </c>
      <c r="E1690" s="12">
        <f>SUM($D$19:D1690)</f>
        <v>52.821119999999937</v>
      </c>
      <c r="F1690" s="12">
        <f t="shared" si="241"/>
        <v>594.55610870758392</v>
      </c>
      <c r="G1690" s="12">
        <f t="shared" si="242"/>
        <v>327.47924218752001</v>
      </c>
      <c r="H1690" s="12">
        <f t="shared" si="239"/>
        <v>2140400</v>
      </c>
      <c r="I1690" s="12">
        <f t="shared" si="240"/>
        <v>1178900</v>
      </c>
      <c r="J1690" s="12">
        <f>IF(A1690&lt;[3]关卡对接!$A$4,INDEX([3]关卡对接!$C$7:$C$141,A1690),MATCH(E1690,人物经验!$H$24:$H$573,1))</f>
        <v>548</v>
      </c>
      <c r="K1690" s="12">
        <f>IF([3]关卡对接!F1678="",INT(INDEX(人物经验!$J$24:$J$573,关卡!J1690)*关卡!$S$7),[3]关卡对接!F1678)</f>
        <v>53420</v>
      </c>
      <c r="L1690" s="12">
        <f t="shared" si="245"/>
        <v>2.6</v>
      </c>
      <c r="M1690" s="12">
        <f>L1690/[4]货币基础!$B$4</f>
        <v>260</v>
      </c>
      <c r="N1690" s="12">
        <f>IF(A1690&lt;[3]关卡对接!$A$4,INDEX([3]关卡对接!$E$7:$E$141,A1690),MATCH(E1690,人物经验!$H$24:$H$573,1))</f>
        <v>548</v>
      </c>
      <c r="O1690" s="12">
        <f>INDEX([2]关卡!$G$6:$G$2005,A1690)</f>
        <v>3</v>
      </c>
      <c r="P1690" s="13">
        <v>6</v>
      </c>
      <c r="Q1690" s="12">
        <f>INT(P1690/$S$15/O1690*VLOOKUP(J1690,[1]人物技能基础!$N$3:$O$553,2,0)*$U$15)</f>
        <v>9</v>
      </c>
      <c r="R1690" s="12">
        <f t="shared" si="246"/>
        <v>112</v>
      </c>
    </row>
    <row r="1691" spans="1:18" x14ac:dyDescent="0.15">
      <c r="A1691" s="12">
        <v>1673</v>
      </c>
      <c r="B1691" s="12">
        <f t="shared" si="243"/>
        <v>9</v>
      </c>
      <c r="C1691" s="12">
        <f t="shared" si="244"/>
        <v>6.7148137500000002</v>
      </c>
      <c r="D1691" s="12">
        <f t="shared" si="238"/>
        <v>9.3693750000000797E-2</v>
      </c>
      <c r="E1691" s="12">
        <f>SUM($D$19:D1691)</f>
        <v>52.914813749999936</v>
      </c>
      <c r="F1691" s="12">
        <f t="shared" si="241"/>
        <v>595.554721591835</v>
      </c>
      <c r="G1691" s="12">
        <f t="shared" si="242"/>
        <v>327.92313762930593</v>
      </c>
      <c r="H1691" s="12">
        <f t="shared" si="239"/>
        <v>2143900</v>
      </c>
      <c r="I1691" s="12">
        <f t="shared" si="240"/>
        <v>1180500</v>
      </c>
      <c r="J1691" s="12">
        <f>IF(A1691&lt;[3]关卡对接!$A$4,INDEX([3]关卡对接!$C$7:$C$141,A1691),MATCH(E1691,人物经验!$H$24:$H$573,1))</f>
        <v>548</v>
      </c>
      <c r="K1691" s="12">
        <f>IF([3]关卡对接!F1679="",INT(INDEX(人物经验!$J$24:$J$573,关卡!J1691)*关卡!$S$7),[3]关卡对接!F1679)</f>
        <v>53420</v>
      </c>
      <c r="L1691" s="12">
        <f t="shared" si="245"/>
        <v>2.6</v>
      </c>
      <c r="M1691" s="12">
        <f>L1691/[4]货币基础!$B$4</f>
        <v>260</v>
      </c>
      <c r="N1691" s="12">
        <f>IF(A1691&lt;[3]关卡对接!$A$4,INDEX([3]关卡对接!$E$7:$E$141,A1691),MATCH(E1691,人物经验!$H$24:$H$573,1))</f>
        <v>548</v>
      </c>
      <c r="O1691" s="12">
        <f>INDEX([2]关卡!$G$6:$G$2005,A1691)</f>
        <v>3</v>
      </c>
      <c r="P1691" s="13">
        <v>6</v>
      </c>
      <c r="Q1691" s="12">
        <f>INT(P1691/$S$15/O1691*VLOOKUP(J1691,[1]人物技能基础!$N$3:$O$553,2,0)*$U$15)</f>
        <v>9</v>
      </c>
      <c r="R1691" s="12">
        <f t="shared" si="246"/>
        <v>112</v>
      </c>
    </row>
    <row r="1692" spans="1:18" x14ac:dyDescent="0.15">
      <c r="A1692" s="12">
        <v>1674</v>
      </c>
      <c r="B1692" s="12">
        <f t="shared" si="243"/>
        <v>9</v>
      </c>
      <c r="C1692" s="12">
        <f t="shared" si="244"/>
        <v>6.8085549999999992</v>
      </c>
      <c r="D1692" s="12">
        <f t="shared" si="238"/>
        <v>9.3741249999998999E-2</v>
      </c>
      <c r="E1692" s="12">
        <f>SUM($D$19:D1692)</f>
        <v>53.008554999999937</v>
      </c>
      <c r="F1692" s="12">
        <f t="shared" si="241"/>
        <v>596.554648480639</v>
      </c>
      <c r="G1692" s="12">
        <f t="shared" si="242"/>
        <v>328.36749570729495</v>
      </c>
      <c r="H1692" s="12">
        <f t="shared" si="239"/>
        <v>2147500</v>
      </c>
      <c r="I1692" s="12">
        <f t="shared" si="240"/>
        <v>1182100</v>
      </c>
      <c r="J1692" s="12">
        <f>IF(A1692&lt;[3]关卡对接!$A$4,INDEX([3]关卡对接!$C$7:$C$141,A1692),MATCH(E1692,人物经验!$H$24:$H$573,1))</f>
        <v>548</v>
      </c>
      <c r="K1692" s="12">
        <f>IF([3]关卡对接!F1680="",INT(INDEX(人物经验!$J$24:$J$573,关卡!J1692)*关卡!$S$7),[3]关卡对接!F1680)</f>
        <v>53420</v>
      </c>
      <c r="L1692" s="12">
        <f t="shared" si="245"/>
        <v>2.6</v>
      </c>
      <c r="M1692" s="12">
        <f>L1692/[4]货币基础!$B$4</f>
        <v>260</v>
      </c>
      <c r="N1692" s="12">
        <f>IF(A1692&lt;[3]关卡对接!$A$4,INDEX([3]关卡对接!$E$7:$E$141,A1692),MATCH(E1692,人物经验!$H$24:$H$573,1))</f>
        <v>548</v>
      </c>
      <c r="O1692" s="12">
        <f>INDEX([2]关卡!$G$6:$G$2005,A1692)</f>
        <v>3</v>
      </c>
      <c r="P1692" s="13">
        <v>6</v>
      </c>
      <c r="Q1692" s="12">
        <f>INT(P1692/$S$15/O1692*VLOOKUP(J1692,[1]人物技能基础!$N$3:$O$553,2,0)*$U$15)</f>
        <v>9</v>
      </c>
      <c r="R1692" s="12">
        <f t="shared" si="246"/>
        <v>112</v>
      </c>
    </row>
    <row r="1693" spans="1:18" x14ac:dyDescent="0.15">
      <c r="A1693" s="12">
        <v>1675</v>
      </c>
      <c r="B1693" s="12">
        <f t="shared" si="243"/>
        <v>9</v>
      </c>
      <c r="C1693" s="12">
        <f t="shared" si="244"/>
        <v>6.9023437499999991</v>
      </c>
      <c r="D1693" s="12">
        <f t="shared" si="238"/>
        <v>9.3788749999999865E-2</v>
      </c>
      <c r="E1693" s="12">
        <f>SUM($D$19:D1693)</f>
        <v>53.102343749999939</v>
      </c>
      <c r="F1693" s="12">
        <f t="shared" si="241"/>
        <v>597.55589060058605</v>
      </c>
      <c r="G1693" s="12">
        <f t="shared" si="242"/>
        <v>328.81231677246097</v>
      </c>
      <c r="H1693" s="12">
        <f t="shared" si="239"/>
        <v>2151200</v>
      </c>
      <c r="I1693" s="12">
        <f t="shared" si="240"/>
        <v>1183700</v>
      </c>
      <c r="J1693" s="12">
        <f>IF(A1693&lt;[3]关卡对接!$A$4,INDEX([3]关卡对接!$C$7:$C$141,A1693),MATCH(E1693,人物经验!$H$24:$H$573,1))</f>
        <v>549</v>
      </c>
      <c r="K1693" s="12">
        <f>IF([3]关卡对接!F1681="",INT(INDEX(人物经验!$J$24:$J$573,关卡!J1693)*关卡!$S$7),[3]关卡对接!F1681)</f>
        <v>53689</v>
      </c>
      <c r="L1693" s="12">
        <f t="shared" si="245"/>
        <v>2.6</v>
      </c>
      <c r="M1693" s="12">
        <f>L1693/[4]货币基础!$B$4</f>
        <v>260</v>
      </c>
      <c r="N1693" s="12">
        <f>IF(A1693&lt;[3]关卡对接!$A$4,INDEX([3]关卡对接!$E$7:$E$141,A1693),MATCH(E1693,人物经验!$H$24:$H$573,1))</f>
        <v>549</v>
      </c>
      <c r="O1693" s="12">
        <f>INDEX([2]关卡!$G$6:$G$2005,A1693)</f>
        <v>3</v>
      </c>
      <c r="P1693" s="13">
        <v>6</v>
      </c>
      <c r="Q1693" s="12">
        <f>INT(P1693/$S$15/O1693*VLOOKUP(J1693,[1]人物技能基础!$N$3:$O$553,2,0)*$U$15)</f>
        <v>9</v>
      </c>
      <c r="R1693" s="12">
        <f t="shared" si="246"/>
        <v>112</v>
      </c>
    </row>
    <row r="1694" spans="1:18" x14ac:dyDescent="0.15">
      <c r="A1694" s="12">
        <v>1676</v>
      </c>
      <c r="B1694" s="12">
        <f t="shared" si="243"/>
        <v>9</v>
      </c>
      <c r="C1694" s="12">
        <f t="shared" si="244"/>
        <v>6.9961799999999998</v>
      </c>
      <c r="D1694" s="12">
        <f t="shared" si="238"/>
        <v>9.3836250000000732E-2</v>
      </c>
      <c r="E1694" s="12">
        <f>SUM($D$19:D1694)</f>
        <v>53.196179999999941</v>
      </c>
      <c r="F1694" s="12">
        <f t="shared" si="241"/>
        <v>598.55844917886407</v>
      </c>
      <c r="G1694" s="12">
        <f t="shared" si="242"/>
        <v>329.25760117591994</v>
      </c>
      <c r="H1694" s="12">
        <f t="shared" si="239"/>
        <v>2154800</v>
      </c>
      <c r="I1694" s="12">
        <f t="shared" si="240"/>
        <v>1185300</v>
      </c>
      <c r="J1694" s="12">
        <f>IF(A1694&lt;[3]关卡对接!$A$4,INDEX([3]关卡对接!$C$7:$C$141,A1694),MATCH(E1694,人物经验!$H$24:$H$573,1))</f>
        <v>549</v>
      </c>
      <c r="K1694" s="12">
        <f>IF([3]关卡对接!F1682="",INT(INDEX(人物经验!$J$24:$J$573,关卡!J1694)*关卡!$S$7),[3]关卡对接!F1682)</f>
        <v>53689</v>
      </c>
      <c r="L1694" s="12">
        <f t="shared" si="245"/>
        <v>2.6</v>
      </c>
      <c r="M1694" s="12">
        <f>L1694/[4]货币基础!$B$4</f>
        <v>260</v>
      </c>
      <c r="N1694" s="12">
        <f>IF(A1694&lt;[3]关卡对接!$A$4,INDEX([3]关卡对接!$E$7:$E$141,A1694),MATCH(E1694,人物经验!$H$24:$H$573,1))</f>
        <v>549</v>
      </c>
      <c r="O1694" s="12">
        <f>INDEX([2]关卡!$G$6:$G$2005,A1694)</f>
        <v>3</v>
      </c>
      <c r="P1694" s="13">
        <v>6</v>
      </c>
      <c r="Q1694" s="12">
        <f>INT(P1694/$S$15/O1694*VLOOKUP(J1694,[1]人物技能基础!$N$3:$O$553,2,0)*$U$15)</f>
        <v>9</v>
      </c>
      <c r="R1694" s="12">
        <f t="shared" si="246"/>
        <v>112</v>
      </c>
    </row>
    <row r="1695" spans="1:18" x14ac:dyDescent="0.15">
      <c r="A1695" s="12">
        <v>1677</v>
      </c>
      <c r="B1695" s="12">
        <f t="shared" si="243"/>
        <v>9</v>
      </c>
      <c r="C1695" s="12">
        <f t="shared" si="244"/>
        <v>7.0900637499999988</v>
      </c>
      <c r="D1695" s="12">
        <f t="shared" si="238"/>
        <v>9.3883749999998933E-2</v>
      </c>
      <c r="E1695" s="12">
        <f>SUM($D$19:D1695)</f>
        <v>53.290063749999938</v>
      </c>
      <c r="F1695" s="12">
        <f t="shared" si="241"/>
        <v>599.56232544326008</v>
      </c>
      <c r="G1695" s="12">
        <f t="shared" si="242"/>
        <v>329.70334926893099</v>
      </c>
      <c r="H1695" s="12">
        <f t="shared" si="239"/>
        <v>2158400</v>
      </c>
      <c r="I1695" s="12">
        <f t="shared" si="240"/>
        <v>1186900</v>
      </c>
      <c r="J1695" s="12">
        <f>IF(A1695&lt;[3]关卡对接!$A$4,INDEX([3]关卡对接!$C$7:$C$141,A1695),MATCH(E1695,人物经验!$H$24:$H$573,1))</f>
        <v>549</v>
      </c>
      <c r="K1695" s="12">
        <f>IF([3]关卡对接!F1683="",INT(INDEX(人物经验!$J$24:$J$573,关卡!J1695)*关卡!$S$7),[3]关卡对接!F1683)</f>
        <v>53689</v>
      </c>
      <c r="L1695" s="12">
        <f t="shared" si="245"/>
        <v>2.6</v>
      </c>
      <c r="M1695" s="12">
        <f>L1695/[4]货币基础!$B$4</f>
        <v>260</v>
      </c>
      <c r="N1695" s="12">
        <f>IF(A1695&lt;[3]关卡对接!$A$4,INDEX([3]关卡对接!$E$7:$E$141,A1695),MATCH(E1695,人物经验!$H$24:$H$573,1))</f>
        <v>549</v>
      </c>
      <c r="O1695" s="12">
        <f>INDEX([2]关卡!$G$6:$G$2005,A1695)</f>
        <v>3</v>
      </c>
      <c r="P1695" s="13">
        <v>6</v>
      </c>
      <c r="Q1695" s="12">
        <f>INT(P1695/$S$15/O1695*VLOOKUP(J1695,[1]人物技能基础!$N$3:$O$553,2,0)*$U$15)</f>
        <v>9</v>
      </c>
      <c r="R1695" s="12">
        <f t="shared" si="246"/>
        <v>112</v>
      </c>
    </row>
    <row r="1696" spans="1:18" x14ac:dyDescent="0.15">
      <c r="A1696" s="12">
        <v>1678</v>
      </c>
      <c r="B1696" s="12">
        <f t="shared" si="243"/>
        <v>9</v>
      </c>
      <c r="C1696" s="12">
        <f t="shared" si="244"/>
        <v>7.1839950000000004</v>
      </c>
      <c r="D1696" s="12">
        <f t="shared" si="238"/>
        <v>9.3931250000001576E-2</v>
      </c>
      <c r="E1696" s="12">
        <f>SUM($D$19:D1696)</f>
        <v>53.383994999999942</v>
      </c>
      <c r="F1696" s="12">
        <f t="shared" si="241"/>
        <v>600.5675206221589</v>
      </c>
      <c r="G1696" s="12">
        <f t="shared" si="242"/>
        <v>330.1495614028949</v>
      </c>
      <c r="H1696" s="12">
        <f t="shared" si="239"/>
        <v>2162000</v>
      </c>
      <c r="I1696" s="12">
        <f t="shared" si="240"/>
        <v>1188500</v>
      </c>
      <c r="J1696" s="12">
        <f>IF(A1696&lt;[3]关卡对接!$A$4,INDEX([3]关卡对接!$C$7:$C$141,A1696),MATCH(E1696,人物经验!$H$24:$H$573,1))</f>
        <v>550</v>
      </c>
      <c r="K1696" s="12">
        <f>IF([3]关卡对接!F1684="",INT(INDEX(人物经验!$J$24:$J$573,关卡!J1696)*关卡!$S$7),[3]关卡对接!F1684)</f>
        <v>53960</v>
      </c>
      <c r="L1696" s="12">
        <f t="shared" si="245"/>
        <v>2.6</v>
      </c>
      <c r="M1696" s="12">
        <f>L1696/[4]货币基础!$B$4</f>
        <v>260</v>
      </c>
      <c r="N1696" s="12">
        <f>IF(A1696&lt;[3]关卡对接!$A$4,INDEX([3]关卡对接!$E$7:$E$141,A1696),MATCH(E1696,人物经验!$H$24:$H$573,1))</f>
        <v>550</v>
      </c>
      <c r="O1696" s="12">
        <f>INDEX([2]关卡!$G$6:$G$2005,A1696)</f>
        <v>3</v>
      </c>
      <c r="P1696" s="13">
        <v>6</v>
      </c>
      <c r="Q1696" s="12">
        <f>INT(P1696/$S$15/O1696*VLOOKUP(J1696,[1]人物技能基础!$N$3:$O$553,2,0)*$U$15)</f>
        <v>9</v>
      </c>
      <c r="R1696" s="12">
        <f t="shared" si="246"/>
        <v>112</v>
      </c>
    </row>
    <row r="1697" spans="1:18" x14ac:dyDescent="0.15">
      <c r="A1697" s="12">
        <v>1679</v>
      </c>
      <c r="B1697" s="12">
        <f t="shared" si="243"/>
        <v>9</v>
      </c>
      <c r="C1697" s="12">
        <f t="shared" si="244"/>
        <v>7.2779737499999992</v>
      </c>
      <c r="D1697" s="12">
        <f t="shared" si="238"/>
        <v>9.397874999999889E-2</v>
      </c>
      <c r="E1697" s="12">
        <f>SUM($D$19:D1697)</f>
        <v>53.47797374999994</v>
      </c>
      <c r="F1697" s="12">
        <f t="shared" si="241"/>
        <v>601.57403594454502</v>
      </c>
      <c r="G1697" s="12">
        <f t="shared" si="242"/>
        <v>330.59623792935599</v>
      </c>
      <c r="H1697" s="12">
        <f t="shared" si="239"/>
        <v>2165600</v>
      </c>
      <c r="I1697" s="12">
        <f t="shared" si="240"/>
        <v>1190100</v>
      </c>
      <c r="J1697" s="12">
        <f>IF(A1697&lt;[3]关卡对接!$A$4,INDEX([3]关卡对接!$C$7:$C$141,A1697),MATCH(E1697,人物经验!$H$24:$H$573,1))</f>
        <v>550</v>
      </c>
      <c r="K1697" s="12">
        <f>IF([3]关卡对接!F1685="",INT(INDEX(人物经验!$J$24:$J$573,关卡!J1697)*关卡!$S$7),[3]关卡对接!F1685)</f>
        <v>53960</v>
      </c>
      <c r="L1697" s="12">
        <f t="shared" si="245"/>
        <v>2.6</v>
      </c>
      <c r="M1697" s="12">
        <f>L1697/[4]货币基础!$B$4</f>
        <v>260</v>
      </c>
      <c r="N1697" s="12">
        <f>IF(A1697&lt;[3]关卡对接!$A$4,INDEX([3]关卡对接!$E$7:$E$141,A1697),MATCH(E1697,人物经验!$H$24:$H$573,1))</f>
        <v>550</v>
      </c>
      <c r="O1697" s="12">
        <f>INDEX([2]关卡!$G$6:$G$2005,A1697)</f>
        <v>3</v>
      </c>
      <c r="P1697" s="13">
        <v>6</v>
      </c>
      <c r="Q1697" s="12">
        <f>INT(P1697/$S$15/O1697*VLOOKUP(J1697,[1]人物技能基础!$N$3:$O$553,2,0)*$U$15)</f>
        <v>9</v>
      </c>
      <c r="R1697" s="12">
        <f t="shared" si="246"/>
        <v>112</v>
      </c>
    </row>
    <row r="1698" spans="1:18" x14ac:dyDescent="0.15">
      <c r="A1698" s="12">
        <v>1680</v>
      </c>
      <c r="B1698" s="12">
        <f t="shared" si="243"/>
        <v>9</v>
      </c>
      <c r="C1698" s="12">
        <f t="shared" si="244"/>
        <v>7.3719999999999999</v>
      </c>
      <c r="D1698" s="12">
        <f t="shared" si="238"/>
        <v>9.4026250000000644E-2</v>
      </c>
      <c r="E1698" s="12">
        <f>SUM($D$19:D1698)</f>
        <v>53.571999999999939</v>
      </c>
      <c r="F1698" s="12">
        <f t="shared" si="241"/>
        <v>602.5818726399998</v>
      </c>
      <c r="G1698" s="12">
        <f t="shared" si="242"/>
        <v>331.04337919999995</v>
      </c>
      <c r="H1698" s="12">
        <f t="shared" si="239"/>
        <v>2169200</v>
      </c>
      <c r="I1698" s="12">
        <f t="shared" si="240"/>
        <v>1191700</v>
      </c>
      <c r="J1698" s="12">
        <f>IF(A1698&lt;[3]关卡对接!$A$4,INDEX([3]关卡对接!$C$7:$C$141,A1698),MATCH(E1698,人物经验!$H$24:$H$573,1))</f>
        <v>550</v>
      </c>
      <c r="K1698" s="12">
        <f>IF([3]关卡对接!F1686="",INT(INDEX(人物经验!$J$24:$J$573,关卡!J1698)*关卡!$S$7),[3]关卡对接!F1686)</f>
        <v>53960</v>
      </c>
      <c r="L1698" s="12">
        <f t="shared" si="245"/>
        <v>2.6</v>
      </c>
      <c r="M1698" s="12">
        <f>L1698/[4]货币基础!$B$4</f>
        <v>260</v>
      </c>
      <c r="N1698" s="12">
        <f>IF(A1698&lt;[3]关卡对接!$A$4,INDEX([3]关卡对接!$E$7:$E$141,A1698),MATCH(E1698,人物经验!$H$24:$H$573,1))</f>
        <v>550</v>
      </c>
      <c r="O1698" s="12">
        <f>INDEX([2]关卡!$G$6:$G$2005,A1698)</f>
        <v>3</v>
      </c>
      <c r="P1698" s="13">
        <v>6</v>
      </c>
      <c r="Q1698" s="12">
        <f>INT(P1698/$S$15/O1698*VLOOKUP(J1698,[1]人物技能基础!$N$3:$O$553,2,0)*$U$15)</f>
        <v>9</v>
      </c>
      <c r="R1698" s="12">
        <f t="shared" si="246"/>
        <v>112</v>
      </c>
    </row>
    <row r="1699" spans="1:18" x14ac:dyDescent="0.15">
      <c r="A1699" s="12">
        <v>1681</v>
      </c>
      <c r="B1699" s="12">
        <f t="shared" si="243"/>
        <v>9</v>
      </c>
      <c r="C1699" s="12">
        <f t="shared" si="244"/>
        <v>7.4660737499999996</v>
      </c>
      <c r="D1699" s="12">
        <f t="shared" si="238"/>
        <v>9.4073749999999734E-2</v>
      </c>
      <c r="E1699" s="12">
        <f>SUM($D$19:D1699)</f>
        <v>53.666073749999939</v>
      </c>
      <c r="F1699" s="12">
        <f t="shared" si="241"/>
        <v>603.59103193870487</v>
      </c>
      <c r="G1699" s="12">
        <f t="shared" si="242"/>
        <v>331.49098556665598</v>
      </c>
      <c r="H1699" s="12">
        <f t="shared" si="239"/>
        <v>2172900</v>
      </c>
      <c r="I1699" s="12">
        <f t="shared" si="240"/>
        <v>1193300</v>
      </c>
      <c r="J1699" s="12">
        <f>IF(A1699&lt;[3]关卡对接!$A$4,INDEX([3]关卡对接!$C$7:$C$141,A1699),MATCH(E1699,人物经验!$H$24:$H$573,1))</f>
        <v>550</v>
      </c>
      <c r="K1699" s="12">
        <f>IF([3]关卡对接!F1687="",INT(INDEX(人物经验!$J$24:$J$573,关卡!J1699)*关卡!$S$7),[3]关卡对接!F1687)</f>
        <v>53960</v>
      </c>
      <c r="L1699" s="12">
        <f t="shared" si="245"/>
        <v>2.6</v>
      </c>
      <c r="M1699" s="12">
        <f>L1699/[4]货币基础!$B$4</f>
        <v>260</v>
      </c>
      <c r="N1699" s="12">
        <f>IF(A1699&lt;[3]关卡对接!$A$4,INDEX([3]关卡对接!$E$7:$E$141,A1699),MATCH(E1699,人物经验!$H$24:$H$573,1))</f>
        <v>550</v>
      </c>
      <c r="O1699" s="12">
        <f>INDEX([2]关卡!$G$6:$G$2005,A1699)</f>
        <v>3</v>
      </c>
      <c r="P1699" s="13">
        <v>6</v>
      </c>
      <c r="Q1699" s="12">
        <f>INT(P1699/$S$15/O1699*VLOOKUP(J1699,[1]人物技能基础!$N$3:$O$553,2,0)*$U$15)</f>
        <v>9</v>
      </c>
      <c r="R1699" s="12">
        <f t="shared" si="246"/>
        <v>112</v>
      </c>
    </row>
    <row r="1700" spans="1:18" x14ac:dyDescent="0.15">
      <c r="A1700" s="12">
        <v>1682</v>
      </c>
      <c r="B1700" s="12">
        <f t="shared" si="243"/>
        <v>9</v>
      </c>
      <c r="C1700" s="12">
        <f t="shared" si="244"/>
        <v>7.5601949999999993</v>
      </c>
      <c r="D1700" s="12">
        <f t="shared" si="238"/>
        <v>9.4121249999999712E-2</v>
      </c>
      <c r="E1700" s="12">
        <f>SUM($D$19:D1700)</f>
        <v>53.760194999999939</v>
      </c>
      <c r="F1700" s="12">
        <f t="shared" si="241"/>
        <v>604.60151507143905</v>
      </c>
      <c r="G1700" s="12">
        <f t="shared" si="242"/>
        <v>331.93905738129496</v>
      </c>
      <c r="H1700" s="12">
        <f t="shared" si="239"/>
        <v>2176500</v>
      </c>
      <c r="I1700" s="12">
        <f t="shared" si="240"/>
        <v>1194900</v>
      </c>
      <c r="J1700" s="12">
        <f>IF(A1700&lt;[3]关卡对接!$A$4,INDEX([3]关卡对接!$C$7:$C$141,A1700),MATCH(E1700,人物经验!$H$24:$H$573,1))</f>
        <v>550</v>
      </c>
      <c r="K1700" s="12">
        <f>IF([3]关卡对接!F1688="",INT(INDEX(人物经验!$J$24:$J$573,关卡!J1700)*关卡!$S$7),[3]关卡对接!F1688)</f>
        <v>53960</v>
      </c>
      <c r="L1700" s="12">
        <f t="shared" si="245"/>
        <v>2.6</v>
      </c>
      <c r="M1700" s="12">
        <f>L1700/[4]货币基础!$B$4</f>
        <v>260</v>
      </c>
      <c r="N1700" s="12">
        <f>IF(A1700&lt;[3]关卡对接!$A$4,INDEX([3]关卡对接!$E$7:$E$141,A1700),MATCH(E1700,人物经验!$H$24:$H$573,1))</f>
        <v>550</v>
      </c>
      <c r="O1700" s="12">
        <f>INDEX([2]关卡!$G$6:$G$2005,A1700)</f>
        <v>3</v>
      </c>
      <c r="P1700" s="13">
        <v>6</v>
      </c>
      <c r="Q1700" s="12">
        <f>INT(P1700/$S$15/O1700*VLOOKUP(J1700,[1]人物技能基础!$N$3:$O$553,2,0)*$U$15)</f>
        <v>9</v>
      </c>
      <c r="R1700" s="12">
        <f t="shared" si="246"/>
        <v>112</v>
      </c>
    </row>
    <row r="1701" spans="1:18" x14ac:dyDescent="0.15">
      <c r="A1701" s="12">
        <v>1683</v>
      </c>
      <c r="B1701" s="12">
        <f t="shared" si="243"/>
        <v>9</v>
      </c>
      <c r="C1701" s="12">
        <f t="shared" si="244"/>
        <v>7.6543637499999999</v>
      </c>
      <c r="D1701" s="12">
        <f t="shared" si="238"/>
        <v>9.4168750000000578E-2</v>
      </c>
      <c r="E1701" s="12">
        <f>SUM($D$19:D1701)</f>
        <v>53.854363749999941</v>
      </c>
      <c r="F1701" s="12">
        <f t="shared" si="241"/>
        <v>605.61332326958006</v>
      </c>
      <c r="G1701" s="12">
        <f t="shared" si="242"/>
        <v>332.387594996031</v>
      </c>
      <c r="H1701" s="12">
        <f t="shared" si="239"/>
        <v>2180200</v>
      </c>
      <c r="I1701" s="12">
        <f t="shared" si="240"/>
        <v>1196500</v>
      </c>
      <c r="J1701" s="12">
        <f>IF(A1701&lt;[3]关卡对接!$A$4,INDEX([3]关卡对接!$C$7:$C$141,A1701),MATCH(E1701,人物经验!$H$24:$H$573,1))</f>
        <v>550</v>
      </c>
      <c r="K1701" s="12">
        <f>IF([3]关卡对接!F1689="",INT(INDEX(人物经验!$J$24:$J$573,关卡!J1701)*关卡!$S$7),[3]关卡对接!F1689)</f>
        <v>53960</v>
      </c>
      <c r="L1701" s="12">
        <f t="shared" si="245"/>
        <v>2.6</v>
      </c>
      <c r="M1701" s="12">
        <f>L1701/[4]货币基础!$B$4</f>
        <v>260</v>
      </c>
      <c r="N1701" s="12">
        <f>IF(A1701&lt;[3]关卡对接!$A$4,INDEX([3]关卡对接!$E$7:$E$141,A1701),MATCH(E1701,人物经验!$H$24:$H$573,1))</f>
        <v>550</v>
      </c>
      <c r="O1701" s="12">
        <f>INDEX([2]关卡!$G$6:$G$2005,A1701)</f>
        <v>3</v>
      </c>
      <c r="P1701" s="13">
        <v>6</v>
      </c>
      <c r="Q1701" s="12">
        <f>INT(P1701/$S$15/O1701*VLOOKUP(J1701,[1]人物技能基础!$N$3:$O$553,2,0)*$U$15)</f>
        <v>9</v>
      </c>
      <c r="R1701" s="12">
        <f t="shared" si="246"/>
        <v>112</v>
      </c>
    </row>
    <row r="1702" spans="1:18" x14ac:dyDescent="0.15">
      <c r="A1702" s="12">
        <v>1684</v>
      </c>
      <c r="B1702" s="12">
        <f t="shared" si="243"/>
        <v>9</v>
      </c>
      <c r="C1702" s="12">
        <f t="shared" si="244"/>
        <v>7.7485799999999996</v>
      </c>
      <c r="D1702" s="12">
        <f t="shared" si="238"/>
        <v>9.4216249999999668E-2</v>
      </c>
      <c r="E1702" s="12">
        <f>SUM($D$19:D1702)</f>
        <v>53.948579999999943</v>
      </c>
      <c r="F1702" s="12">
        <f t="shared" si="241"/>
        <v>606.62645776510396</v>
      </c>
      <c r="G1702" s="12">
        <f t="shared" si="242"/>
        <v>332.83659876311998</v>
      </c>
      <c r="H1702" s="12">
        <f t="shared" si="239"/>
        <v>2183800</v>
      </c>
      <c r="I1702" s="12">
        <f t="shared" si="240"/>
        <v>1198200</v>
      </c>
      <c r="J1702" s="12">
        <f>IF(A1702&lt;[3]关卡对接!$A$4,INDEX([3]关卡对接!$C$7:$C$141,A1702),MATCH(E1702,人物经验!$H$24:$H$573,1))</f>
        <v>550</v>
      </c>
      <c r="K1702" s="12">
        <f>IF([3]关卡对接!F1690="",INT(INDEX(人物经验!$J$24:$J$573,关卡!J1702)*关卡!$S$7),[3]关卡对接!F1690)</f>
        <v>53960</v>
      </c>
      <c r="L1702" s="12">
        <f t="shared" si="245"/>
        <v>2.6</v>
      </c>
      <c r="M1702" s="12">
        <f>L1702/[4]货币基础!$B$4</f>
        <v>260</v>
      </c>
      <c r="N1702" s="12">
        <f>IF(A1702&lt;[3]关卡对接!$A$4,INDEX([3]关卡对接!$E$7:$E$141,A1702),MATCH(E1702,人物经验!$H$24:$H$573,1))</f>
        <v>550</v>
      </c>
      <c r="O1702" s="12">
        <f>INDEX([2]关卡!$G$6:$G$2005,A1702)</f>
        <v>3</v>
      </c>
      <c r="P1702" s="13">
        <v>6</v>
      </c>
      <c r="Q1702" s="12">
        <f>INT(P1702/$S$15/O1702*VLOOKUP(J1702,[1]人物技能基础!$N$3:$O$553,2,0)*$U$15)</f>
        <v>9</v>
      </c>
      <c r="R1702" s="12">
        <f t="shared" si="246"/>
        <v>112</v>
      </c>
    </row>
    <row r="1703" spans="1:18" x14ac:dyDescent="0.15">
      <c r="A1703" s="12">
        <v>1685</v>
      </c>
      <c r="B1703" s="12">
        <f t="shared" si="243"/>
        <v>9</v>
      </c>
      <c r="C1703" s="12">
        <f t="shared" si="244"/>
        <v>7.8428437500000001</v>
      </c>
      <c r="D1703" s="12">
        <f t="shared" si="238"/>
        <v>9.4263750000000535E-2</v>
      </c>
      <c r="E1703" s="12">
        <f>SUM($D$19:D1703)</f>
        <v>54.042843749999946</v>
      </c>
      <c r="F1703" s="12">
        <f t="shared" si="241"/>
        <v>607.64091979058594</v>
      </c>
      <c r="G1703" s="12">
        <f t="shared" si="242"/>
        <v>333.28606903496097</v>
      </c>
      <c r="H1703" s="12">
        <f t="shared" si="239"/>
        <v>2187500</v>
      </c>
      <c r="I1703" s="12">
        <f t="shared" si="240"/>
        <v>1199800</v>
      </c>
      <c r="J1703" s="12">
        <f>IF(A1703&lt;[3]关卡对接!$A$4,INDEX([3]关卡对接!$C$7:$C$141,A1703),MATCH(E1703,人物经验!$H$24:$H$573,1))</f>
        <v>550</v>
      </c>
      <c r="K1703" s="12">
        <f>IF([3]关卡对接!F1691="",INT(INDEX(人物经验!$J$24:$J$573,关卡!J1703)*关卡!$S$7),[3]关卡对接!F1691)</f>
        <v>53960</v>
      </c>
      <c r="L1703" s="12">
        <f t="shared" si="245"/>
        <v>2.6</v>
      </c>
      <c r="M1703" s="12">
        <f>L1703/[4]货币基础!$B$4</f>
        <v>260</v>
      </c>
      <c r="N1703" s="12">
        <f>IF(A1703&lt;[3]关卡对接!$A$4,INDEX([3]关卡对接!$E$7:$E$141,A1703),MATCH(E1703,人物经验!$H$24:$H$573,1))</f>
        <v>550</v>
      </c>
      <c r="O1703" s="12">
        <f>INDEX([2]关卡!$G$6:$G$2005,A1703)</f>
        <v>3</v>
      </c>
      <c r="P1703" s="13">
        <v>6</v>
      </c>
      <c r="Q1703" s="12">
        <f>INT(P1703/$S$15/O1703*VLOOKUP(J1703,[1]人物技能基础!$N$3:$O$553,2,0)*$U$15)</f>
        <v>9</v>
      </c>
      <c r="R1703" s="12">
        <f t="shared" si="246"/>
        <v>112</v>
      </c>
    </row>
    <row r="1704" spans="1:18" x14ac:dyDescent="0.15">
      <c r="A1704" s="12">
        <v>1686</v>
      </c>
      <c r="B1704" s="12">
        <f t="shared" si="243"/>
        <v>9</v>
      </c>
      <c r="C1704" s="12">
        <f t="shared" si="244"/>
        <v>7.9371549999999997</v>
      </c>
      <c r="D1704" s="12">
        <f t="shared" si="238"/>
        <v>9.4311249999999625E-2</v>
      </c>
      <c r="E1704" s="12">
        <f>SUM($D$19:D1704)</f>
        <v>54.137154999999943</v>
      </c>
      <c r="F1704" s="12">
        <f t="shared" si="241"/>
        <v>608.65671057919906</v>
      </c>
      <c r="G1704" s="12">
        <f t="shared" si="242"/>
        <v>333.73600616409493</v>
      </c>
      <c r="H1704" s="12">
        <f t="shared" si="239"/>
        <v>2191100</v>
      </c>
      <c r="I1704" s="12">
        <f t="shared" si="240"/>
        <v>1201400</v>
      </c>
      <c r="J1704" s="12">
        <f>IF(A1704&lt;[3]关卡对接!$A$4,INDEX([3]关卡对接!$C$7:$C$141,A1704),MATCH(E1704,人物经验!$H$24:$H$573,1))</f>
        <v>550</v>
      </c>
      <c r="K1704" s="12">
        <f>IF([3]关卡对接!F1692="",INT(INDEX(人物经验!$J$24:$J$573,关卡!J1704)*关卡!$S$7),[3]关卡对接!F1692)</f>
        <v>53960</v>
      </c>
      <c r="L1704" s="12">
        <f t="shared" si="245"/>
        <v>2.6</v>
      </c>
      <c r="M1704" s="12">
        <f>L1704/[4]货币基础!$B$4</f>
        <v>260</v>
      </c>
      <c r="N1704" s="12">
        <f>IF(A1704&lt;[3]关卡对接!$A$4,INDEX([3]关卡对接!$E$7:$E$141,A1704),MATCH(E1704,人物经验!$H$24:$H$573,1))</f>
        <v>550</v>
      </c>
      <c r="O1704" s="12">
        <f>INDEX([2]关卡!$G$6:$G$2005,A1704)</f>
        <v>3</v>
      </c>
      <c r="P1704" s="13">
        <v>6</v>
      </c>
      <c r="Q1704" s="12">
        <f>INT(P1704/$S$15/O1704*VLOOKUP(J1704,[1]人物技能基础!$N$3:$O$553,2,0)*$U$15)</f>
        <v>9</v>
      </c>
      <c r="R1704" s="12">
        <f t="shared" si="246"/>
        <v>112</v>
      </c>
    </row>
    <row r="1705" spans="1:18" x14ac:dyDescent="0.15">
      <c r="A1705" s="12">
        <v>1687</v>
      </c>
      <c r="B1705" s="12">
        <f t="shared" si="243"/>
        <v>9</v>
      </c>
      <c r="C1705" s="12">
        <f t="shared" si="244"/>
        <v>8.0315137500000002</v>
      </c>
      <c r="D1705" s="12">
        <f t="shared" si="238"/>
        <v>9.4358750000000491E-2</v>
      </c>
      <c r="E1705" s="12">
        <f>SUM($D$19:D1705)</f>
        <v>54.231513749999941</v>
      </c>
      <c r="F1705" s="12">
        <f t="shared" si="241"/>
        <v>609.67383136471494</v>
      </c>
      <c r="G1705" s="12">
        <f t="shared" si="242"/>
        <v>334.18641050320593</v>
      </c>
      <c r="H1705" s="12">
        <f t="shared" si="239"/>
        <v>2194800</v>
      </c>
      <c r="I1705" s="12">
        <f t="shared" si="240"/>
        <v>1203000</v>
      </c>
      <c r="J1705" s="12">
        <f>IF(A1705&lt;[3]关卡对接!$A$4,INDEX([3]关卡对接!$C$7:$C$141,A1705),MATCH(E1705,人物经验!$H$24:$H$573,1))</f>
        <v>550</v>
      </c>
      <c r="K1705" s="12">
        <f>IF([3]关卡对接!F1693="",INT(INDEX(人物经验!$J$24:$J$573,关卡!J1705)*关卡!$S$7),[3]关卡对接!F1693)</f>
        <v>53960</v>
      </c>
      <c r="L1705" s="12">
        <f t="shared" si="245"/>
        <v>2.6</v>
      </c>
      <c r="M1705" s="12">
        <f>L1705/[4]货币基础!$B$4</f>
        <v>260</v>
      </c>
      <c r="N1705" s="12">
        <f>IF(A1705&lt;[3]关卡对接!$A$4,INDEX([3]关卡对接!$E$7:$E$141,A1705),MATCH(E1705,人物经验!$H$24:$H$573,1))</f>
        <v>550</v>
      </c>
      <c r="O1705" s="12">
        <f>INDEX([2]关卡!$G$6:$G$2005,A1705)</f>
        <v>3</v>
      </c>
      <c r="P1705" s="13">
        <v>6</v>
      </c>
      <c r="Q1705" s="12">
        <f>INT(P1705/$S$15/O1705*VLOOKUP(J1705,[1]人物技能基础!$N$3:$O$553,2,0)*$U$15)</f>
        <v>9</v>
      </c>
      <c r="R1705" s="12">
        <f t="shared" si="246"/>
        <v>112</v>
      </c>
    </row>
    <row r="1706" spans="1:18" x14ac:dyDescent="0.15">
      <c r="A1706" s="12">
        <v>1688</v>
      </c>
      <c r="B1706" s="12">
        <f t="shared" si="243"/>
        <v>9</v>
      </c>
      <c r="C1706" s="12">
        <f t="shared" si="244"/>
        <v>8.1259200000000007</v>
      </c>
      <c r="D1706" s="12">
        <f t="shared" si="238"/>
        <v>9.4406250000000469E-2</v>
      </c>
      <c r="E1706" s="12">
        <f>SUM($D$19:D1706)</f>
        <v>54.32591999999994</v>
      </c>
      <c r="F1706" s="12">
        <f t="shared" si="241"/>
        <v>610.69228338150401</v>
      </c>
      <c r="G1706" s="12">
        <f t="shared" si="242"/>
        <v>334.63728240511995</v>
      </c>
      <c r="H1706" s="12">
        <f t="shared" si="239"/>
        <v>2198400</v>
      </c>
      <c r="I1706" s="12">
        <f t="shared" si="240"/>
        <v>1204600</v>
      </c>
      <c r="J1706" s="12">
        <f>IF(A1706&lt;[3]关卡对接!$A$4,INDEX([3]关卡对接!$C$7:$C$141,A1706),MATCH(E1706,人物经验!$H$24:$H$573,1))</f>
        <v>550</v>
      </c>
      <c r="K1706" s="12">
        <f>IF([3]关卡对接!F1694="",INT(INDEX(人物经验!$J$24:$J$573,关卡!J1706)*关卡!$S$7),[3]关卡对接!F1694)</f>
        <v>53960</v>
      </c>
      <c r="L1706" s="12">
        <f t="shared" si="245"/>
        <v>2.6</v>
      </c>
      <c r="M1706" s="12">
        <f>L1706/[4]货币基础!$B$4</f>
        <v>260</v>
      </c>
      <c r="N1706" s="12">
        <f>IF(A1706&lt;[3]关卡对接!$A$4,INDEX([3]关卡对接!$E$7:$E$141,A1706),MATCH(E1706,人物经验!$H$24:$H$573,1))</f>
        <v>550</v>
      </c>
      <c r="O1706" s="12">
        <f>INDEX([2]关卡!$G$6:$G$2005,A1706)</f>
        <v>3</v>
      </c>
      <c r="P1706" s="13">
        <v>6</v>
      </c>
      <c r="Q1706" s="12">
        <f>INT(P1706/$S$15/O1706*VLOOKUP(J1706,[1]人物技能基础!$N$3:$O$553,2,0)*$U$15)</f>
        <v>9</v>
      </c>
      <c r="R1706" s="12">
        <f t="shared" si="246"/>
        <v>112</v>
      </c>
    </row>
    <row r="1707" spans="1:18" x14ac:dyDescent="0.15">
      <c r="A1707" s="12">
        <v>1689</v>
      </c>
      <c r="B1707" s="12">
        <f t="shared" si="243"/>
        <v>9</v>
      </c>
      <c r="C1707" s="12">
        <f t="shared" si="244"/>
        <v>8.2203737499999985</v>
      </c>
      <c r="D1707" s="12">
        <f t="shared" si="238"/>
        <v>9.4453749999997783E-2</v>
      </c>
      <c r="E1707" s="12">
        <f>SUM($D$19:D1707)</f>
        <v>54.420373749999939</v>
      </c>
      <c r="F1707" s="12">
        <f t="shared" si="241"/>
        <v>611.71206786453502</v>
      </c>
      <c r="G1707" s="12">
        <f t="shared" si="242"/>
        <v>335.08862222280595</v>
      </c>
      <c r="H1707" s="12">
        <f t="shared" si="239"/>
        <v>2202100</v>
      </c>
      <c r="I1707" s="12">
        <f t="shared" si="240"/>
        <v>1206300</v>
      </c>
      <c r="J1707" s="12">
        <f>IF(A1707&lt;[3]关卡对接!$A$4,INDEX([3]关卡对接!$C$7:$C$141,A1707),MATCH(E1707,人物经验!$H$24:$H$573,1))</f>
        <v>550</v>
      </c>
      <c r="K1707" s="12">
        <f>IF([3]关卡对接!F1695="",INT(INDEX(人物经验!$J$24:$J$573,关卡!J1707)*关卡!$S$7),[3]关卡对接!F1695)</f>
        <v>53960</v>
      </c>
      <c r="L1707" s="12">
        <f t="shared" si="245"/>
        <v>2.6</v>
      </c>
      <c r="M1707" s="12">
        <f>L1707/[4]货币基础!$B$4</f>
        <v>260</v>
      </c>
      <c r="N1707" s="12">
        <f>IF(A1707&lt;[3]关卡对接!$A$4,INDEX([3]关卡对接!$E$7:$E$141,A1707),MATCH(E1707,人物经验!$H$24:$H$573,1))</f>
        <v>550</v>
      </c>
      <c r="O1707" s="12">
        <f>INDEX([2]关卡!$G$6:$G$2005,A1707)</f>
        <v>3</v>
      </c>
      <c r="P1707" s="13">
        <v>6</v>
      </c>
      <c r="Q1707" s="12">
        <f>INT(P1707/$S$15/O1707*VLOOKUP(J1707,[1]人物技能基础!$N$3:$O$553,2,0)*$U$15)</f>
        <v>9</v>
      </c>
      <c r="R1707" s="12">
        <f t="shared" si="246"/>
        <v>112</v>
      </c>
    </row>
    <row r="1708" spans="1:18" x14ac:dyDescent="0.15">
      <c r="A1708" s="12">
        <v>1690</v>
      </c>
      <c r="B1708" s="12">
        <f t="shared" si="243"/>
        <v>9</v>
      </c>
      <c r="C1708" s="12">
        <f t="shared" si="244"/>
        <v>8.3148749999999989</v>
      </c>
      <c r="D1708" s="12">
        <f t="shared" si="238"/>
        <v>9.4501250000000425E-2</v>
      </c>
      <c r="E1708" s="12">
        <f>SUM($D$19:D1708)</f>
        <v>54.51487499999994</v>
      </c>
      <c r="F1708" s="12">
        <f t="shared" si="241"/>
        <v>612.73318604937492</v>
      </c>
      <c r="G1708" s="12">
        <f t="shared" si="242"/>
        <v>335.54043030937498</v>
      </c>
      <c r="H1708" s="12">
        <f t="shared" si="239"/>
        <v>2205800</v>
      </c>
      <c r="I1708" s="12">
        <f t="shared" si="240"/>
        <v>1207900</v>
      </c>
      <c r="J1708" s="12">
        <f>IF(A1708&lt;[3]关卡对接!$A$4,INDEX([3]关卡对接!$C$7:$C$141,A1708),MATCH(E1708,人物经验!$H$24:$H$573,1))</f>
        <v>550</v>
      </c>
      <c r="K1708" s="12">
        <f>IF([3]关卡对接!F1696="",INT(INDEX(人物经验!$J$24:$J$573,关卡!J1708)*关卡!$S$7),[3]关卡对接!F1696)</f>
        <v>53960</v>
      </c>
      <c r="L1708" s="12">
        <f t="shared" si="245"/>
        <v>2.6</v>
      </c>
      <c r="M1708" s="12">
        <f>L1708/[4]货币基础!$B$4</f>
        <v>260</v>
      </c>
      <c r="N1708" s="12">
        <f>IF(A1708&lt;[3]关卡对接!$A$4,INDEX([3]关卡对接!$E$7:$E$141,A1708),MATCH(E1708,人物经验!$H$24:$H$573,1))</f>
        <v>550</v>
      </c>
      <c r="O1708" s="12">
        <f>INDEX([2]关卡!$G$6:$G$2005,A1708)</f>
        <v>3</v>
      </c>
      <c r="P1708" s="13">
        <v>6</v>
      </c>
      <c r="Q1708" s="12">
        <f>INT(P1708/$S$15/O1708*VLOOKUP(J1708,[1]人物技能基础!$N$3:$O$553,2,0)*$U$15)</f>
        <v>9</v>
      </c>
      <c r="R1708" s="12">
        <f t="shared" si="246"/>
        <v>112</v>
      </c>
    </row>
    <row r="1709" spans="1:18" x14ac:dyDescent="0.15">
      <c r="A1709" s="12">
        <v>1691</v>
      </c>
      <c r="B1709" s="12">
        <f t="shared" si="243"/>
        <v>9</v>
      </c>
      <c r="C1709" s="12">
        <f t="shared" si="244"/>
        <v>8.4094237499999984</v>
      </c>
      <c r="D1709" s="12">
        <f t="shared" si="238"/>
        <v>9.4548749999999515E-2</v>
      </c>
      <c r="E1709" s="12">
        <f>SUM($D$19:D1709)</f>
        <v>54.609423749999941</v>
      </c>
      <c r="F1709" s="12">
        <f t="shared" si="241"/>
        <v>613.75563917219006</v>
      </c>
      <c r="G1709" s="12">
        <f t="shared" si="242"/>
        <v>335.99270701808092</v>
      </c>
      <c r="H1709" s="12">
        <f t="shared" si="239"/>
        <v>2209500</v>
      </c>
      <c r="I1709" s="12">
        <f t="shared" si="240"/>
        <v>1209500</v>
      </c>
      <c r="J1709" s="12">
        <f>IF(A1709&lt;[3]关卡对接!$A$4,INDEX([3]关卡对接!$C$7:$C$141,A1709),MATCH(E1709,人物经验!$H$24:$H$573,1))</f>
        <v>550</v>
      </c>
      <c r="K1709" s="12">
        <f>IF([3]关卡对接!F1697="",INT(INDEX(人物经验!$J$24:$J$573,关卡!J1709)*关卡!$S$7),[3]关卡对接!F1697)</f>
        <v>53960</v>
      </c>
      <c r="L1709" s="12">
        <f t="shared" si="245"/>
        <v>2.6</v>
      </c>
      <c r="M1709" s="12">
        <f>L1709/[4]货币基础!$B$4</f>
        <v>260</v>
      </c>
      <c r="N1709" s="12">
        <f>IF(A1709&lt;[3]关卡对接!$A$4,INDEX([3]关卡对接!$E$7:$E$141,A1709),MATCH(E1709,人物经验!$H$24:$H$573,1))</f>
        <v>550</v>
      </c>
      <c r="O1709" s="12">
        <f>INDEX([2]关卡!$G$6:$G$2005,A1709)</f>
        <v>3</v>
      </c>
      <c r="P1709" s="13">
        <v>6</v>
      </c>
      <c r="Q1709" s="12">
        <f>INT(P1709/$S$15/O1709*VLOOKUP(J1709,[1]人物技能基础!$N$3:$O$553,2,0)*$U$15)</f>
        <v>9</v>
      </c>
      <c r="R1709" s="12">
        <f t="shared" si="246"/>
        <v>112</v>
      </c>
    </row>
    <row r="1710" spans="1:18" x14ac:dyDescent="0.15">
      <c r="A1710" s="12">
        <v>1692</v>
      </c>
      <c r="B1710" s="12">
        <f t="shared" si="243"/>
        <v>9</v>
      </c>
      <c r="C1710" s="12">
        <f t="shared" si="244"/>
        <v>8.5040199999999988</v>
      </c>
      <c r="D1710" s="12">
        <f t="shared" si="238"/>
        <v>9.4596250000000381E-2</v>
      </c>
      <c r="E1710" s="12">
        <f>SUM($D$19:D1710)</f>
        <v>54.704019999999943</v>
      </c>
      <c r="F1710" s="12">
        <f t="shared" si="241"/>
        <v>614.77942846974395</v>
      </c>
      <c r="G1710" s="12">
        <f t="shared" si="242"/>
        <v>336.44545270231998</v>
      </c>
      <c r="H1710" s="12">
        <f t="shared" si="239"/>
        <v>2213200</v>
      </c>
      <c r="I1710" s="12">
        <f t="shared" si="240"/>
        <v>1211200</v>
      </c>
      <c r="J1710" s="12">
        <f>IF(A1710&lt;[3]关卡对接!$A$4,INDEX([3]关卡对接!$C$7:$C$141,A1710),MATCH(E1710,人物经验!$H$24:$H$573,1))</f>
        <v>550</v>
      </c>
      <c r="K1710" s="12">
        <f>IF([3]关卡对接!F1698="",INT(INDEX(人物经验!$J$24:$J$573,关卡!J1710)*关卡!$S$7),[3]关卡对接!F1698)</f>
        <v>53960</v>
      </c>
      <c r="L1710" s="12">
        <f t="shared" si="245"/>
        <v>2.6</v>
      </c>
      <c r="M1710" s="12">
        <f>L1710/[4]货币基础!$B$4</f>
        <v>260</v>
      </c>
      <c r="N1710" s="12">
        <f>IF(A1710&lt;[3]关卡对接!$A$4,INDEX([3]关卡对接!$E$7:$E$141,A1710),MATCH(E1710,人物经验!$H$24:$H$573,1))</f>
        <v>550</v>
      </c>
      <c r="O1710" s="12">
        <f>INDEX([2]关卡!$G$6:$G$2005,A1710)</f>
        <v>3</v>
      </c>
      <c r="P1710" s="13">
        <v>6</v>
      </c>
      <c r="Q1710" s="12">
        <f>INT(P1710/$S$15/O1710*VLOOKUP(J1710,[1]人物技能基础!$N$3:$O$553,2,0)*$U$15)</f>
        <v>9</v>
      </c>
      <c r="R1710" s="12">
        <f t="shared" si="246"/>
        <v>112</v>
      </c>
    </row>
    <row r="1711" spans="1:18" x14ac:dyDescent="0.15">
      <c r="A1711" s="12">
        <v>1693</v>
      </c>
      <c r="B1711" s="12">
        <f t="shared" si="243"/>
        <v>9</v>
      </c>
      <c r="C1711" s="12">
        <f t="shared" si="244"/>
        <v>8.5986637500000001</v>
      </c>
      <c r="D1711" s="12">
        <f t="shared" si="238"/>
        <v>9.4643750000001248E-2</v>
      </c>
      <c r="E1711" s="12">
        <f>SUM($D$19:D1711)</f>
        <v>54.798663749999946</v>
      </c>
      <c r="F1711" s="12">
        <f t="shared" si="241"/>
        <v>615.80455517940004</v>
      </c>
      <c r="G1711" s="12">
        <f t="shared" si="242"/>
        <v>336.89866771563095</v>
      </c>
      <c r="H1711" s="12">
        <f t="shared" si="239"/>
        <v>2216800</v>
      </c>
      <c r="I1711" s="12">
        <f t="shared" si="240"/>
        <v>1212800</v>
      </c>
      <c r="J1711" s="12">
        <f>IF(A1711&lt;[3]关卡对接!$A$4,INDEX([3]关卡对接!$C$7:$C$141,A1711),MATCH(E1711,人物经验!$H$24:$H$573,1))</f>
        <v>550</v>
      </c>
      <c r="K1711" s="12">
        <f>IF([3]关卡对接!F1699="",INT(INDEX(人物经验!$J$24:$J$573,关卡!J1711)*关卡!$S$7),[3]关卡对接!F1699)</f>
        <v>53960</v>
      </c>
      <c r="L1711" s="12">
        <f t="shared" si="245"/>
        <v>2.6</v>
      </c>
      <c r="M1711" s="12">
        <f>L1711/[4]货币基础!$B$4</f>
        <v>260</v>
      </c>
      <c r="N1711" s="12">
        <f>IF(A1711&lt;[3]关卡对接!$A$4,INDEX([3]关卡对接!$E$7:$E$141,A1711),MATCH(E1711,人物经验!$H$24:$H$573,1))</f>
        <v>550</v>
      </c>
      <c r="O1711" s="12">
        <f>INDEX([2]关卡!$G$6:$G$2005,A1711)</f>
        <v>3</v>
      </c>
      <c r="P1711" s="13">
        <v>6</v>
      </c>
      <c r="Q1711" s="12">
        <f>INT(P1711/$S$15/O1711*VLOOKUP(J1711,[1]人物技能基础!$N$3:$O$553,2,0)*$U$15)</f>
        <v>9</v>
      </c>
      <c r="R1711" s="12">
        <f t="shared" si="246"/>
        <v>112</v>
      </c>
    </row>
    <row r="1712" spans="1:18" x14ac:dyDescent="0.15">
      <c r="A1712" s="12">
        <v>1694</v>
      </c>
      <c r="B1712" s="12">
        <f t="shared" si="243"/>
        <v>9</v>
      </c>
      <c r="C1712" s="12">
        <f t="shared" si="244"/>
        <v>8.6933550000000004</v>
      </c>
      <c r="D1712" s="12">
        <f t="shared" si="238"/>
        <v>9.4691250000000338E-2</v>
      </c>
      <c r="E1712" s="12">
        <f>SUM($D$19:D1712)</f>
        <v>54.893354999999943</v>
      </c>
      <c r="F1712" s="12">
        <f t="shared" si="241"/>
        <v>616.83102053911898</v>
      </c>
      <c r="G1712" s="12">
        <f t="shared" si="242"/>
        <v>337.35235241169494</v>
      </c>
      <c r="H1712" s="12">
        <f t="shared" si="239"/>
        <v>2220500</v>
      </c>
      <c r="I1712" s="12">
        <f t="shared" si="240"/>
        <v>1214400</v>
      </c>
      <c r="J1712" s="12">
        <f>IF(A1712&lt;[3]关卡对接!$A$4,INDEX([3]关卡对接!$C$7:$C$141,A1712),MATCH(E1712,人物经验!$H$24:$H$573,1))</f>
        <v>550</v>
      </c>
      <c r="K1712" s="12">
        <f>IF([3]关卡对接!F1700="",INT(INDEX(人物经验!$J$24:$J$573,关卡!J1712)*关卡!$S$7),[3]关卡对接!F1700)</f>
        <v>53960</v>
      </c>
      <c r="L1712" s="12">
        <f t="shared" si="245"/>
        <v>2.6</v>
      </c>
      <c r="M1712" s="12">
        <f>L1712/[4]货币基础!$B$4</f>
        <v>260</v>
      </c>
      <c r="N1712" s="12">
        <f>IF(A1712&lt;[3]关卡对接!$A$4,INDEX([3]关卡对接!$E$7:$E$141,A1712),MATCH(E1712,人物经验!$H$24:$H$573,1))</f>
        <v>550</v>
      </c>
      <c r="O1712" s="12">
        <f>INDEX([2]关卡!$G$6:$G$2005,A1712)</f>
        <v>3</v>
      </c>
      <c r="P1712" s="13">
        <v>6</v>
      </c>
      <c r="Q1712" s="12">
        <f>INT(P1712/$S$15/O1712*VLOOKUP(J1712,[1]人物技能基础!$N$3:$O$553,2,0)*$U$15)</f>
        <v>9</v>
      </c>
      <c r="R1712" s="12">
        <f t="shared" si="246"/>
        <v>112</v>
      </c>
    </row>
    <row r="1713" spans="1:18" x14ac:dyDescent="0.15">
      <c r="A1713" s="12">
        <v>1695</v>
      </c>
      <c r="B1713" s="12">
        <f t="shared" si="243"/>
        <v>9</v>
      </c>
      <c r="C1713" s="12">
        <f t="shared" si="244"/>
        <v>8.7880937499999998</v>
      </c>
      <c r="D1713" s="12">
        <f t="shared" si="238"/>
        <v>9.4738749999999428E-2</v>
      </c>
      <c r="E1713" s="12">
        <f>SUM($D$19:D1713)</f>
        <v>54.98809374999994</v>
      </c>
      <c r="F1713" s="12">
        <f t="shared" si="241"/>
        <v>617.85882578746111</v>
      </c>
      <c r="G1713" s="12">
        <f t="shared" si="242"/>
        <v>337.80650714433597</v>
      </c>
      <c r="H1713" s="12">
        <f t="shared" si="239"/>
        <v>2224200</v>
      </c>
      <c r="I1713" s="12">
        <f t="shared" si="240"/>
        <v>1216100</v>
      </c>
      <c r="J1713" s="12">
        <f>IF(A1713&lt;[3]关卡对接!$A$4,INDEX([3]关卡对接!$C$7:$C$141,A1713),MATCH(E1713,人物经验!$H$24:$H$573,1))</f>
        <v>550</v>
      </c>
      <c r="K1713" s="12">
        <f>IF([3]关卡对接!F1701="",INT(INDEX(人物经验!$J$24:$J$573,关卡!J1713)*关卡!$S$7),[3]关卡对接!F1701)</f>
        <v>53960</v>
      </c>
      <c r="L1713" s="12">
        <f t="shared" si="245"/>
        <v>2.6</v>
      </c>
      <c r="M1713" s="12">
        <f>L1713/[4]货币基础!$B$4</f>
        <v>260</v>
      </c>
      <c r="N1713" s="12">
        <f>IF(A1713&lt;[3]关卡对接!$A$4,INDEX([3]关卡对接!$E$7:$E$141,A1713),MATCH(E1713,人物经验!$H$24:$H$573,1))</f>
        <v>550</v>
      </c>
      <c r="O1713" s="12">
        <f>INDEX([2]关卡!$G$6:$G$2005,A1713)</f>
        <v>3</v>
      </c>
      <c r="P1713" s="13">
        <v>6</v>
      </c>
      <c r="Q1713" s="12">
        <f>INT(P1713/$S$15/O1713*VLOOKUP(J1713,[1]人物技能基础!$N$3:$O$553,2,0)*$U$15)</f>
        <v>9</v>
      </c>
      <c r="R1713" s="12">
        <f t="shared" si="246"/>
        <v>112</v>
      </c>
    </row>
    <row r="1714" spans="1:18" x14ac:dyDescent="0.15">
      <c r="A1714" s="12">
        <v>1696</v>
      </c>
      <c r="B1714" s="12">
        <f t="shared" si="243"/>
        <v>9</v>
      </c>
      <c r="C1714" s="12">
        <f t="shared" si="244"/>
        <v>8.8828799999999983</v>
      </c>
      <c r="D1714" s="12">
        <f t="shared" si="238"/>
        <v>9.4786249999998518E-2</v>
      </c>
      <c r="E1714" s="12">
        <f>SUM($D$19:D1714)</f>
        <v>55.082879999999939</v>
      </c>
      <c r="F1714" s="12">
        <f t="shared" si="241"/>
        <v>618.88797216358398</v>
      </c>
      <c r="G1714" s="12">
        <f t="shared" si="242"/>
        <v>338.26113226752</v>
      </c>
      <c r="H1714" s="12">
        <f t="shared" si="239"/>
        <v>2227900</v>
      </c>
      <c r="I1714" s="12">
        <f t="shared" si="240"/>
        <v>1217700</v>
      </c>
      <c r="J1714" s="12">
        <f>IF(A1714&lt;[3]关卡对接!$A$4,INDEX([3]关卡对接!$C$7:$C$141,A1714),MATCH(E1714,人物经验!$H$24:$H$573,1))</f>
        <v>550</v>
      </c>
      <c r="K1714" s="12">
        <f>IF([3]关卡对接!F1702="",INT(INDEX(人物经验!$J$24:$J$573,关卡!J1714)*关卡!$S$7),[3]关卡对接!F1702)</f>
        <v>53960</v>
      </c>
      <c r="L1714" s="12">
        <f t="shared" si="245"/>
        <v>2.6</v>
      </c>
      <c r="M1714" s="12">
        <f>L1714/[4]货币基础!$B$4</f>
        <v>260</v>
      </c>
      <c r="N1714" s="12">
        <f>IF(A1714&lt;[3]关卡对接!$A$4,INDEX([3]关卡对接!$E$7:$E$141,A1714),MATCH(E1714,人物经验!$H$24:$H$573,1))</f>
        <v>550</v>
      </c>
      <c r="O1714" s="12">
        <f>INDEX([2]关卡!$G$6:$G$2005,A1714)</f>
        <v>3</v>
      </c>
      <c r="P1714" s="13">
        <v>6</v>
      </c>
      <c r="Q1714" s="12">
        <f>INT(P1714/$S$15/O1714*VLOOKUP(J1714,[1]人物技能基础!$N$3:$O$553,2,0)*$U$15)</f>
        <v>9</v>
      </c>
      <c r="R1714" s="12">
        <f t="shared" si="246"/>
        <v>112</v>
      </c>
    </row>
    <row r="1715" spans="1:18" x14ac:dyDescent="0.15">
      <c r="A1715" s="12">
        <v>1697</v>
      </c>
      <c r="B1715" s="12">
        <f t="shared" si="243"/>
        <v>9</v>
      </c>
      <c r="C1715" s="12">
        <f t="shared" si="244"/>
        <v>8.9777137499999995</v>
      </c>
      <c r="D1715" s="12">
        <f t="shared" si="238"/>
        <v>9.483375000000116E-2</v>
      </c>
      <c r="E1715" s="12">
        <f>SUM($D$19:D1715)</f>
        <v>55.177713749999938</v>
      </c>
      <c r="F1715" s="12">
        <f t="shared" si="241"/>
        <v>619.91846090724505</v>
      </c>
      <c r="G1715" s="12">
        <f t="shared" si="242"/>
        <v>338.716228135356</v>
      </c>
      <c r="H1715" s="12">
        <f t="shared" si="239"/>
        <v>2231700</v>
      </c>
      <c r="I1715" s="12">
        <f t="shared" si="240"/>
        <v>1219300</v>
      </c>
      <c r="J1715" s="12">
        <f>IF(A1715&lt;[3]关卡对接!$A$4,INDEX([3]关卡对接!$C$7:$C$141,A1715),MATCH(E1715,人物经验!$H$24:$H$573,1))</f>
        <v>550</v>
      </c>
      <c r="K1715" s="12">
        <f>IF([3]关卡对接!F1703="",INT(INDEX(人物经验!$J$24:$J$573,关卡!J1715)*关卡!$S$7),[3]关卡对接!F1703)</f>
        <v>53960</v>
      </c>
      <c r="L1715" s="12">
        <f t="shared" si="245"/>
        <v>2.6</v>
      </c>
      <c r="M1715" s="12">
        <f>L1715/[4]货币基础!$B$4</f>
        <v>260</v>
      </c>
      <c r="N1715" s="12">
        <f>IF(A1715&lt;[3]关卡对接!$A$4,INDEX([3]关卡对接!$E$7:$E$141,A1715),MATCH(E1715,人物经验!$H$24:$H$573,1))</f>
        <v>550</v>
      </c>
      <c r="O1715" s="12">
        <f>INDEX([2]关卡!$G$6:$G$2005,A1715)</f>
        <v>3</v>
      </c>
      <c r="P1715" s="13">
        <v>6</v>
      </c>
      <c r="Q1715" s="12">
        <f>INT(P1715/$S$15/O1715*VLOOKUP(J1715,[1]人物技能基础!$N$3:$O$553,2,0)*$U$15)</f>
        <v>9</v>
      </c>
      <c r="R1715" s="12">
        <f t="shared" si="246"/>
        <v>112</v>
      </c>
    </row>
    <row r="1716" spans="1:18" x14ac:dyDescent="0.15">
      <c r="A1716" s="12">
        <v>1698</v>
      </c>
      <c r="B1716" s="12">
        <f t="shared" si="243"/>
        <v>9</v>
      </c>
      <c r="C1716" s="12">
        <f t="shared" si="244"/>
        <v>9.0725949999999997</v>
      </c>
      <c r="D1716" s="12">
        <f t="shared" si="238"/>
        <v>9.488125000000025E-2</v>
      </c>
      <c r="E1716" s="12">
        <f>SUM($D$19:D1716)</f>
        <v>55.272594999999939</v>
      </c>
      <c r="F1716" s="12">
        <f t="shared" si="241"/>
        <v>620.95029325879887</v>
      </c>
      <c r="G1716" s="12">
        <f t="shared" si="242"/>
        <v>339.17179510209496</v>
      </c>
      <c r="H1716" s="12">
        <f t="shared" si="239"/>
        <v>2235400</v>
      </c>
      <c r="I1716" s="12">
        <f t="shared" si="240"/>
        <v>1221000</v>
      </c>
      <c r="J1716" s="12">
        <f>IF(A1716&lt;[3]关卡对接!$A$4,INDEX([3]关卡对接!$C$7:$C$141,A1716),MATCH(E1716,人物经验!$H$24:$H$573,1))</f>
        <v>550</v>
      </c>
      <c r="K1716" s="12">
        <f>IF([3]关卡对接!F1704="",INT(INDEX(人物经验!$J$24:$J$573,关卡!J1716)*关卡!$S$7),[3]关卡对接!F1704)</f>
        <v>53960</v>
      </c>
      <c r="L1716" s="12">
        <f t="shared" si="245"/>
        <v>2.6</v>
      </c>
      <c r="M1716" s="12">
        <f>L1716/[4]货币基础!$B$4</f>
        <v>260</v>
      </c>
      <c r="N1716" s="12">
        <f>IF(A1716&lt;[3]关卡对接!$A$4,INDEX([3]关卡对接!$E$7:$E$141,A1716),MATCH(E1716,人物经验!$H$24:$H$573,1))</f>
        <v>550</v>
      </c>
      <c r="O1716" s="12">
        <f>INDEX([2]关卡!$G$6:$G$2005,A1716)</f>
        <v>3</v>
      </c>
      <c r="P1716" s="13">
        <v>6</v>
      </c>
      <c r="Q1716" s="12">
        <f>INT(P1716/$S$15/O1716*VLOOKUP(J1716,[1]人物技能基础!$N$3:$O$553,2,0)*$U$15)</f>
        <v>9</v>
      </c>
      <c r="R1716" s="12">
        <f t="shared" si="246"/>
        <v>112</v>
      </c>
    </row>
    <row r="1717" spans="1:18" x14ac:dyDescent="0.15">
      <c r="A1717" s="12">
        <v>1699</v>
      </c>
      <c r="B1717" s="12">
        <f t="shared" si="243"/>
        <v>9</v>
      </c>
      <c r="C1717" s="12">
        <f t="shared" si="244"/>
        <v>9.1675237499999991</v>
      </c>
      <c r="D1717" s="12">
        <f t="shared" si="238"/>
        <v>9.492874999999934E-2</v>
      </c>
      <c r="E1717" s="12">
        <f>SUM($D$19:D1717)</f>
        <v>55.36752374999994</v>
      </c>
      <c r="F1717" s="12">
        <f t="shared" si="241"/>
        <v>621.98347045920002</v>
      </c>
      <c r="G1717" s="12">
        <f t="shared" si="242"/>
        <v>339.62783352213097</v>
      </c>
      <c r="H1717" s="12">
        <f t="shared" si="239"/>
        <v>2239100</v>
      </c>
      <c r="I1717" s="12">
        <f t="shared" si="240"/>
        <v>1222600</v>
      </c>
      <c r="J1717" s="12">
        <f>IF(A1717&lt;[3]关卡对接!$A$4,INDEX([3]关卡对接!$C$7:$C$141,A1717),MATCH(E1717,人物经验!$H$24:$H$573,1))</f>
        <v>550</v>
      </c>
      <c r="K1717" s="12">
        <f>IF([3]关卡对接!F1705="",INT(INDEX(人物经验!$J$24:$J$573,关卡!J1717)*关卡!$S$7),[3]关卡对接!F1705)</f>
        <v>53960</v>
      </c>
      <c r="L1717" s="12">
        <f t="shared" si="245"/>
        <v>2.6</v>
      </c>
      <c r="M1717" s="12">
        <f>L1717/[4]货币基础!$B$4</f>
        <v>260</v>
      </c>
      <c r="N1717" s="12">
        <f>IF(A1717&lt;[3]关卡对接!$A$4,INDEX([3]关卡对接!$E$7:$E$141,A1717),MATCH(E1717,人物经验!$H$24:$H$573,1))</f>
        <v>550</v>
      </c>
      <c r="O1717" s="12">
        <f>INDEX([2]关卡!$G$6:$G$2005,A1717)</f>
        <v>3</v>
      </c>
      <c r="P1717" s="13">
        <v>6</v>
      </c>
      <c r="Q1717" s="12">
        <f>INT(P1717/$S$15/O1717*VLOOKUP(J1717,[1]人物技能基础!$N$3:$O$553,2,0)*$U$15)</f>
        <v>9</v>
      </c>
      <c r="R1717" s="12">
        <f t="shared" si="246"/>
        <v>112</v>
      </c>
    </row>
    <row r="1718" spans="1:18" x14ac:dyDescent="0.15">
      <c r="A1718" s="12">
        <v>1700</v>
      </c>
      <c r="B1718" s="12">
        <f t="shared" si="243"/>
        <v>9</v>
      </c>
      <c r="C1718" s="12">
        <f t="shared" si="244"/>
        <v>9.2624999999999993</v>
      </c>
      <c r="D1718" s="12">
        <f t="shared" si="238"/>
        <v>9.4976250000000206E-2</v>
      </c>
      <c r="E1718" s="12">
        <f>SUM($D$19:D1718)</f>
        <v>55.462499999999942</v>
      </c>
      <c r="F1718" s="12">
        <f t="shared" si="241"/>
        <v>623.01799374999996</v>
      </c>
      <c r="G1718" s="12">
        <f t="shared" si="242"/>
        <v>340.08434374999996</v>
      </c>
      <c r="H1718" s="12">
        <f t="shared" si="239"/>
        <v>2242800</v>
      </c>
      <c r="I1718" s="12">
        <f t="shared" si="240"/>
        <v>1224300</v>
      </c>
      <c r="J1718" s="12">
        <f>IF(A1718&lt;[3]关卡对接!$A$4,INDEX([3]关卡对接!$C$7:$C$141,A1718),MATCH(E1718,人物经验!$H$24:$H$573,1))</f>
        <v>550</v>
      </c>
      <c r="K1718" s="12">
        <f>IF([3]关卡对接!F1706="",INT(INDEX(人物经验!$J$24:$J$573,关卡!J1718)*关卡!$S$7),[3]关卡对接!F1706)</f>
        <v>53960</v>
      </c>
      <c r="L1718" s="12">
        <f t="shared" si="245"/>
        <v>2.6</v>
      </c>
      <c r="M1718" s="12">
        <f>L1718/[4]货币基础!$B$4</f>
        <v>260</v>
      </c>
      <c r="N1718" s="12">
        <f>IF(A1718&lt;[3]关卡对接!$A$4,INDEX([3]关卡对接!$E$7:$E$141,A1718),MATCH(E1718,人物经验!$H$24:$H$573,1))</f>
        <v>550</v>
      </c>
      <c r="O1718" s="12">
        <f>INDEX([2]关卡!$G$6:$G$2005,A1718)</f>
        <v>3</v>
      </c>
      <c r="P1718" s="13">
        <v>6</v>
      </c>
      <c r="Q1718" s="12">
        <f>INT(P1718/$S$15/O1718*VLOOKUP(J1718,[1]人物技能基础!$N$3:$O$553,2,0)*$U$15)</f>
        <v>9</v>
      </c>
      <c r="R1718" s="12">
        <f t="shared" si="246"/>
        <v>112</v>
      </c>
    </row>
    <row r="1719" spans="1:18" x14ac:dyDescent="0.15">
      <c r="A1719" s="12">
        <v>1701</v>
      </c>
      <c r="B1719" s="12">
        <f t="shared" si="243"/>
        <v>9</v>
      </c>
      <c r="C1719" s="12">
        <f t="shared" si="244"/>
        <v>9.3575237499999986</v>
      </c>
      <c r="D1719" s="12">
        <f t="shared" si="238"/>
        <v>9.5023749999999296E-2</v>
      </c>
      <c r="E1719" s="12">
        <f>SUM($D$19:D1719)</f>
        <v>55.557523749999945</v>
      </c>
      <c r="F1719" s="12">
        <f t="shared" si="241"/>
        <v>624.05386437335005</v>
      </c>
      <c r="G1719" s="12">
        <f t="shared" si="242"/>
        <v>340.54132614038099</v>
      </c>
      <c r="H1719" s="12">
        <f t="shared" si="239"/>
        <v>2246500</v>
      </c>
      <c r="I1719" s="12">
        <f t="shared" si="240"/>
        <v>1225900</v>
      </c>
      <c r="J1719" s="12">
        <f>IF(A1719&lt;[3]关卡对接!$A$4,INDEX([3]关卡对接!$C$7:$C$141,A1719),MATCH(E1719,人物经验!$H$24:$H$573,1))</f>
        <v>550</v>
      </c>
      <c r="K1719" s="12">
        <f>IF([3]关卡对接!F1707="",INT(INDEX(人物经验!$J$24:$J$573,关卡!J1719)*关卡!$S$7),[3]关卡对接!F1707)</f>
        <v>53960</v>
      </c>
      <c r="L1719" s="12">
        <f t="shared" si="245"/>
        <v>2.6</v>
      </c>
      <c r="M1719" s="12">
        <f>L1719/[4]货币基础!$B$4</f>
        <v>260</v>
      </c>
      <c r="N1719" s="12">
        <f>IF(A1719&lt;[3]关卡对接!$A$4,INDEX([3]关卡对接!$E$7:$E$141,A1719),MATCH(E1719,人物经验!$H$24:$H$573,1))</f>
        <v>550</v>
      </c>
      <c r="O1719" s="12">
        <f>INDEX([2]关卡!$G$6:$G$2005,A1719)</f>
        <v>3</v>
      </c>
      <c r="P1719" s="13">
        <v>6</v>
      </c>
      <c r="Q1719" s="12">
        <f>INT(P1719/$S$15/O1719*VLOOKUP(J1719,[1]人物技能基础!$N$3:$O$553,2,0)*$U$15)</f>
        <v>9</v>
      </c>
      <c r="R1719" s="12">
        <f t="shared" si="246"/>
        <v>112</v>
      </c>
    </row>
    <row r="1720" spans="1:18" x14ac:dyDescent="0.15">
      <c r="A1720" s="12">
        <v>1702</v>
      </c>
      <c r="B1720" s="12">
        <f t="shared" si="243"/>
        <v>9</v>
      </c>
      <c r="C1720" s="12">
        <f t="shared" si="244"/>
        <v>9.4525949999999987</v>
      </c>
      <c r="D1720" s="12">
        <f t="shared" si="238"/>
        <v>9.5071250000000163E-2</v>
      </c>
      <c r="E1720" s="12">
        <f>SUM($D$19:D1720)</f>
        <v>55.652594999999948</v>
      </c>
      <c r="F1720" s="12">
        <f t="shared" si="241"/>
        <v>625.09108357199898</v>
      </c>
      <c r="G1720" s="12">
        <f t="shared" si="242"/>
        <v>340.99878104809494</v>
      </c>
      <c r="H1720" s="12">
        <f t="shared" si="239"/>
        <v>2250300</v>
      </c>
      <c r="I1720" s="12">
        <f t="shared" si="240"/>
        <v>1227500</v>
      </c>
      <c r="J1720" s="12">
        <f>IF(A1720&lt;[3]关卡对接!$A$4,INDEX([3]关卡对接!$C$7:$C$141,A1720),MATCH(E1720,人物经验!$H$24:$H$573,1))</f>
        <v>550</v>
      </c>
      <c r="K1720" s="12">
        <f>IF([3]关卡对接!F1708="",INT(INDEX(人物经验!$J$24:$J$573,关卡!J1720)*关卡!$S$7),[3]关卡对接!F1708)</f>
        <v>53960</v>
      </c>
      <c r="L1720" s="12">
        <f t="shared" si="245"/>
        <v>2.6</v>
      </c>
      <c r="M1720" s="12">
        <f>L1720/[4]货币基础!$B$4</f>
        <v>260</v>
      </c>
      <c r="N1720" s="12">
        <f>IF(A1720&lt;[3]关卡对接!$A$4,INDEX([3]关卡对接!$E$7:$E$141,A1720),MATCH(E1720,人物经验!$H$24:$H$573,1))</f>
        <v>550</v>
      </c>
      <c r="O1720" s="12">
        <f>INDEX([2]关卡!$G$6:$G$2005,A1720)</f>
        <v>3</v>
      </c>
      <c r="P1720" s="13">
        <v>6</v>
      </c>
      <c r="Q1720" s="12">
        <f>INT(P1720/$S$15/O1720*VLOOKUP(J1720,[1]人物技能基础!$N$3:$O$553,2,0)*$U$15)</f>
        <v>9</v>
      </c>
      <c r="R1720" s="12">
        <f t="shared" si="246"/>
        <v>112</v>
      </c>
    </row>
    <row r="1721" spans="1:18" x14ac:dyDescent="0.15">
      <c r="A1721" s="12">
        <v>1703</v>
      </c>
      <c r="B1721" s="12">
        <f t="shared" si="243"/>
        <v>9</v>
      </c>
      <c r="C1721" s="12">
        <f t="shared" si="244"/>
        <v>9.5477137499999998</v>
      </c>
      <c r="D1721" s="12">
        <f t="shared" si="238"/>
        <v>9.5118750000001029E-2</v>
      </c>
      <c r="E1721" s="12">
        <f>SUM($D$19:D1721)</f>
        <v>55.747713749999946</v>
      </c>
      <c r="F1721" s="12">
        <f t="shared" si="241"/>
        <v>626.12965258929512</v>
      </c>
      <c r="G1721" s="12">
        <f t="shared" si="242"/>
        <v>341.45670882810595</v>
      </c>
      <c r="H1721" s="12">
        <f t="shared" si="239"/>
        <v>2254000</v>
      </c>
      <c r="I1721" s="12">
        <f t="shared" si="240"/>
        <v>1229200</v>
      </c>
      <c r="J1721" s="12">
        <f>IF(A1721&lt;[3]关卡对接!$A$4,INDEX([3]关卡对接!$C$7:$C$141,A1721),MATCH(E1721,人物经验!$H$24:$H$573,1))</f>
        <v>550</v>
      </c>
      <c r="K1721" s="12">
        <f>IF([3]关卡对接!F1709="",INT(INDEX(人物经验!$J$24:$J$573,关卡!J1721)*关卡!$S$7),[3]关卡对接!F1709)</f>
        <v>53960</v>
      </c>
      <c r="L1721" s="12">
        <f t="shared" si="245"/>
        <v>2.6</v>
      </c>
      <c r="M1721" s="12">
        <f>L1721/[4]货币基础!$B$4</f>
        <v>260</v>
      </c>
      <c r="N1721" s="12">
        <f>IF(A1721&lt;[3]关卡对接!$A$4,INDEX([3]关卡对接!$E$7:$E$141,A1721),MATCH(E1721,人物经验!$H$24:$H$573,1))</f>
        <v>550</v>
      </c>
      <c r="O1721" s="12">
        <f>INDEX([2]关卡!$G$6:$G$2005,A1721)</f>
        <v>3</v>
      </c>
      <c r="P1721" s="13">
        <v>6</v>
      </c>
      <c r="Q1721" s="12">
        <f>INT(P1721/$S$15/O1721*VLOOKUP(J1721,[1]人物技能基础!$N$3:$O$553,2,0)*$U$15)</f>
        <v>9</v>
      </c>
      <c r="R1721" s="12">
        <f t="shared" si="246"/>
        <v>112</v>
      </c>
    </row>
    <row r="1722" spans="1:18" x14ac:dyDescent="0.15">
      <c r="A1722" s="12">
        <v>1704</v>
      </c>
      <c r="B1722" s="12">
        <f t="shared" si="243"/>
        <v>9</v>
      </c>
      <c r="C1722" s="12">
        <f t="shared" si="244"/>
        <v>9.6428799999999999</v>
      </c>
      <c r="D1722" s="12">
        <f t="shared" si="238"/>
        <v>9.5166250000000119E-2</v>
      </c>
      <c r="E1722" s="12">
        <f>SUM($D$19:D1722)</f>
        <v>55.842879999999944</v>
      </c>
      <c r="F1722" s="12">
        <f t="shared" si="241"/>
        <v>627.16957266918394</v>
      </c>
      <c r="G1722" s="12">
        <f t="shared" si="242"/>
        <v>341.91510983551996</v>
      </c>
      <c r="H1722" s="12">
        <f t="shared" si="239"/>
        <v>2257800</v>
      </c>
      <c r="I1722" s="12">
        <f t="shared" si="240"/>
        <v>1230800</v>
      </c>
      <c r="J1722" s="12">
        <f>IF(A1722&lt;[3]关卡对接!$A$4,INDEX([3]关卡对接!$C$7:$C$141,A1722),MATCH(E1722,人物经验!$H$24:$H$573,1))</f>
        <v>550</v>
      </c>
      <c r="K1722" s="12">
        <f>IF([3]关卡对接!F1710="",INT(INDEX(人物经验!$J$24:$J$573,关卡!J1722)*关卡!$S$7),[3]关卡对接!F1710)</f>
        <v>53960</v>
      </c>
      <c r="L1722" s="12">
        <f t="shared" si="245"/>
        <v>2.6</v>
      </c>
      <c r="M1722" s="12">
        <f>L1722/[4]货币基础!$B$4</f>
        <v>260</v>
      </c>
      <c r="N1722" s="12">
        <f>IF(A1722&lt;[3]关卡对接!$A$4,INDEX([3]关卡对接!$E$7:$E$141,A1722),MATCH(E1722,人物经验!$H$24:$H$573,1))</f>
        <v>550</v>
      </c>
      <c r="O1722" s="12">
        <f>INDEX([2]关卡!$G$6:$G$2005,A1722)</f>
        <v>3</v>
      </c>
      <c r="P1722" s="13">
        <v>6</v>
      </c>
      <c r="Q1722" s="12">
        <f>INT(P1722/$S$15/O1722*VLOOKUP(J1722,[1]人物技能基础!$N$3:$O$553,2,0)*$U$15)</f>
        <v>9</v>
      </c>
      <c r="R1722" s="12">
        <f t="shared" si="246"/>
        <v>112</v>
      </c>
    </row>
    <row r="1723" spans="1:18" x14ac:dyDescent="0.15">
      <c r="A1723" s="12">
        <v>1705</v>
      </c>
      <c r="B1723" s="12">
        <f t="shared" si="243"/>
        <v>9</v>
      </c>
      <c r="C1723" s="12">
        <f t="shared" si="244"/>
        <v>9.7380937499999991</v>
      </c>
      <c r="D1723" s="12">
        <f t="shared" ref="D1723:D1786" si="247">IF(ISNA(MATCH(A1723,$A$6:$A$15,0)),C1723-C1722,C1723)</f>
        <v>9.5213749999999209E-2</v>
      </c>
      <c r="E1723" s="12">
        <f>SUM($D$19:D1723)</f>
        <v>55.938093749999943</v>
      </c>
      <c r="F1723" s="12">
        <f t="shared" si="241"/>
        <v>628.21084505621116</v>
      </c>
      <c r="G1723" s="12">
        <f t="shared" si="242"/>
        <v>342.373984425586</v>
      </c>
      <c r="H1723" s="12">
        <f t="shared" ref="H1723:H1786" si="248">INT(F1723*60*60/100)*100</f>
        <v>2261500</v>
      </c>
      <c r="I1723" s="12">
        <f t="shared" ref="I1723:I1786" si="249">INT(G1723*60*60/100)*100</f>
        <v>1232500</v>
      </c>
      <c r="J1723" s="12">
        <f>IF(A1723&lt;[3]关卡对接!$A$4,INDEX([3]关卡对接!$C$7:$C$141,A1723),MATCH(E1723,人物经验!$H$24:$H$573,1))</f>
        <v>550</v>
      </c>
      <c r="K1723" s="12">
        <f>IF([3]关卡对接!F1711="",INT(INDEX(人物经验!$J$24:$J$573,关卡!J1723)*关卡!$S$7),[3]关卡对接!F1711)</f>
        <v>53960</v>
      </c>
      <c r="L1723" s="12">
        <f t="shared" si="245"/>
        <v>2.6</v>
      </c>
      <c r="M1723" s="12">
        <f>L1723/[4]货币基础!$B$4</f>
        <v>260</v>
      </c>
      <c r="N1723" s="12">
        <f>IF(A1723&lt;[3]关卡对接!$A$4,INDEX([3]关卡对接!$E$7:$E$141,A1723),MATCH(E1723,人物经验!$H$24:$H$573,1))</f>
        <v>550</v>
      </c>
      <c r="O1723" s="12">
        <f>INDEX([2]关卡!$G$6:$G$2005,A1723)</f>
        <v>3</v>
      </c>
      <c r="P1723" s="13">
        <v>6</v>
      </c>
      <c r="Q1723" s="12">
        <f>INT(P1723/$S$15/O1723*VLOOKUP(J1723,[1]人物技能基础!$N$3:$O$553,2,0)*$U$15)</f>
        <v>9</v>
      </c>
      <c r="R1723" s="12">
        <f t="shared" si="246"/>
        <v>112</v>
      </c>
    </row>
    <row r="1724" spans="1:18" x14ac:dyDescent="0.15">
      <c r="A1724" s="12">
        <v>1706</v>
      </c>
      <c r="B1724" s="12">
        <f t="shared" si="243"/>
        <v>9</v>
      </c>
      <c r="C1724" s="12">
        <f t="shared" si="244"/>
        <v>9.8333549999999992</v>
      </c>
      <c r="D1724" s="12">
        <f t="shared" si="247"/>
        <v>9.5261250000000075E-2</v>
      </c>
      <c r="E1724" s="12">
        <f>SUM($D$19:D1724)</f>
        <v>56.033354999999943</v>
      </c>
      <c r="F1724" s="12">
        <f t="shared" si="241"/>
        <v>629.25347099551902</v>
      </c>
      <c r="G1724" s="12">
        <f t="shared" si="242"/>
        <v>342.83333295369493</v>
      </c>
      <c r="H1724" s="12">
        <f t="shared" si="248"/>
        <v>2265300</v>
      </c>
      <c r="I1724" s="12">
        <f t="shared" si="249"/>
        <v>1234100</v>
      </c>
      <c r="J1724" s="12">
        <f>IF(A1724&lt;[3]关卡对接!$A$4,INDEX([3]关卡对接!$C$7:$C$141,A1724),MATCH(E1724,人物经验!$H$24:$H$573,1))</f>
        <v>550</v>
      </c>
      <c r="K1724" s="12">
        <f>IF([3]关卡对接!F1712="",INT(INDEX(人物经验!$J$24:$J$573,关卡!J1724)*关卡!$S$7),[3]关卡对接!F1712)</f>
        <v>53960</v>
      </c>
      <c r="L1724" s="12">
        <f t="shared" si="245"/>
        <v>2.6</v>
      </c>
      <c r="M1724" s="12">
        <f>L1724/[4]货币基础!$B$4</f>
        <v>260</v>
      </c>
      <c r="N1724" s="12">
        <f>IF(A1724&lt;[3]关卡对接!$A$4,INDEX([3]关卡对接!$E$7:$E$141,A1724),MATCH(E1724,人物经验!$H$24:$H$573,1))</f>
        <v>550</v>
      </c>
      <c r="O1724" s="12">
        <f>INDEX([2]关卡!$G$6:$G$2005,A1724)</f>
        <v>3</v>
      </c>
      <c r="P1724" s="13">
        <v>6</v>
      </c>
      <c r="Q1724" s="12">
        <f>INT(P1724/$S$15/O1724*VLOOKUP(J1724,[1]人物技能基础!$N$3:$O$553,2,0)*$U$15)</f>
        <v>9</v>
      </c>
      <c r="R1724" s="12">
        <f t="shared" si="246"/>
        <v>112</v>
      </c>
    </row>
    <row r="1725" spans="1:18" x14ac:dyDescent="0.15">
      <c r="A1725" s="12">
        <v>1707</v>
      </c>
      <c r="B1725" s="12">
        <f t="shared" si="243"/>
        <v>9</v>
      </c>
      <c r="C1725" s="12">
        <f t="shared" si="244"/>
        <v>9.9286637500000001</v>
      </c>
      <c r="D1725" s="12">
        <f t="shared" si="247"/>
        <v>9.5308750000000941E-2</v>
      </c>
      <c r="E1725" s="12">
        <f>SUM($D$19:D1725)</f>
        <v>56.128663749999944</v>
      </c>
      <c r="F1725" s="12">
        <f t="shared" si="241"/>
        <v>630.29745173285016</v>
      </c>
      <c r="G1725" s="12">
        <f t="shared" si="242"/>
        <v>343.29315577538102</v>
      </c>
      <c r="H1725" s="12">
        <f t="shared" si="248"/>
        <v>2269000</v>
      </c>
      <c r="I1725" s="12">
        <f t="shared" si="249"/>
        <v>1235800</v>
      </c>
      <c r="J1725" s="12">
        <f>IF(A1725&lt;[3]关卡对接!$A$4,INDEX([3]关卡对接!$C$7:$C$141,A1725),MATCH(E1725,人物经验!$H$24:$H$573,1))</f>
        <v>550</v>
      </c>
      <c r="K1725" s="12">
        <f>IF([3]关卡对接!F1713="",INT(INDEX(人物经验!$J$24:$J$573,关卡!J1725)*关卡!$S$7),[3]关卡对接!F1713)</f>
        <v>53960</v>
      </c>
      <c r="L1725" s="12">
        <f t="shared" si="245"/>
        <v>2.6</v>
      </c>
      <c r="M1725" s="12">
        <f>L1725/[4]货币基础!$B$4</f>
        <v>260</v>
      </c>
      <c r="N1725" s="12">
        <f>IF(A1725&lt;[3]关卡对接!$A$4,INDEX([3]关卡对接!$E$7:$E$141,A1725),MATCH(E1725,人物经验!$H$24:$H$573,1))</f>
        <v>550</v>
      </c>
      <c r="O1725" s="12">
        <f>INDEX([2]关卡!$G$6:$G$2005,A1725)</f>
        <v>3</v>
      </c>
      <c r="P1725" s="13">
        <v>6</v>
      </c>
      <c r="Q1725" s="12">
        <f>INT(P1725/$S$15/O1725*VLOOKUP(J1725,[1]人物技能基础!$N$3:$O$553,2,0)*$U$15)</f>
        <v>9</v>
      </c>
      <c r="R1725" s="12">
        <f t="shared" si="246"/>
        <v>112</v>
      </c>
    </row>
    <row r="1726" spans="1:18" x14ac:dyDescent="0.15">
      <c r="A1726" s="12">
        <v>1708</v>
      </c>
      <c r="B1726" s="12">
        <f t="shared" si="243"/>
        <v>9</v>
      </c>
      <c r="C1726" s="12">
        <f t="shared" si="244"/>
        <v>10.02402</v>
      </c>
      <c r="D1726" s="12">
        <f t="shared" si="247"/>
        <v>9.5356250000000031E-2</v>
      </c>
      <c r="E1726" s="12">
        <f>SUM($D$19:D1726)</f>
        <v>56.224019999999946</v>
      </c>
      <c r="F1726" s="12">
        <f t="shared" si="241"/>
        <v>631.34278851454394</v>
      </c>
      <c r="G1726" s="12">
        <f t="shared" si="242"/>
        <v>343.75345324631996</v>
      </c>
      <c r="H1726" s="12">
        <f t="shared" si="248"/>
        <v>2272800</v>
      </c>
      <c r="I1726" s="12">
        <f t="shared" si="249"/>
        <v>1237500</v>
      </c>
      <c r="J1726" s="12">
        <f>IF(A1726&lt;[3]关卡对接!$A$4,INDEX([3]关卡对接!$C$7:$C$141,A1726),MATCH(E1726,人物经验!$H$24:$H$573,1))</f>
        <v>550</v>
      </c>
      <c r="K1726" s="12">
        <f>IF([3]关卡对接!F1714="",INT(INDEX(人物经验!$J$24:$J$573,关卡!J1726)*关卡!$S$7),[3]关卡对接!F1714)</f>
        <v>53960</v>
      </c>
      <c r="L1726" s="12">
        <f t="shared" si="245"/>
        <v>2.6</v>
      </c>
      <c r="M1726" s="12">
        <f>L1726/[4]货币基础!$B$4</f>
        <v>260</v>
      </c>
      <c r="N1726" s="12">
        <f>IF(A1726&lt;[3]关卡对接!$A$4,INDEX([3]关卡对接!$E$7:$E$141,A1726),MATCH(E1726,人物经验!$H$24:$H$573,1))</f>
        <v>550</v>
      </c>
      <c r="O1726" s="12">
        <f>INDEX([2]关卡!$G$6:$G$2005,A1726)</f>
        <v>3</v>
      </c>
      <c r="P1726" s="13">
        <v>6</v>
      </c>
      <c r="Q1726" s="12">
        <f>INT(P1726/$S$15/O1726*VLOOKUP(J1726,[1]人物技能基础!$N$3:$O$553,2,0)*$U$15)</f>
        <v>9</v>
      </c>
      <c r="R1726" s="12">
        <f t="shared" si="246"/>
        <v>112</v>
      </c>
    </row>
    <row r="1727" spans="1:18" x14ac:dyDescent="0.15">
      <c r="A1727" s="12">
        <v>1709</v>
      </c>
      <c r="B1727" s="12">
        <f t="shared" si="243"/>
        <v>9</v>
      </c>
      <c r="C1727" s="12">
        <f t="shared" si="244"/>
        <v>10.119423750000001</v>
      </c>
      <c r="D1727" s="12">
        <f t="shared" si="247"/>
        <v>9.5403750000000898E-2</v>
      </c>
      <c r="E1727" s="12">
        <f>SUM($D$19:D1727)</f>
        <v>56.319423749999949</v>
      </c>
      <c r="F1727" s="12">
        <f t="shared" si="241"/>
        <v>632.38948258753999</v>
      </c>
      <c r="G1727" s="12">
        <f t="shared" si="242"/>
        <v>344.21422572233098</v>
      </c>
      <c r="H1727" s="12">
        <f t="shared" si="248"/>
        <v>2276600</v>
      </c>
      <c r="I1727" s="12">
        <f t="shared" si="249"/>
        <v>1239100</v>
      </c>
      <c r="J1727" s="12">
        <f>IF(A1727&lt;[3]关卡对接!$A$4,INDEX([3]关卡对接!$C$7:$C$141,A1727),MATCH(E1727,人物经验!$H$24:$H$573,1))</f>
        <v>550</v>
      </c>
      <c r="K1727" s="12">
        <f>IF([3]关卡对接!F1715="",INT(INDEX(人物经验!$J$24:$J$573,关卡!J1727)*关卡!$S$7),[3]关卡对接!F1715)</f>
        <v>53960</v>
      </c>
      <c r="L1727" s="12">
        <f t="shared" si="245"/>
        <v>2.6</v>
      </c>
      <c r="M1727" s="12">
        <f>L1727/[4]货币基础!$B$4</f>
        <v>260</v>
      </c>
      <c r="N1727" s="12">
        <f>IF(A1727&lt;[3]关卡对接!$A$4,INDEX([3]关卡对接!$E$7:$E$141,A1727),MATCH(E1727,人物经验!$H$24:$H$573,1))</f>
        <v>550</v>
      </c>
      <c r="O1727" s="12">
        <f>INDEX([2]关卡!$G$6:$G$2005,A1727)</f>
        <v>3</v>
      </c>
      <c r="P1727" s="13">
        <v>6</v>
      </c>
      <c r="Q1727" s="12">
        <f>INT(P1727/$S$15/O1727*VLOOKUP(J1727,[1]人物技能基础!$N$3:$O$553,2,0)*$U$15)</f>
        <v>9</v>
      </c>
      <c r="R1727" s="12">
        <f t="shared" si="246"/>
        <v>112</v>
      </c>
    </row>
    <row r="1728" spans="1:18" x14ac:dyDescent="0.15">
      <c r="A1728" s="12">
        <v>1710</v>
      </c>
      <c r="B1728" s="12">
        <f t="shared" si="243"/>
        <v>9</v>
      </c>
      <c r="C1728" s="12">
        <f t="shared" si="244"/>
        <v>10.214875000000001</v>
      </c>
      <c r="D1728" s="12">
        <f t="shared" si="247"/>
        <v>9.5451249999999987E-2</v>
      </c>
      <c r="E1728" s="12">
        <f>SUM($D$19:D1728)</f>
        <v>56.414874999999952</v>
      </c>
      <c r="F1728" s="12">
        <f t="shared" si="241"/>
        <v>633.43753519937479</v>
      </c>
      <c r="G1728" s="12">
        <f t="shared" si="242"/>
        <v>344.67547355937495</v>
      </c>
      <c r="H1728" s="12">
        <f t="shared" si="248"/>
        <v>2280300</v>
      </c>
      <c r="I1728" s="12">
        <f t="shared" si="249"/>
        <v>1240800</v>
      </c>
      <c r="J1728" s="12">
        <f>IF(A1728&lt;[3]关卡对接!$A$4,INDEX([3]关卡对接!$C$7:$C$141,A1728),MATCH(E1728,人物经验!$H$24:$H$573,1))</f>
        <v>550</v>
      </c>
      <c r="K1728" s="12">
        <f>IF([3]关卡对接!F1716="",INT(INDEX(人物经验!$J$24:$J$573,关卡!J1728)*关卡!$S$7),[3]关卡对接!F1716)</f>
        <v>53960</v>
      </c>
      <c r="L1728" s="12">
        <f t="shared" si="245"/>
        <v>2.6</v>
      </c>
      <c r="M1728" s="12">
        <f>L1728/[4]货币基础!$B$4</f>
        <v>260</v>
      </c>
      <c r="N1728" s="12">
        <f>IF(A1728&lt;[3]关卡对接!$A$4,INDEX([3]关卡对接!$E$7:$E$141,A1728),MATCH(E1728,人物经验!$H$24:$H$573,1))</f>
        <v>550</v>
      </c>
      <c r="O1728" s="12">
        <f>INDEX([2]关卡!$G$6:$G$2005,A1728)</f>
        <v>3</v>
      </c>
      <c r="P1728" s="13">
        <v>6</v>
      </c>
      <c r="Q1728" s="12">
        <f>INT(P1728/$S$15/O1728*VLOOKUP(J1728,[1]人物技能基础!$N$3:$O$553,2,0)*$U$15)</f>
        <v>9</v>
      </c>
      <c r="R1728" s="12">
        <f t="shared" si="246"/>
        <v>112</v>
      </c>
    </row>
    <row r="1729" spans="1:18" x14ac:dyDescent="0.15">
      <c r="A1729" s="12">
        <v>1711</v>
      </c>
      <c r="B1729" s="12">
        <f t="shared" si="243"/>
        <v>9</v>
      </c>
      <c r="C1729" s="12">
        <f t="shared" si="244"/>
        <v>10.31037375</v>
      </c>
      <c r="D1729" s="12">
        <f t="shared" si="247"/>
        <v>9.5498749999999077E-2</v>
      </c>
      <c r="E1729" s="12">
        <f>SUM($D$19:D1729)</f>
        <v>56.51037374999995</v>
      </c>
      <c r="F1729" s="12">
        <f t="shared" si="241"/>
        <v>634.486947598185</v>
      </c>
      <c r="G1729" s="12">
        <f t="shared" si="242"/>
        <v>345.13719711355594</v>
      </c>
      <c r="H1729" s="12">
        <f t="shared" si="248"/>
        <v>2284100</v>
      </c>
      <c r="I1729" s="12">
        <f t="shared" si="249"/>
        <v>1242400</v>
      </c>
      <c r="J1729" s="12">
        <f>IF(A1729&lt;[3]关卡对接!$A$4,INDEX([3]关卡对接!$C$7:$C$141,A1729),MATCH(E1729,人物经验!$H$24:$H$573,1))</f>
        <v>550</v>
      </c>
      <c r="K1729" s="12">
        <f>IF([3]关卡对接!F1717="",INT(INDEX(人物经验!$J$24:$J$573,关卡!J1729)*关卡!$S$7),[3]关卡对接!F1717)</f>
        <v>53960</v>
      </c>
      <c r="L1729" s="12">
        <f t="shared" si="245"/>
        <v>2.6</v>
      </c>
      <c r="M1729" s="12">
        <f>L1729/[4]货币基础!$B$4</f>
        <v>260</v>
      </c>
      <c r="N1729" s="12">
        <f>IF(A1729&lt;[3]关卡对接!$A$4,INDEX([3]关卡对接!$E$7:$E$141,A1729),MATCH(E1729,人物经验!$H$24:$H$573,1))</f>
        <v>550</v>
      </c>
      <c r="O1729" s="12">
        <f>INDEX([2]关卡!$G$6:$G$2005,A1729)</f>
        <v>3</v>
      </c>
      <c r="P1729" s="13">
        <v>6</v>
      </c>
      <c r="Q1729" s="12">
        <f>INT(P1729/$S$15/O1729*VLOOKUP(J1729,[1]人物技能基础!$N$3:$O$553,2,0)*$U$15)</f>
        <v>9</v>
      </c>
      <c r="R1729" s="12">
        <f t="shared" si="246"/>
        <v>112</v>
      </c>
    </row>
    <row r="1730" spans="1:18" x14ac:dyDescent="0.15">
      <c r="A1730" s="12">
        <v>1712</v>
      </c>
      <c r="B1730" s="12">
        <f t="shared" si="243"/>
        <v>9</v>
      </c>
      <c r="C1730" s="12">
        <f t="shared" si="244"/>
        <v>10.405920000000002</v>
      </c>
      <c r="D1730" s="12">
        <f t="shared" si="247"/>
        <v>9.554625000000172E-2</v>
      </c>
      <c r="E1730" s="12">
        <f>SUM($D$19:D1730)</f>
        <v>56.605919999999955</v>
      </c>
      <c r="F1730" s="12">
        <f t="shared" si="241"/>
        <v>635.53772103270387</v>
      </c>
      <c r="G1730" s="12">
        <f t="shared" si="242"/>
        <v>345.59939674111996</v>
      </c>
      <c r="H1730" s="12">
        <f t="shared" si="248"/>
        <v>2287900</v>
      </c>
      <c r="I1730" s="12">
        <f t="shared" si="249"/>
        <v>1244100</v>
      </c>
      <c r="J1730" s="12">
        <f>IF(A1730&lt;[3]关卡对接!$A$4,INDEX([3]关卡对接!$C$7:$C$141,A1730),MATCH(E1730,人物经验!$H$24:$H$573,1))</f>
        <v>550</v>
      </c>
      <c r="K1730" s="12">
        <f>IF([3]关卡对接!F1718="",INT(INDEX(人物经验!$J$24:$J$573,关卡!J1730)*关卡!$S$7),[3]关卡对接!F1718)</f>
        <v>53960</v>
      </c>
      <c r="L1730" s="12">
        <f t="shared" si="245"/>
        <v>2.6</v>
      </c>
      <c r="M1730" s="12">
        <f>L1730/[4]货币基础!$B$4</f>
        <v>260</v>
      </c>
      <c r="N1730" s="12">
        <f>IF(A1730&lt;[3]关卡对接!$A$4,INDEX([3]关卡对接!$E$7:$E$141,A1730),MATCH(E1730,人物经验!$H$24:$H$573,1))</f>
        <v>550</v>
      </c>
      <c r="O1730" s="12">
        <f>INDEX([2]关卡!$G$6:$G$2005,A1730)</f>
        <v>3</v>
      </c>
      <c r="P1730" s="13">
        <v>6</v>
      </c>
      <c r="Q1730" s="12">
        <f>INT(P1730/$S$15/O1730*VLOOKUP(J1730,[1]人物技能基础!$N$3:$O$553,2,0)*$U$15)</f>
        <v>9</v>
      </c>
      <c r="R1730" s="12">
        <f t="shared" si="246"/>
        <v>112</v>
      </c>
    </row>
    <row r="1731" spans="1:18" x14ac:dyDescent="0.15">
      <c r="A1731" s="12">
        <v>1713</v>
      </c>
      <c r="B1731" s="12">
        <f t="shared" si="243"/>
        <v>9</v>
      </c>
      <c r="C1731" s="12">
        <f t="shared" si="244"/>
        <v>10.501513749999999</v>
      </c>
      <c r="D1731" s="12">
        <f t="shared" si="247"/>
        <v>9.5593749999997257E-2</v>
      </c>
      <c r="E1731" s="12">
        <f>SUM($D$19:D1731)</f>
        <v>56.701513749999954</v>
      </c>
      <c r="F1731" s="12">
        <f t="shared" si="241"/>
        <v>636.58985675226506</v>
      </c>
      <c r="G1731" s="12">
        <f t="shared" si="242"/>
        <v>346.06207279845592</v>
      </c>
      <c r="H1731" s="12">
        <f t="shared" si="248"/>
        <v>2291700</v>
      </c>
      <c r="I1731" s="12">
        <f t="shared" si="249"/>
        <v>1245800</v>
      </c>
      <c r="J1731" s="12">
        <f>IF(A1731&lt;[3]关卡对接!$A$4,INDEX([3]关卡对接!$C$7:$C$141,A1731),MATCH(E1731,人物经验!$H$24:$H$573,1))</f>
        <v>550</v>
      </c>
      <c r="K1731" s="12">
        <f>IF([3]关卡对接!F1719="",INT(INDEX(人物经验!$J$24:$J$573,关卡!J1731)*关卡!$S$7),[3]关卡对接!F1719)</f>
        <v>53960</v>
      </c>
      <c r="L1731" s="12">
        <f t="shared" si="245"/>
        <v>2.6</v>
      </c>
      <c r="M1731" s="12">
        <f>L1731/[4]货币基础!$B$4</f>
        <v>260</v>
      </c>
      <c r="N1731" s="12">
        <f>IF(A1731&lt;[3]关卡对接!$A$4,INDEX([3]关卡对接!$E$7:$E$141,A1731),MATCH(E1731,人物经验!$H$24:$H$573,1))</f>
        <v>550</v>
      </c>
      <c r="O1731" s="12">
        <f>INDEX([2]关卡!$G$6:$G$2005,A1731)</f>
        <v>3</v>
      </c>
      <c r="P1731" s="13">
        <v>6</v>
      </c>
      <c r="Q1731" s="12">
        <f>INT(P1731/$S$15/O1731*VLOOKUP(J1731,[1]人物技能基础!$N$3:$O$553,2,0)*$U$15)</f>
        <v>9</v>
      </c>
      <c r="R1731" s="12">
        <f t="shared" si="246"/>
        <v>112</v>
      </c>
    </row>
    <row r="1732" spans="1:18" x14ac:dyDescent="0.15">
      <c r="A1732" s="12">
        <v>1714</v>
      </c>
      <c r="B1732" s="12">
        <f t="shared" si="243"/>
        <v>9</v>
      </c>
      <c r="C1732" s="12">
        <f t="shared" si="244"/>
        <v>10.597154999999999</v>
      </c>
      <c r="D1732" s="12">
        <f t="shared" si="247"/>
        <v>9.56412499999999E-2</v>
      </c>
      <c r="E1732" s="12">
        <f>SUM($D$19:D1732)</f>
        <v>56.797154999999954</v>
      </c>
      <c r="F1732" s="12">
        <f t="shared" si="241"/>
        <v>637.64335600679908</v>
      </c>
      <c r="G1732" s="12">
        <f t="shared" si="242"/>
        <v>346.52522564209499</v>
      </c>
      <c r="H1732" s="12">
        <f t="shared" si="248"/>
        <v>2295500</v>
      </c>
      <c r="I1732" s="12">
        <f t="shared" si="249"/>
        <v>1247400</v>
      </c>
      <c r="J1732" s="12">
        <f>IF(A1732&lt;[3]关卡对接!$A$4,INDEX([3]关卡对接!$C$7:$C$141,A1732),MATCH(E1732,人物经验!$H$24:$H$573,1))</f>
        <v>550</v>
      </c>
      <c r="K1732" s="12">
        <f>IF([3]关卡对接!F1720="",INT(INDEX(人物经验!$J$24:$J$573,关卡!J1732)*关卡!$S$7),[3]关卡对接!F1720)</f>
        <v>53960</v>
      </c>
      <c r="L1732" s="12">
        <f t="shared" si="245"/>
        <v>2.6</v>
      </c>
      <c r="M1732" s="12">
        <f>L1732/[4]货币基础!$B$4</f>
        <v>260</v>
      </c>
      <c r="N1732" s="12">
        <f>IF(A1732&lt;[3]关卡对接!$A$4,INDEX([3]关卡对接!$E$7:$E$141,A1732),MATCH(E1732,人物经验!$H$24:$H$573,1))</f>
        <v>550</v>
      </c>
      <c r="O1732" s="12">
        <f>INDEX([2]关卡!$G$6:$G$2005,A1732)</f>
        <v>3</v>
      </c>
      <c r="P1732" s="13">
        <v>6</v>
      </c>
      <c r="Q1732" s="12">
        <f>INT(P1732/$S$15/O1732*VLOOKUP(J1732,[1]人物技能基础!$N$3:$O$553,2,0)*$U$15)</f>
        <v>9</v>
      </c>
      <c r="R1732" s="12">
        <f t="shared" si="246"/>
        <v>112</v>
      </c>
    </row>
    <row r="1733" spans="1:18" x14ac:dyDescent="0.15">
      <c r="A1733" s="12">
        <v>1715</v>
      </c>
      <c r="B1733" s="12">
        <f t="shared" si="243"/>
        <v>9</v>
      </c>
      <c r="C1733" s="12">
        <f t="shared" si="244"/>
        <v>10.692843749999998</v>
      </c>
      <c r="D1733" s="12">
        <f t="shared" si="247"/>
        <v>9.568874999999899E-2</v>
      </c>
      <c r="E1733" s="12">
        <f>SUM($D$19:D1733)</f>
        <v>56.892843749999955</v>
      </c>
      <c r="F1733" s="12">
        <f t="shared" si="241"/>
        <v>638.69822004683613</v>
      </c>
      <c r="G1733" s="12">
        <f t="shared" si="242"/>
        <v>346.98885562871095</v>
      </c>
      <c r="H1733" s="12">
        <f t="shared" si="248"/>
        <v>2299300</v>
      </c>
      <c r="I1733" s="12">
        <f t="shared" si="249"/>
        <v>1249100</v>
      </c>
      <c r="J1733" s="12">
        <f>IF(A1733&lt;[3]关卡对接!$A$4,INDEX([3]关卡对接!$C$7:$C$141,A1733),MATCH(E1733,人物经验!$H$24:$H$573,1))</f>
        <v>550</v>
      </c>
      <c r="K1733" s="12">
        <f>IF([3]关卡对接!F1721="",INT(INDEX(人物经验!$J$24:$J$573,关卡!J1733)*关卡!$S$7),[3]关卡对接!F1721)</f>
        <v>53960</v>
      </c>
      <c r="L1733" s="12">
        <f t="shared" si="245"/>
        <v>2.6</v>
      </c>
      <c r="M1733" s="12">
        <f>L1733/[4]货币基础!$B$4</f>
        <v>260</v>
      </c>
      <c r="N1733" s="12">
        <f>IF(A1733&lt;[3]关卡对接!$A$4,INDEX([3]关卡对接!$E$7:$E$141,A1733),MATCH(E1733,人物经验!$H$24:$H$573,1))</f>
        <v>550</v>
      </c>
      <c r="O1733" s="12">
        <f>INDEX([2]关卡!$G$6:$G$2005,A1733)</f>
        <v>3</v>
      </c>
      <c r="P1733" s="13">
        <v>6</v>
      </c>
      <c r="Q1733" s="12">
        <f>INT(P1733/$S$15/O1733*VLOOKUP(J1733,[1]人物技能基础!$N$3:$O$553,2,0)*$U$15)</f>
        <v>9</v>
      </c>
      <c r="R1733" s="12">
        <f t="shared" si="246"/>
        <v>112</v>
      </c>
    </row>
    <row r="1734" spans="1:18" x14ac:dyDescent="0.15">
      <c r="A1734" s="12">
        <v>1716</v>
      </c>
      <c r="B1734" s="12">
        <f t="shared" si="243"/>
        <v>9</v>
      </c>
      <c r="C1734" s="12">
        <f t="shared" si="244"/>
        <v>10.788579999999998</v>
      </c>
      <c r="D1734" s="12">
        <f t="shared" si="247"/>
        <v>9.5736249999999856E-2</v>
      </c>
      <c r="E1734" s="12">
        <f>SUM($D$19:D1734)</f>
        <v>56.988579999999956</v>
      </c>
      <c r="F1734" s="12">
        <f t="shared" si="241"/>
        <v>639.75445012350394</v>
      </c>
      <c r="G1734" s="12">
        <f t="shared" si="242"/>
        <v>347.45296311511999</v>
      </c>
      <c r="H1734" s="12">
        <f t="shared" si="248"/>
        <v>2303100</v>
      </c>
      <c r="I1734" s="12">
        <f t="shared" si="249"/>
        <v>1250800</v>
      </c>
      <c r="J1734" s="12">
        <f>IF(A1734&lt;[3]关卡对接!$A$4,INDEX([3]关卡对接!$C$7:$C$141,A1734),MATCH(E1734,人物经验!$H$24:$H$573,1))</f>
        <v>550</v>
      </c>
      <c r="K1734" s="12">
        <f>IF([3]关卡对接!F1722="",INT(INDEX(人物经验!$J$24:$J$573,关卡!J1734)*关卡!$S$7),[3]关卡对接!F1722)</f>
        <v>53960</v>
      </c>
      <c r="L1734" s="12">
        <f t="shared" si="245"/>
        <v>2.6</v>
      </c>
      <c r="M1734" s="12">
        <f>L1734/[4]货币基础!$B$4</f>
        <v>260</v>
      </c>
      <c r="N1734" s="12">
        <f>IF(A1734&lt;[3]关卡对接!$A$4,INDEX([3]关卡对接!$E$7:$E$141,A1734),MATCH(E1734,人物经验!$H$24:$H$573,1))</f>
        <v>550</v>
      </c>
      <c r="O1734" s="12">
        <f>INDEX([2]关卡!$G$6:$G$2005,A1734)</f>
        <v>3</v>
      </c>
      <c r="P1734" s="13">
        <v>6</v>
      </c>
      <c r="Q1734" s="12">
        <f>INT(P1734/$S$15/O1734*VLOOKUP(J1734,[1]人物技能基础!$N$3:$O$553,2,0)*$U$15)</f>
        <v>9</v>
      </c>
      <c r="R1734" s="12">
        <f t="shared" si="246"/>
        <v>112</v>
      </c>
    </row>
    <row r="1735" spans="1:18" x14ac:dyDescent="0.15">
      <c r="A1735" s="12">
        <v>1717</v>
      </c>
      <c r="B1735" s="12">
        <f t="shared" si="243"/>
        <v>9</v>
      </c>
      <c r="C1735" s="12">
        <f t="shared" si="244"/>
        <v>10.88436375</v>
      </c>
      <c r="D1735" s="12">
        <f t="shared" si="247"/>
        <v>9.5783750000002499E-2</v>
      </c>
      <c r="E1735" s="12">
        <f>SUM($D$19:D1735)</f>
        <v>57.084363749999959</v>
      </c>
      <c r="F1735" s="12">
        <f t="shared" si="241"/>
        <v>640.8120474885302</v>
      </c>
      <c r="G1735" s="12">
        <f t="shared" si="242"/>
        <v>347.91754845828098</v>
      </c>
      <c r="H1735" s="12">
        <f t="shared" si="248"/>
        <v>2306900</v>
      </c>
      <c r="I1735" s="12">
        <f t="shared" si="249"/>
        <v>1252500</v>
      </c>
      <c r="J1735" s="12">
        <f>IF(A1735&lt;[3]关卡对接!$A$4,INDEX([3]关卡对接!$C$7:$C$141,A1735),MATCH(E1735,人物经验!$H$24:$H$573,1))</f>
        <v>550</v>
      </c>
      <c r="K1735" s="12">
        <f>IF([3]关卡对接!F1723="",INT(INDEX(人物经验!$J$24:$J$573,关卡!J1735)*关卡!$S$7),[3]关卡对接!F1723)</f>
        <v>53960</v>
      </c>
      <c r="L1735" s="12">
        <f t="shared" si="245"/>
        <v>2.6</v>
      </c>
      <c r="M1735" s="12">
        <f>L1735/[4]货币基础!$B$4</f>
        <v>260</v>
      </c>
      <c r="N1735" s="12">
        <f>IF(A1735&lt;[3]关卡对接!$A$4,INDEX([3]关卡对接!$E$7:$E$141,A1735),MATCH(E1735,人物经验!$H$24:$H$573,1))</f>
        <v>550</v>
      </c>
      <c r="O1735" s="12">
        <f>INDEX([2]关卡!$G$6:$G$2005,A1735)</f>
        <v>3</v>
      </c>
      <c r="P1735" s="13">
        <v>6</v>
      </c>
      <c r="Q1735" s="12">
        <f>INT(P1735/$S$15/O1735*VLOOKUP(J1735,[1]人物技能基础!$N$3:$O$553,2,0)*$U$15)</f>
        <v>9</v>
      </c>
      <c r="R1735" s="12">
        <f t="shared" si="246"/>
        <v>112</v>
      </c>
    </row>
    <row r="1736" spans="1:18" x14ac:dyDescent="0.15">
      <c r="A1736" s="12">
        <v>1718</v>
      </c>
      <c r="B1736" s="12">
        <f t="shared" si="243"/>
        <v>9</v>
      </c>
      <c r="C1736" s="12">
        <f t="shared" si="244"/>
        <v>10.980195</v>
      </c>
      <c r="D1736" s="12">
        <f t="shared" si="247"/>
        <v>9.5831249999999812E-2</v>
      </c>
      <c r="E1736" s="12">
        <f>SUM($D$19:D1736)</f>
        <v>57.180194999999955</v>
      </c>
      <c r="F1736" s="12">
        <f t="shared" si="241"/>
        <v>641.87101339423907</v>
      </c>
      <c r="G1736" s="12">
        <f t="shared" si="242"/>
        <v>348.38261201529497</v>
      </c>
      <c r="H1736" s="12">
        <f t="shared" si="248"/>
        <v>2310700</v>
      </c>
      <c r="I1736" s="12">
        <f t="shared" si="249"/>
        <v>1254100</v>
      </c>
      <c r="J1736" s="12">
        <f>IF(A1736&lt;[3]关卡对接!$A$4,INDEX([3]关卡对接!$C$7:$C$141,A1736),MATCH(E1736,人物经验!$H$24:$H$573,1))</f>
        <v>550</v>
      </c>
      <c r="K1736" s="12">
        <f>IF([3]关卡对接!F1724="",INT(INDEX(人物经验!$J$24:$J$573,关卡!J1736)*关卡!$S$7),[3]关卡对接!F1724)</f>
        <v>53960</v>
      </c>
      <c r="L1736" s="12">
        <f t="shared" si="245"/>
        <v>2.6</v>
      </c>
      <c r="M1736" s="12">
        <f>L1736/[4]货币基础!$B$4</f>
        <v>260</v>
      </c>
      <c r="N1736" s="12">
        <f>IF(A1736&lt;[3]关卡对接!$A$4,INDEX([3]关卡对接!$E$7:$E$141,A1736),MATCH(E1736,人物经验!$H$24:$H$573,1))</f>
        <v>550</v>
      </c>
      <c r="O1736" s="12">
        <f>INDEX([2]关卡!$G$6:$G$2005,A1736)</f>
        <v>3</v>
      </c>
      <c r="P1736" s="13">
        <v>6</v>
      </c>
      <c r="Q1736" s="12">
        <f>INT(P1736/$S$15/O1736*VLOOKUP(J1736,[1]人物技能基础!$N$3:$O$553,2,0)*$U$15)</f>
        <v>9</v>
      </c>
      <c r="R1736" s="12">
        <f t="shared" si="246"/>
        <v>112</v>
      </c>
    </row>
    <row r="1737" spans="1:18" x14ac:dyDescent="0.15">
      <c r="A1737" s="12">
        <v>1719</v>
      </c>
      <c r="B1737" s="12">
        <f t="shared" si="243"/>
        <v>9</v>
      </c>
      <c r="C1737" s="12">
        <f t="shared" si="244"/>
        <v>11.076073749999999</v>
      </c>
      <c r="D1737" s="12">
        <f t="shared" si="247"/>
        <v>9.5878749999998902E-2</v>
      </c>
      <c r="E1737" s="12">
        <f>SUM($D$19:D1737)</f>
        <v>57.276073749999952</v>
      </c>
      <c r="F1737" s="12">
        <f t="shared" si="241"/>
        <v>642.93134909355513</v>
      </c>
      <c r="G1737" s="12">
        <f t="shared" si="242"/>
        <v>348.84815414340596</v>
      </c>
      <c r="H1737" s="12">
        <f t="shared" si="248"/>
        <v>2314500</v>
      </c>
      <c r="I1737" s="12">
        <f t="shared" si="249"/>
        <v>1255800</v>
      </c>
      <c r="J1737" s="12">
        <f>IF(A1737&lt;[3]关卡对接!$A$4,INDEX([3]关卡对接!$C$7:$C$141,A1737),MATCH(E1737,人物经验!$H$24:$H$573,1))</f>
        <v>550</v>
      </c>
      <c r="K1737" s="12">
        <f>IF([3]关卡对接!F1725="",INT(INDEX(人物经验!$J$24:$J$573,关卡!J1737)*关卡!$S$7),[3]关卡对接!F1725)</f>
        <v>53960</v>
      </c>
      <c r="L1737" s="12">
        <f t="shared" si="245"/>
        <v>2.6</v>
      </c>
      <c r="M1737" s="12">
        <f>L1737/[4]货币基础!$B$4</f>
        <v>260</v>
      </c>
      <c r="N1737" s="12">
        <f>IF(A1737&lt;[3]关卡对接!$A$4,INDEX([3]关卡对接!$E$7:$E$141,A1737),MATCH(E1737,人物经验!$H$24:$H$573,1))</f>
        <v>550</v>
      </c>
      <c r="O1737" s="12">
        <f>INDEX([2]关卡!$G$6:$G$2005,A1737)</f>
        <v>3</v>
      </c>
      <c r="P1737" s="13">
        <v>6</v>
      </c>
      <c r="Q1737" s="12">
        <f>INT(P1737/$S$15/O1737*VLOOKUP(J1737,[1]人物技能基础!$N$3:$O$553,2,0)*$U$15)</f>
        <v>9</v>
      </c>
      <c r="R1737" s="12">
        <f t="shared" si="246"/>
        <v>112</v>
      </c>
    </row>
    <row r="1738" spans="1:18" x14ac:dyDescent="0.15">
      <c r="A1738" s="12">
        <v>1720</v>
      </c>
      <c r="B1738" s="12">
        <f t="shared" si="243"/>
        <v>9</v>
      </c>
      <c r="C1738" s="12">
        <f t="shared" si="244"/>
        <v>11.171999999999999</v>
      </c>
      <c r="D1738" s="12">
        <f t="shared" si="247"/>
        <v>9.5926249999999769E-2</v>
      </c>
      <c r="E1738" s="12">
        <f>SUM($D$19:D1738)</f>
        <v>57.37199999999995</v>
      </c>
      <c r="F1738" s="12">
        <f t="shared" si="241"/>
        <v>643.99305584000001</v>
      </c>
      <c r="G1738" s="12">
        <f t="shared" si="242"/>
        <v>349.31417519999997</v>
      </c>
      <c r="H1738" s="12">
        <f t="shared" si="248"/>
        <v>2318300</v>
      </c>
      <c r="I1738" s="12">
        <f t="shared" si="249"/>
        <v>1257500</v>
      </c>
      <c r="J1738" s="12">
        <f>IF(A1738&lt;[3]关卡对接!$A$4,INDEX([3]关卡对接!$C$7:$C$141,A1738),MATCH(E1738,人物经验!$H$24:$H$573,1))</f>
        <v>550</v>
      </c>
      <c r="K1738" s="12">
        <f>IF([3]关卡对接!F1726="",INT(INDEX(人物经验!$J$24:$J$573,关卡!J1738)*关卡!$S$7),[3]关卡对接!F1726)</f>
        <v>53960</v>
      </c>
      <c r="L1738" s="12">
        <f t="shared" si="245"/>
        <v>2.6</v>
      </c>
      <c r="M1738" s="12">
        <f>L1738/[4]货币基础!$B$4</f>
        <v>260</v>
      </c>
      <c r="N1738" s="12">
        <f>IF(A1738&lt;[3]关卡对接!$A$4,INDEX([3]关卡对接!$E$7:$E$141,A1738),MATCH(E1738,人物经验!$H$24:$H$573,1))</f>
        <v>550</v>
      </c>
      <c r="O1738" s="12">
        <f>INDEX([2]关卡!$G$6:$G$2005,A1738)</f>
        <v>3</v>
      </c>
      <c r="P1738" s="13">
        <v>6</v>
      </c>
      <c r="Q1738" s="12">
        <f>INT(P1738/$S$15/O1738*VLOOKUP(J1738,[1]人物技能基础!$N$3:$O$553,2,0)*$U$15)</f>
        <v>9</v>
      </c>
      <c r="R1738" s="12">
        <f t="shared" si="246"/>
        <v>112</v>
      </c>
    </row>
    <row r="1739" spans="1:18" x14ac:dyDescent="0.15">
      <c r="A1739" s="12">
        <v>1721</v>
      </c>
      <c r="B1739" s="12">
        <f t="shared" si="243"/>
        <v>9</v>
      </c>
      <c r="C1739" s="12">
        <f t="shared" si="244"/>
        <v>11.267973750000001</v>
      </c>
      <c r="D1739" s="12">
        <f t="shared" si="247"/>
        <v>9.5973750000002411E-2</v>
      </c>
      <c r="E1739" s="12">
        <f>SUM($D$19:D1739)</f>
        <v>57.467973749999956</v>
      </c>
      <c r="F1739" s="12">
        <f t="shared" si="241"/>
        <v>645.05613488769507</v>
      </c>
      <c r="G1739" s="12">
        <f t="shared" si="242"/>
        <v>349.78067554260599</v>
      </c>
      <c r="H1739" s="12">
        <f t="shared" si="248"/>
        <v>2322200</v>
      </c>
      <c r="I1739" s="12">
        <f t="shared" si="249"/>
        <v>1259200</v>
      </c>
      <c r="J1739" s="12">
        <f>IF(A1739&lt;[3]关卡对接!$A$4,INDEX([3]关卡对接!$C$7:$C$141,A1739),MATCH(E1739,人物经验!$H$24:$H$573,1))</f>
        <v>550</v>
      </c>
      <c r="K1739" s="12">
        <f>IF([3]关卡对接!F1727="",INT(INDEX(人物经验!$J$24:$J$573,关卡!J1739)*关卡!$S$7),[3]关卡对接!F1727)</f>
        <v>53960</v>
      </c>
      <c r="L1739" s="12">
        <f t="shared" si="245"/>
        <v>2.6</v>
      </c>
      <c r="M1739" s="12">
        <f>L1739/[4]货币基础!$B$4</f>
        <v>260</v>
      </c>
      <c r="N1739" s="12">
        <f>IF(A1739&lt;[3]关卡对接!$A$4,INDEX([3]关卡对接!$E$7:$E$141,A1739),MATCH(E1739,人物经验!$H$24:$H$573,1))</f>
        <v>550</v>
      </c>
      <c r="O1739" s="12">
        <f>INDEX([2]关卡!$G$6:$G$2005,A1739)</f>
        <v>3</v>
      </c>
      <c r="P1739" s="13">
        <v>6</v>
      </c>
      <c r="Q1739" s="12">
        <f>INT(P1739/$S$15/O1739*VLOOKUP(J1739,[1]人物技能基础!$N$3:$O$553,2,0)*$U$15)</f>
        <v>9</v>
      </c>
      <c r="R1739" s="12">
        <f t="shared" si="246"/>
        <v>112</v>
      </c>
    </row>
    <row r="1740" spans="1:18" x14ac:dyDescent="0.15">
      <c r="A1740" s="12">
        <v>1722</v>
      </c>
      <c r="B1740" s="12">
        <f t="shared" si="243"/>
        <v>9</v>
      </c>
      <c r="C1740" s="12">
        <f t="shared" si="244"/>
        <v>11.363994999999999</v>
      </c>
      <c r="D1740" s="12">
        <f t="shared" si="247"/>
        <v>9.6021249999997949E-2</v>
      </c>
      <c r="E1740" s="12">
        <f>SUM($D$19:D1740)</f>
        <v>57.563994999999956</v>
      </c>
      <c r="F1740" s="12">
        <f t="shared" si="241"/>
        <v>646.12058749135906</v>
      </c>
      <c r="G1740" s="12">
        <f t="shared" si="242"/>
        <v>350.247655528895</v>
      </c>
      <c r="H1740" s="12">
        <f t="shared" si="248"/>
        <v>2326000</v>
      </c>
      <c r="I1740" s="12">
        <f t="shared" si="249"/>
        <v>1260800</v>
      </c>
      <c r="J1740" s="12">
        <f>IF(A1740&lt;[3]关卡对接!$A$4,INDEX([3]关卡对接!$C$7:$C$141,A1740),MATCH(E1740,人物经验!$H$24:$H$573,1))</f>
        <v>550</v>
      </c>
      <c r="K1740" s="12">
        <f>IF([3]关卡对接!F1728="",INT(INDEX(人物经验!$J$24:$J$573,关卡!J1740)*关卡!$S$7),[3]关卡对接!F1728)</f>
        <v>53960</v>
      </c>
      <c r="L1740" s="12">
        <f t="shared" si="245"/>
        <v>2.6</v>
      </c>
      <c r="M1740" s="12">
        <f>L1740/[4]货币基础!$B$4</f>
        <v>260</v>
      </c>
      <c r="N1740" s="12">
        <f>IF(A1740&lt;[3]关卡对接!$A$4,INDEX([3]关卡对接!$E$7:$E$141,A1740),MATCH(E1740,人物经验!$H$24:$H$573,1))</f>
        <v>550</v>
      </c>
      <c r="O1740" s="12">
        <f>INDEX([2]关卡!$G$6:$G$2005,A1740)</f>
        <v>3</v>
      </c>
      <c r="P1740" s="13">
        <v>6</v>
      </c>
      <c r="Q1740" s="12">
        <f>INT(P1740/$S$15/O1740*VLOOKUP(J1740,[1]人物技能基础!$N$3:$O$553,2,0)*$U$15)</f>
        <v>9</v>
      </c>
      <c r="R1740" s="12">
        <f t="shared" si="246"/>
        <v>112</v>
      </c>
    </row>
    <row r="1741" spans="1:18" x14ac:dyDescent="0.15">
      <c r="A1741" s="12">
        <v>1723</v>
      </c>
      <c r="B1741" s="12">
        <f t="shared" si="243"/>
        <v>9</v>
      </c>
      <c r="C1741" s="12">
        <f t="shared" si="244"/>
        <v>11.46006375</v>
      </c>
      <c r="D1741" s="12">
        <f t="shared" si="247"/>
        <v>9.6068750000000591E-2</v>
      </c>
      <c r="E1741" s="12">
        <f>SUM($D$19:D1741)</f>
        <v>57.660063749999956</v>
      </c>
      <c r="F1741" s="12">
        <f t="shared" si="241"/>
        <v>647.18641490631001</v>
      </c>
      <c r="G1741" s="12">
        <f t="shared" si="242"/>
        <v>350.71511551668095</v>
      </c>
      <c r="H1741" s="12">
        <f t="shared" si="248"/>
        <v>2329800</v>
      </c>
      <c r="I1741" s="12">
        <f t="shared" si="249"/>
        <v>1262500</v>
      </c>
      <c r="J1741" s="12">
        <f>IF(A1741&lt;[3]关卡对接!$A$4,INDEX([3]关卡对接!$C$7:$C$141,A1741),MATCH(E1741,人物经验!$H$24:$H$573,1))</f>
        <v>550</v>
      </c>
      <c r="K1741" s="12">
        <f>IF([3]关卡对接!F1729="",INT(INDEX(人物经验!$J$24:$J$573,关卡!J1741)*关卡!$S$7),[3]关卡对接!F1729)</f>
        <v>53960</v>
      </c>
      <c r="L1741" s="12">
        <f t="shared" si="245"/>
        <v>2.6</v>
      </c>
      <c r="M1741" s="12">
        <f>L1741/[4]货币基础!$B$4</f>
        <v>260</v>
      </c>
      <c r="N1741" s="12">
        <f>IF(A1741&lt;[3]关卡对接!$A$4,INDEX([3]关卡对接!$E$7:$E$141,A1741),MATCH(E1741,人物经验!$H$24:$H$573,1))</f>
        <v>550</v>
      </c>
      <c r="O1741" s="12">
        <f>INDEX([2]关卡!$G$6:$G$2005,A1741)</f>
        <v>3</v>
      </c>
      <c r="P1741" s="13">
        <v>6</v>
      </c>
      <c r="Q1741" s="12">
        <f>INT(P1741/$S$15/O1741*VLOOKUP(J1741,[1]人物技能基础!$N$3:$O$553,2,0)*$U$15)</f>
        <v>9</v>
      </c>
      <c r="R1741" s="12">
        <f t="shared" si="246"/>
        <v>112</v>
      </c>
    </row>
    <row r="1742" spans="1:18" x14ac:dyDescent="0.15">
      <c r="A1742" s="12">
        <v>1724</v>
      </c>
      <c r="B1742" s="12">
        <f t="shared" si="243"/>
        <v>9</v>
      </c>
      <c r="C1742" s="12">
        <f t="shared" si="244"/>
        <v>11.556179999999999</v>
      </c>
      <c r="D1742" s="12">
        <f t="shared" si="247"/>
        <v>9.6116249999999681E-2</v>
      </c>
      <c r="E1742" s="12">
        <f>SUM($D$19:D1742)</f>
        <v>57.756179999999958</v>
      </c>
      <c r="F1742" s="12">
        <f t="shared" si="241"/>
        <v>648.25361838846391</v>
      </c>
      <c r="G1742" s="12">
        <f t="shared" si="242"/>
        <v>351.18305586391995</v>
      </c>
      <c r="H1742" s="12">
        <f t="shared" si="248"/>
        <v>2333700</v>
      </c>
      <c r="I1742" s="12">
        <f t="shared" si="249"/>
        <v>1264200</v>
      </c>
      <c r="J1742" s="12">
        <f>IF(A1742&lt;[3]关卡对接!$A$4,INDEX([3]关卡对接!$C$7:$C$141,A1742),MATCH(E1742,人物经验!$H$24:$H$573,1))</f>
        <v>550</v>
      </c>
      <c r="K1742" s="12">
        <f>IF([3]关卡对接!F1730="",INT(INDEX(人物经验!$J$24:$J$573,关卡!J1742)*关卡!$S$7),[3]关卡对接!F1730)</f>
        <v>53960</v>
      </c>
      <c r="L1742" s="12">
        <f t="shared" si="245"/>
        <v>2.6</v>
      </c>
      <c r="M1742" s="12">
        <f>L1742/[4]货币基础!$B$4</f>
        <v>260</v>
      </c>
      <c r="N1742" s="12">
        <f>IF(A1742&lt;[3]关卡对接!$A$4,INDEX([3]关卡对接!$E$7:$E$141,A1742),MATCH(E1742,人物经验!$H$24:$H$573,1))</f>
        <v>550</v>
      </c>
      <c r="O1742" s="12">
        <f>INDEX([2]关卡!$G$6:$G$2005,A1742)</f>
        <v>3</v>
      </c>
      <c r="P1742" s="13">
        <v>6</v>
      </c>
      <c r="Q1742" s="12">
        <f>INT(P1742/$S$15/O1742*VLOOKUP(J1742,[1]人物技能基础!$N$3:$O$553,2,0)*$U$15)</f>
        <v>9</v>
      </c>
      <c r="R1742" s="12">
        <f t="shared" si="246"/>
        <v>112</v>
      </c>
    </row>
    <row r="1743" spans="1:18" x14ac:dyDescent="0.15">
      <c r="A1743" s="12">
        <v>1725</v>
      </c>
      <c r="B1743" s="12">
        <f t="shared" si="243"/>
        <v>9</v>
      </c>
      <c r="C1743" s="12">
        <f t="shared" si="244"/>
        <v>11.65234375</v>
      </c>
      <c r="D1743" s="12">
        <f t="shared" si="247"/>
        <v>9.6163750000000547E-2</v>
      </c>
      <c r="E1743" s="12">
        <f>SUM($D$19:D1743)</f>
        <v>57.85234374999996</v>
      </c>
      <c r="F1743" s="12">
        <f t="shared" si="241"/>
        <v>649.32219919433612</v>
      </c>
      <c r="G1743" s="12">
        <f t="shared" si="242"/>
        <v>351.65147692871096</v>
      </c>
      <c r="H1743" s="12">
        <f t="shared" si="248"/>
        <v>2337500</v>
      </c>
      <c r="I1743" s="12">
        <f t="shared" si="249"/>
        <v>1265900</v>
      </c>
      <c r="J1743" s="12">
        <f>IF(A1743&lt;[3]关卡对接!$A$4,INDEX([3]关卡对接!$C$7:$C$141,A1743),MATCH(E1743,人物经验!$H$24:$H$573,1))</f>
        <v>550</v>
      </c>
      <c r="K1743" s="12">
        <f>IF([3]关卡对接!F1731="",INT(INDEX(人物经验!$J$24:$J$573,关卡!J1743)*关卡!$S$7),[3]关卡对接!F1731)</f>
        <v>53960</v>
      </c>
      <c r="L1743" s="12">
        <f t="shared" si="245"/>
        <v>2.6</v>
      </c>
      <c r="M1743" s="12">
        <f>L1743/[4]货币基础!$B$4</f>
        <v>260</v>
      </c>
      <c r="N1743" s="12">
        <f>IF(A1743&lt;[3]关卡对接!$A$4,INDEX([3]关卡对接!$E$7:$E$141,A1743),MATCH(E1743,人物经验!$H$24:$H$573,1))</f>
        <v>550</v>
      </c>
      <c r="O1743" s="12">
        <f>INDEX([2]关卡!$G$6:$G$2005,A1743)</f>
        <v>3</v>
      </c>
      <c r="P1743" s="13">
        <v>6</v>
      </c>
      <c r="Q1743" s="12">
        <f>INT(P1743/$S$15/O1743*VLOOKUP(J1743,[1]人物技能基础!$N$3:$O$553,2,0)*$U$15)</f>
        <v>9</v>
      </c>
      <c r="R1743" s="12">
        <f t="shared" si="246"/>
        <v>112</v>
      </c>
    </row>
    <row r="1744" spans="1:18" x14ac:dyDescent="0.15">
      <c r="A1744" s="12">
        <v>1726</v>
      </c>
      <c r="B1744" s="12">
        <f t="shared" si="243"/>
        <v>9</v>
      </c>
      <c r="C1744" s="12">
        <f t="shared" si="244"/>
        <v>11.748554999999998</v>
      </c>
      <c r="D1744" s="12">
        <f t="shared" si="247"/>
        <v>9.6211249999997861E-2</v>
      </c>
      <c r="E1744" s="12">
        <f>SUM($D$19:D1744)</f>
        <v>57.948554999999956</v>
      </c>
      <c r="F1744" s="12">
        <f t="shared" si="241"/>
        <v>650.3921585810391</v>
      </c>
      <c r="G1744" s="12">
        <f t="shared" si="242"/>
        <v>352.12037906929498</v>
      </c>
      <c r="H1744" s="12">
        <f t="shared" si="248"/>
        <v>2341400</v>
      </c>
      <c r="I1744" s="12">
        <f t="shared" si="249"/>
        <v>1267600</v>
      </c>
      <c r="J1744" s="12">
        <f>IF(A1744&lt;[3]关卡对接!$A$4,INDEX([3]关卡对接!$C$7:$C$141,A1744),MATCH(E1744,人物经验!$H$24:$H$573,1))</f>
        <v>550</v>
      </c>
      <c r="K1744" s="12">
        <f>IF([3]关卡对接!F1732="",INT(INDEX(人物经验!$J$24:$J$573,关卡!J1744)*关卡!$S$7),[3]关卡对接!F1732)</f>
        <v>53960</v>
      </c>
      <c r="L1744" s="12">
        <f t="shared" si="245"/>
        <v>2.6</v>
      </c>
      <c r="M1744" s="12">
        <f>L1744/[4]货币基础!$B$4</f>
        <v>260</v>
      </c>
      <c r="N1744" s="12">
        <f>IF(A1744&lt;[3]关卡对接!$A$4,INDEX([3]关卡对接!$E$7:$E$141,A1744),MATCH(E1744,人物经验!$H$24:$H$573,1))</f>
        <v>550</v>
      </c>
      <c r="O1744" s="12">
        <f>INDEX([2]关卡!$G$6:$G$2005,A1744)</f>
        <v>3</v>
      </c>
      <c r="P1744" s="13">
        <v>6</v>
      </c>
      <c r="Q1744" s="12">
        <f>INT(P1744/$S$15/O1744*VLOOKUP(J1744,[1]人物技能基础!$N$3:$O$553,2,0)*$U$15)</f>
        <v>9</v>
      </c>
      <c r="R1744" s="12">
        <f t="shared" si="246"/>
        <v>112</v>
      </c>
    </row>
    <row r="1745" spans="1:18" x14ac:dyDescent="0.15">
      <c r="A1745" s="12">
        <v>1727</v>
      </c>
      <c r="B1745" s="12">
        <f t="shared" si="243"/>
        <v>9</v>
      </c>
      <c r="C1745" s="12">
        <f t="shared" si="244"/>
        <v>11.84481375</v>
      </c>
      <c r="D1745" s="12">
        <f t="shared" si="247"/>
        <v>9.625875000000228E-2</v>
      </c>
      <c r="E1745" s="12">
        <f>SUM($D$19:D1745)</f>
        <v>58.04481374999996</v>
      </c>
      <c r="F1745" s="12">
        <f t="shared" si="241"/>
        <v>651.46349780628509</v>
      </c>
      <c r="G1745" s="12">
        <f t="shared" si="242"/>
        <v>352.58976264405595</v>
      </c>
      <c r="H1745" s="12">
        <f t="shared" si="248"/>
        <v>2345200</v>
      </c>
      <c r="I1745" s="12">
        <f t="shared" si="249"/>
        <v>1269300</v>
      </c>
      <c r="J1745" s="12">
        <f>IF(A1745&lt;[3]关卡对接!$A$4,INDEX([3]关卡对接!$C$7:$C$141,A1745),MATCH(E1745,人物经验!$H$24:$H$573,1))</f>
        <v>550</v>
      </c>
      <c r="K1745" s="12">
        <f>IF([3]关卡对接!F1733="",INT(INDEX(人物经验!$J$24:$J$573,关卡!J1745)*关卡!$S$7),[3]关卡对接!F1733)</f>
        <v>53960</v>
      </c>
      <c r="L1745" s="12">
        <f t="shared" si="245"/>
        <v>2.6</v>
      </c>
      <c r="M1745" s="12">
        <f>L1745/[4]货币基础!$B$4</f>
        <v>260</v>
      </c>
      <c r="N1745" s="12">
        <f>IF(A1745&lt;[3]关卡对接!$A$4,INDEX([3]关卡对接!$E$7:$E$141,A1745),MATCH(E1745,人物经验!$H$24:$H$573,1))</f>
        <v>550</v>
      </c>
      <c r="O1745" s="12">
        <f>INDEX([2]关卡!$G$6:$G$2005,A1745)</f>
        <v>3</v>
      </c>
      <c r="P1745" s="13">
        <v>6</v>
      </c>
      <c r="Q1745" s="12">
        <f>INT(P1745/$S$15/O1745*VLOOKUP(J1745,[1]人物技能基础!$N$3:$O$553,2,0)*$U$15)</f>
        <v>9</v>
      </c>
      <c r="R1745" s="12">
        <f t="shared" si="246"/>
        <v>112</v>
      </c>
    </row>
    <row r="1746" spans="1:18" x14ac:dyDescent="0.15">
      <c r="A1746" s="12">
        <v>1728</v>
      </c>
      <c r="B1746" s="12">
        <f t="shared" si="243"/>
        <v>9</v>
      </c>
      <c r="C1746" s="12">
        <f t="shared" si="244"/>
        <v>11.941120000000002</v>
      </c>
      <c r="D1746" s="12">
        <f t="shared" si="247"/>
        <v>9.630625000000137E-2</v>
      </c>
      <c r="E1746" s="12">
        <f>SUM($D$19:D1746)</f>
        <v>58.141119999999958</v>
      </c>
      <c r="F1746" s="12">
        <f t="shared" si="241"/>
        <v>652.53621812838389</v>
      </c>
      <c r="G1746" s="12">
        <f t="shared" si="242"/>
        <v>353.05962801151998</v>
      </c>
      <c r="H1746" s="12">
        <f t="shared" si="248"/>
        <v>2349100</v>
      </c>
      <c r="I1746" s="12">
        <f t="shared" si="249"/>
        <v>1271000</v>
      </c>
      <c r="J1746" s="12">
        <f>IF(A1746&lt;[3]关卡对接!$A$4,INDEX([3]关卡对接!$C$7:$C$141,A1746),MATCH(E1746,人物经验!$H$24:$H$573,1))</f>
        <v>550</v>
      </c>
      <c r="K1746" s="12">
        <f>IF([3]关卡对接!F1734="",INT(INDEX(人物经验!$J$24:$J$573,关卡!J1746)*关卡!$S$7),[3]关卡对接!F1734)</f>
        <v>53960</v>
      </c>
      <c r="L1746" s="12">
        <f t="shared" si="245"/>
        <v>2.6</v>
      </c>
      <c r="M1746" s="12">
        <f>L1746/[4]货币基础!$B$4</f>
        <v>260</v>
      </c>
      <c r="N1746" s="12">
        <f>IF(A1746&lt;[3]关卡对接!$A$4,INDEX([3]关卡对接!$E$7:$E$141,A1746),MATCH(E1746,人物经验!$H$24:$H$573,1))</f>
        <v>550</v>
      </c>
      <c r="O1746" s="12">
        <f>INDEX([2]关卡!$G$6:$G$2005,A1746)</f>
        <v>3</v>
      </c>
      <c r="P1746" s="13">
        <v>6</v>
      </c>
      <c r="Q1746" s="12">
        <f>INT(P1746/$S$15/O1746*VLOOKUP(J1746,[1]人物技能基础!$N$3:$O$553,2,0)*$U$15)</f>
        <v>9</v>
      </c>
      <c r="R1746" s="12">
        <f t="shared" si="246"/>
        <v>112</v>
      </c>
    </row>
    <row r="1747" spans="1:18" x14ac:dyDescent="0.15">
      <c r="A1747" s="12">
        <v>1729</v>
      </c>
      <c r="B1747" s="12">
        <f t="shared" si="243"/>
        <v>9</v>
      </c>
      <c r="C1747" s="12">
        <f t="shared" si="244"/>
        <v>12.03747375</v>
      </c>
      <c r="D1747" s="12">
        <f t="shared" si="247"/>
        <v>9.6353749999998684E-2</v>
      </c>
      <c r="E1747" s="12">
        <f>SUM($D$19:D1747)</f>
        <v>58.237473749999957</v>
      </c>
      <c r="F1747" s="12">
        <f t="shared" ref="F1747:F1810" si="250">$L$7*($M$7+$N$7*($A1747/$B$3)^1+$O$7*($A1747/$B$3)^2+$P$7*($A1747/$B$3)^3+$Q$7*($A1747/$B$3)^4)</f>
        <v>653.610320806245</v>
      </c>
      <c r="G1747" s="12">
        <f t="shared" ref="G1747:G1810" si="251">$L$11*($M$11+$N$11*($A1747/$B$3)^1+$O$11*($A1747/$B$3)^2+$P$11*($A1747/$B$3)^3+$Q$11*($A1747/$B$3)^4)</f>
        <v>353.5299755303559</v>
      </c>
      <c r="H1747" s="12">
        <f t="shared" si="248"/>
        <v>2352900</v>
      </c>
      <c r="I1747" s="12">
        <f t="shared" si="249"/>
        <v>1272700</v>
      </c>
      <c r="J1747" s="12">
        <f>IF(A1747&lt;[3]关卡对接!$A$4,INDEX([3]关卡对接!$C$7:$C$141,A1747),MATCH(E1747,人物经验!$H$24:$H$573,1))</f>
        <v>550</v>
      </c>
      <c r="K1747" s="12">
        <f>IF([3]关卡对接!F1735="",INT(INDEX(人物经验!$J$24:$J$573,关卡!J1747)*关卡!$S$7),[3]关卡对接!F1735)</f>
        <v>53960</v>
      </c>
      <c r="L1747" s="12">
        <f t="shared" si="245"/>
        <v>2.6</v>
      </c>
      <c r="M1747" s="12">
        <f>L1747/[4]货币基础!$B$4</f>
        <v>260</v>
      </c>
      <c r="N1747" s="12">
        <f>IF(A1747&lt;[3]关卡对接!$A$4,INDEX([3]关卡对接!$E$7:$E$141,A1747),MATCH(E1747,人物经验!$H$24:$H$573,1))</f>
        <v>550</v>
      </c>
      <c r="O1747" s="12">
        <f>INDEX([2]关卡!$G$6:$G$2005,A1747)</f>
        <v>3</v>
      </c>
      <c r="P1747" s="13">
        <v>6</v>
      </c>
      <c r="Q1747" s="12">
        <f>INT(P1747/$S$15/O1747*VLOOKUP(J1747,[1]人物技能基础!$N$3:$O$553,2,0)*$U$15)</f>
        <v>9</v>
      </c>
      <c r="R1747" s="12">
        <f t="shared" si="246"/>
        <v>112</v>
      </c>
    </row>
    <row r="1748" spans="1:18" x14ac:dyDescent="0.15">
      <c r="A1748" s="12">
        <v>1730</v>
      </c>
      <c r="B1748" s="12">
        <f t="shared" ref="B1748:B1811" si="252">MATCH($A1748,$A$5:$A$15,1)-1</f>
        <v>9</v>
      </c>
      <c r="C1748" s="12">
        <f t="shared" ref="C1748:C1811" si="253">INDEX($C$5:$C$15,$B1748+1)*(INDEX($E$5:$E$15,$B1748+1)+INDEX($F$5:$F$15,$B1748+1)*(($A1748-INDEX($A$5:$A$15,$B1748+1)+1)/(INDEX($B$5:$B$15,$B1748+1)-INDEX($A$5:$A$15,$B1748+1)+1))^1+INDEX($G$5:$G$15,$B1748+1)*(($A1748-INDEX($A$5:$A$15,$B1748+1)+1)/(INDEX($B$5:$B$15,$B1748+1)-INDEX($A$5:$A$15,$B1748+1)+1))^2+INDEX($H$5:$H$15,$B1748+1)*(($A1748-INDEX($A$5:$A$15,$B1748+1)+1)/(INDEX($B$5:$B$15,$B1748+1)-INDEX($A$5:$A$15,$B1748+1)+1))^3+INDEX($I$5:$I$15,$B1748+1)*(($A1748-INDEX($A$5:$A$15,$B1748+1)+1)/(INDEX($B$5:$B$15,$B1748+1)-INDEX($A$5:$A$15,$B1748+1)+1))^4)</f>
        <v>12.133875</v>
      </c>
      <c r="D1748" s="12">
        <f t="shared" si="247"/>
        <v>9.640124999999955E-2</v>
      </c>
      <c r="E1748" s="12">
        <f>SUM($D$19:D1748)</f>
        <v>58.333874999999956</v>
      </c>
      <c r="F1748" s="12">
        <f t="shared" si="250"/>
        <v>654.6858070993751</v>
      </c>
      <c r="G1748" s="12">
        <f t="shared" si="251"/>
        <v>354.00080555937501</v>
      </c>
      <c r="H1748" s="12">
        <f t="shared" si="248"/>
        <v>2356800</v>
      </c>
      <c r="I1748" s="12">
        <f t="shared" si="249"/>
        <v>1274400</v>
      </c>
      <c r="J1748" s="12">
        <f>IF(A1748&lt;[3]关卡对接!$A$4,INDEX([3]关卡对接!$C$7:$C$141,A1748),MATCH(E1748,人物经验!$H$24:$H$573,1))</f>
        <v>550</v>
      </c>
      <c r="K1748" s="12">
        <f>IF([3]关卡对接!F1736="",INT(INDEX(人物经验!$J$24:$J$573,关卡!J1748)*关卡!$S$7),[3]关卡对接!F1736)</f>
        <v>53960</v>
      </c>
      <c r="L1748" s="12">
        <f t="shared" ref="L1748:L1811" si="254">VLOOKUP(A1748,$A$5:$J$15,10,1)</f>
        <v>2.6</v>
      </c>
      <c r="M1748" s="12">
        <f>L1748/[4]货币基础!$B$4</f>
        <v>260</v>
      </c>
      <c r="N1748" s="12">
        <f>IF(A1748&lt;[3]关卡对接!$A$4,INDEX([3]关卡对接!$E$7:$E$141,A1748),MATCH(E1748,人物经验!$H$24:$H$573,1))</f>
        <v>550</v>
      </c>
      <c r="O1748" s="12">
        <f>INDEX([2]关卡!$G$6:$G$2005,A1748)</f>
        <v>3</v>
      </c>
      <c r="P1748" s="13">
        <v>6</v>
      </c>
      <c r="Q1748" s="12">
        <f>INT(P1748/$S$15/O1748*VLOOKUP(J1748,[1]人物技能基础!$N$3:$O$553,2,0)*$U$15)</f>
        <v>9</v>
      </c>
      <c r="R1748" s="12">
        <f t="shared" ref="R1748:R1811" si="255">INT(Q1748*12.5)</f>
        <v>112</v>
      </c>
    </row>
    <row r="1749" spans="1:18" x14ac:dyDescent="0.15">
      <c r="A1749" s="12">
        <v>1731</v>
      </c>
      <c r="B1749" s="12">
        <f t="shared" si="252"/>
        <v>9</v>
      </c>
      <c r="C1749" s="12">
        <f t="shared" si="253"/>
        <v>12.23032375</v>
      </c>
      <c r="D1749" s="12">
        <f t="shared" si="247"/>
        <v>9.6448750000000416E-2</v>
      </c>
      <c r="E1749" s="12">
        <f>SUM($D$19:D1749)</f>
        <v>58.430323749999957</v>
      </c>
      <c r="F1749" s="12">
        <f t="shared" si="250"/>
        <v>655.76267826788001</v>
      </c>
      <c r="G1749" s="12">
        <f t="shared" si="251"/>
        <v>354.47211845753094</v>
      </c>
      <c r="H1749" s="12">
        <f t="shared" si="248"/>
        <v>2360700</v>
      </c>
      <c r="I1749" s="12">
        <f t="shared" si="249"/>
        <v>1276000</v>
      </c>
      <c r="J1749" s="12">
        <f>IF(A1749&lt;[3]关卡对接!$A$4,INDEX([3]关卡对接!$C$7:$C$141,A1749),MATCH(E1749,人物经验!$H$24:$H$573,1))</f>
        <v>550</v>
      </c>
      <c r="K1749" s="12">
        <f>IF([3]关卡对接!F1737="",INT(INDEX(人物经验!$J$24:$J$573,关卡!J1749)*关卡!$S$7),[3]关卡对接!F1737)</f>
        <v>53960</v>
      </c>
      <c r="L1749" s="12">
        <f t="shared" si="254"/>
        <v>2.6</v>
      </c>
      <c r="M1749" s="12">
        <f>L1749/[4]货币基础!$B$4</f>
        <v>260</v>
      </c>
      <c r="N1749" s="12">
        <f>IF(A1749&lt;[3]关卡对接!$A$4,INDEX([3]关卡对接!$E$7:$E$141,A1749),MATCH(E1749,人物经验!$H$24:$H$573,1))</f>
        <v>550</v>
      </c>
      <c r="O1749" s="12">
        <f>INDEX([2]关卡!$G$6:$G$2005,A1749)</f>
        <v>3</v>
      </c>
      <c r="P1749" s="13">
        <v>6</v>
      </c>
      <c r="Q1749" s="12">
        <f>INT(P1749/$S$15/O1749*VLOOKUP(J1749,[1]人物技能基础!$N$3:$O$553,2,0)*$U$15)</f>
        <v>9</v>
      </c>
      <c r="R1749" s="12">
        <f t="shared" si="255"/>
        <v>112</v>
      </c>
    </row>
    <row r="1750" spans="1:18" x14ac:dyDescent="0.15">
      <c r="A1750" s="12">
        <v>1732</v>
      </c>
      <c r="B1750" s="12">
        <f t="shared" si="252"/>
        <v>9</v>
      </c>
      <c r="C1750" s="12">
        <f t="shared" si="253"/>
        <v>12.32682</v>
      </c>
      <c r="D1750" s="12">
        <f t="shared" si="247"/>
        <v>9.6496249999999506E-2</v>
      </c>
      <c r="E1750" s="12">
        <f>SUM($D$19:D1750)</f>
        <v>58.526819999999958</v>
      </c>
      <c r="F1750" s="12">
        <f t="shared" si="250"/>
        <v>656.84093557246388</v>
      </c>
      <c r="G1750" s="12">
        <f t="shared" si="251"/>
        <v>354.94391458391999</v>
      </c>
      <c r="H1750" s="12">
        <f t="shared" si="248"/>
        <v>2364600</v>
      </c>
      <c r="I1750" s="12">
        <f t="shared" si="249"/>
        <v>1277700</v>
      </c>
      <c r="J1750" s="12">
        <f>IF(A1750&lt;[3]关卡对接!$A$4,INDEX([3]关卡对接!$C$7:$C$141,A1750),MATCH(E1750,人物经验!$H$24:$H$573,1))</f>
        <v>550</v>
      </c>
      <c r="K1750" s="12">
        <f>IF([3]关卡对接!F1738="",INT(INDEX(人物经验!$J$24:$J$573,关卡!J1750)*关卡!$S$7),[3]关卡对接!F1738)</f>
        <v>53960</v>
      </c>
      <c r="L1750" s="12">
        <f t="shared" si="254"/>
        <v>2.6</v>
      </c>
      <c r="M1750" s="12">
        <f>L1750/[4]货币基础!$B$4</f>
        <v>260</v>
      </c>
      <c r="N1750" s="12">
        <f>IF(A1750&lt;[3]关卡对接!$A$4,INDEX([3]关卡对接!$E$7:$E$141,A1750),MATCH(E1750,人物经验!$H$24:$H$573,1))</f>
        <v>550</v>
      </c>
      <c r="O1750" s="12">
        <f>INDEX([2]关卡!$G$6:$G$2005,A1750)</f>
        <v>3</v>
      </c>
      <c r="P1750" s="13">
        <v>6</v>
      </c>
      <c r="Q1750" s="12">
        <f>INT(P1750/$S$15/O1750*VLOOKUP(J1750,[1]人物技能基础!$N$3:$O$553,2,0)*$U$15)</f>
        <v>9</v>
      </c>
      <c r="R1750" s="12">
        <f t="shared" si="255"/>
        <v>112</v>
      </c>
    </row>
    <row r="1751" spans="1:18" x14ac:dyDescent="0.15">
      <c r="A1751" s="12">
        <v>1733</v>
      </c>
      <c r="B1751" s="12">
        <f t="shared" si="252"/>
        <v>9</v>
      </c>
      <c r="C1751" s="12">
        <f t="shared" si="253"/>
        <v>12.423363750000002</v>
      </c>
      <c r="D1751" s="12">
        <f t="shared" si="247"/>
        <v>9.6543750000002149E-2</v>
      </c>
      <c r="E1751" s="12">
        <f>SUM($D$19:D1751)</f>
        <v>58.62336374999996</v>
      </c>
      <c r="F1751" s="12">
        <f t="shared" si="250"/>
        <v>657.92058027443011</v>
      </c>
      <c r="G1751" s="12">
        <f t="shared" si="251"/>
        <v>355.41619429778103</v>
      </c>
      <c r="H1751" s="12">
        <f t="shared" si="248"/>
        <v>2368500</v>
      </c>
      <c r="I1751" s="12">
        <f t="shared" si="249"/>
        <v>1279400</v>
      </c>
      <c r="J1751" s="12">
        <f>IF(A1751&lt;[3]关卡对接!$A$4,INDEX([3]关卡对接!$C$7:$C$141,A1751),MATCH(E1751,人物经验!$H$24:$H$573,1))</f>
        <v>550</v>
      </c>
      <c r="K1751" s="12">
        <f>IF([3]关卡对接!F1739="",INT(INDEX(人物经验!$J$24:$J$573,关卡!J1751)*关卡!$S$7),[3]关卡对接!F1739)</f>
        <v>53960</v>
      </c>
      <c r="L1751" s="12">
        <f t="shared" si="254"/>
        <v>2.6</v>
      </c>
      <c r="M1751" s="12">
        <f>L1751/[4]货币基础!$B$4</f>
        <v>260</v>
      </c>
      <c r="N1751" s="12">
        <f>IF(A1751&lt;[3]关卡对接!$A$4,INDEX([3]关卡对接!$E$7:$E$141,A1751),MATCH(E1751,人物经验!$H$24:$H$573,1))</f>
        <v>550</v>
      </c>
      <c r="O1751" s="12">
        <f>INDEX([2]关卡!$G$6:$G$2005,A1751)</f>
        <v>3</v>
      </c>
      <c r="P1751" s="13">
        <v>6</v>
      </c>
      <c r="Q1751" s="12">
        <f>INT(P1751/$S$15/O1751*VLOOKUP(J1751,[1]人物技能基础!$N$3:$O$553,2,0)*$U$15)</f>
        <v>9</v>
      </c>
      <c r="R1751" s="12">
        <f t="shared" si="255"/>
        <v>112</v>
      </c>
    </row>
    <row r="1752" spans="1:18" x14ac:dyDescent="0.15">
      <c r="A1752" s="12">
        <v>1734</v>
      </c>
      <c r="B1752" s="12">
        <f t="shared" si="252"/>
        <v>9</v>
      </c>
      <c r="C1752" s="12">
        <f t="shared" si="253"/>
        <v>12.519955</v>
      </c>
      <c r="D1752" s="12">
        <f t="shared" si="247"/>
        <v>9.6591249999997686E-2</v>
      </c>
      <c r="E1752" s="12">
        <f>SUM($D$19:D1752)</f>
        <v>58.719954999999956</v>
      </c>
      <c r="F1752" s="12">
        <f t="shared" si="250"/>
        <v>659.00161363567884</v>
      </c>
      <c r="G1752" s="12">
        <f t="shared" si="251"/>
        <v>355.88895795849498</v>
      </c>
      <c r="H1752" s="12">
        <f t="shared" si="248"/>
        <v>2372400</v>
      </c>
      <c r="I1752" s="12">
        <f t="shared" si="249"/>
        <v>1281200</v>
      </c>
      <c r="J1752" s="12">
        <f>IF(A1752&lt;[3]关卡对接!$A$4,INDEX([3]关卡对接!$C$7:$C$141,A1752),MATCH(E1752,人物经验!$H$24:$H$573,1))</f>
        <v>550</v>
      </c>
      <c r="K1752" s="12">
        <f>IF([3]关卡对接!F1740="",INT(INDEX(人物经验!$J$24:$J$573,关卡!J1752)*关卡!$S$7),[3]关卡对接!F1740)</f>
        <v>53960</v>
      </c>
      <c r="L1752" s="12">
        <f t="shared" si="254"/>
        <v>2.6</v>
      </c>
      <c r="M1752" s="12">
        <f>L1752/[4]货币基础!$B$4</f>
        <v>260</v>
      </c>
      <c r="N1752" s="12">
        <f>IF(A1752&lt;[3]关卡对接!$A$4,INDEX([3]关卡对接!$E$7:$E$141,A1752),MATCH(E1752,人物经验!$H$24:$H$573,1))</f>
        <v>550</v>
      </c>
      <c r="O1752" s="12">
        <f>INDEX([2]关卡!$G$6:$G$2005,A1752)</f>
        <v>3</v>
      </c>
      <c r="P1752" s="13">
        <v>6</v>
      </c>
      <c r="Q1752" s="12">
        <f>INT(P1752/$S$15/O1752*VLOOKUP(J1752,[1]人物技能基础!$N$3:$O$553,2,0)*$U$15)</f>
        <v>9</v>
      </c>
      <c r="R1752" s="12">
        <f t="shared" si="255"/>
        <v>112</v>
      </c>
    </row>
    <row r="1753" spans="1:18" x14ac:dyDescent="0.15">
      <c r="A1753" s="12">
        <v>1735</v>
      </c>
      <c r="B1753" s="12">
        <f t="shared" si="252"/>
        <v>9</v>
      </c>
      <c r="C1753" s="12">
        <f t="shared" si="253"/>
        <v>12.61659375</v>
      </c>
      <c r="D1753" s="12">
        <f t="shared" si="247"/>
        <v>9.6638750000000329E-2</v>
      </c>
      <c r="E1753" s="12">
        <f>SUM($D$19:D1753)</f>
        <v>58.816593749999953</v>
      </c>
      <c r="F1753" s="12">
        <f t="shared" si="250"/>
        <v>660.08403691871104</v>
      </c>
      <c r="G1753" s="12">
        <f t="shared" si="251"/>
        <v>356.36220592558595</v>
      </c>
      <c r="H1753" s="12">
        <f t="shared" si="248"/>
        <v>2376300</v>
      </c>
      <c r="I1753" s="12">
        <f t="shared" si="249"/>
        <v>1282900</v>
      </c>
      <c r="J1753" s="12">
        <f>IF(A1753&lt;[3]关卡对接!$A$4,INDEX([3]关卡对接!$C$7:$C$141,A1753),MATCH(E1753,人物经验!$H$24:$H$573,1))</f>
        <v>550</v>
      </c>
      <c r="K1753" s="12">
        <f>IF([3]关卡对接!F1741="",INT(INDEX(人物经验!$J$24:$J$573,关卡!J1753)*关卡!$S$7),[3]关卡对接!F1741)</f>
        <v>53960</v>
      </c>
      <c r="L1753" s="12">
        <f t="shared" si="254"/>
        <v>2.6</v>
      </c>
      <c r="M1753" s="12">
        <f>L1753/[4]货币基础!$B$4</f>
        <v>260</v>
      </c>
      <c r="N1753" s="12">
        <f>IF(A1753&lt;[3]关卡对接!$A$4,INDEX([3]关卡对接!$E$7:$E$141,A1753),MATCH(E1753,人物经验!$H$24:$H$573,1))</f>
        <v>550</v>
      </c>
      <c r="O1753" s="12">
        <f>INDEX([2]关卡!$G$6:$G$2005,A1753)</f>
        <v>3</v>
      </c>
      <c r="P1753" s="13">
        <v>6</v>
      </c>
      <c r="Q1753" s="12">
        <f>INT(P1753/$S$15/O1753*VLOOKUP(J1753,[1]人物技能基础!$N$3:$O$553,2,0)*$U$15)</f>
        <v>9</v>
      </c>
      <c r="R1753" s="12">
        <f t="shared" si="255"/>
        <v>112</v>
      </c>
    </row>
    <row r="1754" spans="1:18" x14ac:dyDescent="0.15">
      <c r="A1754" s="12">
        <v>1736</v>
      </c>
      <c r="B1754" s="12">
        <f t="shared" si="252"/>
        <v>9</v>
      </c>
      <c r="C1754" s="12">
        <f t="shared" si="253"/>
        <v>12.713280000000001</v>
      </c>
      <c r="D1754" s="12">
        <f t="shared" si="247"/>
        <v>9.6686250000001195E-2</v>
      </c>
      <c r="E1754" s="12">
        <f>SUM($D$19:D1754)</f>
        <v>58.913279999999958</v>
      </c>
      <c r="F1754" s="12">
        <f t="shared" si="250"/>
        <v>661.16785138662397</v>
      </c>
      <c r="G1754" s="12">
        <f t="shared" si="251"/>
        <v>356.83593855871993</v>
      </c>
      <c r="H1754" s="12">
        <f t="shared" si="248"/>
        <v>2380200</v>
      </c>
      <c r="I1754" s="12">
        <f t="shared" si="249"/>
        <v>1284600</v>
      </c>
      <c r="J1754" s="12">
        <f>IF(A1754&lt;[3]关卡对接!$A$4,INDEX([3]关卡对接!$C$7:$C$141,A1754),MATCH(E1754,人物经验!$H$24:$H$573,1))</f>
        <v>550</v>
      </c>
      <c r="K1754" s="12">
        <f>IF([3]关卡对接!F1742="",INT(INDEX(人物经验!$J$24:$J$573,关卡!J1754)*关卡!$S$7),[3]关卡对接!F1742)</f>
        <v>53960</v>
      </c>
      <c r="L1754" s="12">
        <f t="shared" si="254"/>
        <v>2.6</v>
      </c>
      <c r="M1754" s="12">
        <f>L1754/[4]货币基础!$B$4</f>
        <v>260</v>
      </c>
      <c r="N1754" s="12">
        <f>IF(A1754&lt;[3]关卡对接!$A$4,INDEX([3]关卡对接!$E$7:$E$141,A1754),MATCH(E1754,人物经验!$H$24:$H$573,1))</f>
        <v>550</v>
      </c>
      <c r="O1754" s="12">
        <f>INDEX([2]关卡!$G$6:$G$2005,A1754)</f>
        <v>3</v>
      </c>
      <c r="P1754" s="13">
        <v>6</v>
      </c>
      <c r="Q1754" s="12">
        <f>INT(P1754/$S$15/O1754*VLOOKUP(J1754,[1]人物技能基础!$N$3:$O$553,2,0)*$U$15)</f>
        <v>9</v>
      </c>
      <c r="R1754" s="12">
        <f t="shared" si="255"/>
        <v>112</v>
      </c>
    </row>
    <row r="1755" spans="1:18" x14ac:dyDescent="0.15">
      <c r="A1755" s="12">
        <v>1737</v>
      </c>
      <c r="B1755" s="12">
        <f t="shared" si="252"/>
        <v>9</v>
      </c>
      <c r="C1755" s="12">
        <f t="shared" si="253"/>
        <v>12.810013750000001</v>
      </c>
      <c r="D1755" s="12">
        <f t="shared" si="247"/>
        <v>9.6733750000000285E-2</v>
      </c>
      <c r="E1755" s="12">
        <f>SUM($D$19:D1755)</f>
        <v>59.010013749999956</v>
      </c>
      <c r="F1755" s="12">
        <f t="shared" si="250"/>
        <v>662.25305830311504</v>
      </c>
      <c r="G1755" s="12">
        <f t="shared" si="251"/>
        <v>357.31015621770604</v>
      </c>
      <c r="H1755" s="12">
        <f t="shared" si="248"/>
        <v>2384100</v>
      </c>
      <c r="I1755" s="12">
        <f t="shared" si="249"/>
        <v>1286300</v>
      </c>
      <c r="J1755" s="12">
        <f>IF(A1755&lt;[3]关卡对接!$A$4,INDEX([3]关卡对接!$C$7:$C$141,A1755),MATCH(E1755,人物经验!$H$24:$H$573,1))</f>
        <v>550</v>
      </c>
      <c r="K1755" s="12">
        <f>IF([3]关卡对接!F1743="",INT(INDEX(人物经验!$J$24:$J$573,关卡!J1755)*关卡!$S$7),[3]关卡对接!F1743)</f>
        <v>53960</v>
      </c>
      <c r="L1755" s="12">
        <f t="shared" si="254"/>
        <v>2.6</v>
      </c>
      <c r="M1755" s="12">
        <f>L1755/[4]货币基础!$B$4</f>
        <v>260</v>
      </c>
      <c r="N1755" s="12">
        <f>IF(A1755&lt;[3]关卡对接!$A$4,INDEX([3]关卡对接!$E$7:$E$141,A1755),MATCH(E1755,人物经验!$H$24:$H$573,1))</f>
        <v>550</v>
      </c>
      <c r="O1755" s="12">
        <f>INDEX([2]关卡!$G$6:$G$2005,A1755)</f>
        <v>3</v>
      </c>
      <c r="P1755" s="13">
        <v>6</v>
      </c>
      <c r="Q1755" s="12">
        <f>INT(P1755/$S$15/O1755*VLOOKUP(J1755,[1]人物技能基础!$N$3:$O$553,2,0)*$U$15)</f>
        <v>9</v>
      </c>
      <c r="R1755" s="12">
        <f t="shared" si="255"/>
        <v>112</v>
      </c>
    </row>
    <row r="1756" spans="1:18" x14ac:dyDescent="0.15">
      <c r="A1756" s="12">
        <v>1738</v>
      </c>
      <c r="B1756" s="12">
        <f t="shared" si="252"/>
        <v>9</v>
      </c>
      <c r="C1756" s="12">
        <f t="shared" si="253"/>
        <v>12.906794999999999</v>
      </c>
      <c r="D1756" s="12">
        <f t="shared" si="247"/>
        <v>9.6781249999997598E-2</v>
      </c>
      <c r="E1756" s="12">
        <f>SUM($D$19:D1756)</f>
        <v>59.106794999999956</v>
      </c>
      <c r="F1756" s="12">
        <f t="shared" si="250"/>
        <v>663.33965893247887</v>
      </c>
      <c r="G1756" s="12">
        <f t="shared" si="251"/>
        <v>357.78485926249499</v>
      </c>
      <c r="H1756" s="12">
        <f t="shared" si="248"/>
        <v>2388000</v>
      </c>
      <c r="I1756" s="12">
        <f t="shared" si="249"/>
        <v>1288000</v>
      </c>
      <c r="J1756" s="12">
        <f>IF(A1756&lt;[3]关卡对接!$A$4,INDEX([3]关卡对接!$C$7:$C$141,A1756),MATCH(E1756,人物经验!$H$24:$H$573,1))</f>
        <v>550</v>
      </c>
      <c r="K1756" s="12">
        <f>IF([3]关卡对接!F1744="",INT(INDEX(人物经验!$J$24:$J$573,关卡!J1756)*关卡!$S$7),[3]关卡对接!F1744)</f>
        <v>53960</v>
      </c>
      <c r="L1756" s="12">
        <f t="shared" si="254"/>
        <v>2.6</v>
      </c>
      <c r="M1756" s="12">
        <f>L1756/[4]货币基础!$B$4</f>
        <v>260</v>
      </c>
      <c r="N1756" s="12">
        <f>IF(A1756&lt;[3]关卡对接!$A$4,INDEX([3]关卡对接!$E$7:$E$141,A1756),MATCH(E1756,人物经验!$H$24:$H$573,1))</f>
        <v>550</v>
      </c>
      <c r="O1756" s="12">
        <f>INDEX([2]关卡!$G$6:$G$2005,A1756)</f>
        <v>3</v>
      </c>
      <c r="P1756" s="13">
        <v>6</v>
      </c>
      <c r="Q1756" s="12">
        <f>INT(P1756/$S$15/O1756*VLOOKUP(J1756,[1]人物技能基础!$N$3:$O$553,2,0)*$U$15)</f>
        <v>9</v>
      </c>
      <c r="R1756" s="12">
        <f t="shared" si="255"/>
        <v>112</v>
      </c>
    </row>
    <row r="1757" spans="1:18" x14ac:dyDescent="0.15">
      <c r="A1757" s="12">
        <v>1739</v>
      </c>
      <c r="B1757" s="12">
        <f t="shared" si="252"/>
        <v>9</v>
      </c>
      <c r="C1757" s="12">
        <f t="shared" si="253"/>
        <v>13.003623749999997</v>
      </c>
      <c r="D1757" s="12">
        <f t="shared" si="247"/>
        <v>9.6828749999998465E-2</v>
      </c>
      <c r="E1757" s="12">
        <f>SUM($D$19:D1757)</f>
        <v>59.203623749999956</v>
      </c>
      <c r="F1757" s="12">
        <f t="shared" si="250"/>
        <v>664.42765453961022</v>
      </c>
      <c r="G1757" s="12">
        <f t="shared" si="251"/>
        <v>358.26004805318098</v>
      </c>
      <c r="H1757" s="12">
        <f t="shared" si="248"/>
        <v>2391900</v>
      </c>
      <c r="I1757" s="12">
        <f t="shared" si="249"/>
        <v>1289700</v>
      </c>
      <c r="J1757" s="12">
        <f>IF(A1757&lt;[3]关卡对接!$A$4,INDEX([3]关卡对接!$C$7:$C$141,A1757),MATCH(E1757,人物经验!$H$24:$H$573,1))</f>
        <v>550</v>
      </c>
      <c r="K1757" s="12">
        <f>IF([3]关卡对接!F1745="",INT(INDEX(人物经验!$J$24:$J$573,关卡!J1757)*关卡!$S$7),[3]关卡对接!F1745)</f>
        <v>53960</v>
      </c>
      <c r="L1757" s="12">
        <f t="shared" si="254"/>
        <v>2.6</v>
      </c>
      <c r="M1757" s="12">
        <f>L1757/[4]货币基础!$B$4</f>
        <v>260</v>
      </c>
      <c r="N1757" s="12">
        <f>IF(A1757&lt;[3]关卡对接!$A$4,INDEX([3]关卡对接!$E$7:$E$141,A1757),MATCH(E1757,人物经验!$H$24:$H$573,1))</f>
        <v>550</v>
      </c>
      <c r="O1757" s="12">
        <f>INDEX([2]关卡!$G$6:$G$2005,A1757)</f>
        <v>3</v>
      </c>
      <c r="P1757" s="13">
        <v>6</v>
      </c>
      <c r="Q1757" s="12">
        <f>INT(P1757/$S$15/O1757*VLOOKUP(J1757,[1]人物技能基础!$N$3:$O$553,2,0)*$U$15)</f>
        <v>9</v>
      </c>
      <c r="R1757" s="12">
        <f t="shared" si="255"/>
        <v>112</v>
      </c>
    </row>
    <row r="1758" spans="1:18" x14ac:dyDescent="0.15">
      <c r="A1758" s="12">
        <v>1740</v>
      </c>
      <c r="B1758" s="12">
        <f t="shared" si="252"/>
        <v>9</v>
      </c>
      <c r="C1758" s="12">
        <f t="shared" si="253"/>
        <v>13.100499999999998</v>
      </c>
      <c r="D1758" s="12">
        <f t="shared" si="247"/>
        <v>9.6876250000001107E-2</v>
      </c>
      <c r="E1758" s="12">
        <f>SUM($D$19:D1758)</f>
        <v>59.300499999999957</v>
      </c>
      <c r="F1758" s="12">
        <f t="shared" si="250"/>
        <v>665.51704639000002</v>
      </c>
      <c r="G1758" s="12">
        <f t="shared" si="251"/>
        <v>358.73572295000002</v>
      </c>
      <c r="H1758" s="12">
        <f t="shared" si="248"/>
        <v>2395800</v>
      </c>
      <c r="I1758" s="12">
        <f t="shared" si="249"/>
        <v>1291400</v>
      </c>
      <c r="J1758" s="12">
        <f>IF(A1758&lt;[3]关卡对接!$A$4,INDEX([3]关卡对接!$C$7:$C$141,A1758),MATCH(E1758,人物经验!$H$24:$H$573,1))</f>
        <v>550</v>
      </c>
      <c r="K1758" s="12">
        <f>IF([3]关卡对接!F1746="",INT(INDEX(人物经验!$J$24:$J$573,关卡!J1758)*关卡!$S$7),[3]关卡对接!F1746)</f>
        <v>53960</v>
      </c>
      <c r="L1758" s="12">
        <f t="shared" si="254"/>
        <v>2.6</v>
      </c>
      <c r="M1758" s="12">
        <f>L1758/[4]货币基础!$B$4</f>
        <v>260</v>
      </c>
      <c r="N1758" s="12">
        <f>IF(A1758&lt;[3]关卡对接!$A$4,INDEX([3]关卡对接!$E$7:$E$141,A1758),MATCH(E1758,人物经验!$H$24:$H$573,1))</f>
        <v>550</v>
      </c>
      <c r="O1758" s="12">
        <f>INDEX([2]关卡!$G$6:$G$2005,A1758)</f>
        <v>3</v>
      </c>
      <c r="P1758" s="13">
        <v>6</v>
      </c>
      <c r="Q1758" s="12">
        <f>INT(P1758/$S$15/O1758*VLOOKUP(J1758,[1]人物技能基础!$N$3:$O$553,2,0)*$U$15)</f>
        <v>9</v>
      </c>
      <c r="R1758" s="12">
        <f t="shared" si="255"/>
        <v>112</v>
      </c>
    </row>
    <row r="1759" spans="1:18" x14ac:dyDescent="0.15">
      <c r="A1759" s="12">
        <v>1741</v>
      </c>
      <c r="B1759" s="12">
        <f t="shared" si="252"/>
        <v>9</v>
      </c>
      <c r="C1759" s="12">
        <f t="shared" si="253"/>
        <v>13.197423749999999</v>
      </c>
      <c r="D1759" s="12">
        <f t="shared" si="247"/>
        <v>9.6923750000000197E-2</v>
      </c>
      <c r="E1759" s="12">
        <f>SUM($D$19:D1759)</f>
        <v>59.397423749999959</v>
      </c>
      <c r="F1759" s="12">
        <f t="shared" si="250"/>
        <v>666.60783574974005</v>
      </c>
      <c r="G1759" s="12">
        <f t="shared" si="251"/>
        <v>359.21188431333098</v>
      </c>
      <c r="H1759" s="12">
        <f t="shared" si="248"/>
        <v>2399700</v>
      </c>
      <c r="I1759" s="12">
        <f t="shared" si="249"/>
        <v>1293100</v>
      </c>
      <c r="J1759" s="12">
        <f>IF(A1759&lt;[3]关卡对接!$A$4,INDEX([3]关卡对接!$C$7:$C$141,A1759),MATCH(E1759,人物经验!$H$24:$H$573,1))</f>
        <v>550</v>
      </c>
      <c r="K1759" s="12">
        <f>IF([3]关卡对接!F1747="",INT(INDEX(人物经验!$J$24:$J$573,关卡!J1759)*关卡!$S$7),[3]关卡对接!F1747)</f>
        <v>53960</v>
      </c>
      <c r="L1759" s="12">
        <f t="shared" si="254"/>
        <v>2.6</v>
      </c>
      <c r="M1759" s="12">
        <f>L1759/[4]货币基础!$B$4</f>
        <v>260</v>
      </c>
      <c r="N1759" s="12">
        <f>IF(A1759&lt;[3]关卡对接!$A$4,INDEX([3]关卡对接!$E$7:$E$141,A1759),MATCH(E1759,人物经验!$H$24:$H$573,1))</f>
        <v>550</v>
      </c>
      <c r="O1759" s="12">
        <f>INDEX([2]关卡!$G$6:$G$2005,A1759)</f>
        <v>3</v>
      </c>
      <c r="P1759" s="13">
        <v>6</v>
      </c>
      <c r="Q1759" s="12">
        <f>INT(P1759/$S$15/O1759*VLOOKUP(J1759,[1]人物技能基础!$N$3:$O$553,2,0)*$U$15)</f>
        <v>9</v>
      </c>
      <c r="R1759" s="12">
        <f t="shared" si="255"/>
        <v>112</v>
      </c>
    </row>
    <row r="1760" spans="1:18" x14ac:dyDescent="0.15">
      <c r="A1760" s="12">
        <v>1742</v>
      </c>
      <c r="B1760" s="12">
        <f t="shared" si="252"/>
        <v>9</v>
      </c>
      <c r="C1760" s="12">
        <f t="shared" si="253"/>
        <v>13.294395</v>
      </c>
      <c r="D1760" s="12">
        <f t="shared" si="247"/>
        <v>9.6971250000001064E-2</v>
      </c>
      <c r="E1760" s="12">
        <f>SUM($D$19:D1760)</f>
        <v>59.494394999999962</v>
      </c>
      <c r="F1760" s="12">
        <f t="shared" si="250"/>
        <v>667.70002388551904</v>
      </c>
      <c r="G1760" s="12">
        <f t="shared" si="251"/>
        <v>359.68853250369506</v>
      </c>
      <c r="H1760" s="12">
        <f t="shared" si="248"/>
        <v>2403700</v>
      </c>
      <c r="I1760" s="12">
        <f t="shared" si="249"/>
        <v>1294800</v>
      </c>
      <c r="J1760" s="12">
        <f>IF(A1760&lt;[3]关卡对接!$A$4,INDEX([3]关卡对接!$C$7:$C$141,A1760),MATCH(E1760,人物经验!$H$24:$H$573,1))</f>
        <v>550</v>
      </c>
      <c r="K1760" s="12">
        <f>IF([3]关卡对接!F1748="",INT(INDEX(人物经验!$J$24:$J$573,关卡!J1760)*关卡!$S$7),[3]关卡对接!F1748)</f>
        <v>53960</v>
      </c>
      <c r="L1760" s="12">
        <f t="shared" si="254"/>
        <v>2.6</v>
      </c>
      <c r="M1760" s="12">
        <f>L1760/[4]货币基础!$B$4</f>
        <v>260</v>
      </c>
      <c r="N1760" s="12">
        <f>IF(A1760&lt;[3]关卡对接!$A$4,INDEX([3]关卡对接!$E$7:$E$141,A1760),MATCH(E1760,人物经验!$H$24:$H$573,1))</f>
        <v>550</v>
      </c>
      <c r="O1760" s="12">
        <f>INDEX([2]关卡!$G$6:$G$2005,A1760)</f>
        <v>3</v>
      </c>
      <c r="P1760" s="13">
        <v>6</v>
      </c>
      <c r="Q1760" s="12">
        <f>INT(P1760/$S$15/O1760*VLOOKUP(J1760,[1]人物技能基础!$N$3:$O$553,2,0)*$U$15)</f>
        <v>9</v>
      </c>
      <c r="R1760" s="12">
        <f t="shared" si="255"/>
        <v>112</v>
      </c>
    </row>
    <row r="1761" spans="1:18" x14ac:dyDescent="0.15">
      <c r="A1761" s="12">
        <v>1743</v>
      </c>
      <c r="B1761" s="12">
        <f t="shared" si="252"/>
        <v>9</v>
      </c>
      <c r="C1761" s="12">
        <f t="shared" si="253"/>
        <v>13.391413749999998</v>
      </c>
      <c r="D1761" s="12">
        <f t="shared" si="247"/>
        <v>9.7018749999998377E-2</v>
      </c>
      <c r="E1761" s="12">
        <f>SUM($D$19:D1761)</f>
        <v>59.591413749999958</v>
      </c>
      <c r="F1761" s="12">
        <f t="shared" si="250"/>
        <v>668.79361206462511</v>
      </c>
      <c r="G1761" s="12">
        <f t="shared" si="251"/>
        <v>360.16566788175601</v>
      </c>
      <c r="H1761" s="12">
        <f t="shared" si="248"/>
        <v>2407600</v>
      </c>
      <c r="I1761" s="12">
        <f t="shared" si="249"/>
        <v>1296500</v>
      </c>
      <c r="J1761" s="12">
        <f>IF(A1761&lt;[3]关卡对接!$A$4,INDEX([3]关卡对接!$C$7:$C$141,A1761),MATCH(E1761,人物经验!$H$24:$H$573,1))</f>
        <v>550</v>
      </c>
      <c r="K1761" s="12">
        <f>IF([3]关卡对接!F1749="",INT(INDEX(人物经验!$J$24:$J$573,关卡!J1761)*关卡!$S$7),[3]关卡对接!F1749)</f>
        <v>53960</v>
      </c>
      <c r="L1761" s="12">
        <f t="shared" si="254"/>
        <v>2.6</v>
      </c>
      <c r="M1761" s="12">
        <f>L1761/[4]货币基础!$B$4</f>
        <v>260</v>
      </c>
      <c r="N1761" s="12">
        <f>IF(A1761&lt;[3]关卡对接!$A$4,INDEX([3]关卡对接!$E$7:$E$141,A1761),MATCH(E1761,人物经验!$H$24:$H$573,1))</f>
        <v>550</v>
      </c>
      <c r="O1761" s="12">
        <f>INDEX([2]关卡!$G$6:$G$2005,A1761)</f>
        <v>3</v>
      </c>
      <c r="P1761" s="13">
        <v>6</v>
      </c>
      <c r="Q1761" s="12">
        <f>INT(P1761/$S$15/O1761*VLOOKUP(J1761,[1]人物技能基础!$N$3:$O$553,2,0)*$U$15)</f>
        <v>9</v>
      </c>
      <c r="R1761" s="12">
        <f t="shared" si="255"/>
        <v>112</v>
      </c>
    </row>
    <row r="1762" spans="1:18" x14ac:dyDescent="0.15">
      <c r="A1762" s="12">
        <v>1744</v>
      </c>
      <c r="B1762" s="12">
        <f t="shared" si="252"/>
        <v>9</v>
      </c>
      <c r="C1762" s="12">
        <f t="shared" si="253"/>
        <v>13.488479999999997</v>
      </c>
      <c r="D1762" s="12">
        <f t="shared" si="247"/>
        <v>9.7066249999999243E-2</v>
      </c>
      <c r="E1762" s="12">
        <f>SUM($D$19:D1762)</f>
        <v>59.688479999999956</v>
      </c>
      <c r="F1762" s="12">
        <f t="shared" si="250"/>
        <v>669.88860155494399</v>
      </c>
      <c r="G1762" s="12">
        <f t="shared" si="251"/>
        <v>360.64329080831993</v>
      </c>
      <c r="H1762" s="12">
        <f t="shared" si="248"/>
        <v>2411500</v>
      </c>
      <c r="I1762" s="12">
        <f t="shared" si="249"/>
        <v>1298300</v>
      </c>
      <c r="J1762" s="12">
        <f>IF(A1762&lt;[3]关卡对接!$A$4,INDEX([3]关卡对接!$C$7:$C$141,A1762),MATCH(E1762,人物经验!$H$24:$H$573,1))</f>
        <v>550</v>
      </c>
      <c r="K1762" s="12">
        <f>IF([3]关卡对接!F1750="",INT(INDEX(人物经验!$J$24:$J$573,关卡!J1762)*关卡!$S$7),[3]关卡对接!F1750)</f>
        <v>53960</v>
      </c>
      <c r="L1762" s="12">
        <f t="shared" si="254"/>
        <v>2.6</v>
      </c>
      <c r="M1762" s="12">
        <f>L1762/[4]货币基础!$B$4</f>
        <v>260</v>
      </c>
      <c r="N1762" s="12">
        <f>IF(A1762&lt;[3]关卡对接!$A$4,INDEX([3]关卡对接!$E$7:$E$141,A1762),MATCH(E1762,人物经验!$H$24:$H$573,1))</f>
        <v>550</v>
      </c>
      <c r="O1762" s="12">
        <f>INDEX([2]关卡!$G$6:$G$2005,A1762)</f>
        <v>3</v>
      </c>
      <c r="P1762" s="13">
        <v>6</v>
      </c>
      <c r="Q1762" s="12">
        <f>INT(P1762/$S$15/O1762*VLOOKUP(J1762,[1]人物技能基础!$N$3:$O$553,2,0)*$U$15)</f>
        <v>9</v>
      </c>
      <c r="R1762" s="12">
        <f t="shared" si="255"/>
        <v>112</v>
      </c>
    </row>
    <row r="1763" spans="1:18" x14ac:dyDescent="0.15">
      <c r="A1763" s="12">
        <v>1745</v>
      </c>
      <c r="B1763" s="12">
        <f t="shared" si="252"/>
        <v>9</v>
      </c>
      <c r="C1763" s="12">
        <f t="shared" si="253"/>
        <v>13.585593750000001</v>
      </c>
      <c r="D1763" s="12">
        <f t="shared" si="247"/>
        <v>9.7113750000003662E-2</v>
      </c>
      <c r="E1763" s="12">
        <f>SUM($D$19:D1763)</f>
        <v>59.785593749999961</v>
      </c>
      <c r="F1763" s="12">
        <f t="shared" si="250"/>
        <v>670.98499362496113</v>
      </c>
      <c r="G1763" s="12">
        <f t="shared" si="251"/>
        <v>361.121401644336</v>
      </c>
      <c r="H1763" s="12">
        <f t="shared" si="248"/>
        <v>2415500</v>
      </c>
      <c r="I1763" s="12">
        <f t="shared" si="249"/>
        <v>1300000</v>
      </c>
      <c r="J1763" s="12">
        <f>IF(A1763&lt;[3]关卡对接!$A$4,INDEX([3]关卡对接!$C$7:$C$141,A1763),MATCH(E1763,人物经验!$H$24:$H$573,1))</f>
        <v>550</v>
      </c>
      <c r="K1763" s="12">
        <f>IF([3]关卡对接!F1751="",INT(INDEX(人物经验!$J$24:$J$573,关卡!J1763)*关卡!$S$7),[3]关卡对接!F1751)</f>
        <v>53960</v>
      </c>
      <c r="L1763" s="12">
        <f t="shared" si="254"/>
        <v>2.6</v>
      </c>
      <c r="M1763" s="12">
        <f>L1763/[4]货币基础!$B$4</f>
        <v>260</v>
      </c>
      <c r="N1763" s="12">
        <f>IF(A1763&lt;[3]关卡对接!$A$4,INDEX([3]关卡对接!$E$7:$E$141,A1763),MATCH(E1763,人物经验!$H$24:$H$573,1))</f>
        <v>550</v>
      </c>
      <c r="O1763" s="12">
        <f>INDEX([2]关卡!$G$6:$G$2005,A1763)</f>
        <v>3</v>
      </c>
      <c r="P1763" s="13">
        <v>6</v>
      </c>
      <c r="Q1763" s="12">
        <f>INT(P1763/$S$15/O1763*VLOOKUP(J1763,[1]人物技能基础!$N$3:$O$553,2,0)*$U$15)</f>
        <v>9</v>
      </c>
      <c r="R1763" s="12">
        <f t="shared" si="255"/>
        <v>112</v>
      </c>
    </row>
    <row r="1764" spans="1:18" x14ac:dyDescent="0.15">
      <c r="A1764" s="12">
        <v>1746</v>
      </c>
      <c r="B1764" s="12">
        <f t="shared" si="252"/>
        <v>9</v>
      </c>
      <c r="C1764" s="12">
        <f t="shared" si="253"/>
        <v>13.682755</v>
      </c>
      <c r="D1764" s="12">
        <f t="shared" si="247"/>
        <v>9.71612499999992E-2</v>
      </c>
      <c r="E1764" s="12">
        <f>SUM($D$19:D1764)</f>
        <v>59.88275499999996</v>
      </c>
      <c r="F1764" s="12">
        <f t="shared" si="250"/>
        <v>672.08278954375896</v>
      </c>
      <c r="G1764" s="12">
        <f t="shared" si="251"/>
        <v>361.60000075089494</v>
      </c>
      <c r="H1764" s="12">
        <f t="shared" si="248"/>
        <v>2419400</v>
      </c>
      <c r="I1764" s="12">
        <f t="shared" si="249"/>
        <v>1301700</v>
      </c>
      <c r="J1764" s="12">
        <f>IF(A1764&lt;[3]关卡对接!$A$4,INDEX([3]关卡对接!$C$7:$C$141,A1764),MATCH(E1764,人物经验!$H$24:$H$573,1))</f>
        <v>550</v>
      </c>
      <c r="K1764" s="12">
        <f>IF([3]关卡对接!F1752="",INT(INDEX(人物经验!$J$24:$J$573,关卡!J1764)*关卡!$S$7),[3]关卡对接!F1752)</f>
        <v>53960</v>
      </c>
      <c r="L1764" s="12">
        <f t="shared" si="254"/>
        <v>2.6</v>
      </c>
      <c r="M1764" s="12">
        <f>L1764/[4]货币基础!$B$4</f>
        <v>260</v>
      </c>
      <c r="N1764" s="12">
        <f>IF(A1764&lt;[3]关卡对接!$A$4,INDEX([3]关卡对接!$E$7:$E$141,A1764),MATCH(E1764,人物经验!$H$24:$H$573,1))</f>
        <v>550</v>
      </c>
      <c r="O1764" s="12">
        <f>INDEX([2]关卡!$G$6:$G$2005,A1764)</f>
        <v>3</v>
      </c>
      <c r="P1764" s="13">
        <v>6</v>
      </c>
      <c r="Q1764" s="12">
        <f>INT(P1764/$S$15/O1764*VLOOKUP(J1764,[1]人物技能基础!$N$3:$O$553,2,0)*$U$15)</f>
        <v>9</v>
      </c>
      <c r="R1764" s="12">
        <f t="shared" si="255"/>
        <v>112</v>
      </c>
    </row>
    <row r="1765" spans="1:18" x14ac:dyDescent="0.15">
      <c r="A1765" s="12">
        <v>1747</v>
      </c>
      <c r="B1765" s="12">
        <f t="shared" si="252"/>
        <v>9</v>
      </c>
      <c r="C1765" s="12">
        <f t="shared" si="253"/>
        <v>13.77996375</v>
      </c>
      <c r="D1765" s="12">
        <f t="shared" si="247"/>
        <v>9.7208750000000066E-2</v>
      </c>
      <c r="E1765" s="12">
        <f>SUM($D$19:D1765)</f>
        <v>59.97996374999996</v>
      </c>
      <c r="F1765" s="12">
        <f t="shared" si="250"/>
        <v>673.18199058102016</v>
      </c>
      <c r="G1765" s="12">
        <f t="shared" si="251"/>
        <v>362.07908848923097</v>
      </c>
      <c r="H1765" s="12">
        <f t="shared" si="248"/>
        <v>2423400</v>
      </c>
      <c r="I1765" s="12">
        <f t="shared" si="249"/>
        <v>1303400</v>
      </c>
      <c r="J1765" s="12">
        <f>IF(A1765&lt;[3]关卡对接!$A$4,INDEX([3]关卡对接!$C$7:$C$141,A1765),MATCH(E1765,人物经验!$H$24:$H$573,1))</f>
        <v>550</v>
      </c>
      <c r="K1765" s="12">
        <f>IF([3]关卡对接!F1753="",INT(INDEX(人物经验!$J$24:$J$573,关卡!J1765)*关卡!$S$7),[3]关卡对接!F1753)</f>
        <v>53960</v>
      </c>
      <c r="L1765" s="12">
        <f t="shared" si="254"/>
        <v>2.6</v>
      </c>
      <c r="M1765" s="12">
        <f>L1765/[4]货币基础!$B$4</f>
        <v>260</v>
      </c>
      <c r="N1765" s="12">
        <f>IF(A1765&lt;[3]关卡对接!$A$4,INDEX([3]关卡对接!$E$7:$E$141,A1765),MATCH(E1765,人物经验!$H$24:$H$573,1))</f>
        <v>550</v>
      </c>
      <c r="O1765" s="12">
        <f>INDEX([2]关卡!$G$6:$G$2005,A1765)</f>
        <v>3</v>
      </c>
      <c r="P1765" s="13">
        <v>6</v>
      </c>
      <c r="Q1765" s="12">
        <f>INT(P1765/$S$15/O1765*VLOOKUP(J1765,[1]人物技能基础!$N$3:$O$553,2,0)*$U$15)</f>
        <v>9</v>
      </c>
      <c r="R1765" s="12">
        <f t="shared" si="255"/>
        <v>112</v>
      </c>
    </row>
    <row r="1766" spans="1:18" x14ac:dyDescent="0.15">
      <c r="A1766" s="12">
        <v>1748</v>
      </c>
      <c r="B1766" s="12">
        <f t="shared" si="252"/>
        <v>9</v>
      </c>
      <c r="C1766" s="12">
        <f t="shared" si="253"/>
        <v>13.877219999999998</v>
      </c>
      <c r="D1766" s="12">
        <f t="shared" si="247"/>
        <v>9.725624999999738E-2</v>
      </c>
      <c r="E1766" s="12">
        <f>SUM($D$19:D1766)</f>
        <v>60.077219999999954</v>
      </c>
      <c r="F1766" s="12">
        <f t="shared" si="250"/>
        <v>674.28259800702403</v>
      </c>
      <c r="G1766" s="12">
        <f t="shared" si="251"/>
        <v>362.55866522072</v>
      </c>
      <c r="H1766" s="12">
        <f t="shared" si="248"/>
        <v>2427400</v>
      </c>
      <c r="I1766" s="12">
        <f t="shared" si="249"/>
        <v>1305200</v>
      </c>
      <c r="J1766" s="12">
        <f>IF(A1766&lt;[3]关卡对接!$A$4,INDEX([3]关卡对接!$C$7:$C$141,A1766),MATCH(E1766,人物经验!$H$24:$H$573,1))</f>
        <v>550</v>
      </c>
      <c r="K1766" s="12">
        <f>IF([3]关卡对接!F1754="",INT(INDEX(人物经验!$J$24:$J$573,关卡!J1766)*关卡!$S$7),[3]关卡对接!F1754)</f>
        <v>53960</v>
      </c>
      <c r="L1766" s="12">
        <f t="shared" si="254"/>
        <v>2.6</v>
      </c>
      <c r="M1766" s="12">
        <f>L1766/[4]货币基础!$B$4</f>
        <v>260</v>
      </c>
      <c r="N1766" s="12">
        <f>IF(A1766&lt;[3]关卡对接!$A$4,INDEX([3]关卡对接!$E$7:$E$141,A1766),MATCH(E1766,人物经验!$H$24:$H$573,1))</f>
        <v>550</v>
      </c>
      <c r="O1766" s="12">
        <f>INDEX([2]关卡!$G$6:$G$2005,A1766)</f>
        <v>3</v>
      </c>
      <c r="P1766" s="13">
        <v>6</v>
      </c>
      <c r="Q1766" s="12">
        <f>INT(P1766/$S$15/O1766*VLOOKUP(J1766,[1]人物技能基础!$N$3:$O$553,2,0)*$U$15)</f>
        <v>9</v>
      </c>
      <c r="R1766" s="12">
        <f t="shared" si="255"/>
        <v>112</v>
      </c>
    </row>
    <row r="1767" spans="1:18" x14ac:dyDescent="0.15">
      <c r="A1767" s="12">
        <v>1749</v>
      </c>
      <c r="B1767" s="12">
        <f t="shared" si="252"/>
        <v>9</v>
      </c>
      <c r="C1767" s="12">
        <f t="shared" si="253"/>
        <v>13.974523749999999</v>
      </c>
      <c r="D1767" s="12">
        <f t="shared" si="247"/>
        <v>9.7303750000001799E-2</v>
      </c>
      <c r="E1767" s="12">
        <f>SUM($D$19:D1767)</f>
        <v>60.174523749999956</v>
      </c>
      <c r="F1767" s="12">
        <f t="shared" si="250"/>
        <v>675.38461309264994</v>
      </c>
      <c r="G1767" s="12">
        <f t="shared" si="251"/>
        <v>363.03873130688095</v>
      </c>
      <c r="H1767" s="12">
        <f t="shared" si="248"/>
        <v>2431300</v>
      </c>
      <c r="I1767" s="12">
        <f t="shared" si="249"/>
        <v>1306900</v>
      </c>
      <c r="J1767" s="12">
        <f>IF(A1767&lt;[3]关卡对接!$A$4,INDEX([3]关卡对接!$C$7:$C$141,A1767),MATCH(E1767,人物经验!$H$24:$H$573,1))</f>
        <v>550</v>
      </c>
      <c r="K1767" s="12">
        <f>IF([3]关卡对接!F1755="",INT(INDEX(人物经验!$J$24:$J$573,关卡!J1767)*关卡!$S$7),[3]关卡对接!F1755)</f>
        <v>53960</v>
      </c>
      <c r="L1767" s="12">
        <f t="shared" si="254"/>
        <v>2.6</v>
      </c>
      <c r="M1767" s="12">
        <f>L1767/[4]货币基础!$B$4</f>
        <v>260</v>
      </c>
      <c r="N1767" s="12">
        <f>IF(A1767&lt;[3]关卡对接!$A$4,INDEX([3]关卡对接!$E$7:$E$141,A1767),MATCH(E1767,人物经验!$H$24:$H$573,1))</f>
        <v>550</v>
      </c>
      <c r="O1767" s="12">
        <f>INDEX([2]关卡!$G$6:$G$2005,A1767)</f>
        <v>3</v>
      </c>
      <c r="P1767" s="13">
        <v>6</v>
      </c>
      <c r="Q1767" s="12">
        <f>INT(P1767/$S$15/O1767*VLOOKUP(J1767,[1]人物技能基础!$N$3:$O$553,2,0)*$U$15)</f>
        <v>9</v>
      </c>
      <c r="R1767" s="12">
        <f t="shared" si="255"/>
        <v>112</v>
      </c>
    </row>
    <row r="1768" spans="1:18" x14ac:dyDescent="0.15">
      <c r="A1768" s="12">
        <v>1750</v>
      </c>
      <c r="B1768" s="12">
        <f t="shared" si="252"/>
        <v>9</v>
      </c>
      <c r="C1768" s="12">
        <f t="shared" si="253"/>
        <v>14.071874999999997</v>
      </c>
      <c r="D1768" s="12">
        <f t="shared" si="247"/>
        <v>9.7351249999997336E-2</v>
      </c>
      <c r="E1768" s="12">
        <f>SUM($D$19:D1768)</f>
        <v>60.271874999999952</v>
      </c>
      <c r="F1768" s="12">
        <f t="shared" si="250"/>
        <v>676.48803710937511</v>
      </c>
      <c r="G1768" s="12">
        <f t="shared" si="251"/>
        <v>363.519287109375</v>
      </c>
      <c r="H1768" s="12">
        <f t="shared" si="248"/>
        <v>2435300</v>
      </c>
      <c r="I1768" s="12">
        <f t="shared" si="249"/>
        <v>1308600</v>
      </c>
      <c r="J1768" s="12">
        <f>IF(A1768&lt;[3]关卡对接!$A$4,INDEX([3]关卡对接!$C$7:$C$141,A1768),MATCH(E1768,人物经验!$H$24:$H$573,1))</f>
        <v>550</v>
      </c>
      <c r="K1768" s="12">
        <f>IF([3]关卡对接!F1756="",INT(INDEX(人物经验!$J$24:$J$573,关卡!J1768)*关卡!$S$7),[3]关卡对接!F1756)</f>
        <v>53960</v>
      </c>
      <c r="L1768" s="12">
        <f t="shared" si="254"/>
        <v>2.6</v>
      </c>
      <c r="M1768" s="12">
        <f>L1768/[4]货币基础!$B$4</f>
        <v>260</v>
      </c>
      <c r="N1768" s="12">
        <f>IF(A1768&lt;[3]关卡对接!$A$4,INDEX([3]关卡对接!$E$7:$E$141,A1768),MATCH(E1768,人物经验!$H$24:$H$573,1))</f>
        <v>550</v>
      </c>
      <c r="O1768" s="12">
        <f>INDEX([2]关卡!$G$6:$G$2005,A1768)</f>
        <v>3</v>
      </c>
      <c r="P1768" s="13">
        <v>6</v>
      </c>
      <c r="Q1768" s="12">
        <f>INT(P1768/$S$15/O1768*VLOOKUP(J1768,[1]人物技能基础!$N$3:$O$553,2,0)*$U$15)</f>
        <v>9</v>
      </c>
      <c r="R1768" s="12">
        <f t="shared" si="255"/>
        <v>112</v>
      </c>
    </row>
    <row r="1769" spans="1:18" x14ac:dyDescent="0.15">
      <c r="A1769" s="12">
        <v>1751</v>
      </c>
      <c r="B1769" s="12">
        <f t="shared" si="252"/>
        <v>9</v>
      </c>
      <c r="C1769" s="12">
        <f t="shared" si="253"/>
        <v>14.16927375</v>
      </c>
      <c r="D1769" s="12">
        <f t="shared" si="247"/>
        <v>9.7398750000003531E-2</v>
      </c>
      <c r="E1769" s="12">
        <f>SUM($D$19:D1769)</f>
        <v>60.369273749999955</v>
      </c>
      <c r="F1769" s="12">
        <f t="shared" si="250"/>
        <v>677.59287132927489</v>
      </c>
      <c r="G1769" s="12">
        <f t="shared" si="251"/>
        <v>364.00033299000592</v>
      </c>
      <c r="H1769" s="12">
        <f t="shared" si="248"/>
        <v>2439300</v>
      </c>
      <c r="I1769" s="12">
        <f t="shared" si="249"/>
        <v>1310400</v>
      </c>
      <c r="J1769" s="12">
        <f>IF(A1769&lt;[3]关卡对接!$A$4,INDEX([3]关卡对接!$C$7:$C$141,A1769),MATCH(E1769,人物经验!$H$24:$H$573,1))</f>
        <v>550</v>
      </c>
      <c r="K1769" s="12">
        <f>IF([3]关卡对接!F1757="",INT(INDEX(人物经验!$J$24:$J$573,关卡!J1769)*关卡!$S$7),[3]关卡对接!F1757)</f>
        <v>53960</v>
      </c>
      <c r="L1769" s="12">
        <f t="shared" si="254"/>
        <v>2.6</v>
      </c>
      <c r="M1769" s="12">
        <f>L1769/[4]货币基础!$B$4</f>
        <v>260</v>
      </c>
      <c r="N1769" s="12">
        <f>IF(A1769&lt;[3]关卡对接!$A$4,INDEX([3]关卡对接!$E$7:$E$141,A1769),MATCH(E1769,人物经验!$H$24:$H$573,1))</f>
        <v>550</v>
      </c>
      <c r="O1769" s="12">
        <f>INDEX([2]关卡!$G$6:$G$2005,A1769)</f>
        <v>3</v>
      </c>
      <c r="P1769" s="13">
        <v>6</v>
      </c>
      <c r="Q1769" s="12">
        <f>INT(P1769/$S$15/O1769*VLOOKUP(J1769,[1]人物技能基础!$N$3:$O$553,2,0)*$U$15)</f>
        <v>9</v>
      </c>
      <c r="R1769" s="12">
        <f t="shared" si="255"/>
        <v>112</v>
      </c>
    </row>
    <row r="1770" spans="1:18" x14ac:dyDescent="0.15">
      <c r="A1770" s="12">
        <v>1752</v>
      </c>
      <c r="B1770" s="12">
        <f t="shared" si="252"/>
        <v>9</v>
      </c>
      <c r="C1770" s="12">
        <f t="shared" si="253"/>
        <v>14.266719999999999</v>
      </c>
      <c r="D1770" s="12">
        <f t="shared" si="247"/>
        <v>9.7446249999999068E-2</v>
      </c>
      <c r="E1770" s="12">
        <f>SUM($D$19:D1770)</f>
        <v>60.466719999999953</v>
      </c>
      <c r="F1770" s="12">
        <f t="shared" si="250"/>
        <v>678.69911702502407</v>
      </c>
      <c r="G1770" s="12">
        <f t="shared" si="251"/>
        <v>364.48186931071996</v>
      </c>
      <c r="H1770" s="12">
        <f t="shared" si="248"/>
        <v>2443300</v>
      </c>
      <c r="I1770" s="12">
        <f t="shared" si="249"/>
        <v>1312100</v>
      </c>
      <c r="J1770" s="12">
        <f>IF(A1770&lt;[3]关卡对接!$A$4,INDEX([3]关卡对接!$C$7:$C$141,A1770),MATCH(E1770,人物经验!$H$24:$H$573,1))</f>
        <v>550</v>
      </c>
      <c r="K1770" s="12">
        <f>IF([3]关卡对接!F1758="",INT(INDEX(人物经验!$J$24:$J$573,关卡!J1770)*关卡!$S$7),[3]关卡对接!F1758)</f>
        <v>53960</v>
      </c>
      <c r="L1770" s="12">
        <f t="shared" si="254"/>
        <v>2.6</v>
      </c>
      <c r="M1770" s="12">
        <f>L1770/[4]货币基础!$B$4</f>
        <v>260</v>
      </c>
      <c r="N1770" s="12">
        <f>IF(A1770&lt;[3]关卡对接!$A$4,INDEX([3]关卡对接!$E$7:$E$141,A1770),MATCH(E1770,人物经验!$H$24:$H$573,1))</f>
        <v>550</v>
      </c>
      <c r="O1770" s="12">
        <f>INDEX([2]关卡!$G$6:$G$2005,A1770)</f>
        <v>3</v>
      </c>
      <c r="P1770" s="13">
        <v>6</v>
      </c>
      <c r="Q1770" s="12">
        <f>INT(P1770/$S$15/O1770*VLOOKUP(J1770,[1]人物技能基础!$N$3:$O$553,2,0)*$U$15)</f>
        <v>9</v>
      </c>
      <c r="R1770" s="12">
        <f t="shared" si="255"/>
        <v>112</v>
      </c>
    </row>
    <row r="1771" spans="1:18" x14ac:dyDescent="0.15">
      <c r="A1771" s="12">
        <v>1753</v>
      </c>
      <c r="B1771" s="12">
        <f t="shared" si="252"/>
        <v>9</v>
      </c>
      <c r="C1771" s="12">
        <f t="shared" si="253"/>
        <v>14.364213750000001</v>
      </c>
      <c r="D1771" s="12">
        <f t="shared" si="247"/>
        <v>9.7493750000001711E-2</v>
      </c>
      <c r="E1771" s="12">
        <f>SUM($D$19:D1771)</f>
        <v>60.564213749999951</v>
      </c>
      <c r="F1771" s="12">
        <f t="shared" si="250"/>
        <v>679.80677546989477</v>
      </c>
      <c r="G1771" s="12">
        <f t="shared" si="251"/>
        <v>364.96389643360584</v>
      </c>
      <c r="H1771" s="12">
        <f t="shared" si="248"/>
        <v>2447300</v>
      </c>
      <c r="I1771" s="12">
        <f t="shared" si="249"/>
        <v>1313800</v>
      </c>
      <c r="J1771" s="12">
        <f>IF(A1771&lt;[3]关卡对接!$A$4,INDEX([3]关卡对接!$C$7:$C$141,A1771),MATCH(E1771,人物经验!$H$24:$H$573,1))</f>
        <v>550</v>
      </c>
      <c r="K1771" s="12">
        <f>IF([3]关卡对接!F1759="",INT(INDEX(人物经验!$J$24:$J$573,关卡!J1771)*关卡!$S$7),[3]关卡对接!F1759)</f>
        <v>53960</v>
      </c>
      <c r="L1771" s="12">
        <f t="shared" si="254"/>
        <v>2.6</v>
      </c>
      <c r="M1771" s="12">
        <f>L1771/[4]货币基础!$B$4</f>
        <v>260</v>
      </c>
      <c r="N1771" s="12">
        <f>IF(A1771&lt;[3]关卡对接!$A$4,INDEX([3]关卡对接!$E$7:$E$141,A1771),MATCH(E1771,人物经验!$H$24:$H$573,1))</f>
        <v>550</v>
      </c>
      <c r="O1771" s="12">
        <f>INDEX([2]关卡!$G$6:$G$2005,A1771)</f>
        <v>3</v>
      </c>
      <c r="P1771" s="13">
        <v>6</v>
      </c>
      <c r="Q1771" s="12">
        <f>INT(P1771/$S$15/O1771*VLOOKUP(J1771,[1]人物技能基础!$N$3:$O$553,2,0)*$U$15)</f>
        <v>9</v>
      </c>
      <c r="R1771" s="12">
        <f t="shared" si="255"/>
        <v>112</v>
      </c>
    </row>
    <row r="1772" spans="1:18" x14ac:dyDescent="0.15">
      <c r="A1772" s="12">
        <v>1754</v>
      </c>
      <c r="B1772" s="12">
        <f t="shared" si="252"/>
        <v>9</v>
      </c>
      <c r="C1772" s="12">
        <f t="shared" si="253"/>
        <v>14.461755</v>
      </c>
      <c r="D1772" s="12">
        <f t="shared" si="247"/>
        <v>9.7541249999999025E-2</v>
      </c>
      <c r="E1772" s="12">
        <f>SUM($D$19:D1772)</f>
        <v>60.66175499999995</v>
      </c>
      <c r="F1772" s="12">
        <f t="shared" si="250"/>
        <v>680.91584793775905</v>
      </c>
      <c r="G1772" s="12">
        <f t="shared" si="251"/>
        <v>365.44641472089495</v>
      </c>
      <c r="H1772" s="12">
        <f t="shared" si="248"/>
        <v>2451200</v>
      </c>
      <c r="I1772" s="12">
        <f t="shared" si="249"/>
        <v>1315600</v>
      </c>
      <c r="J1772" s="12">
        <f>IF(A1772&lt;[3]关卡对接!$A$4,INDEX([3]关卡对接!$C$7:$C$141,A1772),MATCH(E1772,人物经验!$H$24:$H$573,1))</f>
        <v>550</v>
      </c>
      <c r="K1772" s="12">
        <f>IF([3]关卡对接!F1760="",INT(INDEX(人物经验!$J$24:$J$573,关卡!J1772)*关卡!$S$7),[3]关卡对接!F1760)</f>
        <v>53960</v>
      </c>
      <c r="L1772" s="12">
        <f t="shared" si="254"/>
        <v>2.6</v>
      </c>
      <c r="M1772" s="12">
        <f>L1772/[4]货币基础!$B$4</f>
        <v>260</v>
      </c>
      <c r="N1772" s="12">
        <f>IF(A1772&lt;[3]关卡对接!$A$4,INDEX([3]关卡对接!$E$7:$E$141,A1772),MATCH(E1772,人物经验!$H$24:$H$573,1))</f>
        <v>550</v>
      </c>
      <c r="O1772" s="12">
        <f>INDEX([2]关卡!$G$6:$G$2005,A1772)</f>
        <v>3</v>
      </c>
      <c r="P1772" s="13">
        <v>6</v>
      </c>
      <c r="Q1772" s="12">
        <f>INT(P1772/$S$15/O1772*VLOOKUP(J1772,[1]人物技能基础!$N$3:$O$553,2,0)*$U$15)</f>
        <v>9</v>
      </c>
      <c r="R1772" s="12">
        <f t="shared" si="255"/>
        <v>112</v>
      </c>
    </row>
    <row r="1773" spans="1:18" x14ac:dyDescent="0.15">
      <c r="A1773" s="12">
        <v>1755</v>
      </c>
      <c r="B1773" s="12">
        <f t="shared" si="252"/>
        <v>9</v>
      </c>
      <c r="C1773" s="12">
        <f t="shared" si="253"/>
        <v>14.559343749999998</v>
      </c>
      <c r="D1773" s="12">
        <f t="shared" si="247"/>
        <v>9.7588749999998115E-2</v>
      </c>
      <c r="E1773" s="12">
        <f>SUM($D$19:D1773)</f>
        <v>60.75934374999995</v>
      </c>
      <c r="F1773" s="12">
        <f t="shared" si="250"/>
        <v>682.02633570308581</v>
      </c>
      <c r="G1773" s="12">
        <f t="shared" si="251"/>
        <v>365.92942453496084</v>
      </c>
      <c r="H1773" s="12">
        <f t="shared" si="248"/>
        <v>2455200</v>
      </c>
      <c r="I1773" s="12">
        <f t="shared" si="249"/>
        <v>1317300</v>
      </c>
      <c r="J1773" s="12">
        <f>IF(A1773&lt;[3]关卡对接!$A$4,INDEX([3]关卡对接!$C$7:$C$141,A1773),MATCH(E1773,人物经验!$H$24:$H$573,1))</f>
        <v>550</v>
      </c>
      <c r="K1773" s="12">
        <f>IF([3]关卡对接!F1761="",INT(INDEX(人物经验!$J$24:$J$573,关卡!J1773)*关卡!$S$7),[3]关卡对接!F1761)</f>
        <v>53960</v>
      </c>
      <c r="L1773" s="12">
        <f t="shared" si="254"/>
        <v>2.6</v>
      </c>
      <c r="M1773" s="12">
        <f>L1773/[4]货币基础!$B$4</f>
        <v>260</v>
      </c>
      <c r="N1773" s="12">
        <f>IF(A1773&lt;[3]关卡对接!$A$4,INDEX([3]关卡对接!$E$7:$E$141,A1773),MATCH(E1773,人物经验!$H$24:$H$573,1))</f>
        <v>550</v>
      </c>
      <c r="O1773" s="12">
        <f>INDEX([2]关卡!$G$6:$G$2005,A1773)</f>
        <v>3</v>
      </c>
      <c r="P1773" s="13">
        <v>6</v>
      </c>
      <c r="Q1773" s="12">
        <f>INT(P1773/$S$15/O1773*VLOOKUP(J1773,[1]人物技能基础!$N$3:$O$553,2,0)*$U$15)</f>
        <v>9</v>
      </c>
      <c r="R1773" s="12">
        <f t="shared" si="255"/>
        <v>112</v>
      </c>
    </row>
    <row r="1774" spans="1:18" x14ac:dyDescent="0.15">
      <c r="A1774" s="12">
        <v>1756</v>
      </c>
      <c r="B1774" s="12">
        <f t="shared" si="252"/>
        <v>9</v>
      </c>
      <c r="C1774" s="12">
        <f t="shared" si="253"/>
        <v>14.656980000000001</v>
      </c>
      <c r="D1774" s="12">
        <f t="shared" si="247"/>
        <v>9.7636250000002534E-2</v>
      </c>
      <c r="E1774" s="12">
        <f>SUM($D$19:D1774)</f>
        <v>60.85697999999995</v>
      </c>
      <c r="F1774" s="12">
        <f t="shared" si="250"/>
        <v>683.13824004094408</v>
      </c>
      <c r="G1774" s="12">
        <f t="shared" si="251"/>
        <v>366.41292623831998</v>
      </c>
      <c r="H1774" s="12">
        <f t="shared" si="248"/>
        <v>2459200</v>
      </c>
      <c r="I1774" s="12">
        <f t="shared" si="249"/>
        <v>1319000</v>
      </c>
      <c r="J1774" s="12">
        <f>IF(A1774&lt;[3]关卡对接!$A$4,INDEX([3]关卡对接!$C$7:$C$141,A1774),MATCH(E1774,人物经验!$H$24:$H$573,1))</f>
        <v>550</v>
      </c>
      <c r="K1774" s="12">
        <f>IF([3]关卡对接!F1762="",INT(INDEX(人物经验!$J$24:$J$573,关卡!J1774)*关卡!$S$7),[3]关卡对接!F1762)</f>
        <v>53960</v>
      </c>
      <c r="L1774" s="12">
        <f t="shared" si="254"/>
        <v>2.6</v>
      </c>
      <c r="M1774" s="12">
        <f>L1774/[4]货币基础!$B$4</f>
        <v>260</v>
      </c>
      <c r="N1774" s="12">
        <f>IF(A1774&lt;[3]关卡对接!$A$4,INDEX([3]关卡对接!$E$7:$E$141,A1774),MATCH(E1774,人物经验!$H$24:$H$573,1))</f>
        <v>550</v>
      </c>
      <c r="O1774" s="12">
        <f>INDEX([2]关卡!$G$6:$G$2005,A1774)</f>
        <v>3</v>
      </c>
      <c r="P1774" s="13">
        <v>6</v>
      </c>
      <c r="Q1774" s="12">
        <f>INT(P1774/$S$15/O1774*VLOOKUP(J1774,[1]人物技能基础!$N$3:$O$553,2,0)*$U$15)</f>
        <v>9</v>
      </c>
      <c r="R1774" s="12">
        <f t="shared" si="255"/>
        <v>112</v>
      </c>
    </row>
    <row r="1775" spans="1:18" x14ac:dyDescent="0.15">
      <c r="A1775" s="12">
        <v>1757</v>
      </c>
      <c r="B1775" s="12">
        <f t="shared" si="252"/>
        <v>9</v>
      </c>
      <c r="C1775" s="12">
        <f t="shared" si="253"/>
        <v>14.754663749999999</v>
      </c>
      <c r="D1775" s="12">
        <f t="shared" si="247"/>
        <v>9.7683749999998071E-2</v>
      </c>
      <c r="E1775" s="12">
        <f>SUM($D$19:D1775)</f>
        <v>60.954663749999952</v>
      </c>
      <c r="F1775" s="12">
        <f t="shared" si="250"/>
        <v>684.25156222699979</v>
      </c>
      <c r="G1775" s="12">
        <f t="shared" si="251"/>
        <v>366.89692019363088</v>
      </c>
      <c r="H1775" s="12">
        <f t="shared" si="248"/>
        <v>2463300</v>
      </c>
      <c r="I1775" s="12">
        <f t="shared" si="249"/>
        <v>1320800</v>
      </c>
      <c r="J1775" s="12">
        <f>IF(A1775&lt;[3]关卡对接!$A$4,INDEX([3]关卡对接!$C$7:$C$141,A1775),MATCH(E1775,人物经验!$H$24:$H$573,1))</f>
        <v>550</v>
      </c>
      <c r="K1775" s="12">
        <f>IF([3]关卡对接!F1763="",INT(INDEX(人物经验!$J$24:$J$573,关卡!J1775)*关卡!$S$7),[3]关卡对接!F1763)</f>
        <v>53960</v>
      </c>
      <c r="L1775" s="12">
        <f t="shared" si="254"/>
        <v>2.6</v>
      </c>
      <c r="M1775" s="12">
        <f>L1775/[4]货币基础!$B$4</f>
        <v>260</v>
      </c>
      <c r="N1775" s="12">
        <f>IF(A1775&lt;[3]关卡对接!$A$4,INDEX([3]关卡对接!$E$7:$E$141,A1775),MATCH(E1775,人物经验!$H$24:$H$573,1))</f>
        <v>550</v>
      </c>
      <c r="O1775" s="12">
        <f>INDEX([2]关卡!$G$6:$G$2005,A1775)</f>
        <v>3</v>
      </c>
      <c r="P1775" s="13">
        <v>6</v>
      </c>
      <c r="Q1775" s="12">
        <f>INT(P1775/$S$15/O1775*VLOOKUP(J1775,[1]人物技能基础!$N$3:$O$553,2,0)*$U$15)</f>
        <v>9</v>
      </c>
      <c r="R1775" s="12">
        <f t="shared" si="255"/>
        <v>112</v>
      </c>
    </row>
    <row r="1776" spans="1:18" x14ac:dyDescent="0.15">
      <c r="A1776" s="12">
        <v>1758</v>
      </c>
      <c r="B1776" s="12">
        <f t="shared" si="252"/>
        <v>9</v>
      </c>
      <c r="C1776" s="12">
        <f t="shared" si="253"/>
        <v>14.852395</v>
      </c>
      <c r="D1776" s="12">
        <f t="shared" si="247"/>
        <v>9.7731250000000713E-2</v>
      </c>
      <c r="E1776" s="12">
        <f>SUM($D$19:D1776)</f>
        <v>61.052394999999954</v>
      </c>
      <c r="F1776" s="12">
        <f t="shared" si="250"/>
        <v>685.366303537519</v>
      </c>
      <c r="G1776" s="12">
        <f t="shared" si="251"/>
        <v>367.38140676369494</v>
      </c>
      <c r="H1776" s="12">
        <f t="shared" si="248"/>
        <v>2467300</v>
      </c>
      <c r="I1776" s="12">
        <f t="shared" si="249"/>
        <v>1322500</v>
      </c>
      <c r="J1776" s="12">
        <f>IF(A1776&lt;[3]关卡对接!$A$4,INDEX([3]关卡对接!$C$7:$C$141,A1776),MATCH(E1776,人物经验!$H$24:$H$573,1))</f>
        <v>550</v>
      </c>
      <c r="K1776" s="12">
        <f>IF([3]关卡对接!F1764="",INT(INDEX(人物经验!$J$24:$J$573,关卡!J1776)*关卡!$S$7),[3]关卡对接!F1764)</f>
        <v>53960</v>
      </c>
      <c r="L1776" s="12">
        <f t="shared" si="254"/>
        <v>2.6</v>
      </c>
      <c r="M1776" s="12">
        <f>L1776/[4]货币基础!$B$4</f>
        <v>260</v>
      </c>
      <c r="N1776" s="12">
        <f>IF(A1776&lt;[3]关卡对接!$A$4,INDEX([3]关卡对接!$E$7:$E$141,A1776),MATCH(E1776,人物经验!$H$24:$H$573,1))</f>
        <v>550</v>
      </c>
      <c r="O1776" s="12">
        <f>INDEX([2]关卡!$G$6:$G$2005,A1776)</f>
        <v>3</v>
      </c>
      <c r="P1776" s="13">
        <v>6</v>
      </c>
      <c r="Q1776" s="12">
        <f>INT(P1776/$S$15/O1776*VLOOKUP(J1776,[1]人物技能基础!$N$3:$O$553,2,0)*$U$15)</f>
        <v>9</v>
      </c>
      <c r="R1776" s="12">
        <f t="shared" si="255"/>
        <v>112</v>
      </c>
    </row>
    <row r="1777" spans="1:18" x14ac:dyDescent="0.15">
      <c r="A1777" s="12">
        <v>1759</v>
      </c>
      <c r="B1777" s="12">
        <f t="shared" si="252"/>
        <v>9</v>
      </c>
      <c r="C1777" s="12">
        <f t="shared" si="253"/>
        <v>14.950173749999999</v>
      </c>
      <c r="D1777" s="12">
        <f t="shared" si="247"/>
        <v>9.7778749999999803E-2</v>
      </c>
      <c r="E1777" s="12">
        <f>SUM($D$19:D1777)</f>
        <v>61.150173749999951</v>
      </c>
      <c r="F1777" s="12">
        <f t="shared" si="250"/>
        <v>686.48246524936485</v>
      </c>
      <c r="G1777" s="12">
        <f t="shared" si="251"/>
        <v>367.86638631145593</v>
      </c>
      <c r="H1777" s="12">
        <f t="shared" si="248"/>
        <v>2471300</v>
      </c>
      <c r="I1777" s="12">
        <f t="shared" si="249"/>
        <v>1324300</v>
      </c>
      <c r="J1777" s="12">
        <f>IF(A1777&lt;[3]关卡对接!$A$4,INDEX([3]关卡对接!$C$7:$C$141,A1777),MATCH(E1777,人物经验!$H$24:$H$573,1))</f>
        <v>550</v>
      </c>
      <c r="K1777" s="12">
        <f>IF([3]关卡对接!F1765="",INT(INDEX(人物经验!$J$24:$J$573,关卡!J1777)*关卡!$S$7),[3]关卡对接!F1765)</f>
        <v>53960</v>
      </c>
      <c r="L1777" s="12">
        <f t="shared" si="254"/>
        <v>2.6</v>
      </c>
      <c r="M1777" s="12">
        <f>L1777/[4]货币基础!$B$4</f>
        <v>260</v>
      </c>
      <c r="N1777" s="12">
        <f>IF(A1777&lt;[3]关卡对接!$A$4,INDEX([3]关卡对接!$E$7:$E$141,A1777),MATCH(E1777,人物经验!$H$24:$H$573,1))</f>
        <v>550</v>
      </c>
      <c r="O1777" s="12">
        <f>INDEX([2]关卡!$G$6:$G$2005,A1777)</f>
        <v>3</v>
      </c>
      <c r="P1777" s="13">
        <v>6</v>
      </c>
      <c r="Q1777" s="12">
        <f>INT(P1777/$S$15/O1777*VLOOKUP(J1777,[1]人物技能基础!$N$3:$O$553,2,0)*$U$15)</f>
        <v>9</v>
      </c>
      <c r="R1777" s="12">
        <f t="shared" si="255"/>
        <v>112</v>
      </c>
    </row>
    <row r="1778" spans="1:18" x14ac:dyDescent="0.15">
      <c r="A1778" s="12">
        <v>1760</v>
      </c>
      <c r="B1778" s="12">
        <f t="shared" si="252"/>
        <v>9</v>
      </c>
      <c r="C1778" s="12">
        <f t="shared" si="253"/>
        <v>15.048</v>
      </c>
      <c r="D1778" s="12">
        <f t="shared" si="247"/>
        <v>9.782625000000067E-2</v>
      </c>
      <c r="E1778" s="12">
        <f>SUM($D$19:D1778)</f>
        <v>61.247999999999948</v>
      </c>
      <c r="F1778" s="12">
        <f t="shared" si="250"/>
        <v>687.60004864000007</v>
      </c>
      <c r="G1778" s="12">
        <f t="shared" si="251"/>
        <v>368.35185920000004</v>
      </c>
      <c r="H1778" s="12">
        <f t="shared" si="248"/>
        <v>2475300</v>
      </c>
      <c r="I1778" s="12">
        <f t="shared" si="249"/>
        <v>1326000</v>
      </c>
      <c r="J1778" s="12">
        <f>IF(A1778&lt;[3]关卡对接!$A$4,INDEX([3]关卡对接!$C$7:$C$141,A1778),MATCH(E1778,人物经验!$H$24:$H$573,1))</f>
        <v>550</v>
      </c>
      <c r="K1778" s="12">
        <f>IF([3]关卡对接!F1766="",INT(INDEX(人物经验!$J$24:$J$573,关卡!J1778)*关卡!$S$7),[3]关卡对接!F1766)</f>
        <v>53960</v>
      </c>
      <c r="L1778" s="12">
        <f t="shared" si="254"/>
        <v>2.6</v>
      </c>
      <c r="M1778" s="12">
        <f>L1778/[4]货币基础!$B$4</f>
        <v>260</v>
      </c>
      <c r="N1778" s="12">
        <f>IF(A1778&lt;[3]关卡对接!$A$4,INDEX([3]关卡对接!$E$7:$E$141,A1778),MATCH(E1778,人物经验!$H$24:$H$573,1))</f>
        <v>550</v>
      </c>
      <c r="O1778" s="12">
        <f>INDEX([2]关卡!$G$6:$G$2005,A1778)</f>
        <v>3</v>
      </c>
      <c r="P1778" s="13">
        <v>6</v>
      </c>
      <c r="Q1778" s="12">
        <f>INT(P1778/$S$15/O1778*VLOOKUP(J1778,[1]人物技能基础!$N$3:$O$553,2,0)*$U$15)</f>
        <v>9</v>
      </c>
      <c r="R1778" s="12">
        <f t="shared" si="255"/>
        <v>112</v>
      </c>
    </row>
    <row r="1779" spans="1:18" x14ac:dyDescent="0.15">
      <c r="A1779" s="12">
        <v>1761</v>
      </c>
      <c r="B1779" s="12">
        <f t="shared" si="252"/>
        <v>9</v>
      </c>
      <c r="C1779" s="12">
        <f t="shared" si="253"/>
        <v>15.145873750000002</v>
      </c>
      <c r="D1779" s="12">
        <f t="shared" si="247"/>
        <v>9.7873750000001536E-2</v>
      </c>
      <c r="E1779" s="12">
        <f>SUM($D$19:D1779)</f>
        <v>61.345873749999953</v>
      </c>
      <c r="F1779" s="12">
        <f t="shared" si="250"/>
        <v>688.71905498748492</v>
      </c>
      <c r="G1779" s="12">
        <f t="shared" si="251"/>
        <v>368.83782579255586</v>
      </c>
      <c r="H1779" s="12">
        <f t="shared" si="248"/>
        <v>2479300</v>
      </c>
      <c r="I1779" s="12">
        <f t="shared" si="249"/>
        <v>1327800</v>
      </c>
      <c r="J1779" s="12">
        <f>IF(A1779&lt;[3]关卡对接!$A$4,INDEX([3]关卡对接!$C$7:$C$141,A1779),MATCH(E1779,人物经验!$H$24:$H$573,1))</f>
        <v>550</v>
      </c>
      <c r="K1779" s="12">
        <f>IF([3]关卡对接!F1767="",INT(INDEX(人物经验!$J$24:$J$573,关卡!J1779)*关卡!$S$7),[3]关卡对接!F1767)</f>
        <v>53960</v>
      </c>
      <c r="L1779" s="12">
        <f t="shared" si="254"/>
        <v>2.6</v>
      </c>
      <c r="M1779" s="12">
        <f>L1779/[4]货币基础!$B$4</f>
        <v>260</v>
      </c>
      <c r="N1779" s="12">
        <f>IF(A1779&lt;[3]关卡对接!$A$4,INDEX([3]关卡对接!$E$7:$E$141,A1779),MATCH(E1779,人物经验!$H$24:$H$573,1))</f>
        <v>550</v>
      </c>
      <c r="O1779" s="12">
        <f>INDEX([2]关卡!$G$6:$G$2005,A1779)</f>
        <v>3</v>
      </c>
      <c r="P1779" s="13">
        <v>6</v>
      </c>
      <c r="Q1779" s="12">
        <f>INT(P1779/$S$15/O1779*VLOOKUP(J1779,[1]人物技能基础!$N$3:$O$553,2,0)*$U$15)</f>
        <v>9</v>
      </c>
      <c r="R1779" s="12">
        <f t="shared" si="255"/>
        <v>112</v>
      </c>
    </row>
    <row r="1780" spans="1:18" x14ac:dyDescent="0.15">
      <c r="A1780" s="12">
        <v>1762</v>
      </c>
      <c r="B1780" s="12">
        <f t="shared" si="252"/>
        <v>9</v>
      </c>
      <c r="C1780" s="12">
        <f t="shared" si="253"/>
        <v>15.243794999999999</v>
      </c>
      <c r="D1780" s="12">
        <f t="shared" si="247"/>
        <v>9.7921249999997073E-2</v>
      </c>
      <c r="E1780" s="12">
        <f>SUM($D$19:D1780)</f>
        <v>61.443794999999952</v>
      </c>
      <c r="F1780" s="12">
        <f t="shared" si="250"/>
        <v>689.83948557047904</v>
      </c>
      <c r="G1780" s="12">
        <f t="shared" si="251"/>
        <v>369.32428645249502</v>
      </c>
      <c r="H1780" s="12">
        <f t="shared" si="248"/>
        <v>2483400</v>
      </c>
      <c r="I1780" s="12">
        <f t="shared" si="249"/>
        <v>1329500</v>
      </c>
      <c r="J1780" s="12">
        <f>IF(A1780&lt;[3]关卡对接!$A$4,INDEX([3]关卡对接!$C$7:$C$141,A1780),MATCH(E1780,人物经验!$H$24:$H$573,1))</f>
        <v>550</v>
      </c>
      <c r="K1780" s="12">
        <f>IF([3]关卡对接!F1768="",INT(INDEX(人物经验!$J$24:$J$573,关卡!J1780)*关卡!$S$7),[3]关卡对接!F1768)</f>
        <v>53960</v>
      </c>
      <c r="L1780" s="12">
        <f t="shared" si="254"/>
        <v>2.6</v>
      </c>
      <c r="M1780" s="12">
        <f>L1780/[4]货币基础!$B$4</f>
        <v>260</v>
      </c>
      <c r="N1780" s="12">
        <f>IF(A1780&lt;[3]关卡对接!$A$4,INDEX([3]关卡对接!$E$7:$E$141,A1780),MATCH(E1780,人物经验!$H$24:$H$573,1))</f>
        <v>550</v>
      </c>
      <c r="O1780" s="12">
        <f>INDEX([2]关卡!$G$6:$G$2005,A1780)</f>
        <v>3</v>
      </c>
      <c r="P1780" s="13">
        <v>6</v>
      </c>
      <c r="Q1780" s="12">
        <f>INT(P1780/$S$15/O1780*VLOOKUP(J1780,[1]人物技能基础!$N$3:$O$553,2,0)*$U$15)</f>
        <v>9</v>
      </c>
      <c r="R1780" s="12">
        <f t="shared" si="255"/>
        <v>112</v>
      </c>
    </row>
    <row r="1781" spans="1:18" x14ac:dyDescent="0.15">
      <c r="A1781" s="12">
        <v>1763</v>
      </c>
      <c r="B1781" s="12">
        <f t="shared" si="252"/>
        <v>9</v>
      </c>
      <c r="C1781" s="12">
        <f t="shared" si="253"/>
        <v>15.341763749999998</v>
      </c>
      <c r="D1781" s="12">
        <f t="shared" si="247"/>
        <v>9.7968749999999716E-2</v>
      </c>
      <c r="E1781" s="12">
        <f>SUM($D$19:D1781)</f>
        <v>61.541763749999951</v>
      </c>
      <c r="F1781" s="12">
        <f t="shared" si="250"/>
        <v>690.96134166823981</v>
      </c>
      <c r="G1781" s="12">
        <f t="shared" si="251"/>
        <v>369.81124154333088</v>
      </c>
      <c r="H1781" s="12">
        <f t="shared" si="248"/>
        <v>2487400</v>
      </c>
      <c r="I1781" s="12">
        <f t="shared" si="249"/>
        <v>1331300</v>
      </c>
      <c r="J1781" s="12">
        <f>IF(A1781&lt;[3]关卡对接!$A$4,INDEX([3]关卡对接!$C$7:$C$141,A1781),MATCH(E1781,人物经验!$H$24:$H$573,1))</f>
        <v>550</v>
      </c>
      <c r="K1781" s="12">
        <f>IF([3]关卡对接!F1769="",INT(INDEX(人物经验!$J$24:$J$573,关卡!J1781)*关卡!$S$7),[3]关卡对接!F1769)</f>
        <v>53960</v>
      </c>
      <c r="L1781" s="12">
        <f t="shared" si="254"/>
        <v>2.6</v>
      </c>
      <c r="M1781" s="12">
        <f>L1781/[4]货币基础!$B$4</f>
        <v>260</v>
      </c>
      <c r="N1781" s="12">
        <f>IF(A1781&lt;[3]关卡对接!$A$4,INDEX([3]关卡对接!$E$7:$E$141,A1781),MATCH(E1781,人物经验!$H$24:$H$573,1))</f>
        <v>550</v>
      </c>
      <c r="O1781" s="12">
        <f>INDEX([2]关卡!$G$6:$G$2005,A1781)</f>
        <v>3</v>
      </c>
      <c r="P1781" s="13">
        <v>6</v>
      </c>
      <c r="Q1781" s="12">
        <f>INT(P1781/$S$15/O1781*VLOOKUP(J1781,[1]人物技能基础!$N$3:$O$553,2,0)*$U$15)</f>
        <v>9</v>
      </c>
      <c r="R1781" s="12">
        <f t="shared" si="255"/>
        <v>112</v>
      </c>
    </row>
    <row r="1782" spans="1:18" x14ac:dyDescent="0.15">
      <c r="A1782" s="12">
        <v>1764</v>
      </c>
      <c r="B1782" s="12">
        <f t="shared" si="252"/>
        <v>9</v>
      </c>
      <c r="C1782" s="12">
        <f t="shared" si="253"/>
        <v>15.439779999999999</v>
      </c>
      <c r="D1782" s="12">
        <f t="shared" si="247"/>
        <v>9.8016250000000582E-2</v>
      </c>
      <c r="E1782" s="12">
        <f>SUM($D$19:D1782)</f>
        <v>61.639779999999952</v>
      </c>
      <c r="F1782" s="12">
        <f t="shared" si="250"/>
        <v>692.08462456062409</v>
      </c>
      <c r="G1782" s="12">
        <f t="shared" si="251"/>
        <v>370.29869142871996</v>
      </c>
      <c r="H1782" s="12">
        <f t="shared" si="248"/>
        <v>2491500</v>
      </c>
      <c r="I1782" s="12">
        <f t="shared" si="249"/>
        <v>1333000</v>
      </c>
      <c r="J1782" s="12">
        <f>IF(A1782&lt;[3]关卡对接!$A$4,INDEX([3]关卡对接!$C$7:$C$141,A1782),MATCH(E1782,人物经验!$H$24:$H$573,1))</f>
        <v>550</v>
      </c>
      <c r="K1782" s="12">
        <f>IF([3]关卡对接!F1770="",INT(INDEX(人物经验!$J$24:$J$573,关卡!J1782)*关卡!$S$7),[3]关卡对接!F1770)</f>
        <v>53960</v>
      </c>
      <c r="L1782" s="12">
        <f t="shared" si="254"/>
        <v>2.6</v>
      </c>
      <c r="M1782" s="12">
        <f>L1782/[4]货币基础!$B$4</f>
        <v>260</v>
      </c>
      <c r="N1782" s="12">
        <f>IF(A1782&lt;[3]关卡对接!$A$4,INDEX([3]关卡对接!$E$7:$E$141,A1782),MATCH(E1782,人物经验!$H$24:$H$573,1))</f>
        <v>550</v>
      </c>
      <c r="O1782" s="12">
        <f>INDEX([2]关卡!$G$6:$G$2005,A1782)</f>
        <v>3</v>
      </c>
      <c r="P1782" s="13">
        <v>6</v>
      </c>
      <c r="Q1782" s="12">
        <f>INT(P1782/$S$15/O1782*VLOOKUP(J1782,[1]人物技能基础!$N$3:$O$553,2,0)*$U$15)</f>
        <v>9</v>
      </c>
      <c r="R1782" s="12">
        <f t="shared" si="255"/>
        <v>112</v>
      </c>
    </row>
    <row r="1783" spans="1:18" x14ac:dyDescent="0.15">
      <c r="A1783" s="12">
        <v>1765</v>
      </c>
      <c r="B1783" s="12">
        <f t="shared" si="252"/>
        <v>9</v>
      </c>
      <c r="C1783" s="12">
        <f t="shared" si="253"/>
        <v>15.537843749999999</v>
      </c>
      <c r="D1783" s="12">
        <f t="shared" si="247"/>
        <v>9.8063749999999672E-2</v>
      </c>
      <c r="E1783" s="12">
        <f>SUM($D$19:D1783)</f>
        <v>61.737843749999954</v>
      </c>
      <c r="F1783" s="12">
        <f t="shared" si="250"/>
        <v>693.20933552808594</v>
      </c>
      <c r="G1783" s="12">
        <f t="shared" si="251"/>
        <v>370.78663647246088</v>
      </c>
      <c r="H1783" s="12">
        <f t="shared" si="248"/>
        <v>2495500</v>
      </c>
      <c r="I1783" s="12">
        <f t="shared" si="249"/>
        <v>1334800</v>
      </c>
      <c r="J1783" s="12">
        <f>IF(A1783&lt;[3]关卡对接!$A$4,INDEX([3]关卡对接!$C$7:$C$141,A1783),MATCH(E1783,人物经验!$H$24:$H$573,1))</f>
        <v>550</v>
      </c>
      <c r="K1783" s="12">
        <f>IF([3]关卡对接!F1771="",INT(INDEX(人物经验!$J$24:$J$573,关卡!J1783)*关卡!$S$7),[3]关卡对接!F1771)</f>
        <v>53960</v>
      </c>
      <c r="L1783" s="12">
        <f t="shared" si="254"/>
        <v>2.6</v>
      </c>
      <c r="M1783" s="12">
        <f>L1783/[4]货币基础!$B$4</f>
        <v>260</v>
      </c>
      <c r="N1783" s="12">
        <f>IF(A1783&lt;[3]关卡对接!$A$4,INDEX([3]关卡对接!$E$7:$E$141,A1783),MATCH(E1783,人物经验!$H$24:$H$573,1))</f>
        <v>550</v>
      </c>
      <c r="O1783" s="12">
        <f>INDEX([2]关卡!$G$6:$G$2005,A1783)</f>
        <v>3</v>
      </c>
      <c r="P1783" s="13">
        <v>6</v>
      </c>
      <c r="Q1783" s="12">
        <f>INT(P1783/$S$15/O1783*VLOOKUP(J1783,[1]人物技能基础!$N$3:$O$553,2,0)*$U$15)</f>
        <v>9</v>
      </c>
      <c r="R1783" s="12">
        <f t="shared" si="255"/>
        <v>112</v>
      </c>
    </row>
    <row r="1784" spans="1:18" x14ac:dyDescent="0.15">
      <c r="A1784" s="12">
        <v>1766</v>
      </c>
      <c r="B1784" s="12">
        <f t="shared" si="252"/>
        <v>9</v>
      </c>
      <c r="C1784" s="12">
        <f t="shared" si="253"/>
        <v>15.635954999999999</v>
      </c>
      <c r="D1784" s="12">
        <f t="shared" si="247"/>
        <v>9.8111250000000538E-2</v>
      </c>
      <c r="E1784" s="12">
        <f>SUM($D$19:D1784)</f>
        <v>61.835954999999956</v>
      </c>
      <c r="F1784" s="12">
        <f t="shared" si="250"/>
        <v>694.33547585167901</v>
      </c>
      <c r="G1784" s="12">
        <f t="shared" si="251"/>
        <v>371.27507703849494</v>
      </c>
      <c r="H1784" s="12">
        <f t="shared" si="248"/>
        <v>2499600</v>
      </c>
      <c r="I1784" s="12">
        <f t="shared" si="249"/>
        <v>1336500</v>
      </c>
      <c r="J1784" s="12">
        <f>IF(A1784&lt;[3]关卡对接!$A$4,INDEX([3]关卡对接!$C$7:$C$141,A1784),MATCH(E1784,人物经验!$H$24:$H$573,1))</f>
        <v>550</v>
      </c>
      <c r="K1784" s="12">
        <f>IF([3]关卡对接!F1772="",INT(INDEX(人物经验!$J$24:$J$573,关卡!J1784)*关卡!$S$7),[3]关卡对接!F1772)</f>
        <v>53960</v>
      </c>
      <c r="L1784" s="12">
        <f t="shared" si="254"/>
        <v>2.6</v>
      </c>
      <c r="M1784" s="12">
        <f>L1784/[4]货币基础!$B$4</f>
        <v>260</v>
      </c>
      <c r="N1784" s="12">
        <f>IF(A1784&lt;[3]关卡对接!$A$4,INDEX([3]关卡对接!$E$7:$E$141,A1784),MATCH(E1784,人物经验!$H$24:$H$573,1))</f>
        <v>550</v>
      </c>
      <c r="O1784" s="12">
        <f>INDEX([2]关卡!$G$6:$G$2005,A1784)</f>
        <v>3</v>
      </c>
      <c r="P1784" s="13">
        <v>6</v>
      </c>
      <c r="Q1784" s="12">
        <f>INT(P1784/$S$15/O1784*VLOOKUP(J1784,[1]人物技能基础!$N$3:$O$553,2,0)*$U$15)</f>
        <v>9</v>
      </c>
      <c r="R1784" s="12">
        <f t="shared" si="255"/>
        <v>112</v>
      </c>
    </row>
    <row r="1785" spans="1:18" x14ac:dyDescent="0.15">
      <c r="A1785" s="12">
        <v>1767</v>
      </c>
      <c r="B1785" s="12">
        <f t="shared" si="252"/>
        <v>9</v>
      </c>
      <c r="C1785" s="12">
        <f t="shared" si="253"/>
        <v>15.734113749999997</v>
      </c>
      <c r="D1785" s="12">
        <f t="shared" si="247"/>
        <v>9.8158749999997852E-2</v>
      </c>
      <c r="E1785" s="12">
        <f>SUM($D$19:D1785)</f>
        <v>61.934113749999952</v>
      </c>
      <c r="F1785" s="12">
        <f t="shared" si="250"/>
        <v>695.46304681305492</v>
      </c>
      <c r="G1785" s="12">
        <f t="shared" si="251"/>
        <v>371.76401349090594</v>
      </c>
      <c r="H1785" s="12">
        <f t="shared" si="248"/>
        <v>2503600</v>
      </c>
      <c r="I1785" s="12">
        <f t="shared" si="249"/>
        <v>1338300</v>
      </c>
      <c r="J1785" s="12">
        <f>IF(A1785&lt;[3]关卡对接!$A$4,INDEX([3]关卡对接!$C$7:$C$141,A1785),MATCH(E1785,人物经验!$H$24:$H$573,1))</f>
        <v>550</v>
      </c>
      <c r="K1785" s="12">
        <f>IF([3]关卡对接!F1773="",INT(INDEX(人物经验!$J$24:$J$573,关卡!J1785)*关卡!$S$7),[3]关卡对接!F1773)</f>
        <v>53960</v>
      </c>
      <c r="L1785" s="12">
        <f t="shared" si="254"/>
        <v>2.6</v>
      </c>
      <c r="M1785" s="12">
        <f>L1785/[4]货币基础!$B$4</f>
        <v>260</v>
      </c>
      <c r="N1785" s="12">
        <f>IF(A1785&lt;[3]关卡对接!$A$4,INDEX([3]关卡对接!$E$7:$E$141,A1785),MATCH(E1785,人物经验!$H$24:$H$573,1))</f>
        <v>550</v>
      </c>
      <c r="O1785" s="12">
        <f>INDEX([2]关卡!$G$6:$G$2005,A1785)</f>
        <v>3</v>
      </c>
      <c r="P1785" s="13">
        <v>6</v>
      </c>
      <c r="Q1785" s="12">
        <f>INT(P1785/$S$15/O1785*VLOOKUP(J1785,[1]人物技能基础!$N$3:$O$553,2,0)*$U$15)</f>
        <v>9</v>
      </c>
      <c r="R1785" s="12">
        <f t="shared" si="255"/>
        <v>112</v>
      </c>
    </row>
    <row r="1786" spans="1:18" x14ac:dyDescent="0.15">
      <c r="A1786" s="12">
        <v>1768</v>
      </c>
      <c r="B1786" s="12">
        <f t="shared" si="252"/>
        <v>9</v>
      </c>
      <c r="C1786" s="12">
        <f t="shared" si="253"/>
        <v>15.832319999999998</v>
      </c>
      <c r="D1786" s="12">
        <f t="shared" si="247"/>
        <v>9.8206250000000495E-2</v>
      </c>
      <c r="E1786" s="12">
        <f>SUM($D$19:D1786)</f>
        <v>62.032319999999956</v>
      </c>
      <c r="F1786" s="12">
        <f t="shared" si="250"/>
        <v>696.59204969446409</v>
      </c>
      <c r="G1786" s="12">
        <f t="shared" si="251"/>
        <v>372.25344619391996</v>
      </c>
      <c r="H1786" s="12">
        <f t="shared" si="248"/>
        <v>2507700</v>
      </c>
      <c r="I1786" s="12">
        <f t="shared" si="249"/>
        <v>1340100</v>
      </c>
      <c r="J1786" s="12">
        <f>IF(A1786&lt;[3]关卡对接!$A$4,INDEX([3]关卡对接!$C$7:$C$141,A1786),MATCH(E1786,人物经验!$H$24:$H$573,1))</f>
        <v>550</v>
      </c>
      <c r="K1786" s="12">
        <f>IF([3]关卡对接!F1774="",INT(INDEX(人物经验!$J$24:$J$573,关卡!J1786)*关卡!$S$7),[3]关卡对接!F1774)</f>
        <v>53960</v>
      </c>
      <c r="L1786" s="12">
        <f t="shared" si="254"/>
        <v>2.6</v>
      </c>
      <c r="M1786" s="12">
        <f>L1786/[4]货币基础!$B$4</f>
        <v>260</v>
      </c>
      <c r="N1786" s="12">
        <f>IF(A1786&lt;[3]关卡对接!$A$4,INDEX([3]关卡对接!$E$7:$E$141,A1786),MATCH(E1786,人物经验!$H$24:$H$573,1))</f>
        <v>550</v>
      </c>
      <c r="O1786" s="12">
        <f>INDEX([2]关卡!$G$6:$G$2005,A1786)</f>
        <v>3</v>
      </c>
      <c r="P1786" s="13">
        <v>6</v>
      </c>
      <c r="Q1786" s="12">
        <f>INT(P1786/$S$15/O1786*VLOOKUP(J1786,[1]人物技能基础!$N$3:$O$553,2,0)*$U$15)</f>
        <v>9</v>
      </c>
      <c r="R1786" s="12">
        <f t="shared" si="255"/>
        <v>112</v>
      </c>
    </row>
    <row r="1787" spans="1:18" x14ac:dyDescent="0.15">
      <c r="A1787" s="12">
        <v>1769</v>
      </c>
      <c r="B1787" s="12">
        <f t="shared" si="252"/>
        <v>9</v>
      </c>
      <c r="C1787" s="12">
        <f t="shared" si="253"/>
        <v>15.930573749999999</v>
      </c>
      <c r="D1787" s="12">
        <f t="shared" ref="D1787:D1850" si="256">IF(ISNA(MATCH(A1787,$A$6:$A$15,0)),C1787-C1786,C1787)</f>
        <v>9.8253750000001361E-2</v>
      </c>
      <c r="E1787" s="12">
        <f>SUM($D$19:D1787)</f>
        <v>62.130573749999954</v>
      </c>
      <c r="F1787" s="12">
        <f t="shared" si="250"/>
        <v>697.72248577875484</v>
      </c>
      <c r="G1787" s="12">
        <f t="shared" si="251"/>
        <v>372.74337551190587</v>
      </c>
      <c r="H1787" s="12">
        <f t="shared" ref="H1787:H1850" si="257">INT(F1787*60*60/100)*100</f>
        <v>2511800</v>
      </c>
      <c r="I1787" s="12">
        <f t="shared" ref="I1787:I1850" si="258">INT(G1787*60*60/100)*100</f>
        <v>1341800</v>
      </c>
      <c r="J1787" s="12">
        <f>IF(A1787&lt;[3]关卡对接!$A$4,INDEX([3]关卡对接!$C$7:$C$141,A1787),MATCH(E1787,人物经验!$H$24:$H$573,1))</f>
        <v>550</v>
      </c>
      <c r="K1787" s="12">
        <f>IF([3]关卡对接!F1775="",INT(INDEX(人物经验!$J$24:$J$573,关卡!J1787)*关卡!$S$7),[3]关卡对接!F1775)</f>
        <v>53960</v>
      </c>
      <c r="L1787" s="12">
        <f t="shared" si="254"/>
        <v>2.6</v>
      </c>
      <c r="M1787" s="12">
        <f>L1787/[4]货币基础!$B$4</f>
        <v>260</v>
      </c>
      <c r="N1787" s="12">
        <f>IF(A1787&lt;[3]关卡对接!$A$4,INDEX([3]关卡对接!$E$7:$E$141,A1787),MATCH(E1787,人物经验!$H$24:$H$573,1))</f>
        <v>550</v>
      </c>
      <c r="O1787" s="12">
        <f>INDEX([2]关卡!$G$6:$G$2005,A1787)</f>
        <v>3</v>
      </c>
      <c r="P1787" s="13">
        <v>6</v>
      </c>
      <c r="Q1787" s="12">
        <f>INT(P1787/$S$15/O1787*VLOOKUP(J1787,[1]人物技能基础!$N$3:$O$553,2,0)*$U$15)</f>
        <v>9</v>
      </c>
      <c r="R1787" s="12">
        <f t="shared" si="255"/>
        <v>112</v>
      </c>
    </row>
    <row r="1788" spans="1:18" x14ac:dyDescent="0.15">
      <c r="A1788" s="12">
        <v>1770</v>
      </c>
      <c r="B1788" s="12">
        <f t="shared" si="252"/>
        <v>9</v>
      </c>
      <c r="C1788" s="12">
        <f t="shared" si="253"/>
        <v>16.028874999999999</v>
      </c>
      <c r="D1788" s="12">
        <f t="shared" si="256"/>
        <v>9.8301250000000451E-2</v>
      </c>
      <c r="E1788" s="12">
        <f>SUM($D$19:D1788)</f>
        <v>62.228874999999952</v>
      </c>
      <c r="F1788" s="12">
        <f t="shared" si="250"/>
        <v>698.85435634937505</v>
      </c>
      <c r="G1788" s="12">
        <f t="shared" si="251"/>
        <v>373.23380180937505</v>
      </c>
      <c r="H1788" s="12">
        <f t="shared" si="257"/>
        <v>2515800</v>
      </c>
      <c r="I1788" s="12">
        <f t="shared" si="258"/>
        <v>1343600</v>
      </c>
      <c r="J1788" s="12">
        <f>IF(A1788&lt;[3]关卡对接!$A$4,INDEX([3]关卡对接!$C$7:$C$141,A1788),MATCH(E1788,人物经验!$H$24:$H$573,1))</f>
        <v>550</v>
      </c>
      <c r="K1788" s="12">
        <f>IF([3]关卡对接!F1776="",INT(INDEX(人物经验!$J$24:$J$573,关卡!J1788)*关卡!$S$7),[3]关卡对接!F1776)</f>
        <v>53960</v>
      </c>
      <c r="L1788" s="12">
        <f t="shared" si="254"/>
        <v>2.6</v>
      </c>
      <c r="M1788" s="12">
        <f>L1788/[4]货币基础!$B$4</f>
        <v>260</v>
      </c>
      <c r="N1788" s="12">
        <f>IF(A1788&lt;[3]关卡对接!$A$4,INDEX([3]关卡对接!$E$7:$E$141,A1788),MATCH(E1788,人物经验!$H$24:$H$573,1))</f>
        <v>550</v>
      </c>
      <c r="O1788" s="12">
        <f>INDEX([2]关卡!$G$6:$G$2005,A1788)</f>
        <v>3</v>
      </c>
      <c r="P1788" s="13">
        <v>6</v>
      </c>
      <c r="Q1788" s="12">
        <f>INT(P1788/$S$15/O1788*VLOOKUP(J1788,[1]人物技能基础!$N$3:$O$553,2,0)*$U$15)</f>
        <v>9</v>
      </c>
      <c r="R1788" s="12">
        <f t="shared" si="255"/>
        <v>112</v>
      </c>
    </row>
    <row r="1789" spans="1:18" x14ac:dyDescent="0.15">
      <c r="A1789" s="12">
        <v>1771</v>
      </c>
      <c r="B1789" s="12">
        <f t="shared" si="252"/>
        <v>9</v>
      </c>
      <c r="C1789" s="12">
        <f t="shared" si="253"/>
        <v>16.127223749999999</v>
      </c>
      <c r="D1789" s="12">
        <f t="shared" si="256"/>
        <v>9.8348749999999541E-2</v>
      </c>
      <c r="E1789" s="12">
        <f>SUM($D$19:D1789)</f>
        <v>62.327223749999952</v>
      </c>
      <c r="F1789" s="12">
        <f t="shared" si="250"/>
        <v>699.9876626903698</v>
      </c>
      <c r="G1789" s="12">
        <f t="shared" si="251"/>
        <v>373.72472545098083</v>
      </c>
      <c r="H1789" s="12">
        <f t="shared" si="257"/>
        <v>2519900</v>
      </c>
      <c r="I1789" s="12">
        <f t="shared" si="258"/>
        <v>1345400</v>
      </c>
      <c r="J1789" s="12">
        <f>IF(A1789&lt;[3]关卡对接!$A$4,INDEX([3]关卡对接!$C$7:$C$141,A1789),MATCH(E1789,人物经验!$H$24:$H$573,1))</f>
        <v>550</v>
      </c>
      <c r="K1789" s="12">
        <f>IF([3]关卡对接!F1777="",INT(INDEX(人物经验!$J$24:$J$573,关卡!J1789)*关卡!$S$7),[3]关卡对接!F1777)</f>
        <v>53960</v>
      </c>
      <c r="L1789" s="12">
        <f t="shared" si="254"/>
        <v>2.6</v>
      </c>
      <c r="M1789" s="12">
        <f>L1789/[4]货币基础!$B$4</f>
        <v>260</v>
      </c>
      <c r="N1789" s="12">
        <f>IF(A1789&lt;[3]关卡对接!$A$4,INDEX([3]关卡对接!$E$7:$E$141,A1789),MATCH(E1789,人物经验!$H$24:$H$573,1))</f>
        <v>550</v>
      </c>
      <c r="O1789" s="12">
        <f>INDEX([2]关卡!$G$6:$G$2005,A1789)</f>
        <v>3</v>
      </c>
      <c r="P1789" s="13">
        <v>6</v>
      </c>
      <c r="Q1789" s="12">
        <f>INT(P1789/$S$15/O1789*VLOOKUP(J1789,[1]人物技能基础!$N$3:$O$553,2,0)*$U$15)</f>
        <v>9</v>
      </c>
      <c r="R1789" s="12">
        <f t="shared" si="255"/>
        <v>112</v>
      </c>
    </row>
    <row r="1790" spans="1:18" x14ac:dyDescent="0.15">
      <c r="A1790" s="12">
        <v>1772</v>
      </c>
      <c r="B1790" s="12">
        <f t="shared" si="252"/>
        <v>9</v>
      </c>
      <c r="C1790" s="12">
        <f t="shared" si="253"/>
        <v>16.225619999999999</v>
      </c>
      <c r="D1790" s="12">
        <f t="shared" si="256"/>
        <v>9.8396250000000407E-2</v>
      </c>
      <c r="E1790" s="12">
        <f>SUM($D$19:D1790)</f>
        <v>62.425619999999952</v>
      </c>
      <c r="F1790" s="12">
        <f t="shared" si="250"/>
        <v>701.1224060863841</v>
      </c>
      <c r="G1790" s="12">
        <f t="shared" si="251"/>
        <v>374.21614680152004</v>
      </c>
      <c r="H1790" s="12">
        <f t="shared" si="257"/>
        <v>2524000</v>
      </c>
      <c r="I1790" s="12">
        <f t="shared" si="258"/>
        <v>1347100</v>
      </c>
      <c r="J1790" s="12">
        <f>IF(A1790&lt;[3]关卡对接!$A$4,INDEX([3]关卡对接!$C$7:$C$141,A1790),MATCH(E1790,人物经验!$H$24:$H$573,1))</f>
        <v>550</v>
      </c>
      <c r="K1790" s="12">
        <f>IF([3]关卡对接!F1778="",INT(INDEX(人物经验!$J$24:$J$573,关卡!J1790)*关卡!$S$7),[3]关卡对接!F1778)</f>
        <v>53960</v>
      </c>
      <c r="L1790" s="12">
        <f t="shared" si="254"/>
        <v>2.6</v>
      </c>
      <c r="M1790" s="12">
        <f>L1790/[4]货币基础!$B$4</f>
        <v>260</v>
      </c>
      <c r="N1790" s="12">
        <f>IF(A1790&lt;[3]关卡对接!$A$4,INDEX([3]关卡对接!$E$7:$E$141,A1790),MATCH(E1790,人物经验!$H$24:$H$573,1))</f>
        <v>550</v>
      </c>
      <c r="O1790" s="12">
        <f>INDEX([2]关卡!$G$6:$G$2005,A1790)</f>
        <v>3</v>
      </c>
      <c r="P1790" s="13">
        <v>6</v>
      </c>
      <c r="Q1790" s="12">
        <f>INT(P1790/$S$15/O1790*VLOOKUP(J1790,[1]人物技能基础!$N$3:$O$553,2,0)*$U$15)</f>
        <v>9</v>
      </c>
      <c r="R1790" s="12">
        <f t="shared" si="255"/>
        <v>112</v>
      </c>
    </row>
    <row r="1791" spans="1:18" x14ac:dyDescent="0.15">
      <c r="A1791" s="12">
        <v>1773</v>
      </c>
      <c r="B1791" s="12">
        <f t="shared" si="252"/>
        <v>9</v>
      </c>
      <c r="C1791" s="12">
        <f t="shared" si="253"/>
        <v>16.324063750000001</v>
      </c>
      <c r="D1791" s="12">
        <f t="shared" si="256"/>
        <v>9.8443750000001273E-2</v>
      </c>
      <c r="E1791" s="12">
        <f>SUM($D$19:D1791)</f>
        <v>62.524063749999954</v>
      </c>
      <c r="F1791" s="12">
        <f t="shared" si="250"/>
        <v>702.25858782265993</v>
      </c>
      <c r="G1791" s="12">
        <f t="shared" si="251"/>
        <v>374.70806622593091</v>
      </c>
      <c r="H1791" s="12">
        <f t="shared" si="257"/>
        <v>2528100</v>
      </c>
      <c r="I1791" s="12">
        <f t="shared" si="258"/>
        <v>1348900</v>
      </c>
      <c r="J1791" s="12">
        <f>IF(A1791&lt;[3]关卡对接!$A$4,INDEX([3]关卡对接!$C$7:$C$141,A1791),MATCH(E1791,人物经验!$H$24:$H$573,1))</f>
        <v>550</v>
      </c>
      <c r="K1791" s="12">
        <f>IF([3]关卡对接!F1779="",INT(INDEX(人物经验!$J$24:$J$573,关卡!J1791)*关卡!$S$7),[3]关卡对接!F1779)</f>
        <v>53960</v>
      </c>
      <c r="L1791" s="12">
        <f t="shared" si="254"/>
        <v>2.6</v>
      </c>
      <c r="M1791" s="12">
        <f>L1791/[4]货币基础!$B$4</f>
        <v>260</v>
      </c>
      <c r="N1791" s="12">
        <f>IF(A1791&lt;[3]关卡对接!$A$4,INDEX([3]关卡对接!$E$7:$E$141,A1791),MATCH(E1791,人物经验!$H$24:$H$573,1))</f>
        <v>550</v>
      </c>
      <c r="O1791" s="12">
        <f>INDEX([2]关卡!$G$6:$G$2005,A1791)</f>
        <v>3</v>
      </c>
      <c r="P1791" s="13">
        <v>6</v>
      </c>
      <c r="Q1791" s="12">
        <f>INT(P1791/$S$15/O1791*VLOOKUP(J1791,[1]人物技能基础!$N$3:$O$553,2,0)*$U$15)</f>
        <v>9</v>
      </c>
      <c r="R1791" s="12">
        <f t="shared" si="255"/>
        <v>112</v>
      </c>
    </row>
    <row r="1792" spans="1:18" x14ac:dyDescent="0.15">
      <c r="A1792" s="12">
        <v>1774</v>
      </c>
      <c r="B1792" s="12">
        <f t="shared" si="252"/>
        <v>9</v>
      </c>
      <c r="C1792" s="12">
        <f t="shared" si="253"/>
        <v>16.422554999999999</v>
      </c>
      <c r="D1792" s="12">
        <f t="shared" si="256"/>
        <v>9.8491249999998587E-2</v>
      </c>
      <c r="E1792" s="12">
        <f>SUM($D$19:D1792)</f>
        <v>62.622554999999949</v>
      </c>
      <c r="F1792" s="12">
        <f t="shared" si="250"/>
        <v>703.39620918503897</v>
      </c>
      <c r="G1792" s="12">
        <f t="shared" si="251"/>
        <v>375.200484089295</v>
      </c>
      <c r="H1792" s="12">
        <f t="shared" si="257"/>
        <v>2532200</v>
      </c>
      <c r="I1792" s="12">
        <f t="shared" si="258"/>
        <v>1350700</v>
      </c>
      <c r="J1792" s="12">
        <f>IF(A1792&lt;[3]关卡对接!$A$4,INDEX([3]关卡对接!$C$7:$C$141,A1792),MATCH(E1792,人物经验!$H$24:$H$573,1))</f>
        <v>550</v>
      </c>
      <c r="K1792" s="12">
        <f>IF([3]关卡对接!F1780="",INT(INDEX(人物经验!$J$24:$J$573,关卡!J1792)*关卡!$S$7),[3]关卡对接!F1780)</f>
        <v>53960</v>
      </c>
      <c r="L1792" s="12">
        <f t="shared" si="254"/>
        <v>2.6</v>
      </c>
      <c r="M1792" s="12">
        <f>L1792/[4]货币基础!$B$4</f>
        <v>260</v>
      </c>
      <c r="N1792" s="12">
        <f>IF(A1792&lt;[3]关卡对接!$A$4,INDEX([3]关卡对接!$E$7:$E$141,A1792),MATCH(E1792,人物经验!$H$24:$H$573,1))</f>
        <v>550</v>
      </c>
      <c r="O1792" s="12">
        <f>INDEX([2]关卡!$G$6:$G$2005,A1792)</f>
        <v>3</v>
      </c>
      <c r="P1792" s="13">
        <v>6</v>
      </c>
      <c r="Q1792" s="12">
        <f>INT(P1792/$S$15/O1792*VLOOKUP(J1792,[1]人物技能基础!$N$3:$O$553,2,0)*$U$15)</f>
        <v>9</v>
      </c>
      <c r="R1792" s="12">
        <f t="shared" si="255"/>
        <v>112</v>
      </c>
    </row>
    <row r="1793" spans="1:18" x14ac:dyDescent="0.15">
      <c r="A1793" s="12">
        <v>1775</v>
      </c>
      <c r="B1793" s="12">
        <f t="shared" si="252"/>
        <v>9</v>
      </c>
      <c r="C1793" s="12">
        <f t="shared" si="253"/>
        <v>16.521093749999999</v>
      </c>
      <c r="D1793" s="12">
        <f t="shared" si="256"/>
        <v>9.8538749999999453E-2</v>
      </c>
      <c r="E1793" s="12">
        <f>SUM($D$19:D1793)</f>
        <v>62.721093749999952</v>
      </c>
      <c r="F1793" s="12">
        <f t="shared" si="250"/>
        <v>704.53527145996088</v>
      </c>
      <c r="G1793" s="12">
        <f t="shared" si="251"/>
        <v>375.6934007568359</v>
      </c>
      <c r="H1793" s="12">
        <f t="shared" si="257"/>
        <v>2536300</v>
      </c>
      <c r="I1793" s="12">
        <f t="shared" si="258"/>
        <v>1352400</v>
      </c>
      <c r="J1793" s="12">
        <f>IF(A1793&lt;[3]关卡对接!$A$4,INDEX([3]关卡对接!$C$7:$C$141,A1793),MATCH(E1793,人物经验!$H$24:$H$573,1))</f>
        <v>550</v>
      </c>
      <c r="K1793" s="12">
        <f>IF([3]关卡对接!F1781="",INT(INDEX(人物经验!$J$24:$J$573,关卡!J1793)*关卡!$S$7),[3]关卡对接!F1781)</f>
        <v>53960</v>
      </c>
      <c r="L1793" s="12">
        <f t="shared" si="254"/>
        <v>2.6</v>
      </c>
      <c r="M1793" s="12">
        <f>L1793/[4]货币基础!$B$4</f>
        <v>260</v>
      </c>
      <c r="N1793" s="12">
        <f>IF(A1793&lt;[3]关卡对接!$A$4,INDEX([3]关卡对接!$E$7:$E$141,A1793),MATCH(E1793,人物经验!$H$24:$H$573,1))</f>
        <v>550</v>
      </c>
      <c r="O1793" s="12">
        <f>INDEX([2]关卡!$G$6:$G$2005,A1793)</f>
        <v>3</v>
      </c>
      <c r="P1793" s="13">
        <v>6</v>
      </c>
      <c r="Q1793" s="12">
        <f>INT(P1793/$S$15/O1793*VLOOKUP(J1793,[1]人物技能基础!$N$3:$O$553,2,0)*$U$15)</f>
        <v>9</v>
      </c>
      <c r="R1793" s="12">
        <f t="shared" si="255"/>
        <v>112</v>
      </c>
    </row>
    <row r="1794" spans="1:18" x14ac:dyDescent="0.15">
      <c r="A1794" s="12">
        <v>1776</v>
      </c>
      <c r="B1794" s="12">
        <f t="shared" si="252"/>
        <v>9</v>
      </c>
      <c r="C1794" s="12">
        <f t="shared" si="253"/>
        <v>16.619679999999999</v>
      </c>
      <c r="D1794" s="12">
        <f t="shared" si="256"/>
        <v>9.8586250000000319E-2</v>
      </c>
      <c r="E1794" s="12">
        <f>SUM($D$19:D1794)</f>
        <v>62.819679999999948</v>
      </c>
      <c r="F1794" s="12">
        <f t="shared" si="250"/>
        <v>705.67577593446401</v>
      </c>
      <c r="G1794" s="12">
        <f t="shared" si="251"/>
        <v>376.18681659391996</v>
      </c>
      <c r="H1794" s="12">
        <f t="shared" si="257"/>
        <v>2540400</v>
      </c>
      <c r="I1794" s="12">
        <f t="shared" si="258"/>
        <v>1354200</v>
      </c>
      <c r="J1794" s="12">
        <f>IF(A1794&lt;[3]关卡对接!$A$4,INDEX([3]关卡对接!$C$7:$C$141,A1794),MATCH(E1794,人物经验!$H$24:$H$573,1))</f>
        <v>550</v>
      </c>
      <c r="K1794" s="12">
        <f>IF([3]关卡对接!F1782="",INT(INDEX(人物经验!$J$24:$J$573,关卡!J1794)*关卡!$S$7),[3]关卡对接!F1782)</f>
        <v>53960</v>
      </c>
      <c r="L1794" s="12">
        <f t="shared" si="254"/>
        <v>2.6</v>
      </c>
      <c r="M1794" s="12">
        <f>L1794/[4]货币基础!$B$4</f>
        <v>260</v>
      </c>
      <c r="N1794" s="12">
        <f>IF(A1794&lt;[3]关卡对接!$A$4,INDEX([3]关卡对接!$E$7:$E$141,A1794),MATCH(E1794,人物经验!$H$24:$H$573,1))</f>
        <v>550</v>
      </c>
      <c r="O1794" s="12">
        <f>INDEX([2]关卡!$G$6:$G$2005,A1794)</f>
        <v>3</v>
      </c>
      <c r="P1794" s="13">
        <v>6</v>
      </c>
      <c r="Q1794" s="12">
        <f>INT(P1794/$S$15/O1794*VLOOKUP(J1794,[1]人物技能基础!$N$3:$O$553,2,0)*$U$15)</f>
        <v>9</v>
      </c>
      <c r="R1794" s="12">
        <f t="shared" si="255"/>
        <v>112</v>
      </c>
    </row>
    <row r="1795" spans="1:18" x14ac:dyDescent="0.15">
      <c r="A1795" s="12">
        <v>1777</v>
      </c>
      <c r="B1795" s="12">
        <f t="shared" si="252"/>
        <v>9</v>
      </c>
      <c r="C1795" s="12">
        <f t="shared" si="253"/>
        <v>16.71831375</v>
      </c>
      <c r="D1795" s="12">
        <f t="shared" si="256"/>
        <v>9.8633750000001186E-2</v>
      </c>
      <c r="E1795" s="12">
        <f>SUM($D$19:D1795)</f>
        <v>62.918313749999953</v>
      </c>
      <c r="F1795" s="12">
        <f t="shared" si="250"/>
        <v>706.81772389618493</v>
      </c>
      <c r="G1795" s="12">
        <f t="shared" si="251"/>
        <v>376.68073196605582</v>
      </c>
      <c r="H1795" s="12">
        <f t="shared" si="257"/>
        <v>2544500</v>
      </c>
      <c r="I1795" s="12">
        <f t="shared" si="258"/>
        <v>1356000</v>
      </c>
      <c r="J1795" s="12">
        <f>IF(A1795&lt;[3]关卡对接!$A$4,INDEX([3]关卡对接!$C$7:$C$141,A1795),MATCH(E1795,人物经验!$H$24:$H$573,1))</f>
        <v>550</v>
      </c>
      <c r="K1795" s="12">
        <f>IF([3]关卡对接!F1783="",INT(INDEX(人物经验!$J$24:$J$573,关卡!J1795)*关卡!$S$7),[3]关卡对接!F1783)</f>
        <v>53960</v>
      </c>
      <c r="L1795" s="12">
        <f t="shared" si="254"/>
        <v>2.6</v>
      </c>
      <c r="M1795" s="12">
        <f>L1795/[4]货币基础!$B$4</f>
        <v>260</v>
      </c>
      <c r="N1795" s="12">
        <f>IF(A1795&lt;[3]关卡对接!$A$4,INDEX([3]关卡对接!$E$7:$E$141,A1795),MATCH(E1795,人物经验!$H$24:$H$573,1))</f>
        <v>550</v>
      </c>
      <c r="O1795" s="12">
        <f>INDEX([2]关卡!$G$6:$G$2005,A1795)</f>
        <v>3</v>
      </c>
      <c r="P1795" s="13">
        <v>6</v>
      </c>
      <c r="Q1795" s="12">
        <f>INT(P1795/$S$15/O1795*VLOOKUP(J1795,[1]人物技能基础!$N$3:$O$553,2,0)*$U$15)</f>
        <v>9</v>
      </c>
      <c r="R1795" s="12">
        <f t="shared" si="255"/>
        <v>112</v>
      </c>
    </row>
    <row r="1796" spans="1:18" x14ac:dyDescent="0.15">
      <c r="A1796" s="12">
        <v>1778</v>
      </c>
      <c r="B1796" s="12">
        <f t="shared" si="252"/>
        <v>9</v>
      </c>
      <c r="C1796" s="12">
        <f t="shared" si="253"/>
        <v>16.816994999999999</v>
      </c>
      <c r="D1796" s="12">
        <f t="shared" si="256"/>
        <v>9.8681249999998499E-2</v>
      </c>
      <c r="E1796" s="12">
        <f>SUM($D$19:D1796)</f>
        <v>63.016994999999952</v>
      </c>
      <c r="F1796" s="12">
        <f t="shared" si="250"/>
        <v>707.96111663335898</v>
      </c>
      <c r="G1796" s="12">
        <f t="shared" si="251"/>
        <v>377.17514723889502</v>
      </c>
      <c r="H1796" s="12">
        <f t="shared" si="257"/>
        <v>2548600</v>
      </c>
      <c r="I1796" s="12">
        <f t="shared" si="258"/>
        <v>1357800</v>
      </c>
      <c r="J1796" s="12">
        <f>IF(A1796&lt;[3]关卡对接!$A$4,INDEX([3]关卡对接!$C$7:$C$141,A1796),MATCH(E1796,人物经验!$H$24:$H$573,1))</f>
        <v>550</v>
      </c>
      <c r="K1796" s="12">
        <f>IF([3]关卡对接!F1784="",INT(INDEX(人物经验!$J$24:$J$573,关卡!J1796)*关卡!$S$7),[3]关卡对接!F1784)</f>
        <v>53960</v>
      </c>
      <c r="L1796" s="12">
        <f t="shared" si="254"/>
        <v>2.6</v>
      </c>
      <c r="M1796" s="12">
        <f>L1796/[4]货币基础!$B$4</f>
        <v>260</v>
      </c>
      <c r="N1796" s="12">
        <f>IF(A1796&lt;[3]关卡对接!$A$4,INDEX([3]关卡对接!$E$7:$E$141,A1796),MATCH(E1796,人物经验!$H$24:$H$573,1))</f>
        <v>550</v>
      </c>
      <c r="O1796" s="12">
        <f>INDEX([2]关卡!$G$6:$G$2005,A1796)</f>
        <v>3</v>
      </c>
      <c r="P1796" s="13">
        <v>6</v>
      </c>
      <c r="Q1796" s="12">
        <f>INT(P1796/$S$15/O1796*VLOOKUP(J1796,[1]人物技能基础!$N$3:$O$553,2,0)*$U$15)</f>
        <v>9</v>
      </c>
      <c r="R1796" s="12">
        <f t="shared" si="255"/>
        <v>112</v>
      </c>
    </row>
    <row r="1797" spans="1:18" x14ac:dyDescent="0.15">
      <c r="A1797" s="12">
        <v>1779</v>
      </c>
      <c r="B1797" s="12">
        <f t="shared" si="252"/>
        <v>9</v>
      </c>
      <c r="C1797" s="12">
        <f t="shared" si="253"/>
        <v>16.915723749999998</v>
      </c>
      <c r="D1797" s="12">
        <f t="shared" si="256"/>
        <v>9.8728749999999366E-2</v>
      </c>
      <c r="E1797" s="12">
        <f>SUM($D$19:D1797)</f>
        <v>63.115723749999951</v>
      </c>
      <c r="F1797" s="12">
        <f t="shared" si="250"/>
        <v>709.10595543481975</v>
      </c>
      <c r="G1797" s="12">
        <f t="shared" si="251"/>
        <v>377.67006277823083</v>
      </c>
      <c r="H1797" s="12">
        <f t="shared" si="257"/>
        <v>2552700</v>
      </c>
      <c r="I1797" s="12">
        <f t="shared" si="258"/>
        <v>1359600</v>
      </c>
      <c r="J1797" s="12">
        <f>IF(A1797&lt;[3]关卡对接!$A$4,INDEX([3]关卡对接!$C$7:$C$141,A1797),MATCH(E1797,人物经验!$H$24:$H$573,1))</f>
        <v>550</v>
      </c>
      <c r="K1797" s="12">
        <f>IF([3]关卡对接!F1785="",INT(INDEX(人物经验!$J$24:$J$573,关卡!J1797)*关卡!$S$7),[3]关卡对接!F1785)</f>
        <v>53960</v>
      </c>
      <c r="L1797" s="12">
        <f t="shared" si="254"/>
        <v>2.6</v>
      </c>
      <c r="M1797" s="12">
        <f>L1797/[4]货币基础!$B$4</f>
        <v>260</v>
      </c>
      <c r="N1797" s="12">
        <f>IF(A1797&lt;[3]关卡对接!$A$4,INDEX([3]关卡对接!$E$7:$E$141,A1797),MATCH(E1797,人物经验!$H$24:$H$573,1))</f>
        <v>550</v>
      </c>
      <c r="O1797" s="12">
        <f>INDEX([2]关卡!$G$6:$G$2005,A1797)</f>
        <v>3</v>
      </c>
      <c r="P1797" s="13">
        <v>6</v>
      </c>
      <c r="Q1797" s="12">
        <f>INT(P1797/$S$15/O1797*VLOOKUP(J1797,[1]人物技能基础!$N$3:$O$553,2,0)*$U$15)</f>
        <v>9</v>
      </c>
      <c r="R1797" s="12">
        <f t="shared" si="255"/>
        <v>112</v>
      </c>
    </row>
    <row r="1798" spans="1:18" x14ac:dyDescent="0.15">
      <c r="A1798" s="12">
        <v>1780</v>
      </c>
      <c r="B1798" s="12">
        <f t="shared" si="252"/>
        <v>9</v>
      </c>
      <c r="C1798" s="12">
        <f t="shared" si="253"/>
        <v>17.014499999999998</v>
      </c>
      <c r="D1798" s="12">
        <f t="shared" si="256"/>
        <v>9.8776250000000232E-2</v>
      </c>
      <c r="E1798" s="12">
        <f>SUM($D$19:D1798)</f>
        <v>63.214499999999951</v>
      </c>
      <c r="F1798" s="12">
        <f t="shared" si="250"/>
        <v>710.25224159000015</v>
      </c>
      <c r="G1798" s="12">
        <f t="shared" si="251"/>
        <v>378.16547895000002</v>
      </c>
      <c r="H1798" s="12">
        <f t="shared" si="257"/>
        <v>2556900</v>
      </c>
      <c r="I1798" s="12">
        <f t="shared" si="258"/>
        <v>1361300</v>
      </c>
      <c r="J1798" s="12">
        <f>IF(A1798&lt;[3]关卡对接!$A$4,INDEX([3]关卡对接!$C$7:$C$141,A1798),MATCH(E1798,人物经验!$H$24:$H$573,1))</f>
        <v>550</v>
      </c>
      <c r="K1798" s="12">
        <f>IF([3]关卡对接!F1786="",INT(INDEX(人物经验!$J$24:$J$573,关卡!J1798)*关卡!$S$7),[3]关卡对接!F1786)</f>
        <v>53960</v>
      </c>
      <c r="L1798" s="12">
        <f t="shared" si="254"/>
        <v>2.6</v>
      </c>
      <c r="M1798" s="12">
        <f>L1798/[4]货币基础!$B$4</f>
        <v>260</v>
      </c>
      <c r="N1798" s="12">
        <f>IF(A1798&lt;[3]关卡对接!$A$4,INDEX([3]关卡对接!$E$7:$E$141,A1798),MATCH(E1798,人物经验!$H$24:$H$573,1))</f>
        <v>550</v>
      </c>
      <c r="O1798" s="12">
        <f>INDEX([2]关卡!$G$6:$G$2005,A1798)</f>
        <v>3</v>
      </c>
      <c r="P1798" s="13">
        <v>6</v>
      </c>
      <c r="Q1798" s="12">
        <f>INT(P1798/$S$15/O1798*VLOOKUP(J1798,[1]人物技能基础!$N$3:$O$553,2,0)*$U$15)</f>
        <v>9</v>
      </c>
      <c r="R1798" s="12">
        <f t="shared" si="255"/>
        <v>112</v>
      </c>
    </row>
    <row r="1799" spans="1:18" x14ac:dyDescent="0.15">
      <c r="A1799" s="12">
        <v>1781</v>
      </c>
      <c r="B1799" s="12">
        <f t="shared" si="252"/>
        <v>9</v>
      </c>
      <c r="C1799" s="12">
        <f t="shared" si="253"/>
        <v>17.113323749999999</v>
      </c>
      <c r="D1799" s="12">
        <f t="shared" si="256"/>
        <v>9.8823750000001098E-2</v>
      </c>
      <c r="E1799" s="12">
        <f>SUM($D$19:D1799)</f>
        <v>63.313323749999952</v>
      </c>
      <c r="F1799" s="12">
        <f t="shared" si="250"/>
        <v>711.39997638892987</v>
      </c>
      <c r="G1799" s="12">
        <f t="shared" si="251"/>
        <v>378.66139612028081</v>
      </c>
      <c r="H1799" s="12">
        <f t="shared" si="257"/>
        <v>2561000</v>
      </c>
      <c r="I1799" s="12">
        <f t="shared" si="258"/>
        <v>1363100</v>
      </c>
      <c r="J1799" s="12">
        <f>IF(A1799&lt;[3]关卡对接!$A$4,INDEX([3]关卡对接!$C$7:$C$141,A1799),MATCH(E1799,人物经验!$H$24:$H$573,1))</f>
        <v>550</v>
      </c>
      <c r="K1799" s="12">
        <f>IF([3]关卡对接!F1787="",INT(INDEX(人物经验!$J$24:$J$573,关卡!J1799)*关卡!$S$7),[3]关卡对接!F1787)</f>
        <v>53960</v>
      </c>
      <c r="L1799" s="12">
        <f t="shared" si="254"/>
        <v>2.6</v>
      </c>
      <c r="M1799" s="12">
        <f>L1799/[4]货币基础!$B$4</f>
        <v>260</v>
      </c>
      <c r="N1799" s="12">
        <f>IF(A1799&lt;[3]关卡对接!$A$4,INDEX([3]关卡对接!$E$7:$E$141,A1799),MATCH(E1799,人物经验!$H$24:$H$573,1))</f>
        <v>550</v>
      </c>
      <c r="O1799" s="12">
        <f>INDEX([2]关卡!$G$6:$G$2005,A1799)</f>
        <v>3</v>
      </c>
      <c r="P1799" s="13">
        <v>6</v>
      </c>
      <c r="Q1799" s="12">
        <f>INT(P1799/$S$15/O1799*VLOOKUP(J1799,[1]人物技能基础!$N$3:$O$553,2,0)*$U$15)</f>
        <v>9</v>
      </c>
      <c r="R1799" s="12">
        <f t="shared" si="255"/>
        <v>112</v>
      </c>
    </row>
    <row r="1800" spans="1:18" x14ac:dyDescent="0.15">
      <c r="A1800" s="12">
        <v>1782</v>
      </c>
      <c r="B1800" s="12">
        <f t="shared" si="252"/>
        <v>9</v>
      </c>
      <c r="C1800" s="12">
        <f t="shared" si="253"/>
        <v>17.212194999999998</v>
      </c>
      <c r="D1800" s="12">
        <f t="shared" si="256"/>
        <v>9.8871249999998412E-2</v>
      </c>
      <c r="E1800" s="12">
        <f>SUM($D$19:D1800)</f>
        <v>63.412194999999954</v>
      </c>
      <c r="F1800" s="12">
        <f t="shared" si="250"/>
        <v>712.54916112223907</v>
      </c>
      <c r="G1800" s="12">
        <f t="shared" si="251"/>
        <v>379.157814655295</v>
      </c>
      <c r="H1800" s="12">
        <f t="shared" si="257"/>
        <v>2565100</v>
      </c>
      <c r="I1800" s="12">
        <f t="shared" si="258"/>
        <v>1364900</v>
      </c>
      <c r="J1800" s="12">
        <f>IF(A1800&lt;[3]关卡对接!$A$4,INDEX([3]关卡对接!$C$7:$C$141,A1800),MATCH(E1800,人物经验!$H$24:$H$573,1))</f>
        <v>550</v>
      </c>
      <c r="K1800" s="12">
        <f>IF([3]关卡对接!F1788="",INT(INDEX(人物经验!$J$24:$J$573,关卡!J1800)*关卡!$S$7),[3]关卡对接!F1788)</f>
        <v>53960</v>
      </c>
      <c r="L1800" s="12">
        <f t="shared" si="254"/>
        <v>2.6</v>
      </c>
      <c r="M1800" s="12">
        <f>L1800/[4]货币基础!$B$4</f>
        <v>260</v>
      </c>
      <c r="N1800" s="12">
        <f>IF(A1800&lt;[3]关卡对接!$A$4,INDEX([3]关卡对接!$E$7:$E$141,A1800),MATCH(E1800,人物经验!$H$24:$H$573,1))</f>
        <v>550</v>
      </c>
      <c r="O1800" s="12">
        <f>INDEX([2]关卡!$G$6:$G$2005,A1800)</f>
        <v>3</v>
      </c>
      <c r="P1800" s="13">
        <v>6</v>
      </c>
      <c r="Q1800" s="12">
        <f>INT(P1800/$S$15/O1800*VLOOKUP(J1800,[1]人物技能基础!$N$3:$O$553,2,0)*$U$15)</f>
        <v>9</v>
      </c>
      <c r="R1800" s="12">
        <f t="shared" si="255"/>
        <v>112</v>
      </c>
    </row>
    <row r="1801" spans="1:18" x14ac:dyDescent="0.15">
      <c r="A1801" s="12">
        <v>1783</v>
      </c>
      <c r="B1801" s="12">
        <f t="shared" si="252"/>
        <v>9</v>
      </c>
      <c r="C1801" s="12">
        <f t="shared" si="253"/>
        <v>17.311113749999997</v>
      </c>
      <c r="D1801" s="12">
        <f t="shared" si="256"/>
        <v>9.8918749999999278E-2</v>
      </c>
      <c r="E1801" s="12">
        <f>SUM($D$19:D1801)</f>
        <v>63.51111374999995</v>
      </c>
      <c r="F1801" s="12">
        <f t="shared" si="250"/>
        <v>713.69979708115488</v>
      </c>
      <c r="G1801" s="12">
        <f t="shared" si="251"/>
        <v>379.65473492140586</v>
      </c>
      <c r="H1801" s="12">
        <f t="shared" si="257"/>
        <v>2569300</v>
      </c>
      <c r="I1801" s="12">
        <f t="shared" si="258"/>
        <v>1366700</v>
      </c>
      <c r="J1801" s="12">
        <f>IF(A1801&lt;[3]关卡对接!$A$4,INDEX([3]关卡对接!$C$7:$C$141,A1801),MATCH(E1801,人物经验!$H$24:$H$573,1))</f>
        <v>550</v>
      </c>
      <c r="K1801" s="12">
        <f>IF([3]关卡对接!F1789="",INT(INDEX(人物经验!$J$24:$J$573,关卡!J1801)*关卡!$S$7),[3]关卡对接!F1789)</f>
        <v>53960</v>
      </c>
      <c r="L1801" s="12">
        <f t="shared" si="254"/>
        <v>2.6</v>
      </c>
      <c r="M1801" s="12">
        <f>L1801/[4]货币基础!$B$4</f>
        <v>260</v>
      </c>
      <c r="N1801" s="12">
        <f>IF(A1801&lt;[3]关卡对接!$A$4,INDEX([3]关卡对接!$E$7:$E$141,A1801),MATCH(E1801,人物经验!$H$24:$H$573,1))</f>
        <v>550</v>
      </c>
      <c r="O1801" s="12">
        <f>INDEX([2]关卡!$G$6:$G$2005,A1801)</f>
        <v>3</v>
      </c>
      <c r="P1801" s="13">
        <v>6</v>
      </c>
      <c r="Q1801" s="12">
        <f>INT(P1801/$S$15/O1801*VLOOKUP(J1801,[1]人物技能基础!$N$3:$O$553,2,0)*$U$15)</f>
        <v>9</v>
      </c>
      <c r="R1801" s="12">
        <f t="shared" si="255"/>
        <v>112</v>
      </c>
    </row>
    <row r="1802" spans="1:18" x14ac:dyDescent="0.15">
      <c r="A1802" s="12">
        <v>1784</v>
      </c>
      <c r="B1802" s="12">
        <f t="shared" si="252"/>
        <v>9</v>
      </c>
      <c r="C1802" s="12">
        <f t="shared" si="253"/>
        <v>17.410080000000001</v>
      </c>
      <c r="D1802" s="12">
        <f t="shared" si="256"/>
        <v>9.8966250000003697E-2</v>
      </c>
      <c r="E1802" s="12">
        <f>SUM($D$19:D1802)</f>
        <v>63.610079999999954</v>
      </c>
      <c r="F1802" s="12">
        <f t="shared" si="250"/>
        <v>714.85188555750415</v>
      </c>
      <c r="G1802" s="12">
        <f t="shared" si="251"/>
        <v>380.15215728512004</v>
      </c>
      <c r="H1802" s="12">
        <f t="shared" si="257"/>
        <v>2573400</v>
      </c>
      <c r="I1802" s="12">
        <f t="shared" si="258"/>
        <v>1368500</v>
      </c>
      <c r="J1802" s="12">
        <f>IF(A1802&lt;[3]关卡对接!$A$4,INDEX([3]关卡对接!$C$7:$C$141,A1802),MATCH(E1802,人物经验!$H$24:$H$573,1))</f>
        <v>550</v>
      </c>
      <c r="K1802" s="12">
        <f>IF([3]关卡对接!F1790="",INT(INDEX(人物经验!$J$24:$J$573,关卡!J1802)*关卡!$S$7),[3]关卡对接!F1790)</f>
        <v>53960</v>
      </c>
      <c r="L1802" s="12">
        <f t="shared" si="254"/>
        <v>2.6</v>
      </c>
      <c r="M1802" s="12">
        <f>L1802/[4]货币基础!$B$4</f>
        <v>260</v>
      </c>
      <c r="N1802" s="12">
        <f>IF(A1802&lt;[3]关卡对接!$A$4,INDEX([3]关卡对接!$E$7:$E$141,A1802),MATCH(E1802,人物经验!$H$24:$H$573,1))</f>
        <v>550</v>
      </c>
      <c r="O1802" s="12">
        <f>INDEX([2]关卡!$G$6:$G$2005,A1802)</f>
        <v>3</v>
      </c>
      <c r="P1802" s="13">
        <v>6</v>
      </c>
      <c r="Q1802" s="12">
        <f>INT(P1802/$S$15/O1802*VLOOKUP(J1802,[1]人物技能基础!$N$3:$O$553,2,0)*$U$15)</f>
        <v>9</v>
      </c>
      <c r="R1802" s="12">
        <f t="shared" si="255"/>
        <v>112</v>
      </c>
    </row>
    <row r="1803" spans="1:18" x14ac:dyDescent="0.15">
      <c r="A1803" s="12">
        <v>1785</v>
      </c>
      <c r="B1803" s="12">
        <f t="shared" si="252"/>
        <v>9</v>
      </c>
      <c r="C1803" s="12">
        <f t="shared" si="253"/>
        <v>17.509093750000002</v>
      </c>
      <c r="D1803" s="12">
        <f t="shared" si="256"/>
        <v>9.9013750000001011E-2</v>
      </c>
      <c r="E1803" s="12">
        <f>SUM($D$19:D1803)</f>
        <v>63.709093749999951</v>
      </c>
      <c r="F1803" s="12">
        <f t="shared" si="250"/>
        <v>716.00542784371089</v>
      </c>
      <c r="G1803" s="12">
        <f t="shared" si="251"/>
        <v>380.65008211308589</v>
      </c>
      <c r="H1803" s="12">
        <f t="shared" si="257"/>
        <v>2577600</v>
      </c>
      <c r="I1803" s="12">
        <f t="shared" si="258"/>
        <v>1370300</v>
      </c>
      <c r="J1803" s="12">
        <f>IF(A1803&lt;[3]关卡对接!$A$4,INDEX([3]关卡对接!$C$7:$C$141,A1803),MATCH(E1803,人物经验!$H$24:$H$573,1))</f>
        <v>550</v>
      </c>
      <c r="K1803" s="12">
        <f>IF([3]关卡对接!F1791="",INT(INDEX(人物经验!$J$24:$J$573,关卡!J1803)*关卡!$S$7),[3]关卡对接!F1791)</f>
        <v>53960</v>
      </c>
      <c r="L1803" s="12">
        <f t="shared" si="254"/>
        <v>2.6</v>
      </c>
      <c r="M1803" s="12">
        <f>L1803/[4]货币基础!$B$4</f>
        <v>260</v>
      </c>
      <c r="N1803" s="12">
        <f>IF(A1803&lt;[3]关卡对接!$A$4,INDEX([3]关卡对接!$E$7:$E$141,A1803),MATCH(E1803,人物经验!$H$24:$H$573,1))</f>
        <v>550</v>
      </c>
      <c r="O1803" s="12">
        <f>INDEX([2]关卡!$G$6:$G$2005,A1803)</f>
        <v>3</v>
      </c>
      <c r="P1803" s="13">
        <v>6</v>
      </c>
      <c r="Q1803" s="12">
        <f>INT(P1803/$S$15/O1803*VLOOKUP(J1803,[1]人物技能基础!$N$3:$O$553,2,0)*$U$15)</f>
        <v>9</v>
      </c>
      <c r="R1803" s="12">
        <f t="shared" si="255"/>
        <v>112</v>
      </c>
    </row>
    <row r="1804" spans="1:18" x14ac:dyDescent="0.15">
      <c r="A1804" s="12">
        <v>1786</v>
      </c>
      <c r="B1804" s="12">
        <f t="shared" si="252"/>
        <v>9</v>
      </c>
      <c r="C1804" s="12">
        <f t="shared" si="253"/>
        <v>17.608155</v>
      </c>
      <c r="D1804" s="12">
        <f t="shared" si="256"/>
        <v>9.9061249999998324E-2</v>
      </c>
      <c r="E1804" s="12">
        <f>SUM($D$19:D1804)</f>
        <v>63.80815499999995</v>
      </c>
      <c r="F1804" s="12">
        <f t="shared" si="250"/>
        <v>717.16042523279896</v>
      </c>
      <c r="G1804" s="12">
        <f t="shared" si="251"/>
        <v>381.148509772095</v>
      </c>
      <c r="H1804" s="12">
        <f t="shared" si="257"/>
        <v>2581700</v>
      </c>
      <c r="I1804" s="12">
        <f t="shared" si="258"/>
        <v>1372100</v>
      </c>
      <c r="J1804" s="12">
        <f>IF(A1804&lt;[3]关卡对接!$A$4,INDEX([3]关卡对接!$C$7:$C$141,A1804),MATCH(E1804,人物经验!$H$24:$H$573,1))</f>
        <v>550</v>
      </c>
      <c r="K1804" s="12">
        <f>IF([3]关卡对接!F1792="",INT(INDEX(人物经验!$J$24:$J$573,关卡!J1804)*关卡!$S$7),[3]关卡对接!F1792)</f>
        <v>53960</v>
      </c>
      <c r="L1804" s="12">
        <f t="shared" si="254"/>
        <v>2.6</v>
      </c>
      <c r="M1804" s="12">
        <f>L1804/[4]货币基础!$B$4</f>
        <v>260</v>
      </c>
      <c r="N1804" s="12">
        <f>IF(A1804&lt;[3]关卡对接!$A$4,INDEX([3]关卡对接!$E$7:$E$141,A1804),MATCH(E1804,人物经验!$H$24:$H$573,1))</f>
        <v>550</v>
      </c>
      <c r="O1804" s="12">
        <f>INDEX([2]关卡!$G$6:$G$2005,A1804)</f>
        <v>3</v>
      </c>
      <c r="P1804" s="13">
        <v>6</v>
      </c>
      <c r="Q1804" s="12">
        <f>INT(P1804/$S$15/O1804*VLOOKUP(J1804,[1]人物技能基础!$N$3:$O$553,2,0)*$U$15)</f>
        <v>9</v>
      </c>
      <c r="R1804" s="12">
        <f t="shared" si="255"/>
        <v>112</v>
      </c>
    </row>
    <row r="1805" spans="1:18" x14ac:dyDescent="0.15">
      <c r="A1805" s="12">
        <v>1787</v>
      </c>
      <c r="B1805" s="12">
        <f t="shared" si="252"/>
        <v>9</v>
      </c>
      <c r="C1805" s="12">
        <f t="shared" si="253"/>
        <v>17.707263749999999</v>
      </c>
      <c r="D1805" s="12">
        <f t="shared" si="256"/>
        <v>9.9108749999999191E-2</v>
      </c>
      <c r="E1805" s="12">
        <f>SUM($D$19:D1805)</f>
        <v>63.907263749999949</v>
      </c>
      <c r="F1805" s="12">
        <f t="shared" si="250"/>
        <v>718.31687901838984</v>
      </c>
      <c r="G1805" s="12">
        <f t="shared" si="251"/>
        <v>381.64744062908085</v>
      </c>
      <c r="H1805" s="12">
        <f t="shared" si="257"/>
        <v>2585900</v>
      </c>
      <c r="I1805" s="12">
        <f t="shared" si="258"/>
        <v>1373900</v>
      </c>
      <c r="J1805" s="12">
        <f>IF(A1805&lt;[3]关卡对接!$A$4,INDEX([3]关卡对接!$C$7:$C$141,A1805),MATCH(E1805,人物经验!$H$24:$H$573,1))</f>
        <v>550</v>
      </c>
      <c r="K1805" s="12">
        <f>IF([3]关卡对接!F1793="",INT(INDEX(人物经验!$J$24:$J$573,关卡!J1805)*关卡!$S$7),[3]关卡对接!F1793)</f>
        <v>53960</v>
      </c>
      <c r="L1805" s="12">
        <f t="shared" si="254"/>
        <v>2.6</v>
      </c>
      <c r="M1805" s="12">
        <f>L1805/[4]货币基础!$B$4</f>
        <v>260</v>
      </c>
      <c r="N1805" s="12">
        <f>IF(A1805&lt;[3]关卡对接!$A$4,INDEX([3]关卡对接!$E$7:$E$141,A1805),MATCH(E1805,人物经验!$H$24:$H$573,1))</f>
        <v>550</v>
      </c>
      <c r="O1805" s="12">
        <f>INDEX([2]关卡!$G$6:$G$2005,A1805)</f>
        <v>3</v>
      </c>
      <c r="P1805" s="13">
        <v>6</v>
      </c>
      <c r="Q1805" s="12">
        <f>INT(P1805/$S$15/O1805*VLOOKUP(J1805,[1]人物技能基础!$N$3:$O$553,2,0)*$U$15)</f>
        <v>9</v>
      </c>
      <c r="R1805" s="12">
        <f t="shared" si="255"/>
        <v>112</v>
      </c>
    </row>
    <row r="1806" spans="1:18" x14ac:dyDescent="0.15">
      <c r="A1806" s="12">
        <v>1788</v>
      </c>
      <c r="B1806" s="12">
        <f t="shared" si="252"/>
        <v>9</v>
      </c>
      <c r="C1806" s="12">
        <f t="shared" si="253"/>
        <v>17.806419999999999</v>
      </c>
      <c r="D1806" s="12">
        <f t="shared" si="256"/>
        <v>9.9156250000000057E-2</v>
      </c>
      <c r="E1806" s="12">
        <f>SUM($D$19:D1806)</f>
        <v>64.006419999999949</v>
      </c>
      <c r="F1806" s="12">
        <f t="shared" si="250"/>
        <v>719.47479049470405</v>
      </c>
      <c r="G1806" s="12">
        <f t="shared" si="251"/>
        <v>382.14687505112005</v>
      </c>
      <c r="H1806" s="12">
        <f t="shared" si="257"/>
        <v>2590100</v>
      </c>
      <c r="I1806" s="12">
        <f t="shared" si="258"/>
        <v>1375700</v>
      </c>
      <c r="J1806" s="12">
        <f>IF(A1806&lt;[3]关卡对接!$A$4,INDEX([3]关卡对接!$C$7:$C$141,A1806),MATCH(E1806,人物经验!$H$24:$H$573,1))</f>
        <v>550</v>
      </c>
      <c r="K1806" s="12">
        <f>IF([3]关卡对接!F1794="",INT(INDEX(人物经验!$J$24:$J$573,关卡!J1806)*关卡!$S$7),[3]关卡对接!F1794)</f>
        <v>53960</v>
      </c>
      <c r="L1806" s="12">
        <f t="shared" si="254"/>
        <v>2.6</v>
      </c>
      <c r="M1806" s="12">
        <f>L1806/[4]货币基础!$B$4</f>
        <v>260</v>
      </c>
      <c r="N1806" s="12">
        <f>IF(A1806&lt;[3]关卡对接!$A$4,INDEX([3]关卡对接!$E$7:$E$141,A1806),MATCH(E1806,人物经验!$H$24:$H$573,1))</f>
        <v>550</v>
      </c>
      <c r="O1806" s="12">
        <f>INDEX([2]关卡!$G$6:$G$2005,A1806)</f>
        <v>3</v>
      </c>
      <c r="P1806" s="13">
        <v>6</v>
      </c>
      <c r="Q1806" s="12">
        <f>INT(P1806/$S$15/O1806*VLOOKUP(J1806,[1]人物技能基础!$N$3:$O$553,2,0)*$U$15)</f>
        <v>9</v>
      </c>
      <c r="R1806" s="12">
        <f t="shared" si="255"/>
        <v>112</v>
      </c>
    </row>
    <row r="1807" spans="1:18" x14ac:dyDescent="0.15">
      <c r="A1807" s="12">
        <v>1789</v>
      </c>
      <c r="B1807" s="12">
        <f t="shared" si="252"/>
        <v>9</v>
      </c>
      <c r="C1807" s="12">
        <f t="shared" si="253"/>
        <v>17.90562375</v>
      </c>
      <c r="D1807" s="12">
        <f t="shared" si="256"/>
        <v>9.9203750000000923E-2</v>
      </c>
      <c r="E1807" s="12">
        <f>SUM($D$19:D1807)</f>
        <v>64.10562374999995</v>
      </c>
      <c r="F1807" s="12">
        <f t="shared" si="250"/>
        <v>720.63416095655987</v>
      </c>
      <c r="G1807" s="12">
        <f t="shared" si="251"/>
        <v>382.64681340543081</v>
      </c>
      <c r="H1807" s="12">
        <f t="shared" si="257"/>
        <v>2594200</v>
      </c>
      <c r="I1807" s="12">
        <f t="shared" si="258"/>
        <v>1377500</v>
      </c>
      <c r="J1807" s="12">
        <f>IF(A1807&lt;[3]关卡对接!$A$4,INDEX([3]关卡对接!$C$7:$C$141,A1807),MATCH(E1807,人物经验!$H$24:$H$573,1))</f>
        <v>550</v>
      </c>
      <c r="K1807" s="12">
        <f>IF([3]关卡对接!F1795="",INT(INDEX(人物经验!$J$24:$J$573,关卡!J1807)*关卡!$S$7),[3]关卡对接!F1795)</f>
        <v>53960</v>
      </c>
      <c r="L1807" s="12">
        <f t="shared" si="254"/>
        <v>2.6</v>
      </c>
      <c r="M1807" s="12">
        <f>L1807/[4]货币基础!$B$4</f>
        <v>260</v>
      </c>
      <c r="N1807" s="12">
        <f>IF(A1807&lt;[3]关卡对接!$A$4,INDEX([3]关卡对接!$E$7:$E$141,A1807),MATCH(E1807,人物经验!$H$24:$H$573,1))</f>
        <v>550</v>
      </c>
      <c r="O1807" s="12">
        <f>INDEX([2]关卡!$G$6:$G$2005,A1807)</f>
        <v>3</v>
      </c>
      <c r="P1807" s="13">
        <v>6</v>
      </c>
      <c r="Q1807" s="12">
        <f>INT(P1807/$S$15/O1807*VLOOKUP(J1807,[1]人物技能基础!$N$3:$O$553,2,0)*$U$15)</f>
        <v>9</v>
      </c>
      <c r="R1807" s="12">
        <f t="shared" si="255"/>
        <v>112</v>
      </c>
    </row>
    <row r="1808" spans="1:18" x14ac:dyDescent="0.15">
      <c r="A1808" s="12">
        <v>1790</v>
      </c>
      <c r="B1808" s="12">
        <f t="shared" si="252"/>
        <v>9</v>
      </c>
      <c r="C1808" s="12">
        <f t="shared" si="253"/>
        <v>18.004874999999998</v>
      </c>
      <c r="D1808" s="12">
        <f t="shared" si="256"/>
        <v>9.9251249999998237E-2</v>
      </c>
      <c r="E1808" s="12">
        <f>SUM($D$19:D1808)</f>
        <v>64.204874999999944</v>
      </c>
      <c r="F1808" s="12">
        <f t="shared" si="250"/>
        <v>721.79499169937503</v>
      </c>
      <c r="G1808" s="12">
        <f t="shared" si="251"/>
        <v>383.14725605937502</v>
      </c>
      <c r="H1808" s="12">
        <f t="shared" si="257"/>
        <v>2598400</v>
      </c>
      <c r="I1808" s="12">
        <f t="shared" si="258"/>
        <v>1379300</v>
      </c>
      <c r="J1808" s="12">
        <f>IF(A1808&lt;[3]关卡对接!$A$4,INDEX([3]关卡对接!$C$7:$C$141,A1808),MATCH(E1808,人物经验!$H$24:$H$573,1))</f>
        <v>550</v>
      </c>
      <c r="K1808" s="12">
        <f>IF([3]关卡对接!F1796="",INT(INDEX(人物经验!$J$24:$J$573,关卡!J1808)*关卡!$S$7),[3]关卡对接!F1796)</f>
        <v>53960</v>
      </c>
      <c r="L1808" s="12">
        <f t="shared" si="254"/>
        <v>2.6</v>
      </c>
      <c r="M1808" s="12">
        <f>L1808/[4]货币基础!$B$4</f>
        <v>260</v>
      </c>
      <c r="N1808" s="12">
        <f>IF(A1808&lt;[3]关卡对接!$A$4,INDEX([3]关卡对接!$E$7:$E$141,A1808),MATCH(E1808,人物经验!$H$24:$H$573,1))</f>
        <v>550</v>
      </c>
      <c r="O1808" s="12">
        <f>INDEX([2]关卡!$G$6:$G$2005,A1808)</f>
        <v>3</v>
      </c>
      <c r="P1808" s="13">
        <v>6</v>
      </c>
      <c r="Q1808" s="12">
        <f>INT(P1808/$S$15/O1808*VLOOKUP(J1808,[1]人物技能基础!$N$3:$O$553,2,0)*$U$15)</f>
        <v>9</v>
      </c>
      <c r="R1808" s="12">
        <f t="shared" si="255"/>
        <v>112</v>
      </c>
    </row>
    <row r="1809" spans="1:18" x14ac:dyDescent="0.15">
      <c r="A1809" s="12">
        <v>1791</v>
      </c>
      <c r="B1809" s="12">
        <f t="shared" si="252"/>
        <v>9</v>
      </c>
      <c r="C1809" s="12">
        <f t="shared" si="253"/>
        <v>18.104173749999998</v>
      </c>
      <c r="D1809" s="12">
        <f t="shared" si="256"/>
        <v>9.9298749999999103E-2</v>
      </c>
      <c r="E1809" s="12">
        <f>SUM($D$19:D1809)</f>
        <v>64.304173749999947</v>
      </c>
      <c r="F1809" s="12">
        <f t="shared" si="250"/>
        <v>722.95728401916483</v>
      </c>
      <c r="G1809" s="12">
        <f t="shared" si="251"/>
        <v>383.64820338045587</v>
      </c>
      <c r="H1809" s="12">
        <f t="shared" si="257"/>
        <v>2602600</v>
      </c>
      <c r="I1809" s="12">
        <f t="shared" si="258"/>
        <v>1381100</v>
      </c>
      <c r="J1809" s="12">
        <f>IF(A1809&lt;[3]关卡对接!$A$4,INDEX([3]关卡对接!$C$7:$C$141,A1809),MATCH(E1809,人物经验!$H$24:$H$573,1))</f>
        <v>550</v>
      </c>
      <c r="K1809" s="12">
        <f>IF([3]关卡对接!F1797="",INT(INDEX(人物经验!$J$24:$J$573,关卡!J1809)*关卡!$S$7),[3]关卡对接!F1797)</f>
        <v>53960</v>
      </c>
      <c r="L1809" s="12">
        <f t="shared" si="254"/>
        <v>2.6</v>
      </c>
      <c r="M1809" s="12">
        <f>L1809/[4]货币基础!$B$4</f>
        <v>260</v>
      </c>
      <c r="N1809" s="12">
        <f>IF(A1809&lt;[3]关卡对接!$A$4,INDEX([3]关卡对接!$E$7:$E$141,A1809),MATCH(E1809,人物经验!$H$24:$H$573,1))</f>
        <v>550</v>
      </c>
      <c r="O1809" s="12">
        <f>INDEX([2]关卡!$G$6:$G$2005,A1809)</f>
        <v>3</v>
      </c>
      <c r="P1809" s="13">
        <v>6</v>
      </c>
      <c r="Q1809" s="12">
        <f>INT(P1809/$S$15/O1809*VLOOKUP(J1809,[1]人物技能基础!$N$3:$O$553,2,0)*$U$15)</f>
        <v>9</v>
      </c>
      <c r="R1809" s="12">
        <f t="shared" si="255"/>
        <v>112</v>
      </c>
    </row>
    <row r="1810" spans="1:18" x14ac:dyDescent="0.15">
      <c r="A1810" s="12">
        <v>1792</v>
      </c>
      <c r="B1810" s="12">
        <f t="shared" si="252"/>
        <v>9</v>
      </c>
      <c r="C1810" s="12">
        <f t="shared" si="253"/>
        <v>18.203519999999997</v>
      </c>
      <c r="D1810" s="12">
        <f t="shared" si="256"/>
        <v>9.9346249999999969E-2</v>
      </c>
      <c r="E1810" s="12">
        <f>SUM($D$19:D1810)</f>
        <v>64.403519999999943</v>
      </c>
      <c r="F1810" s="12">
        <f t="shared" si="250"/>
        <v>724.12103921254413</v>
      </c>
      <c r="G1810" s="12">
        <f t="shared" si="251"/>
        <v>384.14965573632003</v>
      </c>
      <c r="H1810" s="12">
        <f t="shared" si="257"/>
        <v>2606800</v>
      </c>
      <c r="I1810" s="12">
        <f t="shared" si="258"/>
        <v>1382900</v>
      </c>
      <c r="J1810" s="12">
        <f>IF(A1810&lt;[3]关卡对接!$A$4,INDEX([3]关卡对接!$C$7:$C$141,A1810),MATCH(E1810,人物经验!$H$24:$H$573,1))</f>
        <v>550</v>
      </c>
      <c r="K1810" s="12">
        <f>IF([3]关卡对接!F1798="",INT(INDEX(人物经验!$J$24:$J$573,关卡!J1810)*关卡!$S$7),[3]关卡对接!F1798)</f>
        <v>53960</v>
      </c>
      <c r="L1810" s="12">
        <f t="shared" si="254"/>
        <v>2.6</v>
      </c>
      <c r="M1810" s="12">
        <f>L1810/[4]货币基础!$B$4</f>
        <v>260</v>
      </c>
      <c r="N1810" s="12">
        <f>IF(A1810&lt;[3]关卡对接!$A$4,INDEX([3]关卡对接!$E$7:$E$141,A1810),MATCH(E1810,人物经验!$H$24:$H$573,1))</f>
        <v>550</v>
      </c>
      <c r="O1810" s="12">
        <f>INDEX([2]关卡!$G$6:$G$2005,A1810)</f>
        <v>3</v>
      </c>
      <c r="P1810" s="13">
        <v>6</v>
      </c>
      <c r="Q1810" s="12">
        <f>INT(P1810/$S$15/O1810*VLOOKUP(J1810,[1]人物技能基础!$N$3:$O$553,2,0)*$U$15)</f>
        <v>9</v>
      </c>
      <c r="R1810" s="12">
        <f t="shared" si="255"/>
        <v>112</v>
      </c>
    </row>
    <row r="1811" spans="1:18" x14ac:dyDescent="0.15">
      <c r="A1811" s="12">
        <v>1793</v>
      </c>
      <c r="B1811" s="12">
        <f t="shared" si="252"/>
        <v>9</v>
      </c>
      <c r="C1811" s="12">
        <f t="shared" si="253"/>
        <v>18.302913749999998</v>
      </c>
      <c r="D1811" s="12">
        <f t="shared" si="256"/>
        <v>9.9393750000000836E-2</v>
      </c>
      <c r="E1811" s="12">
        <f>SUM($D$19:D1811)</f>
        <v>64.502913749999948</v>
      </c>
      <c r="F1811" s="12">
        <f t="shared" ref="F1811:F1874" si="259">$L$7*($M$7+$N$7*($A1811/$B$3)^1+$O$7*($A1811/$B$3)^2+$P$7*($A1811/$B$3)^3+$Q$7*($A1811/$B$3)^4)</f>
        <v>725.28625857672489</v>
      </c>
      <c r="G1811" s="12">
        <f t="shared" ref="G1811:G1874" si="260">$L$11*($M$11+$N$11*($A1811/$B$3)^1+$O$11*($A1811/$B$3)^2+$P$11*($A1811/$B$3)^3+$Q$11*($A1811/$B$3)^4)</f>
        <v>384.65161349475585</v>
      </c>
      <c r="H1811" s="12">
        <f t="shared" si="257"/>
        <v>2611000</v>
      </c>
      <c r="I1811" s="12">
        <f t="shared" si="258"/>
        <v>1384700</v>
      </c>
      <c r="J1811" s="12">
        <f>IF(A1811&lt;[3]关卡对接!$A$4,INDEX([3]关卡对接!$C$7:$C$141,A1811),MATCH(E1811,人物经验!$H$24:$H$573,1))</f>
        <v>550</v>
      </c>
      <c r="K1811" s="12">
        <f>IF([3]关卡对接!F1799="",INT(INDEX(人物经验!$J$24:$J$573,关卡!J1811)*关卡!$S$7),[3]关卡对接!F1799)</f>
        <v>53960</v>
      </c>
      <c r="L1811" s="12">
        <f t="shared" si="254"/>
        <v>2.6</v>
      </c>
      <c r="M1811" s="12">
        <f>L1811/[4]货币基础!$B$4</f>
        <v>260</v>
      </c>
      <c r="N1811" s="12">
        <f>IF(A1811&lt;[3]关卡对接!$A$4,INDEX([3]关卡对接!$E$7:$E$141,A1811),MATCH(E1811,人物经验!$H$24:$H$573,1))</f>
        <v>550</v>
      </c>
      <c r="O1811" s="12">
        <f>INDEX([2]关卡!$G$6:$G$2005,A1811)</f>
        <v>3</v>
      </c>
      <c r="P1811" s="13">
        <v>6</v>
      </c>
      <c r="Q1811" s="12">
        <f>INT(P1811/$S$15/O1811*VLOOKUP(J1811,[1]人物技能基础!$N$3:$O$553,2,0)*$U$15)</f>
        <v>9</v>
      </c>
      <c r="R1811" s="12">
        <f t="shared" si="255"/>
        <v>112</v>
      </c>
    </row>
    <row r="1812" spans="1:18" x14ac:dyDescent="0.15">
      <c r="A1812" s="12">
        <v>1794</v>
      </c>
      <c r="B1812" s="12">
        <f t="shared" ref="B1812:B1875" si="261">MATCH($A1812,$A$5:$A$15,1)-1</f>
        <v>9</v>
      </c>
      <c r="C1812" s="12">
        <f t="shared" ref="C1812:C1875" si="262">INDEX($C$5:$C$15,$B1812+1)*(INDEX($E$5:$E$15,$B1812+1)+INDEX($F$5:$F$15,$B1812+1)*(($A1812-INDEX($A$5:$A$15,$B1812+1)+1)/(INDEX($B$5:$B$15,$B1812+1)-INDEX($A$5:$A$15,$B1812+1)+1))^1+INDEX($G$5:$G$15,$B1812+1)*(($A1812-INDEX($A$5:$A$15,$B1812+1)+1)/(INDEX($B$5:$B$15,$B1812+1)-INDEX($A$5:$A$15,$B1812+1)+1))^2+INDEX($H$5:$H$15,$B1812+1)*(($A1812-INDEX($A$5:$A$15,$B1812+1)+1)/(INDEX($B$5:$B$15,$B1812+1)-INDEX($A$5:$A$15,$B1812+1)+1))^3+INDEX($I$5:$I$15,$B1812+1)*(($A1812-INDEX($A$5:$A$15,$B1812+1)+1)/(INDEX($B$5:$B$15,$B1812+1)-INDEX($A$5:$A$15,$B1812+1)+1))^4)</f>
        <v>18.402355</v>
      </c>
      <c r="D1812" s="12">
        <f t="shared" si="256"/>
        <v>9.9441250000001702E-2</v>
      </c>
      <c r="E1812" s="12">
        <f>SUM($D$19:D1812)</f>
        <v>64.602354999999946</v>
      </c>
      <c r="F1812" s="12">
        <f t="shared" si="259"/>
        <v>726.45294340951909</v>
      </c>
      <c r="G1812" s="12">
        <f t="shared" si="260"/>
        <v>385.15407702369498</v>
      </c>
      <c r="H1812" s="12">
        <f t="shared" si="257"/>
        <v>2615200</v>
      </c>
      <c r="I1812" s="12">
        <f t="shared" si="258"/>
        <v>1386500</v>
      </c>
      <c r="J1812" s="12">
        <f>IF(A1812&lt;[3]关卡对接!$A$4,INDEX([3]关卡对接!$C$7:$C$141,A1812),MATCH(E1812,人物经验!$H$24:$H$573,1))</f>
        <v>550</v>
      </c>
      <c r="K1812" s="12">
        <f>IF([3]关卡对接!F1800="",INT(INDEX(人物经验!$J$24:$J$573,关卡!J1812)*关卡!$S$7),[3]关卡对接!F1800)</f>
        <v>53960</v>
      </c>
      <c r="L1812" s="12">
        <f t="shared" ref="L1812:L1875" si="263">VLOOKUP(A1812,$A$5:$J$15,10,1)</f>
        <v>2.6</v>
      </c>
      <c r="M1812" s="12">
        <f>L1812/[4]货币基础!$B$4</f>
        <v>260</v>
      </c>
      <c r="N1812" s="12">
        <f>IF(A1812&lt;[3]关卡对接!$A$4,INDEX([3]关卡对接!$E$7:$E$141,A1812),MATCH(E1812,人物经验!$H$24:$H$573,1))</f>
        <v>550</v>
      </c>
      <c r="O1812" s="12">
        <f>INDEX([2]关卡!$G$6:$G$2005,A1812)</f>
        <v>3</v>
      </c>
      <c r="P1812" s="13">
        <v>6</v>
      </c>
      <c r="Q1812" s="12">
        <f>INT(P1812/$S$15/O1812*VLOOKUP(J1812,[1]人物技能基础!$N$3:$O$553,2,0)*$U$15)</f>
        <v>9</v>
      </c>
      <c r="R1812" s="12">
        <f t="shared" ref="R1812:R1875" si="264">INT(Q1812*12.5)</f>
        <v>112</v>
      </c>
    </row>
    <row r="1813" spans="1:18" x14ac:dyDescent="0.15">
      <c r="A1813" s="12">
        <v>1795</v>
      </c>
      <c r="B1813" s="12">
        <f t="shared" si="261"/>
        <v>9</v>
      </c>
      <c r="C1813" s="12">
        <f t="shared" si="262"/>
        <v>18.501843749999999</v>
      </c>
      <c r="D1813" s="12">
        <f t="shared" si="256"/>
        <v>9.9488749999999015E-2</v>
      </c>
      <c r="E1813" s="12">
        <f>SUM($D$19:D1813)</f>
        <v>64.701843749999938</v>
      </c>
      <c r="F1813" s="12">
        <f t="shared" si="259"/>
        <v>727.62109500933593</v>
      </c>
      <c r="G1813" s="12">
        <f t="shared" si="260"/>
        <v>385.65704669121089</v>
      </c>
      <c r="H1813" s="12">
        <f t="shared" si="257"/>
        <v>2619400</v>
      </c>
      <c r="I1813" s="12">
        <f t="shared" si="258"/>
        <v>1388300</v>
      </c>
      <c r="J1813" s="12">
        <f>IF(A1813&lt;[3]关卡对接!$A$4,INDEX([3]关卡对接!$C$7:$C$141,A1813),MATCH(E1813,人物经验!$H$24:$H$573,1))</f>
        <v>550</v>
      </c>
      <c r="K1813" s="12">
        <f>IF([3]关卡对接!F1801="",INT(INDEX(人物经验!$J$24:$J$573,关卡!J1813)*关卡!$S$7),[3]关卡对接!F1801)</f>
        <v>53960</v>
      </c>
      <c r="L1813" s="12">
        <f t="shared" si="263"/>
        <v>2.6</v>
      </c>
      <c r="M1813" s="12">
        <f>L1813/[4]货币基础!$B$4</f>
        <v>260</v>
      </c>
      <c r="N1813" s="12">
        <f>IF(A1813&lt;[3]关卡对接!$A$4,INDEX([3]关卡对接!$E$7:$E$141,A1813),MATCH(E1813,人物经验!$H$24:$H$573,1))</f>
        <v>550</v>
      </c>
      <c r="O1813" s="12">
        <f>INDEX([2]关卡!$G$6:$G$2005,A1813)</f>
        <v>3</v>
      </c>
      <c r="P1813" s="13">
        <v>6</v>
      </c>
      <c r="Q1813" s="12">
        <f>INT(P1813/$S$15/O1813*VLOOKUP(J1813,[1]人物技能基础!$N$3:$O$553,2,0)*$U$15)</f>
        <v>9</v>
      </c>
      <c r="R1813" s="12">
        <f t="shared" si="264"/>
        <v>112</v>
      </c>
    </row>
    <row r="1814" spans="1:18" x14ac:dyDescent="0.15">
      <c r="A1814" s="12">
        <v>1796</v>
      </c>
      <c r="B1814" s="12">
        <f t="shared" si="261"/>
        <v>9</v>
      </c>
      <c r="C1814" s="12">
        <f t="shared" si="262"/>
        <v>18.601379999999999</v>
      </c>
      <c r="D1814" s="12">
        <f t="shared" si="256"/>
        <v>9.9536249999999882E-2</v>
      </c>
      <c r="E1814" s="12">
        <f>SUM($D$19:D1814)</f>
        <v>64.801379999999938</v>
      </c>
      <c r="F1814" s="12">
        <f t="shared" si="259"/>
        <v>728.79071467518395</v>
      </c>
      <c r="G1814" s="12">
        <f t="shared" si="260"/>
        <v>386.16052286552008</v>
      </c>
      <c r="H1814" s="12">
        <f t="shared" si="257"/>
        <v>2623600</v>
      </c>
      <c r="I1814" s="12">
        <f t="shared" si="258"/>
        <v>1390100</v>
      </c>
      <c r="J1814" s="12">
        <f>IF(A1814&lt;[3]关卡对接!$A$4,INDEX([3]关卡对接!$C$7:$C$141,A1814),MATCH(E1814,人物经验!$H$24:$H$573,1))</f>
        <v>550</v>
      </c>
      <c r="K1814" s="12">
        <f>IF([3]关卡对接!F1802="",INT(INDEX(人物经验!$J$24:$J$573,关卡!J1814)*关卡!$S$7),[3]关卡对接!F1802)</f>
        <v>53960</v>
      </c>
      <c r="L1814" s="12">
        <f t="shared" si="263"/>
        <v>2.6</v>
      </c>
      <c r="M1814" s="12">
        <f>L1814/[4]货币基础!$B$4</f>
        <v>260</v>
      </c>
      <c r="N1814" s="12">
        <f>IF(A1814&lt;[3]关卡对接!$A$4,INDEX([3]关卡对接!$E$7:$E$141,A1814),MATCH(E1814,人物经验!$H$24:$H$573,1))</f>
        <v>550</v>
      </c>
      <c r="O1814" s="12">
        <f>INDEX([2]关卡!$G$6:$G$2005,A1814)</f>
        <v>3</v>
      </c>
      <c r="P1814" s="13">
        <v>6</v>
      </c>
      <c r="Q1814" s="12">
        <f>INT(P1814/$S$15/O1814*VLOOKUP(J1814,[1]人物技能基础!$N$3:$O$553,2,0)*$U$15)</f>
        <v>9</v>
      </c>
      <c r="R1814" s="12">
        <f t="shared" si="264"/>
        <v>112</v>
      </c>
    </row>
    <row r="1815" spans="1:18" x14ac:dyDescent="0.15">
      <c r="A1815" s="12">
        <v>1797</v>
      </c>
      <c r="B1815" s="12">
        <f t="shared" si="261"/>
        <v>9</v>
      </c>
      <c r="C1815" s="12">
        <f t="shared" si="262"/>
        <v>18.70096375</v>
      </c>
      <c r="D1815" s="12">
        <f t="shared" si="256"/>
        <v>9.9583750000000748E-2</v>
      </c>
      <c r="E1815" s="12">
        <f>SUM($D$19:D1815)</f>
        <v>64.900963749999931</v>
      </c>
      <c r="F1815" s="12">
        <f t="shared" si="259"/>
        <v>729.9618037066698</v>
      </c>
      <c r="G1815" s="12">
        <f t="shared" si="260"/>
        <v>386.66450591498091</v>
      </c>
      <c r="H1815" s="12">
        <f t="shared" si="257"/>
        <v>2627800</v>
      </c>
      <c r="I1815" s="12">
        <f t="shared" si="258"/>
        <v>1391900</v>
      </c>
      <c r="J1815" s="12">
        <f>IF(A1815&lt;[3]关卡对接!$A$4,INDEX([3]关卡对接!$C$7:$C$141,A1815),MATCH(E1815,人物经验!$H$24:$H$573,1))</f>
        <v>550</v>
      </c>
      <c r="K1815" s="12">
        <f>IF([3]关卡对接!F1803="",INT(INDEX(人物经验!$J$24:$J$573,关卡!J1815)*关卡!$S$7),[3]关卡对接!F1803)</f>
        <v>53960</v>
      </c>
      <c r="L1815" s="12">
        <f t="shared" si="263"/>
        <v>2.6</v>
      </c>
      <c r="M1815" s="12">
        <f>L1815/[4]货币基础!$B$4</f>
        <v>260</v>
      </c>
      <c r="N1815" s="12">
        <f>IF(A1815&lt;[3]关卡对接!$A$4,INDEX([3]关卡对接!$E$7:$E$141,A1815),MATCH(E1815,人物经验!$H$24:$H$573,1))</f>
        <v>550</v>
      </c>
      <c r="O1815" s="12">
        <f>INDEX([2]关卡!$G$6:$G$2005,A1815)</f>
        <v>3</v>
      </c>
      <c r="P1815" s="13">
        <v>6</v>
      </c>
      <c r="Q1815" s="12">
        <f>INT(P1815/$S$15/O1815*VLOOKUP(J1815,[1]人物技能基础!$N$3:$O$553,2,0)*$U$15)</f>
        <v>9</v>
      </c>
      <c r="R1815" s="12">
        <f t="shared" si="264"/>
        <v>112</v>
      </c>
    </row>
    <row r="1816" spans="1:18" x14ac:dyDescent="0.15">
      <c r="A1816" s="12">
        <v>1798</v>
      </c>
      <c r="B1816" s="12">
        <f t="shared" si="261"/>
        <v>9</v>
      </c>
      <c r="C1816" s="12">
        <f t="shared" si="262"/>
        <v>18.800594999999998</v>
      </c>
      <c r="D1816" s="12">
        <f t="shared" si="256"/>
        <v>9.9631249999998062E-2</v>
      </c>
      <c r="E1816" s="12">
        <f>SUM($D$19:D1816)</f>
        <v>65.000594999999933</v>
      </c>
      <c r="F1816" s="12">
        <f t="shared" si="259"/>
        <v>731.13436340399903</v>
      </c>
      <c r="G1816" s="12">
        <f t="shared" si="260"/>
        <v>387.16899620809505</v>
      </c>
      <c r="H1816" s="12">
        <f t="shared" si="257"/>
        <v>2632000</v>
      </c>
      <c r="I1816" s="12">
        <f t="shared" si="258"/>
        <v>1393800</v>
      </c>
      <c r="J1816" s="12">
        <f>IF(A1816&lt;[3]关卡对接!$A$4,INDEX([3]关卡对接!$C$7:$C$141,A1816),MATCH(E1816,人物经验!$H$24:$H$573,1))</f>
        <v>550</v>
      </c>
      <c r="K1816" s="12">
        <f>IF([3]关卡对接!F1804="",INT(INDEX(人物经验!$J$24:$J$573,关卡!J1816)*关卡!$S$7),[3]关卡对接!F1804)</f>
        <v>53960</v>
      </c>
      <c r="L1816" s="12">
        <f t="shared" si="263"/>
        <v>2.6</v>
      </c>
      <c r="M1816" s="12">
        <f>L1816/[4]货币基础!$B$4</f>
        <v>260</v>
      </c>
      <c r="N1816" s="12">
        <f>IF(A1816&lt;[3]关卡对接!$A$4,INDEX([3]关卡对接!$E$7:$E$141,A1816),MATCH(E1816,人物经验!$H$24:$H$573,1))</f>
        <v>550</v>
      </c>
      <c r="O1816" s="12">
        <f>INDEX([2]关卡!$G$6:$G$2005,A1816)</f>
        <v>3</v>
      </c>
      <c r="P1816" s="13">
        <v>6</v>
      </c>
      <c r="Q1816" s="12">
        <f>INT(P1816/$S$15/O1816*VLOOKUP(J1816,[1]人物技能基础!$N$3:$O$553,2,0)*$U$15)</f>
        <v>9</v>
      </c>
      <c r="R1816" s="12">
        <f t="shared" si="264"/>
        <v>112</v>
      </c>
    </row>
    <row r="1817" spans="1:18" x14ac:dyDescent="0.15">
      <c r="A1817" s="12">
        <v>1799</v>
      </c>
      <c r="B1817" s="12">
        <f t="shared" si="261"/>
        <v>9</v>
      </c>
      <c r="C1817" s="12">
        <f t="shared" si="262"/>
        <v>18.90027375</v>
      </c>
      <c r="D1817" s="12">
        <f t="shared" si="256"/>
        <v>9.9678750000002481E-2</v>
      </c>
      <c r="E1817" s="12">
        <f>SUM($D$19:D1817)</f>
        <v>65.100273749999928</v>
      </c>
      <c r="F1817" s="12">
        <f t="shared" si="259"/>
        <v>732.30839506797497</v>
      </c>
      <c r="G1817" s="12">
        <f t="shared" si="260"/>
        <v>387.6739941135059</v>
      </c>
      <c r="H1817" s="12">
        <f t="shared" si="257"/>
        <v>2636300</v>
      </c>
      <c r="I1817" s="12">
        <f t="shared" si="258"/>
        <v>1395600</v>
      </c>
      <c r="J1817" s="12">
        <f>IF(A1817&lt;[3]关卡对接!$A$4,INDEX([3]关卡对接!$C$7:$C$141,A1817),MATCH(E1817,人物经验!$H$24:$H$573,1))</f>
        <v>550</v>
      </c>
      <c r="K1817" s="12">
        <f>IF([3]关卡对接!F1805="",INT(INDEX(人物经验!$J$24:$J$573,关卡!J1817)*关卡!$S$7),[3]关卡对接!F1805)</f>
        <v>53960</v>
      </c>
      <c r="L1817" s="12">
        <f t="shared" si="263"/>
        <v>2.6</v>
      </c>
      <c r="M1817" s="12">
        <f>L1817/[4]货币基础!$B$4</f>
        <v>260</v>
      </c>
      <c r="N1817" s="12">
        <f>IF(A1817&lt;[3]关卡对接!$A$4,INDEX([3]关卡对接!$E$7:$E$141,A1817),MATCH(E1817,人物经验!$H$24:$H$573,1))</f>
        <v>550</v>
      </c>
      <c r="O1817" s="12">
        <f>INDEX([2]关卡!$G$6:$G$2005,A1817)</f>
        <v>3</v>
      </c>
      <c r="P1817" s="13">
        <v>6</v>
      </c>
      <c r="Q1817" s="12">
        <f>INT(P1817/$S$15/O1817*VLOOKUP(J1817,[1]人物技能基础!$N$3:$O$553,2,0)*$U$15)</f>
        <v>9</v>
      </c>
      <c r="R1817" s="12">
        <f t="shared" si="264"/>
        <v>112</v>
      </c>
    </row>
    <row r="1818" spans="1:18" x14ac:dyDescent="0.15">
      <c r="A1818" s="12">
        <v>1800</v>
      </c>
      <c r="B1818" s="12">
        <f t="shared" si="261"/>
        <v>9</v>
      </c>
      <c r="C1818" s="12">
        <f t="shared" si="262"/>
        <v>19</v>
      </c>
      <c r="D1818" s="12">
        <f t="shared" si="256"/>
        <v>9.9726249999999794E-2</v>
      </c>
      <c r="E1818" s="12">
        <f>SUM($D$19:D1818)</f>
        <v>65.199999999999932</v>
      </c>
      <c r="F1818" s="12">
        <f t="shared" si="259"/>
        <v>733.48390000000018</v>
      </c>
      <c r="G1818" s="12">
        <f t="shared" si="260"/>
        <v>388.17950000000002</v>
      </c>
      <c r="H1818" s="12">
        <f t="shared" si="257"/>
        <v>2640500</v>
      </c>
      <c r="I1818" s="12">
        <f t="shared" si="258"/>
        <v>1397400</v>
      </c>
      <c r="J1818" s="12">
        <f>IF(A1818&lt;[3]关卡对接!$A$4,INDEX([3]关卡对接!$C$7:$C$141,A1818),MATCH(E1818,人物经验!$H$24:$H$573,1))</f>
        <v>550</v>
      </c>
      <c r="K1818" s="12">
        <f>IF([3]关卡对接!F1806="",INT(INDEX(人物经验!$J$24:$J$573,关卡!J1818)*关卡!$S$7),[3]关卡对接!F1806)</f>
        <v>53960</v>
      </c>
      <c r="L1818" s="12">
        <f t="shared" si="263"/>
        <v>2.6</v>
      </c>
      <c r="M1818" s="12">
        <f>L1818/[4]货币基础!$B$4</f>
        <v>260</v>
      </c>
      <c r="N1818" s="12">
        <f>IF(A1818&lt;[3]关卡对接!$A$4,INDEX([3]关卡对接!$E$7:$E$141,A1818),MATCH(E1818,人物经验!$H$24:$H$573,1))</f>
        <v>550</v>
      </c>
      <c r="O1818" s="12">
        <f>INDEX([2]关卡!$G$6:$G$2005,A1818)</f>
        <v>3</v>
      </c>
      <c r="P1818" s="13">
        <v>6</v>
      </c>
      <c r="Q1818" s="12">
        <f>INT(P1818/$S$15/O1818*VLOOKUP(J1818,[1]人物技能基础!$N$3:$O$553,2,0)*$U$15)</f>
        <v>9</v>
      </c>
      <c r="R1818" s="12">
        <f t="shared" si="264"/>
        <v>112</v>
      </c>
    </row>
    <row r="1819" spans="1:18" x14ac:dyDescent="0.15">
      <c r="A1819" s="12">
        <v>1801</v>
      </c>
      <c r="B1819" s="12">
        <f t="shared" si="261"/>
        <v>10</v>
      </c>
      <c r="C1819" s="12">
        <f t="shared" si="262"/>
        <v>0.17399999999999999</v>
      </c>
      <c r="D1819" s="12">
        <f t="shared" si="256"/>
        <v>0.17399999999999999</v>
      </c>
      <c r="E1819" s="12">
        <f>SUM($D$19:D1819)</f>
        <v>65.373999999999938</v>
      </c>
      <c r="F1819" s="12">
        <f t="shared" si="259"/>
        <v>734.66087950207509</v>
      </c>
      <c r="G1819" s="12">
        <f t="shared" si="260"/>
        <v>388.68551423650592</v>
      </c>
      <c r="H1819" s="12">
        <f t="shared" si="257"/>
        <v>2644700</v>
      </c>
      <c r="I1819" s="12">
        <f t="shared" si="258"/>
        <v>1399200</v>
      </c>
      <c r="J1819" s="12">
        <f>IF(A1819&lt;[3]关卡对接!$A$4,INDEX([3]关卡对接!$C$7:$C$141,A1819),MATCH(E1819,人物经验!$H$24:$H$573,1))</f>
        <v>550</v>
      </c>
      <c r="K1819" s="12">
        <f>IF([3]关卡对接!F1807="",INT(INDEX(人物经验!$J$24:$J$573,关卡!J1819)*关卡!$S$7),[3]关卡对接!F1807)</f>
        <v>53960</v>
      </c>
      <c r="L1819" s="12">
        <f t="shared" si="263"/>
        <v>2.8</v>
      </c>
      <c r="M1819" s="12">
        <f>L1819/[4]货币基础!$B$4</f>
        <v>280</v>
      </c>
      <c r="N1819" s="12">
        <f>IF(A1819&lt;[3]关卡对接!$A$4,INDEX([3]关卡对接!$E$7:$E$141,A1819),MATCH(E1819,人物经验!$H$24:$H$573,1))</f>
        <v>550</v>
      </c>
      <c r="O1819" s="12">
        <f>INDEX([2]关卡!$G$6:$G$2005,A1819)</f>
        <v>3</v>
      </c>
      <c r="P1819" s="13">
        <v>6</v>
      </c>
      <c r="Q1819" s="12">
        <f>INT(P1819/$S$15/O1819*VLOOKUP(J1819,[1]人物技能基础!$N$3:$O$553,2,0)*$U$15)</f>
        <v>9</v>
      </c>
      <c r="R1819" s="12">
        <f t="shared" si="264"/>
        <v>112</v>
      </c>
    </row>
    <row r="1820" spans="1:18" x14ac:dyDescent="0.15">
      <c r="A1820" s="12">
        <v>1802</v>
      </c>
      <c r="B1820" s="12">
        <f t="shared" si="261"/>
        <v>10</v>
      </c>
      <c r="C1820" s="12">
        <f t="shared" si="262"/>
        <v>0.34799999999999998</v>
      </c>
      <c r="D1820" s="12">
        <f t="shared" si="256"/>
        <v>0.17399999999999999</v>
      </c>
      <c r="E1820" s="12">
        <f>SUM($D$19:D1820)</f>
        <v>65.547999999999945</v>
      </c>
      <c r="F1820" s="12">
        <f t="shared" si="259"/>
        <v>735.83933487679894</v>
      </c>
      <c r="G1820" s="12">
        <f t="shared" si="260"/>
        <v>389.19203719209497</v>
      </c>
      <c r="H1820" s="12">
        <f t="shared" si="257"/>
        <v>2649000</v>
      </c>
      <c r="I1820" s="12">
        <f t="shared" si="258"/>
        <v>1401000</v>
      </c>
      <c r="J1820" s="12">
        <f>IF(A1820&lt;[3]关卡对接!$A$4,INDEX([3]关卡对接!$C$7:$C$141,A1820),MATCH(E1820,人物经验!$H$24:$H$573,1))</f>
        <v>550</v>
      </c>
      <c r="K1820" s="12">
        <f>IF([3]关卡对接!F1808="",INT(INDEX(人物经验!$J$24:$J$573,关卡!J1820)*关卡!$S$7),[3]关卡对接!F1808)</f>
        <v>53960</v>
      </c>
      <c r="L1820" s="12">
        <f t="shared" si="263"/>
        <v>2.8</v>
      </c>
      <c r="M1820" s="12">
        <f>L1820/[4]货币基础!$B$4</f>
        <v>280</v>
      </c>
      <c r="N1820" s="12">
        <f>IF(A1820&lt;[3]关卡对接!$A$4,INDEX([3]关卡对接!$E$7:$E$141,A1820),MATCH(E1820,人物经验!$H$24:$H$573,1))</f>
        <v>550</v>
      </c>
      <c r="O1820" s="12">
        <f>INDEX([2]关卡!$G$6:$G$2005,A1820)</f>
        <v>3</v>
      </c>
      <c r="P1820" s="13">
        <v>6</v>
      </c>
      <c r="Q1820" s="12">
        <f>INT(P1820/$S$15/O1820*VLOOKUP(J1820,[1]人物技能基础!$N$3:$O$553,2,0)*$U$15)</f>
        <v>9</v>
      </c>
      <c r="R1820" s="12">
        <f t="shared" si="264"/>
        <v>112</v>
      </c>
    </row>
    <row r="1821" spans="1:18" x14ac:dyDescent="0.15">
      <c r="A1821" s="12">
        <v>1803</v>
      </c>
      <c r="B1821" s="12">
        <f t="shared" si="261"/>
        <v>10</v>
      </c>
      <c r="C1821" s="12">
        <f t="shared" si="262"/>
        <v>0.52199999999999991</v>
      </c>
      <c r="D1821" s="12">
        <f t="shared" si="256"/>
        <v>0.17399999999999993</v>
      </c>
      <c r="E1821" s="12">
        <f>SUM($D$19:D1821)</f>
        <v>65.721999999999952</v>
      </c>
      <c r="F1821" s="12">
        <f t="shared" si="259"/>
        <v>737.01926742736987</v>
      </c>
      <c r="G1821" s="12">
        <f t="shared" si="260"/>
        <v>389.69906923598091</v>
      </c>
      <c r="H1821" s="12">
        <f t="shared" si="257"/>
        <v>2653200</v>
      </c>
      <c r="I1821" s="12">
        <f t="shared" si="258"/>
        <v>1402900</v>
      </c>
      <c r="J1821" s="12">
        <f>IF(A1821&lt;[3]关卡对接!$A$4,INDEX([3]关卡对接!$C$7:$C$141,A1821),MATCH(E1821,人物经验!$H$24:$H$573,1))</f>
        <v>550</v>
      </c>
      <c r="K1821" s="12">
        <f>IF([3]关卡对接!F1809="",INT(INDEX(人物经验!$J$24:$J$573,关卡!J1821)*关卡!$S$7),[3]关卡对接!F1809)</f>
        <v>53960</v>
      </c>
      <c r="L1821" s="12">
        <f t="shared" si="263"/>
        <v>2.8</v>
      </c>
      <c r="M1821" s="12">
        <f>L1821/[4]货币基础!$B$4</f>
        <v>280</v>
      </c>
      <c r="N1821" s="12">
        <f>IF(A1821&lt;[3]关卡对接!$A$4,INDEX([3]关卡对接!$E$7:$E$141,A1821),MATCH(E1821,人物经验!$H$24:$H$573,1))</f>
        <v>550</v>
      </c>
      <c r="O1821" s="12">
        <f>INDEX([2]关卡!$G$6:$G$2005,A1821)</f>
        <v>3</v>
      </c>
      <c r="P1821" s="13">
        <v>6</v>
      </c>
      <c r="Q1821" s="12">
        <f>INT(P1821/$S$15/O1821*VLOOKUP(J1821,[1]人物技能基础!$N$3:$O$553,2,0)*$U$15)</f>
        <v>9</v>
      </c>
      <c r="R1821" s="12">
        <f t="shared" si="264"/>
        <v>112</v>
      </c>
    </row>
    <row r="1822" spans="1:18" x14ac:dyDescent="0.15">
      <c r="A1822" s="12">
        <v>1804</v>
      </c>
      <c r="B1822" s="12">
        <f t="shared" si="261"/>
        <v>10</v>
      </c>
      <c r="C1822" s="12">
        <f t="shared" si="262"/>
        <v>0.69599999999999995</v>
      </c>
      <c r="D1822" s="12">
        <f t="shared" si="256"/>
        <v>0.17400000000000004</v>
      </c>
      <c r="E1822" s="12">
        <f>SUM($D$19:D1822)</f>
        <v>65.895999999999958</v>
      </c>
      <c r="F1822" s="12">
        <f t="shared" si="259"/>
        <v>738.2006784575841</v>
      </c>
      <c r="G1822" s="12">
        <f t="shared" si="260"/>
        <v>390.20661073752001</v>
      </c>
      <c r="H1822" s="12">
        <f t="shared" si="257"/>
        <v>2657500</v>
      </c>
      <c r="I1822" s="12">
        <f t="shared" si="258"/>
        <v>1404700</v>
      </c>
      <c r="J1822" s="12">
        <f>IF(A1822&lt;[3]关卡对接!$A$4,INDEX([3]关卡对接!$C$7:$C$141,A1822),MATCH(E1822,人物经验!$H$24:$H$573,1))</f>
        <v>550</v>
      </c>
      <c r="K1822" s="12">
        <f>IF([3]关卡对接!F1810="",INT(INDEX(人物经验!$J$24:$J$573,关卡!J1822)*关卡!$S$7),[3]关卡对接!F1810)</f>
        <v>53960</v>
      </c>
      <c r="L1822" s="12">
        <f t="shared" si="263"/>
        <v>2.8</v>
      </c>
      <c r="M1822" s="12">
        <f>L1822/[4]货币基础!$B$4</f>
        <v>280</v>
      </c>
      <c r="N1822" s="12">
        <f>IF(A1822&lt;[3]关卡对接!$A$4,INDEX([3]关卡对接!$E$7:$E$141,A1822),MATCH(E1822,人物经验!$H$24:$H$573,1))</f>
        <v>550</v>
      </c>
      <c r="O1822" s="12">
        <f>INDEX([2]关卡!$G$6:$G$2005,A1822)</f>
        <v>3</v>
      </c>
      <c r="P1822" s="13">
        <v>6</v>
      </c>
      <c r="Q1822" s="12">
        <f>INT(P1822/$S$15/O1822*VLOOKUP(J1822,[1]人物技能基础!$N$3:$O$553,2,0)*$U$15)</f>
        <v>9</v>
      </c>
      <c r="R1822" s="12">
        <f t="shared" si="264"/>
        <v>112</v>
      </c>
    </row>
    <row r="1823" spans="1:18" x14ac:dyDescent="0.15">
      <c r="A1823" s="12">
        <v>1805</v>
      </c>
      <c r="B1823" s="12">
        <f t="shared" si="261"/>
        <v>10</v>
      </c>
      <c r="C1823" s="12">
        <f t="shared" si="262"/>
        <v>0.87</v>
      </c>
      <c r="D1823" s="12">
        <f t="shared" si="256"/>
        <v>0.17400000000000004</v>
      </c>
      <c r="E1823" s="12">
        <f>SUM($D$19:D1823)</f>
        <v>66.069999999999965</v>
      </c>
      <c r="F1823" s="12">
        <f t="shared" si="259"/>
        <v>739.38356927183577</v>
      </c>
      <c r="G1823" s="12">
        <f t="shared" si="260"/>
        <v>390.71466206621091</v>
      </c>
      <c r="H1823" s="12">
        <f t="shared" si="257"/>
        <v>2661700</v>
      </c>
      <c r="I1823" s="12">
        <f t="shared" si="258"/>
        <v>1406500</v>
      </c>
      <c r="J1823" s="12">
        <f>IF(A1823&lt;[3]关卡对接!$A$4,INDEX([3]关卡对接!$C$7:$C$141,A1823),MATCH(E1823,人物经验!$H$24:$H$573,1))</f>
        <v>550</v>
      </c>
      <c r="K1823" s="12">
        <f>IF([3]关卡对接!F1811="",INT(INDEX(人物经验!$J$24:$J$573,关卡!J1823)*关卡!$S$7),[3]关卡对接!F1811)</f>
        <v>53960</v>
      </c>
      <c r="L1823" s="12">
        <f t="shared" si="263"/>
        <v>2.8</v>
      </c>
      <c r="M1823" s="12">
        <f>L1823/[4]货币基础!$B$4</f>
        <v>280</v>
      </c>
      <c r="N1823" s="12">
        <f>IF(A1823&lt;[3]关卡对接!$A$4,INDEX([3]关卡对接!$E$7:$E$141,A1823),MATCH(E1823,人物经验!$H$24:$H$573,1))</f>
        <v>550</v>
      </c>
      <c r="O1823" s="12">
        <f>INDEX([2]关卡!$G$6:$G$2005,A1823)</f>
        <v>3</v>
      </c>
      <c r="P1823" s="13">
        <v>6</v>
      </c>
      <c r="Q1823" s="12">
        <f>INT(P1823/$S$15/O1823*VLOOKUP(J1823,[1]人物技能基础!$N$3:$O$553,2,0)*$U$15)</f>
        <v>9</v>
      </c>
      <c r="R1823" s="12">
        <f t="shared" si="264"/>
        <v>112</v>
      </c>
    </row>
    <row r="1824" spans="1:18" x14ac:dyDescent="0.15">
      <c r="A1824" s="12">
        <v>1806</v>
      </c>
      <c r="B1824" s="12">
        <f t="shared" si="261"/>
        <v>10</v>
      </c>
      <c r="C1824" s="12">
        <f t="shared" si="262"/>
        <v>1.0439999999999998</v>
      </c>
      <c r="D1824" s="12">
        <f t="shared" si="256"/>
        <v>0.17399999999999982</v>
      </c>
      <c r="E1824" s="12">
        <f>SUM($D$19:D1824)</f>
        <v>66.243999999999971</v>
      </c>
      <c r="F1824" s="12">
        <f t="shared" si="259"/>
        <v>740.56794117511913</v>
      </c>
      <c r="G1824" s="12">
        <f t="shared" si="260"/>
        <v>391.22322359169499</v>
      </c>
      <c r="H1824" s="12">
        <f t="shared" si="257"/>
        <v>2666000</v>
      </c>
      <c r="I1824" s="12">
        <f t="shared" si="258"/>
        <v>1408400</v>
      </c>
      <c r="J1824" s="12">
        <f>IF(A1824&lt;[3]关卡对接!$A$4,INDEX([3]关卡对接!$C$7:$C$141,A1824),MATCH(E1824,人物经验!$H$24:$H$573,1))</f>
        <v>550</v>
      </c>
      <c r="K1824" s="12">
        <f>IF([3]关卡对接!F1812="",INT(INDEX(人物经验!$J$24:$J$573,关卡!J1824)*关卡!$S$7),[3]关卡对接!F1812)</f>
        <v>53960</v>
      </c>
      <c r="L1824" s="12">
        <f t="shared" si="263"/>
        <v>2.8</v>
      </c>
      <c r="M1824" s="12">
        <f>L1824/[4]货币基础!$B$4</f>
        <v>280</v>
      </c>
      <c r="N1824" s="12">
        <f>IF(A1824&lt;[3]关卡对接!$A$4,INDEX([3]关卡对接!$E$7:$E$141,A1824),MATCH(E1824,人物经验!$H$24:$H$573,1))</f>
        <v>550</v>
      </c>
      <c r="O1824" s="12">
        <f>INDEX([2]关卡!$G$6:$G$2005,A1824)</f>
        <v>3</v>
      </c>
      <c r="P1824" s="13">
        <v>6</v>
      </c>
      <c r="Q1824" s="12">
        <f>INT(P1824/$S$15/O1824*VLOOKUP(J1824,[1]人物技能基础!$N$3:$O$553,2,0)*$U$15)</f>
        <v>9</v>
      </c>
      <c r="R1824" s="12">
        <f t="shared" si="264"/>
        <v>112</v>
      </c>
    </row>
    <row r="1825" spans="1:18" x14ac:dyDescent="0.15">
      <c r="A1825" s="12">
        <v>1807</v>
      </c>
      <c r="B1825" s="12">
        <f t="shared" si="261"/>
        <v>10</v>
      </c>
      <c r="C1825" s="12">
        <f t="shared" si="262"/>
        <v>1.218</v>
      </c>
      <c r="D1825" s="12">
        <f t="shared" si="256"/>
        <v>0.17400000000000015</v>
      </c>
      <c r="E1825" s="12">
        <f>SUM($D$19:D1825)</f>
        <v>66.417999999999978</v>
      </c>
      <c r="F1825" s="12">
        <f t="shared" si="259"/>
        <v>741.75379547302487</v>
      </c>
      <c r="G1825" s="12">
        <f t="shared" si="260"/>
        <v>391.73229568375586</v>
      </c>
      <c r="H1825" s="12">
        <f t="shared" si="257"/>
        <v>2670300</v>
      </c>
      <c r="I1825" s="12">
        <f t="shared" si="258"/>
        <v>1410200</v>
      </c>
      <c r="J1825" s="12">
        <f>IF(A1825&lt;[3]关卡对接!$A$4,INDEX([3]关卡对接!$C$7:$C$141,A1825),MATCH(E1825,人物经验!$H$24:$H$573,1))</f>
        <v>550</v>
      </c>
      <c r="K1825" s="12">
        <f>IF([3]关卡对接!F1813="",INT(INDEX(人物经验!$J$24:$J$573,关卡!J1825)*关卡!$S$7),[3]关卡对接!F1813)</f>
        <v>53960</v>
      </c>
      <c r="L1825" s="12">
        <f t="shared" si="263"/>
        <v>2.8</v>
      </c>
      <c r="M1825" s="12">
        <f>L1825/[4]货币基础!$B$4</f>
        <v>280</v>
      </c>
      <c r="N1825" s="12">
        <f>IF(A1825&lt;[3]关卡对接!$A$4,INDEX([3]关卡对接!$E$7:$E$141,A1825),MATCH(E1825,人物经验!$H$24:$H$573,1))</f>
        <v>550</v>
      </c>
      <c r="O1825" s="12">
        <f>INDEX([2]关卡!$G$6:$G$2005,A1825)</f>
        <v>3</v>
      </c>
      <c r="P1825" s="13">
        <v>6</v>
      </c>
      <c r="Q1825" s="12">
        <f>INT(P1825/$S$15/O1825*VLOOKUP(J1825,[1]人物技能基础!$N$3:$O$553,2,0)*$U$15)</f>
        <v>9</v>
      </c>
      <c r="R1825" s="12">
        <f t="shared" si="264"/>
        <v>112</v>
      </c>
    </row>
    <row r="1826" spans="1:18" x14ac:dyDescent="0.15">
      <c r="A1826" s="12">
        <v>1808</v>
      </c>
      <c r="B1826" s="12">
        <f t="shared" si="261"/>
        <v>10</v>
      </c>
      <c r="C1826" s="12">
        <f t="shared" si="262"/>
        <v>1.3919999999999999</v>
      </c>
      <c r="D1826" s="12">
        <f t="shared" si="256"/>
        <v>0.17399999999999993</v>
      </c>
      <c r="E1826" s="12">
        <f>SUM($D$19:D1826)</f>
        <v>66.591999999999985</v>
      </c>
      <c r="F1826" s="12">
        <f t="shared" si="259"/>
        <v>742.94113347174414</v>
      </c>
      <c r="G1826" s="12">
        <f t="shared" si="260"/>
        <v>392.24187871232004</v>
      </c>
      <c r="H1826" s="12">
        <f t="shared" si="257"/>
        <v>2674500</v>
      </c>
      <c r="I1826" s="12">
        <f t="shared" si="258"/>
        <v>1412000</v>
      </c>
      <c r="J1826" s="12">
        <f>IF(A1826&lt;[3]关卡对接!$A$4,INDEX([3]关卡对接!$C$7:$C$141,A1826),MATCH(E1826,人物经验!$H$24:$H$573,1))</f>
        <v>550</v>
      </c>
      <c r="K1826" s="12">
        <f>IF([3]关卡对接!F1814="",INT(INDEX(人物经验!$J$24:$J$573,关卡!J1826)*关卡!$S$7),[3]关卡对接!F1814)</f>
        <v>53960</v>
      </c>
      <c r="L1826" s="12">
        <f t="shared" si="263"/>
        <v>2.8</v>
      </c>
      <c r="M1826" s="12">
        <f>L1826/[4]货币基础!$B$4</f>
        <v>280</v>
      </c>
      <c r="N1826" s="12">
        <f>IF(A1826&lt;[3]关卡对接!$A$4,INDEX([3]关卡对接!$E$7:$E$141,A1826),MATCH(E1826,人物经验!$H$24:$H$573,1))</f>
        <v>550</v>
      </c>
      <c r="O1826" s="12">
        <f>INDEX([2]关卡!$G$6:$G$2005,A1826)</f>
        <v>3</v>
      </c>
      <c r="P1826" s="13">
        <v>6</v>
      </c>
      <c r="Q1826" s="12">
        <f>INT(P1826/$S$15/O1826*VLOOKUP(J1826,[1]人物技能基础!$N$3:$O$553,2,0)*$U$15)</f>
        <v>9</v>
      </c>
      <c r="R1826" s="12">
        <f t="shared" si="264"/>
        <v>112</v>
      </c>
    </row>
    <row r="1827" spans="1:18" x14ac:dyDescent="0.15">
      <c r="A1827" s="12">
        <v>1809</v>
      </c>
      <c r="B1827" s="12">
        <f t="shared" si="261"/>
        <v>10</v>
      </c>
      <c r="C1827" s="12">
        <f t="shared" si="262"/>
        <v>1.5659999999999998</v>
      </c>
      <c r="D1827" s="12">
        <f t="shared" si="256"/>
        <v>0.17399999999999993</v>
      </c>
      <c r="E1827" s="12">
        <f>SUM($D$19:D1827)</f>
        <v>66.765999999999991</v>
      </c>
      <c r="F1827" s="12">
        <f t="shared" si="259"/>
        <v>744.12995647806497</v>
      </c>
      <c r="G1827" s="12">
        <f t="shared" si="260"/>
        <v>392.75197304745592</v>
      </c>
      <c r="H1827" s="12">
        <f t="shared" si="257"/>
        <v>2678800</v>
      </c>
      <c r="I1827" s="12">
        <f t="shared" si="258"/>
        <v>1413900</v>
      </c>
      <c r="J1827" s="12">
        <f>IF(A1827&lt;[3]关卡对接!$A$4,INDEX([3]关卡对接!$C$7:$C$141,A1827),MATCH(E1827,人物经验!$H$24:$H$573,1))</f>
        <v>550</v>
      </c>
      <c r="K1827" s="12">
        <f>IF([3]关卡对接!F1815="",INT(INDEX(人物经验!$J$24:$J$573,关卡!J1827)*关卡!$S$7),[3]关卡对接!F1815)</f>
        <v>53960</v>
      </c>
      <c r="L1827" s="12">
        <f t="shared" si="263"/>
        <v>2.8</v>
      </c>
      <c r="M1827" s="12">
        <f>L1827/[4]货币基础!$B$4</f>
        <v>280</v>
      </c>
      <c r="N1827" s="12">
        <f>IF(A1827&lt;[3]关卡对接!$A$4,INDEX([3]关卡对接!$E$7:$E$141,A1827),MATCH(E1827,人物经验!$H$24:$H$573,1))</f>
        <v>550</v>
      </c>
      <c r="O1827" s="12">
        <f>INDEX([2]关卡!$G$6:$G$2005,A1827)</f>
        <v>3</v>
      </c>
      <c r="P1827" s="13">
        <v>6</v>
      </c>
      <c r="Q1827" s="12">
        <f>INT(P1827/$S$15/O1827*VLOOKUP(J1827,[1]人物技能基础!$N$3:$O$553,2,0)*$U$15)</f>
        <v>9</v>
      </c>
      <c r="R1827" s="12">
        <f t="shared" si="264"/>
        <v>112</v>
      </c>
    </row>
    <row r="1828" spans="1:18" x14ac:dyDescent="0.15">
      <c r="A1828" s="12">
        <v>1810</v>
      </c>
      <c r="B1828" s="12">
        <f t="shared" si="261"/>
        <v>10</v>
      </c>
      <c r="C1828" s="12">
        <f t="shared" si="262"/>
        <v>1.74</v>
      </c>
      <c r="D1828" s="12">
        <f t="shared" si="256"/>
        <v>0.17400000000000015</v>
      </c>
      <c r="E1828" s="12">
        <f>SUM($D$19:D1828)</f>
        <v>66.94</v>
      </c>
      <c r="F1828" s="12">
        <f t="shared" si="259"/>
        <v>745.32026579937497</v>
      </c>
      <c r="G1828" s="12">
        <f t="shared" si="260"/>
        <v>393.26257905937501</v>
      </c>
      <c r="H1828" s="12">
        <f t="shared" si="257"/>
        <v>2683100</v>
      </c>
      <c r="I1828" s="12">
        <f t="shared" si="258"/>
        <v>1415700</v>
      </c>
      <c r="J1828" s="12">
        <f>IF(A1828&lt;[3]关卡对接!$A$4,INDEX([3]关卡对接!$C$7:$C$141,A1828),MATCH(E1828,人物经验!$H$24:$H$573,1))</f>
        <v>550</v>
      </c>
      <c r="K1828" s="12">
        <f>IF([3]关卡对接!F1816="",INT(INDEX(人物经验!$J$24:$J$573,关卡!J1828)*关卡!$S$7),[3]关卡对接!F1816)</f>
        <v>53960</v>
      </c>
      <c r="L1828" s="12">
        <f t="shared" si="263"/>
        <v>2.8</v>
      </c>
      <c r="M1828" s="12">
        <f>L1828/[4]货币基础!$B$4</f>
        <v>280</v>
      </c>
      <c r="N1828" s="12">
        <f>IF(A1828&lt;[3]关卡对接!$A$4,INDEX([3]关卡对接!$E$7:$E$141,A1828),MATCH(E1828,人物经验!$H$24:$H$573,1))</f>
        <v>550</v>
      </c>
      <c r="O1828" s="12">
        <f>INDEX([2]关卡!$G$6:$G$2005,A1828)</f>
        <v>3</v>
      </c>
      <c r="P1828" s="13">
        <v>6</v>
      </c>
      <c r="Q1828" s="12">
        <f>INT(P1828/$S$15/O1828*VLOOKUP(J1828,[1]人物技能基础!$N$3:$O$553,2,0)*$U$15)</f>
        <v>9</v>
      </c>
      <c r="R1828" s="12">
        <f t="shared" si="264"/>
        <v>112</v>
      </c>
    </row>
    <row r="1829" spans="1:18" x14ac:dyDescent="0.15">
      <c r="A1829" s="12">
        <v>1811</v>
      </c>
      <c r="B1829" s="12">
        <f t="shared" si="261"/>
        <v>10</v>
      </c>
      <c r="C1829" s="12">
        <f t="shared" si="262"/>
        <v>1.9139999999999999</v>
      </c>
      <c r="D1829" s="12">
        <f t="shared" si="256"/>
        <v>0.17399999999999993</v>
      </c>
      <c r="E1829" s="12">
        <f>SUM($D$19:D1829)</f>
        <v>67.114000000000004</v>
      </c>
      <c r="F1829" s="12">
        <f t="shared" si="259"/>
        <v>746.51206274365984</v>
      </c>
      <c r="G1829" s="12">
        <f t="shared" si="260"/>
        <v>393.7736971184309</v>
      </c>
      <c r="H1829" s="12">
        <f t="shared" si="257"/>
        <v>2687400</v>
      </c>
      <c r="I1829" s="12">
        <f t="shared" si="258"/>
        <v>1417500</v>
      </c>
      <c r="J1829" s="12">
        <f>IF(A1829&lt;[3]关卡对接!$A$4,INDEX([3]关卡对接!$C$7:$C$141,A1829),MATCH(E1829,人物经验!$H$24:$H$573,1))</f>
        <v>550</v>
      </c>
      <c r="K1829" s="12">
        <f>IF([3]关卡对接!F1817="",INT(INDEX(人物经验!$J$24:$J$573,关卡!J1829)*关卡!$S$7),[3]关卡对接!F1817)</f>
        <v>53960</v>
      </c>
      <c r="L1829" s="12">
        <f t="shared" si="263"/>
        <v>2.8</v>
      </c>
      <c r="M1829" s="12">
        <f>L1829/[4]货币基础!$B$4</f>
        <v>280</v>
      </c>
      <c r="N1829" s="12">
        <f>IF(A1829&lt;[3]关卡对接!$A$4,INDEX([3]关卡对接!$E$7:$E$141,A1829),MATCH(E1829,人物经验!$H$24:$H$573,1))</f>
        <v>550</v>
      </c>
      <c r="O1829" s="12">
        <f>INDEX([2]关卡!$G$6:$G$2005,A1829)</f>
        <v>3</v>
      </c>
      <c r="P1829" s="13">
        <v>6</v>
      </c>
      <c r="Q1829" s="12">
        <f>INT(P1829/$S$15/O1829*VLOOKUP(J1829,[1]人物技能基础!$N$3:$O$553,2,0)*$U$15)</f>
        <v>9</v>
      </c>
      <c r="R1829" s="12">
        <f t="shared" si="264"/>
        <v>112</v>
      </c>
    </row>
    <row r="1830" spans="1:18" x14ac:dyDescent="0.15">
      <c r="A1830" s="12">
        <v>1812</v>
      </c>
      <c r="B1830" s="12">
        <f t="shared" si="261"/>
        <v>10</v>
      </c>
      <c r="C1830" s="12">
        <f t="shared" si="262"/>
        <v>2.0879999999999996</v>
      </c>
      <c r="D1830" s="12">
        <f t="shared" si="256"/>
        <v>0.17399999999999971</v>
      </c>
      <c r="E1830" s="12">
        <f>SUM($D$19:D1830)</f>
        <v>67.288000000000011</v>
      </c>
      <c r="F1830" s="12">
        <f t="shared" si="259"/>
        <v>747.70534861950398</v>
      </c>
      <c r="G1830" s="12">
        <f t="shared" si="260"/>
        <v>394.28532759512001</v>
      </c>
      <c r="H1830" s="12">
        <f t="shared" si="257"/>
        <v>2691700</v>
      </c>
      <c r="I1830" s="12">
        <f t="shared" si="258"/>
        <v>1419400</v>
      </c>
      <c r="J1830" s="12">
        <f>IF(A1830&lt;[3]关卡对接!$A$4,INDEX([3]关卡对接!$C$7:$C$141,A1830),MATCH(E1830,人物经验!$H$24:$H$573,1))</f>
        <v>550</v>
      </c>
      <c r="K1830" s="12">
        <f>IF([3]关卡对接!F1818="",INT(INDEX(人物经验!$J$24:$J$573,关卡!J1830)*关卡!$S$7),[3]关卡对接!F1818)</f>
        <v>53960</v>
      </c>
      <c r="L1830" s="12">
        <f t="shared" si="263"/>
        <v>2.8</v>
      </c>
      <c r="M1830" s="12">
        <f>L1830/[4]货币基础!$B$4</f>
        <v>280</v>
      </c>
      <c r="N1830" s="12">
        <f>IF(A1830&lt;[3]关卡对接!$A$4,INDEX([3]关卡对接!$E$7:$E$141,A1830),MATCH(E1830,人物经验!$H$24:$H$573,1))</f>
        <v>550</v>
      </c>
      <c r="O1830" s="12">
        <f>INDEX([2]关卡!$G$6:$G$2005,A1830)</f>
        <v>3</v>
      </c>
      <c r="P1830" s="13">
        <v>6</v>
      </c>
      <c r="Q1830" s="12">
        <f>INT(P1830/$S$15/O1830*VLOOKUP(J1830,[1]人物技能基础!$N$3:$O$553,2,0)*$U$15)</f>
        <v>9</v>
      </c>
      <c r="R1830" s="12">
        <f t="shared" si="264"/>
        <v>112</v>
      </c>
    </row>
    <row r="1831" spans="1:18" x14ac:dyDescent="0.15">
      <c r="A1831" s="12">
        <v>1813</v>
      </c>
      <c r="B1831" s="12">
        <f t="shared" si="261"/>
        <v>10</v>
      </c>
      <c r="C1831" s="12">
        <f t="shared" si="262"/>
        <v>2.262</v>
      </c>
      <c r="D1831" s="12">
        <f t="shared" si="256"/>
        <v>0.17400000000000038</v>
      </c>
      <c r="E1831" s="12">
        <f>SUM($D$19:D1831)</f>
        <v>67.462000000000018</v>
      </c>
      <c r="F1831" s="12">
        <f t="shared" si="259"/>
        <v>748.90012473608977</v>
      </c>
      <c r="G1831" s="12">
        <f t="shared" si="260"/>
        <v>394.79747086008086</v>
      </c>
      <c r="H1831" s="12">
        <f t="shared" si="257"/>
        <v>2696000</v>
      </c>
      <c r="I1831" s="12">
        <f t="shared" si="258"/>
        <v>1421200</v>
      </c>
      <c r="J1831" s="12">
        <f>IF(A1831&lt;[3]关卡对接!$A$4,INDEX([3]关卡对接!$C$7:$C$141,A1831),MATCH(E1831,人物经验!$H$24:$H$573,1))</f>
        <v>550</v>
      </c>
      <c r="K1831" s="12">
        <f>IF([3]关卡对接!F1819="",INT(INDEX(人物经验!$J$24:$J$573,关卡!J1831)*关卡!$S$7),[3]关卡对接!F1819)</f>
        <v>53960</v>
      </c>
      <c r="L1831" s="12">
        <f t="shared" si="263"/>
        <v>2.8</v>
      </c>
      <c r="M1831" s="12">
        <f>L1831/[4]货币基础!$B$4</f>
        <v>280</v>
      </c>
      <c r="N1831" s="12">
        <f>IF(A1831&lt;[3]关卡对接!$A$4,INDEX([3]关卡对接!$E$7:$E$141,A1831),MATCH(E1831,人物经验!$H$24:$H$573,1))</f>
        <v>550</v>
      </c>
      <c r="O1831" s="12">
        <f>INDEX([2]关卡!$G$6:$G$2005,A1831)</f>
        <v>3</v>
      </c>
      <c r="P1831" s="13">
        <v>6</v>
      </c>
      <c r="Q1831" s="12">
        <f>INT(P1831/$S$15/O1831*VLOOKUP(J1831,[1]人物技能基础!$N$3:$O$553,2,0)*$U$15)</f>
        <v>9</v>
      </c>
      <c r="R1831" s="12">
        <f t="shared" si="264"/>
        <v>112</v>
      </c>
    </row>
    <row r="1832" spans="1:18" x14ac:dyDescent="0.15">
      <c r="A1832" s="12">
        <v>1814</v>
      </c>
      <c r="B1832" s="12">
        <f t="shared" si="261"/>
        <v>10</v>
      </c>
      <c r="C1832" s="12">
        <f t="shared" si="262"/>
        <v>2.4359999999999999</v>
      </c>
      <c r="D1832" s="12">
        <f t="shared" si="256"/>
        <v>0.17399999999999993</v>
      </c>
      <c r="E1832" s="12">
        <f>SUM($D$19:D1832)</f>
        <v>67.636000000000024</v>
      </c>
      <c r="F1832" s="12">
        <f t="shared" si="259"/>
        <v>750.09639240319916</v>
      </c>
      <c r="G1832" s="12">
        <f t="shared" si="260"/>
        <v>395.31012728409507</v>
      </c>
      <c r="H1832" s="12">
        <f t="shared" si="257"/>
        <v>2700300</v>
      </c>
      <c r="I1832" s="12">
        <f t="shared" si="258"/>
        <v>1423100</v>
      </c>
      <c r="J1832" s="12">
        <f>IF(A1832&lt;[3]关卡对接!$A$4,INDEX([3]关卡对接!$C$7:$C$141,A1832),MATCH(E1832,人物经验!$H$24:$H$573,1))</f>
        <v>550</v>
      </c>
      <c r="K1832" s="12">
        <f>IF([3]关卡对接!F1820="",INT(INDEX(人物经验!$J$24:$J$573,关卡!J1832)*关卡!$S$7),[3]关卡对接!F1820)</f>
        <v>53960</v>
      </c>
      <c r="L1832" s="12">
        <f t="shared" si="263"/>
        <v>2.8</v>
      </c>
      <c r="M1832" s="12">
        <f>L1832/[4]货币基础!$B$4</f>
        <v>280</v>
      </c>
      <c r="N1832" s="12">
        <f>IF(A1832&lt;[3]关卡对接!$A$4,INDEX([3]关卡对接!$E$7:$E$141,A1832),MATCH(E1832,人物经验!$H$24:$H$573,1))</f>
        <v>550</v>
      </c>
      <c r="O1832" s="12">
        <f>INDEX([2]关卡!$G$6:$G$2005,A1832)</f>
        <v>3</v>
      </c>
      <c r="P1832" s="13">
        <v>6</v>
      </c>
      <c r="Q1832" s="12">
        <f>INT(P1832/$S$15/O1832*VLOOKUP(J1832,[1]人物技能基础!$N$3:$O$553,2,0)*$U$15)</f>
        <v>9</v>
      </c>
      <c r="R1832" s="12">
        <f t="shared" si="264"/>
        <v>112</v>
      </c>
    </row>
    <row r="1833" spans="1:18" x14ac:dyDescent="0.15">
      <c r="A1833" s="12">
        <v>1815</v>
      </c>
      <c r="B1833" s="12">
        <f t="shared" si="261"/>
        <v>10</v>
      </c>
      <c r="C1833" s="12">
        <f t="shared" si="262"/>
        <v>2.61</v>
      </c>
      <c r="D1833" s="12">
        <f t="shared" si="256"/>
        <v>0.17399999999999993</v>
      </c>
      <c r="E1833" s="12">
        <f>SUM($D$19:D1833)</f>
        <v>67.810000000000031</v>
      </c>
      <c r="F1833" s="12">
        <f t="shared" si="259"/>
        <v>751.29415293121099</v>
      </c>
      <c r="G1833" s="12">
        <f t="shared" si="260"/>
        <v>395.82329723808596</v>
      </c>
      <c r="H1833" s="12">
        <f t="shared" si="257"/>
        <v>2704600</v>
      </c>
      <c r="I1833" s="12">
        <f t="shared" si="258"/>
        <v>1424900</v>
      </c>
      <c r="J1833" s="12">
        <f>IF(A1833&lt;[3]关卡对接!$A$4,INDEX([3]关卡对接!$C$7:$C$141,A1833),MATCH(E1833,人物经验!$H$24:$H$573,1))</f>
        <v>550</v>
      </c>
      <c r="K1833" s="12">
        <f>IF([3]关卡对接!F1821="",INT(INDEX(人物经验!$J$24:$J$573,关卡!J1833)*关卡!$S$7),[3]关卡对接!F1821)</f>
        <v>53960</v>
      </c>
      <c r="L1833" s="12">
        <f t="shared" si="263"/>
        <v>2.8</v>
      </c>
      <c r="M1833" s="12">
        <f>L1833/[4]货币基础!$B$4</f>
        <v>280</v>
      </c>
      <c r="N1833" s="12">
        <f>IF(A1833&lt;[3]关卡对接!$A$4,INDEX([3]关卡对接!$E$7:$E$141,A1833),MATCH(E1833,人物经验!$H$24:$H$573,1))</f>
        <v>550</v>
      </c>
      <c r="O1833" s="12">
        <f>INDEX([2]关卡!$G$6:$G$2005,A1833)</f>
        <v>3</v>
      </c>
      <c r="P1833" s="13">
        <v>6</v>
      </c>
      <c r="Q1833" s="12">
        <f>INT(P1833/$S$15/O1833*VLOOKUP(J1833,[1]人物技能基础!$N$3:$O$553,2,0)*$U$15)</f>
        <v>9</v>
      </c>
      <c r="R1833" s="12">
        <f t="shared" si="264"/>
        <v>112</v>
      </c>
    </row>
    <row r="1834" spans="1:18" x14ac:dyDescent="0.15">
      <c r="A1834" s="12">
        <v>1816</v>
      </c>
      <c r="B1834" s="12">
        <f t="shared" si="261"/>
        <v>10</v>
      </c>
      <c r="C1834" s="12">
        <f t="shared" si="262"/>
        <v>2.7839999999999998</v>
      </c>
      <c r="D1834" s="12">
        <f t="shared" si="256"/>
        <v>0.17399999999999993</v>
      </c>
      <c r="E1834" s="12">
        <f>SUM($D$19:D1834)</f>
        <v>67.984000000000037</v>
      </c>
      <c r="F1834" s="12">
        <f t="shared" si="259"/>
        <v>752.49340763110422</v>
      </c>
      <c r="G1834" s="12">
        <f t="shared" si="260"/>
        <v>396.33698109312002</v>
      </c>
      <c r="H1834" s="12">
        <f t="shared" si="257"/>
        <v>2708900</v>
      </c>
      <c r="I1834" s="12">
        <f t="shared" si="258"/>
        <v>1426800</v>
      </c>
      <c r="J1834" s="12">
        <f>IF(A1834&lt;[3]关卡对接!$A$4,INDEX([3]关卡对接!$C$7:$C$141,A1834),MATCH(E1834,人物经验!$H$24:$H$573,1))</f>
        <v>550</v>
      </c>
      <c r="K1834" s="12">
        <f>IF([3]关卡对接!F1822="",INT(INDEX(人物经验!$J$24:$J$573,关卡!J1834)*关卡!$S$7),[3]关卡对接!F1822)</f>
        <v>53960</v>
      </c>
      <c r="L1834" s="12">
        <f t="shared" si="263"/>
        <v>2.8</v>
      </c>
      <c r="M1834" s="12">
        <f>L1834/[4]货币基础!$B$4</f>
        <v>280</v>
      </c>
      <c r="N1834" s="12">
        <f>IF(A1834&lt;[3]关卡对接!$A$4,INDEX([3]关卡对接!$E$7:$E$141,A1834),MATCH(E1834,人物经验!$H$24:$H$573,1))</f>
        <v>550</v>
      </c>
      <c r="O1834" s="12">
        <f>INDEX([2]关卡!$G$6:$G$2005,A1834)</f>
        <v>3</v>
      </c>
      <c r="P1834" s="13">
        <v>6</v>
      </c>
      <c r="Q1834" s="12">
        <f>INT(P1834/$S$15/O1834*VLOOKUP(J1834,[1]人物技能基础!$N$3:$O$553,2,0)*$U$15)</f>
        <v>9</v>
      </c>
      <c r="R1834" s="12">
        <f t="shared" si="264"/>
        <v>112</v>
      </c>
    </row>
    <row r="1835" spans="1:18" x14ac:dyDescent="0.15">
      <c r="A1835" s="12">
        <v>1817</v>
      </c>
      <c r="B1835" s="12">
        <f t="shared" si="261"/>
        <v>10</v>
      </c>
      <c r="C1835" s="12">
        <f t="shared" si="262"/>
        <v>2.9580000000000002</v>
      </c>
      <c r="D1835" s="12">
        <f t="shared" si="256"/>
        <v>0.17400000000000038</v>
      </c>
      <c r="E1835" s="12">
        <f>SUM($D$19:D1835)</f>
        <v>68.158000000000044</v>
      </c>
      <c r="F1835" s="12">
        <f t="shared" si="259"/>
        <v>753.6941578144548</v>
      </c>
      <c r="G1835" s="12">
        <f t="shared" si="260"/>
        <v>396.85117922040587</v>
      </c>
      <c r="H1835" s="12">
        <f t="shared" si="257"/>
        <v>2713200</v>
      </c>
      <c r="I1835" s="12">
        <f t="shared" si="258"/>
        <v>1428600</v>
      </c>
      <c r="J1835" s="12">
        <f>IF(A1835&lt;[3]关卡对接!$A$4,INDEX([3]关卡对接!$C$7:$C$141,A1835),MATCH(E1835,人物经验!$H$24:$H$573,1))</f>
        <v>550</v>
      </c>
      <c r="K1835" s="12">
        <f>IF([3]关卡对接!F1823="",INT(INDEX(人物经验!$J$24:$J$573,关卡!J1835)*关卡!$S$7),[3]关卡对接!F1823)</f>
        <v>53960</v>
      </c>
      <c r="L1835" s="12">
        <f t="shared" si="263"/>
        <v>2.8</v>
      </c>
      <c r="M1835" s="12">
        <f>L1835/[4]货币基础!$B$4</f>
        <v>280</v>
      </c>
      <c r="N1835" s="12">
        <f>IF(A1835&lt;[3]关卡对接!$A$4,INDEX([3]关卡对接!$E$7:$E$141,A1835),MATCH(E1835,人物经验!$H$24:$H$573,1))</f>
        <v>550</v>
      </c>
      <c r="O1835" s="12">
        <f>INDEX([2]关卡!$G$6:$G$2005,A1835)</f>
        <v>3</v>
      </c>
      <c r="P1835" s="13">
        <v>6</v>
      </c>
      <c r="Q1835" s="12">
        <f>INT(P1835/$S$15/O1835*VLOOKUP(J1835,[1]人物技能基础!$N$3:$O$553,2,0)*$U$15)</f>
        <v>9</v>
      </c>
      <c r="R1835" s="12">
        <f t="shared" si="264"/>
        <v>112</v>
      </c>
    </row>
    <row r="1836" spans="1:18" x14ac:dyDescent="0.15">
      <c r="A1836" s="12">
        <v>1818</v>
      </c>
      <c r="B1836" s="12">
        <f t="shared" si="261"/>
        <v>10</v>
      </c>
      <c r="C1836" s="12">
        <f t="shared" si="262"/>
        <v>3.1319999999999997</v>
      </c>
      <c r="D1836" s="12">
        <f t="shared" si="256"/>
        <v>0.17399999999999949</v>
      </c>
      <c r="E1836" s="12">
        <f>SUM($D$19:D1836)</f>
        <v>68.33200000000005</v>
      </c>
      <c r="F1836" s="12">
        <f t="shared" si="259"/>
        <v>754.89640479343916</v>
      </c>
      <c r="G1836" s="12">
        <f t="shared" si="260"/>
        <v>397.36589199129503</v>
      </c>
      <c r="H1836" s="12">
        <f t="shared" si="257"/>
        <v>2717600</v>
      </c>
      <c r="I1836" s="12">
        <f t="shared" si="258"/>
        <v>1430500</v>
      </c>
      <c r="J1836" s="12">
        <f>IF(A1836&lt;[3]关卡对接!$A$4,INDEX([3]关卡对接!$C$7:$C$141,A1836),MATCH(E1836,人物经验!$H$24:$H$573,1))</f>
        <v>550</v>
      </c>
      <c r="K1836" s="12">
        <f>IF([3]关卡对接!F1824="",INT(INDEX(人物经验!$J$24:$J$573,关卡!J1836)*关卡!$S$7),[3]关卡对接!F1824)</f>
        <v>53960</v>
      </c>
      <c r="L1836" s="12">
        <f t="shared" si="263"/>
        <v>2.8</v>
      </c>
      <c r="M1836" s="12">
        <f>L1836/[4]货币基础!$B$4</f>
        <v>280</v>
      </c>
      <c r="N1836" s="12">
        <f>IF(A1836&lt;[3]关卡对接!$A$4,INDEX([3]关卡对接!$E$7:$E$141,A1836),MATCH(E1836,人物经验!$H$24:$H$573,1))</f>
        <v>550</v>
      </c>
      <c r="O1836" s="12">
        <f>INDEX([2]关卡!$G$6:$G$2005,A1836)</f>
        <v>3</v>
      </c>
      <c r="P1836" s="13">
        <v>6</v>
      </c>
      <c r="Q1836" s="12">
        <f>INT(P1836/$S$15/O1836*VLOOKUP(J1836,[1]人物技能基础!$N$3:$O$553,2,0)*$U$15)</f>
        <v>9</v>
      </c>
      <c r="R1836" s="12">
        <f t="shared" si="264"/>
        <v>112</v>
      </c>
    </row>
    <row r="1837" spans="1:18" x14ac:dyDescent="0.15">
      <c r="A1837" s="12">
        <v>1819</v>
      </c>
      <c r="B1837" s="12">
        <f t="shared" si="261"/>
        <v>10</v>
      </c>
      <c r="C1837" s="12">
        <f t="shared" si="262"/>
        <v>3.3059999999999996</v>
      </c>
      <c r="D1837" s="12">
        <f t="shared" si="256"/>
        <v>0.17399999999999993</v>
      </c>
      <c r="E1837" s="12">
        <f>SUM($D$19:D1837)</f>
        <v>68.506000000000057</v>
      </c>
      <c r="F1837" s="12">
        <f t="shared" si="259"/>
        <v>756.10014988082969</v>
      </c>
      <c r="G1837" s="12">
        <f t="shared" si="260"/>
        <v>397.88111977728084</v>
      </c>
      <c r="H1837" s="12">
        <f t="shared" si="257"/>
        <v>2721900</v>
      </c>
      <c r="I1837" s="12">
        <f t="shared" si="258"/>
        <v>1432300</v>
      </c>
      <c r="J1837" s="12">
        <f>IF(A1837&lt;[3]关卡对接!$A$4,INDEX([3]关卡对接!$C$7:$C$141,A1837),MATCH(E1837,人物经验!$H$24:$H$573,1))</f>
        <v>550</v>
      </c>
      <c r="K1837" s="12">
        <f>IF([3]关卡对接!F1825="",INT(INDEX(人物经验!$J$24:$J$573,关卡!J1837)*关卡!$S$7),[3]关卡对接!F1825)</f>
        <v>53960</v>
      </c>
      <c r="L1837" s="12">
        <f t="shared" si="263"/>
        <v>2.8</v>
      </c>
      <c r="M1837" s="12">
        <f>L1837/[4]货币基础!$B$4</f>
        <v>280</v>
      </c>
      <c r="N1837" s="12">
        <f>IF(A1837&lt;[3]关卡对接!$A$4,INDEX([3]关卡对接!$E$7:$E$141,A1837),MATCH(E1837,人物经验!$H$24:$H$573,1))</f>
        <v>550</v>
      </c>
      <c r="O1837" s="12">
        <f>INDEX([2]关卡!$G$6:$G$2005,A1837)</f>
        <v>3</v>
      </c>
      <c r="P1837" s="13">
        <v>6</v>
      </c>
      <c r="Q1837" s="12">
        <f>INT(P1837/$S$15/O1837*VLOOKUP(J1837,[1]人物技能基础!$N$3:$O$553,2,0)*$U$15)</f>
        <v>9</v>
      </c>
      <c r="R1837" s="12">
        <f t="shared" si="264"/>
        <v>112</v>
      </c>
    </row>
    <row r="1838" spans="1:18" x14ac:dyDescent="0.15">
      <c r="A1838" s="12">
        <v>1820</v>
      </c>
      <c r="B1838" s="12">
        <f t="shared" si="261"/>
        <v>10</v>
      </c>
      <c r="C1838" s="12">
        <f t="shared" si="262"/>
        <v>3.48</v>
      </c>
      <c r="D1838" s="12">
        <f t="shared" si="256"/>
        <v>0.17400000000000038</v>
      </c>
      <c r="E1838" s="12">
        <f>SUM($D$19:D1838)</f>
        <v>68.680000000000064</v>
      </c>
      <c r="F1838" s="12">
        <f t="shared" si="259"/>
        <v>757.30539439000006</v>
      </c>
      <c r="G1838" s="12">
        <f t="shared" si="260"/>
        <v>398.39686295000001</v>
      </c>
      <c r="H1838" s="12">
        <f t="shared" si="257"/>
        <v>2726200</v>
      </c>
      <c r="I1838" s="12">
        <f t="shared" si="258"/>
        <v>1434200</v>
      </c>
      <c r="J1838" s="12">
        <f>IF(A1838&lt;[3]关卡对接!$A$4,INDEX([3]关卡对接!$C$7:$C$141,A1838),MATCH(E1838,人物经验!$H$24:$H$573,1))</f>
        <v>550</v>
      </c>
      <c r="K1838" s="12">
        <f>IF([3]关卡对接!F1826="",INT(INDEX(人物经验!$J$24:$J$573,关卡!J1838)*关卡!$S$7),[3]关卡对接!F1826)</f>
        <v>53960</v>
      </c>
      <c r="L1838" s="12">
        <f t="shared" si="263"/>
        <v>2.8</v>
      </c>
      <c r="M1838" s="12">
        <f>L1838/[4]货币基础!$B$4</f>
        <v>280</v>
      </c>
      <c r="N1838" s="12">
        <f>IF(A1838&lt;[3]关卡对接!$A$4,INDEX([3]关卡对接!$E$7:$E$141,A1838),MATCH(E1838,人物经验!$H$24:$H$573,1))</f>
        <v>550</v>
      </c>
      <c r="O1838" s="12">
        <f>INDEX([2]关卡!$G$6:$G$2005,A1838)</f>
        <v>3</v>
      </c>
      <c r="P1838" s="13">
        <v>6</v>
      </c>
      <c r="Q1838" s="12">
        <f>INT(P1838/$S$15/O1838*VLOOKUP(J1838,[1]人物技能基础!$N$3:$O$553,2,0)*$U$15)</f>
        <v>9</v>
      </c>
      <c r="R1838" s="12">
        <f t="shared" si="264"/>
        <v>112</v>
      </c>
    </row>
    <row r="1839" spans="1:18" x14ac:dyDescent="0.15">
      <c r="A1839" s="12">
        <v>1821</v>
      </c>
      <c r="B1839" s="12">
        <f t="shared" si="261"/>
        <v>10</v>
      </c>
      <c r="C1839" s="12">
        <f t="shared" si="262"/>
        <v>3.6539999999999995</v>
      </c>
      <c r="D1839" s="12">
        <f t="shared" si="256"/>
        <v>0.17399999999999949</v>
      </c>
      <c r="E1839" s="12">
        <f>SUM($D$19:D1839)</f>
        <v>68.85400000000007</v>
      </c>
      <c r="F1839" s="12">
        <f t="shared" si="259"/>
        <v>758.51213963491989</v>
      </c>
      <c r="G1839" s="12">
        <f t="shared" si="260"/>
        <v>398.91312188123089</v>
      </c>
      <c r="H1839" s="12">
        <f t="shared" si="257"/>
        <v>2730600</v>
      </c>
      <c r="I1839" s="12">
        <f t="shared" si="258"/>
        <v>1436000</v>
      </c>
      <c r="J1839" s="12">
        <f>IF(A1839&lt;[3]关卡对接!$A$4,INDEX([3]关卡对接!$C$7:$C$141,A1839),MATCH(E1839,人物经验!$H$24:$H$573,1))</f>
        <v>550</v>
      </c>
      <c r="K1839" s="12">
        <f>IF([3]关卡对接!F1827="",INT(INDEX(人物经验!$J$24:$J$573,关卡!J1839)*关卡!$S$7),[3]关卡对接!F1827)</f>
        <v>53960</v>
      </c>
      <c r="L1839" s="12">
        <f t="shared" si="263"/>
        <v>2.8</v>
      </c>
      <c r="M1839" s="12">
        <f>L1839/[4]货币基础!$B$4</f>
        <v>280</v>
      </c>
      <c r="N1839" s="12">
        <f>IF(A1839&lt;[3]关卡对接!$A$4,INDEX([3]关卡对接!$E$7:$E$141,A1839),MATCH(E1839,人物经验!$H$24:$H$573,1))</f>
        <v>550</v>
      </c>
      <c r="O1839" s="12">
        <f>INDEX([2]关卡!$G$6:$G$2005,A1839)</f>
        <v>3</v>
      </c>
      <c r="P1839" s="13">
        <v>6</v>
      </c>
      <c r="Q1839" s="12">
        <f>INT(P1839/$S$15/O1839*VLOOKUP(J1839,[1]人物技能基础!$N$3:$O$553,2,0)*$U$15)</f>
        <v>9</v>
      </c>
      <c r="R1839" s="12">
        <f t="shared" si="264"/>
        <v>112</v>
      </c>
    </row>
    <row r="1840" spans="1:18" x14ac:dyDescent="0.15">
      <c r="A1840" s="12">
        <v>1822</v>
      </c>
      <c r="B1840" s="12">
        <f t="shared" si="261"/>
        <v>10</v>
      </c>
      <c r="C1840" s="12">
        <f t="shared" si="262"/>
        <v>3.8279999999999998</v>
      </c>
      <c r="D1840" s="12">
        <f t="shared" si="256"/>
        <v>0.17400000000000038</v>
      </c>
      <c r="E1840" s="12">
        <f>SUM($D$19:D1840)</f>
        <v>69.028000000000077</v>
      </c>
      <c r="F1840" s="12">
        <f t="shared" si="259"/>
        <v>759.72038693015907</v>
      </c>
      <c r="G1840" s="12">
        <f t="shared" si="260"/>
        <v>399.42989694289497</v>
      </c>
      <c r="H1840" s="12">
        <f t="shared" si="257"/>
        <v>2734900</v>
      </c>
      <c r="I1840" s="12">
        <f t="shared" si="258"/>
        <v>1437900</v>
      </c>
      <c r="J1840" s="12">
        <f>IF(A1840&lt;[3]关卡对接!$A$4,INDEX([3]关卡对接!$C$7:$C$141,A1840),MATCH(E1840,人物经验!$H$24:$H$573,1))</f>
        <v>550</v>
      </c>
      <c r="K1840" s="12">
        <f>IF([3]关卡对接!F1828="",INT(INDEX(人物经验!$J$24:$J$573,关卡!J1840)*关卡!$S$7),[3]关卡对接!F1828)</f>
        <v>53960</v>
      </c>
      <c r="L1840" s="12">
        <f t="shared" si="263"/>
        <v>2.8</v>
      </c>
      <c r="M1840" s="12">
        <f>L1840/[4]货币基础!$B$4</f>
        <v>280</v>
      </c>
      <c r="N1840" s="12">
        <f>IF(A1840&lt;[3]关卡对接!$A$4,INDEX([3]关卡对接!$E$7:$E$141,A1840),MATCH(E1840,人物经验!$H$24:$H$573,1))</f>
        <v>550</v>
      </c>
      <c r="O1840" s="12">
        <f>INDEX([2]关卡!$G$6:$G$2005,A1840)</f>
        <v>3</v>
      </c>
      <c r="P1840" s="13">
        <v>6</v>
      </c>
      <c r="Q1840" s="12">
        <f>INT(P1840/$S$15/O1840*VLOOKUP(J1840,[1]人物技能基础!$N$3:$O$553,2,0)*$U$15)</f>
        <v>9</v>
      </c>
      <c r="R1840" s="12">
        <f t="shared" si="264"/>
        <v>112</v>
      </c>
    </row>
    <row r="1841" spans="1:18" x14ac:dyDescent="0.15">
      <c r="A1841" s="12">
        <v>1823</v>
      </c>
      <c r="B1841" s="12">
        <f t="shared" si="261"/>
        <v>10</v>
      </c>
      <c r="C1841" s="12">
        <f t="shared" si="262"/>
        <v>4.0019999999999998</v>
      </c>
      <c r="D1841" s="12">
        <f t="shared" si="256"/>
        <v>0.17399999999999993</v>
      </c>
      <c r="E1841" s="12">
        <f>SUM($D$19:D1841)</f>
        <v>69.202000000000083</v>
      </c>
      <c r="F1841" s="12">
        <f t="shared" si="259"/>
        <v>760.93013759088501</v>
      </c>
      <c r="G1841" s="12">
        <f t="shared" si="260"/>
        <v>399.9471885070559</v>
      </c>
      <c r="H1841" s="12">
        <f t="shared" si="257"/>
        <v>2739300</v>
      </c>
      <c r="I1841" s="12">
        <f t="shared" si="258"/>
        <v>1439800</v>
      </c>
      <c r="J1841" s="12">
        <f>IF(A1841&lt;[3]关卡对接!$A$4,INDEX([3]关卡对接!$C$7:$C$141,A1841),MATCH(E1841,人物经验!$H$24:$H$573,1))</f>
        <v>550</v>
      </c>
      <c r="K1841" s="12">
        <f>IF([3]关卡对接!F1829="",INT(INDEX(人物经验!$J$24:$J$573,关卡!J1841)*关卡!$S$7),[3]关卡对接!F1829)</f>
        <v>53960</v>
      </c>
      <c r="L1841" s="12">
        <f t="shared" si="263"/>
        <v>2.8</v>
      </c>
      <c r="M1841" s="12">
        <f>L1841/[4]货币基础!$B$4</f>
        <v>280</v>
      </c>
      <c r="N1841" s="12">
        <f>IF(A1841&lt;[3]关卡对接!$A$4,INDEX([3]关卡对接!$E$7:$E$141,A1841),MATCH(E1841,人物经验!$H$24:$H$573,1))</f>
        <v>550</v>
      </c>
      <c r="O1841" s="12">
        <f>INDEX([2]关卡!$G$6:$G$2005,A1841)</f>
        <v>3</v>
      </c>
      <c r="P1841" s="13">
        <v>6</v>
      </c>
      <c r="Q1841" s="12">
        <f>INT(P1841/$S$15/O1841*VLOOKUP(J1841,[1]人物技能基础!$N$3:$O$553,2,0)*$U$15)</f>
        <v>9</v>
      </c>
      <c r="R1841" s="12">
        <f t="shared" si="264"/>
        <v>112</v>
      </c>
    </row>
    <row r="1842" spans="1:18" x14ac:dyDescent="0.15">
      <c r="A1842" s="12">
        <v>1824</v>
      </c>
      <c r="B1842" s="12">
        <f t="shared" si="261"/>
        <v>10</v>
      </c>
      <c r="C1842" s="12">
        <f t="shared" si="262"/>
        <v>4.1759999999999993</v>
      </c>
      <c r="D1842" s="12">
        <f t="shared" si="256"/>
        <v>0.17399999999999949</v>
      </c>
      <c r="E1842" s="12">
        <f>SUM($D$19:D1842)</f>
        <v>69.37600000000009</v>
      </c>
      <c r="F1842" s="12">
        <f t="shared" si="259"/>
        <v>762.14139293286405</v>
      </c>
      <c r="G1842" s="12">
        <f t="shared" si="260"/>
        <v>400.46499694591995</v>
      </c>
      <c r="H1842" s="12">
        <f t="shared" si="257"/>
        <v>2743700</v>
      </c>
      <c r="I1842" s="12">
        <f t="shared" si="258"/>
        <v>1441600</v>
      </c>
      <c r="J1842" s="12">
        <f>IF(A1842&lt;[3]关卡对接!$A$4,INDEX([3]关卡对接!$C$7:$C$141,A1842),MATCH(E1842,人物经验!$H$24:$H$573,1))</f>
        <v>550</v>
      </c>
      <c r="K1842" s="12">
        <f>IF([3]关卡对接!F1830="",INT(INDEX(人物经验!$J$24:$J$573,关卡!J1842)*关卡!$S$7),[3]关卡对接!F1830)</f>
        <v>53960</v>
      </c>
      <c r="L1842" s="12">
        <f t="shared" si="263"/>
        <v>2.8</v>
      </c>
      <c r="M1842" s="12">
        <f>L1842/[4]货币基础!$B$4</f>
        <v>280</v>
      </c>
      <c r="N1842" s="12">
        <f>IF(A1842&lt;[3]关卡对接!$A$4,INDEX([3]关卡对接!$E$7:$E$141,A1842),MATCH(E1842,人物经验!$H$24:$H$573,1))</f>
        <v>550</v>
      </c>
      <c r="O1842" s="12">
        <f>INDEX([2]关卡!$G$6:$G$2005,A1842)</f>
        <v>3</v>
      </c>
      <c r="P1842" s="13">
        <v>6</v>
      </c>
      <c r="Q1842" s="12">
        <f>INT(P1842/$S$15/O1842*VLOOKUP(J1842,[1]人物技能基础!$N$3:$O$553,2,0)*$U$15)</f>
        <v>9</v>
      </c>
      <c r="R1842" s="12">
        <f t="shared" si="264"/>
        <v>112</v>
      </c>
    </row>
    <row r="1843" spans="1:18" x14ac:dyDescent="0.15">
      <c r="A1843" s="12">
        <v>1825</v>
      </c>
      <c r="B1843" s="12">
        <f t="shared" si="261"/>
        <v>10</v>
      </c>
      <c r="C1843" s="12">
        <f t="shared" si="262"/>
        <v>4.3499999999999996</v>
      </c>
      <c r="D1843" s="12">
        <f t="shared" si="256"/>
        <v>0.17400000000000038</v>
      </c>
      <c r="E1843" s="12">
        <f>SUM($D$19:D1843)</f>
        <v>69.550000000000097</v>
      </c>
      <c r="F1843" s="12">
        <f t="shared" si="259"/>
        <v>763.35415427246085</v>
      </c>
      <c r="G1843" s="12">
        <f t="shared" si="260"/>
        <v>400.9833226318359</v>
      </c>
      <c r="H1843" s="12">
        <f t="shared" si="257"/>
        <v>2748000</v>
      </c>
      <c r="I1843" s="12">
        <f t="shared" si="258"/>
        <v>1443500</v>
      </c>
      <c r="J1843" s="12">
        <f>IF(A1843&lt;[3]关卡对接!$A$4,INDEX([3]关卡对接!$C$7:$C$141,A1843),MATCH(E1843,人物经验!$H$24:$H$573,1))</f>
        <v>550</v>
      </c>
      <c r="K1843" s="12">
        <f>IF([3]关卡对接!F1831="",INT(INDEX(人物经验!$J$24:$J$573,关卡!J1843)*关卡!$S$7),[3]关卡对接!F1831)</f>
        <v>53960</v>
      </c>
      <c r="L1843" s="12">
        <f t="shared" si="263"/>
        <v>2.8</v>
      </c>
      <c r="M1843" s="12">
        <f>L1843/[4]货币基础!$B$4</f>
        <v>280</v>
      </c>
      <c r="N1843" s="12">
        <f>IF(A1843&lt;[3]关卡对接!$A$4,INDEX([3]关卡对接!$E$7:$E$141,A1843),MATCH(E1843,人物经验!$H$24:$H$573,1))</f>
        <v>550</v>
      </c>
      <c r="O1843" s="12">
        <f>INDEX([2]关卡!$G$6:$G$2005,A1843)</f>
        <v>3</v>
      </c>
      <c r="P1843" s="13">
        <v>6</v>
      </c>
      <c r="Q1843" s="12">
        <f>INT(P1843/$S$15/O1843*VLOOKUP(J1843,[1]人物技能基础!$N$3:$O$553,2,0)*$U$15)</f>
        <v>9</v>
      </c>
      <c r="R1843" s="12">
        <f t="shared" si="264"/>
        <v>112</v>
      </c>
    </row>
    <row r="1844" spans="1:18" x14ac:dyDescent="0.15">
      <c r="A1844" s="12">
        <v>1826</v>
      </c>
      <c r="B1844" s="12">
        <f t="shared" si="261"/>
        <v>10</v>
      </c>
      <c r="C1844" s="12">
        <f t="shared" si="262"/>
        <v>4.524</v>
      </c>
      <c r="D1844" s="12">
        <f t="shared" si="256"/>
        <v>0.17400000000000038</v>
      </c>
      <c r="E1844" s="12">
        <f>SUM($D$19:D1844)</f>
        <v>69.724000000000103</v>
      </c>
      <c r="F1844" s="12">
        <f t="shared" si="259"/>
        <v>764.56842292663919</v>
      </c>
      <c r="G1844" s="12">
        <f t="shared" si="260"/>
        <v>401.50216593729505</v>
      </c>
      <c r="H1844" s="12">
        <f t="shared" si="257"/>
        <v>2752400</v>
      </c>
      <c r="I1844" s="12">
        <f t="shared" si="258"/>
        <v>1445400</v>
      </c>
      <c r="J1844" s="12">
        <f>IF(A1844&lt;[3]关卡对接!$A$4,INDEX([3]关卡对接!$C$7:$C$141,A1844),MATCH(E1844,人物经验!$H$24:$H$573,1))</f>
        <v>550</v>
      </c>
      <c r="K1844" s="12">
        <f>IF([3]关卡对接!F1832="",INT(INDEX(人物经验!$J$24:$J$573,关卡!J1844)*关卡!$S$7),[3]关卡对接!F1832)</f>
        <v>53960</v>
      </c>
      <c r="L1844" s="12">
        <f t="shared" si="263"/>
        <v>2.8</v>
      </c>
      <c r="M1844" s="12">
        <f>L1844/[4]货币基础!$B$4</f>
        <v>280</v>
      </c>
      <c r="N1844" s="12">
        <f>IF(A1844&lt;[3]关卡对接!$A$4,INDEX([3]关卡对接!$E$7:$E$141,A1844),MATCH(E1844,人物经验!$H$24:$H$573,1))</f>
        <v>550</v>
      </c>
      <c r="O1844" s="12">
        <f>INDEX([2]关卡!$G$6:$G$2005,A1844)</f>
        <v>3</v>
      </c>
      <c r="P1844" s="13">
        <v>6</v>
      </c>
      <c r="Q1844" s="12">
        <f>INT(P1844/$S$15/O1844*VLOOKUP(J1844,[1]人物技能基础!$N$3:$O$553,2,0)*$U$15)</f>
        <v>9</v>
      </c>
      <c r="R1844" s="12">
        <f t="shared" si="264"/>
        <v>112</v>
      </c>
    </row>
    <row r="1845" spans="1:18" x14ac:dyDescent="0.15">
      <c r="A1845" s="12">
        <v>1827</v>
      </c>
      <c r="B1845" s="12">
        <f t="shared" si="261"/>
        <v>10</v>
      </c>
      <c r="C1845" s="12">
        <f t="shared" si="262"/>
        <v>4.6979999999999995</v>
      </c>
      <c r="D1845" s="12">
        <f t="shared" si="256"/>
        <v>0.17399999999999949</v>
      </c>
      <c r="E1845" s="12">
        <f>SUM($D$19:D1845)</f>
        <v>69.89800000000011</v>
      </c>
      <c r="F1845" s="12">
        <f t="shared" si="259"/>
        <v>765.78420021296006</v>
      </c>
      <c r="G1845" s="12">
        <f t="shared" si="260"/>
        <v>402.02152723493089</v>
      </c>
      <c r="H1845" s="12">
        <f t="shared" si="257"/>
        <v>2756800</v>
      </c>
      <c r="I1845" s="12">
        <f t="shared" si="258"/>
        <v>1447200</v>
      </c>
      <c r="J1845" s="12">
        <f>IF(A1845&lt;[3]关卡对接!$A$4,INDEX([3]关卡对接!$C$7:$C$141,A1845),MATCH(E1845,人物经验!$H$24:$H$573,1))</f>
        <v>550</v>
      </c>
      <c r="K1845" s="12">
        <f>IF([3]关卡对接!F1833="",INT(INDEX(人物经验!$J$24:$J$573,关卡!J1845)*关卡!$S$7),[3]关卡对接!F1833)</f>
        <v>53960</v>
      </c>
      <c r="L1845" s="12">
        <f t="shared" si="263"/>
        <v>2.8</v>
      </c>
      <c r="M1845" s="12">
        <f>L1845/[4]货币基础!$B$4</f>
        <v>280</v>
      </c>
      <c r="N1845" s="12">
        <f>IF(A1845&lt;[3]关卡对接!$A$4,INDEX([3]关卡对接!$E$7:$E$141,A1845),MATCH(E1845,人物经验!$H$24:$H$573,1))</f>
        <v>550</v>
      </c>
      <c r="O1845" s="12">
        <f>INDEX([2]关卡!$G$6:$G$2005,A1845)</f>
        <v>3</v>
      </c>
      <c r="P1845" s="13">
        <v>6</v>
      </c>
      <c r="Q1845" s="12">
        <f>INT(P1845/$S$15/O1845*VLOOKUP(J1845,[1]人物技能基础!$N$3:$O$553,2,0)*$U$15)</f>
        <v>9</v>
      </c>
      <c r="R1845" s="12">
        <f t="shared" si="264"/>
        <v>112</v>
      </c>
    </row>
    <row r="1846" spans="1:18" x14ac:dyDescent="0.15">
      <c r="A1846" s="12">
        <v>1828</v>
      </c>
      <c r="B1846" s="12">
        <f t="shared" si="261"/>
        <v>10</v>
      </c>
      <c r="C1846" s="12">
        <f t="shared" si="262"/>
        <v>4.8719999999999999</v>
      </c>
      <c r="D1846" s="12">
        <f t="shared" si="256"/>
        <v>0.17400000000000038</v>
      </c>
      <c r="E1846" s="12">
        <f>SUM($D$19:D1846)</f>
        <v>70.072000000000116</v>
      </c>
      <c r="F1846" s="12">
        <f t="shared" si="259"/>
        <v>767.00148744958403</v>
      </c>
      <c r="G1846" s="12">
        <f t="shared" si="260"/>
        <v>402.54140689752001</v>
      </c>
      <c r="H1846" s="12">
        <f t="shared" si="257"/>
        <v>2761200</v>
      </c>
      <c r="I1846" s="12">
        <f t="shared" si="258"/>
        <v>1449100</v>
      </c>
      <c r="J1846" s="12">
        <f>IF(A1846&lt;[3]关卡对接!$A$4,INDEX([3]关卡对接!$C$7:$C$141,A1846),MATCH(E1846,人物经验!$H$24:$H$573,1))</f>
        <v>550</v>
      </c>
      <c r="K1846" s="12">
        <f>IF([3]关卡对接!F1834="",INT(INDEX(人物经验!$J$24:$J$573,关卡!J1846)*关卡!$S$7),[3]关卡对接!F1834)</f>
        <v>53960</v>
      </c>
      <c r="L1846" s="12">
        <f t="shared" si="263"/>
        <v>2.8</v>
      </c>
      <c r="M1846" s="12">
        <f>L1846/[4]货币基础!$B$4</f>
        <v>280</v>
      </c>
      <c r="N1846" s="12">
        <f>IF(A1846&lt;[3]关卡对接!$A$4,INDEX([3]关卡对接!$E$7:$E$141,A1846),MATCH(E1846,人物经验!$H$24:$H$573,1))</f>
        <v>550</v>
      </c>
      <c r="O1846" s="12">
        <f>INDEX([2]关卡!$G$6:$G$2005,A1846)</f>
        <v>3</v>
      </c>
      <c r="P1846" s="13">
        <v>6</v>
      </c>
      <c r="Q1846" s="12">
        <f>INT(P1846/$S$15/O1846*VLOOKUP(J1846,[1]人物技能基础!$N$3:$O$553,2,0)*$U$15)</f>
        <v>9</v>
      </c>
      <c r="R1846" s="12">
        <f t="shared" si="264"/>
        <v>112</v>
      </c>
    </row>
    <row r="1847" spans="1:18" x14ac:dyDescent="0.15">
      <c r="A1847" s="12">
        <v>1829</v>
      </c>
      <c r="B1847" s="12">
        <f t="shared" si="261"/>
        <v>10</v>
      </c>
      <c r="C1847" s="12">
        <f t="shared" si="262"/>
        <v>5.0459999999999994</v>
      </c>
      <c r="D1847" s="12">
        <f t="shared" si="256"/>
        <v>0.17399999999999949</v>
      </c>
      <c r="E1847" s="12">
        <f>SUM($D$19:D1847)</f>
        <v>70.246000000000123</v>
      </c>
      <c r="F1847" s="12">
        <f t="shared" si="259"/>
        <v>768.22028595526979</v>
      </c>
      <c r="G1847" s="12">
        <f t="shared" si="260"/>
        <v>403.06180529798087</v>
      </c>
      <c r="H1847" s="12">
        <f t="shared" si="257"/>
        <v>2765500</v>
      </c>
      <c r="I1847" s="12">
        <f t="shared" si="258"/>
        <v>1451000</v>
      </c>
      <c r="J1847" s="12">
        <f>IF(A1847&lt;[3]关卡对接!$A$4,INDEX([3]关卡对接!$C$7:$C$141,A1847),MATCH(E1847,人物经验!$H$24:$H$573,1))</f>
        <v>550</v>
      </c>
      <c r="K1847" s="12">
        <f>IF([3]关卡对接!F1835="",INT(INDEX(人物经验!$J$24:$J$573,关卡!J1847)*关卡!$S$7),[3]关卡对接!F1835)</f>
        <v>53960</v>
      </c>
      <c r="L1847" s="12">
        <f t="shared" si="263"/>
        <v>2.8</v>
      </c>
      <c r="M1847" s="12">
        <f>L1847/[4]货币基础!$B$4</f>
        <v>280</v>
      </c>
      <c r="N1847" s="12">
        <f>IF(A1847&lt;[3]关卡对接!$A$4,INDEX([3]关卡对接!$E$7:$E$141,A1847),MATCH(E1847,人物经验!$H$24:$H$573,1))</f>
        <v>550</v>
      </c>
      <c r="O1847" s="12">
        <f>INDEX([2]关卡!$G$6:$G$2005,A1847)</f>
        <v>3</v>
      </c>
      <c r="P1847" s="13">
        <v>6</v>
      </c>
      <c r="Q1847" s="12">
        <f>INT(P1847/$S$15/O1847*VLOOKUP(J1847,[1]人物技能基础!$N$3:$O$553,2,0)*$U$15)</f>
        <v>9</v>
      </c>
      <c r="R1847" s="12">
        <f t="shared" si="264"/>
        <v>112</v>
      </c>
    </row>
    <row r="1848" spans="1:18" x14ac:dyDescent="0.15">
      <c r="A1848" s="12">
        <v>1830</v>
      </c>
      <c r="B1848" s="12">
        <f t="shared" si="261"/>
        <v>10</v>
      </c>
      <c r="C1848" s="12">
        <f t="shared" si="262"/>
        <v>5.22</v>
      </c>
      <c r="D1848" s="12">
        <f t="shared" si="256"/>
        <v>0.17400000000000038</v>
      </c>
      <c r="E1848" s="12">
        <f>SUM($D$19:D1848)</f>
        <v>70.42000000000013</v>
      </c>
      <c r="F1848" s="12">
        <f t="shared" si="259"/>
        <v>769.44059704937513</v>
      </c>
      <c r="G1848" s="12">
        <f t="shared" si="260"/>
        <v>403.58272280937501</v>
      </c>
      <c r="H1848" s="12">
        <f t="shared" si="257"/>
        <v>2769900</v>
      </c>
      <c r="I1848" s="12">
        <f t="shared" si="258"/>
        <v>1452800</v>
      </c>
      <c r="J1848" s="12">
        <f>IF(A1848&lt;[3]关卡对接!$A$4,INDEX([3]关卡对接!$C$7:$C$141,A1848),MATCH(E1848,人物经验!$H$24:$H$573,1))</f>
        <v>550</v>
      </c>
      <c r="K1848" s="12">
        <f>IF([3]关卡对接!F1836="",INT(INDEX(人物经验!$J$24:$J$573,关卡!J1848)*关卡!$S$7),[3]关卡对接!F1836)</f>
        <v>53960</v>
      </c>
      <c r="L1848" s="12">
        <f t="shared" si="263"/>
        <v>2.8</v>
      </c>
      <c r="M1848" s="12">
        <f>L1848/[4]货币基础!$B$4</f>
        <v>280</v>
      </c>
      <c r="N1848" s="12">
        <f>IF(A1848&lt;[3]关卡对接!$A$4,INDEX([3]关卡对接!$E$7:$E$141,A1848),MATCH(E1848,人物经验!$H$24:$H$573,1))</f>
        <v>550</v>
      </c>
      <c r="O1848" s="12">
        <f>INDEX([2]关卡!$G$6:$G$2005,A1848)</f>
        <v>3</v>
      </c>
      <c r="P1848" s="13">
        <v>6</v>
      </c>
      <c r="Q1848" s="12">
        <f>INT(P1848/$S$15/O1848*VLOOKUP(J1848,[1]人物技能基础!$N$3:$O$553,2,0)*$U$15)</f>
        <v>9</v>
      </c>
      <c r="R1848" s="12">
        <f t="shared" si="264"/>
        <v>112</v>
      </c>
    </row>
    <row r="1849" spans="1:18" x14ac:dyDescent="0.15">
      <c r="A1849" s="12">
        <v>1831</v>
      </c>
      <c r="B1849" s="12">
        <f t="shared" si="261"/>
        <v>10</v>
      </c>
      <c r="C1849" s="12">
        <f t="shared" si="262"/>
        <v>5.3939999999999992</v>
      </c>
      <c r="D1849" s="12">
        <f t="shared" si="256"/>
        <v>0.17399999999999949</v>
      </c>
      <c r="E1849" s="12">
        <f>SUM($D$19:D1849)</f>
        <v>70.594000000000136</v>
      </c>
      <c r="F1849" s="12">
        <f t="shared" si="259"/>
        <v>770.66242205185472</v>
      </c>
      <c r="G1849" s="12">
        <f t="shared" si="260"/>
        <v>404.10415980490586</v>
      </c>
      <c r="H1849" s="12">
        <f t="shared" si="257"/>
        <v>2774300</v>
      </c>
      <c r="I1849" s="12">
        <f t="shared" si="258"/>
        <v>1454700</v>
      </c>
      <c r="J1849" s="12">
        <f>IF(A1849&lt;[3]关卡对接!$A$4,INDEX([3]关卡对接!$C$7:$C$141,A1849),MATCH(E1849,人物经验!$H$24:$H$573,1))</f>
        <v>550</v>
      </c>
      <c r="K1849" s="12">
        <f>IF([3]关卡对接!F1837="",INT(INDEX(人物经验!$J$24:$J$573,关卡!J1849)*关卡!$S$7),[3]关卡对接!F1837)</f>
        <v>53960</v>
      </c>
      <c r="L1849" s="12">
        <f t="shared" si="263"/>
        <v>2.8</v>
      </c>
      <c r="M1849" s="12">
        <f>L1849/[4]货币基础!$B$4</f>
        <v>280</v>
      </c>
      <c r="N1849" s="12">
        <f>IF(A1849&lt;[3]关卡对接!$A$4,INDEX([3]关卡对接!$E$7:$E$141,A1849),MATCH(E1849,人物经验!$H$24:$H$573,1))</f>
        <v>550</v>
      </c>
      <c r="O1849" s="12">
        <f>INDEX([2]关卡!$G$6:$G$2005,A1849)</f>
        <v>3</v>
      </c>
      <c r="P1849" s="13">
        <v>6</v>
      </c>
      <c r="Q1849" s="12">
        <f>INT(P1849/$S$15/O1849*VLOOKUP(J1849,[1]人物技能基础!$N$3:$O$553,2,0)*$U$15)</f>
        <v>9</v>
      </c>
      <c r="R1849" s="12">
        <f t="shared" si="264"/>
        <v>112</v>
      </c>
    </row>
    <row r="1850" spans="1:18" x14ac:dyDescent="0.15">
      <c r="A1850" s="12">
        <v>1832</v>
      </c>
      <c r="B1850" s="12">
        <f t="shared" si="261"/>
        <v>10</v>
      </c>
      <c r="C1850" s="12">
        <f t="shared" si="262"/>
        <v>5.5679999999999996</v>
      </c>
      <c r="D1850" s="12">
        <f t="shared" si="256"/>
        <v>0.17400000000000038</v>
      </c>
      <c r="E1850" s="12">
        <f>SUM($D$19:D1850)</f>
        <v>70.768000000000143</v>
      </c>
      <c r="F1850" s="12">
        <f t="shared" si="259"/>
        <v>771.88576228326406</v>
      </c>
      <c r="G1850" s="12">
        <f t="shared" si="260"/>
        <v>404.62611665792002</v>
      </c>
      <c r="H1850" s="12">
        <f t="shared" si="257"/>
        <v>2778700</v>
      </c>
      <c r="I1850" s="12">
        <f t="shared" si="258"/>
        <v>1456600</v>
      </c>
      <c r="J1850" s="12">
        <f>IF(A1850&lt;[3]关卡对接!$A$4,INDEX([3]关卡对接!$C$7:$C$141,A1850),MATCH(E1850,人物经验!$H$24:$H$573,1))</f>
        <v>550</v>
      </c>
      <c r="K1850" s="12">
        <f>IF([3]关卡对接!F1838="",INT(INDEX(人物经验!$J$24:$J$573,关卡!J1850)*关卡!$S$7),[3]关卡对接!F1838)</f>
        <v>53960</v>
      </c>
      <c r="L1850" s="12">
        <f t="shared" si="263"/>
        <v>2.8</v>
      </c>
      <c r="M1850" s="12">
        <f>L1850/[4]货币基础!$B$4</f>
        <v>280</v>
      </c>
      <c r="N1850" s="12">
        <f>IF(A1850&lt;[3]关卡对接!$A$4,INDEX([3]关卡对接!$E$7:$E$141,A1850),MATCH(E1850,人物经验!$H$24:$H$573,1))</f>
        <v>550</v>
      </c>
      <c r="O1850" s="12">
        <f>INDEX([2]关卡!$G$6:$G$2005,A1850)</f>
        <v>3</v>
      </c>
      <c r="P1850" s="13">
        <v>6</v>
      </c>
      <c r="Q1850" s="12">
        <f>INT(P1850/$S$15/O1850*VLOOKUP(J1850,[1]人物技能基础!$N$3:$O$553,2,0)*$U$15)</f>
        <v>9</v>
      </c>
      <c r="R1850" s="12">
        <f t="shared" si="264"/>
        <v>112</v>
      </c>
    </row>
    <row r="1851" spans="1:18" x14ac:dyDescent="0.15">
      <c r="A1851" s="12">
        <v>1833</v>
      </c>
      <c r="B1851" s="12">
        <f t="shared" si="261"/>
        <v>10</v>
      </c>
      <c r="C1851" s="12">
        <f t="shared" si="262"/>
        <v>5.742</v>
      </c>
      <c r="D1851" s="12">
        <f t="shared" ref="D1851:D1914" si="265">IF(ISNA(MATCH(A1851,$A$6:$A$15,0)),C1851-C1850,C1851)</f>
        <v>0.17400000000000038</v>
      </c>
      <c r="E1851" s="12">
        <f>SUM($D$19:D1851)</f>
        <v>70.942000000000149</v>
      </c>
      <c r="F1851" s="12">
        <f t="shared" si="259"/>
        <v>773.11061906475493</v>
      </c>
      <c r="G1851" s="12">
        <f t="shared" si="260"/>
        <v>405.14859374190593</v>
      </c>
      <c r="H1851" s="12">
        <f t="shared" ref="H1851:H1914" si="266">INT(F1851*60*60/100)*100</f>
        <v>2783100</v>
      </c>
      <c r="I1851" s="12">
        <f t="shared" ref="I1851:I1914" si="267">INT(G1851*60*60/100)*100</f>
        <v>1458500</v>
      </c>
      <c r="J1851" s="12">
        <f>IF(A1851&lt;[3]关卡对接!$A$4,INDEX([3]关卡对接!$C$7:$C$141,A1851),MATCH(E1851,人物经验!$H$24:$H$573,1))</f>
        <v>550</v>
      </c>
      <c r="K1851" s="12">
        <f>IF([3]关卡对接!F1839="",INT(INDEX(人物经验!$J$24:$J$573,关卡!J1851)*关卡!$S$7),[3]关卡对接!F1839)</f>
        <v>53960</v>
      </c>
      <c r="L1851" s="12">
        <f t="shared" si="263"/>
        <v>2.8</v>
      </c>
      <c r="M1851" s="12">
        <f>L1851/[4]货币基础!$B$4</f>
        <v>280</v>
      </c>
      <c r="N1851" s="12">
        <f>IF(A1851&lt;[3]关卡对接!$A$4,INDEX([3]关卡对接!$E$7:$E$141,A1851),MATCH(E1851,人物经验!$H$24:$H$573,1))</f>
        <v>550</v>
      </c>
      <c r="O1851" s="12">
        <f>INDEX([2]关卡!$G$6:$G$2005,A1851)</f>
        <v>3</v>
      </c>
      <c r="P1851" s="13">
        <v>6</v>
      </c>
      <c r="Q1851" s="12">
        <f>INT(P1851/$S$15/O1851*VLOOKUP(J1851,[1]人物技能基础!$N$3:$O$553,2,0)*$U$15)</f>
        <v>9</v>
      </c>
      <c r="R1851" s="12">
        <f t="shared" si="264"/>
        <v>112</v>
      </c>
    </row>
    <row r="1852" spans="1:18" x14ac:dyDescent="0.15">
      <c r="A1852" s="12">
        <v>1834</v>
      </c>
      <c r="B1852" s="12">
        <f t="shared" si="261"/>
        <v>10</v>
      </c>
      <c r="C1852" s="12">
        <f t="shared" si="262"/>
        <v>5.9160000000000004</v>
      </c>
      <c r="D1852" s="12">
        <f t="shared" si="265"/>
        <v>0.17400000000000038</v>
      </c>
      <c r="E1852" s="12">
        <f>SUM($D$19:D1852)</f>
        <v>71.116000000000156</v>
      </c>
      <c r="F1852" s="12">
        <f t="shared" si="259"/>
        <v>774.33699371807916</v>
      </c>
      <c r="G1852" s="12">
        <f t="shared" si="260"/>
        <v>405.67159143049503</v>
      </c>
      <c r="H1852" s="12">
        <f t="shared" si="266"/>
        <v>2787600</v>
      </c>
      <c r="I1852" s="12">
        <f t="shared" si="267"/>
        <v>1460400</v>
      </c>
      <c r="J1852" s="12">
        <f>IF(A1852&lt;[3]关卡对接!$A$4,INDEX([3]关卡对接!$C$7:$C$141,A1852),MATCH(E1852,人物经验!$H$24:$H$573,1))</f>
        <v>550</v>
      </c>
      <c r="K1852" s="12">
        <f>IF([3]关卡对接!F1840="",INT(INDEX(人物经验!$J$24:$J$573,关卡!J1852)*关卡!$S$7),[3]关卡对接!F1840)</f>
        <v>53960</v>
      </c>
      <c r="L1852" s="12">
        <f t="shared" si="263"/>
        <v>2.8</v>
      </c>
      <c r="M1852" s="12">
        <f>L1852/[4]货币基础!$B$4</f>
        <v>280</v>
      </c>
      <c r="N1852" s="12">
        <f>IF(A1852&lt;[3]关卡对接!$A$4,INDEX([3]关卡对接!$E$7:$E$141,A1852),MATCH(E1852,人物经验!$H$24:$H$573,1))</f>
        <v>550</v>
      </c>
      <c r="O1852" s="12">
        <f>INDEX([2]关卡!$G$6:$G$2005,A1852)</f>
        <v>3</v>
      </c>
      <c r="P1852" s="13">
        <v>6</v>
      </c>
      <c r="Q1852" s="12">
        <f>INT(P1852/$S$15/O1852*VLOOKUP(J1852,[1]人物技能基础!$N$3:$O$553,2,0)*$U$15)</f>
        <v>9</v>
      </c>
      <c r="R1852" s="12">
        <f t="shared" si="264"/>
        <v>112</v>
      </c>
    </row>
    <row r="1853" spans="1:18" x14ac:dyDescent="0.15">
      <c r="A1853" s="12">
        <v>1835</v>
      </c>
      <c r="B1853" s="12">
        <f t="shared" si="261"/>
        <v>10</v>
      </c>
      <c r="C1853" s="12">
        <f t="shared" si="262"/>
        <v>6.089999999999999</v>
      </c>
      <c r="D1853" s="12">
        <f t="shared" si="265"/>
        <v>0.1739999999999986</v>
      </c>
      <c r="E1853" s="12">
        <f>SUM($D$19:D1853)</f>
        <v>71.290000000000148</v>
      </c>
      <c r="F1853" s="12">
        <f t="shared" si="259"/>
        <v>775.56488756558599</v>
      </c>
      <c r="G1853" s="12">
        <f t="shared" si="260"/>
        <v>406.19511009746088</v>
      </c>
      <c r="H1853" s="12">
        <f t="shared" si="266"/>
        <v>2792000</v>
      </c>
      <c r="I1853" s="12">
        <f t="shared" si="267"/>
        <v>1462300</v>
      </c>
      <c r="J1853" s="12">
        <f>IF(A1853&lt;[3]关卡对接!$A$4,INDEX([3]关卡对接!$C$7:$C$141,A1853),MATCH(E1853,人物经验!$H$24:$H$573,1))</f>
        <v>550</v>
      </c>
      <c r="K1853" s="12">
        <f>IF([3]关卡对接!F1841="",INT(INDEX(人物经验!$J$24:$J$573,关卡!J1853)*关卡!$S$7),[3]关卡对接!F1841)</f>
        <v>53960</v>
      </c>
      <c r="L1853" s="12">
        <f t="shared" si="263"/>
        <v>2.8</v>
      </c>
      <c r="M1853" s="12">
        <f>L1853/[4]货币基础!$B$4</f>
        <v>280</v>
      </c>
      <c r="N1853" s="12">
        <f>IF(A1853&lt;[3]关卡对接!$A$4,INDEX([3]关卡对接!$E$7:$E$141,A1853),MATCH(E1853,人物经验!$H$24:$H$573,1))</f>
        <v>550</v>
      </c>
      <c r="O1853" s="12">
        <f>INDEX([2]关卡!$G$6:$G$2005,A1853)</f>
        <v>3</v>
      </c>
      <c r="P1853" s="13">
        <v>6</v>
      </c>
      <c r="Q1853" s="12">
        <f>INT(P1853/$S$15/O1853*VLOOKUP(J1853,[1]人物技能基础!$N$3:$O$553,2,0)*$U$15)</f>
        <v>9</v>
      </c>
      <c r="R1853" s="12">
        <f t="shared" si="264"/>
        <v>112</v>
      </c>
    </row>
    <row r="1854" spans="1:18" x14ac:dyDescent="0.15">
      <c r="A1854" s="12">
        <v>1836</v>
      </c>
      <c r="B1854" s="12">
        <f t="shared" si="261"/>
        <v>10</v>
      </c>
      <c r="C1854" s="12">
        <f t="shared" si="262"/>
        <v>6.2639999999999993</v>
      </c>
      <c r="D1854" s="12">
        <f t="shared" si="265"/>
        <v>0.17400000000000038</v>
      </c>
      <c r="E1854" s="12">
        <f>SUM($D$19:D1854)</f>
        <v>71.464000000000155</v>
      </c>
      <c r="F1854" s="12">
        <f t="shared" si="259"/>
        <v>776.79430193022415</v>
      </c>
      <c r="G1854" s="12">
        <f t="shared" si="260"/>
        <v>406.71915011672007</v>
      </c>
      <c r="H1854" s="12">
        <f t="shared" si="266"/>
        <v>2796400</v>
      </c>
      <c r="I1854" s="12">
        <f t="shared" si="267"/>
        <v>1464100</v>
      </c>
      <c r="J1854" s="12">
        <f>IF(A1854&lt;[3]关卡对接!$A$4,INDEX([3]关卡对接!$C$7:$C$141,A1854),MATCH(E1854,人物经验!$H$24:$H$573,1))</f>
        <v>550</v>
      </c>
      <c r="K1854" s="12">
        <f>IF([3]关卡对接!F1842="",INT(INDEX(人物经验!$J$24:$J$573,关卡!J1854)*关卡!$S$7),[3]关卡对接!F1842)</f>
        <v>53960</v>
      </c>
      <c r="L1854" s="12">
        <f t="shared" si="263"/>
        <v>2.8</v>
      </c>
      <c r="M1854" s="12">
        <f>L1854/[4]货币基础!$B$4</f>
        <v>280</v>
      </c>
      <c r="N1854" s="12">
        <f>IF(A1854&lt;[3]关卡对接!$A$4,INDEX([3]关卡对接!$E$7:$E$141,A1854),MATCH(E1854,人物经验!$H$24:$H$573,1))</f>
        <v>550</v>
      </c>
      <c r="O1854" s="12">
        <f>INDEX([2]关卡!$G$6:$G$2005,A1854)</f>
        <v>3</v>
      </c>
      <c r="P1854" s="13">
        <v>6</v>
      </c>
      <c r="Q1854" s="12">
        <f>INT(P1854/$S$15/O1854*VLOOKUP(J1854,[1]人物技能基础!$N$3:$O$553,2,0)*$U$15)</f>
        <v>9</v>
      </c>
      <c r="R1854" s="12">
        <f t="shared" si="264"/>
        <v>112</v>
      </c>
    </row>
    <row r="1855" spans="1:18" x14ac:dyDescent="0.15">
      <c r="A1855" s="12">
        <v>1837</v>
      </c>
      <c r="B1855" s="12">
        <f t="shared" si="261"/>
        <v>10</v>
      </c>
      <c r="C1855" s="12">
        <f t="shared" si="262"/>
        <v>6.4379999999999997</v>
      </c>
      <c r="D1855" s="12">
        <f t="shared" si="265"/>
        <v>0.17400000000000038</v>
      </c>
      <c r="E1855" s="12">
        <f>SUM($D$19:D1855)</f>
        <v>71.638000000000162</v>
      </c>
      <c r="F1855" s="12">
        <f t="shared" si="259"/>
        <v>778.02523813553989</v>
      </c>
      <c r="G1855" s="12">
        <f t="shared" si="260"/>
        <v>407.24371186233088</v>
      </c>
      <c r="H1855" s="12">
        <f t="shared" si="266"/>
        <v>2800800</v>
      </c>
      <c r="I1855" s="12">
        <f t="shared" si="267"/>
        <v>1466000</v>
      </c>
      <c r="J1855" s="12">
        <f>IF(A1855&lt;[3]关卡对接!$A$4,INDEX([3]关卡对接!$C$7:$C$141,A1855),MATCH(E1855,人物经验!$H$24:$H$573,1))</f>
        <v>550</v>
      </c>
      <c r="K1855" s="12">
        <f>IF([3]关卡对接!F1843="",INT(INDEX(人物经验!$J$24:$J$573,关卡!J1855)*关卡!$S$7),[3]关卡对接!F1843)</f>
        <v>53960</v>
      </c>
      <c r="L1855" s="12">
        <f t="shared" si="263"/>
        <v>2.8</v>
      </c>
      <c r="M1855" s="12">
        <f>L1855/[4]货币基础!$B$4</f>
        <v>280</v>
      </c>
      <c r="N1855" s="12">
        <f>IF(A1855&lt;[3]关卡对接!$A$4,INDEX([3]关卡对接!$E$7:$E$141,A1855),MATCH(E1855,人物经验!$H$24:$H$573,1))</f>
        <v>550</v>
      </c>
      <c r="O1855" s="12">
        <f>INDEX([2]关卡!$G$6:$G$2005,A1855)</f>
        <v>3</v>
      </c>
      <c r="P1855" s="13">
        <v>6</v>
      </c>
      <c r="Q1855" s="12">
        <f>INT(P1855/$S$15/O1855*VLOOKUP(J1855,[1]人物技能基础!$N$3:$O$553,2,0)*$U$15)</f>
        <v>9</v>
      </c>
      <c r="R1855" s="12">
        <f t="shared" si="264"/>
        <v>112</v>
      </c>
    </row>
    <row r="1856" spans="1:18" x14ac:dyDescent="0.15">
      <c r="A1856" s="12">
        <v>1838</v>
      </c>
      <c r="B1856" s="12">
        <f t="shared" si="261"/>
        <v>10</v>
      </c>
      <c r="C1856" s="12">
        <f t="shared" si="262"/>
        <v>6.6119999999999992</v>
      </c>
      <c r="D1856" s="12">
        <f t="shared" si="265"/>
        <v>0.17399999999999949</v>
      </c>
      <c r="E1856" s="12">
        <f>SUM($D$19:D1856)</f>
        <v>71.812000000000154</v>
      </c>
      <c r="F1856" s="12">
        <f t="shared" si="259"/>
        <v>779.25769750567906</v>
      </c>
      <c r="G1856" s="12">
        <f t="shared" si="260"/>
        <v>407.76879570849508</v>
      </c>
      <c r="H1856" s="12">
        <f t="shared" si="266"/>
        <v>2805300</v>
      </c>
      <c r="I1856" s="12">
        <f t="shared" si="267"/>
        <v>1467900</v>
      </c>
      <c r="J1856" s="12">
        <f>IF(A1856&lt;[3]关卡对接!$A$4,INDEX([3]关卡对接!$C$7:$C$141,A1856),MATCH(E1856,人物经验!$H$24:$H$573,1))</f>
        <v>550</v>
      </c>
      <c r="K1856" s="12">
        <f>IF([3]关卡对接!F1844="",INT(INDEX(人物经验!$J$24:$J$573,关卡!J1856)*关卡!$S$7),[3]关卡对接!F1844)</f>
        <v>53960</v>
      </c>
      <c r="L1856" s="12">
        <f t="shared" si="263"/>
        <v>2.8</v>
      </c>
      <c r="M1856" s="12">
        <f>L1856/[4]货币基础!$B$4</f>
        <v>280</v>
      </c>
      <c r="N1856" s="12">
        <f>IF(A1856&lt;[3]关卡对接!$A$4,INDEX([3]关卡对接!$E$7:$E$141,A1856),MATCH(E1856,人物经验!$H$24:$H$573,1))</f>
        <v>550</v>
      </c>
      <c r="O1856" s="12">
        <f>INDEX([2]关卡!$G$6:$G$2005,A1856)</f>
        <v>3</v>
      </c>
      <c r="P1856" s="13">
        <v>6</v>
      </c>
      <c r="Q1856" s="12">
        <f>INT(P1856/$S$15/O1856*VLOOKUP(J1856,[1]人物技能基础!$N$3:$O$553,2,0)*$U$15)</f>
        <v>9</v>
      </c>
      <c r="R1856" s="12">
        <f t="shared" si="264"/>
        <v>112</v>
      </c>
    </row>
    <row r="1857" spans="1:18" x14ac:dyDescent="0.15">
      <c r="A1857" s="12">
        <v>1839</v>
      </c>
      <c r="B1857" s="12">
        <f t="shared" si="261"/>
        <v>10</v>
      </c>
      <c r="C1857" s="12">
        <f t="shared" si="262"/>
        <v>6.7859999999999996</v>
      </c>
      <c r="D1857" s="12">
        <f t="shared" si="265"/>
        <v>0.17400000000000038</v>
      </c>
      <c r="E1857" s="12">
        <f>SUM($D$19:D1857)</f>
        <v>71.986000000000161</v>
      </c>
      <c r="F1857" s="12">
        <f t="shared" si="259"/>
        <v>780.49168136538492</v>
      </c>
      <c r="G1857" s="12">
        <f t="shared" si="260"/>
        <v>408.29440202955584</v>
      </c>
      <c r="H1857" s="12">
        <f t="shared" si="266"/>
        <v>2809700</v>
      </c>
      <c r="I1857" s="12">
        <f t="shared" si="267"/>
        <v>1469800</v>
      </c>
      <c r="J1857" s="12">
        <f>IF(A1857&lt;[3]关卡对接!$A$4,INDEX([3]关卡对接!$C$7:$C$141,A1857),MATCH(E1857,人物经验!$H$24:$H$573,1))</f>
        <v>550</v>
      </c>
      <c r="K1857" s="12">
        <f>IF([3]关卡对接!F1845="",INT(INDEX(人物经验!$J$24:$J$573,关卡!J1857)*关卡!$S$7),[3]关卡对接!F1845)</f>
        <v>53960</v>
      </c>
      <c r="L1857" s="12">
        <f t="shared" si="263"/>
        <v>2.8</v>
      </c>
      <c r="M1857" s="12">
        <f>L1857/[4]货币基础!$B$4</f>
        <v>280</v>
      </c>
      <c r="N1857" s="12">
        <f>IF(A1857&lt;[3]关卡对接!$A$4,INDEX([3]关卡对接!$E$7:$E$141,A1857),MATCH(E1857,人物经验!$H$24:$H$573,1))</f>
        <v>550</v>
      </c>
      <c r="O1857" s="12">
        <f>INDEX([2]关卡!$G$6:$G$2005,A1857)</f>
        <v>3</v>
      </c>
      <c r="P1857" s="13">
        <v>6</v>
      </c>
      <c r="Q1857" s="12">
        <f>INT(P1857/$S$15/O1857*VLOOKUP(J1857,[1]人物技能基础!$N$3:$O$553,2,0)*$U$15)</f>
        <v>9</v>
      </c>
      <c r="R1857" s="12">
        <f t="shared" si="264"/>
        <v>112</v>
      </c>
    </row>
    <row r="1858" spans="1:18" x14ac:dyDescent="0.15">
      <c r="A1858" s="12">
        <v>1840</v>
      </c>
      <c r="B1858" s="12">
        <f t="shared" si="261"/>
        <v>10</v>
      </c>
      <c r="C1858" s="12">
        <f t="shared" si="262"/>
        <v>6.96</v>
      </c>
      <c r="D1858" s="12">
        <f t="shared" si="265"/>
        <v>0.17400000000000038</v>
      </c>
      <c r="E1858" s="12">
        <f>SUM($D$19:D1858)</f>
        <v>72.160000000000167</v>
      </c>
      <c r="F1858" s="12">
        <f t="shared" si="259"/>
        <v>781.72719104000009</v>
      </c>
      <c r="G1858" s="12">
        <f t="shared" si="260"/>
        <v>408.82053119999995</v>
      </c>
      <c r="H1858" s="12">
        <f t="shared" si="266"/>
        <v>2814200</v>
      </c>
      <c r="I1858" s="12">
        <f t="shared" si="267"/>
        <v>1471700</v>
      </c>
      <c r="J1858" s="12">
        <f>IF(A1858&lt;[3]关卡对接!$A$4,INDEX([3]关卡对接!$C$7:$C$141,A1858),MATCH(E1858,人物经验!$H$24:$H$573,1))</f>
        <v>550</v>
      </c>
      <c r="K1858" s="12">
        <f>IF([3]关卡对接!F1846="",INT(INDEX(人物经验!$J$24:$J$573,关卡!J1858)*关卡!$S$7),[3]关卡对接!F1846)</f>
        <v>53960</v>
      </c>
      <c r="L1858" s="12">
        <f t="shared" si="263"/>
        <v>2.8</v>
      </c>
      <c r="M1858" s="12">
        <f>L1858/[4]货币基础!$B$4</f>
        <v>280</v>
      </c>
      <c r="N1858" s="12">
        <f>IF(A1858&lt;[3]关卡对接!$A$4,INDEX([3]关卡对接!$E$7:$E$141,A1858),MATCH(E1858,人物经验!$H$24:$H$573,1))</f>
        <v>550</v>
      </c>
      <c r="O1858" s="12">
        <f>INDEX([2]关卡!$G$6:$G$2005,A1858)</f>
        <v>3</v>
      </c>
      <c r="P1858" s="13">
        <v>6</v>
      </c>
      <c r="Q1858" s="12">
        <f>INT(P1858/$S$15/O1858*VLOOKUP(J1858,[1]人物技能基础!$N$3:$O$553,2,0)*$U$15)</f>
        <v>9</v>
      </c>
      <c r="R1858" s="12">
        <f t="shared" si="264"/>
        <v>112</v>
      </c>
    </row>
    <row r="1859" spans="1:18" x14ac:dyDescent="0.15">
      <c r="A1859" s="12">
        <v>1841</v>
      </c>
      <c r="B1859" s="12">
        <f t="shared" si="261"/>
        <v>10</v>
      </c>
      <c r="C1859" s="12">
        <f t="shared" si="262"/>
        <v>7.1339999999999986</v>
      </c>
      <c r="D1859" s="12">
        <f t="shared" si="265"/>
        <v>0.1739999999999986</v>
      </c>
      <c r="E1859" s="12">
        <f>SUM($D$19:D1859)</f>
        <v>72.33400000000016</v>
      </c>
      <c r="F1859" s="12">
        <f t="shared" si="259"/>
        <v>782.96422785546497</v>
      </c>
      <c r="G1859" s="12">
        <f t="shared" si="260"/>
        <v>409.34718359445588</v>
      </c>
      <c r="H1859" s="12">
        <f t="shared" si="266"/>
        <v>2818600</v>
      </c>
      <c r="I1859" s="12">
        <f t="shared" si="267"/>
        <v>1473600</v>
      </c>
      <c r="J1859" s="12">
        <f>IF(A1859&lt;[3]关卡对接!$A$4,INDEX([3]关卡对接!$C$7:$C$141,A1859),MATCH(E1859,人物经验!$H$24:$H$573,1))</f>
        <v>550</v>
      </c>
      <c r="K1859" s="12">
        <f>IF([3]关卡对接!F1847="",INT(INDEX(人物经验!$J$24:$J$573,关卡!J1859)*关卡!$S$7),[3]关卡对接!F1847)</f>
        <v>53960</v>
      </c>
      <c r="L1859" s="12">
        <f t="shared" si="263"/>
        <v>2.8</v>
      </c>
      <c r="M1859" s="12">
        <f>L1859/[4]货币基础!$B$4</f>
        <v>280</v>
      </c>
      <c r="N1859" s="12">
        <f>IF(A1859&lt;[3]关卡对接!$A$4,INDEX([3]关卡对接!$E$7:$E$141,A1859),MATCH(E1859,人物经验!$H$24:$H$573,1))</f>
        <v>550</v>
      </c>
      <c r="O1859" s="12">
        <f>INDEX([2]关卡!$G$6:$G$2005,A1859)</f>
        <v>3</v>
      </c>
      <c r="P1859" s="13">
        <v>6</v>
      </c>
      <c r="Q1859" s="12">
        <f>INT(P1859/$S$15/O1859*VLOOKUP(J1859,[1]人物技能基础!$N$3:$O$553,2,0)*$U$15)</f>
        <v>9</v>
      </c>
      <c r="R1859" s="12">
        <f t="shared" si="264"/>
        <v>112</v>
      </c>
    </row>
    <row r="1860" spans="1:18" x14ac:dyDescent="0.15">
      <c r="A1860" s="12">
        <v>1842</v>
      </c>
      <c r="B1860" s="12">
        <f t="shared" si="261"/>
        <v>10</v>
      </c>
      <c r="C1860" s="12">
        <f t="shared" si="262"/>
        <v>7.3079999999999989</v>
      </c>
      <c r="D1860" s="12">
        <f t="shared" si="265"/>
        <v>0.17400000000000038</v>
      </c>
      <c r="E1860" s="12">
        <f>SUM($D$19:D1860)</f>
        <v>72.508000000000166</v>
      </c>
      <c r="F1860" s="12">
        <f t="shared" si="259"/>
        <v>784.20279313831907</v>
      </c>
      <c r="G1860" s="12">
        <f t="shared" si="260"/>
        <v>409.87435958769504</v>
      </c>
      <c r="H1860" s="12">
        <f t="shared" si="266"/>
        <v>2823100</v>
      </c>
      <c r="I1860" s="12">
        <f t="shared" si="267"/>
        <v>1475500</v>
      </c>
      <c r="J1860" s="12">
        <f>IF(A1860&lt;[3]关卡对接!$A$4,INDEX([3]关卡对接!$C$7:$C$141,A1860),MATCH(E1860,人物经验!$H$24:$H$573,1))</f>
        <v>550</v>
      </c>
      <c r="K1860" s="12">
        <f>IF([3]关卡对接!F1848="",INT(INDEX(人物经验!$J$24:$J$573,关卡!J1860)*关卡!$S$7),[3]关卡对接!F1848)</f>
        <v>53960</v>
      </c>
      <c r="L1860" s="12">
        <f t="shared" si="263"/>
        <v>2.8</v>
      </c>
      <c r="M1860" s="12">
        <f>L1860/[4]货币基础!$B$4</f>
        <v>280</v>
      </c>
      <c r="N1860" s="12">
        <f>IF(A1860&lt;[3]关卡对接!$A$4,INDEX([3]关卡对接!$E$7:$E$141,A1860),MATCH(E1860,人物经验!$H$24:$H$573,1))</f>
        <v>550</v>
      </c>
      <c r="O1860" s="12">
        <f>INDEX([2]关卡!$G$6:$G$2005,A1860)</f>
        <v>3</v>
      </c>
      <c r="P1860" s="13">
        <v>6</v>
      </c>
      <c r="Q1860" s="12">
        <f>INT(P1860/$S$15/O1860*VLOOKUP(J1860,[1]人物技能基础!$N$3:$O$553,2,0)*$U$15)</f>
        <v>9</v>
      </c>
      <c r="R1860" s="12">
        <f t="shared" si="264"/>
        <v>112</v>
      </c>
    </row>
    <row r="1861" spans="1:18" x14ac:dyDescent="0.15">
      <c r="A1861" s="12">
        <v>1843</v>
      </c>
      <c r="B1861" s="12">
        <f t="shared" si="261"/>
        <v>10</v>
      </c>
      <c r="C1861" s="12">
        <f t="shared" si="262"/>
        <v>7.4819999999999993</v>
      </c>
      <c r="D1861" s="12">
        <f t="shared" si="265"/>
        <v>0.17400000000000038</v>
      </c>
      <c r="E1861" s="12">
        <f>SUM($D$19:D1861)</f>
        <v>72.682000000000173</v>
      </c>
      <c r="F1861" s="12">
        <f t="shared" si="259"/>
        <v>785.44288821570001</v>
      </c>
      <c r="G1861" s="12">
        <f t="shared" si="260"/>
        <v>410.40205955463091</v>
      </c>
      <c r="H1861" s="12">
        <f t="shared" si="266"/>
        <v>2827500</v>
      </c>
      <c r="I1861" s="12">
        <f t="shared" si="267"/>
        <v>1477400</v>
      </c>
      <c r="J1861" s="12">
        <f>IF(A1861&lt;[3]关卡对接!$A$4,INDEX([3]关卡对接!$C$7:$C$141,A1861),MATCH(E1861,人物经验!$H$24:$H$573,1))</f>
        <v>550</v>
      </c>
      <c r="K1861" s="12">
        <f>IF([3]关卡对接!F1849="",INT(INDEX(人物经验!$J$24:$J$573,关卡!J1861)*关卡!$S$7),[3]关卡对接!F1849)</f>
        <v>53960</v>
      </c>
      <c r="L1861" s="12">
        <f t="shared" si="263"/>
        <v>2.8</v>
      </c>
      <c r="M1861" s="12">
        <f>L1861/[4]货币基础!$B$4</f>
        <v>280</v>
      </c>
      <c r="N1861" s="12">
        <f>IF(A1861&lt;[3]关卡对接!$A$4,INDEX([3]关卡对接!$E$7:$E$141,A1861),MATCH(E1861,人物经验!$H$24:$H$573,1))</f>
        <v>550</v>
      </c>
      <c r="O1861" s="12">
        <f>INDEX([2]关卡!$G$6:$G$2005,A1861)</f>
        <v>3</v>
      </c>
      <c r="P1861" s="13">
        <v>6</v>
      </c>
      <c r="Q1861" s="12">
        <f>INT(P1861/$S$15/O1861*VLOOKUP(J1861,[1]人物技能基础!$N$3:$O$553,2,0)*$U$15)</f>
        <v>9</v>
      </c>
      <c r="R1861" s="12">
        <f t="shared" si="264"/>
        <v>112</v>
      </c>
    </row>
    <row r="1862" spans="1:18" x14ac:dyDescent="0.15">
      <c r="A1862" s="12">
        <v>1844</v>
      </c>
      <c r="B1862" s="12">
        <f t="shared" si="261"/>
        <v>10</v>
      </c>
      <c r="C1862" s="12">
        <f t="shared" si="262"/>
        <v>7.6559999999999997</v>
      </c>
      <c r="D1862" s="12">
        <f t="shared" si="265"/>
        <v>0.17400000000000038</v>
      </c>
      <c r="E1862" s="12">
        <f>SUM($D$19:D1862)</f>
        <v>72.856000000000179</v>
      </c>
      <c r="F1862" s="12">
        <f t="shared" si="259"/>
        <v>786.68451441534398</v>
      </c>
      <c r="G1862" s="12">
        <f t="shared" si="260"/>
        <v>410.93028387032001</v>
      </c>
      <c r="H1862" s="12">
        <f t="shared" si="266"/>
        <v>2832000</v>
      </c>
      <c r="I1862" s="12">
        <f t="shared" si="267"/>
        <v>1479300</v>
      </c>
      <c r="J1862" s="12">
        <f>IF(A1862&lt;[3]关卡对接!$A$4,INDEX([3]关卡对接!$C$7:$C$141,A1862),MATCH(E1862,人物经验!$H$24:$H$573,1))</f>
        <v>550</v>
      </c>
      <c r="K1862" s="12">
        <f>IF([3]关卡对接!F1850="",INT(INDEX(人物经验!$J$24:$J$573,关卡!J1862)*关卡!$S$7),[3]关卡对接!F1850)</f>
        <v>53960</v>
      </c>
      <c r="L1862" s="12">
        <f t="shared" si="263"/>
        <v>2.8</v>
      </c>
      <c r="M1862" s="12">
        <f>L1862/[4]货币基础!$B$4</f>
        <v>280</v>
      </c>
      <c r="N1862" s="12">
        <f>IF(A1862&lt;[3]关卡对接!$A$4,INDEX([3]关卡对接!$E$7:$E$141,A1862),MATCH(E1862,人物经验!$H$24:$H$573,1))</f>
        <v>550</v>
      </c>
      <c r="O1862" s="12">
        <f>INDEX([2]关卡!$G$6:$G$2005,A1862)</f>
        <v>3</v>
      </c>
      <c r="P1862" s="13">
        <v>6</v>
      </c>
      <c r="Q1862" s="12">
        <f>INT(P1862/$S$15/O1862*VLOOKUP(J1862,[1]人物技能基础!$N$3:$O$553,2,0)*$U$15)</f>
        <v>9</v>
      </c>
      <c r="R1862" s="12">
        <f t="shared" si="264"/>
        <v>112</v>
      </c>
    </row>
    <row r="1863" spans="1:18" x14ac:dyDescent="0.15">
      <c r="A1863" s="12">
        <v>1845</v>
      </c>
      <c r="B1863" s="12">
        <f t="shared" si="261"/>
        <v>10</v>
      </c>
      <c r="C1863" s="12">
        <f t="shared" si="262"/>
        <v>7.8299999999999992</v>
      </c>
      <c r="D1863" s="12">
        <f t="shared" si="265"/>
        <v>0.17399999999999949</v>
      </c>
      <c r="E1863" s="12">
        <f>SUM($D$19:D1863)</f>
        <v>73.030000000000172</v>
      </c>
      <c r="F1863" s="12">
        <f t="shared" si="259"/>
        <v>787.92767306558596</v>
      </c>
      <c r="G1863" s="12">
        <f t="shared" si="260"/>
        <v>411.45903290996091</v>
      </c>
      <c r="H1863" s="12">
        <f t="shared" si="266"/>
        <v>2836500</v>
      </c>
      <c r="I1863" s="12">
        <f t="shared" si="267"/>
        <v>1481200</v>
      </c>
      <c r="J1863" s="12">
        <f>IF(A1863&lt;[3]关卡对接!$A$4,INDEX([3]关卡对接!$C$7:$C$141,A1863),MATCH(E1863,人物经验!$H$24:$H$573,1))</f>
        <v>550</v>
      </c>
      <c r="K1863" s="12">
        <f>IF([3]关卡对接!F1851="",INT(INDEX(人物经验!$J$24:$J$573,关卡!J1863)*关卡!$S$7),[3]关卡对接!F1851)</f>
        <v>53960</v>
      </c>
      <c r="L1863" s="12">
        <f t="shared" si="263"/>
        <v>2.8</v>
      </c>
      <c r="M1863" s="12">
        <f>L1863/[4]货币基础!$B$4</f>
        <v>280</v>
      </c>
      <c r="N1863" s="12">
        <f>IF(A1863&lt;[3]关卡对接!$A$4,INDEX([3]关卡对接!$E$7:$E$141,A1863),MATCH(E1863,人物经验!$H$24:$H$573,1))</f>
        <v>550</v>
      </c>
      <c r="O1863" s="12">
        <f>INDEX([2]关卡!$G$6:$G$2005,A1863)</f>
        <v>3</v>
      </c>
      <c r="P1863" s="13">
        <v>6</v>
      </c>
      <c r="Q1863" s="12">
        <f>INT(P1863/$S$15/O1863*VLOOKUP(J1863,[1]人物技能基础!$N$3:$O$553,2,0)*$U$15)</f>
        <v>9</v>
      </c>
      <c r="R1863" s="12">
        <f t="shared" si="264"/>
        <v>112</v>
      </c>
    </row>
    <row r="1864" spans="1:18" x14ac:dyDescent="0.15">
      <c r="A1864" s="12">
        <v>1846</v>
      </c>
      <c r="B1864" s="12">
        <f t="shared" si="261"/>
        <v>10</v>
      </c>
      <c r="C1864" s="12">
        <f t="shared" si="262"/>
        <v>8.0039999999999996</v>
      </c>
      <c r="D1864" s="12">
        <f t="shared" si="265"/>
        <v>0.17400000000000038</v>
      </c>
      <c r="E1864" s="12">
        <f>SUM($D$19:D1864)</f>
        <v>73.204000000000178</v>
      </c>
      <c r="F1864" s="12">
        <f t="shared" si="259"/>
        <v>789.17236549535903</v>
      </c>
      <c r="G1864" s="12">
        <f t="shared" si="260"/>
        <v>411.98830704889502</v>
      </c>
      <c r="H1864" s="12">
        <f t="shared" si="266"/>
        <v>2841000</v>
      </c>
      <c r="I1864" s="12">
        <f t="shared" si="267"/>
        <v>1483100</v>
      </c>
      <c r="J1864" s="12">
        <f>IF(A1864&lt;[3]关卡对接!$A$4,INDEX([3]关卡对接!$C$7:$C$141,A1864),MATCH(E1864,人物经验!$H$24:$H$573,1))</f>
        <v>550</v>
      </c>
      <c r="K1864" s="12">
        <f>IF([3]关卡对接!F1852="",INT(INDEX(人物经验!$J$24:$J$573,关卡!J1864)*关卡!$S$7),[3]关卡对接!F1852)</f>
        <v>53960</v>
      </c>
      <c r="L1864" s="12">
        <f t="shared" si="263"/>
        <v>2.8</v>
      </c>
      <c r="M1864" s="12">
        <f>L1864/[4]货币基础!$B$4</f>
        <v>280</v>
      </c>
      <c r="N1864" s="12">
        <f>IF(A1864&lt;[3]关卡对接!$A$4,INDEX([3]关卡对接!$E$7:$E$141,A1864),MATCH(E1864,人物经验!$H$24:$H$573,1))</f>
        <v>550</v>
      </c>
      <c r="O1864" s="12">
        <f>INDEX([2]关卡!$G$6:$G$2005,A1864)</f>
        <v>3</v>
      </c>
      <c r="P1864" s="13">
        <v>6</v>
      </c>
      <c r="Q1864" s="12">
        <f>INT(P1864/$S$15/O1864*VLOOKUP(J1864,[1]人物技能基础!$N$3:$O$553,2,0)*$U$15)</f>
        <v>9</v>
      </c>
      <c r="R1864" s="12">
        <f t="shared" si="264"/>
        <v>112</v>
      </c>
    </row>
    <row r="1865" spans="1:18" x14ac:dyDescent="0.15">
      <c r="A1865" s="12">
        <v>1847</v>
      </c>
      <c r="B1865" s="12">
        <f t="shared" si="261"/>
        <v>10</v>
      </c>
      <c r="C1865" s="12">
        <f t="shared" si="262"/>
        <v>8.177999999999999</v>
      </c>
      <c r="D1865" s="12">
        <f t="shared" si="265"/>
        <v>0.17399999999999949</v>
      </c>
      <c r="E1865" s="12">
        <f>SUM($D$19:D1865)</f>
        <v>73.378000000000185</v>
      </c>
      <c r="F1865" s="12">
        <f t="shared" si="259"/>
        <v>790.41859303419494</v>
      </c>
      <c r="G1865" s="12">
        <f t="shared" si="260"/>
        <v>412.51810666260593</v>
      </c>
      <c r="H1865" s="12">
        <f t="shared" si="266"/>
        <v>2845500</v>
      </c>
      <c r="I1865" s="12">
        <f t="shared" si="267"/>
        <v>1485000</v>
      </c>
      <c r="J1865" s="12">
        <f>IF(A1865&lt;[3]关卡对接!$A$4,INDEX([3]关卡对接!$C$7:$C$141,A1865),MATCH(E1865,人物经验!$H$24:$H$573,1))</f>
        <v>550</v>
      </c>
      <c r="K1865" s="12">
        <f>IF([3]关卡对接!F1853="",INT(INDEX(人物经验!$J$24:$J$573,关卡!J1865)*关卡!$S$7),[3]关卡对接!F1853)</f>
        <v>53960</v>
      </c>
      <c r="L1865" s="12">
        <f t="shared" si="263"/>
        <v>2.8</v>
      </c>
      <c r="M1865" s="12">
        <f>L1865/[4]货币基础!$B$4</f>
        <v>280</v>
      </c>
      <c r="N1865" s="12">
        <f>IF(A1865&lt;[3]关卡对接!$A$4,INDEX([3]关卡对接!$E$7:$E$141,A1865),MATCH(E1865,人物经验!$H$24:$H$573,1))</f>
        <v>550</v>
      </c>
      <c r="O1865" s="12">
        <f>INDEX([2]关卡!$G$6:$G$2005,A1865)</f>
        <v>3</v>
      </c>
      <c r="P1865" s="13">
        <v>6</v>
      </c>
      <c r="Q1865" s="12">
        <f>INT(P1865/$S$15/O1865*VLOOKUP(J1865,[1]人物技能基础!$N$3:$O$553,2,0)*$U$15)</f>
        <v>9</v>
      </c>
      <c r="R1865" s="12">
        <f t="shared" si="264"/>
        <v>112</v>
      </c>
    </row>
    <row r="1866" spans="1:18" x14ac:dyDescent="0.15">
      <c r="A1866" s="12">
        <v>1848</v>
      </c>
      <c r="B1866" s="12">
        <f t="shared" si="261"/>
        <v>10</v>
      </c>
      <c r="C1866" s="12">
        <f t="shared" si="262"/>
        <v>8.3519999999999985</v>
      </c>
      <c r="D1866" s="12">
        <f t="shared" si="265"/>
        <v>0.17399999999999949</v>
      </c>
      <c r="E1866" s="12">
        <f>SUM($D$19:D1866)</f>
        <v>73.552000000000191</v>
      </c>
      <c r="F1866" s="12">
        <f t="shared" si="259"/>
        <v>791.66635701222424</v>
      </c>
      <c r="G1866" s="12">
        <f t="shared" si="260"/>
        <v>413.04843212672006</v>
      </c>
      <c r="H1866" s="12">
        <f t="shared" si="266"/>
        <v>2849900</v>
      </c>
      <c r="I1866" s="12">
        <f t="shared" si="267"/>
        <v>1486900</v>
      </c>
      <c r="J1866" s="12">
        <f>IF(A1866&lt;[3]关卡对接!$A$4,INDEX([3]关卡对接!$C$7:$C$141,A1866),MATCH(E1866,人物经验!$H$24:$H$573,1))</f>
        <v>550</v>
      </c>
      <c r="K1866" s="12">
        <f>IF([3]关卡对接!F1854="",INT(INDEX(人物经验!$J$24:$J$573,关卡!J1866)*关卡!$S$7),[3]关卡对接!F1854)</f>
        <v>53960</v>
      </c>
      <c r="L1866" s="12">
        <f t="shared" si="263"/>
        <v>2.8</v>
      </c>
      <c r="M1866" s="12">
        <f>L1866/[4]货币基础!$B$4</f>
        <v>280</v>
      </c>
      <c r="N1866" s="12">
        <f>IF(A1866&lt;[3]关卡对接!$A$4,INDEX([3]关卡对接!$E$7:$E$141,A1866),MATCH(E1866,人物经验!$H$24:$H$573,1))</f>
        <v>550</v>
      </c>
      <c r="O1866" s="12">
        <f>INDEX([2]关卡!$G$6:$G$2005,A1866)</f>
        <v>3</v>
      </c>
      <c r="P1866" s="13">
        <v>6</v>
      </c>
      <c r="Q1866" s="12">
        <f>INT(P1866/$S$15/O1866*VLOOKUP(J1866,[1]人物技能基础!$N$3:$O$553,2,0)*$U$15)</f>
        <v>9</v>
      </c>
      <c r="R1866" s="12">
        <f t="shared" si="264"/>
        <v>112</v>
      </c>
    </row>
    <row r="1867" spans="1:18" x14ac:dyDescent="0.15">
      <c r="A1867" s="12">
        <v>1849</v>
      </c>
      <c r="B1867" s="12">
        <f t="shared" si="261"/>
        <v>10</v>
      </c>
      <c r="C1867" s="12">
        <f t="shared" si="262"/>
        <v>8.5259999999999998</v>
      </c>
      <c r="D1867" s="12">
        <f t="shared" si="265"/>
        <v>0.17400000000000126</v>
      </c>
      <c r="E1867" s="12">
        <f>SUM($D$19:D1867)</f>
        <v>73.726000000000198</v>
      </c>
      <c r="F1867" s="12">
        <f t="shared" si="259"/>
        <v>792.91565876017501</v>
      </c>
      <c r="G1867" s="12">
        <f t="shared" si="260"/>
        <v>413.57928381700589</v>
      </c>
      <c r="H1867" s="12">
        <f t="shared" si="266"/>
        <v>2854400</v>
      </c>
      <c r="I1867" s="12">
        <f t="shared" si="267"/>
        <v>1488800</v>
      </c>
      <c r="J1867" s="12">
        <f>IF(A1867&lt;[3]关卡对接!$A$4,INDEX([3]关卡对接!$C$7:$C$141,A1867),MATCH(E1867,人物经验!$H$24:$H$573,1))</f>
        <v>550</v>
      </c>
      <c r="K1867" s="12">
        <f>IF([3]关卡对接!F1855="",INT(INDEX(人物经验!$J$24:$J$573,关卡!J1867)*关卡!$S$7),[3]关卡对接!F1855)</f>
        <v>53960</v>
      </c>
      <c r="L1867" s="12">
        <f t="shared" si="263"/>
        <v>2.8</v>
      </c>
      <c r="M1867" s="12">
        <f>L1867/[4]货币基础!$B$4</f>
        <v>280</v>
      </c>
      <c r="N1867" s="12">
        <f>IF(A1867&lt;[3]关卡对接!$A$4,INDEX([3]关卡对接!$E$7:$E$141,A1867),MATCH(E1867,人物经验!$H$24:$H$573,1))</f>
        <v>550</v>
      </c>
      <c r="O1867" s="12">
        <f>INDEX([2]关卡!$G$6:$G$2005,A1867)</f>
        <v>3</v>
      </c>
      <c r="P1867" s="13">
        <v>6</v>
      </c>
      <c r="Q1867" s="12">
        <f>INT(P1867/$S$15/O1867*VLOOKUP(J1867,[1]人物技能基础!$N$3:$O$553,2,0)*$U$15)</f>
        <v>9</v>
      </c>
      <c r="R1867" s="12">
        <f t="shared" si="264"/>
        <v>112</v>
      </c>
    </row>
    <row r="1868" spans="1:18" x14ac:dyDescent="0.15">
      <c r="A1868" s="12">
        <v>1850</v>
      </c>
      <c r="B1868" s="12">
        <f t="shared" si="261"/>
        <v>10</v>
      </c>
      <c r="C1868" s="12">
        <f t="shared" si="262"/>
        <v>8.6999999999999993</v>
      </c>
      <c r="D1868" s="12">
        <f t="shared" si="265"/>
        <v>0.17399999999999949</v>
      </c>
      <c r="E1868" s="12">
        <f>SUM($D$19:D1868)</f>
        <v>73.900000000000205</v>
      </c>
      <c r="F1868" s="12">
        <f t="shared" si="259"/>
        <v>794.16649960937514</v>
      </c>
      <c r="G1868" s="12">
        <f t="shared" si="260"/>
        <v>414.11066210937503</v>
      </c>
      <c r="H1868" s="12">
        <f t="shared" si="266"/>
        <v>2858900</v>
      </c>
      <c r="I1868" s="12">
        <f t="shared" si="267"/>
        <v>1490700</v>
      </c>
      <c r="J1868" s="12">
        <f>IF(A1868&lt;[3]关卡对接!$A$4,INDEX([3]关卡对接!$C$7:$C$141,A1868),MATCH(E1868,人物经验!$H$24:$H$573,1))</f>
        <v>550</v>
      </c>
      <c r="K1868" s="12">
        <f>IF([3]关卡对接!F1856="",INT(INDEX(人物经验!$J$24:$J$573,关卡!J1868)*关卡!$S$7),[3]关卡对接!F1856)</f>
        <v>53960</v>
      </c>
      <c r="L1868" s="12">
        <f t="shared" si="263"/>
        <v>2.8</v>
      </c>
      <c r="M1868" s="12">
        <f>L1868/[4]货币基础!$B$4</f>
        <v>280</v>
      </c>
      <c r="N1868" s="12">
        <f>IF(A1868&lt;[3]关卡对接!$A$4,INDEX([3]关卡对接!$E$7:$E$141,A1868),MATCH(E1868,人物经验!$H$24:$H$573,1))</f>
        <v>550</v>
      </c>
      <c r="O1868" s="12">
        <f>INDEX([2]关卡!$G$6:$G$2005,A1868)</f>
        <v>3</v>
      </c>
      <c r="P1868" s="13">
        <v>6</v>
      </c>
      <c r="Q1868" s="12">
        <f>INT(P1868/$S$15/O1868*VLOOKUP(J1868,[1]人物技能基础!$N$3:$O$553,2,0)*$U$15)</f>
        <v>9</v>
      </c>
      <c r="R1868" s="12">
        <f t="shared" si="264"/>
        <v>112</v>
      </c>
    </row>
    <row r="1869" spans="1:18" x14ac:dyDescent="0.15">
      <c r="A1869" s="12">
        <v>1851</v>
      </c>
      <c r="B1869" s="12">
        <f t="shared" si="261"/>
        <v>10</v>
      </c>
      <c r="C1869" s="12">
        <f t="shared" si="262"/>
        <v>8.8739999999999988</v>
      </c>
      <c r="D1869" s="12">
        <f t="shared" si="265"/>
        <v>0.17399999999999949</v>
      </c>
      <c r="E1869" s="12">
        <f>SUM($D$19:D1869)</f>
        <v>74.074000000000211</v>
      </c>
      <c r="F1869" s="12">
        <f t="shared" si="259"/>
        <v>795.41888089174984</v>
      </c>
      <c r="G1869" s="12">
        <f t="shared" si="260"/>
        <v>414.64256737988092</v>
      </c>
      <c r="H1869" s="12">
        <f t="shared" si="266"/>
        <v>2863500</v>
      </c>
      <c r="I1869" s="12">
        <f t="shared" si="267"/>
        <v>1492700</v>
      </c>
      <c r="J1869" s="12">
        <f>IF(A1869&lt;[3]关卡对接!$A$4,INDEX([3]关卡对接!$C$7:$C$141,A1869),MATCH(E1869,人物经验!$H$24:$H$573,1))</f>
        <v>550</v>
      </c>
      <c r="K1869" s="12">
        <f>IF([3]关卡对接!F1857="",INT(INDEX(人物经验!$J$24:$J$573,关卡!J1869)*关卡!$S$7),[3]关卡对接!F1857)</f>
        <v>53960</v>
      </c>
      <c r="L1869" s="12">
        <f t="shared" si="263"/>
        <v>2.8</v>
      </c>
      <c r="M1869" s="12">
        <f>L1869/[4]货币基础!$B$4</f>
        <v>280</v>
      </c>
      <c r="N1869" s="12">
        <f>IF(A1869&lt;[3]关卡对接!$A$4,INDEX([3]关卡对接!$E$7:$E$141,A1869),MATCH(E1869,人物经验!$H$24:$H$573,1))</f>
        <v>550</v>
      </c>
      <c r="O1869" s="12">
        <f>INDEX([2]关卡!$G$6:$G$2005,A1869)</f>
        <v>3</v>
      </c>
      <c r="P1869" s="13">
        <v>6</v>
      </c>
      <c r="Q1869" s="12">
        <f>INT(P1869/$S$15/O1869*VLOOKUP(J1869,[1]人物技能基础!$N$3:$O$553,2,0)*$U$15)</f>
        <v>9</v>
      </c>
      <c r="R1869" s="12">
        <f t="shared" si="264"/>
        <v>112</v>
      </c>
    </row>
    <row r="1870" spans="1:18" x14ac:dyDescent="0.15">
      <c r="A1870" s="12">
        <v>1852</v>
      </c>
      <c r="B1870" s="12">
        <f t="shared" si="261"/>
        <v>10</v>
      </c>
      <c r="C1870" s="12">
        <f t="shared" si="262"/>
        <v>9.048</v>
      </c>
      <c r="D1870" s="12">
        <f t="shared" si="265"/>
        <v>0.17400000000000126</v>
      </c>
      <c r="E1870" s="12">
        <f>SUM($D$19:D1870)</f>
        <v>74.248000000000218</v>
      </c>
      <c r="F1870" s="12">
        <f t="shared" si="259"/>
        <v>796.67280393982435</v>
      </c>
      <c r="G1870" s="12">
        <f t="shared" si="260"/>
        <v>415.17500000472006</v>
      </c>
      <c r="H1870" s="12">
        <f t="shared" si="266"/>
        <v>2868000</v>
      </c>
      <c r="I1870" s="12">
        <f t="shared" si="267"/>
        <v>1494600</v>
      </c>
      <c r="J1870" s="12">
        <f>IF(A1870&lt;[3]关卡对接!$A$4,INDEX([3]关卡对接!$C$7:$C$141,A1870),MATCH(E1870,人物经验!$H$24:$H$573,1))</f>
        <v>550</v>
      </c>
      <c r="K1870" s="12">
        <f>IF([3]关卡对接!F1858="",INT(INDEX(人物经验!$J$24:$J$573,关卡!J1870)*关卡!$S$7),[3]关卡对接!F1858)</f>
        <v>53960</v>
      </c>
      <c r="L1870" s="12">
        <f t="shared" si="263"/>
        <v>2.8</v>
      </c>
      <c r="M1870" s="12">
        <f>L1870/[4]货币基础!$B$4</f>
        <v>280</v>
      </c>
      <c r="N1870" s="12">
        <f>IF(A1870&lt;[3]关卡对接!$A$4,INDEX([3]关卡对接!$E$7:$E$141,A1870),MATCH(E1870,人物经验!$H$24:$H$573,1))</f>
        <v>550</v>
      </c>
      <c r="O1870" s="12">
        <f>INDEX([2]关卡!$G$6:$G$2005,A1870)</f>
        <v>3</v>
      </c>
      <c r="P1870" s="13">
        <v>6</v>
      </c>
      <c r="Q1870" s="12">
        <f>INT(P1870/$S$15/O1870*VLOOKUP(J1870,[1]人物技能基础!$N$3:$O$553,2,0)*$U$15)</f>
        <v>9</v>
      </c>
      <c r="R1870" s="12">
        <f t="shared" si="264"/>
        <v>112</v>
      </c>
    </row>
    <row r="1871" spans="1:18" x14ac:dyDescent="0.15">
      <c r="A1871" s="12">
        <v>1853</v>
      </c>
      <c r="B1871" s="12">
        <f t="shared" si="261"/>
        <v>10</v>
      </c>
      <c r="C1871" s="12">
        <f t="shared" si="262"/>
        <v>9.2219999999999995</v>
      </c>
      <c r="D1871" s="12">
        <f t="shared" si="265"/>
        <v>0.17399999999999949</v>
      </c>
      <c r="E1871" s="12">
        <f>SUM($D$19:D1871)</f>
        <v>74.422000000000224</v>
      </c>
      <c r="F1871" s="12">
        <f t="shared" si="259"/>
        <v>797.92827008671998</v>
      </c>
      <c r="G1871" s="12">
        <f t="shared" si="260"/>
        <v>415.70796036023097</v>
      </c>
      <c r="H1871" s="12">
        <f t="shared" si="266"/>
        <v>2872500</v>
      </c>
      <c r="I1871" s="12">
        <f t="shared" si="267"/>
        <v>1496500</v>
      </c>
      <c r="J1871" s="12">
        <f>IF(A1871&lt;[3]关卡对接!$A$4,INDEX([3]关卡对接!$C$7:$C$141,A1871),MATCH(E1871,人物经验!$H$24:$H$573,1))</f>
        <v>550</v>
      </c>
      <c r="K1871" s="12">
        <f>IF([3]关卡对接!F1859="",INT(INDEX(人物经验!$J$24:$J$573,关卡!J1871)*关卡!$S$7),[3]关卡对接!F1859)</f>
        <v>53960</v>
      </c>
      <c r="L1871" s="12">
        <f t="shared" si="263"/>
        <v>2.8</v>
      </c>
      <c r="M1871" s="12">
        <f>L1871/[4]货币基础!$B$4</f>
        <v>280</v>
      </c>
      <c r="N1871" s="12">
        <f>IF(A1871&lt;[3]关卡对接!$A$4,INDEX([3]关卡对接!$E$7:$E$141,A1871),MATCH(E1871,人物经验!$H$24:$H$573,1))</f>
        <v>550</v>
      </c>
      <c r="O1871" s="12">
        <f>INDEX([2]关卡!$G$6:$G$2005,A1871)</f>
        <v>3</v>
      </c>
      <c r="P1871" s="13">
        <v>6</v>
      </c>
      <c r="Q1871" s="12">
        <f>INT(P1871/$S$15/O1871*VLOOKUP(J1871,[1]人物技能基础!$N$3:$O$553,2,0)*$U$15)</f>
        <v>9</v>
      </c>
      <c r="R1871" s="12">
        <f t="shared" si="264"/>
        <v>112</v>
      </c>
    </row>
    <row r="1872" spans="1:18" x14ac:dyDescent="0.15">
      <c r="A1872" s="12">
        <v>1854</v>
      </c>
      <c r="B1872" s="12">
        <f t="shared" si="261"/>
        <v>10</v>
      </c>
      <c r="C1872" s="12">
        <f t="shared" si="262"/>
        <v>9.395999999999999</v>
      </c>
      <c r="D1872" s="12">
        <f t="shared" si="265"/>
        <v>0.17399999999999949</v>
      </c>
      <c r="E1872" s="12">
        <f>SUM($D$19:D1872)</f>
        <v>74.596000000000231</v>
      </c>
      <c r="F1872" s="12">
        <f t="shared" si="259"/>
        <v>799.1852806661592</v>
      </c>
      <c r="G1872" s="12">
        <f t="shared" si="260"/>
        <v>416.24144882289505</v>
      </c>
      <c r="H1872" s="12">
        <f t="shared" si="266"/>
        <v>2877000</v>
      </c>
      <c r="I1872" s="12">
        <f t="shared" si="267"/>
        <v>1498400</v>
      </c>
      <c r="J1872" s="12">
        <f>IF(A1872&lt;[3]关卡对接!$A$4,INDEX([3]关卡对接!$C$7:$C$141,A1872),MATCH(E1872,人物经验!$H$24:$H$573,1))</f>
        <v>550</v>
      </c>
      <c r="K1872" s="12">
        <f>IF([3]关卡对接!F1860="",INT(INDEX(人物经验!$J$24:$J$573,关卡!J1872)*关卡!$S$7),[3]关卡对接!F1860)</f>
        <v>53960</v>
      </c>
      <c r="L1872" s="12">
        <f t="shared" si="263"/>
        <v>2.8</v>
      </c>
      <c r="M1872" s="12">
        <f>L1872/[4]货币基础!$B$4</f>
        <v>280</v>
      </c>
      <c r="N1872" s="12">
        <f>IF(A1872&lt;[3]关卡对接!$A$4,INDEX([3]关卡对接!$E$7:$E$141,A1872),MATCH(E1872,人物经验!$H$24:$H$573,1))</f>
        <v>550</v>
      </c>
      <c r="O1872" s="12">
        <f>INDEX([2]关卡!$G$6:$G$2005,A1872)</f>
        <v>3</v>
      </c>
      <c r="P1872" s="13">
        <v>6</v>
      </c>
      <c r="Q1872" s="12">
        <f>INT(P1872/$S$15/O1872*VLOOKUP(J1872,[1]人物技能基础!$N$3:$O$553,2,0)*$U$15)</f>
        <v>9</v>
      </c>
      <c r="R1872" s="12">
        <f t="shared" si="264"/>
        <v>112</v>
      </c>
    </row>
    <row r="1873" spans="1:18" x14ac:dyDescent="0.15">
      <c r="A1873" s="12">
        <v>1855</v>
      </c>
      <c r="B1873" s="12">
        <f t="shared" si="261"/>
        <v>10</v>
      </c>
      <c r="C1873" s="12">
        <f t="shared" si="262"/>
        <v>9.57</v>
      </c>
      <c r="D1873" s="12">
        <f t="shared" si="265"/>
        <v>0.17400000000000126</v>
      </c>
      <c r="E1873" s="12">
        <f>SUM($D$19:D1873)</f>
        <v>74.770000000000238</v>
      </c>
      <c r="F1873" s="12">
        <f t="shared" si="259"/>
        <v>800.4438370124609</v>
      </c>
      <c r="G1873" s="12">
        <f t="shared" si="260"/>
        <v>416.77546576933594</v>
      </c>
      <c r="H1873" s="12">
        <f t="shared" si="266"/>
        <v>2881500</v>
      </c>
      <c r="I1873" s="12">
        <f t="shared" si="267"/>
        <v>1500300</v>
      </c>
      <c r="J1873" s="12">
        <f>IF(A1873&lt;[3]关卡对接!$A$4,INDEX([3]关卡对接!$C$7:$C$141,A1873),MATCH(E1873,人物经验!$H$24:$H$573,1))</f>
        <v>550</v>
      </c>
      <c r="K1873" s="12">
        <f>IF([3]关卡对接!F1861="",INT(INDEX(人物经验!$J$24:$J$573,关卡!J1873)*关卡!$S$7),[3]关卡对接!F1861)</f>
        <v>53960</v>
      </c>
      <c r="L1873" s="12">
        <f t="shared" si="263"/>
        <v>2.8</v>
      </c>
      <c r="M1873" s="12">
        <f>L1873/[4]货币基础!$B$4</f>
        <v>280</v>
      </c>
      <c r="N1873" s="12">
        <f>IF(A1873&lt;[3]关卡对接!$A$4,INDEX([3]关卡对接!$E$7:$E$141,A1873),MATCH(E1873,人物经验!$H$24:$H$573,1))</f>
        <v>550</v>
      </c>
      <c r="O1873" s="12">
        <f>INDEX([2]关卡!$G$6:$G$2005,A1873)</f>
        <v>3</v>
      </c>
      <c r="P1873" s="13">
        <v>6</v>
      </c>
      <c r="Q1873" s="12">
        <f>INT(P1873/$S$15/O1873*VLOOKUP(J1873,[1]人物技能基础!$N$3:$O$553,2,0)*$U$15)</f>
        <v>9</v>
      </c>
      <c r="R1873" s="12">
        <f t="shared" si="264"/>
        <v>112</v>
      </c>
    </row>
    <row r="1874" spans="1:18" x14ac:dyDescent="0.15">
      <c r="A1874" s="12">
        <v>1856</v>
      </c>
      <c r="B1874" s="12">
        <f t="shared" si="261"/>
        <v>10</v>
      </c>
      <c r="C1874" s="12">
        <f t="shared" si="262"/>
        <v>9.7439999999999998</v>
      </c>
      <c r="D1874" s="12">
        <f t="shared" si="265"/>
        <v>0.17399999999999949</v>
      </c>
      <c r="E1874" s="12">
        <f>SUM($D$19:D1874)</f>
        <v>74.944000000000244</v>
      </c>
      <c r="F1874" s="12">
        <f t="shared" si="259"/>
        <v>801.70394046054412</v>
      </c>
      <c r="G1874" s="12">
        <f t="shared" si="260"/>
        <v>417.31001157631999</v>
      </c>
      <c r="H1874" s="12">
        <f t="shared" si="266"/>
        <v>2886100</v>
      </c>
      <c r="I1874" s="12">
        <f t="shared" si="267"/>
        <v>1502300</v>
      </c>
      <c r="J1874" s="12">
        <f>IF(A1874&lt;[3]关卡对接!$A$4,INDEX([3]关卡对接!$C$7:$C$141,A1874),MATCH(E1874,人物经验!$H$24:$H$573,1))</f>
        <v>550</v>
      </c>
      <c r="K1874" s="12">
        <f>IF([3]关卡对接!F1862="",INT(INDEX(人物经验!$J$24:$J$573,关卡!J1874)*关卡!$S$7),[3]关卡对接!F1862)</f>
        <v>53960</v>
      </c>
      <c r="L1874" s="12">
        <f t="shared" si="263"/>
        <v>2.8</v>
      </c>
      <c r="M1874" s="12">
        <f>L1874/[4]货币基础!$B$4</f>
        <v>280</v>
      </c>
      <c r="N1874" s="12">
        <f>IF(A1874&lt;[3]关卡对接!$A$4,INDEX([3]关卡对接!$E$7:$E$141,A1874),MATCH(E1874,人物经验!$H$24:$H$573,1))</f>
        <v>550</v>
      </c>
      <c r="O1874" s="12">
        <f>INDEX([2]关卡!$G$6:$G$2005,A1874)</f>
        <v>3</v>
      </c>
      <c r="P1874" s="13">
        <v>6</v>
      </c>
      <c r="Q1874" s="12">
        <f>INT(P1874/$S$15/O1874*VLOOKUP(J1874,[1]人物技能基础!$N$3:$O$553,2,0)*$U$15)</f>
        <v>9</v>
      </c>
      <c r="R1874" s="12">
        <f t="shared" si="264"/>
        <v>112</v>
      </c>
    </row>
    <row r="1875" spans="1:18" x14ac:dyDescent="0.15">
      <c r="A1875" s="12">
        <v>1857</v>
      </c>
      <c r="B1875" s="12">
        <f t="shared" si="261"/>
        <v>10</v>
      </c>
      <c r="C1875" s="12">
        <f t="shared" si="262"/>
        <v>9.9179999999999975</v>
      </c>
      <c r="D1875" s="12">
        <f t="shared" si="265"/>
        <v>0.17399999999999771</v>
      </c>
      <c r="E1875" s="12">
        <f>SUM($D$19:D1875)</f>
        <v>75.118000000000237</v>
      </c>
      <c r="F1875" s="12">
        <f t="shared" ref="F1875:F1938" si="268">$L$7*($M$7+$N$7*($A1875/$B$3)^1+$O$7*($A1875/$B$3)^2+$P$7*($A1875/$B$3)^3+$Q$7*($A1875/$B$3)^4)</f>
        <v>802.96559234592496</v>
      </c>
      <c r="G1875" s="12">
        <f t="shared" ref="G1875:G1938" si="269">$L$11*($M$11+$N$11*($A1875/$B$3)^1+$O$11*($A1875/$B$3)^2+$P$11*($A1875/$B$3)^3+$Q$11*($A1875/$B$3)^4)</f>
        <v>417.84508662075592</v>
      </c>
      <c r="H1875" s="12">
        <f t="shared" si="266"/>
        <v>2890600</v>
      </c>
      <c r="I1875" s="12">
        <f t="shared" si="267"/>
        <v>1504200</v>
      </c>
      <c r="J1875" s="12">
        <f>IF(A1875&lt;[3]关卡对接!$A$4,INDEX([3]关卡对接!$C$7:$C$141,A1875),MATCH(E1875,人物经验!$H$24:$H$573,1))</f>
        <v>550</v>
      </c>
      <c r="K1875" s="12">
        <f>IF([3]关卡对接!F1863="",INT(INDEX(人物经验!$J$24:$J$573,关卡!J1875)*关卡!$S$7),[3]关卡对接!F1863)</f>
        <v>53960</v>
      </c>
      <c r="L1875" s="12">
        <f t="shared" si="263"/>
        <v>2.8</v>
      </c>
      <c r="M1875" s="12">
        <f>L1875/[4]货币基础!$B$4</f>
        <v>280</v>
      </c>
      <c r="N1875" s="12">
        <f>IF(A1875&lt;[3]关卡对接!$A$4,INDEX([3]关卡对接!$E$7:$E$141,A1875),MATCH(E1875,人物经验!$H$24:$H$573,1))</f>
        <v>550</v>
      </c>
      <c r="O1875" s="12">
        <f>INDEX([2]关卡!$G$6:$G$2005,A1875)</f>
        <v>3</v>
      </c>
      <c r="P1875" s="13">
        <v>6</v>
      </c>
      <c r="Q1875" s="12">
        <f>INT(P1875/$S$15/O1875*VLOOKUP(J1875,[1]人物技能基础!$N$3:$O$553,2,0)*$U$15)</f>
        <v>9</v>
      </c>
      <c r="R1875" s="12">
        <f t="shared" si="264"/>
        <v>112</v>
      </c>
    </row>
    <row r="1876" spans="1:18" x14ac:dyDescent="0.15">
      <c r="A1876" s="12">
        <v>1858</v>
      </c>
      <c r="B1876" s="12">
        <f t="shared" ref="B1876:B1939" si="270">MATCH($A1876,$A$5:$A$15,1)-1</f>
        <v>10</v>
      </c>
      <c r="C1876" s="12">
        <f t="shared" ref="C1876:C1939" si="271">INDEX($C$5:$C$15,$B1876+1)*(INDEX($E$5:$E$15,$B1876+1)+INDEX($F$5:$F$15,$B1876+1)*(($A1876-INDEX($A$5:$A$15,$B1876+1)+1)/(INDEX($B$5:$B$15,$B1876+1)-INDEX($A$5:$A$15,$B1876+1)+1))^1+INDEX($G$5:$G$15,$B1876+1)*(($A1876-INDEX($A$5:$A$15,$B1876+1)+1)/(INDEX($B$5:$B$15,$B1876+1)-INDEX($A$5:$A$15,$B1876+1)+1))^2+INDEX($H$5:$H$15,$B1876+1)*(($A1876-INDEX($A$5:$A$15,$B1876+1)+1)/(INDEX($B$5:$B$15,$B1876+1)-INDEX($A$5:$A$15,$B1876+1)+1))^3+INDEX($I$5:$I$15,$B1876+1)*(($A1876-INDEX($A$5:$A$15,$B1876+1)+1)/(INDEX($B$5:$B$15,$B1876+1)-INDEX($A$5:$A$15,$B1876+1)+1))^4)</f>
        <v>10.091999999999999</v>
      </c>
      <c r="D1876" s="12">
        <f t="shared" si="265"/>
        <v>0.17400000000000126</v>
      </c>
      <c r="E1876" s="12">
        <f>SUM($D$19:D1876)</f>
        <v>75.292000000000243</v>
      </c>
      <c r="F1876" s="12">
        <f t="shared" si="268"/>
        <v>804.22879400471902</v>
      </c>
      <c r="G1876" s="12">
        <f t="shared" si="269"/>
        <v>418.38069127969504</v>
      </c>
      <c r="H1876" s="12">
        <f t="shared" si="266"/>
        <v>2895200</v>
      </c>
      <c r="I1876" s="12">
        <f t="shared" si="267"/>
        <v>1506100</v>
      </c>
      <c r="J1876" s="12">
        <f>IF(A1876&lt;[3]关卡对接!$A$4,INDEX([3]关卡对接!$C$7:$C$141,A1876),MATCH(E1876,人物经验!$H$24:$H$573,1))</f>
        <v>550</v>
      </c>
      <c r="K1876" s="12">
        <f>IF([3]关卡对接!F1864="",INT(INDEX(人物经验!$J$24:$J$573,关卡!J1876)*关卡!$S$7),[3]关卡对接!F1864)</f>
        <v>53960</v>
      </c>
      <c r="L1876" s="12">
        <f t="shared" ref="L1876:L1939" si="272">VLOOKUP(A1876,$A$5:$J$15,10,1)</f>
        <v>2.8</v>
      </c>
      <c r="M1876" s="12">
        <f>L1876/[4]货币基础!$B$4</f>
        <v>280</v>
      </c>
      <c r="N1876" s="12">
        <f>IF(A1876&lt;[3]关卡对接!$A$4,INDEX([3]关卡对接!$E$7:$E$141,A1876),MATCH(E1876,人物经验!$H$24:$H$573,1))</f>
        <v>550</v>
      </c>
      <c r="O1876" s="12">
        <f>INDEX([2]关卡!$G$6:$G$2005,A1876)</f>
        <v>3</v>
      </c>
      <c r="P1876" s="13">
        <v>6</v>
      </c>
      <c r="Q1876" s="12">
        <f>INT(P1876/$S$15/O1876*VLOOKUP(J1876,[1]人物技能基础!$N$3:$O$553,2,0)*$U$15)</f>
        <v>9</v>
      </c>
      <c r="R1876" s="12">
        <f t="shared" ref="R1876:R1939" si="273">INT(Q1876*12.5)</f>
        <v>112</v>
      </c>
    </row>
    <row r="1877" spans="1:18" x14ac:dyDescent="0.15">
      <c r="A1877" s="12">
        <v>1859</v>
      </c>
      <c r="B1877" s="12">
        <f t="shared" si="270"/>
        <v>10</v>
      </c>
      <c r="C1877" s="12">
        <f t="shared" si="271"/>
        <v>10.265999999999998</v>
      </c>
      <c r="D1877" s="12">
        <f t="shared" si="265"/>
        <v>0.17399999999999949</v>
      </c>
      <c r="E1877" s="12">
        <f>SUM($D$19:D1877)</f>
        <v>75.466000000000236</v>
      </c>
      <c r="F1877" s="12">
        <f t="shared" si="268"/>
        <v>805.49354677363988</v>
      </c>
      <c r="G1877" s="12">
        <f t="shared" si="269"/>
        <v>418.9168259303309</v>
      </c>
      <c r="H1877" s="12">
        <f t="shared" si="266"/>
        <v>2899700</v>
      </c>
      <c r="I1877" s="12">
        <f t="shared" si="267"/>
        <v>1508100</v>
      </c>
      <c r="J1877" s="12">
        <f>IF(A1877&lt;[3]关卡对接!$A$4,INDEX([3]关卡对接!$C$7:$C$141,A1877),MATCH(E1877,人物经验!$H$24:$H$573,1))</f>
        <v>550</v>
      </c>
      <c r="K1877" s="12">
        <f>IF([3]关卡对接!F1865="",INT(INDEX(人物经验!$J$24:$J$573,关卡!J1877)*关卡!$S$7),[3]关卡对接!F1865)</f>
        <v>53960</v>
      </c>
      <c r="L1877" s="12">
        <f t="shared" si="272"/>
        <v>2.8</v>
      </c>
      <c r="M1877" s="12">
        <f>L1877/[4]货币基础!$B$4</f>
        <v>280</v>
      </c>
      <c r="N1877" s="12">
        <f>IF(A1877&lt;[3]关卡对接!$A$4,INDEX([3]关卡对接!$E$7:$E$141,A1877),MATCH(E1877,人物经验!$H$24:$H$573,1))</f>
        <v>550</v>
      </c>
      <c r="O1877" s="12">
        <f>INDEX([2]关卡!$G$6:$G$2005,A1877)</f>
        <v>3</v>
      </c>
      <c r="P1877" s="13">
        <v>6</v>
      </c>
      <c r="Q1877" s="12">
        <f>INT(P1877/$S$15/O1877*VLOOKUP(J1877,[1]人物技能基础!$N$3:$O$553,2,0)*$U$15)</f>
        <v>9</v>
      </c>
      <c r="R1877" s="12">
        <f t="shared" si="273"/>
        <v>112</v>
      </c>
    </row>
    <row r="1878" spans="1:18" x14ac:dyDescent="0.15">
      <c r="A1878" s="12">
        <v>1860</v>
      </c>
      <c r="B1878" s="12">
        <f t="shared" si="270"/>
        <v>10</v>
      </c>
      <c r="C1878" s="12">
        <f t="shared" si="271"/>
        <v>10.44</v>
      </c>
      <c r="D1878" s="12">
        <f t="shared" si="265"/>
        <v>0.17400000000000126</v>
      </c>
      <c r="E1878" s="12">
        <f>SUM($D$19:D1878)</f>
        <v>75.640000000000242</v>
      </c>
      <c r="F1878" s="12">
        <f t="shared" si="268"/>
        <v>806.75985199000024</v>
      </c>
      <c r="G1878" s="12">
        <f t="shared" si="269"/>
        <v>419.45349095</v>
      </c>
      <c r="H1878" s="12">
        <f t="shared" si="266"/>
        <v>2904300</v>
      </c>
      <c r="I1878" s="12">
        <f t="shared" si="267"/>
        <v>1510000</v>
      </c>
      <c r="J1878" s="12">
        <f>IF(A1878&lt;[3]关卡对接!$A$4,INDEX([3]关卡对接!$C$7:$C$141,A1878),MATCH(E1878,人物经验!$H$24:$H$573,1))</f>
        <v>550</v>
      </c>
      <c r="K1878" s="12">
        <f>IF([3]关卡对接!F1866="",INT(INDEX(人物经验!$J$24:$J$573,关卡!J1878)*关卡!$S$7),[3]关卡对接!F1866)</f>
        <v>53960</v>
      </c>
      <c r="L1878" s="12">
        <f t="shared" si="272"/>
        <v>2.8</v>
      </c>
      <c r="M1878" s="12">
        <f>L1878/[4]货币基础!$B$4</f>
        <v>280</v>
      </c>
      <c r="N1878" s="12">
        <f>IF(A1878&lt;[3]关卡对接!$A$4,INDEX([3]关卡对接!$E$7:$E$141,A1878),MATCH(E1878,人物经验!$H$24:$H$573,1))</f>
        <v>550</v>
      </c>
      <c r="O1878" s="12">
        <f>INDEX([2]关卡!$G$6:$G$2005,A1878)</f>
        <v>3</v>
      </c>
      <c r="P1878" s="13">
        <v>6</v>
      </c>
      <c r="Q1878" s="12">
        <f>INT(P1878/$S$15/O1878*VLOOKUP(J1878,[1]人物技能基础!$N$3:$O$553,2,0)*$U$15)</f>
        <v>9</v>
      </c>
      <c r="R1878" s="12">
        <f t="shared" si="273"/>
        <v>112</v>
      </c>
    </row>
    <row r="1879" spans="1:18" x14ac:dyDescent="0.15">
      <c r="A1879" s="12">
        <v>1861</v>
      </c>
      <c r="B1879" s="12">
        <f t="shared" si="270"/>
        <v>10</v>
      </c>
      <c r="C1879" s="12">
        <f t="shared" si="271"/>
        <v>10.613999999999999</v>
      </c>
      <c r="D1879" s="12">
        <f t="shared" si="265"/>
        <v>0.17399999999999949</v>
      </c>
      <c r="E1879" s="12">
        <f>SUM($D$19:D1879)</f>
        <v>75.814000000000249</v>
      </c>
      <c r="F1879" s="12">
        <f t="shared" si="268"/>
        <v>808.02771099171002</v>
      </c>
      <c r="G1879" s="12">
        <f t="shared" si="269"/>
        <v>419.9906867161809</v>
      </c>
      <c r="H1879" s="12">
        <f t="shared" si="266"/>
        <v>2908800</v>
      </c>
      <c r="I1879" s="12">
        <f t="shared" si="267"/>
        <v>1511900</v>
      </c>
      <c r="J1879" s="12">
        <f>IF(A1879&lt;[3]关卡对接!$A$4,INDEX([3]关卡对接!$C$7:$C$141,A1879),MATCH(E1879,人物经验!$H$24:$H$573,1))</f>
        <v>550</v>
      </c>
      <c r="K1879" s="12">
        <f>IF([3]关卡对接!F1867="",INT(INDEX(人物经验!$J$24:$J$573,关卡!J1879)*关卡!$S$7),[3]关卡对接!F1867)</f>
        <v>53960</v>
      </c>
      <c r="L1879" s="12">
        <f t="shared" si="272"/>
        <v>2.8</v>
      </c>
      <c r="M1879" s="12">
        <f>L1879/[4]货币基础!$B$4</f>
        <v>280</v>
      </c>
      <c r="N1879" s="12">
        <f>IF(A1879&lt;[3]关卡对接!$A$4,INDEX([3]关卡对接!$E$7:$E$141,A1879),MATCH(E1879,人物经验!$H$24:$H$573,1))</f>
        <v>550</v>
      </c>
      <c r="O1879" s="12">
        <f>INDEX([2]关卡!$G$6:$G$2005,A1879)</f>
        <v>3</v>
      </c>
      <c r="P1879" s="13">
        <v>6</v>
      </c>
      <c r="Q1879" s="12">
        <f>INT(P1879/$S$15/O1879*VLOOKUP(J1879,[1]人物技能基础!$N$3:$O$553,2,0)*$U$15)</f>
        <v>9</v>
      </c>
      <c r="R1879" s="12">
        <f t="shared" si="273"/>
        <v>112</v>
      </c>
    </row>
    <row r="1880" spans="1:18" x14ac:dyDescent="0.15">
      <c r="A1880" s="12">
        <v>1862</v>
      </c>
      <c r="B1880" s="12">
        <f t="shared" si="270"/>
        <v>10</v>
      </c>
      <c r="C1880" s="12">
        <f t="shared" si="271"/>
        <v>10.787999999999998</v>
      </c>
      <c r="D1880" s="12">
        <f t="shared" si="265"/>
        <v>0.17399999999999949</v>
      </c>
      <c r="E1880" s="12">
        <f>SUM($D$19:D1880)</f>
        <v>75.988000000000255</v>
      </c>
      <c r="F1880" s="12">
        <f t="shared" si="268"/>
        <v>809.29712511727917</v>
      </c>
      <c r="G1880" s="12">
        <f t="shared" si="269"/>
        <v>420.52841360649506</v>
      </c>
      <c r="H1880" s="12">
        <f t="shared" si="266"/>
        <v>2913400</v>
      </c>
      <c r="I1880" s="12">
        <f t="shared" si="267"/>
        <v>1513900</v>
      </c>
      <c r="J1880" s="12">
        <f>IF(A1880&lt;[3]关卡对接!$A$4,INDEX([3]关卡对接!$C$7:$C$141,A1880),MATCH(E1880,人物经验!$H$24:$H$573,1))</f>
        <v>550</v>
      </c>
      <c r="K1880" s="12">
        <f>IF([3]关卡对接!F1868="",INT(INDEX(人物经验!$J$24:$J$573,关卡!J1880)*关卡!$S$7),[3]关卡对接!F1868)</f>
        <v>53960</v>
      </c>
      <c r="L1880" s="12">
        <f t="shared" si="272"/>
        <v>2.8</v>
      </c>
      <c r="M1880" s="12">
        <f>L1880/[4]货币基础!$B$4</f>
        <v>280</v>
      </c>
      <c r="N1880" s="12">
        <f>IF(A1880&lt;[3]关卡对接!$A$4,INDEX([3]关卡对接!$E$7:$E$141,A1880),MATCH(E1880,人物经验!$H$24:$H$573,1))</f>
        <v>550</v>
      </c>
      <c r="O1880" s="12">
        <f>INDEX([2]关卡!$G$6:$G$2005,A1880)</f>
        <v>3</v>
      </c>
      <c r="P1880" s="13">
        <v>6</v>
      </c>
      <c r="Q1880" s="12">
        <f>INT(P1880/$S$15/O1880*VLOOKUP(J1880,[1]人物技能基础!$N$3:$O$553,2,0)*$U$15)</f>
        <v>9</v>
      </c>
      <c r="R1880" s="12">
        <f t="shared" si="273"/>
        <v>112</v>
      </c>
    </row>
    <row r="1881" spans="1:18" x14ac:dyDescent="0.15">
      <c r="A1881" s="12">
        <v>1863</v>
      </c>
      <c r="B1881" s="12">
        <f t="shared" si="270"/>
        <v>10</v>
      </c>
      <c r="C1881" s="12">
        <f t="shared" si="271"/>
        <v>10.962</v>
      </c>
      <c r="D1881" s="12">
        <f t="shared" si="265"/>
        <v>0.17400000000000126</v>
      </c>
      <c r="E1881" s="12">
        <f>SUM($D$19:D1881)</f>
        <v>76.162000000000262</v>
      </c>
      <c r="F1881" s="12">
        <f t="shared" si="268"/>
        <v>810.56809570581481</v>
      </c>
      <c r="G1881" s="12">
        <f t="shared" si="269"/>
        <v>421.06667199870589</v>
      </c>
      <c r="H1881" s="12">
        <f t="shared" si="266"/>
        <v>2918000</v>
      </c>
      <c r="I1881" s="12">
        <f t="shared" si="267"/>
        <v>1515800</v>
      </c>
      <c r="J1881" s="12">
        <f>IF(A1881&lt;[3]关卡对接!$A$4,INDEX([3]关卡对接!$C$7:$C$141,A1881),MATCH(E1881,人物经验!$H$24:$H$573,1))</f>
        <v>550</v>
      </c>
      <c r="K1881" s="12">
        <f>IF([3]关卡对接!F1869="",INT(INDEX(人物经验!$J$24:$J$573,关卡!J1881)*关卡!$S$7),[3]关卡对接!F1869)</f>
        <v>53960</v>
      </c>
      <c r="L1881" s="12">
        <f t="shared" si="272"/>
        <v>2.8</v>
      </c>
      <c r="M1881" s="12">
        <f>L1881/[4]货币基础!$B$4</f>
        <v>280</v>
      </c>
      <c r="N1881" s="12">
        <f>IF(A1881&lt;[3]关卡对接!$A$4,INDEX([3]关卡对接!$E$7:$E$141,A1881),MATCH(E1881,人物经验!$H$24:$H$573,1))</f>
        <v>550</v>
      </c>
      <c r="O1881" s="12">
        <f>INDEX([2]关卡!$G$6:$G$2005,A1881)</f>
        <v>3</v>
      </c>
      <c r="P1881" s="13">
        <v>6</v>
      </c>
      <c r="Q1881" s="12">
        <f>INT(P1881/$S$15/O1881*VLOOKUP(J1881,[1]人物技能基础!$N$3:$O$553,2,0)*$U$15)</f>
        <v>9</v>
      </c>
      <c r="R1881" s="12">
        <f t="shared" si="273"/>
        <v>112</v>
      </c>
    </row>
    <row r="1882" spans="1:18" x14ac:dyDescent="0.15">
      <c r="A1882" s="12">
        <v>1864</v>
      </c>
      <c r="B1882" s="12">
        <f t="shared" si="270"/>
        <v>10</v>
      </c>
      <c r="C1882" s="12">
        <f t="shared" si="271"/>
        <v>11.135999999999999</v>
      </c>
      <c r="D1882" s="12">
        <f t="shared" si="265"/>
        <v>0.17399999999999949</v>
      </c>
      <c r="E1882" s="12">
        <f>SUM($D$19:D1882)</f>
        <v>76.336000000000269</v>
      </c>
      <c r="F1882" s="12">
        <f t="shared" si="268"/>
        <v>811.84062409702415</v>
      </c>
      <c r="G1882" s="12">
        <f t="shared" si="269"/>
        <v>421.60546227072007</v>
      </c>
      <c r="H1882" s="12">
        <f t="shared" si="266"/>
        <v>2922600</v>
      </c>
      <c r="I1882" s="12">
        <f t="shared" si="267"/>
        <v>1517700</v>
      </c>
      <c r="J1882" s="12">
        <f>IF(A1882&lt;[3]关卡对接!$A$4,INDEX([3]关卡对接!$C$7:$C$141,A1882),MATCH(E1882,人物经验!$H$24:$H$573,1))</f>
        <v>550</v>
      </c>
      <c r="K1882" s="12">
        <f>IF([3]关卡对接!F1870="",INT(INDEX(人物经验!$J$24:$J$573,关卡!J1882)*关卡!$S$7),[3]关卡对接!F1870)</f>
        <v>53960</v>
      </c>
      <c r="L1882" s="12">
        <f t="shared" si="272"/>
        <v>2.8</v>
      </c>
      <c r="M1882" s="12">
        <f>L1882/[4]货币基础!$B$4</f>
        <v>280</v>
      </c>
      <c r="N1882" s="12">
        <f>IF(A1882&lt;[3]关卡对接!$A$4,INDEX([3]关卡对接!$E$7:$E$141,A1882),MATCH(E1882,人物经验!$H$24:$H$573,1))</f>
        <v>550</v>
      </c>
      <c r="O1882" s="12">
        <f>INDEX([2]关卡!$G$6:$G$2005,A1882)</f>
        <v>3</v>
      </c>
      <c r="P1882" s="13">
        <v>6</v>
      </c>
      <c r="Q1882" s="12">
        <f>INT(P1882/$S$15/O1882*VLOOKUP(J1882,[1]人物技能基础!$N$3:$O$553,2,0)*$U$15)</f>
        <v>9</v>
      </c>
      <c r="R1882" s="12">
        <f t="shared" si="273"/>
        <v>112</v>
      </c>
    </row>
    <row r="1883" spans="1:18" x14ac:dyDescent="0.15">
      <c r="A1883" s="12">
        <v>1865</v>
      </c>
      <c r="B1883" s="12">
        <f t="shared" si="270"/>
        <v>10</v>
      </c>
      <c r="C1883" s="12">
        <f t="shared" si="271"/>
        <v>11.309999999999999</v>
      </c>
      <c r="D1883" s="12">
        <f t="shared" si="265"/>
        <v>0.17399999999999949</v>
      </c>
      <c r="E1883" s="12">
        <f>SUM($D$19:D1883)</f>
        <v>76.510000000000275</v>
      </c>
      <c r="F1883" s="12">
        <f t="shared" si="268"/>
        <v>813.11471163121098</v>
      </c>
      <c r="G1883" s="12">
        <f t="shared" si="269"/>
        <v>422.14478480058591</v>
      </c>
      <c r="H1883" s="12">
        <f t="shared" si="266"/>
        <v>2927200</v>
      </c>
      <c r="I1883" s="12">
        <f t="shared" si="267"/>
        <v>1519700</v>
      </c>
      <c r="J1883" s="12">
        <f>IF(A1883&lt;[3]关卡对接!$A$4,INDEX([3]关卡对接!$C$7:$C$141,A1883),MATCH(E1883,人物经验!$H$24:$H$573,1))</f>
        <v>550</v>
      </c>
      <c r="K1883" s="12">
        <f>IF([3]关卡对接!F1871="",INT(INDEX(人物经验!$J$24:$J$573,关卡!J1883)*关卡!$S$7),[3]关卡对接!F1871)</f>
        <v>53960</v>
      </c>
      <c r="L1883" s="12">
        <f t="shared" si="272"/>
        <v>2.8</v>
      </c>
      <c r="M1883" s="12">
        <f>L1883/[4]货币基础!$B$4</f>
        <v>280</v>
      </c>
      <c r="N1883" s="12">
        <f>IF(A1883&lt;[3]关卡对接!$A$4,INDEX([3]关卡对接!$E$7:$E$141,A1883),MATCH(E1883,人物经验!$H$24:$H$573,1))</f>
        <v>550</v>
      </c>
      <c r="O1883" s="12">
        <f>INDEX([2]关卡!$G$6:$G$2005,A1883)</f>
        <v>3</v>
      </c>
      <c r="P1883" s="13">
        <v>6</v>
      </c>
      <c r="Q1883" s="12">
        <f>INT(P1883/$S$15/O1883*VLOOKUP(J1883,[1]人物技能基础!$N$3:$O$553,2,0)*$U$15)</f>
        <v>9</v>
      </c>
      <c r="R1883" s="12">
        <f t="shared" si="273"/>
        <v>112</v>
      </c>
    </row>
    <row r="1884" spans="1:18" x14ac:dyDescent="0.15">
      <c r="A1884" s="12">
        <v>1866</v>
      </c>
      <c r="B1884" s="12">
        <f t="shared" si="270"/>
        <v>10</v>
      </c>
      <c r="C1884" s="12">
        <f t="shared" si="271"/>
        <v>11.484</v>
      </c>
      <c r="D1884" s="12">
        <f t="shared" si="265"/>
        <v>0.17400000000000126</v>
      </c>
      <c r="E1884" s="12">
        <f>SUM($D$19:D1884)</f>
        <v>76.684000000000282</v>
      </c>
      <c r="F1884" s="12">
        <f t="shared" si="268"/>
        <v>814.39035964927916</v>
      </c>
      <c r="G1884" s="12">
        <f t="shared" si="269"/>
        <v>422.68463996649501</v>
      </c>
      <c r="H1884" s="12">
        <f t="shared" si="266"/>
        <v>2931800</v>
      </c>
      <c r="I1884" s="12">
        <f t="shared" si="267"/>
        <v>1521600</v>
      </c>
      <c r="J1884" s="12">
        <f>IF(A1884&lt;[3]关卡对接!$A$4,INDEX([3]关卡对接!$C$7:$C$141,A1884),MATCH(E1884,人物经验!$H$24:$H$573,1))</f>
        <v>550</v>
      </c>
      <c r="K1884" s="12">
        <f>IF([3]关卡对接!F1872="",INT(INDEX(人物经验!$J$24:$J$573,关卡!J1884)*关卡!$S$7),[3]关卡对接!F1872)</f>
        <v>53960</v>
      </c>
      <c r="L1884" s="12">
        <f t="shared" si="272"/>
        <v>2.8</v>
      </c>
      <c r="M1884" s="12">
        <f>L1884/[4]货币基础!$B$4</f>
        <v>280</v>
      </c>
      <c r="N1884" s="12">
        <f>IF(A1884&lt;[3]关卡对接!$A$4,INDEX([3]关卡对接!$E$7:$E$141,A1884),MATCH(E1884,人物经验!$H$24:$H$573,1))</f>
        <v>550</v>
      </c>
      <c r="O1884" s="12">
        <f>INDEX([2]关卡!$G$6:$G$2005,A1884)</f>
        <v>3</v>
      </c>
      <c r="P1884" s="13">
        <v>6</v>
      </c>
      <c r="Q1884" s="12">
        <f>INT(P1884/$S$15/O1884*VLOOKUP(J1884,[1]人物技能基础!$N$3:$O$553,2,0)*$U$15)</f>
        <v>9</v>
      </c>
      <c r="R1884" s="12">
        <f t="shared" si="273"/>
        <v>112</v>
      </c>
    </row>
    <row r="1885" spans="1:18" x14ac:dyDescent="0.15">
      <c r="A1885" s="12">
        <v>1867</v>
      </c>
      <c r="B1885" s="12">
        <f t="shared" si="270"/>
        <v>10</v>
      </c>
      <c r="C1885" s="12">
        <f t="shared" si="271"/>
        <v>11.657999999999999</v>
      </c>
      <c r="D1885" s="12">
        <f t="shared" si="265"/>
        <v>0.17399999999999949</v>
      </c>
      <c r="E1885" s="12">
        <f>SUM($D$19:D1885)</f>
        <v>76.858000000000288</v>
      </c>
      <c r="F1885" s="12">
        <f t="shared" si="268"/>
        <v>815.66756949272997</v>
      </c>
      <c r="G1885" s="12">
        <f t="shared" si="269"/>
        <v>423.22502814678091</v>
      </c>
      <c r="H1885" s="12">
        <f t="shared" si="266"/>
        <v>2936400</v>
      </c>
      <c r="I1885" s="12">
        <f t="shared" si="267"/>
        <v>1523600</v>
      </c>
      <c r="J1885" s="12">
        <f>IF(A1885&lt;[3]关卡对接!$A$4,INDEX([3]关卡对接!$C$7:$C$141,A1885),MATCH(E1885,人物经验!$H$24:$H$573,1))</f>
        <v>550</v>
      </c>
      <c r="K1885" s="12">
        <f>IF([3]关卡对接!F1873="",INT(INDEX(人物经验!$J$24:$J$573,关卡!J1885)*关卡!$S$7),[3]关卡对接!F1873)</f>
        <v>53960</v>
      </c>
      <c r="L1885" s="12">
        <f t="shared" si="272"/>
        <v>2.8</v>
      </c>
      <c r="M1885" s="12">
        <f>L1885/[4]货币基础!$B$4</f>
        <v>280</v>
      </c>
      <c r="N1885" s="12">
        <f>IF(A1885&lt;[3]关卡对接!$A$4,INDEX([3]关卡对接!$E$7:$E$141,A1885),MATCH(E1885,人物经验!$H$24:$H$573,1))</f>
        <v>550</v>
      </c>
      <c r="O1885" s="12">
        <f>INDEX([2]关卡!$G$6:$G$2005,A1885)</f>
        <v>3</v>
      </c>
      <c r="P1885" s="13">
        <v>6</v>
      </c>
      <c r="Q1885" s="12">
        <f>INT(P1885/$S$15/O1885*VLOOKUP(J1885,[1]人物技能基础!$N$3:$O$553,2,0)*$U$15)</f>
        <v>9</v>
      </c>
      <c r="R1885" s="12">
        <f t="shared" si="273"/>
        <v>112</v>
      </c>
    </row>
    <row r="1886" spans="1:18" x14ac:dyDescent="0.15">
      <c r="A1886" s="12">
        <v>1868</v>
      </c>
      <c r="B1886" s="12">
        <f t="shared" si="270"/>
        <v>10</v>
      </c>
      <c r="C1886" s="12">
        <f t="shared" si="271"/>
        <v>11.832000000000001</v>
      </c>
      <c r="D1886" s="12">
        <f t="shared" si="265"/>
        <v>0.17400000000000126</v>
      </c>
      <c r="E1886" s="12">
        <f>SUM($D$19:D1886)</f>
        <v>77.032000000000295</v>
      </c>
      <c r="F1886" s="12">
        <f t="shared" si="268"/>
        <v>816.94634250366425</v>
      </c>
      <c r="G1886" s="12">
        <f t="shared" si="269"/>
        <v>423.76594971992006</v>
      </c>
      <c r="H1886" s="12">
        <f t="shared" si="266"/>
        <v>2941000</v>
      </c>
      <c r="I1886" s="12">
        <f t="shared" si="267"/>
        <v>1525500</v>
      </c>
      <c r="J1886" s="12">
        <f>IF(A1886&lt;[3]关卡对接!$A$4,INDEX([3]关卡对接!$C$7:$C$141,A1886),MATCH(E1886,人物经验!$H$24:$H$573,1))</f>
        <v>550</v>
      </c>
      <c r="K1886" s="12">
        <f>IF([3]关卡对接!F1874="",INT(INDEX(人物经验!$J$24:$J$573,关卡!J1886)*关卡!$S$7),[3]关卡对接!F1874)</f>
        <v>53960</v>
      </c>
      <c r="L1886" s="12">
        <f t="shared" si="272"/>
        <v>2.8</v>
      </c>
      <c r="M1886" s="12">
        <f>L1886/[4]货币基础!$B$4</f>
        <v>280</v>
      </c>
      <c r="N1886" s="12">
        <f>IF(A1886&lt;[3]关卡对接!$A$4,INDEX([3]关卡对接!$E$7:$E$141,A1886),MATCH(E1886,人物经验!$H$24:$H$573,1))</f>
        <v>550</v>
      </c>
      <c r="O1886" s="12">
        <f>INDEX([2]关卡!$G$6:$G$2005,A1886)</f>
        <v>3</v>
      </c>
      <c r="P1886" s="13">
        <v>6</v>
      </c>
      <c r="Q1886" s="12">
        <f>INT(P1886/$S$15/O1886*VLOOKUP(J1886,[1]人物技能基础!$N$3:$O$553,2,0)*$U$15)</f>
        <v>9</v>
      </c>
      <c r="R1886" s="12">
        <f t="shared" si="273"/>
        <v>112</v>
      </c>
    </row>
    <row r="1887" spans="1:18" x14ac:dyDescent="0.15">
      <c r="A1887" s="12">
        <v>1869</v>
      </c>
      <c r="B1887" s="12">
        <f t="shared" si="270"/>
        <v>10</v>
      </c>
      <c r="C1887" s="12">
        <f t="shared" si="271"/>
        <v>12.005999999999998</v>
      </c>
      <c r="D1887" s="12">
        <f t="shared" si="265"/>
        <v>0.17399999999999771</v>
      </c>
      <c r="E1887" s="12">
        <f>SUM($D$19:D1887)</f>
        <v>77.206000000000287</v>
      </c>
      <c r="F1887" s="12">
        <f t="shared" si="268"/>
        <v>818.22668002477997</v>
      </c>
      <c r="G1887" s="12">
        <f t="shared" si="269"/>
        <v>424.30740506453088</v>
      </c>
      <c r="H1887" s="12">
        <f t="shared" si="266"/>
        <v>2945600</v>
      </c>
      <c r="I1887" s="12">
        <f t="shared" si="267"/>
        <v>1527500</v>
      </c>
      <c r="J1887" s="12">
        <f>IF(A1887&lt;[3]关卡对接!$A$4,INDEX([3]关卡对接!$C$7:$C$141,A1887),MATCH(E1887,人物经验!$H$24:$H$573,1))</f>
        <v>550</v>
      </c>
      <c r="K1887" s="12">
        <f>IF([3]关卡对接!F1875="",INT(INDEX(人物经验!$J$24:$J$573,关卡!J1887)*关卡!$S$7),[3]关卡对接!F1875)</f>
        <v>53960</v>
      </c>
      <c r="L1887" s="12">
        <f t="shared" si="272"/>
        <v>2.8</v>
      </c>
      <c r="M1887" s="12">
        <f>L1887/[4]货币基础!$B$4</f>
        <v>280</v>
      </c>
      <c r="N1887" s="12">
        <f>IF(A1887&lt;[3]关卡对接!$A$4,INDEX([3]关卡对接!$E$7:$E$141,A1887),MATCH(E1887,人物经验!$H$24:$H$573,1))</f>
        <v>550</v>
      </c>
      <c r="O1887" s="12">
        <f>INDEX([2]关卡!$G$6:$G$2005,A1887)</f>
        <v>3</v>
      </c>
      <c r="P1887" s="13">
        <v>6</v>
      </c>
      <c r="Q1887" s="12">
        <f>INT(P1887/$S$15/O1887*VLOOKUP(J1887,[1]人物技能基础!$N$3:$O$553,2,0)*$U$15)</f>
        <v>9</v>
      </c>
      <c r="R1887" s="12">
        <f t="shared" si="273"/>
        <v>112</v>
      </c>
    </row>
    <row r="1888" spans="1:18" x14ac:dyDescent="0.15">
      <c r="A1888" s="12">
        <v>1870</v>
      </c>
      <c r="B1888" s="12">
        <f t="shared" si="270"/>
        <v>10</v>
      </c>
      <c r="C1888" s="12">
        <f t="shared" si="271"/>
        <v>12.179999999999998</v>
      </c>
      <c r="D1888" s="12">
        <f t="shared" si="265"/>
        <v>0.17399999999999949</v>
      </c>
      <c r="E1888" s="12">
        <f>SUM($D$19:D1888)</f>
        <v>77.38000000000028</v>
      </c>
      <c r="F1888" s="12">
        <f t="shared" si="268"/>
        <v>819.50858339937531</v>
      </c>
      <c r="G1888" s="12">
        <f t="shared" si="269"/>
        <v>424.84939455937507</v>
      </c>
      <c r="H1888" s="12">
        <f t="shared" si="266"/>
        <v>2950200</v>
      </c>
      <c r="I1888" s="12">
        <f t="shared" si="267"/>
        <v>1529400</v>
      </c>
      <c r="J1888" s="12">
        <f>IF(A1888&lt;[3]关卡对接!$A$4,INDEX([3]关卡对接!$C$7:$C$141,A1888),MATCH(E1888,人物经验!$H$24:$H$573,1))</f>
        <v>550</v>
      </c>
      <c r="K1888" s="12">
        <f>IF([3]关卡对接!F1876="",INT(INDEX(人物经验!$J$24:$J$573,关卡!J1888)*关卡!$S$7),[3]关卡对接!F1876)</f>
        <v>53960</v>
      </c>
      <c r="L1888" s="12">
        <f t="shared" si="272"/>
        <v>2.8</v>
      </c>
      <c r="M1888" s="12">
        <f>L1888/[4]货币基础!$B$4</f>
        <v>280</v>
      </c>
      <c r="N1888" s="12">
        <f>IF(A1888&lt;[3]关卡对接!$A$4,INDEX([3]关卡对接!$E$7:$E$141,A1888),MATCH(E1888,人物经验!$H$24:$H$573,1))</f>
        <v>550</v>
      </c>
      <c r="O1888" s="12">
        <f>INDEX([2]关卡!$G$6:$G$2005,A1888)</f>
        <v>3</v>
      </c>
      <c r="P1888" s="13">
        <v>6</v>
      </c>
      <c r="Q1888" s="12">
        <f>INT(P1888/$S$15/O1888*VLOOKUP(J1888,[1]人物技能基础!$N$3:$O$553,2,0)*$U$15)</f>
        <v>9</v>
      </c>
      <c r="R1888" s="12">
        <f t="shared" si="273"/>
        <v>112</v>
      </c>
    </row>
    <row r="1889" spans="1:18" x14ac:dyDescent="0.15">
      <c r="A1889" s="12">
        <v>1871</v>
      </c>
      <c r="B1889" s="12">
        <f t="shared" si="270"/>
        <v>10</v>
      </c>
      <c r="C1889" s="12">
        <f t="shared" si="271"/>
        <v>12.353999999999999</v>
      </c>
      <c r="D1889" s="12">
        <f t="shared" si="265"/>
        <v>0.17400000000000126</v>
      </c>
      <c r="E1889" s="12">
        <f>SUM($D$19:D1889)</f>
        <v>77.554000000000286</v>
      </c>
      <c r="F1889" s="12">
        <f t="shared" si="268"/>
        <v>820.7920539713449</v>
      </c>
      <c r="G1889" s="12">
        <f t="shared" si="269"/>
        <v>425.3919185833559</v>
      </c>
      <c r="H1889" s="12">
        <f t="shared" si="266"/>
        <v>2954800</v>
      </c>
      <c r="I1889" s="12">
        <f t="shared" si="267"/>
        <v>1531400</v>
      </c>
      <c r="J1889" s="12">
        <f>IF(A1889&lt;[3]关卡对接!$A$4,INDEX([3]关卡对接!$C$7:$C$141,A1889),MATCH(E1889,人物经验!$H$24:$H$573,1))</f>
        <v>550</v>
      </c>
      <c r="K1889" s="12">
        <f>IF([3]关卡对接!F1877="",INT(INDEX(人物经验!$J$24:$J$573,关卡!J1889)*关卡!$S$7),[3]关卡对接!F1877)</f>
        <v>53960</v>
      </c>
      <c r="L1889" s="12">
        <f t="shared" si="272"/>
        <v>2.8</v>
      </c>
      <c r="M1889" s="12">
        <f>L1889/[4]货币基础!$B$4</f>
        <v>280</v>
      </c>
      <c r="N1889" s="12">
        <f>IF(A1889&lt;[3]关卡对接!$A$4,INDEX([3]关卡对接!$E$7:$E$141,A1889),MATCH(E1889,人物经验!$H$24:$H$573,1))</f>
        <v>550</v>
      </c>
      <c r="O1889" s="12">
        <f>INDEX([2]关卡!$G$6:$G$2005,A1889)</f>
        <v>3</v>
      </c>
      <c r="P1889" s="13">
        <v>6</v>
      </c>
      <c r="Q1889" s="12">
        <f>INT(P1889/$S$15/O1889*VLOOKUP(J1889,[1]人物技能基础!$N$3:$O$553,2,0)*$U$15)</f>
        <v>9</v>
      </c>
      <c r="R1889" s="12">
        <f t="shared" si="273"/>
        <v>112</v>
      </c>
    </row>
    <row r="1890" spans="1:18" x14ac:dyDescent="0.15">
      <c r="A1890" s="12">
        <v>1872</v>
      </c>
      <c r="B1890" s="12">
        <f t="shared" si="270"/>
        <v>10</v>
      </c>
      <c r="C1890" s="12">
        <f t="shared" si="271"/>
        <v>12.527999999999999</v>
      </c>
      <c r="D1890" s="12">
        <f t="shared" si="265"/>
        <v>0.17399999999999949</v>
      </c>
      <c r="E1890" s="12">
        <f>SUM($D$19:D1890)</f>
        <v>77.728000000000293</v>
      </c>
      <c r="F1890" s="12">
        <f t="shared" si="268"/>
        <v>822.07709308518417</v>
      </c>
      <c r="G1890" s="12">
        <f t="shared" si="269"/>
        <v>425.93497751552007</v>
      </c>
      <c r="H1890" s="12">
        <f t="shared" si="266"/>
        <v>2959400</v>
      </c>
      <c r="I1890" s="12">
        <f t="shared" si="267"/>
        <v>1533300</v>
      </c>
      <c r="J1890" s="12">
        <f>IF(A1890&lt;[3]关卡对接!$A$4,INDEX([3]关卡对接!$C$7:$C$141,A1890),MATCH(E1890,人物经验!$H$24:$H$573,1))</f>
        <v>550</v>
      </c>
      <c r="K1890" s="12">
        <f>IF([3]关卡对接!F1878="",INT(INDEX(人物经验!$J$24:$J$573,关卡!J1890)*关卡!$S$7),[3]关卡对接!F1878)</f>
        <v>53960</v>
      </c>
      <c r="L1890" s="12">
        <f t="shared" si="272"/>
        <v>2.8</v>
      </c>
      <c r="M1890" s="12">
        <f>L1890/[4]货币基础!$B$4</f>
        <v>280</v>
      </c>
      <c r="N1890" s="12">
        <f>IF(A1890&lt;[3]关卡对接!$A$4,INDEX([3]关卡对接!$E$7:$E$141,A1890),MATCH(E1890,人物经验!$H$24:$H$573,1))</f>
        <v>550</v>
      </c>
      <c r="O1890" s="12">
        <f>INDEX([2]关卡!$G$6:$G$2005,A1890)</f>
        <v>3</v>
      </c>
      <c r="P1890" s="13">
        <v>6</v>
      </c>
      <c r="Q1890" s="12">
        <f>INT(P1890/$S$15/O1890*VLOOKUP(J1890,[1]人物技能基础!$N$3:$O$553,2,0)*$U$15)</f>
        <v>9</v>
      </c>
      <c r="R1890" s="12">
        <f t="shared" si="273"/>
        <v>112</v>
      </c>
    </row>
    <row r="1891" spans="1:18" x14ac:dyDescent="0.15">
      <c r="A1891" s="12">
        <v>1873</v>
      </c>
      <c r="B1891" s="12">
        <f t="shared" si="270"/>
        <v>10</v>
      </c>
      <c r="C1891" s="12">
        <f t="shared" si="271"/>
        <v>12.701999999999998</v>
      </c>
      <c r="D1891" s="12">
        <f t="shared" si="265"/>
        <v>0.17399999999999949</v>
      </c>
      <c r="E1891" s="12">
        <f>SUM($D$19:D1891)</f>
        <v>77.902000000000299</v>
      </c>
      <c r="F1891" s="12">
        <f t="shared" si="268"/>
        <v>823.36370208598498</v>
      </c>
      <c r="G1891" s="12">
        <f t="shared" si="269"/>
        <v>426.47857173505588</v>
      </c>
      <c r="H1891" s="12">
        <f t="shared" si="266"/>
        <v>2964100</v>
      </c>
      <c r="I1891" s="12">
        <f t="shared" si="267"/>
        <v>1535300</v>
      </c>
      <c r="J1891" s="12">
        <f>IF(A1891&lt;[3]关卡对接!$A$4,INDEX([3]关卡对接!$C$7:$C$141,A1891),MATCH(E1891,人物经验!$H$24:$H$573,1))</f>
        <v>550</v>
      </c>
      <c r="K1891" s="12">
        <f>IF([3]关卡对接!F1879="",INT(INDEX(人物经验!$J$24:$J$573,关卡!J1891)*关卡!$S$7),[3]关卡对接!F1879)</f>
        <v>53960</v>
      </c>
      <c r="L1891" s="12">
        <f t="shared" si="272"/>
        <v>2.8</v>
      </c>
      <c r="M1891" s="12">
        <f>L1891/[4]货币基础!$B$4</f>
        <v>280</v>
      </c>
      <c r="N1891" s="12">
        <f>IF(A1891&lt;[3]关卡对接!$A$4,INDEX([3]关卡对接!$E$7:$E$141,A1891),MATCH(E1891,人物经验!$H$24:$H$573,1))</f>
        <v>550</v>
      </c>
      <c r="O1891" s="12">
        <f>INDEX([2]关卡!$G$6:$G$2005,A1891)</f>
        <v>3</v>
      </c>
      <c r="P1891" s="13">
        <v>6</v>
      </c>
      <c r="Q1891" s="12">
        <f>INT(P1891/$S$15/O1891*VLOOKUP(J1891,[1]人物技能基础!$N$3:$O$553,2,0)*$U$15)</f>
        <v>9</v>
      </c>
      <c r="R1891" s="12">
        <f t="shared" si="273"/>
        <v>112</v>
      </c>
    </row>
    <row r="1892" spans="1:18" x14ac:dyDescent="0.15">
      <c r="A1892" s="12">
        <v>1874</v>
      </c>
      <c r="B1892" s="12">
        <f t="shared" si="270"/>
        <v>10</v>
      </c>
      <c r="C1892" s="12">
        <f t="shared" si="271"/>
        <v>12.875999999999999</v>
      </c>
      <c r="D1892" s="12">
        <f t="shared" si="265"/>
        <v>0.17400000000000126</v>
      </c>
      <c r="E1892" s="12">
        <f>SUM($D$19:D1892)</f>
        <v>78.076000000000306</v>
      </c>
      <c r="F1892" s="12">
        <f t="shared" si="268"/>
        <v>824.6518823194391</v>
      </c>
      <c r="G1892" s="12">
        <f t="shared" si="269"/>
        <v>427.02270162129508</v>
      </c>
      <c r="H1892" s="12">
        <f t="shared" si="266"/>
        <v>2968700</v>
      </c>
      <c r="I1892" s="12">
        <f t="shared" si="267"/>
        <v>1537200</v>
      </c>
      <c r="J1892" s="12">
        <f>IF(A1892&lt;[3]关卡对接!$A$4,INDEX([3]关卡对接!$C$7:$C$141,A1892),MATCH(E1892,人物经验!$H$24:$H$573,1))</f>
        <v>550</v>
      </c>
      <c r="K1892" s="12">
        <f>IF([3]关卡对接!F1880="",INT(INDEX(人物经验!$J$24:$J$573,关卡!J1892)*关卡!$S$7),[3]关卡对接!F1880)</f>
        <v>53960</v>
      </c>
      <c r="L1892" s="12">
        <f t="shared" si="272"/>
        <v>2.8</v>
      </c>
      <c r="M1892" s="12">
        <f>L1892/[4]货币基础!$B$4</f>
        <v>280</v>
      </c>
      <c r="N1892" s="12">
        <f>IF(A1892&lt;[3]关卡对接!$A$4,INDEX([3]关卡对接!$E$7:$E$141,A1892),MATCH(E1892,人物经验!$H$24:$H$573,1))</f>
        <v>550</v>
      </c>
      <c r="O1892" s="12">
        <f>INDEX([2]关卡!$G$6:$G$2005,A1892)</f>
        <v>3</v>
      </c>
      <c r="P1892" s="13">
        <v>6</v>
      </c>
      <c r="Q1892" s="12">
        <f>INT(P1892/$S$15/O1892*VLOOKUP(J1892,[1]人物技能基础!$N$3:$O$553,2,0)*$U$15)</f>
        <v>9</v>
      </c>
      <c r="R1892" s="12">
        <f t="shared" si="273"/>
        <v>112</v>
      </c>
    </row>
    <row r="1893" spans="1:18" x14ac:dyDescent="0.15">
      <c r="A1893" s="12">
        <v>1875</v>
      </c>
      <c r="B1893" s="12">
        <f t="shared" si="270"/>
        <v>10</v>
      </c>
      <c r="C1893" s="12">
        <f t="shared" si="271"/>
        <v>13.049999999999999</v>
      </c>
      <c r="D1893" s="12">
        <f t="shared" si="265"/>
        <v>0.17399999999999949</v>
      </c>
      <c r="E1893" s="12">
        <f>SUM($D$19:D1893)</f>
        <v>78.250000000000313</v>
      </c>
      <c r="F1893" s="12">
        <f t="shared" si="268"/>
        <v>825.94163513183594</v>
      </c>
      <c r="G1893" s="12">
        <f t="shared" si="269"/>
        <v>427.56736755371094</v>
      </c>
      <c r="H1893" s="12">
        <f t="shared" si="266"/>
        <v>2973300</v>
      </c>
      <c r="I1893" s="12">
        <f t="shared" si="267"/>
        <v>1539200</v>
      </c>
      <c r="J1893" s="12">
        <f>IF(A1893&lt;[3]关卡对接!$A$4,INDEX([3]关卡对接!$C$7:$C$141,A1893),MATCH(E1893,人物经验!$H$24:$H$573,1))</f>
        <v>550</v>
      </c>
      <c r="K1893" s="12">
        <f>IF([3]关卡对接!F1881="",INT(INDEX(人物经验!$J$24:$J$573,关卡!J1893)*关卡!$S$7),[3]关卡对接!F1881)</f>
        <v>53960</v>
      </c>
      <c r="L1893" s="12">
        <f t="shared" si="272"/>
        <v>2.8</v>
      </c>
      <c r="M1893" s="12">
        <f>L1893/[4]货币基础!$B$4</f>
        <v>280</v>
      </c>
      <c r="N1893" s="12">
        <f>IF(A1893&lt;[3]关卡对接!$A$4,INDEX([3]关卡对接!$E$7:$E$141,A1893),MATCH(E1893,人物经验!$H$24:$H$573,1))</f>
        <v>550</v>
      </c>
      <c r="O1893" s="12">
        <f>INDEX([2]关卡!$G$6:$G$2005,A1893)</f>
        <v>3</v>
      </c>
      <c r="P1893" s="13">
        <v>6</v>
      </c>
      <c r="Q1893" s="12">
        <f>INT(P1893/$S$15/O1893*VLOOKUP(J1893,[1]人物技能基础!$N$3:$O$553,2,0)*$U$15)</f>
        <v>9</v>
      </c>
      <c r="R1893" s="12">
        <f t="shared" si="273"/>
        <v>112</v>
      </c>
    </row>
    <row r="1894" spans="1:18" x14ac:dyDescent="0.15">
      <c r="A1894" s="12">
        <v>1876</v>
      </c>
      <c r="B1894" s="12">
        <f t="shared" si="270"/>
        <v>10</v>
      </c>
      <c r="C1894" s="12">
        <f t="shared" si="271"/>
        <v>13.223999999999998</v>
      </c>
      <c r="D1894" s="12">
        <f t="shared" si="265"/>
        <v>0.17399999999999949</v>
      </c>
      <c r="E1894" s="12">
        <f>SUM($D$19:D1894)</f>
        <v>78.424000000000319</v>
      </c>
      <c r="F1894" s="12">
        <f t="shared" si="268"/>
        <v>827.23296187006383</v>
      </c>
      <c r="G1894" s="12">
        <f t="shared" si="269"/>
        <v>428.11256991191993</v>
      </c>
      <c r="H1894" s="12">
        <f t="shared" si="266"/>
        <v>2978000</v>
      </c>
      <c r="I1894" s="12">
        <f t="shared" si="267"/>
        <v>1541200</v>
      </c>
      <c r="J1894" s="12">
        <f>IF(A1894&lt;[3]关卡对接!$A$4,INDEX([3]关卡对接!$C$7:$C$141,A1894),MATCH(E1894,人物经验!$H$24:$H$573,1))</f>
        <v>550</v>
      </c>
      <c r="K1894" s="12">
        <f>IF([3]关卡对接!F1882="",INT(INDEX(人物经验!$J$24:$J$573,关卡!J1894)*关卡!$S$7),[3]关卡对接!F1882)</f>
        <v>53960</v>
      </c>
      <c r="L1894" s="12">
        <f t="shared" si="272"/>
        <v>2.8</v>
      </c>
      <c r="M1894" s="12">
        <f>L1894/[4]货币基础!$B$4</f>
        <v>280</v>
      </c>
      <c r="N1894" s="12">
        <f>IF(A1894&lt;[3]关卡对接!$A$4,INDEX([3]关卡对接!$E$7:$E$141,A1894),MATCH(E1894,人物经验!$H$24:$H$573,1))</f>
        <v>550</v>
      </c>
      <c r="O1894" s="12">
        <f>INDEX([2]关卡!$G$6:$G$2005,A1894)</f>
        <v>3</v>
      </c>
      <c r="P1894" s="13">
        <v>6</v>
      </c>
      <c r="Q1894" s="12">
        <f>INT(P1894/$S$15/O1894*VLOOKUP(J1894,[1]人物技能基础!$N$3:$O$553,2,0)*$U$15)</f>
        <v>9</v>
      </c>
      <c r="R1894" s="12">
        <f t="shared" si="273"/>
        <v>112</v>
      </c>
    </row>
    <row r="1895" spans="1:18" x14ac:dyDescent="0.15">
      <c r="A1895" s="12">
        <v>1877</v>
      </c>
      <c r="B1895" s="12">
        <f t="shared" si="270"/>
        <v>10</v>
      </c>
      <c r="C1895" s="12">
        <f t="shared" si="271"/>
        <v>13.398</v>
      </c>
      <c r="D1895" s="12">
        <f t="shared" si="265"/>
        <v>0.17400000000000126</v>
      </c>
      <c r="E1895" s="12">
        <f>SUM($D$19:D1895)</f>
        <v>78.598000000000326</v>
      </c>
      <c r="F1895" s="12">
        <f t="shared" si="268"/>
        <v>828.52586388161001</v>
      </c>
      <c r="G1895" s="12">
        <f t="shared" si="269"/>
        <v>428.6583090756809</v>
      </c>
      <c r="H1895" s="12">
        <f t="shared" si="266"/>
        <v>2982600</v>
      </c>
      <c r="I1895" s="12">
        <f t="shared" si="267"/>
        <v>1543100</v>
      </c>
      <c r="J1895" s="12">
        <f>IF(A1895&lt;[3]关卡对接!$A$4,INDEX([3]关卡对接!$C$7:$C$141,A1895),MATCH(E1895,人物经验!$H$24:$H$573,1))</f>
        <v>550</v>
      </c>
      <c r="K1895" s="12">
        <f>IF([3]关卡对接!F1883="",INT(INDEX(人物经验!$J$24:$J$573,关卡!J1895)*关卡!$S$7),[3]关卡对接!F1883)</f>
        <v>53960</v>
      </c>
      <c r="L1895" s="12">
        <f t="shared" si="272"/>
        <v>2.8</v>
      </c>
      <c r="M1895" s="12">
        <f>L1895/[4]货币基础!$B$4</f>
        <v>280</v>
      </c>
      <c r="N1895" s="12">
        <f>IF(A1895&lt;[3]关卡对接!$A$4,INDEX([3]关卡对接!$E$7:$E$141,A1895),MATCH(E1895,人物经验!$H$24:$H$573,1))</f>
        <v>550</v>
      </c>
      <c r="O1895" s="12">
        <f>INDEX([2]关卡!$G$6:$G$2005,A1895)</f>
        <v>3</v>
      </c>
      <c r="P1895" s="13">
        <v>6</v>
      </c>
      <c r="Q1895" s="12">
        <f>INT(P1895/$S$15/O1895*VLOOKUP(J1895,[1]人物技能基础!$N$3:$O$553,2,0)*$U$15)</f>
        <v>9</v>
      </c>
      <c r="R1895" s="12">
        <f t="shared" si="273"/>
        <v>112</v>
      </c>
    </row>
    <row r="1896" spans="1:18" x14ac:dyDescent="0.15">
      <c r="A1896" s="12">
        <v>1878</v>
      </c>
      <c r="B1896" s="12">
        <f t="shared" si="270"/>
        <v>10</v>
      </c>
      <c r="C1896" s="12">
        <f t="shared" si="271"/>
        <v>13.571999999999999</v>
      </c>
      <c r="D1896" s="12">
        <f t="shared" si="265"/>
        <v>0.17399999999999949</v>
      </c>
      <c r="E1896" s="12">
        <f>SUM($D$19:D1896)</f>
        <v>78.772000000000332</v>
      </c>
      <c r="F1896" s="12">
        <f t="shared" si="268"/>
        <v>829.82034251455877</v>
      </c>
      <c r="G1896" s="12">
        <f t="shared" si="269"/>
        <v>429.20458542489479</v>
      </c>
      <c r="H1896" s="12">
        <f t="shared" si="266"/>
        <v>2987300</v>
      </c>
      <c r="I1896" s="12">
        <f t="shared" si="267"/>
        <v>1545100</v>
      </c>
      <c r="J1896" s="12">
        <f>IF(A1896&lt;[3]关卡对接!$A$4,INDEX([3]关卡对接!$C$7:$C$141,A1896),MATCH(E1896,人物经验!$H$24:$H$573,1))</f>
        <v>550</v>
      </c>
      <c r="K1896" s="12">
        <f>IF([3]关卡对接!F1884="",INT(INDEX(人物经验!$J$24:$J$573,关卡!J1896)*关卡!$S$7),[3]关卡对接!F1884)</f>
        <v>53960</v>
      </c>
      <c r="L1896" s="12">
        <f t="shared" si="272"/>
        <v>2.8</v>
      </c>
      <c r="M1896" s="12">
        <f>L1896/[4]货币基础!$B$4</f>
        <v>280</v>
      </c>
      <c r="N1896" s="12">
        <f>IF(A1896&lt;[3]关卡对接!$A$4,INDEX([3]关卡对接!$E$7:$E$141,A1896),MATCH(E1896,人物经验!$H$24:$H$573,1))</f>
        <v>550</v>
      </c>
      <c r="O1896" s="12">
        <f>INDEX([2]关卡!$G$6:$G$2005,A1896)</f>
        <v>3</v>
      </c>
      <c r="P1896" s="13">
        <v>6</v>
      </c>
      <c r="Q1896" s="12">
        <f>INT(P1896/$S$15/O1896*VLOOKUP(J1896,[1]人物技能基础!$N$3:$O$553,2,0)*$U$15)</f>
        <v>9</v>
      </c>
      <c r="R1896" s="12">
        <f t="shared" si="273"/>
        <v>112</v>
      </c>
    </row>
    <row r="1897" spans="1:18" x14ac:dyDescent="0.15">
      <c r="A1897" s="12">
        <v>1879</v>
      </c>
      <c r="B1897" s="12">
        <f t="shared" si="270"/>
        <v>10</v>
      </c>
      <c r="C1897" s="12">
        <f t="shared" si="271"/>
        <v>13.745999999999999</v>
      </c>
      <c r="D1897" s="12">
        <f t="shared" si="265"/>
        <v>0.17399999999999949</v>
      </c>
      <c r="E1897" s="12">
        <f>SUM($D$19:D1897)</f>
        <v>78.946000000000339</v>
      </c>
      <c r="F1897" s="12">
        <f t="shared" si="268"/>
        <v>831.11639911759494</v>
      </c>
      <c r="G1897" s="12">
        <f t="shared" si="269"/>
        <v>429.75139933960594</v>
      </c>
      <c r="H1897" s="12">
        <f t="shared" si="266"/>
        <v>2992000</v>
      </c>
      <c r="I1897" s="12">
        <f t="shared" si="267"/>
        <v>1547100</v>
      </c>
      <c r="J1897" s="12">
        <f>IF(A1897&lt;[3]关卡对接!$A$4,INDEX([3]关卡对接!$C$7:$C$141,A1897),MATCH(E1897,人物经验!$H$24:$H$573,1))</f>
        <v>550</v>
      </c>
      <c r="K1897" s="12">
        <f>IF([3]关卡对接!F1885="",INT(INDEX(人物经验!$J$24:$J$573,关卡!J1897)*关卡!$S$7),[3]关卡对接!F1885)</f>
        <v>53960</v>
      </c>
      <c r="L1897" s="12">
        <f t="shared" si="272"/>
        <v>2.8</v>
      </c>
      <c r="M1897" s="12">
        <f>L1897/[4]货币基础!$B$4</f>
        <v>280</v>
      </c>
      <c r="N1897" s="12">
        <f>IF(A1897&lt;[3]关卡对接!$A$4,INDEX([3]关卡对接!$E$7:$E$141,A1897),MATCH(E1897,人物经验!$H$24:$H$573,1))</f>
        <v>550</v>
      </c>
      <c r="O1897" s="12">
        <f>INDEX([2]关卡!$G$6:$G$2005,A1897)</f>
        <v>3</v>
      </c>
      <c r="P1897" s="13">
        <v>6</v>
      </c>
      <c r="Q1897" s="12">
        <f>INT(P1897/$S$15/O1897*VLOOKUP(J1897,[1]人物技能基础!$N$3:$O$553,2,0)*$U$15)</f>
        <v>9</v>
      </c>
      <c r="R1897" s="12">
        <f t="shared" si="273"/>
        <v>112</v>
      </c>
    </row>
    <row r="1898" spans="1:18" x14ac:dyDescent="0.15">
      <c r="A1898" s="12">
        <v>1880</v>
      </c>
      <c r="B1898" s="12">
        <f t="shared" si="270"/>
        <v>10</v>
      </c>
      <c r="C1898" s="12">
        <f t="shared" si="271"/>
        <v>13.92</v>
      </c>
      <c r="D1898" s="12">
        <f t="shared" si="265"/>
        <v>0.17400000000000126</v>
      </c>
      <c r="E1898" s="12">
        <f>SUM($D$19:D1898)</f>
        <v>79.120000000000346</v>
      </c>
      <c r="F1898" s="12">
        <f t="shared" si="268"/>
        <v>832.41403503999993</v>
      </c>
      <c r="G1898" s="12">
        <f t="shared" si="269"/>
        <v>430.29875119999991</v>
      </c>
      <c r="H1898" s="12">
        <f t="shared" si="266"/>
        <v>2996600</v>
      </c>
      <c r="I1898" s="12">
        <f t="shared" si="267"/>
        <v>1549000</v>
      </c>
      <c r="J1898" s="12">
        <f>IF(A1898&lt;[3]关卡对接!$A$4,INDEX([3]关卡对接!$C$7:$C$141,A1898),MATCH(E1898,人物经验!$H$24:$H$573,1))</f>
        <v>550</v>
      </c>
      <c r="K1898" s="12">
        <f>IF([3]关卡对接!F1886="",INT(INDEX(人物经验!$J$24:$J$573,关卡!J1898)*关卡!$S$7),[3]关卡对接!F1886)</f>
        <v>53960</v>
      </c>
      <c r="L1898" s="12">
        <f t="shared" si="272"/>
        <v>2.8</v>
      </c>
      <c r="M1898" s="12">
        <f>L1898/[4]货币基础!$B$4</f>
        <v>280</v>
      </c>
      <c r="N1898" s="12">
        <f>IF(A1898&lt;[3]关卡对接!$A$4,INDEX([3]关卡对接!$E$7:$E$141,A1898),MATCH(E1898,人物经验!$H$24:$H$573,1))</f>
        <v>550</v>
      </c>
      <c r="O1898" s="12">
        <f>INDEX([2]关卡!$G$6:$G$2005,A1898)</f>
        <v>3</v>
      </c>
      <c r="P1898" s="13">
        <v>6</v>
      </c>
      <c r="Q1898" s="12">
        <f>INT(P1898/$S$15/O1898*VLOOKUP(J1898,[1]人物技能基础!$N$3:$O$553,2,0)*$U$15)</f>
        <v>9</v>
      </c>
      <c r="R1898" s="12">
        <f t="shared" si="273"/>
        <v>112</v>
      </c>
    </row>
    <row r="1899" spans="1:18" x14ac:dyDescent="0.15">
      <c r="A1899" s="12">
        <v>1881</v>
      </c>
      <c r="B1899" s="12">
        <f t="shared" si="270"/>
        <v>10</v>
      </c>
      <c r="C1899" s="12">
        <f t="shared" si="271"/>
        <v>14.093999999999999</v>
      </c>
      <c r="D1899" s="12">
        <f t="shared" si="265"/>
        <v>0.17399999999999949</v>
      </c>
      <c r="E1899" s="12">
        <f>SUM($D$19:D1899)</f>
        <v>79.294000000000352</v>
      </c>
      <c r="F1899" s="12">
        <f t="shared" si="268"/>
        <v>833.713251631655</v>
      </c>
      <c r="G1899" s="12">
        <f t="shared" si="269"/>
        <v>430.84664138640596</v>
      </c>
      <c r="H1899" s="12">
        <f t="shared" si="266"/>
        <v>3001300</v>
      </c>
      <c r="I1899" s="12">
        <f t="shared" si="267"/>
        <v>1551000</v>
      </c>
      <c r="J1899" s="12">
        <f>IF(A1899&lt;[3]关卡对接!$A$4,INDEX([3]关卡对接!$C$7:$C$141,A1899),MATCH(E1899,人物经验!$H$24:$H$573,1))</f>
        <v>550</v>
      </c>
      <c r="K1899" s="12">
        <f>IF([3]关卡对接!F1887="",INT(INDEX(人物经验!$J$24:$J$573,关卡!J1899)*关卡!$S$7),[3]关卡对接!F1887)</f>
        <v>53960</v>
      </c>
      <c r="L1899" s="12">
        <f t="shared" si="272"/>
        <v>2.8</v>
      </c>
      <c r="M1899" s="12">
        <f>L1899/[4]货币基础!$B$4</f>
        <v>280</v>
      </c>
      <c r="N1899" s="12">
        <f>IF(A1899&lt;[3]关卡对接!$A$4,INDEX([3]关卡对接!$E$7:$E$141,A1899),MATCH(E1899,人物经验!$H$24:$H$573,1))</f>
        <v>550</v>
      </c>
      <c r="O1899" s="12">
        <f>INDEX([2]关卡!$G$6:$G$2005,A1899)</f>
        <v>3</v>
      </c>
      <c r="P1899" s="13">
        <v>6</v>
      </c>
      <c r="Q1899" s="12">
        <f>INT(P1899/$S$15/O1899*VLOOKUP(J1899,[1]人物技能基础!$N$3:$O$553,2,0)*$U$15)</f>
        <v>9</v>
      </c>
      <c r="R1899" s="12">
        <f t="shared" si="273"/>
        <v>112</v>
      </c>
    </row>
    <row r="1900" spans="1:18" x14ac:dyDescent="0.15">
      <c r="A1900" s="12">
        <v>1882</v>
      </c>
      <c r="B1900" s="12">
        <f t="shared" si="270"/>
        <v>10</v>
      </c>
      <c r="C1900" s="12">
        <f t="shared" si="271"/>
        <v>14.267999999999997</v>
      </c>
      <c r="D1900" s="12">
        <f t="shared" si="265"/>
        <v>0.17399999999999771</v>
      </c>
      <c r="E1900" s="12">
        <f>SUM($D$19:D1900)</f>
        <v>79.468000000000345</v>
      </c>
      <c r="F1900" s="12">
        <f t="shared" si="268"/>
        <v>835.01405024303881</v>
      </c>
      <c r="G1900" s="12">
        <f t="shared" si="269"/>
        <v>431.39507027929488</v>
      </c>
      <c r="H1900" s="12">
        <f t="shared" si="266"/>
        <v>3006000</v>
      </c>
      <c r="I1900" s="12">
        <f t="shared" si="267"/>
        <v>1553000</v>
      </c>
      <c r="J1900" s="12">
        <f>IF(A1900&lt;[3]关卡对接!$A$4,INDEX([3]关卡对接!$C$7:$C$141,A1900),MATCH(E1900,人物经验!$H$24:$H$573,1))</f>
        <v>550</v>
      </c>
      <c r="K1900" s="12">
        <f>IF([3]关卡对接!F1888="",INT(INDEX(人物经验!$J$24:$J$573,关卡!J1900)*关卡!$S$7),[3]关卡对接!F1888)</f>
        <v>53960</v>
      </c>
      <c r="L1900" s="12">
        <f t="shared" si="272"/>
        <v>2.8</v>
      </c>
      <c r="M1900" s="12">
        <f>L1900/[4]货币基础!$B$4</f>
        <v>280</v>
      </c>
      <c r="N1900" s="12">
        <f>IF(A1900&lt;[3]关卡对接!$A$4,INDEX([3]关卡对接!$E$7:$E$141,A1900),MATCH(E1900,人物经验!$H$24:$H$573,1))</f>
        <v>550</v>
      </c>
      <c r="O1900" s="12">
        <f>INDEX([2]关卡!$G$6:$G$2005,A1900)</f>
        <v>3</v>
      </c>
      <c r="P1900" s="13">
        <v>6</v>
      </c>
      <c r="Q1900" s="12">
        <f>INT(P1900/$S$15/O1900*VLOOKUP(J1900,[1]人物技能基础!$N$3:$O$553,2,0)*$U$15)</f>
        <v>9</v>
      </c>
      <c r="R1900" s="12">
        <f t="shared" si="273"/>
        <v>112</v>
      </c>
    </row>
    <row r="1901" spans="1:18" x14ac:dyDescent="0.15">
      <c r="A1901" s="12">
        <v>1883</v>
      </c>
      <c r="B1901" s="12">
        <f t="shared" si="270"/>
        <v>10</v>
      </c>
      <c r="C1901" s="12">
        <f t="shared" si="271"/>
        <v>14.441999999999998</v>
      </c>
      <c r="D1901" s="12">
        <f t="shared" si="265"/>
        <v>0.17400000000000126</v>
      </c>
      <c r="E1901" s="12">
        <f>SUM($D$19:D1901)</f>
        <v>79.642000000000351</v>
      </c>
      <c r="F1901" s="12">
        <f t="shared" si="268"/>
        <v>836.31643222522985</v>
      </c>
      <c r="G1901" s="12">
        <f t="shared" si="269"/>
        <v>431.94403825928094</v>
      </c>
      <c r="H1901" s="12">
        <f t="shared" si="266"/>
        <v>3010700</v>
      </c>
      <c r="I1901" s="12">
        <f t="shared" si="267"/>
        <v>1554900</v>
      </c>
      <c r="J1901" s="12">
        <f>IF(A1901&lt;[3]关卡对接!$A$4,INDEX([3]关卡对接!$C$7:$C$141,A1901),MATCH(E1901,人物经验!$H$24:$H$573,1))</f>
        <v>550</v>
      </c>
      <c r="K1901" s="12">
        <f>IF([3]关卡对接!F1889="",INT(INDEX(人物经验!$J$24:$J$573,关卡!J1901)*关卡!$S$7),[3]关卡对接!F1889)</f>
        <v>53960</v>
      </c>
      <c r="L1901" s="12">
        <f t="shared" si="272"/>
        <v>2.8</v>
      </c>
      <c r="M1901" s="12">
        <f>L1901/[4]货币基础!$B$4</f>
        <v>280</v>
      </c>
      <c r="N1901" s="12">
        <f>IF(A1901&lt;[3]关卡对接!$A$4,INDEX([3]关卡对接!$E$7:$E$141,A1901),MATCH(E1901,人物经验!$H$24:$H$573,1))</f>
        <v>550</v>
      </c>
      <c r="O1901" s="12">
        <f>INDEX([2]关卡!$G$6:$G$2005,A1901)</f>
        <v>3</v>
      </c>
      <c r="P1901" s="13">
        <v>6</v>
      </c>
      <c r="Q1901" s="12">
        <f>INT(P1901/$S$15/O1901*VLOOKUP(J1901,[1]人物技能基础!$N$3:$O$553,2,0)*$U$15)</f>
        <v>9</v>
      </c>
      <c r="R1901" s="12">
        <f t="shared" si="273"/>
        <v>112</v>
      </c>
    </row>
    <row r="1902" spans="1:18" x14ac:dyDescent="0.15">
      <c r="A1902" s="12">
        <v>1884</v>
      </c>
      <c r="B1902" s="12">
        <f t="shared" si="270"/>
        <v>10</v>
      </c>
      <c r="C1902" s="12">
        <f t="shared" si="271"/>
        <v>14.615999999999998</v>
      </c>
      <c r="D1902" s="12">
        <f t="shared" si="265"/>
        <v>0.17399999999999949</v>
      </c>
      <c r="E1902" s="12">
        <f>SUM($D$19:D1902)</f>
        <v>79.816000000000344</v>
      </c>
      <c r="F1902" s="12">
        <f t="shared" si="268"/>
        <v>837.62039892990401</v>
      </c>
      <c r="G1902" s="12">
        <f t="shared" si="269"/>
        <v>432.49354570711989</v>
      </c>
      <c r="H1902" s="12">
        <f t="shared" si="266"/>
        <v>3015400</v>
      </c>
      <c r="I1902" s="12">
        <f t="shared" si="267"/>
        <v>1556900</v>
      </c>
      <c r="J1902" s="12">
        <f>IF(A1902&lt;[3]关卡对接!$A$4,INDEX([3]关卡对接!$C$7:$C$141,A1902),MATCH(E1902,人物经验!$H$24:$H$573,1))</f>
        <v>550</v>
      </c>
      <c r="K1902" s="12">
        <f>IF([3]关卡对接!F1890="",INT(INDEX(人物经验!$J$24:$J$573,关卡!J1902)*关卡!$S$7),[3]关卡对接!F1890)</f>
        <v>53960</v>
      </c>
      <c r="L1902" s="12">
        <f t="shared" si="272"/>
        <v>2.8</v>
      </c>
      <c r="M1902" s="12">
        <f>L1902/[4]货币基础!$B$4</f>
        <v>280</v>
      </c>
      <c r="N1902" s="12">
        <f>IF(A1902&lt;[3]关卡对接!$A$4,INDEX([3]关卡对接!$E$7:$E$141,A1902),MATCH(E1902,人物经验!$H$24:$H$573,1))</f>
        <v>550</v>
      </c>
      <c r="O1902" s="12">
        <f>INDEX([2]关卡!$G$6:$G$2005,A1902)</f>
        <v>3</v>
      </c>
      <c r="P1902" s="13">
        <v>6</v>
      </c>
      <c r="Q1902" s="12">
        <f>INT(P1902/$S$15/O1902*VLOOKUP(J1902,[1]人物技能基础!$N$3:$O$553,2,0)*$U$15)</f>
        <v>9</v>
      </c>
      <c r="R1902" s="12">
        <f t="shared" si="273"/>
        <v>112</v>
      </c>
    </row>
    <row r="1903" spans="1:18" x14ac:dyDescent="0.15">
      <c r="A1903" s="12">
        <v>1885</v>
      </c>
      <c r="B1903" s="12">
        <f t="shared" si="270"/>
        <v>10</v>
      </c>
      <c r="C1903" s="12">
        <f t="shared" si="271"/>
        <v>14.79</v>
      </c>
      <c r="D1903" s="12">
        <f t="shared" si="265"/>
        <v>0.17400000000000126</v>
      </c>
      <c r="E1903" s="12">
        <f>SUM($D$19:D1903)</f>
        <v>79.99000000000035</v>
      </c>
      <c r="F1903" s="12">
        <f t="shared" si="268"/>
        <v>838.92595170933589</v>
      </c>
      <c r="G1903" s="12">
        <f t="shared" si="269"/>
        <v>433.0435930037109</v>
      </c>
      <c r="H1903" s="12">
        <f t="shared" si="266"/>
        <v>3020100</v>
      </c>
      <c r="I1903" s="12">
        <f t="shared" si="267"/>
        <v>1558900</v>
      </c>
      <c r="J1903" s="12">
        <f>IF(A1903&lt;[3]关卡对接!$A$4,INDEX([3]关卡对接!$C$7:$C$141,A1903),MATCH(E1903,人物经验!$H$24:$H$573,1))</f>
        <v>550</v>
      </c>
      <c r="K1903" s="12">
        <f>IF([3]关卡对接!F1891="",INT(INDEX(人物经验!$J$24:$J$573,关卡!J1903)*关卡!$S$7),[3]关卡对接!F1891)</f>
        <v>53960</v>
      </c>
      <c r="L1903" s="12">
        <f t="shared" si="272"/>
        <v>2.8</v>
      </c>
      <c r="M1903" s="12">
        <f>L1903/[4]货币基础!$B$4</f>
        <v>280</v>
      </c>
      <c r="N1903" s="12">
        <f>IF(A1903&lt;[3]关卡对接!$A$4,INDEX([3]关卡对接!$E$7:$E$141,A1903),MATCH(E1903,人物经验!$H$24:$H$573,1))</f>
        <v>550</v>
      </c>
      <c r="O1903" s="12">
        <f>INDEX([2]关卡!$G$6:$G$2005,A1903)</f>
        <v>3</v>
      </c>
      <c r="P1903" s="13">
        <v>6</v>
      </c>
      <c r="Q1903" s="12">
        <f>INT(P1903/$S$15/O1903*VLOOKUP(J1903,[1]人物技能基础!$N$3:$O$553,2,0)*$U$15)</f>
        <v>9</v>
      </c>
      <c r="R1903" s="12">
        <f t="shared" si="273"/>
        <v>112</v>
      </c>
    </row>
    <row r="1904" spans="1:18" x14ac:dyDescent="0.15">
      <c r="A1904" s="12">
        <v>1886</v>
      </c>
      <c r="B1904" s="12">
        <f t="shared" si="270"/>
        <v>10</v>
      </c>
      <c r="C1904" s="12">
        <f t="shared" si="271"/>
        <v>14.963999999999999</v>
      </c>
      <c r="D1904" s="12">
        <f t="shared" si="265"/>
        <v>0.17399999999999949</v>
      </c>
      <c r="E1904" s="12">
        <f>SUM($D$19:D1904)</f>
        <v>80.164000000000357</v>
      </c>
      <c r="F1904" s="12">
        <f t="shared" si="268"/>
        <v>840.23309191639896</v>
      </c>
      <c r="G1904" s="12">
        <f t="shared" si="269"/>
        <v>433.59418053009489</v>
      </c>
      <c r="H1904" s="12">
        <f t="shared" si="266"/>
        <v>3024800</v>
      </c>
      <c r="I1904" s="12">
        <f t="shared" si="267"/>
        <v>1560900</v>
      </c>
      <c r="J1904" s="12">
        <f>IF(A1904&lt;[3]关卡对接!$A$4,INDEX([3]关卡对接!$C$7:$C$141,A1904),MATCH(E1904,人物经验!$H$24:$H$573,1))</f>
        <v>550</v>
      </c>
      <c r="K1904" s="12">
        <f>IF([3]关卡对接!F1892="",INT(INDEX(人物经验!$J$24:$J$573,关卡!J1904)*关卡!$S$7),[3]关卡对接!F1892)</f>
        <v>53960</v>
      </c>
      <c r="L1904" s="12">
        <f t="shared" si="272"/>
        <v>2.8</v>
      </c>
      <c r="M1904" s="12">
        <f>L1904/[4]货币基础!$B$4</f>
        <v>280</v>
      </c>
      <c r="N1904" s="12">
        <f>IF(A1904&lt;[3]关卡对接!$A$4,INDEX([3]关卡对接!$E$7:$E$141,A1904),MATCH(E1904,人物经验!$H$24:$H$573,1))</f>
        <v>550</v>
      </c>
      <c r="O1904" s="12">
        <f>INDEX([2]关卡!$G$6:$G$2005,A1904)</f>
        <v>3</v>
      </c>
      <c r="P1904" s="13">
        <v>6</v>
      </c>
      <c r="Q1904" s="12">
        <f>INT(P1904/$S$15/O1904*VLOOKUP(J1904,[1]人物技能基础!$N$3:$O$553,2,0)*$U$15)</f>
        <v>9</v>
      </c>
      <c r="R1904" s="12">
        <f t="shared" si="273"/>
        <v>112</v>
      </c>
    </row>
    <row r="1905" spans="1:18" x14ac:dyDescent="0.15">
      <c r="A1905" s="12">
        <v>1887</v>
      </c>
      <c r="B1905" s="12">
        <f t="shared" si="270"/>
        <v>10</v>
      </c>
      <c r="C1905" s="12">
        <f t="shared" si="271"/>
        <v>15.137999999999998</v>
      </c>
      <c r="D1905" s="12">
        <f t="shared" si="265"/>
        <v>0.17399999999999949</v>
      </c>
      <c r="E1905" s="12">
        <f>SUM($D$19:D1905)</f>
        <v>80.338000000000363</v>
      </c>
      <c r="F1905" s="12">
        <f t="shared" si="268"/>
        <v>841.54182090456482</v>
      </c>
      <c r="G1905" s="12">
        <f t="shared" si="269"/>
        <v>434.14530866745588</v>
      </c>
      <c r="H1905" s="12">
        <f t="shared" si="266"/>
        <v>3029500</v>
      </c>
      <c r="I1905" s="12">
        <f t="shared" si="267"/>
        <v>1562900</v>
      </c>
      <c r="J1905" s="12">
        <f>IF(A1905&lt;[3]关卡对接!$A$4,INDEX([3]关卡对接!$C$7:$C$141,A1905),MATCH(E1905,人物经验!$H$24:$H$573,1))</f>
        <v>550</v>
      </c>
      <c r="K1905" s="12">
        <f>IF([3]关卡对接!F1893="",INT(INDEX(人物经验!$J$24:$J$573,关卡!J1905)*关卡!$S$7),[3]关卡对接!F1893)</f>
        <v>53960</v>
      </c>
      <c r="L1905" s="12">
        <f t="shared" si="272"/>
        <v>2.8</v>
      </c>
      <c r="M1905" s="12">
        <f>L1905/[4]货币基础!$B$4</f>
        <v>280</v>
      </c>
      <c r="N1905" s="12">
        <f>IF(A1905&lt;[3]关卡对接!$A$4,INDEX([3]关卡对接!$E$7:$E$141,A1905),MATCH(E1905,人物经验!$H$24:$H$573,1))</f>
        <v>550</v>
      </c>
      <c r="O1905" s="12">
        <f>INDEX([2]关卡!$G$6:$G$2005,A1905)</f>
        <v>3</v>
      </c>
      <c r="P1905" s="13">
        <v>6</v>
      </c>
      <c r="Q1905" s="12">
        <f>INT(P1905/$S$15/O1905*VLOOKUP(J1905,[1]人物技能基础!$N$3:$O$553,2,0)*$U$15)</f>
        <v>9</v>
      </c>
      <c r="R1905" s="12">
        <f t="shared" si="273"/>
        <v>112</v>
      </c>
    </row>
    <row r="1906" spans="1:18" x14ac:dyDescent="0.15">
      <c r="A1906" s="12">
        <v>1888</v>
      </c>
      <c r="B1906" s="12">
        <f t="shared" si="270"/>
        <v>10</v>
      </c>
      <c r="C1906" s="12">
        <f t="shared" si="271"/>
        <v>15.311999999999999</v>
      </c>
      <c r="D1906" s="12">
        <f t="shared" si="265"/>
        <v>0.17400000000000126</v>
      </c>
      <c r="E1906" s="12">
        <f>SUM($D$19:D1906)</f>
        <v>80.51200000000037</v>
      </c>
      <c r="F1906" s="12">
        <f t="shared" si="268"/>
        <v>842.85214002790383</v>
      </c>
      <c r="G1906" s="12">
        <f t="shared" si="269"/>
        <v>434.69697779711998</v>
      </c>
      <c r="H1906" s="12">
        <f t="shared" si="266"/>
        <v>3034200</v>
      </c>
      <c r="I1906" s="12">
        <f t="shared" si="267"/>
        <v>1564900</v>
      </c>
      <c r="J1906" s="12">
        <f>IF(A1906&lt;[3]关卡对接!$A$4,INDEX([3]关卡对接!$C$7:$C$141,A1906),MATCH(E1906,人物经验!$H$24:$H$573,1))</f>
        <v>550</v>
      </c>
      <c r="K1906" s="12">
        <f>IF([3]关卡对接!F1894="",INT(INDEX(人物经验!$J$24:$J$573,关卡!J1906)*关卡!$S$7),[3]关卡对接!F1894)</f>
        <v>53960</v>
      </c>
      <c r="L1906" s="12">
        <f t="shared" si="272"/>
        <v>2.8</v>
      </c>
      <c r="M1906" s="12">
        <f>L1906/[4]货币基础!$B$4</f>
        <v>280</v>
      </c>
      <c r="N1906" s="12">
        <f>IF(A1906&lt;[3]关卡对接!$A$4,INDEX([3]关卡对接!$E$7:$E$141,A1906),MATCH(E1906,人物经验!$H$24:$H$573,1))</f>
        <v>550</v>
      </c>
      <c r="O1906" s="12">
        <f>INDEX([2]关卡!$G$6:$G$2005,A1906)</f>
        <v>3</v>
      </c>
      <c r="P1906" s="13">
        <v>6</v>
      </c>
      <c r="Q1906" s="12">
        <f>INT(P1906/$S$15/O1906*VLOOKUP(J1906,[1]人物技能基础!$N$3:$O$553,2,0)*$U$15)</f>
        <v>9</v>
      </c>
      <c r="R1906" s="12">
        <f t="shared" si="273"/>
        <v>112</v>
      </c>
    </row>
    <row r="1907" spans="1:18" x14ac:dyDescent="0.15">
      <c r="A1907" s="12">
        <v>1889</v>
      </c>
      <c r="B1907" s="12">
        <f t="shared" si="270"/>
        <v>10</v>
      </c>
      <c r="C1907" s="12">
        <f t="shared" si="271"/>
        <v>15.485999999999999</v>
      </c>
      <c r="D1907" s="12">
        <f t="shared" si="265"/>
        <v>0.17399999999999949</v>
      </c>
      <c r="E1907" s="12">
        <f>SUM($D$19:D1907)</f>
        <v>80.686000000000377</v>
      </c>
      <c r="F1907" s="12">
        <f t="shared" si="268"/>
        <v>844.16405064108505</v>
      </c>
      <c r="G1907" s="12">
        <f t="shared" si="269"/>
        <v>435.24918830055594</v>
      </c>
      <c r="H1907" s="12">
        <f t="shared" si="266"/>
        <v>3038900</v>
      </c>
      <c r="I1907" s="12">
        <f t="shared" si="267"/>
        <v>1566800</v>
      </c>
      <c r="J1907" s="12">
        <f>IF(A1907&lt;[3]关卡对接!$A$4,INDEX([3]关卡对接!$C$7:$C$141,A1907),MATCH(E1907,人物经验!$H$24:$H$573,1))</f>
        <v>550</v>
      </c>
      <c r="K1907" s="12">
        <f>IF([3]关卡对接!F1895="",INT(INDEX(人物经验!$J$24:$J$573,关卡!J1907)*关卡!$S$7),[3]关卡对接!F1895)</f>
        <v>53960</v>
      </c>
      <c r="L1907" s="12">
        <f t="shared" si="272"/>
        <v>2.8</v>
      </c>
      <c r="M1907" s="12">
        <f>L1907/[4]货币基础!$B$4</f>
        <v>280</v>
      </c>
      <c r="N1907" s="12">
        <f>IF(A1907&lt;[3]关卡对接!$A$4,INDEX([3]关卡对接!$E$7:$E$141,A1907),MATCH(E1907,人物经验!$H$24:$H$573,1))</f>
        <v>550</v>
      </c>
      <c r="O1907" s="12">
        <f>INDEX([2]关卡!$G$6:$G$2005,A1907)</f>
        <v>3</v>
      </c>
      <c r="P1907" s="13">
        <v>6</v>
      </c>
      <c r="Q1907" s="12">
        <f>INT(P1907/$S$15/O1907*VLOOKUP(J1907,[1]人物技能基础!$N$3:$O$553,2,0)*$U$15)</f>
        <v>9</v>
      </c>
      <c r="R1907" s="12">
        <f t="shared" si="273"/>
        <v>112</v>
      </c>
    </row>
    <row r="1908" spans="1:18" x14ac:dyDescent="0.15">
      <c r="A1908" s="12">
        <v>1890</v>
      </c>
      <c r="B1908" s="12">
        <f t="shared" si="270"/>
        <v>10</v>
      </c>
      <c r="C1908" s="12">
        <f t="shared" si="271"/>
        <v>15.659999999999998</v>
      </c>
      <c r="D1908" s="12">
        <f t="shared" si="265"/>
        <v>0.17399999999999949</v>
      </c>
      <c r="E1908" s="12">
        <f>SUM($D$19:D1908)</f>
        <v>80.860000000000383</v>
      </c>
      <c r="F1908" s="12">
        <f t="shared" si="268"/>
        <v>845.47755409937497</v>
      </c>
      <c r="G1908" s="12">
        <f t="shared" si="269"/>
        <v>435.80194055937494</v>
      </c>
      <c r="H1908" s="12">
        <f t="shared" si="266"/>
        <v>3043700</v>
      </c>
      <c r="I1908" s="12">
        <f t="shared" si="267"/>
        <v>1568800</v>
      </c>
      <c r="J1908" s="12">
        <f>IF(A1908&lt;[3]关卡对接!$A$4,INDEX([3]关卡对接!$C$7:$C$141,A1908),MATCH(E1908,人物经验!$H$24:$H$573,1))</f>
        <v>550</v>
      </c>
      <c r="K1908" s="12">
        <f>IF([3]关卡对接!F1896="",INT(INDEX(人物经验!$J$24:$J$573,关卡!J1908)*关卡!$S$7),[3]关卡对接!F1896)</f>
        <v>53960</v>
      </c>
      <c r="L1908" s="12">
        <f t="shared" si="272"/>
        <v>2.8</v>
      </c>
      <c r="M1908" s="12">
        <f>L1908/[4]货币基础!$B$4</f>
        <v>280</v>
      </c>
      <c r="N1908" s="12">
        <f>IF(A1908&lt;[3]关卡对接!$A$4,INDEX([3]关卡对接!$E$7:$E$141,A1908),MATCH(E1908,人物经验!$H$24:$H$573,1))</f>
        <v>550</v>
      </c>
      <c r="O1908" s="12">
        <f>INDEX([2]关卡!$G$6:$G$2005,A1908)</f>
        <v>3</v>
      </c>
      <c r="P1908" s="13">
        <v>6</v>
      </c>
      <c r="Q1908" s="12">
        <f>INT(P1908/$S$15/O1908*VLOOKUP(J1908,[1]人物技能基础!$N$3:$O$553,2,0)*$U$15)</f>
        <v>9</v>
      </c>
      <c r="R1908" s="12">
        <f t="shared" si="273"/>
        <v>112</v>
      </c>
    </row>
    <row r="1909" spans="1:18" x14ac:dyDescent="0.15">
      <c r="A1909" s="12">
        <v>1891</v>
      </c>
      <c r="B1909" s="12">
        <f t="shared" si="270"/>
        <v>10</v>
      </c>
      <c r="C1909" s="12">
        <f t="shared" si="271"/>
        <v>15.834</v>
      </c>
      <c r="D1909" s="12">
        <f t="shared" si="265"/>
        <v>0.17400000000000126</v>
      </c>
      <c r="E1909" s="12">
        <f>SUM($D$19:D1909)</f>
        <v>81.03400000000039</v>
      </c>
      <c r="F1909" s="12">
        <f t="shared" si="268"/>
        <v>846.79265175863986</v>
      </c>
      <c r="G1909" s="12">
        <f t="shared" si="269"/>
        <v>436.3552349553309</v>
      </c>
      <c r="H1909" s="12">
        <f t="shared" si="266"/>
        <v>3048400</v>
      </c>
      <c r="I1909" s="12">
        <f t="shared" si="267"/>
        <v>1570800</v>
      </c>
      <c r="J1909" s="12">
        <f>IF(A1909&lt;[3]关卡对接!$A$4,INDEX([3]关卡对接!$C$7:$C$141,A1909),MATCH(E1909,人物经验!$H$24:$H$573,1))</f>
        <v>550</v>
      </c>
      <c r="K1909" s="12">
        <f>IF([3]关卡对接!F1897="",INT(INDEX(人物经验!$J$24:$J$573,关卡!J1909)*关卡!$S$7),[3]关卡对接!F1897)</f>
        <v>53960</v>
      </c>
      <c r="L1909" s="12">
        <f t="shared" si="272"/>
        <v>2.8</v>
      </c>
      <c r="M1909" s="12">
        <f>L1909/[4]货币基础!$B$4</f>
        <v>280</v>
      </c>
      <c r="N1909" s="12">
        <f>IF(A1909&lt;[3]关卡对接!$A$4,INDEX([3]关卡对接!$E$7:$E$141,A1909),MATCH(E1909,人物经验!$H$24:$H$573,1))</f>
        <v>550</v>
      </c>
      <c r="O1909" s="12">
        <f>INDEX([2]关卡!$G$6:$G$2005,A1909)</f>
        <v>3</v>
      </c>
      <c r="P1909" s="13">
        <v>6</v>
      </c>
      <c r="Q1909" s="12">
        <f>INT(P1909/$S$15/O1909*VLOOKUP(J1909,[1]人物技能基础!$N$3:$O$553,2,0)*$U$15)</f>
        <v>9</v>
      </c>
      <c r="R1909" s="12">
        <f t="shared" si="273"/>
        <v>112</v>
      </c>
    </row>
    <row r="1910" spans="1:18" x14ac:dyDescent="0.15">
      <c r="A1910" s="12">
        <v>1892</v>
      </c>
      <c r="B1910" s="12">
        <f t="shared" si="270"/>
        <v>10</v>
      </c>
      <c r="C1910" s="12">
        <f t="shared" si="271"/>
        <v>16.007999999999999</v>
      </c>
      <c r="D1910" s="12">
        <f t="shared" si="265"/>
        <v>0.17399999999999949</v>
      </c>
      <c r="E1910" s="12">
        <f>SUM($D$19:D1910)</f>
        <v>81.208000000000396</v>
      </c>
      <c r="F1910" s="12">
        <f t="shared" si="268"/>
        <v>848.10934497534402</v>
      </c>
      <c r="G1910" s="12">
        <f t="shared" si="269"/>
        <v>436.90907187031991</v>
      </c>
      <c r="H1910" s="12">
        <f t="shared" si="266"/>
        <v>3053100</v>
      </c>
      <c r="I1910" s="12">
        <f t="shared" si="267"/>
        <v>1572800</v>
      </c>
      <c r="J1910" s="12">
        <f>IF(A1910&lt;[3]关卡对接!$A$4,INDEX([3]关卡对接!$C$7:$C$141,A1910),MATCH(E1910,人物经验!$H$24:$H$573,1))</f>
        <v>550</v>
      </c>
      <c r="K1910" s="12">
        <f>IF([3]关卡对接!F1898="",INT(INDEX(人物经验!$J$24:$J$573,关卡!J1910)*关卡!$S$7),[3]关卡对接!F1898)</f>
        <v>53960</v>
      </c>
      <c r="L1910" s="12">
        <f t="shared" si="272"/>
        <v>2.8</v>
      </c>
      <c r="M1910" s="12">
        <f>L1910/[4]货币基础!$B$4</f>
        <v>280</v>
      </c>
      <c r="N1910" s="12">
        <f>IF(A1910&lt;[3]关卡对接!$A$4,INDEX([3]关卡对接!$E$7:$E$141,A1910),MATCH(E1910,人物经验!$H$24:$H$573,1))</f>
        <v>550</v>
      </c>
      <c r="O1910" s="12">
        <f>INDEX([2]关卡!$G$6:$G$2005,A1910)</f>
        <v>3</v>
      </c>
      <c r="P1910" s="13">
        <v>6</v>
      </c>
      <c r="Q1910" s="12">
        <f>INT(P1910/$S$15/O1910*VLOOKUP(J1910,[1]人物技能基础!$N$3:$O$553,2,0)*$U$15)</f>
        <v>9</v>
      </c>
      <c r="R1910" s="12">
        <f t="shared" si="273"/>
        <v>112</v>
      </c>
    </row>
    <row r="1911" spans="1:18" x14ac:dyDescent="0.15">
      <c r="A1911" s="12">
        <v>1893</v>
      </c>
      <c r="B1911" s="12">
        <f t="shared" si="270"/>
        <v>10</v>
      </c>
      <c r="C1911" s="12">
        <f t="shared" si="271"/>
        <v>16.181999999999999</v>
      </c>
      <c r="D1911" s="12">
        <f t="shared" si="265"/>
        <v>0.17399999999999949</v>
      </c>
      <c r="E1911" s="12">
        <f>SUM($D$19:D1911)</f>
        <v>81.382000000000403</v>
      </c>
      <c r="F1911" s="12">
        <f t="shared" si="268"/>
        <v>849.42763510654993</v>
      </c>
      <c r="G1911" s="12">
        <f t="shared" si="269"/>
        <v>437.46345168638089</v>
      </c>
      <c r="H1911" s="12">
        <f t="shared" si="266"/>
        <v>3057900</v>
      </c>
      <c r="I1911" s="12">
        <f t="shared" si="267"/>
        <v>1574800</v>
      </c>
      <c r="J1911" s="12">
        <f>IF(A1911&lt;[3]关卡对接!$A$4,INDEX([3]关卡对接!$C$7:$C$141,A1911),MATCH(E1911,人物经验!$H$24:$H$573,1))</f>
        <v>550</v>
      </c>
      <c r="K1911" s="12">
        <f>IF([3]关卡对接!F1899="",INT(INDEX(人物经验!$J$24:$J$573,关卡!J1911)*关卡!$S$7),[3]关卡对接!F1899)</f>
        <v>53960</v>
      </c>
      <c r="L1911" s="12">
        <f t="shared" si="272"/>
        <v>2.8</v>
      </c>
      <c r="M1911" s="12">
        <f>L1911/[4]货币基础!$B$4</f>
        <v>280</v>
      </c>
      <c r="N1911" s="12">
        <f>IF(A1911&lt;[3]关卡对接!$A$4,INDEX([3]关卡对接!$E$7:$E$141,A1911),MATCH(E1911,人物经验!$H$24:$H$573,1))</f>
        <v>550</v>
      </c>
      <c r="O1911" s="12">
        <f>INDEX([2]关卡!$G$6:$G$2005,A1911)</f>
        <v>3</v>
      </c>
      <c r="P1911" s="13">
        <v>6</v>
      </c>
      <c r="Q1911" s="12">
        <f>INT(P1911/$S$15/O1911*VLOOKUP(J1911,[1]人物技能基础!$N$3:$O$553,2,0)*$U$15)</f>
        <v>9</v>
      </c>
      <c r="R1911" s="12">
        <f t="shared" si="273"/>
        <v>112</v>
      </c>
    </row>
    <row r="1912" spans="1:18" x14ac:dyDescent="0.15">
      <c r="A1912" s="12">
        <v>1894</v>
      </c>
      <c r="B1912" s="12">
        <f t="shared" si="270"/>
        <v>10</v>
      </c>
      <c r="C1912" s="12">
        <f t="shared" si="271"/>
        <v>16.355999999999998</v>
      </c>
      <c r="D1912" s="12">
        <f t="shared" si="265"/>
        <v>0.17399999999999949</v>
      </c>
      <c r="E1912" s="12">
        <f>SUM($D$19:D1912)</f>
        <v>81.556000000000409</v>
      </c>
      <c r="F1912" s="12">
        <f t="shared" si="268"/>
        <v>850.74752350991889</v>
      </c>
      <c r="G1912" s="12">
        <f t="shared" si="269"/>
        <v>438.01837478569496</v>
      </c>
      <c r="H1912" s="12">
        <f t="shared" si="266"/>
        <v>3062600</v>
      </c>
      <c r="I1912" s="12">
        <f t="shared" si="267"/>
        <v>1576800</v>
      </c>
      <c r="J1912" s="12">
        <f>IF(A1912&lt;[3]关卡对接!$A$4,INDEX([3]关卡对接!$C$7:$C$141,A1912),MATCH(E1912,人物经验!$H$24:$H$573,1))</f>
        <v>550</v>
      </c>
      <c r="K1912" s="12">
        <f>IF([3]关卡对接!F1900="",INT(INDEX(人物经验!$J$24:$J$573,关卡!J1912)*关卡!$S$7),[3]关卡对接!F1900)</f>
        <v>53960</v>
      </c>
      <c r="L1912" s="12">
        <f t="shared" si="272"/>
        <v>2.8</v>
      </c>
      <c r="M1912" s="12">
        <f>L1912/[4]货币基础!$B$4</f>
        <v>280</v>
      </c>
      <c r="N1912" s="12">
        <f>IF(A1912&lt;[3]关卡对接!$A$4,INDEX([3]关卡对接!$E$7:$E$141,A1912),MATCH(E1912,人物经验!$H$24:$H$573,1))</f>
        <v>550</v>
      </c>
      <c r="O1912" s="12">
        <f>INDEX([2]关卡!$G$6:$G$2005,A1912)</f>
        <v>3</v>
      </c>
      <c r="P1912" s="13">
        <v>6</v>
      </c>
      <c r="Q1912" s="12">
        <f>INT(P1912/$S$15/O1912*VLOOKUP(J1912,[1]人物技能基础!$N$3:$O$553,2,0)*$U$15)</f>
        <v>9</v>
      </c>
      <c r="R1912" s="12">
        <f t="shared" si="273"/>
        <v>112</v>
      </c>
    </row>
    <row r="1913" spans="1:18" x14ac:dyDescent="0.15">
      <c r="A1913" s="12">
        <v>1895</v>
      </c>
      <c r="B1913" s="12">
        <f t="shared" si="270"/>
        <v>10</v>
      </c>
      <c r="C1913" s="12">
        <f t="shared" si="271"/>
        <v>16.529999999999998</v>
      </c>
      <c r="D1913" s="12">
        <f t="shared" si="265"/>
        <v>0.17399999999999949</v>
      </c>
      <c r="E1913" s="12">
        <f>SUM($D$19:D1913)</f>
        <v>81.730000000000416</v>
      </c>
      <c r="F1913" s="12">
        <f t="shared" si="268"/>
        <v>852.0690115437111</v>
      </c>
      <c r="G1913" s="12">
        <f t="shared" si="269"/>
        <v>438.57384155058594</v>
      </c>
      <c r="H1913" s="12">
        <f t="shared" si="266"/>
        <v>3067400</v>
      </c>
      <c r="I1913" s="12">
        <f t="shared" si="267"/>
        <v>1578800</v>
      </c>
      <c r="J1913" s="12">
        <f>IF(A1913&lt;[3]关卡对接!$A$4,INDEX([3]关卡对接!$C$7:$C$141,A1913),MATCH(E1913,人物经验!$H$24:$H$573,1))</f>
        <v>550</v>
      </c>
      <c r="K1913" s="12">
        <f>IF([3]关卡对接!F1901="",INT(INDEX(人物经验!$J$24:$J$573,关卡!J1913)*关卡!$S$7),[3]关卡对接!F1901)</f>
        <v>53960</v>
      </c>
      <c r="L1913" s="12">
        <f t="shared" si="272"/>
        <v>2.8</v>
      </c>
      <c r="M1913" s="12">
        <f>L1913/[4]货币基础!$B$4</f>
        <v>280</v>
      </c>
      <c r="N1913" s="12">
        <f>IF(A1913&lt;[3]关卡对接!$A$4,INDEX([3]关卡对接!$E$7:$E$141,A1913),MATCH(E1913,人物经验!$H$24:$H$573,1))</f>
        <v>550</v>
      </c>
      <c r="O1913" s="12">
        <f>INDEX([2]关卡!$G$6:$G$2005,A1913)</f>
        <v>3</v>
      </c>
      <c r="P1913" s="13">
        <v>6</v>
      </c>
      <c r="Q1913" s="12">
        <f>INT(P1913/$S$15/O1913*VLOOKUP(J1913,[1]人物技能基础!$N$3:$O$553,2,0)*$U$15)</f>
        <v>9</v>
      </c>
      <c r="R1913" s="12">
        <f t="shared" si="273"/>
        <v>112</v>
      </c>
    </row>
    <row r="1914" spans="1:18" x14ac:dyDescent="0.15">
      <c r="A1914" s="12">
        <v>1896</v>
      </c>
      <c r="B1914" s="12">
        <f t="shared" si="270"/>
        <v>10</v>
      </c>
      <c r="C1914" s="12">
        <f t="shared" si="271"/>
        <v>16.703999999999997</v>
      </c>
      <c r="D1914" s="12">
        <f t="shared" si="265"/>
        <v>0.17399999999999949</v>
      </c>
      <c r="E1914" s="12">
        <f>SUM($D$19:D1914)</f>
        <v>81.904000000000423</v>
      </c>
      <c r="F1914" s="12">
        <f t="shared" si="268"/>
        <v>853.39210056678394</v>
      </c>
      <c r="G1914" s="12">
        <f t="shared" si="269"/>
        <v>439.12985236352</v>
      </c>
      <c r="H1914" s="12">
        <f t="shared" si="266"/>
        <v>3072200</v>
      </c>
      <c r="I1914" s="12">
        <f t="shared" si="267"/>
        <v>1580800</v>
      </c>
      <c r="J1914" s="12">
        <f>IF(A1914&lt;[3]关卡对接!$A$4,INDEX([3]关卡对接!$C$7:$C$141,A1914),MATCH(E1914,人物经验!$H$24:$H$573,1))</f>
        <v>550</v>
      </c>
      <c r="K1914" s="12">
        <f>IF([3]关卡对接!F1902="",INT(INDEX(人物经验!$J$24:$J$573,关卡!J1914)*关卡!$S$7),[3]关卡对接!F1902)</f>
        <v>53960</v>
      </c>
      <c r="L1914" s="12">
        <f t="shared" si="272"/>
        <v>2.8</v>
      </c>
      <c r="M1914" s="12">
        <f>L1914/[4]货币基础!$B$4</f>
        <v>280</v>
      </c>
      <c r="N1914" s="12">
        <f>IF(A1914&lt;[3]关卡对接!$A$4,INDEX([3]关卡对接!$E$7:$E$141,A1914),MATCH(E1914,人物经验!$H$24:$H$573,1))</f>
        <v>550</v>
      </c>
      <c r="O1914" s="12">
        <f>INDEX([2]关卡!$G$6:$G$2005,A1914)</f>
        <v>3</v>
      </c>
      <c r="P1914" s="13">
        <v>6</v>
      </c>
      <c r="Q1914" s="12">
        <f>INT(P1914/$S$15/O1914*VLOOKUP(J1914,[1]人物技能基础!$N$3:$O$553,2,0)*$U$15)</f>
        <v>9</v>
      </c>
      <c r="R1914" s="12">
        <f t="shared" si="273"/>
        <v>112</v>
      </c>
    </row>
    <row r="1915" spans="1:18" x14ac:dyDescent="0.15">
      <c r="A1915" s="12">
        <v>1897</v>
      </c>
      <c r="B1915" s="12">
        <f t="shared" si="270"/>
        <v>10</v>
      </c>
      <c r="C1915" s="12">
        <f t="shared" si="271"/>
        <v>16.877999999999997</v>
      </c>
      <c r="D1915" s="12">
        <f t="shared" ref="D1915:D1978" si="274">IF(ISNA(MATCH(A1915,$A$6:$A$15,0)),C1915-C1914,C1915)</f>
        <v>0.17399999999999949</v>
      </c>
      <c r="E1915" s="12">
        <f>SUM($D$19:D1915)</f>
        <v>82.078000000000429</v>
      </c>
      <c r="F1915" s="12">
        <f t="shared" si="268"/>
        <v>854.71679193859495</v>
      </c>
      <c r="G1915" s="12">
        <f t="shared" si="269"/>
        <v>439.68640760710588</v>
      </c>
      <c r="H1915" s="12">
        <f t="shared" ref="H1915:H1978" si="275">INT(F1915*60*60/100)*100</f>
        <v>3076900</v>
      </c>
      <c r="I1915" s="12">
        <f t="shared" ref="I1915:I1978" si="276">INT(G1915*60*60/100)*100</f>
        <v>1582800</v>
      </c>
      <c r="J1915" s="12">
        <f>IF(A1915&lt;[3]关卡对接!$A$4,INDEX([3]关卡对接!$C$7:$C$141,A1915),MATCH(E1915,人物经验!$H$24:$H$573,1))</f>
        <v>550</v>
      </c>
      <c r="K1915" s="12">
        <f>IF([3]关卡对接!F1903="",INT(INDEX(人物经验!$J$24:$J$573,关卡!J1915)*关卡!$S$7),[3]关卡对接!F1903)</f>
        <v>53960</v>
      </c>
      <c r="L1915" s="12">
        <f t="shared" si="272"/>
        <v>2.8</v>
      </c>
      <c r="M1915" s="12">
        <f>L1915/[4]货币基础!$B$4</f>
        <v>280</v>
      </c>
      <c r="N1915" s="12">
        <f>IF(A1915&lt;[3]关卡对接!$A$4,INDEX([3]关卡对接!$E$7:$E$141,A1915),MATCH(E1915,人物经验!$H$24:$H$573,1))</f>
        <v>550</v>
      </c>
      <c r="O1915" s="12">
        <f>INDEX([2]关卡!$G$6:$G$2005,A1915)</f>
        <v>3</v>
      </c>
      <c r="P1915" s="13">
        <v>6</v>
      </c>
      <c r="Q1915" s="12">
        <f>INT(P1915/$S$15/O1915*VLOOKUP(J1915,[1]人物技能基础!$N$3:$O$553,2,0)*$U$15)</f>
        <v>9</v>
      </c>
      <c r="R1915" s="12">
        <f t="shared" si="273"/>
        <v>112</v>
      </c>
    </row>
    <row r="1916" spans="1:18" x14ac:dyDescent="0.15">
      <c r="A1916" s="12">
        <v>1898</v>
      </c>
      <c r="B1916" s="12">
        <f t="shared" si="270"/>
        <v>10</v>
      </c>
      <c r="C1916" s="12">
        <f t="shared" si="271"/>
        <v>17.052</v>
      </c>
      <c r="D1916" s="12">
        <f t="shared" si="274"/>
        <v>0.17400000000000304</v>
      </c>
      <c r="E1916" s="12">
        <f>SUM($D$19:D1916)</f>
        <v>82.252000000000436</v>
      </c>
      <c r="F1916" s="12">
        <f t="shared" si="268"/>
        <v>856.04308701919888</v>
      </c>
      <c r="G1916" s="12">
        <f t="shared" si="269"/>
        <v>440.24350766409492</v>
      </c>
      <c r="H1916" s="12">
        <f t="shared" si="275"/>
        <v>3081700</v>
      </c>
      <c r="I1916" s="12">
        <f t="shared" si="276"/>
        <v>1584800</v>
      </c>
      <c r="J1916" s="12">
        <f>IF(A1916&lt;[3]关卡对接!$A$4,INDEX([3]关卡对接!$C$7:$C$141,A1916),MATCH(E1916,人物经验!$H$24:$H$573,1))</f>
        <v>550</v>
      </c>
      <c r="K1916" s="12">
        <f>IF([3]关卡对接!F1904="",INT(INDEX(人物经验!$J$24:$J$573,关卡!J1916)*关卡!$S$7),[3]关卡对接!F1904)</f>
        <v>53960</v>
      </c>
      <c r="L1916" s="12">
        <f t="shared" si="272"/>
        <v>2.8</v>
      </c>
      <c r="M1916" s="12">
        <f>L1916/[4]货币基础!$B$4</f>
        <v>280</v>
      </c>
      <c r="N1916" s="12">
        <f>IF(A1916&lt;[3]关卡对接!$A$4,INDEX([3]关卡对接!$E$7:$E$141,A1916),MATCH(E1916,人物经验!$H$24:$H$573,1))</f>
        <v>550</v>
      </c>
      <c r="O1916" s="12">
        <f>INDEX([2]关卡!$G$6:$G$2005,A1916)</f>
        <v>3</v>
      </c>
      <c r="P1916" s="13">
        <v>6</v>
      </c>
      <c r="Q1916" s="12">
        <f>INT(P1916/$S$15/O1916*VLOOKUP(J1916,[1]人物技能基础!$N$3:$O$553,2,0)*$U$15)</f>
        <v>9</v>
      </c>
      <c r="R1916" s="12">
        <f t="shared" si="273"/>
        <v>112</v>
      </c>
    </row>
    <row r="1917" spans="1:18" x14ac:dyDescent="0.15">
      <c r="A1917" s="12">
        <v>1899</v>
      </c>
      <c r="B1917" s="12">
        <f t="shared" si="270"/>
        <v>10</v>
      </c>
      <c r="C1917" s="12">
        <f t="shared" si="271"/>
        <v>17.225999999999999</v>
      </c>
      <c r="D1917" s="12">
        <f t="shared" si="274"/>
        <v>0.17399999999999949</v>
      </c>
      <c r="E1917" s="12">
        <f>SUM($D$19:D1917)</f>
        <v>82.426000000000442</v>
      </c>
      <c r="F1917" s="12">
        <f t="shared" si="268"/>
        <v>857.37098716924993</v>
      </c>
      <c r="G1917" s="12">
        <f t="shared" si="269"/>
        <v>440.80115291738099</v>
      </c>
      <c r="H1917" s="12">
        <f t="shared" si="275"/>
        <v>3086500</v>
      </c>
      <c r="I1917" s="12">
        <f t="shared" si="276"/>
        <v>1586800</v>
      </c>
      <c r="J1917" s="12">
        <f>IF(A1917&lt;[3]关卡对接!$A$4,INDEX([3]关卡对接!$C$7:$C$141,A1917),MATCH(E1917,人物经验!$H$24:$H$573,1))</f>
        <v>550</v>
      </c>
      <c r="K1917" s="12">
        <f>IF([3]关卡对接!F1905="",INT(INDEX(人物经验!$J$24:$J$573,关卡!J1917)*关卡!$S$7),[3]关卡对接!F1905)</f>
        <v>53960</v>
      </c>
      <c r="L1917" s="12">
        <f t="shared" si="272"/>
        <v>2.8</v>
      </c>
      <c r="M1917" s="12">
        <f>L1917/[4]货币基础!$B$4</f>
        <v>280</v>
      </c>
      <c r="N1917" s="12">
        <f>IF(A1917&lt;[3]关卡对接!$A$4,INDEX([3]关卡对接!$E$7:$E$141,A1917),MATCH(E1917,人物经验!$H$24:$H$573,1))</f>
        <v>550</v>
      </c>
      <c r="O1917" s="12">
        <f>INDEX([2]关卡!$G$6:$G$2005,A1917)</f>
        <v>3</v>
      </c>
      <c r="P1917" s="13">
        <v>6</v>
      </c>
      <c r="Q1917" s="12">
        <f>INT(P1917/$S$15/O1917*VLOOKUP(J1917,[1]人物技能基础!$N$3:$O$553,2,0)*$U$15)</f>
        <v>9</v>
      </c>
      <c r="R1917" s="12">
        <f t="shared" si="273"/>
        <v>112</v>
      </c>
    </row>
    <row r="1918" spans="1:18" x14ac:dyDescent="0.15">
      <c r="A1918" s="12">
        <v>1900</v>
      </c>
      <c r="B1918" s="12">
        <f t="shared" si="270"/>
        <v>10</v>
      </c>
      <c r="C1918" s="12">
        <f t="shared" si="271"/>
        <v>17.399999999999999</v>
      </c>
      <c r="D1918" s="12">
        <f t="shared" si="274"/>
        <v>0.17399999999999949</v>
      </c>
      <c r="E1918" s="12">
        <f>SUM($D$19:D1918)</f>
        <v>82.600000000000449</v>
      </c>
      <c r="F1918" s="12">
        <f t="shared" si="268"/>
        <v>858.70049374999996</v>
      </c>
      <c r="G1918" s="12">
        <f t="shared" si="269"/>
        <v>441.35934374999999</v>
      </c>
      <c r="H1918" s="12">
        <f t="shared" si="275"/>
        <v>3091300</v>
      </c>
      <c r="I1918" s="12">
        <f t="shared" si="276"/>
        <v>1588800</v>
      </c>
      <c r="J1918" s="12">
        <f>IF(A1918&lt;[3]关卡对接!$A$4,INDEX([3]关卡对接!$C$7:$C$141,A1918),MATCH(E1918,人物经验!$H$24:$H$573,1))</f>
        <v>550</v>
      </c>
      <c r="K1918" s="12">
        <f>IF([3]关卡对接!F1906="",INT(INDEX(人物经验!$J$24:$J$573,关卡!J1918)*关卡!$S$7),[3]关卡对接!F1906)</f>
        <v>53960</v>
      </c>
      <c r="L1918" s="12">
        <f t="shared" si="272"/>
        <v>2.8</v>
      </c>
      <c r="M1918" s="12">
        <f>L1918/[4]货币基础!$B$4</f>
        <v>280</v>
      </c>
      <c r="N1918" s="12">
        <f>IF(A1918&lt;[3]关卡对接!$A$4,INDEX([3]关卡对接!$E$7:$E$141,A1918),MATCH(E1918,人物经验!$H$24:$H$573,1))</f>
        <v>550</v>
      </c>
      <c r="O1918" s="12">
        <f>INDEX([2]关卡!$G$6:$G$2005,A1918)</f>
        <v>3</v>
      </c>
      <c r="P1918" s="13">
        <v>6</v>
      </c>
      <c r="Q1918" s="12">
        <f>INT(P1918/$S$15/O1918*VLOOKUP(J1918,[1]人物技能基础!$N$3:$O$553,2,0)*$U$15)</f>
        <v>9</v>
      </c>
      <c r="R1918" s="12">
        <f t="shared" si="273"/>
        <v>112</v>
      </c>
    </row>
    <row r="1919" spans="1:18" x14ac:dyDescent="0.15">
      <c r="A1919" s="12">
        <v>1901</v>
      </c>
      <c r="B1919" s="12">
        <f t="shared" si="270"/>
        <v>10</v>
      </c>
      <c r="C1919" s="12">
        <f t="shared" si="271"/>
        <v>17.573999999999998</v>
      </c>
      <c r="D1919" s="12">
        <f t="shared" si="274"/>
        <v>0.17399999999999949</v>
      </c>
      <c r="E1919" s="12">
        <f>SUM($D$19:D1919)</f>
        <v>82.774000000000456</v>
      </c>
      <c r="F1919" s="12">
        <f t="shared" si="268"/>
        <v>860.03160812329997</v>
      </c>
      <c r="G1919" s="12">
        <f t="shared" si="269"/>
        <v>441.91808054513092</v>
      </c>
      <c r="H1919" s="12">
        <f t="shared" si="275"/>
        <v>3096100</v>
      </c>
      <c r="I1919" s="12">
        <f t="shared" si="276"/>
        <v>1590900</v>
      </c>
      <c r="J1919" s="12">
        <f>IF(A1919&lt;[3]关卡对接!$A$4,INDEX([3]关卡对接!$C$7:$C$141,A1919),MATCH(E1919,人物经验!$H$24:$H$573,1))</f>
        <v>550</v>
      </c>
      <c r="K1919" s="12">
        <f>IF([3]关卡对接!F1907="",INT(INDEX(人物经验!$J$24:$J$573,关卡!J1919)*关卡!$S$7),[3]关卡对接!F1907)</f>
        <v>53960</v>
      </c>
      <c r="L1919" s="12">
        <f t="shared" si="272"/>
        <v>2.8</v>
      </c>
      <c r="M1919" s="12">
        <f>L1919/[4]货币基础!$B$4</f>
        <v>280</v>
      </c>
      <c r="N1919" s="12">
        <f>IF(A1919&lt;[3]关卡对接!$A$4,INDEX([3]关卡对接!$E$7:$E$141,A1919),MATCH(E1919,人物经验!$H$24:$H$573,1))</f>
        <v>550</v>
      </c>
      <c r="O1919" s="12">
        <f>INDEX([2]关卡!$G$6:$G$2005,A1919)</f>
        <v>3</v>
      </c>
      <c r="P1919" s="13">
        <v>6</v>
      </c>
      <c r="Q1919" s="12">
        <f>INT(P1919/$S$15/O1919*VLOOKUP(J1919,[1]人物技能基础!$N$3:$O$553,2,0)*$U$15)</f>
        <v>9</v>
      </c>
      <c r="R1919" s="12">
        <f t="shared" si="273"/>
        <v>112</v>
      </c>
    </row>
    <row r="1920" spans="1:18" x14ac:dyDescent="0.15">
      <c r="A1920" s="12">
        <v>1902</v>
      </c>
      <c r="B1920" s="12">
        <f t="shared" si="270"/>
        <v>10</v>
      </c>
      <c r="C1920" s="12">
        <f t="shared" si="271"/>
        <v>17.747999999999998</v>
      </c>
      <c r="D1920" s="12">
        <f t="shared" si="274"/>
        <v>0.17399999999999949</v>
      </c>
      <c r="E1920" s="12">
        <f>SUM($D$19:D1920)</f>
        <v>82.948000000000462</v>
      </c>
      <c r="F1920" s="12">
        <f t="shared" si="268"/>
        <v>861.36433165159883</v>
      </c>
      <c r="G1920" s="12">
        <f t="shared" si="269"/>
        <v>442.47736368609492</v>
      </c>
      <c r="H1920" s="12">
        <f t="shared" si="275"/>
        <v>3100900</v>
      </c>
      <c r="I1920" s="12">
        <f t="shared" si="276"/>
        <v>1592900</v>
      </c>
      <c r="J1920" s="12">
        <f>IF(A1920&lt;[3]关卡对接!$A$4,INDEX([3]关卡对接!$C$7:$C$141,A1920),MATCH(E1920,人物经验!$H$24:$H$573,1))</f>
        <v>550</v>
      </c>
      <c r="K1920" s="12">
        <f>IF([3]关卡对接!F1908="",INT(INDEX(人物经验!$J$24:$J$573,关卡!J1920)*关卡!$S$7),[3]关卡对接!F1908)</f>
        <v>53960</v>
      </c>
      <c r="L1920" s="12">
        <f t="shared" si="272"/>
        <v>2.8</v>
      </c>
      <c r="M1920" s="12">
        <f>L1920/[4]货币基础!$B$4</f>
        <v>280</v>
      </c>
      <c r="N1920" s="12">
        <f>IF(A1920&lt;[3]关卡对接!$A$4,INDEX([3]关卡对接!$E$7:$E$141,A1920),MATCH(E1920,人物经验!$H$24:$H$573,1))</f>
        <v>550</v>
      </c>
      <c r="O1920" s="12">
        <f>INDEX([2]关卡!$G$6:$G$2005,A1920)</f>
        <v>3</v>
      </c>
      <c r="P1920" s="13">
        <v>6</v>
      </c>
      <c r="Q1920" s="12">
        <f>INT(P1920/$S$15/O1920*VLOOKUP(J1920,[1]人物技能基础!$N$3:$O$553,2,0)*$U$15)</f>
        <v>9</v>
      </c>
      <c r="R1920" s="12">
        <f t="shared" si="273"/>
        <v>112</v>
      </c>
    </row>
    <row r="1921" spans="1:18" x14ac:dyDescent="0.15">
      <c r="A1921" s="12">
        <v>1903</v>
      </c>
      <c r="B1921" s="12">
        <f t="shared" si="270"/>
        <v>10</v>
      </c>
      <c r="C1921" s="12">
        <f t="shared" si="271"/>
        <v>17.922000000000001</v>
      </c>
      <c r="D1921" s="12">
        <f t="shared" si="274"/>
        <v>0.17400000000000304</v>
      </c>
      <c r="E1921" s="12">
        <f>SUM($D$19:D1921)</f>
        <v>83.122000000000469</v>
      </c>
      <c r="F1921" s="12">
        <f t="shared" si="268"/>
        <v>862.69866569794488</v>
      </c>
      <c r="G1921" s="12">
        <f t="shared" si="269"/>
        <v>443.03719355635587</v>
      </c>
      <c r="H1921" s="12">
        <f t="shared" si="275"/>
        <v>3105700</v>
      </c>
      <c r="I1921" s="12">
        <f t="shared" si="276"/>
        <v>1594900</v>
      </c>
      <c r="J1921" s="12">
        <f>IF(A1921&lt;[3]关卡对接!$A$4,INDEX([3]关卡对接!$C$7:$C$141,A1921),MATCH(E1921,人物经验!$H$24:$H$573,1))</f>
        <v>550</v>
      </c>
      <c r="K1921" s="12">
        <f>IF([3]关卡对接!F1909="",INT(INDEX(人物经验!$J$24:$J$573,关卡!J1921)*关卡!$S$7),[3]关卡对接!F1909)</f>
        <v>53960</v>
      </c>
      <c r="L1921" s="12">
        <f t="shared" si="272"/>
        <v>2.8</v>
      </c>
      <c r="M1921" s="12">
        <f>L1921/[4]货币基础!$B$4</f>
        <v>280</v>
      </c>
      <c r="N1921" s="12">
        <f>IF(A1921&lt;[3]关卡对接!$A$4,INDEX([3]关卡对接!$E$7:$E$141,A1921),MATCH(E1921,人物经验!$H$24:$H$573,1))</f>
        <v>550</v>
      </c>
      <c r="O1921" s="12">
        <f>INDEX([2]关卡!$G$6:$G$2005,A1921)</f>
        <v>3</v>
      </c>
      <c r="P1921" s="13">
        <v>6</v>
      </c>
      <c r="Q1921" s="12">
        <f>INT(P1921/$S$15/O1921*VLOOKUP(J1921,[1]人物技能基础!$N$3:$O$553,2,0)*$U$15)</f>
        <v>9</v>
      </c>
      <c r="R1921" s="12">
        <f t="shared" si="273"/>
        <v>112</v>
      </c>
    </row>
    <row r="1922" spans="1:18" x14ac:dyDescent="0.15">
      <c r="A1922" s="12">
        <v>1904</v>
      </c>
      <c r="B1922" s="12">
        <f t="shared" si="270"/>
        <v>10</v>
      </c>
      <c r="C1922" s="12">
        <f t="shared" si="271"/>
        <v>18.096</v>
      </c>
      <c r="D1922" s="12">
        <f t="shared" si="274"/>
        <v>0.17399999999999949</v>
      </c>
      <c r="E1922" s="12">
        <f>SUM($D$19:D1922)</f>
        <v>83.296000000000475</v>
      </c>
      <c r="F1922" s="12">
        <f t="shared" si="268"/>
        <v>864.03461162598387</v>
      </c>
      <c r="G1922" s="12">
        <f t="shared" si="269"/>
        <v>443.59757053951995</v>
      </c>
      <c r="H1922" s="12">
        <f t="shared" si="275"/>
        <v>3110500</v>
      </c>
      <c r="I1922" s="12">
        <f t="shared" si="276"/>
        <v>1596900</v>
      </c>
      <c r="J1922" s="12">
        <f>IF(A1922&lt;[3]关卡对接!$A$4,INDEX([3]关卡对接!$C$7:$C$141,A1922),MATCH(E1922,人物经验!$H$24:$H$573,1))</f>
        <v>550</v>
      </c>
      <c r="K1922" s="12">
        <f>IF([3]关卡对接!F1910="",INT(INDEX(人物经验!$J$24:$J$573,关卡!J1922)*关卡!$S$7),[3]关卡对接!F1910)</f>
        <v>53960</v>
      </c>
      <c r="L1922" s="12">
        <f t="shared" si="272"/>
        <v>2.8</v>
      </c>
      <c r="M1922" s="12">
        <f>L1922/[4]货币基础!$B$4</f>
        <v>280</v>
      </c>
      <c r="N1922" s="12">
        <f>IF(A1922&lt;[3]关卡对接!$A$4,INDEX([3]关卡对接!$E$7:$E$141,A1922),MATCH(E1922,人物经验!$H$24:$H$573,1))</f>
        <v>550</v>
      </c>
      <c r="O1922" s="12">
        <f>INDEX([2]关卡!$G$6:$G$2005,A1922)</f>
        <v>3</v>
      </c>
      <c r="P1922" s="13">
        <v>6</v>
      </c>
      <c r="Q1922" s="12">
        <f>INT(P1922/$S$15/O1922*VLOOKUP(J1922,[1]人物技能基础!$N$3:$O$553,2,0)*$U$15)</f>
        <v>9</v>
      </c>
      <c r="R1922" s="12">
        <f t="shared" si="273"/>
        <v>112</v>
      </c>
    </row>
    <row r="1923" spans="1:18" x14ac:dyDescent="0.15">
      <c r="A1923" s="12">
        <v>1905</v>
      </c>
      <c r="B1923" s="12">
        <f t="shared" si="270"/>
        <v>10</v>
      </c>
      <c r="C1923" s="12">
        <f t="shared" si="271"/>
        <v>18.27</v>
      </c>
      <c r="D1923" s="12">
        <f t="shared" si="274"/>
        <v>0.17399999999999949</v>
      </c>
      <c r="E1923" s="12">
        <f>SUM($D$19:D1923)</f>
        <v>83.470000000000482</v>
      </c>
      <c r="F1923" s="12">
        <f t="shared" si="268"/>
        <v>865.37217079996094</v>
      </c>
      <c r="G1923" s="12">
        <f t="shared" si="269"/>
        <v>444.15849501933593</v>
      </c>
      <c r="H1923" s="12">
        <f t="shared" si="275"/>
        <v>3115300</v>
      </c>
      <c r="I1923" s="12">
        <f t="shared" si="276"/>
        <v>1598900</v>
      </c>
      <c r="J1923" s="12">
        <f>IF(A1923&lt;[3]关卡对接!$A$4,INDEX([3]关卡对接!$C$7:$C$141,A1923),MATCH(E1923,人物经验!$H$24:$H$573,1))</f>
        <v>550</v>
      </c>
      <c r="K1923" s="12">
        <f>IF([3]关卡对接!F1911="",INT(INDEX(人物经验!$J$24:$J$573,关卡!J1923)*关卡!$S$7),[3]关卡对接!F1911)</f>
        <v>53960</v>
      </c>
      <c r="L1923" s="12">
        <f t="shared" si="272"/>
        <v>2.8</v>
      </c>
      <c r="M1923" s="12">
        <f>L1923/[4]货币基础!$B$4</f>
        <v>280</v>
      </c>
      <c r="N1923" s="12">
        <f>IF(A1923&lt;[3]关卡对接!$A$4,INDEX([3]关卡对接!$E$7:$E$141,A1923),MATCH(E1923,人物经验!$H$24:$H$573,1))</f>
        <v>550</v>
      </c>
      <c r="O1923" s="12">
        <f>INDEX([2]关卡!$G$6:$G$2005,A1923)</f>
        <v>3</v>
      </c>
      <c r="P1923" s="13">
        <v>6</v>
      </c>
      <c r="Q1923" s="12">
        <f>INT(P1923/$S$15/O1923*VLOOKUP(J1923,[1]人物技能基础!$N$3:$O$553,2,0)*$U$15)</f>
        <v>9</v>
      </c>
      <c r="R1923" s="12">
        <f t="shared" si="273"/>
        <v>112</v>
      </c>
    </row>
    <row r="1924" spans="1:18" x14ac:dyDescent="0.15">
      <c r="A1924" s="12">
        <v>1906</v>
      </c>
      <c r="B1924" s="12">
        <f t="shared" si="270"/>
        <v>10</v>
      </c>
      <c r="C1924" s="12">
        <f t="shared" si="271"/>
        <v>18.443999999999999</v>
      </c>
      <c r="D1924" s="12">
        <f t="shared" si="274"/>
        <v>0.17399999999999949</v>
      </c>
      <c r="E1924" s="12">
        <f>SUM($D$19:D1924)</f>
        <v>83.644000000000489</v>
      </c>
      <c r="F1924" s="12">
        <f t="shared" si="268"/>
        <v>866.71134458471886</v>
      </c>
      <c r="G1924" s="12">
        <f t="shared" si="269"/>
        <v>444.71996737969494</v>
      </c>
      <c r="H1924" s="12">
        <f t="shared" si="275"/>
        <v>3120100</v>
      </c>
      <c r="I1924" s="12">
        <f t="shared" si="276"/>
        <v>1600900</v>
      </c>
      <c r="J1924" s="12">
        <f>IF(A1924&lt;[3]关卡对接!$A$4,INDEX([3]关卡对接!$C$7:$C$141,A1924),MATCH(E1924,人物经验!$H$24:$H$573,1))</f>
        <v>550</v>
      </c>
      <c r="K1924" s="12">
        <f>IF([3]关卡对接!F1912="",INT(INDEX(人物经验!$J$24:$J$573,关卡!J1924)*关卡!$S$7),[3]关卡对接!F1912)</f>
        <v>53960</v>
      </c>
      <c r="L1924" s="12">
        <f t="shared" si="272"/>
        <v>2.8</v>
      </c>
      <c r="M1924" s="12">
        <f>L1924/[4]货币基础!$B$4</f>
        <v>280</v>
      </c>
      <c r="N1924" s="12">
        <f>IF(A1924&lt;[3]关卡对接!$A$4,INDEX([3]关卡对接!$E$7:$E$141,A1924),MATCH(E1924,人物经验!$H$24:$H$573,1))</f>
        <v>550</v>
      </c>
      <c r="O1924" s="12">
        <f>INDEX([2]关卡!$G$6:$G$2005,A1924)</f>
        <v>3</v>
      </c>
      <c r="P1924" s="13">
        <v>6</v>
      </c>
      <c r="Q1924" s="12">
        <f>INT(P1924/$S$15/O1924*VLOOKUP(J1924,[1]人物技能基础!$N$3:$O$553,2,0)*$U$15)</f>
        <v>9</v>
      </c>
      <c r="R1924" s="12">
        <f t="shared" si="273"/>
        <v>112</v>
      </c>
    </row>
    <row r="1925" spans="1:18" x14ac:dyDescent="0.15">
      <c r="A1925" s="12">
        <v>1907</v>
      </c>
      <c r="B1925" s="12">
        <f t="shared" si="270"/>
        <v>10</v>
      </c>
      <c r="C1925" s="12">
        <f t="shared" si="271"/>
        <v>18.617999999999999</v>
      </c>
      <c r="D1925" s="12">
        <f t="shared" si="274"/>
        <v>0.17399999999999949</v>
      </c>
      <c r="E1925" s="12">
        <f>SUM($D$19:D1925)</f>
        <v>83.818000000000495</v>
      </c>
      <c r="F1925" s="12">
        <f t="shared" si="268"/>
        <v>868.05213434570021</v>
      </c>
      <c r="G1925" s="12">
        <f t="shared" si="269"/>
        <v>445.28198800463093</v>
      </c>
      <c r="H1925" s="12">
        <f t="shared" si="275"/>
        <v>3124900</v>
      </c>
      <c r="I1925" s="12">
        <f t="shared" si="276"/>
        <v>1603000</v>
      </c>
      <c r="J1925" s="12">
        <f>IF(A1925&lt;[3]关卡对接!$A$4,INDEX([3]关卡对接!$C$7:$C$141,A1925),MATCH(E1925,人物经验!$H$24:$H$573,1))</f>
        <v>550</v>
      </c>
      <c r="K1925" s="12">
        <f>IF([3]关卡对接!F1913="",INT(INDEX(人物经验!$J$24:$J$573,关卡!J1925)*关卡!$S$7),[3]关卡对接!F1913)</f>
        <v>53960</v>
      </c>
      <c r="L1925" s="12">
        <f t="shared" si="272"/>
        <v>2.8</v>
      </c>
      <c r="M1925" s="12">
        <f>L1925/[4]货币基础!$B$4</f>
        <v>280</v>
      </c>
      <c r="N1925" s="12">
        <f>IF(A1925&lt;[3]关卡对接!$A$4,INDEX([3]关卡对接!$E$7:$E$141,A1925),MATCH(E1925,人物经验!$H$24:$H$573,1))</f>
        <v>550</v>
      </c>
      <c r="O1925" s="12">
        <f>INDEX([2]关卡!$G$6:$G$2005,A1925)</f>
        <v>3</v>
      </c>
      <c r="P1925" s="13">
        <v>6</v>
      </c>
      <c r="Q1925" s="12">
        <f>INT(P1925/$S$15/O1925*VLOOKUP(J1925,[1]人物技能基础!$N$3:$O$553,2,0)*$U$15)</f>
        <v>9</v>
      </c>
      <c r="R1925" s="12">
        <f t="shared" si="273"/>
        <v>112</v>
      </c>
    </row>
    <row r="1926" spans="1:18" x14ac:dyDescent="0.15">
      <c r="A1926" s="12">
        <v>1908</v>
      </c>
      <c r="B1926" s="12">
        <f t="shared" si="270"/>
        <v>10</v>
      </c>
      <c r="C1926" s="12">
        <f t="shared" si="271"/>
        <v>18.791999999999998</v>
      </c>
      <c r="D1926" s="12">
        <f t="shared" si="274"/>
        <v>0.17399999999999949</v>
      </c>
      <c r="E1926" s="12">
        <f>SUM($D$19:D1926)</f>
        <v>83.992000000000502</v>
      </c>
      <c r="F1926" s="12">
        <f t="shared" si="268"/>
        <v>869.39454144894387</v>
      </c>
      <c r="G1926" s="12">
        <f t="shared" si="269"/>
        <v>445.84455727831994</v>
      </c>
      <c r="H1926" s="12">
        <f t="shared" si="275"/>
        <v>3129800</v>
      </c>
      <c r="I1926" s="12">
        <f t="shared" si="276"/>
        <v>1605000</v>
      </c>
      <c r="J1926" s="12">
        <f>IF(A1926&lt;[3]关卡对接!$A$4,INDEX([3]关卡对接!$C$7:$C$141,A1926),MATCH(E1926,人物经验!$H$24:$H$573,1))</f>
        <v>550</v>
      </c>
      <c r="K1926" s="12">
        <f>IF([3]关卡对接!F1914="",INT(INDEX(人物经验!$J$24:$J$573,关卡!J1926)*关卡!$S$7),[3]关卡对接!F1914)</f>
        <v>53960</v>
      </c>
      <c r="L1926" s="12">
        <f t="shared" si="272"/>
        <v>2.8</v>
      </c>
      <c r="M1926" s="12">
        <f>L1926/[4]货币基础!$B$4</f>
        <v>280</v>
      </c>
      <c r="N1926" s="12">
        <f>IF(A1926&lt;[3]关卡对接!$A$4,INDEX([3]关卡对接!$E$7:$E$141,A1926),MATCH(E1926,人物经验!$H$24:$H$573,1))</f>
        <v>550</v>
      </c>
      <c r="O1926" s="12">
        <f>INDEX([2]关卡!$G$6:$G$2005,A1926)</f>
        <v>3</v>
      </c>
      <c r="P1926" s="13">
        <v>6</v>
      </c>
      <c r="Q1926" s="12">
        <f>INT(P1926/$S$15/O1926*VLOOKUP(J1926,[1]人物技能基础!$N$3:$O$553,2,0)*$U$15)</f>
        <v>9</v>
      </c>
      <c r="R1926" s="12">
        <f t="shared" si="273"/>
        <v>112</v>
      </c>
    </row>
    <row r="1927" spans="1:18" x14ac:dyDescent="0.15">
      <c r="A1927" s="12">
        <v>1909</v>
      </c>
      <c r="B1927" s="12">
        <f t="shared" si="270"/>
        <v>10</v>
      </c>
      <c r="C1927" s="12">
        <f t="shared" si="271"/>
        <v>18.966000000000001</v>
      </c>
      <c r="D1927" s="12">
        <f t="shared" si="274"/>
        <v>0.17400000000000304</v>
      </c>
      <c r="E1927" s="12">
        <f>SUM($D$19:D1927)</f>
        <v>84.166000000000508</v>
      </c>
      <c r="F1927" s="12">
        <f t="shared" si="268"/>
        <v>870.73856726109011</v>
      </c>
      <c r="G1927" s="12">
        <f t="shared" si="269"/>
        <v>446.40767558508099</v>
      </c>
      <c r="H1927" s="12">
        <f t="shared" si="275"/>
        <v>3134600</v>
      </c>
      <c r="I1927" s="12">
        <f t="shared" si="276"/>
        <v>1607000</v>
      </c>
      <c r="J1927" s="12">
        <f>IF(A1927&lt;[3]关卡对接!$A$4,INDEX([3]关卡对接!$C$7:$C$141,A1927),MATCH(E1927,人物经验!$H$24:$H$573,1))</f>
        <v>550</v>
      </c>
      <c r="K1927" s="12">
        <f>IF([3]关卡对接!F1915="",INT(INDEX(人物经验!$J$24:$J$573,关卡!J1927)*关卡!$S$7),[3]关卡对接!F1915)</f>
        <v>53960</v>
      </c>
      <c r="L1927" s="12">
        <f t="shared" si="272"/>
        <v>2.8</v>
      </c>
      <c r="M1927" s="12">
        <f>L1927/[4]货币基础!$B$4</f>
        <v>280</v>
      </c>
      <c r="N1927" s="12">
        <f>IF(A1927&lt;[3]关卡对接!$A$4,INDEX([3]关卡对接!$E$7:$E$141,A1927),MATCH(E1927,人物经验!$H$24:$H$573,1))</f>
        <v>550</v>
      </c>
      <c r="O1927" s="12">
        <f>INDEX([2]关卡!$G$6:$G$2005,A1927)</f>
        <v>3</v>
      </c>
      <c r="P1927" s="13">
        <v>6</v>
      </c>
      <c r="Q1927" s="12">
        <f>INT(P1927/$S$15/O1927*VLOOKUP(J1927,[1]人物技能基础!$N$3:$O$553,2,0)*$U$15)</f>
        <v>9</v>
      </c>
      <c r="R1927" s="12">
        <f t="shared" si="273"/>
        <v>112</v>
      </c>
    </row>
    <row r="1928" spans="1:18" x14ac:dyDescent="0.15">
      <c r="A1928" s="12">
        <v>1910</v>
      </c>
      <c r="B1928" s="12">
        <f t="shared" si="270"/>
        <v>10</v>
      </c>
      <c r="C1928" s="12">
        <f t="shared" si="271"/>
        <v>19.14</v>
      </c>
      <c r="D1928" s="12">
        <f t="shared" si="274"/>
        <v>0.17399999999999949</v>
      </c>
      <c r="E1928" s="12">
        <f>SUM($D$19:D1928)</f>
        <v>84.340000000000515</v>
      </c>
      <c r="F1928" s="12">
        <f t="shared" si="268"/>
        <v>872.08421314937493</v>
      </c>
      <c r="G1928" s="12">
        <f t="shared" si="269"/>
        <v>446.97134330937502</v>
      </c>
      <c r="H1928" s="12">
        <f t="shared" si="275"/>
        <v>3139500</v>
      </c>
      <c r="I1928" s="12">
        <f t="shared" si="276"/>
        <v>1609000</v>
      </c>
      <c r="J1928" s="12">
        <f>IF(A1928&lt;[3]关卡对接!$A$4,INDEX([3]关卡对接!$C$7:$C$141,A1928),MATCH(E1928,人物经验!$H$24:$H$573,1))</f>
        <v>550</v>
      </c>
      <c r="K1928" s="12">
        <f>IF([3]关卡对接!F1916="",INT(INDEX(人物经验!$J$24:$J$573,关卡!J1928)*关卡!$S$7),[3]关卡对接!F1916)</f>
        <v>53960</v>
      </c>
      <c r="L1928" s="12">
        <f t="shared" si="272"/>
        <v>2.8</v>
      </c>
      <c r="M1928" s="12">
        <f>L1928/[4]货币基础!$B$4</f>
        <v>280</v>
      </c>
      <c r="N1928" s="12">
        <f>IF(A1928&lt;[3]关卡对接!$A$4,INDEX([3]关卡对接!$E$7:$E$141,A1928),MATCH(E1928,人物经验!$H$24:$H$573,1))</f>
        <v>550</v>
      </c>
      <c r="O1928" s="12">
        <f>INDEX([2]关卡!$G$6:$G$2005,A1928)</f>
        <v>3</v>
      </c>
      <c r="P1928" s="13">
        <v>6</v>
      </c>
      <c r="Q1928" s="12">
        <f>INT(P1928/$S$15/O1928*VLOOKUP(J1928,[1]人物技能基础!$N$3:$O$553,2,0)*$U$15)</f>
        <v>9</v>
      </c>
      <c r="R1928" s="12">
        <f t="shared" si="273"/>
        <v>112</v>
      </c>
    </row>
    <row r="1929" spans="1:18" x14ac:dyDescent="0.15">
      <c r="A1929" s="12">
        <v>1911</v>
      </c>
      <c r="B1929" s="12">
        <f t="shared" si="270"/>
        <v>10</v>
      </c>
      <c r="C1929" s="12">
        <f t="shared" si="271"/>
        <v>19.314</v>
      </c>
      <c r="D1929" s="12">
        <f t="shared" si="274"/>
        <v>0.17399999999999949</v>
      </c>
      <c r="E1929" s="12">
        <f>SUM($D$19:D1929)</f>
        <v>84.514000000000522</v>
      </c>
      <c r="F1929" s="12">
        <f t="shared" si="268"/>
        <v>873.43148048163494</v>
      </c>
      <c r="G1929" s="12">
        <f t="shared" si="269"/>
        <v>447.53556083580594</v>
      </c>
      <c r="H1929" s="12">
        <f t="shared" si="275"/>
        <v>3144300</v>
      </c>
      <c r="I1929" s="12">
        <f t="shared" si="276"/>
        <v>1611100</v>
      </c>
      <c r="J1929" s="12">
        <f>IF(A1929&lt;[3]关卡对接!$A$4,INDEX([3]关卡对接!$C$7:$C$141,A1929),MATCH(E1929,人物经验!$H$24:$H$573,1))</f>
        <v>550</v>
      </c>
      <c r="K1929" s="12">
        <f>IF([3]关卡对接!F1917="",INT(INDEX(人物经验!$J$24:$J$573,关卡!J1929)*关卡!$S$7),[3]关卡对接!F1917)</f>
        <v>53960</v>
      </c>
      <c r="L1929" s="12">
        <f t="shared" si="272"/>
        <v>2.8</v>
      </c>
      <c r="M1929" s="12">
        <f>L1929/[4]货币基础!$B$4</f>
        <v>280</v>
      </c>
      <c r="N1929" s="12">
        <f>IF(A1929&lt;[3]关卡对接!$A$4,INDEX([3]关卡对接!$E$7:$E$141,A1929),MATCH(E1929,人物经验!$H$24:$H$573,1))</f>
        <v>550</v>
      </c>
      <c r="O1929" s="12">
        <f>INDEX([2]关卡!$G$6:$G$2005,A1929)</f>
        <v>3</v>
      </c>
      <c r="P1929" s="13">
        <v>6</v>
      </c>
      <c r="Q1929" s="12">
        <f>INT(P1929/$S$15/O1929*VLOOKUP(J1929,[1]人物技能基础!$N$3:$O$553,2,0)*$U$15)</f>
        <v>9</v>
      </c>
      <c r="R1929" s="12">
        <f t="shared" si="273"/>
        <v>112</v>
      </c>
    </row>
    <row r="1930" spans="1:18" x14ac:dyDescent="0.15">
      <c r="A1930" s="12">
        <v>1912</v>
      </c>
      <c r="B1930" s="12">
        <f t="shared" si="270"/>
        <v>10</v>
      </c>
      <c r="C1930" s="12">
        <f t="shared" si="271"/>
        <v>19.488</v>
      </c>
      <c r="D1930" s="12">
        <f t="shared" si="274"/>
        <v>0.17399999999999949</v>
      </c>
      <c r="E1930" s="12">
        <f>SUM($D$19:D1930)</f>
        <v>84.688000000000528</v>
      </c>
      <c r="F1930" s="12">
        <f t="shared" si="268"/>
        <v>874.78037062630403</v>
      </c>
      <c r="G1930" s="12">
        <f t="shared" si="269"/>
        <v>448.10032854911998</v>
      </c>
      <c r="H1930" s="12">
        <f t="shared" si="275"/>
        <v>3149200</v>
      </c>
      <c r="I1930" s="12">
        <f t="shared" si="276"/>
        <v>1613100</v>
      </c>
      <c r="J1930" s="12">
        <f>IF(A1930&lt;[3]关卡对接!$A$4,INDEX([3]关卡对接!$C$7:$C$141,A1930),MATCH(E1930,人物经验!$H$24:$H$573,1))</f>
        <v>550</v>
      </c>
      <c r="K1930" s="12">
        <f>IF([3]关卡对接!F1918="",INT(INDEX(人物经验!$J$24:$J$573,关卡!J1930)*关卡!$S$7),[3]关卡对接!F1918)</f>
        <v>53960</v>
      </c>
      <c r="L1930" s="12">
        <f t="shared" si="272"/>
        <v>2.8</v>
      </c>
      <c r="M1930" s="12">
        <f>L1930/[4]货币基础!$B$4</f>
        <v>280</v>
      </c>
      <c r="N1930" s="12">
        <f>IF(A1930&lt;[3]关卡对接!$A$4,INDEX([3]关卡对接!$E$7:$E$141,A1930),MATCH(E1930,人物经验!$H$24:$H$573,1))</f>
        <v>550</v>
      </c>
      <c r="O1930" s="12">
        <f>INDEX([2]关卡!$G$6:$G$2005,A1930)</f>
        <v>3</v>
      </c>
      <c r="P1930" s="13">
        <v>6</v>
      </c>
      <c r="Q1930" s="12">
        <f>INT(P1930/$S$15/O1930*VLOOKUP(J1930,[1]人物技能基础!$N$3:$O$553,2,0)*$U$15)</f>
        <v>9</v>
      </c>
      <c r="R1930" s="12">
        <f t="shared" si="273"/>
        <v>112</v>
      </c>
    </row>
    <row r="1931" spans="1:18" x14ac:dyDescent="0.15">
      <c r="A1931" s="12">
        <v>1913</v>
      </c>
      <c r="B1931" s="12">
        <f t="shared" si="270"/>
        <v>10</v>
      </c>
      <c r="C1931" s="12">
        <f t="shared" si="271"/>
        <v>19.661999999999995</v>
      </c>
      <c r="D1931" s="12">
        <f t="shared" si="274"/>
        <v>0.17399999999999594</v>
      </c>
      <c r="E1931" s="12">
        <f>SUM($D$19:D1931)</f>
        <v>84.862000000000521</v>
      </c>
      <c r="F1931" s="12">
        <f t="shared" si="268"/>
        <v>876.13088495241516</v>
      </c>
      <c r="G1931" s="12">
        <f t="shared" si="269"/>
        <v>448.66564683420603</v>
      </c>
      <c r="H1931" s="12">
        <f t="shared" si="275"/>
        <v>3154000</v>
      </c>
      <c r="I1931" s="12">
        <f t="shared" si="276"/>
        <v>1615100</v>
      </c>
      <c r="J1931" s="12">
        <f>IF(A1931&lt;[3]关卡对接!$A$4,INDEX([3]关卡对接!$C$7:$C$141,A1931),MATCH(E1931,人物经验!$H$24:$H$573,1))</f>
        <v>550</v>
      </c>
      <c r="K1931" s="12">
        <f>IF([3]关卡对接!F1919="",INT(INDEX(人物经验!$J$24:$J$573,关卡!J1931)*关卡!$S$7),[3]关卡对接!F1919)</f>
        <v>53960</v>
      </c>
      <c r="L1931" s="12">
        <f t="shared" si="272"/>
        <v>2.8</v>
      </c>
      <c r="M1931" s="12">
        <f>L1931/[4]货币基础!$B$4</f>
        <v>280</v>
      </c>
      <c r="N1931" s="12">
        <f>IF(A1931&lt;[3]关卡对接!$A$4,INDEX([3]关卡对接!$E$7:$E$141,A1931),MATCH(E1931,人物经验!$H$24:$H$573,1))</f>
        <v>550</v>
      </c>
      <c r="O1931" s="12">
        <f>INDEX([2]关卡!$G$6:$G$2005,A1931)</f>
        <v>3</v>
      </c>
      <c r="P1931" s="13">
        <v>6</v>
      </c>
      <c r="Q1931" s="12">
        <f>INT(P1931/$S$15/O1931*VLOOKUP(J1931,[1]人物技能基础!$N$3:$O$553,2,0)*$U$15)</f>
        <v>9</v>
      </c>
      <c r="R1931" s="12">
        <f t="shared" si="273"/>
        <v>112</v>
      </c>
    </row>
    <row r="1932" spans="1:18" x14ac:dyDescent="0.15">
      <c r="A1932" s="12">
        <v>1914</v>
      </c>
      <c r="B1932" s="12">
        <f t="shared" si="270"/>
        <v>10</v>
      </c>
      <c r="C1932" s="12">
        <f t="shared" si="271"/>
        <v>19.835999999999995</v>
      </c>
      <c r="D1932" s="12">
        <f t="shared" si="274"/>
        <v>0.17399999999999949</v>
      </c>
      <c r="E1932" s="12">
        <f>SUM($D$19:D1932)</f>
        <v>85.036000000000513</v>
      </c>
      <c r="F1932" s="12">
        <f t="shared" si="268"/>
        <v>877.48302482959889</v>
      </c>
      <c r="G1932" s="12">
        <f t="shared" si="269"/>
        <v>449.23151607609498</v>
      </c>
      <c r="H1932" s="12">
        <f t="shared" si="275"/>
        <v>3158900</v>
      </c>
      <c r="I1932" s="12">
        <f t="shared" si="276"/>
        <v>1617200</v>
      </c>
      <c r="J1932" s="12">
        <f>IF(A1932&lt;[3]关卡对接!$A$4,INDEX([3]关卡对接!$C$7:$C$141,A1932),MATCH(E1932,人物经验!$H$24:$H$573,1))</f>
        <v>550</v>
      </c>
      <c r="K1932" s="12">
        <f>IF([3]关卡对接!F1920="",INT(INDEX(人物经验!$J$24:$J$573,关卡!J1932)*关卡!$S$7),[3]关卡对接!F1920)</f>
        <v>53960</v>
      </c>
      <c r="L1932" s="12">
        <f t="shared" si="272"/>
        <v>2.8</v>
      </c>
      <c r="M1932" s="12">
        <f>L1932/[4]货币基础!$B$4</f>
        <v>280</v>
      </c>
      <c r="N1932" s="12">
        <f>IF(A1932&lt;[3]关卡对接!$A$4,INDEX([3]关卡对接!$E$7:$E$141,A1932),MATCH(E1932,人物经验!$H$24:$H$573,1))</f>
        <v>550</v>
      </c>
      <c r="O1932" s="12">
        <f>INDEX([2]关卡!$G$6:$G$2005,A1932)</f>
        <v>3</v>
      </c>
      <c r="P1932" s="13">
        <v>6</v>
      </c>
      <c r="Q1932" s="12">
        <f>INT(P1932/$S$15/O1932*VLOOKUP(J1932,[1]人物技能基础!$N$3:$O$553,2,0)*$U$15)</f>
        <v>9</v>
      </c>
      <c r="R1932" s="12">
        <f t="shared" si="273"/>
        <v>112</v>
      </c>
    </row>
    <row r="1933" spans="1:18" x14ac:dyDescent="0.15">
      <c r="A1933" s="12">
        <v>1915</v>
      </c>
      <c r="B1933" s="12">
        <f t="shared" si="270"/>
        <v>10</v>
      </c>
      <c r="C1933" s="12">
        <f t="shared" si="271"/>
        <v>20.009999999999998</v>
      </c>
      <c r="D1933" s="12">
        <f t="shared" si="274"/>
        <v>0.17400000000000304</v>
      </c>
      <c r="E1933" s="12">
        <f>SUM($D$19:D1933)</f>
        <v>85.21000000000052</v>
      </c>
      <c r="F1933" s="12">
        <f t="shared" si="268"/>
        <v>878.83679162808608</v>
      </c>
      <c r="G1933" s="12">
        <f t="shared" si="269"/>
        <v>449.79793665996095</v>
      </c>
      <c r="H1933" s="12">
        <f t="shared" si="275"/>
        <v>3163800</v>
      </c>
      <c r="I1933" s="12">
        <f t="shared" si="276"/>
        <v>1619200</v>
      </c>
      <c r="J1933" s="12">
        <f>IF(A1933&lt;[3]关卡对接!$A$4,INDEX([3]关卡对接!$C$7:$C$141,A1933),MATCH(E1933,人物经验!$H$24:$H$573,1))</f>
        <v>550</v>
      </c>
      <c r="K1933" s="12">
        <f>IF([3]关卡对接!F1921="",INT(INDEX(人物经验!$J$24:$J$573,关卡!J1933)*关卡!$S$7),[3]关卡对接!F1921)</f>
        <v>53960</v>
      </c>
      <c r="L1933" s="12">
        <f t="shared" si="272"/>
        <v>2.8</v>
      </c>
      <c r="M1933" s="12">
        <f>L1933/[4]货币基础!$B$4</f>
        <v>280</v>
      </c>
      <c r="N1933" s="12">
        <f>IF(A1933&lt;[3]关卡对接!$A$4,INDEX([3]关卡对接!$E$7:$E$141,A1933),MATCH(E1933,人物经验!$H$24:$H$573,1))</f>
        <v>550</v>
      </c>
      <c r="O1933" s="12">
        <f>INDEX([2]关卡!$G$6:$G$2005,A1933)</f>
        <v>3</v>
      </c>
      <c r="P1933" s="13">
        <v>6</v>
      </c>
      <c r="Q1933" s="12">
        <f>INT(P1933/$S$15/O1933*VLOOKUP(J1933,[1]人物技能基础!$N$3:$O$553,2,0)*$U$15)</f>
        <v>9</v>
      </c>
      <c r="R1933" s="12">
        <f t="shared" si="273"/>
        <v>112</v>
      </c>
    </row>
    <row r="1934" spans="1:18" x14ac:dyDescent="0.15">
      <c r="A1934" s="12">
        <v>1916</v>
      </c>
      <c r="B1934" s="12">
        <f t="shared" si="270"/>
        <v>10</v>
      </c>
      <c r="C1934" s="12">
        <f t="shared" si="271"/>
        <v>20.183999999999997</v>
      </c>
      <c r="D1934" s="12">
        <f t="shared" si="274"/>
        <v>0.17399999999999949</v>
      </c>
      <c r="E1934" s="12">
        <f>SUM($D$19:D1934)</f>
        <v>85.384000000000526</v>
      </c>
      <c r="F1934" s="12">
        <f t="shared" si="268"/>
        <v>880.19218671870397</v>
      </c>
      <c r="G1934" s="12">
        <f t="shared" si="269"/>
        <v>450.36490897111992</v>
      </c>
      <c r="H1934" s="12">
        <f t="shared" si="275"/>
        <v>3168600</v>
      </c>
      <c r="I1934" s="12">
        <f t="shared" si="276"/>
        <v>1621300</v>
      </c>
      <c r="J1934" s="12">
        <f>IF(A1934&lt;[3]关卡对接!$A$4,INDEX([3]关卡对接!$C$7:$C$141,A1934),MATCH(E1934,人物经验!$H$24:$H$573,1))</f>
        <v>550</v>
      </c>
      <c r="K1934" s="12">
        <f>IF([3]关卡对接!F1922="",INT(INDEX(人物经验!$J$24:$J$573,关卡!J1934)*关卡!$S$7),[3]关卡对接!F1922)</f>
        <v>53960</v>
      </c>
      <c r="L1934" s="12">
        <f t="shared" si="272"/>
        <v>2.8</v>
      </c>
      <c r="M1934" s="12">
        <f>L1934/[4]货币基础!$B$4</f>
        <v>280</v>
      </c>
      <c r="N1934" s="12">
        <f>IF(A1934&lt;[3]关卡对接!$A$4,INDEX([3]关卡对接!$E$7:$E$141,A1934),MATCH(E1934,人物经验!$H$24:$H$573,1))</f>
        <v>550</v>
      </c>
      <c r="O1934" s="12">
        <f>INDEX([2]关卡!$G$6:$G$2005,A1934)</f>
        <v>3</v>
      </c>
      <c r="P1934" s="13">
        <v>6</v>
      </c>
      <c r="Q1934" s="12">
        <f>INT(P1934/$S$15/O1934*VLOOKUP(J1934,[1]人物技能基础!$N$3:$O$553,2,0)*$U$15)</f>
        <v>9</v>
      </c>
      <c r="R1934" s="12">
        <f t="shared" si="273"/>
        <v>112</v>
      </c>
    </row>
    <row r="1935" spans="1:18" x14ac:dyDescent="0.15">
      <c r="A1935" s="12">
        <v>1917</v>
      </c>
      <c r="B1935" s="12">
        <f t="shared" si="270"/>
        <v>10</v>
      </c>
      <c r="C1935" s="12">
        <f t="shared" si="271"/>
        <v>20.357999999999997</v>
      </c>
      <c r="D1935" s="12">
        <f t="shared" si="274"/>
        <v>0.17399999999999949</v>
      </c>
      <c r="E1935" s="12">
        <f>SUM($D$19:D1935)</f>
        <v>85.558000000000533</v>
      </c>
      <c r="F1935" s="12">
        <f t="shared" si="268"/>
        <v>881.54921147287996</v>
      </c>
      <c r="G1935" s="12">
        <f t="shared" si="269"/>
        <v>450.93243339503096</v>
      </c>
      <c r="H1935" s="12">
        <f t="shared" si="275"/>
        <v>3173500</v>
      </c>
      <c r="I1935" s="12">
        <f t="shared" si="276"/>
        <v>1623300</v>
      </c>
      <c r="J1935" s="12">
        <f>IF(A1935&lt;[3]关卡对接!$A$4,INDEX([3]关卡对接!$C$7:$C$141,A1935),MATCH(E1935,人物经验!$H$24:$H$573,1))</f>
        <v>550</v>
      </c>
      <c r="K1935" s="12">
        <f>IF([3]关卡对接!F1923="",INT(INDEX(人物经验!$J$24:$J$573,关卡!J1935)*关卡!$S$7),[3]关卡对接!F1923)</f>
        <v>53960</v>
      </c>
      <c r="L1935" s="12">
        <f t="shared" si="272"/>
        <v>2.8</v>
      </c>
      <c r="M1935" s="12">
        <f>L1935/[4]货币基础!$B$4</f>
        <v>280</v>
      </c>
      <c r="N1935" s="12">
        <f>IF(A1935&lt;[3]关卡对接!$A$4,INDEX([3]关卡对接!$E$7:$E$141,A1935),MATCH(E1935,人物经验!$H$24:$H$573,1))</f>
        <v>550</v>
      </c>
      <c r="O1935" s="12">
        <f>INDEX([2]关卡!$G$6:$G$2005,A1935)</f>
        <v>3</v>
      </c>
      <c r="P1935" s="13">
        <v>6</v>
      </c>
      <c r="Q1935" s="12">
        <f>INT(P1935/$S$15/O1935*VLOOKUP(J1935,[1]人物技能基础!$N$3:$O$553,2,0)*$U$15)</f>
        <v>9</v>
      </c>
      <c r="R1935" s="12">
        <f t="shared" si="273"/>
        <v>112</v>
      </c>
    </row>
    <row r="1936" spans="1:18" x14ac:dyDescent="0.15">
      <c r="A1936" s="12">
        <v>1918</v>
      </c>
      <c r="B1936" s="12">
        <f t="shared" si="270"/>
        <v>10</v>
      </c>
      <c r="C1936" s="12">
        <f t="shared" si="271"/>
        <v>20.531999999999996</v>
      </c>
      <c r="D1936" s="12">
        <f t="shared" si="274"/>
        <v>0.17399999999999949</v>
      </c>
      <c r="E1936" s="12">
        <f>SUM($D$19:D1936)</f>
        <v>85.732000000000539</v>
      </c>
      <c r="F1936" s="12">
        <f t="shared" si="268"/>
        <v>882.90786726263889</v>
      </c>
      <c r="G1936" s="12">
        <f t="shared" si="269"/>
        <v>451.50051031729492</v>
      </c>
      <c r="H1936" s="12">
        <f t="shared" si="275"/>
        <v>3178400</v>
      </c>
      <c r="I1936" s="12">
        <f t="shared" si="276"/>
        <v>1625400</v>
      </c>
      <c r="J1936" s="12">
        <f>IF(A1936&lt;[3]关卡对接!$A$4,INDEX([3]关卡对接!$C$7:$C$141,A1936),MATCH(E1936,人物经验!$H$24:$H$573,1))</f>
        <v>550</v>
      </c>
      <c r="K1936" s="12">
        <f>IF([3]关卡对接!F1924="",INT(INDEX(人物经验!$J$24:$J$573,关卡!J1936)*关卡!$S$7),[3]关卡对接!F1924)</f>
        <v>53960</v>
      </c>
      <c r="L1936" s="12">
        <f t="shared" si="272"/>
        <v>2.8</v>
      </c>
      <c r="M1936" s="12">
        <f>L1936/[4]货币基础!$B$4</f>
        <v>280</v>
      </c>
      <c r="N1936" s="12">
        <f>IF(A1936&lt;[3]关卡对接!$A$4,INDEX([3]关卡对接!$E$7:$E$141,A1936),MATCH(E1936,人物经验!$H$24:$H$573,1))</f>
        <v>550</v>
      </c>
      <c r="O1936" s="12">
        <f>INDEX([2]关卡!$G$6:$G$2005,A1936)</f>
        <v>3</v>
      </c>
      <c r="P1936" s="13">
        <v>6</v>
      </c>
      <c r="Q1936" s="12">
        <f>INT(P1936/$S$15/O1936*VLOOKUP(J1936,[1]人物技能基础!$N$3:$O$553,2,0)*$U$15)</f>
        <v>9</v>
      </c>
      <c r="R1936" s="12">
        <f t="shared" si="273"/>
        <v>112</v>
      </c>
    </row>
    <row r="1937" spans="1:18" x14ac:dyDescent="0.15">
      <c r="A1937" s="12">
        <v>1919</v>
      </c>
      <c r="B1937" s="12">
        <f t="shared" si="270"/>
        <v>10</v>
      </c>
      <c r="C1937" s="12">
        <f t="shared" si="271"/>
        <v>20.705999999999996</v>
      </c>
      <c r="D1937" s="12">
        <f t="shared" si="274"/>
        <v>0.17399999999999949</v>
      </c>
      <c r="E1937" s="12">
        <f>SUM($D$19:D1937)</f>
        <v>85.906000000000546</v>
      </c>
      <c r="F1937" s="12">
        <f t="shared" si="268"/>
        <v>884.26815546060504</v>
      </c>
      <c r="G1937" s="12">
        <f t="shared" si="269"/>
        <v>452.06914012365593</v>
      </c>
      <c r="H1937" s="12">
        <f t="shared" si="275"/>
        <v>3183300</v>
      </c>
      <c r="I1937" s="12">
        <f t="shared" si="276"/>
        <v>1627400</v>
      </c>
      <c r="J1937" s="12">
        <f>IF(A1937&lt;[3]关卡对接!$A$4,INDEX([3]关卡对接!$C$7:$C$141,A1937),MATCH(E1937,人物经验!$H$24:$H$573,1))</f>
        <v>550</v>
      </c>
      <c r="K1937" s="12">
        <f>IF([3]关卡对接!F1925="",INT(INDEX(人物经验!$J$24:$J$573,关卡!J1937)*关卡!$S$7),[3]关卡对接!F1925)</f>
        <v>53960</v>
      </c>
      <c r="L1937" s="12">
        <f t="shared" si="272"/>
        <v>2.8</v>
      </c>
      <c r="M1937" s="12">
        <f>L1937/[4]货币基础!$B$4</f>
        <v>280</v>
      </c>
      <c r="N1937" s="12">
        <f>IF(A1937&lt;[3]关卡对接!$A$4,INDEX([3]关卡对接!$E$7:$E$141,A1937),MATCH(E1937,人物经验!$H$24:$H$573,1))</f>
        <v>550</v>
      </c>
      <c r="O1937" s="12">
        <f>INDEX([2]关卡!$G$6:$G$2005,A1937)</f>
        <v>3</v>
      </c>
      <c r="P1937" s="13">
        <v>6</v>
      </c>
      <c r="Q1937" s="12">
        <f>INT(P1937/$S$15/O1937*VLOOKUP(J1937,[1]人物技能基础!$N$3:$O$553,2,0)*$U$15)</f>
        <v>9</v>
      </c>
      <c r="R1937" s="12">
        <f t="shared" si="273"/>
        <v>112</v>
      </c>
    </row>
    <row r="1938" spans="1:18" x14ac:dyDescent="0.15">
      <c r="A1938" s="12">
        <v>1920</v>
      </c>
      <c r="B1938" s="12">
        <f t="shared" si="270"/>
        <v>10</v>
      </c>
      <c r="C1938" s="12">
        <f t="shared" si="271"/>
        <v>20.88</v>
      </c>
      <c r="D1938" s="12">
        <f t="shared" si="274"/>
        <v>0.17400000000000304</v>
      </c>
      <c r="E1938" s="12">
        <f>SUM($D$19:D1938)</f>
        <v>86.080000000000553</v>
      </c>
      <c r="F1938" s="12">
        <f t="shared" si="268"/>
        <v>885.63007744000015</v>
      </c>
      <c r="G1938" s="12">
        <f t="shared" si="269"/>
        <v>452.63832319999995</v>
      </c>
      <c r="H1938" s="12">
        <f t="shared" si="275"/>
        <v>3188200</v>
      </c>
      <c r="I1938" s="12">
        <f t="shared" si="276"/>
        <v>1629400</v>
      </c>
      <c r="J1938" s="12">
        <f>IF(A1938&lt;[3]关卡对接!$A$4,INDEX([3]关卡对接!$C$7:$C$141,A1938),MATCH(E1938,人物经验!$H$24:$H$573,1))</f>
        <v>550</v>
      </c>
      <c r="K1938" s="12">
        <f>IF([3]关卡对接!F1926="",INT(INDEX(人物经验!$J$24:$J$573,关卡!J1938)*关卡!$S$7),[3]关卡对接!F1926)</f>
        <v>53960</v>
      </c>
      <c r="L1938" s="12">
        <f t="shared" si="272"/>
        <v>2.8</v>
      </c>
      <c r="M1938" s="12">
        <f>L1938/[4]货币基础!$B$4</f>
        <v>280</v>
      </c>
      <c r="N1938" s="12">
        <f>IF(A1938&lt;[3]关卡对接!$A$4,INDEX([3]关卡对接!$E$7:$E$141,A1938),MATCH(E1938,人物经验!$H$24:$H$573,1))</f>
        <v>550</v>
      </c>
      <c r="O1938" s="12">
        <f>INDEX([2]关卡!$G$6:$G$2005,A1938)</f>
        <v>3</v>
      </c>
      <c r="P1938" s="13">
        <v>6</v>
      </c>
      <c r="Q1938" s="12">
        <f>INT(P1938/$S$15/O1938*VLOOKUP(J1938,[1]人物技能基础!$N$3:$O$553,2,0)*$U$15)</f>
        <v>9</v>
      </c>
      <c r="R1938" s="12">
        <f t="shared" si="273"/>
        <v>112</v>
      </c>
    </row>
    <row r="1939" spans="1:18" x14ac:dyDescent="0.15">
      <c r="A1939" s="12">
        <v>1921</v>
      </c>
      <c r="B1939" s="12">
        <f t="shared" si="270"/>
        <v>10</v>
      </c>
      <c r="C1939" s="12">
        <f t="shared" si="271"/>
        <v>21.053999999999998</v>
      </c>
      <c r="D1939" s="12">
        <f t="shared" si="274"/>
        <v>0.17399999999999949</v>
      </c>
      <c r="E1939" s="12">
        <f>SUM($D$19:D1939)</f>
        <v>86.254000000000559</v>
      </c>
      <c r="F1939" s="12">
        <f t="shared" ref="F1939:F2002" si="277">$L$7*($M$7+$N$7*($A1939/$B$3)^1+$O$7*($A1939/$B$3)^2+$P$7*($A1939/$B$3)^3+$Q$7*($A1939/$B$3)^4)</f>
        <v>886.99363457464517</v>
      </c>
      <c r="G1939" s="12">
        <f t="shared" ref="G1939:G2002" si="278">$L$11*($M$11+$N$11*($A1939/$B$3)^1+$O$11*($A1939/$B$3)^2+$P$11*($A1939/$B$3)^3+$Q$11*($A1939/$B$3)^4)</f>
        <v>453.20805993235598</v>
      </c>
      <c r="H1939" s="12">
        <f t="shared" si="275"/>
        <v>3193100</v>
      </c>
      <c r="I1939" s="12">
        <f t="shared" si="276"/>
        <v>1631500</v>
      </c>
      <c r="J1939" s="12">
        <f>IF(A1939&lt;[3]关卡对接!$A$4,INDEX([3]关卡对接!$C$7:$C$141,A1939),MATCH(E1939,人物经验!$H$24:$H$573,1))</f>
        <v>550</v>
      </c>
      <c r="K1939" s="12">
        <f>IF([3]关卡对接!F1927="",INT(INDEX(人物经验!$J$24:$J$573,关卡!J1939)*关卡!$S$7),[3]关卡对接!F1927)</f>
        <v>53960</v>
      </c>
      <c r="L1939" s="12">
        <f t="shared" si="272"/>
        <v>2.8</v>
      </c>
      <c r="M1939" s="12">
        <f>L1939/[4]货币基础!$B$4</f>
        <v>280</v>
      </c>
      <c r="N1939" s="12">
        <f>IF(A1939&lt;[3]关卡对接!$A$4,INDEX([3]关卡对接!$E$7:$E$141,A1939),MATCH(E1939,人物经验!$H$24:$H$573,1))</f>
        <v>550</v>
      </c>
      <c r="O1939" s="12">
        <f>INDEX([2]关卡!$G$6:$G$2005,A1939)</f>
        <v>3</v>
      </c>
      <c r="P1939" s="13">
        <v>6</v>
      </c>
      <c r="Q1939" s="12">
        <f>INT(P1939/$S$15/O1939*VLOOKUP(J1939,[1]人物技能基础!$N$3:$O$553,2,0)*$U$15)</f>
        <v>9</v>
      </c>
      <c r="R1939" s="12">
        <f t="shared" si="273"/>
        <v>112</v>
      </c>
    </row>
    <row r="1940" spans="1:18" x14ac:dyDescent="0.15">
      <c r="A1940" s="12">
        <v>1922</v>
      </c>
      <c r="B1940" s="12">
        <f t="shared" ref="B1940:B2003" si="279">MATCH($A1940,$A$5:$A$15,1)-1</f>
        <v>10</v>
      </c>
      <c r="C1940" s="12">
        <f t="shared" ref="C1940:C2003" si="280">INDEX($C$5:$C$15,$B1940+1)*(INDEX($E$5:$E$15,$B1940+1)+INDEX($F$5:$F$15,$B1940+1)*(($A1940-INDEX($A$5:$A$15,$B1940+1)+1)/(INDEX($B$5:$B$15,$B1940+1)-INDEX($A$5:$A$15,$B1940+1)+1))^1+INDEX($G$5:$G$15,$B1940+1)*(($A1940-INDEX($A$5:$A$15,$B1940+1)+1)/(INDEX($B$5:$B$15,$B1940+1)-INDEX($A$5:$A$15,$B1940+1)+1))^2+INDEX($H$5:$H$15,$B1940+1)*(($A1940-INDEX($A$5:$A$15,$B1940+1)+1)/(INDEX($B$5:$B$15,$B1940+1)-INDEX($A$5:$A$15,$B1940+1)+1))^3+INDEX($I$5:$I$15,$B1940+1)*(($A1940-INDEX($A$5:$A$15,$B1940+1)+1)/(INDEX($B$5:$B$15,$B1940+1)-INDEX($A$5:$A$15,$B1940+1)+1))^4)</f>
        <v>21.227999999999998</v>
      </c>
      <c r="D1940" s="12">
        <f t="shared" si="274"/>
        <v>0.17399999999999949</v>
      </c>
      <c r="E1940" s="12">
        <f>SUM($D$19:D1940)</f>
        <v>86.428000000000566</v>
      </c>
      <c r="F1940" s="12">
        <f t="shared" si="277"/>
        <v>888.35882823895895</v>
      </c>
      <c r="G1940" s="12">
        <f t="shared" si="278"/>
        <v>453.77835070689486</v>
      </c>
      <c r="H1940" s="12">
        <f t="shared" si="275"/>
        <v>3198000</v>
      </c>
      <c r="I1940" s="12">
        <f t="shared" si="276"/>
        <v>1633600</v>
      </c>
      <c r="J1940" s="12">
        <f>IF(A1940&lt;[3]关卡对接!$A$4,INDEX([3]关卡对接!$C$7:$C$141,A1940),MATCH(E1940,人物经验!$H$24:$H$573,1))</f>
        <v>550</v>
      </c>
      <c r="K1940" s="12">
        <f>IF([3]关卡对接!F1928="",INT(INDEX(人物经验!$J$24:$J$573,关卡!J1940)*关卡!$S$7),[3]关卡对接!F1928)</f>
        <v>53960</v>
      </c>
      <c r="L1940" s="12">
        <f t="shared" ref="L1940:L2003" si="281">VLOOKUP(A1940,$A$5:$J$15,10,1)</f>
        <v>2.8</v>
      </c>
      <c r="M1940" s="12">
        <f>L1940/[4]货币基础!$B$4</f>
        <v>280</v>
      </c>
      <c r="N1940" s="12">
        <f>IF(A1940&lt;[3]关卡对接!$A$4,INDEX([3]关卡对接!$E$7:$E$141,A1940),MATCH(E1940,人物经验!$H$24:$H$573,1))</f>
        <v>550</v>
      </c>
      <c r="O1940" s="12">
        <f>INDEX([2]关卡!$G$6:$G$2005,A1940)</f>
        <v>3</v>
      </c>
      <c r="P1940" s="13">
        <v>6</v>
      </c>
      <c r="Q1940" s="12">
        <f>INT(P1940/$S$15/O1940*VLOOKUP(J1940,[1]人物技能基础!$N$3:$O$553,2,0)*$U$15)</f>
        <v>9</v>
      </c>
      <c r="R1940" s="12">
        <f t="shared" ref="R1940:R2003" si="282">INT(Q1940*12.5)</f>
        <v>112</v>
      </c>
    </row>
    <row r="1941" spans="1:18" x14ac:dyDescent="0.15">
      <c r="A1941" s="12">
        <v>1923</v>
      </c>
      <c r="B1941" s="12">
        <f t="shared" si="279"/>
        <v>10</v>
      </c>
      <c r="C1941" s="12">
        <f t="shared" si="280"/>
        <v>21.401999999999997</v>
      </c>
      <c r="D1941" s="12">
        <f t="shared" si="274"/>
        <v>0.17399999999999949</v>
      </c>
      <c r="E1941" s="12">
        <f>SUM($D$19:D1941)</f>
        <v>86.602000000000572</v>
      </c>
      <c r="F1941" s="12">
        <f t="shared" si="277"/>
        <v>889.72565980796003</v>
      </c>
      <c r="G1941" s="12">
        <f t="shared" si="278"/>
        <v>454.34919590993087</v>
      </c>
      <c r="H1941" s="12">
        <f t="shared" si="275"/>
        <v>3203000</v>
      </c>
      <c r="I1941" s="12">
        <f t="shared" si="276"/>
        <v>1635600</v>
      </c>
      <c r="J1941" s="12">
        <f>IF(A1941&lt;[3]关卡对接!$A$4,INDEX([3]关卡对接!$C$7:$C$141,A1941),MATCH(E1941,人物经验!$H$24:$H$573,1))</f>
        <v>550</v>
      </c>
      <c r="K1941" s="12">
        <f>IF([3]关卡对接!F1929="",INT(INDEX(人物经验!$J$24:$J$573,关卡!J1941)*关卡!$S$7),[3]关卡对接!F1929)</f>
        <v>53960</v>
      </c>
      <c r="L1941" s="12">
        <f t="shared" si="281"/>
        <v>2.8</v>
      </c>
      <c r="M1941" s="12">
        <f>L1941/[4]货币基础!$B$4</f>
        <v>280</v>
      </c>
      <c r="N1941" s="12">
        <f>IF(A1941&lt;[3]关卡对接!$A$4,INDEX([3]关卡对接!$E$7:$E$141,A1941),MATCH(E1941,人物经验!$H$24:$H$573,1))</f>
        <v>550</v>
      </c>
      <c r="O1941" s="12">
        <f>INDEX([2]关卡!$G$6:$G$2005,A1941)</f>
        <v>3</v>
      </c>
      <c r="P1941" s="13">
        <v>6</v>
      </c>
      <c r="Q1941" s="12">
        <f>INT(P1941/$S$15/O1941*VLOOKUP(J1941,[1]人物技能基础!$N$3:$O$553,2,0)*$U$15)</f>
        <v>9</v>
      </c>
      <c r="R1941" s="12">
        <f t="shared" si="282"/>
        <v>112</v>
      </c>
    </row>
    <row r="1942" spans="1:18" x14ac:dyDescent="0.15">
      <c r="A1942" s="12">
        <v>1924</v>
      </c>
      <c r="B1942" s="12">
        <f t="shared" si="279"/>
        <v>10</v>
      </c>
      <c r="C1942" s="12">
        <f t="shared" si="280"/>
        <v>21.575999999999997</v>
      </c>
      <c r="D1942" s="12">
        <f t="shared" si="274"/>
        <v>0.17399999999999949</v>
      </c>
      <c r="E1942" s="12">
        <f>SUM($D$19:D1942)</f>
        <v>86.776000000000579</v>
      </c>
      <c r="F1942" s="12">
        <f t="shared" si="277"/>
        <v>891.09413065726392</v>
      </c>
      <c r="G1942" s="12">
        <f t="shared" si="278"/>
        <v>454.92059592791986</v>
      </c>
      <c r="H1942" s="12">
        <f t="shared" si="275"/>
        <v>3207900</v>
      </c>
      <c r="I1942" s="12">
        <f t="shared" si="276"/>
        <v>1637700</v>
      </c>
      <c r="J1942" s="12">
        <f>IF(A1942&lt;[3]关卡对接!$A$4,INDEX([3]关卡对接!$C$7:$C$141,A1942),MATCH(E1942,人物经验!$H$24:$H$573,1))</f>
        <v>550</v>
      </c>
      <c r="K1942" s="12">
        <f>IF([3]关卡对接!F1930="",INT(INDEX(人物经验!$J$24:$J$573,关卡!J1942)*关卡!$S$7),[3]关卡对接!F1930)</f>
        <v>53960</v>
      </c>
      <c r="L1942" s="12">
        <f t="shared" si="281"/>
        <v>2.8</v>
      </c>
      <c r="M1942" s="12">
        <f>L1942/[4]货币基础!$B$4</f>
        <v>280</v>
      </c>
      <c r="N1942" s="12">
        <f>IF(A1942&lt;[3]关卡对接!$A$4,INDEX([3]关卡对接!$E$7:$E$141,A1942),MATCH(E1942,人物经验!$H$24:$H$573,1))</f>
        <v>550</v>
      </c>
      <c r="O1942" s="12">
        <f>INDEX([2]关卡!$G$6:$G$2005,A1942)</f>
        <v>3</v>
      </c>
      <c r="P1942" s="13">
        <v>6</v>
      </c>
      <c r="Q1942" s="12">
        <f>INT(P1942/$S$15/O1942*VLOOKUP(J1942,[1]人物技能基础!$N$3:$O$553,2,0)*$U$15)</f>
        <v>9</v>
      </c>
      <c r="R1942" s="12">
        <f t="shared" si="282"/>
        <v>112</v>
      </c>
    </row>
    <row r="1943" spans="1:18" x14ac:dyDescent="0.15">
      <c r="A1943" s="12">
        <v>1925</v>
      </c>
      <c r="B1943" s="12">
        <f t="shared" si="279"/>
        <v>10</v>
      </c>
      <c r="C1943" s="12">
        <f t="shared" si="280"/>
        <v>21.75</v>
      </c>
      <c r="D1943" s="12">
        <f t="shared" si="274"/>
        <v>0.17400000000000304</v>
      </c>
      <c r="E1943" s="12">
        <f>SUM($D$19:D1943)</f>
        <v>86.950000000000585</v>
      </c>
      <c r="F1943" s="12">
        <f t="shared" si="277"/>
        <v>892.46424216308606</v>
      </c>
      <c r="G1943" s="12">
        <f t="shared" si="278"/>
        <v>455.49255114746103</v>
      </c>
      <c r="H1943" s="12">
        <f t="shared" si="275"/>
        <v>3212800</v>
      </c>
      <c r="I1943" s="12">
        <f t="shared" si="276"/>
        <v>1639700</v>
      </c>
      <c r="J1943" s="12">
        <f>IF(A1943&lt;[3]关卡对接!$A$4,INDEX([3]关卡对接!$C$7:$C$141,A1943),MATCH(E1943,人物经验!$H$24:$H$573,1))</f>
        <v>550</v>
      </c>
      <c r="K1943" s="12">
        <f>IF([3]关卡对接!F1931="",INT(INDEX(人物经验!$J$24:$J$573,关卡!J1943)*关卡!$S$7),[3]关卡对接!F1931)</f>
        <v>53960</v>
      </c>
      <c r="L1943" s="12">
        <f t="shared" si="281"/>
        <v>2.8</v>
      </c>
      <c r="M1943" s="12">
        <f>L1943/[4]货币基础!$B$4</f>
        <v>280</v>
      </c>
      <c r="N1943" s="12">
        <f>IF(A1943&lt;[3]关卡对接!$A$4,INDEX([3]关卡对接!$E$7:$E$141,A1943),MATCH(E1943,人物经验!$H$24:$H$573,1))</f>
        <v>550</v>
      </c>
      <c r="O1943" s="12">
        <f>INDEX([2]关卡!$G$6:$G$2005,A1943)</f>
        <v>3</v>
      </c>
      <c r="P1943" s="13">
        <v>6</v>
      </c>
      <c r="Q1943" s="12">
        <f>INT(P1943/$S$15/O1943*VLOOKUP(J1943,[1]人物技能基础!$N$3:$O$553,2,0)*$U$15)</f>
        <v>9</v>
      </c>
      <c r="R1943" s="12">
        <f t="shared" si="282"/>
        <v>112</v>
      </c>
    </row>
    <row r="1944" spans="1:18" x14ac:dyDescent="0.15">
      <c r="A1944" s="12">
        <v>1926</v>
      </c>
      <c r="B1944" s="12">
        <f t="shared" si="279"/>
        <v>10</v>
      </c>
      <c r="C1944" s="12">
        <f t="shared" si="280"/>
        <v>21.923999999999999</v>
      </c>
      <c r="D1944" s="12">
        <f t="shared" si="274"/>
        <v>0.17399999999999949</v>
      </c>
      <c r="E1944" s="12">
        <f>SUM($D$19:D1944)</f>
        <v>87.124000000000592</v>
      </c>
      <c r="F1944" s="12">
        <f t="shared" si="277"/>
        <v>893.83599570223885</v>
      </c>
      <c r="G1944" s="12">
        <f t="shared" si="278"/>
        <v>456.06506195529494</v>
      </c>
      <c r="H1944" s="12">
        <f t="shared" si="275"/>
        <v>3217800</v>
      </c>
      <c r="I1944" s="12">
        <f t="shared" si="276"/>
        <v>1641800</v>
      </c>
      <c r="J1944" s="12">
        <f>IF(A1944&lt;[3]关卡对接!$A$4,INDEX([3]关卡对接!$C$7:$C$141,A1944),MATCH(E1944,人物经验!$H$24:$H$573,1))</f>
        <v>550</v>
      </c>
      <c r="K1944" s="12">
        <f>IF([3]关卡对接!F1932="",INT(INDEX(人物经验!$J$24:$J$573,关卡!J1944)*关卡!$S$7),[3]关卡对接!F1932)</f>
        <v>53960</v>
      </c>
      <c r="L1944" s="12">
        <f t="shared" si="281"/>
        <v>2.8</v>
      </c>
      <c r="M1944" s="12">
        <f>L1944/[4]货币基础!$B$4</f>
        <v>280</v>
      </c>
      <c r="N1944" s="12">
        <f>IF(A1944&lt;[3]关卡对接!$A$4,INDEX([3]关卡对接!$E$7:$E$141,A1944),MATCH(E1944,人物经验!$H$24:$H$573,1))</f>
        <v>550</v>
      </c>
      <c r="O1944" s="12">
        <f>INDEX([2]关卡!$G$6:$G$2005,A1944)</f>
        <v>3</v>
      </c>
      <c r="P1944" s="13">
        <v>6</v>
      </c>
      <c r="Q1944" s="12">
        <f>INT(P1944/$S$15/O1944*VLOOKUP(J1944,[1]人物技能基础!$N$3:$O$553,2,0)*$U$15)</f>
        <v>9</v>
      </c>
      <c r="R1944" s="12">
        <f t="shared" si="282"/>
        <v>112</v>
      </c>
    </row>
    <row r="1945" spans="1:18" x14ac:dyDescent="0.15">
      <c r="A1945" s="12">
        <v>1927</v>
      </c>
      <c r="B1945" s="12">
        <f t="shared" si="279"/>
        <v>10</v>
      </c>
      <c r="C1945" s="12">
        <f t="shared" si="280"/>
        <v>22.097999999999999</v>
      </c>
      <c r="D1945" s="12">
        <f t="shared" si="274"/>
        <v>0.17399999999999949</v>
      </c>
      <c r="E1945" s="12">
        <f>SUM($D$19:D1945)</f>
        <v>87.298000000000599</v>
      </c>
      <c r="F1945" s="12">
        <f t="shared" si="277"/>
        <v>895.20939265213519</v>
      </c>
      <c r="G1945" s="12">
        <f t="shared" si="278"/>
        <v>456.63812873830597</v>
      </c>
      <c r="H1945" s="12">
        <f t="shared" si="275"/>
        <v>3222700</v>
      </c>
      <c r="I1945" s="12">
        <f t="shared" si="276"/>
        <v>1643800</v>
      </c>
      <c r="J1945" s="12">
        <f>IF(A1945&lt;[3]关卡对接!$A$4,INDEX([3]关卡对接!$C$7:$C$141,A1945),MATCH(E1945,人物经验!$H$24:$H$573,1))</f>
        <v>550</v>
      </c>
      <c r="K1945" s="12">
        <f>IF([3]关卡对接!F1933="",INT(INDEX(人物经验!$J$24:$J$573,关卡!J1945)*关卡!$S$7),[3]关卡对接!F1933)</f>
        <v>53960</v>
      </c>
      <c r="L1945" s="12">
        <f t="shared" si="281"/>
        <v>2.8</v>
      </c>
      <c r="M1945" s="12">
        <f>L1945/[4]货币基础!$B$4</f>
        <v>280</v>
      </c>
      <c r="N1945" s="12">
        <f>IF(A1945&lt;[3]关卡对接!$A$4,INDEX([3]关卡对接!$E$7:$E$141,A1945),MATCH(E1945,人物经验!$H$24:$H$573,1))</f>
        <v>550</v>
      </c>
      <c r="O1945" s="12">
        <f>INDEX([2]关卡!$G$6:$G$2005,A1945)</f>
        <v>3</v>
      </c>
      <c r="P1945" s="13">
        <v>6</v>
      </c>
      <c r="Q1945" s="12">
        <f>INT(P1945/$S$15/O1945*VLOOKUP(J1945,[1]人物技能基础!$N$3:$O$553,2,0)*$U$15)</f>
        <v>9</v>
      </c>
      <c r="R1945" s="12">
        <f t="shared" si="282"/>
        <v>112</v>
      </c>
    </row>
    <row r="1946" spans="1:18" x14ac:dyDescent="0.15">
      <c r="A1946" s="12">
        <v>1928</v>
      </c>
      <c r="B1946" s="12">
        <f t="shared" si="279"/>
        <v>10</v>
      </c>
      <c r="C1946" s="12">
        <f t="shared" si="280"/>
        <v>22.271999999999998</v>
      </c>
      <c r="D1946" s="12">
        <f t="shared" si="274"/>
        <v>0.17399999999999949</v>
      </c>
      <c r="E1946" s="12">
        <f>SUM($D$19:D1946)</f>
        <v>87.472000000000605</v>
      </c>
      <c r="F1946" s="12">
        <f t="shared" si="277"/>
        <v>896.58443439078383</v>
      </c>
      <c r="G1946" s="12">
        <f t="shared" si="278"/>
        <v>457.21175188351992</v>
      </c>
      <c r="H1946" s="12">
        <f t="shared" si="275"/>
        <v>3227700</v>
      </c>
      <c r="I1946" s="12">
        <f t="shared" si="276"/>
        <v>1645900</v>
      </c>
      <c r="J1946" s="12">
        <f>IF(A1946&lt;[3]关卡对接!$A$4,INDEX([3]关卡对接!$C$7:$C$141,A1946),MATCH(E1946,人物经验!$H$24:$H$573,1))</f>
        <v>550</v>
      </c>
      <c r="K1946" s="12">
        <f>IF([3]关卡对接!F1934="",INT(INDEX(人物经验!$J$24:$J$573,关卡!J1946)*关卡!$S$7),[3]关卡对接!F1934)</f>
        <v>53960</v>
      </c>
      <c r="L1946" s="12">
        <f t="shared" si="281"/>
        <v>2.8</v>
      </c>
      <c r="M1946" s="12">
        <f>L1946/[4]货币基础!$B$4</f>
        <v>280</v>
      </c>
      <c r="N1946" s="12">
        <f>IF(A1946&lt;[3]关卡对接!$A$4,INDEX([3]关卡对接!$E$7:$E$141,A1946),MATCH(E1946,人物经验!$H$24:$H$573,1))</f>
        <v>550</v>
      </c>
      <c r="O1946" s="12">
        <f>INDEX([2]关卡!$G$6:$G$2005,A1946)</f>
        <v>3</v>
      </c>
      <c r="P1946" s="13">
        <v>6</v>
      </c>
      <c r="Q1946" s="12">
        <f>INT(P1946/$S$15/O1946*VLOOKUP(J1946,[1]人物技能基础!$N$3:$O$553,2,0)*$U$15)</f>
        <v>9</v>
      </c>
      <c r="R1946" s="12">
        <f t="shared" si="282"/>
        <v>112</v>
      </c>
    </row>
    <row r="1947" spans="1:18" x14ac:dyDescent="0.15">
      <c r="A1947" s="12">
        <v>1929</v>
      </c>
      <c r="B1947" s="12">
        <f t="shared" si="279"/>
        <v>10</v>
      </c>
      <c r="C1947" s="12">
        <f t="shared" si="280"/>
        <v>22.445999999999998</v>
      </c>
      <c r="D1947" s="12">
        <f t="shared" si="274"/>
        <v>0.17399999999999949</v>
      </c>
      <c r="E1947" s="12">
        <f>SUM($D$19:D1947)</f>
        <v>87.646000000000612</v>
      </c>
      <c r="F1947" s="12">
        <f t="shared" si="277"/>
        <v>897.961122296795</v>
      </c>
      <c r="G1947" s="12">
        <f t="shared" si="278"/>
        <v>457.78593177810592</v>
      </c>
      <c r="H1947" s="12">
        <f t="shared" si="275"/>
        <v>3232600</v>
      </c>
      <c r="I1947" s="12">
        <f t="shared" si="276"/>
        <v>1648000</v>
      </c>
      <c r="J1947" s="12">
        <f>IF(A1947&lt;[3]关卡对接!$A$4,INDEX([3]关卡对接!$C$7:$C$141,A1947),MATCH(E1947,人物经验!$H$24:$H$573,1))</f>
        <v>550</v>
      </c>
      <c r="K1947" s="12">
        <f>IF([3]关卡对接!F1935="",INT(INDEX(人物经验!$J$24:$J$573,关卡!J1947)*关卡!$S$7),[3]关卡对接!F1935)</f>
        <v>53960</v>
      </c>
      <c r="L1947" s="12">
        <f t="shared" si="281"/>
        <v>2.8</v>
      </c>
      <c r="M1947" s="12">
        <f>L1947/[4]货币基础!$B$4</f>
        <v>280</v>
      </c>
      <c r="N1947" s="12">
        <f>IF(A1947&lt;[3]关卡对接!$A$4,INDEX([3]关卡对接!$E$7:$E$141,A1947),MATCH(E1947,人物经验!$H$24:$H$573,1))</f>
        <v>550</v>
      </c>
      <c r="O1947" s="12">
        <f>INDEX([2]关卡!$G$6:$G$2005,A1947)</f>
        <v>3</v>
      </c>
      <c r="P1947" s="13">
        <v>6</v>
      </c>
      <c r="Q1947" s="12">
        <f>INT(P1947/$S$15/O1947*VLOOKUP(J1947,[1]人物技能基础!$N$3:$O$553,2,0)*$U$15)</f>
        <v>9</v>
      </c>
      <c r="R1947" s="12">
        <f t="shared" si="282"/>
        <v>112</v>
      </c>
    </row>
    <row r="1948" spans="1:18" x14ac:dyDescent="0.15">
      <c r="A1948" s="12">
        <v>1930</v>
      </c>
      <c r="B1948" s="12">
        <f t="shared" si="279"/>
        <v>10</v>
      </c>
      <c r="C1948" s="12">
        <f t="shared" si="280"/>
        <v>22.619999999999997</v>
      </c>
      <c r="D1948" s="12">
        <f t="shared" si="274"/>
        <v>0.17399999999999949</v>
      </c>
      <c r="E1948" s="12">
        <f>SUM($D$19:D1948)</f>
        <v>87.820000000000618</v>
      </c>
      <c r="F1948" s="12">
        <f t="shared" si="277"/>
        <v>899.33945774937501</v>
      </c>
      <c r="G1948" s="12">
        <f t="shared" si="278"/>
        <v>458.360668809375</v>
      </c>
      <c r="H1948" s="12">
        <f t="shared" si="275"/>
        <v>3237600</v>
      </c>
      <c r="I1948" s="12">
        <f t="shared" si="276"/>
        <v>1650000</v>
      </c>
      <c r="J1948" s="12">
        <f>IF(A1948&lt;[3]关卡对接!$A$4,INDEX([3]关卡对接!$C$7:$C$141,A1948),MATCH(E1948,人物经验!$H$24:$H$573,1))</f>
        <v>550</v>
      </c>
      <c r="K1948" s="12">
        <f>IF([3]关卡对接!F1936="",INT(INDEX(人物经验!$J$24:$J$573,关卡!J1948)*关卡!$S$7),[3]关卡对接!F1936)</f>
        <v>53960</v>
      </c>
      <c r="L1948" s="12">
        <f t="shared" si="281"/>
        <v>2.8</v>
      </c>
      <c r="M1948" s="12">
        <f>L1948/[4]货币基础!$B$4</f>
        <v>280</v>
      </c>
      <c r="N1948" s="12">
        <f>IF(A1948&lt;[3]关卡对接!$A$4,INDEX([3]关卡对接!$E$7:$E$141,A1948),MATCH(E1948,人物经验!$H$24:$H$573,1))</f>
        <v>550</v>
      </c>
      <c r="O1948" s="12">
        <f>INDEX([2]关卡!$G$6:$G$2005,A1948)</f>
        <v>3</v>
      </c>
      <c r="P1948" s="13">
        <v>6</v>
      </c>
      <c r="Q1948" s="12">
        <f>INT(P1948/$S$15/O1948*VLOOKUP(J1948,[1]人物技能基础!$N$3:$O$553,2,0)*$U$15)</f>
        <v>9</v>
      </c>
      <c r="R1948" s="12">
        <f t="shared" si="282"/>
        <v>112</v>
      </c>
    </row>
    <row r="1949" spans="1:18" x14ac:dyDescent="0.15">
      <c r="A1949" s="12">
        <v>1931</v>
      </c>
      <c r="B1949" s="12">
        <f t="shared" si="279"/>
        <v>10</v>
      </c>
      <c r="C1949" s="12">
        <f t="shared" si="280"/>
        <v>22.794</v>
      </c>
      <c r="D1949" s="12">
        <f t="shared" si="274"/>
        <v>0.17400000000000304</v>
      </c>
      <c r="E1949" s="12">
        <f>SUM($D$19:D1949)</f>
        <v>87.994000000000625</v>
      </c>
      <c r="F1949" s="12">
        <f t="shared" si="277"/>
        <v>900.71944212833</v>
      </c>
      <c r="G1949" s="12">
        <f t="shared" si="278"/>
        <v>458.93596336478095</v>
      </c>
      <c r="H1949" s="12">
        <f t="shared" si="275"/>
        <v>3242500</v>
      </c>
      <c r="I1949" s="12">
        <f t="shared" si="276"/>
        <v>1652100</v>
      </c>
      <c r="J1949" s="12">
        <f>IF(A1949&lt;[3]关卡对接!$A$4,INDEX([3]关卡对接!$C$7:$C$141,A1949),MATCH(E1949,人物经验!$H$24:$H$573,1))</f>
        <v>550</v>
      </c>
      <c r="K1949" s="12">
        <f>IF([3]关卡对接!F1937="",INT(INDEX(人物经验!$J$24:$J$573,关卡!J1949)*关卡!$S$7),[3]关卡对接!F1937)</f>
        <v>53960</v>
      </c>
      <c r="L1949" s="12">
        <f t="shared" si="281"/>
        <v>2.8</v>
      </c>
      <c r="M1949" s="12">
        <f>L1949/[4]货币基础!$B$4</f>
        <v>280</v>
      </c>
      <c r="N1949" s="12">
        <f>IF(A1949&lt;[3]关卡对接!$A$4,INDEX([3]关卡对接!$E$7:$E$141,A1949),MATCH(E1949,人物经验!$H$24:$H$573,1))</f>
        <v>550</v>
      </c>
      <c r="O1949" s="12">
        <f>INDEX([2]关卡!$G$6:$G$2005,A1949)</f>
        <v>3</v>
      </c>
      <c r="P1949" s="13">
        <v>6</v>
      </c>
      <c r="Q1949" s="12">
        <f>INT(P1949/$S$15/O1949*VLOOKUP(J1949,[1]人物技能基础!$N$3:$O$553,2,0)*$U$15)</f>
        <v>9</v>
      </c>
      <c r="R1949" s="12">
        <f t="shared" si="282"/>
        <v>112</v>
      </c>
    </row>
    <row r="1950" spans="1:18" x14ac:dyDescent="0.15">
      <c r="A1950" s="12">
        <v>1932</v>
      </c>
      <c r="B1950" s="12">
        <f t="shared" si="279"/>
        <v>10</v>
      </c>
      <c r="C1950" s="12">
        <f t="shared" si="280"/>
        <v>22.968</v>
      </c>
      <c r="D1950" s="12">
        <f t="shared" si="274"/>
        <v>0.17399999999999949</v>
      </c>
      <c r="E1950" s="12">
        <f>SUM($D$19:D1950)</f>
        <v>88.168000000000632</v>
      </c>
      <c r="F1950" s="12">
        <f t="shared" si="277"/>
        <v>902.10107681406407</v>
      </c>
      <c r="G1950" s="12">
        <f t="shared" si="278"/>
        <v>459.51181583191999</v>
      </c>
      <c r="H1950" s="12">
        <f t="shared" si="275"/>
        <v>3247500</v>
      </c>
      <c r="I1950" s="12">
        <f t="shared" si="276"/>
        <v>1654200</v>
      </c>
      <c r="J1950" s="12">
        <f>IF(A1950&lt;[3]关卡对接!$A$4,INDEX([3]关卡对接!$C$7:$C$141,A1950),MATCH(E1950,人物经验!$H$24:$H$573,1))</f>
        <v>550</v>
      </c>
      <c r="K1950" s="12">
        <f>IF([3]关卡对接!F1938="",INT(INDEX(人物经验!$J$24:$J$573,关卡!J1950)*关卡!$S$7),[3]关卡对接!F1938)</f>
        <v>53960</v>
      </c>
      <c r="L1950" s="12">
        <f t="shared" si="281"/>
        <v>2.8</v>
      </c>
      <c r="M1950" s="12">
        <f>L1950/[4]货币基础!$B$4</f>
        <v>280</v>
      </c>
      <c r="N1950" s="12">
        <f>IF(A1950&lt;[3]关卡对接!$A$4,INDEX([3]关卡对接!$E$7:$E$141,A1950),MATCH(E1950,人物经验!$H$24:$H$573,1))</f>
        <v>550</v>
      </c>
      <c r="O1950" s="12">
        <f>INDEX([2]关卡!$G$6:$G$2005,A1950)</f>
        <v>3</v>
      </c>
      <c r="P1950" s="13">
        <v>6</v>
      </c>
      <c r="Q1950" s="12">
        <f>INT(P1950/$S$15/O1950*VLOOKUP(J1950,[1]人物技能基础!$N$3:$O$553,2,0)*$U$15)</f>
        <v>9</v>
      </c>
      <c r="R1950" s="12">
        <f t="shared" si="282"/>
        <v>112</v>
      </c>
    </row>
    <row r="1951" spans="1:18" x14ac:dyDescent="0.15">
      <c r="A1951" s="12">
        <v>1933</v>
      </c>
      <c r="B1951" s="12">
        <f t="shared" si="279"/>
        <v>10</v>
      </c>
      <c r="C1951" s="12">
        <f t="shared" si="280"/>
        <v>23.141999999999999</v>
      </c>
      <c r="D1951" s="12">
        <f t="shared" si="274"/>
        <v>0.17399999999999949</v>
      </c>
      <c r="E1951" s="12">
        <f>SUM($D$19:D1951)</f>
        <v>88.342000000000638</v>
      </c>
      <c r="F1951" s="12">
        <f t="shared" si="277"/>
        <v>903.48436318758013</v>
      </c>
      <c r="G1951" s="12">
        <f t="shared" si="278"/>
        <v>460.08822659853098</v>
      </c>
      <c r="H1951" s="12">
        <f t="shared" si="275"/>
        <v>3252500</v>
      </c>
      <c r="I1951" s="12">
        <f t="shared" si="276"/>
        <v>1656300</v>
      </c>
      <c r="J1951" s="12">
        <f>IF(A1951&lt;[3]关卡对接!$A$4,INDEX([3]关卡对接!$C$7:$C$141,A1951),MATCH(E1951,人物经验!$H$24:$H$573,1))</f>
        <v>550</v>
      </c>
      <c r="K1951" s="12">
        <f>IF([3]关卡对接!F1939="",INT(INDEX(人物经验!$J$24:$J$573,关卡!J1951)*关卡!$S$7),[3]关卡对接!F1939)</f>
        <v>53960</v>
      </c>
      <c r="L1951" s="12">
        <f t="shared" si="281"/>
        <v>2.8</v>
      </c>
      <c r="M1951" s="12">
        <f>L1951/[4]货币基础!$B$4</f>
        <v>280</v>
      </c>
      <c r="N1951" s="12">
        <f>IF(A1951&lt;[3]关卡对接!$A$4,INDEX([3]关卡对接!$E$7:$E$141,A1951),MATCH(E1951,人物经验!$H$24:$H$573,1))</f>
        <v>550</v>
      </c>
      <c r="O1951" s="12">
        <f>INDEX([2]关卡!$G$6:$G$2005,A1951)</f>
        <v>3</v>
      </c>
      <c r="P1951" s="13">
        <v>6</v>
      </c>
      <c r="Q1951" s="12">
        <f>INT(P1951/$S$15/O1951*VLOOKUP(J1951,[1]人物技能基础!$N$3:$O$553,2,0)*$U$15)</f>
        <v>9</v>
      </c>
      <c r="R1951" s="12">
        <f t="shared" si="282"/>
        <v>112</v>
      </c>
    </row>
    <row r="1952" spans="1:18" x14ac:dyDescent="0.15">
      <c r="A1952" s="12">
        <v>1934</v>
      </c>
      <c r="B1952" s="12">
        <f t="shared" si="279"/>
        <v>10</v>
      </c>
      <c r="C1952" s="12">
        <f t="shared" si="280"/>
        <v>23.315999999999999</v>
      </c>
      <c r="D1952" s="12">
        <f t="shared" si="274"/>
        <v>0.17399999999999949</v>
      </c>
      <c r="E1952" s="12">
        <f>SUM($D$19:D1952)</f>
        <v>88.516000000000645</v>
      </c>
      <c r="F1952" s="12">
        <f t="shared" si="277"/>
        <v>904.86930263047896</v>
      </c>
      <c r="G1952" s="12">
        <f t="shared" si="278"/>
        <v>460.66519605249493</v>
      </c>
      <c r="H1952" s="12">
        <f t="shared" si="275"/>
        <v>3257500</v>
      </c>
      <c r="I1952" s="12">
        <f t="shared" si="276"/>
        <v>1658300</v>
      </c>
      <c r="J1952" s="12">
        <f>IF(A1952&lt;[3]关卡对接!$A$4,INDEX([3]关卡对接!$C$7:$C$141,A1952),MATCH(E1952,人物经验!$H$24:$H$573,1))</f>
        <v>550</v>
      </c>
      <c r="K1952" s="12">
        <f>IF([3]关卡对接!F1940="",INT(INDEX(人物经验!$J$24:$J$573,关卡!J1952)*关卡!$S$7),[3]关卡对接!F1940)</f>
        <v>53960</v>
      </c>
      <c r="L1952" s="12">
        <f t="shared" si="281"/>
        <v>2.8</v>
      </c>
      <c r="M1952" s="12">
        <f>L1952/[4]货币基础!$B$4</f>
        <v>280</v>
      </c>
      <c r="N1952" s="12">
        <f>IF(A1952&lt;[3]关卡对接!$A$4,INDEX([3]关卡对接!$E$7:$E$141,A1952),MATCH(E1952,人物经验!$H$24:$H$573,1))</f>
        <v>550</v>
      </c>
      <c r="O1952" s="12">
        <f>INDEX([2]关卡!$G$6:$G$2005,A1952)</f>
        <v>3</v>
      </c>
      <c r="P1952" s="13">
        <v>6</v>
      </c>
      <c r="Q1952" s="12">
        <f>INT(P1952/$S$15/O1952*VLOOKUP(J1952,[1]人物技能基础!$N$3:$O$553,2,0)*$U$15)</f>
        <v>9</v>
      </c>
      <c r="R1952" s="12">
        <f t="shared" si="282"/>
        <v>112</v>
      </c>
    </row>
    <row r="1953" spans="1:18" x14ac:dyDescent="0.15">
      <c r="A1953" s="12">
        <v>1935</v>
      </c>
      <c r="B1953" s="12">
        <f t="shared" si="279"/>
        <v>10</v>
      </c>
      <c r="C1953" s="12">
        <f t="shared" si="280"/>
        <v>23.49</v>
      </c>
      <c r="D1953" s="12">
        <f t="shared" si="274"/>
        <v>0.17399999999999949</v>
      </c>
      <c r="E1953" s="12">
        <f>SUM($D$19:D1953)</f>
        <v>88.690000000000651</v>
      </c>
      <c r="F1953" s="12">
        <f t="shared" si="277"/>
        <v>906.25589652496092</v>
      </c>
      <c r="G1953" s="12">
        <f t="shared" si="278"/>
        <v>461.24272458183594</v>
      </c>
      <c r="H1953" s="12">
        <f t="shared" si="275"/>
        <v>3262500</v>
      </c>
      <c r="I1953" s="12">
        <f t="shared" si="276"/>
        <v>1660400</v>
      </c>
      <c r="J1953" s="12">
        <f>IF(A1953&lt;[3]关卡对接!$A$4,INDEX([3]关卡对接!$C$7:$C$141,A1953),MATCH(E1953,人物经验!$H$24:$H$573,1))</f>
        <v>550</v>
      </c>
      <c r="K1953" s="12">
        <f>IF([3]关卡对接!F1941="",INT(INDEX(人物经验!$J$24:$J$573,关卡!J1953)*关卡!$S$7),[3]关卡对接!F1941)</f>
        <v>53960</v>
      </c>
      <c r="L1953" s="12">
        <f t="shared" si="281"/>
        <v>2.8</v>
      </c>
      <c r="M1953" s="12">
        <f>L1953/[4]货币基础!$B$4</f>
        <v>280</v>
      </c>
      <c r="N1953" s="12">
        <f>IF(A1953&lt;[3]关卡对接!$A$4,INDEX([3]关卡对接!$E$7:$E$141,A1953),MATCH(E1953,人物经验!$H$24:$H$573,1))</f>
        <v>550</v>
      </c>
      <c r="O1953" s="12">
        <f>INDEX([2]关卡!$G$6:$G$2005,A1953)</f>
        <v>3</v>
      </c>
      <c r="P1953" s="13">
        <v>6</v>
      </c>
      <c r="Q1953" s="12">
        <f>INT(P1953/$S$15/O1953*VLOOKUP(J1953,[1]人物技能基础!$N$3:$O$553,2,0)*$U$15)</f>
        <v>9</v>
      </c>
      <c r="R1953" s="12">
        <f t="shared" si="282"/>
        <v>112</v>
      </c>
    </row>
    <row r="1954" spans="1:18" x14ac:dyDescent="0.15">
      <c r="A1954" s="12">
        <v>1936</v>
      </c>
      <c r="B1954" s="12">
        <f t="shared" si="279"/>
        <v>10</v>
      </c>
      <c r="C1954" s="12">
        <f t="shared" si="280"/>
        <v>23.664000000000001</v>
      </c>
      <c r="D1954" s="12">
        <f t="shared" si="274"/>
        <v>0.17400000000000304</v>
      </c>
      <c r="E1954" s="12">
        <f>SUM($D$19:D1954)</f>
        <v>88.864000000000658</v>
      </c>
      <c r="F1954" s="12">
        <f t="shared" si="277"/>
        <v>907.64414625382392</v>
      </c>
      <c r="G1954" s="12">
        <f t="shared" si="278"/>
        <v>461.82081257471998</v>
      </c>
      <c r="H1954" s="12">
        <f t="shared" si="275"/>
        <v>3267500</v>
      </c>
      <c r="I1954" s="12">
        <f t="shared" si="276"/>
        <v>1662500</v>
      </c>
      <c r="J1954" s="12">
        <f>IF(A1954&lt;[3]关卡对接!$A$4,INDEX([3]关卡对接!$C$7:$C$141,A1954),MATCH(E1954,人物经验!$H$24:$H$573,1))</f>
        <v>550</v>
      </c>
      <c r="K1954" s="12">
        <f>IF([3]关卡对接!F1942="",INT(INDEX(人物经验!$J$24:$J$573,关卡!J1954)*关卡!$S$7),[3]关卡对接!F1942)</f>
        <v>53960</v>
      </c>
      <c r="L1954" s="12">
        <f t="shared" si="281"/>
        <v>2.8</v>
      </c>
      <c r="M1954" s="12">
        <f>L1954/[4]货币基础!$B$4</f>
        <v>280</v>
      </c>
      <c r="N1954" s="12">
        <f>IF(A1954&lt;[3]关卡对接!$A$4,INDEX([3]关卡对接!$E$7:$E$141,A1954),MATCH(E1954,人物经验!$H$24:$H$573,1))</f>
        <v>550</v>
      </c>
      <c r="O1954" s="12">
        <f>INDEX([2]关卡!$G$6:$G$2005,A1954)</f>
        <v>3</v>
      </c>
      <c r="P1954" s="13">
        <v>6</v>
      </c>
      <c r="Q1954" s="12">
        <f>INT(P1954/$S$15/O1954*VLOOKUP(J1954,[1]人物技能基础!$N$3:$O$553,2,0)*$U$15)</f>
        <v>9</v>
      </c>
      <c r="R1954" s="12">
        <f t="shared" si="282"/>
        <v>112</v>
      </c>
    </row>
    <row r="1955" spans="1:18" x14ac:dyDescent="0.15">
      <c r="A1955" s="12">
        <v>1937</v>
      </c>
      <c r="B1955" s="12">
        <f t="shared" si="279"/>
        <v>10</v>
      </c>
      <c r="C1955" s="12">
        <f t="shared" si="280"/>
        <v>23.838000000000001</v>
      </c>
      <c r="D1955" s="12">
        <f t="shared" si="274"/>
        <v>0.17399999999999949</v>
      </c>
      <c r="E1955" s="12">
        <f>SUM($D$19:D1955)</f>
        <v>89.038000000000665</v>
      </c>
      <c r="F1955" s="12">
        <f t="shared" si="277"/>
        <v>909.03405320046511</v>
      </c>
      <c r="G1955" s="12">
        <f t="shared" si="278"/>
        <v>462.39946041945598</v>
      </c>
      <c r="H1955" s="12">
        <f t="shared" si="275"/>
        <v>3272500</v>
      </c>
      <c r="I1955" s="12">
        <f t="shared" si="276"/>
        <v>1664600</v>
      </c>
      <c r="J1955" s="12">
        <f>IF(A1955&lt;[3]关卡对接!$A$4,INDEX([3]关卡对接!$C$7:$C$141,A1955),MATCH(E1955,人物经验!$H$24:$H$573,1))</f>
        <v>550</v>
      </c>
      <c r="K1955" s="12">
        <f>IF([3]关卡对接!F1943="",INT(INDEX(人物经验!$J$24:$J$573,关卡!J1955)*关卡!$S$7),[3]关卡对接!F1943)</f>
        <v>53960</v>
      </c>
      <c r="L1955" s="12">
        <f t="shared" si="281"/>
        <v>2.8</v>
      </c>
      <c r="M1955" s="12">
        <f>L1955/[4]货币基础!$B$4</f>
        <v>280</v>
      </c>
      <c r="N1955" s="12">
        <f>IF(A1955&lt;[3]关卡对接!$A$4,INDEX([3]关卡对接!$E$7:$E$141,A1955),MATCH(E1955,人物经验!$H$24:$H$573,1))</f>
        <v>550</v>
      </c>
      <c r="O1955" s="12">
        <f>INDEX([2]关卡!$G$6:$G$2005,A1955)</f>
        <v>3</v>
      </c>
      <c r="P1955" s="13">
        <v>6</v>
      </c>
      <c r="Q1955" s="12">
        <f>INT(P1955/$S$15/O1955*VLOOKUP(J1955,[1]人物技能基础!$N$3:$O$553,2,0)*$U$15)</f>
        <v>9</v>
      </c>
      <c r="R1955" s="12">
        <f t="shared" si="282"/>
        <v>112</v>
      </c>
    </row>
    <row r="1956" spans="1:18" x14ac:dyDescent="0.15">
      <c r="A1956" s="12">
        <v>1938</v>
      </c>
      <c r="B1956" s="12">
        <f t="shared" si="279"/>
        <v>10</v>
      </c>
      <c r="C1956" s="12">
        <f t="shared" si="280"/>
        <v>24.011999999999997</v>
      </c>
      <c r="D1956" s="12">
        <f t="shared" si="274"/>
        <v>0.17399999999999594</v>
      </c>
      <c r="E1956" s="12">
        <f>SUM($D$19:D1956)</f>
        <v>89.212000000000657</v>
      </c>
      <c r="F1956" s="12">
        <f t="shared" si="277"/>
        <v>910.42561874887883</v>
      </c>
      <c r="G1956" s="12">
        <f t="shared" si="278"/>
        <v>462.97866850449486</v>
      </c>
      <c r="H1956" s="12">
        <f t="shared" si="275"/>
        <v>3277500</v>
      </c>
      <c r="I1956" s="12">
        <f t="shared" si="276"/>
        <v>1666700</v>
      </c>
      <c r="J1956" s="12">
        <f>IF(A1956&lt;[3]关卡对接!$A$4,INDEX([3]关卡对接!$C$7:$C$141,A1956),MATCH(E1956,人物经验!$H$24:$H$573,1))</f>
        <v>550</v>
      </c>
      <c r="K1956" s="12">
        <f>IF([3]关卡对接!F1944="",INT(INDEX(人物经验!$J$24:$J$573,关卡!J1956)*关卡!$S$7),[3]关卡对接!F1944)</f>
        <v>53960</v>
      </c>
      <c r="L1956" s="12">
        <f t="shared" si="281"/>
        <v>2.8</v>
      </c>
      <c r="M1956" s="12">
        <f>L1956/[4]货币基础!$B$4</f>
        <v>280</v>
      </c>
      <c r="N1956" s="12">
        <f>IF(A1956&lt;[3]关卡对接!$A$4,INDEX([3]关卡对接!$E$7:$E$141,A1956),MATCH(E1956,人物经验!$H$24:$H$573,1))</f>
        <v>550</v>
      </c>
      <c r="O1956" s="12">
        <f>INDEX([2]关卡!$G$6:$G$2005,A1956)</f>
        <v>3</v>
      </c>
      <c r="P1956" s="13">
        <v>6</v>
      </c>
      <c r="Q1956" s="12">
        <f>INT(P1956/$S$15/O1956*VLOOKUP(J1956,[1]人物技能基础!$N$3:$O$553,2,0)*$U$15)</f>
        <v>9</v>
      </c>
      <c r="R1956" s="12">
        <f t="shared" si="282"/>
        <v>112</v>
      </c>
    </row>
    <row r="1957" spans="1:18" x14ac:dyDescent="0.15">
      <c r="A1957" s="12">
        <v>1939</v>
      </c>
      <c r="B1957" s="12">
        <f t="shared" si="279"/>
        <v>10</v>
      </c>
      <c r="C1957" s="12">
        <f t="shared" si="280"/>
        <v>24.185999999999996</v>
      </c>
      <c r="D1957" s="12">
        <f t="shared" si="274"/>
        <v>0.17399999999999949</v>
      </c>
      <c r="E1957" s="12">
        <f>SUM($D$19:D1957)</f>
        <v>89.386000000000649</v>
      </c>
      <c r="F1957" s="12">
        <f t="shared" si="277"/>
        <v>911.81884428365993</v>
      </c>
      <c r="G1957" s="12">
        <f t="shared" si="278"/>
        <v>463.55843721843092</v>
      </c>
      <c r="H1957" s="12">
        <f t="shared" si="275"/>
        <v>3282500</v>
      </c>
      <c r="I1957" s="12">
        <f t="shared" si="276"/>
        <v>1668800</v>
      </c>
      <c r="J1957" s="12">
        <f>IF(A1957&lt;[3]关卡对接!$A$4,INDEX([3]关卡对接!$C$7:$C$141,A1957),MATCH(E1957,人物经验!$H$24:$H$573,1))</f>
        <v>550</v>
      </c>
      <c r="K1957" s="12">
        <f>IF([3]关卡对接!F1945="",INT(INDEX(人物经验!$J$24:$J$573,关卡!J1957)*关卡!$S$7),[3]关卡对接!F1945)</f>
        <v>53960</v>
      </c>
      <c r="L1957" s="12">
        <f t="shared" si="281"/>
        <v>2.8</v>
      </c>
      <c r="M1957" s="12">
        <f>L1957/[4]货币基础!$B$4</f>
        <v>280</v>
      </c>
      <c r="N1957" s="12">
        <f>IF(A1957&lt;[3]关卡对接!$A$4,INDEX([3]关卡对接!$E$7:$E$141,A1957),MATCH(E1957,人物经验!$H$24:$H$573,1))</f>
        <v>550</v>
      </c>
      <c r="O1957" s="12">
        <f>INDEX([2]关卡!$G$6:$G$2005,A1957)</f>
        <v>3</v>
      </c>
      <c r="P1957" s="13">
        <v>6</v>
      </c>
      <c r="Q1957" s="12">
        <f>INT(P1957/$S$15/O1957*VLOOKUP(J1957,[1]人物技能基础!$N$3:$O$553,2,0)*$U$15)</f>
        <v>9</v>
      </c>
      <c r="R1957" s="12">
        <f t="shared" si="282"/>
        <v>112</v>
      </c>
    </row>
    <row r="1958" spans="1:18" x14ac:dyDescent="0.15">
      <c r="A1958" s="12">
        <v>1940</v>
      </c>
      <c r="B1958" s="12">
        <f t="shared" si="279"/>
        <v>10</v>
      </c>
      <c r="C1958" s="12">
        <f t="shared" si="280"/>
        <v>24.359999999999996</v>
      </c>
      <c r="D1958" s="12">
        <f t="shared" si="274"/>
        <v>0.17399999999999949</v>
      </c>
      <c r="E1958" s="12">
        <f>SUM($D$19:D1958)</f>
        <v>89.560000000000656</v>
      </c>
      <c r="F1958" s="12">
        <f t="shared" si="277"/>
        <v>913.21373118999998</v>
      </c>
      <c r="G1958" s="12">
        <f t="shared" si="278"/>
        <v>464.13876694999999</v>
      </c>
      <c r="H1958" s="12">
        <f t="shared" si="275"/>
        <v>3287500</v>
      </c>
      <c r="I1958" s="12">
        <f t="shared" si="276"/>
        <v>1670800</v>
      </c>
      <c r="J1958" s="12">
        <f>IF(A1958&lt;[3]关卡对接!$A$4,INDEX([3]关卡对接!$C$7:$C$141,A1958),MATCH(E1958,人物经验!$H$24:$H$573,1))</f>
        <v>550</v>
      </c>
      <c r="K1958" s="12">
        <f>IF([3]关卡对接!F1946="",INT(INDEX(人物经验!$J$24:$J$573,关卡!J1958)*关卡!$S$7),[3]关卡对接!F1946)</f>
        <v>53960</v>
      </c>
      <c r="L1958" s="12">
        <f t="shared" si="281"/>
        <v>2.8</v>
      </c>
      <c r="M1958" s="12">
        <f>L1958/[4]货币基础!$B$4</f>
        <v>280</v>
      </c>
      <c r="N1958" s="12">
        <f>IF(A1958&lt;[3]关卡对接!$A$4,INDEX([3]关卡对接!$E$7:$E$141,A1958),MATCH(E1958,人物经验!$H$24:$H$573,1))</f>
        <v>550</v>
      </c>
      <c r="O1958" s="12">
        <f>INDEX([2]关卡!$G$6:$G$2005,A1958)</f>
        <v>3</v>
      </c>
      <c r="P1958" s="13">
        <v>6</v>
      </c>
      <c r="Q1958" s="12">
        <f>INT(P1958/$S$15/O1958*VLOOKUP(J1958,[1]人物技能基础!$N$3:$O$553,2,0)*$U$15)</f>
        <v>9</v>
      </c>
      <c r="R1958" s="12">
        <f t="shared" si="282"/>
        <v>112</v>
      </c>
    </row>
    <row r="1959" spans="1:18" x14ac:dyDescent="0.15">
      <c r="A1959" s="12">
        <v>1941</v>
      </c>
      <c r="B1959" s="12">
        <f t="shared" si="279"/>
        <v>10</v>
      </c>
      <c r="C1959" s="12">
        <f t="shared" si="280"/>
        <v>24.533999999999995</v>
      </c>
      <c r="D1959" s="12">
        <f t="shared" si="274"/>
        <v>0.17399999999999949</v>
      </c>
      <c r="E1959" s="12">
        <f>SUM($D$19:D1959)</f>
        <v>89.734000000000663</v>
      </c>
      <c r="F1959" s="12">
        <f t="shared" si="277"/>
        <v>914.61028085369003</v>
      </c>
      <c r="G1959" s="12">
        <f t="shared" si="278"/>
        <v>464.71965808808091</v>
      </c>
      <c r="H1959" s="12">
        <f t="shared" si="275"/>
        <v>3292500</v>
      </c>
      <c r="I1959" s="12">
        <f t="shared" si="276"/>
        <v>1672900</v>
      </c>
      <c r="J1959" s="12">
        <f>IF(A1959&lt;[3]关卡对接!$A$4,INDEX([3]关卡对接!$C$7:$C$141,A1959),MATCH(E1959,人物经验!$H$24:$H$573,1))</f>
        <v>550</v>
      </c>
      <c r="K1959" s="12">
        <f>IF([3]关卡对接!F1947="",INT(INDEX(人物经验!$J$24:$J$573,关卡!J1959)*关卡!$S$7),[3]关卡对接!F1947)</f>
        <v>53960</v>
      </c>
      <c r="L1959" s="12">
        <f t="shared" si="281"/>
        <v>2.8</v>
      </c>
      <c r="M1959" s="12">
        <f>L1959/[4]货币基础!$B$4</f>
        <v>280</v>
      </c>
      <c r="N1959" s="12">
        <f>IF(A1959&lt;[3]关卡对接!$A$4,INDEX([3]关卡对接!$E$7:$E$141,A1959),MATCH(E1959,人物经验!$H$24:$H$573,1))</f>
        <v>550</v>
      </c>
      <c r="O1959" s="12">
        <f>INDEX([2]关卡!$G$6:$G$2005,A1959)</f>
        <v>3</v>
      </c>
      <c r="P1959" s="13">
        <v>6</v>
      </c>
      <c r="Q1959" s="12">
        <f>INT(P1959/$S$15/O1959*VLOOKUP(J1959,[1]人物技能基础!$N$3:$O$553,2,0)*$U$15)</f>
        <v>9</v>
      </c>
      <c r="R1959" s="12">
        <f t="shared" si="282"/>
        <v>112</v>
      </c>
    </row>
    <row r="1960" spans="1:18" x14ac:dyDescent="0.15">
      <c r="A1960" s="12">
        <v>1942</v>
      </c>
      <c r="B1960" s="12">
        <f t="shared" si="279"/>
        <v>10</v>
      </c>
      <c r="C1960" s="12">
        <f t="shared" si="280"/>
        <v>24.707999999999998</v>
      </c>
      <c r="D1960" s="12">
        <f t="shared" si="274"/>
        <v>0.17400000000000304</v>
      </c>
      <c r="E1960" s="12">
        <f>SUM($D$19:D1960)</f>
        <v>89.908000000000669</v>
      </c>
      <c r="F1960" s="12">
        <f t="shared" si="277"/>
        <v>916.00849466111902</v>
      </c>
      <c r="G1960" s="12">
        <f t="shared" si="278"/>
        <v>465.30111102169496</v>
      </c>
      <c r="H1960" s="12">
        <f t="shared" si="275"/>
        <v>3297600</v>
      </c>
      <c r="I1960" s="12">
        <f t="shared" si="276"/>
        <v>1675000</v>
      </c>
      <c r="J1960" s="12">
        <f>IF(A1960&lt;[3]关卡对接!$A$4,INDEX([3]关卡对接!$C$7:$C$141,A1960),MATCH(E1960,人物经验!$H$24:$H$573,1))</f>
        <v>550</v>
      </c>
      <c r="K1960" s="12">
        <f>IF([3]关卡对接!F1948="",INT(INDEX(人物经验!$J$24:$J$573,关卡!J1960)*关卡!$S$7),[3]关卡对接!F1948)</f>
        <v>53960</v>
      </c>
      <c r="L1960" s="12">
        <f t="shared" si="281"/>
        <v>2.8</v>
      </c>
      <c r="M1960" s="12">
        <f>L1960/[4]货币基础!$B$4</f>
        <v>280</v>
      </c>
      <c r="N1960" s="12">
        <f>IF(A1960&lt;[3]关卡对接!$A$4,INDEX([3]关卡对接!$E$7:$E$141,A1960),MATCH(E1960,人物经验!$H$24:$H$573,1))</f>
        <v>550</v>
      </c>
      <c r="O1960" s="12">
        <f>INDEX([2]关卡!$G$6:$G$2005,A1960)</f>
        <v>3</v>
      </c>
      <c r="P1960" s="13">
        <v>6</v>
      </c>
      <c r="Q1960" s="12">
        <f>INT(P1960/$S$15/O1960*VLOOKUP(J1960,[1]人物技能基础!$N$3:$O$553,2,0)*$U$15)</f>
        <v>9</v>
      </c>
      <c r="R1960" s="12">
        <f t="shared" si="282"/>
        <v>112</v>
      </c>
    </row>
    <row r="1961" spans="1:18" x14ac:dyDescent="0.15">
      <c r="A1961" s="12">
        <v>1943</v>
      </c>
      <c r="B1961" s="12">
        <f t="shared" si="279"/>
        <v>10</v>
      </c>
      <c r="C1961" s="12">
        <f t="shared" si="280"/>
        <v>24.881999999999998</v>
      </c>
      <c r="D1961" s="12">
        <f t="shared" si="274"/>
        <v>0.17399999999999949</v>
      </c>
      <c r="E1961" s="12">
        <f>SUM($D$19:D1961)</f>
        <v>90.082000000000676</v>
      </c>
      <c r="F1961" s="12">
        <f t="shared" si="277"/>
        <v>917.408373999275</v>
      </c>
      <c r="G1961" s="12">
        <f t="shared" si="278"/>
        <v>465.88312614000591</v>
      </c>
      <c r="H1961" s="12">
        <f t="shared" si="275"/>
        <v>3302600</v>
      </c>
      <c r="I1961" s="12">
        <f t="shared" si="276"/>
        <v>1677100</v>
      </c>
      <c r="J1961" s="12">
        <f>IF(A1961&lt;[3]关卡对接!$A$4,INDEX([3]关卡对接!$C$7:$C$141,A1961),MATCH(E1961,人物经验!$H$24:$H$573,1))</f>
        <v>550</v>
      </c>
      <c r="K1961" s="12">
        <f>IF([3]关卡对接!F1949="",INT(INDEX(人物经验!$J$24:$J$573,关卡!J1961)*关卡!$S$7),[3]关卡对接!F1949)</f>
        <v>53960</v>
      </c>
      <c r="L1961" s="12">
        <f t="shared" si="281"/>
        <v>2.8</v>
      </c>
      <c r="M1961" s="12">
        <f>L1961/[4]货币基础!$B$4</f>
        <v>280</v>
      </c>
      <c r="N1961" s="12">
        <f>IF(A1961&lt;[3]关卡对接!$A$4,INDEX([3]关卡对接!$E$7:$E$141,A1961),MATCH(E1961,人物经验!$H$24:$H$573,1))</f>
        <v>550</v>
      </c>
      <c r="O1961" s="12">
        <f>INDEX([2]关卡!$G$6:$G$2005,A1961)</f>
        <v>3</v>
      </c>
      <c r="P1961" s="13">
        <v>6</v>
      </c>
      <c r="Q1961" s="12">
        <f>INT(P1961/$S$15/O1961*VLOOKUP(J1961,[1]人物技能基础!$N$3:$O$553,2,0)*$U$15)</f>
        <v>9</v>
      </c>
      <c r="R1961" s="12">
        <f t="shared" si="282"/>
        <v>112</v>
      </c>
    </row>
    <row r="1962" spans="1:18" x14ac:dyDescent="0.15">
      <c r="A1962" s="12">
        <v>1944</v>
      </c>
      <c r="B1962" s="12">
        <f t="shared" si="279"/>
        <v>10</v>
      </c>
      <c r="C1962" s="12">
        <f t="shared" si="280"/>
        <v>25.055999999999997</v>
      </c>
      <c r="D1962" s="12">
        <f t="shared" si="274"/>
        <v>0.17399999999999949</v>
      </c>
      <c r="E1962" s="12">
        <f>SUM($D$19:D1962)</f>
        <v>90.256000000000682</v>
      </c>
      <c r="F1962" s="12">
        <f t="shared" si="277"/>
        <v>918.80992025574403</v>
      </c>
      <c r="G1962" s="12">
        <f t="shared" si="278"/>
        <v>466.46570383231995</v>
      </c>
      <c r="H1962" s="12">
        <f t="shared" si="275"/>
        <v>3307700</v>
      </c>
      <c r="I1962" s="12">
        <f t="shared" si="276"/>
        <v>1679200</v>
      </c>
      <c r="J1962" s="12">
        <f>IF(A1962&lt;[3]关卡对接!$A$4,INDEX([3]关卡对接!$C$7:$C$141,A1962),MATCH(E1962,人物经验!$H$24:$H$573,1))</f>
        <v>550</v>
      </c>
      <c r="K1962" s="12">
        <f>IF([3]关卡对接!F1950="",INT(INDEX(人物经验!$J$24:$J$573,关卡!J1962)*关卡!$S$7),[3]关卡对接!F1950)</f>
        <v>53960</v>
      </c>
      <c r="L1962" s="12">
        <f t="shared" si="281"/>
        <v>2.8</v>
      </c>
      <c r="M1962" s="12">
        <f>L1962/[4]货币基础!$B$4</f>
        <v>280</v>
      </c>
      <c r="N1962" s="12">
        <f>IF(A1962&lt;[3]关卡对接!$A$4,INDEX([3]关卡对接!$E$7:$E$141,A1962),MATCH(E1962,人物经验!$H$24:$H$573,1))</f>
        <v>550</v>
      </c>
      <c r="O1962" s="12">
        <f>INDEX([2]关卡!$G$6:$G$2005,A1962)</f>
        <v>3</v>
      </c>
      <c r="P1962" s="13">
        <v>6</v>
      </c>
      <c r="Q1962" s="12">
        <f>INT(P1962/$S$15/O1962*VLOOKUP(J1962,[1]人物技能基础!$N$3:$O$553,2,0)*$U$15)</f>
        <v>9</v>
      </c>
      <c r="R1962" s="12">
        <f t="shared" si="282"/>
        <v>112</v>
      </c>
    </row>
    <row r="1963" spans="1:18" x14ac:dyDescent="0.15">
      <c r="A1963" s="12">
        <v>1945</v>
      </c>
      <c r="B1963" s="12">
        <f t="shared" si="279"/>
        <v>10</v>
      </c>
      <c r="C1963" s="12">
        <f t="shared" si="280"/>
        <v>25.229999999999997</v>
      </c>
      <c r="D1963" s="12">
        <f t="shared" si="274"/>
        <v>0.17399999999999949</v>
      </c>
      <c r="E1963" s="12">
        <f>SUM($D$19:D1963)</f>
        <v>90.430000000000689</v>
      </c>
      <c r="F1963" s="12">
        <f t="shared" si="277"/>
        <v>920.21313481871107</v>
      </c>
      <c r="G1963" s="12">
        <f t="shared" si="278"/>
        <v>467.04884448808599</v>
      </c>
      <c r="H1963" s="12">
        <f t="shared" si="275"/>
        <v>3312700</v>
      </c>
      <c r="I1963" s="12">
        <f t="shared" si="276"/>
        <v>1681300</v>
      </c>
      <c r="J1963" s="12">
        <f>IF(A1963&lt;[3]关卡对接!$A$4,INDEX([3]关卡对接!$C$7:$C$141,A1963),MATCH(E1963,人物经验!$H$24:$H$573,1))</f>
        <v>550</v>
      </c>
      <c r="K1963" s="12">
        <f>IF([3]关卡对接!F1951="",INT(INDEX(人物经验!$J$24:$J$573,关卡!J1963)*关卡!$S$7),[3]关卡对接!F1951)</f>
        <v>53960</v>
      </c>
      <c r="L1963" s="12">
        <f t="shared" si="281"/>
        <v>2.8</v>
      </c>
      <c r="M1963" s="12">
        <f>L1963/[4]货币基础!$B$4</f>
        <v>280</v>
      </c>
      <c r="N1963" s="12">
        <f>IF(A1963&lt;[3]关卡对接!$A$4,INDEX([3]关卡对接!$E$7:$E$141,A1963),MATCH(E1963,人物经验!$H$24:$H$573,1))</f>
        <v>550</v>
      </c>
      <c r="O1963" s="12">
        <f>INDEX([2]关卡!$G$6:$G$2005,A1963)</f>
        <v>3</v>
      </c>
      <c r="P1963" s="13">
        <v>6</v>
      </c>
      <c r="Q1963" s="12">
        <f>INT(P1963/$S$15/O1963*VLOOKUP(J1963,[1]人物技能基础!$N$3:$O$553,2,0)*$U$15)</f>
        <v>9</v>
      </c>
      <c r="R1963" s="12">
        <f t="shared" si="282"/>
        <v>112</v>
      </c>
    </row>
    <row r="1964" spans="1:18" x14ac:dyDescent="0.15">
      <c r="A1964" s="12">
        <v>1946</v>
      </c>
      <c r="B1964" s="12">
        <f t="shared" si="279"/>
        <v>10</v>
      </c>
      <c r="C1964" s="12">
        <f t="shared" si="280"/>
        <v>25.403999999999996</v>
      </c>
      <c r="D1964" s="12">
        <f t="shared" si="274"/>
        <v>0.17399999999999949</v>
      </c>
      <c r="E1964" s="12">
        <f>SUM($D$19:D1964)</f>
        <v>90.604000000000696</v>
      </c>
      <c r="F1964" s="12">
        <f t="shared" si="277"/>
        <v>921.61801907695894</v>
      </c>
      <c r="G1964" s="12">
        <f t="shared" si="278"/>
        <v>467.63254849689497</v>
      </c>
      <c r="H1964" s="12">
        <f t="shared" si="275"/>
        <v>3317800</v>
      </c>
      <c r="I1964" s="12">
        <f t="shared" si="276"/>
        <v>1683400</v>
      </c>
      <c r="J1964" s="12">
        <f>IF(A1964&lt;[3]关卡对接!$A$4,INDEX([3]关卡对接!$C$7:$C$141,A1964),MATCH(E1964,人物经验!$H$24:$H$573,1))</f>
        <v>550</v>
      </c>
      <c r="K1964" s="12">
        <f>IF([3]关卡对接!F1952="",INT(INDEX(人物经验!$J$24:$J$573,关卡!J1964)*关卡!$S$7),[3]关卡对接!F1952)</f>
        <v>53960</v>
      </c>
      <c r="L1964" s="12">
        <f t="shared" si="281"/>
        <v>2.8</v>
      </c>
      <c r="M1964" s="12">
        <f>L1964/[4]货币基础!$B$4</f>
        <v>280</v>
      </c>
      <c r="N1964" s="12">
        <f>IF(A1964&lt;[3]关卡对接!$A$4,INDEX([3]关卡对接!$E$7:$E$141,A1964),MATCH(E1964,人物经验!$H$24:$H$573,1))</f>
        <v>550</v>
      </c>
      <c r="O1964" s="12">
        <f>INDEX([2]关卡!$G$6:$G$2005,A1964)</f>
        <v>3</v>
      </c>
      <c r="P1964" s="13">
        <v>6</v>
      </c>
      <c r="Q1964" s="12">
        <f>INT(P1964/$S$15/O1964*VLOOKUP(J1964,[1]人物技能基础!$N$3:$O$553,2,0)*$U$15)</f>
        <v>9</v>
      </c>
      <c r="R1964" s="12">
        <f t="shared" si="282"/>
        <v>112</v>
      </c>
    </row>
    <row r="1965" spans="1:18" x14ac:dyDescent="0.15">
      <c r="A1965" s="12">
        <v>1947</v>
      </c>
      <c r="B1965" s="12">
        <f t="shared" si="279"/>
        <v>10</v>
      </c>
      <c r="C1965" s="12">
        <f t="shared" si="280"/>
        <v>25.577999999999996</v>
      </c>
      <c r="D1965" s="12">
        <f t="shared" si="274"/>
        <v>0.17399999999999949</v>
      </c>
      <c r="E1965" s="12">
        <f>SUM($D$19:D1965)</f>
        <v>90.778000000000702</v>
      </c>
      <c r="F1965" s="12">
        <f t="shared" si="277"/>
        <v>923.02457441986996</v>
      </c>
      <c r="G1965" s="12">
        <f t="shared" si="278"/>
        <v>468.216816248481</v>
      </c>
      <c r="H1965" s="12">
        <f t="shared" si="275"/>
        <v>3322800</v>
      </c>
      <c r="I1965" s="12">
        <f t="shared" si="276"/>
        <v>1685500</v>
      </c>
      <c r="J1965" s="12">
        <f>IF(A1965&lt;[3]关卡对接!$A$4,INDEX([3]关卡对接!$C$7:$C$141,A1965),MATCH(E1965,人物经验!$H$24:$H$573,1))</f>
        <v>550</v>
      </c>
      <c r="K1965" s="12">
        <f>IF([3]关卡对接!F1953="",INT(INDEX(人物经验!$J$24:$J$573,关卡!J1965)*关卡!$S$7),[3]关卡对接!F1953)</f>
        <v>53960</v>
      </c>
      <c r="L1965" s="12">
        <f t="shared" si="281"/>
        <v>2.8</v>
      </c>
      <c r="M1965" s="12">
        <f>L1965/[4]货币基础!$B$4</f>
        <v>280</v>
      </c>
      <c r="N1965" s="12">
        <f>IF(A1965&lt;[3]关卡对接!$A$4,INDEX([3]关卡对接!$E$7:$E$141,A1965),MATCH(E1965,人物经验!$H$24:$H$573,1))</f>
        <v>550</v>
      </c>
      <c r="O1965" s="12">
        <f>INDEX([2]关卡!$G$6:$G$2005,A1965)</f>
        <v>3</v>
      </c>
      <c r="P1965" s="13">
        <v>6</v>
      </c>
      <c r="Q1965" s="12">
        <f>INT(P1965/$S$15/O1965*VLOOKUP(J1965,[1]人物技能基础!$N$3:$O$553,2,0)*$U$15)</f>
        <v>9</v>
      </c>
      <c r="R1965" s="12">
        <f t="shared" si="282"/>
        <v>112</v>
      </c>
    </row>
    <row r="1966" spans="1:18" x14ac:dyDescent="0.15">
      <c r="A1966" s="12">
        <v>1948</v>
      </c>
      <c r="B1966" s="12">
        <f t="shared" si="279"/>
        <v>10</v>
      </c>
      <c r="C1966" s="12">
        <f t="shared" si="280"/>
        <v>25.751999999999999</v>
      </c>
      <c r="D1966" s="12">
        <f t="shared" si="274"/>
        <v>0.17400000000000304</v>
      </c>
      <c r="E1966" s="12">
        <f>SUM($D$19:D1966)</f>
        <v>90.952000000000709</v>
      </c>
      <c r="F1966" s="12">
        <f t="shared" si="277"/>
        <v>924.43280223742397</v>
      </c>
      <c r="G1966" s="12">
        <f t="shared" si="278"/>
        <v>468.80164813272</v>
      </c>
      <c r="H1966" s="12">
        <f t="shared" si="275"/>
        <v>3327900</v>
      </c>
      <c r="I1966" s="12">
        <f t="shared" si="276"/>
        <v>1687600</v>
      </c>
      <c r="J1966" s="12">
        <f>IF(A1966&lt;[3]关卡对接!$A$4,INDEX([3]关卡对接!$C$7:$C$141,A1966),MATCH(E1966,人物经验!$H$24:$H$573,1))</f>
        <v>550</v>
      </c>
      <c r="K1966" s="12">
        <f>IF([3]关卡对接!F1954="",INT(INDEX(人物经验!$J$24:$J$573,关卡!J1966)*关卡!$S$7),[3]关卡对接!F1954)</f>
        <v>53960</v>
      </c>
      <c r="L1966" s="12">
        <f t="shared" si="281"/>
        <v>2.8</v>
      </c>
      <c r="M1966" s="12">
        <f>L1966/[4]货币基础!$B$4</f>
        <v>280</v>
      </c>
      <c r="N1966" s="12">
        <f>IF(A1966&lt;[3]关卡对接!$A$4,INDEX([3]关卡对接!$E$7:$E$141,A1966),MATCH(E1966,人物经验!$H$24:$H$573,1))</f>
        <v>550</v>
      </c>
      <c r="O1966" s="12">
        <f>INDEX([2]关卡!$G$6:$G$2005,A1966)</f>
        <v>3</v>
      </c>
      <c r="P1966" s="13">
        <v>6</v>
      </c>
      <c r="Q1966" s="12">
        <f>INT(P1966/$S$15/O1966*VLOOKUP(J1966,[1]人物技能基础!$N$3:$O$553,2,0)*$U$15)</f>
        <v>9</v>
      </c>
      <c r="R1966" s="12">
        <f t="shared" si="282"/>
        <v>112</v>
      </c>
    </row>
    <row r="1967" spans="1:18" x14ac:dyDescent="0.15">
      <c r="A1967" s="12">
        <v>1949</v>
      </c>
      <c r="B1967" s="12">
        <f t="shared" si="279"/>
        <v>10</v>
      </c>
      <c r="C1967" s="12">
        <f t="shared" si="280"/>
        <v>25.925999999999998</v>
      </c>
      <c r="D1967" s="12">
        <f t="shared" si="274"/>
        <v>0.17399999999999949</v>
      </c>
      <c r="E1967" s="12">
        <f>SUM($D$19:D1967)</f>
        <v>91.126000000000715</v>
      </c>
      <c r="F1967" s="12">
        <f t="shared" si="277"/>
        <v>925.84270392019994</v>
      </c>
      <c r="G1967" s="12">
        <f t="shared" si="278"/>
        <v>469.38704453963101</v>
      </c>
      <c r="H1967" s="12">
        <f t="shared" si="275"/>
        <v>3333000</v>
      </c>
      <c r="I1967" s="12">
        <f t="shared" si="276"/>
        <v>1689700</v>
      </c>
      <c r="J1967" s="12">
        <f>IF(A1967&lt;[3]关卡对接!$A$4,INDEX([3]关卡对接!$C$7:$C$141,A1967),MATCH(E1967,人物经验!$H$24:$H$573,1))</f>
        <v>550</v>
      </c>
      <c r="K1967" s="12">
        <f>IF([3]关卡对接!F1955="",INT(INDEX(人物经验!$J$24:$J$573,关卡!J1967)*关卡!$S$7),[3]关卡对接!F1955)</f>
        <v>53960</v>
      </c>
      <c r="L1967" s="12">
        <f t="shared" si="281"/>
        <v>2.8</v>
      </c>
      <c r="M1967" s="12">
        <f>L1967/[4]货币基础!$B$4</f>
        <v>280</v>
      </c>
      <c r="N1967" s="12">
        <f>IF(A1967&lt;[3]关卡对接!$A$4,INDEX([3]关卡对接!$E$7:$E$141,A1967),MATCH(E1967,人物经验!$H$24:$H$573,1))</f>
        <v>550</v>
      </c>
      <c r="O1967" s="12">
        <f>INDEX([2]关卡!$G$6:$G$2005,A1967)</f>
        <v>3</v>
      </c>
      <c r="P1967" s="13">
        <v>6</v>
      </c>
      <c r="Q1967" s="12">
        <f>INT(P1967/$S$15/O1967*VLOOKUP(J1967,[1]人物技能基础!$N$3:$O$553,2,0)*$U$15)</f>
        <v>9</v>
      </c>
      <c r="R1967" s="12">
        <f t="shared" si="282"/>
        <v>112</v>
      </c>
    </row>
    <row r="1968" spans="1:18" x14ac:dyDescent="0.15">
      <c r="A1968" s="12">
        <v>1950</v>
      </c>
      <c r="B1968" s="12">
        <f t="shared" si="279"/>
        <v>10</v>
      </c>
      <c r="C1968" s="12">
        <f t="shared" si="280"/>
        <v>26.099999999999998</v>
      </c>
      <c r="D1968" s="12">
        <f t="shared" si="274"/>
        <v>0.17399999999999949</v>
      </c>
      <c r="E1968" s="12">
        <f>SUM($D$19:D1968)</f>
        <v>91.300000000000722</v>
      </c>
      <c r="F1968" s="12">
        <f t="shared" si="277"/>
        <v>927.25428085937494</v>
      </c>
      <c r="G1968" s="12">
        <f t="shared" si="278"/>
        <v>469.97300585937495</v>
      </c>
      <c r="H1968" s="12">
        <f t="shared" si="275"/>
        <v>3338100</v>
      </c>
      <c r="I1968" s="12">
        <f t="shared" si="276"/>
        <v>1691900</v>
      </c>
      <c r="J1968" s="12">
        <f>IF(A1968&lt;[3]关卡对接!$A$4,INDEX([3]关卡对接!$C$7:$C$141,A1968),MATCH(E1968,人物经验!$H$24:$H$573,1))</f>
        <v>550</v>
      </c>
      <c r="K1968" s="12">
        <f>IF([3]关卡对接!F1956="",INT(INDEX(人物经验!$J$24:$J$573,关卡!J1968)*关卡!$S$7),[3]关卡对接!F1956)</f>
        <v>53960</v>
      </c>
      <c r="L1968" s="12">
        <f t="shared" si="281"/>
        <v>2.8</v>
      </c>
      <c r="M1968" s="12">
        <f>L1968/[4]货币基础!$B$4</f>
        <v>280</v>
      </c>
      <c r="N1968" s="12">
        <f>IF(A1968&lt;[3]关卡对接!$A$4,INDEX([3]关卡对接!$E$7:$E$141,A1968),MATCH(E1968,人物经验!$H$24:$H$573,1))</f>
        <v>550</v>
      </c>
      <c r="O1968" s="12">
        <f>INDEX([2]关卡!$G$6:$G$2005,A1968)</f>
        <v>3</v>
      </c>
      <c r="P1968" s="13">
        <v>6</v>
      </c>
      <c r="Q1968" s="12">
        <f>INT(P1968/$S$15/O1968*VLOOKUP(J1968,[1]人物技能基础!$N$3:$O$553,2,0)*$U$15)</f>
        <v>9</v>
      </c>
      <c r="R1968" s="12">
        <f t="shared" si="282"/>
        <v>112</v>
      </c>
    </row>
    <row r="1969" spans="1:18" x14ac:dyDescent="0.15">
      <c r="A1969" s="12">
        <v>1951</v>
      </c>
      <c r="B1969" s="12">
        <f t="shared" si="279"/>
        <v>10</v>
      </c>
      <c r="C1969" s="12">
        <f t="shared" si="280"/>
        <v>26.273999999999997</v>
      </c>
      <c r="D1969" s="12">
        <f t="shared" si="274"/>
        <v>0.17399999999999949</v>
      </c>
      <c r="E1969" s="12">
        <f>SUM($D$19:D1969)</f>
        <v>91.474000000000729</v>
      </c>
      <c r="F1969" s="12">
        <f t="shared" si="277"/>
        <v>928.66753444672497</v>
      </c>
      <c r="G1969" s="12">
        <f t="shared" si="278"/>
        <v>470.55953248225592</v>
      </c>
      <c r="H1969" s="12">
        <f t="shared" si="275"/>
        <v>3343200</v>
      </c>
      <c r="I1969" s="12">
        <f t="shared" si="276"/>
        <v>1694000</v>
      </c>
      <c r="J1969" s="12">
        <f>IF(A1969&lt;[3]关卡对接!$A$4,INDEX([3]关卡对接!$C$7:$C$141,A1969),MATCH(E1969,人物经验!$H$24:$H$573,1))</f>
        <v>550</v>
      </c>
      <c r="K1969" s="12">
        <f>IF([3]关卡对接!F1957="",INT(INDEX(人物经验!$J$24:$J$573,关卡!J1969)*关卡!$S$7),[3]关卡对接!F1957)</f>
        <v>53960</v>
      </c>
      <c r="L1969" s="12">
        <f t="shared" si="281"/>
        <v>2.8</v>
      </c>
      <c r="M1969" s="12">
        <f>L1969/[4]货币基础!$B$4</f>
        <v>280</v>
      </c>
      <c r="N1969" s="12">
        <f>IF(A1969&lt;[3]关卡对接!$A$4,INDEX([3]关卡对接!$E$7:$E$141,A1969),MATCH(E1969,人物经验!$H$24:$H$573,1))</f>
        <v>550</v>
      </c>
      <c r="O1969" s="12">
        <f>INDEX([2]关卡!$G$6:$G$2005,A1969)</f>
        <v>3</v>
      </c>
      <c r="P1969" s="13">
        <v>6</v>
      </c>
      <c r="Q1969" s="12">
        <f>INT(P1969/$S$15/O1969*VLOOKUP(J1969,[1]人物技能基础!$N$3:$O$553,2,0)*$U$15)</f>
        <v>9</v>
      </c>
      <c r="R1969" s="12">
        <f t="shared" si="282"/>
        <v>112</v>
      </c>
    </row>
    <row r="1970" spans="1:18" x14ac:dyDescent="0.15">
      <c r="A1970" s="12">
        <v>1952</v>
      </c>
      <c r="B1970" s="12">
        <f t="shared" si="279"/>
        <v>10</v>
      </c>
      <c r="C1970" s="12">
        <f t="shared" si="280"/>
        <v>26.447999999999997</v>
      </c>
      <c r="D1970" s="12">
        <f t="shared" si="274"/>
        <v>0.17399999999999949</v>
      </c>
      <c r="E1970" s="12">
        <f>SUM($D$19:D1970)</f>
        <v>91.648000000000735</v>
      </c>
      <c r="F1970" s="12">
        <f t="shared" si="277"/>
        <v>930.08246607462411</v>
      </c>
      <c r="G1970" s="12">
        <f t="shared" si="278"/>
        <v>471.14662479871993</v>
      </c>
      <c r="H1970" s="12">
        <f t="shared" si="275"/>
        <v>3348200</v>
      </c>
      <c r="I1970" s="12">
        <f t="shared" si="276"/>
        <v>1696100</v>
      </c>
      <c r="J1970" s="12">
        <f>IF(A1970&lt;[3]关卡对接!$A$4,INDEX([3]关卡对接!$C$7:$C$141,A1970),MATCH(E1970,人物经验!$H$24:$H$573,1))</f>
        <v>550</v>
      </c>
      <c r="K1970" s="12">
        <f>IF([3]关卡对接!F1958="",INT(INDEX(人物经验!$J$24:$J$573,关卡!J1970)*关卡!$S$7),[3]关卡对接!F1958)</f>
        <v>53960</v>
      </c>
      <c r="L1970" s="12">
        <f t="shared" si="281"/>
        <v>2.8</v>
      </c>
      <c r="M1970" s="12">
        <f>L1970/[4]货币基础!$B$4</f>
        <v>280</v>
      </c>
      <c r="N1970" s="12">
        <f>IF(A1970&lt;[3]关卡对接!$A$4,INDEX([3]关卡对接!$E$7:$E$141,A1970),MATCH(E1970,人物经验!$H$24:$H$573,1))</f>
        <v>550</v>
      </c>
      <c r="O1970" s="12">
        <f>INDEX([2]关卡!$G$6:$G$2005,A1970)</f>
        <v>3</v>
      </c>
      <c r="P1970" s="13">
        <v>6</v>
      </c>
      <c r="Q1970" s="12">
        <f>INT(P1970/$S$15/O1970*VLOOKUP(J1970,[1]人物技能基础!$N$3:$O$553,2,0)*$U$15)</f>
        <v>9</v>
      </c>
      <c r="R1970" s="12">
        <f t="shared" si="282"/>
        <v>112</v>
      </c>
    </row>
    <row r="1971" spans="1:18" x14ac:dyDescent="0.15">
      <c r="A1971" s="12">
        <v>1953</v>
      </c>
      <c r="B1971" s="12">
        <f t="shared" si="279"/>
        <v>10</v>
      </c>
      <c r="C1971" s="12">
        <f t="shared" si="280"/>
        <v>26.622</v>
      </c>
      <c r="D1971" s="12">
        <f t="shared" si="274"/>
        <v>0.17400000000000304</v>
      </c>
      <c r="E1971" s="12">
        <f>SUM($D$19:D1971)</f>
        <v>91.822000000000742</v>
      </c>
      <c r="F1971" s="12">
        <f t="shared" si="277"/>
        <v>931.49907713604523</v>
      </c>
      <c r="G1971" s="12">
        <f t="shared" si="278"/>
        <v>471.73428319935596</v>
      </c>
      <c r="H1971" s="12">
        <f t="shared" si="275"/>
        <v>3353300</v>
      </c>
      <c r="I1971" s="12">
        <f t="shared" si="276"/>
        <v>1698200</v>
      </c>
      <c r="J1971" s="12">
        <f>IF(A1971&lt;[3]关卡对接!$A$4,INDEX([3]关卡对接!$C$7:$C$141,A1971),MATCH(E1971,人物经验!$H$24:$H$573,1))</f>
        <v>550</v>
      </c>
      <c r="K1971" s="12">
        <f>IF([3]关卡对接!F1959="",INT(INDEX(人物经验!$J$24:$J$573,关卡!J1971)*关卡!$S$7),[3]关卡对接!F1959)</f>
        <v>53960</v>
      </c>
      <c r="L1971" s="12">
        <f t="shared" si="281"/>
        <v>2.8</v>
      </c>
      <c r="M1971" s="12">
        <f>L1971/[4]货币基础!$B$4</f>
        <v>280</v>
      </c>
      <c r="N1971" s="12">
        <f>IF(A1971&lt;[3]关卡对接!$A$4,INDEX([3]关卡对接!$E$7:$E$141,A1971),MATCH(E1971,人物经验!$H$24:$H$573,1))</f>
        <v>550</v>
      </c>
      <c r="O1971" s="12">
        <f>INDEX([2]关卡!$G$6:$G$2005,A1971)</f>
        <v>3</v>
      </c>
      <c r="P1971" s="13">
        <v>6</v>
      </c>
      <c r="Q1971" s="12">
        <f>INT(P1971/$S$15/O1971*VLOOKUP(J1971,[1]人物技能基础!$N$3:$O$553,2,0)*$U$15)</f>
        <v>9</v>
      </c>
      <c r="R1971" s="12">
        <f t="shared" si="282"/>
        <v>112</v>
      </c>
    </row>
    <row r="1972" spans="1:18" x14ac:dyDescent="0.15">
      <c r="A1972" s="12">
        <v>1954</v>
      </c>
      <c r="B1972" s="12">
        <f t="shared" si="279"/>
        <v>10</v>
      </c>
      <c r="C1972" s="12">
        <f t="shared" si="280"/>
        <v>26.795999999999999</v>
      </c>
      <c r="D1972" s="12">
        <f t="shared" si="274"/>
        <v>0.17399999999999949</v>
      </c>
      <c r="E1972" s="12">
        <f>SUM($D$19:D1972)</f>
        <v>91.996000000000748</v>
      </c>
      <c r="F1972" s="12">
        <f t="shared" si="277"/>
        <v>932.91736902455887</v>
      </c>
      <c r="G1972" s="12">
        <f t="shared" si="278"/>
        <v>472.32250807489493</v>
      </c>
      <c r="H1972" s="12">
        <f t="shared" si="275"/>
        <v>3358500</v>
      </c>
      <c r="I1972" s="12">
        <f t="shared" si="276"/>
        <v>1700300</v>
      </c>
      <c r="J1972" s="12">
        <f>IF(A1972&lt;[3]关卡对接!$A$4,INDEX([3]关卡对接!$C$7:$C$141,A1972),MATCH(E1972,人物经验!$H$24:$H$573,1))</f>
        <v>550</v>
      </c>
      <c r="K1972" s="12">
        <f>IF([3]关卡对接!F1960="",INT(INDEX(人物经验!$J$24:$J$573,关卡!J1972)*关卡!$S$7),[3]关卡对接!F1960)</f>
        <v>53960</v>
      </c>
      <c r="L1972" s="12">
        <f t="shared" si="281"/>
        <v>2.8</v>
      </c>
      <c r="M1972" s="12">
        <f>L1972/[4]货币基础!$B$4</f>
        <v>280</v>
      </c>
      <c r="N1972" s="12">
        <f>IF(A1972&lt;[3]关卡对接!$A$4,INDEX([3]关卡对接!$E$7:$E$141,A1972),MATCH(E1972,人物经验!$H$24:$H$573,1))</f>
        <v>550</v>
      </c>
      <c r="O1972" s="12">
        <f>INDEX([2]关卡!$G$6:$G$2005,A1972)</f>
        <v>3</v>
      </c>
      <c r="P1972" s="13">
        <v>6</v>
      </c>
      <c r="Q1972" s="12">
        <f>INT(P1972/$S$15/O1972*VLOOKUP(J1972,[1]人物技能基础!$N$3:$O$553,2,0)*$U$15)</f>
        <v>9</v>
      </c>
      <c r="R1972" s="12">
        <f t="shared" si="282"/>
        <v>112</v>
      </c>
    </row>
    <row r="1973" spans="1:18" x14ac:dyDescent="0.15">
      <c r="A1973" s="12">
        <v>1955</v>
      </c>
      <c r="B1973" s="12">
        <f t="shared" si="279"/>
        <v>10</v>
      </c>
      <c r="C1973" s="12">
        <f t="shared" si="280"/>
        <v>26.97</v>
      </c>
      <c r="D1973" s="12">
        <f t="shared" si="274"/>
        <v>0.17399999999999949</v>
      </c>
      <c r="E1973" s="12">
        <f>SUM($D$19:D1973)</f>
        <v>92.170000000000755</v>
      </c>
      <c r="F1973" s="12">
        <f t="shared" si="277"/>
        <v>934.33734313433604</v>
      </c>
      <c r="G1973" s="12">
        <f t="shared" si="278"/>
        <v>472.91129981621094</v>
      </c>
      <c r="H1973" s="12">
        <f t="shared" si="275"/>
        <v>3363600</v>
      </c>
      <c r="I1973" s="12">
        <f t="shared" si="276"/>
        <v>1702400</v>
      </c>
      <c r="J1973" s="12">
        <f>IF(A1973&lt;[3]关卡对接!$A$4,INDEX([3]关卡对接!$C$7:$C$141,A1973),MATCH(E1973,人物经验!$H$24:$H$573,1))</f>
        <v>550</v>
      </c>
      <c r="K1973" s="12">
        <f>IF([3]关卡对接!F1961="",INT(INDEX(人物经验!$J$24:$J$573,关卡!J1973)*关卡!$S$7),[3]关卡对接!F1961)</f>
        <v>53960</v>
      </c>
      <c r="L1973" s="12">
        <f t="shared" si="281"/>
        <v>2.8</v>
      </c>
      <c r="M1973" s="12">
        <f>L1973/[4]货币基础!$B$4</f>
        <v>280</v>
      </c>
      <c r="N1973" s="12">
        <f>IF(A1973&lt;[3]关卡对接!$A$4,INDEX([3]关卡对接!$E$7:$E$141,A1973),MATCH(E1973,人物经验!$H$24:$H$573,1))</f>
        <v>550</v>
      </c>
      <c r="O1973" s="12">
        <f>INDEX([2]关卡!$G$6:$G$2005,A1973)</f>
        <v>3</v>
      </c>
      <c r="P1973" s="13">
        <v>6</v>
      </c>
      <c r="Q1973" s="12">
        <f>INT(P1973/$S$15/O1973*VLOOKUP(J1973,[1]人物技能基础!$N$3:$O$553,2,0)*$U$15)</f>
        <v>9</v>
      </c>
      <c r="R1973" s="12">
        <f t="shared" si="282"/>
        <v>112</v>
      </c>
    </row>
    <row r="1974" spans="1:18" x14ac:dyDescent="0.15">
      <c r="A1974" s="12">
        <v>1956</v>
      </c>
      <c r="B1974" s="12">
        <f t="shared" si="279"/>
        <v>10</v>
      </c>
      <c r="C1974" s="12">
        <f t="shared" si="280"/>
        <v>27.143999999999998</v>
      </c>
      <c r="D1974" s="12">
        <f t="shared" si="274"/>
        <v>0.17399999999999949</v>
      </c>
      <c r="E1974" s="12">
        <f>SUM($D$19:D1974)</f>
        <v>92.344000000000761</v>
      </c>
      <c r="F1974" s="12">
        <f t="shared" si="277"/>
        <v>935.75900086014394</v>
      </c>
      <c r="G1974" s="12">
        <f t="shared" si="278"/>
        <v>473.50065881431993</v>
      </c>
      <c r="H1974" s="12">
        <f t="shared" si="275"/>
        <v>3368700</v>
      </c>
      <c r="I1974" s="12">
        <f t="shared" si="276"/>
        <v>1704600</v>
      </c>
      <c r="J1974" s="12">
        <f>IF(A1974&lt;[3]关卡对接!$A$4,INDEX([3]关卡对接!$C$7:$C$141,A1974),MATCH(E1974,人物经验!$H$24:$H$573,1))</f>
        <v>550</v>
      </c>
      <c r="K1974" s="12">
        <f>IF([3]关卡对接!F1962="",INT(INDEX(人物经验!$J$24:$J$573,关卡!J1974)*关卡!$S$7),[3]关卡对接!F1962)</f>
        <v>53960</v>
      </c>
      <c r="L1974" s="12">
        <f t="shared" si="281"/>
        <v>2.8</v>
      </c>
      <c r="M1974" s="12">
        <f>L1974/[4]货币基础!$B$4</f>
        <v>280</v>
      </c>
      <c r="N1974" s="12">
        <f>IF(A1974&lt;[3]关卡对接!$A$4,INDEX([3]关卡对接!$E$7:$E$141,A1974),MATCH(E1974,人物经验!$H$24:$H$573,1))</f>
        <v>550</v>
      </c>
      <c r="O1974" s="12">
        <f>INDEX([2]关卡!$G$6:$G$2005,A1974)</f>
        <v>3</v>
      </c>
      <c r="P1974" s="13">
        <v>6</v>
      </c>
      <c r="Q1974" s="12">
        <f>INT(P1974/$S$15/O1974*VLOOKUP(J1974,[1]人物技能基础!$N$3:$O$553,2,0)*$U$15)</f>
        <v>9</v>
      </c>
      <c r="R1974" s="12">
        <f t="shared" si="282"/>
        <v>112</v>
      </c>
    </row>
    <row r="1975" spans="1:18" x14ac:dyDescent="0.15">
      <c r="A1975" s="12">
        <v>1957</v>
      </c>
      <c r="B1975" s="12">
        <f t="shared" si="279"/>
        <v>10</v>
      </c>
      <c r="C1975" s="12">
        <f t="shared" si="280"/>
        <v>27.317999999999998</v>
      </c>
      <c r="D1975" s="12">
        <f t="shared" si="274"/>
        <v>0.17399999999999949</v>
      </c>
      <c r="E1975" s="12">
        <f>SUM($D$19:D1975)</f>
        <v>92.518000000000768</v>
      </c>
      <c r="F1975" s="12">
        <f t="shared" si="277"/>
        <v>937.18234359735004</v>
      </c>
      <c r="G1975" s="12">
        <f t="shared" si="278"/>
        <v>474.09058546038096</v>
      </c>
      <c r="H1975" s="12">
        <f t="shared" si="275"/>
        <v>3373800</v>
      </c>
      <c r="I1975" s="12">
        <f t="shared" si="276"/>
        <v>1706700</v>
      </c>
      <c r="J1975" s="12">
        <f>IF(A1975&lt;[3]关卡对接!$A$4,INDEX([3]关卡对接!$C$7:$C$141,A1975),MATCH(E1975,人物经验!$H$24:$H$573,1))</f>
        <v>550</v>
      </c>
      <c r="K1975" s="12">
        <f>IF([3]关卡对接!F1963="",INT(INDEX(人物经验!$J$24:$J$573,关卡!J1975)*关卡!$S$7),[3]关卡对接!F1963)</f>
        <v>53960</v>
      </c>
      <c r="L1975" s="12">
        <f t="shared" si="281"/>
        <v>2.8</v>
      </c>
      <c r="M1975" s="12">
        <f>L1975/[4]货币基础!$B$4</f>
        <v>280</v>
      </c>
      <c r="N1975" s="12">
        <f>IF(A1975&lt;[3]关卡对接!$A$4,INDEX([3]关卡对接!$E$7:$E$141,A1975),MATCH(E1975,人物经验!$H$24:$H$573,1))</f>
        <v>550</v>
      </c>
      <c r="O1975" s="12">
        <f>INDEX([2]关卡!$G$6:$G$2005,A1975)</f>
        <v>3</v>
      </c>
      <c r="P1975" s="13">
        <v>6</v>
      </c>
      <c r="Q1975" s="12">
        <f>INT(P1975/$S$15/O1975*VLOOKUP(J1975,[1]人物技能基础!$N$3:$O$553,2,0)*$U$15)</f>
        <v>9</v>
      </c>
      <c r="R1975" s="12">
        <f t="shared" si="282"/>
        <v>112</v>
      </c>
    </row>
    <row r="1976" spans="1:18" x14ac:dyDescent="0.15">
      <c r="A1976" s="12">
        <v>1958</v>
      </c>
      <c r="B1976" s="12">
        <f t="shared" si="279"/>
        <v>10</v>
      </c>
      <c r="C1976" s="12">
        <f t="shared" si="280"/>
        <v>27.491999999999997</v>
      </c>
      <c r="D1976" s="12">
        <f t="shared" si="274"/>
        <v>0.17399999999999949</v>
      </c>
      <c r="E1976" s="12">
        <f>SUM($D$19:D1976)</f>
        <v>92.692000000000775</v>
      </c>
      <c r="F1976" s="12">
        <f t="shared" si="277"/>
        <v>938.60737274191899</v>
      </c>
      <c r="G1976" s="12">
        <f t="shared" si="278"/>
        <v>474.68108014569492</v>
      </c>
      <c r="H1976" s="12">
        <f t="shared" si="275"/>
        <v>3378900</v>
      </c>
      <c r="I1976" s="12">
        <f t="shared" si="276"/>
        <v>1708800</v>
      </c>
      <c r="J1976" s="12">
        <f>IF(A1976&lt;[3]关卡对接!$A$4,INDEX([3]关卡对接!$C$7:$C$141,A1976),MATCH(E1976,人物经验!$H$24:$H$573,1))</f>
        <v>550</v>
      </c>
      <c r="K1976" s="12">
        <f>IF([3]关卡对接!F1964="",INT(INDEX(人物经验!$J$24:$J$573,关卡!J1976)*关卡!$S$7),[3]关卡对接!F1964)</f>
        <v>53960</v>
      </c>
      <c r="L1976" s="12">
        <f t="shared" si="281"/>
        <v>2.8</v>
      </c>
      <c r="M1976" s="12">
        <f>L1976/[4]货币基础!$B$4</f>
        <v>280</v>
      </c>
      <c r="N1976" s="12">
        <f>IF(A1976&lt;[3]关卡对接!$A$4,INDEX([3]关卡对接!$E$7:$E$141,A1976),MATCH(E1976,人物经验!$H$24:$H$573,1))</f>
        <v>550</v>
      </c>
      <c r="O1976" s="12">
        <f>INDEX([2]关卡!$G$6:$G$2005,A1976)</f>
        <v>3</v>
      </c>
      <c r="P1976" s="13">
        <v>6</v>
      </c>
      <c r="Q1976" s="12">
        <f>INT(P1976/$S$15/O1976*VLOOKUP(J1976,[1]人物技能基础!$N$3:$O$553,2,0)*$U$15)</f>
        <v>9</v>
      </c>
      <c r="R1976" s="12">
        <f t="shared" si="282"/>
        <v>112</v>
      </c>
    </row>
    <row r="1977" spans="1:18" x14ac:dyDescent="0.15">
      <c r="A1977" s="12">
        <v>1959</v>
      </c>
      <c r="B1977" s="12">
        <f t="shared" si="279"/>
        <v>10</v>
      </c>
      <c r="C1977" s="12">
        <f t="shared" si="280"/>
        <v>27.666</v>
      </c>
      <c r="D1977" s="12">
        <f t="shared" si="274"/>
        <v>0.17400000000000304</v>
      </c>
      <c r="E1977" s="12">
        <f>SUM($D$19:D1977)</f>
        <v>92.866000000000781</v>
      </c>
      <c r="F1977" s="12">
        <f t="shared" si="277"/>
        <v>940.03408969041516</v>
      </c>
      <c r="G1977" s="12">
        <f t="shared" si="278"/>
        <v>475.27214326170593</v>
      </c>
      <c r="H1977" s="12">
        <f t="shared" si="275"/>
        <v>3384100</v>
      </c>
      <c r="I1977" s="12">
        <f t="shared" si="276"/>
        <v>1710900</v>
      </c>
      <c r="J1977" s="12">
        <f>IF(A1977&lt;[3]关卡对接!$A$4,INDEX([3]关卡对接!$C$7:$C$141,A1977),MATCH(E1977,人物经验!$H$24:$H$573,1))</f>
        <v>550</v>
      </c>
      <c r="K1977" s="12">
        <f>IF([3]关卡对接!F1965="",INT(INDEX(人物经验!$J$24:$J$573,关卡!J1977)*关卡!$S$7),[3]关卡对接!F1965)</f>
        <v>53960</v>
      </c>
      <c r="L1977" s="12">
        <f t="shared" si="281"/>
        <v>2.8</v>
      </c>
      <c r="M1977" s="12">
        <f>L1977/[4]货币基础!$B$4</f>
        <v>280</v>
      </c>
      <c r="N1977" s="12">
        <f>IF(A1977&lt;[3]关卡对接!$A$4,INDEX([3]关卡对接!$E$7:$E$141,A1977),MATCH(E1977,人物经验!$H$24:$H$573,1))</f>
        <v>550</v>
      </c>
      <c r="O1977" s="12">
        <f>INDEX([2]关卡!$G$6:$G$2005,A1977)</f>
        <v>3</v>
      </c>
      <c r="P1977" s="13">
        <v>6</v>
      </c>
      <c r="Q1977" s="12">
        <f>INT(P1977/$S$15/O1977*VLOOKUP(J1977,[1]人物技能基础!$N$3:$O$553,2,0)*$U$15)</f>
        <v>9</v>
      </c>
      <c r="R1977" s="12">
        <f t="shared" si="282"/>
        <v>112</v>
      </c>
    </row>
    <row r="1978" spans="1:18" x14ac:dyDescent="0.15">
      <c r="A1978" s="12">
        <v>1960</v>
      </c>
      <c r="B1978" s="12">
        <f t="shared" si="279"/>
        <v>10</v>
      </c>
      <c r="C1978" s="12">
        <f t="shared" si="280"/>
        <v>27.84</v>
      </c>
      <c r="D1978" s="12">
        <f t="shared" si="274"/>
        <v>0.17399999999999949</v>
      </c>
      <c r="E1978" s="12">
        <f>SUM($D$19:D1978)</f>
        <v>93.040000000000788</v>
      </c>
      <c r="F1978" s="12">
        <f t="shared" si="277"/>
        <v>941.46249583999997</v>
      </c>
      <c r="G1978" s="12">
        <f t="shared" si="278"/>
        <v>475.86377519999996</v>
      </c>
      <c r="H1978" s="12">
        <f t="shared" si="275"/>
        <v>3389200</v>
      </c>
      <c r="I1978" s="12">
        <f t="shared" si="276"/>
        <v>1713100</v>
      </c>
      <c r="J1978" s="12">
        <f>IF(A1978&lt;[3]关卡对接!$A$4,INDEX([3]关卡对接!$C$7:$C$141,A1978),MATCH(E1978,人物经验!$H$24:$H$573,1))</f>
        <v>550</v>
      </c>
      <c r="K1978" s="12">
        <f>IF([3]关卡对接!F1966="",INT(INDEX(人物经验!$J$24:$J$573,关卡!J1978)*关卡!$S$7),[3]关卡对接!F1966)</f>
        <v>53960</v>
      </c>
      <c r="L1978" s="12">
        <f t="shared" si="281"/>
        <v>2.8</v>
      </c>
      <c r="M1978" s="12">
        <f>L1978/[4]货币基础!$B$4</f>
        <v>280</v>
      </c>
      <c r="N1978" s="12">
        <f>IF(A1978&lt;[3]关卡对接!$A$4,INDEX([3]关卡对接!$E$7:$E$141,A1978),MATCH(E1978,人物经验!$H$24:$H$573,1))</f>
        <v>550</v>
      </c>
      <c r="O1978" s="12">
        <f>INDEX([2]关卡!$G$6:$G$2005,A1978)</f>
        <v>3</v>
      </c>
      <c r="P1978" s="13">
        <v>6</v>
      </c>
      <c r="Q1978" s="12">
        <f>INT(P1978/$S$15/O1978*VLOOKUP(J1978,[1]人物技能基础!$N$3:$O$553,2,0)*$U$15)</f>
        <v>9</v>
      </c>
      <c r="R1978" s="12">
        <f t="shared" si="282"/>
        <v>112</v>
      </c>
    </row>
    <row r="1979" spans="1:18" x14ac:dyDescent="0.15">
      <c r="A1979" s="12">
        <v>1961</v>
      </c>
      <c r="B1979" s="12">
        <f t="shared" si="279"/>
        <v>10</v>
      </c>
      <c r="C1979" s="12">
        <f t="shared" si="280"/>
        <v>28.013999999999999</v>
      </c>
      <c r="D1979" s="12">
        <f t="shared" ref="D1979:D2018" si="283">IF(ISNA(MATCH(A1979,$A$6:$A$15,0)),C1979-C1978,C1979)</f>
        <v>0.17399999999999949</v>
      </c>
      <c r="E1979" s="12">
        <f>SUM($D$19:D1979)</f>
        <v>93.214000000000794</v>
      </c>
      <c r="F1979" s="12">
        <f t="shared" si="277"/>
        <v>942.89259258843504</v>
      </c>
      <c r="G1979" s="12">
        <f t="shared" si="278"/>
        <v>476.45597635230598</v>
      </c>
      <c r="H1979" s="12">
        <f t="shared" ref="H1979:H2018" si="284">INT(F1979*60*60/100)*100</f>
        <v>3394400</v>
      </c>
      <c r="I1979" s="12">
        <f t="shared" ref="I1979:I2018" si="285">INT(G1979*60*60/100)*100</f>
        <v>1715200</v>
      </c>
      <c r="J1979" s="12">
        <f>IF(A1979&lt;[3]关卡对接!$A$4,INDEX([3]关卡对接!$C$7:$C$141,A1979),MATCH(E1979,人物经验!$H$24:$H$573,1))</f>
        <v>550</v>
      </c>
      <c r="K1979" s="12">
        <f>IF([3]关卡对接!F1967="",INT(INDEX(人物经验!$J$24:$J$573,关卡!J1979)*关卡!$S$7),[3]关卡对接!F1967)</f>
        <v>53960</v>
      </c>
      <c r="L1979" s="12">
        <f t="shared" si="281"/>
        <v>2.8</v>
      </c>
      <c r="M1979" s="12">
        <f>L1979/[4]货币基础!$B$4</f>
        <v>280</v>
      </c>
      <c r="N1979" s="12">
        <f>IF(A1979&lt;[3]关卡对接!$A$4,INDEX([3]关卡对接!$E$7:$E$141,A1979),MATCH(E1979,人物经验!$H$24:$H$573,1))</f>
        <v>550</v>
      </c>
      <c r="O1979" s="12">
        <f>INDEX([2]关卡!$G$6:$G$2005,A1979)</f>
        <v>3</v>
      </c>
      <c r="P1979" s="13">
        <v>6</v>
      </c>
      <c r="Q1979" s="12">
        <f>INT(P1979/$S$15/O1979*VLOOKUP(J1979,[1]人物技能基础!$N$3:$O$553,2,0)*$U$15)</f>
        <v>9</v>
      </c>
      <c r="R1979" s="12">
        <f t="shared" si="282"/>
        <v>112</v>
      </c>
    </row>
    <row r="1980" spans="1:18" x14ac:dyDescent="0.15">
      <c r="A1980" s="12">
        <v>1962</v>
      </c>
      <c r="B1980" s="12">
        <f t="shared" si="279"/>
        <v>10</v>
      </c>
      <c r="C1980" s="12">
        <f t="shared" si="280"/>
        <v>28.187999999999999</v>
      </c>
      <c r="D1980" s="12">
        <f t="shared" si="283"/>
        <v>0.17399999999999949</v>
      </c>
      <c r="E1980" s="12">
        <f>SUM($D$19:D1980)</f>
        <v>93.388000000000801</v>
      </c>
      <c r="F1980" s="12">
        <f t="shared" si="277"/>
        <v>944.32438133407902</v>
      </c>
      <c r="G1980" s="12">
        <f t="shared" si="278"/>
        <v>477.04874711049496</v>
      </c>
      <c r="H1980" s="12">
        <f t="shared" si="284"/>
        <v>3399500</v>
      </c>
      <c r="I1980" s="12">
        <f t="shared" si="285"/>
        <v>1717300</v>
      </c>
      <c r="J1980" s="12">
        <f>IF(A1980&lt;[3]关卡对接!$A$4,INDEX([3]关卡对接!$C$7:$C$141,A1980),MATCH(E1980,人物经验!$H$24:$H$573,1))</f>
        <v>550</v>
      </c>
      <c r="K1980" s="12">
        <f>IF([3]关卡对接!F1968="",INT(INDEX(人物经验!$J$24:$J$573,关卡!J1980)*关卡!$S$7),[3]关卡对接!F1968)</f>
        <v>53960</v>
      </c>
      <c r="L1980" s="12">
        <f t="shared" si="281"/>
        <v>2.8</v>
      </c>
      <c r="M1980" s="12">
        <f>L1980/[4]货币基础!$B$4</f>
        <v>280</v>
      </c>
      <c r="N1980" s="12">
        <f>IF(A1980&lt;[3]关卡对接!$A$4,INDEX([3]关卡对接!$E$7:$E$141,A1980),MATCH(E1980,人物经验!$H$24:$H$573,1))</f>
        <v>550</v>
      </c>
      <c r="O1980" s="12">
        <f>INDEX([2]关卡!$G$6:$G$2005,A1980)</f>
        <v>3</v>
      </c>
      <c r="P1980" s="13">
        <v>6</v>
      </c>
      <c r="Q1980" s="12">
        <f>INT(P1980/$S$15/O1980*VLOOKUP(J1980,[1]人物技能基础!$N$3:$O$553,2,0)*$U$15)</f>
        <v>9</v>
      </c>
      <c r="R1980" s="12">
        <f t="shared" si="282"/>
        <v>112</v>
      </c>
    </row>
    <row r="1981" spans="1:18" x14ac:dyDescent="0.15">
      <c r="A1981" s="12">
        <v>1963</v>
      </c>
      <c r="B1981" s="12">
        <f t="shared" si="279"/>
        <v>10</v>
      </c>
      <c r="C1981" s="12">
        <f t="shared" si="280"/>
        <v>28.361999999999995</v>
      </c>
      <c r="D1981" s="12">
        <f t="shared" si="283"/>
        <v>0.17399999999999594</v>
      </c>
      <c r="E1981" s="12">
        <f>SUM($D$19:D1981)</f>
        <v>93.562000000000793</v>
      </c>
      <c r="F1981" s="12">
        <f t="shared" si="277"/>
        <v>945.75786347589008</v>
      </c>
      <c r="G1981" s="12">
        <f t="shared" si="278"/>
        <v>477.64208786658099</v>
      </c>
      <c r="H1981" s="12">
        <f t="shared" si="284"/>
        <v>3404700</v>
      </c>
      <c r="I1981" s="12">
        <f t="shared" si="285"/>
        <v>1719500</v>
      </c>
      <c r="J1981" s="12">
        <f>IF(A1981&lt;[3]关卡对接!$A$4,INDEX([3]关卡对接!$C$7:$C$141,A1981),MATCH(E1981,人物经验!$H$24:$H$573,1))</f>
        <v>550</v>
      </c>
      <c r="K1981" s="12">
        <f>IF([3]关卡对接!F1969="",INT(INDEX(人物经验!$J$24:$J$573,关卡!J1981)*关卡!$S$7),[3]关卡对接!F1969)</f>
        <v>53960</v>
      </c>
      <c r="L1981" s="12">
        <f t="shared" si="281"/>
        <v>2.8</v>
      </c>
      <c r="M1981" s="12">
        <f>L1981/[4]货币基础!$B$4</f>
        <v>280</v>
      </c>
      <c r="N1981" s="12">
        <f>IF(A1981&lt;[3]关卡对接!$A$4,INDEX([3]关卡对接!$E$7:$E$141,A1981),MATCH(E1981,人物经验!$H$24:$H$573,1))</f>
        <v>550</v>
      </c>
      <c r="O1981" s="12">
        <f>INDEX([2]关卡!$G$6:$G$2005,A1981)</f>
        <v>3</v>
      </c>
      <c r="P1981" s="13">
        <v>6</v>
      </c>
      <c r="Q1981" s="12">
        <f>INT(P1981/$S$15/O1981*VLOOKUP(J1981,[1]人物技能基础!$N$3:$O$553,2,0)*$U$15)</f>
        <v>9</v>
      </c>
      <c r="R1981" s="12">
        <f t="shared" si="282"/>
        <v>112</v>
      </c>
    </row>
    <row r="1982" spans="1:18" x14ac:dyDescent="0.15">
      <c r="A1982" s="12">
        <v>1964</v>
      </c>
      <c r="B1982" s="12">
        <f t="shared" si="279"/>
        <v>10</v>
      </c>
      <c r="C1982" s="12">
        <f t="shared" si="280"/>
        <v>28.535999999999994</v>
      </c>
      <c r="D1982" s="12">
        <f t="shared" si="283"/>
        <v>0.17399999999999949</v>
      </c>
      <c r="E1982" s="12">
        <f>SUM($D$19:D1982)</f>
        <v>93.736000000000786</v>
      </c>
      <c r="F1982" s="12">
        <f t="shared" si="277"/>
        <v>947.193040413424</v>
      </c>
      <c r="G1982" s="12">
        <f t="shared" si="278"/>
        <v>478.23599901271996</v>
      </c>
      <c r="H1982" s="12">
        <f t="shared" si="284"/>
        <v>3409800</v>
      </c>
      <c r="I1982" s="12">
        <f t="shared" si="285"/>
        <v>1721600</v>
      </c>
      <c r="J1982" s="12">
        <f>IF(A1982&lt;[3]关卡对接!$A$4,INDEX([3]关卡对接!$C$7:$C$141,A1982),MATCH(E1982,人物经验!$H$24:$H$573,1))</f>
        <v>550</v>
      </c>
      <c r="K1982" s="12">
        <f>IF([3]关卡对接!F1970="",INT(INDEX(人物经验!$J$24:$J$573,关卡!J1982)*关卡!$S$7),[3]关卡对接!F1970)</f>
        <v>53960</v>
      </c>
      <c r="L1982" s="12">
        <f t="shared" si="281"/>
        <v>2.8</v>
      </c>
      <c r="M1982" s="12">
        <f>L1982/[4]货币基础!$B$4</f>
        <v>280</v>
      </c>
      <c r="N1982" s="12">
        <f>IF(A1982&lt;[3]关卡对接!$A$4,INDEX([3]关卡对接!$E$7:$E$141,A1982),MATCH(E1982,人物经验!$H$24:$H$573,1))</f>
        <v>550</v>
      </c>
      <c r="O1982" s="12">
        <f>INDEX([2]关卡!$G$6:$G$2005,A1982)</f>
        <v>3</v>
      </c>
      <c r="P1982" s="13">
        <v>6</v>
      </c>
      <c r="Q1982" s="12">
        <f>INT(P1982/$S$15/O1982*VLOOKUP(J1982,[1]人物技能基础!$N$3:$O$553,2,0)*$U$15)</f>
        <v>9</v>
      </c>
      <c r="R1982" s="12">
        <f t="shared" si="282"/>
        <v>112</v>
      </c>
    </row>
    <row r="1983" spans="1:18" x14ac:dyDescent="0.15">
      <c r="A1983" s="12">
        <v>1965</v>
      </c>
      <c r="B1983" s="12">
        <f t="shared" si="279"/>
        <v>10</v>
      </c>
      <c r="C1983" s="12">
        <f t="shared" si="280"/>
        <v>28.709999999999997</v>
      </c>
      <c r="D1983" s="12">
        <f t="shared" si="283"/>
        <v>0.17400000000000304</v>
      </c>
      <c r="E1983" s="12">
        <f>SUM($D$19:D1983)</f>
        <v>93.910000000000792</v>
      </c>
      <c r="F1983" s="12">
        <f t="shared" si="277"/>
        <v>948.62991354683618</v>
      </c>
      <c r="G1983" s="12">
        <f t="shared" si="278"/>
        <v>478.83048094121096</v>
      </c>
      <c r="H1983" s="12">
        <f t="shared" si="284"/>
        <v>3415000</v>
      </c>
      <c r="I1983" s="12">
        <f t="shared" si="285"/>
        <v>1723700</v>
      </c>
      <c r="J1983" s="12">
        <f>IF(A1983&lt;[3]关卡对接!$A$4,INDEX([3]关卡对接!$C$7:$C$141,A1983),MATCH(E1983,人物经验!$H$24:$H$573,1))</f>
        <v>550</v>
      </c>
      <c r="K1983" s="12">
        <f>IF([3]关卡对接!F1971="",INT(INDEX(人物经验!$J$24:$J$573,关卡!J1983)*关卡!$S$7),[3]关卡对接!F1971)</f>
        <v>53960</v>
      </c>
      <c r="L1983" s="12">
        <f t="shared" si="281"/>
        <v>2.8</v>
      </c>
      <c r="M1983" s="12">
        <f>L1983/[4]货币基础!$B$4</f>
        <v>280</v>
      </c>
      <c r="N1983" s="12">
        <f>IF(A1983&lt;[3]关卡对接!$A$4,INDEX([3]关卡对接!$E$7:$E$141,A1983),MATCH(E1983,人物经验!$H$24:$H$573,1))</f>
        <v>550</v>
      </c>
      <c r="O1983" s="12">
        <f>INDEX([2]关卡!$G$6:$G$2005,A1983)</f>
        <v>3</v>
      </c>
      <c r="P1983" s="13">
        <v>6</v>
      </c>
      <c r="Q1983" s="12">
        <f>INT(P1983/$S$15/O1983*VLOOKUP(J1983,[1]人物技能基础!$N$3:$O$553,2,0)*$U$15)</f>
        <v>9</v>
      </c>
      <c r="R1983" s="12">
        <f t="shared" si="282"/>
        <v>112</v>
      </c>
    </row>
    <row r="1984" spans="1:18" x14ac:dyDescent="0.15">
      <c r="A1984" s="12">
        <v>1966</v>
      </c>
      <c r="B1984" s="12">
        <f t="shared" si="279"/>
        <v>10</v>
      </c>
      <c r="C1984" s="12">
        <f t="shared" si="280"/>
        <v>28.883999999999997</v>
      </c>
      <c r="D1984" s="12">
        <f t="shared" si="283"/>
        <v>0.17399999999999949</v>
      </c>
      <c r="E1984" s="12">
        <f>SUM($D$19:D1984)</f>
        <v>94.084000000000799</v>
      </c>
      <c r="F1984" s="12">
        <f t="shared" si="277"/>
        <v>950.06848427687896</v>
      </c>
      <c r="G1984" s="12">
        <f t="shared" si="278"/>
        <v>479.42553404449501</v>
      </c>
      <c r="H1984" s="12">
        <f t="shared" si="284"/>
        <v>3420200</v>
      </c>
      <c r="I1984" s="12">
        <f t="shared" si="285"/>
        <v>1725900</v>
      </c>
      <c r="J1984" s="12">
        <f>IF(A1984&lt;[3]关卡对接!$A$4,INDEX([3]关卡对接!$C$7:$C$141,A1984),MATCH(E1984,人物经验!$H$24:$H$573,1))</f>
        <v>550</v>
      </c>
      <c r="K1984" s="12">
        <f>IF([3]关卡对接!F1972="",INT(INDEX(人物经验!$J$24:$J$573,关卡!J1984)*关卡!$S$7),[3]关卡对接!F1972)</f>
        <v>53960</v>
      </c>
      <c r="L1984" s="12">
        <f t="shared" si="281"/>
        <v>2.8</v>
      </c>
      <c r="M1984" s="12">
        <f>L1984/[4]货币基础!$B$4</f>
        <v>280</v>
      </c>
      <c r="N1984" s="12">
        <f>IF(A1984&lt;[3]关卡对接!$A$4,INDEX([3]关卡对接!$E$7:$E$141,A1984),MATCH(E1984,人物经验!$H$24:$H$573,1))</f>
        <v>550</v>
      </c>
      <c r="O1984" s="12">
        <f>INDEX([2]关卡!$G$6:$G$2005,A1984)</f>
        <v>3</v>
      </c>
      <c r="P1984" s="13">
        <v>6</v>
      </c>
      <c r="Q1984" s="12">
        <f>INT(P1984/$S$15/O1984*VLOOKUP(J1984,[1]人物技能基础!$N$3:$O$553,2,0)*$U$15)</f>
        <v>9</v>
      </c>
      <c r="R1984" s="12">
        <f t="shared" si="282"/>
        <v>112</v>
      </c>
    </row>
    <row r="1985" spans="1:18" x14ac:dyDescent="0.15">
      <c r="A1985" s="12">
        <v>1967</v>
      </c>
      <c r="B1985" s="12">
        <f t="shared" si="279"/>
        <v>10</v>
      </c>
      <c r="C1985" s="12">
        <f t="shared" si="280"/>
        <v>29.057999999999996</v>
      </c>
      <c r="D1985" s="12">
        <f t="shared" si="283"/>
        <v>0.17399999999999949</v>
      </c>
      <c r="E1985" s="12">
        <f>SUM($D$19:D1985)</f>
        <v>94.258000000000806</v>
      </c>
      <c r="F1985" s="12">
        <f t="shared" si="277"/>
        <v>951.50875400490509</v>
      </c>
      <c r="G1985" s="12">
        <f t="shared" si="278"/>
        <v>480.02115871515593</v>
      </c>
      <c r="H1985" s="12">
        <f t="shared" si="284"/>
        <v>3425400</v>
      </c>
      <c r="I1985" s="12">
        <f t="shared" si="285"/>
        <v>1728000</v>
      </c>
      <c r="J1985" s="12">
        <f>IF(A1985&lt;[3]关卡对接!$A$4,INDEX([3]关卡对接!$C$7:$C$141,A1985),MATCH(E1985,人物经验!$H$24:$H$573,1))</f>
        <v>550</v>
      </c>
      <c r="K1985" s="12">
        <f>IF([3]关卡对接!F1973="",INT(INDEX(人物经验!$J$24:$J$573,关卡!J1985)*关卡!$S$7),[3]关卡对接!F1973)</f>
        <v>53960</v>
      </c>
      <c r="L1985" s="12">
        <f t="shared" si="281"/>
        <v>2.8</v>
      </c>
      <c r="M1985" s="12">
        <f>L1985/[4]货币基础!$B$4</f>
        <v>280</v>
      </c>
      <c r="N1985" s="12">
        <f>IF(A1985&lt;[3]关卡对接!$A$4,INDEX([3]关卡对接!$E$7:$E$141,A1985),MATCH(E1985,人物经验!$H$24:$H$573,1))</f>
        <v>550</v>
      </c>
      <c r="O1985" s="12">
        <f>INDEX([2]关卡!$G$6:$G$2005,A1985)</f>
        <v>3</v>
      </c>
      <c r="P1985" s="13">
        <v>6</v>
      </c>
      <c r="Q1985" s="12">
        <f>INT(P1985/$S$15/O1985*VLOOKUP(J1985,[1]人物技能基础!$N$3:$O$553,2,0)*$U$15)</f>
        <v>9</v>
      </c>
      <c r="R1985" s="12">
        <f t="shared" si="282"/>
        <v>112</v>
      </c>
    </row>
    <row r="1986" spans="1:18" x14ac:dyDescent="0.15">
      <c r="A1986" s="12">
        <v>1968</v>
      </c>
      <c r="B1986" s="12">
        <f t="shared" si="279"/>
        <v>10</v>
      </c>
      <c r="C1986" s="12">
        <f t="shared" si="280"/>
        <v>29.231999999999996</v>
      </c>
      <c r="D1986" s="12">
        <f t="shared" si="283"/>
        <v>0.17399999999999949</v>
      </c>
      <c r="E1986" s="12">
        <f>SUM($D$19:D1986)</f>
        <v>94.432000000000812</v>
      </c>
      <c r="F1986" s="12">
        <f t="shared" si="277"/>
        <v>952.95072413286402</v>
      </c>
      <c r="G1986" s="12">
        <f t="shared" si="278"/>
        <v>480.61735534591992</v>
      </c>
      <c r="H1986" s="12">
        <f t="shared" si="284"/>
        <v>3430600</v>
      </c>
      <c r="I1986" s="12">
        <f t="shared" si="285"/>
        <v>1730200</v>
      </c>
      <c r="J1986" s="12">
        <f>IF(A1986&lt;[3]关卡对接!$A$4,INDEX([3]关卡对接!$C$7:$C$141,A1986),MATCH(E1986,人物经验!$H$24:$H$573,1))</f>
        <v>550</v>
      </c>
      <c r="K1986" s="12">
        <f>IF([3]关卡对接!F1974="",INT(INDEX(人物经验!$J$24:$J$573,关卡!J1986)*关卡!$S$7),[3]关卡对接!F1974)</f>
        <v>53960</v>
      </c>
      <c r="L1986" s="12">
        <f t="shared" si="281"/>
        <v>2.8</v>
      </c>
      <c r="M1986" s="12">
        <f>L1986/[4]货币基础!$B$4</f>
        <v>280</v>
      </c>
      <c r="N1986" s="12">
        <f>IF(A1986&lt;[3]关卡对接!$A$4,INDEX([3]关卡对接!$E$7:$E$141,A1986),MATCH(E1986,人物经验!$H$24:$H$573,1))</f>
        <v>550</v>
      </c>
      <c r="O1986" s="12">
        <f>INDEX([2]关卡!$G$6:$G$2005,A1986)</f>
        <v>3</v>
      </c>
      <c r="P1986" s="13">
        <v>6</v>
      </c>
      <c r="Q1986" s="12">
        <f>INT(P1986/$S$15/O1986*VLOOKUP(J1986,[1]人物技能基础!$N$3:$O$553,2,0)*$U$15)</f>
        <v>9</v>
      </c>
      <c r="R1986" s="12">
        <f t="shared" si="282"/>
        <v>112</v>
      </c>
    </row>
    <row r="1987" spans="1:18" x14ac:dyDescent="0.15">
      <c r="A1987" s="12">
        <v>1969</v>
      </c>
      <c r="B1987" s="12">
        <f t="shared" si="279"/>
        <v>10</v>
      </c>
      <c r="C1987" s="12">
        <f t="shared" si="280"/>
        <v>29.405999999999995</v>
      </c>
      <c r="D1987" s="12">
        <f t="shared" si="283"/>
        <v>0.17399999999999949</v>
      </c>
      <c r="E1987" s="12">
        <f>SUM($D$19:D1987)</f>
        <v>94.606000000000819</v>
      </c>
      <c r="F1987" s="12">
        <f t="shared" si="277"/>
        <v>954.39439606330518</v>
      </c>
      <c r="G1987" s="12">
        <f t="shared" si="278"/>
        <v>481.21412432965599</v>
      </c>
      <c r="H1987" s="12">
        <f t="shared" si="284"/>
        <v>3435800</v>
      </c>
      <c r="I1987" s="12">
        <f t="shared" si="285"/>
        <v>1732300</v>
      </c>
      <c r="J1987" s="12">
        <f>IF(A1987&lt;[3]关卡对接!$A$4,INDEX([3]关卡对接!$C$7:$C$141,A1987),MATCH(E1987,人物经验!$H$24:$H$573,1))</f>
        <v>550</v>
      </c>
      <c r="K1987" s="12">
        <f>IF([3]关卡对接!F1975="",INT(INDEX(人物经验!$J$24:$J$573,关卡!J1987)*关卡!$S$7),[3]关卡对接!F1975)</f>
        <v>53960</v>
      </c>
      <c r="L1987" s="12">
        <f t="shared" si="281"/>
        <v>2.8</v>
      </c>
      <c r="M1987" s="12">
        <f>L1987/[4]货币基础!$B$4</f>
        <v>280</v>
      </c>
      <c r="N1987" s="12">
        <f>IF(A1987&lt;[3]关卡对接!$A$4,INDEX([3]关卡对接!$E$7:$E$141,A1987),MATCH(E1987,人物经验!$H$24:$H$573,1))</f>
        <v>550</v>
      </c>
      <c r="O1987" s="12">
        <f>INDEX([2]关卡!$G$6:$G$2005,A1987)</f>
        <v>3</v>
      </c>
      <c r="P1987" s="13">
        <v>6</v>
      </c>
      <c r="Q1987" s="12">
        <f>INT(P1987/$S$15/O1987*VLOOKUP(J1987,[1]人物技能基础!$N$3:$O$553,2,0)*$U$15)</f>
        <v>9</v>
      </c>
      <c r="R1987" s="12">
        <f t="shared" si="282"/>
        <v>112</v>
      </c>
    </row>
    <row r="1988" spans="1:18" x14ac:dyDescent="0.15">
      <c r="A1988" s="12">
        <v>1970</v>
      </c>
      <c r="B1988" s="12">
        <f t="shared" si="279"/>
        <v>10</v>
      </c>
      <c r="C1988" s="12">
        <f t="shared" si="280"/>
        <v>29.58</v>
      </c>
      <c r="D1988" s="12">
        <f t="shared" si="283"/>
        <v>0.17400000000000304</v>
      </c>
      <c r="E1988" s="12">
        <f>SUM($D$19:D1988)</f>
        <v>94.780000000000825</v>
      </c>
      <c r="F1988" s="12">
        <f t="shared" si="277"/>
        <v>955.83977119937515</v>
      </c>
      <c r="G1988" s="12">
        <f t="shared" si="278"/>
        <v>481.81146605937499</v>
      </c>
      <c r="H1988" s="12">
        <f t="shared" si="284"/>
        <v>3441000</v>
      </c>
      <c r="I1988" s="12">
        <f t="shared" si="285"/>
        <v>1734500</v>
      </c>
      <c r="J1988" s="12">
        <f>IF(A1988&lt;[3]关卡对接!$A$4,INDEX([3]关卡对接!$C$7:$C$141,A1988),MATCH(E1988,人物经验!$H$24:$H$573,1))</f>
        <v>550</v>
      </c>
      <c r="K1988" s="12">
        <f>IF([3]关卡对接!F1976="",INT(INDEX(人物经验!$J$24:$J$573,关卡!J1988)*关卡!$S$7),[3]关卡对接!F1976)</f>
        <v>53960</v>
      </c>
      <c r="L1988" s="12">
        <f t="shared" si="281"/>
        <v>2.8</v>
      </c>
      <c r="M1988" s="12">
        <f>L1988/[4]货币基础!$B$4</f>
        <v>280</v>
      </c>
      <c r="N1988" s="12">
        <f>IF(A1988&lt;[3]关卡对接!$A$4,INDEX([3]关卡对接!$E$7:$E$141,A1988),MATCH(E1988,人物经验!$H$24:$H$573,1))</f>
        <v>550</v>
      </c>
      <c r="O1988" s="12">
        <f>INDEX([2]关卡!$G$6:$G$2005,A1988)</f>
        <v>3</v>
      </c>
      <c r="P1988" s="13">
        <v>6</v>
      </c>
      <c r="Q1988" s="12">
        <f>INT(P1988/$S$15/O1988*VLOOKUP(J1988,[1]人物技能基础!$N$3:$O$553,2,0)*$U$15)</f>
        <v>9</v>
      </c>
      <c r="R1988" s="12">
        <f t="shared" si="282"/>
        <v>112</v>
      </c>
    </row>
    <row r="1989" spans="1:18" x14ac:dyDescent="0.15">
      <c r="A1989" s="12">
        <v>1971</v>
      </c>
      <c r="B1989" s="12">
        <f t="shared" si="279"/>
        <v>10</v>
      </c>
      <c r="C1989" s="12">
        <f t="shared" si="280"/>
        <v>29.753999999999998</v>
      </c>
      <c r="D1989" s="12">
        <f t="shared" si="283"/>
        <v>0.17399999999999949</v>
      </c>
      <c r="E1989" s="12">
        <f>SUM($D$19:D1989)</f>
        <v>94.954000000000832</v>
      </c>
      <c r="F1989" s="12">
        <f t="shared" si="277"/>
        <v>957.28685094482</v>
      </c>
      <c r="G1989" s="12">
        <f t="shared" si="278"/>
        <v>482.40938092823097</v>
      </c>
      <c r="H1989" s="12">
        <f t="shared" si="284"/>
        <v>3446200</v>
      </c>
      <c r="I1989" s="12">
        <f t="shared" si="285"/>
        <v>1736600</v>
      </c>
      <c r="J1989" s="12">
        <f>IF(A1989&lt;[3]关卡对接!$A$4,INDEX([3]关卡对接!$C$7:$C$141,A1989),MATCH(E1989,人物经验!$H$24:$H$573,1))</f>
        <v>550</v>
      </c>
      <c r="K1989" s="12">
        <f>IF([3]关卡对接!F1977="",INT(INDEX(人物经验!$J$24:$J$573,关卡!J1989)*关卡!$S$7),[3]关卡对接!F1977)</f>
        <v>53960</v>
      </c>
      <c r="L1989" s="12">
        <f t="shared" si="281"/>
        <v>2.8</v>
      </c>
      <c r="M1989" s="12">
        <f>L1989/[4]货币基础!$B$4</f>
        <v>280</v>
      </c>
      <c r="N1989" s="12">
        <f>IF(A1989&lt;[3]关卡对接!$A$4,INDEX([3]关卡对接!$E$7:$E$141,A1989),MATCH(E1989,人物经验!$H$24:$H$573,1))</f>
        <v>550</v>
      </c>
      <c r="O1989" s="12">
        <f>INDEX([2]关卡!$G$6:$G$2005,A1989)</f>
        <v>3</v>
      </c>
      <c r="P1989" s="13">
        <v>6</v>
      </c>
      <c r="Q1989" s="12">
        <f>INT(P1989/$S$15/O1989*VLOOKUP(J1989,[1]人物技能基础!$N$3:$O$553,2,0)*$U$15)</f>
        <v>9</v>
      </c>
      <c r="R1989" s="12">
        <f t="shared" si="282"/>
        <v>112</v>
      </c>
    </row>
    <row r="1990" spans="1:18" x14ac:dyDescent="0.15">
      <c r="A1990" s="12">
        <v>1972</v>
      </c>
      <c r="B1990" s="12">
        <f t="shared" si="279"/>
        <v>10</v>
      </c>
      <c r="C1990" s="12">
        <f t="shared" si="280"/>
        <v>29.927999999999997</v>
      </c>
      <c r="D1990" s="12">
        <f t="shared" si="283"/>
        <v>0.17399999999999949</v>
      </c>
      <c r="E1990" s="12">
        <f>SUM($D$19:D1990)</f>
        <v>95.128000000000839</v>
      </c>
      <c r="F1990" s="12">
        <f t="shared" si="277"/>
        <v>958.73563670398391</v>
      </c>
      <c r="G1990" s="12">
        <f t="shared" si="278"/>
        <v>483.00786932951996</v>
      </c>
      <c r="H1990" s="12">
        <f t="shared" si="284"/>
        <v>3451400</v>
      </c>
      <c r="I1990" s="12">
        <f t="shared" si="285"/>
        <v>1738800</v>
      </c>
      <c r="J1990" s="12">
        <f>IF(A1990&lt;[3]关卡对接!$A$4,INDEX([3]关卡对接!$C$7:$C$141,A1990),MATCH(E1990,人物经验!$H$24:$H$573,1))</f>
        <v>550</v>
      </c>
      <c r="K1990" s="12">
        <f>IF([3]关卡对接!F1978="",INT(INDEX(人物经验!$J$24:$J$573,关卡!J1990)*关卡!$S$7),[3]关卡对接!F1978)</f>
        <v>53960</v>
      </c>
      <c r="L1990" s="12">
        <f t="shared" si="281"/>
        <v>2.8</v>
      </c>
      <c r="M1990" s="12">
        <f>L1990/[4]货币基础!$B$4</f>
        <v>280</v>
      </c>
      <c r="N1990" s="12">
        <f>IF(A1990&lt;[3]关卡对接!$A$4,INDEX([3]关卡对接!$E$7:$E$141,A1990),MATCH(E1990,人物经验!$H$24:$H$573,1))</f>
        <v>550</v>
      </c>
      <c r="O1990" s="12">
        <f>INDEX([2]关卡!$G$6:$G$2005,A1990)</f>
        <v>3</v>
      </c>
      <c r="P1990" s="13">
        <v>6</v>
      </c>
      <c r="Q1990" s="12">
        <f>INT(P1990/$S$15/O1990*VLOOKUP(J1990,[1]人物技能基础!$N$3:$O$553,2,0)*$U$15)</f>
        <v>9</v>
      </c>
      <c r="R1990" s="12">
        <f t="shared" si="282"/>
        <v>112</v>
      </c>
    </row>
    <row r="1991" spans="1:18" x14ac:dyDescent="0.15">
      <c r="A1991" s="12">
        <v>1973</v>
      </c>
      <c r="B1991" s="12">
        <f t="shared" si="279"/>
        <v>10</v>
      </c>
      <c r="C1991" s="12">
        <f t="shared" si="280"/>
        <v>30.101999999999997</v>
      </c>
      <c r="D1991" s="12">
        <f t="shared" si="283"/>
        <v>0.17399999999999949</v>
      </c>
      <c r="E1991" s="12">
        <f>SUM($D$19:D1991)</f>
        <v>95.302000000000845</v>
      </c>
      <c r="F1991" s="12">
        <f t="shared" si="277"/>
        <v>960.18612988181019</v>
      </c>
      <c r="G1991" s="12">
        <f t="shared" si="278"/>
        <v>483.60693165668101</v>
      </c>
      <c r="H1991" s="12">
        <f t="shared" si="284"/>
        <v>3456600</v>
      </c>
      <c r="I1991" s="12">
        <f t="shared" si="285"/>
        <v>1740900</v>
      </c>
      <c r="J1991" s="12">
        <f>IF(A1991&lt;[3]关卡对接!$A$4,INDEX([3]关卡对接!$C$7:$C$141,A1991),MATCH(E1991,人物经验!$H$24:$H$573,1))</f>
        <v>550</v>
      </c>
      <c r="K1991" s="12">
        <f>IF([3]关卡对接!F1979="",INT(INDEX(人物经验!$J$24:$J$573,关卡!J1991)*关卡!$S$7),[3]关卡对接!F1979)</f>
        <v>53960</v>
      </c>
      <c r="L1991" s="12">
        <f t="shared" si="281"/>
        <v>2.8</v>
      </c>
      <c r="M1991" s="12">
        <f>L1991/[4]货币基础!$B$4</f>
        <v>280</v>
      </c>
      <c r="N1991" s="12">
        <f>IF(A1991&lt;[3]关卡对接!$A$4,INDEX([3]关卡对接!$E$7:$E$141,A1991),MATCH(E1991,人物经验!$H$24:$H$573,1))</f>
        <v>550</v>
      </c>
      <c r="O1991" s="12">
        <f>INDEX([2]关卡!$G$6:$G$2005,A1991)</f>
        <v>3</v>
      </c>
      <c r="P1991" s="13">
        <v>6</v>
      </c>
      <c r="Q1991" s="12">
        <f>INT(P1991/$S$15/O1991*VLOOKUP(J1991,[1]人物技能基础!$N$3:$O$553,2,0)*$U$15)</f>
        <v>9</v>
      </c>
      <c r="R1991" s="12">
        <f t="shared" si="282"/>
        <v>112</v>
      </c>
    </row>
    <row r="1992" spans="1:18" x14ac:dyDescent="0.15">
      <c r="A1992" s="12">
        <v>1974</v>
      </c>
      <c r="B1992" s="12">
        <f t="shared" si="279"/>
        <v>10</v>
      </c>
      <c r="C1992" s="12">
        <f t="shared" si="280"/>
        <v>30.275999999999996</v>
      </c>
      <c r="D1992" s="12">
        <f t="shared" si="283"/>
        <v>0.17399999999999949</v>
      </c>
      <c r="E1992" s="12">
        <f>SUM($D$19:D1992)</f>
        <v>95.476000000000852</v>
      </c>
      <c r="F1992" s="12">
        <f t="shared" si="277"/>
        <v>961.6383318838391</v>
      </c>
      <c r="G1992" s="12">
        <f t="shared" si="278"/>
        <v>484.20656830329494</v>
      </c>
      <c r="H1992" s="12">
        <f t="shared" si="284"/>
        <v>3461800</v>
      </c>
      <c r="I1992" s="12">
        <f t="shared" si="285"/>
        <v>1743100</v>
      </c>
      <c r="J1992" s="12">
        <f>IF(A1992&lt;[3]关卡对接!$A$4,INDEX([3]关卡对接!$C$7:$C$141,A1992),MATCH(E1992,人物经验!$H$24:$H$573,1))</f>
        <v>550</v>
      </c>
      <c r="K1992" s="12">
        <f>IF([3]关卡对接!F1980="",INT(INDEX(人物经验!$J$24:$J$573,关卡!J1992)*关卡!$S$7),[3]关卡对接!F1980)</f>
        <v>53960</v>
      </c>
      <c r="L1992" s="12">
        <f t="shared" si="281"/>
        <v>2.8</v>
      </c>
      <c r="M1992" s="12">
        <f>L1992/[4]货币基础!$B$4</f>
        <v>280</v>
      </c>
      <c r="N1992" s="12">
        <f>IF(A1992&lt;[3]关卡对接!$A$4,INDEX([3]关卡对接!$E$7:$E$141,A1992),MATCH(E1992,人物经验!$H$24:$H$573,1))</f>
        <v>550</v>
      </c>
      <c r="O1992" s="12">
        <f>INDEX([2]关卡!$G$6:$G$2005,A1992)</f>
        <v>3</v>
      </c>
      <c r="P1992" s="13">
        <v>6</v>
      </c>
      <c r="Q1992" s="12">
        <f>INT(P1992/$S$15/O1992*VLOOKUP(J1992,[1]人物技能基础!$N$3:$O$553,2,0)*$U$15)</f>
        <v>9</v>
      </c>
      <c r="R1992" s="12">
        <f t="shared" si="282"/>
        <v>112</v>
      </c>
    </row>
    <row r="1993" spans="1:18" x14ac:dyDescent="0.15">
      <c r="A1993" s="12">
        <v>1975</v>
      </c>
      <c r="B1993" s="12">
        <f t="shared" si="279"/>
        <v>10</v>
      </c>
      <c r="C1993" s="12">
        <f t="shared" si="280"/>
        <v>30.449999999999996</v>
      </c>
      <c r="D1993" s="12">
        <f t="shared" si="283"/>
        <v>0.17399999999999949</v>
      </c>
      <c r="E1993" s="12">
        <f>SUM($D$19:D1993)</f>
        <v>95.650000000000858</v>
      </c>
      <c r="F1993" s="12">
        <f t="shared" si="277"/>
        <v>963.09224411621096</v>
      </c>
      <c r="G1993" s="12">
        <f t="shared" si="278"/>
        <v>484.80677966308593</v>
      </c>
      <c r="H1993" s="12">
        <f t="shared" si="284"/>
        <v>3467100</v>
      </c>
      <c r="I1993" s="12">
        <f t="shared" si="285"/>
        <v>1745300</v>
      </c>
      <c r="J1993" s="12">
        <f>IF(A1993&lt;[3]关卡对接!$A$4,INDEX([3]关卡对接!$C$7:$C$141,A1993),MATCH(E1993,人物经验!$H$24:$H$573,1))</f>
        <v>550</v>
      </c>
      <c r="K1993" s="12">
        <f>IF([3]关卡对接!F1981="",INT(INDEX(人物经验!$J$24:$J$573,关卡!J1993)*关卡!$S$7),[3]关卡对接!F1981)</f>
        <v>53960</v>
      </c>
      <c r="L1993" s="12">
        <f t="shared" si="281"/>
        <v>2.8</v>
      </c>
      <c r="M1993" s="12">
        <f>L1993/[4]货币基础!$B$4</f>
        <v>280</v>
      </c>
      <c r="N1993" s="12">
        <f>IF(A1993&lt;[3]关卡对接!$A$4,INDEX([3]关卡对接!$E$7:$E$141,A1993),MATCH(E1993,人物经验!$H$24:$H$573,1))</f>
        <v>550</v>
      </c>
      <c r="O1993" s="12">
        <f>INDEX([2]关卡!$G$6:$G$2005,A1993)</f>
        <v>3</v>
      </c>
      <c r="P1993" s="13">
        <v>6</v>
      </c>
      <c r="Q1993" s="12">
        <f>INT(P1993/$S$15/O1993*VLOOKUP(J1993,[1]人物技能基础!$N$3:$O$553,2,0)*$U$15)</f>
        <v>9</v>
      </c>
      <c r="R1993" s="12">
        <f t="shared" si="282"/>
        <v>112</v>
      </c>
    </row>
    <row r="1994" spans="1:18" x14ac:dyDescent="0.15">
      <c r="A1994" s="12">
        <v>1976</v>
      </c>
      <c r="B1994" s="12">
        <f t="shared" si="279"/>
        <v>10</v>
      </c>
      <c r="C1994" s="12">
        <f t="shared" si="280"/>
        <v>30.623999999999999</v>
      </c>
      <c r="D1994" s="12">
        <f t="shared" si="283"/>
        <v>0.17400000000000304</v>
      </c>
      <c r="E1994" s="12">
        <f>SUM($D$19:D1994)</f>
        <v>95.824000000000865</v>
      </c>
      <c r="F1994" s="12">
        <f t="shared" si="277"/>
        <v>964.54786798566397</v>
      </c>
      <c r="G1994" s="12">
        <f t="shared" si="278"/>
        <v>485.40756612991993</v>
      </c>
      <c r="H1994" s="12">
        <f t="shared" si="284"/>
        <v>3472300</v>
      </c>
      <c r="I1994" s="12">
        <f t="shared" si="285"/>
        <v>1747400</v>
      </c>
      <c r="J1994" s="12">
        <f>IF(A1994&lt;[3]关卡对接!$A$4,INDEX([3]关卡对接!$C$7:$C$141,A1994),MATCH(E1994,人物经验!$H$24:$H$573,1))</f>
        <v>550</v>
      </c>
      <c r="K1994" s="12">
        <f>IF([3]关卡对接!F1982="",INT(INDEX(人物经验!$J$24:$J$573,关卡!J1994)*关卡!$S$7),[3]关卡对接!F1982)</f>
        <v>53960</v>
      </c>
      <c r="L1994" s="12">
        <f t="shared" si="281"/>
        <v>2.8</v>
      </c>
      <c r="M1994" s="12">
        <f>L1994/[4]货币基础!$B$4</f>
        <v>280</v>
      </c>
      <c r="N1994" s="12">
        <f>IF(A1994&lt;[3]关卡对接!$A$4,INDEX([3]关卡对接!$E$7:$E$141,A1994),MATCH(E1994,人物经验!$H$24:$H$573,1))</f>
        <v>550</v>
      </c>
      <c r="O1994" s="12">
        <f>INDEX([2]关卡!$G$6:$G$2005,A1994)</f>
        <v>3</v>
      </c>
      <c r="P1994" s="13">
        <v>6</v>
      </c>
      <c r="Q1994" s="12">
        <f>INT(P1994/$S$15/O1994*VLOOKUP(J1994,[1]人物技能基础!$N$3:$O$553,2,0)*$U$15)</f>
        <v>9</v>
      </c>
      <c r="R1994" s="12">
        <f t="shared" si="282"/>
        <v>112</v>
      </c>
    </row>
    <row r="1995" spans="1:18" x14ac:dyDescent="0.15">
      <c r="A1995" s="12">
        <v>1977</v>
      </c>
      <c r="B1995" s="12">
        <f t="shared" si="279"/>
        <v>10</v>
      </c>
      <c r="C1995" s="12">
        <f t="shared" si="280"/>
        <v>30.797999999999998</v>
      </c>
      <c r="D1995" s="12">
        <f t="shared" si="283"/>
        <v>0.17399999999999949</v>
      </c>
      <c r="E1995" s="12">
        <f>SUM($D$19:D1995)</f>
        <v>95.998000000000872</v>
      </c>
      <c r="F1995" s="12">
        <f t="shared" si="277"/>
        <v>966.00520489953499</v>
      </c>
      <c r="G1995" s="12">
        <f t="shared" si="278"/>
        <v>486.00892809780595</v>
      </c>
      <c r="H1995" s="12">
        <f t="shared" si="284"/>
        <v>3477600</v>
      </c>
      <c r="I1995" s="12">
        <f t="shared" si="285"/>
        <v>1749600</v>
      </c>
      <c r="J1995" s="12">
        <f>IF(A1995&lt;[3]关卡对接!$A$4,INDEX([3]关卡对接!$C$7:$C$141,A1995),MATCH(E1995,人物经验!$H$24:$H$573,1))</f>
        <v>550</v>
      </c>
      <c r="K1995" s="12">
        <f>IF([3]关卡对接!F1983="",INT(INDEX(人物经验!$J$24:$J$573,关卡!J1995)*关卡!$S$7),[3]关卡对接!F1983)</f>
        <v>53960</v>
      </c>
      <c r="L1995" s="12">
        <f t="shared" si="281"/>
        <v>2.8</v>
      </c>
      <c r="M1995" s="12">
        <f>L1995/[4]货币基础!$B$4</f>
        <v>280</v>
      </c>
      <c r="N1995" s="12">
        <f>IF(A1995&lt;[3]关卡对接!$A$4,INDEX([3]关卡对接!$E$7:$E$141,A1995),MATCH(E1995,人物经验!$H$24:$H$573,1))</f>
        <v>550</v>
      </c>
      <c r="O1995" s="12">
        <f>INDEX([2]关卡!$G$6:$G$2005,A1995)</f>
        <v>3</v>
      </c>
      <c r="P1995" s="13">
        <v>6</v>
      </c>
      <c r="Q1995" s="12">
        <f>INT(P1995/$S$15/O1995*VLOOKUP(J1995,[1]人物技能基础!$N$3:$O$553,2,0)*$U$15)</f>
        <v>9</v>
      </c>
      <c r="R1995" s="12">
        <f t="shared" si="282"/>
        <v>112</v>
      </c>
    </row>
    <row r="1996" spans="1:18" x14ac:dyDescent="0.15">
      <c r="A1996" s="12">
        <v>1978</v>
      </c>
      <c r="B1996" s="12">
        <f t="shared" si="279"/>
        <v>10</v>
      </c>
      <c r="C1996" s="12">
        <f t="shared" si="280"/>
        <v>30.971999999999998</v>
      </c>
      <c r="D1996" s="12">
        <f t="shared" si="283"/>
        <v>0.17399999999999949</v>
      </c>
      <c r="E1996" s="12">
        <f>SUM($D$19:D1996)</f>
        <v>96.172000000000878</v>
      </c>
      <c r="F1996" s="12">
        <f t="shared" si="277"/>
        <v>967.46425626575899</v>
      </c>
      <c r="G1996" s="12">
        <f t="shared" si="278"/>
        <v>486.6108659608949</v>
      </c>
      <c r="H1996" s="12">
        <f t="shared" si="284"/>
        <v>3482800</v>
      </c>
      <c r="I1996" s="12">
        <f t="shared" si="285"/>
        <v>1751700</v>
      </c>
      <c r="J1996" s="12">
        <f>IF(A1996&lt;[3]关卡对接!$A$4,INDEX([3]关卡对接!$C$7:$C$141,A1996),MATCH(E1996,人物经验!$H$24:$H$573,1))</f>
        <v>550</v>
      </c>
      <c r="K1996" s="12">
        <f>IF([3]关卡对接!F1984="",INT(INDEX(人物经验!$J$24:$J$573,关卡!J1996)*关卡!$S$7),[3]关卡对接!F1984)</f>
        <v>53960</v>
      </c>
      <c r="L1996" s="12">
        <f t="shared" si="281"/>
        <v>2.8</v>
      </c>
      <c r="M1996" s="12">
        <f>L1996/[4]货币基础!$B$4</f>
        <v>280</v>
      </c>
      <c r="N1996" s="12">
        <f>IF(A1996&lt;[3]关卡对接!$A$4,INDEX([3]关卡对接!$E$7:$E$141,A1996),MATCH(E1996,人物经验!$H$24:$H$573,1))</f>
        <v>550</v>
      </c>
      <c r="O1996" s="12">
        <f>INDEX([2]关卡!$G$6:$G$2005,A1996)</f>
        <v>3</v>
      </c>
      <c r="P1996" s="13">
        <v>6</v>
      </c>
      <c r="Q1996" s="12">
        <f>INT(P1996/$S$15/O1996*VLOOKUP(J1996,[1]人物技能基础!$N$3:$O$553,2,0)*$U$15)</f>
        <v>9</v>
      </c>
      <c r="R1996" s="12">
        <f t="shared" si="282"/>
        <v>112</v>
      </c>
    </row>
    <row r="1997" spans="1:18" x14ac:dyDescent="0.15">
      <c r="A1997" s="12">
        <v>1979</v>
      </c>
      <c r="B1997" s="12">
        <f t="shared" si="279"/>
        <v>10</v>
      </c>
      <c r="C1997" s="12">
        <f t="shared" si="280"/>
        <v>31.145999999999997</v>
      </c>
      <c r="D1997" s="12">
        <f t="shared" si="283"/>
        <v>0.17399999999999949</v>
      </c>
      <c r="E1997" s="12">
        <f>SUM($D$19:D1997)</f>
        <v>96.346000000000885</v>
      </c>
      <c r="F1997" s="12">
        <f t="shared" si="277"/>
        <v>968.92502349287008</v>
      </c>
      <c r="G1997" s="12">
        <f t="shared" si="278"/>
        <v>487.21338011348092</v>
      </c>
      <c r="H1997" s="12">
        <f t="shared" si="284"/>
        <v>3488100</v>
      </c>
      <c r="I1997" s="12">
        <f t="shared" si="285"/>
        <v>1753900</v>
      </c>
      <c r="J1997" s="12">
        <f>IF(A1997&lt;[3]关卡对接!$A$4,INDEX([3]关卡对接!$C$7:$C$141,A1997),MATCH(E1997,人物经验!$H$24:$H$573,1))</f>
        <v>550</v>
      </c>
      <c r="K1997" s="12">
        <f>IF([3]关卡对接!F1985="",INT(INDEX(人物经验!$J$24:$J$573,关卡!J1997)*关卡!$S$7),[3]关卡对接!F1985)</f>
        <v>53960</v>
      </c>
      <c r="L1997" s="12">
        <f t="shared" si="281"/>
        <v>2.8</v>
      </c>
      <c r="M1997" s="12">
        <f>L1997/[4]货币基础!$B$4</f>
        <v>280</v>
      </c>
      <c r="N1997" s="12">
        <f>IF(A1997&lt;[3]关卡对接!$A$4,INDEX([3]关卡对接!$E$7:$E$141,A1997),MATCH(E1997,人物经验!$H$24:$H$573,1))</f>
        <v>550</v>
      </c>
      <c r="O1997" s="12">
        <f>INDEX([2]关卡!$G$6:$G$2005,A1997)</f>
        <v>3</v>
      </c>
      <c r="P1997" s="13">
        <v>6</v>
      </c>
      <c r="Q1997" s="12">
        <f>INT(P1997/$S$15/O1997*VLOOKUP(J1997,[1]人物技能基础!$N$3:$O$553,2,0)*$U$15)</f>
        <v>9</v>
      </c>
      <c r="R1997" s="12">
        <f t="shared" si="282"/>
        <v>112</v>
      </c>
    </row>
    <row r="1998" spans="1:18" x14ac:dyDescent="0.15">
      <c r="A1998" s="12">
        <v>1980</v>
      </c>
      <c r="B1998" s="12">
        <f t="shared" si="279"/>
        <v>10</v>
      </c>
      <c r="C1998" s="12">
        <f t="shared" si="280"/>
        <v>31.319999999999997</v>
      </c>
      <c r="D1998" s="12">
        <f t="shared" si="283"/>
        <v>0.17399999999999949</v>
      </c>
      <c r="E1998" s="12">
        <f>SUM($D$19:D1998)</f>
        <v>96.520000000000891</v>
      </c>
      <c r="F1998" s="12">
        <f t="shared" si="277"/>
        <v>970.3875079899999</v>
      </c>
      <c r="G1998" s="12">
        <f t="shared" si="278"/>
        <v>487.81647094999994</v>
      </c>
      <c r="H1998" s="12">
        <f t="shared" si="284"/>
        <v>3493300</v>
      </c>
      <c r="I1998" s="12">
        <f t="shared" si="285"/>
        <v>1756100</v>
      </c>
      <c r="J1998" s="12">
        <f>IF(A1998&lt;[3]关卡对接!$A$4,INDEX([3]关卡对接!$C$7:$C$141,A1998),MATCH(E1998,人物经验!$H$24:$H$573,1))</f>
        <v>550</v>
      </c>
      <c r="K1998" s="12">
        <f>IF([3]关卡对接!F1986="",INT(INDEX(人物经验!$J$24:$J$573,关卡!J1998)*关卡!$S$7),[3]关卡对接!F1986)</f>
        <v>53960</v>
      </c>
      <c r="L1998" s="12">
        <f t="shared" si="281"/>
        <v>2.8</v>
      </c>
      <c r="M1998" s="12">
        <f>L1998/[4]货币基础!$B$4</f>
        <v>280</v>
      </c>
      <c r="N1998" s="12">
        <f>IF(A1998&lt;[3]关卡对接!$A$4,INDEX([3]关卡对接!$E$7:$E$141,A1998),MATCH(E1998,人物经验!$H$24:$H$573,1))</f>
        <v>550</v>
      </c>
      <c r="O1998" s="12">
        <f>INDEX([2]关卡!$G$6:$G$2005,A1998)</f>
        <v>3</v>
      </c>
      <c r="P1998" s="13">
        <v>6</v>
      </c>
      <c r="Q1998" s="12">
        <f>INT(P1998/$S$15/O1998*VLOOKUP(J1998,[1]人物技能基础!$N$3:$O$553,2,0)*$U$15)</f>
        <v>9</v>
      </c>
      <c r="R1998" s="12">
        <f t="shared" si="282"/>
        <v>112</v>
      </c>
    </row>
    <row r="1999" spans="1:18" x14ac:dyDescent="0.15">
      <c r="A1999" s="12">
        <v>1981</v>
      </c>
      <c r="B1999" s="12">
        <f t="shared" si="279"/>
        <v>10</v>
      </c>
      <c r="C1999" s="12">
        <f t="shared" si="280"/>
        <v>31.494</v>
      </c>
      <c r="D1999" s="12">
        <f t="shared" si="283"/>
        <v>0.17400000000000304</v>
      </c>
      <c r="E1999" s="12">
        <f>SUM($D$19:D1999)</f>
        <v>96.694000000000898</v>
      </c>
      <c r="F1999" s="12">
        <f t="shared" si="277"/>
        <v>971.85171116688002</v>
      </c>
      <c r="G1999" s="12">
        <f t="shared" si="278"/>
        <v>488.42013886503099</v>
      </c>
      <c r="H1999" s="12">
        <f t="shared" si="284"/>
        <v>3498600</v>
      </c>
      <c r="I1999" s="12">
        <f t="shared" si="285"/>
        <v>1758300</v>
      </c>
      <c r="J1999" s="12">
        <f>IF(A1999&lt;[3]关卡对接!$A$4,INDEX([3]关卡对接!$C$7:$C$141,A1999),MATCH(E1999,人物经验!$H$24:$H$573,1))</f>
        <v>550</v>
      </c>
      <c r="K1999" s="12">
        <f>IF([3]关卡对接!F1987="",INT(INDEX(人物经验!$J$24:$J$573,关卡!J1999)*关卡!$S$7),[3]关卡对接!F1987)</f>
        <v>53960</v>
      </c>
      <c r="L1999" s="12">
        <f t="shared" si="281"/>
        <v>2.8</v>
      </c>
      <c r="M1999" s="12">
        <f>L1999/[4]货币基础!$B$4</f>
        <v>280</v>
      </c>
      <c r="N1999" s="12">
        <f>IF(A1999&lt;[3]关卡对接!$A$4,INDEX([3]关卡对接!$E$7:$E$141,A1999),MATCH(E1999,人物经验!$H$24:$H$573,1))</f>
        <v>550</v>
      </c>
      <c r="O1999" s="12">
        <f>INDEX([2]关卡!$G$6:$G$2005,A1999)</f>
        <v>3</v>
      </c>
      <c r="P1999" s="13">
        <v>6</v>
      </c>
      <c r="Q1999" s="12">
        <f>INT(P1999/$S$15/O1999*VLOOKUP(J1999,[1]人物技能基础!$N$3:$O$553,2,0)*$U$15)</f>
        <v>9</v>
      </c>
      <c r="R1999" s="12">
        <f t="shared" si="282"/>
        <v>112</v>
      </c>
    </row>
    <row r="2000" spans="1:18" x14ac:dyDescent="0.15">
      <c r="A2000" s="12">
        <v>1982</v>
      </c>
      <c r="B2000" s="12">
        <f t="shared" si="279"/>
        <v>10</v>
      </c>
      <c r="C2000" s="12">
        <f t="shared" si="280"/>
        <v>31.667999999999999</v>
      </c>
      <c r="D2000" s="12">
        <f t="shared" si="283"/>
        <v>0.17399999999999949</v>
      </c>
      <c r="E2000" s="12">
        <f>SUM($D$19:D2000)</f>
        <v>96.868000000000904</v>
      </c>
      <c r="F2000" s="12">
        <f t="shared" si="277"/>
        <v>973.31763443383898</v>
      </c>
      <c r="G2000" s="12">
        <f t="shared" si="278"/>
        <v>489.02438425329495</v>
      </c>
      <c r="H2000" s="12">
        <f t="shared" si="284"/>
        <v>3503900</v>
      </c>
      <c r="I2000" s="12">
        <f t="shared" si="285"/>
        <v>1760400</v>
      </c>
      <c r="J2000" s="12">
        <f>IF(A2000&lt;[3]关卡对接!$A$4,INDEX([3]关卡对接!$C$7:$C$141,A2000),MATCH(E2000,人物经验!$H$24:$H$573,1))</f>
        <v>550</v>
      </c>
      <c r="K2000" s="12">
        <f>IF([3]关卡对接!F1988="",INT(INDEX(人物经验!$J$24:$J$573,关卡!J2000)*关卡!$S$7),[3]关卡对接!F1988)</f>
        <v>53960</v>
      </c>
      <c r="L2000" s="12">
        <f t="shared" si="281"/>
        <v>2.8</v>
      </c>
      <c r="M2000" s="12">
        <f>L2000/[4]货币基础!$B$4</f>
        <v>280</v>
      </c>
      <c r="N2000" s="12">
        <f>IF(A2000&lt;[3]关卡对接!$A$4,INDEX([3]关卡对接!$E$7:$E$141,A2000),MATCH(E2000,人物经验!$H$24:$H$573,1))</f>
        <v>550</v>
      </c>
      <c r="O2000" s="12">
        <f>INDEX([2]关卡!$G$6:$G$2005,A2000)</f>
        <v>3</v>
      </c>
      <c r="P2000" s="13">
        <v>6</v>
      </c>
      <c r="Q2000" s="12">
        <f>INT(P2000/$S$15/O2000*VLOOKUP(J2000,[1]人物技能基础!$N$3:$O$553,2,0)*$U$15)</f>
        <v>9</v>
      </c>
      <c r="R2000" s="12">
        <f t="shared" si="282"/>
        <v>112</v>
      </c>
    </row>
    <row r="2001" spans="1:18" x14ac:dyDescent="0.15">
      <c r="A2001" s="12">
        <v>1983</v>
      </c>
      <c r="B2001" s="12">
        <f t="shared" si="279"/>
        <v>10</v>
      </c>
      <c r="C2001" s="12">
        <f t="shared" si="280"/>
        <v>31.841999999999999</v>
      </c>
      <c r="D2001" s="12">
        <f t="shared" si="283"/>
        <v>0.17399999999999949</v>
      </c>
      <c r="E2001" s="12">
        <f>SUM($D$19:D2001)</f>
        <v>97.042000000000911</v>
      </c>
      <c r="F2001" s="12">
        <f t="shared" si="277"/>
        <v>974.78527920180511</v>
      </c>
      <c r="G2001" s="12">
        <f t="shared" si="278"/>
        <v>489.62920750965594</v>
      </c>
      <c r="H2001" s="12">
        <f t="shared" si="284"/>
        <v>3509200</v>
      </c>
      <c r="I2001" s="12">
        <f t="shared" si="285"/>
        <v>1762600</v>
      </c>
      <c r="J2001" s="12">
        <f>IF(A2001&lt;[3]关卡对接!$A$4,INDEX([3]关卡对接!$C$7:$C$141,A2001),MATCH(E2001,人物经验!$H$24:$H$573,1))</f>
        <v>550</v>
      </c>
      <c r="K2001" s="12">
        <f>IF([3]关卡对接!F1989="",INT(INDEX(人物经验!$J$24:$J$573,关卡!J2001)*关卡!$S$7),[3]关卡对接!F1989)</f>
        <v>53960</v>
      </c>
      <c r="L2001" s="12">
        <f t="shared" si="281"/>
        <v>2.8</v>
      </c>
      <c r="M2001" s="12">
        <f>L2001/[4]货币基础!$B$4</f>
        <v>280</v>
      </c>
      <c r="N2001" s="12">
        <f>IF(A2001&lt;[3]关卡对接!$A$4,INDEX([3]关卡对接!$E$7:$E$141,A2001),MATCH(E2001,人物经验!$H$24:$H$573,1))</f>
        <v>550</v>
      </c>
      <c r="O2001" s="12">
        <f>INDEX([2]关卡!$G$6:$G$2005,A2001)</f>
        <v>3</v>
      </c>
      <c r="P2001" s="13">
        <v>6</v>
      </c>
      <c r="Q2001" s="12">
        <f>INT(P2001/$S$15/O2001*VLOOKUP(J2001,[1]人物技能基础!$N$3:$O$553,2,0)*$U$15)</f>
        <v>9</v>
      </c>
      <c r="R2001" s="12">
        <f t="shared" si="282"/>
        <v>112</v>
      </c>
    </row>
    <row r="2002" spans="1:18" x14ac:dyDescent="0.15">
      <c r="A2002" s="12">
        <v>1984</v>
      </c>
      <c r="B2002" s="12">
        <f t="shared" si="279"/>
        <v>10</v>
      </c>
      <c r="C2002" s="12">
        <f t="shared" si="280"/>
        <v>32.015999999999998</v>
      </c>
      <c r="D2002" s="12">
        <f t="shared" si="283"/>
        <v>0.17399999999999949</v>
      </c>
      <c r="E2002" s="12">
        <f>SUM($D$19:D2002)</f>
        <v>97.216000000000918</v>
      </c>
      <c r="F2002" s="12">
        <f t="shared" si="277"/>
        <v>976.25464688230386</v>
      </c>
      <c r="G2002" s="12">
        <f t="shared" si="278"/>
        <v>490.23460902911989</v>
      </c>
      <c r="H2002" s="12">
        <f t="shared" si="284"/>
        <v>3514500</v>
      </c>
      <c r="I2002" s="12">
        <f t="shared" si="285"/>
        <v>1764800</v>
      </c>
      <c r="J2002" s="12">
        <f>IF(A2002&lt;[3]关卡对接!$A$4,INDEX([3]关卡对接!$C$7:$C$141,A2002),MATCH(E2002,人物经验!$H$24:$H$573,1))</f>
        <v>550</v>
      </c>
      <c r="K2002" s="12">
        <f>IF([3]关卡对接!F1990="",INT(INDEX(人物经验!$J$24:$J$573,关卡!J2002)*关卡!$S$7),[3]关卡对接!F1990)</f>
        <v>53960</v>
      </c>
      <c r="L2002" s="12">
        <f t="shared" si="281"/>
        <v>2.8</v>
      </c>
      <c r="M2002" s="12">
        <f>L2002/[4]货币基础!$B$4</f>
        <v>280</v>
      </c>
      <c r="N2002" s="12">
        <f>IF(A2002&lt;[3]关卡对接!$A$4,INDEX([3]关卡对接!$E$7:$E$141,A2002),MATCH(E2002,人物经验!$H$24:$H$573,1))</f>
        <v>550</v>
      </c>
      <c r="O2002" s="12">
        <f>INDEX([2]关卡!$G$6:$G$2005,A2002)</f>
        <v>3</v>
      </c>
      <c r="P2002" s="13">
        <v>6</v>
      </c>
      <c r="Q2002" s="12">
        <f>INT(P2002/$S$15/O2002*VLOOKUP(J2002,[1]人物技能基础!$N$3:$O$553,2,0)*$U$15)</f>
        <v>9</v>
      </c>
      <c r="R2002" s="12">
        <f t="shared" si="282"/>
        <v>112</v>
      </c>
    </row>
    <row r="2003" spans="1:18" x14ac:dyDescent="0.15">
      <c r="A2003" s="12">
        <v>1985</v>
      </c>
      <c r="B2003" s="12">
        <f t="shared" si="279"/>
        <v>10</v>
      </c>
      <c r="C2003" s="12">
        <f t="shared" si="280"/>
        <v>32.19</v>
      </c>
      <c r="D2003" s="12">
        <f t="shared" si="283"/>
        <v>0.17399999999999949</v>
      </c>
      <c r="E2003" s="12">
        <f>SUM($D$19:D2003)</f>
        <v>97.390000000000924</v>
      </c>
      <c r="F2003" s="12">
        <f t="shared" ref="F2003:F2018" si="286">$L$7*($M$7+$N$7*($A2003/$B$3)^1+$O$7*($A2003/$B$3)^2+$P$7*($A2003/$B$3)^3+$Q$7*($A2003/$B$3)^4)</f>
        <v>977.72573888746115</v>
      </c>
      <c r="G2003" s="12">
        <f t="shared" ref="G2003:G2018" si="287">$L$11*($M$11+$N$11*($A2003/$B$3)^1+$O$11*($A2003/$B$3)^2+$P$11*($A2003/$B$3)^3+$Q$11*($A2003/$B$3)^4)</f>
        <v>490.840589206836</v>
      </c>
      <c r="H2003" s="12">
        <f t="shared" si="284"/>
        <v>3519800</v>
      </c>
      <c r="I2003" s="12">
        <f t="shared" si="285"/>
        <v>1767000</v>
      </c>
      <c r="J2003" s="12">
        <f>IF(A2003&lt;[3]关卡对接!$A$4,INDEX([3]关卡对接!$C$7:$C$141,A2003),MATCH(E2003,人物经验!$H$24:$H$573,1))</f>
        <v>550</v>
      </c>
      <c r="K2003" s="12">
        <f>IF([3]关卡对接!F1991="",INT(INDEX(人物经验!$J$24:$J$573,关卡!J2003)*关卡!$S$7),[3]关卡对接!F1991)</f>
        <v>53960</v>
      </c>
      <c r="L2003" s="12">
        <f t="shared" si="281"/>
        <v>2.8</v>
      </c>
      <c r="M2003" s="12">
        <f>L2003/[4]货币基础!$B$4</f>
        <v>280</v>
      </c>
      <c r="N2003" s="12">
        <f>IF(A2003&lt;[3]关卡对接!$A$4,INDEX([3]关卡对接!$E$7:$E$141,A2003),MATCH(E2003,人物经验!$H$24:$H$573,1))</f>
        <v>550</v>
      </c>
      <c r="O2003" s="12">
        <f>INDEX([2]关卡!$G$6:$G$2005,A2003)</f>
        <v>3</v>
      </c>
      <c r="P2003" s="13">
        <v>6</v>
      </c>
      <c r="Q2003" s="12">
        <f>INT(P2003/$S$15/O2003*VLOOKUP(J2003,[1]人物技能基础!$N$3:$O$553,2,0)*$U$15)</f>
        <v>9</v>
      </c>
      <c r="R2003" s="12">
        <f t="shared" si="282"/>
        <v>112</v>
      </c>
    </row>
    <row r="2004" spans="1:18" x14ac:dyDescent="0.15">
      <c r="A2004" s="12">
        <v>1986</v>
      </c>
      <c r="B2004" s="12">
        <f t="shared" ref="B2004:B2018" si="288">MATCH($A2004,$A$5:$A$15,1)-1</f>
        <v>10</v>
      </c>
      <c r="C2004" s="12">
        <f t="shared" ref="C2004:C2018" si="289">INDEX($C$5:$C$15,$B2004+1)*(INDEX($E$5:$E$15,$B2004+1)+INDEX($F$5:$F$15,$B2004+1)*(($A2004-INDEX($A$5:$A$15,$B2004+1)+1)/(INDEX($B$5:$B$15,$B2004+1)-INDEX($A$5:$A$15,$B2004+1)+1))^1+INDEX($G$5:$G$15,$B2004+1)*(($A2004-INDEX($A$5:$A$15,$B2004+1)+1)/(INDEX($B$5:$B$15,$B2004+1)-INDEX($A$5:$A$15,$B2004+1)+1))^2+INDEX($H$5:$H$15,$B2004+1)*(($A2004-INDEX($A$5:$A$15,$B2004+1)+1)/(INDEX($B$5:$B$15,$B2004+1)-INDEX($A$5:$A$15,$B2004+1)+1))^3+INDEX($I$5:$I$15,$B2004+1)*(($A2004-INDEX($A$5:$A$15,$B2004+1)+1)/(INDEX($B$5:$B$15,$B2004+1)-INDEX($A$5:$A$15,$B2004+1)+1))^4)</f>
        <v>32.363999999999997</v>
      </c>
      <c r="D2004" s="12">
        <f t="shared" si="283"/>
        <v>0.17399999999999949</v>
      </c>
      <c r="E2004" s="12">
        <f>SUM($D$19:D2004)</f>
        <v>97.564000000000931</v>
      </c>
      <c r="F2004" s="12">
        <f t="shared" si="286"/>
        <v>979.19855662999896</v>
      </c>
      <c r="G2004" s="12">
        <f t="shared" si="287"/>
        <v>491.44714843809493</v>
      </c>
      <c r="H2004" s="12">
        <f t="shared" si="284"/>
        <v>3525100</v>
      </c>
      <c r="I2004" s="12">
        <f t="shared" si="285"/>
        <v>1769200</v>
      </c>
      <c r="J2004" s="12">
        <f>IF(A2004&lt;[3]关卡对接!$A$4,INDEX([3]关卡对接!$C$7:$C$141,A2004),MATCH(E2004,人物经验!$H$24:$H$573,1))</f>
        <v>550</v>
      </c>
      <c r="K2004" s="12">
        <f>IF([3]关卡对接!F1992="",INT(INDEX(人物经验!$J$24:$J$573,关卡!J2004)*关卡!$S$7),[3]关卡对接!F1992)</f>
        <v>53960</v>
      </c>
      <c r="L2004" s="12">
        <f t="shared" ref="L2004:L2018" si="290">VLOOKUP(A2004,$A$5:$J$15,10,1)</f>
        <v>2.8</v>
      </c>
      <c r="M2004" s="12">
        <f>L2004/[4]货币基础!$B$4</f>
        <v>280</v>
      </c>
      <c r="N2004" s="12">
        <f>IF(A2004&lt;[3]关卡对接!$A$4,INDEX([3]关卡对接!$E$7:$E$141,A2004),MATCH(E2004,人物经验!$H$24:$H$573,1))</f>
        <v>550</v>
      </c>
      <c r="O2004" s="12">
        <f>INDEX([2]关卡!$G$6:$G$2005,A2004)</f>
        <v>3</v>
      </c>
      <c r="P2004" s="13">
        <v>6</v>
      </c>
      <c r="Q2004" s="12">
        <f>INT(P2004/$S$15/O2004*VLOOKUP(J2004,[1]人物技能基础!$N$3:$O$553,2,0)*$U$15)</f>
        <v>9</v>
      </c>
      <c r="R2004" s="12">
        <f t="shared" ref="R2004:R2018" si="291">INT(Q2004*12.5)</f>
        <v>112</v>
      </c>
    </row>
    <row r="2005" spans="1:18" x14ac:dyDescent="0.15">
      <c r="A2005" s="12">
        <v>1987</v>
      </c>
      <c r="B2005" s="12">
        <f t="shared" si="288"/>
        <v>10</v>
      </c>
      <c r="C2005" s="12">
        <f t="shared" si="289"/>
        <v>32.537999999999997</v>
      </c>
      <c r="D2005" s="12">
        <f t="shared" si="283"/>
        <v>0.17399999999999949</v>
      </c>
      <c r="E2005" s="12">
        <f>SUM($D$19:D2005)</f>
        <v>97.738000000000937</v>
      </c>
      <c r="F2005" s="12">
        <f t="shared" si="286"/>
        <v>980.67310152324012</v>
      </c>
      <c r="G2005" s="12">
        <f t="shared" si="287"/>
        <v>492.05428711833099</v>
      </c>
      <c r="H2005" s="12">
        <f t="shared" si="284"/>
        <v>3530400</v>
      </c>
      <c r="I2005" s="12">
        <f t="shared" si="285"/>
        <v>1771300</v>
      </c>
      <c r="J2005" s="12">
        <f>IF(A2005&lt;[3]关卡对接!$A$4,INDEX([3]关卡对接!$C$7:$C$141,A2005),MATCH(E2005,人物经验!$H$24:$H$573,1))</f>
        <v>550</v>
      </c>
      <c r="K2005" s="12">
        <f>IF([3]关卡对接!F1993="",INT(INDEX(人物经验!$J$24:$J$573,关卡!J2005)*关卡!$S$7),[3]关卡对接!F1993)</f>
        <v>53960</v>
      </c>
      <c r="L2005" s="12">
        <f t="shared" si="290"/>
        <v>2.8</v>
      </c>
      <c r="M2005" s="12">
        <f>L2005/[4]货币基础!$B$4</f>
        <v>280</v>
      </c>
      <c r="N2005" s="12">
        <f>IF(A2005&lt;[3]关卡对接!$A$4,INDEX([3]关卡对接!$E$7:$E$141,A2005),MATCH(E2005,人物经验!$H$24:$H$573,1))</f>
        <v>550</v>
      </c>
      <c r="O2005" s="12">
        <f>INDEX([2]关卡!$G$6:$G$2005,A2005)</f>
        <v>3</v>
      </c>
      <c r="P2005" s="13">
        <v>6</v>
      </c>
      <c r="Q2005" s="12">
        <f>INT(P2005/$S$15/O2005*VLOOKUP(J2005,[1]人物技能基础!$N$3:$O$553,2,0)*$U$15)</f>
        <v>9</v>
      </c>
      <c r="R2005" s="12">
        <f t="shared" si="291"/>
        <v>112</v>
      </c>
    </row>
    <row r="2006" spans="1:18" x14ac:dyDescent="0.15">
      <c r="A2006" s="12">
        <v>1988</v>
      </c>
      <c r="B2006" s="12">
        <f t="shared" si="288"/>
        <v>10</v>
      </c>
      <c r="C2006" s="12">
        <f t="shared" si="289"/>
        <v>32.711999999999996</v>
      </c>
      <c r="D2006" s="12">
        <f t="shared" si="283"/>
        <v>0.17399999999999949</v>
      </c>
      <c r="E2006" s="12">
        <f>SUM($D$19:D2006)</f>
        <v>97.912000000000944</v>
      </c>
      <c r="F2006" s="12">
        <f t="shared" si="286"/>
        <v>982.14937498110407</v>
      </c>
      <c r="G2006" s="12">
        <f t="shared" si="287"/>
        <v>492.66200564311998</v>
      </c>
      <c r="H2006" s="12">
        <f t="shared" si="284"/>
        <v>3535700</v>
      </c>
      <c r="I2006" s="12">
        <f t="shared" si="285"/>
        <v>1773500</v>
      </c>
      <c r="J2006" s="12">
        <f>IF(A2006&lt;[3]关卡对接!$A$4,INDEX([3]关卡对接!$C$7:$C$141,A2006),MATCH(E2006,人物经验!$H$24:$H$573,1))</f>
        <v>550</v>
      </c>
      <c r="K2006" s="12">
        <f>IF([3]关卡对接!F1994="",INT(INDEX(人物经验!$J$24:$J$573,关卡!J2006)*关卡!$S$7),[3]关卡对接!F1994)</f>
        <v>53960</v>
      </c>
      <c r="L2006" s="12">
        <f t="shared" si="290"/>
        <v>2.8</v>
      </c>
      <c r="M2006" s="12">
        <f>L2006/[4]货币基础!$B$4</f>
        <v>280</v>
      </c>
      <c r="N2006" s="12">
        <f>IF(A2006&lt;[3]关卡对接!$A$4,INDEX([3]关卡对接!$E$7:$E$141,A2006),MATCH(E2006,人物经验!$H$24:$H$573,1))</f>
        <v>550</v>
      </c>
      <c r="O2006" s="12">
        <f>INDEX([2]关卡!$G$6:$G$2005,A2006)</f>
        <v>3</v>
      </c>
      <c r="P2006" s="13">
        <v>6</v>
      </c>
      <c r="Q2006" s="12">
        <f>INT(P2006/$S$15/O2006*VLOOKUP(J2006,[1]人物技能基础!$N$3:$O$553,2,0)*$U$15)</f>
        <v>9</v>
      </c>
      <c r="R2006" s="12">
        <f t="shared" si="291"/>
        <v>112</v>
      </c>
    </row>
    <row r="2007" spans="1:18" x14ac:dyDescent="0.15">
      <c r="A2007" s="12">
        <v>1989</v>
      </c>
      <c r="B2007" s="12">
        <f t="shared" si="288"/>
        <v>10</v>
      </c>
      <c r="C2007" s="12">
        <f t="shared" si="289"/>
        <v>32.885999999999996</v>
      </c>
      <c r="D2007" s="12">
        <f t="shared" si="283"/>
        <v>0.17399999999999949</v>
      </c>
      <c r="E2007" s="12">
        <f>SUM($D$19:D2007)</f>
        <v>98.086000000000951</v>
      </c>
      <c r="F2007" s="12">
        <f t="shared" si="286"/>
        <v>983.6273784181102</v>
      </c>
      <c r="G2007" s="12">
        <f t="shared" si="287"/>
        <v>493.270304408181</v>
      </c>
      <c r="H2007" s="12">
        <f t="shared" si="284"/>
        <v>3541000</v>
      </c>
      <c r="I2007" s="12">
        <f t="shared" si="285"/>
        <v>1775700</v>
      </c>
      <c r="J2007" s="12">
        <f>IF(A2007&lt;[3]关卡对接!$A$4,INDEX([3]关卡对接!$C$7:$C$141,A2007),MATCH(E2007,人物经验!$H$24:$H$573,1))</f>
        <v>550</v>
      </c>
      <c r="K2007" s="12">
        <f>IF([3]关卡对接!F1995="",INT(INDEX(人物经验!$J$24:$J$573,关卡!J2007)*关卡!$S$7),[3]关卡对接!F1995)</f>
        <v>53960</v>
      </c>
      <c r="L2007" s="12">
        <f t="shared" si="290"/>
        <v>2.8</v>
      </c>
      <c r="M2007" s="12">
        <f>L2007/[4]货币基础!$B$4</f>
        <v>280</v>
      </c>
      <c r="N2007" s="12">
        <f>IF(A2007&lt;[3]关卡对接!$A$4,INDEX([3]关卡对接!$E$7:$E$141,A2007),MATCH(E2007,人物经验!$H$24:$H$573,1))</f>
        <v>550</v>
      </c>
      <c r="O2007" s="12">
        <f>INDEX([2]关卡!$G$6:$G$2005,A2007)</f>
        <v>3</v>
      </c>
      <c r="P2007" s="13">
        <v>6</v>
      </c>
      <c r="Q2007" s="12">
        <f>INT(P2007/$S$15/O2007*VLOOKUP(J2007,[1]人物技能基础!$N$3:$O$553,2,0)*$U$15)</f>
        <v>9</v>
      </c>
      <c r="R2007" s="12">
        <f t="shared" si="291"/>
        <v>112</v>
      </c>
    </row>
    <row r="2008" spans="1:18" x14ac:dyDescent="0.15">
      <c r="A2008" s="12">
        <v>1990</v>
      </c>
      <c r="B2008" s="12">
        <f t="shared" si="288"/>
        <v>10</v>
      </c>
      <c r="C2008" s="12">
        <f t="shared" si="289"/>
        <v>33.059999999999995</v>
      </c>
      <c r="D2008" s="12">
        <f t="shared" si="283"/>
        <v>0.17399999999999949</v>
      </c>
      <c r="E2008" s="12">
        <f>SUM($D$19:D2008)</f>
        <v>98.260000000000957</v>
      </c>
      <c r="F2008" s="12">
        <f t="shared" si="286"/>
        <v>985.10711324937495</v>
      </c>
      <c r="G2008" s="12">
        <f t="shared" si="287"/>
        <v>493.87918380937492</v>
      </c>
      <c r="H2008" s="12">
        <f t="shared" si="284"/>
        <v>3546300</v>
      </c>
      <c r="I2008" s="12">
        <f t="shared" si="285"/>
        <v>1777900</v>
      </c>
      <c r="J2008" s="12">
        <f>IF(A2008&lt;[3]关卡对接!$A$4,INDEX([3]关卡对接!$C$7:$C$141,A2008),MATCH(E2008,人物经验!$H$24:$H$573,1))</f>
        <v>550</v>
      </c>
      <c r="K2008" s="12">
        <f>IF([3]关卡对接!F1996="",INT(INDEX(人物经验!$J$24:$J$573,关卡!J2008)*关卡!$S$7),[3]关卡对接!F1996)</f>
        <v>53960</v>
      </c>
      <c r="L2008" s="12">
        <f t="shared" si="290"/>
        <v>2.8</v>
      </c>
      <c r="M2008" s="12">
        <f>L2008/[4]货币基础!$B$4</f>
        <v>280</v>
      </c>
      <c r="N2008" s="12">
        <f>IF(A2008&lt;[3]关卡对接!$A$4,INDEX([3]关卡对接!$E$7:$E$141,A2008),MATCH(E2008,人物经验!$H$24:$H$573,1))</f>
        <v>550</v>
      </c>
      <c r="O2008" s="12">
        <f>INDEX([2]关卡!$G$6:$G$2005,A2008)</f>
        <v>3</v>
      </c>
      <c r="P2008" s="13">
        <v>6</v>
      </c>
      <c r="Q2008" s="12">
        <f>INT(P2008/$S$15/O2008*VLOOKUP(J2008,[1]人物技能基础!$N$3:$O$553,2,0)*$U$15)</f>
        <v>9</v>
      </c>
      <c r="R2008" s="12">
        <f t="shared" si="291"/>
        <v>112</v>
      </c>
    </row>
    <row r="2009" spans="1:18" x14ac:dyDescent="0.15">
      <c r="A2009" s="12">
        <v>1991</v>
      </c>
      <c r="B2009" s="12">
        <f t="shared" si="288"/>
        <v>10</v>
      </c>
      <c r="C2009" s="12">
        <f t="shared" si="289"/>
        <v>33.233999999999995</v>
      </c>
      <c r="D2009" s="12">
        <f t="shared" si="283"/>
        <v>0.17399999999999949</v>
      </c>
      <c r="E2009" s="12">
        <f>SUM($D$19:D2009)</f>
        <v>98.434000000000964</v>
      </c>
      <c r="F2009" s="12">
        <f t="shared" si="286"/>
        <v>986.58858089061516</v>
      </c>
      <c r="G2009" s="12">
        <f t="shared" si="287"/>
        <v>494.48864424270602</v>
      </c>
      <c r="H2009" s="12">
        <f t="shared" si="284"/>
        <v>3551700</v>
      </c>
      <c r="I2009" s="12">
        <f t="shared" si="285"/>
        <v>1780100</v>
      </c>
      <c r="J2009" s="12">
        <f>IF(A2009&lt;[3]关卡对接!$A$4,INDEX([3]关卡对接!$C$7:$C$141,A2009),MATCH(E2009,人物经验!$H$24:$H$573,1))</f>
        <v>550</v>
      </c>
      <c r="K2009" s="12">
        <f>IF([3]关卡对接!F1997="",INT(INDEX(人物经验!$J$24:$J$573,关卡!J2009)*关卡!$S$7),[3]关卡对接!F1997)</f>
        <v>53960</v>
      </c>
      <c r="L2009" s="12">
        <f t="shared" si="290"/>
        <v>2.8</v>
      </c>
      <c r="M2009" s="12">
        <f>L2009/[4]货币基础!$B$4</f>
        <v>280</v>
      </c>
      <c r="N2009" s="12">
        <f>IF(A2009&lt;[3]关卡对接!$A$4,INDEX([3]关卡对接!$E$7:$E$141,A2009),MATCH(E2009,人物经验!$H$24:$H$573,1))</f>
        <v>550</v>
      </c>
      <c r="O2009" s="12">
        <f>INDEX([2]关卡!$G$6:$G$2005,A2009)</f>
        <v>3</v>
      </c>
      <c r="P2009" s="13">
        <v>6</v>
      </c>
      <c r="Q2009" s="12">
        <f>INT(P2009/$S$15/O2009*VLOOKUP(J2009,[1]人物技能基础!$N$3:$O$553,2,0)*$U$15)</f>
        <v>9</v>
      </c>
      <c r="R2009" s="12">
        <f t="shared" si="291"/>
        <v>112</v>
      </c>
    </row>
    <row r="2010" spans="1:18" x14ac:dyDescent="0.15">
      <c r="A2010" s="12">
        <v>1992</v>
      </c>
      <c r="B2010" s="12">
        <f t="shared" si="288"/>
        <v>10</v>
      </c>
      <c r="C2010" s="12">
        <f t="shared" si="289"/>
        <v>33.407999999999994</v>
      </c>
      <c r="D2010" s="12">
        <f t="shared" si="283"/>
        <v>0.17399999999999949</v>
      </c>
      <c r="E2010" s="12">
        <f>SUM($D$19:D2010)</f>
        <v>98.60800000000097</v>
      </c>
      <c r="F2010" s="12">
        <f t="shared" si="286"/>
        <v>988.07178275814397</v>
      </c>
      <c r="G2010" s="12">
        <f t="shared" si="287"/>
        <v>495.09868610431994</v>
      </c>
      <c r="H2010" s="12">
        <f t="shared" si="284"/>
        <v>3557000</v>
      </c>
      <c r="I2010" s="12">
        <f t="shared" si="285"/>
        <v>1782300</v>
      </c>
      <c r="J2010" s="12">
        <f>IF(A2010&lt;[3]关卡对接!$A$4,INDEX([3]关卡对接!$C$7:$C$141,A2010),MATCH(E2010,人物经验!$H$24:$H$573,1))</f>
        <v>550</v>
      </c>
      <c r="K2010" s="12">
        <f>IF([3]关卡对接!F1998="",INT(INDEX(人物经验!$J$24:$J$573,关卡!J2010)*关卡!$S$7),[3]关卡对接!F1998)</f>
        <v>53960</v>
      </c>
      <c r="L2010" s="12">
        <f t="shared" si="290"/>
        <v>2.8</v>
      </c>
      <c r="M2010" s="12">
        <f>L2010/[4]货币基础!$B$4</f>
        <v>280</v>
      </c>
      <c r="N2010" s="12">
        <f>IF(A2010&lt;[3]关卡对接!$A$4,INDEX([3]关卡对接!$E$7:$E$141,A2010),MATCH(E2010,人物经验!$H$24:$H$573,1))</f>
        <v>550</v>
      </c>
      <c r="O2010" s="12">
        <f>INDEX([2]关卡!$G$6:$G$2005,A2010)</f>
        <v>3</v>
      </c>
      <c r="P2010" s="13">
        <v>6</v>
      </c>
      <c r="Q2010" s="12">
        <f>INT(P2010/$S$15/O2010*VLOOKUP(J2010,[1]人物技能基础!$N$3:$O$553,2,0)*$U$15)</f>
        <v>9</v>
      </c>
      <c r="R2010" s="12">
        <f t="shared" si="291"/>
        <v>112</v>
      </c>
    </row>
    <row r="2011" spans="1:18" x14ac:dyDescent="0.15">
      <c r="A2011" s="12">
        <v>1993</v>
      </c>
      <c r="B2011" s="12">
        <f t="shared" si="288"/>
        <v>10</v>
      </c>
      <c r="C2011" s="12">
        <f t="shared" si="289"/>
        <v>33.581999999999994</v>
      </c>
      <c r="D2011" s="12">
        <f t="shared" si="283"/>
        <v>0.17399999999999949</v>
      </c>
      <c r="E2011" s="12">
        <f>SUM($D$19:D2011)</f>
        <v>98.782000000000977</v>
      </c>
      <c r="F2011" s="12">
        <f t="shared" si="286"/>
        <v>989.55672026887532</v>
      </c>
      <c r="G2011" s="12">
        <f t="shared" si="287"/>
        <v>495.70930979050598</v>
      </c>
      <c r="H2011" s="12">
        <f t="shared" si="284"/>
        <v>3562400</v>
      </c>
      <c r="I2011" s="12">
        <f t="shared" si="285"/>
        <v>1784500</v>
      </c>
      <c r="J2011" s="12">
        <f>IF(A2011&lt;[3]关卡对接!$A$4,INDEX([3]关卡对接!$C$7:$C$141,A2011),MATCH(E2011,人物经验!$H$24:$H$573,1))</f>
        <v>550</v>
      </c>
      <c r="K2011" s="12">
        <f>IF([3]关卡对接!F1999="",INT(INDEX(人物经验!$J$24:$J$573,关卡!J2011)*关卡!$S$7),[3]关卡对接!F1999)</f>
        <v>53960</v>
      </c>
      <c r="L2011" s="12">
        <f t="shared" si="290"/>
        <v>2.8</v>
      </c>
      <c r="M2011" s="12">
        <f>L2011/[4]货币基础!$B$4</f>
        <v>280</v>
      </c>
      <c r="N2011" s="12">
        <f>IF(A2011&lt;[3]关卡对接!$A$4,INDEX([3]关卡对接!$E$7:$E$141,A2011),MATCH(E2011,人物经验!$H$24:$H$573,1))</f>
        <v>550</v>
      </c>
      <c r="O2011" s="12">
        <f>INDEX([2]关卡!$G$6:$G$2005,A2011)</f>
        <v>3</v>
      </c>
      <c r="P2011" s="13">
        <v>6</v>
      </c>
      <c r="Q2011" s="12">
        <f>INT(P2011/$S$15/O2011*VLOOKUP(J2011,[1]人物技能基础!$N$3:$O$553,2,0)*$U$15)</f>
        <v>9</v>
      </c>
      <c r="R2011" s="12">
        <f t="shared" si="291"/>
        <v>112</v>
      </c>
    </row>
    <row r="2012" spans="1:18" x14ac:dyDescent="0.15">
      <c r="A2012" s="12">
        <v>1994</v>
      </c>
      <c r="B2012" s="12">
        <f t="shared" si="288"/>
        <v>10</v>
      </c>
      <c r="C2012" s="12">
        <f t="shared" si="289"/>
        <v>33.755999999999993</v>
      </c>
      <c r="D2012" s="12">
        <f t="shared" si="283"/>
        <v>0.17399999999999949</v>
      </c>
      <c r="E2012" s="12">
        <f>SUM($D$19:D2012)</f>
        <v>98.956000000000984</v>
      </c>
      <c r="F2012" s="12">
        <f t="shared" si="286"/>
        <v>991.04339484031902</v>
      </c>
      <c r="G2012" s="12">
        <f t="shared" si="287"/>
        <v>496.32051569769499</v>
      </c>
      <c r="H2012" s="12">
        <f t="shared" si="284"/>
        <v>3567700</v>
      </c>
      <c r="I2012" s="12">
        <f t="shared" si="285"/>
        <v>1786700</v>
      </c>
      <c r="J2012" s="12">
        <f>IF(A2012&lt;[3]关卡对接!$A$4,INDEX([3]关卡对接!$C$7:$C$141,A2012),MATCH(E2012,人物经验!$H$24:$H$573,1))</f>
        <v>550</v>
      </c>
      <c r="K2012" s="12">
        <f>IF([3]关卡对接!F2000="",INT(INDEX(人物经验!$J$24:$J$573,关卡!J2012)*关卡!$S$7),[3]关卡对接!F2000)</f>
        <v>53960</v>
      </c>
      <c r="L2012" s="12">
        <f t="shared" si="290"/>
        <v>2.8</v>
      </c>
      <c r="M2012" s="12">
        <f>L2012/[4]货币基础!$B$4</f>
        <v>280</v>
      </c>
      <c r="N2012" s="12">
        <f>IF(A2012&lt;[3]关卡对接!$A$4,INDEX([3]关卡对接!$E$7:$E$141,A2012),MATCH(E2012,人物经验!$H$24:$H$573,1))</f>
        <v>550</v>
      </c>
      <c r="O2012" s="12">
        <f>INDEX([2]关卡!$G$6:$G$2005,A2012)</f>
        <v>3</v>
      </c>
      <c r="P2012" s="13">
        <v>6</v>
      </c>
      <c r="Q2012" s="12">
        <f>INT(P2012/$S$15/O2012*VLOOKUP(J2012,[1]人物技能基础!$N$3:$O$553,2,0)*$U$15)</f>
        <v>9</v>
      </c>
      <c r="R2012" s="12">
        <f t="shared" si="291"/>
        <v>112</v>
      </c>
    </row>
    <row r="2013" spans="1:18" x14ac:dyDescent="0.15">
      <c r="A2013" s="12">
        <v>1995</v>
      </c>
      <c r="B2013" s="12">
        <f t="shared" si="288"/>
        <v>10</v>
      </c>
      <c r="C2013" s="12">
        <f t="shared" si="289"/>
        <v>33.93</v>
      </c>
      <c r="D2013" s="12">
        <f t="shared" si="283"/>
        <v>0.17400000000000659</v>
      </c>
      <c r="E2013" s="12">
        <f>SUM($D$19:D2013)</f>
        <v>99.13000000000099</v>
      </c>
      <c r="F2013" s="12">
        <f t="shared" si="286"/>
        <v>992.53180789058604</v>
      </c>
      <c r="G2013" s="12">
        <f t="shared" si="287"/>
        <v>496.93230422246097</v>
      </c>
      <c r="H2013" s="12">
        <f t="shared" si="284"/>
        <v>3573100</v>
      </c>
      <c r="I2013" s="12">
        <f t="shared" si="285"/>
        <v>1788900</v>
      </c>
      <c r="J2013" s="12">
        <f>IF(A2013&lt;[3]关卡对接!$A$4,INDEX([3]关卡对接!$C$7:$C$141,A2013),MATCH(E2013,人物经验!$H$24:$H$573,1))</f>
        <v>550</v>
      </c>
      <c r="K2013" s="12">
        <f>IF([3]关卡对接!F2001="",INT(INDEX(人物经验!$J$24:$J$573,关卡!J2013)*关卡!$S$7),[3]关卡对接!F2001)</f>
        <v>53960</v>
      </c>
      <c r="L2013" s="12">
        <f t="shared" si="290"/>
        <v>2.8</v>
      </c>
      <c r="M2013" s="12">
        <f>L2013/[4]货币基础!$B$4</f>
        <v>280</v>
      </c>
      <c r="N2013" s="12">
        <f>IF(A2013&lt;[3]关卡对接!$A$4,INDEX([3]关卡对接!$E$7:$E$141,A2013),MATCH(E2013,人物经验!$H$24:$H$573,1))</f>
        <v>550</v>
      </c>
      <c r="O2013" s="12">
        <f>INDEX([2]关卡!$G$6:$G$2005,A2013)</f>
        <v>3</v>
      </c>
      <c r="P2013" s="13">
        <v>6</v>
      </c>
      <c r="Q2013" s="12">
        <f>INT(P2013/$S$15/O2013*VLOOKUP(J2013,[1]人物技能基础!$N$3:$O$553,2,0)*$U$15)</f>
        <v>9</v>
      </c>
      <c r="R2013" s="12">
        <f t="shared" si="291"/>
        <v>112</v>
      </c>
    </row>
    <row r="2014" spans="1:18" x14ac:dyDescent="0.15">
      <c r="A2014" s="12">
        <v>1996</v>
      </c>
      <c r="B2014" s="12">
        <f t="shared" si="288"/>
        <v>10</v>
      </c>
      <c r="C2014" s="12">
        <f t="shared" si="289"/>
        <v>34.103999999999999</v>
      </c>
      <c r="D2014" s="12">
        <f t="shared" si="283"/>
        <v>0.17399999999999949</v>
      </c>
      <c r="E2014" s="12">
        <f>SUM($D$19:D2014)</f>
        <v>99.304000000000997</v>
      </c>
      <c r="F2014" s="12">
        <f t="shared" si="286"/>
        <v>994.02196083838396</v>
      </c>
      <c r="G2014" s="12">
        <f t="shared" si="287"/>
        <v>497.54467576151995</v>
      </c>
      <c r="H2014" s="12">
        <f t="shared" si="284"/>
        <v>3578400</v>
      </c>
      <c r="I2014" s="12">
        <f t="shared" si="285"/>
        <v>1791100</v>
      </c>
      <c r="J2014" s="12">
        <f>IF(A2014&lt;[3]关卡对接!$A$4,INDEX([3]关卡对接!$C$7:$C$141,A2014),MATCH(E2014,人物经验!$H$24:$H$573,1))</f>
        <v>550</v>
      </c>
      <c r="K2014" s="12">
        <f>IF([3]关卡对接!F2002="",INT(INDEX(人物经验!$J$24:$J$573,关卡!J2014)*关卡!$S$7),[3]关卡对接!F2002)</f>
        <v>53960</v>
      </c>
      <c r="L2014" s="12">
        <f t="shared" si="290"/>
        <v>2.8</v>
      </c>
      <c r="M2014" s="12">
        <f>L2014/[4]货币基础!$B$4</f>
        <v>280</v>
      </c>
      <c r="N2014" s="12">
        <f>IF(A2014&lt;[3]关卡对接!$A$4,INDEX([3]关卡对接!$E$7:$E$141,A2014),MATCH(E2014,人物经验!$H$24:$H$573,1))</f>
        <v>550</v>
      </c>
      <c r="O2014" s="12">
        <f>INDEX([2]关卡!$G$6:$G$2005,A2014)</f>
        <v>3</v>
      </c>
      <c r="P2014" s="13">
        <v>6</v>
      </c>
      <c r="Q2014" s="12">
        <f>INT(P2014/$S$15/O2014*VLOOKUP(J2014,[1]人物技能基础!$N$3:$O$553,2,0)*$U$15)</f>
        <v>9</v>
      </c>
      <c r="R2014" s="12">
        <f t="shared" si="291"/>
        <v>112</v>
      </c>
    </row>
    <row r="2015" spans="1:18" x14ac:dyDescent="0.15">
      <c r="A2015" s="12">
        <v>1997</v>
      </c>
      <c r="B2015" s="12">
        <f t="shared" si="288"/>
        <v>10</v>
      </c>
      <c r="C2015" s="12">
        <f t="shared" si="289"/>
        <v>34.277999999999999</v>
      </c>
      <c r="D2015" s="12">
        <f t="shared" si="283"/>
        <v>0.17399999999999949</v>
      </c>
      <c r="E2015" s="12">
        <f>SUM($D$19:D2015)</f>
        <v>99.478000000001003</v>
      </c>
      <c r="F2015" s="12">
        <f t="shared" si="286"/>
        <v>995.51385510302009</v>
      </c>
      <c r="G2015" s="12">
        <f t="shared" si="287"/>
        <v>498.15763071173097</v>
      </c>
      <c r="H2015" s="12">
        <f t="shared" si="284"/>
        <v>3583800</v>
      </c>
      <c r="I2015" s="12">
        <f t="shared" si="285"/>
        <v>1793300</v>
      </c>
      <c r="J2015" s="12">
        <f>IF(A2015&lt;[3]关卡对接!$A$4,INDEX([3]关卡对接!$C$7:$C$141,A2015),MATCH(E2015,人物经验!$H$24:$H$573,1))</f>
        <v>550</v>
      </c>
      <c r="K2015" s="12">
        <f>IF([3]关卡对接!F2003="",INT(INDEX(人物经验!$J$24:$J$573,关卡!J2015)*关卡!$S$7),[3]关卡对接!F2003)</f>
        <v>53960</v>
      </c>
      <c r="L2015" s="12">
        <f t="shared" si="290"/>
        <v>2.8</v>
      </c>
      <c r="M2015" s="12">
        <f>L2015/[4]货币基础!$B$4</f>
        <v>280</v>
      </c>
      <c r="N2015" s="12">
        <f>IF(A2015&lt;[3]关卡对接!$A$4,INDEX([3]关卡对接!$E$7:$E$141,A2015),MATCH(E2015,人物经验!$H$24:$H$573,1))</f>
        <v>550</v>
      </c>
      <c r="O2015" s="12">
        <f>INDEX([2]关卡!$G$6:$G$2005,A2015)</f>
        <v>3</v>
      </c>
      <c r="P2015" s="13">
        <v>6</v>
      </c>
      <c r="Q2015" s="12">
        <f>INT(P2015/$S$15/O2015*VLOOKUP(J2015,[1]人物技能基础!$N$3:$O$553,2,0)*$U$15)</f>
        <v>9</v>
      </c>
      <c r="R2015" s="12">
        <f t="shared" si="291"/>
        <v>112</v>
      </c>
    </row>
    <row r="2016" spans="1:18" x14ac:dyDescent="0.15">
      <c r="A2016" s="12">
        <v>1998</v>
      </c>
      <c r="B2016" s="12">
        <f t="shared" si="288"/>
        <v>10</v>
      </c>
      <c r="C2016" s="12">
        <f t="shared" si="289"/>
        <v>34.451999999999998</v>
      </c>
      <c r="D2016" s="12">
        <f t="shared" si="283"/>
        <v>0.17399999999999949</v>
      </c>
      <c r="E2016" s="12">
        <f>SUM($D$19:D2016)</f>
        <v>99.65200000000101</v>
      </c>
      <c r="F2016" s="12">
        <f t="shared" si="286"/>
        <v>997.00749210439903</v>
      </c>
      <c r="G2016" s="12">
        <f t="shared" si="287"/>
        <v>498.771169470095</v>
      </c>
      <c r="H2016" s="12">
        <f t="shared" si="284"/>
        <v>3589200</v>
      </c>
      <c r="I2016" s="12">
        <f t="shared" si="285"/>
        <v>1795500</v>
      </c>
      <c r="J2016" s="12">
        <f>IF(A2016&lt;[3]关卡对接!$A$4,INDEX([3]关卡对接!$C$7:$C$141,A2016),MATCH(E2016,人物经验!$H$24:$H$573,1))</f>
        <v>550</v>
      </c>
      <c r="K2016" s="12">
        <f>IF([3]关卡对接!F2004="",INT(INDEX(人物经验!$J$24:$J$573,关卡!J2016)*关卡!$S$7),[3]关卡对接!F2004)</f>
        <v>53960</v>
      </c>
      <c r="L2016" s="12">
        <f t="shared" si="290"/>
        <v>2.8</v>
      </c>
      <c r="M2016" s="12">
        <f>L2016/[4]货币基础!$B$4</f>
        <v>280</v>
      </c>
      <c r="N2016" s="12">
        <f>IF(A2016&lt;[3]关卡对接!$A$4,INDEX([3]关卡对接!$E$7:$E$141,A2016),MATCH(E2016,人物经验!$H$24:$H$573,1))</f>
        <v>550</v>
      </c>
      <c r="O2016" s="12">
        <f>INDEX([2]关卡!$G$6:$G$2005,A2016)</f>
        <v>3</v>
      </c>
      <c r="P2016" s="13">
        <v>6</v>
      </c>
      <c r="Q2016" s="12">
        <f>INT(P2016/$S$15/O2016*VLOOKUP(J2016,[1]人物技能基础!$N$3:$O$553,2,0)*$U$15)</f>
        <v>9</v>
      </c>
      <c r="R2016" s="12">
        <f t="shared" si="291"/>
        <v>112</v>
      </c>
    </row>
    <row r="2017" spans="1:18" x14ac:dyDescent="0.15">
      <c r="A2017" s="12">
        <v>1999</v>
      </c>
      <c r="B2017" s="12">
        <f t="shared" si="288"/>
        <v>10</v>
      </c>
      <c r="C2017" s="12">
        <f t="shared" si="289"/>
        <v>34.625999999999998</v>
      </c>
      <c r="D2017" s="12">
        <f t="shared" si="283"/>
        <v>0.17399999999999949</v>
      </c>
      <c r="E2017" s="12">
        <f>SUM($D$19:D2017)</f>
        <v>99.826000000001017</v>
      </c>
      <c r="F2017" s="12">
        <f t="shared" si="286"/>
        <v>998.50287326302521</v>
      </c>
      <c r="G2017" s="12">
        <f t="shared" si="287"/>
        <v>499.38529243375598</v>
      </c>
      <c r="H2017" s="12">
        <f t="shared" si="284"/>
        <v>3594600</v>
      </c>
      <c r="I2017" s="12">
        <f t="shared" si="285"/>
        <v>1797700</v>
      </c>
      <c r="J2017" s="12">
        <f>IF(A2017&lt;[3]关卡对接!$A$4,INDEX([3]关卡对接!$C$7:$C$141,A2017),MATCH(E2017,人物经验!$H$24:$H$573,1))</f>
        <v>550</v>
      </c>
      <c r="K2017" s="12">
        <f>IF([3]关卡对接!F2005="",INT(INDEX(人物经验!$J$24:$J$573,关卡!J2017)*关卡!$S$7),[3]关卡对接!F2005)</f>
        <v>53960</v>
      </c>
      <c r="L2017" s="12">
        <f t="shared" si="290"/>
        <v>2.8</v>
      </c>
      <c r="M2017" s="12">
        <f>L2017/[4]货币基础!$B$4</f>
        <v>280</v>
      </c>
      <c r="N2017" s="12">
        <f>IF(A2017&lt;[3]关卡对接!$A$4,INDEX([3]关卡对接!$E$7:$E$141,A2017),MATCH(E2017,人物经验!$H$24:$H$573,1))</f>
        <v>550</v>
      </c>
      <c r="O2017" s="12">
        <f>INDEX([2]关卡!$G$6:$G$2005,A2017)</f>
        <v>3</v>
      </c>
      <c r="P2017" s="13">
        <v>6</v>
      </c>
      <c r="Q2017" s="12">
        <f>INT(P2017/$S$15/O2017*VLOOKUP(J2017,[1]人物技能基础!$N$3:$O$553,2,0)*$U$15)</f>
        <v>9</v>
      </c>
      <c r="R2017" s="12">
        <f t="shared" si="291"/>
        <v>112</v>
      </c>
    </row>
    <row r="2018" spans="1:18" x14ac:dyDescent="0.15">
      <c r="A2018" s="12">
        <v>2000</v>
      </c>
      <c r="B2018" s="12">
        <f t="shared" si="288"/>
        <v>10</v>
      </c>
      <c r="C2018" s="12">
        <f t="shared" si="289"/>
        <v>34.799999999999997</v>
      </c>
      <c r="D2018" s="12">
        <f t="shared" si="283"/>
        <v>0.17399999999999949</v>
      </c>
      <c r="E2018" s="12">
        <f>SUM($D$19:D2018)</f>
        <v>100.00000000000102</v>
      </c>
      <c r="F2018" s="12">
        <f t="shared" si="286"/>
        <v>1000</v>
      </c>
      <c r="G2018" s="12">
        <f t="shared" si="287"/>
        <v>500</v>
      </c>
      <c r="H2018" s="12">
        <f t="shared" si="284"/>
        <v>3600000</v>
      </c>
      <c r="I2018" s="12">
        <f t="shared" si="285"/>
        <v>1800000</v>
      </c>
      <c r="J2018" s="12">
        <f>IF(A2018&lt;[3]关卡对接!$A$4,INDEX([3]关卡对接!$C$7:$C$141,A2018),MATCH(E2018,人物经验!$H$24:$H$573,1))</f>
        <v>550</v>
      </c>
      <c r="K2018" s="12">
        <f>IF([3]关卡对接!F2006="",INT(INDEX(人物经验!$J$24:$J$573,关卡!J2018)*关卡!$S$7),[3]关卡对接!F2006)</f>
        <v>53960</v>
      </c>
      <c r="L2018" s="12">
        <f t="shared" si="290"/>
        <v>2.8</v>
      </c>
      <c r="M2018" s="12">
        <f>L2018/[4]货币基础!$B$4</f>
        <v>280</v>
      </c>
      <c r="N2018" s="12">
        <f>IF(A2018&lt;[3]关卡对接!$A$4,INDEX([3]关卡对接!$E$7:$E$141,A2018),MATCH(E2018,人物经验!$H$24:$H$573,1))</f>
        <v>550</v>
      </c>
      <c r="O2018" s="12">
        <f>INDEX([2]关卡!$G$6:$G$2005,A2018)</f>
        <v>3</v>
      </c>
      <c r="P2018" s="13">
        <v>6</v>
      </c>
      <c r="Q2018" s="12">
        <f>INT(P2018/$S$15/O2018*VLOOKUP(J2018,[1]人物技能基础!$N$3:$O$553,2,0)*$U$15)</f>
        <v>9</v>
      </c>
      <c r="R2018" s="12">
        <f t="shared" si="291"/>
        <v>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人物经验</vt:lpstr>
      <vt:lpstr>经验产出</vt:lpstr>
      <vt:lpstr>金币产出</vt:lpstr>
      <vt:lpstr>关卡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2021-12-18T08:27:27Z</dcterms:modified>
</cp:coreProperties>
</file>