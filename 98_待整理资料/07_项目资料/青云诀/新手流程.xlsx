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标准新手流程（非R）" sheetId="4" r:id="rId1"/>
    <sheet name="功能开启节奏" sheetId="10" r:id="rId2"/>
    <sheet name="转生节奏" sheetId="1" r:id="rId3"/>
    <sheet name="基础装备节奏" sheetId="2" r:id="rId4"/>
    <sheet name="通天塔对接" sheetId="5" r:id="rId5"/>
    <sheet name="关卡对接" sheetId="6" r:id="rId6"/>
    <sheet name="仙兵对接" sheetId="7" r:id="rId7"/>
    <sheet name="职业技能对接" sheetId="8" r:id="rId8"/>
    <sheet name="前3天非R装备模拟" sheetId="9" r:id="rId9"/>
    <sheet name="新手阶段非R升级节奏" sheetId="3" r:id="rId10"/>
  </sheets>
  <externalReferences>
    <externalReference r:id="rId11"/>
    <externalReference r:id="rId12"/>
    <externalReference r:id="rId13"/>
  </externalReferences>
  <calcPr calcId="152511"/>
</workbook>
</file>

<file path=xl/calcChain.xml><?xml version="1.0" encoding="utf-8"?>
<calcChain xmlns="http://schemas.openxmlformats.org/spreadsheetml/2006/main">
  <c r="U33" i="4" l="1"/>
  <c r="U46" i="4" l="1"/>
  <c r="U45" i="4"/>
  <c r="C16" i="7" l="1"/>
  <c r="C15" i="7"/>
  <c r="C14" i="7"/>
  <c r="C13" i="7"/>
  <c r="C12" i="7"/>
  <c r="C11" i="7"/>
  <c r="C10" i="7"/>
  <c r="C9" i="7"/>
  <c r="C8" i="7"/>
  <c r="C7" i="7"/>
  <c r="C6" i="7"/>
  <c r="C5" i="7"/>
  <c r="C4" i="7"/>
  <c r="B7" i="8"/>
  <c r="B6" i="8"/>
  <c r="B5" i="8"/>
  <c r="B4" i="8"/>
  <c r="B3" i="8"/>
  <c r="B16" i="10" l="1"/>
  <c r="B15" i="10"/>
  <c r="B14" i="10"/>
  <c r="B13" i="10"/>
  <c r="B12" i="10"/>
  <c r="B11" i="10"/>
  <c r="B10" i="10"/>
  <c r="B9" i="10"/>
  <c r="B8" i="10"/>
  <c r="B7" i="10"/>
  <c r="B6" i="10"/>
  <c r="B5" i="10"/>
  <c r="B4" i="10"/>
  <c r="C7" i="6" l="1"/>
  <c r="C8" i="6"/>
  <c r="C9" i="6"/>
  <c r="C10" i="6"/>
  <c r="C11" i="6"/>
  <c r="C12" i="6"/>
  <c r="AA14" i="4" l="1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3" i="4"/>
  <c r="AA7" i="4"/>
  <c r="AA8" i="4"/>
  <c r="AA9" i="4"/>
  <c r="AA10" i="4"/>
  <c r="AA11" i="4"/>
  <c r="AA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101" i="4"/>
  <c r="W102" i="4"/>
  <c r="W103" i="4"/>
  <c r="W104" i="4"/>
  <c r="W105" i="4"/>
  <c r="W106" i="4"/>
  <c r="W107" i="4"/>
  <c r="W108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7" i="4"/>
  <c r="W8" i="4"/>
  <c r="W9" i="4"/>
  <c r="W10" i="4"/>
  <c r="W11" i="4"/>
  <c r="W12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U136" i="4"/>
  <c r="U137" i="4"/>
  <c r="U138" i="4"/>
  <c r="U139" i="4"/>
  <c r="U140" i="4"/>
  <c r="U141" i="4"/>
  <c r="U142" i="4"/>
  <c r="U143" i="4"/>
  <c r="U144" i="4"/>
  <c r="Q98" i="4" l="1"/>
  <c r="R98" i="4"/>
  <c r="Q96" i="4"/>
  <c r="R96" i="4"/>
  <c r="Q97" i="4"/>
  <c r="R97" i="4"/>
  <c r="U97" i="4" s="1"/>
  <c r="U91" i="4"/>
  <c r="U92" i="4"/>
  <c r="U93" i="4"/>
  <c r="U94" i="4"/>
  <c r="U95" i="4"/>
  <c r="U96" i="4"/>
  <c r="U98" i="4"/>
  <c r="Q94" i="4"/>
  <c r="R94" i="4"/>
  <c r="Q95" i="4"/>
  <c r="R95" i="4"/>
  <c r="U78" i="4"/>
  <c r="U79" i="4"/>
  <c r="U80" i="4"/>
  <c r="U81" i="4"/>
  <c r="U82" i="4"/>
  <c r="U83" i="4"/>
  <c r="U84" i="4"/>
  <c r="U85" i="4"/>
  <c r="U77" i="4"/>
  <c r="Q84" i="4"/>
  <c r="R84" i="4"/>
  <c r="Q85" i="4"/>
  <c r="R85" i="4"/>
  <c r="Q86" i="4"/>
  <c r="R86" i="4"/>
  <c r="Q78" i="4"/>
  <c r="R78" i="4"/>
  <c r="Q79" i="4"/>
  <c r="R79" i="4"/>
  <c r="Q80" i="4"/>
  <c r="R80" i="4"/>
  <c r="Q81" i="4"/>
  <c r="R81" i="4"/>
  <c r="Q82" i="4"/>
  <c r="R82" i="4"/>
  <c r="Q83" i="4"/>
  <c r="R83" i="4"/>
  <c r="U64" i="4"/>
  <c r="U65" i="4"/>
  <c r="U68" i="4"/>
  <c r="U70" i="4"/>
  <c r="U72" i="4"/>
  <c r="Q62" i="4"/>
  <c r="R62" i="4"/>
  <c r="U58" i="4"/>
  <c r="U59" i="4"/>
  <c r="U60" i="4"/>
  <c r="U61" i="4"/>
  <c r="U62" i="4"/>
  <c r="U57" i="4"/>
  <c r="Q58" i="4"/>
  <c r="R58" i="4"/>
  <c r="Q59" i="4"/>
  <c r="R59" i="4"/>
  <c r="Q60" i="4"/>
  <c r="R60" i="4"/>
  <c r="Q61" i="4"/>
  <c r="R61" i="4"/>
  <c r="Q46" i="4"/>
  <c r="R46" i="4"/>
  <c r="Q47" i="4"/>
  <c r="R47" i="4"/>
  <c r="Q48" i="4"/>
  <c r="R48" i="4"/>
  <c r="Q49" i="4"/>
  <c r="R49" i="4"/>
  <c r="Q50" i="4"/>
  <c r="R50" i="4"/>
  <c r="Q51" i="4"/>
  <c r="R51" i="4"/>
  <c r="Q45" i="4"/>
  <c r="R45" i="4"/>
  <c r="U44" i="4"/>
  <c r="Q44" i="4"/>
  <c r="R44" i="4"/>
  <c r="U38" i="4"/>
  <c r="U39" i="4"/>
  <c r="U40" i="4"/>
  <c r="F9" i="6" s="1"/>
  <c r="U41" i="4"/>
  <c r="U42" i="4"/>
  <c r="U43" i="4"/>
  <c r="Q43" i="4"/>
  <c r="R43" i="4"/>
  <c r="R42" i="4"/>
  <c r="Q42" i="4"/>
  <c r="Q41" i="4"/>
  <c r="R41" i="4"/>
  <c r="Q40" i="4"/>
  <c r="R40" i="4"/>
  <c r="Q36" i="4"/>
  <c r="U36" i="4" s="1"/>
  <c r="R36" i="4"/>
  <c r="Q37" i="4"/>
  <c r="R37" i="4"/>
  <c r="Q38" i="4"/>
  <c r="R38" i="4"/>
  <c r="Q39" i="4"/>
  <c r="R39" i="4"/>
  <c r="U35" i="4"/>
  <c r="U37" i="4"/>
  <c r="F8" i="6" s="1"/>
  <c r="Q35" i="4"/>
  <c r="R35" i="4"/>
  <c r="Q34" i="4"/>
  <c r="R34" i="4"/>
  <c r="Q33" i="4"/>
  <c r="R33" i="4"/>
  <c r="U20" i="4"/>
  <c r="U21" i="4"/>
  <c r="U22" i="4"/>
  <c r="U23" i="4"/>
  <c r="U24" i="4"/>
  <c r="U25" i="4"/>
  <c r="Q26" i="4"/>
  <c r="R26" i="4"/>
  <c r="Q22" i="4"/>
  <c r="R22" i="4"/>
  <c r="Q23" i="4"/>
  <c r="R23" i="4"/>
  <c r="Q24" i="4"/>
  <c r="R24" i="4"/>
  <c r="Q25" i="4"/>
  <c r="R25" i="4"/>
  <c r="U13" i="4"/>
  <c r="U14" i="4"/>
  <c r="Q14" i="4"/>
  <c r="R14" i="4"/>
  <c r="Q13" i="4"/>
  <c r="R13" i="4"/>
  <c r="J143" i="4"/>
  <c r="I143" i="4"/>
  <c r="J137" i="4"/>
  <c r="J138" i="4"/>
  <c r="J139" i="4"/>
  <c r="J140" i="4"/>
  <c r="J141" i="4"/>
  <c r="J142" i="4"/>
  <c r="I124" i="4"/>
  <c r="J88" i="4" l="1"/>
  <c r="J89" i="4"/>
  <c r="J90" i="4"/>
  <c r="J91" i="4"/>
  <c r="J92" i="4"/>
  <c r="J93" i="4"/>
  <c r="J94" i="4"/>
  <c r="J95" i="4"/>
  <c r="J96" i="4"/>
  <c r="J97" i="4"/>
  <c r="J98" i="4"/>
  <c r="J81" i="4"/>
  <c r="J82" i="4"/>
  <c r="J83" i="4"/>
  <c r="J84" i="4"/>
  <c r="J85" i="4"/>
  <c r="J78" i="4"/>
  <c r="J79" i="4"/>
  <c r="J80" i="4"/>
  <c r="J86" i="4"/>
  <c r="E63" i="4"/>
  <c r="J58" i="4" l="1"/>
  <c r="J59" i="4"/>
  <c r="J60" i="4"/>
  <c r="J61" i="4"/>
  <c r="J62" i="4"/>
  <c r="J45" i="4"/>
  <c r="J41" i="4" l="1"/>
  <c r="J40" i="4"/>
  <c r="J39" i="4"/>
  <c r="J42" i="4"/>
  <c r="J43" i="4"/>
  <c r="J33" i="4"/>
  <c r="J34" i="4"/>
  <c r="J36" i="4"/>
  <c r="J37" i="4"/>
  <c r="J22" i="4"/>
  <c r="J23" i="4"/>
  <c r="J24" i="4"/>
  <c r="J25" i="4"/>
  <c r="J13" i="4"/>
  <c r="E7" i="6" l="1"/>
  <c r="E8" i="6" l="1"/>
  <c r="E9" i="6" l="1"/>
  <c r="B5" i="9"/>
  <c r="C5" i="9"/>
  <c r="D5" i="9"/>
  <c r="E5" i="9"/>
  <c r="F5" i="9"/>
  <c r="G5" i="9"/>
  <c r="H5" i="9"/>
  <c r="I5" i="9"/>
  <c r="B6" i="9"/>
  <c r="C6" i="9"/>
  <c r="D6" i="9"/>
  <c r="E6" i="9"/>
  <c r="F6" i="9"/>
  <c r="G6" i="9"/>
  <c r="H6" i="9"/>
  <c r="I6" i="9"/>
  <c r="B7" i="9"/>
  <c r="C7" i="9"/>
  <c r="D7" i="9"/>
  <c r="E7" i="9"/>
  <c r="F7" i="9"/>
  <c r="G7" i="9"/>
  <c r="H7" i="9"/>
  <c r="I7" i="9"/>
  <c r="B8" i="9"/>
  <c r="C8" i="9"/>
  <c r="D8" i="9"/>
  <c r="E8" i="9"/>
  <c r="F8" i="9"/>
  <c r="G8" i="9"/>
  <c r="H8" i="9"/>
  <c r="I8" i="9"/>
  <c r="B9" i="9"/>
  <c r="C9" i="9"/>
  <c r="D9" i="9"/>
  <c r="E9" i="9"/>
  <c r="F9" i="9"/>
  <c r="G9" i="9"/>
  <c r="H9" i="9"/>
  <c r="I9" i="9"/>
  <c r="B10" i="9"/>
  <c r="C10" i="9"/>
  <c r="D10" i="9"/>
  <c r="E10" i="9"/>
  <c r="F10" i="9"/>
  <c r="G10" i="9"/>
  <c r="H10" i="9"/>
  <c r="I10" i="9"/>
  <c r="B11" i="9"/>
  <c r="C11" i="9"/>
  <c r="D11" i="9"/>
  <c r="E11" i="9"/>
  <c r="F11" i="9"/>
  <c r="G11" i="9"/>
  <c r="H11" i="9"/>
  <c r="I11" i="9"/>
  <c r="B12" i="9"/>
  <c r="C12" i="9"/>
  <c r="D12" i="9"/>
  <c r="E12" i="9"/>
  <c r="F12" i="9"/>
  <c r="G12" i="9"/>
  <c r="H12" i="9"/>
  <c r="I12" i="9"/>
  <c r="B13" i="9"/>
  <c r="C13" i="9"/>
  <c r="D13" i="9"/>
  <c r="E13" i="9"/>
  <c r="F13" i="9"/>
  <c r="G13" i="9"/>
  <c r="H13" i="9"/>
  <c r="I13" i="9"/>
  <c r="B14" i="9"/>
  <c r="C14" i="9"/>
  <c r="D14" i="9"/>
  <c r="E14" i="9"/>
  <c r="F14" i="9"/>
  <c r="G14" i="9"/>
  <c r="H14" i="9"/>
  <c r="I14" i="9"/>
  <c r="B15" i="9"/>
  <c r="C15" i="9"/>
  <c r="D15" i="9"/>
  <c r="E15" i="9"/>
  <c r="F15" i="9"/>
  <c r="G15" i="9"/>
  <c r="H15" i="9"/>
  <c r="I15" i="9"/>
  <c r="B16" i="9"/>
  <c r="C16" i="9"/>
  <c r="D16" i="9"/>
  <c r="E16" i="9"/>
  <c r="F16" i="9"/>
  <c r="G16" i="9"/>
  <c r="H16" i="9"/>
  <c r="I16" i="9"/>
  <c r="B17" i="9"/>
  <c r="C17" i="9"/>
  <c r="D17" i="9"/>
  <c r="E17" i="9"/>
  <c r="F17" i="9"/>
  <c r="G17" i="9"/>
  <c r="H17" i="9"/>
  <c r="I17" i="9"/>
  <c r="B18" i="9"/>
  <c r="C18" i="9"/>
  <c r="D18" i="9"/>
  <c r="E18" i="9"/>
  <c r="F18" i="9"/>
  <c r="G18" i="9"/>
  <c r="H18" i="9"/>
  <c r="I18" i="9"/>
  <c r="B19" i="9"/>
  <c r="C19" i="9"/>
  <c r="D19" i="9"/>
  <c r="E19" i="9"/>
  <c r="F19" i="9"/>
  <c r="G19" i="9"/>
  <c r="H19" i="9"/>
  <c r="I19" i="9"/>
  <c r="B20" i="9"/>
  <c r="C20" i="9"/>
  <c r="D20" i="9"/>
  <c r="E20" i="9"/>
  <c r="F20" i="9"/>
  <c r="G20" i="9"/>
  <c r="H20" i="9"/>
  <c r="I20" i="9"/>
  <c r="B21" i="9"/>
  <c r="C21" i="9"/>
  <c r="D21" i="9"/>
  <c r="E21" i="9"/>
  <c r="F21" i="9"/>
  <c r="G21" i="9"/>
  <c r="H21" i="9"/>
  <c r="I21" i="9"/>
  <c r="B22" i="9"/>
  <c r="C22" i="9"/>
  <c r="D22" i="9"/>
  <c r="E22" i="9"/>
  <c r="F22" i="9"/>
  <c r="G22" i="9"/>
  <c r="H22" i="9"/>
  <c r="I22" i="9"/>
  <c r="B23" i="9"/>
  <c r="C23" i="9"/>
  <c r="D23" i="9"/>
  <c r="E23" i="9"/>
  <c r="F23" i="9"/>
  <c r="G23" i="9"/>
  <c r="H23" i="9"/>
  <c r="I23" i="9"/>
  <c r="B24" i="9"/>
  <c r="C24" i="9"/>
  <c r="D24" i="9"/>
  <c r="E24" i="9"/>
  <c r="F24" i="9"/>
  <c r="G24" i="9"/>
  <c r="H24" i="9"/>
  <c r="I24" i="9"/>
  <c r="B25" i="9"/>
  <c r="C25" i="9"/>
  <c r="D25" i="9"/>
  <c r="E25" i="9"/>
  <c r="F25" i="9"/>
  <c r="G25" i="9"/>
  <c r="H25" i="9"/>
  <c r="I25" i="9"/>
  <c r="B26" i="9"/>
  <c r="C26" i="9"/>
  <c r="D26" i="9"/>
  <c r="E26" i="9"/>
  <c r="F26" i="9"/>
  <c r="G26" i="9"/>
  <c r="H26" i="9"/>
  <c r="I26" i="9"/>
  <c r="B27" i="9"/>
  <c r="C27" i="9"/>
  <c r="D27" i="9"/>
  <c r="E27" i="9"/>
  <c r="F27" i="9"/>
  <c r="G27" i="9"/>
  <c r="H27" i="9"/>
  <c r="I27" i="9"/>
  <c r="B28" i="9"/>
  <c r="C28" i="9"/>
  <c r="D28" i="9"/>
  <c r="E28" i="9"/>
  <c r="F28" i="9"/>
  <c r="G28" i="9"/>
  <c r="H28" i="9"/>
  <c r="I28" i="9"/>
  <c r="B29" i="9"/>
  <c r="C29" i="9"/>
  <c r="D29" i="9"/>
  <c r="E29" i="9"/>
  <c r="F29" i="9"/>
  <c r="G29" i="9"/>
  <c r="H29" i="9"/>
  <c r="I29" i="9"/>
  <c r="B30" i="9"/>
  <c r="C30" i="9"/>
  <c r="D30" i="9"/>
  <c r="E30" i="9"/>
  <c r="F30" i="9"/>
  <c r="G30" i="9"/>
  <c r="H30" i="9"/>
  <c r="I30" i="9"/>
  <c r="B31" i="9"/>
  <c r="C31" i="9"/>
  <c r="D31" i="9"/>
  <c r="E31" i="9"/>
  <c r="F31" i="9"/>
  <c r="G31" i="9"/>
  <c r="H31" i="9"/>
  <c r="I31" i="9"/>
  <c r="B32" i="9"/>
  <c r="C32" i="9"/>
  <c r="D32" i="9"/>
  <c r="E32" i="9"/>
  <c r="F32" i="9"/>
  <c r="G32" i="9"/>
  <c r="H32" i="9"/>
  <c r="I32" i="9"/>
  <c r="B33" i="9"/>
  <c r="C33" i="9"/>
  <c r="D33" i="9"/>
  <c r="E33" i="9"/>
  <c r="F33" i="9"/>
  <c r="G33" i="9"/>
  <c r="H33" i="9"/>
  <c r="I33" i="9"/>
  <c r="B34" i="9"/>
  <c r="C34" i="9"/>
  <c r="D34" i="9"/>
  <c r="E34" i="9"/>
  <c r="F34" i="9"/>
  <c r="G34" i="9"/>
  <c r="H34" i="9"/>
  <c r="I34" i="9"/>
  <c r="B35" i="9"/>
  <c r="C35" i="9"/>
  <c r="D35" i="9"/>
  <c r="E35" i="9"/>
  <c r="F35" i="9"/>
  <c r="G35" i="9"/>
  <c r="H35" i="9"/>
  <c r="I35" i="9"/>
  <c r="B36" i="9"/>
  <c r="C36" i="9"/>
  <c r="D36" i="9"/>
  <c r="E36" i="9"/>
  <c r="F36" i="9"/>
  <c r="G36" i="9"/>
  <c r="H36" i="9"/>
  <c r="I36" i="9"/>
  <c r="B37" i="9"/>
  <c r="C37" i="9"/>
  <c r="D37" i="9"/>
  <c r="E37" i="9"/>
  <c r="F37" i="9"/>
  <c r="G37" i="9"/>
  <c r="H37" i="9"/>
  <c r="I37" i="9"/>
  <c r="B38" i="9"/>
  <c r="C38" i="9"/>
  <c r="D38" i="9"/>
  <c r="E38" i="9"/>
  <c r="F38" i="9"/>
  <c r="G38" i="9"/>
  <c r="H38" i="9"/>
  <c r="I38" i="9"/>
  <c r="B39" i="9"/>
  <c r="C39" i="9"/>
  <c r="D39" i="9"/>
  <c r="E39" i="9"/>
  <c r="F39" i="9"/>
  <c r="G39" i="9"/>
  <c r="H39" i="9"/>
  <c r="I39" i="9"/>
  <c r="B40" i="9"/>
  <c r="C40" i="9"/>
  <c r="D40" i="9"/>
  <c r="E40" i="9"/>
  <c r="F40" i="9"/>
  <c r="G40" i="9"/>
  <c r="H40" i="9"/>
  <c r="I40" i="9"/>
  <c r="B41" i="9"/>
  <c r="C41" i="9"/>
  <c r="D41" i="9"/>
  <c r="E41" i="9"/>
  <c r="F41" i="9"/>
  <c r="G41" i="9"/>
  <c r="H41" i="9"/>
  <c r="I41" i="9"/>
  <c r="B42" i="9"/>
  <c r="C42" i="9"/>
  <c r="D42" i="9"/>
  <c r="E42" i="9"/>
  <c r="F42" i="9"/>
  <c r="G42" i="9"/>
  <c r="H42" i="9"/>
  <c r="I42" i="9"/>
  <c r="B43" i="9"/>
  <c r="C43" i="9"/>
  <c r="D43" i="9"/>
  <c r="E43" i="9"/>
  <c r="F43" i="9"/>
  <c r="G43" i="9"/>
  <c r="H43" i="9"/>
  <c r="I43" i="9"/>
  <c r="B44" i="9"/>
  <c r="C44" i="9"/>
  <c r="D44" i="9"/>
  <c r="E44" i="9"/>
  <c r="F44" i="9"/>
  <c r="G44" i="9"/>
  <c r="H44" i="9"/>
  <c r="I44" i="9"/>
  <c r="B45" i="9"/>
  <c r="C45" i="9"/>
  <c r="D45" i="9"/>
  <c r="E45" i="9"/>
  <c r="F45" i="9"/>
  <c r="G45" i="9"/>
  <c r="H45" i="9"/>
  <c r="I45" i="9"/>
  <c r="B46" i="9"/>
  <c r="C46" i="9"/>
  <c r="D46" i="9"/>
  <c r="E46" i="9"/>
  <c r="F46" i="9"/>
  <c r="G46" i="9"/>
  <c r="H46" i="9"/>
  <c r="I46" i="9"/>
  <c r="B47" i="9"/>
  <c r="C47" i="9"/>
  <c r="D47" i="9"/>
  <c r="E47" i="9"/>
  <c r="F47" i="9"/>
  <c r="G47" i="9"/>
  <c r="H47" i="9"/>
  <c r="I47" i="9"/>
  <c r="B48" i="9"/>
  <c r="C48" i="9"/>
  <c r="D48" i="9"/>
  <c r="E48" i="9"/>
  <c r="F48" i="9"/>
  <c r="G48" i="9"/>
  <c r="H48" i="9"/>
  <c r="I48" i="9"/>
  <c r="B49" i="9"/>
  <c r="C49" i="9"/>
  <c r="D49" i="9"/>
  <c r="E49" i="9"/>
  <c r="F49" i="9"/>
  <c r="G49" i="9"/>
  <c r="H49" i="9"/>
  <c r="I49" i="9"/>
  <c r="B50" i="9"/>
  <c r="C50" i="9"/>
  <c r="D50" i="9"/>
  <c r="E50" i="9"/>
  <c r="F50" i="9"/>
  <c r="G50" i="9"/>
  <c r="H50" i="9"/>
  <c r="I50" i="9"/>
  <c r="B51" i="9"/>
  <c r="C51" i="9"/>
  <c r="D51" i="9"/>
  <c r="E51" i="9"/>
  <c r="F51" i="9"/>
  <c r="G51" i="9"/>
  <c r="H51" i="9"/>
  <c r="I51" i="9"/>
  <c r="B52" i="9"/>
  <c r="C52" i="9"/>
  <c r="D52" i="9"/>
  <c r="E52" i="9"/>
  <c r="F52" i="9"/>
  <c r="G52" i="9"/>
  <c r="H52" i="9"/>
  <c r="I52" i="9"/>
  <c r="B53" i="9"/>
  <c r="C53" i="9"/>
  <c r="D53" i="9"/>
  <c r="E53" i="9"/>
  <c r="F53" i="9"/>
  <c r="G53" i="9"/>
  <c r="H53" i="9"/>
  <c r="I53" i="9"/>
  <c r="B54" i="9"/>
  <c r="C54" i="9"/>
  <c r="D54" i="9"/>
  <c r="E54" i="9"/>
  <c r="F54" i="9"/>
  <c r="G54" i="9"/>
  <c r="H54" i="9"/>
  <c r="I54" i="9"/>
  <c r="B55" i="9"/>
  <c r="C55" i="9"/>
  <c r="D55" i="9"/>
  <c r="E55" i="9"/>
  <c r="F55" i="9"/>
  <c r="G55" i="9"/>
  <c r="H55" i="9"/>
  <c r="I55" i="9"/>
  <c r="B56" i="9"/>
  <c r="C56" i="9"/>
  <c r="D56" i="9"/>
  <c r="E56" i="9"/>
  <c r="F56" i="9"/>
  <c r="G56" i="9"/>
  <c r="H56" i="9"/>
  <c r="I56" i="9"/>
  <c r="B57" i="9"/>
  <c r="C57" i="9"/>
  <c r="D57" i="9"/>
  <c r="E57" i="9"/>
  <c r="F57" i="9"/>
  <c r="G57" i="9"/>
  <c r="H57" i="9"/>
  <c r="I57" i="9"/>
  <c r="B58" i="9"/>
  <c r="C58" i="9"/>
  <c r="D58" i="9"/>
  <c r="E58" i="9"/>
  <c r="F58" i="9"/>
  <c r="G58" i="9"/>
  <c r="H58" i="9"/>
  <c r="I58" i="9"/>
  <c r="B59" i="9"/>
  <c r="C59" i="9"/>
  <c r="D59" i="9"/>
  <c r="E59" i="9"/>
  <c r="F59" i="9"/>
  <c r="G59" i="9"/>
  <c r="H59" i="9"/>
  <c r="I59" i="9"/>
  <c r="B60" i="9"/>
  <c r="C60" i="9"/>
  <c r="D60" i="9"/>
  <c r="E60" i="9"/>
  <c r="F60" i="9"/>
  <c r="G60" i="9"/>
  <c r="H60" i="9"/>
  <c r="I60" i="9"/>
  <c r="B61" i="9"/>
  <c r="C61" i="9"/>
  <c r="D61" i="9"/>
  <c r="E61" i="9"/>
  <c r="F61" i="9"/>
  <c r="G61" i="9"/>
  <c r="H61" i="9"/>
  <c r="I61" i="9"/>
  <c r="B62" i="9"/>
  <c r="C62" i="9"/>
  <c r="D62" i="9"/>
  <c r="E62" i="9"/>
  <c r="F62" i="9"/>
  <c r="G62" i="9"/>
  <c r="H62" i="9"/>
  <c r="I62" i="9"/>
  <c r="B63" i="9"/>
  <c r="C63" i="9"/>
  <c r="D63" i="9"/>
  <c r="E63" i="9"/>
  <c r="F63" i="9"/>
  <c r="G63" i="9"/>
  <c r="H63" i="9"/>
  <c r="I63" i="9"/>
  <c r="B64" i="9"/>
  <c r="C64" i="9"/>
  <c r="D64" i="9"/>
  <c r="E64" i="9"/>
  <c r="F64" i="9"/>
  <c r="G64" i="9"/>
  <c r="H64" i="9"/>
  <c r="I64" i="9"/>
  <c r="B65" i="9"/>
  <c r="C65" i="9"/>
  <c r="D65" i="9"/>
  <c r="E65" i="9"/>
  <c r="F65" i="9"/>
  <c r="G65" i="9"/>
  <c r="H65" i="9"/>
  <c r="I65" i="9"/>
  <c r="B66" i="9"/>
  <c r="C66" i="9"/>
  <c r="D66" i="9"/>
  <c r="E66" i="9"/>
  <c r="F66" i="9"/>
  <c r="G66" i="9"/>
  <c r="H66" i="9"/>
  <c r="I66" i="9"/>
  <c r="B67" i="9"/>
  <c r="C67" i="9"/>
  <c r="D67" i="9"/>
  <c r="E67" i="9"/>
  <c r="F67" i="9"/>
  <c r="G67" i="9"/>
  <c r="H67" i="9"/>
  <c r="I67" i="9"/>
  <c r="B68" i="9"/>
  <c r="C68" i="9"/>
  <c r="D68" i="9"/>
  <c r="E68" i="9"/>
  <c r="F68" i="9"/>
  <c r="G68" i="9"/>
  <c r="H68" i="9"/>
  <c r="I68" i="9"/>
  <c r="B69" i="9"/>
  <c r="C69" i="9"/>
  <c r="D69" i="9"/>
  <c r="E69" i="9"/>
  <c r="F69" i="9"/>
  <c r="G69" i="9"/>
  <c r="H69" i="9"/>
  <c r="I69" i="9"/>
  <c r="B70" i="9"/>
  <c r="C70" i="9"/>
  <c r="D70" i="9"/>
  <c r="E70" i="9"/>
  <c r="F70" i="9"/>
  <c r="G70" i="9"/>
  <c r="H70" i="9"/>
  <c r="I70" i="9"/>
  <c r="B71" i="9"/>
  <c r="C71" i="9"/>
  <c r="D71" i="9"/>
  <c r="E71" i="9"/>
  <c r="F71" i="9"/>
  <c r="G71" i="9"/>
  <c r="H71" i="9"/>
  <c r="I71" i="9"/>
  <c r="B72" i="9"/>
  <c r="C72" i="9"/>
  <c r="D72" i="9"/>
  <c r="E72" i="9"/>
  <c r="F72" i="9"/>
  <c r="G72" i="9"/>
  <c r="H72" i="9"/>
  <c r="I72" i="9"/>
  <c r="B73" i="9"/>
  <c r="C73" i="9"/>
  <c r="D73" i="9"/>
  <c r="E73" i="9"/>
  <c r="F73" i="9"/>
  <c r="G73" i="9"/>
  <c r="H73" i="9"/>
  <c r="I73" i="9"/>
  <c r="B74" i="9"/>
  <c r="C74" i="9"/>
  <c r="D74" i="9"/>
  <c r="E74" i="9"/>
  <c r="F74" i="9"/>
  <c r="G74" i="9"/>
  <c r="H74" i="9"/>
  <c r="I74" i="9"/>
  <c r="B75" i="9"/>
  <c r="C75" i="9"/>
  <c r="D75" i="9"/>
  <c r="E75" i="9"/>
  <c r="F75" i="9"/>
  <c r="G75" i="9"/>
  <c r="H75" i="9"/>
  <c r="I75" i="9"/>
  <c r="B76" i="9"/>
  <c r="C76" i="9"/>
  <c r="D76" i="9"/>
  <c r="E76" i="9"/>
  <c r="F76" i="9"/>
  <c r="G76" i="9"/>
  <c r="H76" i="9"/>
  <c r="I76" i="9"/>
  <c r="B77" i="9"/>
  <c r="C77" i="9"/>
  <c r="D77" i="9"/>
  <c r="E77" i="9"/>
  <c r="F77" i="9"/>
  <c r="G77" i="9"/>
  <c r="H77" i="9"/>
  <c r="I77" i="9"/>
  <c r="B78" i="9"/>
  <c r="C78" i="9"/>
  <c r="D78" i="9"/>
  <c r="E78" i="9"/>
  <c r="F78" i="9"/>
  <c r="G78" i="9"/>
  <c r="H78" i="9"/>
  <c r="I78" i="9"/>
  <c r="B79" i="9"/>
  <c r="C79" i="9"/>
  <c r="D79" i="9"/>
  <c r="E79" i="9"/>
  <c r="F79" i="9"/>
  <c r="G79" i="9"/>
  <c r="H79" i="9"/>
  <c r="I79" i="9"/>
  <c r="B80" i="9"/>
  <c r="C80" i="9"/>
  <c r="D80" i="9"/>
  <c r="E80" i="9"/>
  <c r="F80" i="9"/>
  <c r="G80" i="9"/>
  <c r="H80" i="9"/>
  <c r="I80" i="9"/>
  <c r="B81" i="9"/>
  <c r="C81" i="9"/>
  <c r="D81" i="9"/>
  <c r="E81" i="9"/>
  <c r="F81" i="9"/>
  <c r="G81" i="9"/>
  <c r="H81" i="9"/>
  <c r="I81" i="9"/>
  <c r="B82" i="9"/>
  <c r="C82" i="9"/>
  <c r="D82" i="9"/>
  <c r="E82" i="9"/>
  <c r="F82" i="9"/>
  <c r="G82" i="9"/>
  <c r="H82" i="9"/>
  <c r="I82" i="9"/>
  <c r="B83" i="9"/>
  <c r="C83" i="9"/>
  <c r="D83" i="9"/>
  <c r="E83" i="9"/>
  <c r="F83" i="9"/>
  <c r="G83" i="9"/>
  <c r="H83" i="9"/>
  <c r="I83" i="9"/>
  <c r="B84" i="9"/>
  <c r="C84" i="9"/>
  <c r="D84" i="9"/>
  <c r="E84" i="9"/>
  <c r="F84" i="9"/>
  <c r="G84" i="9"/>
  <c r="H84" i="9"/>
  <c r="I84" i="9"/>
  <c r="B85" i="9"/>
  <c r="C85" i="9"/>
  <c r="D85" i="9"/>
  <c r="E85" i="9"/>
  <c r="F85" i="9"/>
  <c r="G85" i="9"/>
  <c r="H85" i="9"/>
  <c r="I85" i="9"/>
  <c r="B86" i="9"/>
  <c r="C86" i="9"/>
  <c r="D86" i="9"/>
  <c r="E86" i="9"/>
  <c r="F86" i="9"/>
  <c r="G86" i="9"/>
  <c r="H86" i="9"/>
  <c r="I86" i="9"/>
  <c r="B87" i="9"/>
  <c r="C87" i="9"/>
  <c r="D87" i="9"/>
  <c r="E87" i="9"/>
  <c r="F87" i="9"/>
  <c r="G87" i="9"/>
  <c r="H87" i="9"/>
  <c r="I87" i="9"/>
  <c r="B88" i="9"/>
  <c r="C88" i="9"/>
  <c r="D88" i="9"/>
  <c r="E88" i="9"/>
  <c r="F88" i="9"/>
  <c r="G88" i="9"/>
  <c r="H88" i="9"/>
  <c r="I88" i="9"/>
  <c r="B89" i="9"/>
  <c r="C89" i="9"/>
  <c r="D89" i="9"/>
  <c r="E89" i="9"/>
  <c r="F89" i="9"/>
  <c r="G89" i="9"/>
  <c r="H89" i="9"/>
  <c r="I89" i="9"/>
  <c r="B90" i="9"/>
  <c r="C90" i="9"/>
  <c r="D90" i="9"/>
  <c r="E90" i="9"/>
  <c r="F90" i="9"/>
  <c r="G90" i="9"/>
  <c r="H90" i="9"/>
  <c r="I90" i="9"/>
  <c r="B91" i="9"/>
  <c r="C91" i="9"/>
  <c r="D91" i="9"/>
  <c r="E91" i="9"/>
  <c r="F91" i="9"/>
  <c r="G91" i="9"/>
  <c r="H91" i="9"/>
  <c r="I91" i="9"/>
  <c r="B92" i="9"/>
  <c r="C92" i="9"/>
  <c r="D92" i="9"/>
  <c r="E92" i="9"/>
  <c r="F92" i="9"/>
  <c r="G92" i="9"/>
  <c r="H92" i="9"/>
  <c r="I92" i="9"/>
  <c r="B93" i="9"/>
  <c r="C93" i="9"/>
  <c r="D93" i="9"/>
  <c r="E93" i="9"/>
  <c r="F93" i="9"/>
  <c r="G93" i="9"/>
  <c r="H93" i="9"/>
  <c r="I93" i="9"/>
  <c r="B94" i="9"/>
  <c r="C94" i="9"/>
  <c r="D94" i="9"/>
  <c r="E94" i="9"/>
  <c r="F94" i="9"/>
  <c r="G94" i="9"/>
  <c r="H94" i="9"/>
  <c r="I94" i="9"/>
  <c r="B95" i="9"/>
  <c r="C95" i="9"/>
  <c r="D95" i="9"/>
  <c r="E95" i="9"/>
  <c r="F95" i="9"/>
  <c r="G95" i="9"/>
  <c r="H95" i="9"/>
  <c r="I95" i="9"/>
  <c r="B96" i="9"/>
  <c r="C96" i="9"/>
  <c r="D96" i="9"/>
  <c r="E96" i="9"/>
  <c r="F96" i="9"/>
  <c r="G96" i="9"/>
  <c r="H96" i="9"/>
  <c r="I96" i="9"/>
  <c r="B97" i="9"/>
  <c r="C97" i="9"/>
  <c r="D97" i="9"/>
  <c r="E97" i="9"/>
  <c r="F97" i="9"/>
  <c r="G97" i="9"/>
  <c r="H97" i="9"/>
  <c r="I97" i="9"/>
  <c r="B98" i="9"/>
  <c r="C98" i="9"/>
  <c r="D98" i="9"/>
  <c r="E98" i="9"/>
  <c r="F98" i="9"/>
  <c r="G98" i="9"/>
  <c r="H98" i="9"/>
  <c r="I98" i="9"/>
  <c r="B99" i="9"/>
  <c r="C99" i="9"/>
  <c r="D99" i="9"/>
  <c r="E99" i="9"/>
  <c r="F99" i="9"/>
  <c r="G99" i="9"/>
  <c r="H99" i="9"/>
  <c r="I99" i="9"/>
  <c r="B100" i="9"/>
  <c r="C100" i="9"/>
  <c r="D100" i="9"/>
  <c r="E100" i="9"/>
  <c r="F100" i="9"/>
  <c r="G100" i="9"/>
  <c r="H100" i="9"/>
  <c r="I100" i="9"/>
  <c r="B101" i="9"/>
  <c r="C101" i="9"/>
  <c r="D101" i="9"/>
  <c r="E101" i="9"/>
  <c r="F101" i="9"/>
  <c r="G101" i="9"/>
  <c r="H101" i="9"/>
  <c r="I101" i="9"/>
  <c r="B102" i="9"/>
  <c r="C102" i="9"/>
  <c r="D102" i="9"/>
  <c r="E102" i="9"/>
  <c r="F102" i="9"/>
  <c r="G102" i="9"/>
  <c r="H102" i="9"/>
  <c r="I102" i="9"/>
  <c r="B103" i="9"/>
  <c r="C103" i="9"/>
  <c r="D103" i="9"/>
  <c r="E103" i="9"/>
  <c r="F103" i="9"/>
  <c r="G103" i="9"/>
  <c r="H103" i="9"/>
  <c r="I103" i="9"/>
  <c r="B104" i="9"/>
  <c r="C104" i="9"/>
  <c r="D104" i="9"/>
  <c r="E104" i="9"/>
  <c r="F104" i="9"/>
  <c r="G104" i="9"/>
  <c r="H104" i="9"/>
  <c r="I104" i="9"/>
  <c r="B105" i="9"/>
  <c r="C105" i="9"/>
  <c r="D105" i="9"/>
  <c r="E105" i="9"/>
  <c r="F105" i="9"/>
  <c r="G105" i="9"/>
  <c r="H105" i="9"/>
  <c r="I105" i="9"/>
  <c r="B106" i="9"/>
  <c r="C106" i="9"/>
  <c r="D106" i="9"/>
  <c r="E106" i="9"/>
  <c r="F106" i="9"/>
  <c r="G106" i="9"/>
  <c r="H106" i="9"/>
  <c r="I106" i="9"/>
  <c r="B107" i="9"/>
  <c r="C107" i="9"/>
  <c r="D107" i="9"/>
  <c r="E107" i="9"/>
  <c r="F107" i="9"/>
  <c r="G107" i="9"/>
  <c r="H107" i="9"/>
  <c r="I107" i="9"/>
  <c r="B108" i="9"/>
  <c r="C108" i="9"/>
  <c r="D108" i="9"/>
  <c r="E108" i="9"/>
  <c r="F108" i="9"/>
  <c r="G108" i="9"/>
  <c r="H108" i="9"/>
  <c r="I108" i="9"/>
  <c r="B109" i="9"/>
  <c r="C109" i="9"/>
  <c r="D109" i="9"/>
  <c r="E109" i="9"/>
  <c r="F109" i="9"/>
  <c r="G109" i="9"/>
  <c r="H109" i="9"/>
  <c r="I109" i="9"/>
  <c r="B110" i="9"/>
  <c r="C110" i="9"/>
  <c r="D110" i="9"/>
  <c r="E110" i="9"/>
  <c r="F110" i="9"/>
  <c r="G110" i="9"/>
  <c r="H110" i="9"/>
  <c r="I110" i="9"/>
  <c r="B111" i="9"/>
  <c r="C111" i="9"/>
  <c r="D111" i="9"/>
  <c r="E111" i="9"/>
  <c r="F111" i="9"/>
  <c r="G111" i="9"/>
  <c r="H111" i="9"/>
  <c r="I111" i="9"/>
  <c r="B112" i="9"/>
  <c r="C112" i="9"/>
  <c r="D112" i="9"/>
  <c r="E112" i="9"/>
  <c r="F112" i="9"/>
  <c r="G112" i="9"/>
  <c r="H112" i="9"/>
  <c r="I112" i="9"/>
  <c r="B113" i="9"/>
  <c r="C113" i="9"/>
  <c r="D113" i="9"/>
  <c r="E113" i="9"/>
  <c r="F113" i="9"/>
  <c r="G113" i="9"/>
  <c r="H113" i="9"/>
  <c r="I113" i="9"/>
  <c r="B114" i="9"/>
  <c r="C114" i="9"/>
  <c r="D114" i="9"/>
  <c r="E114" i="9"/>
  <c r="F114" i="9"/>
  <c r="G114" i="9"/>
  <c r="H114" i="9"/>
  <c r="I114" i="9"/>
  <c r="B115" i="9"/>
  <c r="C115" i="9"/>
  <c r="D115" i="9"/>
  <c r="E115" i="9"/>
  <c r="F115" i="9"/>
  <c r="G115" i="9"/>
  <c r="H115" i="9"/>
  <c r="I115" i="9"/>
  <c r="B116" i="9"/>
  <c r="C116" i="9"/>
  <c r="D116" i="9"/>
  <c r="E116" i="9"/>
  <c r="F116" i="9"/>
  <c r="G116" i="9"/>
  <c r="H116" i="9"/>
  <c r="I116" i="9"/>
  <c r="B117" i="9"/>
  <c r="C117" i="9"/>
  <c r="D117" i="9"/>
  <c r="E117" i="9"/>
  <c r="F117" i="9"/>
  <c r="G117" i="9"/>
  <c r="H117" i="9"/>
  <c r="I117" i="9"/>
  <c r="B118" i="9"/>
  <c r="C118" i="9"/>
  <c r="D118" i="9"/>
  <c r="E118" i="9"/>
  <c r="F118" i="9"/>
  <c r="G118" i="9"/>
  <c r="H118" i="9"/>
  <c r="I118" i="9"/>
  <c r="B119" i="9"/>
  <c r="C119" i="9"/>
  <c r="D119" i="9"/>
  <c r="E119" i="9"/>
  <c r="F119" i="9"/>
  <c r="G119" i="9"/>
  <c r="H119" i="9"/>
  <c r="I119" i="9"/>
  <c r="B120" i="9"/>
  <c r="C120" i="9"/>
  <c r="D120" i="9"/>
  <c r="E120" i="9"/>
  <c r="F120" i="9"/>
  <c r="G120" i="9"/>
  <c r="H120" i="9"/>
  <c r="I120" i="9"/>
  <c r="B121" i="9"/>
  <c r="C121" i="9"/>
  <c r="D121" i="9"/>
  <c r="E121" i="9"/>
  <c r="F121" i="9"/>
  <c r="G121" i="9"/>
  <c r="H121" i="9"/>
  <c r="I121" i="9"/>
  <c r="B122" i="9"/>
  <c r="C122" i="9"/>
  <c r="D122" i="9"/>
  <c r="E122" i="9"/>
  <c r="F122" i="9"/>
  <c r="G122" i="9"/>
  <c r="H122" i="9"/>
  <c r="I122" i="9"/>
  <c r="B123" i="9"/>
  <c r="C123" i="9"/>
  <c r="D123" i="9"/>
  <c r="E123" i="9"/>
  <c r="F123" i="9"/>
  <c r="G123" i="9"/>
  <c r="H123" i="9"/>
  <c r="I123" i="9"/>
  <c r="B124" i="9"/>
  <c r="C124" i="9"/>
  <c r="D124" i="9"/>
  <c r="E124" i="9"/>
  <c r="F124" i="9"/>
  <c r="G124" i="9"/>
  <c r="H124" i="9"/>
  <c r="I124" i="9"/>
  <c r="B125" i="9"/>
  <c r="C125" i="9"/>
  <c r="D125" i="9"/>
  <c r="E125" i="9"/>
  <c r="F125" i="9"/>
  <c r="G125" i="9"/>
  <c r="H125" i="9"/>
  <c r="I125" i="9"/>
  <c r="B126" i="9"/>
  <c r="C126" i="9"/>
  <c r="D126" i="9"/>
  <c r="E126" i="9"/>
  <c r="F126" i="9"/>
  <c r="G126" i="9"/>
  <c r="H126" i="9"/>
  <c r="I126" i="9"/>
  <c r="B127" i="9"/>
  <c r="C127" i="9"/>
  <c r="D127" i="9"/>
  <c r="E127" i="9"/>
  <c r="F127" i="9"/>
  <c r="G127" i="9"/>
  <c r="H127" i="9"/>
  <c r="I127" i="9"/>
  <c r="B128" i="9"/>
  <c r="C128" i="9"/>
  <c r="D128" i="9"/>
  <c r="E128" i="9"/>
  <c r="F128" i="9"/>
  <c r="G128" i="9"/>
  <c r="H128" i="9"/>
  <c r="I128" i="9"/>
  <c r="B129" i="9"/>
  <c r="C129" i="9"/>
  <c r="D129" i="9"/>
  <c r="E129" i="9"/>
  <c r="F129" i="9"/>
  <c r="G129" i="9"/>
  <c r="H129" i="9"/>
  <c r="I129" i="9"/>
  <c r="B130" i="9"/>
  <c r="C130" i="9"/>
  <c r="D130" i="9"/>
  <c r="E130" i="9"/>
  <c r="F130" i="9"/>
  <c r="G130" i="9"/>
  <c r="H130" i="9"/>
  <c r="I130" i="9"/>
  <c r="B131" i="9"/>
  <c r="C131" i="9"/>
  <c r="D131" i="9"/>
  <c r="E131" i="9"/>
  <c r="F131" i="9"/>
  <c r="G131" i="9"/>
  <c r="H131" i="9"/>
  <c r="I131" i="9"/>
  <c r="B132" i="9"/>
  <c r="C132" i="9"/>
  <c r="D132" i="9"/>
  <c r="E132" i="9"/>
  <c r="F132" i="9"/>
  <c r="G132" i="9"/>
  <c r="H132" i="9"/>
  <c r="I132" i="9"/>
  <c r="B133" i="9"/>
  <c r="C133" i="9"/>
  <c r="D133" i="9"/>
  <c r="E133" i="9"/>
  <c r="F133" i="9"/>
  <c r="G133" i="9"/>
  <c r="H133" i="9"/>
  <c r="I133" i="9"/>
  <c r="B134" i="9"/>
  <c r="C134" i="9"/>
  <c r="D134" i="9"/>
  <c r="E134" i="9"/>
  <c r="F134" i="9"/>
  <c r="G134" i="9"/>
  <c r="H134" i="9"/>
  <c r="I134" i="9"/>
  <c r="B135" i="9"/>
  <c r="C135" i="9"/>
  <c r="D135" i="9"/>
  <c r="E135" i="9"/>
  <c r="F135" i="9"/>
  <c r="G135" i="9"/>
  <c r="H135" i="9"/>
  <c r="I135" i="9"/>
  <c r="B136" i="9"/>
  <c r="C136" i="9"/>
  <c r="D136" i="9"/>
  <c r="E136" i="9"/>
  <c r="F136" i="9"/>
  <c r="G136" i="9"/>
  <c r="H136" i="9"/>
  <c r="I136" i="9"/>
  <c r="B137" i="9"/>
  <c r="C137" i="9"/>
  <c r="D137" i="9"/>
  <c r="E137" i="9"/>
  <c r="F137" i="9"/>
  <c r="G137" i="9"/>
  <c r="H137" i="9"/>
  <c r="I137" i="9"/>
  <c r="B138" i="9"/>
  <c r="C138" i="9"/>
  <c r="D138" i="9"/>
  <c r="E138" i="9"/>
  <c r="F138" i="9"/>
  <c r="G138" i="9"/>
  <c r="H138" i="9"/>
  <c r="I138" i="9"/>
  <c r="B139" i="9"/>
  <c r="C139" i="9"/>
  <c r="D139" i="9"/>
  <c r="E139" i="9"/>
  <c r="F139" i="9"/>
  <c r="G139" i="9"/>
  <c r="H139" i="9"/>
  <c r="I139" i="9"/>
  <c r="B140" i="9"/>
  <c r="C140" i="9"/>
  <c r="D140" i="9"/>
  <c r="E140" i="9"/>
  <c r="F140" i="9"/>
  <c r="G140" i="9"/>
  <c r="H140" i="9"/>
  <c r="I140" i="9"/>
  <c r="B141" i="9"/>
  <c r="C141" i="9"/>
  <c r="D141" i="9"/>
  <c r="E141" i="9"/>
  <c r="F141" i="9"/>
  <c r="G141" i="9"/>
  <c r="H141" i="9"/>
  <c r="I141" i="9"/>
  <c r="B142" i="9"/>
  <c r="C142" i="9"/>
  <c r="D142" i="9"/>
  <c r="E142" i="9"/>
  <c r="F142" i="9"/>
  <c r="G142" i="9"/>
  <c r="H142" i="9"/>
  <c r="I142" i="9"/>
  <c r="C4" i="9"/>
  <c r="D4" i="9"/>
  <c r="E4" i="9"/>
  <c r="F4" i="9"/>
  <c r="G4" i="9"/>
  <c r="H4" i="9"/>
  <c r="I4" i="9"/>
  <c r="B4" i="9"/>
  <c r="A17" i="7" l="1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B4" i="7"/>
  <c r="A4" i="7"/>
  <c r="F29" i="6" l="1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39" i="5" l="1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J7" i="5"/>
  <c r="J8" i="5"/>
  <c r="J9" i="5"/>
  <c r="J10" i="5"/>
  <c r="J11" i="5"/>
  <c r="J12" i="5"/>
  <c r="J13" i="5"/>
  <c r="I13" i="5"/>
  <c r="I12" i="5"/>
  <c r="I11" i="5"/>
  <c r="I10" i="5"/>
  <c r="I9" i="5"/>
  <c r="I8" i="5"/>
  <c r="I7" i="5"/>
  <c r="C5" i="5" l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4" i="5"/>
  <c r="I6" i="5" l="1"/>
  <c r="J6" i="5" s="1"/>
  <c r="I5" i="5"/>
  <c r="J5" i="5" s="1"/>
  <c r="I4" i="5"/>
  <c r="J4" i="5" s="1"/>
  <c r="E61" i="5"/>
  <c r="E65" i="5"/>
  <c r="E69" i="5"/>
  <c r="E73" i="5"/>
  <c r="E62" i="5"/>
  <c r="E66" i="5"/>
  <c r="E70" i="5"/>
  <c r="E59" i="5"/>
  <c r="E63" i="5"/>
  <c r="E67" i="5"/>
  <c r="E71" i="5"/>
  <c r="E60" i="5"/>
  <c r="E64" i="5"/>
  <c r="E68" i="5"/>
  <c r="E72" i="5"/>
  <c r="E39" i="5"/>
  <c r="E43" i="5"/>
  <c r="E47" i="5"/>
  <c r="E51" i="5"/>
  <c r="E55" i="5"/>
  <c r="E40" i="5"/>
  <c r="E44" i="5"/>
  <c r="E48" i="5"/>
  <c r="E52" i="5"/>
  <c r="E56" i="5"/>
  <c r="E42" i="5"/>
  <c r="E46" i="5"/>
  <c r="E50" i="5"/>
  <c r="E54" i="5"/>
  <c r="E58" i="5"/>
  <c r="E41" i="5"/>
  <c r="E45" i="5"/>
  <c r="E49" i="5"/>
  <c r="E53" i="5"/>
  <c r="E57" i="5"/>
  <c r="E5" i="5"/>
  <c r="E9" i="5"/>
  <c r="E13" i="5"/>
  <c r="E17" i="5"/>
  <c r="E21" i="5"/>
  <c r="E25" i="5"/>
  <c r="E29" i="5"/>
  <c r="E33" i="5"/>
  <c r="E35" i="5"/>
  <c r="E6" i="5"/>
  <c r="E10" i="5"/>
  <c r="E14" i="5"/>
  <c r="E18" i="5"/>
  <c r="E22" i="5"/>
  <c r="E26" i="5"/>
  <c r="E30" i="5"/>
  <c r="E4" i="5"/>
  <c r="E34" i="5"/>
  <c r="E23" i="5"/>
  <c r="E31" i="5"/>
  <c r="E8" i="5"/>
  <c r="E12" i="5"/>
  <c r="E16" i="5"/>
  <c r="E20" i="5"/>
  <c r="E24" i="5"/>
  <c r="E28" i="5"/>
  <c r="E32" i="5"/>
  <c r="E7" i="5"/>
  <c r="E11" i="5"/>
  <c r="E15" i="5"/>
  <c r="E19" i="5"/>
  <c r="E27" i="5"/>
  <c r="E36" i="5"/>
  <c r="E38" i="5"/>
  <c r="E37" i="5"/>
  <c r="AA6" i="4" l="1"/>
  <c r="Y6" i="4"/>
  <c r="W6" i="4"/>
  <c r="U48" i="4" l="1"/>
  <c r="U49" i="4"/>
  <c r="U51" i="4"/>
  <c r="U89" i="4"/>
  <c r="U106" i="4"/>
  <c r="U111" i="4"/>
  <c r="U120" i="4"/>
  <c r="F27" i="6" s="1"/>
  <c r="U122" i="4"/>
  <c r="U123" i="4"/>
  <c r="U129" i="4"/>
  <c r="U130" i="4"/>
  <c r="Q8" i="4" l="1"/>
  <c r="R8" i="4"/>
  <c r="Q9" i="4"/>
  <c r="R9" i="4"/>
  <c r="Q10" i="4"/>
  <c r="R10" i="4"/>
  <c r="Q11" i="4"/>
  <c r="R11" i="4"/>
  <c r="Q12" i="4"/>
  <c r="R12" i="4"/>
  <c r="Q15" i="4"/>
  <c r="R15" i="4"/>
  <c r="Q16" i="4"/>
  <c r="R16" i="4"/>
  <c r="Q17" i="4"/>
  <c r="R17" i="4"/>
  <c r="Q18" i="4"/>
  <c r="R18" i="4"/>
  <c r="Q19" i="4"/>
  <c r="R19" i="4"/>
  <c r="Q20" i="4"/>
  <c r="R20" i="4"/>
  <c r="Q21" i="4"/>
  <c r="R21" i="4"/>
  <c r="Q27" i="4"/>
  <c r="R27" i="4"/>
  <c r="Q28" i="4"/>
  <c r="R28" i="4"/>
  <c r="Q29" i="4"/>
  <c r="R29" i="4"/>
  <c r="Q30" i="4"/>
  <c r="R30" i="4"/>
  <c r="Q31" i="4"/>
  <c r="R31" i="4"/>
  <c r="Q32" i="4"/>
  <c r="R32" i="4"/>
  <c r="Q52" i="4"/>
  <c r="R52" i="4"/>
  <c r="Q53" i="4"/>
  <c r="R53" i="4"/>
  <c r="Q54" i="4"/>
  <c r="R54" i="4"/>
  <c r="Q55" i="4"/>
  <c r="R55" i="4"/>
  <c r="Q56" i="4"/>
  <c r="R56" i="4"/>
  <c r="Q57" i="4"/>
  <c r="R57" i="4"/>
  <c r="Q63" i="4"/>
  <c r="R63" i="4"/>
  <c r="Q64" i="4"/>
  <c r="R64" i="4"/>
  <c r="Q65" i="4"/>
  <c r="R65" i="4"/>
  <c r="Q66" i="4"/>
  <c r="R66" i="4"/>
  <c r="Q67" i="4"/>
  <c r="R67" i="4"/>
  <c r="Q68" i="4"/>
  <c r="R68" i="4"/>
  <c r="Q69" i="4"/>
  <c r="R69" i="4"/>
  <c r="Q70" i="4"/>
  <c r="R70" i="4"/>
  <c r="Q71" i="4"/>
  <c r="U71" i="4" s="1"/>
  <c r="R71" i="4"/>
  <c r="Q72" i="4"/>
  <c r="R72" i="4"/>
  <c r="Q73" i="4"/>
  <c r="R73" i="4"/>
  <c r="Q74" i="4"/>
  <c r="R74" i="4"/>
  <c r="Q75" i="4"/>
  <c r="R75" i="4"/>
  <c r="Q76" i="4"/>
  <c r="U76" i="4" s="1"/>
  <c r="R76" i="4"/>
  <c r="Q77" i="4"/>
  <c r="C16" i="6" s="1"/>
  <c r="R77" i="4"/>
  <c r="U86" i="4"/>
  <c r="Q87" i="4"/>
  <c r="R87" i="4"/>
  <c r="Q88" i="4"/>
  <c r="R88" i="4"/>
  <c r="Q89" i="4"/>
  <c r="R89" i="4"/>
  <c r="Q90" i="4"/>
  <c r="R90" i="4"/>
  <c r="Q91" i="4"/>
  <c r="R91" i="4"/>
  <c r="Q92" i="4"/>
  <c r="R92" i="4"/>
  <c r="Q93" i="4"/>
  <c r="C17" i="6" s="1"/>
  <c r="R93" i="4"/>
  <c r="Q99" i="4"/>
  <c r="R99" i="4"/>
  <c r="Q100" i="4"/>
  <c r="U100" i="4" s="1"/>
  <c r="R100" i="4"/>
  <c r="Q101" i="4"/>
  <c r="R101" i="4"/>
  <c r="Q102" i="4"/>
  <c r="R102" i="4"/>
  <c r="Q103" i="4"/>
  <c r="R103" i="4"/>
  <c r="Q104" i="4"/>
  <c r="R104" i="4"/>
  <c r="Q105" i="4"/>
  <c r="R105" i="4"/>
  <c r="Q106" i="4"/>
  <c r="R106" i="4"/>
  <c r="Q107" i="4"/>
  <c r="C18" i="6" s="1"/>
  <c r="R107" i="4"/>
  <c r="Q108" i="4"/>
  <c r="C19" i="6" s="1"/>
  <c r="R108" i="4"/>
  <c r="Q109" i="4"/>
  <c r="C20" i="6" s="1"/>
  <c r="R109" i="4"/>
  <c r="Q110" i="4"/>
  <c r="R110" i="4"/>
  <c r="Q111" i="4"/>
  <c r="R111" i="4"/>
  <c r="Q112" i="4"/>
  <c r="R112" i="4"/>
  <c r="R113" i="4"/>
  <c r="U115" i="4"/>
  <c r="Q116" i="4"/>
  <c r="R116" i="4"/>
  <c r="Q122" i="4"/>
  <c r="R122" i="4"/>
  <c r="Q123" i="4"/>
  <c r="R123" i="4"/>
  <c r="C22" i="6"/>
  <c r="R125" i="4"/>
  <c r="C23" i="6"/>
  <c r="C24" i="6"/>
  <c r="C25" i="6"/>
  <c r="Q130" i="4"/>
  <c r="R130" i="4"/>
  <c r="R7" i="4"/>
  <c r="Q7" i="4"/>
  <c r="U110" i="4" l="1"/>
  <c r="U104" i="4"/>
  <c r="C14" i="6"/>
  <c r="U75" i="4"/>
  <c r="C13" i="6"/>
  <c r="U74" i="4"/>
  <c r="U73" i="4"/>
  <c r="U69" i="4"/>
  <c r="U67" i="4"/>
  <c r="U66" i="4"/>
  <c r="U87" i="4"/>
  <c r="C21" i="6"/>
  <c r="U90" i="4"/>
  <c r="U56" i="4"/>
  <c r="C15" i="6"/>
  <c r="U54" i="4"/>
  <c r="U30" i="4"/>
  <c r="U18" i="4"/>
  <c r="A3" i="4"/>
  <c r="J99" i="4" l="1"/>
  <c r="J100" i="4"/>
  <c r="J101" i="4"/>
  <c r="J102" i="4"/>
  <c r="J103" i="4"/>
  <c r="J104" i="4"/>
  <c r="J105" i="4"/>
  <c r="J106" i="4"/>
  <c r="J107" i="4"/>
  <c r="J108" i="4"/>
  <c r="E13" i="7" s="1"/>
  <c r="J109" i="4"/>
  <c r="J110" i="4"/>
  <c r="J111" i="4"/>
  <c r="J112" i="4"/>
  <c r="D7" i="5" s="1"/>
  <c r="J113" i="4"/>
  <c r="D8" i="5" s="1"/>
  <c r="J114" i="4"/>
  <c r="J115" i="4"/>
  <c r="J116" i="4"/>
  <c r="J117" i="4"/>
  <c r="J118" i="4"/>
  <c r="J119" i="4"/>
  <c r="D13" i="5" s="1"/>
  <c r="J120" i="4"/>
  <c r="J121" i="4"/>
  <c r="J122" i="4"/>
  <c r="J123" i="4"/>
  <c r="J124" i="4"/>
  <c r="J125" i="4"/>
  <c r="J126" i="4"/>
  <c r="D37" i="6" s="1"/>
  <c r="E37" i="6" s="1"/>
  <c r="J127" i="4"/>
  <c r="E15" i="7" s="1"/>
  <c r="J128" i="4"/>
  <c r="J129" i="4"/>
  <c r="E16" i="7" s="1"/>
  <c r="J130" i="4"/>
  <c r="J131" i="4"/>
  <c r="J132" i="4"/>
  <c r="J133" i="4"/>
  <c r="J134" i="4"/>
  <c r="J135" i="4"/>
  <c r="J136" i="4"/>
  <c r="J87" i="4"/>
  <c r="E11" i="7"/>
  <c r="E87" i="4"/>
  <c r="J70" i="4"/>
  <c r="J71" i="4"/>
  <c r="J72" i="4"/>
  <c r="J73" i="4"/>
  <c r="J74" i="4"/>
  <c r="J75" i="4"/>
  <c r="J76" i="4"/>
  <c r="J77" i="4"/>
  <c r="D4" i="5" l="1"/>
  <c r="D18" i="5"/>
  <c r="D6" i="5"/>
  <c r="D5" i="5"/>
  <c r="E14" i="7"/>
  <c r="E10" i="7"/>
  <c r="D15" i="6"/>
  <c r="E15" i="6" s="1"/>
  <c r="D16" i="6"/>
  <c r="E16" i="6" s="1"/>
  <c r="E9" i="7"/>
  <c r="D14" i="6"/>
  <c r="E14" i="6" s="1"/>
  <c r="D13" i="6"/>
  <c r="E13" i="6" s="1"/>
  <c r="E12" i="7"/>
  <c r="D17" i="6"/>
  <c r="E17" i="6" s="1"/>
  <c r="D53" i="6"/>
  <c r="E53" i="6" s="1"/>
  <c r="D54" i="6"/>
  <c r="E54" i="6" s="1"/>
  <c r="D55" i="6"/>
  <c r="E55" i="6" s="1"/>
  <c r="D52" i="6"/>
  <c r="E52" i="6" s="1"/>
  <c r="D17" i="5"/>
  <c r="D21" i="6"/>
  <c r="E21" i="6" s="1"/>
  <c r="D20" i="6"/>
  <c r="E20" i="6" s="1"/>
  <c r="D19" i="6"/>
  <c r="E19" i="6" s="1"/>
  <c r="D18" i="6"/>
  <c r="E18" i="6" s="1"/>
  <c r="D34" i="6"/>
  <c r="E34" i="6" s="1"/>
  <c r="D31" i="6"/>
  <c r="E31" i="6" s="1"/>
  <c r="D35" i="6"/>
  <c r="E35" i="6" s="1"/>
  <c r="D32" i="6"/>
  <c r="E32" i="6" s="1"/>
  <c r="D36" i="6"/>
  <c r="E36" i="6" s="1"/>
  <c r="D33" i="6"/>
  <c r="E33" i="6" s="1"/>
  <c r="D27" i="6"/>
  <c r="E27" i="6" s="1"/>
  <c r="D28" i="6"/>
  <c r="E28" i="6" s="1"/>
  <c r="D11" i="5"/>
  <c r="D50" i="6"/>
  <c r="E50" i="6" s="1"/>
  <c r="D51" i="6"/>
  <c r="E51" i="6" s="1"/>
  <c r="D16" i="5"/>
  <c r="D30" i="6"/>
  <c r="E30" i="6" s="1"/>
  <c r="D29" i="6"/>
  <c r="E29" i="6" s="1"/>
  <c r="D12" i="5"/>
  <c r="D9" i="5"/>
  <c r="D22" i="6"/>
  <c r="E22" i="6" s="1"/>
  <c r="D23" i="6"/>
  <c r="E23" i="6" s="1"/>
  <c r="D129" i="6"/>
  <c r="E129" i="6" s="1"/>
  <c r="D130" i="6"/>
  <c r="E130" i="6" s="1"/>
  <c r="D131" i="6"/>
  <c r="E131" i="6" s="1"/>
  <c r="D132" i="6"/>
  <c r="E132" i="6" s="1"/>
  <c r="D57" i="6"/>
  <c r="E57" i="6" s="1"/>
  <c r="D58" i="6"/>
  <c r="E58" i="6" s="1"/>
  <c r="D59" i="6"/>
  <c r="E59" i="6" s="1"/>
  <c r="D56" i="6"/>
  <c r="E56" i="6" s="1"/>
  <c r="D60" i="6"/>
  <c r="E60" i="6" s="1"/>
  <c r="D49" i="6"/>
  <c r="E49" i="6" s="1"/>
  <c r="D48" i="6"/>
  <c r="E48" i="6" s="1"/>
  <c r="D15" i="5"/>
  <c r="D46" i="6"/>
  <c r="E46" i="6" s="1"/>
  <c r="D47" i="6"/>
  <c r="E47" i="6" s="1"/>
  <c r="D14" i="5"/>
  <c r="D41" i="6"/>
  <c r="E41" i="6" s="1"/>
  <c r="D45" i="6"/>
  <c r="E45" i="6" s="1"/>
  <c r="D38" i="6"/>
  <c r="E38" i="6" s="1"/>
  <c r="D42" i="6"/>
  <c r="E42" i="6" s="1"/>
  <c r="D39" i="6"/>
  <c r="E39" i="6" s="1"/>
  <c r="D43" i="6"/>
  <c r="E43" i="6" s="1"/>
  <c r="D40" i="6"/>
  <c r="E40" i="6" s="1"/>
  <c r="D44" i="6"/>
  <c r="E44" i="6" s="1"/>
  <c r="D26" i="6"/>
  <c r="E26" i="6" s="1"/>
  <c r="D10" i="5"/>
  <c r="D24" i="6"/>
  <c r="E24" i="6" s="1"/>
  <c r="D25" i="6"/>
  <c r="E25" i="6" s="1"/>
  <c r="D141" i="6"/>
  <c r="E141" i="6" s="1"/>
  <c r="E99" i="4"/>
  <c r="D65" i="6"/>
  <c r="E65" i="6" s="1"/>
  <c r="D62" i="6"/>
  <c r="E62" i="6" s="1"/>
  <c r="D23" i="5"/>
  <c r="D28" i="5"/>
  <c r="D61" i="6"/>
  <c r="E61" i="6" s="1"/>
  <c r="D66" i="6" l="1"/>
  <c r="E66" i="6" s="1"/>
  <c r="D67" i="6"/>
  <c r="E67" i="6" s="1"/>
  <c r="D68" i="6"/>
  <c r="E68" i="6" s="1"/>
  <c r="D139" i="6"/>
  <c r="E139" i="6" s="1"/>
  <c r="D138" i="6"/>
  <c r="E138" i="6" s="1"/>
  <c r="D140" i="6"/>
  <c r="E140" i="6" s="1"/>
  <c r="D137" i="6"/>
  <c r="E137" i="6" s="1"/>
  <c r="D89" i="6"/>
  <c r="E89" i="6" s="1"/>
  <c r="D90" i="6"/>
  <c r="E90" i="6" s="1"/>
  <c r="D91" i="6"/>
  <c r="E91" i="6" s="1"/>
  <c r="D92" i="6"/>
  <c r="E92" i="6" s="1"/>
  <c r="D25" i="5"/>
  <c r="D93" i="6"/>
  <c r="E93" i="6" s="1"/>
  <c r="D94" i="6"/>
  <c r="E94" i="6" s="1"/>
  <c r="D95" i="6"/>
  <c r="E95" i="6" s="1"/>
  <c r="D96" i="6"/>
  <c r="E96" i="6" s="1"/>
  <c r="D26" i="5"/>
  <c r="D63" i="6"/>
  <c r="E63" i="6" s="1"/>
  <c r="D64" i="6"/>
  <c r="E64" i="6" s="1"/>
  <c r="D97" i="6"/>
  <c r="E97" i="6" s="1"/>
  <c r="D98" i="6"/>
  <c r="E98" i="6" s="1"/>
  <c r="D99" i="6"/>
  <c r="E99" i="6" s="1"/>
  <c r="D100" i="6"/>
  <c r="E100" i="6" s="1"/>
  <c r="D27" i="5"/>
  <c r="D133" i="6"/>
  <c r="E133" i="6" s="1"/>
  <c r="D135" i="6"/>
  <c r="E135" i="6" s="1"/>
  <c r="D136" i="6"/>
  <c r="E136" i="6" s="1"/>
  <c r="D134" i="6"/>
  <c r="E134" i="6" s="1"/>
  <c r="D101" i="6"/>
  <c r="E101" i="6" s="1"/>
  <c r="D102" i="6"/>
  <c r="E102" i="6" s="1"/>
  <c r="D103" i="6"/>
  <c r="E103" i="6" s="1"/>
  <c r="D104" i="6"/>
  <c r="E104" i="6" s="1"/>
  <c r="D69" i="6"/>
  <c r="E69" i="6" s="1"/>
  <c r="D70" i="6"/>
  <c r="E70" i="6" s="1"/>
  <c r="D71" i="6"/>
  <c r="E71" i="6" s="1"/>
  <c r="D19" i="5"/>
  <c r="D109" i="6"/>
  <c r="E109" i="6" s="1"/>
  <c r="D110" i="6"/>
  <c r="E110" i="6" s="1"/>
  <c r="D111" i="6"/>
  <c r="E111" i="6" s="1"/>
  <c r="D112" i="6"/>
  <c r="E112" i="6" s="1"/>
  <c r="D73" i="6"/>
  <c r="E73" i="6" s="1"/>
  <c r="D74" i="6"/>
  <c r="E74" i="6" s="1"/>
  <c r="D72" i="6"/>
  <c r="E72" i="6" s="1"/>
  <c r="D20" i="5"/>
  <c r="D113" i="6"/>
  <c r="E113" i="6" s="1"/>
  <c r="D114" i="6"/>
  <c r="E114" i="6" s="1"/>
  <c r="D115" i="6"/>
  <c r="E115" i="6" s="1"/>
  <c r="D116" i="6"/>
  <c r="E116" i="6" s="1"/>
  <c r="D77" i="6"/>
  <c r="E77" i="6" s="1"/>
  <c r="D75" i="6"/>
  <c r="E75" i="6" s="1"/>
  <c r="D76" i="6"/>
  <c r="E76" i="6" s="1"/>
  <c r="D21" i="5"/>
  <c r="D117" i="6"/>
  <c r="E117" i="6" s="1"/>
  <c r="D119" i="6"/>
  <c r="E119" i="6" s="1"/>
  <c r="D118" i="6"/>
  <c r="E118" i="6" s="1"/>
  <c r="D120" i="6"/>
  <c r="E120" i="6" s="1"/>
  <c r="D78" i="6"/>
  <c r="E78" i="6" s="1"/>
  <c r="D79" i="6"/>
  <c r="E79" i="6" s="1"/>
  <c r="D80" i="6"/>
  <c r="E80" i="6" s="1"/>
  <c r="D22" i="5"/>
  <c r="D121" i="6"/>
  <c r="E121" i="6" s="1"/>
  <c r="D123" i="6"/>
  <c r="E123" i="6" s="1"/>
  <c r="D124" i="6"/>
  <c r="E124" i="6" s="1"/>
  <c r="D122" i="6"/>
  <c r="E122" i="6" s="1"/>
  <c r="D105" i="6"/>
  <c r="E105" i="6" s="1"/>
  <c r="D107" i="6"/>
  <c r="E107" i="6" s="1"/>
  <c r="D108" i="6"/>
  <c r="E108" i="6" s="1"/>
  <c r="D106" i="6"/>
  <c r="E106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24" i="5"/>
  <c r="D125" i="6"/>
  <c r="E125" i="6" s="1"/>
  <c r="D126" i="6"/>
  <c r="E126" i="6" s="1"/>
  <c r="D127" i="6"/>
  <c r="E127" i="6" s="1"/>
  <c r="D128" i="6"/>
  <c r="E128" i="6" s="1"/>
  <c r="J69" i="4" l="1"/>
  <c r="J63" i="4"/>
  <c r="J64" i="4"/>
  <c r="J65" i="4"/>
  <c r="J66" i="4"/>
  <c r="J67" i="4"/>
  <c r="J68" i="4"/>
  <c r="G4" i="1" l="1"/>
  <c r="J51" i="4" l="1"/>
  <c r="E5" i="7" s="1"/>
  <c r="J52" i="4"/>
  <c r="J53" i="4"/>
  <c r="E6" i="7" s="1"/>
  <c r="J54" i="4"/>
  <c r="E7" i="7" s="1"/>
  <c r="J55" i="4"/>
  <c r="J56" i="4"/>
  <c r="J57" i="4"/>
  <c r="D12" i="6" s="1"/>
  <c r="E12" i="6" s="1"/>
  <c r="D10" i="6" l="1"/>
  <c r="E10" i="6" s="1"/>
  <c r="E8" i="7"/>
  <c r="D11" i="6"/>
  <c r="E11" i="6" s="1"/>
  <c r="E51" i="4"/>
  <c r="J49" i="4"/>
  <c r="J50" i="4"/>
  <c r="E44" i="4"/>
  <c r="J44" i="4"/>
  <c r="J46" i="4"/>
  <c r="J47" i="4"/>
  <c r="J48" i="4"/>
  <c r="J30" i="4"/>
  <c r="J31" i="4"/>
  <c r="J32" i="4"/>
  <c r="E27" i="4"/>
  <c r="E15" i="4"/>
  <c r="E6" i="4"/>
  <c r="J29" i="4"/>
  <c r="J7" i="4"/>
  <c r="J8" i="4"/>
  <c r="J9" i="4"/>
  <c r="J10" i="4"/>
  <c r="J11" i="4"/>
  <c r="J12" i="4"/>
  <c r="J14" i="4"/>
  <c r="J15" i="4"/>
  <c r="J16" i="4"/>
  <c r="J17" i="4"/>
  <c r="E4" i="7" s="1"/>
  <c r="J18" i="4"/>
  <c r="J19" i="4"/>
  <c r="J20" i="4"/>
  <c r="J21" i="4"/>
  <c r="J26" i="4"/>
  <c r="J27" i="4"/>
  <c r="J28" i="4"/>
  <c r="J6" i="4"/>
  <c r="D51" i="4" l="1"/>
  <c r="D15" i="4"/>
  <c r="D27" i="4"/>
  <c r="D44" i="4"/>
  <c r="D63" i="4"/>
  <c r="D87" i="4"/>
  <c r="D6" i="4"/>
  <c r="C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3" i="3"/>
  <c r="F12" i="1" l="1"/>
  <c r="G12" i="1" s="1"/>
  <c r="C4" i="1"/>
  <c r="D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4" i="1"/>
  <c r="H43" i="6" l="1"/>
  <c r="H48" i="6"/>
  <c r="H87" i="6"/>
  <c r="H104" i="6"/>
  <c r="H51" i="6"/>
  <c r="H52" i="6"/>
  <c r="H53" i="6"/>
  <c r="H140" i="6"/>
  <c r="H100" i="6"/>
  <c r="H133" i="6"/>
  <c r="H123" i="6"/>
  <c r="H10" i="6"/>
  <c r="H64" i="6"/>
  <c r="H82" i="6"/>
  <c r="H46" i="6"/>
  <c r="H30" i="6"/>
  <c r="H118" i="6"/>
  <c r="H33" i="6"/>
  <c r="H63" i="6"/>
  <c r="H31" i="6"/>
  <c r="H81" i="6"/>
  <c r="H116" i="6"/>
  <c r="H62" i="6"/>
  <c r="H37" i="6"/>
  <c r="H105" i="6"/>
  <c r="H96" i="6"/>
  <c r="H128" i="6"/>
  <c r="H85" i="6"/>
  <c r="H101" i="6"/>
  <c r="H44" i="6"/>
  <c r="H124" i="6"/>
  <c r="H70" i="6"/>
  <c r="H98" i="6"/>
  <c r="H76" i="6"/>
  <c r="H106" i="6"/>
  <c r="H110" i="6"/>
  <c r="H141" i="6"/>
  <c r="H93" i="6"/>
  <c r="H114" i="6"/>
  <c r="H49" i="6"/>
  <c r="H132" i="6"/>
  <c r="H113" i="6"/>
  <c r="H60" i="6"/>
  <c r="H66" i="6"/>
  <c r="H67" i="6"/>
  <c r="H83" i="6"/>
  <c r="H84" i="6"/>
  <c r="H78" i="6"/>
  <c r="H38" i="6"/>
  <c r="H102" i="6"/>
  <c r="H107" i="6"/>
  <c r="H117" i="6"/>
  <c r="H71" i="6"/>
  <c r="H91" i="6"/>
  <c r="H40" i="6"/>
  <c r="H32" i="6"/>
  <c r="H112" i="6"/>
  <c r="H41" i="6"/>
  <c r="H90" i="6"/>
  <c r="H12" i="6"/>
  <c r="H126" i="6"/>
  <c r="H77" i="6"/>
  <c r="H11" i="6"/>
  <c r="H92" i="6"/>
  <c r="H120" i="6"/>
  <c r="H35" i="6"/>
  <c r="H54" i="6"/>
  <c r="H39" i="6"/>
  <c r="H115" i="6"/>
  <c r="H42" i="6"/>
  <c r="H130" i="6"/>
  <c r="H122" i="6"/>
  <c r="H57" i="6"/>
  <c r="H73" i="6"/>
  <c r="H55" i="6"/>
  <c r="H97" i="6"/>
  <c r="H80" i="6"/>
  <c r="H109" i="6"/>
  <c r="H125" i="6"/>
  <c r="H56" i="6"/>
  <c r="H17" i="6"/>
  <c r="H138" i="6"/>
  <c r="H127" i="6"/>
  <c r="H103" i="6"/>
  <c r="H111" i="6"/>
  <c r="H94" i="6"/>
  <c r="H137" i="6"/>
  <c r="H29" i="6"/>
  <c r="H34" i="6"/>
  <c r="H131" i="6"/>
  <c r="H74" i="6"/>
  <c r="H135" i="6"/>
  <c r="H136" i="6"/>
  <c r="H108" i="6"/>
  <c r="H58" i="6"/>
  <c r="H28" i="6"/>
  <c r="H99" i="6"/>
  <c r="H47" i="6"/>
  <c r="H59" i="6"/>
  <c r="H75" i="6"/>
  <c r="H27" i="6"/>
  <c r="H88" i="6"/>
  <c r="H26" i="6"/>
  <c r="H50" i="6"/>
  <c r="H65" i="6"/>
  <c r="H86" i="6"/>
  <c r="H89" i="6"/>
  <c r="H72" i="6"/>
  <c r="H36" i="6"/>
  <c r="H95" i="6"/>
  <c r="H61" i="6"/>
  <c r="H119" i="6"/>
  <c r="H134" i="6"/>
  <c r="H79" i="6"/>
  <c r="H139" i="6"/>
  <c r="H129" i="6"/>
  <c r="H69" i="6"/>
  <c r="H121" i="6"/>
  <c r="H45" i="6"/>
  <c r="H68" i="6"/>
  <c r="H15" i="6" l="1"/>
  <c r="H16" i="6"/>
  <c r="H14" i="6"/>
  <c r="H13" i="6"/>
  <c r="H19" i="6"/>
  <c r="H18" i="6"/>
  <c r="H23" i="6"/>
  <c r="H22" i="6"/>
  <c r="H25" i="6"/>
  <c r="H24" i="6"/>
  <c r="H20" i="6"/>
  <c r="H21" i="6"/>
  <c r="C5" i="3" l="1"/>
  <c r="C6" i="3"/>
  <c r="C7" i="3"/>
  <c r="C4" i="3"/>
  <c r="C12" i="3"/>
  <c r="U6" i="4" l="1"/>
  <c r="U7" i="4"/>
  <c r="U8" i="4"/>
  <c r="C208" i="3"/>
  <c r="C188" i="3"/>
  <c r="C164" i="3"/>
  <c r="C144" i="3"/>
  <c r="C100" i="3"/>
  <c r="C60" i="3"/>
  <c r="C36" i="3"/>
  <c r="C16" i="3"/>
  <c r="C204" i="3"/>
  <c r="C180" i="3"/>
  <c r="C160" i="3"/>
  <c r="C140" i="3"/>
  <c r="C116" i="3"/>
  <c r="C96" i="3"/>
  <c r="C32" i="3"/>
  <c r="C37" i="3"/>
  <c r="C85" i="3"/>
  <c r="C101" i="3"/>
  <c r="C149" i="3"/>
  <c r="C165" i="3"/>
  <c r="C181" i="3"/>
  <c r="C197" i="3"/>
  <c r="C213" i="3"/>
  <c r="C18" i="3"/>
  <c r="C34" i="3"/>
  <c r="C66" i="3"/>
  <c r="C114" i="3"/>
  <c r="C130" i="3"/>
  <c r="C146" i="3"/>
  <c r="C178" i="3"/>
  <c r="C194" i="3"/>
  <c r="C210" i="3"/>
  <c r="C15" i="3"/>
  <c r="C31" i="3"/>
  <c r="C63" i="3"/>
  <c r="C79" i="3"/>
  <c r="C95" i="3"/>
  <c r="C127" i="3"/>
  <c r="C143" i="3"/>
  <c r="C159" i="3"/>
  <c r="C175" i="3"/>
  <c r="C191" i="3"/>
  <c r="C207" i="3"/>
  <c r="C9" i="3"/>
  <c r="C25" i="3"/>
  <c r="C89" i="3"/>
  <c r="C105" i="3"/>
  <c r="C121" i="3"/>
  <c r="C137" i="3"/>
  <c r="C153" i="3"/>
  <c r="C169" i="3"/>
  <c r="C185" i="3"/>
  <c r="C201" i="3"/>
  <c r="C217" i="3"/>
  <c r="C38" i="3"/>
  <c r="C54" i="3"/>
  <c r="C102" i="3"/>
  <c r="C118" i="3"/>
  <c r="C134" i="3"/>
  <c r="C198" i="3"/>
  <c r="C214" i="3"/>
  <c r="C19" i="3"/>
  <c r="C35" i="3"/>
  <c r="C67" i="3"/>
  <c r="C99" i="3"/>
  <c r="C115" i="3"/>
  <c r="C131" i="3"/>
  <c r="C147" i="3"/>
  <c r="C163" i="3"/>
  <c r="C179" i="3"/>
  <c r="C195" i="3"/>
  <c r="C211" i="3"/>
  <c r="C45" i="3"/>
  <c r="C93" i="3"/>
  <c r="C141" i="3"/>
  <c r="C157" i="3"/>
  <c r="C173" i="3"/>
  <c r="C189" i="3"/>
  <c r="C205" i="3"/>
  <c r="C221" i="3"/>
  <c r="C10" i="3"/>
  <c r="C26" i="3"/>
  <c r="C90" i="3"/>
  <c r="C106" i="3"/>
  <c r="C122" i="3"/>
  <c r="C138" i="3"/>
  <c r="C202" i="3"/>
  <c r="C218" i="3"/>
  <c r="C23" i="3"/>
  <c r="C39" i="3"/>
  <c r="C55" i="3"/>
  <c r="C87" i="3"/>
  <c r="C103" i="3"/>
  <c r="C119" i="3"/>
  <c r="C135" i="3"/>
  <c r="C151" i="3"/>
  <c r="C167" i="3"/>
  <c r="C183" i="3"/>
  <c r="C199" i="3"/>
  <c r="C215" i="3"/>
  <c r="C17" i="3"/>
  <c r="C33" i="3"/>
  <c r="C49" i="3"/>
  <c r="C97" i="3"/>
  <c r="C129" i="3"/>
  <c r="C145" i="3"/>
  <c r="C161" i="3"/>
  <c r="C177" i="3"/>
  <c r="C193" i="3"/>
  <c r="C209" i="3"/>
  <c r="C46" i="3"/>
  <c r="C94" i="3"/>
  <c r="C110" i="3"/>
  <c r="C142" i="3"/>
  <c r="C190" i="3"/>
  <c r="C206" i="3"/>
  <c r="C222" i="3"/>
  <c r="C11" i="3"/>
  <c r="C27" i="3"/>
  <c r="C43" i="3"/>
  <c r="C59" i="3"/>
  <c r="C91" i="3"/>
  <c r="C155" i="3"/>
  <c r="C171" i="3"/>
  <c r="C187" i="3"/>
  <c r="C203" i="3"/>
  <c r="C219" i="3"/>
  <c r="C8" i="3"/>
  <c r="C24" i="3"/>
  <c r="C56" i="3"/>
  <c r="C72" i="3"/>
  <c r="C88" i="3"/>
  <c r="C104" i="3"/>
  <c r="C120" i="3"/>
  <c r="C152" i="3"/>
  <c r="C168" i="3"/>
  <c r="C184" i="3"/>
  <c r="C200" i="3"/>
  <c r="C216" i="3"/>
  <c r="C220" i="3"/>
  <c r="C196" i="3"/>
  <c r="C176" i="3"/>
  <c r="C156" i="3"/>
  <c r="C132" i="3"/>
  <c r="C112" i="3"/>
  <c r="C68" i="3"/>
  <c r="C212" i="3"/>
  <c r="C192" i="3"/>
  <c r="C172" i="3"/>
  <c r="C148" i="3"/>
  <c r="C128" i="3"/>
  <c r="C108" i="3"/>
  <c r="C84" i="3"/>
  <c r="C64" i="3"/>
  <c r="C44" i="3"/>
  <c r="C20" i="3"/>
  <c r="C48" i="3" l="1"/>
  <c r="U31" i="4"/>
  <c r="C139" i="3"/>
  <c r="C75" i="3"/>
  <c r="F12" i="6"/>
  <c r="F13" i="6"/>
  <c r="C158" i="3"/>
  <c r="F27" i="5"/>
  <c r="C30" i="3"/>
  <c r="U17" i="4"/>
  <c r="C113" i="3"/>
  <c r="U135" i="4"/>
  <c r="F23" i="5" s="1"/>
  <c r="C186" i="3"/>
  <c r="F34" i="5"/>
  <c r="C58" i="3"/>
  <c r="U50" i="4"/>
  <c r="C77" i="3"/>
  <c r="F16" i="6"/>
  <c r="C13" i="3"/>
  <c r="U9" i="4"/>
  <c r="C83" i="3"/>
  <c r="U107" i="4"/>
  <c r="F18" i="6" s="1"/>
  <c r="U105" i="4"/>
  <c r="C166" i="3"/>
  <c r="F29" i="5"/>
  <c r="C41" i="3"/>
  <c r="C111" i="3"/>
  <c r="U134" i="4"/>
  <c r="C47" i="3"/>
  <c r="U29" i="4"/>
  <c r="C21" i="3"/>
  <c r="U11" i="4"/>
  <c r="C80" i="3"/>
  <c r="F17" i="6"/>
  <c r="U113" i="4"/>
  <c r="U27" i="4"/>
  <c r="U55" i="4"/>
  <c r="C40" i="3"/>
  <c r="U19" i="4"/>
  <c r="C123" i="3"/>
  <c r="C78" i="3"/>
  <c r="U88" i="4"/>
  <c r="C14" i="3"/>
  <c r="U10" i="4"/>
  <c r="C170" i="3"/>
  <c r="F30" i="5"/>
  <c r="C42" i="3"/>
  <c r="U26" i="4"/>
  <c r="C125" i="3"/>
  <c r="C61" i="3"/>
  <c r="C150" i="3"/>
  <c r="F25" i="5"/>
  <c r="C86" i="3"/>
  <c r="U126" i="4"/>
  <c r="F23" i="6" s="1"/>
  <c r="U116" i="4"/>
  <c r="U114" i="4"/>
  <c r="F9" i="5" s="1"/>
  <c r="U127" i="4"/>
  <c r="F24" i="6" s="1"/>
  <c r="C22" i="3"/>
  <c r="F6" i="4" s="1"/>
  <c r="U12" i="4"/>
  <c r="C50" i="3"/>
  <c r="U32" i="4"/>
  <c r="C133" i="3"/>
  <c r="C69" i="3"/>
  <c r="U125" i="4"/>
  <c r="F22" i="6" s="1"/>
  <c r="F32" i="5"/>
  <c r="F36" i="5"/>
  <c r="F37" i="5"/>
  <c r="U109" i="4"/>
  <c r="C92" i="3"/>
  <c r="U119" i="4"/>
  <c r="F13" i="5" s="1"/>
  <c r="C107" i="3"/>
  <c r="U132" i="4"/>
  <c r="F20" i="5" s="1"/>
  <c r="U131" i="4"/>
  <c r="F19" i="5" s="1"/>
  <c r="C126" i="3"/>
  <c r="C62" i="3"/>
  <c r="C81" i="3"/>
  <c r="C154" i="3"/>
  <c r="F26" i="5"/>
  <c r="C109" i="3"/>
  <c r="U133" i="4"/>
  <c r="C51" i="3"/>
  <c r="U34" i="4"/>
  <c r="F7" i="6" s="1"/>
  <c r="C70" i="3"/>
  <c r="F51" i="4" s="1"/>
  <c r="C73" i="3"/>
  <c r="C162" i="3"/>
  <c r="F28" i="5"/>
  <c r="C98" i="3"/>
  <c r="U121" i="4"/>
  <c r="F28" i="6" s="1"/>
  <c r="C117" i="3"/>
  <c r="F18" i="5"/>
  <c r="C53" i="3"/>
  <c r="C52" i="3"/>
  <c r="C124" i="3"/>
  <c r="F35" i="5"/>
  <c r="U28" i="4"/>
  <c r="U112" i="4"/>
  <c r="U118" i="4"/>
  <c r="F38" i="5"/>
  <c r="U108" i="4"/>
  <c r="F19" i="6" s="1"/>
  <c r="C28" i="3"/>
  <c r="U15" i="4"/>
  <c r="C136" i="3"/>
  <c r="C174" i="3"/>
  <c r="F31" i="5"/>
  <c r="C65" i="3"/>
  <c r="U52" i="4"/>
  <c r="U53" i="4"/>
  <c r="C71" i="3"/>
  <c r="U63" i="4"/>
  <c r="C74" i="3"/>
  <c r="F11" i="6"/>
  <c r="C29" i="3"/>
  <c r="U16" i="4"/>
  <c r="C182" i="3"/>
  <c r="F33" i="5"/>
  <c r="C57" i="3"/>
  <c r="U47" i="4"/>
  <c r="C82" i="3"/>
  <c r="U101" i="4"/>
  <c r="U99" i="4"/>
  <c r="U102" i="4"/>
  <c r="F5" i="5" s="1"/>
  <c r="U103" i="4"/>
  <c r="C76" i="3"/>
  <c r="F14" i="6"/>
  <c r="F15" i="6"/>
  <c r="U124" i="4"/>
  <c r="F21" i="6" s="1"/>
  <c r="U117" i="4"/>
  <c r="F11" i="5" s="1"/>
  <c r="U128" i="4"/>
  <c r="F24" i="5"/>
  <c r="F27" i="4" l="1"/>
  <c r="F15" i="5"/>
  <c r="F8" i="5"/>
  <c r="F6" i="5"/>
  <c r="F20" i="6"/>
  <c r="F25" i="6"/>
  <c r="F21" i="5"/>
  <c r="F7" i="5"/>
  <c r="F16" i="5"/>
  <c r="F12" i="5"/>
  <c r="F26" i="6"/>
  <c r="F10" i="5"/>
  <c r="F4" i="5"/>
  <c r="F17" i="5"/>
  <c r="F14" i="5"/>
  <c r="F22" i="5"/>
  <c r="F10" i="6"/>
  <c r="F87" i="4"/>
  <c r="F99" i="4"/>
  <c r="F63" i="4"/>
  <c r="F44" i="4"/>
  <c r="F15" i="4"/>
  <c r="AC65" i="4" l="1"/>
  <c r="AC46" i="4"/>
</calcChain>
</file>

<file path=xl/comments1.xml><?xml version="1.0" encoding="utf-8"?>
<comments xmlns="http://schemas.openxmlformats.org/spreadsheetml/2006/main">
  <authors>
    <author>作者</author>
  </authors>
  <commentList>
    <comment ref="N3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N3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M6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N6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O6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N8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N9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
</t>
        </r>
      </text>
    </comment>
    <comment ref="N9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N94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N9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O9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N11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O117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
</t>
        </r>
      </text>
    </comment>
    <comment ref="N11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O118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N12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  <comment ref="N12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固定掉落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E5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显示150</t>
        </r>
      </text>
    </comment>
  </commentList>
</comments>
</file>

<file path=xl/sharedStrings.xml><?xml version="1.0" encoding="utf-8"?>
<sst xmlns="http://schemas.openxmlformats.org/spreadsheetml/2006/main" count="3251" uniqueCount="697">
  <si>
    <t>转生等阶</t>
    <phoneticPr fontId="1" type="noConversion"/>
  </si>
  <si>
    <t>1转</t>
    <phoneticPr fontId="1" type="noConversion"/>
  </si>
  <si>
    <t>2转</t>
    <phoneticPr fontId="1" type="noConversion"/>
  </si>
  <si>
    <t>完成时间</t>
    <phoneticPr fontId="1" type="noConversion"/>
  </si>
  <si>
    <t>对应等级</t>
    <phoneticPr fontId="1" type="noConversion"/>
  </si>
  <si>
    <t>3转</t>
  </si>
  <si>
    <t>4转</t>
  </si>
  <si>
    <t>5转</t>
  </si>
  <si>
    <t>6转</t>
  </si>
  <si>
    <t>7转</t>
  </si>
  <si>
    <t>8转</t>
  </si>
  <si>
    <t>当天游戏时间/分钟</t>
    <phoneticPr fontId="1" type="noConversion"/>
  </si>
  <si>
    <t>游戏天数</t>
    <phoneticPr fontId="1" type="noConversion"/>
  </si>
  <si>
    <t>推送等级</t>
    <phoneticPr fontId="1" type="noConversion"/>
  </si>
  <si>
    <t>任务推送时间</t>
    <phoneticPr fontId="1" type="noConversion"/>
  </si>
  <si>
    <t>9转</t>
  </si>
  <si>
    <t>新手前15分钟引导玩家跑地图推关卡，15~20分钟引导玩家转生</t>
    <phoneticPr fontId="1" type="noConversion"/>
  </si>
  <si>
    <t>2转的等级需求可能需要删除，50级跟240级数值差距过大，会导致挫败感</t>
    <phoneticPr fontId="1" type="noConversion"/>
  </si>
  <si>
    <t>装备等级</t>
    <phoneticPr fontId="1" type="noConversion"/>
  </si>
  <si>
    <t>等级</t>
    <phoneticPr fontId="1" type="noConversion"/>
  </si>
  <si>
    <t>标准升级时间/天</t>
    <phoneticPr fontId="1" type="noConversion"/>
  </si>
  <si>
    <t>总经验</t>
    <phoneticPr fontId="1" type="noConversion"/>
  </si>
  <si>
    <t>流程</t>
    <phoneticPr fontId="1" type="noConversion"/>
  </si>
  <si>
    <t>地图</t>
    <phoneticPr fontId="1" type="noConversion"/>
  </si>
  <si>
    <t>初始等级</t>
    <phoneticPr fontId="1" type="noConversion"/>
  </si>
  <si>
    <t>结束等级</t>
    <phoneticPr fontId="1" type="noConversion"/>
  </si>
  <si>
    <t>天门</t>
    <phoneticPr fontId="1" type="noConversion"/>
  </si>
  <si>
    <t>云梦幻境</t>
    <phoneticPr fontId="1" type="noConversion"/>
  </si>
  <si>
    <t>天阙城</t>
    <phoneticPr fontId="1" type="noConversion"/>
  </si>
  <si>
    <t>龙宫</t>
    <phoneticPr fontId="1" type="noConversion"/>
  </si>
  <si>
    <t>魔界</t>
    <phoneticPr fontId="1" type="noConversion"/>
  </si>
  <si>
    <t>关卡1</t>
    <phoneticPr fontId="1" type="noConversion"/>
  </si>
  <si>
    <t>备注</t>
    <phoneticPr fontId="1" type="noConversion"/>
  </si>
  <si>
    <t>对话</t>
    <phoneticPr fontId="1" type="noConversion"/>
  </si>
  <si>
    <t>穿戴武器</t>
    <phoneticPr fontId="1" type="noConversion"/>
  </si>
  <si>
    <t>用时/秒</t>
    <phoneticPr fontId="1" type="noConversion"/>
  </si>
  <si>
    <t>经验</t>
    <phoneticPr fontId="1" type="noConversion"/>
  </si>
  <si>
    <t>对话</t>
    <phoneticPr fontId="1" type="noConversion"/>
  </si>
  <si>
    <t>产出总经验</t>
    <phoneticPr fontId="1" type="noConversion"/>
  </si>
  <si>
    <t>玩法流程</t>
    <phoneticPr fontId="1" type="noConversion"/>
  </si>
  <si>
    <t>玩法内容</t>
    <phoneticPr fontId="1" type="noConversion"/>
  </si>
  <si>
    <t>激活技能1</t>
    <phoneticPr fontId="1" type="noConversion"/>
  </si>
  <si>
    <t>累计/分</t>
    <phoneticPr fontId="1" type="noConversion"/>
  </si>
  <si>
    <t>地图总时间/分</t>
    <phoneticPr fontId="1" type="noConversion"/>
  </si>
  <si>
    <t>大招引导1</t>
    <phoneticPr fontId="1" type="noConversion"/>
  </si>
  <si>
    <t>装备熔炼</t>
    <phoneticPr fontId="1" type="noConversion"/>
  </si>
  <si>
    <t>装备强化</t>
    <phoneticPr fontId="1" type="noConversion"/>
  </si>
  <si>
    <t>50紫武器</t>
    <phoneticPr fontId="1" type="noConversion"/>
  </si>
  <si>
    <t>经验</t>
    <phoneticPr fontId="1" type="noConversion"/>
  </si>
  <si>
    <t>新手白武器</t>
  </si>
  <si>
    <t>新手白衣服</t>
  </si>
  <si>
    <t>新手白头盔</t>
  </si>
  <si>
    <t>新手白护手</t>
  </si>
  <si>
    <t>新手白腰带</t>
  </si>
  <si>
    <t>新手白戒指</t>
  </si>
  <si>
    <t>新手白项链</t>
  </si>
  <si>
    <t>新手白靴子</t>
  </si>
  <si>
    <t>等级进度</t>
    <phoneticPr fontId="1" type="noConversion"/>
  </si>
  <si>
    <t>任务奖励</t>
    <phoneticPr fontId="1" type="noConversion"/>
  </si>
  <si>
    <t>其他奖励4</t>
    <phoneticPr fontId="1" type="noConversion"/>
  </si>
  <si>
    <t>关卡7</t>
  </si>
  <si>
    <t>关卡8</t>
  </si>
  <si>
    <t>关卡9</t>
  </si>
  <si>
    <t>关卡10</t>
  </si>
  <si>
    <t>完成1转</t>
    <phoneticPr fontId="1" type="noConversion"/>
  </si>
  <si>
    <t>激活仙侣碎片1</t>
    <phoneticPr fontId="1" type="noConversion"/>
  </si>
  <si>
    <t>对话</t>
    <phoneticPr fontId="1" type="noConversion"/>
  </si>
  <si>
    <t>第二套装备</t>
    <phoneticPr fontId="1" type="noConversion"/>
  </si>
  <si>
    <t>第一套装备</t>
    <phoneticPr fontId="1" type="noConversion"/>
  </si>
  <si>
    <t>第三套装备</t>
    <phoneticPr fontId="1" type="noConversion"/>
  </si>
  <si>
    <t>激活仙侣</t>
    <phoneticPr fontId="1" type="noConversion"/>
  </si>
  <si>
    <t>仙侣材料副本</t>
    <phoneticPr fontId="1" type="noConversion"/>
  </si>
  <si>
    <t>通天塔1</t>
    <phoneticPr fontId="1" type="noConversion"/>
  </si>
  <si>
    <t>通天塔5</t>
  </si>
  <si>
    <t>通天塔6</t>
  </si>
  <si>
    <t>关卡13</t>
  </si>
  <si>
    <t>关卡14</t>
  </si>
  <si>
    <t>关卡15</t>
  </si>
  <si>
    <t>关卡16</t>
  </si>
  <si>
    <t>关卡17</t>
  </si>
  <si>
    <t>关卡18</t>
  </si>
  <si>
    <t>关卡19</t>
  </si>
  <si>
    <t>激活聚宝盘碎片1</t>
    <phoneticPr fontId="1" type="noConversion"/>
  </si>
  <si>
    <t>激活聚宝盘碎片2</t>
    <phoneticPr fontId="1" type="noConversion"/>
  </si>
  <si>
    <t>通天塔12</t>
  </si>
  <si>
    <t>通天塔13</t>
  </si>
  <si>
    <t>通天塔14</t>
  </si>
  <si>
    <t>通天塔15</t>
  </si>
  <si>
    <t>通关通天塔15</t>
    <phoneticPr fontId="1" type="noConversion"/>
  </si>
  <si>
    <t>达成1转等级要求</t>
    <phoneticPr fontId="1" type="noConversion"/>
  </si>
  <si>
    <t>通天塔18</t>
  </si>
  <si>
    <t>通天塔19</t>
  </si>
  <si>
    <t>通天塔20</t>
  </si>
  <si>
    <t>坐骑材料副本</t>
    <phoneticPr fontId="1" type="noConversion"/>
  </si>
  <si>
    <t>金币材料副本</t>
    <phoneticPr fontId="1" type="noConversion"/>
  </si>
  <si>
    <t>通天塔23</t>
  </si>
  <si>
    <t>通天塔24</t>
  </si>
  <si>
    <t>通天塔25</t>
  </si>
  <si>
    <t>装备精炼</t>
    <phoneticPr fontId="1" type="noConversion"/>
  </si>
  <si>
    <t>通天塔28</t>
  </si>
  <si>
    <t>通天塔29</t>
  </si>
  <si>
    <t>通天塔30</t>
  </si>
  <si>
    <t>通天塔32</t>
  </si>
  <si>
    <t>通天塔33</t>
  </si>
  <si>
    <t>通天塔34</t>
  </si>
  <si>
    <t>通天塔35</t>
  </si>
  <si>
    <t>首日60分钟可到达等级</t>
    <phoneticPr fontId="1" type="noConversion"/>
  </si>
  <si>
    <t>备注</t>
    <phoneticPr fontId="1" type="noConversion"/>
  </si>
  <si>
    <t>刚进游戏</t>
    <phoneticPr fontId="1" type="noConversion"/>
  </si>
  <si>
    <t>第一套</t>
    <phoneticPr fontId="1" type="noConversion"/>
  </si>
  <si>
    <t>时间/分</t>
    <phoneticPr fontId="1" type="noConversion"/>
  </si>
  <si>
    <t>第二套</t>
    <phoneticPr fontId="1" type="noConversion"/>
  </si>
  <si>
    <t>第三套</t>
    <phoneticPr fontId="1" type="noConversion"/>
  </si>
  <si>
    <t>第四套</t>
    <phoneticPr fontId="1" type="noConversion"/>
  </si>
  <si>
    <t>第五套</t>
    <phoneticPr fontId="1" type="noConversion"/>
  </si>
  <si>
    <t>钻石</t>
    <phoneticPr fontId="1" type="noConversion"/>
  </si>
  <si>
    <t>元宝</t>
    <phoneticPr fontId="1" type="noConversion"/>
  </si>
  <si>
    <t>开始等级</t>
    <phoneticPr fontId="1" type="noConversion"/>
  </si>
  <si>
    <t>完成等级</t>
    <phoneticPr fontId="1" type="noConversion"/>
  </si>
  <si>
    <t>经验</t>
    <phoneticPr fontId="1" type="noConversion"/>
  </si>
  <si>
    <t>期望等级</t>
    <phoneticPr fontId="1" type="noConversion"/>
  </si>
  <si>
    <t>任务奖励2</t>
    <phoneticPr fontId="1" type="noConversion"/>
  </si>
  <si>
    <t>其他奖励5</t>
  </si>
  <si>
    <t>武器</t>
    <phoneticPr fontId="1" type="noConversion"/>
  </si>
  <si>
    <t>项链</t>
    <phoneticPr fontId="1" type="noConversion"/>
  </si>
  <si>
    <t>戒指</t>
    <phoneticPr fontId="1" type="noConversion"/>
  </si>
  <si>
    <t>头盔</t>
    <phoneticPr fontId="1" type="noConversion"/>
  </si>
  <si>
    <t>护手</t>
    <phoneticPr fontId="1" type="noConversion"/>
  </si>
  <si>
    <t>衣服</t>
    <phoneticPr fontId="1" type="noConversion"/>
  </si>
  <si>
    <t>腰带</t>
    <phoneticPr fontId="1" type="noConversion"/>
  </si>
  <si>
    <t>靴子</t>
    <phoneticPr fontId="1" type="noConversion"/>
  </si>
  <si>
    <t>装备穿戴情况</t>
    <phoneticPr fontId="1" type="noConversion"/>
  </si>
  <si>
    <t>新手绿护手</t>
    <phoneticPr fontId="1" type="noConversion"/>
  </si>
  <si>
    <t>新手绿腰带</t>
    <phoneticPr fontId="1" type="noConversion"/>
  </si>
  <si>
    <t>50紫戒指</t>
    <phoneticPr fontId="1" type="noConversion"/>
  </si>
  <si>
    <t>50红护手</t>
    <phoneticPr fontId="1" type="noConversion"/>
  </si>
  <si>
    <t>50橙腰带</t>
    <phoneticPr fontId="1" type="noConversion"/>
  </si>
  <si>
    <t>50紫靴子</t>
    <phoneticPr fontId="1" type="noConversion"/>
  </si>
  <si>
    <t>75绿武器</t>
    <phoneticPr fontId="1" type="noConversion"/>
  </si>
  <si>
    <t>75绿戒指</t>
    <phoneticPr fontId="1" type="noConversion"/>
  </si>
  <si>
    <t>75紫靴子</t>
    <phoneticPr fontId="1" type="noConversion"/>
  </si>
  <si>
    <t>75绿项链</t>
    <phoneticPr fontId="1" type="noConversion"/>
  </si>
  <si>
    <t>75绿衣服</t>
    <phoneticPr fontId="1" type="noConversion"/>
  </si>
  <si>
    <t>75紫武器</t>
    <phoneticPr fontId="1" type="noConversion"/>
  </si>
  <si>
    <t>75紫项链</t>
    <phoneticPr fontId="1" type="noConversion"/>
  </si>
  <si>
    <t>75紫衣服</t>
    <phoneticPr fontId="1" type="noConversion"/>
  </si>
  <si>
    <t>75紫头盔</t>
    <phoneticPr fontId="1" type="noConversion"/>
  </si>
  <si>
    <t>等级进度</t>
    <phoneticPr fontId="1" type="noConversion"/>
  </si>
  <si>
    <t>经验投放</t>
    <phoneticPr fontId="1" type="noConversion"/>
  </si>
  <si>
    <t>经验奖励</t>
    <phoneticPr fontId="1" type="noConversion"/>
  </si>
  <si>
    <t>金币投放</t>
    <phoneticPr fontId="1" type="noConversion"/>
  </si>
  <si>
    <t>金币奖励</t>
    <phoneticPr fontId="1" type="noConversion"/>
  </si>
  <si>
    <t>元宝奖励</t>
    <phoneticPr fontId="1" type="noConversion"/>
  </si>
  <si>
    <t>元宝投放</t>
    <phoneticPr fontId="1" type="noConversion"/>
  </si>
  <si>
    <t>钻石奖励</t>
    <phoneticPr fontId="1" type="noConversion"/>
  </si>
  <si>
    <t>钻石投放</t>
    <phoneticPr fontId="1" type="noConversion"/>
  </si>
  <si>
    <t>其他奖励</t>
    <phoneticPr fontId="1" type="noConversion"/>
  </si>
  <si>
    <t>价值</t>
    <phoneticPr fontId="1" type="noConversion"/>
  </si>
  <si>
    <t>数量</t>
    <phoneticPr fontId="1" type="noConversion"/>
  </si>
  <si>
    <t>材料副本</t>
    <phoneticPr fontId="1" type="noConversion"/>
  </si>
  <si>
    <t>进阶副本</t>
    <phoneticPr fontId="1" type="noConversion"/>
  </si>
  <si>
    <t>各种玩法的时间节点</t>
    <phoneticPr fontId="1" type="noConversion"/>
  </si>
  <si>
    <t>基础装备属性</t>
    <phoneticPr fontId="1" type="noConversion"/>
  </si>
  <si>
    <t>装备强化</t>
    <phoneticPr fontId="1" type="noConversion"/>
  </si>
  <si>
    <t>掉落</t>
    <phoneticPr fontId="1" type="noConversion"/>
  </si>
  <si>
    <t>关卡掉落</t>
    <phoneticPr fontId="1" type="noConversion"/>
  </si>
  <si>
    <t>个人boss掉落</t>
    <phoneticPr fontId="1" type="noConversion"/>
  </si>
  <si>
    <t>野外boss掉落</t>
    <phoneticPr fontId="1" type="noConversion"/>
  </si>
  <si>
    <t>世界boss掉落</t>
    <phoneticPr fontId="1" type="noConversion"/>
  </si>
  <si>
    <t>奖励序号</t>
    <phoneticPr fontId="1" type="noConversion"/>
  </si>
  <si>
    <t>层数</t>
    <phoneticPr fontId="1" type="noConversion"/>
  </si>
  <si>
    <t>通天塔2</t>
  </si>
  <si>
    <t>通天塔3</t>
  </si>
  <si>
    <t>通天塔4</t>
  </si>
  <si>
    <t>通天塔7</t>
  </si>
  <si>
    <t>通天塔8</t>
  </si>
  <si>
    <t>通天塔9</t>
  </si>
  <si>
    <t>通天塔10</t>
  </si>
  <si>
    <t>通天塔11</t>
  </si>
  <si>
    <t>通天塔16</t>
  </si>
  <si>
    <t>通天塔17</t>
  </si>
  <si>
    <t>通天塔21</t>
  </si>
  <si>
    <t>通天塔22</t>
  </si>
  <si>
    <t>通天塔26</t>
  </si>
  <si>
    <t>通天塔27</t>
  </si>
  <si>
    <t>玩家等级</t>
    <phoneticPr fontId="1" type="noConversion"/>
  </si>
  <si>
    <t>游戏时间/分</t>
    <phoneticPr fontId="1" type="noConversion"/>
  </si>
  <si>
    <t>属性等级</t>
    <phoneticPr fontId="1" type="noConversion"/>
  </si>
  <si>
    <t>通天塔31</t>
  </si>
  <si>
    <t>阶段</t>
    <phoneticPr fontId="1" type="noConversion"/>
  </si>
  <si>
    <t>新手流程</t>
    <phoneticPr fontId="1" type="noConversion"/>
  </si>
  <si>
    <t>对接区间</t>
    <phoneticPr fontId="1" type="noConversion"/>
  </si>
  <si>
    <t>通天塔36</t>
  </si>
  <si>
    <t>通天塔37</t>
  </si>
  <si>
    <t>通天塔38</t>
  </si>
  <si>
    <t>通天塔39</t>
  </si>
  <si>
    <t>通天塔40</t>
  </si>
  <si>
    <t>通天塔41</t>
  </si>
  <si>
    <t>通天塔42</t>
  </si>
  <si>
    <t>通天塔43</t>
  </si>
  <si>
    <t>通天塔44</t>
  </si>
  <si>
    <t>通天塔45</t>
  </si>
  <si>
    <t>通天塔46</t>
  </si>
  <si>
    <t>通天塔47</t>
  </si>
  <si>
    <t>通天塔48</t>
  </si>
  <si>
    <t>通天塔49</t>
  </si>
  <si>
    <t>通天塔50</t>
  </si>
  <si>
    <t>通天塔51</t>
  </si>
  <si>
    <t>通天塔52</t>
  </si>
  <si>
    <t>通天塔53</t>
  </si>
  <si>
    <t>通天塔54</t>
  </si>
  <si>
    <t>通天塔55</t>
  </si>
  <si>
    <t>通天塔对接</t>
    <phoneticPr fontId="1" type="noConversion"/>
  </si>
  <si>
    <t>转盘对接</t>
    <phoneticPr fontId="1" type="noConversion"/>
  </si>
  <si>
    <t>通天塔56</t>
  </si>
  <si>
    <t>通天塔57</t>
  </si>
  <si>
    <t>通天塔58</t>
  </si>
  <si>
    <t>通天塔59</t>
  </si>
  <si>
    <t>通天塔60</t>
  </si>
  <si>
    <t>通天塔61</t>
  </si>
  <si>
    <t>通天塔62</t>
  </si>
  <si>
    <t>通天塔63</t>
  </si>
  <si>
    <t>通天塔64</t>
  </si>
  <si>
    <t>通天塔65</t>
  </si>
  <si>
    <t>通天塔66</t>
  </si>
  <si>
    <t>通天塔67</t>
  </si>
  <si>
    <t>通天塔68</t>
  </si>
  <si>
    <t>通天塔69</t>
  </si>
  <si>
    <t>通天塔70</t>
  </si>
  <si>
    <t>玩家转生等级</t>
    <phoneticPr fontId="1" type="noConversion"/>
  </si>
  <si>
    <t>奖励</t>
    <phoneticPr fontId="1" type="noConversion"/>
  </si>
  <si>
    <t>钻石*999</t>
    <phoneticPr fontId="1" type="noConversion"/>
  </si>
  <si>
    <t>转盘奖“钻石999”</t>
    <phoneticPr fontId="1" type="noConversion"/>
  </si>
  <si>
    <t>120红武器</t>
    <phoneticPr fontId="1" type="noConversion"/>
  </si>
  <si>
    <t>1转3星衣服</t>
    <phoneticPr fontId="1" type="noConversion"/>
  </si>
  <si>
    <t>200橙靴子</t>
    <phoneticPr fontId="1" type="noConversion"/>
  </si>
  <si>
    <t>200红头盔</t>
    <phoneticPr fontId="1" type="noConversion"/>
  </si>
  <si>
    <t>1转3星护手</t>
    <phoneticPr fontId="1" type="noConversion"/>
  </si>
  <si>
    <t>200红腰带</t>
    <phoneticPr fontId="1" type="noConversion"/>
  </si>
  <si>
    <t>2转3星武器</t>
    <phoneticPr fontId="1" type="noConversion"/>
  </si>
  <si>
    <t>200红项链</t>
    <phoneticPr fontId="1" type="noConversion"/>
  </si>
  <si>
    <t>1转3星戒指</t>
    <phoneticPr fontId="1" type="noConversion"/>
  </si>
  <si>
    <t>抽奖层数</t>
    <phoneticPr fontId="1" type="noConversion"/>
  </si>
  <si>
    <t>人物经验</t>
    <phoneticPr fontId="1" type="noConversion"/>
  </si>
  <si>
    <t>关卡对接</t>
    <phoneticPr fontId="1" type="noConversion"/>
  </si>
  <si>
    <t>新手阶段</t>
    <phoneticPr fontId="1" type="noConversion"/>
  </si>
  <si>
    <t>关卡2</t>
  </si>
  <si>
    <t>关卡3</t>
  </si>
  <si>
    <t>关卡4</t>
  </si>
  <si>
    <t>关卡5</t>
  </si>
  <si>
    <t>关卡6</t>
  </si>
  <si>
    <t>关卡11</t>
  </si>
  <si>
    <t>关卡12</t>
  </si>
  <si>
    <t>关卡20</t>
  </si>
  <si>
    <t>关卡21</t>
  </si>
  <si>
    <t>关卡22</t>
  </si>
  <si>
    <t>关卡23</t>
  </si>
  <si>
    <t>关卡24</t>
  </si>
  <si>
    <t>关卡25</t>
  </si>
  <si>
    <t>关卡26</t>
  </si>
  <si>
    <t>关卡27</t>
  </si>
  <si>
    <t>关卡28</t>
  </si>
  <si>
    <t>关卡29</t>
  </si>
  <si>
    <t>关卡30</t>
  </si>
  <si>
    <t>关卡31</t>
  </si>
  <si>
    <t>关卡32</t>
  </si>
  <si>
    <t>关卡33</t>
  </si>
  <si>
    <t>关卡34</t>
  </si>
  <si>
    <t>关卡35</t>
  </si>
  <si>
    <t>关卡36</t>
  </si>
  <si>
    <t>关卡37</t>
  </si>
  <si>
    <t>关卡38</t>
  </si>
  <si>
    <t>关卡39</t>
  </si>
  <si>
    <t>关卡40</t>
  </si>
  <si>
    <t>关卡41</t>
  </si>
  <si>
    <t>关卡42</t>
  </si>
  <si>
    <t>关卡43</t>
  </si>
  <si>
    <t>关卡44</t>
  </si>
  <si>
    <t>关卡45</t>
  </si>
  <si>
    <t>关卡46</t>
  </si>
  <si>
    <t>关卡47</t>
  </si>
  <si>
    <t>关卡48</t>
  </si>
  <si>
    <t>关卡49</t>
  </si>
  <si>
    <t>关卡50</t>
  </si>
  <si>
    <t>关卡51</t>
  </si>
  <si>
    <t>关卡52</t>
  </si>
  <si>
    <t>关卡53</t>
  </si>
  <si>
    <t>关卡54</t>
  </si>
  <si>
    <t>关卡55</t>
  </si>
  <si>
    <t>关卡56</t>
  </si>
  <si>
    <t>关卡57</t>
  </si>
  <si>
    <t>关卡58</t>
  </si>
  <si>
    <t>关卡59</t>
  </si>
  <si>
    <t>关卡60</t>
  </si>
  <si>
    <t>关卡61</t>
  </si>
  <si>
    <t>关卡62</t>
  </si>
  <si>
    <t>关卡63</t>
  </si>
  <si>
    <t>关卡64</t>
  </si>
  <si>
    <t>关卡65</t>
  </si>
  <si>
    <t>关卡66</t>
  </si>
  <si>
    <t>关卡67</t>
  </si>
  <si>
    <t>关卡68</t>
  </si>
  <si>
    <t>关卡69</t>
  </si>
  <si>
    <t>关卡70</t>
  </si>
  <si>
    <t>关卡71</t>
  </si>
  <si>
    <t>关卡72</t>
  </si>
  <si>
    <t>关卡73</t>
  </si>
  <si>
    <t>关卡74</t>
  </si>
  <si>
    <t>关卡75</t>
  </si>
  <si>
    <t>关卡76</t>
  </si>
  <si>
    <t>关卡77</t>
  </si>
  <si>
    <t>关卡78</t>
  </si>
  <si>
    <t>关卡79</t>
  </si>
  <si>
    <t>关卡80</t>
  </si>
  <si>
    <t>关卡81</t>
  </si>
  <si>
    <t>关卡82</t>
  </si>
  <si>
    <t>关卡83</t>
  </si>
  <si>
    <t>关卡84</t>
  </si>
  <si>
    <t>关卡85</t>
  </si>
  <si>
    <t>关卡86</t>
  </si>
  <si>
    <t>关卡87</t>
  </si>
  <si>
    <t>关卡88</t>
  </si>
  <si>
    <t>关卡89</t>
  </si>
  <si>
    <t>关卡90</t>
  </si>
  <si>
    <t>关卡91</t>
  </si>
  <si>
    <t>关卡92</t>
  </si>
  <si>
    <t>关卡93</t>
  </si>
  <si>
    <t>关卡94</t>
  </si>
  <si>
    <t>关卡95</t>
  </si>
  <si>
    <t>关卡96</t>
  </si>
  <si>
    <t>关卡97</t>
  </si>
  <si>
    <t>关卡98</t>
  </si>
  <si>
    <t>关卡99</t>
  </si>
  <si>
    <t>关卡100</t>
  </si>
  <si>
    <t>关卡101</t>
  </si>
  <si>
    <t>关卡102</t>
  </si>
  <si>
    <t>关卡103</t>
  </si>
  <si>
    <t>关卡104</t>
  </si>
  <si>
    <t>关卡105</t>
  </si>
  <si>
    <t>关卡106</t>
  </si>
  <si>
    <t>关卡107</t>
  </si>
  <si>
    <t>关卡108</t>
  </si>
  <si>
    <t>关卡109</t>
  </si>
  <si>
    <t>关卡110</t>
  </si>
  <si>
    <t>关卡111</t>
  </si>
  <si>
    <t>关卡112</t>
  </si>
  <si>
    <t>关卡113</t>
  </si>
  <si>
    <t>关卡114</t>
  </si>
  <si>
    <t>关卡115</t>
  </si>
  <si>
    <t>关卡116</t>
  </si>
  <si>
    <t>关卡117</t>
  </si>
  <si>
    <t>关卡118</t>
  </si>
  <si>
    <t>关卡119</t>
  </si>
  <si>
    <t>关卡120</t>
  </si>
  <si>
    <t>关卡121</t>
  </si>
  <si>
    <t>关卡122</t>
  </si>
  <si>
    <t>关卡123</t>
  </si>
  <si>
    <t>关卡124</t>
  </si>
  <si>
    <t>关卡125</t>
  </si>
  <si>
    <t>关卡126</t>
  </si>
  <si>
    <t>关卡127</t>
  </si>
  <si>
    <t>关卡128</t>
  </si>
  <si>
    <t>关卡129</t>
  </si>
  <si>
    <t>关卡130</t>
  </si>
  <si>
    <t>关卡131</t>
  </si>
  <si>
    <t>关卡132</t>
  </si>
  <si>
    <t>关卡133</t>
  </si>
  <si>
    <t>关卡134</t>
  </si>
  <si>
    <t>关卡135</t>
  </si>
  <si>
    <t>对接阶段</t>
    <phoneticPr fontId="1" type="noConversion"/>
  </si>
  <si>
    <t>理论对接关卡</t>
    <phoneticPr fontId="1" type="noConversion"/>
  </si>
  <si>
    <t>通关经验</t>
    <phoneticPr fontId="1" type="noConversion"/>
  </si>
  <si>
    <t>属性难度对接关卡</t>
    <phoneticPr fontId="1" type="noConversion"/>
  </si>
  <si>
    <t>仙兵编号</t>
    <phoneticPr fontId="1" type="noConversion"/>
  </si>
  <si>
    <t>碎片编号</t>
    <phoneticPr fontId="1" type="noConversion"/>
  </si>
  <si>
    <t>大招</t>
    <phoneticPr fontId="1" type="noConversion"/>
  </si>
  <si>
    <t>产出途径</t>
    <phoneticPr fontId="1" type="noConversion"/>
  </si>
  <si>
    <t>功能</t>
    <phoneticPr fontId="1" type="noConversion"/>
  </si>
  <si>
    <t>变身</t>
    <phoneticPr fontId="1" type="noConversion"/>
  </si>
  <si>
    <t>仙侣</t>
    <phoneticPr fontId="1" type="noConversion"/>
  </si>
  <si>
    <t>聚宝盘</t>
    <phoneticPr fontId="1" type="noConversion"/>
  </si>
  <si>
    <t>激活时间/分</t>
    <phoneticPr fontId="1" type="noConversion"/>
  </si>
  <si>
    <t>特殊效果1</t>
  </si>
  <si>
    <t>特殊效果1</t>
    <phoneticPr fontId="1" type="noConversion"/>
  </si>
  <si>
    <t>特殊效果2</t>
  </si>
  <si>
    <t>特殊效果2</t>
    <phoneticPr fontId="1" type="noConversion"/>
  </si>
  <si>
    <t>特殊效果3</t>
  </si>
  <si>
    <t>特殊效果3</t>
    <phoneticPr fontId="1" type="noConversion"/>
  </si>
  <si>
    <t>技能名称</t>
    <phoneticPr fontId="1" type="noConversion"/>
  </si>
  <si>
    <t>小群攻</t>
    <phoneticPr fontId="1" type="noConversion"/>
  </si>
  <si>
    <t>飞剑</t>
    <phoneticPr fontId="1" type="noConversion"/>
  </si>
  <si>
    <t>扇形</t>
    <phoneticPr fontId="1" type="noConversion"/>
  </si>
  <si>
    <t>飞轮</t>
    <phoneticPr fontId="1" type="noConversion"/>
  </si>
  <si>
    <t>落冰</t>
    <phoneticPr fontId="1" type="noConversion"/>
  </si>
  <si>
    <t>开启等级</t>
    <phoneticPr fontId="1" type="noConversion"/>
  </si>
  <si>
    <t>非R等级</t>
    <phoneticPr fontId="1" type="noConversion"/>
  </si>
  <si>
    <t>基础装备穿戴情况</t>
    <phoneticPr fontId="1" type="noConversion"/>
  </si>
  <si>
    <t>1级白</t>
  </si>
  <si>
    <t>1级绿</t>
  </si>
  <si>
    <t>50级绿</t>
  </si>
  <si>
    <t>50级紫</t>
  </si>
  <si>
    <t>50级红</t>
  </si>
  <si>
    <t>50级橙</t>
  </si>
  <si>
    <t>75级绿</t>
  </si>
  <si>
    <t>75级紫</t>
  </si>
  <si>
    <t>120级绿</t>
  </si>
  <si>
    <t>120级红</t>
  </si>
  <si>
    <t>120级紫</t>
  </si>
  <si>
    <t>200级绿</t>
  </si>
  <si>
    <t>200级橙</t>
  </si>
  <si>
    <t>200级红</t>
  </si>
  <si>
    <t>200级紫</t>
  </si>
  <si>
    <t>250级绿</t>
  </si>
  <si>
    <t>250级紫</t>
  </si>
  <si>
    <t>250级红</t>
  </si>
  <si>
    <t>225级绿</t>
  </si>
  <si>
    <t>225级紫</t>
  </si>
  <si>
    <t>225级红</t>
  </si>
  <si>
    <t>神装穿戴情况</t>
    <phoneticPr fontId="1" type="noConversion"/>
  </si>
  <si>
    <t>功能列表</t>
    <phoneticPr fontId="1" type="noConversion"/>
  </si>
  <si>
    <t>坐骑</t>
    <phoneticPr fontId="1" type="noConversion"/>
  </si>
  <si>
    <t>技能升级</t>
    <phoneticPr fontId="1" type="noConversion"/>
  </si>
  <si>
    <t>个人boss（50级）</t>
    <phoneticPr fontId="1" type="noConversion"/>
  </si>
  <si>
    <t>转生</t>
    <phoneticPr fontId="1" type="noConversion"/>
  </si>
  <si>
    <t>神纹</t>
    <phoneticPr fontId="1" type="noConversion"/>
  </si>
  <si>
    <t>通天塔</t>
    <phoneticPr fontId="1" type="noConversion"/>
  </si>
  <si>
    <t>野外boss（75级）</t>
    <phoneticPr fontId="1" type="noConversion"/>
  </si>
  <si>
    <t>日常</t>
    <phoneticPr fontId="1" type="noConversion"/>
  </si>
  <si>
    <t>日环</t>
    <phoneticPr fontId="1" type="noConversion"/>
  </si>
  <si>
    <t>灵脉</t>
    <phoneticPr fontId="1" type="noConversion"/>
  </si>
  <si>
    <t>强化石材料副本</t>
    <phoneticPr fontId="1" type="noConversion"/>
  </si>
  <si>
    <t>血战四方</t>
    <phoneticPr fontId="1" type="noConversion"/>
  </si>
  <si>
    <t>竞技场</t>
    <phoneticPr fontId="1" type="noConversion"/>
  </si>
  <si>
    <t>羽翼</t>
    <phoneticPr fontId="1" type="noConversion"/>
  </si>
  <si>
    <t>宠物</t>
    <phoneticPr fontId="1" type="noConversion"/>
  </si>
  <si>
    <t>特殊</t>
    <phoneticPr fontId="1" type="noConversion"/>
  </si>
  <si>
    <t>玩家等级</t>
    <phoneticPr fontId="1" type="noConversion"/>
  </si>
  <si>
    <t>仙兵编号</t>
    <phoneticPr fontId="1" type="noConversion"/>
  </si>
  <si>
    <t>碎片数量</t>
    <phoneticPr fontId="1" type="noConversion"/>
  </si>
  <si>
    <t>采集武器</t>
    <phoneticPr fontId="1" type="noConversion"/>
  </si>
  <si>
    <t>主线任务100001</t>
    <phoneticPr fontId="1" type="noConversion"/>
  </si>
  <si>
    <t>主线任务100002</t>
    <phoneticPr fontId="1" type="noConversion"/>
  </si>
  <si>
    <t>主线任务100003</t>
    <phoneticPr fontId="1" type="noConversion"/>
  </si>
  <si>
    <t>对话</t>
    <phoneticPr fontId="1" type="noConversion"/>
  </si>
  <si>
    <t>主线任务100004</t>
    <phoneticPr fontId="1" type="noConversion"/>
  </si>
  <si>
    <t>主线任务100005</t>
    <phoneticPr fontId="1" type="noConversion"/>
  </si>
  <si>
    <t>主线任务100006</t>
    <phoneticPr fontId="1" type="noConversion"/>
  </si>
  <si>
    <t>对话开启坐骑</t>
    <phoneticPr fontId="1" type="noConversion"/>
  </si>
  <si>
    <t>获得坐骑</t>
    <phoneticPr fontId="1" type="noConversion"/>
  </si>
  <si>
    <t>对话送武器</t>
    <phoneticPr fontId="1" type="noConversion"/>
  </si>
  <si>
    <t>对话送衣服</t>
    <phoneticPr fontId="1" type="noConversion"/>
  </si>
  <si>
    <t>主线任务100007</t>
    <phoneticPr fontId="1" type="noConversion"/>
  </si>
  <si>
    <t>穿戴衣服</t>
    <phoneticPr fontId="1" type="noConversion"/>
  </si>
  <si>
    <t>主线任务100008</t>
    <phoneticPr fontId="1" type="noConversion"/>
  </si>
  <si>
    <t>对话激活技能1</t>
    <phoneticPr fontId="1" type="noConversion"/>
  </si>
  <si>
    <t>主线任务100009</t>
    <phoneticPr fontId="1" type="noConversion"/>
  </si>
  <si>
    <t>对话送头盔护手</t>
    <phoneticPr fontId="1" type="noConversion"/>
  </si>
  <si>
    <t>主线任务100010</t>
  </si>
  <si>
    <t>经验</t>
    <phoneticPr fontId="1" type="noConversion"/>
  </si>
  <si>
    <t>主线任务100011</t>
  </si>
  <si>
    <t>杀怪1</t>
    <phoneticPr fontId="1" type="noConversion"/>
  </si>
  <si>
    <t>主线任务100012</t>
    <phoneticPr fontId="1" type="noConversion"/>
  </si>
  <si>
    <t>交杀怪1</t>
    <phoneticPr fontId="1" type="noConversion"/>
  </si>
  <si>
    <t>主线任务100013</t>
  </si>
  <si>
    <t>任务奖励3</t>
    <phoneticPr fontId="1" type="noConversion"/>
  </si>
  <si>
    <t>大招碎片1</t>
    <phoneticPr fontId="1" type="noConversion"/>
  </si>
  <si>
    <t>主线任务100014</t>
  </si>
  <si>
    <t>大招碎片2</t>
    <phoneticPr fontId="1" type="noConversion"/>
  </si>
  <si>
    <t>主线任务100015</t>
  </si>
  <si>
    <t>杀怪2</t>
    <phoneticPr fontId="1" type="noConversion"/>
  </si>
  <si>
    <t>主线任务100016</t>
    <phoneticPr fontId="1" type="noConversion"/>
  </si>
  <si>
    <t>激活大招碎片1</t>
    <phoneticPr fontId="1" type="noConversion"/>
  </si>
  <si>
    <t>激活大招碎片2</t>
    <phoneticPr fontId="1" type="noConversion"/>
  </si>
  <si>
    <t>主线任务100017</t>
    <phoneticPr fontId="1" type="noConversion"/>
  </si>
  <si>
    <t>激活神器</t>
    <phoneticPr fontId="1" type="noConversion"/>
  </si>
  <si>
    <t>主线任务100018</t>
    <phoneticPr fontId="1" type="noConversion"/>
  </si>
  <si>
    <t>交杀怪2</t>
    <phoneticPr fontId="1" type="noConversion"/>
  </si>
  <si>
    <t>杀怪3</t>
    <phoneticPr fontId="1" type="noConversion"/>
  </si>
  <si>
    <t>主线任务100019</t>
    <phoneticPr fontId="1" type="noConversion"/>
  </si>
  <si>
    <t>主线任务100020</t>
    <phoneticPr fontId="1" type="noConversion"/>
  </si>
  <si>
    <t>新手绿头盔</t>
    <phoneticPr fontId="1" type="noConversion"/>
  </si>
  <si>
    <t>主线任务100021</t>
    <phoneticPr fontId="1" type="noConversion"/>
  </si>
  <si>
    <t>主线任务100022</t>
    <phoneticPr fontId="1" type="noConversion"/>
  </si>
  <si>
    <t>新手绿衣服</t>
    <phoneticPr fontId="1" type="noConversion"/>
  </si>
  <si>
    <t>主线任务100023</t>
    <phoneticPr fontId="1" type="noConversion"/>
  </si>
  <si>
    <t>主线任务100024</t>
  </si>
  <si>
    <t>关卡1小怪</t>
    <phoneticPr fontId="1" type="noConversion"/>
  </si>
  <si>
    <t>关卡2小怪</t>
    <phoneticPr fontId="1" type="noConversion"/>
  </si>
  <si>
    <t>关卡3小怪</t>
    <phoneticPr fontId="1" type="noConversion"/>
  </si>
  <si>
    <t>主线任务100025</t>
    <phoneticPr fontId="1" type="noConversion"/>
  </si>
  <si>
    <t>通关关卡1</t>
    <phoneticPr fontId="1" type="noConversion"/>
  </si>
  <si>
    <t>主线任务100026</t>
    <phoneticPr fontId="1" type="noConversion"/>
  </si>
  <si>
    <t>通关关卡2</t>
    <phoneticPr fontId="1" type="noConversion"/>
  </si>
  <si>
    <t>主线任务100027</t>
    <phoneticPr fontId="1" type="noConversion"/>
  </si>
  <si>
    <t>通关关卡3</t>
    <phoneticPr fontId="1" type="noConversion"/>
  </si>
  <si>
    <t>元宝</t>
    <phoneticPr fontId="1" type="noConversion"/>
  </si>
  <si>
    <t>元宝</t>
    <phoneticPr fontId="1" type="noConversion"/>
  </si>
  <si>
    <t>经验</t>
    <phoneticPr fontId="1" type="noConversion"/>
  </si>
  <si>
    <t>钻石</t>
    <phoneticPr fontId="1" type="noConversion"/>
  </si>
  <si>
    <t>交杀怪3</t>
    <phoneticPr fontId="1" type="noConversion"/>
  </si>
  <si>
    <t>主线任务100028</t>
  </si>
  <si>
    <t>一键穿戴</t>
    <phoneticPr fontId="1" type="noConversion"/>
  </si>
  <si>
    <t>主线任务100029</t>
    <phoneticPr fontId="1" type="noConversion"/>
  </si>
  <si>
    <t>主线任务100030</t>
  </si>
  <si>
    <t>主线任务100031</t>
  </si>
  <si>
    <t>装备熔炼</t>
    <phoneticPr fontId="1" type="noConversion"/>
  </si>
  <si>
    <t>强化石</t>
    <phoneticPr fontId="1" type="noConversion"/>
  </si>
  <si>
    <t>主线任务100032</t>
  </si>
  <si>
    <t>主线任务100033</t>
  </si>
  <si>
    <t>金币</t>
    <phoneticPr fontId="1" type="noConversion"/>
  </si>
  <si>
    <t>主线任务100034</t>
  </si>
  <si>
    <t>主线任务100035</t>
  </si>
  <si>
    <t>技能升级</t>
    <phoneticPr fontId="1" type="noConversion"/>
  </si>
  <si>
    <t>对话</t>
    <phoneticPr fontId="1" type="noConversion"/>
  </si>
  <si>
    <t>激活仙阶</t>
    <phoneticPr fontId="1" type="noConversion"/>
  </si>
  <si>
    <t>新手村</t>
    <phoneticPr fontId="1" type="noConversion"/>
  </si>
  <si>
    <t>50绿衣服</t>
    <phoneticPr fontId="1" type="noConversion"/>
  </si>
  <si>
    <t>50绿靴子</t>
    <phoneticPr fontId="1" type="noConversion"/>
  </si>
  <si>
    <t>50绿项链</t>
    <phoneticPr fontId="1" type="noConversion"/>
  </si>
  <si>
    <t>关卡4</t>
    <phoneticPr fontId="1" type="noConversion"/>
  </si>
  <si>
    <t>主线任务100036</t>
  </si>
  <si>
    <t>对话</t>
    <phoneticPr fontId="1" type="noConversion"/>
  </si>
  <si>
    <t>主线任务100037</t>
  </si>
  <si>
    <t>主线任务100038</t>
    <phoneticPr fontId="1" type="noConversion"/>
  </si>
  <si>
    <t>通关关卡4</t>
    <phoneticPr fontId="1" type="noConversion"/>
  </si>
  <si>
    <t>关卡5</t>
    <phoneticPr fontId="1" type="noConversion"/>
  </si>
  <si>
    <t>通关关卡5</t>
    <phoneticPr fontId="1" type="noConversion"/>
  </si>
  <si>
    <t>关卡6</t>
    <phoneticPr fontId="1" type="noConversion"/>
  </si>
  <si>
    <t>通关关卡6</t>
    <phoneticPr fontId="1" type="noConversion"/>
  </si>
  <si>
    <t>关卡7</t>
    <phoneticPr fontId="1" type="noConversion"/>
  </si>
  <si>
    <t>通关关卡7</t>
    <phoneticPr fontId="1" type="noConversion"/>
  </si>
  <si>
    <t>激活变身</t>
    <phoneticPr fontId="1" type="noConversion"/>
  </si>
  <si>
    <t>关卡8</t>
    <phoneticPr fontId="1" type="noConversion"/>
  </si>
  <si>
    <t>通关关卡8</t>
    <phoneticPr fontId="1" type="noConversion"/>
  </si>
  <si>
    <t>变身碎片1</t>
    <phoneticPr fontId="1" type="noConversion"/>
  </si>
  <si>
    <t>变身碎片2</t>
    <phoneticPr fontId="1" type="noConversion"/>
  </si>
  <si>
    <t>变身碎片3</t>
    <phoneticPr fontId="1" type="noConversion"/>
  </si>
  <si>
    <t>变身碎片4</t>
    <phoneticPr fontId="1" type="noConversion"/>
  </si>
  <si>
    <t>天阙城</t>
    <phoneticPr fontId="1" type="noConversion"/>
  </si>
  <si>
    <t>开启转生</t>
    <phoneticPr fontId="1" type="noConversion"/>
  </si>
  <si>
    <t>装备熔炼</t>
    <phoneticPr fontId="1" type="noConversion"/>
  </si>
  <si>
    <t>装备强化</t>
    <phoneticPr fontId="1" type="noConversion"/>
  </si>
  <si>
    <t>开放50级个人boss</t>
    <phoneticPr fontId="1" type="noConversion"/>
  </si>
  <si>
    <t>50级个人boss</t>
    <phoneticPr fontId="1" type="noConversion"/>
  </si>
  <si>
    <t>关卡9</t>
    <phoneticPr fontId="1" type="noConversion"/>
  </si>
  <si>
    <t>通关关卡9</t>
    <phoneticPr fontId="1" type="noConversion"/>
  </si>
  <si>
    <t>关卡10</t>
    <phoneticPr fontId="1" type="noConversion"/>
  </si>
  <si>
    <t>通关关卡10</t>
    <phoneticPr fontId="1" type="noConversion"/>
  </si>
  <si>
    <t>达成1转关卡要求</t>
    <phoneticPr fontId="1" type="noConversion"/>
  </si>
  <si>
    <t>完成坐骑材料副本</t>
    <phoneticPr fontId="1" type="noConversion"/>
  </si>
  <si>
    <t>升级一次坐骑</t>
    <phoneticPr fontId="1" type="noConversion"/>
  </si>
  <si>
    <t>全身装备达到50级</t>
    <phoneticPr fontId="1" type="noConversion"/>
  </si>
  <si>
    <t>关卡11</t>
    <phoneticPr fontId="1" type="noConversion"/>
  </si>
  <si>
    <t>关卡12</t>
    <phoneticPr fontId="1" type="noConversion"/>
  </si>
  <si>
    <t>关卡13</t>
    <phoneticPr fontId="1" type="noConversion"/>
  </si>
  <si>
    <t>通关关卡11</t>
    <phoneticPr fontId="1" type="noConversion"/>
  </si>
  <si>
    <t>通关关卡12</t>
  </si>
  <si>
    <t>通关关卡13</t>
  </si>
  <si>
    <t>对话</t>
    <phoneticPr fontId="1" type="noConversion"/>
  </si>
  <si>
    <t>50紫头盔</t>
    <phoneticPr fontId="1" type="noConversion"/>
  </si>
  <si>
    <t>50紫衣服</t>
    <phoneticPr fontId="1" type="noConversion"/>
  </si>
  <si>
    <t>50紫项链</t>
    <phoneticPr fontId="1" type="noConversion"/>
  </si>
  <si>
    <t>钻石</t>
    <phoneticPr fontId="1" type="noConversion"/>
  </si>
  <si>
    <t>元宝</t>
    <phoneticPr fontId="1" type="noConversion"/>
  </si>
  <si>
    <t>经验</t>
    <phoneticPr fontId="1" type="noConversion"/>
  </si>
  <si>
    <t>经验</t>
    <phoneticPr fontId="1" type="noConversion"/>
  </si>
  <si>
    <t>钻石</t>
    <phoneticPr fontId="1" type="noConversion"/>
  </si>
  <si>
    <t>元宝</t>
    <phoneticPr fontId="1" type="noConversion"/>
  </si>
  <si>
    <t>达到1转战力要求</t>
    <phoneticPr fontId="1" type="noConversion"/>
  </si>
  <si>
    <t>关卡14</t>
    <phoneticPr fontId="1" type="noConversion"/>
  </si>
  <si>
    <t>通关关卡14</t>
    <phoneticPr fontId="1" type="noConversion"/>
  </si>
  <si>
    <t>关卡15</t>
    <phoneticPr fontId="1" type="noConversion"/>
  </si>
  <si>
    <t>通关关卡15</t>
    <phoneticPr fontId="1" type="noConversion"/>
  </si>
  <si>
    <t>关卡16</t>
    <phoneticPr fontId="1" type="noConversion"/>
  </si>
  <si>
    <t>通关关卡16</t>
    <phoneticPr fontId="1" type="noConversion"/>
  </si>
  <si>
    <t>激活仙侣碎片2</t>
    <phoneticPr fontId="1" type="noConversion"/>
  </si>
  <si>
    <t>激活仙侣碎片3</t>
    <phoneticPr fontId="1" type="noConversion"/>
  </si>
  <si>
    <t>关卡17</t>
    <phoneticPr fontId="1" type="noConversion"/>
  </si>
  <si>
    <t>通关关卡17</t>
    <phoneticPr fontId="1" type="noConversion"/>
  </si>
  <si>
    <t>激活仙侣碎片4</t>
    <phoneticPr fontId="1" type="noConversion"/>
  </si>
  <si>
    <t>开启仙侣</t>
    <phoneticPr fontId="1" type="noConversion"/>
  </si>
  <si>
    <t>关卡18</t>
    <phoneticPr fontId="1" type="noConversion"/>
  </si>
  <si>
    <t>通关关卡18</t>
    <phoneticPr fontId="1" type="noConversion"/>
  </si>
  <si>
    <t>完成仙侣材料副本</t>
    <phoneticPr fontId="1" type="noConversion"/>
  </si>
  <si>
    <t>提升一次仙侣</t>
    <phoneticPr fontId="1" type="noConversion"/>
  </si>
  <si>
    <t>对话</t>
    <phoneticPr fontId="1" type="noConversion"/>
  </si>
  <si>
    <t>通天塔1</t>
    <phoneticPr fontId="1" type="noConversion"/>
  </si>
  <si>
    <t>通关通天塔3</t>
    <phoneticPr fontId="1" type="noConversion"/>
  </si>
  <si>
    <t>装备神纹并提升</t>
    <phoneticPr fontId="1" type="noConversion"/>
  </si>
  <si>
    <t>通天塔4</t>
    <phoneticPr fontId="1" type="noConversion"/>
  </si>
  <si>
    <t>关卡19</t>
    <phoneticPr fontId="1" type="noConversion"/>
  </si>
  <si>
    <t>关卡20</t>
    <phoneticPr fontId="1" type="noConversion"/>
  </si>
  <si>
    <t>通关关卡20</t>
    <phoneticPr fontId="1" type="noConversion"/>
  </si>
  <si>
    <t>关卡21</t>
    <phoneticPr fontId="1" type="noConversion"/>
  </si>
  <si>
    <t>关卡22</t>
    <phoneticPr fontId="1" type="noConversion"/>
  </si>
  <si>
    <t>通关关卡22</t>
    <phoneticPr fontId="1" type="noConversion"/>
  </si>
  <si>
    <t>激活聚宝盘碎片3</t>
    <phoneticPr fontId="1" type="noConversion"/>
  </si>
  <si>
    <t>激活聚宝盘碎片4</t>
    <phoneticPr fontId="1" type="noConversion"/>
  </si>
  <si>
    <t>激活神器聚宝盘</t>
    <phoneticPr fontId="1" type="noConversion"/>
  </si>
  <si>
    <t>激活聚宝盘</t>
    <phoneticPr fontId="1" type="noConversion"/>
  </si>
  <si>
    <t>通天塔6</t>
    <phoneticPr fontId="1" type="noConversion"/>
  </si>
  <si>
    <t>通关通天塔6</t>
    <phoneticPr fontId="1" type="noConversion"/>
  </si>
  <si>
    <t>通天塔7</t>
    <phoneticPr fontId="1" type="noConversion"/>
  </si>
  <si>
    <t>通天塔9</t>
    <phoneticPr fontId="1" type="noConversion"/>
  </si>
  <si>
    <t>通天塔10</t>
    <phoneticPr fontId="1" type="noConversion"/>
  </si>
  <si>
    <t>通关通天塔10</t>
    <phoneticPr fontId="1" type="noConversion"/>
  </si>
  <si>
    <t>通天塔16</t>
    <phoneticPr fontId="1" type="noConversion"/>
  </si>
  <si>
    <t>主线任务100082</t>
    <phoneticPr fontId="1" type="noConversion"/>
  </si>
  <si>
    <t>主线任务100039</t>
    <phoneticPr fontId="1" type="noConversion"/>
  </si>
  <si>
    <t>主线任务100040</t>
    <phoneticPr fontId="1" type="noConversion"/>
  </si>
  <si>
    <t>主线任务100041</t>
    <phoneticPr fontId="1" type="noConversion"/>
  </si>
  <si>
    <t>主线任务100042</t>
    <phoneticPr fontId="1" type="noConversion"/>
  </si>
  <si>
    <t>主线任务100043</t>
    <phoneticPr fontId="1" type="noConversion"/>
  </si>
  <si>
    <t>主线任务100044</t>
    <phoneticPr fontId="1" type="noConversion"/>
  </si>
  <si>
    <t>主线任务100045</t>
    <phoneticPr fontId="1" type="noConversion"/>
  </si>
  <si>
    <t>主线任务100046</t>
    <phoneticPr fontId="1" type="noConversion"/>
  </si>
  <si>
    <t>主线任务100047</t>
    <phoneticPr fontId="1" type="noConversion"/>
  </si>
  <si>
    <t>主线任务100048</t>
    <phoneticPr fontId="1" type="noConversion"/>
  </si>
  <si>
    <t>主线任务100049</t>
    <phoneticPr fontId="1" type="noConversion"/>
  </si>
  <si>
    <t>主线任务100050</t>
    <phoneticPr fontId="1" type="noConversion"/>
  </si>
  <si>
    <t>主线任务100051</t>
    <phoneticPr fontId="1" type="noConversion"/>
  </si>
  <si>
    <t>主线任务100052</t>
    <phoneticPr fontId="1" type="noConversion"/>
  </si>
  <si>
    <t>主线任务100053</t>
    <phoneticPr fontId="1" type="noConversion"/>
  </si>
  <si>
    <t>主线任务100054</t>
    <phoneticPr fontId="1" type="noConversion"/>
  </si>
  <si>
    <t>主线任务100055</t>
    <phoneticPr fontId="1" type="noConversion"/>
  </si>
  <si>
    <t>主线任务100056</t>
    <phoneticPr fontId="1" type="noConversion"/>
  </si>
  <si>
    <t>主线任务100057</t>
    <phoneticPr fontId="1" type="noConversion"/>
  </si>
  <si>
    <t>主线任务100058</t>
    <phoneticPr fontId="1" type="noConversion"/>
  </si>
  <si>
    <t>主线任务100059</t>
  </si>
  <si>
    <t>主线任务100060</t>
  </si>
  <si>
    <t>主线任务100061</t>
  </si>
  <si>
    <t>主线任务100062</t>
  </si>
  <si>
    <t>主线任务100063</t>
  </si>
  <si>
    <t>主线任务100064</t>
    <phoneticPr fontId="1" type="noConversion"/>
  </si>
  <si>
    <t>主线任务100065</t>
    <phoneticPr fontId="1" type="noConversion"/>
  </si>
  <si>
    <t>主线任务100067</t>
    <phoneticPr fontId="1" type="noConversion"/>
  </si>
  <si>
    <t>主线任务100066</t>
    <phoneticPr fontId="1" type="noConversion"/>
  </si>
  <si>
    <t>主线任务100068</t>
    <phoneticPr fontId="1" type="noConversion"/>
  </si>
  <si>
    <t>主线任务100069</t>
    <phoneticPr fontId="1" type="noConversion"/>
  </si>
  <si>
    <t>主线任务100070</t>
  </si>
  <si>
    <t>主线任务100071</t>
  </si>
  <si>
    <t>主线任务100072</t>
  </si>
  <si>
    <t>主线任务100073</t>
  </si>
  <si>
    <t>主线任务100074</t>
    <phoneticPr fontId="1" type="noConversion"/>
  </si>
  <si>
    <t>主线任务100075</t>
    <phoneticPr fontId="1" type="noConversion"/>
  </si>
  <si>
    <t>主线任务100076</t>
    <phoneticPr fontId="1" type="noConversion"/>
  </si>
  <si>
    <t>主线任务100078</t>
    <phoneticPr fontId="1" type="noConversion"/>
  </si>
  <si>
    <t>主线任务100079</t>
    <phoneticPr fontId="1" type="noConversion"/>
  </si>
  <si>
    <t>主线任务100080</t>
    <phoneticPr fontId="1" type="noConversion"/>
  </si>
  <si>
    <t>主线任务100081</t>
    <phoneticPr fontId="1" type="noConversion"/>
  </si>
  <si>
    <t>主线任务100083</t>
    <phoneticPr fontId="1" type="noConversion"/>
  </si>
  <si>
    <t>通关通天塔20</t>
    <phoneticPr fontId="1" type="noConversion"/>
  </si>
  <si>
    <t>通天塔21</t>
    <phoneticPr fontId="1" type="noConversion"/>
  </si>
  <si>
    <t>通关通天塔25</t>
    <phoneticPr fontId="1" type="noConversion"/>
  </si>
  <si>
    <t>达到2转等级要求</t>
    <phoneticPr fontId="1" type="noConversion"/>
  </si>
  <si>
    <t>完成2转</t>
    <phoneticPr fontId="1" type="noConversion"/>
  </si>
  <si>
    <t>1级绿</t>
    <phoneticPr fontId="1" type="noConversion"/>
  </si>
  <si>
    <t>50级绿</t>
    <phoneticPr fontId="1" type="noConversion"/>
  </si>
  <si>
    <t>50级紫</t>
    <phoneticPr fontId="1" type="noConversion"/>
  </si>
  <si>
    <t>50级红</t>
    <phoneticPr fontId="1" type="noConversion"/>
  </si>
  <si>
    <t>50级橙</t>
    <phoneticPr fontId="1" type="noConversion"/>
  </si>
  <si>
    <t>50绿头盔</t>
    <phoneticPr fontId="1" type="noConversion"/>
  </si>
  <si>
    <t>50绿衣服</t>
    <phoneticPr fontId="1" type="noConversion"/>
  </si>
  <si>
    <t>75级绿</t>
    <phoneticPr fontId="1" type="noConversion"/>
  </si>
  <si>
    <t>75级紫</t>
    <phoneticPr fontId="1" type="noConversion"/>
  </si>
  <si>
    <t>转盘奖120红武器</t>
    <phoneticPr fontId="1" type="noConversion"/>
  </si>
  <si>
    <t>75级紫</t>
    <phoneticPr fontId="1" type="noConversion"/>
  </si>
  <si>
    <t>75级紫</t>
    <phoneticPr fontId="1" type="noConversion"/>
  </si>
  <si>
    <t>75级绿护手</t>
    <phoneticPr fontId="1" type="noConversion"/>
  </si>
  <si>
    <t>75级绿</t>
    <phoneticPr fontId="1" type="noConversion"/>
  </si>
  <si>
    <t>75级绿头盔</t>
    <phoneticPr fontId="1" type="noConversion"/>
  </si>
  <si>
    <t>75级绿腰带</t>
    <phoneticPr fontId="1" type="noConversion"/>
  </si>
  <si>
    <t>120级绿</t>
    <phoneticPr fontId="1" type="noConversion"/>
  </si>
  <si>
    <t>120级红</t>
    <phoneticPr fontId="1" type="noConversion"/>
  </si>
  <si>
    <t>关卡1</t>
    <phoneticPr fontId="1" type="noConversion"/>
  </si>
  <si>
    <t>关卡2</t>
    <phoneticPr fontId="1" type="noConversion"/>
  </si>
  <si>
    <t>关卡3</t>
    <phoneticPr fontId="1" type="noConversion"/>
  </si>
  <si>
    <t>通天塔8</t>
    <phoneticPr fontId="1" type="noConversion"/>
  </si>
  <si>
    <t>要卡战力</t>
    <phoneticPr fontId="1" type="noConversion"/>
  </si>
  <si>
    <r>
      <t>达到等级</t>
    </r>
    <r>
      <rPr>
        <b/>
        <sz val="11"/>
        <color rgb="FFFF0000"/>
        <rFont val="宋体"/>
        <family val="3"/>
        <charset val="134"/>
        <scheme val="minor"/>
      </rPr>
      <t>（卡等级）</t>
    </r>
    <phoneticPr fontId="1" type="noConversion"/>
  </si>
  <si>
    <t>拍的</t>
    <phoneticPr fontId="1" type="noConversion"/>
  </si>
  <si>
    <t>12/29未上</t>
    <phoneticPr fontId="1" type="noConversion"/>
  </si>
  <si>
    <t>激活技能2</t>
    <phoneticPr fontId="1" type="noConversion"/>
  </si>
  <si>
    <t>激活技能3</t>
    <phoneticPr fontId="1" type="noConversion"/>
  </si>
  <si>
    <t>激活技能4</t>
    <phoneticPr fontId="1" type="noConversion"/>
  </si>
  <si>
    <t>激活技能5</t>
    <phoneticPr fontId="1" type="noConversion"/>
  </si>
  <si>
    <t>关卡28</t>
    <phoneticPr fontId="1" type="noConversion"/>
  </si>
  <si>
    <t>关卡34</t>
    <phoneticPr fontId="1" type="noConversion"/>
  </si>
  <si>
    <t>令牌</t>
    <phoneticPr fontId="1" type="noConversion"/>
  </si>
  <si>
    <t>守护神剑</t>
    <phoneticPr fontId="1" type="noConversion"/>
  </si>
  <si>
    <t>主线任务100077</t>
    <phoneticPr fontId="1" type="noConversion"/>
  </si>
  <si>
    <t>主线任务100084</t>
    <phoneticPr fontId="1" type="noConversion"/>
  </si>
  <si>
    <t>主线任务100085</t>
    <phoneticPr fontId="1" type="noConversion"/>
  </si>
  <si>
    <t>坐骑丹*10</t>
    <phoneticPr fontId="1" type="noConversion"/>
  </si>
  <si>
    <t>仙侣丹*5</t>
    <phoneticPr fontId="1" type="noConversion"/>
  </si>
  <si>
    <t>1级生命神纹</t>
    <phoneticPr fontId="1" type="noConversion"/>
  </si>
  <si>
    <t>神纹经验*2000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</si>
</sst>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2" fillId="2" borderId="2" xfId="0" applyFont="1" applyFill="1" applyBorder="1"/>
    <xf numFmtId="0" fontId="4" fillId="0" borderId="0" xfId="0" applyFont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/>
    <xf numFmtId="0" fontId="0" fillId="0" borderId="0" xfId="0" applyFont="1"/>
    <xf numFmtId="0" fontId="7" fillId="0" borderId="0" xfId="0" applyFont="1"/>
    <xf numFmtId="0" fontId="0" fillId="0" borderId="1" xfId="0" applyFont="1" applyBorder="1"/>
    <xf numFmtId="0" fontId="7" fillId="0" borderId="1" xfId="0" applyFont="1" applyBorder="1"/>
    <xf numFmtId="9" fontId="7" fillId="0" borderId="1" xfId="0" applyNumberFormat="1" applyFont="1" applyBorder="1"/>
    <xf numFmtId="0" fontId="7" fillId="0" borderId="1" xfId="0" applyNumberFormat="1" applyFont="1" applyBorder="1"/>
    <xf numFmtId="0" fontId="3" fillId="0" borderId="1" xfId="0" applyFont="1" applyBorder="1"/>
    <xf numFmtId="9" fontId="3" fillId="0" borderId="1" xfId="0" applyNumberFormat="1" applyFont="1" applyBorder="1"/>
    <xf numFmtId="0" fontId="3" fillId="2" borderId="3" xfId="0" applyFont="1" applyFill="1" applyBorder="1"/>
    <xf numFmtId="0" fontId="3" fillId="2" borderId="0" xfId="0" applyFont="1" applyFill="1" applyBorder="1"/>
    <xf numFmtId="0" fontId="3" fillId="0" borderId="0" xfId="0" applyFont="1" applyFill="1" applyBorder="1"/>
    <xf numFmtId="0" fontId="3" fillId="3" borderId="1" xfId="0" applyFont="1" applyFill="1" applyBorder="1"/>
    <xf numFmtId="0" fontId="3" fillId="3" borderId="4" xfId="0" applyFont="1" applyFill="1" applyBorder="1"/>
    <xf numFmtId="0" fontId="2" fillId="0" borderId="1" xfId="0" applyFont="1" applyBorder="1"/>
    <xf numFmtId="0" fontId="3" fillId="2" borderId="6" xfId="0" applyFont="1" applyFill="1" applyBorder="1"/>
    <xf numFmtId="0" fontId="7" fillId="0" borderId="0" xfId="0" applyFont="1" applyFill="1"/>
    <xf numFmtId="0" fontId="7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9" fontId="7" fillId="0" borderId="1" xfId="0" applyNumberFormat="1" applyFont="1" applyFill="1" applyBorder="1"/>
    <xf numFmtId="0" fontId="7" fillId="0" borderId="1" xfId="0" applyNumberFormat="1" applyFont="1" applyFill="1" applyBorder="1"/>
    <xf numFmtId="0" fontId="0" fillId="0" borderId="0" xfId="0" applyFill="1"/>
    <xf numFmtId="0" fontId="3" fillId="0" borderId="1" xfId="0" applyFont="1" applyFill="1" applyBorder="1"/>
    <xf numFmtId="0" fontId="4" fillId="0" borderId="1" xfId="0" applyFont="1" applyBorder="1"/>
    <xf numFmtId="0" fontId="0" fillId="0" borderId="6" xfId="0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319;&#32423;&#32463;&#3956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0135;&#2098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3021;&#21147;&#26694;&#2655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物经验"/>
      <sheetName val="经验产出"/>
      <sheetName val="金币产出"/>
      <sheetName val="关卡"/>
    </sheetNames>
    <sheetDataSet>
      <sheetData sheetId="0">
        <row r="23">
          <cell r="A23" t="str">
            <v>等级</v>
          </cell>
          <cell r="B23" t="str">
            <v>升级区间</v>
          </cell>
          <cell r="C23" t="str">
            <v>区间内总时间</v>
          </cell>
          <cell r="D23" t="str">
            <v>升级时间/s</v>
          </cell>
          <cell r="E23" t="str">
            <v>总时间/s</v>
          </cell>
          <cell r="F23" t="str">
            <v>总时间/min</v>
          </cell>
          <cell r="G23" t="str">
            <v>总时间/h</v>
          </cell>
          <cell r="H23" t="str">
            <v>总时间/d</v>
          </cell>
          <cell r="I23" t="str">
            <v>对应关卡</v>
          </cell>
        </row>
        <row r="24">
          <cell r="A24">
            <v>1</v>
          </cell>
          <cell r="B24">
            <v>1</v>
          </cell>
          <cell r="C24">
            <v>5.0250000000000004</v>
          </cell>
          <cell r="D24">
            <v>5.0250000000000004</v>
          </cell>
          <cell r="E24">
            <v>5.0250000000000004</v>
          </cell>
          <cell r="F24">
            <v>8.3750000000000005E-2</v>
          </cell>
          <cell r="G24">
            <v>1.3958333333333333E-3</v>
          </cell>
          <cell r="H24">
            <v>5.8159722222222223E-5</v>
          </cell>
          <cell r="I24">
            <v>0</v>
          </cell>
          <cell r="K24">
            <v>4.5450337668803433</v>
          </cell>
          <cell r="N24">
            <v>4</v>
          </cell>
          <cell r="O24"/>
        </row>
        <row r="25">
          <cell r="A25">
            <v>2</v>
          </cell>
          <cell r="B25">
            <v>1</v>
          </cell>
          <cell r="C25">
            <v>11.1</v>
          </cell>
          <cell r="D25">
            <v>6.0749999999999993</v>
          </cell>
          <cell r="E25">
            <v>11.1</v>
          </cell>
          <cell r="F25">
            <v>0.185</v>
          </cell>
          <cell r="G25">
            <v>3.0833333333333333E-3</v>
          </cell>
          <cell r="H25">
            <v>1.2847222222222223E-4</v>
          </cell>
          <cell r="I25">
            <v>0</v>
          </cell>
          <cell r="K25">
            <v>4.5450337668803433</v>
          </cell>
          <cell r="N25">
            <v>5</v>
          </cell>
          <cell r="O25">
            <v>4</v>
          </cell>
        </row>
        <row r="26">
          <cell r="A26">
            <v>3</v>
          </cell>
          <cell r="B26">
            <v>1</v>
          </cell>
          <cell r="C26">
            <v>18.224999999999998</v>
          </cell>
          <cell r="D26">
            <v>7.1249999999999982</v>
          </cell>
          <cell r="E26">
            <v>18.224999999999998</v>
          </cell>
          <cell r="F26">
            <v>0.30374999999999996</v>
          </cell>
          <cell r="G26">
            <v>5.0624999999999993E-3</v>
          </cell>
          <cell r="H26">
            <v>2.1093749999999997E-4</v>
          </cell>
          <cell r="I26">
            <v>0</v>
          </cell>
          <cell r="K26">
            <v>4.5450337668803433</v>
          </cell>
          <cell r="N26">
            <v>6</v>
          </cell>
          <cell r="O26">
            <v>9</v>
          </cell>
        </row>
        <row r="27">
          <cell r="A27">
            <v>4</v>
          </cell>
          <cell r="B27">
            <v>1</v>
          </cell>
          <cell r="C27">
            <v>26.4</v>
          </cell>
          <cell r="D27">
            <v>8.1750000000000007</v>
          </cell>
          <cell r="E27">
            <v>26.4</v>
          </cell>
          <cell r="F27">
            <v>0.44</v>
          </cell>
          <cell r="G27">
            <v>7.3333333333333332E-3</v>
          </cell>
          <cell r="H27">
            <v>3.0555555555555555E-4</v>
          </cell>
          <cell r="I27">
            <v>0</v>
          </cell>
          <cell r="K27">
            <v>4.5450337668803433</v>
          </cell>
          <cell r="N27">
            <v>7</v>
          </cell>
          <cell r="O27">
            <v>15</v>
          </cell>
        </row>
        <row r="28">
          <cell r="A28">
            <v>5</v>
          </cell>
          <cell r="B28">
            <v>1</v>
          </cell>
          <cell r="C28">
            <v>35.625</v>
          </cell>
          <cell r="D28">
            <v>9.2250000000000014</v>
          </cell>
          <cell r="E28">
            <v>35.625</v>
          </cell>
          <cell r="F28">
            <v>0.59375</v>
          </cell>
          <cell r="G28">
            <v>9.8958333333333329E-3</v>
          </cell>
          <cell r="H28">
            <v>4.1232638888888889E-4</v>
          </cell>
          <cell r="I28">
            <v>0</v>
          </cell>
          <cell r="K28">
            <v>4.5450337668803433</v>
          </cell>
          <cell r="N28">
            <v>8</v>
          </cell>
          <cell r="O28">
            <v>22</v>
          </cell>
        </row>
        <row r="29">
          <cell r="A29">
            <v>6</v>
          </cell>
          <cell r="B29">
            <v>1</v>
          </cell>
          <cell r="C29">
            <v>45.9</v>
          </cell>
          <cell r="D29">
            <v>10.274999999999999</v>
          </cell>
          <cell r="E29">
            <v>45.9</v>
          </cell>
          <cell r="F29">
            <v>0.76500000000000001</v>
          </cell>
          <cell r="G29">
            <v>1.2750000000000001E-2</v>
          </cell>
          <cell r="H29">
            <v>5.3125000000000004E-4</v>
          </cell>
          <cell r="I29">
            <v>0</v>
          </cell>
          <cell r="K29">
            <v>4.5450337668803433</v>
          </cell>
          <cell r="N29">
            <v>9</v>
          </cell>
          <cell r="O29">
            <v>30</v>
          </cell>
        </row>
        <row r="30">
          <cell r="A30">
            <v>7</v>
          </cell>
          <cell r="B30">
            <v>1</v>
          </cell>
          <cell r="C30">
            <v>57.224999999999994</v>
          </cell>
          <cell r="D30">
            <v>11.324999999999996</v>
          </cell>
          <cell r="E30">
            <v>57.224999999999994</v>
          </cell>
          <cell r="F30">
            <v>0.95374999999999988</v>
          </cell>
          <cell r="G30">
            <v>1.5895833333333331E-2</v>
          </cell>
          <cell r="H30">
            <v>6.6232638888888884E-4</v>
          </cell>
          <cell r="I30">
            <v>0</v>
          </cell>
          <cell r="K30">
            <v>4.5450337668803433</v>
          </cell>
          <cell r="N30">
            <v>10</v>
          </cell>
          <cell r="O30">
            <v>39</v>
          </cell>
        </row>
        <row r="31">
          <cell r="A31">
            <v>8</v>
          </cell>
          <cell r="B31">
            <v>1</v>
          </cell>
          <cell r="C31">
            <v>69.600000000000009</v>
          </cell>
          <cell r="D31">
            <v>12.375000000000014</v>
          </cell>
          <cell r="E31">
            <v>69.600000000000009</v>
          </cell>
          <cell r="F31">
            <v>1.1600000000000001</v>
          </cell>
          <cell r="G31">
            <v>1.9333333333333334E-2</v>
          </cell>
          <cell r="H31">
            <v>8.0555555555555556E-4</v>
          </cell>
          <cell r="I31">
            <v>0</v>
          </cell>
          <cell r="K31">
            <v>4.5450337668803433</v>
          </cell>
          <cell r="N31">
            <v>11</v>
          </cell>
          <cell r="O31">
            <v>49</v>
          </cell>
        </row>
        <row r="32">
          <cell r="A32">
            <v>9</v>
          </cell>
          <cell r="B32">
            <v>1</v>
          </cell>
          <cell r="C32">
            <v>83.025000000000006</v>
          </cell>
          <cell r="D32">
            <v>13.424999999999997</v>
          </cell>
          <cell r="E32">
            <v>83.025000000000006</v>
          </cell>
          <cell r="F32">
            <v>1.38375</v>
          </cell>
          <cell r="G32">
            <v>2.30625E-2</v>
          </cell>
          <cell r="H32">
            <v>9.6093749999999999E-4</v>
          </cell>
          <cell r="I32">
            <v>0</v>
          </cell>
          <cell r="K32">
            <v>4.5450337668803433</v>
          </cell>
          <cell r="N32">
            <v>12</v>
          </cell>
          <cell r="O32">
            <v>60</v>
          </cell>
        </row>
        <row r="33">
          <cell r="A33">
            <v>10</v>
          </cell>
          <cell r="B33">
            <v>1</v>
          </cell>
          <cell r="C33">
            <v>97.499999999999986</v>
          </cell>
          <cell r="D33">
            <v>14.47499999999998</v>
          </cell>
          <cell r="E33">
            <v>97.499999999999986</v>
          </cell>
          <cell r="F33">
            <v>1.6249999999999998</v>
          </cell>
          <cell r="G33">
            <v>2.7083333333333331E-2</v>
          </cell>
          <cell r="H33">
            <v>1.1284722222222221E-3</v>
          </cell>
          <cell r="I33">
            <v>0</v>
          </cell>
          <cell r="K33">
            <v>4.5450337668803433</v>
          </cell>
          <cell r="N33">
            <v>13</v>
          </cell>
          <cell r="O33">
            <v>72</v>
          </cell>
        </row>
        <row r="34">
          <cell r="A34">
            <v>11</v>
          </cell>
          <cell r="B34">
            <v>1</v>
          </cell>
          <cell r="C34">
            <v>113.02500000000001</v>
          </cell>
          <cell r="D34">
            <v>15.52500000000002</v>
          </cell>
          <cell r="E34">
            <v>113.02500000000001</v>
          </cell>
          <cell r="F34">
            <v>1.88375</v>
          </cell>
          <cell r="G34">
            <v>3.1395833333333331E-2</v>
          </cell>
          <cell r="H34">
            <v>1.3081597222222221E-3</v>
          </cell>
          <cell r="I34">
            <v>0</v>
          </cell>
          <cell r="K34">
            <v>4.5450337668803433</v>
          </cell>
          <cell r="N34">
            <v>14</v>
          </cell>
          <cell r="O34">
            <v>85</v>
          </cell>
        </row>
        <row r="35">
          <cell r="A35">
            <v>12</v>
          </cell>
          <cell r="B35">
            <v>1</v>
          </cell>
          <cell r="C35">
            <v>129.6</v>
          </cell>
          <cell r="D35">
            <v>16.574999999999989</v>
          </cell>
          <cell r="E35">
            <v>129.6</v>
          </cell>
          <cell r="F35">
            <v>2.1599999999999997</v>
          </cell>
          <cell r="G35">
            <v>3.5999999999999997E-2</v>
          </cell>
          <cell r="H35">
            <v>1.4999999999999998E-3</v>
          </cell>
          <cell r="I35">
            <v>0</v>
          </cell>
          <cell r="K35">
            <v>4.5450337668803433</v>
          </cell>
          <cell r="N35">
            <v>15</v>
          </cell>
          <cell r="O35">
            <v>99</v>
          </cell>
        </row>
        <row r="36">
          <cell r="A36">
            <v>13</v>
          </cell>
          <cell r="B36">
            <v>1</v>
          </cell>
          <cell r="C36">
            <v>147.22499999999999</v>
          </cell>
          <cell r="D36">
            <v>17.625</v>
          </cell>
          <cell r="E36">
            <v>147.22499999999999</v>
          </cell>
          <cell r="F36">
            <v>2.4537499999999999</v>
          </cell>
          <cell r="G36">
            <v>4.0895833333333333E-2</v>
          </cell>
          <cell r="H36">
            <v>1.7039930555555556E-3</v>
          </cell>
          <cell r="I36">
            <v>0</v>
          </cell>
          <cell r="K36">
            <v>4.5450337668803433</v>
          </cell>
          <cell r="N36">
            <v>16</v>
          </cell>
          <cell r="O36">
            <v>114</v>
          </cell>
        </row>
        <row r="37">
          <cell r="A37">
            <v>14</v>
          </cell>
          <cell r="B37">
            <v>1</v>
          </cell>
          <cell r="C37">
            <v>165.89999999999998</v>
          </cell>
          <cell r="D37">
            <v>18.674999999999983</v>
          </cell>
          <cell r="E37">
            <v>165.89999999999998</v>
          </cell>
          <cell r="F37">
            <v>2.7649999999999997</v>
          </cell>
          <cell r="G37">
            <v>4.608333333333333E-2</v>
          </cell>
          <cell r="H37">
            <v>1.9201388888888888E-3</v>
          </cell>
          <cell r="I37">
            <v>1</v>
          </cell>
          <cell r="K37">
            <v>5.0500375187559365</v>
          </cell>
          <cell r="N37">
            <v>19</v>
          </cell>
          <cell r="O37">
            <v>130</v>
          </cell>
        </row>
        <row r="38">
          <cell r="A38">
            <v>15</v>
          </cell>
          <cell r="B38">
            <v>1</v>
          </cell>
          <cell r="C38">
            <v>185.62499999999997</v>
          </cell>
          <cell r="D38">
            <v>19.724999999999994</v>
          </cell>
          <cell r="E38">
            <v>185.62499999999997</v>
          </cell>
          <cell r="F38">
            <v>3.0937499999999996</v>
          </cell>
          <cell r="G38">
            <v>5.156249999999999E-2</v>
          </cell>
          <cell r="H38">
            <v>2.1484374999999997E-3</v>
          </cell>
          <cell r="I38">
            <v>1</v>
          </cell>
          <cell r="K38">
            <v>5.0500375187559365</v>
          </cell>
          <cell r="N38">
            <v>20</v>
          </cell>
          <cell r="O38">
            <v>149</v>
          </cell>
        </row>
        <row r="39">
          <cell r="A39">
            <v>16</v>
          </cell>
          <cell r="B39">
            <v>1</v>
          </cell>
          <cell r="C39">
            <v>206.4</v>
          </cell>
          <cell r="D39">
            <v>20.775000000000034</v>
          </cell>
          <cell r="E39">
            <v>206.4</v>
          </cell>
          <cell r="F39">
            <v>3.44</v>
          </cell>
          <cell r="G39">
            <v>5.7333333333333333E-2</v>
          </cell>
          <cell r="H39">
            <v>2.3888888888888887E-3</v>
          </cell>
          <cell r="I39">
            <v>1</v>
          </cell>
          <cell r="K39">
            <v>5.0500375187559365</v>
          </cell>
          <cell r="N39">
            <v>21</v>
          </cell>
          <cell r="O39">
            <v>169</v>
          </cell>
        </row>
        <row r="40">
          <cell r="A40">
            <v>17</v>
          </cell>
          <cell r="B40">
            <v>1</v>
          </cell>
          <cell r="C40">
            <v>228.22499999999997</v>
          </cell>
          <cell r="D40">
            <v>21.82499999999996</v>
          </cell>
          <cell r="E40">
            <v>228.22499999999997</v>
          </cell>
          <cell r="F40">
            <v>3.8037499999999995</v>
          </cell>
          <cell r="G40">
            <v>6.3395833333333332E-2</v>
          </cell>
          <cell r="H40">
            <v>2.6414930555555553E-3</v>
          </cell>
          <cell r="I40">
            <v>1</v>
          </cell>
          <cell r="K40">
            <v>5.0500375187559365</v>
          </cell>
          <cell r="N40">
            <v>22</v>
          </cell>
          <cell r="O40">
            <v>190</v>
          </cell>
        </row>
        <row r="41">
          <cell r="A41">
            <v>18</v>
          </cell>
          <cell r="B41">
            <v>1</v>
          </cell>
          <cell r="C41">
            <v>251.1</v>
          </cell>
          <cell r="D41">
            <v>22.875000000000028</v>
          </cell>
          <cell r="E41">
            <v>251.1</v>
          </cell>
          <cell r="F41">
            <v>4.1849999999999996</v>
          </cell>
          <cell r="G41">
            <v>6.9749999999999993E-2</v>
          </cell>
          <cell r="H41">
            <v>2.9062499999999995E-3</v>
          </cell>
          <cell r="I41">
            <v>1</v>
          </cell>
          <cell r="K41">
            <v>5.0500375187559365</v>
          </cell>
          <cell r="N41">
            <v>24</v>
          </cell>
          <cell r="O41">
            <v>212</v>
          </cell>
        </row>
        <row r="42">
          <cell r="A42">
            <v>19</v>
          </cell>
          <cell r="B42">
            <v>1</v>
          </cell>
          <cell r="C42">
            <v>275.02499999999998</v>
          </cell>
          <cell r="D42">
            <v>23.924999999999983</v>
          </cell>
          <cell r="E42">
            <v>275.02499999999998</v>
          </cell>
          <cell r="F42">
            <v>4.5837499999999993</v>
          </cell>
          <cell r="G42">
            <v>7.6395833333333316E-2</v>
          </cell>
          <cell r="H42">
            <v>3.1831597222222213E-3</v>
          </cell>
          <cell r="I42">
            <v>1</v>
          </cell>
          <cell r="K42">
            <v>5.0500375187559365</v>
          </cell>
          <cell r="N42">
            <v>25</v>
          </cell>
          <cell r="O42">
            <v>236</v>
          </cell>
        </row>
        <row r="43">
          <cell r="A43">
            <v>20</v>
          </cell>
          <cell r="B43">
            <v>1</v>
          </cell>
          <cell r="C43">
            <v>300</v>
          </cell>
          <cell r="D43">
            <v>24.975000000000023</v>
          </cell>
          <cell r="E43">
            <v>300</v>
          </cell>
          <cell r="F43">
            <v>5</v>
          </cell>
          <cell r="G43">
            <v>8.3333333333333329E-2</v>
          </cell>
          <cell r="H43">
            <v>3.472222222222222E-3</v>
          </cell>
          <cell r="I43">
            <v>1</v>
          </cell>
          <cell r="K43">
            <v>5.0500375187559365</v>
          </cell>
          <cell r="N43">
            <v>26</v>
          </cell>
          <cell r="O43">
            <v>261</v>
          </cell>
        </row>
        <row r="44">
          <cell r="A44">
            <v>21</v>
          </cell>
          <cell r="B44">
            <v>2</v>
          </cell>
          <cell r="C44">
            <v>25.725000000000001</v>
          </cell>
          <cell r="D44">
            <v>25.725000000000001</v>
          </cell>
          <cell r="E44">
            <v>325.72500000000002</v>
          </cell>
          <cell r="F44">
            <v>5.42875</v>
          </cell>
          <cell r="G44">
            <v>9.0479166666666666E-2</v>
          </cell>
          <cell r="H44">
            <v>3.7699652777777779E-3</v>
          </cell>
          <cell r="I44">
            <v>2</v>
          </cell>
          <cell r="K44">
            <v>5.1001501500950006</v>
          </cell>
          <cell r="N44">
            <v>28</v>
          </cell>
          <cell r="O44">
            <v>287</v>
          </cell>
        </row>
        <row r="45">
          <cell r="A45">
            <v>22</v>
          </cell>
          <cell r="B45">
            <v>2</v>
          </cell>
          <cell r="C45">
            <v>51.900000000000006</v>
          </cell>
          <cell r="D45">
            <v>26.175000000000004</v>
          </cell>
          <cell r="E45">
            <v>351.90000000000003</v>
          </cell>
          <cell r="F45">
            <v>5.8650000000000002</v>
          </cell>
          <cell r="G45">
            <v>9.7750000000000004E-2</v>
          </cell>
          <cell r="H45">
            <v>4.0729166666666665E-3</v>
          </cell>
          <cell r="I45">
            <v>2</v>
          </cell>
          <cell r="K45">
            <v>5.1001501500950006</v>
          </cell>
          <cell r="N45">
            <v>29</v>
          </cell>
          <cell r="O45">
            <v>315</v>
          </cell>
        </row>
        <row r="46">
          <cell r="A46">
            <v>23</v>
          </cell>
          <cell r="B46">
            <v>2</v>
          </cell>
          <cell r="C46">
            <v>78.524999999999991</v>
          </cell>
          <cell r="D46">
            <v>26.624999999999986</v>
          </cell>
          <cell r="E46">
            <v>378.52500000000003</v>
          </cell>
          <cell r="F46">
            <v>6.3087500000000007</v>
          </cell>
          <cell r="G46">
            <v>0.10514583333333334</v>
          </cell>
          <cell r="H46">
            <v>4.3810763888888892E-3</v>
          </cell>
          <cell r="I46">
            <v>2</v>
          </cell>
          <cell r="K46">
            <v>5.1001501500950006</v>
          </cell>
          <cell r="N46">
            <v>29</v>
          </cell>
          <cell r="O46">
            <v>344</v>
          </cell>
        </row>
        <row r="47">
          <cell r="A47">
            <v>24</v>
          </cell>
          <cell r="B47">
            <v>2</v>
          </cell>
          <cell r="C47">
            <v>105.60000000000001</v>
          </cell>
          <cell r="D47">
            <v>27.075000000000017</v>
          </cell>
          <cell r="E47">
            <v>405.6</v>
          </cell>
          <cell r="F47">
            <v>6.7600000000000007</v>
          </cell>
          <cell r="G47">
            <v>0.11266666666666668</v>
          </cell>
          <cell r="H47">
            <v>4.6944444444444447E-3</v>
          </cell>
          <cell r="I47">
            <v>2</v>
          </cell>
          <cell r="K47">
            <v>5.1001501500950006</v>
          </cell>
          <cell r="N47">
            <v>30</v>
          </cell>
          <cell r="O47">
            <v>373</v>
          </cell>
        </row>
        <row r="48">
          <cell r="A48">
            <v>25</v>
          </cell>
          <cell r="B48">
            <v>2</v>
          </cell>
          <cell r="C48">
            <v>133.125</v>
          </cell>
          <cell r="D48">
            <v>27.524999999999991</v>
          </cell>
          <cell r="E48">
            <v>433.125</v>
          </cell>
          <cell r="F48">
            <v>7.21875</v>
          </cell>
          <cell r="G48">
            <v>0.1203125</v>
          </cell>
          <cell r="H48">
            <v>5.0130208333333337E-3</v>
          </cell>
          <cell r="I48">
            <v>2</v>
          </cell>
          <cell r="K48">
            <v>5.1001501500950006</v>
          </cell>
          <cell r="N48">
            <v>31</v>
          </cell>
          <cell r="O48">
            <v>403</v>
          </cell>
        </row>
        <row r="49">
          <cell r="A49">
            <v>26</v>
          </cell>
          <cell r="B49">
            <v>2</v>
          </cell>
          <cell r="C49">
            <v>161.10000000000002</v>
          </cell>
          <cell r="D49">
            <v>27.975000000000023</v>
          </cell>
          <cell r="E49">
            <v>461.1</v>
          </cell>
          <cell r="F49">
            <v>7.6850000000000005</v>
          </cell>
          <cell r="G49">
            <v>0.12808333333333335</v>
          </cell>
          <cell r="H49">
            <v>5.3368055555555564E-3</v>
          </cell>
          <cell r="I49">
            <v>2</v>
          </cell>
          <cell r="K49">
            <v>5.1001501500950006</v>
          </cell>
          <cell r="N49">
            <v>31</v>
          </cell>
          <cell r="O49">
            <v>434</v>
          </cell>
        </row>
        <row r="50">
          <cell r="A50">
            <v>27</v>
          </cell>
          <cell r="B50">
            <v>2</v>
          </cell>
          <cell r="C50">
            <v>189.52499999999998</v>
          </cell>
          <cell r="D50">
            <v>28.424999999999955</v>
          </cell>
          <cell r="E50">
            <v>489.52499999999998</v>
          </cell>
          <cell r="F50">
            <v>8.1587499999999995</v>
          </cell>
          <cell r="G50">
            <v>0.13597916666666665</v>
          </cell>
          <cell r="H50">
            <v>5.6657986111111102E-3</v>
          </cell>
          <cell r="I50">
            <v>3</v>
          </cell>
          <cell r="K50">
            <v>5.1503380067309381</v>
          </cell>
          <cell r="N50">
            <v>33</v>
          </cell>
          <cell r="O50">
            <v>465</v>
          </cell>
        </row>
        <row r="51">
          <cell r="A51">
            <v>28</v>
          </cell>
          <cell r="B51">
            <v>2</v>
          </cell>
          <cell r="C51">
            <v>218.40000000000003</v>
          </cell>
          <cell r="D51">
            <v>28.875000000000057</v>
          </cell>
          <cell r="E51">
            <v>518.40000000000009</v>
          </cell>
          <cell r="F51">
            <v>8.6400000000000023</v>
          </cell>
          <cell r="G51">
            <v>0.14400000000000004</v>
          </cell>
          <cell r="H51">
            <v>6.0000000000000019E-3</v>
          </cell>
          <cell r="I51">
            <v>3</v>
          </cell>
          <cell r="K51">
            <v>5.1503380067309381</v>
          </cell>
          <cell r="N51">
            <v>34</v>
          </cell>
          <cell r="O51">
            <v>498</v>
          </cell>
        </row>
        <row r="52">
          <cell r="A52">
            <v>29</v>
          </cell>
          <cell r="B52">
            <v>2</v>
          </cell>
          <cell r="C52">
            <v>247.72499999999999</v>
          </cell>
          <cell r="D52">
            <v>29.32499999999996</v>
          </cell>
          <cell r="E52">
            <v>547.72500000000002</v>
          </cell>
          <cell r="F52">
            <v>9.1287500000000001</v>
          </cell>
          <cell r="G52">
            <v>0.15214583333333334</v>
          </cell>
          <cell r="H52">
            <v>6.3394097222222228E-3</v>
          </cell>
          <cell r="I52">
            <v>3</v>
          </cell>
          <cell r="K52">
            <v>5.1503380067309381</v>
          </cell>
          <cell r="N52">
            <v>35</v>
          </cell>
          <cell r="O52">
            <v>532</v>
          </cell>
        </row>
        <row r="53">
          <cell r="A53">
            <v>30</v>
          </cell>
          <cell r="B53">
            <v>2</v>
          </cell>
          <cell r="C53">
            <v>277.5</v>
          </cell>
          <cell r="D53">
            <v>29.775000000000006</v>
          </cell>
          <cell r="E53">
            <v>577.5</v>
          </cell>
          <cell r="F53">
            <v>9.625</v>
          </cell>
          <cell r="G53">
            <v>0.16041666666666668</v>
          </cell>
          <cell r="H53">
            <v>6.6840277777777783E-3</v>
          </cell>
          <cell r="I53">
            <v>3</v>
          </cell>
          <cell r="K53">
            <v>5.1503380067309381</v>
          </cell>
          <cell r="N53">
            <v>36</v>
          </cell>
          <cell r="O53">
            <v>567</v>
          </cell>
        </row>
        <row r="54">
          <cell r="A54">
            <v>31</v>
          </cell>
          <cell r="B54">
            <v>2</v>
          </cell>
          <cell r="C54">
            <v>307.72500000000002</v>
          </cell>
          <cell r="D54">
            <v>30.225000000000023</v>
          </cell>
          <cell r="E54">
            <v>607.72500000000002</v>
          </cell>
          <cell r="F54">
            <v>10.12875</v>
          </cell>
          <cell r="G54">
            <v>0.1688125</v>
          </cell>
          <cell r="H54">
            <v>7.0338541666666666E-3</v>
          </cell>
          <cell r="I54">
            <v>3</v>
          </cell>
          <cell r="K54">
            <v>5.1503380067309381</v>
          </cell>
          <cell r="N54">
            <v>37</v>
          </cell>
          <cell r="O54">
            <v>603</v>
          </cell>
        </row>
        <row r="55">
          <cell r="A55">
            <v>32</v>
          </cell>
          <cell r="B55">
            <v>2</v>
          </cell>
          <cell r="C55">
            <v>338.40000000000003</v>
          </cell>
          <cell r="D55">
            <v>30.675000000000011</v>
          </cell>
          <cell r="E55">
            <v>638.40000000000009</v>
          </cell>
          <cell r="F55">
            <v>10.640000000000002</v>
          </cell>
          <cell r="G55">
            <v>0.17733333333333337</v>
          </cell>
          <cell r="H55">
            <v>7.3888888888888902E-3</v>
          </cell>
          <cell r="I55">
            <v>4</v>
          </cell>
          <cell r="K55">
            <v>5.2006012015200005</v>
          </cell>
          <cell r="N55">
            <v>39</v>
          </cell>
          <cell r="O55">
            <v>640</v>
          </cell>
        </row>
        <row r="56">
          <cell r="A56">
            <v>33</v>
          </cell>
          <cell r="B56">
            <v>2</v>
          </cell>
          <cell r="C56">
            <v>369.52499999999998</v>
          </cell>
          <cell r="D56">
            <v>31.124999999999943</v>
          </cell>
          <cell r="E56">
            <v>669.52500000000009</v>
          </cell>
          <cell r="F56">
            <v>11.158750000000001</v>
          </cell>
          <cell r="G56">
            <v>0.1859791666666667</v>
          </cell>
          <cell r="H56">
            <v>7.7491319444444456E-3</v>
          </cell>
          <cell r="I56">
            <v>4</v>
          </cell>
          <cell r="K56">
            <v>5.2006012015200005</v>
          </cell>
          <cell r="N56">
            <v>40</v>
          </cell>
          <cell r="O56">
            <v>679</v>
          </cell>
        </row>
        <row r="57">
          <cell r="A57">
            <v>34</v>
          </cell>
          <cell r="B57">
            <v>2</v>
          </cell>
          <cell r="C57">
            <v>401.09999999999997</v>
          </cell>
          <cell r="D57">
            <v>31.574999999999989</v>
          </cell>
          <cell r="E57">
            <v>701.10000000000014</v>
          </cell>
          <cell r="F57">
            <v>11.685000000000002</v>
          </cell>
          <cell r="G57">
            <v>0.19475000000000003</v>
          </cell>
          <cell r="H57">
            <v>8.1145833333333348E-3</v>
          </cell>
          <cell r="I57">
            <v>4</v>
          </cell>
          <cell r="K57">
            <v>5.2006012015200005</v>
          </cell>
          <cell r="N57">
            <v>41</v>
          </cell>
          <cell r="O57">
            <v>719</v>
          </cell>
        </row>
        <row r="58">
          <cell r="A58">
            <v>35</v>
          </cell>
          <cell r="B58">
            <v>2</v>
          </cell>
          <cell r="C58">
            <v>433.12499999999994</v>
          </cell>
          <cell r="D58">
            <v>32.024999999999977</v>
          </cell>
          <cell r="E58">
            <v>733.12500000000011</v>
          </cell>
          <cell r="F58">
            <v>12.218750000000002</v>
          </cell>
          <cell r="G58">
            <v>0.20364583333333336</v>
          </cell>
          <cell r="H58">
            <v>8.4852430555555566E-3</v>
          </cell>
          <cell r="I58">
            <v>4</v>
          </cell>
          <cell r="K58">
            <v>5.2006012015200005</v>
          </cell>
          <cell r="N58">
            <v>42</v>
          </cell>
          <cell r="O58">
            <v>760</v>
          </cell>
        </row>
        <row r="59">
          <cell r="A59">
            <v>36</v>
          </cell>
          <cell r="B59">
            <v>2</v>
          </cell>
          <cell r="C59">
            <v>465.6</v>
          </cell>
          <cell r="D59">
            <v>32.47500000000008</v>
          </cell>
          <cell r="E59">
            <v>765.60000000000014</v>
          </cell>
          <cell r="F59">
            <v>12.760000000000002</v>
          </cell>
          <cell r="G59">
            <v>0.2126666666666667</v>
          </cell>
          <cell r="H59">
            <v>8.861111111111113E-3</v>
          </cell>
          <cell r="I59">
            <v>4</v>
          </cell>
          <cell r="K59">
            <v>5.2006012015200005</v>
          </cell>
          <cell r="N59">
            <v>43</v>
          </cell>
          <cell r="O59">
            <v>802</v>
          </cell>
        </row>
        <row r="60">
          <cell r="A60">
            <v>37</v>
          </cell>
          <cell r="B60">
            <v>2</v>
          </cell>
          <cell r="C60">
            <v>498.52499999999998</v>
          </cell>
          <cell r="D60">
            <v>32.924999999999955</v>
          </cell>
          <cell r="E60">
            <v>798.52500000000009</v>
          </cell>
          <cell r="F60">
            <v>13.308750000000002</v>
          </cell>
          <cell r="G60">
            <v>0.22181250000000002</v>
          </cell>
          <cell r="H60">
            <v>9.2421875000000004E-3</v>
          </cell>
          <cell r="I60">
            <v>5</v>
          </cell>
          <cell r="K60">
            <v>5.2509398474609377</v>
          </cell>
          <cell r="N60">
            <v>46</v>
          </cell>
          <cell r="O60">
            <v>845</v>
          </cell>
        </row>
        <row r="61">
          <cell r="A61">
            <v>38</v>
          </cell>
          <cell r="B61">
            <v>2</v>
          </cell>
          <cell r="C61">
            <v>531.90000000000009</v>
          </cell>
          <cell r="D61">
            <v>33.375000000000114</v>
          </cell>
          <cell r="E61">
            <v>831.9000000000002</v>
          </cell>
          <cell r="F61">
            <v>13.865000000000004</v>
          </cell>
          <cell r="G61">
            <v>0.23108333333333339</v>
          </cell>
          <cell r="H61">
            <v>9.628472222222224E-3</v>
          </cell>
          <cell r="I61">
            <v>5</v>
          </cell>
          <cell r="K61">
            <v>5.2509398474609377</v>
          </cell>
          <cell r="N61">
            <v>47</v>
          </cell>
          <cell r="O61">
            <v>891</v>
          </cell>
        </row>
        <row r="62">
          <cell r="A62">
            <v>39</v>
          </cell>
          <cell r="B62">
            <v>2</v>
          </cell>
          <cell r="C62">
            <v>565.72500000000002</v>
          </cell>
          <cell r="D62">
            <v>33.824999999999932</v>
          </cell>
          <cell r="E62">
            <v>865.72500000000014</v>
          </cell>
          <cell r="F62">
            <v>14.428750000000003</v>
          </cell>
          <cell r="G62">
            <v>0.24047916666666672</v>
          </cell>
          <cell r="H62">
            <v>1.001996527777778E-2</v>
          </cell>
          <cell r="I62">
            <v>5</v>
          </cell>
          <cell r="K62">
            <v>5.2509398474609377</v>
          </cell>
          <cell r="N62">
            <v>48</v>
          </cell>
          <cell r="O62">
            <v>938</v>
          </cell>
        </row>
        <row r="63">
          <cell r="A63">
            <v>40</v>
          </cell>
          <cell r="B63">
            <v>2</v>
          </cell>
          <cell r="C63">
            <v>600</v>
          </cell>
          <cell r="D63">
            <v>34.274999999999977</v>
          </cell>
          <cell r="E63">
            <v>900.00000000000011</v>
          </cell>
          <cell r="F63">
            <v>15.000000000000002</v>
          </cell>
          <cell r="G63">
            <v>0.25000000000000006</v>
          </cell>
          <cell r="H63">
            <v>1.041666666666667E-2</v>
          </cell>
          <cell r="I63">
            <v>5</v>
          </cell>
          <cell r="K63">
            <v>5.2509398474609377</v>
          </cell>
          <cell r="N63">
            <v>49</v>
          </cell>
          <cell r="O63">
            <v>986</v>
          </cell>
        </row>
        <row r="64">
          <cell r="A64">
            <v>41</v>
          </cell>
          <cell r="B64">
            <v>3</v>
          </cell>
          <cell r="C64">
            <v>42.757499999999993</v>
          </cell>
          <cell r="D64">
            <v>42.757499999999993</v>
          </cell>
          <cell r="E64">
            <v>942.75750000000016</v>
          </cell>
          <cell r="F64">
            <v>15.712625000000003</v>
          </cell>
          <cell r="G64">
            <v>0.26187708333333337</v>
          </cell>
          <cell r="H64">
            <v>1.091154513888889E-2</v>
          </cell>
          <cell r="I64">
            <v>5</v>
          </cell>
          <cell r="K64">
            <v>5.2509398474609377</v>
          </cell>
          <cell r="N64">
            <v>62</v>
          </cell>
          <cell r="O64">
            <v>1035</v>
          </cell>
        </row>
        <row r="65">
          <cell r="A65">
            <v>42</v>
          </cell>
          <cell r="B65">
            <v>3</v>
          </cell>
          <cell r="C65">
            <v>87.059999999999988</v>
          </cell>
          <cell r="D65">
            <v>44.302499999999995</v>
          </cell>
          <cell r="E65">
            <v>987.06000000000017</v>
          </cell>
          <cell r="F65">
            <v>16.451000000000004</v>
          </cell>
          <cell r="G65">
            <v>0.27418333333333339</v>
          </cell>
          <cell r="H65">
            <v>1.1424305555555557E-2</v>
          </cell>
          <cell r="I65">
            <v>6</v>
          </cell>
          <cell r="K65">
            <v>5.3013540576949998</v>
          </cell>
          <cell r="N65">
            <v>68</v>
          </cell>
          <cell r="O65">
            <v>1097</v>
          </cell>
        </row>
        <row r="66">
          <cell r="A66">
            <v>43</v>
          </cell>
          <cell r="B66">
            <v>3</v>
          </cell>
          <cell r="C66">
            <v>132.95249999999999</v>
          </cell>
          <cell r="D66">
            <v>45.892499999999998</v>
          </cell>
          <cell r="E66">
            <v>1032.9525000000001</v>
          </cell>
          <cell r="F66">
            <v>17.215875</v>
          </cell>
          <cell r="G66">
            <v>0.28693125000000003</v>
          </cell>
          <cell r="H66">
            <v>1.1955468750000002E-2</v>
          </cell>
          <cell r="I66">
            <v>6</v>
          </cell>
          <cell r="K66">
            <v>5.3013540576949998</v>
          </cell>
          <cell r="N66">
            <v>71</v>
          </cell>
          <cell r="O66">
            <v>1165</v>
          </cell>
        </row>
        <row r="67">
          <cell r="A67">
            <v>44</v>
          </cell>
          <cell r="B67">
            <v>3</v>
          </cell>
          <cell r="C67">
            <v>180.48000000000002</v>
          </cell>
          <cell r="D67">
            <v>47.527500000000032</v>
          </cell>
          <cell r="E67">
            <v>1080.48</v>
          </cell>
          <cell r="F67">
            <v>18.007999999999999</v>
          </cell>
          <cell r="G67">
            <v>0.30013333333333331</v>
          </cell>
          <cell r="H67">
            <v>1.2505555555555554E-2</v>
          </cell>
          <cell r="I67">
            <v>6</v>
          </cell>
          <cell r="K67">
            <v>5.3013540576949998</v>
          </cell>
          <cell r="N67">
            <v>75</v>
          </cell>
          <cell r="O67">
            <v>1236</v>
          </cell>
        </row>
        <row r="68">
          <cell r="A68">
            <v>45</v>
          </cell>
          <cell r="B68">
            <v>3</v>
          </cell>
          <cell r="C68">
            <v>229.6875</v>
          </cell>
          <cell r="D68">
            <v>49.207499999999982</v>
          </cell>
          <cell r="E68">
            <v>1129.6875</v>
          </cell>
          <cell r="F68">
            <v>18.828125</v>
          </cell>
          <cell r="G68">
            <v>0.31380208333333331</v>
          </cell>
          <cell r="H68">
            <v>1.3075086805555554E-2</v>
          </cell>
          <cell r="I68">
            <v>7</v>
          </cell>
          <cell r="K68">
            <v>5.3518439455059381</v>
          </cell>
          <cell r="N68">
            <v>82</v>
          </cell>
          <cell r="O68">
            <v>1311</v>
          </cell>
        </row>
        <row r="69">
          <cell r="A69">
            <v>46</v>
          </cell>
          <cell r="B69">
            <v>3</v>
          </cell>
          <cell r="C69">
            <v>280.61999999999995</v>
          </cell>
          <cell r="D69">
            <v>50.932499999999948</v>
          </cell>
          <cell r="E69">
            <v>1180.6199999999999</v>
          </cell>
          <cell r="F69">
            <v>19.677</v>
          </cell>
          <cell r="G69">
            <v>0.32795000000000002</v>
          </cell>
          <cell r="H69">
            <v>1.3664583333333334E-2</v>
          </cell>
          <cell r="I69">
            <v>7</v>
          </cell>
          <cell r="K69">
            <v>5.3518439455059381</v>
          </cell>
          <cell r="N69">
            <v>86</v>
          </cell>
          <cell r="O69">
            <v>1393</v>
          </cell>
        </row>
        <row r="70">
          <cell r="A70">
            <v>47</v>
          </cell>
          <cell r="B70">
            <v>3</v>
          </cell>
          <cell r="C70">
            <v>333.32249999999993</v>
          </cell>
          <cell r="D70">
            <v>52.702499999999986</v>
          </cell>
          <cell r="E70">
            <v>1233.3224999999998</v>
          </cell>
          <cell r="F70">
            <v>20.555374999999994</v>
          </cell>
          <cell r="G70">
            <v>0.34258958333333323</v>
          </cell>
          <cell r="H70">
            <v>1.4274565972222217E-2</v>
          </cell>
          <cell r="I70">
            <v>7</v>
          </cell>
          <cell r="K70">
            <v>5.3518439455059381</v>
          </cell>
          <cell r="N70">
            <v>90</v>
          </cell>
          <cell r="O70">
            <v>1479</v>
          </cell>
        </row>
        <row r="71">
          <cell r="A71">
            <v>48</v>
          </cell>
          <cell r="B71">
            <v>3</v>
          </cell>
          <cell r="C71">
            <v>387.83999999999992</v>
          </cell>
          <cell r="D71">
            <v>54.517499999999984</v>
          </cell>
          <cell r="E71">
            <v>1287.8399999999997</v>
          </cell>
          <cell r="F71">
            <v>21.463999999999995</v>
          </cell>
          <cell r="G71">
            <v>0.35773333333333324</v>
          </cell>
          <cell r="H71">
            <v>1.4905555555555552E-2</v>
          </cell>
          <cell r="I71">
            <v>7</v>
          </cell>
          <cell r="K71">
            <v>5.3518439455059381</v>
          </cell>
          <cell r="N71">
            <v>94</v>
          </cell>
          <cell r="O71">
            <v>1569</v>
          </cell>
        </row>
        <row r="72">
          <cell r="A72">
            <v>49</v>
          </cell>
          <cell r="B72">
            <v>3</v>
          </cell>
          <cell r="C72">
            <v>444.21749999999997</v>
          </cell>
          <cell r="D72">
            <v>56.377500000000055</v>
          </cell>
          <cell r="E72">
            <v>1344.2174999999997</v>
          </cell>
          <cell r="F72">
            <v>22.403624999999995</v>
          </cell>
          <cell r="G72">
            <v>0.37339374999999991</v>
          </cell>
          <cell r="H72">
            <v>1.5558072916666664E-2</v>
          </cell>
          <cell r="I72">
            <v>8</v>
          </cell>
          <cell r="K72">
            <v>5.4024096243199997</v>
          </cell>
          <cell r="N72">
            <v>103</v>
          </cell>
          <cell r="O72">
            <v>1663</v>
          </cell>
        </row>
        <row r="73">
          <cell r="A73">
            <v>50</v>
          </cell>
          <cell r="B73">
            <v>3</v>
          </cell>
          <cell r="C73">
            <v>502.49999999999994</v>
          </cell>
          <cell r="D73">
            <v>58.28249999999997</v>
          </cell>
          <cell r="E73">
            <v>1402.4999999999998</v>
          </cell>
          <cell r="F73">
            <v>23.374999999999996</v>
          </cell>
          <cell r="G73">
            <v>0.38958333333333328</v>
          </cell>
          <cell r="H73">
            <v>1.6232638888888887E-2</v>
          </cell>
          <cell r="I73">
            <v>8</v>
          </cell>
          <cell r="K73">
            <v>5.4024096243199997</v>
          </cell>
          <cell r="N73">
            <v>108</v>
          </cell>
          <cell r="O73">
            <v>1766</v>
          </cell>
        </row>
        <row r="74">
          <cell r="A74">
            <v>51</v>
          </cell>
          <cell r="B74">
            <v>3</v>
          </cell>
          <cell r="C74">
            <v>562.73249999999996</v>
          </cell>
          <cell r="D74">
            <v>60.232500000000016</v>
          </cell>
          <cell r="E74">
            <v>1462.7324999999998</v>
          </cell>
          <cell r="F74">
            <v>24.378874999999997</v>
          </cell>
          <cell r="G74">
            <v>0.40631458333333331</v>
          </cell>
          <cell r="H74">
            <v>1.6929774305555555E-2</v>
          </cell>
          <cell r="I74">
            <v>8</v>
          </cell>
          <cell r="K74">
            <v>5.4024096243199997</v>
          </cell>
          <cell r="N74">
            <v>113</v>
          </cell>
          <cell r="O74">
            <v>1874</v>
          </cell>
        </row>
        <row r="75">
          <cell r="A75">
            <v>52</v>
          </cell>
          <cell r="B75">
            <v>3</v>
          </cell>
          <cell r="C75">
            <v>624.96</v>
          </cell>
          <cell r="D75">
            <v>62.227500000000077</v>
          </cell>
          <cell r="E75">
            <v>1524.96</v>
          </cell>
          <cell r="F75">
            <v>25.416</v>
          </cell>
          <cell r="G75">
            <v>0.42360000000000003</v>
          </cell>
          <cell r="H75">
            <v>1.7650000000000002E-2</v>
          </cell>
          <cell r="I75">
            <v>9</v>
          </cell>
          <cell r="K75">
            <v>5.4530512077059372</v>
          </cell>
          <cell r="N75">
            <v>123</v>
          </cell>
          <cell r="O75">
            <v>1987</v>
          </cell>
        </row>
        <row r="76">
          <cell r="A76">
            <v>53</v>
          </cell>
          <cell r="B76">
            <v>3</v>
          </cell>
          <cell r="C76">
            <v>689.22749999999985</v>
          </cell>
          <cell r="D76">
            <v>64.267499999999814</v>
          </cell>
          <cell r="E76">
            <v>1589.2275</v>
          </cell>
          <cell r="F76">
            <v>26.487124999999999</v>
          </cell>
          <cell r="G76">
            <v>0.4414520833333333</v>
          </cell>
          <cell r="H76">
            <v>1.8393836805555553E-2</v>
          </cell>
          <cell r="I76">
            <v>9</v>
          </cell>
          <cell r="K76">
            <v>5.4530512077059372</v>
          </cell>
          <cell r="N76">
            <v>130</v>
          </cell>
          <cell r="O76">
            <v>2110</v>
          </cell>
        </row>
        <row r="77">
          <cell r="A77">
            <v>54</v>
          </cell>
          <cell r="B77">
            <v>3</v>
          </cell>
          <cell r="C77">
            <v>755.57999999999993</v>
          </cell>
          <cell r="D77">
            <v>66.352500000000077</v>
          </cell>
          <cell r="E77">
            <v>1655.58</v>
          </cell>
          <cell r="F77">
            <v>27.593</v>
          </cell>
          <cell r="G77">
            <v>0.45988333333333331</v>
          </cell>
          <cell r="H77">
            <v>1.9161805555555553E-2</v>
          </cell>
          <cell r="I77">
            <v>10</v>
          </cell>
          <cell r="K77">
            <v>5.503768809374999</v>
          </cell>
          <cell r="N77">
            <v>141</v>
          </cell>
          <cell r="O77">
            <v>2240</v>
          </cell>
        </row>
        <row r="78">
          <cell r="A78">
            <v>55</v>
          </cell>
          <cell r="B78">
            <v>3</v>
          </cell>
          <cell r="C78">
            <v>824.06249999999989</v>
          </cell>
          <cell r="D78">
            <v>68.482499999999959</v>
          </cell>
          <cell r="E78">
            <v>1724.0625</v>
          </cell>
          <cell r="F78">
            <v>28.734375</v>
          </cell>
          <cell r="G78">
            <v>0.47890624999999998</v>
          </cell>
          <cell r="H78">
            <v>1.9954427083333334E-2</v>
          </cell>
          <cell r="I78">
            <v>10</v>
          </cell>
          <cell r="K78">
            <v>5.503768809374999</v>
          </cell>
          <cell r="N78">
            <v>148</v>
          </cell>
          <cell r="O78">
            <v>2381</v>
          </cell>
        </row>
        <row r="79">
          <cell r="A79">
            <v>56</v>
          </cell>
          <cell r="B79">
            <v>3</v>
          </cell>
          <cell r="C79">
            <v>894.71999999999991</v>
          </cell>
          <cell r="D79">
            <v>70.657500000000027</v>
          </cell>
          <cell r="E79">
            <v>1794.72</v>
          </cell>
          <cell r="F79">
            <v>29.911999999999999</v>
          </cell>
          <cell r="G79">
            <v>0.49853333333333333</v>
          </cell>
          <cell r="H79">
            <v>2.0772222222222223E-2</v>
          </cell>
          <cell r="I79">
            <v>10</v>
          </cell>
          <cell r="K79">
            <v>5.503768809374999</v>
          </cell>
          <cell r="N79">
            <v>156</v>
          </cell>
          <cell r="O79">
            <v>2529</v>
          </cell>
        </row>
        <row r="80">
          <cell r="A80">
            <v>57</v>
          </cell>
          <cell r="B80">
            <v>3</v>
          </cell>
          <cell r="C80">
            <v>967.59750000000008</v>
          </cell>
          <cell r="D80">
            <v>72.877500000000168</v>
          </cell>
          <cell r="E80">
            <v>1867.5975000000003</v>
          </cell>
          <cell r="F80">
            <v>31.126625000000004</v>
          </cell>
          <cell r="G80">
            <v>0.51877708333333339</v>
          </cell>
          <cell r="H80">
            <v>2.1615711805555559E-2</v>
          </cell>
          <cell r="I80">
            <v>11</v>
          </cell>
          <cell r="K80">
            <v>5.5545625431809373</v>
          </cell>
          <cell r="N80">
            <v>169</v>
          </cell>
          <cell r="O80">
            <v>2685</v>
          </cell>
        </row>
        <row r="81">
          <cell r="A81">
            <v>58</v>
          </cell>
          <cell r="B81">
            <v>3</v>
          </cell>
          <cell r="C81">
            <v>1042.74</v>
          </cell>
          <cell r="D81">
            <v>75.142499999999927</v>
          </cell>
          <cell r="E81">
            <v>1942.7400000000002</v>
          </cell>
          <cell r="F81">
            <v>32.379000000000005</v>
          </cell>
          <cell r="G81">
            <v>0.53965000000000007</v>
          </cell>
          <cell r="H81">
            <v>2.2485416666666671E-2</v>
          </cell>
          <cell r="I81">
            <v>11</v>
          </cell>
          <cell r="K81">
            <v>5.5545625431809373</v>
          </cell>
          <cell r="N81">
            <v>178</v>
          </cell>
          <cell r="O81">
            <v>2854</v>
          </cell>
        </row>
        <row r="82">
          <cell r="A82">
            <v>59</v>
          </cell>
          <cell r="B82">
            <v>3</v>
          </cell>
          <cell r="C82">
            <v>1120.1924999999999</v>
          </cell>
          <cell r="D82">
            <v>77.452499999999873</v>
          </cell>
          <cell r="E82">
            <v>2020.1925000000001</v>
          </cell>
          <cell r="F82">
            <v>33.669875000000005</v>
          </cell>
          <cell r="G82">
            <v>0.56116458333333341</v>
          </cell>
          <cell r="H82">
            <v>2.3381857638888892E-2</v>
          </cell>
          <cell r="I82">
            <v>12</v>
          </cell>
          <cell r="K82">
            <v>5.6054325231200002</v>
          </cell>
          <cell r="N82">
            <v>194</v>
          </cell>
          <cell r="O82">
            <v>3032</v>
          </cell>
        </row>
        <row r="83">
          <cell r="A83">
            <v>60</v>
          </cell>
          <cell r="B83">
            <v>3</v>
          </cell>
          <cell r="C83">
            <v>1200</v>
          </cell>
          <cell r="D83">
            <v>79.807500000000118</v>
          </cell>
          <cell r="E83">
            <v>2100</v>
          </cell>
          <cell r="F83">
            <v>35</v>
          </cell>
          <cell r="G83">
            <v>0.58333333333333337</v>
          </cell>
          <cell r="H83">
            <v>2.4305555555555556E-2</v>
          </cell>
          <cell r="I83">
            <v>12</v>
          </cell>
          <cell r="K83">
            <v>5.6054325231200002</v>
          </cell>
          <cell r="N83">
            <v>204</v>
          </cell>
          <cell r="O83">
            <v>3226</v>
          </cell>
        </row>
        <row r="84">
          <cell r="A84">
            <v>61</v>
          </cell>
          <cell r="B84">
            <v>4</v>
          </cell>
          <cell r="C84">
            <v>81.45</v>
          </cell>
          <cell r="D84">
            <v>81.45</v>
          </cell>
          <cell r="E84">
            <v>2181.4499999999998</v>
          </cell>
          <cell r="F84">
            <v>36.357499999999995</v>
          </cell>
          <cell r="G84">
            <v>0.60595833333333327</v>
          </cell>
          <cell r="H84">
            <v>2.5248263888888886E-2</v>
          </cell>
          <cell r="I84">
            <v>13</v>
          </cell>
          <cell r="K84">
            <v>5.6563788633309384</v>
          </cell>
          <cell r="N84">
            <v>219</v>
          </cell>
          <cell r="O84">
            <v>3430</v>
          </cell>
        </row>
        <row r="85">
          <cell r="A85">
            <v>62</v>
          </cell>
          <cell r="B85">
            <v>4</v>
          </cell>
          <cell r="C85">
            <v>163.80000000000001</v>
          </cell>
          <cell r="D85">
            <v>82.350000000000009</v>
          </cell>
          <cell r="E85">
            <v>2263.7999999999997</v>
          </cell>
          <cell r="F85">
            <v>37.729999999999997</v>
          </cell>
          <cell r="G85">
            <v>0.62883333333333324</v>
          </cell>
          <cell r="H85">
            <v>2.6201388888888885E-2</v>
          </cell>
          <cell r="I85">
            <v>13</v>
          </cell>
          <cell r="K85">
            <v>5.6563788633309384</v>
          </cell>
          <cell r="N85">
            <v>226</v>
          </cell>
          <cell r="O85">
            <v>3649</v>
          </cell>
        </row>
        <row r="86">
          <cell r="A86">
            <v>63</v>
          </cell>
          <cell r="B86">
            <v>4</v>
          </cell>
          <cell r="C86">
            <v>247.05</v>
          </cell>
          <cell r="D86">
            <v>83.25</v>
          </cell>
          <cell r="E86">
            <v>2347.0499999999997</v>
          </cell>
          <cell r="F86">
            <v>39.117499999999993</v>
          </cell>
          <cell r="G86">
            <v>0.6519583333333332</v>
          </cell>
          <cell r="H86">
            <v>2.716493055555555E-2</v>
          </cell>
          <cell r="I86">
            <v>14</v>
          </cell>
          <cell r="K86">
            <v>5.7074016780950005</v>
          </cell>
          <cell r="N86">
            <v>241</v>
          </cell>
          <cell r="O86">
            <v>3875</v>
          </cell>
        </row>
        <row r="87">
          <cell r="A87">
            <v>64</v>
          </cell>
          <cell r="B87">
            <v>4</v>
          </cell>
          <cell r="C87">
            <v>331.20000000000005</v>
          </cell>
          <cell r="D87">
            <v>84.150000000000034</v>
          </cell>
          <cell r="E87">
            <v>2431.1999999999998</v>
          </cell>
          <cell r="F87">
            <v>40.519999999999996</v>
          </cell>
          <cell r="G87">
            <v>0.67533333333333323</v>
          </cell>
          <cell r="H87">
            <v>2.8138888888888883E-2</v>
          </cell>
          <cell r="I87">
            <v>14</v>
          </cell>
          <cell r="K87">
            <v>5.7074016780950005</v>
          </cell>
          <cell r="N87">
            <v>249</v>
          </cell>
          <cell r="O87">
            <v>4116</v>
          </cell>
        </row>
        <row r="88">
          <cell r="A88">
            <v>65</v>
          </cell>
          <cell r="B88">
            <v>4</v>
          </cell>
          <cell r="C88">
            <v>416.25</v>
          </cell>
          <cell r="D88">
            <v>85.049999999999955</v>
          </cell>
          <cell r="E88">
            <v>2516.25</v>
          </cell>
          <cell r="F88">
            <v>41.9375</v>
          </cell>
          <cell r="G88">
            <v>0.69895833333333335</v>
          </cell>
          <cell r="H88">
            <v>2.912326388888889E-2</v>
          </cell>
          <cell r="I88">
            <v>14</v>
          </cell>
          <cell r="K88">
            <v>5.7074016780950005</v>
          </cell>
          <cell r="N88">
            <v>258</v>
          </cell>
          <cell r="O88">
            <v>4365</v>
          </cell>
        </row>
        <row r="89">
          <cell r="A89">
            <v>66</v>
          </cell>
          <cell r="B89">
            <v>4</v>
          </cell>
          <cell r="C89">
            <v>502.20000000000005</v>
          </cell>
          <cell r="D89">
            <v>85.950000000000045</v>
          </cell>
          <cell r="E89">
            <v>2602.1999999999998</v>
          </cell>
          <cell r="F89">
            <v>43.37</v>
          </cell>
          <cell r="G89">
            <v>0.72283333333333333</v>
          </cell>
          <cell r="H89">
            <v>3.0118055555555554E-2</v>
          </cell>
          <cell r="I89">
            <v>15</v>
          </cell>
          <cell r="K89">
            <v>5.7585010818359361</v>
          </cell>
          <cell r="N89">
            <v>275</v>
          </cell>
          <cell r="O89">
            <v>4623</v>
          </cell>
        </row>
        <row r="90">
          <cell r="A90">
            <v>67</v>
          </cell>
          <cell r="B90">
            <v>4</v>
          </cell>
          <cell r="C90">
            <v>589.04999999999995</v>
          </cell>
          <cell r="D90">
            <v>86.849999999999909</v>
          </cell>
          <cell r="E90">
            <v>2689.0499999999997</v>
          </cell>
          <cell r="F90">
            <v>44.817499999999995</v>
          </cell>
          <cell r="G90">
            <v>0.74695833333333328</v>
          </cell>
          <cell r="H90">
            <v>3.1123263888888888E-2</v>
          </cell>
          <cell r="I90">
            <v>15</v>
          </cell>
          <cell r="K90">
            <v>5.7585010818359361</v>
          </cell>
          <cell r="N90">
            <v>284</v>
          </cell>
          <cell r="O90">
            <v>4898</v>
          </cell>
        </row>
        <row r="91">
          <cell r="A91">
            <v>68</v>
          </cell>
          <cell r="B91">
            <v>4</v>
          </cell>
          <cell r="C91">
            <v>676.80000000000007</v>
          </cell>
          <cell r="D91">
            <v>87.750000000000114</v>
          </cell>
          <cell r="E91">
            <v>2776.7999999999997</v>
          </cell>
          <cell r="F91">
            <v>46.279999999999994</v>
          </cell>
          <cell r="G91">
            <v>0.7713333333333332</v>
          </cell>
          <cell r="H91">
            <v>3.2138888888888884E-2</v>
          </cell>
          <cell r="I91">
            <v>16</v>
          </cell>
          <cell r="K91">
            <v>5.8096771891200012</v>
          </cell>
          <cell r="N91">
            <v>303</v>
          </cell>
          <cell r="O91">
            <v>5182</v>
          </cell>
        </row>
        <row r="92">
          <cell r="A92">
            <v>69</v>
          </cell>
          <cell r="B92">
            <v>4</v>
          </cell>
          <cell r="C92">
            <v>765.45</v>
          </cell>
          <cell r="D92">
            <v>88.649999999999977</v>
          </cell>
          <cell r="E92">
            <v>2865.45</v>
          </cell>
          <cell r="F92">
            <v>47.7575</v>
          </cell>
          <cell r="G92">
            <v>0.79595833333333332</v>
          </cell>
          <cell r="H92">
            <v>3.3164930555555555E-2</v>
          </cell>
          <cell r="I92">
            <v>16</v>
          </cell>
          <cell r="K92">
            <v>5.8096771891200012</v>
          </cell>
          <cell r="N92">
            <v>313</v>
          </cell>
          <cell r="O92">
            <v>5485</v>
          </cell>
        </row>
        <row r="93">
          <cell r="A93">
            <v>70</v>
          </cell>
          <cell r="B93">
            <v>4</v>
          </cell>
          <cell r="C93">
            <v>855.00000000000011</v>
          </cell>
          <cell r="D93">
            <v>89.550000000000068</v>
          </cell>
          <cell r="E93">
            <v>2955</v>
          </cell>
          <cell r="F93">
            <v>49.25</v>
          </cell>
          <cell r="G93">
            <v>0.8208333333333333</v>
          </cell>
          <cell r="H93">
            <v>3.4201388888888885E-2</v>
          </cell>
          <cell r="I93">
            <v>17</v>
          </cell>
          <cell r="K93">
            <v>5.8609301146559387</v>
          </cell>
          <cell r="N93">
            <v>334</v>
          </cell>
          <cell r="O93">
            <v>5798</v>
          </cell>
        </row>
        <row r="94">
          <cell r="A94">
            <v>71</v>
          </cell>
          <cell r="B94">
            <v>4</v>
          </cell>
          <cell r="C94">
            <v>945.45000000000016</v>
          </cell>
          <cell r="D94">
            <v>90.450000000000045</v>
          </cell>
          <cell r="E94">
            <v>3045.45</v>
          </cell>
          <cell r="F94">
            <v>50.7575</v>
          </cell>
          <cell r="G94">
            <v>0.84595833333333337</v>
          </cell>
          <cell r="H94">
            <v>3.5248263888888888E-2</v>
          </cell>
          <cell r="I94">
            <v>17</v>
          </cell>
          <cell r="K94">
            <v>5.8609301146559387</v>
          </cell>
          <cell r="N94">
            <v>346</v>
          </cell>
          <cell r="O94">
            <v>6132</v>
          </cell>
        </row>
        <row r="95">
          <cell r="A95">
            <v>72</v>
          </cell>
          <cell r="B95">
            <v>4</v>
          </cell>
          <cell r="C95">
            <v>1036.8000000000002</v>
          </cell>
          <cell r="D95">
            <v>91.350000000000023</v>
          </cell>
          <cell r="E95">
            <v>3136.7999999999997</v>
          </cell>
          <cell r="F95">
            <v>52.279999999999994</v>
          </cell>
          <cell r="G95">
            <v>0.87133333333333318</v>
          </cell>
          <cell r="H95">
            <v>3.6305555555555549E-2</v>
          </cell>
          <cell r="I95">
            <v>18</v>
          </cell>
          <cell r="K95">
            <v>5.9122599732949999</v>
          </cell>
          <cell r="N95">
            <v>368</v>
          </cell>
          <cell r="O95">
            <v>6478</v>
          </cell>
        </row>
        <row r="96">
          <cell r="A96">
            <v>73</v>
          </cell>
          <cell r="B96">
            <v>4</v>
          </cell>
          <cell r="C96">
            <v>1129.0500000000002</v>
          </cell>
          <cell r="D96">
            <v>92.25</v>
          </cell>
          <cell r="E96">
            <v>3229.0499999999997</v>
          </cell>
          <cell r="F96">
            <v>53.817499999999995</v>
          </cell>
          <cell r="G96">
            <v>0.8969583333333333</v>
          </cell>
          <cell r="H96">
            <v>3.737326388888889E-2</v>
          </cell>
          <cell r="I96">
            <v>18</v>
          </cell>
          <cell r="K96">
            <v>5.9122599732949999</v>
          </cell>
          <cell r="N96">
            <v>381</v>
          </cell>
          <cell r="O96">
            <v>6846</v>
          </cell>
        </row>
        <row r="97">
          <cell r="A97">
            <v>74</v>
          </cell>
          <cell r="B97">
            <v>4</v>
          </cell>
          <cell r="C97">
            <v>1222.2</v>
          </cell>
          <cell r="D97">
            <v>93.149999999999864</v>
          </cell>
          <cell r="E97">
            <v>3322.2</v>
          </cell>
          <cell r="F97">
            <v>55.37</v>
          </cell>
          <cell r="G97">
            <v>0.92283333333333328</v>
          </cell>
          <cell r="H97">
            <v>3.8451388888888889E-2</v>
          </cell>
          <cell r="I97">
            <v>19</v>
          </cell>
          <cell r="K97">
            <v>5.9636668800309378</v>
          </cell>
          <cell r="N97">
            <v>406</v>
          </cell>
          <cell r="O97">
            <v>7227</v>
          </cell>
        </row>
        <row r="98">
          <cell r="A98">
            <v>75</v>
          </cell>
          <cell r="B98">
            <v>4</v>
          </cell>
          <cell r="C98">
            <v>1316.2500000000002</v>
          </cell>
          <cell r="D98">
            <v>94.050000000000182</v>
          </cell>
          <cell r="E98">
            <v>3416.25</v>
          </cell>
          <cell r="F98">
            <v>56.9375</v>
          </cell>
          <cell r="G98">
            <v>0.94895833333333335</v>
          </cell>
          <cell r="H98">
            <v>3.9539930555555554E-2</v>
          </cell>
          <cell r="I98">
            <v>19</v>
          </cell>
          <cell r="K98">
            <v>5.9636668800309378</v>
          </cell>
          <cell r="N98">
            <v>421</v>
          </cell>
          <cell r="O98">
            <v>7633</v>
          </cell>
        </row>
        <row r="99">
          <cell r="A99">
            <v>76</v>
          </cell>
          <cell r="B99">
            <v>4</v>
          </cell>
          <cell r="C99">
            <v>1411.2000000000003</v>
          </cell>
          <cell r="D99">
            <v>94.950000000000045</v>
          </cell>
          <cell r="E99">
            <v>3511.2</v>
          </cell>
          <cell r="F99">
            <v>58.519999999999996</v>
          </cell>
          <cell r="G99">
            <v>0.97533333333333327</v>
          </cell>
          <cell r="H99">
            <v>4.0638888888888884E-2</v>
          </cell>
          <cell r="I99">
            <v>20</v>
          </cell>
          <cell r="K99">
            <v>6.0151509499999998</v>
          </cell>
          <cell r="N99">
            <v>448</v>
          </cell>
          <cell r="O99">
            <v>8054</v>
          </cell>
        </row>
        <row r="100">
          <cell r="A100">
            <v>77</v>
          </cell>
          <cell r="B100">
            <v>4</v>
          </cell>
          <cell r="C100">
            <v>1507.0500000000002</v>
          </cell>
          <cell r="D100">
            <v>95.849999999999909</v>
          </cell>
          <cell r="E100">
            <v>3607.0499999999997</v>
          </cell>
          <cell r="F100">
            <v>60.117499999999993</v>
          </cell>
          <cell r="G100">
            <v>1.0019583333333333</v>
          </cell>
          <cell r="H100">
            <v>4.1748263888888887E-2</v>
          </cell>
          <cell r="I100">
            <v>20</v>
          </cell>
          <cell r="K100">
            <v>6.0151509499999998</v>
          </cell>
          <cell r="N100">
            <v>464</v>
          </cell>
          <cell r="O100">
            <v>8502</v>
          </cell>
        </row>
        <row r="101">
          <cell r="A101">
            <v>78</v>
          </cell>
          <cell r="B101">
            <v>4</v>
          </cell>
          <cell r="C101">
            <v>1603.8</v>
          </cell>
          <cell r="D101">
            <v>96.749999999999773</v>
          </cell>
          <cell r="E101">
            <v>3703.7999999999993</v>
          </cell>
          <cell r="F101">
            <v>61.72999999999999</v>
          </cell>
          <cell r="G101">
            <v>1.0288333333333333</v>
          </cell>
          <cell r="H101">
            <v>4.2868055555555555E-2</v>
          </cell>
          <cell r="I101">
            <v>21</v>
          </cell>
          <cell r="K101">
            <v>6.0667122984809376</v>
          </cell>
          <cell r="N101">
            <v>494</v>
          </cell>
          <cell r="O101">
            <v>8966</v>
          </cell>
        </row>
        <row r="102">
          <cell r="A102">
            <v>79</v>
          </cell>
          <cell r="B102">
            <v>4</v>
          </cell>
          <cell r="C102">
            <v>1701.4499999999998</v>
          </cell>
          <cell r="D102">
            <v>97.649999999999864</v>
          </cell>
          <cell r="E102">
            <v>3801.4499999999989</v>
          </cell>
          <cell r="F102">
            <v>63.35749999999998</v>
          </cell>
          <cell r="G102">
            <v>1.0559583333333331</v>
          </cell>
          <cell r="H102">
            <v>4.3998263888888882E-2</v>
          </cell>
          <cell r="I102">
            <v>21</v>
          </cell>
          <cell r="K102">
            <v>6.0667122984809376</v>
          </cell>
          <cell r="N102">
            <v>512</v>
          </cell>
          <cell r="O102">
            <v>9460</v>
          </cell>
        </row>
        <row r="103">
          <cell r="A103">
            <v>80</v>
          </cell>
          <cell r="B103">
            <v>4</v>
          </cell>
          <cell r="C103">
            <v>1800</v>
          </cell>
          <cell r="D103">
            <v>98.550000000000182</v>
          </cell>
          <cell r="E103">
            <v>3899.9999999999991</v>
          </cell>
          <cell r="F103">
            <v>64.999999999999986</v>
          </cell>
          <cell r="G103">
            <v>1.083333333333333</v>
          </cell>
          <cell r="H103">
            <v>4.5138888888888874E-2</v>
          </cell>
          <cell r="I103">
            <v>22</v>
          </cell>
          <cell r="K103">
            <v>6.1183510408949999</v>
          </cell>
          <cell r="N103">
            <v>545</v>
          </cell>
          <cell r="O103">
            <v>9972</v>
          </cell>
        </row>
        <row r="104">
          <cell r="A104">
            <v>81</v>
          </cell>
          <cell r="B104">
            <v>5</v>
          </cell>
          <cell r="C104">
            <v>102.9</v>
          </cell>
          <cell r="D104">
            <v>102.9</v>
          </cell>
          <cell r="E104">
            <v>4002.8999999999992</v>
          </cell>
          <cell r="F104">
            <v>66.714999999999989</v>
          </cell>
          <cell r="G104">
            <v>1.1119166666666664</v>
          </cell>
          <cell r="H104">
            <v>4.6329861111111099E-2</v>
          </cell>
          <cell r="I104">
            <v>22</v>
          </cell>
          <cell r="K104">
            <v>6.1183510408949999</v>
          </cell>
          <cell r="N104">
            <v>585</v>
          </cell>
          <cell r="O104">
            <v>10517</v>
          </cell>
        </row>
        <row r="105">
          <cell r="A105">
            <v>82</v>
          </cell>
          <cell r="B105">
            <v>5</v>
          </cell>
          <cell r="C105">
            <v>207.60000000000002</v>
          </cell>
          <cell r="D105">
            <v>104.70000000000002</v>
          </cell>
          <cell r="E105">
            <v>4107.5999999999995</v>
          </cell>
          <cell r="F105">
            <v>68.459999999999994</v>
          </cell>
          <cell r="G105">
            <v>1.1409999999999998</v>
          </cell>
          <cell r="H105">
            <v>4.7541666666666656E-2</v>
          </cell>
          <cell r="I105">
            <v>23</v>
          </cell>
          <cell r="K105">
            <v>6.1700672928059372</v>
          </cell>
          <cell r="N105">
            <v>627</v>
          </cell>
          <cell r="O105">
            <v>11102</v>
          </cell>
        </row>
        <row r="106">
          <cell r="A106">
            <v>83</v>
          </cell>
          <cell r="B106">
            <v>5</v>
          </cell>
          <cell r="C106">
            <v>314.09999999999997</v>
          </cell>
          <cell r="D106">
            <v>106.49999999999994</v>
          </cell>
          <cell r="E106">
            <v>4214.0999999999995</v>
          </cell>
          <cell r="F106">
            <v>70.234999999999985</v>
          </cell>
          <cell r="G106">
            <v>1.1705833333333331</v>
          </cell>
          <cell r="H106">
            <v>4.8774305555555543E-2</v>
          </cell>
          <cell r="I106">
            <v>23</v>
          </cell>
          <cell r="K106">
            <v>6.1700672928059372</v>
          </cell>
          <cell r="N106">
            <v>656</v>
          </cell>
          <cell r="O106">
            <v>11729</v>
          </cell>
        </row>
        <row r="107">
          <cell r="A107">
            <v>84</v>
          </cell>
          <cell r="B107">
            <v>5</v>
          </cell>
          <cell r="C107">
            <v>422.40000000000003</v>
          </cell>
          <cell r="D107">
            <v>108.30000000000007</v>
          </cell>
          <cell r="E107">
            <v>4322.3999999999996</v>
          </cell>
          <cell r="F107">
            <v>72.039999999999992</v>
          </cell>
          <cell r="G107">
            <v>1.2006666666666665</v>
          </cell>
          <cell r="H107">
            <v>5.0027777777777775E-2</v>
          </cell>
          <cell r="I107">
            <v>24</v>
          </cell>
          <cell r="K107">
            <v>6.2218611699200004</v>
          </cell>
          <cell r="N107">
            <v>703</v>
          </cell>
          <cell r="O107">
            <v>12385</v>
          </cell>
        </row>
        <row r="108">
          <cell r="A108">
            <v>85</v>
          </cell>
          <cell r="B108">
            <v>5</v>
          </cell>
          <cell r="C108">
            <v>532.5</v>
          </cell>
          <cell r="D108">
            <v>110.09999999999997</v>
          </cell>
          <cell r="E108">
            <v>4432.5</v>
          </cell>
          <cell r="F108">
            <v>73.875</v>
          </cell>
          <cell r="G108">
            <v>1.23125</v>
          </cell>
          <cell r="H108">
            <v>5.1302083333333331E-2</v>
          </cell>
          <cell r="I108">
            <v>24</v>
          </cell>
          <cell r="K108">
            <v>6.2218611699200004</v>
          </cell>
          <cell r="N108">
            <v>735</v>
          </cell>
          <cell r="O108">
            <v>13088</v>
          </cell>
        </row>
        <row r="109">
          <cell r="A109">
            <v>86</v>
          </cell>
          <cell r="B109">
            <v>5</v>
          </cell>
          <cell r="C109">
            <v>644.40000000000009</v>
          </cell>
          <cell r="D109">
            <v>111.90000000000009</v>
          </cell>
          <cell r="E109">
            <v>4544.3999999999996</v>
          </cell>
          <cell r="F109">
            <v>75.739999999999995</v>
          </cell>
          <cell r="G109">
            <v>1.2623333333333333</v>
          </cell>
          <cell r="H109">
            <v>5.2597222222222219E-2</v>
          </cell>
          <cell r="I109">
            <v>25</v>
          </cell>
          <cell r="K109">
            <v>6.2737327880859386</v>
          </cell>
          <cell r="N109">
            <v>787</v>
          </cell>
          <cell r="O109">
            <v>13823</v>
          </cell>
        </row>
        <row r="110">
          <cell r="A110">
            <v>87</v>
          </cell>
          <cell r="B110">
            <v>5</v>
          </cell>
          <cell r="C110">
            <v>758.09999999999991</v>
          </cell>
          <cell r="D110">
            <v>113.69999999999982</v>
          </cell>
          <cell r="E110">
            <v>4658.0999999999995</v>
          </cell>
          <cell r="F110">
            <v>77.634999999999991</v>
          </cell>
          <cell r="G110">
            <v>1.2939166666666666</v>
          </cell>
          <cell r="H110">
            <v>5.3913194444444444E-2</v>
          </cell>
          <cell r="I110">
            <v>26</v>
          </cell>
          <cell r="K110">
            <v>6.3256822632950005</v>
          </cell>
          <cell r="N110">
            <v>842</v>
          </cell>
          <cell r="O110">
            <v>14610</v>
          </cell>
        </row>
        <row r="111">
          <cell r="A111">
            <v>88</v>
          </cell>
          <cell r="B111">
            <v>5</v>
          </cell>
          <cell r="C111">
            <v>873.60000000000014</v>
          </cell>
          <cell r="D111">
            <v>115.50000000000023</v>
          </cell>
          <cell r="E111">
            <v>4773.5999999999995</v>
          </cell>
          <cell r="F111">
            <v>79.559999999999988</v>
          </cell>
          <cell r="G111">
            <v>1.3259999999999998</v>
          </cell>
          <cell r="H111">
            <v>5.5249999999999994E-2</v>
          </cell>
          <cell r="I111">
            <v>26</v>
          </cell>
          <cell r="K111">
            <v>6.3256822632950005</v>
          </cell>
          <cell r="N111">
            <v>881</v>
          </cell>
          <cell r="O111">
            <v>15452</v>
          </cell>
        </row>
        <row r="112">
          <cell r="A112">
            <v>89</v>
          </cell>
          <cell r="B112">
            <v>5</v>
          </cell>
          <cell r="C112">
            <v>990.9</v>
          </cell>
          <cell r="D112">
            <v>117.29999999999984</v>
          </cell>
          <cell r="E112">
            <v>4890.8999999999996</v>
          </cell>
          <cell r="F112">
            <v>81.515000000000001</v>
          </cell>
          <cell r="G112">
            <v>1.3585833333333333</v>
          </cell>
          <cell r="H112">
            <v>5.6607638888888888E-2</v>
          </cell>
          <cell r="I112">
            <v>27</v>
          </cell>
          <cell r="K112">
            <v>6.3777097116809376</v>
          </cell>
          <cell r="N112">
            <v>941</v>
          </cell>
          <cell r="O112">
            <v>16333</v>
          </cell>
        </row>
        <row r="113">
          <cell r="A113">
            <v>90</v>
          </cell>
          <cell r="B113">
            <v>5</v>
          </cell>
          <cell r="C113">
            <v>1110</v>
          </cell>
          <cell r="D113">
            <v>119.10000000000002</v>
          </cell>
          <cell r="E113">
            <v>5010</v>
          </cell>
          <cell r="F113">
            <v>83.5</v>
          </cell>
          <cell r="G113">
            <v>1.3916666666666666</v>
          </cell>
          <cell r="H113">
            <v>5.7986111111111106E-2</v>
          </cell>
          <cell r="I113">
            <v>27</v>
          </cell>
          <cell r="K113">
            <v>6.3777097116809376</v>
          </cell>
          <cell r="N113">
            <v>984</v>
          </cell>
          <cell r="O113">
            <v>17274</v>
          </cell>
        </row>
        <row r="114">
          <cell r="A114">
            <v>91</v>
          </cell>
          <cell r="B114">
            <v>5</v>
          </cell>
          <cell r="C114">
            <v>1230.9000000000001</v>
          </cell>
          <cell r="D114">
            <v>120.90000000000009</v>
          </cell>
          <cell r="E114">
            <v>5130.8999999999996</v>
          </cell>
          <cell r="F114">
            <v>85.515000000000001</v>
          </cell>
          <cell r="G114">
            <v>1.4252499999999999</v>
          </cell>
          <cell r="H114">
            <v>5.9385416666666663E-2</v>
          </cell>
          <cell r="I114">
            <v>28</v>
          </cell>
          <cell r="K114">
            <v>6.4298152495199998</v>
          </cell>
          <cell r="N114">
            <v>1051</v>
          </cell>
          <cell r="O114">
            <v>18258</v>
          </cell>
        </row>
        <row r="115">
          <cell r="A115">
            <v>92</v>
          </cell>
          <cell r="B115">
            <v>5</v>
          </cell>
          <cell r="C115">
            <v>1353.6000000000001</v>
          </cell>
          <cell r="D115">
            <v>122.70000000000005</v>
          </cell>
          <cell r="E115">
            <v>5253.5999999999995</v>
          </cell>
          <cell r="F115">
            <v>87.559999999999988</v>
          </cell>
          <cell r="G115">
            <v>1.4593333333333331</v>
          </cell>
          <cell r="H115">
            <v>6.080555555555555E-2</v>
          </cell>
          <cell r="I115">
            <v>28</v>
          </cell>
          <cell r="K115">
            <v>6.4298152495199998</v>
          </cell>
          <cell r="N115">
            <v>1098</v>
          </cell>
          <cell r="O115">
            <v>19309</v>
          </cell>
        </row>
        <row r="116">
          <cell r="A116">
            <v>93</v>
          </cell>
          <cell r="B116">
            <v>5</v>
          </cell>
          <cell r="C116">
            <v>1478.1</v>
          </cell>
          <cell r="D116">
            <v>124.49999999999977</v>
          </cell>
          <cell r="E116">
            <v>5378.0999999999995</v>
          </cell>
          <cell r="F116">
            <v>89.634999999999991</v>
          </cell>
          <cell r="G116">
            <v>1.4939166666666666</v>
          </cell>
          <cell r="H116">
            <v>6.2246527777777776E-2</v>
          </cell>
          <cell r="I116">
            <v>29</v>
          </cell>
          <cell r="K116">
            <v>6.4819989932309365</v>
          </cell>
          <cell r="N116">
            <v>1173</v>
          </cell>
          <cell r="O116">
            <v>20407</v>
          </cell>
        </row>
        <row r="117">
          <cell r="A117">
            <v>94</v>
          </cell>
          <cell r="B117">
            <v>5</v>
          </cell>
          <cell r="C117">
            <v>1604.3999999999999</v>
          </cell>
          <cell r="D117">
            <v>126.29999999999995</v>
          </cell>
          <cell r="E117">
            <v>5504.4</v>
          </cell>
          <cell r="F117">
            <v>91.74</v>
          </cell>
          <cell r="G117">
            <v>1.5289999999999999</v>
          </cell>
          <cell r="H117">
            <v>6.3708333333333325E-2</v>
          </cell>
          <cell r="I117">
            <v>30</v>
          </cell>
          <cell r="K117">
            <v>6.5342610593749999</v>
          </cell>
          <cell r="N117">
            <v>1251</v>
          </cell>
          <cell r="O117">
            <v>21580</v>
          </cell>
        </row>
        <row r="118">
          <cell r="A118">
            <v>95</v>
          </cell>
          <cell r="B118">
            <v>5</v>
          </cell>
          <cell r="C118">
            <v>1732.4999999999998</v>
          </cell>
          <cell r="D118">
            <v>128.09999999999991</v>
          </cell>
          <cell r="E118">
            <v>5632.5</v>
          </cell>
          <cell r="F118">
            <v>93.875</v>
          </cell>
          <cell r="G118">
            <v>1.5645833333333334</v>
          </cell>
          <cell r="H118">
            <v>6.5190972222222227E-2</v>
          </cell>
          <cell r="I118">
            <v>30</v>
          </cell>
          <cell r="K118">
            <v>6.5342610593749999</v>
          </cell>
          <cell r="N118">
            <v>1307</v>
          </cell>
          <cell r="O118">
            <v>22831</v>
          </cell>
        </row>
        <row r="119">
          <cell r="A119">
            <v>96</v>
          </cell>
          <cell r="B119">
            <v>5</v>
          </cell>
          <cell r="C119">
            <v>1862.4</v>
          </cell>
          <cell r="D119">
            <v>129.90000000000032</v>
          </cell>
          <cell r="E119">
            <v>5762.4000000000005</v>
          </cell>
          <cell r="F119">
            <v>96.04</v>
          </cell>
          <cell r="G119">
            <v>1.6006666666666667</v>
          </cell>
          <cell r="H119">
            <v>6.6694444444444445E-2</v>
          </cell>
          <cell r="I119">
            <v>31</v>
          </cell>
          <cell r="K119">
            <v>6.5866015646559379</v>
          </cell>
          <cell r="N119">
            <v>1393</v>
          </cell>
          <cell r="O119">
            <v>24138</v>
          </cell>
        </row>
        <row r="120">
          <cell r="A120">
            <v>97</v>
          </cell>
          <cell r="B120">
            <v>5</v>
          </cell>
          <cell r="C120">
            <v>1994.1</v>
          </cell>
          <cell r="D120">
            <v>131.69999999999982</v>
          </cell>
          <cell r="E120">
            <v>5894.1</v>
          </cell>
          <cell r="F120">
            <v>98.234999999999999</v>
          </cell>
          <cell r="G120">
            <v>1.6372500000000001</v>
          </cell>
          <cell r="H120">
            <v>6.8218750000000009E-2</v>
          </cell>
          <cell r="I120">
            <v>31</v>
          </cell>
          <cell r="K120">
            <v>6.5866015646559379</v>
          </cell>
          <cell r="N120">
            <v>1454</v>
          </cell>
          <cell r="O120">
            <v>25531</v>
          </cell>
        </row>
        <row r="121">
          <cell r="A121">
            <v>98</v>
          </cell>
          <cell r="B121">
            <v>5</v>
          </cell>
          <cell r="C121">
            <v>2127.6000000000004</v>
          </cell>
          <cell r="D121">
            <v>133.50000000000045</v>
          </cell>
          <cell r="E121">
            <v>6027.6</v>
          </cell>
          <cell r="F121">
            <v>100.46000000000001</v>
          </cell>
          <cell r="G121">
            <v>1.6743333333333335</v>
          </cell>
          <cell r="H121">
            <v>6.9763888888888889E-2</v>
          </cell>
          <cell r="I121">
            <v>32</v>
          </cell>
          <cell r="K121">
            <v>6.6390206259199998</v>
          </cell>
          <cell r="N121">
            <v>1549</v>
          </cell>
          <cell r="O121">
            <v>26985</v>
          </cell>
        </row>
        <row r="122">
          <cell r="A122">
            <v>99</v>
          </cell>
          <cell r="B122">
            <v>5</v>
          </cell>
          <cell r="C122">
            <v>2262.9</v>
          </cell>
          <cell r="D122">
            <v>135.29999999999973</v>
          </cell>
          <cell r="E122">
            <v>6162.9</v>
          </cell>
          <cell r="F122">
            <v>102.71499999999999</v>
          </cell>
          <cell r="G122">
            <v>1.7119166666666665</v>
          </cell>
          <cell r="H122">
            <v>7.1329861111111101E-2</v>
          </cell>
          <cell r="I122">
            <v>33</v>
          </cell>
          <cell r="K122">
            <v>6.6915183601559374</v>
          </cell>
          <cell r="N122">
            <v>1650</v>
          </cell>
          <cell r="O122">
            <v>28534</v>
          </cell>
        </row>
        <row r="123">
          <cell r="A123">
            <v>100</v>
          </cell>
          <cell r="B123">
            <v>5</v>
          </cell>
          <cell r="C123">
            <v>2400</v>
          </cell>
          <cell r="D123">
            <v>137.09999999999991</v>
          </cell>
          <cell r="E123">
            <v>6300</v>
          </cell>
          <cell r="F123">
            <v>105</v>
          </cell>
          <cell r="G123">
            <v>1.75</v>
          </cell>
          <cell r="H123">
            <v>7.2916666666666671E-2</v>
          </cell>
          <cell r="I123">
            <v>33</v>
          </cell>
          <cell r="K123">
            <v>6.6915183601559374</v>
          </cell>
          <cell r="N123">
            <v>1722</v>
          </cell>
          <cell r="O123">
            <v>30184</v>
          </cell>
        </row>
        <row r="124">
          <cell r="A124">
            <v>101</v>
          </cell>
          <cell r="B124">
            <v>6</v>
          </cell>
          <cell r="C124">
            <v>162.9</v>
          </cell>
          <cell r="D124">
            <v>162.9</v>
          </cell>
          <cell r="E124">
            <v>6462.9</v>
          </cell>
          <cell r="F124">
            <v>107.71499999999999</v>
          </cell>
          <cell r="G124">
            <v>1.7952499999999998</v>
          </cell>
          <cell r="H124">
            <v>7.4802083333333325E-2</v>
          </cell>
          <cell r="I124">
            <v>34</v>
          </cell>
          <cell r="K124">
            <v>6.7440948844950004</v>
          </cell>
          <cell r="N124">
            <v>2086</v>
          </cell>
          <cell r="O124">
            <v>31906</v>
          </cell>
        </row>
        <row r="125">
          <cell r="A125">
            <v>102</v>
          </cell>
          <cell r="B125">
            <v>6</v>
          </cell>
          <cell r="C125">
            <v>327.60000000000002</v>
          </cell>
          <cell r="D125">
            <v>164.70000000000002</v>
          </cell>
          <cell r="E125">
            <v>6627.5999999999995</v>
          </cell>
          <cell r="F125">
            <v>110.46</v>
          </cell>
          <cell r="G125">
            <v>1.841</v>
          </cell>
          <cell r="H125">
            <v>7.6708333333333337E-2</v>
          </cell>
          <cell r="I125">
            <v>35</v>
          </cell>
          <cell r="K125">
            <v>6.7967503162109386</v>
          </cell>
          <cell r="N125">
            <v>2150</v>
          </cell>
          <cell r="O125">
            <v>33992</v>
          </cell>
        </row>
        <row r="126">
          <cell r="A126">
            <v>103</v>
          </cell>
          <cell r="B126">
            <v>6</v>
          </cell>
          <cell r="C126">
            <v>494.1</v>
          </cell>
          <cell r="D126">
            <v>166.5</v>
          </cell>
          <cell r="E126">
            <v>6794.0999999999995</v>
          </cell>
          <cell r="F126">
            <v>113.23499999999999</v>
          </cell>
          <cell r="G126">
            <v>1.8872499999999997</v>
          </cell>
          <cell r="H126">
            <v>7.8635416666666652E-2</v>
          </cell>
          <cell r="I126">
            <v>35</v>
          </cell>
          <cell r="K126">
            <v>6.7967503162109386</v>
          </cell>
          <cell r="N126">
            <v>2174</v>
          </cell>
          <cell r="O126">
            <v>36142</v>
          </cell>
        </row>
        <row r="127">
          <cell r="A127">
            <v>104</v>
          </cell>
          <cell r="B127">
            <v>6</v>
          </cell>
          <cell r="C127">
            <v>662.40000000000009</v>
          </cell>
          <cell r="D127">
            <v>168.30000000000007</v>
          </cell>
          <cell r="E127">
            <v>6962.4</v>
          </cell>
          <cell r="F127">
            <v>116.03999999999999</v>
          </cell>
          <cell r="G127">
            <v>1.9339999999999999</v>
          </cell>
          <cell r="H127">
            <v>8.0583333333333326E-2</v>
          </cell>
          <cell r="I127">
            <v>36</v>
          </cell>
          <cell r="K127">
            <v>6.8494847727200003</v>
          </cell>
          <cell r="N127">
            <v>2239</v>
          </cell>
          <cell r="O127">
            <v>38316</v>
          </cell>
        </row>
        <row r="128">
          <cell r="A128">
            <v>105</v>
          </cell>
          <cell r="B128">
            <v>6</v>
          </cell>
          <cell r="C128">
            <v>832.5</v>
          </cell>
          <cell r="D128">
            <v>170.09999999999991</v>
          </cell>
          <cell r="E128">
            <v>7132.5</v>
          </cell>
          <cell r="F128">
            <v>118.875</v>
          </cell>
          <cell r="G128">
            <v>1.98125</v>
          </cell>
          <cell r="H128">
            <v>8.2552083333333331E-2</v>
          </cell>
          <cell r="I128">
            <v>37</v>
          </cell>
          <cell r="K128">
            <v>6.9022983715809376</v>
          </cell>
          <cell r="N128">
            <v>2306</v>
          </cell>
          <cell r="O128">
            <v>40555</v>
          </cell>
        </row>
        <row r="129">
          <cell r="A129">
            <v>106</v>
          </cell>
          <cell r="B129">
            <v>6</v>
          </cell>
          <cell r="C129">
            <v>1004.4000000000001</v>
          </cell>
          <cell r="D129">
            <v>171.90000000000009</v>
          </cell>
          <cell r="E129">
            <v>7304.4</v>
          </cell>
          <cell r="F129">
            <v>121.74</v>
          </cell>
          <cell r="G129">
            <v>2.0289999999999999</v>
          </cell>
          <cell r="H129">
            <v>8.4541666666666668E-2</v>
          </cell>
          <cell r="I129">
            <v>38</v>
          </cell>
          <cell r="K129">
            <v>6.9551912304950001</v>
          </cell>
          <cell r="N129">
            <v>2373</v>
          </cell>
          <cell r="O129">
            <v>42861</v>
          </cell>
        </row>
        <row r="130">
          <cell r="A130">
            <v>107</v>
          </cell>
          <cell r="B130">
            <v>6</v>
          </cell>
          <cell r="C130">
            <v>1178.0999999999999</v>
          </cell>
          <cell r="D130">
            <v>173.69999999999982</v>
          </cell>
          <cell r="E130">
            <v>7478.0999999999995</v>
          </cell>
          <cell r="F130">
            <v>124.63499999999999</v>
          </cell>
          <cell r="G130">
            <v>2.0772499999999998</v>
          </cell>
          <cell r="H130">
            <v>8.6552083333333321E-2</v>
          </cell>
          <cell r="I130">
            <v>38</v>
          </cell>
          <cell r="K130">
            <v>6.9551912304950001</v>
          </cell>
          <cell r="N130">
            <v>2398</v>
          </cell>
          <cell r="O130">
            <v>45234</v>
          </cell>
        </row>
        <row r="131">
          <cell r="A131">
            <v>108</v>
          </cell>
          <cell r="B131">
            <v>6</v>
          </cell>
          <cell r="C131">
            <v>1353.6000000000001</v>
          </cell>
          <cell r="D131">
            <v>175.50000000000023</v>
          </cell>
          <cell r="E131">
            <v>7653.5999999999995</v>
          </cell>
          <cell r="F131">
            <v>127.55999999999999</v>
          </cell>
          <cell r="G131">
            <v>2.1259999999999999</v>
          </cell>
          <cell r="H131">
            <v>8.8583333333333333E-2</v>
          </cell>
          <cell r="I131">
            <v>39</v>
          </cell>
          <cell r="K131">
            <v>7.0081634673059385</v>
          </cell>
          <cell r="N131">
            <v>2467</v>
          </cell>
          <cell r="O131">
            <v>47632</v>
          </cell>
        </row>
        <row r="132">
          <cell r="A132">
            <v>109</v>
          </cell>
          <cell r="B132">
            <v>6</v>
          </cell>
          <cell r="C132">
            <v>1530.9</v>
          </cell>
          <cell r="D132">
            <v>177.29999999999995</v>
          </cell>
          <cell r="E132">
            <v>7830.9</v>
          </cell>
          <cell r="F132">
            <v>130.51499999999999</v>
          </cell>
          <cell r="G132">
            <v>2.1752499999999997</v>
          </cell>
          <cell r="H132">
            <v>9.0635416666666649E-2</v>
          </cell>
          <cell r="I132">
            <v>40</v>
          </cell>
          <cell r="K132">
            <v>7.0612152000000004</v>
          </cell>
          <cell r="N132">
            <v>2537</v>
          </cell>
          <cell r="O132">
            <v>50099</v>
          </cell>
        </row>
        <row r="133">
          <cell r="A133">
            <v>110</v>
          </cell>
          <cell r="B133">
            <v>6</v>
          </cell>
          <cell r="C133">
            <v>1710.0000000000002</v>
          </cell>
          <cell r="D133">
            <v>179.10000000000014</v>
          </cell>
          <cell r="E133">
            <v>8010</v>
          </cell>
          <cell r="F133">
            <v>133.5</v>
          </cell>
          <cell r="G133">
            <v>2.2250000000000001</v>
          </cell>
          <cell r="H133">
            <v>9.2708333333333337E-2</v>
          </cell>
          <cell r="I133">
            <v>41</v>
          </cell>
          <cell r="K133">
            <v>7.1143465467059377</v>
          </cell>
          <cell r="N133">
            <v>2608</v>
          </cell>
          <cell r="O133">
            <v>52636</v>
          </cell>
        </row>
        <row r="134">
          <cell r="A134">
            <v>111</v>
          </cell>
          <cell r="B134">
            <v>6</v>
          </cell>
          <cell r="C134">
            <v>1890.9000000000003</v>
          </cell>
          <cell r="D134">
            <v>180.90000000000009</v>
          </cell>
          <cell r="E134">
            <v>8190.9</v>
          </cell>
          <cell r="F134">
            <v>136.51499999999999</v>
          </cell>
          <cell r="G134">
            <v>2.2752499999999998</v>
          </cell>
          <cell r="H134">
            <v>9.4802083333333328E-2</v>
          </cell>
          <cell r="I134">
            <v>41</v>
          </cell>
          <cell r="K134">
            <v>7.1143465467059377</v>
          </cell>
          <cell r="N134">
            <v>2634</v>
          </cell>
          <cell r="O134">
            <v>55244</v>
          </cell>
        </row>
        <row r="135">
          <cell r="A135">
            <v>112</v>
          </cell>
          <cell r="B135">
            <v>6</v>
          </cell>
          <cell r="C135">
            <v>2073.6000000000004</v>
          </cell>
          <cell r="D135">
            <v>182.70000000000005</v>
          </cell>
          <cell r="E135">
            <v>8373.6</v>
          </cell>
          <cell r="F135">
            <v>139.56</v>
          </cell>
          <cell r="G135">
            <v>2.3260000000000001</v>
          </cell>
          <cell r="H135">
            <v>9.6916666666666665E-2</v>
          </cell>
          <cell r="I135">
            <v>42</v>
          </cell>
          <cell r="K135">
            <v>7.1675576256950011</v>
          </cell>
          <cell r="N135">
            <v>2706</v>
          </cell>
          <cell r="O135">
            <v>57878</v>
          </cell>
        </row>
        <row r="136">
          <cell r="A136">
            <v>113</v>
          </cell>
          <cell r="B136">
            <v>6</v>
          </cell>
          <cell r="C136">
            <v>2258.1000000000004</v>
          </cell>
          <cell r="D136">
            <v>184.5</v>
          </cell>
          <cell r="E136">
            <v>8558.1</v>
          </cell>
          <cell r="F136">
            <v>142.63500000000002</v>
          </cell>
          <cell r="G136">
            <v>2.3772500000000005</v>
          </cell>
          <cell r="H136">
            <v>9.905208333333336E-2</v>
          </cell>
          <cell r="I136">
            <v>43</v>
          </cell>
          <cell r="K136">
            <v>7.2208485553809378</v>
          </cell>
          <cell r="N136">
            <v>2779</v>
          </cell>
          <cell r="O136">
            <v>60584</v>
          </cell>
        </row>
        <row r="137">
          <cell r="A137">
            <v>114</v>
          </cell>
          <cell r="B137">
            <v>6</v>
          </cell>
          <cell r="C137">
            <v>2444.4</v>
          </cell>
          <cell r="D137">
            <v>186.29999999999973</v>
          </cell>
          <cell r="E137">
            <v>8744.4</v>
          </cell>
          <cell r="F137">
            <v>145.73999999999998</v>
          </cell>
          <cell r="G137">
            <v>2.4289999999999998</v>
          </cell>
          <cell r="H137">
            <v>0.10120833333333333</v>
          </cell>
          <cell r="I137">
            <v>44</v>
          </cell>
          <cell r="K137">
            <v>7.2742194543199989</v>
          </cell>
          <cell r="N137">
            <v>2854</v>
          </cell>
          <cell r="O137">
            <v>63363</v>
          </cell>
        </row>
        <row r="138">
          <cell r="A138">
            <v>115</v>
          </cell>
          <cell r="B138">
            <v>6</v>
          </cell>
          <cell r="C138">
            <v>2632.5000000000005</v>
          </cell>
          <cell r="D138">
            <v>188.10000000000036</v>
          </cell>
          <cell r="E138">
            <v>8932.5</v>
          </cell>
          <cell r="F138">
            <v>148.875</v>
          </cell>
          <cell r="G138">
            <v>2.4812500000000002</v>
          </cell>
          <cell r="H138">
            <v>0.10338541666666667</v>
          </cell>
          <cell r="I138">
            <v>44</v>
          </cell>
          <cell r="K138">
            <v>7.2742194543199989</v>
          </cell>
          <cell r="N138">
            <v>2881</v>
          </cell>
          <cell r="O138">
            <v>66217</v>
          </cell>
        </row>
        <row r="139">
          <cell r="A139">
            <v>116</v>
          </cell>
          <cell r="B139">
            <v>6</v>
          </cell>
          <cell r="C139">
            <v>2822.4000000000005</v>
          </cell>
          <cell r="D139">
            <v>189.90000000000009</v>
          </cell>
          <cell r="E139">
            <v>9122.4</v>
          </cell>
          <cell r="F139">
            <v>152.04</v>
          </cell>
          <cell r="G139">
            <v>2.5339999999999998</v>
          </cell>
          <cell r="H139">
            <v>0.10558333333333332</v>
          </cell>
          <cell r="I139">
            <v>45</v>
          </cell>
          <cell r="K139">
            <v>7.3276704412109366</v>
          </cell>
          <cell r="N139">
            <v>2957</v>
          </cell>
          <cell r="O139">
            <v>69098</v>
          </cell>
        </row>
        <row r="140">
          <cell r="A140">
            <v>117</v>
          </cell>
          <cell r="B140">
            <v>6</v>
          </cell>
          <cell r="C140">
            <v>3014.1000000000004</v>
          </cell>
          <cell r="D140">
            <v>191.69999999999982</v>
          </cell>
          <cell r="E140">
            <v>9314.0999999999985</v>
          </cell>
          <cell r="F140">
            <v>155.23499999999999</v>
          </cell>
          <cell r="G140">
            <v>2.5872499999999996</v>
          </cell>
          <cell r="H140">
            <v>0.10780208333333331</v>
          </cell>
          <cell r="I140">
            <v>46</v>
          </cell>
          <cell r="K140">
            <v>7.3812016348949996</v>
          </cell>
          <cell r="N140">
            <v>3034</v>
          </cell>
          <cell r="O140">
            <v>72055</v>
          </cell>
        </row>
        <row r="141">
          <cell r="A141">
            <v>118</v>
          </cell>
          <cell r="B141">
            <v>6</v>
          </cell>
          <cell r="C141">
            <v>3207.6</v>
          </cell>
          <cell r="D141">
            <v>193.49999999999955</v>
          </cell>
          <cell r="E141">
            <v>9507.5999999999985</v>
          </cell>
          <cell r="F141">
            <v>158.45999999999998</v>
          </cell>
          <cell r="G141">
            <v>2.6409999999999996</v>
          </cell>
          <cell r="H141">
            <v>0.11004166666666665</v>
          </cell>
          <cell r="I141">
            <v>47</v>
          </cell>
          <cell r="K141">
            <v>7.4348131543559388</v>
          </cell>
          <cell r="N141">
            <v>3112</v>
          </cell>
          <cell r="O141">
            <v>75089</v>
          </cell>
        </row>
        <row r="142">
          <cell r="A142">
            <v>119</v>
          </cell>
          <cell r="B142">
            <v>6</v>
          </cell>
          <cell r="C142">
            <v>3402.8999999999996</v>
          </cell>
          <cell r="D142">
            <v>195.29999999999973</v>
          </cell>
          <cell r="E142">
            <v>9702.8999999999978</v>
          </cell>
          <cell r="F142">
            <v>161.71499999999997</v>
          </cell>
          <cell r="G142">
            <v>2.6952499999999997</v>
          </cell>
          <cell r="H142">
            <v>0.11230208333333332</v>
          </cell>
          <cell r="I142">
            <v>47</v>
          </cell>
          <cell r="K142">
            <v>7.4348131543559388</v>
          </cell>
          <cell r="N142">
            <v>3141</v>
          </cell>
          <cell r="O142">
            <v>78201</v>
          </cell>
        </row>
        <row r="143">
          <cell r="A143">
            <v>120</v>
          </cell>
          <cell r="B143">
            <v>6</v>
          </cell>
          <cell r="C143">
            <v>3600</v>
          </cell>
          <cell r="D143">
            <v>197.10000000000036</v>
          </cell>
          <cell r="E143">
            <v>9899.9999999999982</v>
          </cell>
          <cell r="F143">
            <v>164.99999999999997</v>
          </cell>
          <cell r="G143">
            <v>2.7499999999999996</v>
          </cell>
          <cell r="H143">
            <v>0.11458333333333331</v>
          </cell>
          <cell r="I143">
            <v>48</v>
          </cell>
          <cell r="K143">
            <v>7.4885051187200009</v>
          </cell>
          <cell r="N143">
            <v>3220</v>
          </cell>
          <cell r="O143">
            <v>81342</v>
          </cell>
        </row>
        <row r="144">
          <cell r="A144">
            <v>121</v>
          </cell>
          <cell r="B144">
            <v>7</v>
          </cell>
          <cell r="C144">
            <v>205.87500000000003</v>
          </cell>
          <cell r="D144">
            <v>205.87500000000003</v>
          </cell>
          <cell r="E144">
            <v>10105.874999999998</v>
          </cell>
          <cell r="F144">
            <v>168.43124999999998</v>
          </cell>
          <cell r="G144">
            <v>2.8071874999999995</v>
          </cell>
          <cell r="H144">
            <v>0.11696614583333331</v>
          </cell>
          <cell r="I144">
            <v>49</v>
          </cell>
          <cell r="K144">
            <v>7.5422776472559372</v>
          </cell>
          <cell r="N144">
            <v>3416</v>
          </cell>
          <cell r="O144">
            <v>84562</v>
          </cell>
        </row>
        <row r="145">
          <cell r="A145">
            <v>122</v>
          </cell>
          <cell r="B145">
            <v>7</v>
          </cell>
          <cell r="C145">
            <v>418.50000000000006</v>
          </cell>
          <cell r="D145">
            <v>212.62500000000003</v>
          </cell>
          <cell r="E145">
            <v>10318.499999999998</v>
          </cell>
          <cell r="F145">
            <v>171.97499999999997</v>
          </cell>
          <cell r="G145">
            <v>2.8662499999999995</v>
          </cell>
          <cell r="H145">
            <v>0.11942708333333331</v>
          </cell>
          <cell r="I145">
            <v>50</v>
          </cell>
          <cell r="K145">
            <v>7.5961308593750001</v>
          </cell>
          <cell r="N145">
            <v>3582</v>
          </cell>
          <cell r="O145">
            <v>87978</v>
          </cell>
        </row>
        <row r="146">
          <cell r="A146">
            <v>123</v>
          </cell>
          <cell r="B146">
            <v>7</v>
          </cell>
          <cell r="C146">
            <v>637.875</v>
          </cell>
          <cell r="D146">
            <v>219.37499999999994</v>
          </cell>
          <cell r="E146">
            <v>10537.874999999998</v>
          </cell>
          <cell r="F146">
            <v>175.63124999999997</v>
          </cell>
          <cell r="G146">
            <v>2.9271874999999996</v>
          </cell>
          <cell r="H146">
            <v>0.12196614583333332</v>
          </cell>
          <cell r="I146">
            <v>51</v>
          </cell>
          <cell r="K146">
            <v>7.6500648746309379</v>
          </cell>
          <cell r="N146">
            <v>3753</v>
          </cell>
          <cell r="O146">
            <v>91560</v>
          </cell>
        </row>
        <row r="147">
          <cell r="A147">
            <v>124</v>
          </cell>
          <cell r="B147">
            <v>7</v>
          </cell>
          <cell r="C147">
            <v>864.00000000000011</v>
          </cell>
          <cell r="D147">
            <v>226.12500000000011</v>
          </cell>
          <cell r="E147">
            <v>10763.999999999998</v>
          </cell>
          <cell r="F147">
            <v>179.39999999999998</v>
          </cell>
          <cell r="G147">
            <v>2.9899999999999998</v>
          </cell>
          <cell r="H147">
            <v>0.12458333333333332</v>
          </cell>
          <cell r="I147">
            <v>51</v>
          </cell>
          <cell r="K147">
            <v>7.6500648746309379</v>
          </cell>
          <cell r="N147">
            <v>3868</v>
          </cell>
          <cell r="O147">
            <v>95313</v>
          </cell>
        </row>
        <row r="148">
          <cell r="A148">
            <v>125</v>
          </cell>
          <cell r="B148">
            <v>7</v>
          </cell>
          <cell r="C148">
            <v>1096.875</v>
          </cell>
          <cell r="D148">
            <v>232.87499999999989</v>
          </cell>
          <cell r="E148">
            <v>10996.874999999998</v>
          </cell>
          <cell r="F148">
            <v>183.28124999999997</v>
          </cell>
          <cell r="G148">
            <v>3.0546874999999996</v>
          </cell>
          <cell r="H148">
            <v>0.12727864583333331</v>
          </cell>
          <cell r="I148">
            <v>52</v>
          </cell>
          <cell r="K148">
            <v>7.704079812719999</v>
          </cell>
          <cell r="N148">
            <v>4043</v>
          </cell>
          <cell r="O148">
            <v>99181</v>
          </cell>
        </row>
        <row r="149">
          <cell r="A149">
            <v>126</v>
          </cell>
          <cell r="B149">
            <v>7</v>
          </cell>
          <cell r="C149">
            <v>1336.4999999999998</v>
          </cell>
          <cell r="D149">
            <v>239.62499999999977</v>
          </cell>
          <cell r="E149">
            <v>11236.499999999998</v>
          </cell>
          <cell r="F149">
            <v>187.27499999999998</v>
          </cell>
          <cell r="G149">
            <v>3.1212499999999994</v>
          </cell>
          <cell r="H149">
            <v>0.13005208333333332</v>
          </cell>
          <cell r="I149">
            <v>53</v>
          </cell>
          <cell r="K149">
            <v>7.7581757934809383</v>
          </cell>
          <cell r="N149">
            <v>4223</v>
          </cell>
          <cell r="O149">
            <v>103224</v>
          </cell>
        </row>
        <row r="150">
          <cell r="A150">
            <v>127</v>
          </cell>
          <cell r="B150">
            <v>7</v>
          </cell>
          <cell r="C150">
            <v>1582.8749999999998</v>
          </cell>
          <cell r="D150">
            <v>246.375</v>
          </cell>
          <cell r="E150">
            <v>11482.874999999998</v>
          </cell>
          <cell r="F150">
            <v>191.38124999999997</v>
          </cell>
          <cell r="G150">
            <v>3.1896874999999993</v>
          </cell>
          <cell r="H150">
            <v>0.13290364583333331</v>
          </cell>
          <cell r="I150">
            <v>54</v>
          </cell>
          <cell r="K150">
            <v>7.8123529368949995</v>
          </cell>
          <cell r="N150">
            <v>4405</v>
          </cell>
          <cell r="O150">
            <v>107447</v>
          </cell>
        </row>
        <row r="151">
          <cell r="A151">
            <v>128</v>
          </cell>
          <cell r="B151">
            <v>7</v>
          </cell>
          <cell r="C151">
            <v>1836.0000000000005</v>
          </cell>
          <cell r="D151">
            <v>253.12500000000068</v>
          </cell>
          <cell r="E151">
            <v>11735.999999999998</v>
          </cell>
          <cell r="F151">
            <v>195.59999999999997</v>
          </cell>
          <cell r="G151">
            <v>3.2599999999999993</v>
          </cell>
          <cell r="H151">
            <v>0.13583333333333331</v>
          </cell>
          <cell r="I151">
            <v>55</v>
          </cell>
          <cell r="K151">
            <v>7.8666113630859389</v>
          </cell>
          <cell r="N151">
            <v>4591</v>
          </cell>
          <cell r="O151">
            <v>111852</v>
          </cell>
        </row>
        <row r="152">
          <cell r="A152">
            <v>129</v>
          </cell>
          <cell r="B152">
            <v>7</v>
          </cell>
          <cell r="C152">
            <v>2095.8750000000005</v>
          </cell>
          <cell r="D152">
            <v>259.875</v>
          </cell>
          <cell r="E152">
            <v>11995.874999999998</v>
          </cell>
          <cell r="F152">
            <v>199.93124999999998</v>
          </cell>
          <cell r="G152">
            <v>3.3321874999999994</v>
          </cell>
          <cell r="H152">
            <v>0.13884114583333332</v>
          </cell>
          <cell r="I152">
            <v>56</v>
          </cell>
          <cell r="K152">
            <v>7.9209511923200013</v>
          </cell>
          <cell r="N152">
            <v>4781</v>
          </cell>
          <cell r="O152">
            <v>116443</v>
          </cell>
        </row>
        <row r="153">
          <cell r="A153">
            <v>130</v>
          </cell>
          <cell r="B153">
            <v>7</v>
          </cell>
          <cell r="C153">
            <v>2362.5</v>
          </cell>
          <cell r="D153">
            <v>266.62499999999955</v>
          </cell>
          <cell r="E153">
            <v>12262.499999999998</v>
          </cell>
          <cell r="F153">
            <v>204.37499999999997</v>
          </cell>
          <cell r="G153">
            <v>3.4062499999999996</v>
          </cell>
          <cell r="H153">
            <v>0.14192708333333331</v>
          </cell>
          <cell r="I153">
            <v>57</v>
          </cell>
          <cell r="K153">
            <v>7.9753725450059356</v>
          </cell>
          <cell r="N153">
            <v>4975</v>
          </cell>
          <cell r="O153">
            <v>121224</v>
          </cell>
        </row>
        <row r="154">
          <cell r="A154">
            <v>131</v>
          </cell>
          <cell r="B154">
            <v>7</v>
          </cell>
          <cell r="C154">
            <v>2635.875</v>
          </cell>
          <cell r="D154">
            <v>273.375</v>
          </cell>
          <cell r="E154">
            <v>12535.874999999998</v>
          </cell>
          <cell r="F154">
            <v>208.93124999999998</v>
          </cell>
          <cell r="G154">
            <v>3.4821874999999998</v>
          </cell>
          <cell r="H154">
            <v>0.14509114583333332</v>
          </cell>
          <cell r="I154">
            <v>58</v>
          </cell>
          <cell r="K154">
            <v>8.0298755416950005</v>
          </cell>
          <cell r="N154">
            <v>5172</v>
          </cell>
          <cell r="O154">
            <v>126199</v>
          </cell>
        </row>
        <row r="155">
          <cell r="A155">
            <v>132</v>
          </cell>
          <cell r="B155">
            <v>7</v>
          </cell>
          <cell r="C155">
            <v>2915.9999999999995</v>
          </cell>
          <cell r="D155">
            <v>280.12499999999955</v>
          </cell>
          <cell r="E155">
            <v>12815.999999999998</v>
          </cell>
          <cell r="F155">
            <v>213.59999999999997</v>
          </cell>
          <cell r="G155">
            <v>3.5599999999999996</v>
          </cell>
          <cell r="H155">
            <v>0.14833333333333332</v>
          </cell>
          <cell r="I155">
            <v>59</v>
          </cell>
          <cell r="K155">
            <v>8.0844603030809363</v>
          </cell>
          <cell r="N155">
            <v>5373</v>
          </cell>
          <cell r="O155">
            <v>131371</v>
          </cell>
        </row>
        <row r="156">
          <cell r="A156">
            <v>133</v>
          </cell>
          <cell r="B156">
            <v>7</v>
          </cell>
          <cell r="C156">
            <v>3202.875</v>
          </cell>
          <cell r="D156">
            <v>286.87500000000045</v>
          </cell>
          <cell r="E156">
            <v>13102.874999999998</v>
          </cell>
          <cell r="F156">
            <v>218.38124999999997</v>
          </cell>
          <cell r="G156">
            <v>3.6396874999999995</v>
          </cell>
          <cell r="H156">
            <v>0.15165364583333332</v>
          </cell>
          <cell r="I156">
            <v>60</v>
          </cell>
          <cell r="K156">
            <v>8.1391269500000014</v>
          </cell>
          <cell r="N156">
            <v>5578</v>
          </cell>
          <cell r="O156">
            <v>136744</v>
          </cell>
        </row>
        <row r="157">
          <cell r="A157">
            <v>134</v>
          </cell>
          <cell r="B157">
            <v>7</v>
          </cell>
          <cell r="C157">
            <v>3496.4999999999991</v>
          </cell>
          <cell r="D157">
            <v>293.62499999999909</v>
          </cell>
          <cell r="E157">
            <v>13396.499999999996</v>
          </cell>
          <cell r="F157">
            <v>223.27499999999995</v>
          </cell>
          <cell r="G157">
            <v>3.7212499999999991</v>
          </cell>
          <cell r="H157">
            <v>0.15505208333333328</v>
          </cell>
          <cell r="I157">
            <v>61</v>
          </cell>
          <cell r="K157">
            <v>8.1938756034309375</v>
          </cell>
          <cell r="N157">
            <v>5786</v>
          </cell>
          <cell r="O157">
            <v>142322</v>
          </cell>
        </row>
        <row r="158">
          <cell r="A158">
            <v>135</v>
          </cell>
          <cell r="B158">
            <v>7</v>
          </cell>
          <cell r="C158">
            <v>3796.875</v>
          </cell>
          <cell r="D158">
            <v>300.37500000000091</v>
          </cell>
          <cell r="E158">
            <v>13696.874999999996</v>
          </cell>
          <cell r="F158">
            <v>228.28124999999994</v>
          </cell>
          <cell r="G158">
            <v>3.8046874999999991</v>
          </cell>
          <cell r="H158">
            <v>0.15852864583333329</v>
          </cell>
          <cell r="I158">
            <v>62</v>
          </cell>
          <cell r="K158">
            <v>8.2487063844949997</v>
          </cell>
          <cell r="N158">
            <v>5998</v>
          </cell>
          <cell r="O158">
            <v>148108</v>
          </cell>
        </row>
        <row r="159">
          <cell r="A159">
            <v>136</v>
          </cell>
          <cell r="B159">
            <v>7</v>
          </cell>
          <cell r="C159">
            <v>4104.0000000000009</v>
          </cell>
          <cell r="D159">
            <v>307.12500000000091</v>
          </cell>
          <cell r="E159">
            <v>14003.999999999996</v>
          </cell>
          <cell r="F159">
            <v>233.39999999999995</v>
          </cell>
          <cell r="G159">
            <v>3.8899999999999992</v>
          </cell>
          <cell r="H159">
            <v>0.1620833333333333</v>
          </cell>
          <cell r="I159">
            <v>63</v>
          </cell>
          <cell r="K159">
            <v>8.3036194144559374</v>
          </cell>
          <cell r="N159">
            <v>6213</v>
          </cell>
          <cell r="O159">
            <v>154106</v>
          </cell>
        </row>
        <row r="160">
          <cell r="A160">
            <v>137</v>
          </cell>
          <cell r="B160">
            <v>7</v>
          </cell>
          <cell r="C160">
            <v>4417.875</v>
          </cell>
          <cell r="D160">
            <v>313.87499999999909</v>
          </cell>
          <cell r="E160">
            <v>14317.874999999996</v>
          </cell>
          <cell r="F160">
            <v>238.63124999999994</v>
          </cell>
          <cell r="G160">
            <v>3.977187499999999</v>
          </cell>
          <cell r="H160">
            <v>0.1657161458333333</v>
          </cell>
          <cell r="I160">
            <v>64</v>
          </cell>
          <cell r="K160">
            <v>8.358614814720001</v>
          </cell>
          <cell r="N160">
            <v>6433</v>
          </cell>
          <cell r="O160">
            <v>160319</v>
          </cell>
        </row>
        <row r="161">
          <cell r="A161">
            <v>138</v>
          </cell>
          <cell r="B161">
            <v>7</v>
          </cell>
          <cell r="C161">
            <v>4738.5</v>
          </cell>
          <cell r="D161">
            <v>320.625</v>
          </cell>
          <cell r="E161">
            <v>14638.499999999996</v>
          </cell>
          <cell r="F161">
            <v>243.97499999999994</v>
          </cell>
          <cell r="G161">
            <v>4.0662499999999993</v>
          </cell>
          <cell r="H161">
            <v>0.16942708333333331</v>
          </cell>
          <cell r="I161">
            <v>65</v>
          </cell>
          <cell r="K161">
            <v>8.4136927068359384</v>
          </cell>
          <cell r="N161">
            <v>6656</v>
          </cell>
          <cell r="O161">
            <v>166752</v>
          </cell>
        </row>
        <row r="162">
          <cell r="A162">
            <v>139</v>
          </cell>
          <cell r="B162">
            <v>7</v>
          </cell>
          <cell r="C162">
            <v>5065.8749999999991</v>
          </cell>
          <cell r="D162">
            <v>327.37499999999909</v>
          </cell>
          <cell r="E162">
            <v>14965.874999999996</v>
          </cell>
          <cell r="F162">
            <v>249.43124999999995</v>
          </cell>
          <cell r="G162">
            <v>4.1571874999999991</v>
          </cell>
          <cell r="H162">
            <v>0.17321614583333331</v>
          </cell>
          <cell r="I162">
            <v>66</v>
          </cell>
          <cell r="K162">
            <v>8.4688532124949987</v>
          </cell>
          <cell r="N162">
            <v>6883</v>
          </cell>
          <cell r="O162">
            <v>173408</v>
          </cell>
        </row>
        <row r="163">
          <cell r="A163">
            <v>140</v>
          </cell>
          <cell r="B163">
            <v>7</v>
          </cell>
          <cell r="C163">
            <v>5400</v>
          </cell>
          <cell r="D163">
            <v>334.12500000000091</v>
          </cell>
          <cell r="E163">
            <v>15299.999999999996</v>
          </cell>
          <cell r="F163">
            <v>254.99999999999994</v>
          </cell>
          <cell r="G163">
            <v>4.2499999999999991</v>
          </cell>
          <cell r="H163">
            <v>0.17708333333333329</v>
          </cell>
          <cell r="I163">
            <v>67</v>
          </cell>
          <cell r="K163">
            <v>8.5240964535309374</v>
          </cell>
          <cell r="N163">
            <v>7113</v>
          </cell>
          <cell r="O163">
            <v>180291</v>
          </cell>
        </row>
        <row r="164">
          <cell r="A164">
            <v>141</v>
          </cell>
          <cell r="B164">
            <v>8</v>
          </cell>
          <cell r="C164">
            <v>364.50000000000006</v>
          </cell>
          <cell r="D164">
            <v>364.50000000000006</v>
          </cell>
          <cell r="E164">
            <v>15664.499999999996</v>
          </cell>
          <cell r="F164">
            <v>261.07499999999993</v>
          </cell>
          <cell r="G164">
            <v>4.3512499999999985</v>
          </cell>
          <cell r="H164">
            <v>0.18130208333333328</v>
          </cell>
          <cell r="I164">
            <v>68</v>
          </cell>
          <cell r="K164">
            <v>8.5794225519200022</v>
          </cell>
          <cell r="N164">
            <v>7857</v>
          </cell>
          <cell r="O164">
            <v>187404</v>
          </cell>
        </row>
        <row r="165">
          <cell r="A165">
            <v>142</v>
          </cell>
          <cell r="B165">
            <v>8</v>
          </cell>
          <cell r="C165">
            <v>738.00000000000011</v>
          </cell>
          <cell r="D165">
            <v>373.50000000000006</v>
          </cell>
          <cell r="E165">
            <v>16037.999999999996</v>
          </cell>
          <cell r="F165">
            <v>267.29999999999995</v>
          </cell>
          <cell r="G165">
            <v>4.4549999999999992</v>
          </cell>
          <cell r="H165">
            <v>0.18562499999999996</v>
          </cell>
          <cell r="I165">
            <v>69</v>
          </cell>
          <cell r="K165">
            <v>8.6348316297809387</v>
          </cell>
          <cell r="N165">
            <v>8151</v>
          </cell>
          <cell r="O165">
            <v>195261</v>
          </cell>
        </row>
        <row r="166">
          <cell r="A166">
            <v>143</v>
          </cell>
          <cell r="B166">
            <v>8</v>
          </cell>
          <cell r="C166">
            <v>1120.5</v>
          </cell>
          <cell r="D166">
            <v>382.49999999999989</v>
          </cell>
          <cell r="E166">
            <v>16420.499999999996</v>
          </cell>
          <cell r="F166">
            <v>273.67499999999995</v>
          </cell>
          <cell r="G166">
            <v>4.5612499999999994</v>
          </cell>
          <cell r="H166">
            <v>0.19005208333333332</v>
          </cell>
          <cell r="I166">
            <v>70</v>
          </cell>
          <cell r="K166">
            <v>8.6903238093749984</v>
          </cell>
          <cell r="N166">
            <v>8449</v>
          </cell>
          <cell r="O166">
            <v>203412</v>
          </cell>
        </row>
        <row r="167">
          <cell r="A167">
            <v>144</v>
          </cell>
          <cell r="B167">
            <v>8</v>
          </cell>
          <cell r="C167">
            <v>1512.0000000000005</v>
          </cell>
          <cell r="D167">
            <v>391.50000000000045</v>
          </cell>
          <cell r="E167">
            <v>16811.999999999996</v>
          </cell>
          <cell r="F167">
            <v>280.19999999999993</v>
          </cell>
          <cell r="G167">
            <v>4.669999999999999</v>
          </cell>
          <cell r="H167">
            <v>0.1945833333333333</v>
          </cell>
          <cell r="I167">
            <v>71</v>
          </cell>
          <cell r="K167">
            <v>8.7458992131059379</v>
          </cell>
          <cell r="N167">
            <v>8753</v>
          </cell>
          <cell r="O167">
            <v>211861</v>
          </cell>
        </row>
        <row r="168">
          <cell r="A168">
            <v>145</v>
          </cell>
          <cell r="B168">
            <v>8</v>
          </cell>
          <cell r="C168">
            <v>1912.5000000000002</v>
          </cell>
          <cell r="D168">
            <v>400.49999999999977</v>
          </cell>
          <cell r="E168">
            <v>17212.499999999996</v>
          </cell>
          <cell r="F168">
            <v>286.87499999999994</v>
          </cell>
          <cell r="G168">
            <v>4.7812499999999991</v>
          </cell>
          <cell r="H168">
            <v>0.19921874999999997</v>
          </cell>
          <cell r="I168">
            <v>73</v>
          </cell>
          <cell r="K168">
            <v>8.8573001833059362</v>
          </cell>
          <cell r="N168">
            <v>9169</v>
          </cell>
          <cell r="O168">
            <v>220614</v>
          </cell>
        </row>
        <row r="169">
          <cell r="A169">
            <v>146</v>
          </cell>
          <cell r="B169">
            <v>8</v>
          </cell>
          <cell r="C169">
            <v>2322</v>
          </cell>
          <cell r="D169">
            <v>409.49999999999977</v>
          </cell>
          <cell r="E169">
            <v>17621.999999999996</v>
          </cell>
          <cell r="F169">
            <v>293.69999999999993</v>
          </cell>
          <cell r="G169">
            <v>4.8949999999999987</v>
          </cell>
          <cell r="H169">
            <v>0.20395833333333327</v>
          </cell>
          <cell r="I169">
            <v>74</v>
          </cell>
          <cell r="K169">
            <v>8.9131259952949993</v>
          </cell>
          <cell r="N169">
            <v>9485</v>
          </cell>
          <cell r="O169">
            <v>229783</v>
          </cell>
        </row>
        <row r="170">
          <cell r="A170">
            <v>147</v>
          </cell>
          <cell r="B170">
            <v>8</v>
          </cell>
          <cell r="C170">
            <v>2740.5</v>
          </cell>
          <cell r="D170">
            <v>418.5</v>
          </cell>
          <cell r="E170">
            <v>18040.499999999996</v>
          </cell>
          <cell r="F170">
            <v>300.67499999999995</v>
          </cell>
          <cell r="G170">
            <v>5.0112499999999995</v>
          </cell>
          <cell r="H170">
            <v>0.2088020833333333</v>
          </cell>
          <cell r="I170">
            <v>75</v>
          </cell>
          <cell r="K170">
            <v>8.9690355224609384</v>
          </cell>
          <cell r="N170">
            <v>9807</v>
          </cell>
          <cell r="O170">
            <v>239268</v>
          </cell>
        </row>
        <row r="171">
          <cell r="A171">
            <v>148</v>
          </cell>
          <cell r="B171">
            <v>8</v>
          </cell>
          <cell r="C171">
            <v>3168.0000000000009</v>
          </cell>
          <cell r="D171">
            <v>427.50000000000091</v>
          </cell>
          <cell r="E171">
            <v>18467.999999999996</v>
          </cell>
          <cell r="F171">
            <v>307.79999999999995</v>
          </cell>
          <cell r="G171">
            <v>5.129999999999999</v>
          </cell>
          <cell r="H171">
            <v>0.21374999999999997</v>
          </cell>
          <cell r="I171">
            <v>76</v>
          </cell>
          <cell r="K171">
            <v>9.0250288879200014</v>
          </cell>
          <cell r="N171">
            <v>10133</v>
          </cell>
          <cell r="O171">
            <v>249075</v>
          </cell>
        </row>
        <row r="172">
          <cell r="A172">
            <v>149</v>
          </cell>
          <cell r="B172">
            <v>8</v>
          </cell>
          <cell r="C172">
            <v>3604.5000000000009</v>
          </cell>
          <cell r="D172">
            <v>436.5</v>
          </cell>
          <cell r="E172">
            <v>18904.499999999996</v>
          </cell>
          <cell r="F172">
            <v>315.07499999999993</v>
          </cell>
          <cell r="G172">
            <v>5.2512499999999989</v>
          </cell>
          <cell r="H172">
            <v>0.21880208333333329</v>
          </cell>
          <cell r="I172">
            <v>77</v>
          </cell>
          <cell r="K172">
            <v>9.0811062149309372</v>
          </cell>
          <cell r="N172">
            <v>10465</v>
          </cell>
          <cell r="O172">
            <v>259208</v>
          </cell>
        </row>
        <row r="173">
          <cell r="A173">
            <v>150</v>
          </cell>
          <cell r="B173">
            <v>8</v>
          </cell>
          <cell r="C173">
            <v>4050</v>
          </cell>
          <cell r="D173">
            <v>445.49999999999909</v>
          </cell>
          <cell r="E173">
            <v>19349.999999999996</v>
          </cell>
          <cell r="F173">
            <v>322.49999999999994</v>
          </cell>
          <cell r="G173">
            <v>5.3749999999999991</v>
          </cell>
          <cell r="H173">
            <v>0.22395833333333329</v>
          </cell>
          <cell r="I173">
            <v>79</v>
          </cell>
          <cell r="K173">
            <v>9.193513247355936</v>
          </cell>
          <cell r="N173">
            <v>10923</v>
          </cell>
          <cell r="O173">
            <v>269673</v>
          </cell>
        </row>
        <row r="174">
          <cell r="A174">
            <v>151</v>
          </cell>
          <cell r="B174">
            <v>8</v>
          </cell>
          <cell r="C174">
            <v>4504.5000000000009</v>
          </cell>
          <cell r="D174">
            <v>454.50000000000091</v>
          </cell>
          <cell r="E174">
            <v>19804.499999999996</v>
          </cell>
          <cell r="F174">
            <v>330.07499999999993</v>
          </cell>
          <cell r="G174">
            <v>5.5012499999999989</v>
          </cell>
          <cell r="H174">
            <v>0.22921874999999994</v>
          </cell>
          <cell r="I174">
            <v>80</v>
          </cell>
          <cell r="K174">
            <v>9.2498432000000008</v>
          </cell>
          <cell r="N174">
            <v>11267</v>
          </cell>
          <cell r="O174">
            <v>280596</v>
          </cell>
        </row>
        <row r="175">
          <cell r="A175">
            <v>152</v>
          </cell>
          <cell r="B175">
            <v>8</v>
          </cell>
          <cell r="C175">
            <v>4967.9999999999991</v>
          </cell>
          <cell r="D175">
            <v>463.49999999999818</v>
          </cell>
          <cell r="E175">
            <v>20267.999999999993</v>
          </cell>
          <cell r="F175">
            <v>337.7999999999999</v>
          </cell>
          <cell r="G175">
            <v>5.6299999999999981</v>
          </cell>
          <cell r="H175">
            <v>0.23458333333333325</v>
          </cell>
          <cell r="I175">
            <v>81</v>
          </cell>
          <cell r="K175">
            <v>9.3062576086559403</v>
          </cell>
          <cell r="N175">
            <v>11617</v>
          </cell>
          <cell r="O175">
            <v>291863</v>
          </cell>
        </row>
        <row r="176">
          <cell r="A176">
            <v>153</v>
          </cell>
          <cell r="B176">
            <v>8</v>
          </cell>
          <cell r="C176">
            <v>5440.5</v>
          </cell>
          <cell r="D176">
            <v>472.50000000000091</v>
          </cell>
          <cell r="E176">
            <v>20740.499999999993</v>
          </cell>
          <cell r="F176">
            <v>345.6749999999999</v>
          </cell>
          <cell r="G176">
            <v>5.7612499999999986</v>
          </cell>
          <cell r="H176">
            <v>0.24005208333333328</v>
          </cell>
          <cell r="I176">
            <v>82</v>
          </cell>
          <cell r="K176">
            <v>9.362756597295002</v>
          </cell>
          <cell r="N176">
            <v>11972</v>
          </cell>
          <cell r="O176">
            <v>303480</v>
          </cell>
        </row>
        <row r="177">
          <cell r="A177">
            <v>154</v>
          </cell>
          <cell r="B177">
            <v>8</v>
          </cell>
          <cell r="C177">
            <v>5921.9999999999991</v>
          </cell>
          <cell r="D177">
            <v>481.49999999999909</v>
          </cell>
          <cell r="E177">
            <v>21221.999999999993</v>
          </cell>
          <cell r="F177">
            <v>353.69999999999987</v>
          </cell>
          <cell r="G177">
            <v>5.8949999999999978</v>
          </cell>
          <cell r="H177">
            <v>0.2456249999999999</v>
          </cell>
          <cell r="I177">
            <v>84</v>
          </cell>
          <cell r="K177">
            <v>9.476008811119998</v>
          </cell>
          <cell r="N177">
            <v>12464</v>
          </cell>
          <cell r="O177">
            <v>315452</v>
          </cell>
        </row>
        <row r="178">
          <cell r="A178">
            <v>155</v>
          </cell>
          <cell r="B178">
            <v>8</v>
          </cell>
          <cell r="C178">
            <v>6412.5000000000009</v>
          </cell>
          <cell r="D178">
            <v>490.50000000000182</v>
          </cell>
          <cell r="E178">
            <v>21712.499999999993</v>
          </cell>
          <cell r="F178">
            <v>361.87499999999989</v>
          </cell>
          <cell r="G178">
            <v>6.0312499999999982</v>
          </cell>
          <cell r="H178">
            <v>0.25130208333333326</v>
          </cell>
          <cell r="I178">
            <v>85</v>
          </cell>
          <cell r="K178">
            <v>9.5327622849609384</v>
          </cell>
          <cell r="N178">
            <v>12832</v>
          </cell>
          <cell r="O178">
            <v>327916</v>
          </cell>
        </row>
        <row r="179">
          <cell r="A179">
            <v>156</v>
          </cell>
          <cell r="B179">
            <v>8</v>
          </cell>
          <cell r="C179">
            <v>6912.0000000000009</v>
          </cell>
          <cell r="D179">
            <v>499.5</v>
          </cell>
          <cell r="E179">
            <v>22211.999999999993</v>
          </cell>
          <cell r="F179">
            <v>370.19999999999987</v>
          </cell>
          <cell r="G179">
            <v>6.1699999999999982</v>
          </cell>
          <cell r="H179">
            <v>0.25708333333333327</v>
          </cell>
          <cell r="I179">
            <v>86</v>
          </cell>
          <cell r="K179">
            <v>9.5896008360949967</v>
          </cell>
          <cell r="N179">
            <v>13205</v>
          </cell>
          <cell r="O179">
            <v>340748</v>
          </cell>
        </row>
        <row r="180">
          <cell r="A180">
            <v>157</v>
          </cell>
          <cell r="B180">
            <v>8</v>
          </cell>
          <cell r="C180">
            <v>7420.5</v>
          </cell>
          <cell r="D180">
            <v>508.49999999999909</v>
          </cell>
          <cell r="E180">
            <v>22720.499999999993</v>
          </cell>
          <cell r="F180">
            <v>378.6749999999999</v>
          </cell>
          <cell r="G180">
            <v>6.3112499999999985</v>
          </cell>
          <cell r="H180">
            <v>0.26296874999999992</v>
          </cell>
          <cell r="I180">
            <v>87</v>
          </cell>
          <cell r="K180">
            <v>9.6465245892059386</v>
          </cell>
          <cell r="N180">
            <v>13584</v>
          </cell>
          <cell r="O180">
            <v>353953</v>
          </cell>
        </row>
        <row r="181">
          <cell r="A181">
            <v>158</v>
          </cell>
          <cell r="B181">
            <v>8</v>
          </cell>
          <cell r="C181">
            <v>7938.0000000000009</v>
          </cell>
          <cell r="D181">
            <v>517.50000000000091</v>
          </cell>
          <cell r="E181">
            <v>23237.999999999993</v>
          </cell>
          <cell r="F181">
            <v>387.2999999999999</v>
          </cell>
          <cell r="G181">
            <v>6.4549999999999983</v>
          </cell>
          <cell r="H181">
            <v>0.26895833333333324</v>
          </cell>
          <cell r="I181">
            <v>89</v>
          </cell>
          <cell r="K181">
            <v>9.7606282008059377</v>
          </cell>
          <cell r="N181">
            <v>14111</v>
          </cell>
          <cell r="O181">
            <v>367537</v>
          </cell>
        </row>
        <row r="182">
          <cell r="A182">
            <v>159</v>
          </cell>
          <cell r="B182">
            <v>8</v>
          </cell>
          <cell r="C182">
            <v>8464.5</v>
          </cell>
          <cell r="D182">
            <v>526.49999999999909</v>
          </cell>
          <cell r="E182">
            <v>23764.499999999993</v>
          </cell>
          <cell r="F182">
            <v>396.07499999999987</v>
          </cell>
          <cell r="G182">
            <v>6.6012499999999976</v>
          </cell>
          <cell r="H182">
            <v>0.27505208333333325</v>
          </cell>
          <cell r="I182">
            <v>90</v>
          </cell>
          <cell r="K182">
            <v>9.8178083093749979</v>
          </cell>
          <cell r="N182">
            <v>14503</v>
          </cell>
          <cell r="O182">
            <v>381648</v>
          </cell>
        </row>
        <row r="183">
          <cell r="A183">
            <v>160</v>
          </cell>
          <cell r="B183">
            <v>8</v>
          </cell>
          <cell r="C183">
            <v>9000</v>
          </cell>
          <cell r="D183">
            <v>535.5</v>
          </cell>
          <cell r="E183">
            <v>24299.999999999993</v>
          </cell>
          <cell r="F183">
            <v>404.99999999999989</v>
          </cell>
          <cell r="G183">
            <v>6.7499999999999982</v>
          </cell>
          <cell r="H183">
            <v>0.28124999999999994</v>
          </cell>
          <cell r="I183">
            <v>91</v>
          </cell>
          <cell r="K183">
            <v>9.8750741200809351</v>
          </cell>
          <cell r="N183">
            <v>14901</v>
          </cell>
          <cell r="O183">
            <v>396151</v>
          </cell>
        </row>
        <row r="184">
          <cell r="A184">
            <v>161</v>
          </cell>
          <cell r="B184">
            <v>9</v>
          </cell>
          <cell r="C184">
            <v>651.6</v>
          </cell>
          <cell r="D184">
            <v>651.6</v>
          </cell>
          <cell r="E184">
            <v>24951.599999999991</v>
          </cell>
          <cell r="F184">
            <v>415.85999999999984</v>
          </cell>
          <cell r="G184">
            <v>6.9309999999999974</v>
          </cell>
          <cell r="H184">
            <v>0.28879166666666656</v>
          </cell>
          <cell r="I184">
            <v>93</v>
          </cell>
          <cell r="K184">
            <v>9.989863349630939</v>
          </cell>
          <cell r="N184">
            <v>18496</v>
          </cell>
          <cell r="O184">
            <v>411052</v>
          </cell>
        </row>
        <row r="185">
          <cell r="A185">
            <v>162</v>
          </cell>
          <cell r="B185">
            <v>9</v>
          </cell>
          <cell r="C185">
            <v>1310.4000000000001</v>
          </cell>
          <cell r="D185">
            <v>658.80000000000007</v>
          </cell>
          <cell r="E185">
            <v>25610.399999999991</v>
          </cell>
          <cell r="F185">
            <v>426.83999999999986</v>
          </cell>
          <cell r="G185">
            <v>7.1139999999999981</v>
          </cell>
          <cell r="H185">
            <v>0.29641666666666661</v>
          </cell>
          <cell r="I185">
            <v>94</v>
          </cell>
          <cell r="K185">
            <v>10.047387019695</v>
          </cell>
          <cell r="N185">
            <v>18885</v>
          </cell>
          <cell r="O185">
            <v>429548</v>
          </cell>
        </row>
        <row r="186">
          <cell r="A186">
            <v>163</v>
          </cell>
          <cell r="B186">
            <v>9</v>
          </cell>
          <cell r="C186">
            <v>1976.4</v>
          </cell>
          <cell r="D186">
            <v>666</v>
          </cell>
          <cell r="E186">
            <v>26276.399999999991</v>
          </cell>
          <cell r="F186">
            <v>437.93999999999983</v>
          </cell>
          <cell r="G186">
            <v>7.2989999999999968</v>
          </cell>
          <cell r="H186">
            <v>0.30412499999999987</v>
          </cell>
          <cell r="I186">
            <v>96</v>
          </cell>
          <cell r="K186">
            <v>10.162693099519998</v>
          </cell>
          <cell r="N186">
            <v>19466</v>
          </cell>
          <cell r="O186">
            <v>448433</v>
          </cell>
        </row>
        <row r="187">
          <cell r="A187">
            <v>164</v>
          </cell>
          <cell r="B187">
            <v>9</v>
          </cell>
          <cell r="C187">
            <v>2649.6000000000004</v>
          </cell>
          <cell r="D187">
            <v>673.20000000000027</v>
          </cell>
          <cell r="E187">
            <v>26949.599999999991</v>
          </cell>
          <cell r="F187">
            <v>449.15999999999985</v>
          </cell>
          <cell r="G187">
            <v>7.485999999999998</v>
          </cell>
          <cell r="H187">
            <v>0.31191666666666656</v>
          </cell>
          <cell r="I187">
            <v>97</v>
          </cell>
          <cell r="K187">
            <v>10.220475761355939</v>
          </cell>
          <cell r="N187">
            <v>19866</v>
          </cell>
          <cell r="O187">
            <v>467899</v>
          </cell>
        </row>
        <row r="188">
          <cell r="A188">
            <v>165</v>
          </cell>
          <cell r="B188">
            <v>9</v>
          </cell>
          <cell r="C188">
            <v>3330</v>
          </cell>
          <cell r="D188">
            <v>680.39999999999964</v>
          </cell>
          <cell r="E188">
            <v>27629.999999999993</v>
          </cell>
          <cell r="F188">
            <v>460.49999999999989</v>
          </cell>
          <cell r="G188">
            <v>7.674999999999998</v>
          </cell>
          <cell r="H188">
            <v>0.31979166666666659</v>
          </cell>
          <cell r="I188">
            <v>99</v>
          </cell>
          <cell r="K188">
            <v>10.336300960130938</v>
          </cell>
          <cell r="N188">
            <v>20464</v>
          </cell>
          <cell r="O188">
            <v>487765</v>
          </cell>
        </row>
        <row r="189">
          <cell r="A189">
            <v>166</v>
          </cell>
          <cell r="B189">
            <v>9</v>
          </cell>
          <cell r="C189">
            <v>4017.6000000000004</v>
          </cell>
          <cell r="D189">
            <v>687.60000000000036</v>
          </cell>
          <cell r="E189">
            <v>28317.599999999991</v>
          </cell>
          <cell r="F189">
            <v>471.95999999999987</v>
          </cell>
          <cell r="G189">
            <v>7.8659999999999979</v>
          </cell>
          <cell r="H189">
            <v>0.32774999999999993</v>
          </cell>
          <cell r="I189">
            <v>100</v>
          </cell>
          <cell r="K189">
            <v>10.394343750000001</v>
          </cell>
          <cell r="N189">
            <v>20876</v>
          </cell>
          <cell r="O189">
            <v>508229</v>
          </cell>
        </row>
        <row r="190">
          <cell r="A190">
            <v>167</v>
          </cell>
          <cell r="B190">
            <v>9</v>
          </cell>
          <cell r="C190">
            <v>4712.3999999999996</v>
          </cell>
          <cell r="D190">
            <v>694.79999999999927</v>
          </cell>
          <cell r="E190">
            <v>29012.399999999991</v>
          </cell>
          <cell r="F190">
            <v>483.53999999999985</v>
          </cell>
          <cell r="G190">
            <v>8.0589999999999975</v>
          </cell>
          <cell r="H190">
            <v>0.33579166666666654</v>
          </cell>
          <cell r="I190">
            <v>102</v>
          </cell>
          <cell r="K190">
            <v>10.510690344095002</v>
          </cell>
          <cell r="N190">
            <v>21490</v>
          </cell>
          <cell r="O190">
            <v>529105</v>
          </cell>
        </row>
        <row r="191">
          <cell r="A191">
            <v>168</v>
          </cell>
          <cell r="B191">
            <v>9</v>
          </cell>
          <cell r="C191">
            <v>5414.4000000000005</v>
          </cell>
          <cell r="D191">
            <v>702.00000000000091</v>
          </cell>
          <cell r="E191">
            <v>29714.399999999991</v>
          </cell>
          <cell r="F191">
            <v>495.23999999999984</v>
          </cell>
          <cell r="G191">
            <v>8.2539999999999978</v>
          </cell>
          <cell r="H191">
            <v>0.34391666666666659</v>
          </cell>
          <cell r="I191">
            <v>103</v>
          </cell>
          <cell r="K191">
            <v>10.568994402105936</v>
          </cell>
          <cell r="N191">
            <v>21913</v>
          </cell>
          <cell r="O191">
            <v>550595</v>
          </cell>
        </row>
        <row r="192">
          <cell r="A192">
            <v>169</v>
          </cell>
          <cell r="B192">
            <v>9</v>
          </cell>
          <cell r="C192">
            <v>6123.6</v>
          </cell>
          <cell r="D192">
            <v>709.19999999999982</v>
          </cell>
          <cell r="E192">
            <v>30423.599999999991</v>
          </cell>
          <cell r="F192">
            <v>507.05999999999983</v>
          </cell>
          <cell r="G192">
            <v>8.450999999999997</v>
          </cell>
          <cell r="H192">
            <v>0.35212499999999985</v>
          </cell>
          <cell r="I192">
            <v>105</v>
          </cell>
          <cell r="K192">
            <v>10.685864675585938</v>
          </cell>
          <cell r="N192">
            <v>22545</v>
          </cell>
          <cell r="O192">
            <v>572508</v>
          </cell>
        </row>
        <row r="193">
          <cell r="A193">
            <v>170</v>
          </cell>
          <cell r="B193">
            <v>9</v>
          </cell>
          <cell r="C193">
            <v>6840.0000000000009</v>
          </cell>
          <cell r="D193">
            <v>716.40000000000055</v>
          </cell>
          <cell r="E193">
            <v>31139.999999999993</v>
          </cell>
          <cell r="F193">
            <v>518.99999999999989</v>
          </cell>
          <cell r="G193">
            <v>8.6499999999999986</v>
          </cell>
          <cell r="H193">
            <v>0.36041666666666661</v>
          </cell>
          <cell r="I193">
            <v>106</v>
          </cell>
          <cell r="K193">
            <v>10.744431145695</v>
          </cell>
          <cell r="N193">
            <v>22979</v>
          </cell>
          <cell r="O193">
            <v>595053</v>
          </cell>
        </row>
        <row r="194">
          <cell r="A194">
            <v>171</v>
          </cell>
          <cell r="B194">
            <v>9</v>
          </cell>
          <cell r="C194">
            <v>7563.6000000000013</v>
          </cell>
          <cell r="D194">
            <v>723.60000000000036</v>
          </cell>
          <cell r="E194">
            <v>31863.599999999991</v>
          </cell>
          <cell r="F194">
            <v>531.05999999999983</v>
          </cell>
          <cell r="G194">
            <v>8.8509999999999973</v>
          </cell>
          <cell r="H194">
            <v>0.36879166666666657</v>
          </cell>
          <cell r="I194">
            <v>108</v>
          </cell>
          <cell r="K194">
            <v>10.86182739032</v>
          </cell>
          <cell r="N194">
            <v>23628</v>
          </cell>
          <cell r="O194">
            <v>618032</v>
          </cell>
        </row>
        <row r="195">
          <cell r="A195">
            <v>172</v>
          </cell>
          <cell r="B195">
            <v>9</v>
          </cell>
          <cell r="C195">
            <v>8294.4000000000015</v>
          </cell>
          <cell r="D195">
            <v>730.80000000000018</v>
          </cell>
          <cell r="E195">
            <v>32594.399999999991</v>
          </cell>
          <cell r="F195">
            <v>543.2399999999999</v>
          </cell>
          <cell r="G195">
            <v>9.0539999999999985</v>
          </cell>
          <cell r="H195">
            <v>0.37724999999999992</v>
          </cell>
          <cell r="I195">
            <v>109</v>
          </cell>
          <cell r="K195">
            <v>10.920657420330938</v>
          </cell>
          <cell r="N195">
            <v>24074</v>
          </cell>
          <cell r="O195">
            <v>641660</v>
          </cell>
        </row>
        <row r="196">
          <cell r="A196">
            <v>173</v>
          </cell>
          <cell r="B196">
            <v>9</v>
          </cell>
          <cell r="C196">
            <v>9032.4000000000015</v>
          </cell>
          <cell r="D196">
            <v>738</v>
          </cell>
          <cell r="E196">
            <v>33332.399999999994</v>
          </cell>
          <cell r="F196">
            <v>555.53999999999985</v>
          </cell>
          <cell r="G196">
            <v>9.2589999999999968</v>
          </cell>
          <cell r="H196">
            <v>0.38579166666666653</v>
          </cell>
          <cell r="I196">
            <v>111</v>
          </cell>
          <cell r="K196">
            <v>11.038581935555939</v>
          </cell>
          <cell r="N196">
            <v>24740</v>
          </cell>
          <cell r="O196">
            <v>665734</v>
          </cell>
        </row>
        <row r="197">
          <cell r="A197">
            <v>174</v>
          </cell>
          <cell r="B197">
            <v>9</v>
          </cell>
          <cell r="C197">
            <v>9777.6</v>
          </cell>
          <cell r="D197">
            <v>745.19999999999891</v>
          </cell>
          <cell r="E197">
            <v>34077.599999999991</v>
          </cell>
          <cell r="F197">
            <v>567.95999999999981</v>
          </cell>
          <cell r="G197">
            <v>9.4659999999999975</v>
          </cell>
          <cell r="H197">
            <v>0.39441666666666658</v>
          </cell>
          <cell r="I197">
            <v>112</v>
          </cell>
          <cell r="K197">
            <v>11.097676677120001</v>
          </cell>
          <cell r="N197">
            <v>25198</v>
          </cell>
          <cell r="O197">
            <v>690474</v>
          </cell>
        </row>
        <row r="198">
          <cell r="A198">
            <v>175</v>
          </cell>
          <cell r="B198">
            <v>9</v>
          </cell>
          <cell r="C198">
            <v>10530.000000000002</v>
          </cell>
          <cell r="D198">
            <v>752.40000000000146</v>
          </cell>
          <cell r="E198">
            <v>34829.999999999993</v>
          </cell>
          <cell r="F198">
            <v>580.49999999999989</v>
          </cell>
          <cell r="G198">
            <v>9.6749999999999989</v>
          </cell>
          <cell r="H198">
            <v>0.40312499999999996</v>
          </cell>
          <cell r="I198">
            <v>114</v>
          </cell>
          <cell r="K198">
            <v>11.216131770095</v>
          </cell>
          <cell r="N198">
            <v>25880</v>
          </cell>
          <cell r="O198">
            <v>715672</v>
          </cell>
        </row>
        <row r="199">
          <cell r="A199">
            <v>176</v>
          </cell>
          <cell r="B199">
            <v>9</v>
          </cell>
          <cell r="C199">
            <v>11289.600000000002</v>
          </cell>
          <cell r="D199">
            <v>759.60000000000036</v>
          </cell>
          <cell r="E199">
            <v>35589.599999999991</v>
          </cell>
          <cell r="F199">
            <v>593.15999999999985</v>
          </cell>
          <cell r="G199">
            <v>9.8859999999999975</v>
          </cell>
          <cell r="H199">
            <v>0.41191666666666654</v>
          </cell>
          <cell r="I199">
            <v>115</v>
          </cell>
          <cell r="K199">
            <v>11.275492378710938</v>
          </cell>
          <cell r="N199">
            <v>26351</v>
          </cell>
          <cell r="O199">
            <v>741552</v>
          </cell>
        </row>
        <row r="200">
          <cell r="A200">
            <v>177</v>
          </cell>
          <cell r="B200">
            <v>9</v>
          </cell>
          <cell r="C200">
            <v>12056.400000000001</v>
          </cell>
          <cell r="D200">
            <v>766.79999999999927</v>
          </cell>
          <cell r="E200">
            <v>36356.399999999994</v>
          </cell>
          <cell r="F200">
            <v>605.93999999999994</v>
          </cell>
          <cell r="G200">
            <v>10.098999999999998</v>
          </cell>
          <cell r="H200">
            <v>0.42079166666666662</v>
          </cell>
          <cell r="I200">
            <v>117</v>
          </cell>
          <cell r="K200">
            <v>11.394480364280939</v>
          </cell>
          <cell r="N200">
            <v>27051</v>
          </cell>
          <cell r="O200">
            <v>767903</v>
          </cell>
        </row>
        <row r="201">
          <cell r="A201">
            <v>178</v>
          </cell>
          <cell r="B201">
            <v>9</v>
          </cell>
          <cell r="C201">
            <v>12830.4</v>
          </cell>
          <cell r="D201">
            <v>773.99999999999818</v>
          </cell>
          <cell r="E201">
            <v>37130.399999999994</v>
          </cell>
          <cell r="F201">
            <v>618.83999999999992</v>
          </cell>
          <cell r="G201">
            <v>10.313999999999998</v>
          </cell>
          <cell r="H201">
            <v>0.42974999999999991</v>
          </cell>
          <cell r="I201">
            <v>118</v>
          </cell>
          <cell r="K201">
            <v>11.454107999295001</v>
          </cell>
          <cell r="N201">
            <v>27533</v>
          </cell>
          <cell r="O201">
            <v>794954</v>
          </cell>
        </row>
        <row r="202">
          <cell r="A202">
            <v>179</v>
          </cell>
          <cell r="B202">
            <v>9</v>
          </cell>
          <cell r="C202">
            <v>13611.599999999999</v>
          </cell>
          <cell r="D202">
            <v>781.19999999999891</v>
          </cell>
          <cell r="E202">
            <v>37911.599999999991</v>
          </cell>
          <cell r="F202">
            <v>631.8599999999999</v>
          </cell>
          <cell r="G202">
            <v>10.530999999999999</v>
          </cell>
          <cell r="H202">
            <v>0.43879166666666664</v>
          </cell>
          <cell r="I202">
            <v>119</v>
          </cell>
          <cell r="K202">
            <v>11.513824901405938</v>
          </cell>
          <cell r="N202">
            <v>28020</v>
          </cell>
          <cell r="O202">
            <v>822487</v>
          </cell>
        </row>
        <row r="203">
          <cell r="A203">
            <v>180</v>
          </cell>
          <cell r="B203">
            <v>9</v>
          </cell>
          <cell r="C203">
            <v>14400</v>
          </cell>
          <cell r="D203">
            <v>788.40000000000146</v>
          </cell>
          <cell r="E203">
            <v>38699.999999999993</v>
          </cell>
          <cell r="F203">
            <v>644.99999999999989</v>
          </cell>
          <cell r="G203">
            <v>10.749999999999998</v>
          </cell>
          <cell r="H203">
            <v>0.44791666666666657</v>
          </cell>
          <cell r="I203">
            <v>121</v>
          </cell>
          <cell r="K203">
            <v>11.633527024605938</v>
          </cell>
          <cell r="N203">
            <v>28745</v>
          </cell>
          <cell r="O203">
            <v>850507</v>
          </cell>
        </row>
        <row r="204">
          <cell r="A204">
            <v>181</v>
          </cell>
          <cell r="B204">
            <v>10</v>
          </cell>
          <cell r="C204">
            <v>1028.7</v>
          </cell>
          <cell r="D204">
            <v>1028.7</v>
          </cell>
          <cell r="E204">
            <v>39728.69999999999</v>
          </cell>
          <cell r="F204">
            <v>662.14499999999987</v>
          </cell>
          <cell r="G204">
            <v>11.035749999999998</v>
          </cell>
          <cell r="H204">
            <v>0.45982291666666658</v>
          </cell>
          <cell r="I204">
            <v>123</v>
          </cell>
          <cell r="K204">
            <v>11.753587770680939</v>
          </cell>
          <cell r="N204">
            <v>38118</v>
          </cell>
          <cell r="O204">
            <v>879252</v>
          </cell>
        </row>
        <row r="205">
          <cell r="A205">
            <v>182</v>
          </cell>
          <cell r="B205">
            <v>10</v>
          </cell>
          <cell r="C205">
            <v>2062.8000000000002</v>
          </cell>
          <cell r="D205">
            <v>1034.1000000000001</v>
          </cell>
          <cell r="E205">
            <v>40762.799999999988</v>
          </cell>
          <cell r="F205">
            <v>679.37999999999977</v>
          </cell>
          <cell r="G205">
            <v>11.322999999999997</v>
          </cell>
          <cell r="H205">
            <v>0.47179166666666655</v>
          </cell>
          <cell r="I205">
            <v>124</v>
          </cell>
          <cell r="K205">
            <v>11.813752951920003</v>
          </cell>
          <cell r="N205">
            <v>38627</v>
          </cell>
          <cell r="O205">
            <v>917370</v>
          </cell>
        </row>
        <row r="206">
          <cell r="A206">
            <v>183</v>
          </cell>
          <cell r="B206">
            <v>10</v>
          </cell>
          <cell r="C206">
            <v>3102.2999999999993</v>
          </cell>
          <cell r="D206">
            <v>1039.4999999999991</v>
          </cell>
          <cell r="E206">
            <v>41802.299999999988</v>
          </cell>
          <cell r="F206">
            <v>696.70499999999981</v>
          </cell>
          <cell r="G206">
            <v>11.611749999999997</v>
          </cell>
          <cell r="H206">
            <v>0.48382291666666655</v>
          </cell>
          <cell r="I206">
            <v>126</v>
          </cell>
          <cell r="K206">
            <v>11.934353581294999</v>
          </cell>
          <cell r="N206">
            <v>39450</v>
          </cell>
          <cell r="O206">
            <v>955997</v>
          </cell>
        </row>
        <row r="207">
          <cell r="A207">
            <v>184</v>
          </cell>
          <cell r="B207">
            <v>10</v>
          </cell>
          <cell r="C207">
            <v>4147.2</v>
          </cell>
          <cell r="D207">
            <v>1044.9000000000005</v>
          </cell>
          <cell r="E207">
            <v>42847.19999999999</v>
          </cell>
          <cell r="F207">
            <v>714.11999999999978</v>
          </cell>
          <cell r="G207">
            <v>11.901999999999996</v>
          </cell>
          <cell r="H207">
            <v>0.49591666666666651</v>
          </cell>
          <cell r="I207">
            <v>128</v>
          </cell>
          <cell r="K207">
            <v>12.055315435519999</v>
          </cell>
          <cell r="N207">
            <v>40283</v>
          </cell>
          <cell r="O207">
            <v>995447</v>
          </cell>
        </row>
        <row r="208">
          <cell r="A208">
            <v>185</v>
          </cell>
          <cell r="B208">
            <v>10</v>
          </cell>
          <cell r="C208">
            <v>5197.4999999999991</v>
          </cell>
          <cell r="D208">
            <v>1050.2999999999993</v>
          </cell>
          <cell r="E208">
            <v>43897.499999999985</v>
          </cell>
          <cell r="F208">
            <v>731.62499999999977</v>
          </cell>
          <cell r="G208">
            <v>12.193749999999996</v>
          </cell>
          <cell r="H208">
            <v>0.50807291666666654</v>
          </cell>
          <cell r="I208">
            <v>130</v>
          </cell>
          <cell r="K208">
            <v>12.176639559375001</v>
          </cell>
          <cell r="N208">
            <v>41125</v>
          </cell>
          <cell r="O208">
            <v>1035730</v>
          </cell>
        </row>
        <row r="209">
          <cell r="A209">
            <v>186</v>
          </cell>
          <cell r="B209">
            <v>10</v>
          </cell>
          <cell r="C209">
            <v>6253.2</v>
          </cell>
          <cell r="D209">
            <v>1055.7000000000007</v>
          </cell>
          <cell r="E209">
            <v>44953.199999999983</v>
          </cell>
          <cell r="F209">
            <v>749.21999999999969</v>
          </cell>
          <cell r="G209">
            <v>12.486999999999995</v>
          </cell>
          <cell r="H209">
            <v>0.52029166666666649</v>
          </cell>
          <cell r="I209">
            <v>131</v>
          </cell>
          <cell r="K209">
            <v>12.237437799530939</v>
          </cell>
          <cell r="N209">
            <v>41656</v>
          </cell>
          <cell r="O209">
            <v>1076855</v>
          </cell>
        </row>
        <row r="210">
          <cell r="A210">
            <v>187</v>
          </cell>
          <cell r="B210">
            <v>10</v>
          </cell>
          <cell r="C210">
            <v>7314.2999999999993</v>
          </cell>
          <cell r="D210">
            <v>1061.0999999999995</v>
          </cell>
          <cell r="E210">
            <v>46014.299999999981</v>
          </cell>
          <cell r="F210">
            <v>766.90499999999963</v>
          </cell>
          <cell r="G210">
            <v>12.781749999999994</v>
          </cell>
          <cell r="H210">
            <v>0.5325729166666664</v>
          </cell>
          <cell r="I210">
            <v>133</v>
          </cell>
          <cell r="K210">
            <v>12.359307291780938</v>
          </cell>
          <cell r="N210">
            <v>42513</v>
          </cell>
          <cell r="O210">
            <v>1118511</v>
          </cell>
        </row>
        <row r="211">
          <cell r="A211">
            <v>188</v>
          </cell>
          <cell r="B211">
            <v>10</v>
          </cell>
          <cell r="C211">
            <v>8380.8000000000011</v>
          </cell>
          <cell r="D211">
            <v>1066.5000000000018</v>
          </cell>
          <cell r="E211">
            <v>47080.799999999981</v>
          </cell>
          <cell r="F211">
            <v>784.67999999999972</v>
          </cell>
          <cell r="G211">
            <v>13.077999999999996</v>
          </cell>
          <cell r="H211">
            <v>0.54491666666666649</v>
          </cell>
          <cell r="I211">
            <v>135</v>
          </cell>
          <cell r="K211">
            <v>12.481541675585937</v>
          </cell>
          <cell r="N211">
            <v>43380</v>
          </cell>
          <cell r="O211">
            <v>1161024</v>
          </cell>
        </row>
        <row r="212">
          <cell r="A212">
            <v>189</v>
          </cell>
          <cell r="B212">
            <v>10</v>
          </cell>
          <cell r="C212">
            <v>9452.6999999999989</v>
          </cell>
          <cell r="D212">
            <v>1071.8999999999978</v>
          </cell>
          <cell r="E212">
            <v>48152.699999999983</v>
          </cell>
          <cell r="F212">
            <v>802.54499999999973</v>
          </cell>
          <cell r="G212">
            <v>13.375749999999995</v>
          </cell>
          <cell r="H212">
            <v>0.55732291666666645</v>
          </cell>
          <cell r="I212">
            <v>136</v>
          </cell>
          <cell r="K212">
            <v>12.542796030720003</v>
          </cell>
          <cell r="N212">
            <v>43927</v>
          </cell>
          <cell r="O212">
            <v>1204404</v>
          </cell>
        </row>
        <row r="213">
          <cell r="A213">
            <v>190</v>
          </cell>
          <cell r="B213">
            <v>10</v>
          </cell>
          <cell r="C213">
            <v>10530</v>
          </cell>
          <cell r="D213">
            <v>1077.3000000000011</v>
          </cell>
          <cell r="E213">
            <v>49229.999999999985</v>
          </cell>
          <cell r="F213">
            <v>820.49999999999977</v>
          </cell>
          <cell r="G213">
            <v>13.674999999999995</v>
          </cell>
          <cell r="H213">
            <v>0.56979166666666647</v>
          </cell>
          <cell r="I213">
            <v>138</v>
          </cell>
          <cell r="K213">
            <v>12.665579726495</v>
          </cell>
          <cell r="N213">
            <v>44809</v>
          </cell>
          <cell r="O213">
            <v>1248331</v>
          </cell>
        </row>
        <row r="214">
          <cell r="A214">
            <v>191</v>
          </cell>
          <cell r="B214">
            <v>10</v>
          </cell>
          <cell r="C214">
            <v>11612.7</v>
          </cell>
          <cell r="D214">
            <v>1082.7000000000007</v>
          </cell>
          <cell r="E214">
            <v>50312.699999999983</v>
          </cell>
          <cell r="F214">
            <v>838.54499999999973</v>
          </cell>
          <cell r="G214">
            <v>13.975749999999996</v>
          </cell>
          <cell r="H214">
            <v>0.58232291666666647</v>
          </cell>
          <cell r="I214">
            <v>140</v>
          </cell>
          <cell r="K214">
            <v>12.788730949999998</v>
          </cell>
          <cell r="N214">
            <v>45701</v>
          </cell>
          <cell r="O214">
            <v>1293140</v>
          </cell>
        </row>
        <row r="215">
          <cell r="A215">
            <v>192</v>
          </cell>
          <cell r="B215">
            <v>10</v>
          </cell>
          <cell r="C215">
            <v>12700.8</v>
          </cell>
          <cell r="D215">
            <v>1088.0999999999985</v>
          </cell>
          <cell r="E215">
            <v>51400.799999999981</v>
          </cell>
          <cell r="F215">
            <v>856.67999999999972</v>
          </cell>
          <cell r="G215">
            <v>14.277999999999995</v>
          </cell>
          <cell r="H215">
            <v>0.59491666666666643</v>
          </cell>
          <cell r="I215">
            <v>141</v>
          </cell>
          <cell r="K215">
            <v>12.850444715330935</v>
          </cell>
          <cell r="N215">
            <v>46265</v>
          </cell>
          <cell r="O215">
            <v>1338841</v>
          </cell>
        </row>
        <row r="216">
          <cell r="A216">
            <v>193</v>
          </cell>
          <cell r="B216">
            <v>10</v>
          </cell>
          <cell r="C216">
            <v>13794.3</v>
          </cell>
          <cell r="D216">
            <v>1093.5</v>
          </cell>
          <cell r="E216">
            <v>52494.299999999981</v>
          </cell>
          <cell r="F216">
            <v>874.90499999999963</v>
          </cell>
          <cell r="G216">
            <v>14.581749999999994</v>
          </cell>
          <cell r="H216">
            <v>0.60757291666666646</v>
          </cell>
          <cell r="I216">
            <v>143</v>
          </cell>
          <cell r="K216">
            <v>12.974149215755938</v>
          </cell>
          <cell r="N216">
            <v>47172</v>
          </cell>
          <cell r="O216">
            <v>1385106</v>
          </cell>
        </row>
        <row r="217">
          <cell r="A217">
            <v>194</v>
          </cell>
          <cell r="B217">
            <v>10</v>
          </cell>
          <cell r="C217">
            <v>14893.199999999997</v>
          </cell>
          <cell r="D217">
            <v>1098.8999999999978</v>
          </cell>
          <cell r="E217">
            <v>53593.199999999983</v>
          </cell>
          <cell r="F217">
            <v>893.21999999999969</v>
          </cell>
          <cell r="G217">
            <v>14.886999999999995</v>
          </cell>
          <cell r="H217">
            <v>0.62029166666666646</v>
          </cell>
          <cell r="I217">
            <v>144</v>
          </cell>
          <cell r="K217">
            <v>13.036140216319998</v>
          </cell>
          <cell r="N217">
            <v>47747</v>
          </cell>
          <cell r="O217">
            <v>1432278</v>
          </cell>
        </row>
        <row r="218">
          <cell r="A218">
            <v>195</v>
          </cell>
          <cell r="B218">
            <v>10</v>
          </cell>
          <cell r="C218">
            <v>15997.499999999996</v>
          </cell>
          <cell r="D218">
            <v>1104.2999999999993</v>
          </cell>
          <cell r="E218">
            <v>54697.499999999985</v>
          </cell>
          <cell r="F218">
            <v>911.62499999999977</v>
          </cell>
          <cell r="G218">
            <v>15.193749999999996</v>
          </cell>
          <cell r="H218">
            <v>0.63307291666666654</v>
          </cell>
          <cell r="I218">
            <v>146</v>
          </cell>
          <cell r="K218">
            <v>13.160400382895</v>
          </cell>
          <cell r="N218">
            <v>48670</v>
          </cell>
          <cell r="O218">
            <v>1480025</v>
          </cell>
        </row>
        <row r="219">
          <cell r="A219">
            <v>196</v>
          </cell>
          <cell r="B219">
            <v>10</v>
          </cell>
          <cell r="C219">
            <v>17107.2</v>
          </cell>
          <cell r="D219">
            <v>1109.7000000000044</v>
          </cell>
          <cell r="E219">
            <v>55807.19999999999</v>
          </cell>
          <cell r="F219">
            <v>930.11999999999978</v>
          </cell>
          <cell r="G219">
            <v>15.501999999999997</v>
          </cell>
          <cell r="H219">
            <v>0.64591666666666658</v>
          </cell>
          <cell r="I219">
            <v>148</v>
          </cell>
          <cell r="K219">
            <v>13.285032324720001</v>
          </cell>
          <cell r="N219">
            <v>49603</v>
          </cell>
          <cell r="O219">
            <v>1528695</v>
          </cell>
        </row>
        <row r="220">
          <cell r="A220">
            <v>197</v>
          </cell>
          <cell r="B220">
            <v>10</v>
          </cell>
          <cell r="C220">
            <v>18222.3</v>
          </cell>
          <cell r="D220">
            <v>1115.0999999999985</v>
          </cell>
          <cell r="E220">
            <v>56922.299999999988</v>
          </cell>
          <cell r="F220">
            <v>948.70499999999981</v>
          </cell>
          <cell r="G220">
            <v>15.811749999999996</v>
          </cell>
          <cell r="H220">
            <v>0.65882291666666648</v>
          </cell>
          <cell r="I220">
            <v>149</v>
          </cell>
          <cell r="K220">
            <v>13.347488044880935</v>
          </cell>
          <cell r="N220">
            <v>50195</v>
          </cell>
          <cell r="O220">
            <v>1578298</v>
          </cell>
        </row>
        <row r="221">
          <cell r="A221">
            <v>198</v>
          </cell>
          <cell r="B221">
            <v>10</v>
          </cell>
          <cell r="C221">
            <v>19342.8</v>
          </cell>
          <cell r="D221">
            <v>1120.5</v>
          </cell>
          <cell r="E221">
            <v>58042.799999999988</v>
          </cell>
          <cell r="F221">
            <v>967.37999999999977</v>
          </cell>
          <cell r="G221">
            <v>16.122999999999998</v>
          </cell>
          <cell r="H221">
            <v>0.67179166666666656</v>
          </cell>
          <cell r="I221">
            <v>151</v>
          </cell>
          <cell r="K221">
            <v>13.472679652005938</v>
          </cell>
          <cell r="N221">
            <v>51144</v>
          </cell>
          <cell r="O221">
            <v>1628493</v>
          </cell>
        </row>
        <row r="222">
          <cell r="A222">
            <v>199</v>
          </cell>
          <cell r="B222">
            <v>10</v>
          </cell>
          <cell r="C222">
            <v>20468.699999999997</v>
          </cell>
          <cell r="D222">
            <v>1125.8999999999978</v>
          </cell>
          <cell r="E222">
            <v>59168.699999999983</v>
          </cell>
          <cell r="F222">
            <v>986.14499999999975</v>
          </cell>
          <cell r="G222">
            <v>16.435749999999995</v>
          </cell>
          <cell r="H222">
            <v>0.6848229166666665</v>
          </cell>
          <cell r="I222">
            <v>152</v>
          </cell>
          <cell r="K222">
            <v>13.53541580672</v>
          </cell>
          <cell r="N222">
            <v>51746</v>
          </cell>
          <cell r="O222">
            <v>1679637</v>
          </cell>
        </row>
        <row r="223">
          <cell r="A223">
            <v>200</v>
          </cell>
          <cell r="B223">
            <v>10</v>
          </cell>
          <cell r="C223">
            <v>21600</v>
          </cell>
          <cell r="D223">
            <v>1131.3000000000029</v>
          </cell>
          <cell r="E223">
            <v>60299.999999999985</v>
          </cell>
          <cell r="F223">
            <v>1004.9999999999998</v>
          </cell>
          <cell r="G223">
            <v>16.749999999999996</v>
          </cell>
          <cell r="H223">
            <v>0.69791666666666652</v>
          </cell>
          <cell r="I223">
            <v>154</v>
          </cell>
          <cell r="K223">
            <v>13.661169488895</v>
          </cell>
          <cell r="N223">
            <v>52712</v>
          </cell>
          <cell r="O223">
            <v>1731383</v>
          </cell>
        </row>
        <row r="224">
          <cell r="A224">
            <v>201</v>
          </cell>
          <cell r="B224">
            <v>11</v>
          </cell>
          <cell r="C224">
            <v>1152</v>
          </cell>
          <cell r="D224">
            <v>1152</v>
          </cell>
          <cell r="E224">
            <v>61451.999999999985</v>
          </cell>
          <cell r="F224">
            <v>1024.1999999999998</v>
          </cell>
          <cell r="G224">
            <v>17.069999999999997</v>
          </cell>
          <cell r="H224">
            <v>0.71124999999999983</v>
          </cell>
          <cell r="I224">
            <v>155</v>
          </cell>
          <cell r="K224">
            <v>13.724187284960939</v>
          </cell>
          <cell r="N224">
            <v>54043</v>
          </cell>
          <cell r="O224">
            <v>1784095</v>
          </cell>
        </row>
        <row r="225">
          <cell r="A225">
            <v>202</v>
          </cell>
          <cell r="B225">
            <v>11</v>
          </cell>
          <cell r="C225">
            <v>2304</v>
          </cell>
          <cell r="D225">
            <v>1152</v>
          </cell>
          <cell r="E225">
            <v>62603.999999999985</v>
          </cell>
          <cell r="F225">
            <v>1043.3999999999999</v>
          </cell>
          <cell r="G225">
            <v>17.389999999999997</v>
          </cell>
          <cell r="H225">
            <v>0.72458333333333325</v>
          </cell>
          <cell r="I225">
            <v>157</v>
          </cell>
          <cell r="K225">
            <v>13.850505459630938</v>
          </cell>
          <cell r="N225">
            <v>54778</v>
          </cell>
          <cell r="O225">
            <v>1838138</v>
          </cell>
        </row>
        <row r="226">
          <cell r="A226">
            <v>203</v>
          </cell>
          <cell r="B226">
            <v>11</v>
          </cell>
          <cell r="C226">
            <v>3456</v>
          </cell>
          <cell r="D226">
            <v>1152</v>
          </cell>
          <cell r="E226">
            <v>63755.999999999985</v>
          </cell>
          <cell r="F226">
            <v>1062.5999999999997</v>
          </cell>
          <cell r="G226">
            <v>17.709999999999994</v>
          </cell>
          <cell r="H226">
            <v>0.73791666666666644</v>
          </cell>
          <cell r="I226">
            <v>158</v>
          </cell>
          <cell r="K226">
            <v>13.913806107695001</v>
          </cell>
          <cell r="N226">
            <v>55146</v>
          </cell>
          <cell r="O226">
            <v>1892916</v>
          </cell>
        </row>
        <row r="227">
          <cell r="A227">
            <v>204</v>
          </cell>
          <cell r="B227">
            <v>11</v>
          </cell>
          <cell r="C227">
            <v>4608</v>
          </cell>
          <cell r="D227">
            <v>1152</v>
          </cell>
          <cell r="E227">
            <v>64907.999999999985</v>
          </cell>
          <cell r="F227">
            <v>1081.7999999999997</v>
          </cell>
          <cell r="G227">
            <v>18.029999999999994</v>
          </cell>
          <cell r="H227">
            <v>0.75124999999999975</v>
          </cell>
          <cell r="I227">
            <v>159</v>
          </cell>
          <cell r="K227">
            <v>13.977201309455937</v>
          </cell>
          <cell r="N227">
            <v>55516</v>
          </cell>
          <cell r="O227">
            <v>1948062</v>
          </cell>
        </row>
        <row r="228">
          <cell r="A228">
            <v>205</v>
          </cell>
          <cell r="B228">
            <v>11</v>
          </cell>
          <cell r="C228">
            <v>5760</v>
          </cell>
          <cell r="D228">
            <v>1152</v>
          </cell>
          <cell r="E228">
            <v>66059.999999999985</v>
          </cell>
          <cell r="F228">
            <v>1100.9999999999998</v>
          </cell>
          <cell r="G228">
            <v>18.349999999999998</v>
          </cell>
          <cell r="H228">
            <v>0.76458333333333328</v>
          </cell>
          <cell r="I228">
            <v>161</v>
          </cell>
          <cell r="K228">
            <v>14.104275914555938</v>
          </cell>
          <cell r="N228">
            <v>56257</v>
          </cell>
          <cell r="O228">
            <v>2003578</v>
          </cell>
        </row>
        <row r="229">
          <cell r="A229">
            <v>206</v>
          </cell>
          <cell r="B229">
            <v>11</v>
          </cell>
          <cell r="C229">
            <v>6912</v>
          </cell>
          <cell r="D229">
            <v>1152</v>
          </cell>
          <cell r="E229">
            <v>67211.999999999985</v>
          </cell>
          <cell r="F229">
            <v>1120.1999999999998</v>
          </cell>
          <cell r="G229">
            <v>18.669999999999998</v>
          </cell>
          <cell r="H229">
            <v>0.77791666666666659</v>
          </cell>
          <cell r="I229">
            <v>162</v>
          </cell>
          <cell r="K229">
            <v>14.167955588495001</v>
          </cell>
          <cell r="N229">
            <v>56628</v>
          </cell>
          <cell r="O229">
            <v>2059835</v>
          </cell>
        </row>
        <row r="230">
          <cell r="A230">
            <v>207</v>
          </cell>
          <cell r="B230">
            <v>11</v>
          </cell>
          <cell r="C230">
            <v>8064.0000000000009</v>
          </cell>
          <cell r="D230">
            <v>1152.0000000000009</v>
          </cell>
          <cell r="E230">
            <v>68363.999999999985</v>
          </cell>
          <cell r="F230">
            <v>1139.3999999999999</v>
          </cell>
          <cell r="G230">
            <v>18.989999999999998</v>
          </cell>
          <cell r="H230">
            <v>0.7912499999999999</v>
          </cell>
          <cell r="I230">
            <v>164</v>
          </cell>
          <cell r="K230">
            <v>14.29560035672</v>
          </cell>
          <cell r="N230">
            <v>57374</v>
          </cell>
          <cell r="O230">
            <v>2116463</v>
          </cell>
        </row>
        <row r="231">
          <cell r="A231">
            <v>208</v>
          </cell>
          <cell r="B231">
            <v>11</v>
          </cell>
          <cell r="C231">
            <v>9216</v>
          </cell>
          <cell r="D231">
            <v>1151.9999999999991</v>
          </cell>
          <cell r="E231">
            <v>69515.999999999985</v>
          </cell>
          <cell r="F231">
            <v>1158.5999999999997</v>
          </cell>
          <cell r="G231">
            <v>19.309999999999995</v>
          </cell>
          <cell r="H231">
            <v>0.8045833333333331</v>
          </cell>
          <cell r="I231">
            <v>165</v>
          </cell>
          <cell r="K231">
            <v>14.359565722460937</v>
          </cell>
          <cell r="N231">
            <v>57748</v>
          </cell>
          <cell r="O231">
            <v>2173837</v>
          </cell>
        </row>
        <row r="232">
          <cell r="A232">
            <v>209</v>
          </cell>
          <cell r="B232">
            <v>11</v>
          </cell>
          <cell r="C232">
            <v>10368</v>
          </cell>
          <cell r="D232">
            <v>1152</v>
          </cell>
          <cell r="E232">
            <v>70667.999999999985</v>
          </cell>
          <cell r="F232">
            <v>1177.7999999999997</v>
          </cell>
          <cell r="G232">
            <v>19.629999999999995</v>
          </cell>
          <cell r="H232">
            <v>0.81791666666666651</v>
          </cell>
          <cell r="I232">
            <v>166</v>
          </cell>
          <cell r="K232">
            <v>14.423626590495001</v>
          </cell>
          <cell r="N232">
            <v>58123</v>
          </cell>
          <cell r="O232">
            <v>2231585</v>
          </cell>
        </row>
        <row r="233">
          <cell r="A233">
            <v>210</v>
          </cell>
          <cell r="B233">
            <v>11</v>
          </cell>
          <cell r="C233">
            <v>11520</v>
          </cell>
          <cell r="D233">
            <v>1152</v>
          </cell>
          <cell r="E233">
            <v>71819.999999999985</v>
          </cell>
          <cell r="F233">
            <v>1196.9999999999998</v>
          </cell>
          <cell r="G233">
            <v>19.949999999999996</v>
          </cell>
          <cell r="H233">
            <v>0.83124999999999982</v>
          </cell>
          <cell r="I233">
            <v>168</v>
          </cell>
          <cell r="K233">
            <v>14.552035377920003</v>
          </cell>
          <cell r="N233">
            <v>58875</v>
          </cell>
          <cell r="O233">
            <v>2289708</v>
          </cell>
        </row>
        <row r="234">
          <cell r="A234">
            <v>211</v>
          </cell>
          <cell r="B234">
            <v>11</v>
          </cell>
          <cell r="C234">
            <v>12672</v>
          </cell>
          <cell r="D234">
            <v>1152</v>
          </cell>
          <cell r="E234">
            <v>72971.999999999985</v>
          </cell>
          <cell r="F234">
            <v>1216.1999999999998</v>
          </cell>
          <cell r="G234">
            <v>20.269999999999996</v>
          </cell>
          <cell r="H234">
            <v>0.84458333333333313</v>
          </cell>
          <cell r="I234">
            <v>169</v>
          </cell>
          <cell r="K234">
            <v>14.616383569905938</v>
          </cell>
          <cell r="N234">
            <v>59252</v>
          </cell>
          <cell r="O234">
            <v>2348583</v>
          </cell>
        </row>
        <row r="235">
          <cell r="A235">
            <v>212</v>
          </cell>
          <cell r="B235">
            <v>11</v>
          </cell>
          <cell r="C235">
            <v>13824</v>
          </cell>
          <cell r="D235">
            <v>1152</v>
          </cell>
          <cell r="E235">
            <v>74123.999999999985</v>
          </cell>
          <cell r="F235">
            <v>1235.3999999999999</v>
          </cell>
          <cell r="G235">
            <v>20.589999999999996</v>
          </cell>
          <cell r="H235">
            <v>0.85791666666666655</v>
          </cell>
          <cell r="I235">
            <v>170</v>
          </cell>
          <cell r="K235">
            <v>14.680827809375002</v>
          </cell>
          <cell r="N235">
            <v>59630</v>
          </cell>
          <cell r="O235">
            <v>2407835</v>
          </cell>
        </row>
        <row r="236">
          <cell r="A236">
            <v>213</v>
          </cell>
          <cell r="B236">
            <v>11</v>
          </cell>
          <cell r="C236">
            <v>14976</v>
          </cell>
          <cell r="D236">
            <v>1152</v>
          </cell>
          <cell r="E236">
            <v>75275.999999999985</v>
          </cell>
          <cell r="F236">
            <v>1254.5999999999997</v>
          </cell>
          <cell r="G236">
            <v>20.909999999999993</v>
          </cell>
          <cell r="H236">
            <v>0.87124999999999975</v>
          </cell>
          <cell r="I236">
            <v>172</v>
          </cell>
          <cell r="K236">
            <v>14.81000497752</v>
          </cell>
          <cell r="N236">
            <v>60388</v>
          </cell>
          <cell r="O236">
            <v>2467465</v>
          </cell>
        </row>
        <row r="237">
          <cell r="A237">
            <v>214</v>
          </cell>
          <cell r="B237">
            <v>11</v>
          </cell>
          <cell r="C237">
            <v>16128.000000000002</v>
          </cell>
          <cell r="D237">
            <v>1152.0000000000018</v>
          </cell>
          <cell r="E237">
            <v>76427.999999999985</v>
          </cell>
          <cell r="F237">
            <v>1273.7999999999997</v>
          </cell>
          <cell r="G237">
            <v>21.229999999999997</v>
          </cell>
          <cell r="H237">
            <v>0.88458333333333317</v>
          </cell>
          <cell r="I237">
            <v>173</v>
          </cell>
          <cell r="K237">
            <v>14.874738179930938</v>
          </cell>
          <cell r="N237">
            <v>60769</v>
          </cell>
          <cell r="O237">
            <v>2527853</v>
          </cell>
        </row>
        <row r="238">
          <cell r="A238">
            <v>215</v>
          </cell>
          <cell r="B238">
            <v>11</v>
          </cell>
          <cell r="C238">
            <v>17280</v>
          </cell>
          <cell r="D238">
            <v>1151.9999999999982</v>
          </cell>
          <cell r="E238">
            <v>77579.999999999985</v>
          </cell>
          <cell r="F238">
            <v>1292.9999999999998</v>
          </cell>
          <cell r="G238">
            <v>21.549999999999997</v>
          </cell>
          <cell r="H238">
            <v>0.89791666666666659</v>
          </cell>
          <cell r="I238">
            <v>174</v>
          </cell>
          <cell r="K238">
            <v>14.939567977295001</v>
          </cell>
          <cell r="N238">
            <v>61150</v>
          </cell>
          <cell r="O238">
            <v>2588622</v>
          </cell>
        </row>
        <row r="239">
          <cell r="A239">
            <v>216</v>
          </cell>
          <cell r="B239">
            <v>11</v>
          </cell>
          <cell r="C239">
            <v>18432</v>
          </cell>
          <cell r="D239">
            <v>1152</v>
          </cell>
          <cell r="E239">
            <v>78731.999999999985</v>
          </cell>
          <cell r="F239">
            <v>1312.1999999999998</v>
          </cell>
          <cell r="G239">
            <v>21.869999999999997</v>
          </cell>
          <cell r="H239">
            <v>0.91124999999999989</v>
          </cell>
          <cell r="I239">
            <v>175</v>
          </cell>
          <cell r="K239">
            <v>15.004494506835936</v>
          </cell>
          <cell r="N239">
            <v>61532</v>
          </cell>
          <cell r="O239">
            <v>2649772</v>
          </cell>
        </row>
        <row r="240">
          <cell r="A240">
            <v>217</v>
          </cell>
          <cell r="B240">
            <v>11</v>
          </cell>
          <cell r="C240">
            <v>19584</v>
          </cell>
          <cell r="D240">
            <v>1152</v>
          </cell>
          <cell r="E240">
            <v>79883.999999999985</v>
          </cell>
          <cell r="F240">
            <v>1331.3999999999999</v>
          </cell>
          <cell r="G240">
            <v>22.189999999999998</v>
          </cell>
          <cell r="H240">
            <v>0.9245833333333332</v>
          </cell>
          <cell r="I240">
            <v>177</v>
          </cell>
          <cell r="K240">
            <v>15.134638312055937</v>
          </cell>
          <cell r="N240">
            <v>62298</v>
          </cell>
          <cell r="O240">
            <v>2711304</v>
          </cell>
        </row>
        <row r="241">
          <cell r="A241">
            <v>218</v>
          </cell>
          <cell r="B241">
            <v>11</v>
          </cell>
          <cell r="C241">
            <v>20736</v>
          </cell>
          <cell r="D241">
            <v>1152</v>
          </cell>
          <cell r="E241">
            <v>81035.999999999985</v>
          </cell>
          <cell r="F241">
            <v>1350.5999999999997</v>
          </cell>
          <cell r="G241">
            <v>22.509999999999994</v>
          </cell>
          <cell r="H241">
            <v>0.9379166666666664</v>
          </cell>
          <cell r="I241">
            <v>178</v>
          </cell>
          <cell r="K241">
            <v>15.199855862894999</v>
          </cell>
          <cell r="N241">
            <v>62682</v>
          </cell>
          <cell r="O241">
            <v>2773602</v>
          </cell>
        </row>
        <row r="242">
          <cell r="A242">
            <v>219</v>
          </cell>
          <cell r="B242">
            <v>11</v>
          </cell>
          <cell r="C242">
            <v>21888</v>
          </cell>
          <cell r="D242">
            <v>1152</v>
          </cell>
          <cell r="E242">
            <v>82187.999999999985</v>
          </cell>
          <cell r="F242">
            <v>1369.7999999999997</v>
          </cell>
          <cell r="G242">
            <v>22.829999999999995</v>
          </cell>
          <cell r="H242">
            <v>0.95124999999999982</v>
          </cell>
          <cell r="I242">
            <v>179</v>
          </cell>
          <cell r="K242">
            <v>15.265170696230937</v>
          </cell>
          <cell r="N242">
            <v>63067</v>
          </cell>
          <cell r="O242">
            <v>2836284</v>
          </cell>
        </row>
        <row r="243">
          <cell r="A243">
            <v>220</v>
          </cell>
          <cell r="B243">
            <v>11</v>
          </cell>
          <cell r="C243">
            <v>23040</v>
          </cell>
          <cell r="D243">
            <v>1152</v>
          </cell>
          <cell r="E243">
            <v>83339.999999999985</v>
          </cell>
          <cell r="F243">
            <v>1388.9999999999998</v>
          </cell>
          <cell r="G243">
            <v>23.149999999999995</v>
          </cell>
          <cell r="H243">
            <v>0.96458333333333313</v>
          </cell>
          <cell r="I243">
            <v>180</v>
          </cell>
          <cell r="K243">
            <v>15.33058295</v>
          </cell>
          <cell r="N243">
            <v>63453</v>
          </cell>
          <cell r="O243">
            <v>2899351</v>
          </cell>
        </row>
        <row r="244">
          <cell r="A244">
            <v>221</v>
          </cell>
          <cell r="B244">
            <v>11</v>
          </cell>
          <cell r="C244">
            <v>24192</v>
          </cell>
          <cell r="D244">
            <v>1152</v>
          </cell>
          <cell r="E244">
            <v>84491.999999999985</v>
          </cell>
          <cell r="F244">
            <v>1408.1999999999998</v>
          </cell>
          <cell r="G244">
            <v>23.469999999999995</v>
          </cell>
          <cell r="H244">
            <v>0.97791666666666643</v>
          </cell>
          <cell r="I244">
            <v>181</v>
          </cell>
          <cell r="K244">
            <v>15.396092762280938</v>
          </cell>
          <cell r="N244">
            <v>63840</v>
          </cell>
          <cell r="O244">
            <v>2962804</v>
          </cell>
        </row>
        <row r="245">
          <cell r="A245">
            <v>222</v>
          </cell>
          <cell r="B245">
            <v>11</v>
          </cell>
          <cell r="C245">
            <v>25344</v>
          </cell>
          <cell r="D245">
            <v>1152</v>
          </cell>
          <cell r="E245">
            <v>85643.999999999985</v>
          </cell>
          <cell r="F245">
            <v>1427.3999999999999</v>
          </cell>
          <cell r="G245">
            <v>23.79</v>
          </cell>
          <cell r="H245">
            <v>0.99124999999999996</v>
          </cell>
          <cell r="I245">
            <v>183</v>
          </cell>
          <cell r="K245">
            <v>15.527405615405936</v>
          </cell>
          <cell r="N245">
            <v>64615</v>
          </cell>
          <cell r="O245">
            <v>3026644</v>
          </cell>
        </row>
        <row r="246">
          <cell r="A246">
            <v>223</v>
          </cell>
          <cell r="B246">
            <v>11</v>
          </cell>
          <cell r="C246">
            <v>26496</v>
          </cell>
          <cell r="D246">
            <v>1152</v>
          </cell>
          <cell r="E246">
            <v>86795.999999999985</v>
          </cell>
          <cell r="F246">
            <v>1446.5999999999997</v>
          </cell>
          <cell r="G246">
            <v>24.109999999999996</v>
          </cell>
          <cell r="H246">
            <v>1.0045833333333332</v>
          </cell>
          <cell r="I246">
            <v>184</v>
          </cell>
          <cell r="K246">
            <v>15.59320893312</v>
          </cell>
          <cell r="N246">
            <v>65004</v>
          </cell>
          <cell r="O246">
            <v>3091259</v>
          </cell>
        </row>
        <row r="247">
          <cell r="A247">
            <v>224</v>
          </cell>
          <cell r="B247">
            <v>11</v>
          </cell>
          <cell r="C247">
            <v>27648</v>
          </cell>
          <cell r="D247">
            <v>1152</v>
          </cell>
          <cell r="E247">
            <v>87947.999999999985</v>
          </cell>
          <cell r="F247">
            <v>1465.7999999999997</v>
          </cell>
          <cell r="G247">
            <v>24.429999999999996</v>
          </cell>
          <cell r="H247">
            <v>1.0179166666666666</v>
          </cell>
          <cell r="I247">
            <v>185</v>
          </cell>
          <cell r="K247">
            <v>15.659110363085937</v>
          </cell>
          <cell r="N247">
            <v>65394</v>
          </cell>
          <cell r="O247">
            <v>3156263</v>
          </cell>
        </row>
        <row r="248">
          <cell r="A248">
            <v>225</v>
          </cell>
          <cell r="B248">
            <v>11</v>
          </cell>
          <cell r="C248">
            <v>28800</v>
          </cell>
          <cell r="D248">
            <v>1152</v>
          </cell>
          <cell r="E248">
            <v>89099.999999999985</v>
          </cell>
          <cell r="F248">
            <v>1484.9999999999998</v>
          </cell>
          <cell r="G248">
            <v>24.749999999999996</v>
          </cell>
          <cell r="H248">
            <v>1.0312499999999998</v>
          </cell>
          <cell r="I248">
            <v>186</v>
          </cell>
          <cell r="K248">
            <v>15.725110044094999</v>
          </cell>
          <cell r="N248">
            <v>65785</v>
          </cell>
          <cell r="O248">
            <v>3221657</v>
          </cell>
        </row>
        <row r="249">
          <cell r="A249">
            <v>226</v>
          </cell>
          <cell r="B249">
            <v>11</v>
          </cell>
          <cell r="C249">
            <v>29952</v>
          </cell>
          <cell r="D249">
            <v>1152</v>
          </cell>
          <cell r="E249">
            <v>90251.999999999985</v>
          </cell>
          <cell r="F249">
            <v>1504.1999999999998</v>
          </cell>
          <cell r="G249">
            <v>25.069999999999997</v>
          </cell>
          <cell r="H249">
            <v>1.0445833333333332</v>
          </cell>
          <cell r="I249">
            <v>187</v>
          </cell>
          <cell r="K249">
            <v>15.79120811508094</v>
          </cell>
          <cell r="N249">
            <v>66177</v>
          </cell>
          <cell r="O249">
            <v>3287442</v>
          </cell>
        </row>
        <row r="250">
          <cell r="A250">
            <v>227</v>
          </cell>
          <cell r="B250">
            <v>11</v>
          </cell>
          <cell r="C250">
            <v>31104.000000000004</v>
          </cell>
          <cell r="D250">
            <v>1152.0000000000036</v>
          </cell>
          <cell r="E250">
            <v>91403.999999999985</v>
          </cell>
          <cell r="F250">
            <v>1523.3999999999999</v>
          </cell>
          <cell r="G250">
            <v>25.389999999999997</v>
          </cell>
          <cell r="H250">
            <v>1.0579166666666666</v>
          </cell>
          <cell r="I250">
            <v>188</v>
          </cell>
          <cell r="K250">
            <v>15.857404715119999</v>
          </cell>
          <cell r="N250">
            <v>66569</v>
          </cell>
          <cell r="O250">
            <v>3353619</v>
          </cell>
        </row>
        <row r="251">
          <cell r="A251">
            <v>228</v>
          </cell>
          <cell r="B251">
            <v>11</v>
          </cell>
          <cell r="C251">
            <v>32256.000000000004</v>
          </cell>
          <cell r="D251">
            <v>1152</v>
          </cell>
          <cell r="E251">
            <v>92555.999999999985</v>
          </cell>
          <cell r="F251">
            <v>1542.5999999999997</v>
          </cell>
          <cell r="G251">
            <v>25.709999999999994</v>
          </cell>
          <cell r="H251">
            <v>1.0712499999999998</v>
          </cell>
          <cell r="I251">
            <v>189</v>
          </cell>
          <cell r="K251">
            <v>15.923699983430941</v>
          </cell>
          <cell r="N251">
            <v>66962</v>
          </cell>
          <cell r="O251">
            <v>3420188</v>
          </cell>
        </row>
        <row r="252">
          <cell r="A252">
            <v>229</v>
          </cell>
          <cell r="B252">
            <v>11</v>
          </cell>
          <cell r="C252">
            <v>33408</v>
          </cell>
          <cell r="D252">
            <v>1151.9999999999964</v>
          </cell>
          <cell r="E252">
            <v>93707.999999999985</v>
          </cell>
          <cell r="F252">
            <v>1561.7999999999997</v>
          </cell>
          <cell r="G252">
            <v>26.029999999999994</v>
          </cell>
          <cell r="H252">
            <v>1.084583333333333</v>
          </cell>
          <cell r="I252">
            <v>190</v>
          </cell>
          <cell r="K252">
            <v>15.990094059375002</v>
          </cell>
          <cell r="N252">
            <v>67356</v>
          </cell>
          <cell r="O252">
            <v>3487150</v>
          </cell>
        </row>
        <row r="253">
          <cell r="A253">
            <v>230</v>
          </cell>
          <cell r="B253">
            <v>11</v>
          </cell>
          <cell r="C253">
            <v>34560</v>
          </cell>
          <cell r="D253">
            <v>1152</v>
          </cell>
          <cell r="E253">
            <v>94859.999999999985</v>
          </cell>
          <cell r="F253">
            <v>1580.9999999999998</v>
          </cell>
          <cell r="G253">
            <v>26.349999999999998</v>
          </cell>
          <cell r="H253">
            <v>1.0979166666666667</v>
          </cell>
          <cell r="I253">
            <v>192</v>
          </cell>
          <cell r="K253">
            <v>16.123179192320002</v>
          </cell>
          <cell r="N253">
            <v>68146</v>
          </cell>
          <cell r="O253">
            <v>3554506</v>
          </cell>
        </row>
        <row r="254">
          <cell r="A254">
            <v>231</v>
          </cell>
          <cell r="B254">
            <v>11</v>
          </cell>
          <cell r="C254">
            <v>35712</v>
          </cell>
          <cell r="D254">
            <v>1152</v>
          </cell>
          <cell r="E254">
            <v>96011.999999999985</v>
          </cell>
          <cell r="F254">
            <v>1600.1999999999998</v>
          </cell>
          <cell r="G254">
            <v>26.669999999999998</v>
          </cell>
          <cell r="H254">
            <v>1.1112499999999998</v>
          </cell>
          <cell r="I254">
            <v>193</v>
          </cell>
          <cell r="K254">
            <v>16.189870528755936</v>
          </cell>
          <cell r="N254">
            <v>68543</v>
          </cell>
          <cell r="O254">
            <v>3622652</v>
          </cell>
        </row>
        <row r="255">
          <cell r="A255">
            <v>232</v>
          </cell>
          <cell r="B255">
            <v>11</v>
          </cell>
          <cell r="C255">
            <v>36864</v>
          </cell>
          <cell r="D255">
            <v>1152</v>
          </cell>
          <cell r="E255">
            <v>97163.999999999985</v>
          </cell>
          <cell r="F255">
            <v>1619.3999999999999</v>
          </cell>
          <cell r="G255">
            <v>26.99</v>
          </cell>
          <cell r="H255">
            <v>1.1245833333333333</v>
          </cell>
          <cell r="I255">
            <v>194</v>
          </cell>
          <cell r="K255">
            <v>16.256661231695002</v>
          </cell>
          <cell r="N255">
            <v>68940</v>
          </cell>
          <cell r="O255">
            <v>3691195</v>
          </cell>
        </row>
        <row r="256">
          <cell r="A256">
            <v>233</v>
          </cell>
          <cell r="B256">
            <v>11</v>
          </cell>
          <cell r="C256">
            <v>38016</v>
          </cell>
          <cell r="D256">
            <v>1152</v>
          </cell>
          <cell r="E256">
            <v>98315.999999999985</v>
          </cell>
          <cell r="F256">
            <v>1638.5999999999997</v>
          </cell>
          <cell r="G256">
            <v>27.309999999999995</v>
          </cell>
          <cell r="H256">
            <v>1.1379166666666665</v>
          </cell>
          <cell r="I256">
            <v>195</v>
          </cell>
          <cell r="K256">
            <v>16.323551441210942</v>
          </cell>
          <cell r="N256">
            <v>69338</v>
          </cell>
          <cell r="O256">
            <v>3760135</v>
          </cell>
        </row>
        <row r="257">
          <cell r="A257">
            <v>234</v>
          </cell>
          <cell r="B257">
            <v>11</v>
          </cell>
          <cell r="C257">
            <v>39168</v>
          </cell>
          <cell r="D257">
            <v>1152</v>
          </cell>
          <cell r="E257">
            <v>99467.999999999985</v>
          </cell>
          <cell r="F257">
            <v>1657.7999999999997</v>
          </cell>
          <cell r="G257">
            <v>27.629999999999995</v>
          </cell>
          <cell r="H257">
            <v>1.1512499999999999</v>
          </cell>
          <cell r="I257">
            <v>196</v>
          </cell>
          <cell r="K257">
            <v>16.390541297519999</v>
          </cell>
          <cell r="N257">
            <v>69737</v>
          </cell>
          <cell r="O257">
            <v>3829473</v>
          </cell>
        </row>
        <row r="258">
          <cell r="A258">
            <v>235</v>
          </cell>
          <cell r="B258">
            <v>11</v>
          </cell>
          <cell r="C258">
            <v>40320</v>
          </cell>
          <cell r="D258">
            <v>1152</v>
          </cell>
          <cell r="E258">
            <v>100619.99999999999</v>
          </cell>
          <cell r="F258">
            <v>1676.9999999999998</v>
          </cell>
          <cell r="G258">
            <v>27.949999999999996</v>
          </cell>
          <cell r="H258">
            <v>1.1645833333333331</v>
          </cell>
          <cell r="I258">
            <v>197</v>
          </cell>
          <cell r="K258">
            <v>16.457630940980941</v>
          </cell>
          <cell r="N258">
            <v>70137</v>
          </cell>
          <cell r="O258">
            <v>3899210</v>
          </cell>
        </row>
        <row r="259">
          <cell r="A259">
            <v>236</v>
          </cell>
          <cell r="B259">
            <v>11</v>
          </cell>
          <cell r="C259">
            <v>41472</v>
          </cell>
          <cell r="D259">
            <v>1152</v>
          </cell>
          <cell r="E259">
            <v>101771.99999999999</v>
          </cell>
          <cell r="F259">
            <v>1696.1999999999998</v>
          </cell>
          <cell r="G259">
            <v>28.269999999999996</v>
          </cell>
          <cell r="H259">
            <v>1.1779166666666665</v>
          </cell>
          <cell r="I259">
            <v>198</v>
          </cell>
          <cell r="K259">
            <v>16.524820512094998</v>
          </cell>
          <cell r="N259">
            <v>70538</v>
          </cell>
          <cell r="O259">
            <v>3969347</v>
          </cell>
        </row>
        <row r="260">
          <cell r="A260">
            <v>237</v>
          </cell>
          <cell r="B260">
            <v>11</v>
          </cell>
          <cell r="C260">
            <v>42624</v>
          </cell>
          <cell r="D260">
            <v>1152</v>
          </cell>
          <cell r="E260">
            <v>102923.99999999999</v>
          </cell>
          <cell r="F260">
            <v>1715.3999999999999</v>
          </cell>
          <cell r="G260">
            <v>28.589999999999996</v>
          </cell>
          <cell r="H260">
            <v>1.1912499999999999</v>
          </cell>
          <cell r="I260">
            <v>199</v>
          </cell>
          <cell r="K260">
            <v>16.592110151505942</v>
          </cell>
          <cell r="N260">
            <v>70939</v>
          </cell>
          <cell r="O260">
            <v>4039885</v>
          </cell>
        </row>
        <row r="261">
          <cell r="A261">
            <v>238</v>
          </cell>
          <cell r="B261">
            <v>11</v>
          </cell>
          <cell r="C261">
            <v>43776</v>
          </cell>
          <cell r="D261">
            <v>1152</v>
          </cell>
          <cell r="E261">
            <v>104075.99999999999</v>
          </cell>
          <cell r="F261">
            <v>1734.5999999999997</v>
          </cell>
          <cell r="G261">
            <v>28.909999999999993</v>
          </cell>
          <cell r="H261">
            <v>1.2045833333333331</v>
          </cell>
          <cell r="I261">
            <v>200</v>
          </cell>
          <cell r="K261">
            <v>16.659500000000005</v>
          </cell>
          <cell r="N261">
            <v>71341</v>
          </cell>
          <cell r="O261">
            <v>4110824</v>
          </cell>
        </row>
        <row r="262">
          <cell r="A262">
            <v>239</v>
          </cell>
          <cell r="B262">
            <v>11</v>
          </cell>
          <cell r="C262">
            <v>44928</v>
          </cell>
          <cell r="D262">
            <v>1152</v>
          </cell>
          <cell r="E262">
            <v>105227.99999999999</v>
          </cell>
          <cell r="F262">
            <v>1753.7999999999997</v>
          </cell>
          <cell r="G262">
            <v>29.229999999999997</v>
          </cell>
          <cell r="H262">
            <v>1.2179166666666665</v>
          </cell>
          <cell r="I262">
            <v>201</v>
          </cell>
          <cell r="K262">
            <v>16.726990198505938</v>
          </cell>
          <cell r="N262">
            <v>71744</v>
          </cell>
          <cell r="O262">
            <v>4182165</v>
          </cell>
        </row>
        <row r="263">
          <cell r="A263">
            <v>240</v>
          </cell>
          <cell r="B263">
            <v>11</v>
          </cell>
          <cell r="C263">
            <v>46080</v>
          </cell>
          <cell r="D263">
            <v>1152</v>
          </cell>
          <cell r="E263">
            <v>106379.99999999999</v>
          </cell>
          <cell r="F263">
            <v>1772.9999999999998</v>
          </cell>
          <cell r="G263">
            <v>29.549999999999997</v>
          </cell>
          <cell r="H263">
            <v>1.23125</v>
          </cell>
          <cell r="I263">
            <v>203</v>
          </cell>
          <cell r="K263">
            <v>16.862272209980937</v>
          </cell>
          <cell r="N263">
            <v>72553</v>
          </cell>
          <cell r="O263">
            <v>4253909</v>
          </cell>
        </row>
        <row r="264">
          <cell r="A264">
            <v>241</v>
          </cell>
          <cell r="B264">
            <v>11</v>
          </cell>
          <cell r="C264">
            <v>47232</v>
          </cell>
          <cell r="D264">
            <v>1152</v>
          </cell>
          <cell r="E264">
            <v>107531.99999999999</v>
          </cell>
          <cell r="F264">
            <v>1792.1999999999998</v>
          </cell>
          <cell r="G264">
            <v>29.869999999999997</v>
          </cell>
          <cell r="H264">
            <v>1.2445833333333332</v>
          </cell>
          <cell r="I264">
            <v>204</v>
          </cell>
          <cell r="K264">
            <v>16.930064305519998</v>
          </cell>
          <cell r="N264">
            <v>72959</v>
          </cell>
          <cell r="O264">
            <v>4326462</v>
          </cell>
        </row>
        <row r="265">
          <cell r="A265">
            <v>242</v>
          </cell>
          <cell r="B265">
            <v>11</v>
          </cell>
          <cell r="C265">
            <v>48384</v>
          </cell>
          <cell r="D265">
            <v>1152</v>
          </cell>
          <cell r="E265">
            <v>108683.99999999999</v>
          </cell>
          <cell r="F265">
            <v>1811.3999999999999</v>
          </cell>
          <cell r="G265">
            <v>30.189999999999998</v>
          </cell>
          <cell r="H265">
            <v>1.2579166666666666</v>
          </cell>
          <cell r="I265">
            <v>206</v>
          </cell>
          <cell r="K265">
            <v>17.065951383694998</v>
          </cell>
          <cell r="N265">
            <v>73773</v>
          </cell>
          <cell r="O265">
            <v>4399421</v>
          </cell>
        </row>
        <row r="266">
          <cell r="A266">
            <v>243</v>
          </cell>
          <cell r="B266">
            <v>11</v>
          </cell>
          <cell r="C266">
            <v>49536</v>
          </cell>
          <cell r="D266">
            <v>1152</v>
          </cell>
          <cell r="E266">
            <v>109835.99999999999</v>
          </cell>
          <cell r="F266">
            <v>1830.5999999999997</v>
          </cell>
          <cell r="G266">
            <v>30.509999999999994</v>
          </cell>
          <cell r="H266">
            <v>1.2712499999999998</v>
          </cell>
          <cell r="I266">
            <v>207</v>
          </cell>
          <cell r="K266">
            <v>17.134046649755934</v>
          </cell>
          <cell r="N266">
            <v>74181</v>
          </cell>
          <cell r="O266">
            <v>4473194</v>
          </cell>
        </row>
        <row r="267">
          <cell r="A267">
            <v>244</v>
          </cell>
          <cell r="B267">
            <v>11</v>
          </cell>
          <cell r="C267">
            <v>50688</v>
          </cell>
          <cell r="D267">
            <v>1152</v>
          </cell>
          <cell r="E267">
            <v>110987.99999999999</v>
          </cell>
          <cell r="F267">
            <v>1849.7999999999997</v>
          </cell>
          <cell r="G267">
            <v>30.829999999999995</v>
          </cell>
          <cell r="H267">
            <v>1.2845833333333332</v>
          </cell>
          <cell r="I267">
            <v>209</v>
          </cell>
          <cell r="K267">
            <v>17.270541345455939</v>
          </cell>
          <cell r="N267">
            <v>75000</v>
          </cell>
          <cell r="O267">
            <v>4547375</v>
          </cell>
        </row>
        <row r="268">
          <cell r="A268">
            <v>245</v>
          </cell>
          <cell r="B268">
            <v>11</v>
          </cell>
          <cell r="C268">
            <v>51840</v>
          </cell>
          <cell r="D268">
            <v>1152</v>
          </cell>
          <cell r="E268">
            <v>112139.99999999999</v>
          </cell>
          <cell r="F268">
            <v>1868.9999999999998</v>
          </cell>
          <cell r="G268">
            <v>31.149999999999995</v>
          </cell>
          <cell r="H268">
            <v>1.2979166666666664</v>
          </cell>
          <cell r="I268">
            <v>210</v>
          </cell>
          <cell r="K268">
            <v>17.338941059374999</v>
          </cell>
          <cell r="N268">
            <v>75411</v>
          </cell>
          <cell r="O268">
            <v>4622375</v>
          </cell>
        </row>
        <row r="269">
          <cell r="A269">
            <v>246</v>
          </cell>
          <cell r="B269">
            <v>11</v>
          </cell>
          <cell r="C269">
            <v>52992</v>
          </cell>
          <cell r="D269">
            <v>1152</v>
          </cell>
          <cell r="E269">
            <v>113291.99999999999</v>
          </cell>
          <cell r="F269">
            <v>1888.1999999999998</v>
          </cell>
          <cell r="G269">
            <v>31.469999999999995</v>
          </cell>
          <cell r="H269">
            <v>1.3112499999999998</v>
          </cell>
          <cell r="I269">
            <v>212</v>
          </cell>
          <cell r="K269">
            <v>17.476045931119998</v>
          </cell>
          <cell r="N269">
            <v>76235</v>
          </cell>
          <cell r="O269">
            <v>4697786</v>
          </cell>
        </row>
        <row r="270">
          <cell r="A270">
            <v>247</v>
          </cell>
          <cell r="B270">
            <v>11</v>
          </cell>
          <cell r="C270">
            <v>54144</v>
          </cell>
          <cell r="D270">
            <v>1152</v>
          </cell>
          <cell r="E270">
            <v>114443.99999999999</v>
          </cell>
          <cell r="F270">
            <v>1907.3999999999999</v>
          </cell>
          <cell r="G270">
            <v>31.79</v>
          </cell>
          <cell r="H270">
            <v>1.3245833333333332</v>
          </cell>
          <cell r="I270">
            <v>213</v>
          </cell>
          <cell r="K270">
            <v>17.544751374080938</v>
          </cell>
          <cell r="N270">
            <v>76648</v>
          </cell>
          <cell r="O270">
            <v>4774021</v>
          </cell>
        </row>
        <row r="271">
          <cell r="A271">
            <v>248</v>
          </cell>
          <cell r="B271">
            <v>11</v>
          </cell>
          <cell r="C271">
            <v>55296</v>
          </cell>
          <cell r="D271">
            <v>1152</v>
          </cell>
          <cell r="E271">
            <v>115595.99999999999</v>
          </cell>
          <cell r="F271">
            <v>1926.5999999999997</v>
          </cell>
          <cell r="G271">
            <v>32.109999999999992</v>
          </cell>
          <cell r="H271">
            <v>1.3379166666666664</v>
          </cell>
          <cell r="I271">
            <v>215</v>
          </cell>
          <cell r="K271">
            <v>17.68246898808594</v>
          </cell>
          <cell r="N271">
            <v>77477</v>
          </cell>
          <cell r="O271">
            <v>4850669</v>
          </cell>
        </row>
        <row r="272">
          <cell r="A272">
            <v>249</v>
          </cell>
          <cell r="B272">
            <v>11</v>
          </cell>
          <cell r="C272">
            <v>56448</v>
          </cell>
          <cell r="D272">
            <v>1152</v>
          </cell>
          <cell r="E272">
            <v>116747.99999999999</v>
          </cell>
          <cell r="F272">
            <v>1945.7999999999997</v>
          </cell>
          <cell r="G272">
            <v>32.429999999999993</v>
          </cell>
          <cell r="H272">
            <v>1.3512499999999996</v>
          </cell>
          <cell r="I272">
            <v>216</v>
          </cell>
          <cell r="K272">
            <v>17.751481445120003</v>
          </cell>
          <cell r="N272">
            <v>77893</v>
          </cell>
          <cell r="O272">
            <v>4928146</v>
          </cell>
        </row>
        <row r="273">
          <cell r="A273">
            <v>250</v>
          </cell>
          <cell r="B273">
            <v>11</v>
          </cell>
          <cell r="C273">
            <v>57600</v>
          </cell>
          <cell r="D273">
            <v>1152</v>
          </cell>
          <cell r="E273">
            <v>117899.99999999999</v>
          </cell>
          <cell r="F273">
            <v>1964.9999999999998</v>
          </cell>
          <cell r="G273">
            <v>32.749999999999993</v>
          </cell>
          <cell r="H273">
            <v>1.364583333333333</v>
          </cell>
          <cell r="I273">
            <v>218</v>
          </cell>
          <cell r="K273">
            <v>17.889814375295</v>
          </cell>
          <cell r="N273">
            <v>78728</v>
          </cell>
          <cell r="O273">
            <v>5006039</v>
          </cell>
        </row>
        <row r="274">
          <cell r="A274">
            <v>251</v>
          </cell>
          <cell r="B274">
            <v>12</v>
          </cell>
          <cell r="C274">
            <v>2105.3260799999998</v>
          </cell>
          <cell r="D274">
            <v>2105.3260799999998</v>
          </cell>
          <cell r="E274">
            <v>120005.32607999998</v>
          </cell>
          <cell r="F274">
            <v>2000.0887679999998</v>
          </cell>
          <cell r="G274">
            <v>33.334812799999995</v>
          </cell>
          <cell r="H274">
            <v>1.3889505333333332</v>
          </cell>
          <cell r="I274">
            <v>220</v>
          </cell>
          <cell r="K274">
            <v>18.028558949999997</v>
          </cell>
          <cell r="N274">
            <v>145410</v>
          </cell>
          <cell r="O274">
            <v>5084767</v>
          </cell>
        </row>
        <row r="275">
          <cell r="A275">
            <v>252</v>
          </cell>
          <cell r="B275">
            <v>12</v>
          </cell>
          <cell r="C275">
            <v>4276.5926400000008</v>
          </cell>
          <cell r="D275">
            <v>2171.2665600000009</v>
          </cell>
          <cell r="E275">
            <v>122176.59263999999</v>
          </cell>
          <cell r="F275">
            <v>2036.2765439999998</v>
          </cell>
          <cell r="G275">
            <v>33.937942399999997</v>
          </cell>
          <cell r="H275">
            <v>1.4140809333333333</v>
          </cell>
          <cell r="I275">
            <v>223</v>
          </cell>
          <cell r="K275">
            <v>18.237450161055939</v>
          </cell>
          <cell r="N275">
            <v>152345</v>
          </cell>
          <cell r="O275">
            <v>5230177</v>
          </cell>
        </row>
        <row r="276">
          <cell r="A276">
            <v>253</v>
          </cell>
          <cell r="B276">
            <v>12</v>
          </cell>
          <cell r="C276">
            <v>6517.5321600000007</v>
          </cell>
          <cell r="D276">
            <v>2240.9395199999999</v>
          </cell>
          <cell r="E276">
            <v>124417.53215999999</v>
          </cell>
          <cell r="F276">
            <v>2073.625536</v>
          </cell>
          <cell r="G276">
            <v>34.560425600000002</v>
          </cell>
          <cell r="H276">
            <v>1.4400177333333335</v>
          </cell>
          <cell r="I276">
            <v>226</v>
          </cell>
          <cell r="K276">
            <v>18.447274049295</v>
          </cell>
          <cell r="N276">
            <v>159707</v>
          </cell>
          <cell r="O276">
            <v>5382522</v>
          </cell>
        </row>
        <row r="277">
          <cell r="A277">
            <v>254</v>
          </cell>
          <cell r="B277">
            <v>12</v>
          </cell>
          <cell r="C277">
            <v>8831.8771199999992</v>
          </cell>
          <cell r="D277">
            <v>2314.3449599999985</v>
          </cell>
          <cell r="E277">
            <v>126731.87711999999</v>
          </cell>
          <cell r="F277">
            <v>2112.197952</v>
          </cell>
          <cell r="G277">
            <v>35.203299199999996</v>
          </cell>
          <cell r="H277">
            <v>1.4668041333333333</v>
          </cell>
          <cell r="I277">
            <v>229</v>
          </cell>
          <cell r="K277">
            <v>18.658034515980944</v>
          </cell>
          <cell r="N277">
            <v>167509</v>
          </cell>
          <cell r="O277">
            <v>5542229</v>
          </cell>
        </row>
        <row r="278">
          <cell r="A278">
            <v>255</v>
          </cell>
          <cell r="B278">
            <v>12</v>
          </cell>
          <cell r="C278">
            <v>11223.360000000002</v>
          </cell>
          <cell r="D278">
            <v>2391.4828800000032</v>
          </cell>
          <cell r="E278">
            <v>129123.35999999999</v>
          </cell>
          <cell r="F278">
            <v>2152.0559999999996</v>
          </cell>
          <cell r="G278">
            <v>35.867599999999996</v>
          </cell>
          <cell r="H278">
            <v>1.4944833333333332</v>
          </cell>
          <cell r="I278">
            <v>232</v>
          </cell>
          <cell r="K278">
            <v>18.869735473919999</v>
          </cell>
          <cell r="N278">
            <v>175765</v>
          </cell>
          <cell r="O278">
            <v>5709738</v>
          </cell>
        </row>
        <row r="279">
          <cell r="A279">
            <v>256</v>
          </cell>
          <cell r="B279">
            <v>12</v>
          </cell>
          <cell r="C279">
            <v>13695.71328</v>
          </cell>
          <cell r="D279">
            <v>2472.3532799999975</v>
          </cell>
          <cell r="E279">
            <v>131595.71328</v>
          </cell>
          <cell r="F279">
            <v>2193.261888</v>
          </cell>
          <cell r="G279">
            <v>36.554364800000002</v>
          </cell>
          <cell r="H279">
            <v>1.5230985333333333</v>
          </cell>
          <cell r="I279">
            <v>235</v>
          </cell>
          <cell r="K279">
            <v>19.082380847460943</v>
          </cell>
          <cell r="N279">
            <v>184489</v>
          </cell>
          <cell r="O279">
            <v>5885503</v>
          </cell>
        </row>
        <row r="280">
          <cell r="A280">
            <v>257</v>
          </cell>
          <cell r="B280">
            <v>12</v>
          </cell>
          <cell r="C280">
            <v>16252.669440000003</v>
          </cell>
          <cell r="D280">
            <v>2556.9561600000034</v>
          </cell>
          <cell r="E280">
            <v>134152.66944</v>
          </cell>
          <cell r="F280">
            <v>2235.8778240000001</v>
          </cell>
          <cell r="G280">
            <v>37.264630400000001</v>
          </cell>
          <cell r="H280">
            <v>1.5526929333333335</v>
          </cell>
          <cell r="I280">
            <v>238</v>
          </cell>
          <cell r="K280">
            <v>19.295974572494998</v>
          </cell>
          <cell r="N280">
            <v>193696</v>
          </cell>
          <cell r="O280">
            <v>6069992</v>
          </cell>
        </row>
        <row r="281">
          <cell r="A281">
            <v>258</v>
          </cell>
          <cell r="B281">
            <v>12</v>
          </cell>
          <cell r="C281">
            <v>18897.960960000004</v>
          </cell>
          <cell r="D281">
            <v>2645.2915200000007</v>
          </cell>
          <cell r="E281">
            <v>136797.96096</v>
          </cell>
          <cell r="F281">
            <v>2279.9660159999999</v>
          </cell>
          <cell r="G281">
            <v>37.999433599999996</v>
          </cell>
          <cell r="H281">
            <v>1.5833097333333332</v>
          </cell>
          <cell r="I281">
            <v>241</v>
          </cell>
          <cell r="K281">
            <v>19.510520596455937</v>
          </cell>
          <cell r="N281">
            <v>203401</v>
          </cell>
          <cell r="O281">
            <v>6263688</v>
          </cell>
        </row>
        <row r="282">
          <cell r="A282">
            <v>259</v>
          </cell>
          <cell r="B282">
            <v>12</v>
          </cell>
          <cell r="C282">
            <v>21635.320319999999</v>
          </cell>
          <cell r="D282">
            <v>2737.3593599999949</v>
          </cell>
          <cell r="E282">
            <v>139535.32032</v>
          </cell>
          <cell r="F282">
            <v>2325.5886719999999</v>
          </cell>
          <cell r="G282">
            <v>38.759811199999994</v>
          </cell>
          <cell r="H282">
            <v>1.614992133333333</v>
          </cell>
          <cell r="I282">
            <v>244</v>
          </cell>
          <cell r="K282">
            <v>19.726022878320002</v>
          </cell>
          <cell r="N282">
            <v>213617</v>
          </cell>
          <cell r="O282">
            <v>6467089</v>
          </cell>
        </row>
        <row r="283">
          <cell r="A283">
            <v>260</v>
          </cell>
          <cell r="B283">
            <v>12</v>
          </cell>
          <cell r="C283">
            <v>24468.480000000003</v>
          </cell>
          <cell r="D283">
            <v>2833.1596800000043</v>
          </cell>
          <cell r="E283">
            <v>142368.48000000001</v>
          </cell>
          <cell r="F283">
            <v>2372.808</v>
          </cell>
          <cell r="G283">
            <v>39.546799999999998</v>
          </cell>
          <cell r="H283">
            <v>1.6477833333333332</v>
          </cell>
          <cell r="I283">
            <v>248</v>
          </cell>
          <cell r="K283">
            <v>20.014853630720005</v>
          </cell>
          <cell r="N283">
            <v>225454</v>
          </cell>
          <cell r="O283">
            <v>6680706</v>
          </cell>
        </row>
        <row r="284">
          <cell r="A284">
            <v>261</v>
          </cell>
          <cell r="B284">
            <v>12</v>
          </cell>
          <cell r="C284">
            <v>27401.172480000001</v>
          </cell>
          <cell r="D284">
            <v>2932.6924799999979</v>
          </cell>
          <cell r="E284">
            <v>145301.17248000001</v>
          </cell>
          <cell r="F284">
            <v>2421.6862080000001</v>
          </cell>
          <cell r="G284">
            <v>40.3614368</v>
          </cell>
          <cell r="H284">
            <v>1.6817265333333333</v>
          </cell>
          <cell r="I284">
            <v>252</v>
          </cell>
          <cell r="K284">
            <v>20.305400900719999</v>
          </cell>
          <cell r="N284">
            <v>237927</v>
          </cell>
          <cell r="O284">
            <v>6906160</v>
          </cell>
        </row>
        <row r="285">
          <cell r="A285">
            <v>262</v>
          </cell>
          <cell r="B285">
            <v>12</v>
          </cell>
          <cell r="C285">
            <v>30437.130240000002</v>
          </cell>
          <cell r="D285">
            <v>3035.9577600000011</v>
          </cell>
          <cell r="E285">
            <v>148337.13024</v>
          </cell>
          <cell r="F285">
            <v>2472.2855039999999</v>
          </cell>
          <cell r="G285">
            <v>41.204758399999996</v>
          </cell>
          <cell r="H285">
            <v>1.7168649333333332</v>
          </cell>
          <cell r="I285">
            <v>255</v>
          </cell>
          <cell r="K285">
            <v>20.524443519335943</v>
          </cell>
          <cell r="N285">
            <v>249865</v>
          </cell>
          <cell r="O285">
            <v>7144087</v>
          </cell>
        </row>
        <row r="286">
          <cell r="A286">
            <v>263</v>
          </cell>
          <cell r="B286">
            <v>12</v>
          </cell>
          <cell r="C286">
            <v>33580.085760000009</v>
          </cell>
          <cell r="D286">
            <v>3142.9555200000068</v>
          </cell>
          <cell r="E286">
            <v>151480.08576000002</v>
          </cell>
          <cell r="F286">
            <v>2524.6680960000003</v>
          </cell>
          <cell r="G286">
            <v>42.077801600000008</v>
          </cell>
          <cell r="H286">
            <v>1.7532417333333337</v>
          </cell>
          <cell r="I286">
            <v>259</v>
          </cell>
          <cell r="K286">
            <v>20.818017528330937</v>
          </cell>
          <cell r="N286">
            <v>263622</v>
          </cell>
          <cell r="O286">
            <v>7393952</v>
          </cell>
        </row>
        <row r="287">
          <cell r="A287">
            <v>264</v>
          </cell>
          <cell r="B287">
            <v>12</v>
          </cell>
          <cell r="C287">
            <v>36833.771520000009</v>
          </cell>
          <cell r="D287">
            <v>3253.6857600000003</v>
          </cell>
          <cell r="E287">
            <v>154733.77152000001</v>
          </cell>
          <cell r="F287">
            <v>2578.8961920000002</v>
          </cell>
          <cell r="G287">
            <v>42.981603200000002</v>
          </cell>
          <cell r="H287">
            <v>1.7909001333333334</v>
          </cell>
          <cell r="I287">
            <v>263</v>
          </cell>
          <cell r="K287">
            <v>21.11333421270594</v>
          </cell>
          <cell r="N287">
            <v>278078</v>
          </cell>
          <cell r="O287">
            <v>7657574</v>
          </cell>
        </row>
        <row r="288">
          <cell r="A288">
            <v>265</v>
          </cell>
          <cell r="B288">
            <v>12</v>
          </cell>
          <cell r="C288">
            <v>40201.919999999998</v>
          </cell>
          <cell r="D288">
            <v>3368.1484799999889</v>
          </cell>
          <cell r="E288">
            <v>158101.91999999998</v>
          </cell>
          <cell r="F288">
            <v>2635.0319999999997</v>
          </cell>
          <cell r="G288">
            <v>43.917199999999994</v>
          </cell>
          <cell r="H288">
            <v>1.8298833333333331</v>
          </cell>
          <cell r="I288">
            <v>267</v>
          </cell>
          <cell r="K288">
            <v>21.41040315278094</v>
          </cell>
          <cell r="N288">
            <v>293255</v>
          </cell>
          <cell r="O288">
            <v>7935652</v>
          </cell>
        </row>
        <row r="289">
          <cell r="A289">
            <v>266</v>
          </cell>
          <cell r="B289">
            <v>12</v>
          </cell>
          <cell r="C289">
            <v>43688.263679999996</v>
          </cell>
          <cell r="D289">
            <v>3486.3436799999981</v>
          </cell>
          <cell r="E289">
            <v>161588.26367999997</v>
          </cell>
          <cell r="F289">
            <v>2693.1377279999997</v>
          </cell>
          <cell r="G289">
            <v>44.885628799999992</v>
          </cell>
          <cell r="H289">
            <v>1.870234533333333</v>
          </cell>
          <cell r="I289">
            <v>271</v>
          </cell>
          <cell r="K289">
            <v>21.709233965355939</v>
          </cell>
          <cell r="N289">
            <v>309177</v>
          </cell>
          <cell r="O289">
            <v>8228907</v>
          </cell>
        </row>
        <row r="290">
          <cell r="A290">
            <v>267</v>
          </cell>
          <cell r="B290">
            <v>12</v>
          </cell>
          <cell r="C290">
            <v>47296.535040000002</v>
          </cell>
          <cell r="D290">
            <v>3608.2713600000061</v>
          </cell>
          <cell r="E290">
            <v>165196.53503999999</v>
          </cell>
          <cell r="F290">
            <v>2753.275584</v>
          </cell>
          <cell r="G290">
            <v>45.887926399999998</v>
          </cell>
          <cell r="H290">
            <v>1.9119969333333333</v>
          </cell>
          <cell r="I290">
            <v>275</v>
          </cell>
          <cell r="K290">
            <v>22.009836303710941</v>
          </cell>
          <cell r="N290">
            <v>325867</v>
          </cell>
          <cell r="O290">
            <v>8538084</v>
          </cell>
        </row>
        <row r="291">
          <cell r="A291">
            <v>268</v>
          </cell>
          <cell r="B291">
            <v>12</v>
          </cell>
          <cell r="C291">
            <v>51030.466560000001</v>
          </cell>
          <cell r="D291">
            <v>3733.9315199999983</v>
          </cell>
          <cell r="E291">
            <v>168930.46655999997</v>
          </cell>
          <cell r="F291">
            <v>2815.5077759999995</v>
          </cell>
          <cell r="G291">
            <v>46.925129599999991</v>
          </cell>
          <cell r="H291">
            <v>1.955213733333333</v>
          </cell>
          <cell r="I291">
            <v>280</v>
          </cell>
          <cell r="K291">
            <v>22.388095200000006</v>
          </cell>
          <cell r="N291">
            <v>344890</v>
          </cell>
          <cell r="O291">
            <v>8863951</v>
          </cell>
        </row>
        <row r="292">
          <cell r="A292">
            <v>269</v>
          </cell>
          <cell r="B292">
            <v>12</v>
          </cell>
          <cell r="C292">
            <v>54893.790720000005</v>
          </cell>
          <cell r="D292">
            <v>3863.3241600000038</v>
          </cell>
          <cell r="E292">
            <v>172793.79071999999</v>
          </cell>
          <cell r="F292">
            <v>2879.8965119999998</v>
          </cell>
          <cell r="G292">
            <v>47.998275199999995</v>
          </cell>
          <cell r="H292">
            <v>1.9999281333333332</v>
          </cell>
          <cell r="I292">
            <v>284</v>
          </cell>
          <cell r="K292">
            <v>22.692718955119997</v>
          </cell>
          <cell r="N292">
            <v>363254</v>
          </cell>
          <cell r="O292">
            <v>9208841</v>
          </cell>
        </row>
        <row r="293">
          <cell r="A293">
            <v>270</v>
          </cell>
          <cell r="B293">
            <v>12</v>
          </cell>
          <cell r="C293">
            <v>58890.240000000013</v>
          </cell>
          <cell r="D293">
            <v>3996.449280000008</v>
          </cell>
          <cell r="E293">
            <v>176790.24</v>
          </cell>
          <cell r="F293">
            <v>2946.5039999999999</v>
          </cell>
          <cell r="G293">
            <v>49.108399999999996</v>
          </cell>
          <cell r="H293">
            <v>2.046183333333333</v>
          </cell>
          <cell r="I293">
            <v>289</v>
          </cell>
          <cell r="K293">
            <v>23.076035478555941</v>
          </cell>
          <cell r="N293">
            <v>384142</v>
          </cell>
          <cell r="O293">
            <v>9572095</v>
          </cell>
        </row>
        <row r="294">
          <cell r="A294">
            <v>271</v>
          </cell>
          <cell r="B294">
            <v>12</v>
          </cell>
          <cell r="C294">
            <v>63023.546880000002</v>
          </cell>
          <cell r="D294">
            <v>4133.3068799999892</v>
          </cell>
          <cell r="E294">
            <v>180923.54687999998</v>
          </cell>
          <cell r="F294">
            <v>3015.3924479999996</v>
          </cell>
          <cell r="G294">
            <v>50.256540799999996</v>
          </cell>
          <cell r="H294">
            <v>2.0940225333333333</v>
          </cell>
          <cell r="I294">
            <v>294</v>
          </cell>
          <cell r="K294">
            <v>23.462188593695</v>
          </cell>
          <cell r="N294">
            <v>406045</v>
          </cell>
          <cell r="O294">
            <v>9956237</v>
          </cell>
        </row>
        <row r="295">
          <cell r="A295">
            <v>272</v>
          </cell>
          <cell r="B295">
            <v>12</v>
          </cell>
          <cell r="C295">
            <v>67297.443840000007</v>
          </cell>
          <cell r="D295">
            <v>4273.8969600000055</v>
          </cell>
          <cell r="E295">
            <v>185197.44383999999</v>
          </cell>
          <cell r="F295">
            <v>3086.6240640000001</v>
          </cell>
          <cell r="G295">
            <v>51.443734400000004</v>
          </cell>
          <cell r="H295">
            <v>2.1434889333333333</v>
          </cell>
          <cell r="I295">
            <v>299</v>
          </cell>
          <cell r="K295">
            <v>23.851197555380935</v>
          </cell>
          <cell r="N295">
            <v>428997</v>
          </cell>
          <cell r="O295">
            <v>10362282</v>
          </cell>
        </row>
        <row r="296">
          <cell r="A296">
            <v>273</v>
          </cell>
          <cell r="B296">
            <v>12</v>
          </cell>
          <cell r="C296">
            <v>71715.66336000002</v>
          </cell>
          <cell r="D296">
            <v>4418.2195200000133</v>
          </cell>
          <cell r="E296">
            <v>189615.66336000001</v>
          </cell>
          <cell r="F296">
            <v>3160.2610560000003</v>
          </cell>
          <cell r="G296">
            <v>52.671017600000006</v>
          </cell>
          <cell r="H296">
            <v>2.1946257333333334</v>
          </cell>
          <cell r="I296">
            <v>304</v>
          </cell>
          <cell r="K296">
            <v>24.243081707520002</v>
          </cell>
          <cell r="N296">
            <v>453032</v>
          </cell>
          <cell r="O296">
            <v>10791279</v>
          </cell>
        </row>
        <row r="297">
          <cell r="A297">
            <v>274</v>
          </cell>
          <cell r="B297">
            <v>12</v>
          </cell>
          <cell r="C297">
            <v>76281.937919999997</v>
          </cell>
          <cell r="D297">
            <v>4566.2745599999762</v>
          </cell>
          <cell r="E297">
            <v>194181.93792</v>
          </cell>
          <cell r="F297">
            <v>3236.365632</v>
          </cell>
          <cell r="G297">
            <v>53.939427199999997</v>
          </cell>
          <cell r="H297">
            <v>2.2474761333333331</v>
          </cell>
          <cell r="I297">
            <v>309</v>
          </cell>
          <cell r="K297">
            <v>24.637860483080935</v>
          </cell>
          <cell r="N297">
            <v>478186</v>
          </cell>
          <cell r="O297">
            <v>11244311</v>
          </cell>
        </row>
        <row r="298">
          <cell r="A298">
            <v>275</v>
          </cell>
          <cell r="B298">
            <v>12</v>
          </cell>
          <cell r="C298">
            <v>81000</v>
          </cell>
          <cell r="D298">
            <v>4718.0620800000033</v>
          </cell>
          <cell r="E298">
            <v>198900</v>
          </cell>
          <cell r="F298">
            <v>3315</v>
          </cell>
          <cell r="G298">
            <v>55.25</v>
          </cell>
          <cell r="H298">
            <v>2.3020833333333335</v>
          </cell>
          <cell r="I298">
            <v>315</v>
          </cell>
          <cell r="K298">
            <v>25.115443409960942</v>
          </cell>
          <cell r="N298">
            <v>506590</v>
          </cell>
          <cell r="O298">
            <v>11722497</v>
          </cell>
        </row>
        <row r="299">
          <cell r="A299">
            <v>276</v>
          </cell>
          <cell r="B299">
            <v>12</v>
          </cell>
          <cell r="C299">
            <v>85873.582080000007</v>
          </cell>
          <cell r="D299">
            <v>4873.5820800000074</v>
          </cell>
          <cell r="E299">
            <v>203773.58208000002</v>
          </cell>
          <cell r="F299">
            <v>3396.2263680000005</v>
          </cell>
          <cell r="G299">
            <v>56.603772800000009</v>
          </cell>
          <cell r="H299">
            <v>2.3584905333333337</v>
          </cell>
          <cell r="I299">
            <v>320</v>
          </cell>
          <cell r="K299">
            <v>25.516659200000003</v>
          </cell>
          <cell r="N299">
            <v>534181</v>
          </cell>
          <cell r="O299">
            <v>12229087</v>
          </cell>
        </row>
        <row r="300">
          <cell r="A300">
            <v>277</v>
          </cell>
          <cell r="B300">
            <v>12</v>
          </cell>
          <cell r="C300">
            <v>90906.416639999996</v>
          </cell>
          <cell r="D300">
            <v>5032.8345599999884</v>
          </cell>
          <cell r="E300">
            <v>208806.41664000001</v>
          </cell>
          <cell r="F300">
            <v>3480.1069440000001</v>
          </cell>
          <cell r="G300">
            <v>58.001782400000003</v>
          </cell>
          <cell r="H300">
            <v>2.4167409333333336</v>
          </cell>
          <cell r="I300">
            <v>326</v>
          </cell>
          <cell r="K300">
            <v>26.002023667295006</v>
          </cell>
          <cell r="N300">
            <v>565290</v>
          </cell>
          <cell r="O300">
            <v>12763268</v>
          </cell>
        </row>
        <row r="301">
          <cell r="A301">
            <v>278</v>
          </cell>
          <cell r="B301">
            <v>12</v>
          </cell>
          <cell r="C301">
            <v>96102.236160000015</v>
          </cell>
          <cell r="D301">
            <v>5195.8195200000191</v>
          </cell>
          <cell r="E301">
            <v>214002.23616000003</v>
          </cell>
          <cell r="F301">
            <v>3566.7039360000003</v>
          </cell>
          <cell r="G301">
            <v>59.445065600000007</v>
          </cell>
          <cell r="H301">
            <v>2.4768777333333336</v>
          </cell>
          <cell r="I301">
            <v>332</v>
          </cell>
          <cell r="K301">
            <v>26.491681047920004</v>
          </cell>
          <cell r="N301">
            <v>597871</v>
          </cell>
          <cell r="O301">
            <v>13328558</v>
          </cell>
        </row>
        <row r="302">
          <cell r="A302">
            <v>279</v>
          </cell>
          <cell r="B302">
            <v>12</v>
          </cell>
          <cell r="C302">
            <v>101464.77311999998</v>
          </cell>
          <cell r="D302">
            <v>5362.5369599999685</v>
          </cell>
          <cell r="E302">
            <v>219364.77312</v>
          </cell>
          <cell r="F302">
            <v>3656.0795520000001</v>
          </cell>
          <cell r="G302">
            <v>60.934659200000006</v>
          </cell>
          <cell r="H302">
            <v>2.5389441333333336</v>
          </cell>
          <cell r="I302">
            <v>338</v>
          </cell>
          <cell r="K302">
            <v>26.985665768495004</v>
          </cell>
          <cell r="N302">
            <v>631973</v>
          </cell>
          <cell r="O302">
            <v>13926429</v>
          </cell>
        </row>
        <row r="303">
          <cell r="A303">
            <v>280</v>
          </cell>
          <cell r="B303">
            <v>12</v>
          </cell>
          <cell r="C303">
            <v>106997.75999999998</v>
          </cell>
          <cell r="D303">
            <v>5532.9868799999967</v>
          </cell>
          <cell r="E303">
            <v>224897.76</v>
          </cell>
          <cell r="F303">
            <v>3748.2960000000003</v>
          </cell>
          <cell r="G303">
            <v>62.471600000000002</v>
          </cell>
          <cell r="H303">
            <v>2.6029833333333334</v>
          </cell>
          <cell r="I303">
            <v>344</v>
          </cell>
          <cell r="K303">
            <v>27.484012440320001</v>
          </cell>
          <cell r="N303">
            <v>667647</v>
          </cell>
          <cell r="O303">
            <v>14558402</v>
          </cell>
        </row>
        <row r="304">
          <cell r="A304">
            <v>281</v>
          </cell>
          <cell r="B304">
            <v>12</v>
          </cell>
          <cell r="C304">
            <v>112704.92928</v>
          </cell>
          <cell r="D304">
            <v>5707.1692800000164</v>
          </cell>
          <cell r="E304">
            <v>230604.92928000004</v>
          </cell>
          <cell r="F304">
            <v>3843.4154880000006</v>
          </cell>
          <cell r="G304">
            <v>64.056924800000004</v>
          </cell>
          <cell r="H304">
            <v>2.6690385333333335</v>
          </cell>
          <cell r="I304">
            <v>350</v>
          </cell>
          <cell r="K304">
            <v>27.986755859375002</v>
          </cell>
          <cell r="N304">
            <v>704946</v>
          </cell>
          <cell r="O304">
            <v>15226049</v>
          </cell>
        </row>
        <row r="305">
          <cell r="A305">
            <v>282</v>
          </cell>
          <cell r="B305">
            <v>12</v>
          </cell>
          <cell r="C305">
            <v>118590.01344000001</v>
          </cell>
          <cell r="D305">
            <v>5885.0841600000131</v>
          </cell>
          <cell r="E305">
            <v>236490.01344000007</v>
          </cell>
          <cell r="F305">
            <v>3941.5002240000013</v>
          </cell>
          <cell r="G305">
            <v>65.691670400000021</v>
          </cell>
          <cell r="H305">
            <v>2.7371529333333342</v>
          </cell>
          <cell r="I305">
            <v>357</v>
          </cell>
          <cell r="K305">
            <v>28.578893526380938</v>
          </cell>
          <cell r="N305">
            <v>746776</v>
          </cell>
          <cell r="O305">
            <v>15930995</v>
          </cell>
        </row>
        <row r="306">
          <cell r="A306">
            <v>283</v>
          </cell>
          <cell r="B306">
            <v>12</v>
          </cell>
          <cell r="C306">
            <v>124656.74496000001</v>
          </cell>
          <cell r="D306">
            <v>6066.7315200000012</v>
          </cell>
          <cell r="E306">
            <v>242556.74496000007</v>
          </cell>
          <cell r="F306">
            <v>4042.6124160000013</v>
          </cell>
          <cell r="G306">
            <v>67.376873600000025</v>
          </cell>
          <cell r="H306">
            <v>2.8073697333333345</v>
          </cell>
          <cell r="I306">
            <v>363</v>
          </cell>
          <cell r="K306">
            <v>29.091283480580937</v>
          </cell>
          <cell r="N306">
            <v>787609</v>
          </cell>
          <cell r="O306">
            <v>16677771</v>
          </cell>
        </row>
        <row r="307">
          <cell r="A307">
            <v>284</v>
          </cell>
          <cell r="B307">
            <v>12</v>
          </cell>
          <cell r="C307">
            <v>130908.85632000002</v>
          </cell>
          <cell r="D307">
            <v>6252.1113600000099</v>
          </cell>
          <cell r="E307">
            <v>248808.85632000008</v>
          </cell>
          <cell r="F307">
            <v>4146.8142720000014</v>
          </cell>
          <cell r="G307">
            <v>69.113571200000024</v>
          </cell>
          <cell r="H307">
            <v>2.8797321333333343</v>
          </cell>
          <cell r="I307">
            <v>370</v>
          </cell>
          <cell r="K307">
            <v>29.694772059374998</v>
          </cell>
          <cell r="N307">
            <v>833348</v>
          </cell>
          <cell r="O307">
            <v>17465380</v>
          </cell>
        </row>
        <row r="308">
          <cell r="A308">
            <v>285</v>
          </cell>
          <cell r="B308">
            <v>12</v>
          </cell>
          <cell r="C308">
            <v>137350.07999999999</v>
          </cell>
          <cell r="D308">
            <v>6441.2236799999664</v>
          </cell>
          <cell r="E308">
            <v>255250.08000000005</v>
          </cell>
          <cell r="F308">
            <v>4254.1680000000006</v>
          </cell>
          <cell r="G308">
            <v>70.902800000000013</v>
          </cell>
          <cell r="H308">
            <v>2.954283333333334</v>
          </cell>
          <cell r="I308">
            <v>377</v>
          </cell>
          <cell r="K308">
            <v>30.304453243805938</v>
          </cell>
          <cell r="N308">
            <v>881212</v>
          </cell>
          <cell r="O308">
            <v>18298728</v>
          </cell>
        </row>
        <row r="309">
          <cell r="A309">
            <v>286</v>
          </cell>
          <cell r="B309">
            <v>12</v>
          </cell>
          <cell r="C309">
            <v>143984.14847999997</v>
          </cell>
          <cell r="D309">
            <v>6634.0684799999872</v>
          </cell>
          <cell r="E309">
            <v>261884.14848000003</v>
          </cell>
          <cell r="F309">
            <v>4364.7358080000004</v>
          </cell>
          <cell r="G309">
            <v>72.745596800000001</v>
          </cell>
          <cell r="H309">
            <v>3.0310665333333335</v>
          </cell>
          <cell r="I309">
            <v>384</v>
          </cell>
          <cell r="K309">
            <v>30.920383877120003</v>
          </cell>
          <cell r="N309">
            <v>931274</v>
          </cell>
          <cell r="O309">
            <v>19179940</v>
          </cell>
        </row>
        <row r="310">
          <cell r="A310">
            <v>287</v>
          </cell>
          <cell r="B310">
            <v>12</v>
          </cell>
          <cell r="C310">
            <v>150814.79423999996</v>
          </cell>
          <cell r="D310">
            <v>6830.6457599999849</v>
          </cell>
          <cell r="E310">
            <v>268714.79424000002</v>
          </cell>
          <cell r="F310">
            <v>4478.5799040000002</v>
          </cell>
          <cell r="G310">
            <v>74.642998399999996</v>
          </cell>
          <cell r="H310">
            <v>3.1101249333333332</v>
          </cell>
          <cell r="I310">
            <v>391</v>
          </cell>
          <cell r="K310">
            <v>31.542621144705933</v>
          </cell>
          <cell r="N310">
            <v>983607</v>
          </cell>
          <cell r="O310">
            <v>20111214</v>
          </cell>
        </row>
        <row r="311">
          <cell r="A311">
            <v>288</v>
          </cell>
          <cell r="B311">
            <v>12</v>
          </cell>
          <cell r="C311">
            <v>157845.74976000004</v>
          </cell>
          <cell r="D311">
            <v>7030.9555200000759</v>
          </cell>
          <cell r="E311">
            <v>275745.74976000009</v>
          </cell>
          <cell r="F311">
            <v>4595.7624960000012</v>
          </cell>
          <cell r="G311">
            <v>76.596041600000021</v>
          </cell>
          <cell r="H311">
            <v>3.1915017333333342</v>
          </cell>
          <cell r="I311">
            <v>399</v>
          </cell>
          <cell r="K311">
            <v>32.26154567175594</v>
          </cell>
          <cell r="N311">
            <v>1042011</v>
          </cell>
          <cell r="O311">
            <v>21094821</v>
          </cell>
        </row>
        <row r="312">
          <cell r="A312">
            <v>289</v>
          </cell>
          <cell r="B312">
            <v>12</v>
          </cell>
          <cell r="C312">
            <v>165080.74752</v>
          </cell>
          <cell r="D312">
            <v>7234.9977599999693</v>
          </cell>
          <cell r="E312">
            <v>282980.74752000009</v>
          </cell>
          <cell r="F312">
            <v>4716.3457920000019</v>
          </cell>
          <cell r="G312">
            <v>78.605763200000027</v>
          </cell>
          <cell r="H312">
            <v>3.2752401333333343</v>
          </cell>
          <cell r="I312">
            <v>405</v>
          </cell>
          <cell r="K312">
            <v>32.806246034960942</v>
          </cell>
          <cell r="N312">
            <v>1095398</v>
          </cell>
          <cell r="O312">
            <v>22136832</v>
          </cell>
        </row>
        <row r="313">
          <cell r="A313">
            <v>290</v>
          </cell>
          <cell r="B313">
            <v>12</v>
          </cell>
          <cell r="C313">
            <v>172523.52000000005</v>
          </cell>
          <cell r="D313">
            <v>7442.7724800000433</v>
          </cell>
          <cell r="E313">
            <v>290423.52000000014</v>
          </cell>
          <cell r="F313">
            <v>4840.3920000000026</v>
          </cell>
          <cell r="G313">
            <v>80.673200000000037</v>
          </cell>
          <cell r="H313">
            <v>3.3613833333333347</v>
          </cell>
          <cell r="I313">
            <v>411</v>
          </cell>
          <cell r="K313">
            <v>33.355707387680937</v>
          </cell>
          <cell r="N313">
            <v>1150967</v>
          </cell>
          <cell r="O313">
            <v>23232230</v>
          </cell>
        </row>
        <row r="314">
          <cell r="A314">
            <v>291</v>
          </cell>
          <cell r="B314">
            <v>12</v>
          </cell>
          <cell r="C314">
            <v>180177.79967999997</v>
          </cell>
          <cell r="D314">
            <v>7654.2796799999196</v>
          </cell>
          <cell r="E314">
            <v>298077.79968000005</v>
          </cell>
          <cell r="F314">
            <v>4967.9633280000007</v>
          </cell>
          <cell r="G314">
            <v>82.799388800000017</v>
          </cell>
          <cell r="H314">
            <v>3.449974533333334</v>
          </cell>
          <cell r="I314">
            <v>418</v>
          </cell>
          <cell r="K314">
            <v>34.002812177294999</v>
          </cell>
          <cell r="N314">
            <v>1212996</v>
          </cell>
          <cell r="O314">
            <v>24383197</v>
          </cell>
        </row>
        <row r="315">
          <cell r="A315">
            <v>292</v>
          </cell>
          <cell r="B315">
            <v>12</v>
          </cell>
          <cell r="C315">
            <v>188047.31903999997</v>
          </cell>
          <cell r="D315">
            <v>7869.5193600000057</v>
          </cell>
          <cell r="E315">
            <v>305947.31904000009</v>
          </cell>
          <cell r="F315">
            <v>5099.1219840000012</v>
          </cell>
          <cell r="G315">
            <v>84.985366400000018</v>
          </cell>
          <cell r="H315">
            <v>3.5410569333333339</v>
          </cell>
          <cell r="I315">
            <v>424</v>
          </cell>
          <cell r="K315">
            <v>34.562715697919998</v>
          </cell>
          <cell r="N315">
            <v>1273297</v>
          </cell>
          <cell r="O315">
            <v>25596193</v>
          </cell>
        </row>
        <row r="316">
          <cell r="A316">
            <v>293</v>
          </cell>
          <cell r="B316">
            <v>12</v>
          </cell>
          <cell r="C316">
            <v>196135.81055999998</v>
          </cell>
          <cell r="D316">
            <v>8088.4915200000105</v>
          </cell>
          <cell r="E316">
            <v>314035.81056000013</v>
          </cell>
          <cell r="F316">
            <v>5233.9301760000026</v>
          </cell>
          <cell r="G316">
            <v>87.232169600000049</v>
          </cell>
          <cell r="H316">
            <v>3.6346737333333352</v>
          </cell>
          <cell r="I316">
            <v>431</v>
          </cell>
          <cell r="K316">
            <v>35.222104779155934</v>
          </cell>
          <cell r="N316">
            <v>1340559</v>
          </cell>
          <cell r="O316">
            <v>26869490</v>
          </cell>
        </row>
        <row r="317">
          <cell r="A317">
            <v>294</v>
          </cell>
          <cell r="B317">
            <v>12</v>
          </cell>
          <cell r="C317">
            <v>204447.00671999998</v>
          </cell>
          <cell r="D317">
            <v>8311.1961599999922</v>
          </cell>
          <cell r="E317">
            <v>322347.00672000012</v>
          </cell>
          <cell r="F317">
            <v>5372.4501120000023</v>
          </cell>
          <cell r="G317">
            <v>89.540835200000032</v>
          </cell>
          <cell r="H317">
            <v>3.7308681333333347</v>
          </cell>
          <cell r="I317">
            <v>438</v>
          </cell>
          <cell r="K317">
            <v>35.888193314495005</v>
          </cell>
          <cell r="N317">
            <v>1410655</v>
          </cell>
          <cell r="O317">
            <v>28210049</v>
          </cell>
        </row>
        <row r="318">
          <cell r="A318">
            <v>295</v>
          </cell>
          <cell r="B318">
            <v>12</v>
          </cell>
          <cell r="C318">
            <v>212984.63999999998</v>
          </cell>
          <cell r="D318">
            <v>8537.6332800000091</v>
          </cell>
          <cell r="E318">
            <v>330884.64000000013</v>
          </cell>
          <cell r="F318">
            <v>5514.7440000000024</v>
          </cell>
          <cell r="G318">
            <v>91.912400000000034</v>
          </cell>
          <cell r="H318">
            <v>3.8296833333333349</v>
          </cell>
          <cell r="I318">
            <v>445</v>
          </cell>
          <cell r="K318">
            <v>36.56104112871094</v>
          </cell>
          <cell r="N318">
            <v>1483675</v>
          </cell>
          <cell r="O318">
            <v>29620704</v>
          </cell>
        </row>
        <row r="319">
          <cell r="A319">
            <v>296</v>
          </cell>
          <cell r="B319">
            <v>12</v>
          </cell>
          <cell r="C319">
            <v>221752.44288000002</v>
          </cell>
          <cell r="D319">
            <v>8767.802880000032</v>
          </cell>
          <cell r="E319">
            <v>339652.44288000016</v>
          </cell>
          <cell r="F319">
            <v>5660.8740480000024</v>
          </cell>
          <cell r="G319">
            <v>94.347900800000033</v>
          </cell>
          <cell r="H319">
            <v>3.9311625333333349</v>
          </cell>
          <cell r="I319">
            <v>452</v>
          </cell>
          <cell r="K319">
            <v>37.240708388720002</v>
          </cell>
          <cell r="N319">
            <v>1559711</v>
          </cell>
          <cell r="O319">
            <v>31104379</v>
          </cell>
        </row>
        <row r="320">
          <cell r="A320">
            <v>297</v>
          </cell>
          <cell r="B320">
            <v>12</v>
          </cell>
          <cell r="C320">
            <v>230754.14783999999</v>
          </cell>
          <cell r="D320">
            <v>9001.7049599999737</v>
          </cell>
          <cell r="E320">
            <v>348654.14784000011</v>
          </cell>
          <cell r="F320">
            <v>5810.9024640000016</v>
          </cell>
          <cell r="G320">
            <v>96.848374400000026</v>
          </cell>
          <cell r="H320">
            <v>4.0353489333333341</v>
          </cell>
          <cell r="I320">
            <v>459</v>
          </cell>
          <cell r="K320">
            <v>37.927255603580939</v>
          </cell>
          <cell r="N320">
            <v>1638857</v>
          </cell>
          <cell r="O320">
            <v>32664090</v>
          </cell>
        </row>
        <row r="321">
          <cell r="A321">
            <v>298</v>
          </cell>
          <cell r="B321">
            <v>12</v>
          </cell>
          <cell r="C321">
            <v>239993.48736</v>
          </cell>
          <cell r="D321">
            <v>9239.3395200000086</v>
          </cell>
          <cell r="E321">
            <v>357893.48736000014</v>
          </cell>
          <cell r="F321">
            <v>5964.8914560000021</v>
          </cell>
          <cell r="G321">
            <v>99.414857600000033</v>
          </cell>
          <cell r="H321">
            <v>4.1422857333333347</v>
          </cell>
          <cell r="I321">
            <v>467</v>
          </cell>
          <cell r="K321">
            <v>38.720383502030948</v>
          </cell>
          <cell r="N321">
            <v>1726838</v>
          </cell>
          <cell r="O321">
            <v>34302947</v>
          </cell>
        </row>
        <row r="322">
          <cell r="A322">
            <v>299</v>
          </cell>
          <cell r="B322">
            <v>12</v>
          </cell>
          <cell r="C322">
            <v>249474.19392000002</v>
          </cell>
          <cell r="D322">
            <v>9480.7065600000205</v>
          </cell>
          <cell r="E322">
            <v>367374.19392000017</v>
          </cell>
          <cell r="F322">
            <v>6122.9032320000024</v>
          </cell>
          <cell r="G322">
            <v>102.04838720000004</v>
          </cell>
          <cell r="H322">
            <v>4.2520161333333348</v>
          </cell>
          <cell r="I322">
            <v>474</v>
          </cell>
          <cell r="K322">
            <v>39.421878823295003</v>
          </cell>
          <cell r="N322">
            <v>1812724</v>
          </cell>
          <cell r="O322">
            <v>36029785</v>
          </cell>
        </row>
        <row r="323">
          <cell r="A323">
            <v>300</v>
          </cell>
          <cell r="B323">
            <v>12</v>
          </cell>
          <cell r="C323">
            <v>259200</v>
          </cell>
          <cell r="D323">
            <v>9725.8060799999803</v>
          </cell>
          <cell r="E323">
            <v>377100.00000000012</v>
          </cell>
          <cell r="F323">
            <v>6285.0000000000018</v>
          </cell>
          <cell r="G323">
            <v>104.75000000000003</v>
          </cell>
          <cell r="H323">
            <v>4.3645833333333348</v>
          </cell>
          <cell r="I323">
            <v>482</v>
          </cell>
          <cell r="K323">
            <v>40.232251393294995</v>
          </cell>
          <cell r="N323">
            <v>1908133</v>
          </cell>
          <cell r="O323">
            <v>37842509</v>
          </cell>
        </row>
        <row r="324">
          <cell r="A324">
            <v>301</v>
          </cell>
          <cell r="B324">
            <v>13</v>
          </cell>
          <cell r="C324">
            <v>12096</v>
          </cell>
          <cell r="D324">
            <v>12096</v>
          </cell>
          <cell r="E324">
            <v>389196.00000000012</v>
          </cell>
          <cell r="F324">
            <v>6486.6000000000022</v>
          </cell>
          <cell r="G324">
            <v>108.11000000000004</v>
          </cell>
          <cell r="H324">
            <v>4.5045833333333354</v>
          </cell>
          <cell r="I324">
            <v>491</v>
          </cell>
          <cell r="K324">
            <v>41.155077244580937</v>
          </cell>
          <cell r="N324">
            <v>2442267</v>
          </cell>
          <cell r="O324">
            <v>39750642</v>
          </cell>
        </row>
        <row r="325">
          <cell r="A325">
            <v>302</v>
          </cell>
          <cell r="B325">
            <v>13</v>
          </cell>
          <cell r="C325">
            <v>24192</v>
          </cell>
          <cell r="D325">
            <v>12096</v>
          </cell>
          <cell r="E325">
            <v>401292.00000000012</v>
          </cell>
          <cell r="F325">
            <v>6688.2000000000016</v>
          </cell>
          <cell r="G325">
            <v>111.47000000000003</v>
          </cell>
          <cell r="H325">
            <v>4.6445833333333342</v>
          </cell>
          <cell r="I325">
            <v>501</v>
          </cell>
          <cell r="K325">
            <v>42.194449561880937</v>
          </cell>
          <cell r="N325">
            <v>2520575</v>
          </cell>
          <cell r="O325">
            <v>42192909</v>
          </cell>
        </row>
        <row r="326">
          <cell r="A326">
            <v>303</v>
          </cell>
          <cell r="B326">
            <v>13</v>
          </cell>
          <cell r="C326">
            <v>36288</v>
          </cell>
          <cell r="D326">
            <v>12096</v>
          </cell>
          <cell r="E326">
            <v>413388.00000000012</v>
          </cell>
          <cell r="F326">
            <v>6889.800000000002</v>
          </cell>
          <cell r="G326">
            <v>114.83000000000003</v>
          </cell>
          <cell r="H326">
            <v>4.7845833333333347</v>
          </cell>
          <cell r="I326">
            <v>510</v>
          </cell>
          <cell r="K326">
            <v>43.142640059374997</v>
          </cell>
          <cell r="N326">
            <v>2592432</v>
          </cell>
          <cell r="O326">
            <v>44713484</v>
          </cell>
        </row>
        <row r="327">
          <cell r="A327">
            <v>304</v>
          </cell>
          <cell r="B327">
            <v>13</v>
          </cell>
          <cell r="C327">
            <v>48384</v>
          </cell>
          <cell r="D327">
            <v>12096</v>
          </cell>
          <cell r="E327">
            <v>425484.00000000012</v>
          </cell>
          <cell r="F327">
            <v>7091.4000000000024</v>
          </cell>
          <cell r="G327">
            <v>118.19000000000004</v>
          </cell>
          <cell r="H327">
            <v>4.9245833333333353</v>
          </cell>
          <cell r="I327">
            <v>519</v>
          </cell>
          <cell r="K327">
            <v>44.103054111905934</v>
          </cell>
          <cell r="N327">
            <v>2665621</v>
          </cell>
          <cell r="O327">
            <v>47305916</v>
          </cell>
        </row>
        <row r="328">
          <cell r="A328">
            <v>305</v>
          </cell>
          <cell r="B328">
            <v>13</v>
          </cell>
          <cell r="C328">
            <v>60480</v>
          </cell>
          <cell r="D328">
            <v>12096</v>
          </cell>
          <cell r="E328">
            <v>437580.00000000012</v>
          </cell>
          <cell r="F328">
            <v>7293.0000000000018</v>
          </cell>
          <cell r="G328">
            <v>121.55000000000003</v>
          </cell>
          <cell r="H328">
            <v>5.0645833333333341</v>
          </cell>
          <cell r="I328">
            <v>528</v>
          </cell>
          <cell r="K328">
            <v>45.075827179520012</v>
          </cell>
          <cell r="N328">
            <v>2740162</v>
          </cell>
          <cell r="O328">
            <v>49971537</v>
          </cell>
        </row>
        <row r="329">
          <cell r="A329">
            <v>306</v>
          </cell>
          <cell r="B329">
            <v>13</v>
          </cell>
          <cell r="C329">
            <v>72576</v>
          </cell>
          <cell r="D329">
            <v>12096</v>
          </cell>
          <cell r="E329">
            <v>449676.00000000012</v>
          </cell>
          <cell r="F329">
            <v>7494.6000000000022</v>
          </cell>
          <cell r="G329">
            <v>124.91000000000004</v>
          </cell>
          <cell r="H329">
            <v>5.2045833333333347</v>
          </cell>
          <cell r="I329">
            <v>537</v>
          </cell>
          <cell r="K329">
            <v>46.061095657205939</v>
          </cell>
          <cell r="N329">
            <v>2816078</v>
          </cell>
          <cell r="O329">
            <v>52711699</v>
          </cell>
        </row>
        <row r="330">
          <cell r="A330">
            <v>307</v>
          </cell>
          <cell r="B330">
            <v>13</v>
          </cell>
          <cell r="C330">
            <v>84672.000000000015</v>
          </cell>
          <cell r="D330">
            <v>12096.000000000015</v>
          </cell>
          <cell r="E330">
            <v>461772.00000000012</v>
          </cell>
          <cell r="F330">
            <v>7696.2000000000016</v>
          </cell>
          <cell r="G330">
            <v>128.27000000000004</v>
          </cell>
          <cell r="H330">
            <v>5.3445833333333352</v>
          </cell>
          <cell r="I330">
            <v>546</v>
          </cell>
          <cell r="K330">
            <v>47.058996874895001</v>
          </cell>
          <cell r="N330">
            <v>2893390</v>
          </cell>
          <cell r="O330">
            <v>55527777</v>
          </cell>
        </row>
        <row r="331">
          <cell r="A331">
            <v>308</v>
          </cell>
          <cell r="B331">
            <v>13</v>
          </cell>
          <cell r="C331">
            <v>96768</v>
          </cell>
          <cell r="D331">
            <v>12095.999999999985</v>
          </cell>
          <cell r="E331">
            <v>473868.00000000012</v>
          </cell>
          <cell r="F331">
            <v>7897.800000000002</v>
          </cell>
          <cell r="G331">
            <v>131.63000000000002</v>
          </cell>
          <cell r="H331">
            <v>5.484583333333334</v>
          </cell>
          <cell r="I331">
            <v>555</v>
          </cell>
          <cell r="K331">
            <v>48.069669097460938</v>
          </cell>
          <cell r="N331">
            <v>2972123</v>
          </cell>
          <cell r="O331">
            <v>58421167</v>
          </cell>
        </row>
        <row r="332">
          <cell r="A332">
            <v>309</v>
          </cell>
          <cell r="B332">
            <v>13</v>
          </cell>
          <cell r="C332">
            <v>108864</v>
          </cell>
          <cell r="D332">
            <v>12096</v>
          </cell>
          <cell r="E332">
            <v>485964.00000000012</v>
          </cell>
          <cell r="F332">
            <v>8099.4000000000024</v>
          </cell>
          <cell r="G332">
            <v>134.99000000000004</v>
          </cell>
          <cell r="H332">
            <v>5.6245833333333346</v>
          </cell>
          <cell r="I332">
            <v>564</v>
          </cell>
          <cell r="K332">
            <v>49.093251524719996</v>
          </cell>
          <cell r="N332">
            <v>3052297</v>
          </cell>
          <cell r="O332">
            <v>61393290</v>
          </cell>
        </row>
        <row r="333">
          <cell r="A333">
            <v>310</v>
          </cell>
          <cell r="B333">
            <v>13</v>
          </cell>
          <cell r="C333">
            <v>120960</v>
          </cell>
          <cell r="D333">
            <v>12096</v>
          </cell>
          <cell r="E333">
            <v>498060.00000000012</v>
          </cell>
          <cell r="F333">
            <v>8301.0000000000018</v>
          </cell>
          <cell r="G333">
            <v>138.35000000000002</v>
          </cell>
          <cell r="H333">
            <v>5.7645833333333343</v>
          </cell>
          <cell r="I333">
            <v>573</v>
          </cell>
          <cell r="K333">
            <v>50.129884291430933</v>
          </cell>
          <cell r="N333">
            <v>3133936</v>
          </cell>
          <cell r="O333">
            <v>64445587</v>
          </cell>
        </row>
        <row r="334">
          <cell r="A334">
            <v>311</v>
          </cell>
          <cell r="B334">
            <v>13</v>
          </cell>
          <cell r="C334">
            <v>133056</v>
          </cell>
          <cell r="D334">
            <v>12096</v>
          </cell>
          <cell r="E334">
            <v>510156.00000000012</v>
          </cell>
          <cell r="F334">
            <v>8502.6000000000022</v>
          </cell>
          <cell r="G334">
            <v>141.71000000000004</v>
          </cell>
          <cell r="H334">
            <v>5.9045833333333348</v>
          </cell>
          <cell r="I334">
            <v>581</v>
          </cell>
          <cell r="K334">
            <v>51.06240550178093</v>
          </cell>
          <cell r="N334">
            <v>3207753</v>
          </cell>
          <cell r="O334">
            <v>67579523</v>
          </cell>
        </row>
        <row r="335">
          <cell r="A335">
            <v>312</v>
          </cell>
          <cell r="B335">
            <v>13</v>
          </cell>
          <cell r="C335">
            <v>145152</v>
          </cell>
          <cell r="D335">
            <v>12096</v>
          </cell>
          <cell r="E335">
            <v>522252.00000000012</v>
          </cell>
          <cell r="F335">
            <v>8704.2000000000025</v>
          </cell>
          <cell r="G335">
            <v>145.07000000000005</v>
          </cell>
          <cell r="H335">
            <v>6.0445833333333354</v>
          </cell>
          <cell r="I335">
            <v>590</v>
          </cell>
          <cell r="K335">
            <v>52.124074559374989</v>
          </cell>
          <cell r="N335">
            <v>3292223</v>
          </cell>
          <cell r="O335">
            <v>70787276</v>
          </cell>
        </row>
        <row r="336">
          <cell r="A336">
            <v>313</v>
          </cell>
          <cell r="B336">
            <v>13</v>
          </cell>
          <cell r="C336">
            <v>157248</v>
          </cell>
          <cell r="D336">
            <v>12096</v>
          </cell>
          <cell r="E336">
            <v>534348.00000000012</v>
          </cell>
          <cell r="F336">
            <v>8905.8000000000011</v>
          </cell>
          <cell r="G336">
            <v>148.43</v>
          </cell>
          <cell r="H336">
            <v>6.1845833333333333</v>
          </cell>
          <cell r="I336">
            <v>599</v>
          </cell>
          <cell r="K336">
            <v>53.199204042005931</v>
          </cell>
          <cell r="N336">
            <v>3378226</v>
          </cell>
          <cell r="O336">
            <v>74079499</v>
          </cell>
        </row>
        <row r="337">
          <cell r="A337">
            <v>314</v>
          </cell>
          <cell r="B337">
            <v>13</v>
          </cell>
          <cell r="C337">
            <v>169344.00000000003</v>
          </cell>
          <cell r="D337">
            <v>12096.000000000029</v>
          </cell>
          <cell r="E337">
            <v>546444.00000000012</v>
          </cell>
          <cell r="F337">
            <v>9107.4000000000015</v>
          </cell>
          <cell r="G337">
            <v>151.79000000000002</v>
          </cell>
          <cell r="H337">
            <v>6.3245833333333339</v>
          </cell>
          <cell r="I337">
            <v>606</v>
          </cell>
          <cell r="K337">
            <v>54.044813835695003</v>
          </cell>
          <cell r="N337">
            <v>3446191</v>
          </cell>
          <cell r="O337">
            <v>77457725</v>
          </cell>
        </row>
        <row r="338">
          <cell r="A338">
            <v>315</v>
          </cell>
          <cell r="B338">
            <v>13</v>
          </cell>
          <cell r="C338">
            <v>181440</v>
          </cell>
          <cell r="D338">
            <v>12095.999999999971</v>
          </cell>
          <cell r="E338">
            <v>558540.00000000012</v>
          </cell>
          <cell r="F338">
            <v>9309.0000000000018</v>
          </cell>
          <cell r="G338">
            <v>155.15000000000003</v>
          </cell>
          <cell r="H338">
            <v>6.4645833333333345</v>
          </cell>
          <cell r="I338">
            <v>614</v>
          </cell>
          <cell r="K338">
            <v>55.021389480095003</v>
          </cell>
          <cell r="N338">
            <v>3525033</v>
          </cell>
          <cell r="O338">
            <v>80903916</v>
          </cell>
        </row>
        <row r="339">
          <cell r="A339">
            <v>316</v>
          </cell>
          <cell r="B339">
            <v>13</v>
          </cell>
          <cell r="C339">
            <v>193536</v>
          </cell>
          <cell r="D339">
            <v>12096</v>
          </cell>
          <cell r="E339">
            <v>570636.00000000012</v>
          </cell>
          <cell r="F339">
            <v>9510.6000000000022</v>
          </cell>
          <cell r="G339">
            <v>158.51000000000005</v>
          </cell>
          <cell r="H339">
            <v>6.604583333333335</v>
          </cell>
          <cell r="I339">
            <v>622</v>
          </cell>
          <cell r="K339">
            <v>56.008905074894997</v>
          </cell>
          <cell r="N339">
            <v>3605137</v>
          </cell>
          <cell r="O339">
            <v>84428949</v>
          </cell>
        </row>
        <row r="340">
          <cell r="A340">
            <v>317</v>
          </cell>
          <cell r="B340">
            <v>13</v>
          </cell>
          <cell r="C340">
            <v>205632.00000000003</v>
          </cell>
          <cell r="D340">
            <v>12096.000000000029</v>
          </cell>
          <cell r="E340">
            <v>582732.00000000012</v>
          </cell>
          <cell r="F340">
            <v>9712.2000000000025</v>
          </cell>
          <cell r="G340">
            <v>161.87000000000003</v>
          </cell>
          <cell r="H340">
            <v>6.7445833333333347</v>
          </cell>
          <cell r="I340">
            <v>629</v>
          </cell>
          <cell r="K340">
            <v>56.882036111480936</v>
          </cell>
          <cell r="N340">
            <v>3676275</v>
          </cell>
          <cell r="O340">
            <v>88034086</v>
          </cell>
        </row>
        <row r="341">
          <cell r="A341">
            <v>318</v>
          </cell>
          <cell r="B341">
            <v>13</v>
          </cell>
          <cell r="C341">
            <v>217728</v>
          </cell>
          <cell r="D341">
            <v>12095.999999999971</v>
          </cell>
          <cell r="E341">
            <v>594828.00000000012</v>
          </cell>
          <cell r="F341">
            <v>9913.8000000000011</v>
          </cell>
          <cell r="G341">
            <v>165.23000000000002</v>
          </cell>
          <cell r="H341">
            <v>6.8845833333333344</v>
          </cell>
          <cell r="I341">
            <v>637</v>
          </cell>
          <cell r="K341">
            <v>57.890341351830941</v>
          </cell>
          <cell r="N341">
            <v>3758790</v>
          </cell>
          <cell r="O341">
            <v>91710361</v>
          </cell>
        </row>
        <row r="342">
          <cell r="A342">
            <v>319</v>
          </cell>
          <cell r="B342">
            <v>13</v>
          </cell>
          <cell r="C342">
            <v>229824</v>
          </cell>
          <cell r="D342">
            <v>12096</v>
          </cell>
          <cell r="E342">
            <v>606924.00000000012</v>
          </cell>
          <cell r="F342">
            <v>10115.400000000001</v>
          </cell>
          <cell r="G342">
            <v>168.59000000000003</v>
          </cell>
          <cell r="H342">
            <v>7.024583333333335</v>
          </cell>
          <cell r="I342">
            <v>644</v>
          </cell>
          <cell r="K342">
            <v>58.781822526319999</v>
          </cell>
          <cell r="N342">
            <v>3832065</v>
          </cell>
          <cell r="O342">
            <v>95469151</v>
          </cell>
        </row>
        <row r="343">
          <cell r="A343">
            <v>320</v>
          </cell>
          <cell r="B343">
            <v>13</v>
          </cell>
          <cell r="C343">
            <v>241920</v>
          </cell>
          <cell r="D343">
            <v>12096</v>
          </cell>
          <cell r="E343">
            <v>619020.00000000012</v>
          </cell>
          <cell r="F343">
            <v>10317.000000000002</v>
          </cell>
          <cell r="G343">
            <v>171.95000000000002</v>
          </cell>
          <cell r="H343">
            <v>7.1645833333333337</v>
          </cell>
          <cell r="I343">
            <v>652</v>
          </cell>
          <cell r="K343">
            <v>59.81128227672</v>
          </cell>
          <cell r="N343">
            <v>3917052</v>
          </cell>
          <cell r="O343">
            <v>99301216</v>
          </cell>
        </row>
        <row r="344">
          <cell r="A344">
            <v>321</v>
          </cell>
          <cell r="B344">
            <v>13</v>
          </cell>
          <cell r="C344">
            <v>254016</v>
          </cell>
          <cell r="D344">
            <v>12096</v>
          </cell>
          <cell r="E344">
            <v>631116.00000000012</v>
          </cell>
          <cell r="F344">
            <v>10518.600000000002</v>
          </cell>
          <cell r="G344">
            <v>175.31000000000003</v>
          </cell>
          <cell r="H344">
            <v>7.3045833333333343</v>
          </cell>
          <cell r="I344">
            <v>659</v>
          </cell>
          <cell r="K344">
            <v>60.72143452883094</v>
          </cell>
          <cell r="N344">
            <v>3992517</v>
          </cell>
          <cell r="O344">
            <v>103218268</v>
          </cell>
        </row>
        <row r="345">
          <cell r="A345">
            <v>322</v>
          </cell>
          <cell r="B345">
            <v>13</v>
          </cell>
          <cell r="C345">
            <v>266112</v>
          </cell>
          <cell r="D345">
            <v>12096</v>
          </cell>
          <cell r="E345">
            <v>643212.00000000012</v>
          </cell>
          <cell r="F345">
            <v>10720.200000000003</v>
          </cell>
          <cell r="G345">
            <v>178.67000000000004</v>
          </cell>
          <cell r="H345">
            <v>7.4445833333333349</v>
          </cell>
          <cell r="I345">
            <v>666</v>
          </cell>
          <cell r="K345">
            <v>61.640410730495006</v>
          </cell>
          <cell r="N345">
            <v>4069023</v>
          </cell>
          <cell r="O345">
            <v>107210785</v>
          </cell>
        </row>
        <row r="346">
          <cell r="A346">
            <v>323</v>
          </cell>
          <cell r="B346">
            <v>13</v>
          </cell>
          <cell r="C346">
            <v>278208</v>
          </cell>
          <cell r="D346">
            <v>12096</v>
          </cell>
          <cell r="E346">
            <v>655308.00000000012</v>
          </cell>
          <cell r="F346">
            <v>10921.800000000001</v>
          </cell>
          <cell r="G346">
            <v>182.03000000000003</v>
          </cell>
          <cell r="H346">
            <v>7.5845833333333346</v>
          </cell>
          <cell r="I346">
            <v>673</v>
          </cell>
          <cell r="K346">
            <v>62.568281850555948</v>
          </cell>
          <cell r="N346">
            <v>4146582</v>
          </cell>
          <cell r="O346">
            <v>111279808</v>
          </cell>
        </row>
        <row r="347">
          <cell r="A347">
            <v>324</v>
          </cell>
          <cell r="B347">
            <v>13</v>
          </cell>
          <cell r="C347">
            <v>290304</v>
          </cell>
          <cell r="D347">
            <v>12096</v>
          </cell>
          <cell r="E347">
            <v>667404.00000000012</v>
          </cell>
          <cell r="F347">
            <v>11123.400000000001</v>
          </cell>
          <cell r="G347">
            <v>185.39000000000001</v>
          </cell>
          <cell r="H347">
            <v>7.7245833333333342</v>
          </cell>
          <cell r="I347">
            <v>681</v>
          </cell>
          <cell r="K347">
            <v>63.639689217905939</v>
          </cell>
          <cell r="N347">
            <v>4236525</v>
          </cell>
          <cell r="O347">
            <v>115426390</v>
          </cell>
        </row>
        <row r="348">
          <cell r="A348">
            <v>325</v>
          </cell>
          <cell r="B348">
            <v>13</v>
          </cell>
          <cell r="C348">
            <v>302400</v>
          </cell>
          <cell r="D348">
            <v>12096</v>
          </cell>
          <cell r="E348">
            <v>679500.00000000012</v>
          </cell>
          <cell r="F348">
            <v>11325.000000000002</v>
          </cell>
          <cell r="G348">
            <v>188.75000000000003</v>
          </cell>
          <cell r="H348">
            <v>7.8645833333333348</v>
          </cell>
          <cell r="I348">
            <v>688</v>
          </cell>
          <cell r="K348">
            <v>64.586861445119993</v>
          </cell>
          <cell r="N348">
            <v>4316380</v>
          </cell>
          <cell r="O348">
            <v>119662915</v>
          </cell>
        </row>
        <row r="349">
          <cell r="A349">
            <v>326</v>
          </cell>
          <cell r="B349">
            <v>13</v>
          </cell>
          <cell r="C349">
            <v>314496</v>
          </cell>
          <cell r="D349">
            <v>12096</v>
          </cell>
          <cell r="E349">
            <v>691596.00000000012</v>
          </cell>
          <cell r="F349">
            <v>11526.600000000002</v>
          </cell>
          <cell r="G349">
            <v>192.11000000000004</v>
          </cell>
          <cell r="H349">
            <v>8.0045833333333345</v>
          </cell>
          <cell r="I349">
            <v>695</v>
          </cell>
          <cell r="K349">
            <v>65.543153863085934</v>
          </cell>
          <cell r="N349">
            <v>4397326</v>
          </cell>
          <cell r="O349">
            <v>123979295</v>
          </cell>
        </row>
        <row r="350">
          <cell r="A350">
            <v>327</v>
          </cell>
          <cell r="B350">
            <v>13</v>
          </cell>
          <cell r="C350">
            <v>326592</v>
          </cell>
          <cell r="D350">
            <v>12096</v>
          </cell>
          <cell r="E350">
            <v>703692.00000000012</v>
          </cell>
          <cell r="F350">
            <v>11728.200000000003</v>
          </cell>
          <cell r="G350">
            <v>195.47000000000006</v>
          </cell>
          <cell r="H350">
            <v>8.1445833333333351</v>
          </cell>
          <cell r="I350">
            <v>702</v>
          </cell>
          <cell r="K350">
            <v>66.508638858094997</v>
          </cell>
          <cell r="N350">
            <v>4479375</v>
          </cell>
          <cell r="O350">
            <v>128376621</v>
          </cell>
        </row>
        <row r="351">
          <cell r="A351">
            <v>328</v>
          </cell>
          <cell r="B351">
            <v>13</v>
          </cell>
          <cell r="C351">
            <v>338688.00000000006</v>
          </cell>
          <cell r="D351">
            <v>12096.000000000058</v>
          </cell>
          <cell r="E351">
            <v>715788.00000000023</v>
          </cell>
          <cell r="F351">
            <v>11929.800000000005</v>
          </cell>
          <cell r="G351">
            <v>198.83000000000007</v>
          </cell>
          <cell r="H351">
            <v>8.2845833333333356</v>
          </cell>
          <cell r="I351">
            <v>709</v>
          </cell>
          <cell r="K351">
            <v>67.483389158580948</v>
          </cell>
          <cell r="N351">
            <v>4562540</v>
          </cell>
          <cell r="O351">
            <v>132855996</v>
          </cell>
        </row>
        <row r="352">
          <cell r="A352">
            <v>329</v>
          </cell>
          <cell r="B352">
            <v>13</v>
          </cell>
          <cell r="C352">
            <v>350784</v>
          </cell>
          <cell r="D352">
            <v>12095.999999999942</v>
          </cell>
          <cell r="E352">
            <v>727884.00000000023</v>
          </cell>
          <cell r="F352">
            <v>12131.400000000003</v>
          </cell>
          <cell r="G352">
            <v>202.19000000000005</v>
          </cell>
          <cell r="H352">
            <v>8.4245833333333362</v>
          </cell>
          <cell r="I352">
            <v>716</v>
          </cell>
          <cell r="K352">
            <v>68.467477835119993</v>
          </cell>
          <cell r="N352">
            <v>4646832</v>
          </cell>
          <cell r="O352">
            <v>137418536</v>
          </cell>
        </row>
        <row r="353">
          <cell r="A353">
            <v>330</v>
          </cell>
          <cell r="B353">
            <v>13</v>
          </cell>
          <cell r="C353">
            <v>362880</v>
          </cell>
          <cell r="D353">
            <v>12096</v>
          </cell>
          <cell r="E353">
            <v>739980.00000000023</v>
          </cell>
          <cell r="F353">
            <v>12333.000000000004</v>
          </cell>
          <cell r="G353">
            <v>205.55000000000007</v>
          </cell>
          <cell r="H353">
            <v>8.5645833333333368</v>
          </cell>
          <cell r="I353">
            <v>722</v>
          </cell>
          <cell r="K353">
            <v>69.318470638894993</v>
          </cell>
          <cell r="N353">
            <v>4719991</v>
          </cell>
          <cell r="O353">
            <v>142065368</v>
          </cell>
        </row>
        <row r="354">
          <cell r="A354">
            <v>331</v>
          </cell>
          <cell r="B354">
            <v>13</v>
          </cell>
          <cell r="C354">
            <v>374976</v>
          </cell>
          <cell r="D354">
            <v>12096</v>
          </cell>
          <cell r="E354">
            <v>752076.00000000023</v>
          </cell>
          <cell r="F354">
            <v>12534.600000000004</v>
          </cell>
          <cell r="G354">
            <v>208.91000000000005</v>
          </cell>
          <cell r="H354">
            <v>8.7045833333333356</v>
          </cell>
          <cell r="I354">
            <v>729</v>
          </cell>
          <cell r="K354">
            <v>70.320097041605933</v>
          </cell>
          <cell r="N354">
            <v>4806412</v>
          </cell>
          <cell r="O354">
            <v>146785359</v>
          </cell>
        </row>
        <row r="355">
          <cell r="A355">
            <v>332</v>
          </cell>
          <cell r="B355">
            <v>13</v>
          </cell>
          <cell r="C355">
            <v>387072</v>
          </cell>
          <cell r="D355">
            <v>12096</v>
          </cell>
          <cell r="E355">
            <v>764172.00000000023</v>
          </cell>
          <cell r="F355">
            <v>12736.200000000004</v>
          </cell>
          <cell r="G355">
            <v>212.27000000000007</v>
          </cell>
          <cell r="H355">
            <v>8.8445833333333361</v>
          </cell>
          <cell r="I355">
            <v>736</v>
          </cell>
          <cell r="K355">
            <v>71.331272478719995</v>
          </cell>
          <cell r="N355">
            <v>4893997</v>
          </cell>
          <cell r="O355">
            <v>151591771</v>
          </cell>
        </row>
        <row r="356">
          <cell r="A356">
            <v>333</v>
          </cell>
          <cell r="B356">
            <v>13</v>
          </cell>
          <cell r="C356">
            <v>399168</v>
          </cell>
          <cell r="D356">
            <v>12096</v>
          </cell>
          <cell r="E356">
            <v>776268.00000000023</v>
          </cell>
          <cell r="F356">
            <v>12937.800000000005</v>
          </cell>
          <cell r="G356">
            <v>215.63000000000008</v>
          </cell>
          <cell r="H356">
            <v>8.9845833333333367</v>
          </cell>
          <cell r="I356">
            <v>743</v>
          </cell>
          <cell r="K356">
            <v>72.352071340505944</v>
          </cell>
          <cell r="N356">
            <v>4982758</v>
          </cell>
          <cell r="O356">
            <v>156485768</v>
          </cell>
        </row>
        <row r="357">
          <cell r="A357">
            <v>334</v>
          </cell>
          <cell r="B357">
            <v>13</v>
          </cell>
          <cell r="C357">
            <v>411264.00000000006</v>
          </cell>
          <cell r="D357">
            <v>12096.000000000058</v>
          </cell>
          <cell r="E357">
            <v>788364.00000000023</v>
          </cell>
          <cell r="F357">
            <v>13139.400000000003</v>
          </cell>
          <cell r="G357">
            <v>218.99000000000007</v>
          </cell>
          <cell r="H357">
            <v>9.1245833333333355</v>
          </cell>
          <cell r="I357">
            <v>749</v>
          </cell>
          <cell r="K357">
            <v>73.234757893130947</v>
          </cell>
          <cell r="N357">
            <v>5059786</v>
          </cell>
          <cell r="O357">
            <v>161468526</v>
          </cell>
        </row>
        <row r="358">
          <cell r="A358">
            <v>335</v>
          </cell>
          <cell r="B358">
            <v>13</v>
          </cell>
          <cell r="C358">
            <v>423360</v>
          </cell>
          <cell r="D358">
            <v>12095.999999999942</v>
          </cell>
          <cell r="E358">
            <v>800460.00000000023</v>
          </cell>
          <cell r="F358">
            <v>13341.000000000004</v>
          </cell>
          <cell r="G358">
            <v>222.35000000000005</v>
          </cell>
          <cell r="H358">
            <v>9.2645833333333361</v>
          </cell>
          <cell r="I358">
            <v>756</v>
          </cell>
          <cell r="K358">
            <v>74.273627358319999</v>
          </cell>
          <cell r="N358">
            <v>5150768</v>
          </cell>
          <cell r="O358">
            <v>166528312</v>
          </cell>
        </row>
        <row r="359">
          <cell r="A359">
            <v>336</v>
          </cell>
          <cell r="B359">
            <v>13</v>
          </cell>
          <cell r="C359">
            <v>435456</v>
          </cell>
          <cell r="D359">
            <v>12096</v>
          </cell>
          <cell r="E359">
            <v>812556.00000000023</v>
          </cell>
          <cell r="F359">
            <v>13542.600000000004</v>
          </cell>
          <cell r="G359">
            <v>225.71000000000006</v>
          </cell>
          <cell r="H359">
            <v>9.4045833333333366</v>
          </cell>
          <cell r="I359">
            <v>763</v>
          </cell>
          <cell r="K359">
            <v>75.322334677080931</v>
          </cell>
          <cell r="N359">
            <v>5242964</v>
          </cell>
          <cell r="O359">
            <v>171679080</v>
          </cell>
        </row>
        <row r="360">
          <cell r="A360">
            <v>337</v>
          </cell>
          <cell r="B360">
            <v>13</v>
          </cell>
          <cell r="C360">
            <v>447552</v>
          </cell>
          <cell r="D360">
            <v>12096</v>
          </cell>
          <cell r="E360">
            <v>824652.00000000023</v>
          </cell>
          <cell r="F360">
            <v>13744.200000000004</v>
          </cell>
          <cell r="G360">
            <v>229.07000000000008</v>
          </cell>
          <cell r="H360">
            <v>9.5445833333333372</v>
          </cell>
          <cell r="I360">
            <v>769</v>
          </cell>
          <cell r="K360">
            <v>76.229114173155935</v>
          </cell>
          <cell r="N360">
            <v>5322964</v>
          </cell>
          <cell r="O360">
            <v>176922044</v>
          </cell>
        </row>
        <row r="361">
          <cell r="A361">
            <v>338</v>
          </cell>
          <cell r="B361">
            <v>13</v>
          </cell>
          <cell r="C361">
            <v>459648</v>
          </cell>
          <cell r="D361">
            <v>12096</v>
          </cell>
          <cell r="E361">
            <v>836748.00000000023</v>
          </cell>
          <cell r="F361">
            <v>13945.800000000005</v>
          </cell>
          <cell r="G361">
            <v>232.43000000000009</v>
          </cell>
          <cell r="H361">
            <v>9.6845833333333378</v>
          </cell>
          <cell r="I361">
            <v>776</v>
          </cell>
          <cell r="K361">
            <v>77.296292913919999</v>
          </cell>
          <cell r="N361">
            <v>5417449</v>
          </cell>
          <cell r="O361">
            <v>182245008</v>
          </cell>
        </row>
        <row r="362">
          <cell r="A362">
            <v>339</v>
          </cell>
          <cell r="B362">
            <v>13</v>
          </cell>
          <cell r="C362">
            <v>471744</v>
          </cell>
          <cell r="D362">
            <v>12096</v>
          </cell>
          <cell r="E362">
            <v>848844.00000000023</v>
          </cell>
          <cell r="F362">
            <v>14147.400000000003</v>
          </cell>
          <cell r="G362">
            <v>235.79000000000005</v>
          </cell>
          <cell r="H362">
            <v>9.8245833333333348</v>
          </cell>
          <cell r="I362">
            <v>782</v>
          </cell>
          <cell r="K362">
            <v>78.219017665294999</v>
          </cell>
          <cell r="N362">
            <v>5499431</v>
          </cell>
          <cell r="O362">
            <v>187662457</v>
          </cell>
        </row>
        <row r="363">
          <cell r="A363">
            <v>340</v>
          </cell>
          <cell r="B363">
            <v>13</v>
          </cell>
          <cell r="C363">
            <v>483840</v>
          </cell>
          <cell r="D363">
            <v>12096</v>
          </cell>
          <cell r="E363">
            <v>860940.00000000023</v>
          </cell>
          <cell r="F363">
            <v>14349.000000000004</v>
          </cell>
          <cell r="G363">
            <v>239.15000000000006</v>
          </cell>
          <cell r="H363">
            <v>9.9645833333333353</v>
          </cell>
          <cell r="I363">
            <v>789</v>
          </cell>
          <cell r="K363">
            <v>79.304931141680939</v>
          </cell>
          <cell r="N363">
            <v>5596250</v>
          </cell>
          <cell r="O363">
            <v>193161888</v>
          </cell>
        </row>
        <row r="364">
          <cell r="A364">
            <v>341</v>
          </cell>
          <cell r="B364">
            <v>13</v>
          </cell>
          <cell r="C364">
            <v>495935.99999999994</v>
          </cell>
          <cell r="D364">
            <v>12095.999999999942</v>
          </cell>
          <cell r="E364">
            <v>873036.00000000023</v>
          </cell>
          <cell r="F364">
            <v>14550.600000000004</v>
          </cell>
          <cell r="G364">
            <v>242.51000000000008</v>
          </cell>
          <cell r="H364">
            <v>10.104583333333336</v>
          </cell>
          <cell r="I364">
            <v>795</v>
          </cell>
          <cell r="K364">
            <v>80.243827784960942</v>
          </cell>
          <cell r="N364">
            <v>5680253</v>
          </cell>
          <cell r="O364">
            <v>198758138</v>
          </cell>
        </row>
        <row r="365">
          <cell r="A365">
            <v>342</v>
          </cell>
          <cell r="B365">
            <v>13</v>
          </cell>
          <cell r="C365">
            <v>508032</v>
          </cell>
          <cell r="D365">
            <v>12096.000000000058</v>
          </cell>
          <cell r="E365">
            <v>885132.00000000023</v>
          </cell>
          <cell r="F365">
            <v>14752.200000000004</v>
          </cell>
          <cell r="G365">
            <v>245.87000000000006</v>
          </cell>
          <cell r="H365">
            <v>10.244583333333336</v>
          </cell>
          <cell r="I365">
            <v>801</v>
          </cell>
          <cell r="K365">
            <v>81.190265337755932</v>
          </cell>
          <cell r="N365">
            <v>5765202</v>
          </cell>
          <cell r="O365">
            <v>204438391</v>
          </cell>
        </row>
        <row r="366">
          <cell r="A366">
            <v>343</v>
          </cell>
          <cell r="B366">
            <v>13</v>
          </cell>
          <cell r="C366">
            <v>520128</v>
          </cell>
          <cell r="D366">
            <v>12096</v>
          </cell>
          <cell r="E366">
            <v>897228.00000000023</v>
          </cell>
          <cell r="F366">
            <v>14953.800000000005</v>
          </cell>
          <cell r="G366">
            <v>249.23000000000008</v>
          </cell>
          <cell r="H366">
            <v>10.384583333333337</v>
          </cell>
          <cell r="I366">
            <v>808</v>
          </cell>
          <cell r="K366">
            <v>82.304038552320023</v>
          </cell>
          <cell r="N366">
            <v>5865516</v>
          </cell>
          <cell r="O366">
            <v>210203593</v>
          </cell>
        </row>
        <row r="367">
          <cell r="A367">
            <v>344</v>
          </cell>
          <cell r="B367">
            <v>13</v>
          </cell>
          <cell r="C367">
            <v>532224</v>
          </cell>
          <cell r="D367">
            <v>12096</v>
          </cell>
          <cell r="E367">
            <v>909324.00000000023</v>
          </cell>
          <cell r="F367">
            <v>15155.400000000003</v>
          </cell>
          <cell r="G367">
            <v>252.59000000000006</v>
          </cell>
          <cell r="H367">
            <v>10.524583333333336</v>
          </cell>
          <cell r="I367">
            <v>814</v>
          </cell>
          <cell r="K367">
            <v>83.266982614094985</v>
          </cell>
          <cell r="N367">
            <v>5952545</v>
          </cell>
          <cell r="O367">
            <v>216069109</v>
          </cell>
        </row>
        <row r="368">
          <cell r="A368">
            <v>345</v>
          </cell>
          <cell r="B368">
            <v>13</v>
          </cell>
          <cell r="C368">
            <v>544320</v>
          </cell>
          <cell r="D368">
            <v>12096</v>
          </cell>
          <cell r="E368">
            <v>921420.00000000023</v>
          </cell>
          <cell r="F368">
            <v>15357.000000000004</v>
          </cell>
          <cell r="G368">
            <v>255.95000000000007</v>
          </cell>
          <cell r="H368">
            <v>10.664583333333336</v>
          </cell>
          <cell r="I368">
            <v>820</v>
          </cell>
          <cell r="K368">
            <v>84.237622949999988</v>
          </cell>
          <cell r="N368">
            <v>6040546</v>
          </cell>
          <cell r="O368">
            <v>222021654</v>
          </cell>
        </row>
        <row r="369">
          <cell r="A369">
            <v>346</v>
          </cell>
          <cell r="B369">
            <v>13</v>
          </cell>
          <cell r="C369">
            <v>556416</v>
          </cell>
          <cell r="D369">
            <v>12096</v>
          </cell>
          <cell r="E369">
            <v>933516.00000000023</v>
          </cell>
          <cell r="F369">
            <v>15558.600000000004</v>
          </cell>
          <cell r="G369">
            <v>259.31000000000006</v>
          </cell>
          <cell r="H369">
            <v>10.804583333333335</v>
          </cell>
          <cell r="I369">
            <v>826</v>
          </cell>
          <cell r="K369">
            <v>85.216009007295</v>
          </cell>
          <cell r="N369">
            <v>6129530</v>
          </cell>
          <cell r="O369">
            <v>228062200</v>
          </cell>
        </row>
        <row r="370">
          <cell r="A370">
            <v>347</v>
          </cell>
          <cell r="B370">
            <v>13</v>
          </cell>
          <cell r="C370">
            <v>568512</v>
          </cell>
          <cell r="D370">
            <v>12096</v>
          </cell>
          <cell r="E370">
            <v>945612.00000000023</v>
          </cell>
          <cell r="F370">
            <v>15760.200000000004</v>
          </cell>
          <cell r="G370">
            <v>262.67000000000007</v>
          </cell>
          <cell r="H370">
            <v>10.944583333333336</v>
          </cell>
          <cell r="I370">
            <v>832</v>
          </cell>
          <cell r="K370">
            <v>86.202190417920008</v>
          </cell>
          <cell r="N370">
            <v>6219504</v>
          </cell>
          <cell r="O370">
            <v>234191730</v>
          </cell>
        </row>
        <row r="371">
          <cell r="A371">
            <v>348</v>
          </cell>
          <cell r="B371">
            <v>13</v>
          </cell>
          <cell r="C371">
            <v>580608</v>
          </cell>
          <cell r="D371">
            <v>12096</v>
          </cell>
          <cell r="E371">
            <v>957708.00000000023</v>
          </cell>
          <cell r="F371">
            <v>15961.800000000005</v>
          </cell>
          <cell r="G371">
            <v>266.03000000000009</v>
          </cell>
          <cell r="H371">
            <v>11.084583333333336</v>
          </cell>
          <cell r="I371">
            <v>838</v>
          </cell>
          <cell r="K371">
            <v>87.196216998495004</v>
          </cell>
          <cell r="N371">
            <v>6310477</v>
          </cell>
          <cell r="O371">
            <v>240411234</v>
          </cell>
        </row>
        <row r="372">
          <cell r="A372">
            <v>349</v>
          </cell>
          <cell r="B372">
            <v>13</v>
          </cell>
          <cell r="C372">
            <v>592704</v>
          </cell>
          <cell r="D372">
            <v>12096</v>
          </cell>
          <cell r="E372">
            <v>969804.00000000023</v>
          </cell>
          <cell r="F372">
            <v>16163.400000000003</v>
          </cell>
          <cell r="G372">
            <v>269.39000000000004</v>
          </cell>
          <cell r="H372">
            <v>11.224583333333335</v>
          </cell>
          <cell r="I372">
            <v>844</v>
          </cell>
          <cell r="K372">
            <v>88.198138750319998</v>
          </cell>
          <cell r="N372">
            <v>6402459</v>
          </cell>
          <cell r="O372">
            <v>246721711</v>
          </cell>
        </row>
        <row r="373">
          <cell r="A373">
            <v>350</v>
          </cell>
          <cell r="B373">
            <v>13</v>
          </cell>
          <cell r="C373">
            <v>604800</v>
          </cell>
          <cell r="D373">
            <v>12096</v>
          </cell>
          <cell r="E373">
            <v>981900.00000000023</v>
          </cell>
          <cell r="F373">
            <v>16365.000000000004</v>
          </cell>
          <cell r="G373">
            <v>272.75000000000006</v>
          </cell>
          <cell r="H373">
            <v>11.364583333333336</v>
          </cell>
          <cell r="I373">
            <v>850</v>
          </cell>
          <cell r="K373">
            <v>89.208005859375007</v>
          </cell>
          <cell r="N373">
            <v>6495457</v>
          </cell>
          <cell r="O373">
            <v>253124170</v>
          </cell>
        </row>
        <row r="374">
          <cell r="A374">
            <v>351</v>
          </cell>
          <cell r="B374">
            <v>14</v>
          </cell>
          <cell r="C374">
            <v>12096</v>
          </cell>
          <cell r="D374">
            <v>12096</v>
          </cell>
          <cell r="E374">
            <v>993996.00000000023</v>
          </cell>
          <cell r="F374">
            <v>16566.600000000002</v>
          </cell>
          <cell r="G374">
            <v>276.11</v>
          </cell>
          <cell r="H374">
            <v>11.504583333333334</v>
          </cell>
          <cell r="I374">
            <v>856</v>
          </cell>
          <cell r="K374">
            <v>90.225868696319992</v>
          </cell>
          <cell r="N374">
            <v>6589482</v>
          </cell>
          <cell r="O374">
            <v>259619627</v>
          </cell>
        </row>
        <row r="375">
          <cell r="A375">
            <v>352</v>
          </cell>
          <cell r="B375">
            <v>14</v>
          </cell>
          <cell r="C375">
            <v>24192</v>
          </cell>
          <cell r="D375">
            <v>12096</v>
          </cell>
          <cell r="E375">
            <v>1006092.0000000002</v>
          </cell>
          <cell r="F375">
            <v>16768.200000000004</v>
          </cell>
          <cell r="G375">
            <v>279.47000000000008</v>
          </cell>
          <cell r="H375">
            <v>11.644583333333337</v>
          </cell>
          <cell r="I375">
            <v>862</v>
          </cell>
          <cell r="K375">
            <v>91.251777816494993</v>
          </cell>
          <cell r="N375">
            <v>6684541</v>
          </cell>
          <cell r="O375">
            <v>266209109</v>
          </cell>
        </row>
        <row r="376">
          <cell r="A376">
            <v>353</v>
          </cell>
          <cell r="B376">
            <v>14</v>
          </cell>
          <cell r="C376">
            <v>36288</v>
          </cell>
          <cell r="D376">
            <v>12096</v>
          </cell>
          <cell r="E376">
            <v>1018188.0000000002</v>
          </cell>
          <cell r="F376">
            <v>16969.800000000003</v>
          </cell>
          <cell r="G376">
            <v>282.83000000000004</v>
          </cell>
          <cell r="H376">
            <v>11.784583333333336</v>
          </cell>
          <cell r="I376">
            <v>867</v>
          </cell>
          <cell r="K376">
            <v>92.112885150530929</v>
          </cell>
          <cell r="N376">
            <v>6764554</v>
          </cell>
          <cell r="O376">
            <v>272893650</v>
          </cell>
        </row>
        <row r="377">
          <cell r="A377">
            <v>354</v>
          </cell>
          <cell r="B377">
            <v>14</v>
          </cell>
          <cell r="C377">
            <v>48384</v>
          </cell>
          <cell r="D377">
            <v>12096</v>
          </cell>
          <cell r="E377">
            <v>1030284.0000000002</v>
          </cell>
          <cell r="F377">
            <v>17171.400000000005</v>
          </cell>
          <cell r="G377">
            <v>286.19000000000011</v>
          </cell>
          <cell r="H377">
            <v>11.924583333333338</v>
          </cell>
          <cell r="I377">
            <v>873</v>
          </cell>
          <cell r="K377">
            <v>93.153677706305928</v>
          </cell>
          <cell r="N377">
            <v>6861533</v>
          </cell>
          <cell r="O377">
            <v>279658204</v>
          </cell>
        </row>
        <row r="378">
          <cell r="A378">
            <v>355</v>
          </cell>
          <cell r="B378">
            <v>14</v>
          </cell>
          <cell r="C378">
            <v>60480</v>
          </cell>
          <cell r="D378">
            <v>12096</v>
          </cell>
          <cell r="E378">
            <v>1042380.0000000002</v>
          </cell>
          <cell r="F378">
            <v>17373.000000000004</v>
          </cell>
          <cell r="G378">
            <v>289.55000000000007</v>
          </cell>
          <cell r="H378">
            <v>12.064583333333337</v>
          </cell>
          <cell r="I378">
            <v>879</v>
          </cell>
          <cell r="K378">
            <v>94.202660788355942</v>
          </cell>
          <cell r="N378">
            <v>6959573</v>
          </cell>
          <cell r="O378">
            <v>286519737</v>
          </cell>
        </row>
        <row r="379">
          <cell r="A379">
            <v>356</v>
          </cell>
          <cell r="B379">
            <v>14</v>
          </cell>
          <cell r="C379">
            <v>72576</v>
          </cell>
          <cell r="D379">
            <v>12096</v>
          </cell>
          <cell r="E379">
            <v>1054476.0000000002</v>
          </cell>
          <cell r="F379">
            <v>17574.600000000002</v>
          </cell>
          <cell r="G379">
            <v>292.91000000000003</v>
          </cell>
          <cell r="H379">
            <v>12.204583333333334</v>
          </cell>
          <cell r="I379">
            <v>885</v>
          </cell>
          <cell r="K379">
            <v>95.259885659960943</v>
          </cell>
          <cell r="N379">
            <v>7058682</v>
          </cell>
          <cell r="O379">
            <v>293479310</v>
          </cell>
        </row>
        <row r="380">
          <cell r="A380">
            <v>357</v>
          </cell>
          <cell r="B380">
            <v>14</v>
          </cell>
          <cell r="C380">
            <v>84672.000000000015</v>
          </cell>
          <cell r="D380">
            <v>12096.000000000015</v>
          </cell>
          <cell r="E380">
            <v>1066572.0000000002</v>
          </cell>
          <cell r="F380">
            <v>17776.200000000004</v>
          </cell>
          <cell r="G380">
            <v>296.2700000000001</v>
          </cell>
          <cell r="H380">
            <v>12.344583333333338</v>
          </cell>
          <cell r="I380">
            <v>890</v>
          </cell>
          <cell r="K380">
            <v>96.147239309374996</v>
          </cell>
          <cell r="N380">
            <v>7142097</v>
          </cell>
          <cell r="O380">
            <v>300537992</v>
          </cell>
        </row>
        <row r="381">
          <cell r="A381">
            <v>358</v>
          </cell>
          <cell r="B381">
            <v>14</v>
          </cell>
          <cell r="C381">
            <v>96768</v>
          </cell>
          <cell r="D381">
            <v>12095.999999999985</v>
          </cell>
          <cell r="E381">
            <v>1078668.0000000002</v>
          </cell>
          <cell r="F381">
            <v>17977.800000000003</v>
          </cell>
          <cell r="G381">
            <v>299.63000000000005</v>
          </cell>
          <cell r="H381">
            <v>12.484583333333335</v>
          </cell>
          <cell r="I381">
            <v>896</v>
          </cell>
          <cell r="K381">
            <v>97.219707883520016</v>
          </cell>
          <cell r="N381">
            <v>7243190</v>
          </cell>
          <cell r="O381">
            <v>307680089</v>
          </cell>
        </row>
        <row r="382">
          <cell r="A382">
            <v>359</v>
          </cell>
          <cell r="B382">
            <v>14</v>
          </cell>
          <cell r="C382">
            <v>108864</v>
          </cell>
          <cell r="D382">
            <v>12096</v>
          </cell>
          <cell r="E382">
            <v>1090764.0000000002</v>
          </cell>
          <cell r="F382">
            <v>18179.400000000005</v>
          </cell>
          <cell r="G382">
            <v>302.99000000000007</v>
          </cell>
          <cell r="H382">
            <v>12.624583333333335</v>
          </cell>
          <cell r="I382">
            <v>901</v>
          </cell>
          <cell r="K382">
            <v>98.119837021380945</v>
          </cell>
          <cell r="N382">
            <v>7328271</v>
          </cell>
          <cell r="O382">
            <v>314923279</v>
          </cell>
        </row>
        <row r="383">
          <cell r="A383">
            <v>360</v>
          </cell>
          <cell r="B383">
            <v>14</v>
          </cell>
          <cell r="C383">
            <v>120960</v>
          </cell>
          <cell r="D383">
            <v>12096</v>
          </cell>
          <cell r="E383">
            <v>1102860.0000000002</v>
          </cell>
          <cell r="F383">
            <v>18381.000000000004</v>
          </cell>
          <cell r="G383">
            <v>306.35000000000008</v>
          </cell>
          <cell r="H383">
            <v>12.764583333333336</v>
          </cell>
          <cell r="I383">
            <v>907</v>
          </cell>
          <cell r="K383">
            <v>99.207723358380932</v>
          </cell>
          <cell r="N383">
            <v>7431380</v>
          </cell>
          <cell r="O383">
            <v>322251550</v>
          </cell>
        </row>
        <row r="384">
          <cell r="A384">
            <v>361</v>
          </cell>
          <cell r="B384">
            <v>14</v>
          </cell>
          <cell r="C384">
            <v>133056</v>
          </cell>
          <cell r="D384">
            <v>12096</v>
          </cell>
          <cell r="E384">
            <v>1114956.0000000002</v>
          </cell>
          <cell r="F384">
            <v>18582.600000000002</v>
          </cell>
          <cell r="G384">
            <v>309.71000000000004</v>
          </cell>
          <cell r="H384">
            <v>12.904583333333335</v>
          </cell>
          <cell r="I384">
            <v>913</v>
          </cell>
          <cell r="K384">
            <v>100.30409315545593</v>
          </cell>
          <cell r="N384">
            <v>7535601</v>
          </cell>
          <cell r="O384">
            <v>329682930</v>
          </cell>
        </row>
        <row r="385">
          <cell r="A385">
            <v>362</v>
          </cell>
          <cell r="B385">
            <v>14</v>
          </cell>
          <cell r="C385">
            <v>145152</v>
          </cell>
          <cell r="D385">
            <v>12096</v>
          </cell>
          <cell r="E385">
            <v>1127052.0000000002</v>
          </cell>
          <cell r="F385">
            <v>18784.200000000004</v>
          </cell>
          <cell r="G385">
            <v>313.07000000000005</v>
          </cell>
          <cell r="H385">
            <v>13.044583333333335</v>
          </cell>
          <cell r="I385">
            <v>918</v>
          </cell>
          <cell r="K385">
            <v>101.224252807295</v>
          </cell>
          <cell r="N385">
            <v>7623308</v>
          </cell>
          <cell r="O385">
            <v>337218531</v>
          </cell>
        </row>
        <row r="386">
          <cell r="A386">
            <v>363</v>
          </cell>
          <cell r="B386">
            <v>14</v>
          </cell>
          <cell r="C386">
            <v>157248</v>
          </cell>
          <cell r="D386">
            <v>12096</v>
          </cell>
          <cell r="E386">
            <v>1139148.0000000002</v>
          </cell>
          <cell r="F386">
            <v>18985.800000000003</v>
          </cell>
          <cell r="G386">
            <v>316.43000000000006</v>
          </cell>
          <cell r="H386">
            <v>13.184583333333336</v>
          </cell>
          <cell r="I386">
            <v>924</v>
          </cell>
          <cell r="K386">
            <v>102.33631160792</v>
          </cell>
          <cell r="N386">
            <v>7729593</v>
          </cell>
          <cell r="O386">
            <v>344841839</v>
          </cell>
        </row>
        <row r="387">
          <cell r="A387">
            <v>364</v>
          </cell>
          <cell r="B387">
            <v>14</v>
          </cell>
          <cell r="C387">
            <v>169344.00000000003</v>
          </cell>
          <cell r="D387">
            <v>12096.000000000029</v>
          </cell>
          <cell r="E387">
            <v>1151244.0000000002</v>
          </cell>
          <cell r="F387">
            <v>19187.400000000005</v>
          </cell>
          <cell r="G387">
            <v>319.79000000000008</v>
          </cell>
          <cell r="H387">
            <v>13.324583333333337</v>
          </cell>
          <cell r="I387">
            <v>929</v>
          </cell>
          <cell r="K387">
            <v>103.26961903935593</v>
          </cell>
          <cell r="N387">
            <v>7819033</v>
          </cell>
          <cell r="O387">
            <v>352571432</v>
          </cell>
        </row>
        <row r="388">
          <cell r="A388">
            <v>365</v>
          </cell>
          <cell r="B388">
            <v>14</v>
          </cell>
          <cell r="C388">
            <v>181440</v>
          </cell>
          <cell r="D388">
            <v>12095.999999999971</v>
          </cell>
          <cell r="E388">
            <v>1163340.0000000002</v>
          </cell>
          <cell r="F388">
            <v>19389.000000000004</v>
          </cell>
          <cell r="G388">
            <v>323.15000000000003</v>
          </cell>
          <cell r="H388">
            <v>13.464583333333335</v>
          </cell>
          <cell r="I388">
            <v>934</v>
          </cell>
          <cell r="K388">
            <v>104.208951582495</v>
          </cell>
          <cell r="N388">
            <v>7909270</v>
          </cell>
          <cell r="O388">
            <v>360390465</v>
          </cell>
        </row>
        <row r="389">
          <cell r="A389">
            <v>366</v>
          </cell>
          <cell r="B389">
            <v>14</v>
          </cell>
          <cell r="C389">
            <v>193536</v>
          </cell>
          <cell r="D389">
            <v>12096</v>
          </cell>
          <cell r="E389">
            <v>1175436.0000000002</v>
          </cell>
          <cell r="F389">
            <v>19590.600000000002</v>
          </cell>
          <cell r="G389">
            <v>326.51000000000005</v>
          </cell>
          <cell r="H389">
            <v>13.604583333333336</v>
          </cell>
          <cell r="I389">
            <v>940</v>
          </cell>
          <cell r="K389">
            <v>105.34414695</v>
          </cell>
          <cell r="N389">
            <v>8018613</v>
          </cell>
          <cell r="O389">
            <v>368299735</v>
          </cell>
        </row>
        <row r="390">
          <cell r="A390">
            <v>367</v>
          </cell>
          <cell r="B390">
            <v>14</v>
          </cell>
          <cell r="C390">
            <v>205632.00000000003</v>
          </cell>
          <cell r="D390">
            <v>12096.000000000029</v>
          </cell>
          <cell r="E390">
            <v>1187532.0000000002</v>
          </cell>
          <cell r="F390">
            <v>19792.200000000004</v>
          </cell>
          <cell r="G390">
            <v>329.87000000000006</v>
          </cell>
          <cell r="H390">
            <v>13.744583333333336</v>
          </cell>
          <cell r="I390">
            <v>945</v>
          </cell>
          <cell r="K390">
            <v>106.29684276933591</v>
          </cell>
          <cell r="N390">
            <v>8110621</v>
          </cell>
          <cell r="O390">
            <v>376318348</v>
          </cell>
        </row>
        <row r="391">
          <cell r="A391">
            <v>368</v>
          </cell>
          <cell r="B391">
            <v>14</v>
          </cell>
          <cell r="C391">
            <v>217728</v>
          </cell>
          <cell r="D391">
            <v>12095.999999999971</v>
          </cell>
          <cell r="E391">
            <v>1199628.0000000002</v>
          </cell>
          <cell r="F391">
            <v>19993.800000000003</v>
          </cell>
          <cell r="G391">
            <v>333.23000000000008</v>
          </cell>
          <cell r="H391">
            <v>13.884583333333337</v>
          </cell>
          <cell r="I391">
            <v>951</v>
          </cell>
          <cell r="K391">
            <v>107.44816352100594</v>
          </cell>
          <cell r="N391">
            <v>8222105</v>
          </cell>
          <cell r="O391">
            <v>384428969</v>
          </cell>
        </row>
        <row r="392">
          <cell r="A392">
            <v>369</v>
          </cell>
          <cell r="B392">
            <v>14</v>
          </cell>
          <cell r="C392">
            <v>229824</v>
          </cell>
          <cell r="D392">
            <v>12096</v>
          </cell>
          <cell r="E392">
            <v>1211724.0000000002</v>
          </cell>
          <cell r="F392">
            <v>20195.400000000005</v>
          </cell>
          <cell r="G392">
            <v>336.59000000000009</v>
          </cell>
          <cell r="H392">
            <v>14.024583333333338</v>
          </cell>
          <cell r="I392">
            <v>956</v>
          </cell>
          <cell r="K392">
            <v>108.41437193431999</v>
          </cell>
          <cell r="N392">
            <v>8315911</v>
          </cell>
          <cell r="O392">
            <v>392651074</v>
          </cell>
        </row>
        <row r="393">
          <cell r="A393">
            <v>370</v>
          </cell>
          <cell r="B393">
            <v>14</v>
          </cell>
          <cell r="C393">
            <v>241920</v>
          </cell>
          <cell r="D393">
            <v>12096</v>
          </cell>
          <cell r="E393">
            <v>1223820.0000000002</v>
          </cell>
          <cell r="F393">
            <v>20397.000000000004</v>
          </cell>
          <cell r="G393">
            <v>339.95000000000005</v>
          </cell>
          <cell r="H393">
            <v>14.164583333333335</v>
          </cell>
          <cell r="I393">
            <v>961</v>
          </cell>
          <cell r="K393">
            <v>109.38677205355594</v>
          </cell>
          <cell r="N393">
            <v>8410544</v>
          </cell>
          <cell r="O393">
            <v>400966985</v>
          </cell>
        </row>
        <row r="394">
          <cell r="A394">
            <v>371</v>
          </cell>
          <cell r="B394">
            <v>14</v>
          </cell>
          <cell r="C394">
            <v>254016</v>
          </cell>
          <cell r="D394">
            <v>12096</v>
          </cell>
          <cell r="E394">
            <v>1235916.0000000002</v>
          </cell>
          <cell r="F394">
            <v>20598.600000000002</v>
          </cell>
          <cell r="G394">
            <v>343.31000000000006</v>
          </cell>
          <cell r="H394">
            <v>14.304583333333335</v>
          </cell>
          <cell r="I394">
            <v>966</v>
          </cell>
          <cell r="K394">
            <v>110.36539501449499</v>
          </cell>
          <cell r="N394">
            <v>8506008</v>
          </cell>
          <cell r="O394">
            <v>409377529</v>
          </cell>
        </row>
        <row r="395">
          <cell r="A395">
            <v>372</v>
          </cell>
          <cell r="B395">
            <v>14</v>
          </cell>
          <cell r="C395">
            <v>266112</v>
          </cell>
          <cell r="D395">
            <v>12096</v>
          </cell>
          <cell r="E395">
            <v>1248012.0000000002</v>
          </cell>
          <cell r="F395">
            <v>20800.200000000004</v>
          </cell>
          <cell r="G395">
            <v>346.67000000000007</v>
          </cell>
          <cell r="H395">
            <v>14.444583333333336</v>
          </cell>
          <cell r="I395">
            <v>972</v>
          </cell>
          <cell r="K395">
            <v>111.54800068952001</v>
          </cell>
          <cell r="N395">
            <v>8621672</v>
          </cell>
          <cell r="O395">
            <v>417883537</v>
          </cell>
        </row>
        <row r="396">
          <cell r="A396">
            <v>373</v>
          </cell>
          <cell r="B396">
            <v>14</v>
          </cell>
          <cell r="C396">
            <v>278208</v>
          </cell>
          <cell r="D396">
            <v>12096</v>
          </cell>
          <cell r="E396">
            <v>1260108.0000000002</v>
          </cell>
          <cell r="F396">
            <v>21001.800000000003</v>
          </cell>
          <cell r="G396">
            <v>350.03000000000003</v>
          </cell>
          <cell r="H396">
            <v>14.584583333333335</v>
          </cell>
          <cell r="I396">
            <v>977</v>
          </cell>
          <cell r="K396">
            <v>112.54042393905593</v>
          </cell>
          <cell r="N396">
            <v>8718986</v>
          </cell>
          <cell r="O396">
            <v>426505209</v>
          </cell>
        </row>
        <row r="397">
          <cell r="A397">
            <v>374</v>
          </cell>
          <cell r="B397">
            <v>14</v>
          </cell>
          <cell r="C397">
            <v>290304</v>
          </cell>
          <cell r="D397">
            <v>12096</v>
          </cell>
          <cell r="E397">
            <v>1272204.0000000002</v>
          </cell>
          <cell r="F397">
            <v>21203.400000000005</v>
          </cell>
          <cell r="G397">
            <v>353.3900000000001</v>
          </cell>
          <cell r="H397">
            <v>14.724583333333337</v>
          </cell>
          <cell r="I397">
            <v>982</v>
          </cell>
          <cell r="K397">
            <v>113.53917026329499</v>
          </cell>
          <cell r="N397">
            <v>8817151</v>
          </cell>
          <cell r="O397">
            <v>435224195</v>
          </cell>
        </row>
        <row r="398">
          <cell r="A398">
            <v>375</v>
          </cell>
          <cell r="B398">
            <v>14</v>
          </cell>
          <cell r="C398">
            <v>302400</v>
          </cell>
          <cell r="D398">
            <v>12096</v>
          </cell>
          <cell r="E398">
            <v>1284300.0000000002</v>
          </cell>
          <cell r="F398">
            <v>21405.000000000004</v>
          </cell>
          <cell r="G398">
            <v>356.75000000000006</v>
          </cell>
          <cell r="H398">
            <v>14.864583333333336</v>
          </cell>
          <cell r="I398">
            <v>987</v>
          </cell>
          <cell r="K398">
            <v>114.54427117208093</v>
          </cell>
          <cell r="N398">
            <v>8916171</v>
          </cell>
          <cell r="O398">
            <v>444041346</v>
          </cell>
        </row>
        <row r="399">
          <cell r="A399">
            <v>376</v>
          </cell>
          <cell r="B399">
            <v>14</v>
          </cell>
          <cell r="C399">
            <v>314496</v>
          </cell>
          <cell r="D399">
            <v>12096</v>
          </cell>
          <cell r="E399">
            <v>1296396.0000000002</v>
          </cell>
          <cell r="F399">
            <v>21606.600000000002</v>
          </cell>
          <cell r="G399">
            <v>360.11</v>
          </cell>
          <cell r="H399">
            <v>15.004583333333334</v>
          </cell>
          <cell r="I399">
            <v>992</v>
          </cell>
          <cell r="K399">
            <v>115.55575826431999</v>
          </cell>
          <cell r="N399">
            <v>9016052</v>
          </cell>
          <cell r="O399">
            <v>452957517</v>
          </cell>
        </row>
        <row r="400">
          <cell r="A400">
            <v>377</v>
          </cell>
          <cell r="B400">
            <v>14</v>
          </cell>
          <cell r="C400">
            <v>326592</v>
          </cell>
          <cell r="D400">
            <v>12096</v>
          </cell>
          <cell r="E400">
            <v>1308492.0000000002</v>
          </cell>
          <cell r="F400">
            <v>21808.200000000004</v>
          </cell>
          <cell r="G400">
            <v>363.47000000000008</v>
          </cell>
          <cell r="H400">
            <v>15.144583333333337</v>
          </cell>
          <cell r="I400">
            <v>997</v>
          </cell>
          <cell r="K400">
            <v>116.57366322798093</v>
          </cell>
          <cell r="N400">
            <v>9116801</v>
          </cell>
          <cell r="O400">
            <v>461973569</v>
          </cell>
        </row>
        <row r="401">
          <cell r="A401">
            <v>378</v>
          </cell>
          <cell r="B401">
            <v>14</v>
          </cell>
          <cell r="C401">
            <v>338688.00000000006</v>
          </cell>
          <cell r="D401">
            <v>12096.000000000058</v>
          </cell>
          <cell r="E401">
            <v>1320588.0000000002</v>
          </cell>
          <cell r="F401">
            <v>22009.800000000003</v>
          </cell>
          <cell r="G401">
            <v>366.83000000000004</v>
          </cell>
          <cell r="H401">
            <v>15.284583333333336</v>
          </cell>
          <cell r="I401">
            <v>1002</v>
          </cell>
          <cell r="K401">
            <v>117.598017840095</v>
          </cell>
          <cell r="N401">
            <v>9218423</v>
          </cell>
          <cell r="O401">
            <v>471090370</v>
          </cell>
        </row>
        <row r="402">
          <cell r="A402">
            <v>379</v>
          </cell>
          <cell r="B402">
            <v>14</v>
          </cell>
          <cell r="C402">
            <v>350784</v>
          </cell>
          <cell r="D402">
            <v>12095.999999999942</v>
          </cell>
          <cell r="E402">
            <v>1332684.0000000002</v>
          </cell>
          <cell r="F402">
            <v>22211.400000000005</v>
          </cell>
          <cell r="G402">
            <v>370.19000000000011</v>
          </cell>
          <cell r="H402">
            <v>15.424583333333338</v>
          </cell>
          <cell r="I402">
            <v>1007</v>
          </cell>
          <cell r="K402">
            <v>118.6288539667559</v>
          </cell>
          <cell r="N402">
            <v>9320923</v>
          </cell>
          <cell r="O402">
            <v>480308793</v>
          </cell>
        </row>
        <row r="403">
          <cell r="A403">
            <v>380</v>
          </cell>
          <cell r="B403">
            <v>14</v>
          </cell>
          <cell r="C403">
            <v>362880</v>
          </cell>
          <cell r="D403">
            <v>12096</v>
          </cell>
          <cell r="E403">
            <v>1344780.0000000002</v>
          </cell>
          <cell r="F403">
            <v>22413.000000000004</v>
          </cell>
          <cell r="G403">
            <v>373.55000000000007</v>
          </cell>
          <cell r="H403">
            <v>15.564583333333337</v>
          </cell>
          <cell r="I403">
            <v>1011</v>
          </cell>
          <cell r="K403">
            <v>119.45821102943091</v>
          </cell>
          <cell r="N403">
            <v>9403560</v>
          </cell>
          <cell r="O403">
            <v>489629716</v>
          </cell>
        </row>
        <row r="404">
          <cell r="A404">
            <v>381</v>
          </cell>
          <cell r="B404">
            <v>14</v>
          </cell>
          <cell r="C404">
            <v>374976</v>
          </cell>
          <cell r="D404">
            <v>12096</v>
          </cell>
          <cell r="E404">
            <v>1356876.0000000002</v>
          </cell>
          <cell r="F404">
            <v>22614.600000000002</v>
          </cell>
          <cell r="G404">
            <v>376.91</v>
          </cell>
          <cell r="H404">
            <v>15.704583333333334</v>
          </cell>
          <cell r="I404">
            <v>1015</v>
          </cell>
          <cell r="K404">
            <v>120.29175311308589</v>
          </cell>
          <cell r="N404">
            <v>9486765</v>
          </cell>
          <cell r="O404">
            <v>499033276</v>
          </cell>
        </row>
        <row r="405">
          <cell r="A405">
            <v>382</v>
          </cell>
          <cell r="B405">
            <v>14</v>
          </cell>
          <cell r="C405">
            <v>387072</v>
          </cell>
          <cell r="D405">
            <v>12096</v>
          </cell>
          <cell r="E405">
            <v>1368972.0000000002</v>
          </cell>
          <cell r="F405">
            <v>22816.200000000004</v>
          </cell>
          <cell r="G405">
            <v>380.2700000000001</v>
          </cell>
          <cell r="H405">
            <v>15.844583333333338</v>
          </cell>
          <cell r="I405">
            <v>1020</v>
          </cell>
          <cell r="K405">
            <v>121.33959095</v>
          </cell>
          <cell r="N405">
            <v>9591577</v>
          </cell>
          <cell r="O405">
            <v>508520041</v>
          </cell>
        </row>
        <row r="406">
          <cell r="A406">
            <v>383</v>
          </cell>
          <cell r="B406">
            <v>14</v>
          </cell>
          <cell r="C406">
            <v>399168</v>
          </cell>
          <cell r="D406">
            <v>12096</v>
          </cell>
          <cell r="E406">
            <v>1381068.0000000002</v>
          </cell>
          <cell r="F406">
            <v>23017.800000000003</v>
          </cell>
          <cell r="G406">
            <v>383.63000000000005</v>
          </cell>
          <cell r="H406">
            <v>15.984583333333335</v>
          </cell>
          <cell r="I406">
            <v>1024</v>
          </cell>
          <cell r="K406">
            <v>122.18260948992</v>
          </cell>
          <cell r="N406">
            <v>9676074</v>
          </cell>
          <cell r="O406">
            <v>518111618</v>
          </cell>
        </row>
        <row r="407">
          <cell r="A407">
            <v>384</v>
          </cell>
          <cell r="B407">
            <v>14</v>
          </cell>
          <cell r="C407">
            <v>411264.00000000006</v>
          </cell>
          <cell r="D407">
            <v>12096.000000000058</v>
          </cell>
          <cell r="E407">
            <v>1393164.0000000002</v>
          </cell>
          <cell r="F407">
            <v>23219.400000000005</v>
          </cell>
          <cell r="G407">
            <v>386.99000000000007</v>
          </cell>
          <cell r="H407">
            <v>16.124583333333337</v>
          </cell>
          <cell r="I407">
            <v>1028</v>
          </cell>
          <cell r="K407">
            <v>123.02986660951998</v>
          </cell>
          <cell r="N407">
            <v>9761150</v>
          </cell>
          <cell r="O407">
            <v>527787692</v>
          </cell>
        </row>
        <row r="408">
          <cell r="A408">
            <v>385</v>
          </cell>
          <cell r="B408">
            <v>14</v>
          </cell>
          <cell r="C408">
            <v>423360</v>
          </cell>
          <cell r="D408">
            <v>12095.999999999942</v>
          </cell>
          <cell r="E408">
            <v>1405260.0000000002</v>
          </cell>
          <cell r="F408">
            <v>23421.000000000004</v>
          </cell>
          <cell r="G408">
            <v>390.35000000000008</v>
          </cell>
          <cell r="H408">
            <v>16.264583333333338</v>
          </cell>
          <cell r="I408">
            <v>1033</v>
          </cell>
          <cell r="K408">
            <v>124.0949237389059</v>
          </cell>
          <cell r="N408">
            <v>9868313</v>
          </cell>
          <cell r="O408">
            <v>537548842</v>
          </cell>
        </row>
        <row r="409">
          <cell r="A409">
            <v>386</v>
          </cell>
          <cell r="B409">
            <v>14</v>
          </cell>
          <cell r="C409">
            <v>435456</v>
          </cell>
          <cell r="D409">
            <v>12096</v>
          </cell>
          <cell r="E409">
            <v>1417356.0000000002</v>
          </cell>
          <cell r="F409">
            <v>23622.600000000002</v>
          </cell>
          <cell r="G409">
            <v>393.71000000000004</v>
          </cell>
          <cell r="H409">
            <v>16.404583333333335</v>
          </cell>
          <cell r="I409">
            <v>1037</v>
          </cell>
          <cell r="K409">
            <v>124.95177825533092</v>
          </cell>
          <cell r="N409">
            <v>9954703</v>
          </cell>
          <cell r="O409">
            <v>547417155</v>
          </cell>
        </row>
        <row r="410">
          <cell r="A410">
            <v>387</v>
          </cell>
          <cell r="B410">
            <v>14</v>
          </cell>
          <cell r="C410">
            <v>447552</v>
          </cell>
          <cell r="D410">
            <v>12096</v>
          </cell>
          <cell r="E410">
            <v>1429452.0000000002</v>
          </cell>
          <cell r="F410">
            <v>23824.200000000004</v>
          </cell>
          <cell r="G410">
            <v>397.07000000000005</v>
          </cell>
          <cell r="H410">
            <v>16.544583333333335</v>
          </cell>
          <cell r="I410">
            <v>1041</v>
          </cell>
          <cell r="K410">
            <v>125.81292529545593</v>
          </cell>
          <cell r="N410">
            <v>10041680</v>
          </cell>
          <cell r="O410">
            <v>557371858</v>
          </cell>
        </row>
        <row r="411">
          <cell r="A411">
            <v>388</v>
          </cell>
          <cell r="B411">
            <v>14</v>
          </cell>
          <cell r="C411">
            <v>459648</v>
          </cell>
          <cell r="D411">
            <v>12096</v>
          </cell>
          <cell r="E411">
            <v>1441548.0000000002</v>
          </cell>
          <cell r="F411">
            <v>24025.800000000003</v>
          </cell>
          <cell r="G411">
            <v>400.43000000000006</v>
          </cell>
          <cell r="H411">
            <v>16.684583333333336</v>
          </cell>
          <cell r="I411">
            <v>1045</v>
          </cell>
          <cell r="K411">
            <v>126.67838153496092</v>
          </cell>
          <cell r="N411">
            <v>10129250</v>
          </cell>
          <cell r="O411">
            <v>567413538</v>
          </cell>
        </row>
        <row r="412">
          <cell r="A412">
            <v>389</v>
          </cell>
          <cell r="B412">
            <v>14</v>
          </cell>
          <cell r="C412">
            <v>471744</v>
          </cell>
          <cell r="D412">
            <v>12096</v>
          </cell>
          <cell r="E412">
            <v>1453644.0000000002</v>
          </cell>
          <cell r="F412">
            <v>24227.400000000005</v>
          </cell>
          <cell r="G412">
            <v>403.79000000000008</v>
          </cell>
          <cell r="H412">
            <v>16.824583333333337</v>
          </cell>
          <cell r="I412">
            <v>1050</v>
          </cell>
          <cell r="K412">
            <v>127.76628710937501</v>
          </cell>
          <cell r="N412">
            <v>10239548</v>
          </cell>
          <cell r="O412">
            <v>577542788</v>
          </cell>
        </row>
        <row r="413">
          <cell r="A413">
            <v>390</v>
          </cell>
          <cell r="B413">
            <v>14</v>
          </cell>
          <cell r="C413">
            <v>483840</v>
          </cell>
          <cell r="D413">
            <v>12096</v>
          </cell>
          <cell r="E413">
            <v>1465740.0000000002</v>
          </cell>
          <cell r="F413">
            <v>24429.000000000004</v>
          </cell>
          <cell r="G413">
            <v>407.15000000000003</v>
          </cell>
          <cell r="H413">
            <v>16.964583333333334</v>
          </cell>
          <cell r="I413">
            <v>1054</v>
          </cell>
          <cell r="K413">
            <v>128.64150020689499</v>
          </cell>
          <cell r="N413">
            <v>10328460</v>
          </cell>
          <cell r="O413">
            <v>587782336</v>
          </cell>
        </row>
        <row r="414">
          <cell r="A414">
            <v>391</v>
          </cell>
          <cell r="B414">
            <v>14</v>
          </cell>
          <cell r="C414">
            <v>495935.99999999994</v>
          </cell>
          <cell r="D414">
            <v>12095.999999999942</v>
          </cell>
          <cell r="E414">
            <v>1477836.0000000002</v>
          </cell>
          <cell r="F414">
            <v>24630.600000000002</v>
          </cell>
          <cell r="G414">
            <v>410.51000000000005</v>
          </cell>
          <cell r="H414">
            <v>17.104583333333334</v>
          </cell>
          <cell r="I414">
            <v>1058</v>
          </cell>
          <cell r="K414">
            <v>129.52107695169499</v>
          </cell>
          <cell r="N414">
            <v>10417973</v>
          </cell>
          <cell r="O414">
            <v>598110796</v>
          </cell>
        </row>
        <row r="415">
          <cell r="A415">
            <v>392</v>
          </cell>
          <cell r="B415">
            <v>14</v>
          </cell>
          <cell r="C415">
            <v>508032</v>
          </cell>
          <cell r="D415">
            <v>12096.000000000058</v>
          </cell>
          <cell r="E415">
            <v>1489932.0000000002</v>
          </cell>
          <cell r="F415">
            <v>24832.200000000004</v>
          </cell>
          <cell r="G415">
            <v>413.87000000000006</v>
          </cell>
          <cell r="H415">
            <v>17.244583333333335</v>
          </cell>
          <cell r="I415">
            <v>1062</v>
          </cell>
          <cell r="K415">
            <v>130.405034174495</v>
          </cell>
          <cell r="N415">
            <v>10508091</v>
          </cell>
          <cell r="O415">
            <v>608528769</v>
          </cell>
        </row>
        <row r="416">
          <cell r="A416">
            <v>393</v>
          </cell>
          <cell r="B416">
            <v>14</v>
          </cell>
          <cell r="C416">
            <v>520128</v>
          </cell>
          <cell r="D416">
            <v>12096</v>
          </cell>
          <cell r="E416">
            <v>1502028.0000000002</v>
          </cell>
          <cell r="F416">
            <v>25033.800000000003</v>
          </cell>
          <cell r="G416">
            <v>417.23000000000008</v>
          </cell>
          <cell r="H416">
            <v>17.384583333333335</v>
          </cell>
          <cell r="I416">
            <v>1066</v>
          </cell>
          <cell r="K416">
            <v>131.29338874249501</v>
          </cell>
          <cell r="N416">
            <v>10598817</v>
          </cell>
          <cell r="O416">
            <v>619036860</v>
          </cell>
        </row>
        <row r="417">
          <cell r="A417">
            <v>394</v>
          </cell>
          <cell r="B417">
            <v>14</v>
          </cell>
          <cell r="C417">
            <v>532224</v>
          </cell>
          <cell r="D417">
            <v>12096</v>
          </cell>
          <cell r="E417">
            <v>1514124.0000000002</v>
          </cell>
          <cell r="F417">
            <v>25235.400000000005</v>
          </cell>
          <cell r="G417">
            <v>420.59000000000009</v>
          </cell>
          <cell r="H417">
            <v>17.524583333333336</v>
          </cell>
          <cell r="I417">
            <v>1070</v>
          </cell>
          <cell r="K417">
            <v>132.186157559375</v>
          </cell>
          <cell r="N417">
            <v>10690154</v>
          </cell>
          <cell r="O417">
            <v>629635677</v>
          </cell>
        </row>
        <row r="418">
          <cell r="A418">
            <v>395</v>
          </cell>
          <cell r="B418">
            <v>14</v>
          </cell>
          <cell r="C418">
            <v>544320</v>
          </cell>
          <cell r="D418">
            <v>12096</v>
          </cell>
          <cell r="E418">
            <v>1526220.0000000002</v>
          </cell>
          <cell r="F418">
            <v>25437.000000000004</v>
          </cell>
          <cell r="G418">
            <v>423.95000000000005</v>
          </cell>
          <cell r="H418">
            <v>17.664583333333336</v>
          </cell>
          <cell r="I418">
            <v>1075</v>
          </cell>
          <cell r="K418">
            <v>133.30835192871092</v>
          </cell>
          <cell r="N418">
            <v>10805188</v>
          </cell>
          <cell r="O418">
            <v>640325831</v>
          </cell>
        </row>
        <row r="419">
          <cell r="A419">
            <v>396</v>
          </cell>
          <cell r="B419">
            <v>14</v>
          </cell>
          <cell r="C419">
            <v>556416</v>
          </cell>
          <cell r="D419">
            <v>12096</v>
          </cell>
          <cell r="E419">
            <v>1538316.0000000002</v>
          </cell>
          <cell r="F419">
            <v>25638.600000000002</v>
          </cell>
          <cell r="G419">
            <v>427.31000000000006</v>
          </cell>
          <cell r="H419">
            <v>17.804583333333337</v>
          </cell>
          <cell r="I419">
            <v>1079</v>
          </cell>
          <cell r="K419">
            <v>134.21111479860593</v>
          </cell>
          <cell r="N419">
            <v>10897911</v>
          </cell>
          <cell r="O419">
            <v>651131019</v>
          </cell>
        </row>
        <row r="420">
          <cell r="A420">
            <v>397</v>
          </cell>
          <cell r="B420">
            <v>14</v>
          </cell>
          <cell r="C420">
            <v>568512</v>
          </cell>
          <cell r="D420">
            <v>12096</v>
          </cell>
          <cell r="E420">
            <v>1550412.0000000002</v>
          </cell>
          <cell r="F420">
            <v>25840.200000000004</v>
          </cell>
          <cell r="G420">
            <v>430.67000000000007</v>
          </cell>
          <cell r="H420">
            <v>17.944583333333338</v>
          </cell>
          <cell r="I420">
            <v>1083</v>
          </cell>
          <cell r="K420">
            <v>135.11834710628094</v>
          </cell>
          <cell r="N420">
            <v>10991254</v>
          </cell>
          <cell r="O420">
            <v>662028930</v>
          </cell>
        </row>
        <row r="421">
          <cell r="A421">
            <v>398</v>
          </cell>
          <cell r="B421">
            <v>14</v>
          </cell>
          <cell r="C421">
            <v>580608</v>
          </cell>
          <cell r="D421">
            <v>12096</v>
          </cell>
          <cell r="E421">
            <v>1562508.0000000002</v>
          </cell>
          <cell r="F421">
            <v>26041.800000000003</v>
          </cell>
          <cell r="G421">
            <v>434.03000000000003</v>
          </cell>
          <cell r="H421">
            <v>18.084583333333335</v>
          </cell>
          <cell r="I421">
            <v>1087</v>
          </cell>
          <cell r="K421">
            <v>136.0300659104559</v>
          </cell>
          <cell r="N421">
            <v>11085222</v>
          </cell>
          <cell r="O421">
            <v>673020184</v>
          </cell>
        </row>
        <row r="422">
          <cell r="A422">
            <v>399</v>
          </cell>
          <cell r="B422">
            <v>14</v>
          </cell>
          <cell r="C422">
            <v>592704</v>
          </cell>
          <cell r="D422">
            <v>12096</v>
          </cell>
          <cell r="E422">
            <v>1574604.0000000002</v>
          </cell>
          <cell r="F422">
            <v>26243.400000000005</v>
          </cell>
          <cell r="G422">
            <v>437.3900000000001</v>
          </cell>
          <cell r="H422">
            <v>18.224583333333339</v>
          </cell>
          <cell r="I422">
            <v>1091</v>
          </cell>
          <cell r="K422">
            <v>136.94628830633093</v>
          </cell>
          <cell r="N422">
            <v>11179817</v>
          </cell>
          <cell r="O422">
            <v>684105406</v>
          </cell>
        </row>
        <row r="423">
          <cell r="A423">
            <v>400</v>
          </cell>
          <cell r="B423">
            <v>14</v>
          </cell>
          <cell r="C423">
            <v>604800</v>
          </cell>
          <cell r="D423">
            <v>12096</v>
          </cell>
          <cell r="E423">
            <v>1586700.0000000002</v>
          </cell>
          <cell r="F423">
            <v>26445.000000000004</v>
          </cell>
          <cell r="G423">
            <v>440.75000000000006</v>
          </cell>
          <cell r="H423">
            <v>18.364583333333336</v>
          </cell>
          <cell r="I423">
            <v>1095</v>
          </cell>
          <cell r="K423">
            <v>137.86703142558594</v>
          </cell>
          <cell r="N423">
            <v>11275042</v>
          </cell>
          <cell r="O423">
            <v>695285223</v>
          </cell>
        </row>
        <row r="424">
          <cell r="A424">
            <v>401</v>
          </cell>
          <cell r="B424">
            <v>15</v>
          </cell>
          <cell r="C424">
            <v>12096</v>
          </cell>
          <cell r="D424">
            <v>12096</v>
          </cell>
          <cell r="E424">
            <v>1598796.0000000002</v>
          </cell>
          <cell r="F424">
            <v>26646.600000000002</v>
          </cell>
          <cell r="G424">
            <v>444.11</v>
          </cell>
          <cell r="H424">
            <v>18.504583333333333</v>
          </cell>
          <cell r="I424">
            <v>1099</v>
          </cell>
          <cell r="K424">
            <v>138.79231243638094</v>
          </cell>
          <cell r="N424">
            <v>11370901</v>
          </cell>
          <cell r="O424">
            <v>706560265</v>
          </cell>
        </row>
        <row r="425">
          <cell r="A425">
            <v>402</v>
          </cell>
          <cell r="B425">
            <v>15</v>
          </cell>
          <cell r="C425">
            <v>24192</v>
          </cell>
          <cell r="D425">
            <v>12096</v>
          </cell>
          <cell r="E425">
            <v>1610892.0000000002</v>
          </cell>
          <cell r="F425">
            <v>26848.200000000004</v>
          </cell>
          <cell r="G425">
            <v>447.47000000000008</v>
          </cell>
          <cell r="H425">
            <v>18.644583333333337</v>
          </cell>
          <cell r="I425">
            <v>1103</v>
          </cell>
          <cell r="K425">
            <v>139.72214854335593</v>
          </cell>
          <cell r="N425">
            <v>11467397</v>
          </cell>
          <cell r="O425">
            <v>717931166</v>
          </cell>
        </row>
        <row r="426">
          <cell r="A426">
            <v>403</v>
          </cell>
          <cell r="B426">
            <v>15</v>
          </cell>
          <cell r="C426">
            <v>36288</v>
          </cell>
          <cell r="D426">
            <v>12096</v>
          </cell>
          <cell r="E426">
            <v>1622988.0000000002</v>
          </cell>
          <cell r="F426">
            <v>27049.800000000003</v>
          </cell>
          <cell r="G426">
            <v>450.83000000000004</v>
          </cell>
          <cell r="H426">
            <v>18.784583333333334</v>
          </cell>
          <cell r="I426">
            <v>1107</v>
          </cell>
          <cell r="K426">
            <v>140.65655698763092</v>
          </cell>
          <cell r="N426">
            <v>11564533</v>
          </cell>
          <cell r="O426">
            <v>729398563</v>
          </cell>
        </row>
        <row r="427">
          <cell r="A427">
            <v>404</v>
          </cell>
          <cell r="B427">
            <v>15</v>
          </cell>
          <cell r="C427">
            <v>48384</v>
          </cell>
          <cell r="D427">
            <v>12096</v>
          </cell>
          <cell r="E427">
            <v>1635084.0000000002</v>
          </cell>
          <cell r="F427">
            <v>27251.400000000005</v>
          </cell>
          <cell r="G427">
            <v>454.19000000000011</v>
          </cell>
          <cell r="H427">
            <v>18.924583333333338</v>
          </cell>
          <cell r="I427">
            <v>1111</v>
          </cell>
          <cell r="K427">
            <v>141.59555504680594</v>
          </cell>
          <cell r="N427">
            <v>11662311</v>
          </cell>
          <cell r="O427">
            <v>740963096</v>
          </cell>
        </row>
        <row r="428">
          <cell r="A428">
            <v>405</v>
          </cell>
          <cell r="B428">
            <v>15</v>
          </cell>
          <cell r="C428">
            <v>60480</v>
          </cell>
          <cell r="D428">
            <v>12096</v>
          </cell>
          <cell r="E428">
            <v>1647180.0000000002</v>
          </cell>
          <cell r="F428">
            <v>27453.000000000004</v>
          </cell>
          <cell r="G428">
            <v>457.55000000000007</v>
          </cell>
          <cell r="H428">
            <v>19.064583333333335</v>
          </cell>
          <cell r="I428">
            <v>1115</v>
          </cell>
          <cell r="K428">
            <v>142.53916003496093</v>
          </cell>
          <cell r="N428">
            <v>11760736</v>
          </cell>
          <cell r="O428">
            <v>752625407</v>
          </cell>
        </row>
        <row r="429">
          <cell r="A429">
            <v>406</v>
          </cell>
          <cell r="B429">
            <v>15</v>
          </cell>
          <cell r="C429">
            <v>72576</v>
          </cell>
          <cell r="D429">
            <v>12096</v>
          </cell>
          <cell r="E429">
            <v>1659276.0000000002</v>
          </cell>
          <cell r="F429">
            <v>27654.600000000002</v>
          </cell>
          <cell r="G429">
            <v>460.91</v>
          </cell>
          <cell r="H429">
            <v>19.204583333333336</v>
          </cell>
          <cell r="I429">
            <v>1119</v>
          </cell>
          <cell r="K429">
            <v>143.48738930265594</v>
          </cell>
          <cell r="N429">
            <v>11859811</v>
          </cell>
          <cell r="O429">
            <v>764386143</v>
          </cell>
        </row>
        <row r="430">
          <cell r="A430">
            <v>407</v>
          </cell>
          <cell r="B430">
            <v>15</v>
          </cell>
          <cell r="C430">
            <v>84672.000000000015</v>
          </cell>
          <cell r="D430">
            <v>12096.000000000015</v>
          </cell>
          <cell r="E430">
            <v>1671372.0000000002</v>
          </cell>
          <cell r="F430">
            <v>27856.200000000004</v>
          </cell>
          <cell r="G430">
            <v>464.2700000000001</v>
          </cell>
          <cell r="H430">
            <v>19.344583333333336</v>
          </cell>
          <cell r="I430">
            <v>1123</v>
          </cell>
          <cell r="K430">
            <v>144.4402602369309</v>
          </cell>
          <cell r="N430">
            <v>11959538</v>
          </cell>
          <cell r="O430">
            <v>776245954</v>
          </cell>
        </row>
        <row r="431">
          <cell r="A431">
            <v>408</v>
          </cell>
          <cell r="B431">
            <v>15</v>
          </cell>
          <cell r="C431">
            <v>96768</v>
          </cell>
          <cell r="D431">
            <v>12095.999999999985</v>
          </cell>
          <cell r="E431">
            <v>1683468.0000000002</v>
          </cell>
          <cell r="F431">
            <v>28057.800000000003</v>
          </cell>
          <cell r="G431">
            <v>467.63000000000005</v>
          </cell>
          <cell r="H431">
            <v>19.484583333333337</v>
          </cell>
          <cell r="I431">
            <v>1127</v>
          </cell>
          <cell r="K431">
            <v>145.39779026130594</v>
          </cell>
          <cell r="N431">
            <v>12059921</v>
          </cell>
          <cell r="O431">
            <v>788205492</v>
          </cell>
        </row>
        <row r="432">
          <cell r="A432">
            <v>409</v>
          </cell>
          <cell r="B432">
            <v>15</v>
          </cell>
          <cell r="C432">
            <v>108864</v>
          </cell>
          <cell r="D432">
            <v>12096</v>
          </cell>
          <cell r="E432">
            <v>1695564.0000000002</v>
          </cell>
          <cell r="F432">
            <v>28259.400000000005</v>
          </cell>
          <cell r="G432">
            <v>470.99000000000007</v>
          </cell>
          <cell r="H432">
            <v>19.624583333333337</v>
          </cell>
          <cell r="I432">
            <v>1130</v>
          </cell>
          <cell r="K432">
            <v>146.11900580937498</v>
          </cell>
          <cell r="N432">
            <v>12135641</v>
          </cell>
          <cell r="O432">
            <v>800265413</v>
          </cell>
        </row>
        <row r="433">
          <cell r="A433">
            <v>410</v>
          </cell>
          <cell r="B433">
            <v>15</v>
          </cell>
          <cell r="C433">
            <v>120960</v>
          </cell>
          <cell r="D433">
            <v>12096</v>
          </cell>
          <cell r="E433">
            <v>1707660.0000000002</v>
          </cell>
          <cell r="F433">
            <v>28461.000000000004</v>
          </cell>
          <cell r="G433">
            <v>474.35000000000008</v>
          </cell>
          <cell r="H433">
            <v>19.764583333333338</v>
          </cell>
          <cell r="I433">
            <v>1134</v>
          </cell>
          <cell r="K433">
            <v>147.08473127649498</v>
          </cell>
          <cell r="N433">
            <v>12237180</v>
          </cell>
          <cell r="O433">
            <v>812401054</v>
          </cell>
        </row>
        <row r="434">
          <cell r="A434">
            <v>411</v>
          </cell>
          <cell r="B434">
            <v>15</v>
          </cell>
          <cell r="C434">
            <v>133056</v>
          </cell>
          <cell r="D434">
            <v>12096</v>
          </cell>
          <cell r="E434">
            <v>1719756.0000000002</v>
          </cell>
          <cell r="F434">
            <v>28662.600000000002</v>
          </cell>
          <cell r="G434">
            <v>477.71000000000004</v>
          </cell>
          <cell r="H434">
            <v>19.904583333333335</v>
          </cell>
          <cell r="I434">
            <v>1138</v>
          </cell>
          <cell r="K434">
            <v>148.05516393649498</v>
          </cell>
          <cell r="N434">
            <v>12339384</v>
          </cell>
          <cell r="O434">
            <v>824638234</v>
          </cell>
        </row>
        <row r="435">
          <cell r="A435">
            <v>412</v>
          </cell>
          <cell r="B435">
            <v>15</v>
          </cell>
          <cell r="C435">
            <v>145152</v>
          </cell>
          <cell r="D435">
            <v>12096</v>
          </cell>
          <cell r="E435">
            <v>1731852.0000000002</v>
          </cell>
          <cell r="F435">
            <v>28864.200000000004</v>
          </cell>
          <cell r="G435">
            <v>481.07000000000005</v>
          </cell>
          <cell r="H435">
            <v>20.044583333333335</v>
          </cell>
          <cell r="I435">
            <v>1142</v>
          </cell>
          <cell r="K435">
            <v>149.03032134969496</v>
          </cell>
          <cell r="N435">
            <v>12442255</v>
          </cell>
          <cell r="O435">
            <v>836977618</v>
          </cell>
        </row>
        <row r="436">
          <cell r="A436">
            <v>413</v>
          </cell>
          <cell r="B436">
            <v>15</v>
          </cell>
          <cell r="C436">
            <v>157248</v>
          </cell>
          <cell r="D436">
            <v>12096</v>
          </cell>
          <cell r="E436">
            <v>1743948.0000000002</v>
          </cell>
          <cell r="F436">
            <v>29065.800000000003</v>
          </cell>
          <cell r="G436">
            <v>484.43000000000006</v>
          </cell>
          <cell r="H436">
            <v>20.184583333333336</v>
          </cell>
          <cell r="I436">
            <v>1146</v>
          </cell>
          <cell r="K436">
            <v>150.01022111289498</v>
          </cell>
          <cell r="N436">
            <v>12545799</v>
          </cell>
          <cell r="O436">
            <v>849419873</v>
          </cell>
        </row>
        <row r="437">
          <cell r="A437">
            <v>414</v>
          </cell>
          <cell r="B437">
            <v>15</v>
          </cell>
          <cell r="C437">
            <v>169344.00000000003</v>
          </cell>
          <cell r="D437">
            <v>12096.000000000029</v>
          </cell>
          <cell r="E437">
            <v>1756044.0000000002</v>
          </cell>
          <cell r="F437">
            <v>29267.400000000005</v>
          </cell>
          <cell r="G437">
            <v>487.79000000000008</v>
          </cell>
          <cell r="H437">
            <v>20.324583333333337</v>
          </cell>
          <cell r="I437">
            <v>1150</v>
          </cell>
          <cell r="K437">
            <v>150.99488085937494</v>
          </cell>
          <cell r="N437">
            <v>12650016</v>
          </cell>
          <cell r="O437">
            <v>861965672</v>
          </cell>
        </row>
        <row r="438">
          <cell r="A438">
            <v>415</v>
          </cell>
          <cell r="B438">
            <v>15</v>
          </cell>
          <cell r="C438">
            <v>181440</v>
          </cell>
          <cell r="D438">
            <v>12095.999999999971</v>
          </cell>
          <cell r="E438">
            <v>1768140.0000000002</v>
          </cell>
          <cell r="F438">
            <v>29469.000000000004</v>
          </cell>
          <cell r="G438">
            <v>491.15000000000003</v>
          </cell>
          <cell r="H438">
            <v>20.464583333333334</v>
          </cell>
          <cell r="I438">
            <v>1153</v>
          </cell>
          <cell r="K438">
            <v>151.73651003635592</v>
          </cell>
          <cell r="N438">
            <v>12728624</v>
          </cell>
          <cell r="O438">
            <v>874615688</v>
          </cell>
        </row>
        <row r="439">
          <cell r="A439">
            <v>416</v>
          </cell>
          <cell r="B439">
            <v>15</v>
          </cell>
          <cell r="C439">
            <v>193536</v>
          </cell>
          <cell r="D439">
            <v>12096</v>
          </cell>
          <cell r="E439">
            <v>1780236.0000000002</v>
          </cell>
          <cell r="F439">
            <v>29670.600000000002</v>
          </cell>
          <cell r="G439">
            <v>494.51000000000005</v>
          </cell>
          <cell r="H439">
            <v>20.604583333333334</v>
          </cell>
          <cell r="I439">
            <v>1157</v>
          </cell>
          <cell r="K439">
            <v>152.72954229338092</v>
          </cell>
          <cell r="N439">
            <v>12834031</v>
          </cell>
          <cell r="O439">
            <v>887344312</v>
          </cell>
        </row>
        <row r="440">
          <cell r="A440">
            <v>417</v>
          </cell>
          <cell r="B440">
            <v>15</v>
          </cell>
          <cell r="C440">
            <v>205632.00000000003</v>
          </cell>
          <cell r="D440">
            <v>12096.000000000029</v>
          </cell>
          <cell r="E440">
            <v>1792332.0000000002</v>
          </cell>
          <cell r="F440">
            <v>29872.200000000004</v>
          </cell>
          <cell r="G440">
            <v>497.87000000000006</v>
          </cell>
          <cell r="H440">
            <v>20.744583333333335</v>
          </cell>
          <cell r="I440">
            <v>1161</v>
          </cell>
          <cell r="K440">
            <v>153.72738321330596</v>
          </cell>
          <cell r="N440">
            <v>12940121</v>
          </cell>
          <cell r="O440">
            <v>900178343</v>
          </cell>
        </row>
        <row r="441">
          <cell r="A441">
            <v>418</v>
          </cell>
          <cell r="B441">
            <v>15</v>
          </cell>
          <cell r="C441">
            <v>217728</v>
          </cell>
          <cell r="D441">
            <v>12095.999999999971</v>
          </cell>
          <cell r="E441">
            <v>1804428.0000000002</v>
          </cell>
          <cell r="F441">
            <v>30073.800000000003</v>
          </cell>
          <cell r="G441">
            <v>501.23000000000008</v>
          </cell>
          <cell r="H441">
            <v>20.884583333333335</v>
          </cell>
          <cell r="I441">
            <v>1165</v>
          </cell>
          <cell r="K441">
            <v>154.73005056621091</v>
          </cell>
          <cell r="N441">
            <v>13046897</v>
          </cell>
          <cell r="O441">
            <v>913118464</v>
          </cell>
        </row>
        <row r="442">
          <cell r="A442">
            <v>419</v>
          </cell>
          <cell r="B442">
            <v>15</v>
          </cell>
          <cell r="C442">
            <v>229824</v>
          </cell>
          <cell r="D442">
            <v>12096</v>
          </cell>
          <cell r="E442">
            <v>1816524.0000000002</v>
          </cell>
          <cell r="F442">
            <v>30275.400000000005</v>
          </cell>
          <cell r="G442">
            <v>504.59000000000009</v>
          </cell>
          <cell r="H442">
            <v>21.024583333333336</v>
          </cell>
          <cell r="I442">
            <v>1169</v>
          </cell>
          <cell r="K442">
            <v>155.73756215865595</v>
          </cell>
          <cell r="N442">
            <v>13154365</v>
          </cell>
          <cell r="O442">
            <v>926165361</v>
          </cell>
        </row>
        <row r="443">
          <cell r="A443">
            <v>420</v>
          </cell>
          <cell r="B443">
            <v>15</v>
          </cell>
          <cell r="C443">
            <v>241920</v>
          </cell>
          <cell r="D443">
            <v>12096</v>
          </cell>
          <cell r="E443">
            <v>1828620.0000000002</v>
          </cell>
          <cell r="F443">
            <v>30477.000000000004</v>
          </cell>
          <cell r="G443">
            <v>507.95000000000005</v>
          </cell>
          <cell r="H443">
            <v>21.164583333333336</v>
          </cell>
          <cell r="I443">
            <v>1172</v>
          </cell>
          <cell r="K443">
            <v>156.49638561751999</v>
          </cell>
          <cell r="N443">
            <v>13235420</v>
          </cell>
          <cell r="O443">
            <v>939319726</v>
          </cell>
        </row>
        <row r="444">
          <cell r="A444">
            <v>421</v>
          </cell>
          <cell r="B444">
            <v>15</v>
          </cell>
          <cell r="C444">
            <v>254016</v>
          </cell>
          <cell r="D444">
            <v>12096</v>
          </cell>
          <cell r="E444">
            <v>1840716.0000000002</v>
          </cell>
          <cell r="F444">
            <v>30678.600000000002</v>
          </cell>
          <cell r="G444">
            <v>511.31000000000006</v>
          </cell>
          <cell r="H444">
            <v>21.304583333333337</v>
          </cell>
          <cell r="I444">
            <v>1176</v>
          </cell>
          <cell r="K444">
            <v>157.51241758591993</v>
          </cell>
          <cell r="N444">
            <v>13344103</v>
          </cell>
          <cell r="O444">
            <v>952555146</v>
          </cell>
        </row>
        <row r="445">
          <cell r="A445">
            <v>422</v>
          </cell>
          <cell r="B445">
            <v>15</v>
          </cell>
          <cell r="C445">
            <v>266112</v>
          </cell>
          <cell r="D445">
            <v>12096</v>
          </cell>
          <cell r="E445">
            <v>1852812.0000000002</v>
          </cell>
          <cell r="F445">
            <v>30880.200000000004</v>
          </cell>
          <cell r="G445">
            <v>514.67000000000007</v>
          </cell>
          <cell r="H445">
            <v>21.444583333333338</v>
          </cell>
          <cell r="I445">
            <v>1180</v>
          </cell>
          <cell r="K445">
            <v>158.53334294999999</v>
          </cell>
          <cell r="N445">
            <v>13453485</v>
          </cell>
          <cell r="O445">
            <v>965899249</v>
          </cell>
        </row>
        <row r="446">
          <cell r="A446">
            <v>423</v>
          </cell>
          <cell r="B446">
            <v>15</v>
          </cell>
          <cell r="C446">
            <v>278208</v>
          </cell>
          <cell r="D446">
            <v>12096</v>
          </cell>
          <cell r="E446">
            <v>1864908.0000000002</v>
          </cell>
          <cell r="F446">
            <v>31081.800000000003</v>
          </cell>
          <cell r="G446">
            <v>518.03000000000009</v>
          </cell>
          <cell r="H446">
            <v>21.584583333333338</v>
          </cell>
          <cell r="I446">
            <v>1183</v>
          </cell>
          <cell r="K446">
            <v>159.30225905665597</v>
          </cell>
          <cell r="N446">
            <v>13535983</v>
          </cell>
          <cell r="O446">
            <v>979352734</v>
          </cell>
        </row>
        <row r="447">
          <cell r="A447">
            <v>424</v>
          </cell>
          <cell r="B447">
            <v>15</v>
          </cell>
          <cell r="C447">
            <v>290304</v>
          </cell>
          <cell r="D447">
            <v>12096</v>
          </cell>
          <cell r="E447">
            <v>1877004.0000000002</v>
          </cell>
          <cell r="F447">
            <v>31283.400000000005</v>
          </cell>
          <cell r="G447">
            <v>521.3900000000001</v>
          </cell>
          <cell r="H447">
            <v>21.724583333333339</v>
          </cell>
          <cell r="I447">
            <v>1187</v>
          </cell>
          <cell r="K447">
            <v>160.33179106133093</v>
          </cell>
          <cell r="N447">
            <v>13646598</v>
          </cell>
          <cell r="O447">
            <v>992888717</v>
          </cell>
        </row>
        <row r="448">
          <cell r="A448">
            <v>425</v>
          </cell>
          <cell r="B448">
            <v>15</v>
          </cell>
          <cell r="C448">
            <v>302400</v>
          </cell>
          <cell r="D448">
            <v>12096</v>
          </cell>
          <cell r="E448">
            <v>1889100.0000000002</v>
          </cell>
          <cell r="F448">
            <v>31485.000000000004</v>
          </cell>
          <cell r="G448">
            <v>524.75000000000011</v>
          </cell>
          <cell r="H448">
            <v>21.864583333333339</v>
          </cell>
          <cell r="I448">
            <v>1191</v>
          </cell>
          <cell r="K448">
            <v>161.36626589370596</v>
          </cell>
          <cell r="N448">
            <v>13757921</v>
          </cell>
          <cell r="O448">
            <v>1006535315</v>
          </cell>
        </row>
        <row r="449">
          <cell r="A449">
            <v>426</v>
          </cell>
          <cell r="B449">
            <v>15</v>
          </cell>
          <cell r="C449">
            <v>314496</v>
          </cell>
          <cell r="D449">
            <v>12096</v>
          </cell>
          <cell r="E449">
            <v>1901196.0000000002</v>
          </cell>
          <cell r="F449">
            <v>31686.600000000002</v>
          </cell>
          <cell r="G449">
            <v>528.11</v>
          </cell>
          <cell r="H449">
            <v>22.004583333333333</v>
          </cell>
          <cell r="I449">
            <v>1194</v>
          </cell>
          <cell r="K449">
            <v>162.14537660169498</v>
          </cell>
          <cell r="N449">
            <v>13841880</v>
          </cell>
          <cell r="O449">
            <v>1020293236</v>
          </cell>
        </row>
        <row r="450">
          <cell r="A450">
            <v>427</v>
          </cell>
          <cell r="B450">
            <v>15</v>
          </cell>
          <cell r="C450">
            <v>326592</v>
          </cell>
          <cell r="D450">
            <v>12096</v>
          </cell>
          <cell r="E450">
            <v>1913292.0000000002</v>
          </cell>
          <cell r="F450">
            <v>31888.200000000004</v>
          </cell>
          <cell r="G450">
            <v>531.47</v>
          </cell>
          <cell r="H450">
            <v>22.144583333333333</v>
          </cell>
          <cell r="I450">
            <v>1198</v>
          </cell>
          <cell r="K450">
            <v>163.188544822095</v>
          </cell>
          <cell r="N450">
            <v>13954452</v>
          </cell>
          <cell r="O450">
            <v>1034135116</v>
          </cell>
        </row>
        <row r="451">
          <cell r="A451">
            <v>428</v>
          </cell>
          <cell r="B451">
            <v>15</v>
          </cell>
          <cell r="C451">
            <v>338688.00000000006</v>
          </cell>
          <cell r="D451">
            <v>12096.000000000058</v>
          </cell>
          <cell r="E451">
            <v>1925388.0000000002</v>
          </cell>
          <cell r="F451">
            <v>32089.800000000003</v>
          </cell>
          <cell r="G451">
            <v>534.83000000000004</v>
          </cell>
          <cell r="H451">
            <v>22.284583333333334</v>
          </cell>
          <cell r="I451">
            <v>1201</v>
          </cell>
          <cell r="K451">
            <v>163.97419634725597</v>
          </cell>
          <cell r="N451">
            <v>14039351</v>
          </cell>
          <cell r="O451">
            <v>1048089568</v>
          </cell>
        </row>
        <row r="452">
          <cell r="A452">
            <v>429</v>
          </cell>
          <cell r="B452">
            <v>15</v>
          </cell>
          <cell r="C452">
            <v>350784</v>
          </cell>
          <cell r="D452">
            <v>12095.999999999942</v>
          </cell>
          <cell r="E452">
            <v>1937484.0000000002</v>
          </cell>
          <cell r="F452">
            <v>32291.400000000005</v>
          </cell>
          <cell r="G452">
            <v>538.19000000000005</v>
          </cell>
          <cell r="H452">
            <v>22.424583333333334</v>
          </cell>
          <cell r="I452">
            <v>1204</v>
          </cell>
          <cell r="K452">
            <v>164.76266382551995</v>
          </cell>
          <cell r="N452">
            <v>14124656</v>
          </cell>
          <cell r="O452">
            <v>1062128919</v>
          </cell>
        </row>
        <row r="453">
          <cell r="A453">
            <v>430</v>
          </cell>
          <cell r="B453">
            <v>15</v>
          </cell>
          <cell r="C453">
            <v>362880</v>
          </cell>
          <cell r="D453">
            <v>12096</v>
          </cell>
          <cell r="E453">
            <v>1949580.0000000002</v>
          </cell>
          <cell r="F453">
            <v>32493.000000000004</v>
          </cell>
          <cell r="G453">
            <v>541.55000000000007</v>
          </cell>
          <cell r="H453">
            <v>22.564583333333335</v>
          </cell>
          <cell r="I453">
            <v>1208</v>
          </cell>
          <cell r="K453">
            <v>165.81834741631999</v>
          </cell>
          <cell r="N453">
            <v>14239028</v>
          </cell>
          <cell r="O453">
            <v>1076253575</v>
          </cell>
        </row>
        <row r="454">
          <cell r="A454">
            <v>431</v>
          </cell>
          <cell r="B454">
            <v>15</v>
          </cell>
          <cell r="C454">
            <v>374976</v>
          </cell>
          <cell r="D454">
            <v>12096</v>
          </cell>
          <cell r="E454">
            <v>1961676.0000000002</v>
          </cell>
          <cell r="F454">
            <v>32694.600000000002</v>
          </cell>
          <cell r="G454">
            <v>544.91000000000008</v>
          </cell>
          <cell r="H454">
            <v>22.704583333333336</v>
          </cell>
          <cell r="I454">
            <v>1211</v>
          </cell>
          <cell r="K454">
            <v>166.61341527668094</v>
          </cell>
          <cell r="N454">
            <v>14325284</v>
          </cell>
          <cell r="O454">
            <v>1090492603</v>
          </cell>
        </row>
        <row r="455">
          <cell r="A455">
            <v>432</v>
          </cell>
          <cell r="B455">
            <v>15</v>
          </cell>
          <cell r="C455">
            <v>387072</v>
          </cell>
          <cell r="D455">
            <v>12096</v>
          </cell>
          <cell r="E455">
            <v>1973772.0000000002</v>
          </cell>
          <cell r="F455">
            <v>32896.200000000004</v>
          </cell>
          <cell r="G455">
            <v>548.2700000000001</v>
          </cell>
          <cell r="H455">
            <v>22.844583333333336</v>
          </cell>
          <cell r="I455">
            <v>1214</v>
          </cell>
          <cell r="K455">
            <v>167.411324682095</v>
          </cell>
          <cell r="N455">
            <v>14411950</v>
          </cell>
          <cell r="O455">
            <v>1104817887</v>
          </cell>
        </row>
        <row r="456">
          <cell r="A456">
            <v>433</v>
          </cell>
          <cell r="B456">
            <v>15</v>
          </cell>
          <cell r="C456">
            <v>399168</v>
          </cell>
          <cell r="D456">
            <v>12096</v>
          </cell>
          <cell r="E456">
            <v>1985868.0000000002</v>
          </cell>
          <cell r="F456">
            <v>33097.800000000003</v>
          </cell>
          <cell r="G456">
            <v>551.63</v>
          </cell>
          <cell r="H456">
            <v>22.984583333333333</v>
          </cell>
          <cell r="I456">
            <v>1217</v>
          </cell>
          <cell r="K456">
            <v>168.21208333515594</v>
          </cell>
          <cell r="N456">
            <v>14499028</v>
          </cell>
          <cell r="O456">
            <v>1119229837</v>
          </cell>
        </row>
        <row r="457">
          <cell r="A457">
            <v>434</v>
          </cell>
          <cell r="B457">
            <v>15</v>
          </cell>
          <cell r="C457">
            <v>411264.00000000006</v>
          </cell>
          <cell r="D457">
            <v>12096.000000000058</v>
          </cell>
          <cell r="E457">
            <v>1997964.0000000002</v>
          </cell>
          <cell r="F457">
            <v>33299.4</v>
          </cell>
          <cell r="G457">
            <v>554.99</v>
          </cell>
          <cell r="H457">
            <v>23.124583333333334</v>
          </cell>
          <cell r="I457">
            <v>1220</v>
          </cell>
          <cell r="K457">
            <v>169.01569895</v>
          </cell>
          <cell r="N457">
            <v>14586518</v>
          </cell>
          <cell r="O457">
            <v>1133728865</v>
          </cell>
        </row>
        <row r="458">
          <cell r="A458">
            <v>435</v>
          </cell>
          <cell r="B458">
            <v>15</v>
          </cell>
          <cell r="C458">
            <v>423360</v>
          </cell>
          <cell r="D458">
            <v>12095.999999999942</v>
          </cell>
          <cell r="E458">
            <v>2010060.0000000002</v>
          </cell>
          <cell r="F458">
            <v>33501.000000000007</v>
          </cell>
          <cell r="G458">
            <v>558.35000000000014</v>
          </cell>
          <cell r="H458">
            <v>23.264583333333338</v>
          </cell>
          <cell r="I458">
            <v>1223</v>
          </cell>
          <cell r="K458">
            <v>169.82217925230597</v>
          </cell>
          <cell r="N458">
            <v>14674423</v>
          </cell>
          <cell r="O458">
            <v>1148315383</v>
          </cell>
        </row>
        <row r="459">
          <cell r="A459">
            <v>436</v>
          </cell>
          <cell r="B459">
            <v>15</v>
          </cell>
          <cell r="C459">
            <v>435456</v>
          </cell>
          <cell r="D459">
            <v>12096</v>
          </cell>
          <cell r="E459">
            <v>2022156.0000000002</v>
          </cell>
          <cell r="F459">
            <v>33702.600000000006</v>
          </cell>
          <cell r="G459">
            <v>561.71000000000015</v>
          </cell>
          <cell r="H459">
            <v>23.404583333333338</v>
          </cell>
          <cell r="I459">
            <v>1226</v>
          </cell>
          <cell r="K459">
            <v>170.63153197929498</v>
          </cell>
          <cell r="N459">
            <v>14762743</v>
          </cell>
          <cell r="O459">
            <v>1162989806</v>
          </cell>
        </row>
        <row r="460">
          <cell r="A460">
            <v>437</v>
          </cell>
          <cell r="B460">
            <v>15</v>
          </cell>
          <cell r="C460">
            <v>447552</v>
          </cell>
          <cell r="D460">
            <v>12096</v>
          </cell>
          <cell r="E460">
            <v>2034252.0000000002</v>
          </cell>
          <cell r="F460">
            <v>33904.200000000004</v>
          </cell>
          <cell r="G460">
            <v>565.07000000000005</v>
          </cell>
          <cell r="H460">
            <v>23.544583333333335</v>
          </cell>
          <cell r="I460">
            <v>1229</v>
          </cell>
          <cell r="K460">
            <v>171.44376487973096</v>
          </cell>
          <cell r="N460">
            <v>14851481</v>
          </cell>
          <cell r="O460">
            <v>1177752549</v>
          </cell>
        </row>
        <row r="461">
          <cell r="A461">
            <v>438</v>
          </cell>
          <cell r="B461">
            <v>15</v>
          </cell>
          <cell r="C461">
            <v>459648</v>
          </cell>
          <cell r="D461">
            <v>12096</v>
          </cell>
          <cell r="E461">
            <v>2046348.0000000002</v>
          </cell>
          <cell r="F461">
            <v>34105.800000000003</v>
          </cell>
          <cell r="G461">
            <v>568.43000000000006</v>
          </cell>
          <cell r="H461">
            <v>23.684583333333336</v>
          </cell>
          <cell r="I461">
            <v>1232</v>
          </cell>
          <cell r="K461">
            <v>172.25888571391999</v>
          </cell>
          <cell r="N461">
            <v>14940637</v>
          </cell>
          <cell r="O461">
            <v>1192604030</v>
          </cell>
        </row>
        <row r="462">
          <cell r="A462">
            <v>439</v>
          </cell>
          <cell r="B462">
            <v>15</v>
          </cell>
          <cell r="C462">
            <v>471744</v>
          </cell>
          <cell r="D462">
            <v>12096</v>
          </cell>
          <cell r="E462">
            <v>2058444.0000000002</v>
          </cell>
          <cell r="F462">
            <v>34307.4</v>
          </cell>
          <cell r="G462">
            <v>571.79000000000008</v>
          </cell>
          <cell r="H462">
            <v>23.824583333333337</v>
          </cell>
          <cell r="I462">
            <v>1235</v>
          </cell>
          <cell r="K462">
            <v>173.07690225371098</v>
          </cell>
          <cell r="N462">
            <v>15030214</v>
          </cell>
          <cell r="O462">
            <v>1207544667</v>
          </cell>
        </row>
        <row r="463">
          <cell r="A463">
            <v>440</v>
          </cell>
          <cell r="B463">
            <v>15</v>
          </cell>
          <cell r="C463">
            <v>483840</v>
          </cell>
          <cell r="D463">
            <v>12096</v>
          </cell>
          <cell r="E463">
            <v>2070540.0000000002</v>
          </cell>
          <cell r="F463">
            <v>34509.000000000007</v>
          </cell>
          <cell r="G463">
            <v>575.15000000000009</v>
          </cell>
          <cell r="H463">
            <v>23.964583333333337</v>
          </cell>
          <cell r="I463">
            <v>1238</v>
          </cell>
          <cell r="K463">
            <v>173.89782228249499</v>
          </cell>
          <cell r="N463">
            <v>15120212</v>
          </cell>
          <cell r="O463">
            <v>1222574881</v>
          </cell>
        </row>
        <row r="464">
          <cell r="A464">
            <v>441</v>
          </cell>
          <cell r="B464">
            <v>15</v>
          </cell>
          <cell r="C464">
            <v>495935.99999999994</v>
          </cell>
          <cell r="D464">
            <v>12095.999999999942</v>
          </cell>
          <cell r="E464">
            <v>2082636.0000000002</v>
          </cell>
          <cell r="F464">
            <v>34710.600000000006</v>
          </cell>
          <cell r="G464">
            <v>578.5100000000001</v>
          </cell>
          <cell r="H464">
            <v>24.104583333333338</v>
          </cell>
          <cell r="I464">
            <v>1241</v>
          </cell>
          <cell r="K464">
            <v>174.72165359520596</v>
          </cell>
          <cell r="N464">
            <v>15210634</v>
          </cell>
          <cell r="O464">
            <v>1237695093</v>
          </cell>
        </row>
        <row r="465">
          <cell r="A465">
            <v>442</v>
          </cell>
          <cell r="B465">
            <v>15</v>
          </cell>
          <cell r="C465">
            <v>508032</v>
          </cell>
          <cell r="D465">
            <v>12096.000000000058</v>
          </cell>
          <cell r="E465">
            <v>2094732.0000000002</v>
          </cell>
          <cell r="F465">
            <v>34912.200000000004</v>
          </cell>
          <cell r="G465">
            <v>581.87000000000012</v>
          </cell>
          <cell r="H465">
            <v>24.244583333333338</v>
          </cell>
          <cell r="I465">
            <v>1244</v>
          </cell>
          <cell r="K465">
            <v>175.54840399832</v>
          </cell>
          <cell r="N465">
            <v>15301480</v>
          </cell>
          <cell r="O465">
            <v>1252905727</v>
          </cell>
        </row>
        <row r="466">
          <cell r="A466">
            <v>443</v>
          </cell>
          <cell r="B466">
            <v>15</v>
          </cell>
          <cell r="C466">
            <v>520128</v>
          </cell>
          <cell r="D466">
            <v>12096</v>
          </cell>
          <cell r="E466">
            <v>2106828</v>
          </cell>
          <cell r="F466">
            <v>35113.800000000003</v>
          </cell>
          <cell r="G466">
            <v>585.23</v>
          </cell>
          <cell r="H466">
            <v>24.384583333333335</v>
          </cell>
          <cell r="I466">
            <v>1247</v>
          </cell>
          <cell r="K466">
            <v>176.37808130985596</v>
          </cell>
          <cell r="N466">
            <v>15392752</v>
          </cell>
          <cell r="O466">
            <v>1268207207</v>
          </cell>
        </row>
        <row r="467">
          <cell r="A467">
            <v>444</v>
          </cell>
          <cell r="B467">
            <v>15</v>
          </cell>
          <cell r="C467">
            <v>532224</v>
          </cell>
          <cell r="D467">
            <v>12096</v>
          </cell>
          <cell r="E467">
            <v>2118924</v>
          </cell>
          <cell r="F467">
            <v>35315.4</v>
          </cell>
          <cell r="G467">
            <v>588.59</v>
          </cell>
          <cell r="H467">
            <v>24.524583333333336</v>
          </cell>
          <cell r="I467">
            <v>1250</v>
          </cell>
          <cell r="K467">
            <v>177.210693359375</v>
          </cell>
          <cell r="N467">
            <v>15484451</v>
          </cell>
          <cell r="O467">
            <v>1283599959</v>
          </cell>
        </row>
        <row r="468">
          <cell r="A468">
            <v>445</v>
          </cell>
          <cell r="B468">
            <v>15</v>
          </cell>
          <cell r="C468">
            <v>544320</v>
          </cell>
          <cell r="D468">
            <v>12096</v>
          </cell>
          <cell r="E468">
            <v>2131020</v>
          </cell>
          <cell r="F468">
            <v>35517</v>
          </cell>
          <cell r="G468">
            <v>591.95000000000005</v>
          </cell>
          <cell r="H468">
            <v>24.664583333333336</v>
          </cell>
          <cell r="I468">
            <v>1253</v>
          </cell>
          <cell r="K468">
            <v>178.04624798798091</v>
          </cell>
          <cell r="N468">
            <v>15576580</v>
          </cell>
          <cell r="O468">
            <v>1299084410</v>
          </cell>
        </row>
        <row r="469">
          <cell r="A469">
            <v>446</v>
          </cell>
          <cell r="B469">
            <v>15</v>
          </cell>
          <cell r="C469">
            <v>556416</v>
          </cell>
          <cell r="D469">
            <v>12096</v>
          </cell>
          <cell r="E469">
            <v>2143116</v>
          </cell>
          <cell r="F469">
            <v>35718.6</v>
          </cell>
          <cell r="G469">
            <v>595.30999999999995</v>
          </cell>
          <cell r="H469">
            <v>24.80458333333333</v>
          </cell>
          <cell r="I469">
            <v>1256</v>
          </cell>
          <cell r="K469">
            <v>178.88475304832002</v>
          </cell>
          <cell r="N469">
            <v>15669139</v>
          </cell>
          <cell r="O469">
            <v>1314660990</v>
          </cell>
        </row>
        <row r="470">
          <cell r="A470">
            <v>447</v>
          </cell>
          <cell r="B470">
            <v>15</v>
          </cell>
          <cell r="C470">
            <v>568512</v>
          </cell>
          <cell r="D470">
            <v>12096</v>
          </cell>
          <cell r="E470">
            <v>2155212</v>
          </cell>
          <cell r="F470">
            <v>35920.199999999997</v>
          </cell>
          <cell r="G470">
            <v>598.66999999999996</v>
          </cell>
          <cell r="H470">
            <v>24.94458333333333</v>
          </cell>
          <cell r="I470">
            <v>1259</v>
          </cell>
          <cell r="K470">
            <v>179.72621640458092</v>
          </cell>
          <cell r="N470">
            <v>15762130</v>
          </cell>
          <cell r="O470">
            <v>1330330129</v>
          </cell>
        </row>
        <row r="471">
          <cell r="A471">
            <v>448</v>
          </cell>
          <cell r="B471">
            <v>15</v>
          </cell>
          <cell r="C471">
            <v>580608</v>
          </cell>
          <cell r="D471">
            <v>12096</v>
          </cell>
          <cell r="E471">
            <v>2167308</v>
          </cell>
          <cell r="F471">
            <v>36121.800000000003</v>
          </cell>
          <cell r="G471">
            <v>602.03000000000009</v>
          </cell>
          <cell r="H471">
            <v>25.084583333333338</v>
          </cell>
          <cell r="I471">
            <v>1261</v>
          </cell>
          <cell r="K471">
            <v>180.28883936193091</v>
          </cell>
          <cell r="N471">
            <v>15824364</v>
          </cell>
          <cell r="O471">
            <v>1346092259</v>
          </cell>
        </row>
        <row r="472">
          <cell r="A472">
            <v>449</v>
          </cell>
          <cell r="B472">
            <v>15</v>
          </cell>
          <cell r="C472">
            <v>592704</v>
          </cell>
          <cell r="D472">
            <v>12096</v>
          </cell>
          <cell r="E472">
            <v>2179404</v>
          </cell>
          <cell r="F472">
            <v>36323.4</v>
          </cell>
          <cell r="G472">
            <v>605.39</v>
          </cell>
          <cell r="H472">
            <v>25.224583333333332</v>
          </cell>
          <cell r="I472">
            <v>1264</v>
          </cell>
          <cell r="K472">
            <v>181.13525071871996</v>
          </cell>
          <cell r="N472">
            <v>15918079</v>
          </cell>
          <cell r="O472">
            <v>1361916623</v>
          </cell>
        </row>
        <row r="473">
          <cell r="A473">
            <v>450</v>
          </cell>
          <cell r="B473">
            <v>15</v>
          </cell>
          <cell r="C473">
            <v>604800</v>
          </cell>
          <cell r="D473">
            <v>12096</v>
          </cell>
          <cell r="E473">
            <v>2191500</v>
          </cell>
          <cell r="F473">
            <v>36525</v>
          </cell>
          <cell r="G473">
            <v>608.75</v>
          </cell>
          <cell r="H473">
            <v>25.364583333333332</v>
          </cell>
          <cell r="I473">
            <v>1267</v>
          </cell>
          <cell r="K473">
            <v>181.98464139903089</v>
          </cell>
          <cell r="N473">
            <v>16012229</v>
          </cell>
          <cell r="O473">
            <v>1377834702</v>
          </cell>
        </row>
        <row r="474">
          <cell r="A474">
            <v>451</v>
          </cell>
          <cell r="B474">
            <v>16</v>
          </cell>
          <cell r="C474">
            <v>24192</v>
          </cell>
          <cell r="D474">
            <v>24192</v>
          </cell>
          <cell r="E474">
            <v>2215692</v>
          </cell>
          <cell r="F474">
            <v>36928.199999999997</v>
          </cell>
          <cell r="G474">
            <v>615.46999999999991</v>
          </cell>
          <cell r="H474">
            <v>25.64458333333333</v>
          </cell>
          <cell r="I474">
            <v>1273</v>
          </cell>
          <cell r="K474">
            <v>183.69239236780589</v>
          </cell>
          <cell r="N474">
            <v>32403685</v>
          </cell>
          <cell r="O474">
            <v>1393846931</v>
          </cell>
        </row>
        <row r="475">
          <cell r="A475">
            <v>452</v>
          </cell>
          <cell r="B475">
            <v>16</v>
          </cell>
          <cell r="C475">
            <v>48384</v>
          </cell>
          <cell r="D475">
            <v>24192</v>
          </cell>
          <cell r="E475">
            <v>2239884</v>
          </cell>
          <cell r="F475">
            <v>37331.4</v>
          </cell>
          <cell r="G475">
            <v>622.19000000000005</v>
          </cell>
          <cell r="H475">
            <v>25.924583333333334</v>
          </cell>
          <cell r="I475">
            <v>1279</v>
          </cell>
          <cell r="K475">
            <v>185.41215565885591</v>
          </cell>
          <cell r="N475">
            <v>32786436</v>
          </cell>
          <cell r="O475">
            <v>1426250616</v>
          </cell>
        </row>
        <row r="476">
          <cell r="A476">
            <v>453</v>
          </cell>
          <cell r="B476">
            <v>16</v>
          </cell>
          <cell r="C476">
            <v>72576</v>
          </cell>
          <cell r="D476">
            <v>24192</v>
          </cell>
          <cell r="E476">
            <v>2264076</v>
          </cell>
          <cell r="F476">
            <v>37734.6</v>
          </cell>
          <cell r="G476">
            <v>628.91</v>
          </cell>
          <cell r="H476">
            <v>26.204583333333332</v>
          </cell>
          <cell r="I476">
            <v>1284</v>
          </cell>
          <cell r="K476">
            <v>186.85451367512002</v>
          </cell>
          <cell r="N476">
            <v>33108103</v>
          </cell>
          <cell r="O476">
            <v>1459037052</v>
          </cell>
        </row>
        <row r="477">
          <cell r="A477">
            <v>454</v>
          </cell>
          <cell r="B477">
            <v>16</v>
          </cell>
          <cell r="C477">
            <v>96768</v>
          </cell>
          <cell r="D477">
            <v>24192</v>
          </cell>
          <cell r="E477">
            <v>2288268</v>
          </cell>
          <cell r="F477">
            <v>38137.800000000003</v>
          </cell>
          <cell r="G477">
            <v>635.63</v>
          </cell>
          <cell r="H477">
            <v>26.484583333333333</v>
          </cell>
          <cell r="I477">
            <v>1290</v>
          </cell>
          <cell r="K477">
            <v>188.59646480937499</v>
          </cell>
          <cell r="N477">
            <v>33497375</v>
          </cell>
          <cell r="O477">
            <v>1492145155</v>
          </cell>
        </row>
        <row r="478">
          <cell r="A478">
            <v>455</v>
          </cell>
          <cell r="B478">
            <v>16</v>
          </cell>
          <cell r="C478">
            <v>120960</v>
          </cell>
          <cell r="D478">
            <v>24192</v>
          </cell>
          <cell r="E478">
            <v>2312460</v>
          </cell>
          <cell r="F478">
            <v>38541</v>
          </cell>
          <cell r="G478">
            <v>642.35</v>
          </cell>
          <cell r="H478">
            <v>26.764583333333334</v>
          </cell>
          <cell r="I478">
            <v>1296</v>
          </cell>
          <cell r="K478">
            <v>190.35060887552001</v>
          </cell>
          <cell r="N478">
            <v>33890237</v>
          </cell>
          <cell r="O478">
            <v>1525642530</v>
          </cell>
        </row>
        <row r="479">
          <cell r="A479">
            <v>456</v>
          </cell>
          <cell r="B479">
            <v>16</v>
          </cell>
          <cell r="C479">
            <v>145152</v>
          </cell>
          <cell r="D479">
            <v>24192</v>
          </cell>
          <cell r="E479">
            <v>2336652</v>
          </cell>
          <cell r="F479">
            <v>38944.199999999997</v>
          </cell>
          <cell r="G479">
            <v>649.06999999999994</v>
          </cell>
          <cell r="H479">
            <v>27.044583333333332</v>
          </cell>
          <cell r="I479">
            <v>1301</v>
          </cell>
          <cell r="K479">
            <v>191.82175588088091</v>
          </cell>
          <cell r="N479">
            <v>34220384</v>
          </cell>
          <cell r="O479">
            <v>1559532767</v>
          </cell>
        </row>
        <row r="480">
          <cell r="A480">
            <v>457</v>
          </cell>
          <cell r="B480">
            <v>16</v>
          </cell>
          <cell r="C480">
            <v>169344.00000000003</v>
          </cell>
          <cell r="D480">
            <v>24192.000000000029</v>
          </cell>
          <cell r="E480">
            <v>2360844</v>
          </cell>
          <cell r="F480">
            <v>39347.4</v>
          </cell>
          <cell r="G480">
            <v>655.79000000000008</v>
          </cell>
          <cell r="H480">
            <v>27.324583333333337</v>
          </cell>
          <cell r="I480">
            <v>1307</v>
          </cell>
          <cell r="K480">
            <v>193.59842026688094</v>
          </cell>
          <cell r="N480">
            <v>34619894</v>
          </cell>
          <cell r="O480">
            <v>1593753151</v>
          </cell>
        </row>
        <row r="481">
          <cell r="A481">
            <v>458</v>
          </cell>
          <cell r="B481">
            <v>16</v>
          </cell>
          <cell r="C481">
            <v>193536</v>
          </cell>
          <cell r="D481">
            <v>24191.999999999971</v>
          </cell>
          <cell r="E481">
            <v>2385036</v>
          </cell>
          <cell r="F481">
            <v>39750.6</v>
          </cell>
          <cell r="G481">
            <v>662.51</v>
          </cell>
          <cell r="H481">
            <v>27.604583333333334</v>
          </cell>
          <cell r="I481">
            <v>1313</v>
          </cell>
          <cell r="K481">
            <v>195.3874596769559</v>
          </cell>
          <cell r="N481">
            <v>35023064</v>
          </cell>
          <cell r="O481">
            <v>1628373045</v>
          </cell>
        </row>
        <row r="482">
          <cell r="A482">
            <v>459</v>
          </cell>
          <cell r="B482">
            <v>16</v>
          </cell>
          <cell r="C482">
            <v>217728</v>
          </cell>
          <cell r="D482">
            <v>24192</v>
          </cell>
          <cell r="E482">
            <v>2409228</v>
          </cell>
          <cell r="F482">
            <v>40153.800000000003</v>
          </cell>
          <cell r="G482">
            <v>669.23</v>
          </cell>
          <cell r="H482">
            <v>27.884583333333335</v>
          </cell>
          <cell r="I482">
            <v>1318</v>
          </cell>
          <cell r="K482">
            <v>196.88782561129497</v>
          </cell>
          <cell r="N482">
            <v>35361852</v>
          </cell>
          <cell r="O482">
            <v>1663396109</v>
          </cell>
        </row>
        <row r="483">
          <cell r="A483">
            <v>460</v>
          </cell>
          <cell r="B483">
            <v>16</v>
          </cell>
          <cell r="C483">
            <v>241920</v>
          </cell>
          <cell r="D483">
            <v>24192</v>
          </cell>
          <cell r="E483">
            <v>2433420</v>
          </cell>
          <cell r="F483">
            <v>40557</v>
          </cell>
          <cell r="G483">
            <v>675.95</v>
          </cell>
          <cell r="H483">
            <v>28.164583333333336</v>
          </cell>
          <cell r="I483">
            <v>1324</v>
          </cell>
          <cell r="K483">
            <v>198.69972053591999</v>
          </cell>
          <cell r="N483">
            <v>35771796</v>
          </cell>
          <cell r="O483">
            <v>1698757961</v>
          </cell>
        </row>
        <row r="484">
          <cell r="A484">
            <v>461</v>
          </cell>
          <cell r="B484">
            <v>16</v>
          </cell>
          <cell r="C484">
            <v>266112</v>
          </cell>
          <cell r="D484">
            <v>24192</v>
          </cell>
          <cell r="E484">
            <v>2457612</v>
          </cell>
          <cell r="F484">
            <v>40960.199999999997</v>
          </cell>
          <cell r="G484">
            <v>682.67</v>
          </cell>
          <cell r="H484">
            <v>28.44458333333333</v>
          </cell>
          <cell r="I484">
            <v>1329</v>
          </cell>
          <cell r="K484">
            <v>200.21922358485591</v>
          </cell>
          <cell r="N484">
            <v>36116264</v>
          </cell>
          <cell r="O484">
            <v>1734529757</v>
          </cell>
        </row>
        <row r="485">
          <cell r="A485">
            <v>462</v>
          </cell>
          <cell r="B485">
            <v>16</v>
          </cell>
          <cell r="C485">
            <v>290304</v>
          </cell>
          <cell r="D485">
            <v>24192</v>
          </cell>
          <cell r="E485">
            <v>2481804</v>
          </cell>
          <cell r="F485">
            <v>41363.4</v>
          </cell>
          <cell r="G485">
            <v>689.39</v>
          </cell>
          <cell r="H485">
            <v>28.724583333333332</v>
          </cell>
          <cell r="I485">
            <v>1334</v>
          </cell>
          <cell r="K485">
            <v>201.74748557049503</v>
          </cell>
          <cell r="N485">
            <v>36463336</v>
          </cell>
          <cell r="O485">
            <v>1770646021</v>
          </cell>
        </row>
        <row r="486">
          <cell r="A486">
            <v>463</v>
          </cell>
          <cell r="B486">
            <v>16</v>
          </cell>
          <cell r="C486">
            <v>314496</v>
          </cell>
          <cell r="D486">
            <v>24192</v>
          </cell>
          <cell r="E486">
            <v>2505996</v>
          </cell>
          <cell r="F486">
            <v>41766.6</v>
          </cell>
          <cell r="G486">
            <v>696.11</v>
          </cell>
          <cell r="H486">
            <v>29.004583333333333</v>
          </cell>
          <cell r="I486">
            <v>1340</v>
          </cell>
          <cell r="K486">
            <v>203.59301495000003</v>
          </cell>
          <cell r="N486">
            <v>36883280</v>
          </cell>
          <cell r="O486">
            <v>1807109357</v>
          </cell>
        </row>
        <row r="487">
          <cell r="A487">
            <v>464</v>
          </cell>
          <cell r="B487">
            <v>16</v>
          </cell>
          <cell r="C487">
            <v>338688.00000000006</v>
          </cell>
          <cell r="D487">
            <v>24192.000000000058</v>
          </cell>
          <cell r="E487">
            <v>2530188</v>
          </cell>
          <cell r="F487">
            <v>42169.8</v>
          </cell>
          <cell r="G487">
            <v>702.83</v>
          </cell>
          <cell r="H487">
            <v>29.284583333333334</v>
          </cell>
          <cell r="I487">
            <v>1345</v>
          </cell>
          <cell r="K487">
            <v>205.14067970683593</v>
          </cell>
          <cell r="N487">
            <v>37236132</v>
          </cell>
          <cell r="O487">
            <v>1843992637</v>
          </cell>
        </row>
        <row r="488">
          <cell r="A488">
            <v>465</v>
          </cell>
          <cell r="B488">
            <v>16</v>
          </cell>
          <cell r="C488">
            <v>362880</v>
          </cell>
          <cell r="D488">
            <v>24191.999999999942</v>
          </cell>
          <cell r="E488">
            <v>2554380</v>
          </cell>
          <cell r="F488">
            <v>42573</v>
          </cell>
          <cell r="G488">
            <v>709.55</v>
          </cell>
          <cell r="H488">
            <v>29.564583333333331</v>
          </cell>
          <cell r="I488">
            <v>1350</v>
          </cell>
          <cell r="K488">
            <v>206.69722460937504</v>
          </cell>
          <cell r="N488">
            <v>37591635</v>
          </cell>
          <cell r="O488">
            <v>1881228769</v>
          </cell>
        </row>
        <row r="489">
          <cell r="A489">
            <v>466</v>
          </cell>
          <cell r="B489">
            <v>16</v>
          </cell>
          <cell r="C489">
            <v>387072</v>
          </cell>
          <cell r="D489">
            <v>24192</v>
          </cell>
          <cell r="E489">
            <v>2578572</v>
          </cell>
          <cell r="F489">
            <v>42976.2</v>
          </cell>
          <cell r="G489">
            <v>716.27</v>
          </cell>
          <cell r="H489">
            <v>29.844583333333333</v>
          </cell>
          <cell r="I489">
            <v>1356</v>
          </cell>
          <cell r="K489">
            <v>208.57685388632004</v>
          </cell>
          <cell r="N489">
            <v>38021757</v>
          </cell>
          <cell r="O489">
            <v>1918820404</v>
          </cell>
        </row>
        <row r="490">
          <cell r="A490">
            <v>467</v>
          </cell>
          <cell r="B490">
            <v>16</v>
          </cell>
          <cell r="C490">
            <v>411264.00000000006</v>
          </cell>
          <cell r="D490">
            <v>24192.000000000058</v>
          </cell>
          <cell r="E490">
            <v>2602764</v>
          </cell>
          <cell r="F490">
            <v>43379.4</v>
          </cell>
          <cell r="G490">
            <v>722.99</v>
          </cell>
          <cell r="H490">
            <v>30.124583333333334</v>
          </cell>
          <cell r="I490">
            <v>1361</v>
          </cell>
          <cell r="K490">
            <v>210.15306922305592</v>
          </cell>
          <cell r="N490">
            <v>38383142</v>
          </cell>
          <cell r="O490">
            <v>1956842161</v>
          </cell>
        </row>
        <row r="491">
          <cell r="A491">
            <v>468</v>
          </cell>
          <cell r="B491">
            <v>16</v>
          </cell>
          <cell r="C491">
            <v>435456</v>
          </cell>
          <cell r="D491">
            <v>24191.999999999942</v>
          </cell>
          <cell r="E491">
            <v>2626956</v>
          </cell>
          <cell r="F491">
            <v>43782.6</v>
          </cell>
          <cell r="G491">
            <v>729.70999999999992</v>
          </cell>
          <cell r="H491">
            <v>30.404583333333331</v>
          </cell>
          <cell r="I491">
            <v>1366</v>
          </cell>
          <cell r="K491">
            <v>211.73828682649503</v>
          </cell>
          <cell r="N491">
            <v>38747223</v>
          </cell>
          <cell r="O491">
            <v>1995225303</v>
          </cell>
        </row>
        <row r="492">
          <cell r="A492">
            <v>469</v>
          </cell>
          <cell r="B492">
            <v>16</v>
          </cell>
          <cell r="C492">
            <v>459648</v>
          </cell>
          <cell r="D492">
            <v>24192</v>
          </cell>
          <cell r="E492">
            <v>2651148</v>
          </cell>
          <cell r="F492">
            <v>44185.8</v>
          </cell>
          <cell r="G492">
            <v>736.43000000000006</v>
          </cell>
          <cell r="H492">
            <v>30.684583333333336</v>
          </cell>
          <cell r="I492">
            <v>1372</v>
          </cell>
          <cell r="K492">
            <v>213.65248494552003</v>
          </cell>
          <cell r="N492">
            <v>39187701</v>
          </cell>
          <cell r="O492">
            <v>2033972526</v>
          </cell>
        </row>
        <row r="493">
          <cell r="A493">
            <v>470</v>
          </cell>
          <cell r="B493">
            <v>16</v>
          </cell>
          <cell r="C493">
            <v>483840</v>
          </cell>
          <cell r="D493">
            <v>24192</v>
          </cell>
          <cell r="E493">
            <v>2675340</v>
          </cell>
          <cell r="F493">
            <v>44589</v>
          </cell>
          <cell r="G493">
            <v>743.15</v>
          </cell>
          <cell r="H493">
            <v>30.964583333333334</v>
          </cell>
          <cell r="I493">
            <v>1377</v>
          </cell>
          <cell r="K493">
            <v>215.25764265255592</v>
          </cell>
          <cell r="N493">
            <v>39557767</v>
          </cell>
          <cell r="O493">
            <v>2073160227</v>
          </cell>
        </row>
        <row r="494">
          <cell r="A494">
            <v>471</v>
          </cell>
          <cell r="B494">
            <v>16</v>
          </cell>
          <cell r="C494">
            <v>508032</v>
          </cell>
          <cell r="D494">
            <v>24192</v>
          </cell>
          <cell r="E494">
            <v>2699532</v>
          </cell>
          <cell r="F494">
            <v>44992.2</v>
          </cell>
          <cell r="G494">
            <v>749.87</v>
          </cell>
          <cell r="H494">
            <v>31.244583333333335</v>
          </cell>
          <cell r="I494">
            <v>1382</v>
          </cell>
          <cell r="K494">
            <v>216.87192565929496</v>
          </cell>
          <cell r="N494">
            <v>39930577</v>
          </cell>
          <cell r="O494">
            <v>2112717994</v>
          </cell>
        </row>
        <row r="495">
          <cell r="A495">
            <v>472</v>
          </cell>
          <cell r="B495">
            <v>16</v>
          </cell>
          <cell r="C495">
            <v>532224</v>
          </cell>
          <cell r="D495">
            <v>24192</v>
          </cell>
          <cell r="E495">
            <v>2723724</v>
          </cell>
          <cell r="F495">
            <v>45395.4</v>
          </cell>
          <cell r="G495">
            <v>756.59</v>
          </cell>
          <cell r="H495">
            <v>31.524583333333336</v>
          </cell>
          <cell r="I495">
            <v>1387</v>
          </cell>
          <cell r="K495">
            <v>218.49537260058094</v>
          </cell>
          <cell r="N495">
            <v>40306146</v>
          </cell>
          <cell r="O495">
            <v>2152648571</v>
          </cell>
        </row>
        <row r="496">
          <cell r="A496">
            <v>473</v>
          </cell>
          <cell r="B496">
            <v>16</v>
          </cell>
          <cell r="C496">
            <v>556416</v>
          </cell>
          <cell r="D496">
            <v>24192</v>
          </cell>
          <cell r="E496">
            <v>2747916</v>
          </cell>
          <cell r="F496">
            <v>45798.6</v>
          </cell>
          <cell r="G496">
            <v>763.31</v>
          </cell>
          <cell r="H496">
            <v>31.80458333333333</v>
          </cell>
          <cell r="I496">
            <v>1392</v>
          </cell>
          <cell r="K496">
            <v>220.12802220031998</v>
          </cell>
          <cell r="N496">
            <v>40684487</v>
          </cell>
          <cell r="O496">
            <v>2192954717</v>
          </cell>
        </row>
        <row r="497">
          <cell r="A497">
            <v>474</v>
          </cell>
          <cell r="B497">
            <v>16</v>
          </cell>
          <cell r="C497">
            <v>580608</v>
          </cell>
          <cell r="D497">
            <v>24192</v>
          </cell>
          <cell r="E497">
            <v>2772108</v>
          </cell>
          <cell r="F497">
            <v>46201.8</v>
          </cell>
          <cell r="G497">
            <v>770.03000000000009</v>
          </cell>
          <cell r="H497">
            <v>32.084583333333335</v>
          </cell>
          <cell r="I497">
            <v>1397</v>
          </cell>
          <cell r="K497">
            <v>221.76991327148099</v>
          </cell>
          <cell r="N497">
            <v>41065617</v>
          </cell>
          <cell r="O497">
            <v>2233639204</v>
          </cell>
        </row>
        <row r="498">
          <cell r="A498">
            <v>475</v>
          </cell>
          <cell r="B498">
            <v>16</v>
          </cell>
          <cell r="C498">
            <v>604800</v>
          </cell>
          <cell r="D498">
            <v>24192</v>
          </cell>
          <cell r="E498">
            <v>2796300</v>
          </cell>
          <cell r="F498">
            <v>46605</v>
          </cell>
          <cell r="G498">
            <v>776.75</v>
          </cell>
          <cell r="H498">
            <v>32.364583333333336</v>
          </cell>
          <cell r="I498">
            <v>1402</v>
          </cell>
          <cell r="K498">
            <v>223.42108471609495</v>
          </cell>
          <cell r="N498">
            <v>41449550</v>
          </cell>
          <cell r="O498">
            <v>2274704821</v>
          </cell>
        </row>
        <row r="499">
          <cell r="A499">
            <v>476</v>
          </cell>
          <cell r="B499">
            <v>16</v>
          </cell>
          <cell r="C499">
            <v>628992</v>
          </cell>
          <cell r="D499">
            <v>24192</v>
          </cell>
          <cell r="E499">
            <v>2820492</v>
          </cell>
          <cell r="F499">
            <v>47008.2</v>
          </cell>
          <cell r="G499">
            <v>783.46999999999991</v>
          </cell>
          <cell r="H499">
            <v>32.64458333333333</v>
          </cell>
          <cell r="I499">
            <v>1407</v>
          </cell>
          <cell r="K499">
            <v>225.08157552525591</v>
          </cell>
          <cell r="N499">
            <v>41836301</v>
          </cell>
          <cell r="O499">
            <v>2316154371</v>
          </cell>
        </row>
        <row r="500">
          <cell r="A500">
            <v>477</v>
          </cell>
          <cell r="B500">
            <v>16</v>
          </cell>
          <cell r="C500">
            <v>653184</v>
          </cell>
          <cell r="D500">
            <v>24192</v>
          </cell>
          <cell r="E500">
            <v>2844684</v>
          </cell>
          <cell r="F500">
            <v>47411.4</v>
          </cell>
          <cell r="G500">
            <v>790.19</v>
          </cell>
          <cell r="H500">
            <v>32.924583333333338</v>
          </cell>
          <cell r="I500">
            <v>1411</v>
          </cell>
          <cell r="K500">
            <v>226.41670437393094</v>
          </cell>
          <cell r="N500">
            <v>42147741</v>
          </cell>
          <cell r="O500">
            <v>2357990672</v>
          </cell>
        </row>
        <row r="501">
          <cell r="A501">
            <v>478</v>
          </cell>
          <cell r="B501">
            <v>16</v>
          </cell>
          <cell r="C501">
            <v>677376.00000000012</v>
          </cell>
          <cell r="D501">
            <v>24192.000000000116</v>
          </cell>
          <cell r="E501">
            <v>2868876</v>
          </cell>
          <cell r="F501">
            <v>47814.6</v>
          </cell>
          <cell r="G501">
            <v>796.91</v>
          </cell>
          <cell r="H501">
            <v>33.204583333333332</v>
          </cell>
          <cell r="I501">
            <v>1415</v>
          </cell>
          <cell r="K501">
            <v>227.75784267558595</v>
          </cell>
          <cell r="N501">
            <v>42461002</v>
          </cell>
          <cell r="O501">
            <v>2400138413</v>
          </cell>
        </row>
        <row r="502">
          <cell r="A502">
            <v>479</v>
          </cell>
          <cell r="B502">
            <v>16</v>
          </cell>
          <cell r="C502">
            <v>701568</v>
          </cell>
          <cell r="D502">
            <v>24191.999999999884</v>
          </cell>
          <cell r="E502">
            <v>2893068</v>
          </cell>
          <cell r="F502">
            <v>48217.8</v>
          </cell>
          <cell r="G502">
            <v>803.63</v>
          </cell>
          <cell r="H502">
            <v>33.484583333333333</v>
          </cell>
          <cell r="I502">
            <v>1420</v>
          </cell>
          <cell r="K502">
            <v>229.44274694999999</v>
          </cell>
          <cell r="N502">
            <v>42855150</v>
          </cell>
          <cell r="O502">
            <v>2442599415</v>
          </cell>
        </row>
        <row r="503">
          <cell r="A503">
            <v>480</v>
          </cell>
          <cell r="B503">
            <v>16</v>
          </cell>
          <cell r="C503">
            <v>725760</v>
          </cell>
          <cell r="D503">
            <v>24192</v>
          </cell>
          <cell r="E503">
            <v>2917260</v>
          </cell>
          <cell r="F503">
            <v>48621</v>
          </cell>
          <cell r="G503">
            <v>810.35</v>
          </cell>
          <cell r="H503">
            <v>33.764583333333334</v>
          </cell>
          <cell r="I503">
            <v>1424</v>
          </cell>
          <cell r="K503">
            <v>230.79748001791995</v>
          </cell>
          <cell r="N503">
            <v>43172535</v>
          </cell>
          <cell r="O503">
            <v>2485454565</v>
          </cell>
        </row>
        <row r="504">
          <cell r="A504">
            <v>481</v>
          </cell>
          <cell r="B504">
            <v>16</v>
          </cell>
          <cell r="C504">
            <v>749952</v>
          </cell>
          <cell r="D504">
            <v>24192</v>
          </cell>
          <cell r="E504">
            <v>2941452</v>
          </cell>
          <cell r="F504">
            <v>49024.2</v>
          </cell>
          <cell r="G504">
            <v>817.06999999999994</v>
          </cell>
          <cell r="H504">
            <v>34.044583333333328</v>
          </cell>
          <cell r="I504">
            <v>1428</v>
          </cell>
          <cell r="K504">
            <v>232.15828795351996</v>
          </cell>
          <cell r="N504">
            <v>43491766</v>
          </cell>
          <cell r="O504">
            <v>2528627100</v>
          </cell>
        </row>
        <row r="505">
          <cell r="A505">
            <v>482</v>
          </cell>
          <cell r="B505">
            <v>16</v>
          </cell>
          <cell r="C505">
            <v>774144</v>
          </cell>
          <cell r="D505">
            <v>24192</v>
          </cell>
          <cell r="E505">
            <v>2965644</v>
          </cell>
          <cell r="F505">
            <v>49427.4</v>
          </cell>
          <cell r="G505">
            <v>823.79000000000008</v>
          </cell>
          <cell r="H505">
            <v>34.324583333333337</v>
          </cell>
          <cell r="I505">
            <v>1433</v>
          </cell>
          <cell r="K505">
            <v>233.86787144040596</v>
          </cell>
          <cell r="N505">
            <v>43893413</v>
          </cell>
          <cell r="O505">
            <v>2572118866</v>
          </cell>
        </row>
        <row r="506">
          <cell r="A506">
            <v>483</v>
          </cell>
          <cell r="B506">
            <v>16</v>
          </cell>
          <cell r="C506">
            <v>798336</v>
          </cell>
          <cell r="D506">
            <v>24192</v>
          </cell>
          <cell r="E506">
            <v>2989836</v>
          </cell>
          <cell r="F506">
            <v>49830.6</v>
          </cell>
          <cell r="G506">
            <v>830.51</v>
          </cell>
          <cell r="H506">
            <v>34.604583333333331</v>
          </cell>
          <cell r="I506">
            <v>1437</v>
          </cell>
          <cell r="K506">
            <v>235.24242175883094</v>
          </cell>
          <cell r="N506">
            <v>44216825</v>
          </cell>
          <cell r="O506">
            <v>2616012279</v>
          </cell>
        </row>
        <row r="507">
          <cell r="A507">
            <v>484</v>
          </cell>
          <cell r="B507">
            <v>16</v>
          </cell>
          <cell r="C507">
            <v>822528.00000000012</v>
          </cell>
          <cell r="D507">
            <v>24192.000000000116</v>
          </cell>
          <cell r="E507">
            <v>3014028</v>
          </cell>
          <cell r="F507">
            <v>50233.8</v>
          </cell>
          <cell r="G507">
            <v>837.23</v>
          </cell>
          <cell r="H507">
            <v>34.884583333333332</v>
          </cell>
          <cell r="I507">
            <v>1441</v>
          </cell>
          <cell r="K507">
            <v>236.62311274495593</v>
          </cell>
          <cell r="N507">
            <v>44542109</v>
          </cell>
          <cell r="O507">
            <v>2660229104</v>
          </cell>
        </row>
        <row r="508">
          <cell r="A508">
            <v>485</v>
          </cell>
          <cell r="B508">
            <v>16</v>
          </cell>
          <cell r="C508">
            <v>846720</v>
          </cell>
          <cell r="D508">
            <v>24191.999999999884</v>
          </cell>
          <cell r="E508">
            <v>3038220</v>
          </cell>
          <cell r="F508">
            <v>50637</v>
          </cell>
          <cell r="G508">
            <v>843.95</v>
          </cell>
          <cell r="H508">
            <v>35.164583333333333</v>
          </cell>
          <cell r="I508">
            <v>1445</v>
          </cell>
          <cell r="K508">
            <v>238.00996472246095</v>
          </cell>
          <cell r="N508">
            <v>44869272</v>
          </cell>
          <cell r="O508">
            <v>2704771213</v>
          </cell>
        </row>
        <row r="509">
          <cell r="A509">
            <v>486</v>
          </cell>
          <cell r="B509">
            <v>16</v>
          </cell>
          <cell r="C509">
            <v>870912</v>
          </cell>
          <cell r="D509">
            <v>24192</v>
          </cell>
          <cell r="E509">
            <v>3062412</v>
          </cell>
          <cell r="F509">
            <v>51040.2</v>
          </cell>
          <cell r="G509">
            <v>850.67</v>
          </cell>
          <cell r="H509">
            <v>35.444583333333334</v>
          </cell>
          <cell r="I509">
            <v>1450</v>
          </cell>
          <cell r="K509">
            <v>239.75222460937499</v>
          </cell>
          <cell r="N509">
            <v>45280879</v>
          </cell>
          <cell r="O509">
            <v>2749640485</v>
          </cell>
        </row>
        <row r="510">
          <cell r="A510">
            <v>487</v>
          </cell>
          <cell r="B510">
            <v>16</v>
          </cell>
          <cell r="C510">
            <v>895104</v>
          </cell>
          <cell r="D510">
            <v>24192</v>
          </cell>
          <cell r="E510">
            <v>3086604</v>
          </cell>
          <cell r="F510">
            <v>51443.4</v>
          </cell>
          <cell r="G510">
            <v>857.39</v>
          </cell>
          <cell r="H510">
            <v>35.724583333333335</v>
          </cell>
          <cell r="I510">
            <v>1454</v>
          </cell>
          <cell r="K510">
            <v>241.15301331489496</v>
          </cell>
          <cell r="N510">
            <v>45612298</v>
          </cell>
          <cell r="O510">
            <v>2794921364</v>
          </cell>
        </row>
        <row r="511">
          <cell r="A511">
            <v>488</v>
          </cell>
          <cell r="B511">
            <v>16</v>
          </cell>
          <cell r="C511">
            <v>919296</v>
          </cell>
          <cell r="D511">
            <v>24192</v>
          </cell>
          <cell r="E511">
            <v>3110796</v>
          </cell>
          <cell r="F511">
            <v>51846.6</v>
          </cell>
          <cell r="G511">
            <v>864.11</v>
          </cell>
          <cell r="H511">
            <v>36.004583333333336</v>
          </cell>
          <cell r="I511">
            <v>1458</v>
          </cell>
          <cell r="K511">
            <v>242.56002931569498</v>
          </cell>
          <cell r="N511">
            <v>45945621</v>
          </cell>
          <cell r="O511">
            <v>2840533662</v>
          </cell>
        </row>
        <row r="512">
          <cell r="A512">
            <v>489</v>
          </cell>
          <cell r="B512">
            <v>16</v>
          </cell>
          <cell r="C512">
            <v>943488</v>
          </cell>
          <cell r="D512">
            <v>24192</v>
          </cell>
          <cell r="E512">
            <v>3134988</v>
          </cell>
          <cell r="F512">
            <v>52249.8</v>
          </cell>
          <cell r="G512">
            <v>870.83</v>
          </cell>
          <cell r="H512">
            <v>36.284583333333337</v>
          </cell>
          <cell r="I512">
            <v>1462</v>
          </cell>
          <cell r="K512">
            <v>243.97329309049499</v>
          </cell>
          <cell r="N512">
            <v>46280857</v>
          </cell>
          <cell r="O512">
            <v>2886479283</v>
          </cell>
        </row>
        <row r="513">
          <cell r="A513">
            <v>490</v>
          </cell>
          <cell r="B513">
            <v>16</v>
          </cell>
          <cell r="C513">
            <v>967680</v>
          </cell>
          <cell r="D513">
            <v>24192</v>
          </cell>
          <cell r="E513">
            <v>3159180</v>
          </cell>
          <cell r="F513">
            <v>52653</v>
          </cell>
          <cell r="G513">
            <v>877.55</v>
          </cell>
          <cell r="H513">
            <v>36.564583333333331</v>
          </cell>
          <cell r="I513">
            <v>1466</v>
          </cell>
          <cell r="K513">
            <v>245.39282515449497</v>
          </cell>
          <cell r="N513">
            <v>46618013</v>
          </cell>
          <cell r="O513">
            <v>2932760140</v>
          </cell>
        </row>
        <row r="514">
          <cell r="A514">
            <v>491</v>
          </cell>
          <cell r="B514">
            <v>16</v>
          </cell>
          <cell r="C514">
            <v>991871.99999999988</v>
          </cell>
          <cell r="D514">
            <v>24191.999999999884</v>
          </cell>
          <cell r="E514">
            <v>3183372</v>
          </cell>
          <cell r="F514">
            <v>53056.2</v>
          </cell>
          <cell r="G514">
            <v>884.27</v>
          </cell>
          <cell r="H514">
            <v>36.844583333333333</v>
          </cell>
          <cell r="I514">
            <v>1470</v>
          </cell>
          <cell r="K514">
            <v>246.81864605937494</v>
          </cell>
          <cell r="N514">
            <v>46957096</v>
          </cell>
          <cell r="O514">
            <v>2979378153</v>
          </cell>
        </row>
        <row r="515">
          <cell r="A515">
            <v>492</v>
          </cell>
          <cell r="B515">
            <v>16</v>
          </cell>
          <cell r="C515">
            <v>1016064</v>
          </cell>
          <cell r="D515">
            <v>24192.000000000116</v>
          </cell>
          <cell r="E515">
            <v>3207564</v>
          </cell>
          <cell r="F515">
            <v>53459.4</v>
          </cell>
          <cell r="G515">
            <v>890.99</v>
          </cell>
          <cell r="H515">
            <v>37.124583333333334</v>
          </cell>
          <cell r="I515">
            <v>1475</v>
          </cell>
          <cell r="K515">
            <v>248.60979724121097</v>
          </cell>
          <cell r="N515">
            <v>47383674</v>
          </cell>
          <cell r="O515">
            <v>3026335249</v>
          </cell>
        </row>
        <row r="516">
          <cell r="A516">
            <v>493</v>
          </cell>
          <cell r="B516">
            <v>16</v>
          </cell>
          <cell r="C516">
            <v>1040256</v>
          </cell>
          <cell r="D516">
            <v>24192</v>
          </cell>
          <cell r="E516">
            <v>3231756</v>
          </cell>
          <cell r="F516">
            <v>53862.6</v>
          </cell>
          <cell r="G516">
            <v>897.70999999999992</v>
          </cell>
          <cell r="H516">
            <v>37.404583333333328</v>
          </cell>
          <cell r="I516">
            <v>1479</v>
          </cell>
          <cell r="K516">
            <v>250.04984336910596</v>
          </cell>
          <cell r="N516">
            <v>47727125</v>
          </cell>
          <cell r="O516">
            <v>3073718923</v>
          </cell>
        </row>
        <row r="517">
          <cell r="A517">
            <v>494</v>
          </cell>
          <cell r="B517">
            <v>16</v>
          </cell>
          <cell r="C517">
            <v>1064448</v>
          </cell>
          <cell r="D517">
            <v>24192</v>
          </cell>
          <cell r="E517">
            <v>3255948</v>
          </cell>
          <cell r="F517">
            <v>54265.8</v>
          </cell>
          <cell r="G517">
            <v>904.43000000000006</v>
          </cell>
          <cell r="H517">
            <v>37.684583333333336</v>
          </cell>
          <cell r="I517">
            <v>1483</v>
          </cell>
          <cell r="K517">
            <v>251.49624538278098</v>
          </cell>
          <cell r="N517">
            <v>48072530</v>
          </cell>
          <cell r="O517">
            <v>3121446048</v>
          </cell>
        </row>
        <row r="518">
          <cell r="A518">
            <v>495</v>
          </cell>
          <cell r="B518">
            <v>16</v>
          </cell>
          <cell r="C518">
            <v>1088640</v>
          </cell>
          <cell r="D518">
            <v>24192</v>
          </cell>
          <cell r="E518">
            <v>3280140</v>
          </cell>
          <cell r="F518">
            <v>54669</v>
          </cell>
          <cell r="G518">
            <v>911.15</v>
          </cell>
          <cell r="H518">
            <v>37.96458333333333</v>
          </cell>
          <cell r="I518">
            <v>1487</v>
          </cell>
          <cell r="K518">
            <v>252.94902398895596</v>
          </cell>
          <cell r="N518">
            <v>48419897</v>
          </cell>
          <cell r="O518">
            <v>3169518578</v>
          </cell>
        </row>
        <row r="519">
          <cell r="A519">
            <v>496</v>
          </cell>
          <cell r="B519">
            <v>16</v>
          </cell>
          <cell r="C519">
            <v>1112832</v>
          </cell>
          <cell r="D519">
            <v>24192</v>
          </cell>
          <cell r="E519">
            <v>3304332</v>
          </cell>
          <cell r="F519">
            <v>55072.2</v>
          </cell>
          <cell r="G519">
            <v>917.87</v>
          </cell>
          <cell r="H519">
            <v>38.244583333333331</v>
          </cell>
          <cell r="I519">
            <v>1491</v>
          </cell>
          <cell r="K519">
            <v>254.40819993083102</v>
          </cell>
          <cell r="N519">
            <v>48769233</v>
          </cell>
          <cell r="O519">
            <v>3217938475</v>
          </cell>
        </row>
        <row r="520">
          <cell r="A520">
            <v>497</v>
          </cell>
          <cell r="B520">
            <v>16</v>
          </cell>
          <cell r="C520">
            <v>1137024</v>
          </cell>
          <cell r="D520">
            <v>24192</v>
          </cell>
          <cell r="E520">
            <v>3328524</v>
          </cell>
          <cell r="F520">
            <v>55475.4</v>
          </cell>
          <cell r="G520">
            <v>924.59</v>
          </cell>
          <cell r="H520">
            <v>38.524583333333332</v>
          </cell>
          <cell r="I520">
            <v>1495</v>
          </cell>
          <cell r="K520">
            <v>255.87379398808596</v>
          </cell>
          <cell r="N520">
            <v>49120548</v>
          </cell>
          <cell r="O520">
            <v>3266707708</v>
          </cell>
        </row>
        <row r="521">
          <cell r="A521">
            <v>498</v>
          </cell>
          <cell r="B521">
            <v>16</v>
          </cell>
          <cell r="C521">
            <v>1161216</v>
          </cell>
          <cell r="D521">
            <v>24192</v>
          </cell>
          <cell r="E521">
            <v>3352716</v>
          </cell>
          <cell r="F521">
            <v>55878.6</v>
          </cell>
          <cell r="G521">
            <v>931.31</v>
          </cell>
          <cell r="H521">
            <v>38.804583333333333</v>
          </cell>
          <cell r="I521">
            <v>1499</v>
          </cell>
          <cell r="K521">
            <v>257.34582697688097</v>
          </cell>
          <cell r="N521">
            <v>49473849</v>
          </cell>
          <cell r="O521">
            <v>3315828256</v>
          </cell>
        </row>
        <row r="522">
          <cell r="A522">
            <v>499</v>
          </cell>
          <cell r="B522">
            <v>16</v>
          </cell>
          <cell r="C522">
            <v>1185408</v>
          </cell>
          <cell r="D522">
            <v>24192</v>
          </cell>
          <cell r="E522">
            <v>3376908</v>
          </cell>
          <cell r="F522">
            <v>56281.8</v>
          </cell>
          <cell r="G522">
            <v>938.03000000000009</v>
          </cell>
          <cell r="H522">
            <v>39.084583333333335</v>
          </cell>
          <cell r="I522">
            <v>1503</v>
          </cell>
          <cell r="K522">
            <v>258.82431974985587</v>
          </cell>
          <cell r="N522">
            <v>49829143</v>
          </cell>
          <cell r="O522">
            <v>3365302105</v>
          </cell>
        </row>
        <row r="523">
          <cell r="A523">
            <v>500</v>
          </cell>
          <cell r="B523">
            <v>16</v>
          </cell>
          <cell r="C523">
            <v>1209600</v>
          </cell>
          <cell r="D523">
            <v>24192</v>
          </cell>
          <cell r="E523">
            <v>3401100</v>
          </cell>
          <cell r="F523">
            <v>56685</v>
          </cell>
          <cell r="G523">
            <v>944.75</v>
          </cell>
          <cell r="H523">
            <v>39.364583333333336</v>
          </cell>
          <cell r="I523">
            <v>1507</v>
          </cell>
          <cell r="K523">
            <v>260.30929319613097</v>
          </cell>
          <cell r="N523">
            <v>50186440</v>
          </cell>
          <cell r="O523">
            <v>3415131248</v>
          </cell>
        </row>
        <row r="524">
          <cell r="A524">
            <v>501</v>
          </cell>
          <cell r="B524">
            <v>17</v>
          </cell>
          <cell r="C524">
            <v>24192</v>
          </cell>
          <cell r="D524">
            <v>24192</v>
          </cell>
          <cell r="E524">
            <v>3425292</v>
          </cell>
          <cell r="F524">
            <v>57088.2</v>
          </cell>
          <cell r="G524">
            <v>951.46999999999991</v>
          </cell>
          <cell r="H524">
            <v>39.64458333333333</v>
          </cell>
          <cell r="I524">
            <v>1511</v>
          </cell>
          <cell r="K524">
            <v>261.80076824130589</v>
          </cell>
          <cell r="N524">
            <v>50545747</v>
          </cell>
          <cell r="O524">
            <v>3465317688</v>
          </cell>
        </row>
        <row r="525">
          <cell r="A525">
            <v>502</v>
          </cell>
          <cell r="B525">
            <v>17</v>
          </cell>
          <cell r="C525">
            <v>48384</v>
          </cell>
          <cell r="D525">
            <v>24192</v>
          </cell>
          <cell r="E525">
            <v>3449484</v>
          </cell>
          <cell r="F525">
            <v>57491.4</v>
          </cell>
          <cell r="G525">
            <v>958.19</v>
          </cell>
          <cell r="H525">
            <v>39.924583333333338</v>
          </cell>
          <cell r="I525">
            <v>1515</v>
          </cell>
          <cell r="K525">
            <v>263.29876584746091</v>
          </cell>
          <cell r="N525">
            <v>50907072</v>
          </cell>
          <cell r="O525">
            <v>3515863435</v>
          </cell>
        </row>
        <row r="526">
          <cell r="A526">
            <v>503</v>
          </cell>
          <cell r="B526">
            <v>17</v>
          </cell>
          <cell r="C526">
            <v>72576</v>
          </cell>
          <cell r="D526">
            <v>24192</v>
          </cell>
          <cell r="E526">
            <v>3473676</v>
          </cell>
          <cell r="F526">
            <v>57894.6</v>
          </cell>
          <cell r="G526">
            <v>964.91</v>
          </cell>
          <cell r="H526">
            <v>40.204583333333332</v>
          </cell>
          <cell r="I526">
            <v>1519</v>
          </cell>
          <cell r="K526">
            <v>264.80330701315592</v>
          </cell>
          <cell r="N526">
            <v>51270424</v>
          </cell>
          <cell r="O526">
            <v>3566770507</v>
          </cell>
        </row>
        <row r="527">
          <cell r="A527">
            <v>504</v>
          </cell>
          <cell r="B527">
            <v>17</v>
          </cell>
          <cell r="C527">
            <v>96768</v>
          </cell>
          <cell r="D527">
            <v>24192</v>
          </cell>
          <cell r="E527">
            <v>3497868</v>
          </cell>
          <cell r="F527">
            <v>58297.8</v>
          </cell>
          <cell r="G527">
            <v>971.63</v>
          </cell>
          <cell r="H527">
            <v>40.484583333333333</v>
          </cell>
          <cell r="I527">
            <v>1523</v>
          </cell>
          <cell r="K527">
            <v>266.31441277343089</v>
          </cell>
          <cell r="N527">
            <v>51635810</v>
          </cell>
          <cell r="O527">
            <v>3618040931</v>
          </cell>
        </row>
        <row r="528">
          <cell r="A528">
            <v>505</v>
          </cell>
          <cell r="B528">
            <v>17</v>
          </cell>
          <cell r="C528">
            <v>120960</v>
          </cell>
          <cell r="D528">
            <v>24192</v>
          </cell>
          <cell r="E528">
            <v>3522060</v>
          </cell>
          <cell r="F528">
            <v>58701</v>
          </cell>
          <cell r="G528">
            <v>978.35</v>
          </cell>
          <cell r="H528">
            <v>40.764583333333334</v>
          </cell>
          <cell r="I528">
            <v>1526</v>
          </cell>
          <cell r="K528">
            <v>267.45206278329505</v>
          </cell>
          <cell r="N528">
            <v>51911190</v>
          </cell>
          <cell r="O528">
            <v>3669676741</v>
          </cell>
        </row>
        <row r="529">
          <cell r="A529">
            <v>506</v>
          </cell>
          <cell r="B529">
            <v>17</v>
          </cell>
          <cell r="C529">
            <v>145152</v>
          </cell>
          <cell r="D529">
            <v>24192</v>
          </cell>
          <cell r="E529">
            <v>3546252</v>
          </cell>
          <cell r="F529">
            <v>59104.2</v>
          </cell>
          <cell r="G529">
            <v>985.06999999999994</v>
          </cell>
          <cell r="H529">
            <v>41.044583333333328</v>
          </cell>
          <cell r="I529">
            <v>1530</v>
          </cell>
          <cell r="K529">
            <v>268.97470730937499</v>
          </cell>
          <cell r="N529">
            <v>52280156</v>
          </cell>
          <cell r="O529">
            <v>3721587931</v>
          </cell>
        </row>
        <row r="530">
          <cell r="A530">
            <v>507</v>
          </cell>
          <cell r="B530">
            <v>17</v>
          </cell>
          <cell r="C530">
            <v>169344.00000000003</v>
          </cell>
          <cell r="D530">
            <v>24192.000000000029</v>
          </cell>
          <cell r="E530">
            <v>3570444</v>
          </cell>
          <cell r="F530">
            <v>59507.4</v>
          </cell>
          <cell r="G530">
            <v>991.79000000000008</v>
          </cell>
          <cell r="H530">
            <v>41.324583333333337</v>
          </cell>
          <cell r="I530">
            <v>1534</v>
          </cell>
          <cell r="K530">
            <v>270.50397446449506</v>
          </cell>
          <cell r="N530">
            <v>52651180</v>
          </cell>
          <cell r="O530">
            <v>3773868087</v>
          </cell>
        </row>
        <row r="531">
          <cell r="A531">
            <v>508</v>
          </cell>
          <cell r="B531">
            <v>17</v>
          </cell>
          <cell r="C531">
            <v>193536</v>
          </cell>
          <cell r="D531">
            <v>24191.999999999971</v>
          </cell>
          <cell r="E531">
            <v>3594636</v>
          </cell>
          <cell r="F531">
            <v>59910.6</v>
          </cell>
          <cell r="G531">
            <v>998.51</v>
          </cell>
          <cell r="H531">
            <v>41.604583333333331</v>
          </cell>
          <cell r="I531">
            <v>1538</v>
          </cell>
          <cell r="K531">
            <v>272.03988542049501</v>
          </cell>
          <cell r="N531">
            <v>53024268</v>
          </cell>
          <cell r="O531">
            <v>3826519267</v>
          </cell>
        </row>
        <row r="532">
          <cell r="A532">
            <v>509</v>
          </cell>
          <cell r="B532">
            <v>17</v>
          </cell>
          <cell r="C532">
            <v>217728</v>
          </cell>
          <cell r="D532">
            <v>24192</v>
          </cell>
          <cell r="E532">
            <v>3618828</v>
          </cell>
          <cell r="F532">
            <v>60313.8</v>
          </cell>
          <cell r="G532">
            <v>1005.23</v>
          </cell>
          <cell r="H532">
            <v>41.884583333333332</v>
          </cell>
          <cell r="I532">
            <v>1542</v>
          </cell>
          <cell r="K532">
            <v>273.58246138569496</v>
          </cell>
          <cell r="N532">
            <v>53399431</v>
          </cell>
          <cell r="O532">
            <v>3879543535</v>
          </cell>
        </row>
        <row r="533">
          <cell r="A533">
            <v>510</v>
          </cell>
          <cell r="B533">
            <v>17</v>
          </cell>
          <cell r="C533">
            <v>241920</v>
          </cell>
          <cell r="D533">
            <v>24192</v>
          </cell>
          <cell r="E533">
            <v>3643020</v>
          </cell>
          <cell r="F533">
            <v>60717</v>
          </cell>
          <cell r="G533">
            <v>1011.95</v>
          </cell>
          <cell r="H533">
            <v>42.164583333333333</v>
          </cell>
          <cell r="I533">
            <v>1546</v>
          </cell>
          <cell r="K533">
            <v>275.131723604895</v>
          </cell>
          <cell r="N533">
            <v>53776675</v>
          </cell>
          <cell r="O533">
            <v>3932942966</v>
          </cell>
        </row>
        <row r="534">
          <cell r="A534">
            <v>511</v>
          </cell>
          <cell r="B534">
            <v>17</v>
          </cell>
          <cell r="C534">
            <v>266112</v>
          </cell>
          <cell r="D534">
            <v>24192</v>
          </cell>
          <cell r="E534">
            <v>3667212</v>
          </cell>
          <cell r="F534">
            <v>61120.2</v>
          </cell>
          <cell r="G534">
            <v>1018.67</v>
          </cell>
          <cell r="H534">
            <v>42.444583333333334</v>
          </cell>
          <cell r="I534">
            <v>1550</v>
          </cell>
          <cell r="K534">
            <v>276.68769335937503</v>
          </cell>
          <cell r="N534">
            <v>54156009</v>
          </cell>
          <cell r="O534">
            <v>3986719641</v>
          </cell>
        </row>
        <row r="535">
          <cell r="A535">
            <v>512</v>
          </cell>
          <cell r="B535">
            <v>17</v>
          </cell>
          <cell r="C535">
            <v>290304</v>
          </cell>
          <cell r="D535">
            <v>24192</v>
          </cell>
          <cell r="E535">
            <v>3691404</v>
          </cell>
          <cell r="F535">
            <v>61523.4</v>
          </cell>
          <cell r="G535">
            <v>1025.3900000000001</v>
          </cell>
          <cell r="H535">
            <v>42.724583333333335</v>
          </cell>
          <cell r="I535">
            <v>1553</v>
          </cell>
          <cell r="K535">
            <v>277.85908531785589</v>
          </cell>
          <cell r="N535">
            <v>54441886</v>
          </cell>
          <cell r="O535">
            <v>4040875650</v>
          </cell>
        </row>
        <row r="536">
          <cell r="A536">
            <v>513</v>
          </cell>
          <cell r="B536">
            <v>17</v>
          </cell>
          <cell r="C536">
            <v>314496</v>
          </cell>
          <cell r="D536">
            <v>24192</v>
          </cell>
          <cell r="E536">
            <v>3715596</v>
          </cell>
          <cell r="F536">
            <v>61926.6</v>
          </cell>
          <cell r="G536">
            <v>1032.1099999999999</v>
          </cell>
          <cell r="H536">
            <v>43.004583333333329</v>
          </cell>
          <cell r="I536">
            <v>1557</v>
          </cell>
          <cell r="K536">
            <v>279.42684457688091</v>
          </cell>
          <cell r="N536">
            <v>54824897</v>
          </cell>
          <cell r="O536">
            <v>4095317536</v>
          </cell>
        </row>
        <row r="537">
          <cell r="A537">
            <v>514</v>
          </cell>
          <cell r="B537">
            <v>17</v>
          </cell>
          <cell r="C537">
            <v>338688.00000000006</v>
          </cell>
          <cell r="D537">
            <v>24192.000000000058</v>
          </cell>
          <cell r="E537">
            <v>3739788</v>
          </cell>
          <cell r="F537">
            <v>62329.8</v>
          </cell>
          <cell r="G537">
            <v>1038.8300000000002</v>
          </cell>
          <cell r="H537">
            <v>43.284583333333337</v>
          </cell>
          <cell r="I537">
            <v>1561</v>
          </cell>
          <cell r="K537">
            <v>281.00137008280592</v>
          </cell>
          <cell r="N537">
            <v>55210021</v>
          </cell>
          <cell r="O537">
            <v>4150142433</v>
          </cell>
        </row>
        <row r="538">
          <cell r="A538">
            <v>515</v>
          </cell>
          <cell r="B538">
            <v>17</v>
          </cell>
          <cell r="C538">
            <v>362880</v>
          </cell>
          <cell r="D538">
            <v>24191.999999999942</v>
          </cell>
          <cell r="E538">
            <v>3763980</v>
          </cell>
          <cell r="F538">
            <v>62733</v>
          </cell>
          <cell r="G538">
            <v>1045.55</v>
          </cell>
          <cell r="H538">
            <v>43.564583333333331</v>
          </cell>
          <cell r="I538">
            <v>1565</v>
          </cell>
          <cell r="K538">
            <v>282.58268325371091</v>
          </cell>
          <cell r="N538">
            <v>55597266</v>
          </cell>
          <cell r="O538">
            <v>4205352454</v>
          </cell>
        </row>
        <row r="539">
          <cell r="A539">
            <v>516</v>
          </cell>
          <cell r="B539">
            <v>17</v>
          </cell>
          <cell r="C539">
            <v>387072</v>
          </cell>
          <cell r="D539">
            <v>24192</v>
          </cell>
          <cell r="E539">
            <v>3788172</v>
          </cell>
          <cell r="F539">
            <v>63136.2</v>
          </cell>
          <cell r="G539">
            <v>1052.27</v>
          </cell>
          <cell r="H539">
            <v>43.844583333333333</v>
          </cell>
          <cell r="I539">
            <v>1568</v>
          </cell>
          <cell r="K539">
            <v>283.77313544192009</v>
          </cell>
          <cell r="N539">
            <v>55889097</v>
          </cell>
          <cell r="O539">
            <v>4260949720</v>
          </cell>
        </row>
        <row r="540">
          <cell r="A540">
            <v>517</v>
          </cell>
          <cell r="B540">
            <v>17</v>
          </cell>
          <cell r="C540">
            <v>411264.00000000006</v>
          </cell>
          <cell r="D540">
            <v>24192.000000000058</v>
          </cell>
          <cell r="E540">
            <v>3812364</v>
          </cell>
          <cell r="F540">
            <v>63539.4</v>
          </cell>
          <cell r="G540">
            <v>1058.99</v>
          </cell>
          <cell r="H540">
            <v>44.124583333333334</v>
          </cell>
          <cell r="I540">
            <v>1572</v>
          </cell>
          <cell r="K540">
            <v>285.36637867351999</v>
          </cell>
          <cell r="N540">
            <v>56280075</v>
          </cell>
          <cell r="O540">
            <v>4316838817</v>
          </cell>
        </row>
        <row r="541">
          <cell r="A541">
            <v>518</v>
          </cell>
          <cell r="B541">
            <v>17</v>
          </cell>
          <cell r="C541">
            <v>435456</v>
          </cell>
          <cell r="D541">
            <v>24191.999999999942</v>
          </cell>
          <cell r="E541">
            <v>3836556</v>
          </cell>
          <cell r="F541">
            <v>63942.6</v>
          </cell>
          <cell r="G541">
            <v>1065.71</v>
          </cell>
          <cell r="H541">
            <v>44.404583333333335</v>
          </cell>
          <cell r="I541">
            <v>1576</v>
          </cell>
          <cell r="K541">
            <v>286.96646865792007</v>
          </cell>
          <cell r="N541">
            <v>56673196</v>
          </cell>
          <cell r="O541">
            <v>4373118892</v>
          </cell>
        </row>
        <row r="542">
          <cell r="A542">
            <v>519</v>
          </cell>
          <cell r="B542">
            <v>17</v>
          </cell>
          <cell r="C542">
            <v>459648</v>
          </cell>
          <cell r="D542">
            <v>24192</v>
          </cell>
          <cell r="E542">
            <v>3860748</v>
          </cell>
          <cell r="F542">
            <v>64345.8</v>
          </cell>
          <cell r="G542">
            <v>1072.43</v>
          </cell>
          <cell r="H542">
            <v>44.684583333333336</v>
          </cell>
          <cell r="I542">
            <v>1580</v>
          </cell>
          <cell r="K542">
            <v>288.57342695</v>
          </cell>
          <cell r="N542">
            <v>57068470</v>
          </cell>
          <cell r="O542">
            <v>4429792088</v>
          </cell>
        </row>
        <row r="543">
          <cell r="A543">
            <v>520</v>
          </cell>
          <cell r="B543">
            <v>17</v>
          </cell>
          <cell r="C543">
            <v>483840</v>
          </cell>
          <cell r="D543">
            <v>24192</v>
          </cell>
          <cell r="E543">
            <v>3884940</v>
          </cell>
          <cell r="F543">
            <v>64749</v>
          </cell>
          <cell r="G543">
            <v>1079.1500000000001</v>
          </cell>
          <cell r="H543">
            <v>44.964583333333337</v>
          </cell>
          <cell r="I543">
            <v>1583</v>
          </cell>
          <cell r="K543">
            <v>289.78316598315593</v>
          </cell>
          <cell r="N543">
            <v>57366343</v>
          </cell>
          <cell r="O543">
            <v>4486860558</v>
          </cell>
        </row>
        <row r="544">
          <cell r="A544">
            <v>521</v>
          </cell>
          <cell r="B544">
            <v>17</v>
          </cell>
          <cell r="C544">
            <v>508032</v>
          </cell>
          <cell r="D544">
            <v>24192</v>
          </cell>
          <cell r="E544">
            <v>3909132</v>
          </cell>
          <cell r="F544">
            <v>65152.2</v>
          </cell>
          <cell r="G544">
            <v>1085.8699999999999</v>
          </cell>
          <cell r="H544">
            <v>45.244583333333331</v>
          </cell>
          <cell r="I544">
            <v>1587</v>
          </cell>
          <cell r="K544">
            <v>291.4021957898309</v>
          </cell>
          <cell r="N544">
            <v>57765404</v>
          </cell>
          <cell r="O544">
            <v>4544226901</v>
          </cell>
        </row>
        <row r="545">
          <cell r="A545">
            <v>522</v>
          </cell>
          <cell r="B545">
            <v>17</v>
          </cell>
          <cell r="C545">
            <v>532224</v>
          </cell>
          <cell r="D545">
            <v>24192</v>
          </cell>
          <cell r="E545">
            <v>3933324</v>
          </cell>
          <cell r="F545">
            <v>65555.399999999994</v>
          </cell>
          <cell r="G545">
            <v>1092.5899999999999</v>
          </cell>
          <cell r="H545">
            <v>45.524583333333332</v>
          </cell>
          <cell r="I545">
            <v>1591</v>
          </cell>
          <cell r="K545">
            <v>293.02815336820589</v>
          </cell>
          <cell r="N545">
            <v>58166641</v>
          </cell>
          <cell r="O545">
            <v>4601992305</v>
          </cell>
        </row>
        <row r="546">
          <cell r="A546">
            <v>523</v>
          </cell>
          <cell r="B546">
            <v>17</v>
          </cell>
          <cell r="C546">
            <v>556416</v>
          </cell>
          <cell r="D546">
            <v>24192</v>
          </cell>
          <cell r="E546">
            <v>3957516</v>
          </cell>
          <cell r="F546">
            <v>65958.600000000006</v>
          </cell>
          <cell r="G546">
            <v>1099.3100000000002</v>
          </cell>
          <cell r="H546">
            <v>45.804583333333341</v>
          </cell>
          <cell r="I546">
            <v>1594</v>
          </cell>
          <cell r="K546">
            <v>294.252180949695</v>
          </cell>
          <cell r="N546">
            <v>58469001</v>
          </cell>
          <cell r="O546">
            <v>4660158946</v>
          </cell>
        </row>
        <row r="547">
          <cell r="A547">
            <v>524</v>
          </cell>
          <cell r="B547">
            <v>17</v>
          </cell>
          <cell r="C547">
            <v>580608</v>
          </cell>
          <cell r="D547">
            <v>24192</v>
          </cell>
          <cell r="E547">
            <v>3981708</v>
          </cell>
          <cell r="F547">
            <v>66361.8</v>
          </cell>
          <cell r="G547">
            <v>1106.03</v>
          </cell>
          <cell r="H547">
            <v>46.084583333333335</v>
          </cell>
          <cell r="I547">
            <v>1598</v>
          </cell>
          <cell r="K547">
            <v>295.89031434609501</v>
          </cell>
          <cell r="N547">
            <v>58874065</v>
          </cell>
          <cell r="O547">
            <v>4718627947</v>
          </cell>
        </row>
        <row r="548">
          <cell r="A548">
            <v>525</v>
          </cell>
          <cell r="B548">
            <v>17</v>
          </cell>
          <cell r="C548">
            <v>604800</v>
          </cell>
          <cell r="D548">
            <v>24192</v>
          </cell>
          <cell r="E548">
            <v>4005900</v>
          </cell>
          <cell r="F548">
            <v>66765</v>
          </cell>
          <cell r="G548">
            <v>1112.75</v>
          </cell>
          <cell r="H548">
            <v>46.364583333333336</v>
          </cell>
          <cell r="I548">
            <v>1601</v>
          </cell>
          <cell r="K548">
            <v>297.12349875675585</v>
          </cell>
          <cell r="N548">
            <v>59179306</v>
          </cell>
          <cell r="O548">
            <v>4777502012</v>
          </cell>
        </row>
        <row r="549">
          <cell r="A549">
            <v>526</v>
          </cell>
          <cell r="B549">
            <v>17</v>
          </cell>
          <cell r="C549">
            <v>628992</v>
          </cell>
          <cell r="D549">
            <v>24192</v>
          </cell>
          <cell r="E549">
            <v>4030092</v>
          </cell>
          <cell r="F549">
            <v>67168.2</v>
          </cell>
          <cell r="G549">
            <v>1119.47</v>
          </cell>
          <cell r="H549">
            <v>46.644583333333337</v>
          </cell>
          <cell r="I549">
            <v>1604</v>
          </cell>
          <cell r="K549">
            <v>298.36062283352004</v>
          </cell>
          <cell r="N549">
            <v>59485788</v>
          </cell>
          <cell r="O549">
            <v>4836681318</v>
          </cell>
        </row>
        <row r="550">
          <cell r="A550">
            <v>527</v>
          </cell>
          <cell r="B550">
            <v>17</v>
          </cell>
          <cell r="C550">
            <v>653184</v>
          </cell>
          <cell r="D550">
            <v>24192</v>
          </cell>
          <cell r="E550">
            <v>4054284</v>
          </cell>
          <cell r="F550">
            <v>67571.399999999994</v>
          </cell>
          <cell r="G550">
            <v>1126.1899999999998</v>
          </cell>
          <cell r="H550">
            <v>46.924583333333324</v>
          </cell>
          <cell r="I550">
            <v>1608</v>
          </cell>
          <cell r="K550">
            <v>300.01626588032002</v>
          </cell>
          <cell r="N550">
            <v>59896365</v>
          </cell>
          <cell r="O550">
            <v>4896167106</v>
          </cell>
        </row>
        <row r="551">
          <cell r="A551">
            <v>528</v>
          </cell>
          <cell r="B551">
            <v>17</v>
          </cell>
          <cell r="C551">
            <v>677376.00000000012</v>
          </cell>
          <cell r="D551">
            <v>24192.000000000116</v>
          </cell>
          <cell r="E551">
            <v>4078476</v>
          </cell>
          <cell r="F551">
            <v>67974.600000000006</v>
          </cell>
          <cell r="G551">
            <v>1132.9100000000001</v>
          </cell>
          <cell r="H551">
            <v>47.204583333333339</v>
          </cell>
          <cell r="I551">
            <v>1611</v>
          </cell>
          <cell r="K551">
            <v>301.26261832118092</v>
          </cell>
          <cell r="N551">
            <v>60205755</v>
          </cell>
          <cell r="O551">
            <v>4956063471</v>
          </cell>
        </row>
        <row r="552">
          <cell r="A552">
            <v>529</v>
          </cell>
          <cell r="B552">
            <v>17</v>
          </cell>
          <cell r="C552">
            <v>701568</v>
          </cell>
          <cell r="D552">
            <v>24191.999999999884</v>
          </cell>
          <cell r="E552">
            <v>4102668</v>
          </cell>
          <cell r="F552">
            <v>68377.8</v>
          </cell>
          <cell r="G552">
            <v>1139.6300000000001</v>
          </cell>
          <cell r="H552">
            <v>47.48458333333334</v>
          </cell>
          <cell r="I552">
            <v>1614</v>
          </cell>
          <cell r="K552">
            <v>302.512941150095</v>
          </cell>
          <cell r="N552">
            <v>60516397</v>
          </cell>
          <cell r="O552">
            <v>5016269226</v>
          </cell>
        </row>
        <row r="553">
          <cell r="A553">
            <v>530</v>
          </cell>
          <cell r="B553">
            <v>17</v>
          </cell>
          <cell r="C553">
            <v>725760</v>
          </cell>
          <cell r="D553">
            <v>24192</v>
          </cell>
          <cell r="E553">
            <v>4126860</v>
          </cell>
          <cell r="F553">
            <v>68781</v>
          </cell>
          <cell r="G553">
            <v>1146.3499999999999</v>
          </cell>
          <cell r="H553">
            <v>47.764583333333327</v>
          </cell>
          <cell r="I553">
            <v>1617</v>
          </cell>
          <cell r="K553">
            <v>303.76724360865592</v>
          </cell>
          <cell r="N553">
            <v>60828296</v>
          </cell>
          <cell r="O553">
            <v>5076785623</v>
          </cell>
        </row>
        <row r="554">
          <cell r="A554">
            <v>531</v>
          </cell>
          <cell r="B554">
            <v>17</v>
          </cell>
          <cell r="C554">
            <v>749952</v>
          </cell>
          <cell r="D554">
            <v>24192</v>
          </cell>
          <cell r="E554">
            <v>4151052</v>
          </cell>
          <cell r="F554">
            <v>69184.2</v>
          </cell>
          <cell r="G554">
            <v>1153.07</v>
          </cell>
          <cell r="H554">
            <v>48.044583333333328</v>
          </cell>
          <cell r="I554">
            <v>1620</v>
          </cell>
          <cell r="K554">
            <v>305.02553495000006</v>
          </cell>
          <cell r="N554">
            <v>61141454</v>
          </cell>
          <cell r="O554">
            <v>5137613919</v>
          </cell>
        </row>
        <row r="555">
          <cell r="A555">
            <v>532</v>
          </cell>
          <cell r="B555">
            <v>17</v>
          </cell>
          <cell r="C555">
            <v>774144</v>
          </cell>
          <cell r="D555">
            <v>24192</v>
          </cell>
          <cell r="E555">
            <v>4175244</v>
          </cell>
          <cell r="F555">
            <v>69587.399999999994</v>
          </cell>
          <cell r="G555">
            <v>1159.79</v>
          </cell>
          <cell r="H555">
            <v>48.324583333333329</v>
          </cell>
          <cell r="I555">
            <v>1623</v>
          </cell>
          <cell r="K555">
            <v>306.28782443880596</v>
          </cell>
          <cell r="N555">
            <v>61455875</v>
          </cell>
          <cell r="O555">
            <v>5198755373</v>
          </cell>
        </row>
        <row r="556">
          <cell r="A556">
            <v>533</v>
          </cell>
          <cell r="B556">
            <v>17</v>
          </cell>
          <cell r="C556">
            <v>798336</v>
          </cell>
          <cell r="D556">
            <v>24192</v>
          </cell>
          <cell r="E556">
            <v>4199436</v>
          </cell>
          <cell r="F556">
            <v>69990.600000000006</v>
          </cell>
          <cell r="G556">
            <v>1166.51</v>
          </cell>
          <cell r="H556">
            <v>48.604583333333331</v>
          </cell>
          <cell r="I556">
            <v>1626</v>
          </cell>
          <cell r="K556">
            <v>307.55412135129495</v>
          </cell>
          <cell r="N556">
            <v>61771563</v>
          </cell>
          <cell r="O556">
            <v>5260211248</v>
          </cell>
        </row>
        <row r="557">
          <cell r="A557">
            <v>534</v>
          </cell>
          <cell r="B557">
            <v>17</v>
          </cell>
          <cell r="C557">
            <v>822528.00000000012</v>
          </cell>
          <cell r="D557">
            <v>24192.000000000116</v>
          </cell>
          <cell r="E557">
            <v>4223628</v>
          </cell>
          <cell r="F557">
            <v>70393.8</v>
          </cell>
          <cell r="G557">
            <v>1173.23</v>
          </cell>
          <cell r="H557">
            <v>48.884583333333332</v>
          </cell>
          <cell r="I557">
            <v>1629</v>
          </cell>
          <cell r="K557">
            <v>308.82443497523093</v>
          </cell>
          <cell r="N557">
            <v>62088522</v>
          </cell>
          <cell r="O557">
            <v>5321982811</v>
          </cell>
        </row>
        <row r="558">
          <cell r="A558">
            <v>535</v>
          </cell>
          <cell r="B558">
            <v>17</v>
          </cell>
          <cell r="C558">
            <v>846720</v>
          </cell>
          <cell r="D558">
            <v>24191.999999999884</v>
          </cell>
          <cell r="E558">
            <v>4247820</v>
          </cell>
          <cell r="F558">
            <v>70797</v>
          </cell>
          <cell r="G558">
            <v>1179.95</v>
          </cell>
          <cell r="H558">
            <v>49.164583333333333</v>
          </cell>
          <cell r="I558">
            <v>1632</v>
          </cell>
          <cell r="K558">
            <v>310.09877460991999</v>
          </cell>
          <cell r="N558">
            <v>62406755</v>
          </cell>
          <cell r="O558">
            <v>5384071333</v>
          </cell>
        </row>
        <row r="559">
          <cell r="A559">
            <v>536</v>
          </cell>
          <cell r="B559">
            <v>17</v>
          </cell>
          <cell r="C559">
            <v>870912</v>
          </cell>
          <cell r="D559">
            <v>24192</v>
          </cell>
          <cell r="E559">
            <v>4272012</v>
          </cell>
          <cell r="F559">
            <v>71200.2</v>
          </cell>
          <cell r="G559">
            <v>1186.6699999999998</v>
          </cell>
          <cell r="H559">
            <v>49.444583333333327</v>
          </cell>
          <cell r="I559">
            <v>1635</v>
          </cell>
          <cell r="K559">
            <v>311.3771495662109</v>
          </cell>
          <cell r="N559">
            <v>62726266</v>
          </cell>
          <cell r="O559">
            <v>5446478088</v>
          </cell>
        </row>
        <row r="560">
          <cell r="A560">
            <v>537</v>
          </cell>
          <cell r="B560">
            <v>17</v>
          </cell>
          <cell r="C560">
            <v>895104</v>
          </cell>
          <cell r="D560">
            <v>24192</v>
          </cell>
          <cell r="E560">
            <v>4296204</v>
          </cell>
          <cell r="F560">
            <v>71603.399999999994</v>
          </cell>
          <cell r="G560">
            <v>1193.3899999999999</v>
          </cell>
          <cell r="H560">
            <v>49.724583333333328</v>
          </cell>
          <cell r="I560">
            <v>1638</v>
          </cell>
          <cell r="K560">
            <v>312.65956916649498</v>
          </cell>
          <cell r="N560">
            <v>63047059</v>
          </cell>
          <cell r="O560">
            <v>5509204354</v>
          </cell>
        </row>
        <row r="561">
          <cell r="A561">
            <v>538</v>
          </cell>
          <cell r="B561">
            <v>17</v>
          </cell>
          <cell r="C561">
            <v>919296</v>
          </cell>
          <cell r="D561">
            <v>24192</v>
          </cell>
          <cell r="E561">
            <v>4320396</v>
          </cell>
          <cell r="F561">
            <v>72006.600000000006</v>
          </cell>
          <cell r="G561">
            <v>1200.1100000000001</v>
          </cell>
          <cell r="H561">
            <v>50.004583333333336</v>
          </cell>
          <cell r="I561">
            <v>1641</v>
          </cell>
          <cell r="K561">
            <v>313.94604274470589</v>
          </cell>
          <cell r="N561">
            <v>63369136</v>
          </cell>
          <cell r="O561">
            <v>5572251413</v>
          </cell>
        </row>
        <row r="562">
          <cell r="A562">
            <v>539</v>
          </cell>
          <cell r="B562">
            <v>17</v>
          </cell>
          <cell r="C562">
            <v>943488</v>
          </cell>
          <cell r="D562">
            <v>24192</v>
          </cell>
          <cell r="E562">
            <v>4344588</v>
          </cell>
          <cell r="F562">
            <v>72409.8</v>
          </cell>
          <cell r="G562">
            <v>1206.8300000000002</v>
          </cell>
          <cell r="H562">
            <v>50.284583333333337</v>
          </cell>
          <cell r="I562">
            <v>1644</v>
          </cell>
          <cell r="K562">
            <v>315.23657964631997</v>
          </cell>
          <cell r="N562">
            <v>63692502</v>
          </cell>
          <cell r="O562">
            <v>5635620549</v>
          </cell>
        </row>
        <row r="563">
          <cell r="A563">
            <v>540</v>
          </cell>
          <cell r="B563">
            <v>17</v>
          </cell>
          <cell r="C563">
            <v>967680</v>
          </cell>
          <cell r="D563">
            <v>24192</v>
          </cell>
          <cell r="E563">
            <v>4368780</v>
          </cell>
          <cell r="F563">
            <v>72813</v>
          </cell>
          <cell r="G563">
            <v>1213.55</v>
          </cell>
          <cell r="H563">
            <v>50.564583333333331</v>
          </cell>
          <cell r="I563">
            <v>1647</v>
          </cell>
          <cell r="K563">
            <v>316.53118922835586</v>
          </cell>
          <cell r="N563">
            <v>64017161</v>
          </cell>
          <cell r="O563">
            <v>5699313051</v>
          </cell>
        </row>
        <row r="564">
          <cell r="A564">
            <v>541</v>
          </cell>
          <cell r="B564">
            <v>17</v>
          </cell>
          <cell r="C564">
            <v>991871.99999999988</v>
          </cell>
          <cell r="D564">
            <v>24191.999999999884</v>
          </cell>
          <cell r="E564">
            <v>4392972</v>
          </cell>
          <cell r="F564">
            <v>73216.2</v>
          </cell>
          <cell r="G564">
            <v>1220.27</v>
          </cell>
          <cell r="H564">
            <v>50.844583333333333</v>
          </cell>
          <cell r="I564">
            <v>1650</v>
          </cell>
          <cell r="K564">
            <v>317.8298808593749</v>
          </cell>
          <cell r="N564">
            <v>64343116</v>
          </cell>
          <cell r="O564">
            <v>5763330212</v>
          </cell>
        </row>
        <row r="565">
          <cell r="A565">
            <v>542</v>
          </cell>
          <cell r="B565">
            <v>17</v>
          </cell>
          <cell r="C565">
            <v>1016064</v>
          </cell>
          <cell r="D565">
            <v>24192.000000000116</v>
          </cell>
          <cell r="E565">
            <v>4417164</v>
          </cell>
          <cell r="F565">
            <v>73619.399999999994</v>
          </cell>
          <cell r="G565">
            <v>1226.99</v>
          </cell>
          <cell r="H565">
            <v>51.124583333333334</v>
          </cell>
          <cell r="I565">
            <v>1653</v>
          </cell>
          <cell r="K565">
            <v>319.13266391948093</v>
          </cell>
          <cell r="N565">
            <v>64670371</v>
          </cell>
          <cell r="O565">
            <v>5827673328</v>
          </cell>
        </row>
        <row r="566">
          <cell r="A566">
            <v>543</v>
          </cell>
          <cell r="B566">
            <v>17</v>
          </cell>
          <cell r="C566">
            <v>1040256</v>
          </cell>
          <cell r="D566">
            <v>24192</v>
          </cell>
          <cell r="E566">
            <v>4441356</v>
          </cell>
          <cell r="F566">
            <v>74022.600000000006</v>
          </cell>
          <cell r="G566">
            <v>1233.71</v>
          </cell>
          <cell r="H566">
            <v>51.404583333333335</v>
          </cell>
          <cell r="I566">
            <v>1656</v>
          </cell>
          <cell r="K566">
            <v>320.43954780031999</v>
          </cell>
          <cell r="N566">
            <v>64998929</v>
          </cell>
          <cell r="O566">
            <v>5892343699</v>
          </cell>
        </row>
        <row r="567">
          <cell r="A567">
            <v>544</v>
          </cell>
          <cell r="B567">
            <v>17</v>
          </cell>
          <cell r="C567">
            <v>1064448</v>
          </cell>
          <cell r="D567">
            <v>24192</v>
          </cell>
          <cell r="E567">
            <v>4465548</v>
          </cell>
          <cell r="F567">
            <v>74425.8</v>
          </cell>
          <cell r="G567">
            <v>1240.43</v>
          </cell>
          <cell r="H567">
            <v>51.684583333333336</v>
          </cell>
          <cell r="I567">
            <v>1659</v>
          </cell>
          <cell r="K567">
            <v>321.75054190508092</v>
          </cell>
          <cell r="N567">
            <v>65328795</v>
          </cell>
          <cell r="O567">
            <v>5957342628</v>
          </cell>
        </row>
        <row r="568">
          <cell r="A568">
            <v>545</v>
          </cell>
          <cell r="B568">
            <v>17</v>
          </cell>
          <cell r="C568">
            <v>1088640</v>
          </cell>
          <cell r="D568">
            <v>24192</v>
          </cell>
          <cell r="E568">
            <v>4489740</v>
          </cell>
          <cell r="F568">
            <v>74829</v>
          </cell>
          <cell r="G568">
            <v>1247.1500000000001</v>
          </cell>
          <cell r="H568">
            <v>51.964583333333337</v>
          </cell>
          <cell r="I568">
            <v>1662</v>
          </cell>
          <cell r="K568">
            <v>323.06565564849501</v>
          </cell>
          <cell r="N568">
            <v>65659971</v>
          </cell>
          <cell r="O568">
            <v>6022671423</v>
          </cell>
        </row>
        <row r="569">
          <cell r="A569">
            <v>546</v>
          </cell>
          <cell r="B569">
            <v>17</v>
          </cell>
          <cell r="C569">
            <v>1112832</v>
          </cell>
          <cell r="D569">
            <v>24192</v>
          </cell>
          <cell r="E569">
            <v>4513932</v>
          </cell>
          <cell r="F569">
            <v>75232.2</v>
          </cell>
          <cell r="G569">
            <v>1253.8699999999999</v>
          </cell>
          <cell r="H569">
            <v>52.244583333333331</v>
          </cell>
          <cell r="I569">
            <v>1665</v>
          </cell>
          <cell r="K569">
            <v>324.38489845683591</v>
          </cell>
          <cell r="N569">
            <v>65992462</v>
          </cell>
          <cell r="O569">
            <v>6088331394</v>
          </cell>
        </row>
        <row r="570">
          <cell r="A570">
            <v>547</v>
          </cell>
          <cell r="B570">
            <v>17</v>
          </cell>
          <cell r="C570">
            <v>1137024</v>
          </cell>
          <cell r="D570">
            <v>24192</v>
          </cell>
          <cell r="E570">
            <v>4538124</v>
          </cell>
          <cell r="F570">
            <v>75635.399999999994</v>
          </cell>
          <cell r="G570">
            <v>1260.5899999999999</v>
          </cell>
          <cell r="H570">
            <v>52.524583333333332</v>
          </cell>
          <cell r="I570">
            <v>1668</v>
          </cell>
          <cell r="K570">
            <v>325.70827976791992</v>
          </cell>
          <cell r="N570">
            <v>66326271</v>
          </cell>
          <cell r="O570">
            <v>6154323856</v>
          </cell>
        </row>
        <row r="571">
          <cell r="A571">
            <v>548</v>
          </cell>
          <cell r="B571">
            <v>17</v>
          </cell>
          <cell r="C571">
            <v>1161216</v>
          </cell>
          <cell r="D571">
            <v>24192</v>
          </cell>
          <cell r="E571">
            <v>4562316</v>
          </cell>
          <cell r="F571">
            <v>76038.600000000006</v>
          </cell>
          <cell r="G571">
            <v>1267.3100000000002</v>
          </cell>
          <cell r="H571">
            <v>52.804583333333341</v>
          </cell>
          <cell r="I571">
            <v>1671</v>
          </cell>
          <cell r="K571">
            <v>327.03580903110594</v>
          </cell>
          <cell r="N571">
            <v>66661402</v>
          </cell>
          <cell r="O571">
            <v>6220650127</v>
          </cell>
        </row>
        <row r="572">
          <cell r="A572">
            <v>549</v>
          </cell>
          <cell r="B572">
            <v>17</v>
          </cell>
          <cell r="C572">
            <v>1185408</v>
          </cell>
          <cell r="D572">
            <v>24192</v>
          </cell>
          <cell r="E572">
            <v>4586508</v>
          </cell>
          <cell r="F572">
            <v>76441.8</v>
          </cell>
          <cell r="G572">
            <v>1274.03</v>
          </cell>
          <cell r="H572">
            <v>53.084583333333335</v>
          </cell>
          <cell r="I572">
            <v>1674</v>
          </cell>
          <cell r="K572">
            <v>328.36749570729495</v>
          </cell>
          <cell r="N572">
            <v>66997859</v>
          </cell>
          <cell r="O572">
            <v>6287311529</v>
          </cell>
        </row>
        <row r="573">
          <cell r="A573">
            <v>550</v>
          </cell>
          <cell r="B573">
            <v>17</v>
          </cell>
          <cell r="C573">
            <v>1209600</v>
          </cell>
          <cell r="D573">
            <v>24192</v>
          </cell>
          <cell r="E573">
            <v>4610700</v>
          </cell>
          <cell r="F573">
            <v>76845</v>
          </cell>
          <cell r="G573">
            <v>1280.75</v>
          </cell>
          <cell r="H573">
            <v>53.364583333333336</v>
          </cell>
          <cell r="I573">
            <v>1677</v>
          </cell>
          <cell r="K573">
            <v>329.70334926893099</v>
          </cell>
          <cell r="N573">
            <v>67335645</v>
          </cell>
          <cell r="O573">
            <v>6354309388</v>
          </cell>
        </row>
      </sheetData>
      <sheetData sheetId="1">
        <row r="5">
          <cell r="R5">
            <v>0.67688855646970836</v>
          </cell>
          <cell r="S5">
            <v>16.245325355273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货币基础"/>
      <sheetName val="总产出框架"/>
      <sheetName val="装备产出框架"/>
      <sheetName val="成就"/>
      <sheetName val="基础装备产出"/>
      <sheetName val="基础装备物品表"/>
      <sheetName val="基础装备关卡挂机表"/>
      <sheetName val="基础装备掉落表"/>
      <sheetName val="关卡通关奖励"/>
      <sheetName val="关卡炼妖杀怪"/>
      <sheetName val="关卡扫荡奖励"/>
      <sheetName val="神装产出"/>
      <sheetName val="神装物品表"/>
      <sheetName val="神装掉落表"/>
      <sheetName val="神魂产出"/>
      <sheetName val="神魂物品表"/>
      <sheetName val="神魂掉落表"/>
      <sheetName val="材料副本"/>
      <sheetName val="进阶副本"/>
      <sheetName val="通天塔"/>
      <sheetName val="神纹物品表"/>
      <sheetName val="神纹掉落表"/>
      <sheetName val="福利法宝"/>
      <sheetName val="摇钱树"/>
      <sheetName val="仙阶"/>
      <sheetName val="仙兵"/>
      <sheetName val="主城日常"/>
      <sheetName val="切磋"/>
      <sheetName val="竞技场"/>
      <sheetName val="装备副本"/>
      <sheetName val="经验副本"/>
      <sheetName val="守护神剑副本"/>
      <sheetName val="守护神剑掉落配表"/>
      <sheetName val="boss之家分层"/>
      <sheetName val="道具商店"/>
      <sheetName val="道具格扩容"/>
      <sheetName val="仙灵"/>
      <sheetName val="组队副本"/>
      <sheetName val="幻化临时数值"/>
      <sheetName val="守护神剑"/>
      <sheetName val="药田"/>
      <sheetName val="魂骨塔"/>
      <sheetName val="跨服天梯"/>
      <sheetName val="跨服领地战"/>
      <sheetName val="巅峰赛季"/>
      <sheetName val="上香"/>
      <sheetName val="签到"/>
      <sheetName val="答题"/>
      <sheetName val="接财神"/>
      <sheetName val="血战比奇"/>
      <sheetName val="个人战"/>
      <sheetName val="世界boss"/>
      <sheetName val="单人爬塔"/>
      <sheetName val="异界boss"/>
      <sheetName val="温泉"/>
      <sheetName val="非R资源参照"/>
    </sheetNames>
    <sheetDataSet>
      <sheetData sheetId="0">
        <row r="4">
          <cell r="B4">
            <v>0.01</v>
          </cell>
        </row>
        <row r="5">
          <cell r="B5">
            <v>1E-4</v>
          </cell>
        </row>
        <row r="6">
          <cell r="B6">
            <v>10</v>
          </cell>
        </row>
      </sheetData>
      <sheetData sheetId="1">
        <row r="93">
          <cell r="C93">
            <v>160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能力框架"/>
      <sheetName val="特殊属性投放"/>
      <sheetName val="基础装备"/>
      <sheetName val="人物技能基础"/>
      <sheetName val="神装基础"/>
      <sheetName val="神装属性演算"/>
      <sheetName val="神装随机属性"/>
      <sheetName val="转生"/>
      <sheetName val="化神技能基础"/>
      <sheetName val="神魂基础"/>
      <sheetName val="神魂注灵"/>
      <sheetName val="神纹"/>
      <sheetName val="神纹属性配表"/>
      <sheetName val="装备强化"/>
      <sheetName val="装备精炼"/>
      <sheetName val="技能升级"/>
      <sheetName val="灵脉"/>
      <sheetName val="灵脉期望培养演算"/>
      <sheetName val="仙侣"/>
      <sheetName val="宠物"/>
      <sheetName val="突破"/>
      <sheetName val="开光"/>
      <sheetName val="宝石"/>
      <sheetName val="套装"/>
      <sheetName val="附魔"/>
      <sheetName val="坐骑"/>
      <sheetName val="坐骑装备"/>
      <sheetName val="羽翼"/>
      <sheetName val="羽翼装备"/>
      <sheetName val="图鉴美人榜"/>
      <sheetName val="图鉴山海录"/>
      <sheetName val="图鉴天下名将"/>
      <sheetName val="至宝护符"/>
      <sheetName val="至宝灵珠"/>
      <sheetName val="至宝天兵"/>
      <sheetName val="至宝灵器"/>
      <sheetName val="至宝战衣"/>
      <sheetName val="至宝神炉"/>
      <sheetName val="仙体第一重"/>
      <sheetName val="仙体第二重"/>
      <sheetName val="仙体第三重"/>
      <sheetName val="仙兵"/>
      <sheetName val="令牌"/>
      <sheetName val="仙阶"/>
      <sheetName val="宗门科技"/>
      <sheetName val="非R资源参照"/>
      <sheetName val="灵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7">
          <cell r="AR47">
            <v>144000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2">
          <cell r="A12">
            <v>1</v>
          </cell>
          <cell r="B12">
            <v>1</v>
          </cell>
        </row>
        <row r="13">
          <cell r="A13">
            <v>2</v>
          </cell>
          <cell r="B13">
            <v>1</v>
          </cell>
        </row>
        <row r="14">
          <cell r="A14">
            <v>2</v>
          </cell>
          <cell r="B14">
            <v>2</v>
          </cell>
        </row>
        <row r="15">
          <cell r="A15">
            <v>2</v>
          </cell>
          <cell r="B15">
            <v>3</v>
          </cell>
        </row>
        <row r="16">
          <cell r="A16">
            <v>2</v>
          </cell>
          <cell r="B16">
            <v>4</v>
          </cell>
        </row>
        <row r="17">
          <cell r="A17">
            <v>3</v>
          </cell>
          <cell r="B17">
            <v>1</v>
          </cell>
        </row>
        <row r="18">
          <cell r="A18">
            <v>3</v>
          </cell>
          <cell r="B18">
            <v>2</v>
          </cell>
        </row>
        <row r="19">
          <cell r="A19">
            <v>3</v>
          </cell>
          <cell r="B19">
            <v>3</v>
          </cell>
        </row>
        <row r="20">
          <cell r="A20">
            <v>3</v>
          </cell>
          <cell r="B20">
            <v>4</v>
          </cell>
        </row>
        <row r="21">
          <cell r="A21">
            <v>4</v>
          </cell>
          <cell r="B21">
            <v>1</v>
          </cell>
        </row>
        <row r="22">
          <cell r="A22">
            <v>4</v>
          </cell>
          <cell r="B22">
            <v>2</v>
          </cell>
        </row>
        <row r="23">
          <cell r="A23">
            <v>4</v>
          </cell>
          <cell r="B23">
            <v>3</v>
          </cell>
        </row>
        <row r="24">
          <cell r="A24">
            <v>4</v>
          </cell>
          <cell r="B24">
            <v>4</v>
          </cell>
        </row>
        <row r="25">
          <cell r="A25">
            <v>5</v>
          </cell>
          <cell r="B25">
            <v>1</v>
          </cell>
        </row>
        <row r="26">
          <cell r="A26">
            <v>5</v>
          </cell>
          <cell r="B26">
            <v>2</v>
          </cell>
        </row>
        <row r="27">
          <cell r="A27">
            <v>5</v>
          </cell>
          <cell r="B27">
            <v>3</v>
          </cell>
        </row>
        <row r="28">
          <cell r="A28">
            <v>5</v>
          </cell>
          <cell r="B28">
            <v>4</v>
          </cell>
        </row>
        <row r="29">
          <cell r="A29">
            <v>5</v>
          </cell>
          <cell r="B29">
            <v>5</v>
          </cell>
        </row>
        <row r="30">
          <cell r="A30">
            <v>5</v>
          </cell>
          <cell r="B30">
            <v>6</v>
          </cell>
        </row>
        <row r="31">
          <cell r="A31">
            <v>6</v>
          </cell>
          <cell r="B31">
            <v>1</v>
          </cell>
        </row>
        <row r="32">
          <cell r="A32">
            <v>6</v>
          </cell>
          <cell r="B32">
            <v>2</v>
          </cell>
        </row>
        <row r="33">
          <cell r="A33">
            <v>6</v>
          </cell>
          <cell r="B33">
            <v>3</v>
          </cell>
        </row>
        <row r="34">
          <cell r="A34">
            <v>6</v>
          </cell>
          <cell r="B34">
            <v>4</v>
          </cell>
        </row>
        <row r="35">
          <cell r="A35">
            <v>6</v>
          </cell>
          <cell r="B35">
            <v>5</v>
          </cell>
        </row>
        <row r="36">
          <cell r="A36">
            <v>6</v>
          </cell>
          <cell r="B36">
            <v>6</v>
          </cell>
        </row>
        <row r="37">
          <cell r="A37">
            <v>7</v>
          </cell>
          <cell r="B37">
            <v>1</v>
          </cell>
        </row>
        <row r="38">
          <cell r="A38">
            <v>7</v>
          </cell>
          <cell r="B38">
            <v>2</v>
          </cell>
        </row>
        <row r="39">
          <cell r="A39">
            <v>7</v>
          </cell>
          <cell r="B39">
            <v>3</v>
          </cell>
        </row>
        <row r="40">
          <cell r="A40">
            <v>7</v>
          </cell>
          <cell r="B40">
            <v>4</v>
          </cell>
        </row>
        <row r="41">
          <cell r="A41">
            <v>7</v>
          </cell>
          <cell r="B41">
            <v>5</v>
          </cell>
        </row>
        <row r="42">
          <cell r="A42">
            <v>7</v>
          </cell>
          <cell r="B42">
            <v>6</v>
          </cell>
        </row>
      </sheetData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AL144"/>
  <sheetViews>
    <sheetView tabSelected="1" topLeftCell="F13" zoomScale="85" zoomScaleNormal="85" workbookViewId="0">
      <selection activeCell="Q21" sqref="Q21:Q22"/>
    </sheetView>
  </sheetViews>
  <sheetFormatPr defaultRowHeight="13.5" x14ac:dyDescent="0.15"/>
  <cols>
    <col min="5" max="5" width="14.125" bestFit="1" customWidth="1"/>
    <col min="6" max="6" width="11" bestFit="1" customWidth="1"/>
    <col min="7" max="7" width="14.125" bestFit="1" customWidth="1"/>
    <col min="8" max="8" width="16.25" customWidth="1"/>
    <col min="9" max="10" width="9" customWidth="1"/>
    <col min="11" max="11" width="9" style="9" customWidth="1"/>
    <col min="12" max="15" width="9" style="10" customWidth="1"/>
    <col min="16" max="20" width="9" style="5" customWidth="1"/>
    <col min="21" max="29" width="9" style="5"/>
    <col min="30" max="30" width="17.25" style="10" bestFit="1" customWidth="1"/>
    <col min="31" max="38" width="9" style="9"/>
  </cols>
  <sheetData>
    <row r="2" spans="1:38" x14ac:dyDescent="0.15">
      <c r="A2" s="6" t="s">
        <v>106</v>
      </c>
      <c r="B2" s="7"/>
      <c r="C2" s="7"/>
    </row>
    <row r="3" spans="1:38" x14ac:dyDescent="0.15">
      <c r="A3">
        <f>MATCH(24*[1]经验产出!$R$5,[1]人物经验!$G$24:$G$573,1)</f>
        <v>198</v>
      </c>
    </row>
    <row r="4" spans="1:38" x14ac:dyDescent="0.15">
      <c r="P4" s="10"/>
      <c r="Q4" s="35" t="s">
        <v>148</v>
      </c>
      <c r="R4" s="35"/>
      <c r="S4" s="35"/>
      <c r="T4" s="35"/>
      <c r="U4" s="35"/>
      <c r="V4" s="35" t="s">
        <v>151</v>
      </c>
      <c r="W4" s="35"/>
      <c r="X4" s="35" t="s">
        <v>152</v>
      </c>
      <c r="Y4" s="35"/>
      <c r="Z4" s="35" t="s">
        <v>154</v>
      </c>
      <c r="AA4" s="35"/>
      <c r="AB4" s="35" t="s">
        <v>156</v>
      </c>
      <c r="AC4" s="35"/>
      <c r="AE4" s="34" t="s">
        <v>131</v>
      </c>
      <c r="AF4" s="35"/>
      <c r="AG4" s="35"/>
      <c r="AH4" s="35"/>
      <c r="AI4" s="35"/>
      <c r="AJ4" s="35"/>
      <c r="AK4" s="35"/>
      <c r="AL4" s="35"/>
    </row>
    <row r="5" spans="1:38" x14ac:dyDescent="0.15">
      <c r="A5" s="8" t="s">
        <v>22</v>
      </c>
      <c r="B5" s="8" t="s">
        <v>23</v>
      </c>
      <c r="C5" s="8" t="s">
        <v>24</v>
      </c>
      <c r="D5" s="8" t="s">
        <v>25</v>
      </c>
      <c r="E5" s="8" t="s">
        <v>43</v>
      </c>
      <c r="F5" s="8" t="s">
        <v>38</v>
      </c>
      <c r="G5" s="8" t="s">
        <v>39</v>
      </c>
      <c r="H5" s="8" t="s">
        <v>40</v>
      </c>
      <c r="I5" s="8" t="s">
        <v>35</v>
      </c>
      <c r="J5" s="8" t="s">
        <v>42</v>
      </c>
      <c r="K5" s="2" t="s">
        <v>58</v>
      </c>
      <c r="L5" s="2" t="s">
        <v>121</v>
      </c>
      <c r="M5" s="2" t="s">
        <v>464</v>
      </c>
      <c r="N5" s="2" t="s">
        <v>59</v>
      </c>
      <c r="O5" s="2" t="s">
        <v>122</v>
      </c>
      <c r="P5" s="2" t="s">
        <v>120</v>
      </c>
      <c r="Q5" s="2" t="s">
        <v>117</v>
      </c>
      <c r="R5" s="2" t="s">
        <v>147</v>
      </c>
      <c r="S5" s="2" t="s">
        <v>118</v>
      </c>
      <c r="T5" s="2" t="s">
        <v>57</v>
      </c>
      <c r="U5" s="2" t="s">
        <v>149</v>
      </c>
      <c r="V5" s="2" t="s">
        <v>150</v>
      </c>
      <c r="W5" s="2" t="s">
        <v>151</v>
      </c>
      <c r="X5" s="2" t="s">
        <v>153</v>
      </c>
      <c r="Y5" s="2" t="s">
        <v>152</v>
      </c>
      <c r="Z5" s="2" t="s">
        <v>155</v>
      </c>
      <c r="AA5" s="2" t="s">
        <v>154</v>
      </c>
      <c r="AB5" s="2" t="s">
        <v>157</v>
      </c>
      <c r="AC5" s="2" t="s">
        <v>158</v>
      </c>
      <c r="AD5" s="2" t="s">
        <v>32</v>
      </c>
      <c r="AE5" s="2" t="s">
        <v>123</v>
      </c>
      <c r="AF5" s="2" t="s">
        <v>124</v>
      </c>
      <c r="AG5" s="2" t="s">
        <v>125</v>
      </c>
      <c r="AH5" s="2" t="s">
        <v>127</v>
      </c>
      <c r="AI5" s="2" t="s">
        <v>126</v>
      </c>
      <c r="AJ5" s="2" t="s">
        <v>128</v>
      </c>
      <c r="AK5" s="2" t="s">
        <v>129</v>
      </c>
      <c r="AL5" s="2" t="s">
        <v>130</v>
      </c>
    </row>
    <row r="6" spans="1:38" x14ac:dyDescent="0.15">
      <c r="A6" s="36">
        <v>1</v>
      </c>
      <c r="B6" s="36" t="s">
        <v>515</v>
      </c>
      <c r="C6" s="36">
        <v>1</v>
      </c>
      <c r="D6" s="36">
        <f>C15</f>
        <v>20</v>
      </c>
      <c r="E6" s="36">
        <f>SUM(I6:I14)/60</f>
        <v>1</v>
      </c>
      <c r="F6" s="36">
        <f>VLOOKUP(D6,新手阶段非R升级节奏!$A$2:$C$222,3,0)-VLOOKUP(C6,新手阶段非R升级节奏!$A$2:$C$222,3,0)</f>
        <v>261</v>
      </c>
      <c r="G6" s="1" t="s">
        <v>440</v>
      </c>
      <c r="H6" s="1" t="s">
        <v>33</v>
      </c>
      <c r="I6" s="1">
        <v>5</v>
      </c>
      <c r="J6" s="1">
        <f>SUM($I$6:I6)/60</f>
        <v>8.3333333333333329E-2</v>
      </c>
      <c r="K6" s="11" t="s">
        <v>36</v>
      </c>
      <c r="L6" s="12"/>
      <c r="M6" s="12"/>
      <c r="N6" s="12"/>
      <c r="O6" s="12"/>
      <c r="P6" s="12">
        <v>1</v>
      </c>
      <c r="Q6" s="12">
        <v>1</v>
      </c>
      <c r="R6" s="13">
        <v>0</v>
      </c>
      <c r="S6" s="12">
        <v>3</v>
      </c>
      <c r="T6" s="13">
        <v>0</v>
      </c>
      <c r="U6" s="14">
        <f>IF(K6="经验",ROUND(INDEX([1]人物经验!$N$24:$N$573,S6)*T6+INDEX([1]人物经验!$O$24:$O$573,S6)-INDEX([1]人物经验!$O$24:$O$573,Q6)-INDEX([1]人物经验!$N$24:$N$573,Q6)*R6,0),"")</f>
        <v>9</v>
      </c>
      <c r="V6" s="13"/>
      <c r="W6" s="14" t="str">
        <f>IF(K6="金币",INT(V6/[2]货币基础!$B$6*3600*INDEX([1]人物经验!$K$24:$K$573,P6)/1000+1)*1000,"")</f>
        <v/>
      </c>
      <c r="X6" s="14"/>
      <c r="Y6" s="14" t="str">
        <f>IF(K6="元宝",X6/[2]货币基础!$B$5,"")</f>
        <v/>
      </c>
      <c r="Z6" s="14"/>
      <c r="AA6" s="14" t="str">
        <f>IF(K6="钻石",Z6/[2]货币基础!$B$4,"")</f>
        <v/>
      </c>
      <c r="AB6" s="14"/>
      <c r="AC6" s="14"/>
      <c r="AD6" s="12" t="s">
        <v>68</v>
      </c>
      <c r="AE6" s="11"/>
      <c r="AF6" s="11"/>
      <c r="AG6" s="11"/>
      <c r="AH6" s="11"/>
      <c r="AI6" s="11"/>
      <c r="AJ6" s="11"/>
      <c r="AK6" s="11"/>
      <c r="AL6" s="11"/>
    </row>
    <row r="7" spans="1:38" x14ac:dyDescent="0.15">
      <c r="A7" s="36"/>
      <c r="B7" s="36"/>
      <c r="C7" s="36"/>
      <c r="D7" s="36"/>
      <c r="E7" s="36"/>
      <c r="F7" s="36"/>
      <c r="G7" s="1" t="s">
        <v>441</v>
      </c>
      <c r="H7" s="1" t="s">
        <v>439</v>
      </c>
      <c r="I7" s="1">
        <v>5</v>
      </c>
      <c r="J7" s="1">
        <f>SUM($I$6:I7)/60</f>
        <v>0.16666666666666666</v>
      </c>
      <c r="K7" s="11" t="s">
        <v>119</v>
      </c>
      <c r="L7" s="12"/>
      <c r="M7" s="12"/>
      <c r="N7" s="12"/>
      <c r="O7" s="12"/>
      <c r="P7" s="12">
        <v>3</v>
      </c>
      <c r="Q7" s="12">
        <f>S6</f>
        <v>3</v>
      </c>
      <c r="R7" s="13">
        <f>T6</f>
        <v>0</v>
      </c>
      <c r="S7" s="12">
        <v>6</v>
      </c>
      <c r="T7" s="13">
        <v>0</v>
      </c>
      <c r="U7" s="14">
        <f>IF(K7="经验",ROUND(INDEX([1]人物经验!$N$24:$N$573,S7)*T7+INDEX([1]人物经验!$O$24:$O$573,S7)-INDEX([1]人物经验!$O$24:$O$573,Q7)-INDEX([1]人物经验!$N$24:$N$573,Q7)*R7,0),"")</f>
        <v>21</v>
      </c>
      <c r="V7" s="14"/>
      <c r="W7" s="14" t="str">
        <f>IF(K7="金币",INT(V7/[2]货币基础!$B$6*3600*INDEX([1]人物经验!$K$24:$K$573,P7)/1000+1)*1000,"")</f>
        <v/>
      </c>
      <c r="X7" s="14"/>
      <c r="Y7" s="14" t="str">
        <f>IF(K7="元宝",X7/[2]货币基础!$B$5,"")</f>
        <v/>
      </c>
      <c r="Z7" s="14"/>
      <c r="AA7" s="14" t="str">
        <f>IF(K7="钻石",Z7/[2]货币基础!$B$4,"")</f>
        <v/>
      </c>
      <c r="AB7" s="14"/>
      <c r="AC7" s="14"/>
      <c r="AD7" s="12"/>
      <c r="AE7" s="11"/>
      <c r="AF7" s="11"/>
      <c r="AG7" s="11"/>
      <c r="AH7" s="11"/>
      <c r="AI7" s="11"/>
      <c r="AJ7" s="11"/>
      <c r="AK7" s="11"/>
      <c r="AL7" s="11"/>
    </row>
    <row r="8" spans="1:38" x14ac:dyDescent="0.15">
      <c r="A8" s="36"/>
      <c r="B8" s="36"/>
      <c r="C8" s="36"/>
      <c r="D8" s="36"/>
      <c r="E8" s="36"/>
      <c r="F8" s="36"/>
      <c r="G8" s="1" t="s">
        <v>442</v>
      </c>
      <c r="H8" s="1" t="s">
        <v>449</v>
      </c>
      <c r="I8" s="1">
        <v>5</v>
      </c>
      <c r="J8" s="1">
        <f>SUM($I$6:I8)/60</f>
        <v>0.25</v>
      </c>
      <c r="K8" s="11" t="s">
        <v>36</v>
      </c>
      <c r="L8" s="12" t="s">
        <v>49</v>
      </c>
      <c r="M8" s="12"/>
      <c r="N8" s="12"/>
      <c r="O8" s="12"/>
      <c r="P8" s="12">
        <v>6</v>
      </c>
      <c r="Q8" s="12">
        <f t="shared" ref="Q8:Q100" si="0">S7</f>
        <v>6</v>
      </c>
      <c r="R8" s="13">
        <f t="shared" ref="R8:R100" si="1">T7</f>
        <v>0</v>
      </c>
      <c r="S8" s="12">
        <v>9</v>
      </c>
      <c r="T8" s="13">
        <v>0</v>
      </c>
      <c r="U8" s="14">
        <f>IF(K8="经验",ROUND(INDEX([1]人物经验!$N$24:$N$573,S8)*T8+INDEX([1]人物经验!$O$24:$O$573,S8)-INDEX([1]人物经验!$O$24:$O$573,Q8)-INDEX([1]人物经验!$N$24:$N$573,Q8)*R8,0),"")</f>
        <v>30</v>
      </c>
      <c r="V8" s="14"/>
      <c r="W8" s="14" t="str">
        <f>IF(K8="金币",INT(V8/[2]货币基础!$B$6*3600*INDEX([1]人物经验!$K$24:$K$573,P8)/1000+1)*1000,"")</f>
        <v/>
      </c>
      <c r="X8" s="14"/>
      <c r="Y8" s="14" t="str">
        <f>IF(K8="元宝",X8/[2]货币基础!$B$5,"")</f>
        <v/>
      </c>
      <c r="Z8" s="14"/>
      <c r="AA8" s="14" t="str">
        <f>IF(K8="钻石",Z8/[2]货币基础!$B$4,"")</f>
        <v/>
      </c>
      <c r="AB8" s="14"/>
      <c r="AC8" s="14"/>
      <c r="AD8" s="12"/>
      <c r="AE8" s="11"/>
      <c r="AF8" s="11"/>
      <c r="AG8" s="11"/>
      <c r="AH8" s="11"/>
      <c r="AI8" s="11"/>
      <c r="AJ8" s="11"/>
      <c r="AK8" s="11"/>
      <c r="AL8" s="11"/>
    </row>
    <row r="9" spans="1:38" x14ac:dyDescent="0.15">
      <c r="A9" s="36"/>
      <c r="B9" s="36"/>
      <c r="C9" s="36"/>
      <c r="D9" s="36"/>
      <c r="E9" s="36"/>
      <c r="F9" s="36"/>
      <c r="G9" s="1" t="s">
        <v>444</v>
      </c>
      <c r="H9" s="1" t="s">
        <v>34</v>
      </c>
      <c r="I9" s="1">
        <v>5</v>
      </c>
      <c r="J9" s="1">
        <f>SUM($I$6:I9)/60</f>
        <v>0.33333333333333331</v>
      </c>
      <c r="K9" s="11" t="s">
        <v>36</v>
      </c>
      <c r="L9" s="12"/>
      <c r="M9" s="12"/>
      <c r="N9" s="12"/>
      <c r="O9" s="12"/>
      <c r="P9" s="12">
        <v>9</v>
      </c>
      <c r="Q9" s="12">
        <f t="shared" si="0"/>
        <v>9</v>
      </c>
      <c r="R9" s="13">
        <f t="shared" si="1"/>
        <v>0</v>
      </c>
      <c r="S9" s="12">
        <v>11</v>
      </c>
      <c r="T9" s="13">
        <v>0</v>
      </c>
      <c r="U9" s="14">
        <f>IF(K9="经验",ROUND(INDEX([1]人物经验!$N$24:$N$573,S9)*T9+INDEX([1]人物经验!$O$24:$O$573,S9)-INDEX([1]人物经验!$O$24:$O$573,Q9)-INDEX([1]人物经验!$N$24:$N$573,Q9)*R9,0),"")</f>
        <v>25</v>
      </c>
      <c r="V9" s="14"/>
      <c r="W9" s="14" t="str">
        <f>IF(K9="金币",INT(V9/[2]货币基础!$B$6*3600*INDEX([1]人物经验!$K$24:$K$573,P9)/1000+1)*1000,"")</f>
        <v/>
      </c>
      <c r="X9" s="14"/>
      <c r="Y9" s="14" t="str">
        <f>IF(K9="元宝",X9/[2]货币基础!$B$5,"")</f>
        <v/>
      </c>
      <c r="Z9" s="14"/>
      <c r="AA9" s="14" t="str">
        <f>IF(K9="钻石",Z9/[2]货币基础!$B$4,"")</f>
        <v/>
      </c>
      <c r="AB9" s="14"/>
      <c r="AC9" s="14"/>
      <c r="AD9" s="12"/>
      <c r="AE9" s="11" t="s">
        <v>397</v>
      </c>
      <c r="AF9" s="11"/>
      <c r="AG9" s="11"/>
      <c r="AH9" s="11"/>
      <c r="AI9" s="11"/>
      <c r="AJ9" s="11"/>
      <c r="AK9" s="11"/>
      <c r="AL9" s="11"/>
    </row>
    <row r="10" spans="1:38" x14ac:dyDescent="0.15">
      <c r="A10" s="36"/>
      <c r="B10" s="36"/>
      <c r="C10" s="36"/>
      <c r="D10" s="36"/>
      <c r="E10" s="36"/>
      <c r="F10" s="36"/>
      <c r="G10" s="1" t="s">
        <v>445</v>
      </c>
      <c r="H10" s="1" t="s">
        <v>447</v>
      </c>
      <c r="I10" s="1">
        <v>10</v>
      </c>
      <c r="J10" s="1">
        <f>SUM($I$6:I10)/60</f>
        <v>0.5</v>
      </c>
      <c r="K10" s="11" t="s">
        <v>36</v>
      </c>
      <c r="L10" s="12"/>
      <c r="M10" s="12"/>
      <c r="N10" s="12"/>
      <c r="O10" s="12"/>
      <c r="P10" s="12">
        <v>11</v>
      </c>
      <c r="Q10" s="12">
        <f t="shared" si="0"/>
        <v>11</v>
      </c>
      <c r="R10" s="13">
        <f t="shared" si="1"/>
        <v>0</v>
      </c>
      <c r="S10" s="12">
        <v>13</v>
      </c>
      <c r="T10" s="13">
        <v>0</v>
      </c>
      <c r="U10" s="14">
        <f>IF(K10="经验",ROUND(INDEX([1]人物经验!$N$24:$N$573,S10)*T10+INDEX([1]人物经验!$O$24:$O$573,S10)-INDEX([1]人物经验!$O$24:$O$573,Q10)-INDEX([1]人物经验!$N$24:$N$573,Q10)*R10,0),"")</f>
        <v>29</v>
      </c>
      <c r="V10" s="14"/>
      <c r="W10" s="14" t="str">
        <f>IF(K10="金币",INT(V10/[2]货币基础!$B$6*3600*INDEX([1]人物经验!$K$24:$K$573,P10)/1000+1)*1000,"")</f>
        <v/>
      </c>
      <c r="X10" s="14"/>
      <c r="Y10" s="14" t="str">
        <f>IF(K10="元宝",X10/[2]货币基础!$B$5,"")</f>
        <v/>
      </c>
      <c r="Z10" s="14"/>
      <c r="AA10" s="14" t="str">
        <f>IF(K10="钻石",Z10/[2]货币基础!$B$4,"")</f>
        <v/>
      </c>
      <c r="AB10" s="14"/>
      <c r="AC10" s="14"/>
      <c r="AD10" s="12" t="s">
        <v>448</v>
      </c>
      <c r="AE10" s="11" t="s">
        <v>397</v>
      </c>
      <c r="AF10" s="11"/>
      <c r="AG10" s="11"/>
      <c r="AH10" s="11"/>
      <c r="AI10" s="11"/>
      <c r="AJ10" s="11"/>
      <c r="AK10" s="11"/>
      <c r="AL10" s="11"/>
    </row>
    <row r="11" spans="1:38" x14ac:dyDescent="0.15">
      <c r="A11" s="36"/>
      <c r="B11" s="36"/>
      <c r="C11" s="36"/>
      <c r="D11" s="36"/>
      <c r="E11" s="36"/>
      <c r="F11" s="36"/>
      <c r="G11" s="1" t="s">
        <v>446</v>
      </c>
      <c r="H11" s="1" t="s">
        <v>450</v>
      </c>
      <c r="I11" s="1">
        <v>5</v>
      </c>
      <c r="J11" s="1">
        <f>SUM($I$6:I11)/60</f>
        <v>0.58333333333333337</v>
      </c>
      <c r="K11" s="11" t="s">
        <v>36</v>
      </c>
      <c r="L11" s="12" t="s">
        <v>50</v>
      </c>
      <c r="M11" s="12"/>
      <c r="N11" s="12"/>
      <c r="O11" s="12"/>
      <c r="P11" s="12">
        <v>13</v>
      </c>
      <c r="Q11" s="12">
        <f t="shared" si="0"/>
        <v>13</v>
      </c>
      <c r="R11" s="13">
        <f t="shared" si="1"/>
        <v>0</v>
      </c>
      <c r="S11" s="12">
        <v>15</v>
      </c>
      <c r="T11" s="13">
        <v>0</v>
      </c>
      <c r="U11" s="14">
        <f>IF(K11="经验",ROUND(INDEX([1]人物经验!$N$24:$N$573,S11)*T11+INDEX([1]人物经验!$O$24:$O$573,S11)-INDEX([1]人物经验!$O$24:$O$573,Q11)-INDEX([1]人物经验!$N$24:$N$573,Q11)*R11,0),"")</f>
        <v>35</v>
      </c>
      <c r="V11" s="14"/>
      <c r="W11" s="14" t="str">
        <f>IF(K11="金币",INT(V11/[2]货币基础!$B$6*3600*INDEX([1]人物经验!$K$24:$K$573,P11)/1000+1)*1000,"")</f>
        <v/>
      </c>
      <c r="X11" s="14"/>
      <c r="Y11" s="14" t="str">
        <f>IF(K11="元宝",X11/[2]货币基础!$B$5,"")</f>
        <v/>
      </c>
      <c r="Z11" s="14"/>
      <c r="AA11" s="14" t="str">
        <f>IF(K11="钻石",Z11/[2]货币基础!$B$4,"")</f>
        <v/>
      </c>
      <c r="AB11" s="14"/>
      <c r="AC11" s="14"/>
      <c r="AD11" s="12"/>
      <c r="AE11" s="11" t="s">
        <v>397</v>
      </c>
      <c r="AF11" s="11"/>
      <c r="AG11" s="11"/>
      <c r="AH11" s="11"/>
      <c r="AI11" s="11"/>
      <c r="AJ11" s="11"/>
      <c r="AK11" s="11"/>
      <c r="AL11" s="11"/>
    </row>
    <row r="12" spans="1:38" x14ac:dyDescent="0.15">
      <c r="A12" s="36"/>
      <c r="B12" s="36"/>
      <c r="C12" s="36"/>
      <c r="D12" s="36"/>
      <c r="E12" s="36"/>
      <c r="F12" s="36"/>
      <c r="G12" s="1" t="s">
        <v>451</v>
      </c>
      <c r="H12" s="1" t="s">
        <v>452</v>
      </c>
      <c r="I12" s="1">
        <v>5</v>
      </c>
      <c r="J12" s="1">
        <f>SUM($I$6:I12)/60</f>
        <v>0.66666666666666663</v>
      </c>
      <c r="K12" s="11" t="s">
        <v>36</v>
      </c>
      <c r="L12" s="12"/>
      <c r="M12" s="12"/>
      <c r="N12" s="12"/>
      <c r="O12" s="12"/>
      <c r="P12" s="12">
        <v>15</v>
      </c>
      <c r="Q12" s="12">
        <f t="shared" si="0"/>
        <v>15</v>
      </c>
      <c r="R12" s="13">
        <f t="shared" si="1"/>
        <v>0</v>
      </c>
      <c r="S12" s="12">
        <v>17</v>
      </c>
      <c r="T12" s="13">
        <v>0</v>
      </c>
      <c r="U12" s="14">
        <f>IF(K12="经验",ROUND(INDEX([1]人物经验!$N$24:$N$573,S12)*T12+INDEX([1]人物经验!$O$24:$O$573,S12)-INDEX([1]人物经验!$O$24:$O$573,Q12)-INDEX([1]人物经验!$N$24:$N$573,Q12)*R12,0),"")</f>
        <v>41</v>
      </c>
      <c r="V12" s="14"/>
      <c r="W12" s="14" t="str">
        <f>IF(K12="金币",INT(V12/[2]货币基础!$B$6*3600*INDEX([1]人物经验!$K$24:$K$573,P12)/1000+1)*1000,"")</f>
        <v/>
      </c>
      <c r="X12" s="14"/>
      <c r="Y12" s="14" t="str">
        <f>IF(K12="元宝",X12/[2]货币基础!$B$5,"")</f>
        <v/>
      </c>
      <c r="Z12" s="14"/>
      <c r="AA12" s="14" t="str">
        <f>IF(K12="钻石",Z12/[2]货币基础!$B$4,"")</f>
        <v/>
      </c>
      <c r="AB12" s="14"/>
      <c r="AC12" s="14"/>
      <c r="AD12" s="12"/>
      <c r="AE12" s="11" t="s">
        <v>397</v>
      </c>
      <c r="AF12" s="11"/>
      <c r="AG12" s="11"/>
      <c r="AH12" s="11"/>
      <c r="AI12" s="11"/>
      <c r="AJ12" s="11" t="s">
        <v>397</v>
      </c>
      <c r="AK12" s="11"/>
      <c r="AL12" s="11"/>
    </row>
    <row r="13" spans="1:38" x14ac:dyDescent="0.15">
      <c r="A13" s="36"/>
      <c r="B13" s="36"/>
      <c r="C13" s="36"/>
      <c r="D13" s="36"/>
      <c r="E13" s="36"/>
      <c r="F13" s="36"/>
      <c r="G13" s="1" t="s">
        <v>453</v>
      </c>
      <c r="H13" s="1" t="s">
        <v>454</v>
      </c>
      <c r="I13" s="1">
        <v>10</v>
      </c>
      <c r="J13" s="1">
        <f>SUM($I$6:I13)/60</f>
        <v>0.83333333333333337</v>
      </c>
      <c r="K13" s="11" t="s">
        <v>36</v>
      </c>
      <c r="L13" s="12"/>
      <c r="M13" s="12"/>
      <c r="N13" s="12"/>
      <c r="O13" s="12"/>
      <c r="P13" s="12">
        <v>17</v>
      </c>
      <c r="Q13" s="12">
        <f t="shared" ref="Q13" si="2">S12</f>
        <v>17</v>
      </c>
      <c r="R13" s="13">
        <f t="shared" ref="R13" si="3">T12</f>
        <v>0</v>
      </c>
      <c r="S13" s="12">
        <v>20</v>
      </c>
      <c r="T13" s="13">
        <v>0</v>
      </c>
      <c r="U13" s="14">
        <f>IF(K13="经验",ROUND(INDEX([1]人物经验!$N$24:$N$573,S13)*T13+INDEX([1]人物经验!$O$24:$O$573,S13)-INDEX([1]人物经验!$O$24:$O$573,Q13)-INDEX([1]人物经验!$N$24:$N$573,Q13)*R13,0),"")</f>
        <v>71</v>
      </c>
      <c r="V13" s="14"/>
      <c r="W13" s="14" t="str">
        <f>IF(K13="金币",INT(V13/[2]货币基础!$B$6*3600*INDEX([1]人物经验!$K$24:$K$573,P13)/1000+1)*1000,"")</f>
        <v/>
      </c>
      <c r="X13" s="14"/>
      <c r="Y13" s="14" t="str">
        <f>IF(K13="元宝",X13/[2]货币基础!$B$5,"")</f>
        <v/>
      </c>
      <c r="Z13" s="14"/>
      <c r="AA13" s="14" t="str">
        <f>IF(K13="钻石",Z13/[2]货币基础!$B$4,"")</f>
        <v/>
      </c>
      <c r="AB13" s="14"/>
      <c r="AC13" s="14"/>
      <c r="AD13" s="12" t="s">
        <v>41</v>
      </c>
      <c r="AE13" s="11" t="s">
        <v>397</v>
      </c>
      <c r="AF13" s="11"/>
      <c r="AG13" s="11"/>
      <c r="AH13" s="11"/>
      <c r="AI13" s="11"/>
      <c r="AJ13" s="11" t="s">
        <v>397</v>
      </c>
      <c r="AK13" s="11"/>
      <c r="AL13" s="11"/>
    </row>
    <row r="14" spans="1:38" x14ac:dyDescent="0.15">
      <c r="A14" s="36"/>
      <c r="B14" s="36"/>
      <c r="C14" s="36"/>
      <c r="D14" s="36"/>
      <c r="E14" s="36"/>
      <c r="F14" s="36"/>
      <c r="G14" s="1" t="s">
        <v>455</v>
      </c>
      <c r="H14" s="1" t="s">
        <v>456</v>
      </c>
      <c r="I14" s="1">
        <v>10</v>
      </c>
      <c r="J14" s="1">
        <f>SUM($I$6:I14)/60</f>
        <v>1</v>
      </c>
      <c r="K14" s="12" t="s">
        <v>51</v>
      </c>
      <c r="L14" s="12" t="s">
        <v>52</v>
      </c>
      <c r="M14" s="12"/>
      <c r="N14" s="12"/>
      <c r="O14" s="12"/>
      <c r="P14" s="12">
        <v>20</v>
      </c>
      <c r="Q14" s="12">
        <f t="shared" ref="Q14" si="4">S13</f>
        <v>20</v>
      </c>
      <c r="R14" s="13">
        <f t="shared" ref="R14" si="5">T13</f>
        <v>0</v>
      </c>
      <c r="S14" s="12">
        <v>20</v>
      </c>
      <c r="T14" s="13">
        <v>0</v>
      </c>
      <c r="U14" s="14" t="str">
        <f>IF(K14="经验",ROUND(INDEX([1]人物经验!$N$24:$N$573,S14)*T14+INDEX([1]人物经验!$O$24:$O$573,S14)-INDEX([1]人物经验!$O$24:$O$573,Q14)-INDEX([1]人物经验!$N$24:$N$573,Q14)*R14,0),"")</f>
        <v/>
      </c>
      <c r="V14" s="14"/>
      <c r="W14" s="14" t="str">
        <f>IF(K14="金币",INT(V14/[2]货币基础!$B$6*3600*INDEX([1]人物经验!$K$24:$K$573,P14)/1000+1)*1000,"")</f>
        <v/>
      </c>
      <c r="X14" s="14"/>
      <c r="Y14" s="14" t="str">
        <f>IF(K14="元宝",X14/[2]货币基础!$B$5,"")</f>
        <v/>
      </c>
      <c r="Z14" s="14"/>
      <c r="AA14" s="14" t="str">
        <f>IF(K14="钻石",Z14/[2]货币基础!$B$4,"")</f>
        <v/>
      </c>
      <c r="AB14" s="14"/>
      <c r="AC14" s="14"/>
      <c r="AD14" s="12"/>
      <c r="AE14" s="11" t="s">
        <v>397</v>
      </c>
      <c r="AF14" s="11"/>
      <c r="AG14" s="11"/>
      <c r="AH14" s="11"/>
      <c r="AI14" s="11"/>
      <c r="AJ14" s="11" t="s">
        <v>397</v>
      </c>
      <c r="AK14" s="11"/>
      <c r="AL14" s="11"/>
    </row>
    <row r="15" spans="1:38" x14ac:dyDescent="0.15">
      <c r="A15" s="36">
        <v>2</v>
      </c>
      <c r="B15" s="36" t="s">
        <v>26</v>
      </c>
      <c r="C15" s="36">
        <v>20</v>
      </c>
      <c r="D15" s="36">
        <f>C27</f>
        <v>40</v>
      </c>
      <c r="E15" s="36">
        <f>SUM(I15:I26)/60</f>
        <v>1</v>
      </c>
      <c r="F15" s="36">
        <f>VLOOKUP(D15,新手阶段非R升级节奏!$A$2:$C$222,3,0)-VLOOKUP(C15,新手阶段非R升级节奏!$A$2:$C$222,3,0)</f>
        <v>725</v>
      </c>
      <c r="G15" s="1" t="s">
        <v>457</v>
      </c>
      <c r="H15" s="1" t="s">
        <v>443</v>
      </c>
      <c r="I15" s="1">
        <v>5</v>
      </c>
      <c r="J15" s="1">
        <f>SUM($I$6:I15)/60</f>
        <v>1.0833333333333333</v>
      </c>
      <c r="K15" s="12" t="s">
        <v>458</v>
      </c>
      <c r="L15" s="12" t="s">
        <v>53</v>
      </c>
      <c r="M15" s="12" t="s">
        <v>54</v>
      </c>
      <c r="N15" s="12"/>
      <c r="O15" s="12"/>
      <c r="P15" s="12">
        <v>20</v>
      </c>
      <c r="Q15" s="12">
        <f t="shared" si="0"/>
        <v>20</v>
      </c>
      <c r="R15" s="13">
        <f t="shared" si="1"/>
        <v>0</v>
      </c>
      <c r="S15" s="12">
        <v>22</v>
      </c>
      <c r="T15" s="13">
        <v>0</v>
      </c>
      <c r="U15" s="14">
        <f>IF(K15="经验",ROUND(INDEX([1]人物经验!$N$24:$N$573,S15)*T15+INDEX([1]人物经验!$O$24:$O$573,S15)-INDEX([1]人物经验!$O$24:$O$573,Q15)-INDEX([1]人物经验!$N$24:$N$573,Q15)*R15,0),"")</f>
        <v>54</v>
      </c>
      <c r="V15" s="14"/>
      <c r="W15" s="14" t="str">
        <f>IF(K15="金币",INT(V15/[2]货币基础!$B$6*3600*INDEX([1]人物经验!$K$24:$K$573,P15)/1000+1)*1000,"")</f>
        <v/>
      </c>
      <c r="X15" s="14"/>
      <c r="Y15" s="14" t="str">
        <f>IF(K15="元宝",X15/[2]货币基础!$B$5,"")</f>
        <v/>
      </c>
      <c r="Z15" s="14"/>
      <c r="AA15" s="14" t="str">
        <f>IF(K15="钻石",Z15/[2]货币基础!$B$4,"")</f>
        <v/>
      </c>
      <c r="AB15" s="14"/>
      <c r="AC15" s="14"/>
      <c r="AD15" s="12"/>
      <c r="AE15" s="11" t="s">
        <v>397</v>
      </c>
      <c r="AF15" s="11"/>
      <c r="AG15" s="11"/>
      <c r="AH15" s="11"/>
      <c r="AI15" s="11"/>
      <c r="AJ15" s="11" t="s">
        <v>397</v>
      </c>
      <c r="AK15" s="11"/>
      <c r="AL15" s="11"/>
    </row>
    <row r="16" spans="1:38" s="30" customFormat="1" x14ac:dyDescent="0.15">
      <c r="A16" s="36"/>
      <c r="B16" s="36"/>
      <c r="C16" s="36"/>
      <c r="D16" s="36"/>
      <c r="E16" s="36"/>
      <c r="F16" s="36"/>
      <c r="G16" s="26" t="s">
        <v>459</v>
      </c>
      <c r="H16" s="26" t="s">
        <v>501</v>
      </c>
      <c r="I16" s="26">
        <v>5</v>
      </c>
      <c r="J16" s="26">
        <f>SUM($I$6:I16)/60</f>
        <v>1.1666666666666667</v>
      </c>
      <c r="K16" s="27" t="s">
        <v>36</v>
      </c>
      <c r="L16" s="25"/>
      <c r="M16" s="25"/>
      <c r="N16" s="25"/>
      <c r="O16" s="25"/>
      <c r="P16" s="25">
        <v>22</v>
      </c>
      <c r="Q16" s="25">
        <f t="shared" si="0"/>
        <v>22</v>
      </c>
      <c r="R16" s="28">
        <f t="shared" si="1"/>
        <v>0</v>
      </c>
      <c r="S16" s="25">
        <v>24</v>
      </c>
      <c r="T16" s="28">
        <v>0</v>
      </c>
      <c r="U16" s="29">
        <f>IF(K16="经验",ROUND(INDEX([1]人物经验!$N$24:$N$573,S16)*T16+INDEX([1]人物经验!$O$24:$O$573,S16)-INDEX([1]人物经验!$O$24:$O$573,Q16)-INDEX([1]人物经验!$N$24:$N$573,Q16)*R16,0),"")</f>
        <v>58</v>
      </c>
      <c r="V16" s="29"/>
      <c r="W16" s="29" t="str">
        <f>IF(K16="金币",INT(V16/[2]货币基础!$B$6*3600*INDEX([1]人物经验!$K$24:$K$573,P16)/1000+1)*1000,"")</f>
        <v/>
      </c>
      <c r="X16" s="29"/>
      <c r="Y16" s="29" t="str">
        <f>IF(K16="元宝",X16/[2]货币基础!$B$5,"")</f>
        <v/>
      </c>
      <c r="Z16" s="29"/>
      <c r="AA16" s="29" t="str">
        <f>IF(K16="钻石",Z16/[2]货币基础!$B$4,"")</f>
        <v/>
      </c>
      <c r="AB16" s="29"/>
      <c r="AC16" s="29"/>
      <c r="AD16" s="25"/>
      <c r="AE16" s="11" t="s">
        <v>397</v>
      </c>
      <c r="AF16" s="27"/>
      <c r="AG16" s="27" t="s">
        <v>397</v>
      </c>
      <c r="AH16" s="27" t="s">
        <v>397</v>
      </c>
      <c r="AI16" s="27" t="s">
        <v>397</v>
      </c>
      <c r="AJ16" s="11" t="s">
        <v>397</v>
      </c>
      <c r="AK16" s="27" t="s">
        <v>397</v>
      </c>
      <c r="AL16" s="27"/>
    </row>
    <row r="17" spans="1:38" s="30" customFormat="1" x14ac:dyDescent="0.15">
      <c r="A17" s="36"/>
      <c r="B17" s="36"/>
      <c r="C17" s="36"/>
      <c r="D17" s="36"/>
      <c r="E17" s="36"/>
      <c r="F17" s="36"/>
      <c r="G17" s="26" t="s">
        <v>460</v>
      </c>
      <c r="H17" s="26"/>
      <c r="I17" s="26">
        <v>6</v>
      </c>
      <c r="J17" s="26">
        <f>SUM($I$6:I17)/60</f>
        <v>1.2666666666666666</v>
      </c>
      <c r="K17" s="27" t="s">
        <v>36</v>
      </c>
      <c r="L17" s="25"/>
      <c r="M17" s="25"/>
      <c r="N17" s="25"/>
      <c r="O17" s="25"/>
      <c r="P17" s="25">
        <v>24</v>
      </c>
      <c r="Q17" s="25">
        <f t="shared" si="0"/>
        <v>24</v>
      </c>
      <c r="R17" s="28">
        <f t="shared" si="1"/>
        <v>0</v>
      </c>
      <c r="S17" s="25">
        <v>30</v>
      </c>
      <c r="T17" s="28">
        <v>0</v>
      </c>
      <c r="U17" s="29">
        <f>IF(K17="经验",ROUND(INDEX([1]人物经验!$N$24:$N$573,S17)*T17+INDEX([1]人物经验!$O$24:$O$573,S17)-INDEX([1]人物经验!$O$24:$O$573,Q17)-INDEX([1]人物经验!$N$24:$N$573,Q17)*R17,0),"")</f>
        <v>194</v>
      </c>
      <c r="V17" s="29"/>
      <c r="W17" s="29" t="str">
        <f>IF(K17="金币",INT(V17/[2]货币基础!$B$6*3600*INDEX([1]人物经验!$K$24:$K$573,P17)/1000+1)*1000,"")</f>
        <v/>
      </c>
      <c r="X17" s="29"/>
      <c r="Y17" s="29" t="str">
        <f>IF(K17="元宝",X17/[2]货币基础!$B$5,"")</f>
        <v/>
      </c>
      <c r="Z17" s="29"/>
      <c r="AA17" s="29" t="str">
        <f>IF(K17="钻石",Z17/[2]货币基础!$B$4,"")</f>
        <v/>
      </c>
      <c r="AB17" s="29"/>
      <c r="AC17" s="29"/>
      <c r="AD17" s="25"/>
      <c r="AE17" s="11" t="s">
        <v>397</v>
      </c>
      <c r="AF17" s="27"/>
      <c r="AG17" s="27" t="s">
        <v>397</v>
      </c>
      <c r="AH17" s="27" t="s">
        <v>397</v>
      </c>
      <c r="AI17" s="27" t="s">
        <v>397</v>
      </c>
      <c r="AJ17" s="11" t="s">
        <v>397</v>
      </c>
      <c r="AK17" s="27" t="s">
        <v>397</v>
      </c>
      <c r="AL17" s="27"/>
    </row>
    <row r="18" spans="1:38" s="30" customFormat="1" x14ac:dyDescent="0.15">
      <c r="A18" s="36"/>
      <c r="B18" s="36"/>
      <c r="C18" s="36"/>
      <c r="D18" s="36"/>
      <c r="E18" s="36"/>
      <c r="F18" s="36"/>
      <c r="G18" s="26" t="s">
        <v>461</v>
      </c>
      <c r="H18" s="26" t="s">
        <v>462</v>
      </c>
      <c r="I18" s="26">
        <v>4</v>
      </c>
      <c r="J18" s="26">
        <f>SUM($I$6:I18)/60</f>
        <v>1.3333333333333333</v>
      </c>
      <c r="K18" s="27" t="s">
        <v>36</v>
      </c>
      <c r="L18" s="25"/>
      <c r="M18" s="25"/>
      <c r="N18" s="25"/>
      <c r="O18" s="25"/>
      <c r="P18" s="25">
        <v>30</v>
      </c>
      <c r="Q18" s="25">
        <f t="shared" si="0"/>
        <v>30</v>
      </c>
      <c r="R18" s="28">
        <f t="shared" si="1"/>
        <v>0</v>
      </c>
      <c r="S18" s="25">
        <v>31</v>
      </c>
      <c r="T18" s="28">
        <v>0</v>
      </c>
      <c r="U18" s="29">
        <f>IF(K18="经验",ROUND(INDEX([1]人物经验!$N$24:$N$573,S18)*T18+INDEX([1]人物经验!$O$24:$O$573,S18)-INDEX([1]人物经验!$O$24:$O$573,Q18)-INDEX([1]人物经验!$N$24:$N$573,Q18)*R18,0),"")</f>
        <v>36</v>
      </c>
      <c r="V18" s="29"/>
      <c r="W18" s="29" t="str">
        <f>IF(K18="金币",INT(V18/[2]货币基础!$B$6*3600*INDEX([1]人物经验!$K$24:$K$573,P18)/1000+1)*1000,"")</f>
        <v/>
      </c>
      <c r="X18" s="29"/>
      <c r="Y18" s="29" t="str">
        <f>IF(K18="元宝",X18/[2]货币基础!$B$5,"")</f>
        <v/>
      </c>
      <c r="Z18" s="29"/>
      <c r="AA18" s="29" t="str">
        <f>IF(K18="钻石",Z18/[2]货币基础!$B$4,"")</f>
        <v/>
      </c>
      <c r="AB18" s="29"/>
      <c r="AC18" s="29"/>
      <c r="AD18" s="25"/>
      <c r="AE18" s="11" t="s">
        <v>397</v>
      </c>
      <c r="AF18" s="27"/>
      <c r="AG18" s="27" t="s">
        <v>397</v>
      </c>
      <c r="AH18" s="27" t="s">
        <v>397</v>
      </c>
      <c r="AI18" s="27" t="s">
        <v>397</v>
      </c>
      <c r="AJ18" s="11" t="s">
        <v>397</v>
      </c>
      <c r="AK18" s="27" t="s">
        <v>397</v>
      </c>
      <c r="AL18" s="27"/>
    </row>
    <row r="19" spans="1:38" s="30" customFormat="1" x14ac:dyDescent="0.15">
      <c r="A19" s="36"/>
      <c r="B19" s="36"/>
      <c r="C19" s="36"/>
      <c r="D19" s="36"/>
      <c r="E19" s="36"/>
      <c r="F19" s="36"/>
      <c r="G19" s="26" t="s">
        <v>463</v>
      </c>
      <c r="H19" s="26" t="s">
        <v>443</v>
      </c>
      <c r="I19" s="26">
        <v>5</v>
      </c>
      <c r="J19" s="26">
        <f>SUM($I$6:I19)/60</f>
        <v>1.4166666666666667</v>
      </c>
      <c r="K19" s="27" t="s">
        <v>36</v>
      </c>
      <c r="L19" s="25" t="s">
        <v>465</v>
      </c>
      <c r="M19" s="25"/>
      <c r="N19" s="25"/>
      <c r="O19" s="25"/>
      <c r="P19" s="25">
        <v>31</v>
      </c>
      <c r="Q19" s="25">
        <f t="shared" si="0"/>
        <v>31</v>
      </c>
      <c r="R19" s="28">
        <f t="shared" si="1"/>
        <v>0</v>
      </c>
      <c r="S19" s="25">
        <v>32</v>
      </c>
      <c r="T19" s="28">
        <v>0</v>
      </c>
      <c r="U19" s="29">
        <f>IF(K19="经验",ROUND(INDEX([1]人物经验!$N$24:$N$573,S19)*T19+INDEX([1]人物经验!$O$24:$O$573,S19)-INDEX([1]人物经验!$O$24:$O$573,Q19)-INDEX([1]人物经验!$N$24:$N$573,Q19)*R19,0),"")</f>
        <v>37</v>
      </c>
      <c r="V19" s="29"/>
      <c r="W19" s="29" t="str">
        <f>IF(K19="金币",INT(V19/[2]货币基础!$B$6*3600*INDEX([1]人物经验!$K$24:$K$573,P19)/1000+1)*1000,"")</f>
        <v/>
      </c>
      <c r="X19" s="29"/>
      <c r="Y19" s="29" t="str">
        <f>IF(K19="元宝",X19/[2]货币基础!$B$5,"")</f>
        <v/>
      </c>
      <c r="Z19" s="29"/>
      <c r="AA19" s="29" t="str">
        <f>IF(K19="钻石",Z19/[2]货币基础!$B$4,"")</f>
        <v/>
      </c>
      <c r="AB19" s="29"/>
      <c r="AC19" s="29"/>
      <c r="AD19" s="25"/>
      <c r="AE19" s="11" t="s">
        <v>397</v>
      </c>
      <c r="AF19" s="27"/>
      <c r="AG19" s="27" t="s">
        <v>397</v>
      </c>
      <c r="AH19" s="27" t="s">
        <v>397</v>
      </c>
      <c r="AI19" s="27" t="s">
        <v>397</v>
      </c>
      <c r="AJ19" s="11" t="s">
        <v>397</v>
      </c>
      <c r="AK19" s="27" t="s">
        <v>397</v>
      </c>
      <c r="AL19" s="27"/>
    </row>
    <row r="20" spans="1:38" s="30" customFormat="1" x14ac:dyDescent="0.15">
      <c r="A20" s="36"/>
      <c r="B20" s="36"/>
      <c r="C20" s="36"/>
      <c r="D20" s="36"/>
      <c r="E20" s="36"/>
      <c r="F20" s="36"/>
      <c r="G20" s="26" t="s">
        <v>466</v>
      </c>
      <c r="H20" s="26" t="s">
        <v>471</v>
      </c>
      <c r="I20" s="26">
        <v>5</v>
      </c>
      <c r="J20" s="26">
        <f>SUM($I$6:I20)/60</f>
        <v>1.5</v>
      </c>
      <c r="K20" s="27" t="s">
        <v>496</v>
      </c>
      <c r="L20" s="25"/>
      <c r="M20" s="25"/>
      <c r="N20" s="25"/>
      <c r="O20" s="25"/>
      <c r="P20" s="25">
        <v>32</v>
      </c>
      <c r="Q20" s="25">
        <f t="shared" si="0"/>
        <v>32</v>
      </c>
      <c r="R20" s="28">
        <f t="shared" si="1"/>
        <v>0</v>
      </c>
      <c r="S20" s="25">
        <v>32</v>
      </c>
      <c r="T20" s="28">
        <v>0</v>
      </c>
      <c r="U20" s="29" t="str">
        <f>IF(K20="经验",ROUND(INDEX([1]人物经验!$N$24:$N$573,S20)*T20+INDEX([1]人物经验!$O$24:$O$573,S20)-INDEX([1]人物经验!$O$24:$O$573,Q20)-INDEX([1]人物经验!$N$24:$N$573,Q20)*R20,0),"")</f>
        <v/>
      </c>
      <c r="V20" s="29"/>
      <c r="W20" s="29" t="str">
        <f>IF(K20="金币",INT(V20/[2]货币基础!$B$6*3600*INDEX([1]人物经验!$K$24:$K$573,P20)/1000+1)*1000,"")</f>
        <v/>
      </c>
      <c r="X20" s="29">
        <v>0.5</v>
      </c>
      <c r="Y20" s="29">
        <f>IF(K20="元宝",X20/[2]货币基础!$B$5,"")</f>
        <v>5000</v>
      </c>
      <c r="Z20" s="29"/>
      <c r="AA20" s="29" t="str">
        <f>IF(K20="钻石",Z20/[2]货币基础!$B$4,"")</f>
        <v/>
      </c>
      <c r="AB20" s="29"/>
      <c r="AC20" s="29"/>
      <c r="AD20" s="25"/>
      <c r="AE20" s="11" t="s">
        <v>397</v>
      </c>
      <c r="AF20" s="27"/>
      <c r="AG20" s="27" t="s">
        <v>397</v>
      </c>
      <c r="AH20" s="27" t="s">
        <v>397</v>
      </c>
      <c r="AI20" s="27" t="s">
        <v>397</v>
      </c>
      <c r="AJ20" s="11" t="s">
        <v>397</v>
      </c>
      <c r="AK20" s="27" t="s">
        <v>397</v>
      </c>
      <c r="AL20" s="27"/>
    </row>
    <row r="21" spans="1:38" s="30" customFormat="1" x14ac:dyDescent="0.15">
      <c r="A21" s="36"/>
      <c r="B21" s="36"/>
      <c r="C21" s="36"/>
      <c r="D21" s="36"/>
      <c r="E21" s="36"/>
      <c r="F21" s="36"/>
      <c r="G21" s="26" t="s">
        <v>468</v>
      </c>
      <c r="H21" s="26" t="s">
        <v>37</v>
      </c>
      <c r="I21" s="26">
        <v>5</v>
      </c>
      <c r="J21" s="26">
        <f>SUM($I$6:I21)/60</f>
        <v>1.5833333333333333</v>
      </c>
      <c r="K21" s="27" t="s">
        <v>497</v>
      </c>
      <c r="L21" s="25" t="s">
        <v>467</v>
      </c>
      <c r="M21" s="25"/>
      <c r="N21" s="25"/>
      <c r="O21" s="25"/>
      <c r="P21" s="25">
        <v>32</v>
      </c>
      <c r="Q21" s="25">
        <f t="shared" si="0"/>
        <v>32</v>
      </c>
      <c r="R21" s="28">
        <f t="shared" si="1"/>
        <v>0</v>
      </c>
      <c r="S21" s="25">
        <v>33</v>
      </c>
      <c r="T21" s="28">
        <v>0</v>
      </c>
      <c r="U21" s="29">
        <f>IF(K21="经验",ROUND(INDEX([1]人物经验!$N$24:$N$573,S21)*T21+INDEX([1]人物经验!$O$24:$O$573,S21)-INDEX([1]人物经验!$O$24:$O$573,Q21)-INDEX([1]人物经验!$N$24:$N$573,Q21)*R21,0),"")</f>
        <v>39</v>
      </c>
      <c r="V21" s="29"/>
      <c r="W21" s="29" t="str">
        <f>IF(K21="金币",INT(V21/[2]货币基础!$B$6*3600*INDEX([1]人物经验!$K$24:$K$573,P21)/1000+1)*1000,"")</f>
        <v/>
      </c>
      <c r="X21" s="29"/>
      <c r="Y21" s="29" t="str">
        <f>IF(K21="元宝",X21/[2]货币基础!$B$5,"")</f>
        <v/>
      </c>
      <c r="Z21" s="29"/>
      <c r="AA21" s="29" t="str">
        <f>IF(K21="钻石",Z21/[2]货币基础!$B$4,"")</f>
        <v/>
      </c>
      <c r="AB21" s="29"/>
      <c r="AC21" s="29"/>
      <c r="AD21" s="25"/>
      <c r="AE21" s="11" t="s">
        <v>397</v>
      </c>
      <c r="AF21" s="27"/>
      <c r="AG21" s="27" t="s">
        <v>397</v>
      </c>
      <c r="AH21" s="27" t="s">
        <v>397</v>
      </c>
      <c r="AI21" s="27" t="s">
        <v>397</v>
      </c>
      <c r="AJ21" s="11" t="s">
        <v>397</v>
      </c>
      <c r="AK21" s="27" t="s">
        <v>397</v>
      </c>
      <c r="AL21" s="27"/>
    </row>
    <row r="22" spans="1:38" s="30" customFormat="1" x14ac:dyDescent="0.15">
      <c r="A22" s="36"/>
      <c r="B22" s="36"/>
      <c r="C22" s="36"/>
      <c r="D22" s="36"/>
      <c r="E22" s="36"/>
      <c r="F22" s="36"/>
      <c r="G22" s="26" t="s">
        <v>470</v>
      </c>
      <c r="H22" s="26" t="s">
        <v>472</v>
      </c>
      <c r="I22" s="26">
        <v>5</v>
      </c>
      <c r="J22" s="26">
        <f>SUM($I$6:I22)/60</f>
        <v>1.6666666666666667</v>
      </c>
      <c r="K22" s="27" t="s">
        <v>495</v>
      </c>
      <c r="L22" s="25"/>
      <c r="M22" s="25"/>
      <c r="N22" s="25"/>
      <c r="O22" s="25"/>
      <c r="P22" s="25">
        <v>33</v>
      </c>
      <c r="Q22" s="25">
        <f t="shared" ref="Q22:Q25" si="6">S21</f>
        <v>33</v>
      </c>
      <c r="R22" s="28">
        <f t="shared" ref="R22:R25" si="7">T21</f>
        <v>0</v>
      </c>
      <c r="S22" s="25">
        <v>33</v>
      </c>
      <c r="T22" s="28">
        <v>0</v>
      </c>
      <c r="U22" s="29" t="str">
        <f>IF(K22="经验",ROUND(INDEX([1]人物经验!$N$24:$N$573,S22)*T22+INDEX([1]人物经验!$O$24:$O$573,S22)-INDEX([1]人物经验!$O$24:$O$573,Q22)-INDEX([1]人物经验!$N$24:$N$573,Q22)*R22,0),"")</f>
        <v/>
      </c>
      <c r="V22" s="29"/>
      <c r="W22" s="29" t="str">
        <f>IF(K22="金币",INT(V22/[2]货币基础!$B$6*3600*INDEX([1]人物经验!$K$24:$K$573,P22)/1000+1)*1000,"")</f>
        <v/>
      </c>
      <c r="X22" s="29">
        <v>0.5</v>
      </c>
      <c r="Y22" s="29">
        <f>IF(K22="元宝",X22/[2]货币基础!$B$5,"")</f>
        <v>5000</v>
      </c>
      <c r="Z22" s="29"/>
      <c r="AA22" s="29" t="str">
        <f>IF(K22="钻石",Z22/[2]货币基础!$B$4,"")</f>
        <v/>
      </c>
      <c r="AB22" s="29"/>
      <c r="AC22" s="29"/>
      <c r="AD22" s="25"/>
      <c r="AE22" s="11" t="s">
        <v>397</v>
      </c>
      <c r="AF22" s="27"/>
      <c r="AG22" s="27" t="s">
        <v>397</v>
      </c>
      <c r="AH22" s="27" t="s">
        <v>397</v>
      </c>
      <c r="AI22" s="27" t="s">
        <v>397</v>
      </c>
      <c r="AJ22" s="11" t="s">
        <v>397</v>
      </c>
      <c r="AK22" s="27" t="s">
        <v>397</v>
      </c>
      <c r="AL22" s="27"/>
    </row>
    <row r="23" spans="1:38" s="30" customFormat="1" x14ac:dyDescent="0.15">
      <c r="A23" s="36"/>
      <c r="B23" s="36"/>
      <c r="C23" s="36"/>
      <c r="D23" s="36"/>
      <c r="E23" s="36"/>
      <c r="F23" s="36"/>
      <c r="G23" s="26" t="s">
        <v>473</v>
      </c>
      <c r="H23" s="26" t="s">
        <v>474</v>
      </c>
      <c r="I23" s="26">
        <v>0</v>
      </c>
      <c r="J23" s="26">
        <f>SUM($I$6:I23)/60</f>
        <v>1.6666666666666667</v>
      </c>
      <c r="K23" s="27" t="s">
        <v>498</v>
      </c>
      <c r="L23" s="25"/>
      <c r="M23" s="25"/>
      <c r="N23" s="25"/>
      <c r="O23" s="25"/>
      <c r="P23" s="25">
        <v>33</v>
      </c>
      <c r="Q23" s="25">
        <f t="shared" si="6"/>
        <v>33</v>
      </c>
      <c r="R23" s="28">
        <f t="shared" si="7"/>
        <v>0</v>
      </c>
      <c r="S23" s="25">
        <v>33</v>
      </c>
      <c r="T23" s="28">
        <v>0</v>
      </c>
      <c r="U23" s="29" t="str">
        <f>IF(K23="经验",ROUND(INDEX([1]人物经验!$N$24:$N$573,S23)*T23+INDEX([1]人物经验!$O$24:$O$573,S23)-INDEX([1]人物经验!$O$24:$O$573,Q23)-INDEX([1]人物经验!$N$24:$N$573,Q23)*R23,0),"")</f>
        <v/>
      </c>
      <c r="V23" s="29"/>
      <c r="W23" s="29" t="str">
        <f>IF(K23="金币",INT(V23/[2]货币基础!$B$6*3600*INDEX([1]人物经验!$K$24:$K$573,P23)/1000+1)*1000,"")</f>
        <v/>
      </c>
      <c r="X23" s="29"/>
      <c r="Y23" s="29" t="str">
        <f>IF(K23="元宝",X23/[2]货币基础!$B$5,"")</f>
        <v/>
      </c>
      <c r="Z23" s="29">
        <v>1</v>
      </c>
      <c r="AA23" s="29">
        <f>IF(K23="钻石",Z23/[2]货币基础!$B$4,"")</f>
        <v>100</v>
      </c>
      <c r="AB23" s="29"/>
      <c r="AC23" s="29"/>
      <c r="AD23" s="25"/>
      <c r="AE23" s="11" t="s">
        <v>397</v>
      </c>
      <c r="AF23" s="27"/>
      <c r="AG23" s="27" t="s">
        <v>397</v>
      </c>
      <c r="AH23" s="27" t="s">
        <v>397</v>
      </c>
      <c r="AI23" s="27" t="s">
        <v>397</v>
      </c>
      <c r="AJ23" s="11" t="s">
        <v>397</v>
      </c>
      <c r="AK23" s="27" t="s">
        <v>397</v>
      </c>
      <c r="AL23" s="27"/>
    </row>
    <row r="24" spans="1:38" s="30" customFormat="1" x14ac:dyDescent="0.15">
      <c r="A24" s="36"/>
      <c r="B24" s="36"/>
      <c r="C24" s="36"/>
      <c r="D24" s="36"/>
      <c r="E24" s="36"/>
      <c r="F24" s="36"/>
      <c r="G24" s="26" t="s">
        <v>469</v>
      </c>
      <c r="H24" s="26"/>
      <c r="I24" s="26">
        <v>5</v>
      </c>
      <c r="J24" s="26">
        <f>SUM($I$6:I24)/60</f>
        <v>1.75</v>
      </c>
      <c r="K24" s="27" t="s">
        <v>458</v>
      </c>
      <c r="L24" s="25"/>
      <c r="M24" s="25"/>
      <c r="N24" s="25"/>
      <c r="O24" s="25"/>
      <c r="P24" s="25">
        <v>33</v>
      </c>
      <c r="Q24" s="25">
        <f t="shared" si="6"/>
        <v>33</v>
      </c>
      <c r="R24" s="28">
        <f t="shared" si="7"/>
        <v>0</v>
      </c>
      <c r="S24" s="25">
        <v>39</v>
      </c>
      <c r="T24" s="28">
        <v>0</v>
      </c>
      <c r="U24" s="29">
        <f>IF(K24="经验",ROUND(INDEX([1]人物经验!$N$24:$N$573,S24)*T24+INDEX([1]人物经验!$O$24:$O$573,S24)-INDEX([1]人物经验!$O$24:$O$573,Q24)-INDEX([1]人物经验!$N$24:$N$573,Q24)*R24,0),"")</f>
        <v>259</v>
      </c>
      <c r="V24" s="29"/>
      <c r="W24" s="29" t="str">
        <f>IF(K24="金币",INT(V24/[2]货币基础!$B$6*3600*INDEX([1]人物经验!$K$24:$K$573,P24)/1000+1)*1000,"")</f>
        <v/>
      </c>
      <c r="X24" s="29"/>
      <c r="Y24" s="29" t="str">
        <f>IF(K24="元宝",X24/[2]货币基础!$B$5,"")</f>
        <v/>
      </c>
      <c r="Z24" s="29"/>
      <c r="AA24" s="29" t="str">
        <f>IF(K24="钻石",Z24/[2]货币基础!$B$4,"")</f>
        <v/>
      </c>
      <c r="AB24" s="29"/>
      <c r="AC24" s="29"/>
      <c r="AD24" s="25" t="s">
        <v>44</v>
      </c>
      <c r="AE24" s="11" t="s">
        <v>397</v>
      </c>
      <c r="AF24" s="27"/>
      <c r="AG24" s="27" t="s">
        <v>397</v>
      </c>
      <c r="AH24" s="27" t="s">
        <v>397</v>
      </c>
      <c r="AI24" s="27" t="s">
        <v>397</v>
      </c>
      <c r="AJ24" s="11" t="s">
        <v>397</v>
      </c>
      <c r="AK24" s="27" t="s">
        <v>397</v>
      </c>
      <c r="AL24" s="27"/>
    </row>
    <row r="25" spans="1:38" s="30" customFormat="1" x14ac:dyDescent="0.15">
      <c r="A25" s="36"/>
      <c r="B25" s="36"/>
      <c r="C25" s="36"/>
      <c r="D25" s="36"/>
      <c r="E25" s="36"/>
      <c r="F25" s="36"/>
      <c r="G25" s="26" t="s">
        <v>475</v>
      </c>
      <c r="H25" s="26" t="s">
        <v>476</v>
      </c>
      <c r="I25" s="26">
        <v>5</v>
      </c>
      <c r="J25" s="26">
        <f>SUM($I$6:I25)/60</f>
        <v>1.8333333333333333</v>
      </c>
      <c r="K25" s="27" t="s">
        <v>458</v>
      </c>
      <c r="L25" s="25"/>
      <c r="M25" s="25"/>
      <c r="N25" s="25"/>
      <c r="O25" s="25"/>
      <c r="P25" s="25">
        <v>39</v>
      </c>
      <c r="Q25" s="25">
        <f t="shared" si="6"/>
        <v>39</v>
      </c>
      <c r="R25" s="28">
        <f t="shared" si="7"/>
        <v>0</v>
      </c>
      <c r="S25" s="25">
        <v>40</v>
      </c>
      <c r="T25" s="28">
        <v>0</v>
      </c>
      <c r="U25" s="29">
        <f>IF(K25="经验",ROUND(INDEX([1]人物经验!$N$24:$N$573,S25)*T25+INDEX([1]人物经验!$O$24:$O$573,S25)-INDEX([1]人物经验!$O$24:$O$573,Q25)-INDEX([1]人物经验!$N$24:$N$573,Q25)*R25,0),"")</f>
        <v>48</v>
      </c>
      <c r="V25" s="29"/>
      <c r="W25" s="29" t="str">
        <f>IF(K25="金币",INT(V25/[2]货币基础!$B$6*3600*INDEX([1]人物经验!$K$24:$K$573,P25)/1000+1)*1000,"")</f>
        <v/>
      </c>
      <c r="X25" s="29"/>
      <c r="Y25" s="29" t="str">
        <f>IF(K25="元宝",X25/[2]货币基础!$B$5,"")</f>
        <v/>
      </c>
      <c r="Z25" s="29"/>
      <c r="AA25" s="29" t="str">
        <f>IF(K25="钻石",Z25/[2]货币基础!$B$4,"")</f>
        <v/>
      </c>
      <c r="AB25" s="29"/>
      <c r="AC25" s="29"/>
      <c r="AD25" s="25"/>
      <c r="AE25" s="11" t="s">
        <v>397</v>
      </c>
      <c r="AF25" s="27"/>
      <c r="AG25" s="27" t="s">
        <v>397</v>
      </c>
      <c r="AH25" s="27" t="s">
        <v>397</v>
      </c>
      <c r="AI25" s="27" t="s">
        <v>397</v>
      </c>
      <c r="AJ25" s="11" t="s">
        <v>397</v>
      </c>
      <c r="AK25" s="27" t="s">
        <v>397</v>
      </c>
      <c r="AL25" s="27"/>
    </row>
    <row r="26" spans="1:38" s="30" customFormat="1" x14ac:dyDescent="0.15">
      <c r="A26" s="36"/>
      <c r="B26" s="36"/>
      <c r="C26" s="36"/>
      <c r="D26" s="36"/>
      <c r="E26" s="36"/>
      <c r="F26" s="36"/>
      <c r="G26" s="26" t="s">
        <v>478</v>
      </c>
      <c r="H26" s="26" t="s">
        <v>37</v>
      </c>
      <c r="I26" s="26">
        <v>10</v>
      </c>
      <c r="J26" s="26">
        <f>SUM($I$6:I26)/60</f>
        <v>2</v>
      </c>
      <c r="K26" s="25" t="s">
        <v>55</v>
      </c>
      <c r="L26" s="25" t="s">
        <v>56</v>
      </c>
      <c r="M26" s="25"/>
      <c r="N26" s="25"/>
      <c r="O26" s="25"/>
      <c r="P26" s="25">
        <v>40</v>
      </c>
      <c r="Q26" s="25">
        <f t="shared" ref="Q26" si="8">S25</f>
        <v>40</v>
      </c>
      <c r="R26" s="28">
        <f t="shared" ref="R26" si="9">T25</f>
        <v>0</v>
      </c>
      <c r="S26" s="25">
        <v>40</v>
      </c>
      <c r="T26" s="28">
        <v>0</v>
      </c>
      <c r="U26" s="29" t="str">
        <f>IF(K26="经验",ROUND(INDEX([1]人物经验!$N$24:$N$573,S26)*T26+INDEX([1]人物经验!$O$24:$O$573,S26)-INDEX([1]人物经验!$O$24:$O$573,Q26)-INDEX([1]人物经验!$N$24:$N$573,Q26)*R26,0),"")</f>
        <v/>
      </c>
      <c r="V26" s="29"/>
      <c r="W26" s="29" t="str">
        <f>IF(K26="金币",INT(V26/[2]货币基础!$B$6*3600*INDEX([1]人物经验!$K$24:$K$573,P26)/1000+1)*1000,"")</f>
        <v/>
      </c>
      <c r="X26" s="29"/>
      <c r="Y26" s="29" t="str">
        <f>IF(K26="元宝",X26/[2]货币基础!$B$5,"")</f>
        <v/>
      </c>
      <c r="Z26" s="29"/>
      <c r="AA26" s="29" t="str">
        <f>IF(K26="钻石",Z26/[2]货币基础!$B$4,"")</f>
        <v/>
      </c>
      <c r="AB26" s="29"/>
      <c r="AC26" s="29"/>
      <c r="AD26" s="25"/>
      <c r="AE26" s="11" t="s">
        <v>397</v>
      </c>
      <c r="AF26" s="27" t="s">
        <v>397</v>
      </c>
      <c r="AG26" s="27" t="s">
        <v>397</v>
      </c>
      <c r="AH26" s="27" t="s">
        <v>397</v>
      </c>
      <c r="AI26" s="27" t="s">
        <v>397</v>
      </c>
      <c r="AJ26" s="11" t="s">
        <v>397</v>
      </c>
      <c r="AK26" s="27" t="s">
        <v>397</v>
      </c>
      <c r="AL26" s="27" t="s">
        <v>397</v>
      </c>
    </row>
    <row r="27" spans="1:38" s="30" customFormat="1" x14ac:dyDescent="0.15">
      <c r="A27" s="37">
        <v>3</v>
      </c>
      <c r="B27" s="37" t="s">
        <v>27</v>
      </c>
      <c r="C27" s="37">
        <v>40</v>
      </c>
      <c r="D27" s="37">
        <f>C44</f>
        <v>50</v>
      </c>
      <c r="E27" s="37">
        <f>SUM(I27:I43)/60</f>
        <v>2</v>
      </c>
      <c r="F27" s="37">
        <f>VLOOKUP(D27,新手阶段非R升级节奏!$A$2:$C$222,3,0)-VLOOKUP(C27,新手阶段非R升级节奏!$A$2:$C$222,3,0)</f>
        <v>780</v>
      </c>
      <c r="G27" s="26" t="s">
        <v>479</v>
      </c>
      <c r="H27" s="26" t="s">
        <v>37</v>
      </c>
      <c r="I27" s="26">
        <v>10</v>
      </c>
      <c r="J27" s="26">
        <f>SUM($I$6:I27)/60</f>
        <v>2.1666666666666665</v>
      </c>
      <c r="K27" s="27" t="s">
        <v>36</v>
      </c>
      <c r="L27" s="25"/>
      <c r="M27" s="25"/>
      <c r="N27" s="25"/>
      <c r="O27" s="25"/>
      <c r="P27" s="25">
        <v>40</v>
      </c>
      <c r="Q27" s="25">
        <f t="shared" si="0"/>
        <v>40</v>
      </c>
      <c r="R27" s="28">
        <f t="shared" si="1"/>
        <v>0</v>
      </c>
      <c r="S27" s="25">
        <v>41</v>
      </c>
      <c r="T27" s="28">
        <v>0</v>
      </c>
      <c r="U27" s="29">
        <f>IF(K27="经验",ROUND(INDEX([1]人物经验!$N$24:$N$573,S27)*T27+INDEX([1]人物经验!$O$24:$O$573,S27)-INDEX([1]人物经验!$O$24:$O$573,Q27)-INDEX([1]人物经验!$N$24:$N$573,Q27)*R27,0),"")</f>
        <v>49</v>
      </c>
      <c r="V27" s="29"/>
      <c r="W27" s="29" t="str">
        <f>IF(K27="金币",INT(V27/[2]货币基础!$B$6*3600*INDEX([1]人物经验!$K$24:$K$573,P27)/1000+1)*1000,"")</f>
        <v/>
      </c>
      <c r="X27" s="29"/>
      <c r="Y27" s="29" t="str">
        <f>IF(K27="元宝",X27/[2]货币基础!$B$5,"")</f>
        <v/>
      </c>
      <c r="Z27" s="29"/>
      <c r="AA27" s="29" t="str">
        <f>IF(K27="钻石",Z27/[2]货币基础!$B$4,"")</f>
        <v/>
      </c>
      <c r="AB27" s="29"/>
      <c r="AC27" s="29"/>
      <c r="AD27" s="25"/>
      <c r="AE27" s="11" t="s">
        <v>397</v>
      </c>
      <c r="AF27" s="27" t="s">
        <v>397</v>
      </c>
      <c r="AG27" s="27" t="s">
        <v>397</v>
      </c>
      <c r="AH27" s="27" t="s">
        <v>397</v>
      </c>
      <c r="AI27" s="27" t="s">
        <v>397</v>
      </c>
      <c r="AJ27" s="11" t="s">
        <v>397</v>
      </c>
      <c r="AK27" s="27" t="s">
        <v>397</v>
      </c>
      <c r="AL27" s="27" t="s">
        <v>397</v>
      </c>
    </row>
    <row r="28" spans="1:38" s="30" customFormat="1" x14ac:dyDescent="0.15">
      <c r="A28" s="37"/>
      <c r="B28" s="37"/>
      <c r="C28" s="37"/>
      <c r="D28" s="37"/>
      <c r="E28" s="37"/>
      <c r="F28" s="37"/>
      <c r="G28" s="26" t="s">
        <v>477</v>
      </c>
      <c r="H28" s="26"/>
      <c r="I28" s="26">
        <v>9</v>
      </c>
      <c r="J28" s="26">
        <f>SUM($I$6:I28)/60</f>
        <v>2.3166666666666669</v>
      </c>
      <c r="K28" s="27" t="s">
        <v>36</v>
      </c>
      <c r="L28" s="25"/>
      <c r="M28" s="25"/>
      <c r="N28" s="25"/>
      <c r="O28" s="25"/>
      <c r="P28" s="25">
        <v>41</v>
      </c>
      <c r="Q28" s="25">
        <f t="shared" si="0"/>
        <v>41</v>
      </c>
      <c r="R28" s="28">
        <f t="shared" si="1"/>
        <v>0</v>
      </c>
      <c r="S28" s="25">
        <v>43</v>
      </c>
      <c r="T28" s="28">
        <v>0</v>
      </c>
      <c r="U28" s="29">
        <f>IF(K28="经验",ROUND(INDEX([1]人物经验!$N$24:$N$573,S28)*T28+INDEX([1]人物经验!$O$24:$O$573,S28)-INDEX([1]人物经验!$O$24:$O$573,Q28)-INDEX([1]人物经验!$N$24:$N$573,Q28)*R28,0),"")</f>
        <v>130</v>
      </c>
      <c r="V28" s="29"/>
      <c r="W28" s="29" t="str">
        <f>IF(K28="金币",INT(V28/[2]货币基础!$B$6*3600*INDEX([1]人物经验!$K$24:$K$573,P28)/1000+1)*1000,"")</f>
        <v/>
      </c>
      <c r="X28" s="29"/>
      <c r="Y28" s="29" t="str">
        <f>IF(K28="元宝",X28/[2]货币基础!$B$5,"")</f>
        <v/>
      </c>
      <c r="Z28" s="29"/>
      <c r="AA28" s="29" t="str">
        <f>IF(K28="钻石",Z28/[2]货币基础!$B$4,"")</f>
        <v/>
      </c>
      <c r="AB28" s="29"/>
      <c r="AC28" s="29"/>
      <c r="AD28" s="25" t="s">
        <v>682</v>
      </c>
      <c r="AE28" s="11" t="s">
        <v>397</v>
      </c>
      <c r="AF28" s="27" t="s">
        <v>397</v>
      </c>
      <c r="AG28" s="27" t="s">
        <v>397</v>
      </c>
      <c r="AH28" s="27" t="s">
        <v>397</v>
      </c>
      <c r="AI28" s="27" t="s">
        <v>397</v>
      </c>
      <c r="AJ28" s="11" t="s">
        <v>397</v>
      </c>
      <c r="AK28" s="27" t="s">
        <v>397</v>
      </c>
      <c r="AL28" s="27" t="s">
        <v>397</v>
      </c>
    </row>
    <row r="29" spans="1:38" s="30" customFormat="1" x14ac:dyDescent="0.15">
      <c r="A29" s="37"/>
      <c r="B29" s="37"/>
      <c r="C29" s="37"/>
      <c r="D29" s="37"/>
      <c r="E29" s="37"/>
      <c r="F29" s="37"/>
      <c r="G29" s="26" t="s">
        <v>481</v>
      </c>
      <c r="H29" s="26" t="s">
        <v>499</v>
      </c>
      <c r="I29" s="26">
        <v>5</v>
      </c>
      <c r="J29" s="26">
        <f>SUM($I$6:I29)/60</f>
        <v>2.4</v>
      </c>
      <c r="K29" s="27" t="s">
        <v>36</v>
      </c>
      <c r="L29" s="25" t="s">
        <v>480</v>
      </c>
      <c r="M29" s="25"/>
      <c r="N29" s="25"/>
      <c r="O29" s="25"/>
      <c r="P29" s="25">
        <v>43</v>
      </c>
      <c r="Q29" s="25">
        <f t="shared" si="0"/>
        <v>43</v>
      </c>
      <c r="R29" s="28">
        <f t="shared" si="1"/>
        <v>0</v>
      </c>
      <c r="S29" s="25">
        <v>43</v>
      </c>
      <c r="T29" s="28">
        <v>0.5</v>
      </c>
      <c r="U29" s="29">
        <f>IF(K29="经验",ROUND(INDEX([1]人物经验!$N$24:$N$573,S29)*T29+INDEX([1]人物经验!$O$24:$O$573,S29)-INDEX([1]人物经验!$O$24:$O$573,Q29)-INDEX([1]人物经验!$N$24:$N$573,Q29)*R29,0),"")</f>
        <v>36</v>
      </c>
      <c r="V29" s="29"/>
      <c r="W29" s="29" t="str">
        <f>IF(K29="金币",INT(V29/[2]货币基础!$B$6*3600*INDEX([1]人物经验!$K$24:$K$573,P29)/1000+1)*1000,"")</f>
        <v/>
      </c>
      <c r="X29" s="29"/>
      <c r="Y29" s="29" t="str">
        <f>IF(K29="元宝",X29/[2]货币基础!$B$5,"")</f>
        <v/>
      </c>
      <c r="Z29" s="29"/>
      <c r="AA29" s="29" t="str">
        <f>IF(K29="钻石",Z29/[2]货币基础!$B$4,"")</f>
        <v/>
      </c>
      <c r="AB29" s="29"/>
      <c r="AC29" s="29"/>
      <c r="AD29" s="25"/>
      <c r="AE29" s="11" t="s">
        <v>397</v>
      </c>
      <c r="AF29" s="27" t="s">
        <v>397</v>
      </c>
      <c r="AG29" s="27" t="s">
        <v>397</v>
      </c>
      <c r="AH29" s="27" t="s">
        <v>397</v>
      </c>
      <c r="AI29" s="27" t="s">
        <v>656</v>
      </c>
      <c r="AJ29" s="11" t="s">
        <v>397</v>
      </c>
      <c r="AK29" s="27" t="s">
        <v>397</v>
      </c>
      <c r="AL29" s="27" t="s">
        <v>397</v>
      </c>
    </row>
    <row r="30" spans="1:38" s="30" customFormat="1" x14ac:dyDescent="0.15">
      <c r="A30" s="37"/>
      <c r="B30" s="37"/>
      <c r="C30" s="37"/>
      <c r="D30" s="37"/>
      <c r="E30" s="37"/>
      <c r="F30" s="37"/>
      <c r="G30" s="26" t="s">
        <v>482</v>
      </c>
      <c r="H30" s="26" t="s">
        <v>37</v>
      </c>
      <c r="I30" s="26">
        <v>10</v>
      </c>
      <c r="J30" s="26">
        <f>SUM($I$6:I30)/60</f>
        <v>2.5666666666666669</v>
      </c>
      <c r="K30" s="27" t="s">
        <v>36</v>
      </c>
      <c r="L30" s="25" t="s">
        <v>483</v>
      </c>
      <c r="M30" s="25"/>
      <c r="N30" s="25"/>
      <c r="O30" s="25"/>
      <c r="P30" s="25">
        <v>43</v>
      </c>
      <c r="Q30" s="25">
        <f t="shared" si="0"/>
        <v>43</v>
      </c>
      <c r="R30" s="28">
        <f t="shared" si="1"/>
        <v>0.5</v>
      </c>
      <c r="S30" s="25">
        <v>44</v>
      </c>
      <c r="T30" s="28">
        <v>0</v>
      </c>
      <c r="U30" s="29">
        <f>IF(K30="经验",ROUND(INDEX([1]人物经验!$N$24:$N$573,S30)*T30+INDEX([1]人物经验!$O$24:$O$573,S30)-INDEX([1]人物经验!$O$24:$O$573,Q30)-INDEX([1]人物经验!$N$24:$N$573,Q30)*R30,0),"")</f>
        <v>36</v>
      </c>
      <c r="V30" s="29"/>
      <c r="W30" s="29" t="str">
        <f>IF(K30="金币",INT(V30/[2]货币基础!$B$6*3600*INDEX([1]人物经验!$K$24:$K$573,P30)/1000+1)*1000,"")</f>
        <v/>
      </c>
      <c r="X30" s="29"/>
      <c r="Y30" s="29" t="str">
        <f>IF(K30="元宝",X30/[2]货币基础!$B$5,"")</f>
        <v/>
      </c>
      <c r="Z30" s="29"/>
      <c r="AA30" s="29" t="str">
        <f>IF(K30="钻石",Z30/[2]货币基础!$B$4,"")</f>
        <v/>
      </c>
      <c r="AB30" s="29"/>
      <c r="AC30" s="29"/>
      <c r="AD30" s="25"/>
      <c r="AE30" s="11" t="s">
        <v>397</v>
      </c>
      <c r="AF30" s="27" t="s">
        <v>397</v>
      </c>
      <c r="AG30" s="27" t="s">
        <v>397</v>
      </c>
      <c r="AH30" s="27" t="s">
        <v>397</v>
      </c>
      <c r="AI30" s="27" t="s">
        <v>656</v>
      </c>
      <c r="AJ30" s="27" t="s">
        <v>656</v>
      </c>
      <c r="AK30" s="27" t="s">
        <v>397</v>
      </c>
      <c r="AL30" s="27" t="s">
        <v>397</v>
      </c>
    </row>
    <row r="31" spans="1:38" s="30" customFormat="1" x14ac:dyDescent="0.15">
      <c r="A31" s="37"/>
      <c r="B31" s="37"/>
      <c r="C31" s="37"/>
      <c r="D31" s="37"/>
      <c r="E31" s="37"/>
      <c r="F31" s="37"/>
      <c r="G31" s="26" t="s">
        <v>484</v>
      </c>
      <c r="H31" s="26" t="s">
        <v>37</v>
      </c>
      <c r="I31" s="26">
        <v>10</v>
      </c>
      <c r="J31" s="26">
        <f>SUM($I$6:I31)/60</f>
        <v>2.7333333333333334</v>
      </c>
      <c r="K31" s="27" t="s">
        <v>36</v>
      </c>
      <c r="L31" s="25"/>
      <c r="M31" s="25"/>
      <c r="N31" s="25"/>
      <c r="O31" s="25"/>
      <c r="P31" s="25">
        <v>44</v>
      </c>
      <c r="Q31" s="25">
        <f t="shared" si="0"/>
        <v>44</v>
      </c>
      <c r="R31" s="28">
        <f t="shared" si="1"/>
        <v>0</v>
      </c>
      <c r="S31" s="25">
        <v>44</v>
      </c>
      <c r="T31" s="28">
        <v>0.5</v>
      </c>
      <c r="U31" s="29">
        <f>IF(K31="经验",ROUND(INDEX([1]人物经验!$N$24:$N$573,S31)*T31+INDEX([1]人物经验!$O$24:$O$573,S31)-INDEX([1]人物经验!$O$24:$O$573,Q31)-INDEX([1]人物经验!$N$24:$N$573,Q31)*R31,0),"")</f>
        <v>38</v>
      </c>
      <c r="V31" s="29"/>
      <c r="W31" s="29" t="str">
        <f>IF(K31="金币",INT(V31/[2]货币基础!$B$6*3600*INDEX([1]人物经验!$K$24:$K$573,P31)/1000+1)*1000,"")</f>
        <v/>
      </c>
      <c r="X31" s="29"/>
      <c r="Y31" s="29" t="str">
        <f>IF(K31="元宝",X31/[2]货币基础!$B$5,"")</f>
        <v/>
      </c>
      <c r="Z31" s="29"/>
      <c r="AA31" s="29" t="str">
        <f>IF(K31="钻石",Z31/[2]货币基础!$B$4,"")</f>
        <v/>
      </c>
      <c r="AB31" s="29"/>
      <c r="AC31" s="29"/>
      <c r="AD31" s="25"/>
      <c r="AE31" s="11" t="s">
        <v>397</v>
      </c>
      <c r="AF31" s="27" t="s">
        <v>397</v>
      </c>
      <c r="AG31" s="27" t="s">
        <v>397</v>
      </c>
      <c r="AH31" s="27" t="s">
        <v>397</v>
      </c>
      <c r="AI31" s="27" t="s">
        <v>398</v>
      </c>
      <c r="AJ31" s="27" t="s">
        <v>656</v>
      </c>
      <c r="AK31" s="27" t="s">
        <v>397</v>
      </c>
      <c r="AL31" s="27" t="s">
        <v>397</v>
      </c>
    </row>
    <row r="32" spans="1:38" s="30" customFormat="1" x14ac:dyDescent="0.15">
      <c r="A32" s="37"/>
      <c r="B32" s="37"/>
      <c r="C32" s="37"/>
      <c r="D32" s="37"/>
      <c r="E32" s="37"/>
      <c r="F32" s="37"/>
      <c r="G32" s="26" t="s">
        <v>485</v>
      </c>
      <c r="H32" s="26" t="s">
        <v>443</v>
      </c>
      <c r="I32" s="26">
        <v>10</v>
      </c>
      <c r="J32" s="26">
        <f>SUM($I$6:I32)/60</f>
        <v>2.9</v>
      </c>
      <c r="K32" s="27" t="s">
        <v>36</v>
      </c>
      <c r="L32" s="25"/>
      <c r="M32" s="25"/>
      <c r="N32" s="25"/>
      <c r="O32" s="25"/>
      <c r="P32" s="25">
        <v>44</v>
      </c>
      <c r="Q32" s="25">
        <f t="shared" si="0"/>
        <v>44</v>
      </c>
      <c r="R32" s="28">
        <f t="shared" si="1"/>
        <v>0.5</v>
      </c>
      <c r="S32" s="25">
        <v>45</v>
      </c>
      <c r="T32" s="28">
        <v>0</v>
      </c>
      <c r="U32" s="29">
        <f>IF(K32="经验",ROUND(INDEX([1]人物经验!$N$24:$N$573,S32)*T32+INDEX([1]人物经验!$O$24:$O$573,S32)-INDEX([1]人物经验!$O$24:$O$573,Q32)-INDEX([1]人物经验!$N$24:$N$573,Q32)*R32,0),"")</f>
        <v>38</v>
      </c>
      <c r="V32" s="29"/>
      <c r="W32" s="29" t="str">
        <f>IF(K32="金币",INT(V32/[2]货币基础!$B$6*3600*INDEX([1]人物经验!$K$24:$K$573,P32)/1000+1)*1000,"")</f>
        <v/>
      </c>
      <c r="X32" s="29"/>
      <c r="Y32" s="29" t="str">
        <f>IF(K32="元宝",X32/[2]货币基础!$B$5,"")</f>
        <v/>
      </c>
      <c r="Z32" s="29"/>
      <c r="AA32" s="29" t="str">
        <f>IF(K32="钻石",Z32/[2]货币基础!$B$4,"")</f>
        <v/>
      </c>
      <c r="AB32" s="29"/>
      <c r="AC32" s="29"/>
      <c r="AD32" s="25"/>
      <c r="AE32" s="11" t="s">
        <v>397</v>
      </c>
      <c r="AF32" s="27" t="s">
        <v>397</v>
      </c>
      <c r="AG32" s="27" t="s">
        <v>397</v>
      </c>
      <c r="AH32" s="27" t="s">
        <v>397</v>
      </c>
      <c r="AI32" s="27" t="s">
        <v>398</v>
      </c>
      <c r="AJ32" s="27" t="s">
        <v>398</v>
      </c>
      <c r="AK32" s="27" t="s">
        <v>397</v>
      </c>
      <c r="AL32" s="27" t="s">
        <v>397</v>
      </c>
    </row>
    <row r="33" spans="1:38" s="30" customFormat="1" x14ac:dyDescent="0.15">
      <c r="A33" s="37"/>
      <c r="B33" s="37"/>
      <c r="C33" s="37"/>
      <c r="D33" s="37"/>
      <c r="E33" s="37"/>
      <c r="F33" s="37"/>
      <c r="G33" s="26" t="s">
        <v>486</v>
      </c>
      <c r="H33" s="26"/>
      <c r="I33" s="26">
        <v>2</v>
      </c>
      <c r="J33" s="26">
        <f>SUM($I$6:I33)/60</f>
        <v>2.9333333333333331</v>
      </c>
      <c r="K33" s="27" t="s">
        <v>458</v>
      </c>
      <c r="L33" s="25"/>
      <c r="M33" s="25"/>
      <c r="N33" s="25"/>
      <c r="O33" s="25"/>
      <c r="P33" s="25">
        <v>45</v>
      </c>
      <c r="Q33" s="25">
        <f t="shared" ref="Q33" si="10">S32</f>
        <v>45</v>
      </c>
      <c r="R33" s="28">
        <f t="shared" ref="R33" si="11">T32</f>
        <v>0</v>
      </c>
      <c r="S33" s="25">
        <v>45</v>
      </c>
      <c r="T33" s="28">
        <v>0</v>
      </c>
      <c r="U33" s="29">
        <f>IF(K33="经验",ROUND(INDEX([1]人物经验!$N$24:$N$573,S33)*T33+INDEX([1]人物经验!$O$24:$O$573,S33)-INDEX([1]人物经验!$O$24:$O$573,Q33)-INDEX([1]人物经验!$N$24:$N$573,Q33)*R33,0),"")</f>
        <v>0</v>
      </c>
      <c r="V33" s="29"/>
      <c r="W33" s="29" t="str">
        <f>IF(K33="金币",INT(V33/[2]货币基础!$B$6*3600*INDEX([1]人物经验!$K$24:$K$573,P33)/1000+1)*1000,"")</f>
        <v/>
      </c>
      <c r="X33" s="29"/>
      <c r="Y33" s="29" t="str">
        <f>IF(K33="元宝",X33/[2]货币基础!$B$5,"")</f>
        <v/>
      </c>
      <c r="Z33" s="29"/>
      <c r="AA33" s="29" t="str">
        <f>IF(K33="钻石",Z33/[2]货币基础!$B$4,"")</f>
        <v/>
      </c>
      <c r="AB33" s="29"/>
      <c r="AC33" s="29"/>
      <c r="AD33" s="25"/>
      <c r="AE33" s="11" t="s">
        <v>397</v>
      </c>
      <c r="AF33" s="27" t="s">
        <v>397</v>
      </c>
      <c r="AG33" s="27" t="s">
        <v>397</v>
      </c>
      <c r="AH33" s="27" t="s">
        <v>397</v>
      </c>
      <c r="AI33" s="27" t="s">
        <v>398</v>
      </c>
      <c r="AJ33" s="27" t="s">
        <v>398</v>
      </c>
      <c r="AK33" s="27" t="s">
        <v>397</v>
      </c>
      <c r="AL33" s="27" t="s">
        <v>397</v>
      </c>
    </row>
    <row r="34" spans="1:38" s="30" customFormat="1" x14ac:dyDescent="0.15">
      <c r="A34" s="37"/>
      <c r="B34" s="37"/>
      <c r="C34" s="37"/>
      <c r="D34" s="37"/>
      <c r="E34" s="37"/>
      <c r="F34" s="37"/>
      <c r="G34" s="26" t="s">
        <v>674</v>
      </c>
      <c r="H34" s="26"/>
      <c r="I34" s="26">
        <v>5</v>
      </c>
      <c r="J34" s="26">
        <f>SUM($I$6:I34)/60</f>
        <v>3.0166666666666666</v>
      </c>
      <c r="K34" s="27" t="s">
        <v>458</v>
      </c>
      <c r="L34" s="25"/>
      <c r="M34" s="25"/>
      <c r="N34" s="25" t="s">
        <v>132</v>
      </c>
      <c r="O34" s="25"/>
      <c r="P34" s="25">
        <v>45</v>
      </c>
      <c r="Q34" s="25">
        <f t="shared" ref="Q34" si="12">S33</f>
        <v>45</v>
      </c>
      <c r="R34" s="28">
        <f t="shared" ref="R34" si="13">T33</f>
        <v>0</v>
      </c>
      <c r="S34" s="25">
        <v>47</v>
      </c>
      <c r="T34" s="28">
        <v>0</v>
      </c>
      <c r="U34" s="29">
        <f>IF(K34="经验",ROUND(INDEX([1]人物经验!$N$24:$N$573,S34)*T34+INDEX([1]人物经验!$O$24:$O$573,S34)-INDEX([1]人物经验!$O$24:$O$573,Q34)-INDEX([1]人物经验!$N$24:$N$573,Q34)*R34,0),"")</f>
        <v>168</v>
      </c>
      <c r="V34" s="29"/>
      <c r="W34" s="29" t="str">
        <f>IF(K34="金币",INT(V34/[2]货币基础!$B$6*3600*INDEX([1]人物经验!$K$24:$K$573,P34)/1000+1)*1000,"")</f>
        <v/>
      </c>
      <c r="X34" s="29"/>
      <c r="Y34" s="29" t="str">
        <f>IF(K34="元宝",X34/[2]货币基础!$B$5,"")</f>
        <v/>
      </c>
      <c r="Z34" s="29"/>
      <c r="AA34" s="29" t="str">
        <f>IF(K34="钻石",Z34/[2]货币基础!$B$4,"")</f>
        <v/>
      </c>
      <c r="AB34" s="29"/>
      <c r="AC34" s="29"/>
      <c r="AD34" s="25"/>
      <c r="AE34" s="11" t="s">
        <v>397</v>
      </c>
      <c r="AF34" s="27" t="s">
        <v>397</v>
      </c>
      <c r="AG34" s="27" t="s">
        <v>397</v>
      </c>
      <c r="AH34" s="27" t="s">
        <v>656</v>
      </c>
      <c r="AI34" s="27" t="s">
        <v>398</v>
      </c>
      <c r="AJ34" s="27" t="s">
        <v>398</v>
      </c>
      <c r="AK34" s="27" t="s">
        <v>397</v>
      </c>
      <c r="AL34" s="27" t="s">
        <v>397</v>
      </c>
    </row>
    <row r="35" spans="1:38" s="30" customFormat="1" x14ac:dyDescent="0.15">
      <c r="A35" s="37"/>
      <c r="B35" s="37"/>
      <c r="C35" s="37"/>
      <c r="D35" s="37"/>
      <c r="E35" s="37"/>
      <c r="F35" s="37"/>
      <c r="G35" s="26" t="s">
        <v>489</v>
      </c>
      <c r="H35" s="26" t="s">
        <v>490</v>
      </c>
      <c r="I35" s="26">
        <v>5</v>
      </c>
      <c r="J35" s="26"/>
      <c r="K35" s="27" t="s">
        <v>495</v>
      </c>
      <c r="L35" s="25"/>
      <c r="M35" s="25"/>
      <c r="N35" s="25"/>
      <c r="O35" s="25"/>
      <c r="P35" s="25">
        <v>47</v>
      </c>
      <c r="Q35" s="25">
        <f t="shared" ref="Q35" si="14">S34</f>
        <v>47</v>
      </c>
      <c r="R35" s="28">
        <f t="shared" ref="R35" si="15">T34</f>
        <v>0</v>
      </c>
      <c r="S35" s="25">
        <v>47</v>
      </c>
      <c r="T35" s="28">
        <v>0</v>
      </c>
      <c r="U35" s="29" t="str">
        <f>IF(K35="经验",ROUND(INDEX([1]人物经验!$N$24:$N$573,S35)*T35+INDEX([1]人物经验!$O$24:$O$573,S35)-INDEX([1]人物经验!$O$24:$O$573,Q35)-INDEX([1]人物经验!$N$24:$N$573,Q35)*R35,0),"")</f>
        <v/>
      </c>
      <c r="V35" s="29"/>
      <c r="W35" s="29" t="str">
        <f>IF(K35="金币",INT(V35/[2]货币基础!$B$6*3600*INDEX([1]人物经验!$K$24:$K$573,P35)/1000+1)*1000,"")</f>
        <v/>
      </c>
      <c r="X35" s="29">
        <v>0.5</v>
      </c>
      <c r="Y35" s="29">
        <f>IF(K35="元宝",X35/[2]货币基础!$B$5,"")</f>
        <v>5000</v>
      </c>
      <c r="Z35" s="29"/>
      <c r="AA35" s="29" t="str">
        <f>IF(K35="钻石",Z35/[2]货币基础!$B$4,"")</f>
        <v/>
      </c>
      <c r="AB35" s="29"/>
      <c r="AC35" s="29"/>
      <c r="AD35" s="25"/>
      <c r="AE35" s="11" t="s">
        <v>397</v>
      </c>
      <c r="AF35" s="27" t="s">
        <v>397</v>
      </c>
      <c r="AG35" s="27" t="s">
        <v>397</v>
      </c>
      <c r="AH35" s="27" t="s">
        <v>656</v>
      </c>
      <c r="AI35" s="27" t="s">
        <v>398</v>
      </c>
      <c r="AJ35" s="27" t="s">
        <v>398</v>
      </c>
      <c r="AK35" s="27" t="s">
        <v>397</v>
      </c>
      <c r="AL35" s="27" t="s">
        <v>397</v>
      </c>
    </row>
    <row r="36" spans="1:38" s="30" customFormat="1" x14ac:dyDescent="0.15">
      <c r="A36" s="37"/>
      <c r="B36" s="37"/>
      <c r="C36" s="37"/>
      <c r="D36" s="37"/>
      <c r="E36" s="37"/>
      <c r="F36" s="37"/>
      <c r="G36" s="26" t="s">
        <v>487</v>
      </c>
      <c r="H36" s="26"/>
      <c r="I36" s="26">
        <v>2</v>
      </c>
      <c r="J36" s="26">
        <f>SUM($I$6:I36)/60</f>
        <v>3.1333333333333333</v>
      </c>
      <c r="K36" s="27" t="s">
        <v>458</v>
      </c>
      <c r="L36" s="25"/>
      <c r="M36" s="25"/>
      <c r="N36" s="25"/>
      <c r="O36" s="25"/>
      <c r="P36" s="25">
        <v>47</v>
      </c>
      <c r="Q36" s="25">
        <f t="shared" ref="Q36:Q39" si="16">S35</f>
        <v>47</v>
      </c>
      <c r="R36" s="28">
        <f t="shared" ref="R36:R39" si="17">T35</f>
        <v>0</v>
      </c>
      <c r="S36" s="25">
        <v>47</v>
      </c>
      <c r="T36" s="28">
        <v>0</v>
      </c>
      <c r="U36" s="29">
        <f>IF(K36="经验",ROUND(INDEX([1]人物经验!$N$24:$N$573,S36)*T36+INDEX([1]人物经验!$O$24:$O$573,S36)-INDEX([1]人物经验!$O$24:$O$573,Q36)-INDEX([1]人物经验!$N$24:$N$573,Q36)*R36,0),"")</f>
        <v>0</v>
      </c>
      <c r="V36" s="29"/>
      <c r="W36" s="29" t="str">
        <f>IF(K36="金币",INT(V36/[2]货币基础!$B$6*3600*INDEX([1]人物经验!$K$24:$K$573,P36)/1000+1)*1000,"")</f>
        <v/>
      </c>
      <c r="X36" s="29"/>
      <c r="Y36" s="29" t="str">
        <f>IF(K36="元宝",X36/[2]货币基础!$B$5,"")</f>
        <v/>
      </c>
      <c r="Z36" s="29"/>
      <c r="AA36" s="29" t="str">
        <f>IF(K36="钻石",Z36/[2]货币基础!$B$4,"")</f>
        <v/>
      </c>
      <c r="AB36" s="29"/>
      <c r="AC36" s="29"/>
      <c r="AD36" s="25"/>
      <c r="AE36" s="11" t="s">
        <v>397</v>
      </c>
      <c r="AF36" s="27" t="s">
        <v>397</v>
      </c>
      <c r="AG36" s="27" t="s">
        <v>397</v>
      </c>
      <c r="AH36" s="27" t="s">
        <v>398</v>
      </c>
      <c r="AI36" s="27" t="s">
        <v>398</v>
      </c>
      <c r="AJ36" s="27" t="s">
        <v>398</v>
      </c>
      <c r="AK36" s="27" t="s">
        <v>397</v>
      </c>
      <c r="AL36" s="27" t="s">
        <v>397</v>
      </c>
    </row>
    <row r="37" spans="1:38" s="30" customFormat="1" x14ac:dyDescent="0.15">
      <c r="A37" s="37"/>
      <c r="B37" s="37"/>
      <c r="C37" s="37"/>
      <c r="D37" s="37"/>
      <c r="E37" s="37"/>
      <c r="F37" s="37"/>
      <c r="G37" s="26" t="s">
        <v>675</v>
      </c>
      <c r="H37" s="26"/>
      <c r="I37" s="26">
        <v>10</v>
      </c>
      <c r="J37" s="26">
        <f>SUM($I$6:I37)/60</f>
        <v>3.3</v>
      </c>
      <c r="K37" s="27" t="s">
        <v>458</v>
      </c>
      <c r="L37" s="25"/>
      <c r="M37" s="25"/>
      <c r="N37" s="25" t="s">
        <v>133</v>
      </c>
      <c r="O37" s="25"/>
      <c r="P37" s="25">
        <v>47</v>
      </c>
      <c r="Q37" s="25">
        <f t="shared" si="16"/>
        <v>47</v>
      </c>
      <c r="R37" s="28">
        <f t="shared" si="17"/>
        <v>0</v>
      </c>
      <c r="S37" s="25">
        <v>48</v>
      </c>
      <c r="T37" s="28">
        <v>0</v>
      </c>
      <c r="U37" s="29">
        <f>IF(K37="经验",ROUND(INDEX([1]人物经验!$N$24:$N$573,S37)*T37+INDEX([1]人物经验!$O$24:$O$573,S37)-INDEX([1]人物经验!$O$24:$O$573,Q37)-INDEX([1]人物经验!$N$24:$N$573,Q37)*R37,0),"")</f>
        <v>90</v>
      </c>
      <c r="V37" s="29"/>
      <c r="W37" s="29" t="str">
        <f>IF(K37="金币",INT(V37/[2]货币基础!$B$6*3600*INDEX([1]人物经验!$K$24:$K$573,P37)/1000+1)*1000,"")</f>
        <v/>
      </c>
      <c r="X37" s="29"/>
      <c r="Y37" s="29" t="str">
        <f>IF(K37="元宝",X37/[2]货币基础!$B$5,"")</f>
        <v/>
      </c>
      <c r="Z37" s="29"/>
      <c r="AA37" s="29" t="str">
        <f>IF(K37="钻石",Z37/[2]货币基础!$B$4,"")</f>
        <v/>
      </c>
      <c r="AB37" s="29"/>
      <c r="AC37" s="29"/>
      <c r="AD37" s="25"/>
      <c r="AE37" s="11" t="s">
        <v>397</v>
      </c>
      <c r="AF37" s="27" t="s">
        <v>397</v>
      </c>
      <c r="AG37" s="27" t="s">
        <v>397</v>
      </c>
      <c r="AH37" s="27" t="s">
        <v>398</v>
      </c>
      <c r="AI37" s="27" t="s">
        <v>398</v>
      </c>
      <c r="AJ37" s="27" t="s">
        <v>398</v>
      </c>
      <c r="AK37" s="27" t="s">
        <v>656</v>
      </c>
      <c r="AL37" s="27" t="s">
        <v>397</v>
      </c>
    </row>
    <row r="38" spans="1:38" s="30" customFormat="1" x14ac:dyDescent="0.15">
      <c r="A38" s="37"/>
      <c r="B38" s="37"/>
      <c r="C38" s="37"/>
      <c r="D38" s="37"/>
      <c r="E38" s="37"/>
      <c r="F38" s="37"/>
      <c r="G38" s="26" t="s">
        <v>491</v>
      </c>
      <c r="H38" s="26" t="s">
        <v>492</v>
      </c>
      <c r="I38" s="26">
        <v>5</v>
      </c>
      <c r="J38" s="26"/>
      <c r="K38" s="27" t="s">
        <v>495</v>
      </c>
      <c r="L38" s="25"/>
      <c r="M38" s="25"/>
      <c r="N38" s="25"/>
      <c r="O38" s="25"/>
      <c r="P38" s="25">
        <v>48</v>
      </c>
      <c r="Q38" s="25">
        <f t="shared" si="16"/>
        <v>48</v>
      </c>
      <c r="R38" s="28">
        <f t="shared" si="17"/>
        <v>0</v>
      </c>
      <c r="S38" s="25">
        <v>48</v>
      </c>
      <c r="T38" s="28">
        <v>0</v>
      </c>
      <c r="U38" s="29" t="str">
        <f>IF(K38="经验",ROUND(INDEX([1]人物经验!$N$24:$N$573,S38)*T38+INDEX([1]人物经验!$O$24:$O$573,S38)-INDEX([1]人物经验!$O$24:$O$573,Q38)-INDEX([1]人物经验!$N$24:$N$573,Q38)*R38,0),"")</f>
        <v/>
      </c>
      <c r="V38" s="29"/>
      <c r="W38" s="29" t="str">
        <f>IF(K38="金币",INT(V38/[2]货币基础!$B$6*3600*INDEX([1]人物经验!$K$24:$K$573,P38)/1000+1)*1000,"")</f>
        <v/>
      </c>
      <c r="X38" s="29">
        <v>0.5</v>
      </c>
      <c r="Y38" s="29">
        <f>IF(K38="元宝",X38/[2]货币基础!$B$5,"")</f>
        <v>5000</v>
      </c>
      <c r="Z38" s="29"/>
      <c r="AA38" s="29" t="str">
        <f>IF(K38="钻石",Z38/[2]货币基础!$B$4,"")</f>
        <v/>
      </c>
      <c r="AB38" s="29"/>
      <c r="AC38" s="29"/>
      <c r="AD38" s="25" t="s">
        <v>683</v>
      </c>
      <c r="AE38" s="11" t="s">
        <v>397</v>
      </c>
      <c r="AF38" s="27" t="s">
        <v>397</v>
      </c>
      <c r="AG38" s="27" t="s">
        <v>397</v>
      </c>
      <c r="AH38" s="27" t="s">
        <v>398</v>
      </c>
      <c r="AI38" s="27" t="s">
        <v>398</v>
      </c>
      <c r="AJ38" s="27" t="s">
        <v>398</v>
      </c>
      <c r="AK38" s="27" t="s">
        <v>656</v>
      </c>
      <c r="AL38" s="27" t="s">
        <v>397</v>
      </c>
    </row>
    <row r="39" spans="1:38" s="30" customFormat="1" x14ac:dyDescent="0.15">
      <c r="A39" s="37"/>
      <c r="B39" s="37"/>
      <c r="C39" s="37"/>
      <c r="D39" s="37"/>
      <c r="E39" s="37"/>
      <c r="F39" s="37"/>
      <c r="G39" s="26" t="s">
        <v>488</v>
      </c>
      <c r="H39" s="26"/>
      <c r="I39" s="26">
        <v>2</v>
      </c>
      <c r="J39" s="26">
        <f>SUM($I$6:I39)/60</f>
        <v>3.4166666666666665</v>
      </c>
      <c r="K39" s="27" t="s">
        <v>458</v>
      </c>
      <c r="L39" s="25"/>
      <c r="M39" s="25"/>
      <c r="N39" s="25"/>
      <c r="O39" s="25"/>
      <c r="P39" s="25">
        <v>48</v>
      </c>
      <c r="Q39" s="25">
        <f t="shared" si="16"/>
        <v>48</v>
      </c>
      <c r="R39" s="28">
        <f t="shared" si="17"/>
        <v>0</v>
      </c>
      <c r="S39" s="25">
        <v>48</v>
      </c>
      <c r="T39" s="28">
        <v>0</v>
      </c>
      <c r="U39" s="29">
        <f>IF(K39="经验",ROUND(INDEX([1]人物经验!$N$24:$N$573,S39)*T39+INDEX([1]人物经验!$O$24:$O$573,S39)-INDEX([1]人物经验!$O$24:$O$573,Q39)-INDEX([1]人物经验!$N$24:$N$573,Q39)*R39,0),"")</f>
        <v>0</v>
      </c>
      <c r="V39" s="29"/>
      <c r="W39" s="29" t="str">
        <f>IF(K39="金币",INT(V39/[2]货币基础!$B$6*3600*INDEX([1]人物经验!$K$24:$K$573,P39)/1000+1)*1000,"")</f>
        <v/>
      </c>
      <c r="X39" s="29"/>
      <c r="Y39" s="29" t="str">
        <f>IF(K39="元宝",X39/[2]货币基础!$B$5,"")</f>
        <v/>
      </c>
      <c r="Z39" s="29"/>
      <c r="AA39" s="29" t="str">
        <f>IF(K39="钻石",Z39/[2]货币基础!$B$4,"")</f>
        <v/>
      </c>
      <c r="AB39" s="29"/>
      <c r="AC39" s="29"/>
      <c r="AD39" s="25"/>
      <c r="AE39" s="11" t="s">
        <v>397</v>
      </c>
      <c r="AF39" s="27" t="s">
        <v>397</v>
      </c>
      <c r="AG39" s="27" t="s">
        <v>397</v>
      </c>
      <c r="AH39" s="27" t="s">
        <v>398</v>
      </c>
      <c r="AI39" s="27" t="s">
        <v>398</v>
      </c>
      <c r="AJ39" s="27" t="s">
        <v>398</v>
      </c>
      <c r="AK39" s="27" t="s">
        <v>398</v>
      </c>
      <c r="AL39" s="27" t="s">
        <v>397</v>
      </c>
    </row>
    <row r="40" spans="1:38" s="30" customFormat="1" x14ac:dyDescent="0.15">
      <c r="A40" s="37"/>
      <c r="B40" s="37"/>
      <c r="C40" s="37"/>
      <c r="D40" s="37"/>
      <c r="E40" s="37"/>
      <c r="F40" s="37"/>
      <c r="G40" s="26" t="s">
        <v>676</v>
      </c>
      <c r="H40" s="26"/>
      <c r="I40" s="26">
        <v>10</v>
      </c>
      <c r="J40" s="26">
        <f>SUM($I$6:I40)/60</f>
        <v>3.5833333333333335</v>
      </c>
      <c r="K40" s="27" t="s">
        <v>458</v>
      </c>
      <c r="L40" s="25"/>
      <c r="M40" s="25"/>
      <c r="N40" s="25"/>
      <c r="O40" s="25"/>
      <c r="P40" s="25">
        <v>48</v>
      </c>
      <c r="Q40" s="25">
        <f t="shared" ref="Q40" si="18">S39</f>
        <v>48</v>
      </c>
      <c r="R40" s="28">
        <f t="shared" ref="R40" si="19">T39</f>
        <v>0</v>
      </c>
      <c r="S40" s="25">
        <v>49</v>
      </c>
      <c r="T40" s="28">
        <v>0</v>
      </c>
      <c r="U40" s="29">
        <f>IF(K40="经验",ROUND(INDEX([1]人物经验!$N$24:$N$573,S40)*T40+INDEX([1]人物经验!$O$24:$O$573,S40)-INDEX([1]人物经验!$O$24:$O$573,Q40)-INDEX([1]人物经验!$N$24:$N$573,Q40)*R40,0),"")</f>
        <v>94</v>
      </c>
      <c r="V40" s="29"/>
      <c r="W40" s="29" t="str">
        <f>IF(K40="金币",INT(V40/[2]货币基础!$B$6*3600*INDEX([1]人物经验!$K$24:$K$573,P40)/1000+1)*1000,"")</f>
        <v/>
      </c>
      <c r="X40" s="29"/>
      <c r="Y40" s="29" t="str">
        <f>IF(K40="元宝",X40/[2]货币基础!$B$5,"")</f>
        <v/>
      </c>
      <c r="Z40" s="29"/>
      <c r="AA40" s="29" t="str">
        <f>IF(K40="钻石",Z40/[2]货币基础!$B$4,"")</f>
        <v/>
      </c>
      <c r="AB40" s="29"/>
      <c r="AC40" s="29"/>
      <c r="AD40" s="25"/>
      <c r="AE40" s="11" t="s">
        <v>397</v>
      </c>
      <c r="AF40" s="27" t="s">
        <v>397</v>
      </c>
      <c r="AG40" s="27" t="s">
        <v>397</v>
      </c>
      <c r="AH40" s="27" t="s">
        <v>398</v>
      </c>
      <c r="AI40" s="27" t="s">
        <v>398</v>
      </c>
      <c r="AJ40" s="27" t="s">
        <v>398</v>
      </c>
      <c r="AK40" s="27" t="s">
        <v>398</v>
      </c>
      <c r="AL40" s="27" t="s">
        <v>397</v>
      </c>
    </row>
    <row r="41" spans="1:38" s="30" customFormat="1" x14ac:dyDescent="0.15">
      <c r="A41" s="37"/>
      <c r="B41" s="37"/>
      <c r="C41" s="37"/>
      <c r="D41" s="37"/>
      <c r="E41" s="37"/>
      <c r="F41" s="37"/>
      <c r="G41" s="26" t="s">
        <v>493</v>
      </c>
      <c r="H41" s="26" t="s">
        <v>494</v>
      </c>
      <c r="I41" s="26">
        <v>5</v>
      </c>
      <c r="J41" s="26">
        <f>SUM($I$6:I41)/60</f>
        <v>3.6666666666666665</v>
      </c>
      <c r="K41" s="27" t="s">
        <v>496</v>
      </c>
      <c r="L41" s="25"/>
      <c r="M41" s="25"/>
      <c r="N41" s="25"/>
      <c r="O41" s="25"/>
      <c r="P41" s="25">
        <v>49</v>
      </c>
      <c r="Q41" s="25">
        <f t="shared" ref="Q41:Q42" si="20">S40</f>
        <v>49</v>
      </c>
      <c r="R41" s="28">
        <f t="shared" ref="R41:R42" si="21">T40</f>
        <v>0</v>
      </c>
      <c r="S41" s="25">
        <v>49</v>
      </c>
      <c r="T41" s="28">
        <v>0</v>
      </c>
      <c r="U41" s="29" t="str">
        <f>IF(K41="经验",ROUND(INDEX([1]人物经验!$N$24:$N$573,S41)*T41+INDEX([1]人物经验!$O$24:$O$573,S41)-INDEX([1]人物经验!$O$24:$O$573,Q41)-INDEX([1]人物经验!$N$24:$N$573,Q41)*R41,0),"")</f>
        <v/>
      </c>
      <c r="V41" s="29"/>
      <c r="W41" s="29" t="str">
        <f>IF(K41="金币",INT(V41/[2]货币基础!$B$6*3600*INDEX([1]人物经验!$K$24:$K$573,P41)/1000+1)*1000,"")</f>
        <v/>
      </c>
      <c r="X41" s="29">
        <v>0.5</v>
      </c>
      <c r="Y41" s="29">
        <f>IF(K41="元宝",X41/[2]货币基础!$B$5,"")</f>
        <v>5000</v>
      </c>
      <c r="Z41" s="29"/>
      <c r="AA41" s="29" t="str">
        <f>IF(K41="钻石",Z41/[2]货币基础!$B$4,"")</f>
        <v/>
      </c>
      <c r="AB41" s="29"/>
      <c r="AC41" s="29"/>
      <c r="AD41" s="25"/>
      <c r="AE41" s="11" t="s">
        <v>397</v>
      </c>
      <c r="AF41" s="27" t="s">
        <v>397</v>
      </c>
      <c r="AG41" s="27" t="s">
        <v>397</v>
      </c>
      <c r="AH41" s="27" t="s">
        <v>398</v>
      </c>
      <c r="AI41" s="27" t="s">
        <v>398</v>
      </c>
      <c r="AJ41" s="27" t="s">
        <v>398</v>
      </c>
      <c r="AK41" s="27" t="s">
        <v>398</v>
      </c>
      <c r="AL41" s="27" t="s">
        <v>397</v>
      </c>
    </row>
    <row r="42" spans="1:38" s="30" customFormat="1" x14ac:dyDescent="0.15">
      <c r="A42" s="37"/>
      <c r="B42" s="37"/>
      <c r="C42" s="37"/>
      <c r="D42" s="37"/>
      <c r="E42" s="37"/>
      <c r="F42" s="37"/>
      <c r="G42" s="26" t="s">
        <v>500</v>
      </c>
      <c r="H42" s="26" t="s">
        <v>501</v>
      </c>
      <c r="I42" s="26">
        <v>10</v>
      </c>
      <c r="J42" s="26">
        <f>SUM($I$6:I42)/60</f>
        <v>3.8333333333333335</v>
      </c>
      <c r="K42" s="27" t="s">
        <v>458</v>
      </c>
      <c r="L42" s="25"/>
      <c r="M42" s="25"/>
      <c r="N42" s="25"/>
      <c r="O42" s="25"/>
      <c r="P42" s="25">
        <v>49</v>
      </c>
      <c r="Q42" s="25">
        <f t="shared" si="20"/>
        <v>49</v>
      </c>
      <c r="R42" s="28">
        <f t="shared" si="21"/>
        <v>0</v>
      </c>
      <c r="S42" s="25">
        <v>49</v>
      </c>
      <c r="T42" s="28">
        <v>0.5</v>
      </c>
      <c r="U42" s="29">
        <f>IF(K42="经验",ROUND(INDEX([1]人物经验!$N$24:$N$573,S42)*T42+INDEX([1]人物经验!$O$24:$O$573,S42)-INDEX([1]人物经验!$O$24:$O$573,Q42)-INDEX([1]人物经验!$N$24:$N$573,Q42)*R42,0),"")</f>
        <v>52</v>
      </c>
      <c r="V42" s="29"/>
      <c r="W42" s="29" t="str">
        <f>IF(K42="金币",INT(V42/[2]货币基础!$B$6*3600*INDEX([1]人物经验!$K$24:$K$573,P42)/1000+1)*1000,"")</f>
        <v/>
      </c>
      <c r="X42" s="29"/>
      <c r="Y42" s="29" t="str">
        <f>IF(K42="元宝",X42/[2]货币基础!$B$5,"")</f>
        <v/>
      </c>
      <c r="Z42" s="29"/>
      <c r="AA42" s="29" t="str">
        <f>IF(K42="钻石",Z42/[2]货币基础!$B$4,"")</f>
        <v/>
      </c>
      <c r="AB42" s="29"/>
      <c r="AC42" s="29"/>
      <c r="AD42" s="25"/>
      <c r="AE42" s="11" t="s">
        <v>397</v>
      </c>
      <c r="AF42" s="27" t="s">
        <v>397</v>
      </c>
      <c r="AG42" s="27" t="s">
        <v>397</v>
      </c>
      <c r="AH42" s="27" t="s">
        <v>398</v>
      </c>
      <c r="AI42" s="27" t="s">
        <v>398</v>
      </c>
      <c r="AJ42" s="27" t="s">
        <v>398</v>
      </c>
      <c r="AK42" s="27" t="s">
        <v>398</v>
      </c>
      <c r="AL42" s="27" t="s">
        <v>397</v>
      </c>
    </row>
    <row r="43" spans="1:38" s="30" customFormat="1" x14ac:dyDescent="0.15">
      <c r="A43" s="37"/>
      <c r="B43" s="37"/>
      <c r="C43" s="37"/>
      <c r="D43" s="37"/>
      <c r="E43" s="37"/>
      <c r="F43" s="37"/>
      <c r="G43" s="26" t="s">
        <v>502</v>
      </c>
      <c r="H43" s="26" t="s">
        <v>443</v>
      </c>
      <c r="I43" s="26">
        <v>10</v>
      </c>
      <c r="J43" s="26">
        <f>SUM($I$6:I43)/60</f>
        <v>4</v>
      </c>
      <c r="K43" s="27" t="s">
        <v>565</v>
      </c>
      <c r="L43" s="25"/>
      <c r="M43" s="25"/>
      <c r="N43" s="25"/>
      <c r="O43" s="25"/>
      <c r="P43" s="25">
        <v>49</v>
      </c>
      <c r="Q43" s="25">
        <f t="shared" ref="Q43" si="22">S42</f>
        <v>49</v>
      </c>
      <c r="R43" s="28">
        <f t="shared" ref="R43" si="23">T42</f>
        <v>0.5</v>
      </c>
      <c r="S43" s="25">
        <v>50</v>
      </c>
      <c r="T43" s="28">
        <v>0</v>
      </c>
      <c r="U43" s="29">
        <f>IF(K43="经验",ROUND(INDEX([1]人物经验!$N$24:$N$573,S43)*T43+INDEX([1]人物经验!$O$24:$O$573,S43)-INDEX([1]人物经验!$O$24:$O$573,Q43)-INDEX([1]人物经验!$N$24:$N$573,Q43)*R43,0),"")</f>
        <v>52</v>
      </c>
      <c r="V43" s="29"/>
      <c r="W43" s="29" t="str">
        <f>IF(K43="金币",INT(V43/[2]货币基础!$B$6*3600*INDEX([1]人物经验!$K$24:$K$573,P43)/1000+1)*1000,"")</f>
        <v/>
      </c>
      <c r="X43" s="29"/>
      <c r="Y43" s="29" t="str">
        <f>IF(K43="元宝",X43/[2]货币基础!$B$5,"")</f>
        <v/>
      </c>
      <c r="Z43" s="29"/>
      <c r="AA43" s="29" t="str">
        <f>IF(K43="钻石",Z43/[2]货币基础!$B$4,"")</f>
        <v/>
      </c>
      <c r="AB43" s="29"/>
      <c r="AC43" s="29"/>
      <c r="AD43" s="25"/>
      <c r="AE43" s="11" t="s">
        <v>397</v>
      </c>
      <c r="AF43" s="27" t="s">
        <v>397</v>
      </c>
      <c r="AG43" s="27" t="s">
        <v>397</v>
      </c>
      <c r="AH43" s="27" t="s">
        <v>398</v>
      </c>
      <c r="AI43" s="27" t="s">
        <v>398</v>
      </c>
      <c r="AJ43" s="27" t="s">
        <v>398</v>
      </c>
      <c r="AK43" s="27" t="s">
        <v>398</v>
      </c>
      <c r="AL43" s="27" t="s">
        <v>397</v>
      </c>
    </row>
    <row r="44" spans="1:38" s="30" customFormat="1" x14ac:dyDescent="0.15">
      <c r="A44" s="37">
        <v>4</v>
      </c>
      <c r="B44" s="37" t="s">
        <v>538</v>
      </c>
      <c r="C44" s="37">
        <v>50</v>
      </c>
      <c r="D44" s="37">
        <f>C51</f>
        <v>60</v>
      </c>
      <c r="E44" s="37">
        <f>SUM(I44:I50)/60</f>
        <v>2</v>
      </c>
      <c r="F44" s="37">
        <f>VLOOKUP(D44,新手阶段非R升级节奏!$A$2:$C$222,3,0)-VLOOKUP(C44,新手阶段非R升级节奏!$A$2:$C$222,3,0)</f>
        <v>1460</v>
      </c>
      <c r="G44" s="26" t="s">
        <v>503</v>
      </c>
      <c r="H44" s="26" t="s">
        <v>37</v>
      </c>
      <c r="I44" s="26">
        <v>5</v>
      </c>
      <c r="J44" s="26">
        <f>SUM($I$6:I44)/60</f>
        <v>4.083333333333333</v>
      </c>
      <c r="K44" s="27" t="s">
        <v>36</v>
      </c>
      <c r="L44" s="25"/>
      <c r="M44" s="25"/>
      <c r="N44" s="25"/>
      <c r="O44" s="25"/>
      <c r="P44" s="25">
        <v>50</v>
      </c>
      <c r="Q44" s="25">
        <f t="shared" ref="Q44" si="24">S43</f>
        <v>50</v>
      </c>
      <c r="R44" s="28">
        <f t="shared" ref="R44" si="25">T43</f>
        <v>0</v>
      </c>
      <c r="S44" s="25">
        <v>52</v>
      </c>
      <c r="T44" s="28">
        <v>0</v>
      </c>
      <c r="U44" s="29">
        <f>IF(K44="经验",ROUND(INDEX([1]人物经验!$N$24:$N$573,S44)*T44+INDEX([1]人物经验!$O$24:$O$573,S44)-INDEX([1]人物经验!$O$24:$O$573,Q44)-INDEX([1]人物经验!$N$24:$N$573,Q44)*R44,0),"")</f>
        <v>221</v>
      </c>
      <c r="V44" s="29"/>
      <c r="W44" s="29" t="str">
        <f>IF(K44="金币",INT(V44/[2]货币基础!$B$6*3600*INDEX([1]人物经验!$K$24:$K$573,P44)/1000+1)*1000,"")</f>
        <v/>
      </c>
      <c r="X44" s="29"/>
      <c r="Y44" s="29" t="str">
        <f>IF(K44="元宝",X44/[2]货币基础!$B$5,"")</f>
        <v/>
      </c>
      <c r="Z44" s="29"/>
      <c r="AA44" s="29" t="str">
        <f>IF(K44="钻石",Z44/[2]货币基础!$B$4,"")</f>
        <v/>
      </c>
      <c r="AB44" s="29"/>
      <c r="AC44" s="29"/>
      <c r="AD44" s="25" t="s">
        <v>67</v>
      </c>
      <c r="AE44" s="11" t="s">
        <v>397</v>
      </c>
      <c r="AF44" s="27" t="s">
        <v>397</v>
      </c>
      <c r="AG44" s="27" t="s">
        <v>397</v>
      </c>
      <c r="AH44" s="27" t="s">
        <v>398</v>
      </c>
      <c r="AI44" s="27" t="s">
        <v>398</v>
      </c>
      <c r="AJ44" s="27" t="s">
        <v>398</v>
      </c>
      <c r="AK44" s="27" t="s">
        <v>398</v>
      </c>
      <c r="AL44" s="27" t="s">
        <v>397</v>
      </c>
    </row>
    <row r="45" spans="1:38" s="30" customFormat="1" x14ac:dyDescent="0.15">
      <c r="A45" s="37"/>
      <c r="B45" s="37"/>
      <c r="C45" s="37"/>
      <c r="D45" s="37"/>
      <c r="E45" s="37"/>
      <c r="F45" s="37"/>
      <c r="G45" s="26" t="s">
        <v>504</v>
      </c>
      <c r="H45" s="26" t="s">
        <v>521</v>
      </c>
      <c r="I45" s="26">
        <v>5</v>
      </c>
      <c r="J45" s="26">
        <f>SUM($I$6:I45)/60</f>
        <v>4.166666666666667</v>
      </c>
      <c r="K45" s="27" t="s">
        <v>36</v>
      </c>
      <c r="L45" s="25"/>
      <c r="M45" s="25"/>
      <c r="N45" s="25"/>
      <c r="O45" s="25"/>
      <c r="P45" s="25">
        <v>52</v>
      </c>
      <c r="Q45" s="25">
        <f t="shared" ref="Q45" si="26">S44</f>
        <v>52</v>
      </c>
      <c r="R45" s="28">
        <f t="shared" ref="R45" si="27">T44</f>
        <v>0</v>
      </c>
      <c r="S45" s="25">
        <v>54</v>
      </c>
      <c r="T45" s="28">
        <v>0</v>
      </c>
      <c r="U45" s="29">
        <f>IF(K45="经验",ROUND(INDEX([1]人物经验!$N$24:$N$573,S45)*T45+INDEX([1]人物经验!$O$24:$O$573,S45)-INDEX([1]人物经验!$O$24:$O$573,Q45)-INDEX([1]人物经验!$N$24:$N$573,Q45)*R45,0),"")</f>
        <v>253</v>
      </c>
      <c r="V45" s="29"/>
      <c r="W45" s="29" t="str">
        <f>IF(K45="金币",INT(V45/[2]货币基础!$B$6*3600*INDEX([1]人物经验!$K$24:$K$573,P45)/1000+1)*1000,"")</f>
        <v/>
      </c>
      <c r="X45" s="29"/>
      <c r="Y45" s="29" t="str">
        <f>IF(K45="元宝",X45/[2]货币基础!$B$5,"")</f>
        <v/>
      </c>
      <c r="Z45" s="29"/>
      <c r="AA45" s="29" t="str">
        <f>IF(K45="钻石",Z45/[2]货币基础!$B$4,"")</f>
        <v/>
      </c>
      <c r="AB45" s="29"/>
      <c r="AC45" s="29"/>
      <c r="AD45" s="25"/>
      <c r="AE45" s="11" t="s">
        <v>397</v>
      </c>
      <c r="AF45" s="27" t="s">
        <v>397</v>
      </c>
      <c r="AG45" s="27" t="s">
        <v>397</v>
      </c>
      <c r="AH45" s="27" t="s">
        <v>398</v>
      </c>
      <c r="AI45" s="27" t="s">
        <v>398</v>
      </c>
      <c r="AJ45" s="27" t="s">
        <v>398</v>
      </c>
      <c r="AK45" s="27" t="s">
        <v>398</v>
      </c>
      <c r="AL45" s="27" t="s">
        <v>397</v>
      </c>
    </row>
    <row r="46" spans="1:38" s="30" customFormat="1" x14ac:dyDescent="0.15">
      <c r="A46" s="37"/>
      <c r="B46" s="37"/>
      <c r="C46" s="37"/>
      <c r="D46" s="37"/>
      <c r="E46" s="37"/>
      <c r="F46" s="37"/>
      <c r="G46" s="26" t="s">
        <v>507</v>
      </c>
      <c r="H46" s="26" t="s">
        <v>505</v>
      </c>
      <c r="I46" s="26">
        <v>30</v>
      </c>
      <c r="J46" s="26">
        <f>SUM($I$6:I46)/60</f>
        <v>4.666666666666667</v>
      </c>
      <c r="K46" s="27" t="s">
        <v>506</v>
      </c>
      <c r="L46" s="25"/>
      <c r="M46" s="25"/>
      <c r="N46" s="25"/>
      <c r="O46" s="25"/>
      <c r="P46" s="25">
        <v>54</v>
      </c>
      <c r="Q46" s="25">
        <f t="shared" ref="Q46:Q51" si="28">S45</f>
        <v>54</v>
      </c>
      <c r="R46" s="28">
        <f t="shared" ref="R46:R51" si="29">T45</f>
        <v>0</v>
      </c>
      <c r="S46" s="25">
        <v>54</v>
      </c>
      <c r="T46" s="28">
        <v>0</v>
      </c>
      <c r="U46" s="29" t="str">
        <f>IF(K46="经验",ROUND(INDEX([1]人物经验!$N$24:$N$573,S46)*T46+INDEX([1]人物经验!$O$24:$O$573,S46)-INDEX([1]人物经验!$O$24:$O$573,Q46)-INDEX([1]人物经验!$N$24:$N$573,Q46)*R46,0),"")</f>
        <v/>
      </c>
      <c r="V46" s="29"/>
      <c r="W46" s="29" t="str">
        <f>IF(K46="金币",INT(V46/[2]货币基础!$B$6*3600*INDEX([1]人物经验!$K$24:$K$573,P46)/1000+1)*1000,"")</f>
        <v/>
      </c>
      <c r="X46" s="29"/>
      <c r="Y46" s="29" t="str">
        <f>IF(K46="元宝",X46/[2]货币基础!$B$5,"")</f>
        <v/>
      </c>
      <c r="Z46" s="29"/>
      <c r="AA46" s="29" t="str">
        <f>IF(K46="钻石",Z46/[2]货币基础!$B$4,"")</f>
        <v/>
      </c>
      <c r="AB46" s="29">
        <v>10</v>
      </c>
      <c r="AC46" s="29">
        <f>INT(AB46/[2]总产出框架!$C$93*[3]装备强化!$AR$47/1000)*1000</f>
        <v>9000</v>
      </c>
      <c r="AD46" s="25"/>
      <c r="AE46" s="11" t="s">
        <v>397</v>
      </c>
      <c r="AF46" s="27" t="s">
        <v>397</v>
      </c>
      <c r="AG46" s="27" t="s">
        <v>397</v>
      </c>
      <c r="AH46" s="27" t="s">
        <v>398</v>
      </c>
      <c r="AI46" s="27" t="s">
        <v>398</v>
      </c>
      <c r="AJ46" s="27" t="s">
        <v>398</v>
      </c>
      <c r="AK46" s="27" t="s">
        <v>398</v>
      </c>
      <c r="AL46" s="27" t="s">
        <v>397</v>
      </c>
    </row>
    <row r="47" spans="1:38" s="30" customFormat="1" x14ac:dyDescent="0.15">
      <c r="A47" s="37"/>
      <c r="B47" s="37"/>
      <c r="C47" s="37"/>
      <c r="D47" s="37"/>
      <c r="E47" s="37"/>
      <c r="F47" s="37"/>
      <c r="G47" s="26" t="s">
        <v>508</v>
      </c>
      <c r="H47" s="26" t="s">
        <v>46</v>
      </c>
      <c r="I47" s="26">
        <v>30</v>
      </c>
      <c r="J47" s="26">
        <f>SUM($I$6:I47)/60</f>
        <v>5.166666666666667</v>
      </c>
      <c r="K47" s="27" t="s">
        <v>564</v>
      </c>
      <c r="L47" s="25" t="s">
        <v>517</v>
      </c>
      <c r="M47" s="25"/>
      <c r="N47" s="25"/>
      <c r="O47" s="25"/>
      <c r="P47" s="25">
        <v>54</v>
      </c>
      <c r="Q47" s="25">
        <f t="shared" si="28"/>
        <v>54</v>
      </c>
      <c r="R47" s="28">
        <f t="shared" si="29"/>
        <v>0</v>
      </c>
      <c r="S47" s="25">
        <v>56</v>
      </c>
      <c r="T47" s="28">
        <v>0</v>
      </c>
      <c r="U47" s="29">
        <f>IF(K47="经验",ROUND(INDEX([1]人物经验!$N$24:$N$573,S47)*T47+INDEX([1]人物经验!$O$24:$O$573,S47)-INDEX([1]人物经验!$O$24:$O$573,Q47)-INDEX([1]人物经验!$N$24:$N$573,Q47)*R47,0),"")</f>
        <v>289</v>
      </c>
      <c r="V47" s="29"/>
      <c r="W47" s="29" t="str">
        <f>IF(K47="金币",INT(V47/[2]货币基础!$B$6*3600*INDEX([1]人物经验!$K$24:$K$573,P47)/1000+1)*1000,"")</f>
        <v/>
      </c>
      <c r="X47" s="29"/>
      <c r="Y47" s="29" t="str">
        <f>IF(K47="元宝",X47/[2]货币基础!$B$5,"")</f>
        <v/>
      </c>
      <c r="Z47" s="29"/>
      <c r="AA47" s="29" t="str">
        <f>IF(K47="钻石",Z47/[2]货币基础!$B$4,"")</f>
        <v/>
      </c>
      <c r="AB47" s="29"/>
      <c r="AC47" s="29"/>
      <c r="AD47" s="25"/>
      <c r="AE47" s="11" t="s">
        <v>397</v>
      </c>
      <c r="AF47" s="27" t="s">
        <v>397</v>
      </c>
      <c r="AG47" s="27" t="s">
        <v>397</v>
      </c>
      <c r="AH47" s="27" t="s">
        <v>398</v>
      </c>
      <c r="AI47" s="27" t="s">
        <v>398</v>
      </c>
      <c r="AJ47" s="27" t="s">
        <v>398</v>
      </c>
      <c r="AK47" s="27" t="s">
        <v>398</v>
      </c>
      <c r="AL47" s="27" t="s">
        <v>657</v>
      </c>
    </row>
    <row r="48" spans="1:38" s="30" customFormat="1" x14ac:dyDescent="0.15">
      <c r="A48" s="37"/>
      <c r="B48" s="37"/>
      <c r="C48" s="37"/>
      <c r="D48" s="37"/>
      <c r="E48" s="37"/>
      <c r="F48" s="37"/>
      <c r="G48" s="26" t="s">
        <v>510</v>
      </c>
      <c r="H48" s="26" t="s">
        <v>37</v>
      </c>
      <c r="I48" s="26">
        <v>10</v>
      </c>
      <c r="J48" s="26">
        <f>SUM($I$6:I48)/60</f>
        <v>5.333333333333333</v>
      </c>
      <c r="K48" s="27" t="s">
        <v>509</v>
      </c>
      <c r="L48" s="25" t="s">
        <v>134</v>
      </c>
      <c r="M48" s="25"/>
      <c r="N48" s="25"/>
      <c r="O48" s="25"/>
      <c r="P48" s="25">
        <v>56</v>
      </c>
      <c r="Q48" s="25">
        <f t="shared" si="28"/>
        <v>56</v>
      </c>
      <c r="R48" s="28">
        <f t="shared" si="29"/>
        <v>0</v>
      </c>
      <c r="S48" s="25">
        <v>56</v>
      </c>
      <c r="T48" s="28">
        <v>0</v>
      </c>
      <c r="U48" s="29" t="str">
        <f>IF(K48="经验",ROUND(INDEX([1]人物经验!$N$24:$N$573,S48)*T48+INDEX([1]人物经验!$O$24:$O$573,S48)-INDEX([1]人物经验!$O$24:$O$573,Q48)-INDEX([1]人物经验!$N$24:$N$573,Q48)*R48,0),"")</f>
        <v/>
      </c>
      <c r="V48" s="29">
        <v>10</v>
      </c>
      <c r="W48" s="29">
        <f>IF(K48="金币",INT(V48/[2]货币基础!$B$6*3600*INDEX([1]人物经验!$K$24:$K$573,P48)/1000+1)*1000,"")</f>
        <v>20000</v>
      </c>
      <c r="X48" s="29"/>
      <c r="Y48" s="29" t="str">
        <f>IF(K48="元宝",X48/[2]货币基础!$B$5,"")</f>
        <v/>
      </c>
      <c r="Z48" s="29"/>
      <c r="AA48" s="29" t="str">
        <f>IF(K48="钻石",Z48/[2]货币基础!$B$4,"")</f>
        <v/>
      </c>
      <c r="AB48" s="29"/>
      <c r="AC48" s="29"/>
      <c r="AD48" s="25" t="s">
        <v>684</v>
      </c>
      <c r="AE48" s="11" t="s">
        <v>397</v>
      </c>
      <c r="AF48" s="27" t="s">
        <v>397</v>
      </c>
      <c r="AG48" s="27" t="s">
        <v>658</v>
      </c>
      <c r="AH48" s="27" t="s">
        <v>398</v>
      </c>
      <c r="AI48" s="27" t="s">
        <v>398</v>
      </c>
      <c r="AJ48" s="27" t="s">
        <v>398</v>
      </c>
      <c r="AK48" s="27" t="s">
        <v>398</v>
      </c>
      <c r="AL48" s="27" t="s">
        <v>657</v>
      </c>
    </row>
    <row r="49" spans="1:38" s="30" customFormat="1" x14ac:dyDescent="0.15">
      <c r="A49" s="37"/>
      <c r="B49" s="37"/>
      <c r="C49" s="37"/>
      <c r="D49" s="37"/>
      <c r="E49" s="37"/>
      <c r="F49" s="37"/>
      <c r="G49" s="26" t="s">
        <v>511</v>
      </c>
      <c r="H49" s="26" t="s">
        <v>512</v>
      </c>
      <c r="I49" s="26">
        <v>30</v>
      </c>
      <c r="J49" s="26">
        <f>SUM($I$6:I49)/60</f>
        <v>5.833333333333333</v>
      </c>
      <c r="K49" s="27" t="s">
        <v>564</v>
      </c>
      <c r="L49" s="25"/>
      <c r="M49" s="25"/>
      <c r="N49" s="25"/>
      <c r="O49" s="25"/>
      <c r="P49" s="25">
        <v>56</v>
      </c>
      <c r="Q49" s="25">
        <f t="shared" si="28"/>
        <v>56</v>
      </c>
      <c r="R49" s="28">
        <f t="shared" si="29"/>
        <v>0</v>
      </c>
      <c r="S49" s="25">
        <v>58</v>
      </c>
      <c r="T49" s="28">
        <v>0</v>
      </c>
      <c r="U49" s="29">
        <f>IF(K49="经验",ROUND(INDEX([1]人物经验!$N$24:$N$573,S49)*T49+INDEX([1]人物经验!$O$24:$O$573,S49)-INDEX([1]人物经验!$O$24:$O$573,Q49)-INDEX([1]人物经验!$N$24:$N$573,Q49)*R49,0),"")</f>
        <v>325</v>
      </c>
      <c r="V49" s="29"/>
      <c r="W49" s="29" t="str">
        <f>IF(K49="金币",INT(V49/[2]货币基础!$B$6*3600*INDEX([1]人物经验!$K$24:$K$573,P49)/1000+1)*1000,"")</f>
        <v/>
      </c>
      <c r="X49" s="29"/>
      <c r="Y49" s="29" t="str">
        <f>IF(K49="元宝",X49/[2]货币基础!$B$5,"")</f>
        <v/>
      </c>
      <c r="Z49" s="29"/>
      <c r="AA49" s="29" t="str">
        <f>IF(K49="钻石",Z49/[2]货币基础!$B$4,"")</f>
        <v/>
      </c>
      <c r="AB49" s="29"/>
      <c r="AC49" s="29"/>
      <c r="AD49" s="25"/>
      <c r="AE49" s="11" t="s">
        <v>397</v>
      </c>
      <c r="AF49" s="27" t="s">
        <v>397</v>
      </c>
      <c r="AG49" s="27" t="s">
        <v>658</v>
      </c>
      <c r="AH49" s="27" t="s">
        <v>398</v>
      </c>
      <c r="AI49" s="27" t="s">
        <v>398</v>
      </c>
      <c r="AJ49" s="27" t="s">
        <v>398</v>
      </c>
      <c r="AK49" s="27" t="s">
        <v>398</v>
      </c>
      <c r="AL49" s="27" t="s">
        <v>399</v>
      </c>
    </row>
    <row r="50" spans="1:38" s="30" customFormat="1" x14ac:dyDescent="0.15">
      <c r="A50" s="37"/>
      <c r="B50" s="37"/>
      <c r="C50" s="37"/>
      <c r="D50" s="37"/>
      <c r="E50" s="37"/>
      <c r="F50" s="37"/>
      <c r="G50" s="26" t="s">
        <v>520</v>
      </c>
      <c r="H50" s="26" t="s">
        <v>513</v>
      </c>
      <c r="I50" s="26">
        <v>10</v>
      </c>
      <c r="J50" s="26">
        <f>SUM($I$6:I50)/60</f>
        <v>6</v>
      </c>
      <c r="K50" s="27" t="s">
        <v>36</v>
      </c>
      <c r="L50" s="25" t="s">
        <v>47</v>
      </c>
      <c r="M50" s="25"/>
      <c r="N50" s="25"/>
      <c r="O50" s="25"/>
      <c r="P50" s="25">
        <v>58</v>
      </c>
      <c r="Q50" s="25">
        <f t="shared" si="28"/>
        <v>58</v>
      </c>
      <c r="R50" s="28">
        <f t="shared" si="29"/>
        <v>0</v>
      </c>
      <c r="S50" s="25">
        <v>60</v>
      </c>
      <c r="T50" s="28">
        <v>0</v>
      </c>
      <c r="U50" s="29">
        <f>IF(K50="经验",ROUND(INDEX([1]人物经验!$N$24:$N$573,S50)*T50+INDEX([1]人物经验!$O$24:$O$573,S50)-INDEX([1]人物经验!$O$24:$O$573,Q50)-INDEX([1]人物经验!$N$24:$N$573,Q50)*R50,0),"")</f>
        <v>372</v>
      </c>
      <c r="V50" s="29"/>
      <c r="W50" s="29" t="str">
        <f>IF(K50="金币",INT(V50/[2]货币基础!$B$6*3600*INDEX([1]人物经验!$K$24:$K$573,P50)/1000+1)*1000,"")</f>
        <v/>
      </c>
      <c r="X50" s="29"/>
      <c r="Y50" s="29" t="str">
        <f>IF(K50="元宝",X50/[2]货币基础!$B$5,"")</f>
        <v/>
      </c>
      <c r="Z50" s="29"/>
      <c r="AA50" s="29" t="str">
        <f>IF(K50="钻石",Z50/[2]货币基础!$B$4,"")</f>
        <v/>
      </c>
      <c r="AB50" s="29"/>
      <c r="AC50" s="29"/>
      <c r="AD50" s="25" t="s">
        <v>514</v>
      </c>
      <c r="AE50" s="27" t="s">
        <v>658</v>
      </c>
      <c r="AF50" s="27" t="s">
        <v>397</v>
      </c>
      <c r="AG50" s="27" t="s">
        <v>400</v>
      </c>
      <c r="AH50" s="27" t="s">
        <v>398</v>
      </c>
      <c r="AI50" s="27" t="s">
        <v>398</v>
      </c>
      <c r="AJ50" s="27" t="s">
        <v>398</v>
      </c>
      <c r="AK50" s="27" t="s">
        <v>398</v>
      </c>
      <c r="AL50" s="27" t="s">
        <v>399</v>
      </c>
    </row>
    <row r="51" spans="1:38" s="30" customFormat="1" x14ac:dyDescent="0.15">
      <c r="A51" s="37">
        <v>5</v>
      </c>
      <c r="B51" s="37" t="s">
        <v>29</v>
      </c>
      <c r="C51" s="37">
        <v>60</v>
      </c>
      <c r="D51" s="37">
        <f>C63</f>
        <v>68</v>
      </c>
      <c r="E51" s="37">
        <f>SUM(I51:I62)/60</f>
        <v>1.5</v>
      </c>
      <c r="F51" s="37">
        <f>VLOOKUP(D51,新手阶段非R升级节奏!$A$2:$C$222,3,0)-VLOOKUP(C51,新手阶段非R升级节奏!$A$2:$C$222,3,0)</f>
        <v>1956</v>
      </c>
      <c r="G51" s="26" t="s">
        <v>522</v>
      </c>
      <c r="H51" s="26" t="s">
        <v>37</v>
      </c>
      <c r="I51" s="26">
        <v>5</v>
      </c>
      <c r="J51" s="26">
        <f>SUM($I$6:I51)/60</f>
        <v>6.083333333333333</v>
      </c>
      <c r="K51" s="27" t="s">
        <v>516</v>
      </c>
      <c r="L51" s="25" t="s">
        <v>518</v>
      </c>
      <c r="M51" s="25"/>
      <c r="N51" s="25"/>
      <c r="O51" s="25"/>
      <c r="P51" s="25">
        <v>60</v>
      </c>
      <c r="Q51" s="25">
        <f t="shared" si="28"/>
        <v>60</v>
      </c>
      <c r="R51" s="28">
        <f t="shared" si="29"/>
        <v>0</v>
      </c>
      <c r="S51" s="25">
        <v>60</v>
      </c>
      <c r="T51" s="28">
        <v>0</v>
      </c>
      <c r="U51" s="29" t="str">
        <f>IF(K51="经验",ROUND(INDEX([1]人物经验!$N$24:$N$573,S51)*T51+INDEX([1]人物经验!$O$24:$O$573,S51)-INDEX([1]人物经验!$O$24:$O$573,Q51)-INDEX([1]人物经验!$N$24:$N$573,Q51)*R51,0),"")</f>
        <v/>
      </c>
      <c r="V51" s="29"/>
      <c r="W51" s="29" t="str">
        <f>IF(K51="金币",INT(V51/[2]货币基础!$B$6*3600*INDEX([1]人物经验!$K$24:$K$573,P51)/1000+1)*1000,"")</f>
        <v/>
      </c>
      <c r="X51" s="29"/>
      <c r="Y51" s="29" t="str">
        <f>IF(K51="元宝",X51/[2]货币基础!$B$5,"")</f>
        <v/>
      </c>
      <c r="Z51" s="29"/>
      <c r="AA51" s="29" t="str">
        <f>IF(K51="钻石",Z51/[2]货币基础!$B$4,"")</f>
        <v/>
      </c>
      <c r="AB51" s="29"/>
      <c r="AC51" s="29"/>
      <c r="AD51" s="25"/>
      <c r="AE51" s="27" t="s">
        <v>658</v>
      </c>
      <c r="AF51" s="27" t="s">
        <v>657</v>
      </c>
      <c r="AG51" s="27" t="s">
        <v>400</v>
      </c>
      <c r="AH51" s="27" t="s">
        <v>398</v>
      </c>
      <c r="AI51" s="27" t="s">
        <v>398</v>
      </c>
      <c r="AJ51" s="27" t="s">
        <v>398</v>
      </c>
      <c r="AK51" s="27" t="s">
        <v>398</v>
      </c>
      <c r="AL51" s="27" t="s">
        <v>399</v>
      </c>
    </row>
    <row r="52" spans="1:38" s="30" customFormat="1" x14ac:dyDescent="0.15">
      <c r="A52" s="37"/>
      <c r="B52" s="37"/>
      <c r="C52" s="37"/>
      <c r="D52" s="37"/>
      <c r="E52" s="37"/>
      <c r="F52" s="37"/>
      <c r="G52" s="26" t="s">
        <v>519</v>
      </c>
      <c r="H52" s="26"/>
      <c r="I52" s="26">
        <v>10</v>
      </c>
      <c r="J52" s="26">
        <f>SUM($I$6:I52)/60</f>
        <v>6.25</v>
      </c>
      <c r="K52" s="27" t="s">
        <v>36</v>
      </c>
      <c r="L52" s="25"/>
      <c r="M52" s="25"/>
      <c r="N52" s="25"/>
      <c r="O52" s="25"/>
      <c r="P52" s="25">
        <v>60</v>
      </c>
      <c r="Q52" s="25">
        <f t="shared" si="0"/>
        <v>60</v>
      </c>
      <c r="R52" s="28">
        <f t="shared" si="1"/>
        <v>0</v>
      </c>
      <c r="S52" s="25">
        <v>62</v>
      </c>
      <c r="T52" s="28">
        <v>0</v>
      </c>
      <c r="U52" s="29">
        <f>IF(K52="经验",ROUND(INDEX([1]人物经验!$N$24:$N$573,S52)*T52+INDEX([1]人物经验!$O$24:$O$573,S52)-INDEX([1]人物经验!$O$24:$O$573,Q52)-INDEX([1]人物经验!$N$24:$N$573,Q52)*R52,0),"")</f>
        <v>423</v>
      </c>
      <c r="V52" s="29"/>
      <c r="W52" s="29" t="str">
        <f>IF(K52="金币",INT(V52/[2]货币基础!$B$6*3600*INDEX([1]人物经验!$K$24:$K$573,P52)/1000+1)*1000,"")</f>
        <v/>
      </c>
      <c r="X52" s="29"/>
      <c r="Y52" s="29" t="str">
        <f>IF(K52="元宝",X52/[2]货币基础!$B$5,"")</f>
        <v/>
      </c>
      <c r="Z52" s="29"/>
      <c r="AA52" s="29" t="str">
        <f>IF(K52="钻石",Z52/[2]货币基础!$B$4,"")</f>
        <v/>
      </c>
      <c r="AB52" s="29"/>
      <c r="AC52" s="29"/>
      <c r="AD52" s="25" t="s">
        <v>534</v>
      </c>
      <c r="AE52" s="27" t="s">
        <v>400</v>
      </c>
      <c r="AF52" s="27" t="s">
        <v>657</v>
      </c>
      <c r="AG52" s="27" t="s">
        <v>400</v>
      </c>
      <c r="AH52" s="27" t="s">
        <v>398</v>
      </c>
      <c r="AI52" s="27" t="s">
        <v>398</v>
      </c>
      <c r="AJ52" s="27" t="s">
        <v>398</v>
      </c>
      <c r="AK52" s="27" t="s">
        <v>398</v>
      </c>
      <c r="AL52" s="27" t="s">
        <v>399</v>
      </c>
    </row>
    <row r="53" spans="1:38" s="30" customFormat="1" x14ac:dyDescent="0.15">
      <c r="A53" s="37"/>
      <c r="B53" s="37"/>
      <c r="C53" s="37"/>
      <c r="D53" s="37"/>
      <c r="E53" s="37"/>
      <c r="F53" s="37"/>
      <c r="G53" s="26" t="s">
        <v>523</v>
      </c>
      <c r="H53" s="26" t="s">
        <v>524</v>
      </c>
      <c r="I53" s="26">
        <v>5</v>
      </c>
      <c r="J53" s="26">
        <f>SUM($I$6:I53)/60</f>
        <v>6.333333333333333</v>
      </c>
      <c r="K53" s="27" t="s">
        <v>496</v>
      </c>
      <c r="L53" s="25"/>
      <c r="M53" s="25"/>
      <c r="N53" s="25"/>
      <c r="O53" s="25"/>
      <c r="P53" s="25">
        <v>62</v>
      </c>
      <c r="Q53" s="25">
        <f t="shared" si="0"/>
        <v>62</v>
      </c>
      <c r="R53" s="28">
        <f t="shared" si="1"/>
        <v>0</v>
      </c>
      <c r="S53" s="25">
        <v>62</v>
      </c>
      <c r="T53" s="28">
        <v>0</v>
      </c>
      <c r="U53" s="29" t="str">
        <f>IF(K53="经验",ROUND(INDEX([1]人物经验!$N$24:$N$573,S53)*T53+INDEX([1]人物经验!$O$24:$O$573,S53)-INDEX([1]人物经验!$O$24:$O$573,Q53)-INDEX([1]人物经验!$N$24:$N$573,Q53)*R53,0),"")</f>
        <v/>
      </c>
      <c r="V53" s="29"/>
      <c r="W53" s="29" t="str">
        <f>IF(K53="金币",INT(V53/[2]货币基础!$B$6*3600*INDEX([1]人物经验!$K$24:$K$573,P53)/1000+1)*1000,"")</f>
        <v/>
      </c>
      <c r="X53" s="29">
        <v>0.5</v>
      </c>
      <c r="Y53" s="29">
        <f>IF(K53="元宝",X53/[2]货币基础!$B$5,"")</f>
        <v>5000</v>
      </c>
      <c r="Z53" s="29"/>
      <c r="AA53" s="29" t="str">
        <f>IF(K53="钻石",Z53/[2]货币基础!$B$4,"")</f>
        <v/>
      </c>
      <c r="AB53" s="29"/>
      <c r="AC53" s="29"/>
      <c r="AD53" s="25"/>
      <c r="AE53" s="27" t="s">
        <v>400</v>
      </c>
      <c r="AF53" s="27" t="s">
        <v>399</v>
      </c>
      <c r="AG53" s="27" t="s">
        <v>400</v>
      </c>
      <c r="AH53" s="27" t="s">
        <v>398</v>
      </c>
      <c r="AI53" s="27" t="s">
        <v>398</v>
      </c>
      <c r="AJ53" s="27" t="s">
        <v>398</v>
      </c>
      <c r="AK53" s="27" t="s">
        <v>398</v>
      </c>
      <c r="AL53" s="27" t="s">
        <v>399</v>
      </c>
    </row>
    <row r="54" spans="1:38" s="30" customFormat="1" x14ac:dyDescent="0.15">
      <c r="A54" s="37"/>
      <c r="B54" s="37"/>
      <c r="C54" s="37"/>
      <c r="D54" s="37"/>
      <c r="E54" s="37"/>
      <c r="F54" s="37"/>
      <c r="G54" s="26" t="s">
        <v>525</v>
      </c>
      <c r="H54" s="26"/>
      <c r="I54" s="26">
        <v>10</v>
      </c>
      <c r="J54" s="26">
        <f>SUM($I$6:I54)/60</f>
        <v>6.5</v>
      </c>
      <c r="K54" s="27" t="s">
        <v>497</v>
      </c>
      <c r="L54" s="25"/>
      <c r="M54" s="25"/>
      <c r="N54" s="25"/>
      <c r="O54" s="25"/>
      <c r="P54" s="25">
        <v>62</v>
      </c>
      <c r="Q54" s="25">
        <f t="shared" si="0"/>
        <v>62</v>
      </c>
      <c r="R54" s="28">
        <f t="shared" si="1"/>
        <v>0</v>
      </c>
      <c r="S54" s="25">
        <v>64</v>
      </c>
      <c r="T54" s="28">
        <v>0</v>
      </c>
      <c r="U54" s="29">
        <f>IF(K54="经验",ROUND(INDEX([1]人物经验!$N$24:$N$573,S54)*T54+INDEX([1]人物经验!$O$24:$O$573,S54)-INDEX([1]人物经验!$O$24:$O$573,Q54)-INDEX([1]人物经验!$N$24:$N$573,Q54)*R54,0),"")</f>
        <v>467</v>
      </c>
      <c r="V54" s="29"/>
      <c r="W54" s="29" t="str">
        <f>IF(K54="金币",INT(V54/[2]货币基础!$B$6*3600*INDEX([1]人物经验!$K$24:$K$573,P54)/1000+1)*1000,"")</f>
        <v/>
      </c>
      <c r="X54" s="29"/>
      <c r="Y54" s="29" t="str">
        <f>IF(K54="元宝",X54/[2]货币基础!$B$5,"")</f>
        <v/>
      </c>
      <c r="Z54" s="29"/>
      <c r="AA54" s="29" t="str">
        <f>IF(K54="钻石",Z54/[2]货币基础!$B$4,"")</f>
        <v/>
      </c>
      <c r="AB54" s="29"/>
      <c r="AC54" s="29"/>
      <c r="AD54" s="25" t="s">
        <v>535</v>
      </c>
      <c r="AE54" s="27" t="s">
        <v>400</v>
      </c>
      <c r="AF54" s="27" t="s">
        <v>399</v>
      </c>
      <c r="AG54" s="27" t="s">
        <v>400</v>
      </c>
      <c r="AH54" s="27" t="s">
        <v>398</v>
      </c>
      <c r="AI54" s="27" t="s">
        <v>398</v>
      </c>
      <c r="AJ54" s="27" t="s">
        <v>398</v>
      </c>
      <c r="AK54" s="27" t="s">
        <v>398</v>
      </c>
      <c r="AL54" s="27" t="s">
        <v>399</v>
      </c>
    </row>
    <row r="55" spans="1:38" s="30" customFormat="1" x14ac:dyDescent="0.15">
      <c r="A55" s="37"/>
      <c r="B55" s="37"/>
      <c r="C55" s="37"/>
      <c r="D55" s="37"/>
      <c r="E55" s="37"/>
      <c r="F55" s="37"/>
      <c r="G55" s="26" t="s">
        <v>608</v>
      </c>
      <c r="H55" s="26" t="s">
        <v>526</v>
      </c>
      <c r="I55" s="26">
        <v>5</v>
      </c>
      <c r="J55" s="26">
        <f>SUM($I$6:I55)/60</f>
        <v>6.583333333333333</v>
      </c>
      <c r="K55" s="27" t="s">
        <v>496</v>
      </c>
      <c r="L55" s="25"/>
      <c r="M55" s="25"/>
      <c r="N55" s="25"/>
      <c r="O55" s="25"/>
      <c r="P55" s="25">
        <v>64</v>
      </c>
      <c r="Q55" s="25">
        <f t="shared" si="0"/>
        <v>64</v>
      </c>
      <c r="R55" s="28">
        <f t="shared" si="1"/>
        <v>0</v>
      </c>
      <c r="S55" s="25">
        <v>64</v>
      </c>
      <c r="T55" s="28">
        <v>0</v>
      </c>
      <c r="U55" s="29" t="str">
        <f>IF(K55="经验",ROUND(INDEX([1]人物经验!$N$24:$N$573,S55)*T55+INDEX([1]人物经验!$O$24:$O$573,S55)-INDEX([1]人物经验!$O$24:$O$573,Q55)-INDEX([1]人物经验!$N$24:$N$573,Q55)*R55,0),"")</f>
        <v/>
      </c>
      <c r="V55" s="29"/>
      <c r="W55" s="29" t="str">
        <f>IF(K55="金币",INT(V55/[2]货币基础!$B$6*3600*INDEX([1]人物经验!$K$24:$K$573,P55)/1000+1)*1000,"")</f>
        <v/>
      </c>
      <c r="X55" s="29">
        <v>0.5</v>
      </c>
      <c r="Y55" s="29">
        <f>IF(K55="元宝",X55/[2]货币基础!$B$5,"")</f>
        <v>5000</v>
      </c>
      <c r="Z55" s="29"/>
      <c r="AA55" s="29" t="str">
        <f>IF(K55="钻石",Z55/[2]货币基础!$B$4,"")</f>
        <v/>
      </c>
      <c r="AB55" s="29"/>
      <c r="AC55" s="29"/>
      <c r="AD55" s="25"/>
      <c r="AE55" s="27" t="s">
        <v>400</v>
      </c>
      <c r="AF55" s="27" t="s">
        <v>399</v>
      </c>
      <c r="AG55" s="27" t="s">
        <v>400</v>
      </c>
      <c r="AH55" s="27" t="s">
        <v>398</v>
      </c>
      <c r="AI55" s="27" t="s">
        <v>398</v>
      </c>
      <c r="AJ55" s="27" t="s">
        <v>398</v>
      </c>
      <c r="AK55" s="27" t="s">
        <v>398</v>
      </c>
      <c r="AL55" s="27" t="s">
        <v>399</v>
      </c>
    </row>
    <row r="56" spans="1:38" s="30" customFormat="1" x14ac:dyDescent="0.15">
      <c r="A56" s="37"/>
      <c r="B56" s="37"/>
      <c r="C56" s="37"/>
      <c r="D56" s="37"/>
      <c r="E56" s="37"/>
      <c r="F56" s="37"/>
      <c r="G56" s="26" t="s">
        <v>527</v>
      </c>
      <c r="H56" s="26"/>
      <c r="I56" s="26">
        <v>15</v>
      </c>
      <c r="J56" s="26">
        <f>SUM($I$6:I56)/60</f>
        <v>6.833333333333333</v>
      </c>
      <c r="K56" s="27" t="s">
        <v>497</v>
      </c>
      <c r="L56" s="25"/>
      <c r="M56" s="25"/>
      <c r="N56" s="25"/>
      <c r="O56" s="25"/>
      <c r="P56" s="25">
        <v>64</v>
      </c>
      <c r="Q56" s="25">
        <f t="shared" si="0"/>
        <v>64</v>
      </c>
      <c r="R56" s="28">
        <f t="shared" si="1"/>
        <v>0</v>
      </c>
      <c r="S56" s="25">
        <v>66</v>
      </c>
      <c r="T56" s="28">
        <v>0</v>
      </c>
      <c r="U56" s="29">
        <f>IF(K56="经验",ROUND(INDEX([1]人物经验!$N$24:$N$573,S56)*T56+INDEX([1]人物经验!$O$24:$O$573,S56)-INDEX([1]人物经验!$O$24:$O$573,Q56)-INDEX([1]人物经验!$N$24:$N$573,Q56)*R56,0),"")</f>
        <v>507</v>
      </c>
      <c r="V56" s="29"/>
      <c r="W56" s="29" t="str">
        <f>IF(K56="金币",INT(V56/[2]货币基础!$B$6*3600*INDEX([1]人物经验!$K$24:$K$573,P56)/1000+1)*1000,"")</f>
        <v/>
      </c>
      <c r="X56" s="29"/>
      <c r="Y56" s="29" t="str">
        <f>IF(K56="元宝",X56/[2]货币基础!$B$5,"")</f>
        <v/>
      </c>
      <c r="Z56" s="29"/>
      <c r="AA56" s="29" t="str">
        <f>IF(K56="钻石",Z56/[2]货币基础!$B$4,"")</f>
        <v/>
      </c>
      <c r="AB56" s="29"/>
      <c r="AC56" s="29"/>
      <c r="AD56" s="25" t="s">
        <v>536</v>
      </c>
      <c r="AE56" s="27" t="s">
        <v>400</v>
      </c>
      <c r="AF56" s="27" t="s">
        <v>399</v>
      </c>
      <c r="AG56" s="27" t="s">
        <v>400</v>
      </c>
      <c r="AH56" s="27" t="s">
        <v>398</v>
      </c>
      <c r="AI56" s="27" t="s">
        <v>398</v>
      </c>
      <c r="AJ56" s="27" t="s">
        <v>398</v>
      </c>
      <c r="AK56" s="27" t="s">
        <v>398</v>
      </c>
      <c r="AL56" s="27" t="s">
        <v>399</v>
      </c>
    </row>
    <row r="57" spans="1:38" s="30" customFormat="1" x14ac:dyDescent="0.15">
      <c r="A57" s="37"/>
      <c r="B57" s="37"/>
      <c r="C57" s="37"/>
      <c r="D57" s="37"/>
      <c r="E57" s="37"/>
      <c r="F57" s="37"/>
      <c r="G57" s="26" t="s">
        <v>609</v>
      </c>
      <c r="H57" s="26" t="s">
        <v>528</v>
      </c>
      <c r="I57" s="26">
        <v>5</v>
      </c>
      <c r="J57" s="26">
        <f>SUM($I$6:I57)/60</f>
        <v>6.916666666666667</v>
      </c>
      <c r="K57" s="27" t="s">
        <v>496</v>
      </c>
      <c r="L57" s="25"/>
      <c r="M57" s="25"/>
      <c r="N57" s="25"/>
      <c r="O57" s="25"/>
      <c r="P57" s="25">
        <v>66</v>
      </c>
      <c r="Q57" s="25">
        <f t="shared" si="0"/>
        <v>66</v>
      </c>
      <c r="R57" s="28">
        <f t="shared" si="1"/>
        <v>0</v>
      </c>
      <c r="S57" s="25">
        <v>66</v>
      </c>
      <c r="T57" s="28">
        <v>0</v>
      </c>
      <c r="U57" s="29" t="str">
        <f>IF(K57="经验",ROUND(INDEX([1]人物经验!$N$24:$N$573,S57)*T57+INDEX([1]人物经验!$O$24:$O$573,S57)-INDEX([1]人物经验!$O$24:$O$573,Q57)-INDEX([1]人物经验!$N$24:$N$573,Q57)*R57,0),"")</f>
        <v/>
      </c>
      <c r="V57" s="29"/>
      <c r="W57" s="29" t="str">
        <f>IF(K57="金币",INT(V57/[2]货币基础!$B$6*3600*INDEX([1]人物经验!$K$24:$K$573,P57)/1000+1)*1000,"")</f>
        <v/>
      </c>
      <c r="X57" s="29">
        <v>0.5</v>
      </c>
      <c r="Y57" s="29">
        <f>IF(K57="元宝",X57/[2]货币基础!$B$5,"")</f>
        <v>5000</v>
      </c>
      <c r="Z57" s="29"/>
      <c r="AA57" s="29" t="str">
        <f>IF(K57="钻石",Z57/[2]货币基础!$B$4,"")</f>
        <v/>
      </c>
      <c r="AB57" s="29"/>
      <c r="AC57" s="29"/>
      <c r="AD57" s="25"/>
      <c r="AE57" s="27" t="s">
        <v>400</v>
      </c>
      <c r="AF57" s="27" t="s">
        <v>399</v>
      </c>
      <c r="AG57" s="27" t="s">
        <v>400</v>
      </c>
      <c r="AH57" s="27" t="s">
        <v>398</v>
      </c>
      <c r="AI57" s="27" t="s">
        <v>398</v>
      </c>
      <c r="AJ57" s="27" t="s">
        <v>398</v>
      </c>
      <c r="AK57" s="27" t="s">
        <v>398</v>
      </c>
      <c r="AL57" s="27" t="s">
        <v>399</v>
      </c>
    </row>
    <row r="58" spans="1:38" s="30" customFormat="1" x14ac:dyDescent="0.15">
      <c r="A58" s="37"/>
      <c r="B58" s="37"/>
      <c r="C58" s="37"/>
      <c r="D58" s="37"/>
      <c r="E58" s="37"/>
      <c r="F58" s="37"/>
      <c r="G58" s="26" t="s">
        <v>529</v>
      </c>
      <c r="H58" s="26"/>
      <c r="I58" s="26">
        <v>15</v>
      </c>
      <c r="J58" s="26">
        <f>SUM($I$6:I58)/60</f>
        <v>7.166666666666667</v>
      </c>
      <c r="K58" s="27" t="s">
        <v>458</v>
      </c>
      <c r="L58" s="25"/>
      <c r="M58" s="25"/>
      <c r="N58" s="25"/>
      <c r="O58" s="25"/>
      <c r="P58" s="25">
        <v>66</v>
      </c>
      <c r="Q58" s="25">
        <f t="shared" ref="Q58:Q61" si="30">S57</f>
        <v>66</v>
      </c>
      <c r="R58" s="28">
        <f t="shared" ref="R58:R61" si="31">T57</f>
        <v>0</v>
      </c>
      <c r="S58" s="25">
        <v>67</v>
      </c>
      <c r="T58" s="28">
        <v>0</v>
      </c>
      <c r="U58" s="29">
        <f>IF(K58="经验",ROUND(INDEX([1]人物经验!$N$24:$N$573,S58)*T58+INDEX([1]人物经验!$O$24:$O$573,S58)-INDEX([1]人物经验!$O$24:$O$573,Q58)-INDEX([1]人物经验!$N$24:$N$573,Q58)*R58,0),"")</f>
        <v>275</v>
      </c>
      <c r="V58" s="29"/>
      <c r="W58" s="29" t="str">
        <f>IF(K58="金币",INT(V58/[2]货币基础!$B$6*3600*INDEX([1]人物经验!$K$24:$K$573,P58)/1000+1)*1000,"")</f>
        <v/>
      </c>
      <c r="X58" s="29"/>
      <c r="Y58" s="29" t="str">
        <f>IF(K58="元宝",X58/[2]货币基础!$B$5,"")</f>
        <v/>
      </c>
      <c r="Z58" s="29"/>
      <c r="AA58" s="29" t="str">
        <f>IF(K58="钻石",Z58/[2]货币基础!$B$4,"")</f>
        <v/>
      </c>
      <c r="AB58" s="29"/>
      <c r="AC58" s="29"/>
      <c r="AD58" s="25" t="s">
        <v>537</v>
      </c>
      <c r="AE58" s="27" t="s">
        <v>400</v>
      </c>
      <c r="AF58" s="27" t="s">
        <v>399</v>
      </c>
      <c r="AG58" s="27" t="s">
        <v>400</v>
      </c>
      <c r="AH58" s="27" t="s">
        <v>398</v>
      </c>
      <c r="AI58" s="27" t="s">
        <v>398</v>
      </c>
      <c r="AJ58" s="27" t="s">
        <v>398</v>
      </c>
      <c r="AK58" s="27" t="s">
        <v>398</v>
      </c>
      <c r="AL58" s="27" t="s">
        <v>399</v>
      </c>
    </row>
    <row r="59" spans="1:38" s="30" customFormat="1" x14ac:dyDescent="0.15">
      <c r="A59" s="37"/>
      <c r="B59" s="37"/>
      <c r="C59" s="37"/>
      <c r="D59" s="37"/>
      <c r="E59" s="37"/>
      <c r="F59" s="37"/>
      <c r="G59" s="26" t="s">
        <v>610</v>
      </c>
      <c r="H59" s="26" t="s">
        <v>530</v>
      </c>
      <c r="I59" s="26">
        <v>5</v>
      </c>
      <c r="J59" s="26">
        <f>SUM($I$6:I59)/60</f>
        <v>7.25</v>
      </c>
      <c r="K59" s="27" t="s">
        <v>495</v>
      </c>
      <c r="L59" s="25"/>
      <c r="M59" s="25"/>
      <c r="N59" s="25"/>
      <c r="O59" s="25"/>
      <c r="P59" s="25">
        <v>67</v>
      </c>
      <c r="Q59" s="25">
        <f t="shared" si="30"/>
        <v>67</v>
      </c>
      <c r="R59" s="28">
        <f t="shared" si="31"/>
        <v>0</v>
      </c>
      <c r="S59" s="25">
        <v>67</v>
      </c>
      <c r="T59" s="28">
        <v>0</v>
      </c>
      <c r="U59" s="29" t="str">
        <f>IF(K59="经验",ROUND(INDEX([1]人物经验!$N$24:$N$573,S59)*T59+INDEX([1]人物经验!$O$24:$O$573,S59)-INDEX([1]人物经验!$O$24:$O$573,Q59)-INDEX([1]人物经验!$N$24:$N$573,Q59)*R59,0),"")</f>
        <v/>
      </c>
      <c r="V59" s="29"/>
      <c r="W59" s="29" t="str">
        <f>IF(K59="金币",INT(V59/[2]货币基础!$B$6*3600*INDEX([1]人物经验!$K$24:$K$573,P59)/1000+1)*1000,"")</f>
        <v/>
      </c>
      <c r="X59" s="29">
        <v>0.5</v>
      </c>
      <c r="Y59" s="29">
        <f>IF(K59="元宝",X59/[2]货币基础!$B$5,"")</f>
        <v>5000</v>
      </c>
      <c r="Z59" s="29"/>
      <c r="AA59" s="29" t="str">
        <f>IF(K59="钻石",Z59/[2]货币基础!$B$4,"")</f>
        <v/>
      </c>
      <c r="AB59" s="29"/>
      <c r="AC59" s="29"/>
      <c r="AD59" s="25"/>
      <c r="AE59" s="27" t="s">
        <v>400</v>
      </c>
      <c r="AF59" s="27" t="s">
        <v>399</v>
      </c>
      <c r="AG59" s="27" t="s">
        <v>400</v>
      </c>
      <c r="AH59" s="27" t="s">
        <v>398</v>
      </c>
      <c r="AI59" s="27" t="s">
        <v>398</v>
      </c>
      <c r="AJ59" s="27" t="s">
        <v>398</v>
      </c>
      <c r="AK59" s="27" t="s">
        <v>398</v>
      </c>
      <c r="AL59" s="27" t="s">
        <v>399</v>
      </c>
    </row>
    <row r="60" spans="1:38" s="30" customFormat="1" x14ac:dyDescent="0.15">
      <c r="A60" s="37"/>
      <c r="B60" s="37"/>
      <c r="C60" s="37"/>
      <c r="D60" s="37"/>
      <c r="E60" s="37"/>
      <c r="F60" s="37"/>
      <c r="G60" s="26" t="s">
        <v>611</v>
      </c>
      <c r="H60" s="26" t="s">
        <v>531</v>
      </c>
      <c r="I60" s="26">
        <v>5</v>
      </c>
      <c r="J60" s="26">
        <f>SUM($I$6:I60)/60</f>
        <v>7.333333333333333</v>
      </c>
      <c r="K60" s="27" t="s">
        <v>498</v>
      </c>
      <c r="L60" s="25"/>
      <c r="M60" s="25"/>
      <c r="N60" s="25"/>
      <c r="O60" s="25"/>
      <c r="P60" s="25">
        <v>67</v>
      </c>
      <c r="Q60" s="25">
        <f t="shared" si="30"/>
        <v>67</v>
      </c>
      <c r="R60" s="28">
        <f t="shared" si="31"/>
        <v>0</v>
      </c>
      <c r="S60" s="25">
        <v>67</v>
      </c>
      <c r="T60" s="28">
        <v>0</v>
      </c>
      <c r="U60" s="29" t="str">
        <f>IF(K60="经验",ROUND(INDEX([1]人物经验!$N$24:$N$573,S60)*T60+INDEX([1]人物经验!$O$24:$O$573,S60)-INDEX([1]人物经验!$O$24:$O$573,Q60)-INDEX([1]人物经验!$N$24:$N$573,Q60)*R60,0),"")</f>
        <v/>
      </c>
      <c r="V60" s="29"/>
      <c r="W60" s="29" t="str">
        <f>IF(K60="金币",INT(V60/[2]货币基础!$B$6*3600*INDEX([1]人物经验!$K$24:$K$573,P60)/1000+1)*1000,"")</f>
        <v/>
      </c>
      <c r="X60" s="29"/>
      <c r="Y60" s="29" t="str">
        <f>IF(K60="元宝",X60/[2]货币基础!$B$5,"")</f>
        <v/>
      </c>
      <c r="Z60" s="29">
        <v>1</v>
      </c>
      <c r="AA60" s="29">
        <f>IF(K60="钻石",Z60/[2]货币基础!$B$4,"")</f>
        <v>100</v>
      </c>
      <c r="AB60" s="29"/>
      <c r="AC60" s="29"/>
      <c r="AD60" s="25" t="s">
        <v>531</v>
      </c>
      <c r="AE60" s="27" t="s">
        <v>400</v>
      </c>
      <c r="AF60" s="27" t="s">
        <v>399</v>
      </c>
      <c r="AG60" s="27" t="s">
        <v>400</v>
      </c>
      <c r="AH60" s="27" t="s">
        <v>398</v>
      </c>
      <c r="AI60" s="27" t="s">
        <v>398</v>
      </c>
      <c r="AJ60" s="27" t="s">
        <v>398</v>
      </c>
      <c r="AK60" s="27" t="s">
        <v>398</v>
      </c>
      <c r="AL60" s="27" t="s">
        <v>399</v>
      </c>
    </row>
    <row r="61" spans="1:38" s="30" customFormat="1" x14ac:dyDescent="0.15">
      <c r="A61" s="37"/>
      <c r="B61" s="37"/>
      <c r="C61" s="37"/>
      <c r="D61" s="37"/>
      <c r="E61" s="37"/>
      <c r="F61" s="37"/>
      <c r="G61" s="26" t="s">
        <v>532</v>
      </c>
      <c r="H61" s="26"/>
      <c r="I61" s="26">
        <v>5</v>
      </c>
      <c r="J61" s="26">
        <f>SUM($I$6:I61)/60</f>
        <v>7.416666666666667</v>
      </c>
      <c r="K61" s="27" t="s">
        <v>458</v>
      </c>
      <c r="L61" s="25"/>
      <c r="M61" s="25"/>
      <c r="N61" s="25"/>
      <c r="O61" s="25"/>
      <c r="P61" s="25">
        <v>67</v>
      </c>
      <c r="Q61" s="25">
        <f t="shared" si="30"/>
        <v>67</v>
      </c>
      <c r="R61" s="28">
        <f t="shared" si="31"/>
        <v>0</v>
      </c>
      <c r="S61" s="25">
        <v>68</v>
      </c>
      <c r="T61" s="28">
        <v>0</v>
      </c>
      <c r="U61" s="29">
        <f>IF(K61="经验",ROUND(INDEX([1]人物经验!$N$24:$N$573,S61)*T61+INDEX([1]人物经验!$O$24:$O$573,S61)-INDEX([1]人物经验!$O$24:$O$573,Q61)-INDEX([1]人物经验!$N$24:$N$573,Q61)*R61,0),"")</f>
        <v>284</v>
      </c>
      <c r="V61" s="29"/>
      <c r="W61" s="29" t="str">
        <f>IF(K61="金币",INT(V61/[2]货币基础!$B$6*3600*INDEX([1]人物经验!$K$24:$K$573,P61)/1000+1)*1000,"")</f>
        <v/>
      </c>
      <c r="X61" s="29"/>
      <c r="Y61" s="29" t="str">
        <f>IF(K61="元宝",X61/[2]货币基础!$B$5,"")</f>
        <v/>
      </c>
      <c r="Z61" s="29"/>
      <c r="AA61" s="29" t="str">
        <f>IF(K61="钻石",Z61/[2]货币基础!$B$4,"")</f>
        <v/>
      </c>
      <c r="AB61" s="29"/>
      <c r="AC61" s="29"/>
      <c r="AD61" s="25"/>
      <c r="AE61" s="27" t="s">
        <v>400</v>
      </c>
      <c r="AF61" s="27" t="s">
        <v>399</v>
      </c>
      <c r="AG61" s="27" t="s">
        <v>400</v>
      </c>
      <c r="AH61" s="27" t="s">
        <v>398</v>
      </c>
      <c r="AI61" s="27" t="s">
        <v>398</v>
      </c>
      <c r="AJ61" s="27" t="s">
        <v>398</v>
      </c>
      <c r="AK61" s="27" t="s">
        <v>398</v>
      </c>
      <c r="AL61" s="27" t="s">
        <v>399</v>
      </c>
    </row>
    <row r="62" spans="1:38" s="30" customFormat="1" x14ac:dyDescent="0.15">
      <c r="A62" s="37"/>
      <c r="B62" s="37"/>
      <c r="C62" s="37"/>
      <c r="D62" s="37"/>
      <c r="E62" s="37"/>
      <c r="F62" s="37"/>
      <c r="G62" s="26" t="s">
        <v>612</v>
      </c>
      <c r="H62" s="26" t="s">
        <v>533</v>
      </c>
      <c r="I62" s="26">
        <v>5</v>
      </c>
      <c r="J62" s="26">
        <f>SUM($I$6:I62)/60</f>
        <v>7.5</v>
      </c>
      <c r="K62" s="27" t="s">
        <v>496</v>
      </c>
      <c r="L62" s="25"/>
      <c r="M62" s="25"/>
      <c r="N62" s="25"/>
      <c r="O62" s="25"/>
      <c r="P62" s="25">
        <v>68</v>
      </c>
      <c r="Q62" s="25">
        <f t="shared" ref="Q62" si="32">S61</f>
        <v>68</v>
      </c>
      <c r="R62" s="28">
        <f t="shared" ref="R62" si="33">T61</f>
        <v>0</v>
      </c>
      <c r="S62" s="25">
        <v>68</v>
      </c>
      <c r="T62" s="28">
        <v>0</v>
      </c>
      <c r="U62" s="29" t="str">
        <f>IF(K62="经验",ROUND(INDEX([1]人物经验!$N$24:$N$573,S62)*T62+INDEX([1]人物经验!$O$24:$O$573,S62)-INDEX([1]人物经验!$O$24:$O$573,Q62)-INDEX([1]人物经验!$N$24:$N$573,Q62)*R62,0),"")</f>
        <v/>
      </c>
      <c r="V62" s="29"/>
      <c r="W62" s="29" t="str">
        <f>IF(K62="金币",INT(V62/[2]货币基础!$B$6*3600*INDEX([1]人物经验!$K$24:$K$573,P62)/1000+1)*1000,"")</f>
        <v/>
      </c>
      <c r="X62" s="29">
        <v>0.5</v>
      </c>
      <c r="Y62" s="29">
        <f>IF(K62="元宝",X62/[2]货币基础!$B$5,"")</f>
        <v>5000</v>
      </c>
      <c r="Z62" s="29"/>
      <c r="AA62" s="29" t="str">
        <f>IF(K62="钻石",Z62/[2]货币基础!$B$4,"")</f>
        <v/>
      </c>
      <c r="AB62" s="29"/>
      <c r="AC62" s="29"/>
      <c r="AD62" s="25"/>
      <c r="AE62" s="27" t="s">
        <v>400</v>
      </c>
      <c r="AF62" s="27" t="s">
        <v>399</v>
      </c>
      <c r="AG62" s="27" t="s">
        <v>400</v>
      </c>
      <c r="AH62" s="27" t="s">
        <v>398</v>
      </c>
      <c r="AI62" s="27" t="s">
        <v>398</v>
      </c>
      <c r="AJ62" s="27" t="s">
        <v>398</v>
      </c>
      <c r="AK62" s="27" t="s">
        <v>398</v>
      </c>
      <c r="AL62" s="27" t="s">
        <v>399</v>
      </c>
    </row>
    <row r="63" spans="1:38" s="30" customFormat="1" x14ac:dyDescent="0.15">
      <c r="A63" s="36">
        <v>6</v>
      </c>
      <c r="B63" s="36" t="s">
        <v>538</v>
      </c>
      <c r="C63" s="36">
        <v>68</v>
      </c>
      <c r="D63" s="36">
        <f>C87</f>
        <v>75</v>
      </c>
      <c r="E63" s="36">
        <f>SUM(I63:I86)/60</f>
        <v>3</v>
      </c>
      <c r="F63" s="36">
        <f>VLOOKUP(D63,新手阶段非R升级节奏!$A$2:$C$222,3,0)-VLOOKUP(C63,新手阶段非R升级节奏!$A$2:$C$222,3,0)</f>
        <v>2451</v>
      </c>
      <c r="G63" s="26" t="s">
        <v>613</v>
      </c>
      <c r="H63" s="26" t="s">
        <v>443</v>
      </c>
      <c r="I63" s="26">
        <v>5</v>
      </c>
      <c r="J63" s="26">
        <f>SUM($I$6:I63)/60</f>
        <v>7.583333333333333</v>
      </c>
      <c r="K63" s="27" t="s">
        <v>48</v>
      </c>
      <c r="L63" s="25"/>
      <c r="M63" s="25"/>
      <c r="N63" s="25"/>
      <c r="O63" s="25"/>
      <c r="P63" s="25">
        <v>68</v>
      </c>
      <c r="Q63" s="25">
        <f t="shared" si="0"/>
        <v>68</v>
      </c>
      <c r="R63" s="28">
        <f t="shared" si="1"/>
        <v>0</v>
      </c>
      <c r="S63" s="25">
        <v>68</v>
      </c>
      <c r="T63" s="28">
        <v>0.5</v>
      </c>
      <c r="U63" s="29">
        <f>IF(K63="经验",ROUND(INDEX([1]人物经验!$N$24:$N$573,S63)*T63+INDEX([1]人物经验!$O$24:$O$573,S63)-INDEX([1]人物经验!$O$24:$O$573,Q63)-INDEX([1]人物经验!$N$24:$N$573,Q63)*R63,0),"")</f>
        <v>152</v>
      </c>
      <c r="V63" s="29"/>
      <c r="W63" s="29" t="str">
        <f>IF(K63="金币",INT(V63/[2]货币基础!$B$6*3600*INDEX([1]人物经验!$K$24:$K$573,P63)/1000+1)*1000,"")</f>
        <v/>
      </c>
      <c r="X63" s="29"/>
      <c r="Y63" s="29" t="str">
        <f>IF(K63="元宝",X63/[2]货币基础!$B$5,"")</f>
        <v/>
      </c>
      <c r="Z63" s="29"/>
      <c r="AA63" s="29" t="str">
        <f>IF(K63="钻石",Z63/[2]货币基础!$B$4,"")</f>
        <v/>
      </c>
      <c r="AB63" s="29"/>
      <c r="AC63" s="29"/>
      <c r="AD63" s="25" t="s">
        <v>539</v>
      </c>
      <c r="AE63" s="27" t="s">
        <v>400</v>
      </c>
      <c r="AF63" s="27" t="s">
        <v>399</v>
      </c>
      <c r="AG63" s="27" t="s">
        <v>400</v>
      </c>
      <c r="AH63" s="27" t="s">
        <v>398</v>
      </c>
      <c r="AI63" s="27" t="s">
        <v>398</v>
      </c>
      <c r="AJ63" s="27" t="s">
        <v>398</v>
      </c>
      <c r="AK63" s="27" t="s">
        <v>398</v>
      </c>
      <c r="AL63" s="27" t="s">
        <v>399</v>
      </c>
    </row>
    <row r="64" spans="1:38" s="30" customFormat="1" x14ac:dyDescent="0.15">
      <c r="A64" s="36"/>
      <c r="B64" s="36"/>
      <c r="C64" s="36"/>
      <c r="D64" s="36"/>
      <c r="E64" s="36"/>
      <c r="F64" s="36"/>
      <c r="G64" s="26" t="s">
        <v>614</v>
      </c>
      <c r="H64" s="26" t="s">
        <v>89</v>
      </c>
      <c r="I64" s="26">
        <v>5</v>
      </c>
      <c r="J64" s="26">
        <f>SUM($I$6:I64)/60</f>
        <v>7.666666666666667</v>
      </c>
      <c r="K64" s="27" t="s">
        <v>562</v>
      </c>
      <c r="L64" s="25"/>
      <c r="M64" s="25"/>
      <c r="N64" s="25"/>
      <c r="O64" s="25"/>
      <c r="P64" s="25">
        <v>68</v>
      </c>
      <c r="Q64" s="25">
        <f t="shared" si="0"/>
        <v>68</v>
      </c>
      <c r="R64" s="28">
        <f t="shared" si="1"/>
        <v>0.5</v>
      </c>
      <c r="S64" s="25">
        <v>68</v>
      </c>
      <c r="T64" s="28">
        <v>0.5</v>
      </c>
      <c r="U64" s="29" t="str">
        <f>IF(K64="经验",ROUND(INDEX([1]人物经验!$N$24:$N$573,S64)*T64+INDEX([1]人物经验!$O$24:$O$573,S64)-INDEX([1]人物经验!$O$24:$O$573,Q64)-INDEX([1]人物经验!$N$24:$N$573,Q64)*R64,0),"")</f>
        <v/>
      </c>
      <c r="V64" s="29"/>
      <c r="W64" s="29" t="str">
        <f>IF(K64="金币",INT(V64/[2]货币基础!$B$6*3600*INDEX([1]人物经验!$K$24:$K$573,P64)/1000+1)*1000,"")</f>
        <v/>
      </c>
      <c r="X64" s="29"/>
      <c r="Y64" s="29" t="str">
        <f>IF(K64="元宝",X64/[2]货币基础!$B$5,"")</f>
        <v/>
      </c>
      <c r="Z64" s="29">
        <v>2</v>
      </c>
      <c r="AA64" s="29">
        <f>IF(K64="钻石",Z64/[2]货币基础!$B$4,"")</f>
        <v>200</v>
      </c>
      <c r="AB64" s="29"/>
      <c r="AC64" s="29"/>
      <c r="AD64" s="25"/>
      <c r="AE64" s="27" t="s">
        <v>400</v>
      </c>
      <c r="AF64" s="27" t="s">
        <v>399</v>
      </c>
      <c r="AG64" s="27" t="s">
        <v>400</v>
      </c>
      <c r="AH64" s="27" t="s">
        <v>398</v>
      </c>
      <c r="AI64" s="27" t="s">
        <v>398</v>
      </c>
      <c r="AJ64" s="27" t="s">
        <v>398</v>
      </c>
      <c r="AK64" s="27" t="s">
        <v>398</v>
      </c>
      <c r="AL64" s="27" t="s">
        <v>399</v>
      </c>
    </row>
    <row r="65" spans="1:38" s="30" customFormat="1" x14ac:dyDescent="0.15">
      <c r="A65" s="36"/>
      <c r="B65" s="36"/>
      <c r="C65" s="36"/>
      <c r="D65" s="36"/>
      <c r="E65" s="36"/>
      <c r="F65" s="36"/>
      <c r="G65" s="26" t="s">
        <v>615</v>
      </c>
      <c r="H65" s="26" t="s">
        <v>540</v>
      </c>
      <c r="I65" s="26">
        <v>5</v>
      </c>
      <c r="J65" s="26">
        <f>SUM($I$6:I65)/60</f>
        <v>7.75</v>
      </c>
      <c r="K65" s="27" t="s">
        <v>506</v>
      </c>
      <c r="L65" s="25"/>
      <c r="M65" s="25"/>
      <c r="N65" s="25"/>
      <c r="O65" s="25"/>
      <c r="P65" s="25">
        <v>68</v>
      </c>
      <c r="Q65" s="25">
        <f t="shared" si="0"/>
        <v>68</v>
      </c>
      <c r="R65" s="28">
        <f t="shared" si="1"/>
        <v>0.5</v>
      </c>
      <c r="S65" s="25">
        <v>68</v>
      </c>
      <c r="T65" s="28">
        <v>0.5</v>
      </c>
      <c r="U65" s="29" t="str">
        <f>IF(K65="经验",ROUND(INDEX([1]人物经验!$N$24:$N$573,S65)*T65+INDEX([1]人物经验!$O$24:$O$573,S65)-INDEX([1]人物经验!$O$24:$O$573,Q65)-INDEX([1]人物经验!$N$24:$N$573,Q65)*R65,0),"")</f>
        <v/>
      </c>
      <c r="V65" s="29"/>
      <c r="W65" s="29" t="str">
        <f>IF(K65="金币",INT(V65/[2]货币基础!$B$6*3600*INDEX([1]人物经验!$K$24:$K$573,P65)/1000+1)*1000,"")</f>
        <v/>
      </c>
      <c r="X65" s="29"/>
      <c r="Y65" s="29" t="str">
        <f>IF(K65="元宝",X65/[2]货币基础!$B$5,"")</f>
        <v/>
      </c>
      <c r="Z65" s="29"/>
      <c r="AA65" s="29" t="str">
        <f>IF(K65="钻石",Z65/[2]货币基础!$B$4,"")</f>
        <v/>
      </c>
      <c r="AB65" s="29">
        <v>10</v>
      </c>
      <c r="AC65" s="29">
        <f>INT(AB65/[2]总产出框架!$C$93*[3]装备强化!$AR$47/1000)*1000</f>
        <v>9000</v>
      </c>
      <c r="AD65" s="25"/>
      <c r="AE65" s="27" t="s">
        <v>400</v>
      </c>
      <c r="AF65" s="27" t="s">
        <v>399</v>
      </c>
      <c r="AG65" s="27" t="s">
        <v>400</v>
      </c>
      <c r="AH65" s="27" t="s">
        <v>398</v>
      </c>
      <c r="AI65" s="27" t="s">
        <v>398</v>
      </c>
      <c r="AJ65" s="27" t="s">
        <v>398</v>
      </c>
      <c r="AK65" s="27" t="s">
        <v>398</v>
      </c>
      <c r="AL65" s="27" t="s">
        <v>399</v>
      </c>
    </row>
    <row r="66" spans="1:38" s="30" customFormat="1" x14ac:dyDescent="0.15">
      <c r="A66" s="36"/>
      <c r="B66" s="36"/>
      <c r="C66" s="36"/>
      <c r="D66" s="36"/>
      <c r="E66" s="36"/>
      <c r="F66" s="36"/>
      <c r="G66" s="26" t="s">
        <v>616</v>
      </c>
      <c r="H66" s="26" t="s">
        <v>541</v>
      </c>
      <c r="I66" s="26">
        <v>5</v>
      </c>
      <c r="J66" s="26">
        <f>SUM($I$6:I66)/60</f>
        <v>7.833333333333333</v>
      </c>
      <c r="K66" s="27" t="s">
        <v>48</v>
      </c>
      <c r="L66" s="25"/>
      <c r="M66" s="25"/>
      <c r="N66" s="25"/>
      <c r="O66" s="25"/>
      <c r="P66" s="25">
        <v>68</v>
      </c>
      <c r="Q66" s="25">
        <f t="shared" si="0"/>
        <v>68</v>
      </c>
      <c r="R66" s="28">
        <f t="shared" si="1"/>
        <v>0.5</v>
      </c>
      <c r="S66" s="25">
        <v>69</v>
      </c>
      <c r="T66" s="28">
        <v>0</v>
      </c>
      <c r="U66" s="29">
        <f>IF(K66="经验",ROUND(INDEX([1]人物经验!$N$24:$N$573,S66)*T66+INDEX([1]人物经验!$O$24:$O$573,S66)-INDEX([1]人物经验!$O$24:$O$573,Q66)-INDEX([1]人物经验!$N$24:$N$573,Q66)*R66,0),"")</f>
        <v>152</v>
      </c>
      <c r="V66" s="29"/>
      <c r="W66" s="29" t="str">
        <f>IF(K66="金币",INT(V66/[2]货币基础!$B$6*3600*INDEX([1]人物经验!$K$24:$K$573,P66)/1000+1)*1000,"")</f>
        <v/>
      </c>
      <c r="X66" s="29"/>
      <c r="Y66" s="29" t="str">
        <f>IF(K66="元宝",X66/[2]货币基础!$B$5,"")</f>
        <v/>
      </c>
      <c r="Z66" s="29"/>
      <c r="AA66" s="29" t="str">
        <f>IF(K66="钻石",Z66/[2]货币基础!$B$4,"")</f>
        <v/>
      </c>
      <c r="AB66" s="29"/>
      <c r="AC66" s="29"/>
      <c r="AD66" s="25"/>
      <c r="AE66" s="27" t="s">
        <v>400</v>
      </c>
      <c r="AF66" s="27" t="s">
        <v>399</v>
      </c>
      <c r="AG66" s="27" t="s">
        <v>400</v>
      </c>
      <c r="AH66" s="27" t="s">
        <v>398</v>
      </c>
      <c r="AI66" s="27" t="s">
        <v>398</v>
      </c>
      <c r="AJ66" s="27" t="s">
        <v>398</v>
      </c>
      <c r="AK66" s="27" t="s">
        <v>398</v>
      </c>
      <c r="AL66" s="27" t="s">
        <v>399</v>
      </c>
    </row>
    <row r="67" spans="1:38" s="30" customFormat="1" x14ac:dyDescent="0.15">
      <c r="A67" s="36"/>
      <c r="B67" s="36"/>
      <c r="C67" s="36"/>
      <c r="D67" s="36"/>
      <c r="E67" s="36"/>
      <c r="F67" s="36"/>
      <c r="G67" s="26" t="s">
        <v>617</v>
      </c>
      <c r="H67" s="26" t="s">
        <v>443</v>
      </c>
      <c r="I67" s="26">
        <v>5</v>
      </c>
      <c r="J67" s="26">
        <f>SUM($I$6:I67)/60</f>
        <v>7.916666666666667</v>
      </c>
      <c r="K67" s="27" t="s">
        <v>48</v>
      </c>
      <c r="L67" s="25"/>
      <c r="M67" s="25"/>
      <c r="N67" s="25"/>
      <c r="O67" s="25"/>
      <c r="P67" s="25">
        <v>69</v>
      </c>
      <c r="Q67" s="25">
        <f t="shared" si="0"/>
        <v>69</v>
      </c>
      <c r="R67" s="28">
        <f t="shared" si="1"/>
        <v>0</v>
      </c>
      <c r="S67" s="25">
        <v>69</v>
      </c>
      <c r="T67" s="28">
        <v>0.5</v>
      </c>
      <c r="U67" s="29">
        <f>IF(K67="经验",ROUND(INDEX([1]人物经验!$N$24:$N$573,S67)*T67+INDEX([1]人物经验!$O$24:$O$573,S67)-INDEX([1]人物经验!$O$24:$O$573,Q67)-INDEX([1]人物经验!$N$24:$N$573,Q67)*R67,0),"")</f>
        <v>157</v>
      </c>
      <c r="V67" s="29"/>
      <c r="W67" s="29" t="str">
        <f>IF(K67="金币",INT(V67/[2]货币基础!$B$6*3600*INDEX([1]人物经验!$K$24:$K$573,P67)/1000+1)*1000,"")</f>
        <v/>
      </c>
      <c r="X67" s="29"/>
      <c r="Y67" s="29" t="str">
        <f>IF(K67="元宝",X67/[2]货币基础!$B$5,"")</f>
        <v/>
      </c>
      <c r="Z67" s="29"/>
      <c r="AA67" s="29" t="str">
        <f>IF(K67="钻石",Z67/[2]货币基础!$B$4,"")</f>
        <v/>
      </c>
      <c r="AB67" s="29"/>
      <c r="AC67" s="29"/>
      <c r="AD67" s="25" t="s">
        <v>542</v>
      </c>
      <c r="AE67" s="27" t="s">
        <v>400</v>
      </c>
      <c r="AF67" s="27" t="s">
        <v>399</v>
      </c>
      <c r="AG67" s="27" t="s">
        <v>400</v>
      </c>
      <c r="AH67" s="27" t="s">
        <v>398</v>
      </c>
      <c r="AI67" s="27" t="s">
        <v>398</v>
      </c>
      <c r="AJ67" s="27" t="s">
        <v>398</v>
      </c>
      <c r="AK67" s="27" t="s">
        <v>398</v>
      </c>
      <c r="AL67" s="27" t="s">
        <v>399</v>
      </c>
    </row>
    <row r="68" spans="1:38" s="30" customFormat="1" x14ac:dyDescent="0.15">
      <c r="A68" s="36"/>
      <c r="B68" s="36"/>
      <c r="C68" s="36"/>
      <c r="D68" s="36"/>
      <c r="E68" s="36"/>
      <c r="F68" s="36"/>
      <c r="G68" s="26" t="s">
        <v>618</v>
      </c>
      <c r="H68" s="26" t="s">
        <v>543</v>
      </c>
      <c r="I68" s="26">
        <v>15</v>
      </c>
      <c r="J68" s="26">
        <f>SUM($I$6:I68)/60</f>
        <v>8.1666666666666661</v>
      </c>
      <c r="K68" s="27" t="s">
        <v>115</v>
      </c>
      <c r="L68" s="25"/>
      <c r="M68" s="25" t="s">
        <v>135</v>
      </c>
      <c r="N68" s="25" t="s">
        <v>136</v>
      </c>
      <c r="O68" s="25" t="s">
        <v>137</v>
      </c>
      <c r="P68" s="25">
        <v>69</v>
      </c>
      <c r="Q68" s="25">
        <f t="shared" si="0"/>
        <v>69</v>
      </c>
      <c r="R68" s="28">
        <f t="shared" si="1"/>
        <v>0.5</v>
      </c>
      <c r="S68" s="25">
        <v>69</v>
      </c>
      <c r="T68" s="28">
        <v>0.5</v>
      </c>
      <c r="U68" s="29" t="str">
        <f>IF(K68="经验",ROUND(INDEX([1]人物经验!$N$24:$N$573,S68)*T68+INDEX([1]人物经验!$O$24:$O$573,S68)-INDEX([1]人物经验!$O$24:$O$573,Q68)-INDEX([1]人物经验!$N$24:$N$573,Q68)*R68,0),"")</f>
        <v/>
      </c>
      <c r="V68" s="29"/>
      <c r="W68" s="29" t="str">
        <f>IF(K68="金币",INT(V68/[2]货币基础!$B$6*3600*INDEX([1]人物经验!$K$24:$K$573,P68)/1000+1)*1000,"")</f>
        <v/>
      </c>
      <c r="X68" s="29"/>
      <c r="Y68" s="29" t="str">
        <f>IF(K68="元宝",X68/[2]货币基础!$B$5,"")</f>
        <v/>
      </c>
      <c r="Z68" s="29">
        <v>2</v>
      </c>
      <c r="AA68" s="29">
        <f>IF(K68="钻石",Z68/[2]货币基础!$B$4,"")</f>
        <v>200</v>
      </c>
      <c r="AB68" s="29"/>
      <c r="AC68" s="29"/>
      <c r="AD68" s="25"/>
      <c r="AE68" s="27" t="s">
        <v>400</v>
      </c>
      <c r="AF68" s="27" t="s">
        <v>399</v>
      </c>
      <c r="AG68" s="27" t="s">
        <v>400</v>
      </c>
      <c r="AH68" s="27" t="s">
        <v>659</v>
      </c>
      <c r="AI68" s="27" t="s">
        <v>398</v>
      </c>
      <c r="AJ68" s="27" t="s">
        <v>398</v>
      </c>
      <c r="AK68" s="27" t="s">
        <v>660</v>
      </c>
      <c r="AL68" s="27" t="s">
        <v>658</v>
      </c>
    </row>
    <row r="69" spans="1:38" s="30" customFormat="1" x14ac:dyDescent="0.15">
      <c r="A69" s="36"/>
      <c r="B69" s="36"/>
      <c r="C69" s="36"/>
      <c r="D69" s="36"/>
      <c r="E69" s="36"/>
      <c r="F69" s="36"/>
      <c r="G69" s="26" t="s">
        <v>544</v>
      </c>
      <c r="H69" s="26"/>
      <c r="I69" s="26">
        <v>10</v>
      </c>
      <c r="J69" s="26">
        <f>SUM($I$6:I69)/60</f>
        <v>8.3333333333333339</v>
      </c>
      <c r="K69" s="27" t="s">
        <v>497</v>
      </c>
      <c r="L69" s="25"/>
      <c r="M69" s="25"/>
      <c r="N69" s="25" t="s">
        <v>661</v>
      </c>
      <c r="O69" s="25"/>
      <c r="P69" s="25">
        <v>69</v>
      </c>
      <c r="Q69" s="25">
        <f t="shared" si="0"/>
        <v>69</v>
      </c>
      <c r="R69" s="28">
        <f t="shared" si="1"/>
        <v>0.5</v>
      </c>
      <c r="S69" s="25">
        <v>70</v>
      </c>
      <c r="T69" s="28">
        <v>0</v>
      </c>
      <c r="U69" s="29">
        <f>IF(K69="经验",ROUND(INDEX([1]人物经验!$N$24:$N$573,S69)*T69+INDEX([1]人物经验!$O$24:$O$573,S69)-INDEX([1]人物经验!$O$24:$O$573,Q69)-INDEX([1]人物经验!$N$24:$N$573,Q69)*R69,0),"")</f>
        <v>157</v>
      </c>
      <c r="V69" s="29"/>
      <c r="W69" s="29" t="str">
        <f>IF(K69="金币",INT(V69/[2]货币基础!$B$6*3600*INDEX([1]人物经验!$K$24:$K$573,P69)/1000+1)*1000,"")</f>
        <v/>
      </c>
      <c r="X69" s="29"/>
      <c r="Y69" s="29" t="str">
        <f>IF(K69="元宝",X69/[2]货币基础!$B$5,"")</f>
        <v/>
      </c>
      <c r="Z69" s="29"/>
      <c r="AA69" s="29" t="str">
        <f>IF(K69="钻石",Z69/[2]货币基础!$B$4,"")</f>
        <v/>
      </c>
      <c r="AB69" s="29"/>
      <c r="AC69" s="29"/>
      <c r="AD69" s="25" t="s">
        <v>685</v>
      </c>
      <c r="AE69" s="27" t="s">
        <v>400</v>
      </c>
      <c r="AF69" s="27" t="s">
        <v>399</v>
      </c>
      <c r="AG69" s="27" t="s">
        <v>400</v>
      </c>
      <c r="AH69" s="27" t="s">
        <v>659</v>
      </c>
      <c r="AI69" s="27" t="s">
        <v>657</v>
      </c>
      <c r="AJ69" s="27" t="s">
        <v>398</v>
      </c>
      <c r="AK69" s="27" t="s">
        <v>660</v>
      </c>
      <c r="AL69" s="27" t="s">
        <v>658</v>
      </c>
    </row>
    <row r="70" spans="1:38" s="30" customFormat="1" x14ac:dyDescent="0.15">
      <c r="A70" s="36"/>
      <c r="B70" s="36"/>
      <c r="C70" s="36"/>
      <c r="D70" s="36"/>
      <c r="E70" s="36"/>
      <c r="F70" s="36"/>
      <c r="G70" s="26" t="s">
        <v>619</v>
      </c>
      <c r="H70" s="26" t="s">
        <v>545</v>
      </c>
      <c r="I70" s="26">
        <v>5</v>
      </c>
      <c r="J70" s="26">
        <f>SUM($I$6:I70)/60</f>
        <v>8.4166666666666661</v>
      </c>
      <c r="K70" s="27" t="s">
        <v>496</v>
      </c>
      <c r="L70" s="25"/>
      <c r="M70" s="25"/>
      <c r="N70" s="25"/>
      <c r="O70" s="25"/>
      <c r="P70" s="25">
        <v>70</v>
      </c>
      <c r="Q70" s="25">
        <f t="shared" si="0"/>
        <v>70</v>
      </c>
      <c r="R70" s="28">
        <f t="shared" si="1"/>
        <v>0</v>
      </c>
      <c r="S70" s="25">
        <v>70</v>
      </c>
      <c r="T70" s="28">
        <v>0</v>
      </c>
      <c r="U70" s="29" t="str">
        <f>IF(K70="经验",ROUND(INDEX([1]人物经验!$N$24:$N$573,S70)*T70+INDEX([1]人物经验!$O$24:$O$573,S70)-INDEX([1]人物经验!$O$24:$O$573,Q70)-INDEX([1]人物经验!$N$24:$N$573,Q70)*R70,0),"")</f>
        <v/>
      </c>
      <c r="V70" s="29"/>
      <c r="W70" s="29" t="str">
        <f>IF(K70="金币",INT(V70/[2]货币基础!$B$6*3600*INDEX([1]人物经验!$K$24:$K$573,P70)/1000+1)*1000,"")</f>
        <v/>
      </c>
      <c r="X70" s="29">
        <v>0.5</v>
      </c>
      <c r="Y70" s="29">
        <f>IF(K70="元宝",X70/[2]货币基础!$B$5,"")</f>
        <v>5000</v>
      </c>
      <c r="Z70" s="29"/>
      <c r="AA70" s="29" t="str">
        <f>IF(K70="钻石",Z70/[2]货币基础!$B$4,"")</f>
        <v/>
      </c>
      <c r="AB70" s="29"/>
      <c r="AC70" s="29"/>
      <c r="AD70" s="25"/>
      <c r="AE70" s="27" t="s">
        <v>400</v>
      </c>
      <c r="AF70" s="27" t="s">
        <v>399</v>
      </c>
      <c r="AG70" s="27" t="s">
        <v>400</v>
      </c>
      <c r="AH70" s="27" t="s">
        <v>401</v>
      </c>
      <c r="AI70" s="27" t="s">
        <v>657</v>
      </c>
      <c r="AJ70" s="27" t="s">
        <v>398</v>
      </c>
      <c r="AK70" s="27" t="s">
        <v>402</v>
      </c>
      <c r="AL70" s="27" t="s">
        <v>400</v>
      </c>
    </row>
    <row r="71" spans="1:38" s="30" customFormat="1" x14ac:dyDescent="0.15">
      <c r="A71" s="36"/>
      <c r="B71" s="36"/>
      <c r="C71" s="36"/>
      <c r="D71" s="36"/>
      <c r="E71" s="36"/>
      <c r="F71" s="36"/>
      <c r="G71" s="26" t="s">
        <v>546</v>
      </c>
      <c r="H71" s="26"/>
      <c r="I71" s="26">
        <v>10</v>
      </c>
      <c r="J71" s="26">
        <f>SUM($I$6:I71)/60</f>
        <v>8.5833333333333339</v>
      </c>
      <c r="K71" s="27" t="s">
        <v>497</v>
      </c>
      <c r="L71" s="25"/>
      <c r="M71" s="25"/>
      <c r="N71" s="25" t="s">
        <v>662</v>
      </c>
      <c r="O71" s="25"/>
      <c r="P71" s="25">
        <v>70</v>
      </c>
      <c r="Q71" s="25">
        <f t="shared" si="0"/>
        <v>70</v>
      </c>
      <c r="R71" s="28">
        <f t="shared" si="1"/>
        <v>0</v>
      </c>
      <c r="S71" s="25">
        <v>71</v>
      </c>
      <c r="T71" s="28">
        <v>0</v>
      </c>
      <c r="U71" s="29">
        <f>IF(K71="经验",ROUND(INDEX([1]人物经验!$N$24:$N$573,S71)*T71+INDEX([1]人物经验!$O$24:$O$573,S71)-INDEX([1]人物经验!$O$24:$O$573,Q71)-INDEX([1]人物经验!$N$24:$N$573,Q71)*R71,0),"")</f>
        <v>334</v>
      </c>
      <c r="V71" s="29"/>
      <c r="W71" s="29" t="str">
        <f>IF(K71="金币",INT(V71/[2]货币基础!$B$6*3600*INDEX([1]人物经验!$K$24:$K$573,P71)/1000+1)*1000,"")</f>
        <v/>
      </c>
      <c r="X71" s="29"/>
      <c r="Y71" s="29" t="str">
        <f>IF(K71="元宝",X71/[2]货币基础!$B$5,"")</f>
        <v/>
      </c>
      <c r="Z71" s="29"/>
      <c r="AA71" s="29" t="str">
        <f>IF(K71="钻石",Z71/[2]货币基础!$B$4,"")</f>
        <v/>
      </c>
      <c r="AB71" s="29"/>
      <c r="AC71" s="29"/>
      <c r="AD71" s="25"/>
      <c r="AE71" s="27" t="s">
        <v>400</v>
      </c>
      <c r="AF71" s="27" t="s">
        <v>399</v>
      </c>
      <c r="AG71" s="27" t="s">
        <v>400</v>
      </c>
      <c r="AH71" s="27" t="s">
        <v>401</v>
      </c>
      <c r="AI71" s="27" t="s">
        <v>657</v>
      </c>
      <c r="AJ71" s="27" t="s">
        <v>657</v>
      </c>
      <c r="AK71" s="27" t="s">
        <v>402</v>
      </c>
      <c r="AL71" s="27" t="s">
        <v>400</v>
      </c>
    </row>
    <row r="72" spans="1:38" s="30" customFormat="1" x14ac:dyDescent="0.15">
      <c r="A72" s="36"/>
      <c r="B72" s="36"/>
      <c r="C72" s="36"/>
      <c r="D72" s="36"/>
      <c r="E72" s="36"/>
      <c r="F72" s="36"/>
      <c r="G72" s="26" t="s">
        <v>620</v>
      </c>
      <c r="H72" s="26" t="s">
        <v>547</v>
      </c>
      <c r="I72" s="26">
        <v>5</v>
      </c>
      <c r="J72" s="26">
        <f>SUM($I$6:I72)/60</f>
        <v>8.6666666666666661</v>
      </c>
      <c r="K72" s="27" t="s">
        <v>116</v>
      </c>
      <c r="L72" s="25"/>
      <c r="M72" s="24"/>
      <c r="N72" s="25"/>
      <c r="O72" s="25"/>
      <c r="P72" s="25">
        <v>71</v>
      </c>
      <c r="Q72" s="25">
        <f t="shared" si="0"/>
        <v>71</v>
      </c>
      <c r="R72" s="28">
        <f t="shared" si="1"/>
        <v>0</v>
      </c>
      <c r="S72" s="25">
        <v>71</v>
      </c>
      <c r="T72" s="28">
        <v>0</v>
      </c>
      <c r="U72" s="29" t="str">
        <f>IF(K72="经验",ROUND(INDEX([1]人物经验!$N$24:$N$573,S72)*T72+INDEX([1]人物经验!$O$24:$O$573,S72)-INDEX([1]人物经验!$O$24:$O$573,Q72)-INDEX([1]人物经验!$N$24:$N$573,Q72)*R72,0),"")</f>
        <v/>
      </c>
      <c r="V72" s="29"/>
      <c r="W72" s="29" t="str">
        <f>IF(K72="金币",INT(V72/[2]货币基础!$B$6*3600*INDEX([1]人物经验!$K$24:$K$573,P72)/1000+1)*1000,"")</f>
        <v/>
      </c>
      <c r="X72" s="29">
        <v>0.5</v>
      </c>
      <c r="Y72" s="29">
        <f>IF(K72="元宝",X72/[2]货币基础!$B$5,"")</f>
        <v>5000</v>
      </c>
      <c r="Z72" s="29"/>
      <c r="AA72" s="29" t="str">
        <f>IF(K72="钻石",Z72/[2]货币基础!$B$4,"")</f>
        <v/>
      </c>
      <c r="AB72" s="29"/>
      <c r="AC72" s="29"/>
      <c r="AD72" s="25"/>
      <c r="AE72" s="27" t="s">
        <v>400</v>
      </c>
      <c r="AF72" s="27" t="s">
        <v>399</v>
      </c>
      <c r="AG72" s="27" t="s">
        <v>400</v>
      </c>
      <c r="AH72" s="27" t="s">
        <v>401</v>
      </c>
      <c r="AI72" s="27" t="s">
        <v>399</v>
      </c>
      <c r="AJ72" s="27" t="s">
        <v>657</v>
      </c>
      <c r="AK72" s="27" t="s">
        <v>402</v>
      </c>
      <c r="AL72" s="27" t="s">
        <v>400</v>
      </c>
    </row>
    <row r="73" spans="1:38" s="30" customFormat="1" x14ac:dyDescent="0.15">
      <c r="A73" s="36"/>
      <c r="B73" s="36"/>
      <c r="C73" s="36"/>
      <c r="D73" s="36"/>
      <c r="E73" s="36"/>
      <c r="F73" s="36"/>
      <c r="G73" s="26" t="s">
        <v>621</v>
      </c>
      <c r="H73" s="26" t="s">
        <v>443</v>
      </c>
      <c r="I73" s="26">
        <v>10</v>
      </c>
      <c r="J73" s="26">
        <f>SUM($I$6:I73)/60</f>
        <v>8.8333333333333339</v>
      </c>
      <c r="K73" s="27" t="s">
        <v>48</v>
      </c>
      <c r="L73" s="25"/>
      <c r="M73" s="25"/>
      <c r="N73" s="25"/>
      <c r="O73" s="25"/>
      <c r="P73" s="25">
        <v>71</v>
      </c>
      <c r="Q73" s="25">
        <f t="shared" si="0"/>
        <v>71</v>
      </c>
      <c r="R73" s="28">
        <f t="shared" si="1"/>
        <v>0</v>
      </c>
      <c r="S73" s="25">
        <v>71</v>
      </c>
      <c r="T73" s="28">
        <v>0.5</v>
      </c>
      <c r="U73" s="29">
        <f>IF(K73="经验",ROUND(INDEX([1]人物经验!$N$24:$N$573,S73)*T73+INDEX([1]人物经验!$O$24:$O$573,S73)-INDEX([1]人物经验!$O$24:$O$573,Q73)-INDEX([1]人物经验!$N$24:$N$573,Q73)*R73,0),"")</f>
        <v>173</v>
      </c>
      <c r="V73" s="29"/>
      <c r="W73" s="29" t="str">
        <f>IF(K73="金币",INT(V73/[2]货币基础!$B$6*3600*INDEX([1]人物经验!$K$24:$K$573,P73)/1000+1)*1000,"")</f>
        <v/>
      </c>
      <c r="X73" s="29"/>
      <c r="Y73" s="29" t="str">
        <f>IF(K73="元宝",X73/[2]货币基础!$B$5,"")</f>
        <v/>
      </c>
      <c r="Z73" s="29"/>
      <c r="AA73" s="29" t="str">
        <f>IF(K73="钻石",Z73/[2]货币基础!$B$4,"")</f>
        <v/>
      </c>
      <c r="AB73" s="29"/>
      <c r="AC73" s="29"/>
      <c r="AD73" s="25"/>
      <c r="AE73" s="27" t="s">
        <v>400</v>
      </c>
      <c r="AF73" s="27" t="s">
        <v>399</v>
      </c>
      <c r="AG73" s="27" t="s">
        <v>400</v>
      </c>
      <c r="AH73" s="27" t="s">
        <v>401</v>
      </c>
      <c r="AI73" s="27" t="s">
        <v>399</v>
      </c>
      <c r="AJ73" s="27" t="s">
        <v>399</v>
      </c>
      <c r="AK73" s="27" t="s">
        <v>402</v>
      </c>
      <c r="AL73" s="27" t="s">
        <v>400</v>
      </c>
    </row>
    <row r="74" spans="1:38" s="30" customFormat="1" x14ac:dyDescent="0.15">
      <c r="A74" s="36"/>
      <c r="B74" s="36"/>
      <c r="C74" s="36"/>
      <c r="D74" s="36"/>
      <c r="E74" s="36"/>
      <c r="F74" s="36"/>
      <c r="G74" s="26" t="s">
        <v>622</v>
      </c>
      <c r="H74" s="26" t="s">
        <v>548</v>
      </c>
      <c r="I74" s="26">
        <v>5</v>
      </c>
      <c r="J74" s="26">
        <f>SUM($I$6:I74)/60</f>
        <v>8.9166666666666661</v>
      </c>
      <c r="K74" s="27" t="s">
        <v>562</v>
      </c>
      <c r="L74" s="25"/>
      <c r="M74" s="25"/>
      <c r="N74" s="25"/>
      <c r="O74" s="25"/>
      <c r="P74" s="25">
        <v>71</v>
      </c>
      <c r="Q74" s="25">
        <f t="shared" si="0"/>
        <v>71</v>
      </c>
      <c r="R74" s="28">
        <f t="shared" si="1"/>
        <v>0.5</v>
      </c>
      <c r="S74" s="25">
        <v>71</v>
      </c>
      <c r="T74" s="28">
        <v>0.5</v>
      </c>
      <c r="U74" s="29" t="str">
        <f>IF(K74="经验",ROUND(INDEX([1]人物经验!$N$24:$N$573,S74)*T74+INDEX([1]人物经验!$O$24:$O$573,S74)-INDEX([1]人物经验!$O$24:$O$573,Q74)-INDEX([1]人物经验!$N$24:$N$573,Q74)*R74,0),"")</f>
        <v/>
      </c>
      <c r="V74" s="29"/>
      <c r="W74" s="29" t="str">
        <f>IF(K74="金币",INT(V74/[2]货币基础!$B$6*3600*INDEX([1]人物经验!$K$24:$K$573,P74)/1000+1)*1000,"")</f>
        <v/>
      </c>
      <c r="X74" s="29"/>
      <c r="Y74" s="29" t="str">
        <f>IF(K74="元宝",X74/[2]货币基础!$B$5,"")</f>
        <v/>
      </c>
      <c r="Z74" s="29">
        <v>3</v>
      </c>
      <c r="AA74" s="29">
        <f>IF(K74="钻石",Z74/[2]货币基础!$B$4,"")</f>
        <v>300</v>
      </c>
      <c r="AB74" s="29"/>
      <c r="AC74" s="29"/>
      <c r="AD74" s="25"/>
      <c r="AE74" s="27" t="s">
        <v>400</v>
      </c>
      <c r="AF74" s="27" t="s">
        <v>399</v>
      </c>
      <c r="AG74" s="27" t="s">
        <v>400</v>
      </c>
      <c r="AH74" s="27" t="s">
        <v>401</v>
      </c>
      <c r="AI74" s="27" t="s">
        <v>399</v>
      </c>
      <c r="AJ74" s="27" t="s">
        <v>399</v>
      </c>
      <c r="AK74" s="27" t="s">
        <v>402</v>
      </c>
      <c r="AL74" s="27" t="s">
        <v>400</v>
      </c>
    </row>
    <row r="75" spans="1:38" s="30" customFormat="1" x14ac:dyDescent="0.15">
      <c r="A75" s="36"/>
      <c r="B75" s="36"/>
      <c r="C75" s="36"/>
      <c r="D75" s="36"/>
      <c r="E75" s="36"/>
      <c r="F75" s="36"/>
      <c r="G75" s="26" t="s">
        <v>623</v>
      </c>
      <c r="H75" s="26" t="s">
        <v>549</v>
      </c>
      <c r="I75" s="26">
        <v>20</v>
      </c>
      <c r="J75" s="26">
        <f>SUM($I$6:I75)/60</f>
        <v>9.25</v>
      </c>
      <c r="K75" s="27" t="s">
        <v>497</v>
      </c>
      <c r="L75" s="31" t="s">
        <v>693</v>
      </c>
      <c r="M75" s="25"/>
      <c r="N75" s="25"/>
      <c r="O75" s="25"/>
      <c r="P75" s="25">
        <v>71</v>
      </c>
      <c r="Q75" s="25">
        <f t="shared" si="0"/>
        <v>71</v>
      </c>
      <c r="R75" s="28">
        <f t="shared" si="1"/>
        <v>0.5</v>
      </c>
      <c r="S75" s="25">
        <v>72</v>
      </c>
      <c r="T75" s="28">
        <v>0</v>
      </c>
      <c r="U75" s="29">
        <f>IF(K75="经验",ROUND(INDEX([1]人物经验!$N$24:$N$573,S75)*T75+INDEX([1]人物经验!$O$24:$O$573,S75)-INDEX([1]人物经验!$O$24:$O$573,Q75)-INDEX([1]人物经验!$N$24:$N$573,Q75)*R75,0),"")</f>
        <v>173</v>
      </c>
      <c r="V75" s="29"/>
      <c r="W75" s="29" t="str">
        <f>IF(K75="金币",INT(V75/[2]货币基础!$B$6*3600*INDEX([1]人物经验!$K$24:$K$573,P75)/1000+1)*1000,"")</f>
        <v/>
      </c>
      <c r="X75" s="29"/>
      <c r="Y75" s="29" t="str">
        <f>IF(K75="元宝",X75/[2]货币基础!$B$5,"")</f>
        <v/>
      </c>
      <c r="Z75" s="29"/>
      <c r="AA75" s="29" t="str">
        <f>IF(K75="钻石",Z75/[2]货币基础!$B$4,"")</f>
        <v/>
      </c>
      <c r="AB75" s="29"/>
      <c r="AC75" s="29"/>
      <c r="AD75" s="25"/>
      <c r="AE75" s="27" t="s">
        <v>400</v>
      </c>
      <c r="AF75" s="27" t="s">
        <v>399</v>
      </c>
      <c r="AG75" s="27" t="s">
        <v>400</v>
      </c>
      <c r="AH75" s="27" t="s">
        <v>401</v>
      </c>
      <c r="AI75" s="27" t="s">
        <v>399</v>
      </c>
      <c r="AJ75" s="27" t="s">
        <v>399</v>
      </c>
      <c r="AK75" s="27" t="s">
        <v>402</v>
      </c>
      <c r="AL75" s="27" t="s">
        <v>400</v>
      </c>
    </row>
    <row r="76" spans="1:38" s="30" customFormat="1" x14ac:dyDescent="0.15">
      <c r="A76" s="36"/>
      <c r="B76" s="36"/>
      <c r="C76" s="36"/>
      <c r="D76" s="36"/>
      <c r="E76" s="36"/>
      <c r="F76" s="36"/>
      <c r="G76" s="26" t="s">
        <v>624</v>
      </c>
      <c r="H76" s="26" t="s">
        <v>550</v>
      </c>
      <c r="I76" s="26">
        <v>10</v>
      </c>
      <c r="J76" s="26">
        <f>SUM($I$6:I76)/60</f>
        <v>9.4166666666666661</v>
      </c>
      <c r="K76" s="27" t="s">
        <v>564</v>
      </c>
      <c r="L76" s="25"/>
      <c r="M76" s="25"/>
      <c r="N76" s="25"/>
      <c r="O76" s="25"/>
      <c r="P76" s="25">
        <v>72</v>
      </c>
      <c r="Q76" s="25">
        <f t="shared" si="0"/>
        <v>72</v>
      </c>
      <c r="R76" s="28">
        <f t="shared" si="1"/>
        <v>0</v>
      </c>
      <c r="S76" s="25">
        <v>72</v>
      </c>
      <c r="T76" s="28">
        <v>0.5</v>
      </c>
      <c r="U76" s="29">
        <f>IF(K76="经验",ROUND(INDEX([1]人物经验!$N$24:$N$573,S76)*T76+INDEX([1]人物经验!$O$24:$O$573,S76)-INDEX([1]人物经验!$O$24:$O$573,Q76)-INDEX([1]人物经验!$N$24:$N$573,Q76)*R76,0),"")</f>
        <v>184</v>
      </c>
      <c r="V76" s="29"/>
      <c r="W76" s="29" t="str">
        <f>IF(K76="金币",INT(V76/[2]货币基础!$B$6*3600*INDEX([1]人物经验!$K$24:$K$573,P76)/1000+1)*1000,"")</f>
        <v/>
      </c>
      <c r="X76" s="29"/>
      <c r="Y76" s="29" t="str">
        <f>IF(K76="元宝",X76/[2]货币基础!$B$5,"")</f>
        <v/>
      </c>
      <c r="Z76" s="29"/>
      <c r="AA76" s="29" t="str">
        <f>IF(K76="钻石",Z76/[2]货币基础!$B$4,"")</f>
        <v/>
      </c>
      <c r="AB76" s="29"/>
      <c r="AC76" s="29"/>
      <c r="AD76" s="25"/>
      <c r="AE76" s="27" t="s">
        <v>400</v>
      </c>
      <c r="AF76" s="27" t="s">
        <v>399</v>
      </c>
      <c r="AG76" s="27" t="s">
        <v>400</v>
      </c>
      <c r="AH76" s="27" t="s">
        <v>401</v>
      </c>
      <c r="AI76" s="27" t="s">
        <v>399</v>
      </c>
      <c r="AJ76" s="27" t="s">
        <v>399</v>
      </c>
      <c r="AK76" s="27" t="s">
        <v>402</v>
      </c>
      <c r="AL76" s="27" t="s">
        <v>400</v>
      </c>
    </row>
    <row r="77" spans="1:38" s="30" customFormat="1" x14ac:dyDescent="0.15">
      <c r="A77" s="36"/>
      <c r="B77" s="36"/>
      <c r="C77" s="36"/>
      <c r="D77" s="36"/>
      <c r="E77" s="36"/>
      <c r="F77" s="36"/>
      <c r="G77" s="26" t="s">
        <v>625</v>
      </c>
      <c r="H77" s="26" t="s">
        <v>551</v>
      </c>
      <c r="I77" s="26">
        <v>5</v>
      </c>
      <c r="J77" s="26">
        <f>SUM($I$6:I77)/60</f>
        <v>9.5</v>
      </c>
      <c r="K77" s="27" t="s">
        <v>563</v>
      </c>
      <c r="L77" s="25"/>
      <c r="M77" s="25"/>
      <c r="N77" s="25"/>
      <c r="O77" s="25"/>
      <c r="P77" s="25">
        <v>72</v>
      </c>
      <c r="Q77" s="25">
        <f t="shared" si="0"/>
        <v>72</v>
      </c>
      <c r="R77" s="28">
        <f t="shared" si="1"/>
        <v>0.5</v>
      </c>
      <c r="S77" s="25">
        <v>72</v>
      </c>
      <c r="T77" s="28">
        <v>0.5</v>
      </c>
      <c r="U77" s="29" t="str">
        <f>IF(K77="经验",ROUND(INDEX([1]人物经验!$N$24:$N$573,S77)*T77+INDEX([1]人物经验!$O$24:$O$573,S77)-INDEX([1]人物经验!$O$24:$O$573,Q77)-INDEX([1]人物经验!$N$24:$N$573,Q77)*R77,0),"")</f>
        <v/>
      </c>
      <c r="V77" s="29"/>
      <c r="W77" s="29" t="str">
        <f>IF(K77="金币",INT(V77/[2]货币基础!$B$6*3600*INDEX([1]人物经验!$K$24:$K$573,P77)/1000+1)*1000,"")</f>
        <v/>
      </c>
      <c r="X77" s="29">
        <v>1</v>
      </c>
      <c r="Y77" s="29">
        <f>IF(K77="元宝",X77/[2]货币基础!$B$5,"")</f>
        <v>10000</v>
      </c>
      <c r="Z77" s="29"/>
      <c r="AA77" s="29" t="str">
        <f>IF(K77="钻石",Z77/[2]货币基础!$B$4,"")</f>
        <v/>
      </c>
      <c r="AB77" s="29"/>
      <c r="AC77" s="29"/>
      <c r="AD77" s="25"/>
      <c r="AE77" s="27" t="s">
        <v>400</v>
      </c>
      <c r="AF77" s="27" t="s">
        <v>399</v>
      </c>
      <c r="AG77" s="27" t="s">
        <v>400</v>
      </c>
      <c r="AH77" s="27" t="s">
        <v>401</v>
      </c>
      <c r="AI77" s="27" t="s">
        <v>399</v>
      </c>
      <c r="AJ77" s="27" t="s">
        <v>399</v>
      </c>
      <c r="AK77" s="27" t="s">
        <v>402</v>
      </c>
      <c r="AL77" s="27" t="s">
        <v>400</v>
      </c>
    </row>
    <row r="78" spans="1:38" s="30" customFormat="1" x14ac:dyDescent="0.15">
      <c r="A78" s="36"/>
      <c r="B78" s="36"/>
      <c r="C78" s="36"/>
      <c r="D78" s="36"/>
      <c r="E78" s="36"/>
      <c r="F78" s="36"/>
      <c r="G78" s="26" t="s">
        <v>552</v>
      </c>
      <c r="H78" s="26"/>
      <c r="I78" s="26">
        <v>15</v>
      </c>
      <c r="J78" s="26">
        <f>SUM($I$6:I78)/60</f>
        <v>9.75</v>
      </c>
      <c r="K78" s="27" t="s">
        <v>565</v>
      </c>
      <c r="L78" s="25"/>
      <c r="M78" s="25"/>
      <c r="N78" s="25" t="s">
        <v>560</v>
      </c>
      <c r="O78" s="25"/>
      <c r="P78" s="25">
        <v>72</v>
      </c>
      <c r="Q78" s="25">
        <f t="shared" ref="Q78:Q83" si="34">S77</f>
        <v>72</v>
      </c>
      <c r="R78" s="28">
        <f t="shared" ref="R78:R83" si="35">T77</f>
        <v>0.5</v>
      </c>
      <c r="S78" s="25">
        <v>73</v>
      </c>
      <c r="T78" s="28">
        <v>0.3</v>
      </c>
      <c r="U78" s="29">
        <f>IF(K78="经验",ROUND(INDEX([1]人物经验!$N$24:$N$573,S78)*T78+INDEX([1]人物经验!$O$24:$O$573,S78)-INDEX([1]人物经验!$O$24:$O$573,Q78)-INDEX([1]人物经验!$N$24:$N$573,Q78)*R78,0),"")</f>
        <v>298</v>
      </c>
      <c r="V78" s="29"/>
      <c r="W78" s="29" t="str">
        <f>IF(K78="金币",INT(V78/[2]货币基础!$B$6*3600*INDEX([1]人物经验!$K$24:$K$573,P78)/1000+1)*1000,"")</f>
        <v/>
      </c>
      <c r="X78" s="29"/>
      <c r="Y78" s="29" t="str">
        <f>IF(K78="元宝",X78/[2]货币基础!$B$5,"")</f>
        <v/>
      </c>
      <c r="Z78" s="29"/>
      <c r="AA78" s="29" t="str">
        <f>IF(K78="钻石",Z78/[2]货币基础!$B$4,"")</f>
        <v/>
      </c>
      <c r="AB78" s="29"/>
      <c r="AC78" s="29"/>
      <c r="AD78" s="25"/>
      <c r="AE78" s="27" t="s">
        <v>400</v>
      </c>
      <c r="AF78" s="27" t="s">
        <v>399</v>
      </c>
      <c r="AG78" s="27" t="s">
        <v>400</v>
      </c>
      <c r="AH78" s="27" t="s">
        <v>401</v>
      </c>
      <c r="AI78" s="27" t="s">
        <v>399</v>
      </c>
      <c r="AJ78" s="27" t="s">
        <v>658</v>
      </c>
      <c r="AK78" s="27" t="s">
        <v>402</v>
      </c>
      <c r="AL78" s="27" t="s">
        <v>400</v>
      </c>
    </row>
    <row r="79" spans="1:38" s="30" customFormat="1" x14ac:dyDescent="0.15">
      <c r="A79" s="36"/>
      <c r="B79" s="36"/>
      <c r="C79" s="36"/>
      <c r="D79" s="36"/>
      <c r="E79" s="36"/>
      <c r="F79" s="36"/>
      <c r="G79" s="26" t="s">
        <v>553</v>
      </c>
      <c r="H79" s="26"/>
      <c r="I79" s="26">
        <v>15</v>
      </c>
      <c r="J79" s="26">
        <f>SUM($I$6:I79)/60</f>
        <v>10</v>
      </c>
      <c r="K79" s="27" t="s">
        <v>565</v>
      </c>
      <c r="L79" s="25"/>
      <c r="M79" s="25"/>
      <c r="N79" s="25" t="s">
        <v>559</v>
      </c>
      <c r="O79" s="25"/>
      <c r="P79" s="25">
        <v>73</v>
      </c>
      <c r="Q79" s="25">
        <f t="shared" si="34"/>
        <v>73</v>
      </c>
      <c r="R79" s="28">
        <f t="shared" si="35"/>
        <v>0.3</v>
      </c>
      <c r="S79" s="25">
        <v>74</v>
      </c>
      <c r="T79" s="28">
        <v>0</v>
      </c>
      <c r="U79" s="29">
        <f>IF(K79="经验",ROUND(INDEX([1]人物经验!$N$24:$N$573,S79)*T79+INDEX([1]人物经验!$O$24:$O$573,S79)-INDEX([1]人物经验!$O$24:$O$573,Q79)-INDEX([1]人物经验!$N$24:$N$573,Q79)*R79,0),"")</f>
        <v>267</v>
      </c>
      <c r="V79" s="29"/>
      <c r="W79" s="29" t="str">
        <f>IF(K79="金币",INT(V79/[2]货币基础!$B$6*3600*INDEX([1]人物经验!$K$24:$K$573,P79)/1000+1)*1000,"")</f>
        <v/>
      </c>
      <c r="X79" s="29"/>
      <c r="Y79" s="29" t="str">
        <f>IF(K79="元宝",X79/[2]货币基础!$B$5,"")</f>
        <v/>
      </c>
      <c r="Z79" s="29"/>
      <c r="AA79" s="29" t="str">
        <f>IF(K79="钻石",Z79/[2]货币基础!$B$4,"")</f>
        <v/>
      </c>
      <c r="AB79" s="29"/>
      <c r="AC79" s="29"/>
      <c r="AD79" s="25"/>
      <c r="AE79" s="27" t="s">
        <v>400</v>
      </c>
      <c r="AF79" s="27" t="s">
        <v>399</v>
      </c>
      <c r="AG79" s="27" t="s">
        <v>400</v>
      </c>
      <c r="AH79" s="27" t="s">
        <v>401</v>
      </c>
      <c r="AI79" s="27" t="s">
        <v>658</v>
      </c>
      <c r="AJ79" s="27" t="s">
        <v>658</v>
      </c>
      <c r="AK79" s="27" t="s">
        <v>402</v>
      </c>
      <c r="AL79" s="27" t="s">
        <v>400</v>
      </c>
    </row>
    <row r="80" spans="1:38" s="30" customFormat="1" x14ac:dyDescent="0.15">
      <c r="A80" s="36"/>
      <c r="B80" s="36"/>
      <c r="C80" s="36"/>
      <c r="D80" s="36"/>
      <c r="E80" s="36"/>
      <c r="F80" s="36"/>
      <c r="G80" s="26" t="s">
        <v>554</v>
      </c>
      <c r="H80" s="26"/>
      <c r="I80" s="26">
        <v>15</v>
      </c>
      <c r="J80" s="26">
        <f>SUM($I$6:I80)/60</f>
        <v>10.25</v>
      </c>
      <c r="K80" s="27" t="s">
        <v>565</v>
      </c>
      <c r="L80" s="25"/>
      <c r="M80" s="25"/>
      <c r="N80" s="25" t="s">
        <v>561</v>
      </c>
      <c r="O80" s="25"/>
      <c r="P80" s="25">
        <v>74</v>
      </c>
      <c r="Q80" s="25">
        <f t="shared" si="34"/>
        <v>74</v>
      </c>
      <c r="R80" s="28">
        <f t="shared" si="35"/>
        <v>0</v>
      </c>
      <c r="S80" s="25">
        <v>74</v>
      </c>
      <c r="T80" s="28">
        <v>0.6</v>
      </c>
      <c r="U80" s="29">
        <f>IF(K80="经验",ROUND(INDEX([1]人物经验!$N$24:$N$573,S80)*T80+INDEX([1]人物经验!$O$24:$O$573,S80)-INDEX([1]人物经验!$O$24:$O$573,Q80)-INDEX([1]人物经验!$N$24:$N$573,Q80)*R80,0),"")</f>
        <v>244</v>
      </c>
      <c r="V80" s="29"/>
      <c r="W80" s="29" t="str">
        <f>IF(K80="金币",INT(V80/[2]货币基础!$B$6*3600*INDEX([1]人物经验!$K$24:$K$573,P80)/1000+1)*1000,"")</f>
        <v/>
      </c>
      <c r="X80" s="29"/>
      <c r="Y80" s="29" t="str">
        <f>IF(K80="元宝",X80/[2]货币基础!$B$5,"")</f>
        <v/>
      </c>
      <c r="Z80" s="29"/>
      <c r="AA80" s="29" t="str">
        <f>IF(K80="钻石",Z80/[2]货币基础!$B$4,"")</f>
        <v/>
      </c>
      <c r="AB80" s="29"/>
      <c r="AC80" s="29"/>
      <c r="AD80" s="25"/>
      <c r="AE80" s="27" t="s">
        <v>400</v>
      </c>
      <c r="AF80" s="27" t="s">
        <v>658</v>
      </c>
      <c r="AG80" s="27" t="s">
        <v>400</v>
      </c>
      <c r="AH80" s="27" t="s">
        <v>401</v>
      </c>
      <c r="AI80" s="27" t="s">
        <v>658</v>
      </c>
      <c r="AJ80" s="27" t="s">
        <v>400</v>
      </c>
      <c r="AK80" s="27" t="s">
        <v>402</v>
      </c>
      <c r="AL80" s="27" t="s">
        <v>400</v>
      </c>
    </row>
    <row r="81" spans="1:38" s="30" customFormat="1" x14ac:dyDescent="0.15">
      <c r="A81" s="36"/>
      <c r="B81" s="36"/>
      <c r="C81" s="36"/>
      <c r="D81" s="36"/>
      <c r="E81" s="36"/>
      <c r="F81" s="36"/>
      <c r="G81" s="26" t="s">
        <v>626</v>
      </c>
      <c r="H81" s="26" t="s">
        <v>568</v>
      </c>
      <c r="I81" s="26">
        <v>5</v>
      </c>
      <c r="J81" s="26">
        <f>SUM($I$6:I81)/60</f>
        <v>10.333333333333334</v>
      </c>
      <c r="K81" s="27" t="s">
        <v>567</v>
      </c>
      <c r="L81" s="25"/>
      <c r="M81" s="25"/>
      <c r="N81" s="25"/>
      <c r="O81" s="25"/>
      <c r="P81" s="25">
        <v>74</v>
      </c>
      <c r="Q81" s="25">
        <f t="shared" si="34"/>
        <v>74</v>
      </c>
      <c r="R81" s="28">
        <f t="shared" si="35"/>
        <v>0.6</v>
      </c>
      <c r="S81" s="25">
        <v>74</v>
      </c>
      <c r="T81" s="28">
        <v>0.6</v>
      </c>
      <c r="U81" s="29" t="str">
        <f>IF(K81="经验",ROUND(INDEX([1]人物经验!$N$24:$N$573,S81)*T81+INDEX([1]人物经验!$O$24:$O$573,S81)-INDEX([1]人物经验!$O$24:$O$573,Q81)-INDEX([1]人物经验!$N$24:$N$573,Q81)*R81,0),"")</f>
        <v/>
      </c>
      <c r="V81" s="29"/>
      <c r="W81" s="29" t="str">
        <f>IF(K81="金币",INT(V81/[2]货币基础!$B$6*3600*INDEX([1]人物经验!$K$24:$K$573,P81)/1000+1)*1000,"")</f>
        <v/>
      </c>
      <c r="X81" s="29">
        <v>1</v>
      </c>
      <c r="Y81" s="29">
        <f>IF(K81="元宝",X81/[2]货币基础!$B$5,"")</f>
        <v>10000</v>
      </c>
      <c r="Z81" s="29"/>
      <c r="AA81" s="29" t="str">
        <f>IF(K81="钻石",Z81/[2]货币基础!$B$4,"")</f>
        <v/>
      </c>
      <c r="AB81" s="29"/>
      <c r="AC81" s="29"/>
      <c r="AD81" s="25"/>
      <c r="AE81" s="27" t="s">
        <v>400</v>
      </c>
      <c r="AF81" s="27" t="s">
        <v>658</v>
      </c>
      <c r="AG81" s="27" t="s">
        <v>400</v>
      </c>
      <c r="AH81" s="27" t="s">
        <v>401</v>
      </c>
      <c r="AI81" s="27" t="s">
        <v>400</v>
      </c>
      <c r="AJ81" s="27" t="s">
        <v>400</v>
      </c>
      <c r="AK81" s="27" t="s">
        <v>402</v>
      </c>
      <c r="AL81" s="27" t="s">
        <v>400</v>
      </c>
    </row>
    <row r="82" spans="1:38" s="30" customFormat="1" x14ac:dyDescent="0.15">
      <c r="A82" s="36"/>
      <c r="B82" s="36"/>
      <c r="C82" s="36"/>
      <c r="D82" s="36"/>
      <c r="E82" s="36"/>
      <c r="F82" s="36"/>
      <c r="G82" s="26" t="s">
        <v>627</v>
      </c>
      <c r="H82" s="26" t="s">
        <v>64</v>
      </c>
      <c r="I82" s="26">
        <v>0</v>
      </c>
      <c r="J82" s="26">
        <f>SUM($I$6:I82)/60</f>
        <v>10.333333333333334</v>
      </c>
      <c r="K82" s="27" t="s">
        <v>566</v>
      </c>
      <c r="L82" s="25"/>
      <c r="M82" s="25"/>
      <c r="N82" s="25"/>
      <c r="O82" s="25"/>
      <c r="P82" s="25">
        <v>74</v>
      </c>
      <c r="Q82" s="25">
        <f t="shared" si="34"/>
        <v>74</v>
      </c>
      <c r="R82" s="28">
        <f t="shared" si="35"/>
        <v>0.6</v>
      </c>
      <c r="S82" s="25">
        <v>74</v>
      </c>
      <c r="T82" s="28">
        <v>0.6</v>
      </c>
      <c r="U82" s="29" t="str">
        <f>IF(K82="经验",ROUND(INDEX([1]人物经验!$N$24:$N$573,S82)*T82+INDEX([1]人物经验!$O$24:$O$573,S82)-INDEX([1]人物经验!$O$24:$O$573,Q82)-INDEX([1]人物经验!$N$24:$N$573,Q82)*R82,0),"")</f>
        <v/>
      </c>
      <c r="V82" s="29"/>
      <c r="W82" s="29" t="str">
        <f>IF(K82="金币",INT(V82/[2]货币基础!$B$6*3600*INDEX([1]人物经验!$K$24:$K$573,P82)/1000+1)*1000,"")</f>
        <v/>
      </c>
      <c r="X82" s="29"/>
      <c r="Y82" s="29" t="str">
        <f>IF(K82="元宝",X82/[2]货币基础!$B$5,"")</f>
        <v/>
      </c>
      <c r="Z82" s="29">
        <v>3</v>
      </c>
      <c r="AA82" s="29">
        <f>IF(K82="钻石",Z82/[2]货币基础!$B$4,"")</f>
        <v>300</v>
      </c>
      <c r="AB82" s="29"/>
      <c r="AC82" s="29"/>
      <c r="AD82" s="25"/>
      <c r="AE82" s="27" t="s">
        <v>400</v>
      </c>
      <c r="AF82" s="27" t="s">
        <v>400</v>
      </c>
      <c r="AG82" s="27" t="s">
        <v>400</v>
      </c>
      <c r="AH82" s="27" t="s">
        <v>401</v>
      </c>
      <c r="AI82" s="27" t="s">
        <v>400</v>
      </c>
      <c r="AJ82" s="27" t="s">
        <v>400</v>
      </c>
      <c r="AK82" s="27" t="s">
        <v>402</v>
      </c>
      <c r="AL82" s="27" t="s">
        <v>400</v>
      </c>
    </row>
    <row r="83" spans="1:38" s="30" customFormat="1" x14ac:dyDescent="0.15">
      <c r="A83" s="36"/>
      <c r="B83" s="36"/>
      <c r="C83" s="36"/>
      <c r="D83" s="36"/>
      <c r="E83" s="36"/>
      <c r="F83" s="36"/>
      <c r="G83" s="26" t="s">
        <v>628</v>
      </c>
      <c r="H83" s="26" t="s">
        <v>555</v>
      </c>
      <c r="I83" s="26">
        <v>0</v>
      </c>
      <c r="J83" s="26">
        <f>SUM($I$6:I83)/60</f>
        <v>10.333333333333334</v>
      </c>
      <c r="K83" s="27" t="s">
        <v>567</v>
      </c>
      <c r="L83" s="25"/>
      <c r="M83" s="25"/>
      <c r="N83" s="25"/>
      <c r="O83" s="25"/>
      <c r="P83" s="25">
        <v>74</v>
      </c>
      <c r="Q83" s="25">
        <f t="shared" si="34"/>
        <v>74</v>
      </c>
      <c r="R83" s="28">
        <f t="shared" si="35"/>
        <v>0.6</v>
      </c>
      <c r="S83" s="25">
        <v>74</v>
      </c>
      <c r="T83" s="28">
        <v>0.6</v>
      </c>
      <c r="U83" s="29" t="str">
        <f>IF(K83="经验",ROUND(INDEX([1]人物经验!$N$24:$N$573,S83)*T83+INDEX([1]人物经验!$O$24:$O$573,S83)-INDEX([1]人物经验!$O$24:$O$573,Q83)-INDEX([1]人物经验!$N$24:$N$573,Q83)*R83,0),"")</f>
        <v/>
      </c>
      <c r="V83" s="29"/>
      <c r="W83" s="29" t="str">
        <f>IF(K83="金币",INT(V83/[2]货币基础!$B$6*3600*INDEX([1]人物经验!$K$24:$K$573,P83)/1000+1)*1000,"")</f>
        <v/>
      </c>
      <c r="X83" s="29">
        <v>0.5</v>
      </c>
      <c r="Y83" s="29">
        <f>IF(K83="元宝",X83/[2]货币基础!$B$5,"")</f>
        <v>5000</v>
      </c>
      <c r="Z83" s="29"/>
      <c r="AA83" s="29" t="str">
        <f>IF(K83="钻石",Z83/[2]货币基础!$B$4,"")</f>
        <v/>
      </c>
      <c r="AB83" s="29"/>
      <c r="AC83" s="29"/>
      <c r="AD83" s="25"/>
      <c r="AE83" s="27" t="s">
        <v>400</v>
      </c>
      <c r="AF83" s="27" t="s">
        <v>400</v>
      </c>
      <c r="AG83" s="27" t="s">
        <v>400</v>
      </c>
      <c r="AH83" s="27" t="s">
        <v>401</v>
      </c>
      <c r="AI83" s="27" t="s">
        <v>400</v>
      </c>
      <c r="AJ83" s="27" t="s">
        <v>400</v>
      </c>
      <c r="AK83" s="27" t="s">
        <v>402</v>
      </c>
      <c r="AL83" s="27" t="s">
        <v>400</v>
      </c>
    </row>
    <row r="84" spans="1:38" x14ac:dyDescent="0.15">
      <c r="A84" s="36"/>
      <c r="B84" s="36"/>
      <c r="C84" s="36"/>
      <c r="D84" s="36"/>
      <c r="E84" s="36"/>
      <c r="F84" s="36"/>
      <c r="G84" s="1" t="s">
        <v>629</v>
      </c>
      <c r="H84" s="1" t="s">
        <v>556</v>
      </c>
      <c r="I84" s="1">
        <v>0</v>
      </c>
      <c r="J84" s="1">
        <f>SUM($I$6:I84)/60</f>
        <v>10.333333333333334</v>
      </c>
      <c r="K84" s="11" t="s">
        <v>567</v>
      </c>
      <c r="L84" s="12"/>
      <c r="M84" s="25"/>
      <c r="N84" s="12"/>
      <c r="O84" s="12"/>
      <c r="P84" s="12">
        <v>74</v>
      </c>
      <c r="Q84" s="12">
        <f t="shared" ref="Q84:Q86" si="36">S83</f>
        <v>74</v>
      </c>
      <c r="R84" s="13">
        <f t="shared" ref="R84:R86" si="37">T83</f>
        <v>0.6</v>
      </c>
      <c r="S84" s="12">
        <v>74</v>
      </c>
      <c r="T84" s="13">
        <v>0.6</v>
      </c>
      <c r="U84" s="14" t="str">
        <f>IF(K84="经验",ROUND(INDEX([1]人物经验!$N$24:$N$573,S84)*T84+INDEX([1]人物经验!$O$24:$O$573,S84)-INDEX([1]人物经验!$O$24:$O$573,Q84)-INDEX([1]人物经验!$N$24:$N$573,Q84)*R84,0),"")</f>
        <v/>
      </c>
      <c r="V84" s="14"/>
      <c r="W84" s="14" t="str">
        <f>IF(K84="金币",INT(V84/[2]货币基础!$B$6*3600*INDEX([1]人物经验!$K$24:$K$573,P84)/1000+1)*1000,"")</f>
        <v/>
      </c>
      <c r="X84" s="14">
        <v>0.5</v>
      </c>
      <c r="Y84" s="14">
        <f>IF(K84="元宝",X84/[2]货币基础!$B$5,"")</f>
        <v>5000</v>
      </c>
      <c r="Z84" s="14"/>
      <c r="AA84" s="14" t="str">
        <f>IF(K84="钻石",Z84/[2]货币基础!$B$4,"")</f>
        <v/>
      </c>
      <c r="AB84" s="14"/>
      <c r="AC84" s="14"/>
      <c r="AD84" s="12"/>
      <c r="AE84" s="27" t="s">
        <v>400</v>
      </c>
      <c r="AF84" s="27" t="s">
        <v>400</v>
      </c>
      <c r="AG84" s="27" t="s">
        <v>400</v>
      </c>
      <c r="AH84" s="27" t="s">
        <v>401</v>
      </c>
      <c r="AI84" s="27" t="s">
        <v>400</v>
      </c>
      <c r="AJ84" s="27" t="s">
        <v>400</v>
      </c>
      <c r="AK84" s="27" t="s">
        <v>402</v>
      </c>
      <c r="AL84" s="27" t="s">
        <v>400</v>
      </c>
    </row>
    <row r="85" spans="1:38" s="30" customFormat="1" x14ac:dyDescent="0.15">
      <c r="A85" s="36"/>
      <c r="B85" s="36"/>
      <c r="C85" s="36"/>
      <c r="D85" s="36"/>
      <c r="E85" s="36"/>
      <c r="F85" s="36"/>
      <c r="G85" s="26" t="s">
        <v>630</v>
      </c>
      <c r="H85" s="26" t="s">
        <v>557</v>
      </c>
      <c r="I85" s="26">
        <v>0</v>
      </c>
      <c r="J85" s="26">
        <f>SUM($I$6:I85)/60</f>
        <v>10.333333333333334</v>
      </c>
      <c r="K85" s="27" t="s">
        <v>567</v>
      </c>
      <c r="L85" s="25"/>
      <c r="M85" s="25"/>
      <c r="N85" s="25"/>
      <c r="O85" s="25"/>
      <c r="P85" s="25">
        <v>74</v>
      </c>
      <c r="Q85" s="25">
        <f t="shared" si="36"/>
        <v>74</v>
      </c>
      <c r="R85" s="28">
        <f t="shared" si="37"/>
        <v>0.6</v>
      </c>
      <c r="S85" s="25">
        <v>74</v>
      </c>
      <c r="T85" s="28">
        <v>0.6</v>
      </c>
      <c r="U85" s="29" t="str">
        <f>IF(K85="经验",ROUND(INDEX([1]人物经验!$N$24:$N$573,S85)*T85+INDEX([1]人物经验!$O$24:$O$573,S85)-INDEX([1]人物经验!$O$24:$O$573,Q85)-INDEX([1]人物经验!$N$24:$N$573,Q85)*R85,0),"")</f>
        <v/>
      </c>
      <c r="V85" s="29"/>
      <c r="W85" s="29" t="str">
        <f>IF(K85="金币",INT(V85/[2]货币基础!$B$6*3600*INDEX([1]人物经验!$K$24:$K$573,P85)/1000+1)*1000,"")</f>
        <v/>
      </c>
      <c r="X85" s="29">
        <v>0.5</v>
      </c>
      <c r="Y85" s="29">
        <f>IF(K85="元宝",X85/[2]货币基础!$B$5,"")</f>
        <v>5000</v>
      </c>
      <c r="Z85" s="29"/>
      <c r="AA85" s="29" t="str">
        <f>IF(K85="钻石",Z85/[2]货币基础!$B$4,"")</f>
        <v/>
      </c>
      <c r="AB85" s="29"/>
      <c r="AC85" s="29"/>
      <c r="AD85" s="25"/>
      <c r="AE85" s="27" t="s">
        <v>400</v>
      </c>
      <c r="AF85" s="27" t="s">
        <v>400</v>
      </c>
      <c r="AG85" s="27" t="s">
        <v>400</v>
      </c>
      <c r="AH85" s="27" t="s">
        <v>401</v>
      </c>
      <c r="AI85" s="27" t="s">
        <v>400</v>
      </c>
      <c r="AJ85" s="27" t="s">
        <v>400</v>
      </c>
      <c r="AK85" s="27" t="s">
        <v>402</v>
      </c>
      <c r="AL85" s="27" t="s">
        <v>400</v>
      </c>
    </row>
    <row r="86" spans="1:38" s="30" customFormat="1" x14ac:dyDescent="0.15">
      <c r="A86" s="36"/>
      <c r="B86" s="36"/>
      <c r="C86" s="36"/>
      <c r="D86" s="36"/>
      <c r="E86" s="36"/>
      <c r="F86" s="36"/>
      <c r="G86" s="26" t="s">
        <v>631</v>
      </c>
      <c r="H86" s="26" t="s">
        <v>558</v>
      </c>
      <c r="I86" s="26">
        <v>10</v>
      </c>
      <c r="J86" s="26">
        <f>SUM($I$6:I86)/60</f>
        <v>10.5</v>
      </c>
      <c r="K86" s="27" t="s">
        <v>564</v>
      </c>
      <c r="L86" s="25"/>
      <c r="M86" s="25"/>
      <c r="N86" s="25"/>
      <c r="O86" s="25"/>
      <c r="P86" s="25">
        <v>74</v>
      </c>
      <c r="Q86" s="25">
        <f t="shared" si="36"/>
        <v>74</v>
      </c>
      <c r="R86" s="28">
        <f t="shared" si="37"/>
        <v>0.6</v>
      </c>
      <c r="S86" s="25">
        <v>75</v>
      </c>
      <c r="T86" s="28">
        <v>0</v>
      </c>
      <c r="U86" s="29">
        <f>IF(K86="经验",ROUND(INDEX([1]人物经验!$N$24:$N$573,S86)*T86+INDEX([1]人物经验!$O$24:$O$573,S86)-INDEX([1]人物经验!$O$24:$O$573,Q86)-INDEX([1]人物经验!$N$24:$N$573,Q86)*R86,0),"")</f>
        <v>162</v>
      </c>
      <c r="V86" s="29"/>
      <c r="W86" s="29"/>
      <c r="X86" s="29"/>
      <c r="Y86" s="29" t="str">
        <f>IF(K86="元宝",X86/[2]货币基础!$B$5,"")</f>
        <v/>
      </c>
      <c r="Z86" s="29"/>
      <c r="AA86" s="29" t="str">
        <f>IF(K86="钻石",Z86/[2]货币基础!$B$4,"")</f>
        <v/>
      </c>
      <c r="AB86" s="29"/>
      <c r="AC86" s="29"/>
      <c r="AD86" s="25"/>
      <c r="AE86" s="27" t="s">
        <v>400</v>
      </c>
      <c r="AF86" s="27" t="s">
        <v>400</v>
      </c>
      <c r="AG86" s="27" t="s">
        <v>400</v>
      </c>
      <c r="AH86" s="27" t="s">
        <v>401</v>
      </c>
      <c r="AI86" s="27" t="s">
        <v>400</v>
      </c>
      <c r="AJ86" s="27" t="s">
        <v>400</v>
      </c>
      <c r="AK86" s="27" t="s">
        <v>402</v>
      </c>
      <c r="AL86" s="27" t="s">
        <v>400</v>
      </c>
    </row>
    <row r="87" spans="1:38" s="30" customFormat="1" x14ac:dyDescent="0.15">
      <c r="A87" s="37">
        <v>7</v>
      </c>
      <c r="B87" s="37" t="s">
        <v>30</v>
      </c>
      <c r="C87" s="37">
        <v>75</v>
      </c>
      <c r="D87" s="37">
        <f>C99</f>
        <v>79</v>
      </c>
      <c r="E87" s="37">
        <f>SUM(I87:I98)/60</f>
        <v>1.8333333333333333</v>
      </c>
      <c r="F87" s="37">
        <f>VLOOKUP(D87,新手阶段非R升级节奏!$A$2:$C$222,3,0)-VLOOKUP(C87,新手阶段非R升级节奏!$A$2:$C$222,3,0)</f>
        <v>1827</v>
      </c>
      <c r="G87" s="26" t="s">
        <v>632</v>
      </c>
      <c r="H87" s="26" t="s">
        <v>66</v>
      </c>
      <c r="I87" s="26">
        <v>5</v>
      </c>
      <c r="J87" s="26">
        <f>SUM($I$6:I87)/60</f>
        <v>10.583333333333334</v>
      </c>
      <c r="K87" s="27" t="s">
        <v>564</v>
      </c>
      <c r="L87" s="25"/>
      <c r="M87" s="25"/>
      <c r="N87" s="25"/>
      <c r="O87" s="25"/>
      <c r="P87" s="25">
        <v>75</v>
      </c>
      <c r="Q87" s="25">
        <f t="shared" si="0"/>
        <v>75</v>
      </c>
      <c r="R87" s="28">
        <f t="shared" si="1"/>
        <v>0</v>
      </c>
      <c r="S87" s="25">
        <v>75</v>
      </c>
      <c r="T87" s="28">
        <v>0.4</v>
      </c>
      <c r="U87" s="29">
        <f>IF(K87="经验",ROUND(INDEX([1]人物经验!$N$24:$N$573,S87)*T87+INDEX([1]人物经验!$O$24:$O$573,S87)-INDEX([1]人物经验!$O$24:$O$573,Q87)-INDEX([1]人物经验!$N$24:$N$573,Q87)*R87,0),"")</f>
        <v>168</v>
      </c>
      <c r="V87" s="29"/>
      <c r="W87" s="29"/>
      <c r="X87" s="29"/>
      <c r="Y87" s="29" t="str">
        <f>IF(K87="元宝",X87/[2]货币基础!$B$5,"")</f>
        <v/>
      </c>
      <c r="Z87" s="29"/>
      <c r="AA87" s="29" t="str">
        <f>IF(K87="钻石",Z87/[2]货币基础!$B$4,"")</f>
        <v/>
      </c>
      <c r="AB87" s="29"/>
      <c r="AC87" s="29"/>
      <c r="AD87" s="25" t="s">
        <v>69</v>
      </c>
      <c r="AE87" s="27" t="s">
        <v>400</v>
      </c>
      <c r="AF87" s="27" t="s">
        <v>400</v>
      </c>
      <c r="AG87" s="27" t="s">
        <v>400</v>
      </c>
      <c r="AH87" s="27" t="s">
        <v>401</v>
      </c>
      <c r="AI87" s="27" t="s">
        <v>400</v>
      </c>
      <c r="AJ87" s="27" t="s">
        <v>400</v>
      </c>
      <c r="AK87" s="27" t="s">
        <v>402</v>
      </c>
      <c r="AL87" s="27" t="s">
        <v>400</v>
      </c>
    </row>
    <row r="88" spans="1:38" s="30" customFormat="1" x14ac:dyDescent="0.15">
      <c r="A88" s="37"/>
      <c r="B88" s="37"/>
      <c r="C88" s="37"/>
      <c r="D88" s="37"/>
      <c r="E88" s="37"/>
      <c r="F88" s="37"/>
      <c r="G88" s="26" t="s">
        <v>569</v>
      </c>
      <c r="H88" s="26"/>
      <c r="I88" s="26">
        <v>15</v>
      </c>
      <c r="J88" s="26">
        <f>SUM($I$6:I88)/60</f>
        <v>10.833333333333334</v>
      </c>
      <c r="K88" s="27" t="s">
        <v>48</v>
      </c>
      <c r="L88" s="25"/>
      <c r="M88" s="25"/>
      <c r="N88" s="25" t="s">
        <v>138</v>
      </c>
      <c r="O88" s="25"/>
      <c r="P88" s="25">
        <v>75</v>
      </c>
      <c r="Q88" s="25">
        <f t="shared" si="0"/>
        <v>75</v>
      </c>
      <c r="R88" s="28">
        <f t="shared" si="1"/>
        <v>0.4</v>
      </c>
      <c r="S88" s="25">
        <v>76</v>
      </c>
      <c r="T88" s="28">
        <v>0</v>
      </c>
      <c r="U88" s="29">
        <f>IF(K88="经验",ROUND(INDEX([1]人物经验!$N$24:$N$573,S88)*T88+INDEX([1]人物经验!$O$24:$O$573,S88)-INDEX([1]人物经验!$O$24:$O$573,Q88)-INDEX([1]人物经验!$N$24:$N$573,Q88)*R88,0),"")</f>
        <v>253</v>
      </c>
      <c r="V88" s="29"/>
      <c r="W88" s="29"/>
      <c r="X88" s="29"/>
      <c r="Y88" s="29" t="str">
        <f>IF(K88="元宝",X88/[2]货币基础!$B$5,"")</f>
        <v/>
      </c>
      <c r="Z88" s="29"/>
      <c r="AA88" s="29" t="str">
        <f>IF(K88="钻石",Z88/[2]货币基础!$B$4,"")</f>
        <v/>
      </c>
      <c r="AB88" s="29"/>
      <c r="AC88" s="29"/>
      <c r="AD88" s="25" t="s">
        <v>65</v>
      </c>
      <c r="AE88" s="27" t="s">
        <v>663</v>
      </c>
      <c r="AF88" s="27" t="s">
        <v>400</v>
      </c>
      <c r="AG88" s="27" t="s">
        <v>400</v>
      </c>
      <c r="AH88" s="27" t="s">
        <v>401</v>
      </c>
      <c r="AI88" s="27" t="s">
        <v>400</v>
      </c>
      <c r="AJ88" s="27" t="s">
        <v>400</v>
      </c>
      <c r="AK88" s="27" t="s">
        <v>402</v>
      </c>
      <c r="AL88" s="27" t="s">
        <v>400</v>
      </c>
    </row>
    <row r="89" spans="1:38" s="30" customFormat="1" x14ac:dyDescent="0.15">
      <c r="A89" s="37"/>
      <c r="B89" s="37"/>
      <c r="C89" s="37"/>
      <c r="D89" s="37"/>
      <c r="E89" s="37"/>
      <c r="F89" s="37"/>
      <c r="G89" s="26" t="s">
        <v>633</v>
      </c>
      <c r="H89" s="26" t="s">
        <v>570</v>
      </c>
      <c r="I89" s="26">
        <v>5</v>
      </c>
      <c r="J89" s="26">
        <f>SUM($I$6:I89)/60</f>
        <v>10.916666666666666</v>
      </c>
      <c r="K89" s="27" t="s">
        <v>563</v>
      </c>
      <c r="L89" s="25"/>
      <c r="M89" s="25"/>
      <c r="N89" s="25"/>
      <c r="O89" s="25"/>
      <c r="P89" s="25">
        <v>76</v>
      </c>
      <c r="Q89" s="25">
        <f t="shared" si="0"/>
        <v>76</v>
      </c>
      <c r="R89" s="28">
        <f t="shared" si="1"/>
        <v>0</v>
      </c>
      <c r="S89" s="25">
        <v>76</v>
      </c>
      <c r="T89" s="28">
        <v>0</v>
      </c>
      <c r="U89" s="29" t="str">
        <f>IF(K89="经验",ROUND(INDEX([1]人物经验!$N$24:$N$573,S89)*T89+INDEX([1]人物经验!$O$24:$O$573,S89)-INDEX([1]人物经验!$O$24:$O$573,Q89)-INDEX([1]人物经验!$N$24:$N$573,Q89)*R89,0),"")</f>
        <v/>
      </c>
      <c r="V89" s="29"/>
      <c r="W89" s="29"/>
      <c r="X89" s="29">
        <v>0.5</v>
      </c>
      <c r="Y89" s="29">
        <f>IF(K89="元宝",X89/[2]货币基础!$B$5,"")</f>
        <v>5000</v>
      </c>
      <c r="Z89" s="29"/>
      <c r="AA89" s="29" t="str">
        <f>IF(K89="钻石",Z89/[2]货币基础!$B$4,"")</f>
        <v/>
      </c>
      <c r="AB89" s="29"/>
      <c r="AC89" s="29"/>
      <c r="AD89" s="25"/>
      <c r="AE89" s="27" t="s">
        <v>663</v>
      </c>
      <c r="AF89" s="27" t="s">
        <v>400</v>
      </c>
      <c r="AG89" s="27" t="s">
        <v>400</v>
      </c>
      <c r="AH89" s="27" t="s">
        <v>401</v>
      </c>
      <c r="AI89" s="27" t="s">
        <v>400</v>
      </c>
      <c r="AJ89" s="27" t="s">
        <v>400</v>
      </c>
      <c r="AK89" s="27" t="s">
        <v>402</v>
      </c>
      <c r="AL89" s="27" t="s">
        <v>400</v>
      </c>
    </row>
    <row r="90" spans="1:38" s="30" customFormat="1" x14ac:dyDescent="0.15">
      <c r="A90" s="37"/>
      <c r="B90" s="37"/>
      <c r="C90" s="37"/>
      <c r="D90" s="37"/>
      <c r="E90" s="37"/>
      <c r="F90" s="37"/>
      <c r="G90" s="26" t="s">
        <v>571</v>
      </c>
      <c r="H90" s="26"/>
      <c r="I90" s="26">
        <v>15</v>
      </c>
      <c r="J90" s="26">
        <f>SUM($I$6:I90)/60</f>
        <v>11.166666666666666</v>
      </c>
      <c r="K90" s="27" t="s">
        <v>564</v>
      </c>
      <c r="L90" s="25"/>
      <c r="M90" s="25"/>
      <c r="N90" s="25" t="s">
        <v>139</v>
      </c>
      <c r="O90" s="25"/>
      <c r="P90" s="25">
        <v>76</v>
      </c>
      <c r="Q90" s="25">
        <f t="shared" si="0"/>
        <v>76</v>
      </c>
      <c r="R90" s="28">
        <f t="shared" si="1"/>
        <v>0</v>
      </c>
      <c r="S90" s="25">
        <v>76</v>
      </c>
      <c r="T90" s="28">
        <v>0.6</v>
      </c>
      <c r="U90" s="29">
        <f>IF(K90="经验",ROUND(INDEX([1]人物经验!$N$24:$N$573,S90)*T90+INDEX([1]人物经验!$O$24:$O$573,S90)-INDEX([1]人物经验!$O$24:$O$573,Q90)-INDEX([1]人物经验!$N$24:$N$573,Q90)*R90,0),"")</f>
        <v>269</v>
      </c>
      <c r="V90" s="29"/>
      <c r="W90" s="29"/>
      <c r="X90" s="29"/>
      <c r="Y90" s="29" t="str">
        <f>IF(K90="元宝",X90/[2]货币基础!$B$5,"")</f>
        <v/>
      </c>
      <c r="Z90" s="29"/>
      <c r="AA90" s="29" t="str">
        <f>IF(K90="钻石",Z90/[2]货币基础!$B$4,"")</f>
        <v/>
      </c>
      <c r="AB90" s="29"/>
      <c r="AC90" s="29"/>
      <c r="AD90" s="25" t="s">
        <v>575</v>
      </c>
      <c r="AE90" s="27" t="s">
        <v>403</v>
      </c>
      <c r="AF90" s="27" t="s">
        <v>400</v>
      </c>
      <c r="AG90" s="27" t="s">
        <v>663</v>
      </c>
      <c r="AH90" s="27" t="s">
        <v>401</v>
      </c>
      <c r="AI90" s="27" t="s">
        <v>400</v>
      </c>
      <c r="AJ90" s="27" t="s">
        <v>400</v>
      </c>
      <c r="AK90" s="27" t="s">
        <v>402</v>
      </c>
      <c r="AL90" s="27" t="s">
        <v>400</v>
      </c>
    </row>
    <row r="91" spans="1:38" s="30" customFormat="1" x14ac:dyDescent="0.15">
      <c r="A91" s="37"/>
      <c r="B91" s="37"/>
      <c r="C91" s="37"/>
      <c r="D91" s="37"/>
      <c r="E91" s="37"/>
      <c r="F91" s="37"/>
      <c r="G91" s="26" t="s">
        <v>634</v>
      </c>
      <c r="H91" s="26" t="s">
        <v>572</v>
      </c>
      <c r="I91" s="26">
        <v>5</v>
      </c>
      <c r="J91" s="26">
        <f>SUM($I$6:I91)/60</f>
        <v>11.25</v>
      </c>
      <c r="K91" s="27" t="s">
        <v>563</v>
      </c>
      <c r="L91" s="25"/>
      <c r="M91" s="25"/>
      <c r="N91" s="25"/>
      <c r="O91" s="25"/>
      <c r="P91" s="25">
        <v>76</v>
      </c>
      <c r="Q91" s="25">
        <f t="shared" si="0"/>
        <v>76</v>
      </c>
      <c r="R91" s="28">
        <f t="shared" si="1"/>
        <v>0.6</v>
      </c>
      <c r="S91" s="25">
        <v>76</v>
      </c>
      <c r="T91" s="28">
        <v>0.6</v>
      </c>
      <c r="U91" s="29" t="str">
        <f>IF(K91="经验",ROUND(INDEX([1]人物经验!$N$24:$N$573,S91)*T91+INDEX([1]人物经验!$O$24:$O$573,S91)-INDEX([1]人物经验!$O$24:$O$573,Q91)-INDEX([1]人物经验!$N$24:$N$573,Q91)*R91,0),"")</f>
        <v/>
      </c>
      <c r="V91" s="29"/>
      <c r="W91" s="29"/>
      <c r="X91" s="29">
        <v>0.5</v>
      </c>
      <c r="Y91" s="29">
        <f>IF(K91="元宝",X91/[2]货币基础!$B$5,"")</f>
        <v>5000</v>
      </c>
      <c r="Z91" s="29"/>
      <c r="AA91" s="29" t="str">
        <f>IF(K91="钻石",Z91/[2]货币基础!$B$4,"")</f>
        <v/>
      </c>
      <c r="AB91" s="29"/>
      <c r="AC91" s="29"/>
      <c r="AD91" s="25"/>
      <c r="AE91" s="27" t="s">
        <v>403</v>
      </c>
      <c r="AF91" s="27" t="s">
        <v>400</v>
      </c>
      <c r="AG91" s="27" t="s">
        <v>663</v>
      </c>
      <c r="AH91" s="27" t="s">
        <v>401</v>
      </c>
      <c r="AI91" s="27" t="s">
        <v>400</v>
      </c>
      <c r="AJ91" s="27" t="s">
        <v>400</v>
      </c>
      <c r="AK91" s="27" t="s">
        <v>402</v>
      </c>
      <c r="AL91" s="27" t="s">
        <v>400</v>
      </c>
    </row>
    <row r="92" spans="1:38" s="30" customFormat="1" x14ac:dyDescent="0.15">
      <c r="A92" s="37"/>
      <c r="B92" s="37"/>
      <c r="C92" s="37"/>
      <c r="D92" s="37"/>
      <c r="E92" s="37"/>
      <c r="F92" s="37"/>
      <c r="G92" s="26" t="s">
        <v>573</v>
      </c>
      <c r="H92" s="26"/>
      <c r="I92" s="26">
        <v>15</v>
      </c>
      <c r="J92" s="26">
        <f>SUM($I$6:I92)/60</f>
        <v>11.5</v>
      </c>
      <c r="K92" s="27" t="s">
        <v>564</v>
      </c>
      <c r="L92" s="25"/>
      <c r="M92" s="25"/>
      <c r="N92" s="25" t="s">
        <v>140</v>
      </c>
      <c r="O92" s="25"/>
      <c r="P92" s="25">
        <v>77</v>
      </c>
      <c r="Q92" s="25">
        <f t="shared" si="0"/>
        <v>76</v>
      </c>
      <c r="R92" s="28">
        <f t="shared" si="1"/>
        <v>0.6</v>
      </c>
      <c r="S92" s="25">
        <v>77</v>
      </c>
      <c r="T92" s="28">
        <v>0.2</v>
      </c>
      <c r="U92" s="29">
        <f>IF(K92="经验",ROUND(INDEX([1]人物经验!$N$24:$N$573,S92)*T92+INDEX([1]人物经验!$O$24:$O$573,S92)-INDEX([1]人物经验!$O$24:$O$573,Q92)-INDEX([1]人物经验!$N$24:$N$573,Q92)*R92,0),"")</f>
        <v>272</v>
      </c>
      <c r="V92" s="29"/>
      <c r="W92" s="29"/>
      <c r="X92" s="29"/>
      <c r="Y92" s="29" t="str">
        <f>IF(K92="元宝",X92/[2]货币基础!$B$5,"")</f>
        <v/>
      </c>
      <c r="Z92" s="29"/>
      <c r="AA92" s="29" t="str">
        <f>IF(K92="钻石",Z92/[2]货币基础!$B$4,"")</f>
        <v/>
      </c>
      <c r="AB92" s="29"/>
      <c r="AC92" s="29"/>
      <c r="AD92" s="25" t="s">
        <v>576</v>
      </c>
      <c r="AE92" s="27" t="s">
        <v>403</v>
      </c>
      <c r="AF92" s="27" t="s">
        <v>400</v>
      </c>
      <c r="AG92" s="27" t="s">
        <v>403</v>
      </c>
      <c r="AH92" s="27" t="s">
        <v>401</v>
      </c>
      <c r="AI92" s="27" t="s">
        <v>400</v>
      </c>
      <c r="AJ92" s="27" t="s">
        <v>400</v>
      </c>
      <c r="AK92" s="27" t="s">
        <v>402</v>
      </c>
      <c r="AL92" s="27" t="s">
        <v>664</v>
      </c>
    </row>
    <row r="93" spans="1:38" s="30" customFormat="1" x14ac:dyDescent="0.15">
      <c r="A93" s="37"/>
      <c r="B93" s="37"/>
      <c r="C93" s="37"/>
      <c r="D93" s="37"/>
      <c r="E93" s="37"/>
      <c r="F93" s="37"/>
      <c r="G93" s="26" t="s">
        <v>636</v>
      </c>
      <c r="H93" s="26" t="s">
        <v>574</v>
      </c>
      <c r="I93" s="26">
        <v>5</v>
      </c>
      <c r="J93" s="26">
        <f>SUM($I$6:I93)/60</f>
        <v>11.583333333333334</v>
      </c>
      <c r="K93" s="27" t="s">
        <v>563</v>
      </c>
      <c r="L93" s="25"/>
      <c r="M93" s="25"/>
      <c r="N93" s="25"/>
      <c r="O93" s="25"/>
      <c r="P93" s="25">
        <v>77</v>
      </c>
      <c r="Q93" s="25">
        <f t="shared" si="0"/>
        <v>77</v>
      </c>
      <c r="R93" s="28">
        <f t="shared" si="1"/>
        <v>0.2</v>
      </c>
      <c r="S93" s="25">
        <v>77</v>
      </c>
      <c r="T93" s="28">
        <v>0.2</v>
      </c>
      <c r="U93" s="29" t="str">
        <f>IF(K93="经验",ROUND(INDEX([1]人物经验!$N$24:$N$573,S93)*T93+INDEX([1]人物经验!$O$24:$O$573,S93)-INDEX([1]人物经验!$O$24:$O$573,Q93)-INDEX([1]人物经验!$N$24:$N$573,Q93)*R93,0),"")</f>
        <v/>
      </c>
      <c r="V93" s="29"/>
      <c r="W93" s="29"/>
      <c r="X93" s="29">
        <v>0.5</v>
      </c>
      <c r="Y93" s="29">
        <f>IF(K93="元宝",X93/[2]货币基础!$B$5,"")</f>
        <v>5000</v>
      </c>
      <c r="Z93" s="29"/>
      <c r="AA93" s="29" t="str">
        <f>IF(K93="钻石",Z93/[2]货币基础!$B$4,"")</f>
        <v/>
      </c>
      <c r="AB93" s="29"/>
      <c r="AC93" s="29"/>
      <c r="AD93" s="25"/>
      <c r="AE93" s="27" t="s">
        <v>403</v>
      </c>
      <c r="AF93" s="27" t="s">
        <v>400</v>
      </c>
      <c r="AG93" s="27" t="s">
        <v>403</v>
      </c>
      <c r="AH93" s="27" t="s">
        <v>401</v>
      </c>
      <c r="AI93" s="27" t="s">
        <v>400</v>
      </c>
      <c r="AJ93" s="27" t="s">
        <v>400</v>
      </c>
      <c r="AK93" s="27" t="s">
        <v>402</v>
      </c>
      <c r="AL93" s="27" t="s">
        <v>664</v>
      </c>
    </row>
    <row r="94" spans="1:38" s="30" customFormat="1" x14ac:dyDescent="0.15">
      <c r="A94" s="37"/>
      <c r="B94" s="37"/>
      <c r="C94" s="37"/>
      <c r="D94" s="37"/>
      <c r="E94" s="37"/>
      <c r="F94" s="37"/>
      <c r="G94" s="26" t="s">
        <v>577</v>
      </c>
      <c r="H94" s="26"/>
      <c r="I94" s="26">
        <v>15</v>
      </c>
      <c r="J94" s="26">
        <f>SUM($I$6:I94)/60</f>
        <v>11.833333333333334</v>
      </c>
      <c r="K94" s="27" t="s">
        <v>565</v>
      </c>
      <c r="L94" s="25"/>
      <c r="M94" s="25"/>
      <c r="N94" s="25" t="s">
        <v>141</v>
      </c>
      <c r="O94" s="25"/>
      <c r="P94" s="25">
        <v>77</v>
      </c>
      <c r="Q94" s="25">
        <f t="shared" ref="Q94:Q95" si="38">S93</f>
        <v>77</v>
      </c>
      <c r="R94" s="28">
        <f t="shared" ref="R94:R95" si="39">T93</f>
        <v>0.2</v>
      </c>
      <c r="S94" s="25">
        <v>78</v>
      </c>
      <c r="T94" s="28">
        <v>0</v>
      </c>
      <c r="U94" s="29">
        <f>IF(K94="经验",ROUND(INDEX([1]人物经验!$N$24:$N$573,S94)*T94+INDEX([1]人物经验!$O$24:$O$573,S94)-INDEX([1]人物经验!$O$24:$O$573,Q94)-INDEX([1]人物经验!$N$24:$N$573,Q94)*R94,0),"")</f>
        <v>371</v>
      </c>
      <c r="V94" s="29"/>
      <c r="W94" s="29"/>
      <c r="X94" s="29"/>
      <c r="Y94" s="29" t="str">
        <f>IF(K94="元宝",X94/[2]货币基础!$B$5,"")</f>
        <v/>
      </c>
      <c r="Z94" s="29"/>
      <c r="AA94" s="29" t="str">
        <f>IF(K94="钻石",Z94/[2]货币基础!$B$4,"")</f>
        <v/>
      </c>
      <c r="AB94" s="29"/>
      <c r="AC94" s="29"/>
      <c r="AD94" s="25" t="s">
        <v>579</v>
      </c>
      <c r="AE94" s="27" t="s">
        <v>403</v>
      </c>
      <c r="AF94" s="27" t="s">
        <v>663</v>
      </c>
      <c r="AG94" s="27" t="s">
        <v>403</v>
      </c>
      <c r="AH94" s="27" t="s">
        <v>401</v>
      </c>
      <c r="AI94" s="27" t="s">
        <v>400</v>
      </c>
      <c r="AJ94" s="27" t="s">
        <v>400</v>
      </c>
      <c r="AK94" s="27" t="s">
        <v>402</v>
      </c>
      <c r="AL94" s="27" t="s">
        <v>404</v>
      </c>
    </row>
    <row r="95" spans="1:38" s="30" customFormat="1" x14ac:dyDescent="0.15">
      <c r="A95" s="37"/>
      <c r="B95" s="37"/>
      <c r="C95" s="37"/>
      <c r="D95" s="37"/>
      <c r="E95" s="37"/>
      <c r="F95" s="37"/>
      <c r="G95" s="26" t="s">
        <v>635</v>
      </c>
      <c r="H95" s="26" t="s">
        <v>578</v>
      </c>
      <c r="I95" s="26">
        <v>5</v>
      </c>
      <c r="J95" s="26">
        <f>SUM($I$6:I95)/60</f>
        <v>11.916666666666666</v>
      </c>
      <c r="K95" s="27" t="s">
        <v>567</v>
      </c>
      <c r="L95" s="25"/>
      <c r="M95" s="25"/>
      <c r="N95" s="25"/>
      <c r="O95" s="25"/>
      <c r="P95" s="25">
        <v>78</v>
      </c>
      <c r="Q95" s="25">
        <f t="shared" si="38"/>
        <v>78</v>
      </c>
      <c r="R95" s="28">
        <f t="shared" si="39"/>
        <v>0</v>
      </c>
      <c r="S95" s="25">
        <v>78</v>
      </c>
      <c r="T95" s="28">
        <v>0</v>
      </c>
      <c r="U95" s="29" t="str">
        <f>IF(K95="经验",ROUND(INDEX([1]人物经验!$N$24:$N$573,S95)*T95+INDEX([1]人物经验!$O$24:$O$573,S95)-INDEX([1]人物经验!$O$24:$O$573,Q95)-INDEX([1]人物经验!$N$24:$N$573,Q95)*R95,0),"")</f>
        <v/>
      </c>
      <c r="V95" s="29"/>
      <c r="W95" s="29"/>
      <c r="X95" s="29">
        <v>0.5</v>
      </c>
      <c r="Y95" s="29">
        <f>IF(K95="元宝",X95/[2]货币基础!$B$5,"")</f>
        <v>5000</v>
      </c>
      <c r="Z95" s="29"/>
      <c r="AA95" s="29" t="str">
        <f>IF(K95="钻石",Z95/[2]货币基础!$B$4,"")</f>
        <v/>
      </c>
      <c r="AB95" s="29"/>
      <c r="AC95" s="29"/>
      <c r="AD95" s="25"/>
      <c r="AE95" s="27" t="s">
        <v>403</v>
      </c>
      <c r="AF95" s="27" t="s">
        <v>663</v>
      </c>
      <c r="AG95" s="27" t="s">
        <v>403</v>
      </c>
      <c r="AH95" s="27" t="s">
        <v>401</v>
      </c>
      <c r="AI95" s="27" t="s">
        <v>400</v>
      </c>
      <c r="AJ95" s="27" t="s">
        <v>400</v>
      </c>
      <c r="AK95" s="27" t="s">
        <v>402</v>
      </c>
      <c r="AL95" s="27" t="s">
        <v>404</v>
      </c>
    </row>
    <row r="96" spans="1:38" s="30" customFormat="1" x14ac:dyDescent="0.15">
      <c r="A96" s="37"/>
      <c r="B96" s="37"/>
      <c r="C96" s="37"/>
      <c r="D96" s="37"/>
      <c r="E96" s="37"/>
      <c r="F96" s="37"/>
      <c r="G96" s="26" t="s">
        <v>637</v>
      </c>
      <c r="H96" s="26" t="s">
        <v>70</v>
      </c>
      <c r="I96" s="26">
        <v>5</v>
      </c>
      <c r="J96" s="26">
        <f>SUM($I$6:I96)/60</f>
        <v>12</v>
      </c>
      <c r="K96" s="27" t="s">
        <v>566</v>
      </c>
      <c r="L96" s="25"/>
      <c r="M96" s="25"/>
      <c r="N96" s="25"/>
      <c r="O96" s="25"/>
      <c r="P96" s="25">
        <v>78</v>
      </c>
      <c r="Q96" s="25">
        <f t="shared" ref="Q96:Q97" si="40">S95</f>
        <v>78</v>
      </c>
      <c r="R96" s="28">
        <f t="shared" ref="R96:R97" si="41">T95</f>
        <v>0</v>
      </c>
      <c r="S96" s="25">
        <v>78</v>
      </c>
      <c r="T96" s="28">
        <v>0</v>
      </c>
      <c r="U96" s="29" t="str">
        <f>IF(K96="经验",ROUND(INDEX([1]人物经验!$N$24:$N$573,S96)*T96+INDEX([1]人物经验!$O$24:$O$573,S96)-INDEX([1]人物经验!$O$24:$O$573,Q96)-INDEX([1]人物经验!$N$24:$N$573,Q96)*R96,0),"")</f>
        <v/>
      </c>
      <c r="V96" s="29"/>
      <c r="W96" s="29"/>
      <c r="X96" s="29"/>
      <c r="Y96" s="29" t="str">
        <f>IF(K96="元宝",X96/[2]货币基础!$B$5,"")</f>
        <v/>
      </c>
      <c r="Z96" s="29">
        <v>2</v>
      </c>
      <c r="AA96" s="29">
        <f>IF(K96="钻石",Z96/[2]货币基础!$B$4,"")</f>
        <v>200</v>
      </c>
      <c r="AB96" s="29"/>
      <c r="AC96" s="29"/>
      <c r="AD96" s="25"/>
      <c r="AE96" s="27" t="s">
        <v>403</v>
      </c>
      <c r="AF96" s="27" t="s">
        <v>403</v>
      </c>
      <c r="AG96" s="27" t="s">
        <v>403</v>
      </c>
      <c r="AH96" s="27" t="s">
        <v>401</v>
      </c>
      <c r="AI96" s="27" t="s">
        <v>400</v>
      </c>
      <c r="AJ96" s="27" t="s">
        <v>400</v>
      </c>
      <c r="AK96" s="27" t="s">
        <v>402</v>
      </c>
      <c r="AL96" s="27" t="s">
        <v>404</v>
      </c>
    </row>
    <row r="97" spans="1:38" s="30" customFormat="1" x14ac:dyDescent="0.15">
      <c r="A97" s="37"/>
      <c r="B97" s="37"/>
      <c r="C97" s="37"/>
      <c r="D97" s="37"/>
      <c r="E97" s="37"/>
      <c r="F97" s="37"/>
      <c r="G97" s="26" t="s">
        <v>581</v>
      </c>
      <c r="H97" s="26"/>
      <c r="I97" s="26">
        <v>15</v>
      </c>
      <c r="J97" s="26">
        <f>SUM($I$6:I97)/60</f>
        <v>12.25</v>
      </c>
      <c r="K97" s="25" t="s">
        <v>565</v>
      </c>
      <c r="L97" s="25"/>
      <c r="M97" s="25"/>
      <c r="N97" s="25" t="s">
        <v>142</v>
      </c>
      <c r="O97" s="25" t="s">
        <v>670</v>
      </c>
      <c r="P97" s="25">
        <v>78</v>
      </c>
      <c r="Q97" s="25">
        <f t="shared" si="40"/>
        <v>78</v>
      </c>
      <c r="R97" s="28">
        <f t="shared" si="41"/>
        <v>0</v>
      </c>
      <c r="S97" s="25">
        <v>79</v>
      </c>
      <c r="T97" s="28">
        <v>0</v>
      </c>
      <c r="U97" s="29">
        <f>IF(K97="经验",ROUND(INDEX([1]人物经验!$N$24:$N$573,S97)*T97+INDEX([1]人物经验!$O$24:$O$573,S97)-INDEX([1]人物经验!$O$24:$O$573,Q97)-INDEX([1]人物经验!$N$24:$N$573,Q97)*R97,0),"")</f>
        <v>494</v>
      </c>
      <c r="V97" s="29"/>
      <c r="W97" s="29"/>
      <c r="X97" s="29"/>
      <c r="Y97" s="29" t="str">
        <f>IF(K97="元宝",X97/[2]货币基础!$B$5,"")</f>
        <v/>
      </c>
      <c r="Z97" s="29"/>
      <c r="AA97" s="29" t="str">
        <f>IF(K97="钻石",Z97/[2]货币基础!$B$4,"")</f>
        <v/>
      </c>
      <c r="AB97" s="29"/>
      <c r="AC97" s="29"/>
      <c r="AD97" s="25"/>
      <c r="AE97" s="27" t="s">
        <v>403</v>
      </c>
      <c r="AF97" s="27" t="s">
        <v>403</v>
      </c>
      <c r="AG97" s="27" t="s">
        <v>403</v>
      </c>
      <c r="AH97" s="27" t="s">
        <v>401</v>
      </c>
      <c r="AI97" s="27" t="s">
        <v>400</v>
      </c>
      <c r="AJ97" s="27" t="s">
        <v>663</v>
      </c>
      <c r="AK97" s="27" t="s">
        <v>402</v>
      </c>
      <c r="AL97" s="27" t="s">
        <v>404</v>
      </c>
    </row>
    <row r="98" spans="1:38" s="30" customFormat="1" x14ac:dyDescent="0.15">
      <c r="A98" s="37"/>
      <c r="B98" s="37"/>
      <c r="C98" s="37"/>
      <c r="D98" s="37"/>
      <c r="E98" s="37"/>
      <c r="F98" s="37"/>
      <c r="G98" s="26" t="s">
        <v>638</v>
      </c>
      <c r="H98" s="26" t="s">
        <v>582</v>
      </c>
      <c r="I98" s="26">
        <v>5</v>
      </c>
      <c r="J98" s="26">
        <f>SUM($I$6:I98)/60</f>
        <v>12.333333333333334</v>
      </c>
      <c r="K98" s="25" t="s">
        <v>563</v>
      </c>
      <c r="L98" s="25"/>
      <c r="M98" s="25"/>
      <c r="N98" s="25"/>
      <c r="O98" s="25"/>
      <c r="P98" s="25">
        <v>79</v>
      </c>
      <c r="Q98" s="25">
        <f t="shared" ref="Q98" si="42">S97</f>
        <v>79</v>
      </c>
      <c r="R98" s="28">
        <f t="shared" ref="R98" si="43">T97</f>
        <v>0</v>
      </c>
      <c r="S98" s="25">
        <v>79</v>
      </c>
      <c r="T98" s="28">
        <v>0</v>
      </c>
      <c r="U98" s="29" t="str">
        <f>IF(K98="经验",ROUND(INDEX([1]人物经验!$N$24:$N$573,S98)*T98+INDEX([1]人物经验!$O$24:$O$573,S98)-INDEX([1]人物经验!$O$24:$O$573,Q98)-INDEX([1]人物经验!$N$24:$N$573,Q98)*R98,0),"")</f>
        <v/>
      </c>
      <c r="V98" s="29"/>
      <c r="W98" s="29"/>
      <c r="X98" s="29">
        <v>0.5</v>
      </c>
      <c r="Y98" s="29">
        <f>IF(K98="元宝",X98/[2]货币基础!$B$5,"")</f>
        <v>5000</v>
      </c>
      <c r="Z98" s="29"/>
      <c r="AA98" s="29" t="str">
        <f>IF(K98="钻石",Z98/[2]货币基础!$B$4,"")</f>
        <v/>
      </c>
      <c r="AB98" s="29"/>
      <c r="AC98" s="29"/>
      <c r="AD98" s="25"/>
      <c r="AE98" s="27" t="s">
        <v>403</v>
      </c>
      <c r="AF98" s="27" t="s">
        <v>403</v>
      </c>
      <c r="AG98" s="27" t="s">
        <v>403</v>
      </c>
      <c r="AH98" s="27" t="s">
        <v>401</v>
      </c>
      <c r="AI98" s="27" t="s">
        <v>669</v>
      </c>
      <c r="AJ98" s="27" t="s">
        <v>663</v>
      </c>
      <c r="AK98" s="27" t="s">
        <v>669</v>
      </c>
      <c r="AL98" s="27" t="s">
        <v>404</v>
      </c>
    </row>
    <row r="99" spans="1:38" s="30" customFormat="1" x14ac:dyDescent="0.15">
      <c r="A99" s="36">
        <v>8</v>
      </c>
      <c r="B99" s="36" t="s">
        <v>28</v>
      </c>
      <c r="C99" s="36">
        <v>79</v>
      </c>
      <c r="D99" s="36">
        <v>200</v>
      </c>
      <c r="E99" s="36">
        <f>SUM(I99:I144)/60</f>
        <v>32.5</v>
      </c>
      <c r="F99" s="36">
        <f>VLOOKUP(D99,新手阶段非R升级节奏!$A$2:$C$222,3,0)-VLOOKUP(C99,新手阶段非R升级节奏!$A$2:$C$222,3,0)</f>
        <v>1721923</v>
      </c>
      <c r="G99" s="26" t="s">
        <v>639</v>
      </c>
      <c r="H99" s="26" t="s">
        <v>37</v>
      </c>
      <c r="I99" s="26">
        <v>5</v>
      </c>
      <c r="J99" s="26">
        <f>SUM($I$6:I99)/60</f>
        <v>12.416666666666666</v>
      </c>
      <c r="K99" s="25" t="s">
        <v>48</v>
      </c>
      <c r="L99" s="25"/>
      <c r="M99" s="25"/>
      <c r="N99" s="25"/>
      <c r="O99" s="25"/>
      <c r="P99" s="25">
        <v>79</v>
      </c>
      <c r="Q99" s="25">
        <f t="shared" si="0"/>
        <v>79</v>
      </c>
      <c r="R99" s="28">
        <f t="shared" si="1"/>
        <v>0</v>
      </c>
      <c r="S99" s="25">
        <v>79</v>
      </c>
      <c r="T99" s="28">
        <v>0.5</v>
      </c>
      <c r="U99" s="29">
        <f>IF(K99="经验",ROUND(INDEX([1]人物经验!$N$24:$N$573,S99)*T99+INDEX([1]人物经验!$O$24:$O$573,S99)-INDEX([1]人物经验!$O$24:$O$573,Q99)-INDEX([1]人物经验!$N$24:$N$573,Q99)*R99,0),"")</f>
        <v>256</v>
      </c>
      <c r="V99" s="29"/>
      <c r="W99" s="29"/>
      <c r="X99" s="29"/>
      <c r="Y99" s="29" t="str">
        <f>IF(K99="元宝",X99/[2]货币基础!$B$5,"")</f>
        <v/>
      </c>
      <c r="Z99" s="29"/>
      <c r="AA99" s="29" t="str">
        <f>IF(K99="钻石",Z99/[2]货币基础!$B$4,"")</f>
        <v/>
      </c>
      <c r="AB99" s="29"/>
      <c r="AC99" s="29"/>
      <c r="AD99" s="25"/>
      <c r="AE99" s="27" t="s">
        <v>403</v>
      </c>
      <c r="AF99" s="27" t="s">
        <v>403</v>
      </c>
      <c r="AG99" s="27" t="s">
        <v>403</v>
      </c>
      <c r="AH99" s="27" t="s">
        <v>401</v>
      </c>
      <c r="AI99" s="27" t="s">
        <v>669</v>
      </c>
      <c r="AJ99" s="27" t="s">
        <v>663</v>
      </c>
      <c r="AK99" s="27" t="s">
        <v>669</v>
      </c>
      <c r="AL99" s="27" t="s">
        <v>404</v>
      </c>
    </row>
    <row r="100" spans="1:38" s="30" customFormat="1" x14ac:dyDescent="0.15">
      <c r="A100" s="36"/>
      <c r="B100" s="36"/>
      <c r="C100" s="36"/>
      <c r="D100" s="36"/>
      <c r="E100" s="36"/>
      <c r="F100" s="36"/>
      <c r="G100" s="26" t="s">
        <v>640</v>
      </c>
      <c r="H100" s="26" t="s">
        <v>583</v>
      </c>
      <c r="I100" s="26">
        <v>20</v>
      </c>
      <c r="J100" s="26">
        <f>SUM($I$6:I100)/60</f>
        <v>12.75</v>
      </c>
      <c r="K100" s="25" t="s">
        <v>497</v>
      </c>
      <c r="L100" s="31" t="s">
        <v>694</v>
      </c>
      <c r="M100" s="25"/>
      <c r="N100" s="25"/>
      <c r="O100" s="25"/>
      <c r="P100" s="25">
        <v>79</v>
      </c>
      <c r="Q100" s="25">
        <f t="shared" si="0"/>
        <v>79</v>
      </c>
      <c r="R100" s="28">
        <f t="shared" si="1"/>
        <v>0.5</v>
      </c>
      <c r="S100" s="25">
        <v>80</v>
      </c>
      <c r="T100" s="28">
        <v>0</v>
      </c>
      <c r="U100" s="29">
        <f>IF(K100="经验",ROUND(INDEX([1]人物经验!$N$24:$N$573,S100)*T100+INDEX([1]人物经验!$O$24:$O$573,S100)-INDEX([1]人物经验!$O$24:$O$573,Q100)-INDEX([1]人物经验!$N$24:$N$573,Q100)*R100,0),"")</f>
        <v>256</v>
      </c>
      <c r="V100" s="29"/>
      <c r="W100" s="29"/>
      <c r="X100" s="29"/>
      <c r="Y100" s="29" t="str">
        <f>IF(K100="元宝",X100/[2]货币基础!$B$5,"")</f>
        <v/>
      </c>
      <c r="Z100" s="29"/>
      <c r="AA100" s="29" t="str">
        <f>IF(K100="钻石",Z100/[2]货币基础!$B$4,"")</f>
        <v/>
      </c>
      <c r="AB100" s="29"/>
      <c r="AC100" s="29"/>
      <c r="AD100" s="25" t="s">
        <v>580</v>
      </c>
      <c r="AE100" s="27" t="s">
        <v>403</v>
      </c>
      <c r="AF100" s="27" t="s">
        <v>403</v>
      </c>
      <c r="AG100" s="27" t="s">
        <v>403</v>
      </c>
      <c r="AH100" s="27" t="s">
        <v>401</v>
      </c>
      <c r="AI100" s="27" t="s">
        <v>403</v>
      </c>
      <c r="AJ100" s="27" t="s">
        <v>403</v>
      </c>
      <c r="AK100" s="27" t="s">
        <v>403</v>
      </c>
      <c r="AL100" s="27" t="s">
        <v>404</v>
      </c>
    </row>
    <row r="101" spans="1:38" s="30" customFormat="1" x14ac:dyDescent="0.15">
      <c r="A101" s="36"/>
      <c r="B101" s="36"/>
      <c r="C101" s="36"/>
      <c r="D101" s="36"/>
      <c r="E101" s="36"/>
      <c r="F101" s="36"/>
      <c r="G101" s="26" t="s">
        <v>641</v>
      </c>
      <c r="H101" s="26" t="s">
        <v>584</v>
      </c>
      <c r="I101" s="26">
        <v>10</v>
      </c>
      <c r="J101" s="26">
        <f>SUM($I$6:I101)/60</f>
        <v>12.916666666666666</v>
      </c>
      <c r="K101" s="25" t="s">
        <v>564</v>
      </c>
      <c r="L101" s="25"/>
      <c r="M101" s="25"/>
      <c r="N101" s="25"/>
      <c r="O101" s="25"/>
      <c r="P101" s="25">
        <v>80</v>
      </c>
      <c r="Q101" s="25">
        <f t="shared" ref="Q101:Q130" si="44">S100</f>
        <v>80</v>
      </c>
      <c r="R101" s="28">
        <f t="shared" ref="R101:R130" si="45">T100</f>
        <v>0</v>
      </c>
      <c r="S101" s="25">
        <v>80</v>
      </c>
      <c r="T101" s="28">
        <v>0.5</v>
      </c>
      <c r="U101" s="29">
        <f>IF(K101="经验",ROUND(INDEX([1]人物经验!$N$24:$N$573,S101)*T101+INDEX([1]人物经验!$O$24:$O$573,S101)-INDEX([1]人物经验!$O$24:$O$573,Q101)-INDEX([1]人物经验!$N$24:$N$573,Q101)*R101,0),"")</f>
        <v>273</v>
      </c>
      <c r="V101" s="29"/>
      <c r="W101" s="29" t="str">
        <f>IF(K101="金币",INT(V101/[2]货币基础!$B$6*3600*INDEX([1]人物经验!$K$24:$K$573,P101)/1000+1)*1000,"")</f>
        <v/>
      </c>
      <c r="X101" s="29"/>
      <c r="Y101" s="29" t="str">
        <f>IF(K101="元宝",X101/[2]货币基础!$B$5,"")</f>
        <v/>
      </c>
      <c r="Z101" s="29"/>
      <c r="AA101" s="29" t="str">
        <f>IF(K101="钻石",Z101/[2]货币基础!$B$4,"")</f>
        <v/>
      </c>
      <c r="AB101" s="29"/>
      <c r="AC101" s="29"/>
      <c r="AD101" s="25"/>
      <c r="AE101" s="27" t="s">
        <v>403</v>
      </c>
      <c r="AF101" s="27" t="s">
        <v>403</v>
      </c>
      <c r="AG101" s="27" t="s">
        <v>403</v>
      </c>
      <c r="AH101" s="27" t="s">
        <v>401</v>
      </c>
      <c r="AI101" s="27" t="s">
        <v>403</v>
      </c>
      <c r="AJ101" s="27" t="s">
        <v>403</v>
      </c>
      <c r="AK101" s="27" t="s">
        <v>403</v>
      </c>
      <c r="AL101" s="27" t="s">
        <v>404</v>
      </c>
    </row>
    <row r="102" spans="1:38" s="30" customFormat="1" x14ac:dyDescent="0.15">
      <c r="A102" s="36"/>
      <c r="B102" s="36"/>
      <c r="C102" s="36"/>
      <c r="D102" s="36"/>
      <c r="E102" s="36"/>
      <c r="F102" s="36"/>
      <c r="G102" s="26" t="s">
        <v>642</v>
      </c>
      <c r="H102" s="26" t="s">
        <v>585</v>
      </c>
      <c r="I102" s="26">
        <v>5</v>
      </c>
      <c r="J102" s="26">
        <f>SUM($I$6:I102)/60</f>
        <v>13</v>
      </c>
      <c r="K102" s="25" t="s">
        <v>48</v>
      </c>
      <c r="L102" s="25"/>
      <c r="M102" s="25"/>
      <c r="N102" s="25"/>
      <c r="O102" s="25"/>
      <c r="P102" s="25">
        <v>80</v>
      </c>
      <c r="Q102" s="25">
        <f t="shared" si="44"/>
        <v>80</v>
      </c>
      <c r="R102" s="28">
        <f t="shared" si="45"/>
        <v>0.5</v>
      </c>
      <c r="S102" s="25">
        <v>81</v>
      </c>
      <c r="T102" s="28">
        <v>0</v>
      </c>
      <c r="U102" s="29">
        <f>IF(K102="经验",ROUND(INDEX([1]人物经验!$N$24:$N$573,S102)*T102+INDEX([1]人物经验!$O$24:$O$573,S102)-INDEX([1]人物经验!$O$24:$O$573,Q102)-INDEX([1]人物经验!$N$24:$N$573,Q102)*R102,0),"")</f>
        <v>273</v>
      </c>
      <c r="V102" s="29"/>
      <c r="W102" s="29" t="str">
        <f>IF(K102="金币",INT(V102/[2]货币基础!$B$6*3600*INDEX([1]人物经验!$K$24:$K$573,P102)/1000+1)*1000,"")</f>
        <v/>
      </c>
      <c r="X102" s="29"/>
      <c r="Y102" s="29" t="str">
        <f>IF(K102="元宝",X102/[2]货币基础!$B$5,"")</f>
        <v/>
      </c>
      <c r="Z102" s="29"/>
      <c r="AA102" s="29" t="str">
        <f>IF(K102="钻石",Z102/[2]货币基础!$B$4,"")</f>
        <v/>
      </c>
      <c r="AB102" s="29"/>
      <c r="AC102" s="29"/>
      <c r="AD102" s="25"/>
      <c r="AE102" s="27" t="s">
        <v>403</v>
      </c>
      <c r="AF102" s="27" t="s">
        <v>403</v>
      </c>
      <c r="AG102" s="27" t="s">
        <v>403</v>
      </c>
      <c r="AH102" s="27" t="s">
        <v>401</v>
      </c>
      <c r="AI102" s="27" t="s">
        <v>403</v>
      </c>
      <c r="AJ102" s="27" t="s">
        <v>403</v>
      </c>
      <c r="AK102" s="27" t="s">
        <v>403</v>
      </c>
      <c r="AL102" s="27" t="s">
        <v>404</v>
      </c>
    </row>
    <row r="103" spans="1:38" s="30" customFormat="1" x14ac:dyDescent="0.15">
      <c r="A103" s="36"/>
      <c r="B103" s="36"/>
      <c r="C103" s="36"/>
      <c r="D103" s="36"/>
      <c r="E103" s="36"/>
      <c r="F103" s="36"/>
      <c r="G103" s="26" t="s">
        <v>586</v>
      </c>
      <c r="H103" s="26"/>
      <c r="I103" s="26">
        <v>5</v>
      </c>
      <c r="J103" s="26">
        <f>SUM($I$6:I103)/60</f>
        <v>13.083333333333334</v>
      </c>
      <c r="K103" s="25" t="s">
        <v>48</v>
      </c>
      <c r="L103" s="25"/>
      <c r="M103" s="25"/>
      <c r="N103" s="25"/>
      <c r="O103" s="25"/>
      <c r="P103" s="25">
        <v>81</v>
      </c>
      <c r="Q103" s="25">
        <f t="shared" si="44"/>
        <v>81</v>
      </c>
      <c r="R103" s="28">
        <f t="shared" si="45"/>
        <v>0</v>
      </c>
      <c r="S103" s="25">
        <v>82</v>
      </c>
      <c r="T103" s="28">
        <v>0</v>
      </c>
      <c r="U103" s="29">
        <f>IF(K103="经验",ROUND(INDEX([1]人物经验!$N$24:$N$573,S103)*T103+INDEX([1]人物经验!$O$24:$O$573,S103)-INDEX([1]人物经验!$O$24:$O$573,Q103)-INDEX([1]人物经验!$N$24:$N$573,Q103)*R103,0),"")</f>
        <v>585</v>
      </c>
      <c r="V103" s="29"/>
      <c r="W103" s="29" t="str">
        <f>IF(K103="金币",INT(V103/[2]货币基础!$B$6*3600*INDEX([1]人物经验!$K$24:$K$573,P103)/1000+1)*1000,"")</f>
        <v/>
      </c>
      <c r="X103" s="29"/>
      <c r="Y103" s="29" t="str">
        <f>IF(K103="元宝",X103/[2]货币基础!$B$5,"")</f>
        <v/>
      </c>
      <c r="Z103" s="29"/>
      <c r="AA103" s="29" t="str">
        <f>IF(K103="钻石",Z103/[2]货币基础!$B$4,"")</f>
        <v/>
      </c>
      <c r="AB103" s="29"/>
      <c r="AC103" s="29"/>
      <c r="AD103" s="25"/>
      <c r="AE103" s="27" t="s">
        <v>403</v>
      </c>
      <c r="AF103" s="27" t="s">
        <v>403</v>
      </c>
      <c r="AG103" s="27" t="s">
        <v>403</v>
      </c>
      <c r="AH103" s="27" t="s">
        <v>401</v>
      </c>
      <c r="AI103" s="27" t="s">
        <v>403</v>
      </c>
      <c r="AJ103" s="27" t="s">
        <v>403</v>
      </c>
      <c r="AK103" s="27" t="s">
        <v>403</v>
      </c>
      <c r="AL103" s="27" t="s">
        <v>404</v>
      </c>
    </row>
    <row r="104" spans="1:38" x14ac:dyDescent="0.15">
      <c r="A104" s="36"/>
      <c r="B104" s="36"/>
      <c r="C104" s="36"/>
      <c r="D104" s="36"/>
      <c r="E104" s="36"/>
      <c r="F104" s="36"/>
      <c r="G104" s="1" t="s">
        <v>171</v>
      </c>
      <c r="H104" s="1"/>
      <c r="I104" s="1">
        <v>5</v>
      </c>
      <c r="J104" s="1">
        <f>SUM($I$6:I104)/60</f>
        <v>13.166666666666666</v>
      </c>
      <c r="K104" s="12" t="s">
        <v>564</v>
      </c>
      <c r="L104" s="12"/>
      <c r="M104" s="12"/>
      <c r="N104" s="12"/>
      <c r="O104" s="12"/>
      <c r="P104" s="12">
        <v>82</v>
      </c>
      <c r="Q104" s="12">
        <f t="shared" si="44"/>
        <v>82</v>
      </c>
      <c r="R104" s="13">
        <f t="shared" si="45"/>
        <v>0</v>
      </c>
      <c r="S104" s="12">
        <v>83</v>
      </c>
      <c r="T104" s="13">
        <v>0</v>
      </c>
      <c r="U104" s="14">
        <f>IF(K104="经验",ROUND(INDEX([1]人物经验!$N$24:$N$573,S104)*T104+INDEX([1]人物经验!$O$24:$O$573,S104)-INDEX([1]人物经验!$O$24:$O$573,Q104)-INDEX([1]人物经验!$N$24:$N$573,Q104)*R104,0),"")</f>
        <v>627</v>
      </c>
      <c r="V104" s="14"/>
      <c r="W104" s="14" t="str">
        <f>IF(K104="金币",INT(V104/[2]货币基础!$B$6*3600*INDEX([1]人物经验!$K$24:$K$573,P104)/1000+1)*1000,"")</f>
        <v/>
      </c>
      <c r="X104" s="14"/>
      <c r="Y104" s="14" t="str">
        <f>IF(K104="元宝",X104/[2]货币基础!$B$5,"")</f>
        <v/>
      </c>
      <c r="Z104" s="14"/>
      <c r="AA104" s="14" t="str">
        <f>IF(K104="钻石",Z104/[2]货币基础!$B$4,"")</f>
        <v/>
      </c>
      <c r="AB104" s="14"/>
      <c r="AC104" s="14"/>
      <c r="AD104" s="12"/>
      <c r="AE104" s="27" t="s">
        <v>403</v>
      </c>
      <c r="AF104" s="27" t="s">
        <v>403</v>
      </c>
      <c r="AG104" s="27" t="s">
        <v>403</v>
      </c>
      <c r="AH104" s="27" t="s">
        <v>401</v>
      </c>
      <c r="AI104" s="27" t="s">
        <v>403</v>
      </c>
      <c r="AJ104" s="27" t="s">
        <v>403</v>
      </c>
      <c r="AK104" s="27" t="s">
        <v>403</v>
      </c>
      <c r="AL104" s="27" t="s">
        <v>404</v>
      </c>
    </row>
    <row r="105" spans="1:38" x14ac:dyDescent="0.15">
      <c r="A105" s="36"/>
      <c r="B105" s="36"/>
      <c r="C105" s="36"/>
      <c r="D105" s="36"/>
      <c r="E105" s="36"/>
      <c r="F105" s="36"/>
      <c r="G105" s="1" t="s">
        <v>172</v>
      </c>
      <c r="H105" s="1"/>
      <c r="I105" s="1">
        <v>5</v>
      </c>
      <c r="J105" s="1">
        <f>SUM($I$6:I105)/60</f>
        <v>13.25</v>
      </c>
      <c r="K105" s="12" t="s">
        <v>48</v>
      </c>
      <c r="L105" s="12"/>
      <c r="M105" s="12"/>
      <c r="N105" s="12"/>
      <c r="O105" s="12"/>
      <c r="P105" s="12">
        <v>83</v>
      </c>
      <c r="Q105" s="12">
        <f t="shared" si="44"/>
        <v>83</v>
      </c>
      <c r="R105" s="13">
        <f t="shared" si="45"/>
        <v>0</v>
      </c>
      <c r="S105" s="12">
        <v>84</v>
      </c>
      <c r="T105" s="13">
        <v>0</v>
      </c>
      <c r="U105" s="14">
        <f>IF(K105="经验",ROUND(INDEX([1]人物经验!$N$24:$N$573,S105)*T105+INDEX([1]人物经验!$O$24:$O$573,S105)-INDEX([1]人物经验!$O$24:$O$573,Q105)-INDEX([1]人物经验!$N$24:$N$573,Q105)*R105,0),"")</f>
        <v>656</v>
      </c>
      <c r="V105" s="14"/>
      <c r="W105" s="14" t="str">
        <f>IF(K105="金币",INT(V105/[2]货币基础!$B$6*3600*INDEX([1]人物经验!$K$24:$K$573,P105)/1000+1)*1000,"")</f>
        <v/>
      </c>
      <c r="X105" s="14"/>
      <c r="Y105" s="14" t="str">
        <f>IF(K105="元宝",X105/[2]货币基础!$B$5,"")</f>
        <v/>
      </c>
      <c r="Z105" s="14"/>
      <c r="AA105" s="14" t="str">
        <f>IF(K105="钻石",Z105/[2]货币基础!$B$4,"")</f>
        <v/>
      </c>
      <c r="AB105" s="14"/>
      <c r="AC105" s="14"/>
      <c r="AD105" s="12"/>
      <c r="AE105" s="27" t="s">
        <v>403</v>
      </c>
      <c r="AF105" s="27" t="s">
        <v>403</v>
      </c>
      <c r="AG105" s="27" t="s">
        <v>403</v>
      </c>
      <c r="AH105" s="27" t="s">
        <v>401</v>
      </c>
      <c r="AI105" s="27" t="s">
        <v>403</v>
      </c>
      <c r="AJ105" s="27" t="s">
        <v>403</v>
      </c>
      <c r="AK105" s="27" t="s">
        <v>403</v>
      </c>
      <c r="AL105" s="27" t="s">
        <v>404</v>
      </c>
    </row>
    <row r="106" spans="1:38" x14ac:dyDescent="0.15">
      <c r="A106" s="36"/>
      <c r="B106" s="36"/>
      <c r="C106" s="36"/>
      <c r="D106" s="36"/>
      <c r="E106" s="36"/>
      <c r="F106" s="36"/>
      <c r="G106" s="1" t="s">
        <v>643</v>
      </c>
      <c r="H106" s="1" t="s">
        <v>587</v>
      </c>
      <c r="I106" s="1">
        <v>5</v>
      </c>
      <c r="J106" s="1">
        <f>SUM($I$6:I106)/60</f>
        <v>13.333333333333334</v>
      </c>
      <c r="K106" s="12" t="s">
        <v>116</v>
      </c>
      <c r="L106" s="12" t="s">
        <v>695</v>
      </c>
      <c r="M106" s="12" t="s">
        <v>696</v>
      </c>
      <c r="N106" s="12"/>
      <c r="O106" s="12"/>
      <c r="P106" s="12">
        <v>84</v>
      </c>
      <c r="Q106" s="12">
        <f t="shared" si="44"/>
        <v>84</v>
      </c>
      <c r="R106" s="13">
        <f t="shared" si="45"/>
        <v>0</v>
      </c>
      <c r="S106" s="12">
        <v>84</v>
      </c>
      <c r="T106" s="13">
        <v>0</v>
      </c>
      <c r="U106" s="14" t="str">
        <f>IF(K106="经验",ROUND(INDEX([1]人物经验!$N$24:$N$573,S106)*T106+INDEX([1]人物经验!$O$24:$O$573,S106)-INDEX([1]人物经验!$O$24:$O$573,Q106)-INDEX([1]人物经验!$N$24:$N$573,Q106)*R106,0),"")</f>
        <v/>
      </c>
      <c r="V106" s="14"/>
      <c r="W106" s="14" t="str">
        <f>IF(K106="金币",INT(V106/[2]货币基础!$B$6*3600*INDEX([1]人物经验!$K$24:$K$573,P106)/1000+1)*1000,"")</f>
        <v/>
      </c>
      <c r="X106" s="14">
        <v>1.5</v>
      </c>
      <c r="Y106" s="14">
        <f>IF(K106="元宝",X106/[2]货币基础!$B$5,"")</f>
        <v>15000</v>
      </c>
      <c r="Z106" s="14"/>
      <c r="AA106" s="14" t="str">
        <f>IF(K106="钻石",Z106/[2]货币基础!$B$4,"")</f>
        <v/>
      </c>
      <c r="AB106" s="14"/>
      <c r="AC106" s="14"/>
      <c r="AD106" s="12"/>
      <c r="AE106" s="27" t="s">
        <v>403</v>
      </c>
      <c r="AF106" s="27" t="s">
        <v>403</v>
      </c>
      <c r="AG106" s="27" t="s">
        <v>403</v>
      </c>
      <c r="AH106" s="27" t="s">
        <v>401</v>
      </c>
      <c r="AI106" s="27" t="s">
        <v>403</v>
      </c>
      <c r="AJ106" s="27" t="s">
        <v>403</v>
      </c>
      <c r="AK106" s="27" t="s">
        <v>403</v>
      </c>
      <c r="AL106" s="27" t="s">
        <v>404</v>
      </c>
    </row>
    <row r="107" spans="1:38" x14ac:dyDescent="0.15">
      <c r="A107" s="36"/>
      <c r="B107" s="36"/>
      <c r="C107" s="36"/>
      <c r="D107" s="36"/>
      <c r="E107" s="36"/>
      <c r="F107" s="36"/>
      <c r="G107" s="1" t="s">
        <v>644</v>
      </c>
      <c r="H107" s="1" t="s">
        <v>588</v>
      </c>
      <c r="I107" s="1">
        <v>20</v>
      </c>
      <c r="J107" s="1">
        <f>SUM($I$6:I107)/60</f>
        <v>13.666666666666666</v>
      </c>
      <c r="K107" s="12" t="s">
        <v>48</v>
      </c>
      <c r="L107" s="12"/>
      <c r="M107" s="25"/>
      <c r="N107" s="25"/>
      <c r="O107" s="25"/>
      <c r="P107" s="12">
        <v>84</v>
      </c>
      <c r="Q107" s="12">
        <f t="shared" si="44"/>
        <v>84</v>
      </c>
      <c r="R107" s="13">
        <f t="shared" si="45"/>
        <v>0</v>
      </c>
      <c r="S107" s="12">
        <v>84</v>
      </c>
      <c r="T107" s="13">
        <v>0.3</v>
      </c>
      <c r="U107" s="14">
        <f>IF(K107="经验",ROUND(INDEX([1]人物经验!$N$24:$N$573,S107)*T107+INDEX([1]人物经验!$O$24:$O$573,S107)-INDEX([1]人物经验!$O$24:$O$573,Q107)-INDEX([1]人物经验!$N$24:$N$573,Q107)*R107,0),"")</f>
        <v>211</v>
      </c>
      <c r="V107" s="14"/>
      <c r="W107" s="14" t="str">
        <f>IF(K107="金币",INT(V107/[2]货币基础!$B$6*3600*INDEX([1]人物经验!$K$24:$K$573,P107)/1000+1)*1000,"")</f>
        <v/>
      </c>
      <c r="X107" s="14"/>
      <c r="Y107" s="14" t="str">
        <f>IF(K107="元宝",X107/[2]货币基础!$B$5,"")</f>
        <v/>
      </c>
      <c r="Z107" s="14"/>
      <c r="AA107" s="14" t="str">
        <f>IF(K107="钻石",Z107/[2]货币基础!$B$4,"")</f>
        <v/>
      </c>
      <c r="AB107" s="14"/>
      <c r="AC107" s="14"/>
      <c r="AD107" s="12"/>
      <c r="AE107" s="27" t="s">
        <v>403</v>
      </c>
      <c r="AF107" s="27" t="s">
        <v>403</v>
      </c>
      <c r="AG107" s="27" t="s">
        <v>403</v>
      </c>
      <c r="AH107" s="27" t="s">
        <v>401</v>
      </c>
      <c r="AI107" s="27" t="s">
        <v>403</v>
      </c>
      <c r="AJ107" s="27" t="s">
        <v>403</v>
      </c>
      <c r="AK107" s="27" t="s">
        <v>403</v>
      </c>
      <c r="AL107" s="27" t="s">
        <v>404</v>
      </c>
    </row>
    <row r="108" spans="1:38" x14ac:dyDescent="0.15">
      <c r="A108" s="36"/>
      <c r="B108" s="36"/>
      <c r="C108" s="36"/>
      <c r="D108" s="36"/>
      <c r="E108" s="36"/>
      <c r="F108" s="36"/>
      <c r="G108" s="1" t="s">
        <v>589</v>
      </c>
      <c r="H108" s="1"/>
      <c r="I108" s="1">
        <v>10</v>
      </c>
      <c r="J108" s="1">
        <f>SUM($I$6:I108)/60</f>
        <v>13.833333333333334</v>
      </c>
      <c r="K108" s="12" t="s">
        <v>48</v>
      </c>
      <c r="L108" s="12"/>
      <c r="M108" s="12"/>
      <c r="N108" s="12"/>
      <c r="O108" s="12"/>
      <c r="P108" s="12">
        <v>84</v>
      </c>
      <c r="Q108" s="12">
        <f t="shared" si="44"/>
        <v>84</v>
      </c>
      <c r="R108" s="13">
        <f t="shared" si="45"/>
        <v>0.3</v>
      </c>
      <c r="S108" s="12">
        <v>85</v>
      </c>
      <c r="T108" s="13">
        <v>0.25</v>
      </c>
      <c r="U108" s="14">
        <f>IF(K108="经验",ROUND(INDEX([1]人物经验!$N$24:$N$573,S108)*T108+INDEX([1]人物经验!$O$24:$O$573,S108)-INDEX([1]人物经验!$O$24:$O$573,Q108)-INDEX([1]人物经验!$N$24:$N$573,Q108)*R108,0),"")</f>
        <v>676</v>
      </c>
      <c r="V108" s="14"/>
      <c r="W108" s="14" t="str">
        <f>IF(K108="金币",INT(V108/[2]货币基础!$B$6*3600*INDEX([1]人物经验!$K$24:$K$573,P108)/1000+1)*1000,"")</f>
        <v/>
      </c>
      <c r="X108" s="14"/>
      <c r="Y108" s="14" t="str">
        <f>IF(K108="元宝",X108/[2]货币基础!$B$5,"")</f>
        <v/>
      </c>
      <c r="Z108" s="14"/>
      <c r="AA108" s="14" t="str">
        <f>IF(K108="钻石",Z108/[2]货币基础!$B$4,"")</f>
        <v/>
      </c>
      <c r="AB108" s="14"/>
      <c r="AC108" s="14"/>
      <c r="AD108" s="12"/>
      <c r="AE108" s="27" t="s">
        <v>403</v>
      </c>
      <c r="AF108" s="27" t="s">
        <v>403</v>
      </c>
      <c r="AG108" s="27" t="s">
        <v>403</v>
      </c>
      <c r="AH108" s="27" t="s">
        <v>401</v>
      </c>
      <c r="AI108" s="27" t="s">
        <v>403</v>
      </c>
      <c r="AJ108" s="27" t="s">
        <v>403</v>
      </c>
      <c r="AK108" s="27" t="s">
        <v>403</v>
      </c>
      <c r="AL108" s="27" t="s">
        <v>404</v>
      </c>
    </row>
    <row r="109" spans="1:38" x14ac:dyDescent="0.15">
      <c r="A109" s="36"/>
      <c r="B109" s="36"/>
      <c r="C109" s="36"/>
      <c r="D109" s="36"/>
      <c r="E109" s="36"/>
      <c r="F109" s="36"/>
      <c r="G109" s="1" t="s">
        <v>73</v>
      </c>
      <c r="H109" s="1"/>
      <c r="I109" s="1">
        <v>20</v>
      </c>
      <c r="J109" s="1">
        <f>SUM($I$6:I109)/60</f>
        <v>14.166666666666666</v>
      </c>
      <c r="K109" s="12" t="s">
        <v>48</v>
      </c>
      <c r="L109" s="12"/>
      <c r="M109" s="12"/>
      <c r="N109" s="12"/>
      <c r="O109" s="12"/>
      <c r="P109" s="12">
        <v>85</v>
      </c>
      <c r="Q109" s="12">
        <f t="shared" si="44"/>
        <v>85</v>
      </c>
      <c r="R109" s="13">
        <f t="shared" si="45"/>
        <v>0.25</v>
      </c>
      <c r="S109" s="12">
        <v>86</v>
      </c>
      <c r="T109" s="13">
        <v>0.2</v>
      </c>
      <c r="U109" s="14">
        <f>IF(K109="经验",ROUND(INDEX([1]人物经验!$N$24:$N$573,S109)*T109+INDEX([1]人物经验!$O$24:$O$573,S109)-INDEX([1]人物经验!$O$24:$O$573,Q109)-INDEX([1]人物经验!$N$24:$N$573,Q109)*R109,0),"")</f>
        <v>709</v>
      </c>
      <c r="V109" s="14"/>
      <c r="W109" s="14"/>
      <c r="X109" s="14"/>
      <c r="Y109" s="14" t="str">
        <f>IF(K109="元宝",X109/[2]货币基础!$B$5,"")</f>
        <v/>
      </c>
      <c r="Z109" s="14"/>
      <c r="AA109" s="14" t="str">
        <f>IF(K109="钻石",Z109/[2]货币基础!$B$4,"")</f>
        <v/>
      </c>
      <c r="AB109" s="14"/>
      <c r="AC109" s="14"/>
      <c r="AD109" s="12"/>
      <c r="AE109" s="27" t="s">
        <v>403</v>
      </c>
      <c r="AF109" s="27" t="s">
        <v>403</v>
      </c>
      <c r="AG109" s="27" t="s">
        <v>403</v>
      </c>
      <c r="AH109" s="27" t="s">
        <v>401</v>
      </c>
      <c r="AI109" s="27" t="s">
        <v>403</v>
      </c>
      <c r="AJ109" s="27" t="s">
        <v>403</v>
      </c>
      <c r="AK109" s="27" t="s">
        <v>403</v>
      </c>
      <c r="AL109" s="27" t="s">
        <v>404</v>
      </c>
    </row>
    <row r="110" spans="1:38" x14ac:dyDescent="0.15">
      <c r="A110" s="36"/>
      <c r="B110" s="36"/>
      <c r="C110" s="36"/>
      <c r="D110" s="36"/>
      <c r="E110" s="36"/>
      <c r="F110" s="36"/>
      <c r="G110" s="1" t="s">
        <v>600</v>
      </c>
      <c r="H110" s="1"/>
      <c r="I110" s="1">
        <v>30</v>
      </c>
      <c r="J110" s="1">
        <f>SUM($I$6:I110)/60</f>
        <v>14.666666666666666</v>
      </c>
      <c r="K110" s="12" t="s">
        <v>564</v>
      </c>
      <c r="L110" s="12"/>
      <c r="M110" s="12"/>
      <c r="N110" s="12"/>
      <c r="O110" s="12"/>
      <c r="P110" s="12">
        <v>86</v>
      </c>
      <c r="Q110" s="12">
        <f t="shared" si="44"/>
        <v>86</v>
      </c>
      <c r="R110" s="13">
        <f t="shared" si="45"/>
        <v>0.2</v>
      </c>
      <c r="S110" s="12">
        <v>87</v>
      </c>
      <c r="T110" s="13">
        <v>0.1</v>
      </c>
      <c r="U110" s="14">
        <f>IF(K110="经验",ROUND(INDEX([1]人物经验!$N$24:$N$573,S110)*T110+INDEX([1]人物经验!$O$24:$O$573,S110)-INDEX([1]人物经验!$O$24:$O$573,Q110)-INDEX([1]人物经验!$N$24:$N$573,Q110)*R110,0),"")</f>
        <v>714</v>
      </c>
      <c r="V110" s="14"/>
      <c r="W110" s="14"/>
      <c r="X110" s="14"/>
      <c r="Y110" s="14" t="str">
        <f>IF(K110="元宝",X110/[2]货币基础!$B$5,"")</f>
        <v/>
      </c>
      <c r="Z110" s="14"/>
      <c r="AA110" s="14" t="str">
        <f>IF(K110="钻石",Z110/[2]货币基础!$B$4,"")</f>
        <v/>
      </c>
      <c r="AB110" s="14"/>
      <c r="AC110" s="14"/>
      <c r="AD110" s="12"/>
      <c r="AE110" s="27" t="s">
        <v>403</v>
      </c>
      <c r="AF110" s="27" t="s">
        <v>403</v>
      </c>
      <c r="AG110" s="27" t="s">
        <v>403</v>
      </c>
      <c r="AH110" s="27" t="s">
        <v>401</v>
      </c>
      <c r="AI110" s="27" t="s">
        <v>403</v>
      </c>
      <c r="AJ110" s="27" t="s">
        <v>403</v>
      </c>
      <c r="AK110" s="27" t="s">
        <v>403</v>
      </c>
      <c r="AL110" s="27" t="s">
        <v>404</v>
      </c>
    </row>
    <row r="111" spans="1:38" x14ac:dyDescent="0.15">
      <c r="A111" s="36"/>
      <c r="B111" s="36"/>
      <c r="C111" s="36"/>
      <c r="D111" s="36"/>
      <c r="E111" s="36"/>
      <c r="F111" s="36"/>
      <c r="G111" s="1" t="s">
        <v>645</v>
      </c>
      <c r="H111" s="1" t="s">
        <v>601</v>
      </c>
      <c r="I111" s="1">
        <v>5</v>
      </c>
      <c r="J111" s="1">
        <f>SUM($I$6:I111)/60</f>
        <v>14.75</v>
      </c>
      <c r="K111" s="12" t="s">
        <v>563</v>
      </c>
      <c r="L111" s="12"/>
      <c r="M111" s="12"/>
      <c r="N111" s="12"/>
      <c r="O111" s="12"/>
      <c r="P111" s="12">
        <v>87</v>
      </c>
      <c r="Q111" s="12">
        <f t="shared" si="44"/>
        <v>87</v>
      </c>
      <c r="R111" s="13">
        <f t="shared" si="45"/>
        <v>0.1</v>
      </c>
      <c r="S111" s="12">
        <v>87</v>
      </c>
      <c r="T111" s="13">
        <v>0.1</v>
      </c>
      <c r="U111" s="14" t="str">
        <f>IF(K111="经验",ROUND(INDEX([1]人物经验!$N$24:$N$573,S111)*T111+INDEX([1]人物经验!$O$24:$O$573,S111)-INDEX([1]人物经验!$O$24:$O$573,Q111)-INDEX([1]人物经验!$N$24:$N$573,Q111)*R111,0),"")</f>
        <v/>
      </c>
      <c r="V111" s="14"/>
      <c r="W111" s="14"/>
      <c r="X111" s="14">
        <v>1.5</v>
      </c>
      <c r="Y111" s="14">
        <f>IF(K111="元宝",X111/[2]货币基础!$B$5,"")</f>
        <v>15000</v>
      </c>
      <c r="Z111" s="14"/>
      <c r="AA111" s="14" t="str">
        <f>IF(K111="钻石",Z111/[2]货币基础!$B$4,"")</f>
        <v/>
      </c>
      <c r="AB111" s="14"/>
      <c r="AC111" s="14"/>
      <c r="AD111" s="12"/>
      <c r="AE111" s="27" t="s">
        <v>403</v>
      </c>
      <c r="AF111" s="27" t="s">
        <v>403</v>
      </c>
      <c r="AG111" s="27" t="s">
        <v>403</v>
      </c>
      <c r="AH111" s="27" t="s">
        <v>401</v>
      </c>
      <c r="AI111" s="27" t="s">
        <v>403</v>
      </c>
      <c r="AJ111" s="27" t="s">
        <v>403</v>
      </c>
      <c r="AK111" s="27" t="s">
        <v>403</v>
      </c>
      <c r="AL111" s="27" t="s">
        <v>404</v>
      </c>
    </row>
    <row r="112" spans="1:38" x14ac:dyDescent="0.15">
      <c r="A112" s="36"/>
      <c r="B112" s="36"/>
      <c r="C112" s="36"/>
      <c r="D112" s="36"/>
      <c r="E112" s="36"/>
      <c r="F112" s="36"/>
      <c r="G112" s="1" t="s">
        <v>602</v>
      </c>
      <c r="H112" s="1"/>
      <c r="I112" s="1">
        <v>40</v>
      </c>
      <c r="J112" s="1">
        <f>SUM($I$6:I112)/60</f>
        <v>15.416666666666666</v>
      </c>
      <c r="K112" s="12" t="s">
        <v>48</v>
      </c>
      <c r="L112" s="12"/>
      <c r="M112" s="12"/>
      <c r="N112" s="25"/>
      <c r="O112" s="12"/>
      <c r="P112" s="12">
        <v>87</v>
      </c>
      <c r="Q112" s="15">
        <f t="shared" si="44"/>
        <v>87</v>
      </c>
      <c r="R112" s="16">
        <f t="shared" si="45"/>
        <v>0.1</v>
      </c>
      <c r="S112" s="15">
        <v>88</v>
      </c>
      <c r="T112" s="16">
        <v>0</v>
      </c>
      <c r="U112" s="14">
        <f>IF(K112="经验",ROUND(INDEX([1]人物经验!$N$24:$N$573,S112)*T112+INDEX([1]人物经验!$O$24:$O$573,S112)-INDEX([1]人物经验!$O$24:$O$573,Q112)-INDEX([1]人物经验!$N$24:$N$573,Q112)*R112,0),"")</f>
        <v>758</v>
      </c>
      <c r="V112" s="14"/>
      <c r="W112" s="14"/>
      <c r="X112" s="14"/>
      <c r="Y112" s="14" t="str">
        <f>IF(K112="元宝",X112/[2]货币基础!$B$5,"")</f>
        <v/>
      </c>
      <c r="Z112" s="14"/>
      <c r="AA112" s="14" t="str">
        <f>IF(K112="钻石",Z112/[2]货币基础!$B$4,"")</f>
        <v/>
      </c>
      <c r="AB112" s="14"/>
      <c r="AC112" s="14"/>
      <c r="AD112" s="12"/>
      <c r="AE112" s="27" t="s">
        <v>403</v>
      </c>
      <c r="AF112" s="27" t="s">
        <v>403</v>
      </c>
      <c r="AG112" s="27" t="s">
        <v>403</v>
      </c>
      <c r="AH112" s="27" t="s">
        <v>401</v>
      </c>
      <c r="AI112" s="27" t="s">
        <v>403</v>
      </c>
      <c r="AJ112" s="27" t="s">
        <v>403</v>
      </c>
      <c r="AK112" s="27" t="s">
        <v>403</v>
      </c>
      <c r="AL112" s="27" t="s">
        <v>404</v>
      </c>
    </row>
    <row r="113" spans="1:38" x14ac:dyDescent="0.15">
      <c r="A113" s="36"/>
      <c r="B113" s="36"/>
      <c r="C113" s="36"/>
      <c r="D113" s="36"/>
      <c r="E113" s="36"/>
      <c r="F113" s="36"/>
      <c r="G113" s="1" t="s">
        <v>677</v>
      </c>
      <c r="H113" s="32" t="s">
        <v>678</v>
      </c>
      <c r="I113" s="1">
        <v>50</v>
      </c>
      <c r="J113" s="1">
        <f>SUM($I$6:I113)/60</f>
        <v>16.25</v>
      </c>
      <c r="K113" s="12" t="s">
        <v>48</v>
      </c>
      <c r="L113" s="12"/>
      <c r="M113" s="12"/>
      <c r="N113" s="25"/>
      <c r="O113" s="12"/>
      <c r="P113" s="12">
        <v>89</v>
      </c>
      <c r="Q113" s="12">
        <v>89</v>
      </c>
      <c r="R113" s="13">
        <f t="shared" si="45"/>
        <v>0</v>
      </c>
      <c r="S113" s="12">
        <v>89</v>
      </c>
      <c r="T113" s="13">
        <v>0.85</v>
      </c>
      <c r="U113" s="14">
        <f>IF(K113="经验",ROUND(INDEX([1]人物经验!$N$24:$N$573,S113)*T113+INDEX([1]人物经验!$O$24:$O$573,S113)-INDEX([1]人物经验!$O$24:$O$573,Q113)-INDEX([1]人物经验!$N$24:$N$573,Q113)*R113,0),"")</f>
        <v>800</v>
      </c>
      <c r="V113" s="14"/>
      <c r="W113" s="14"/>
      <c r="X113" s="14"/>
      <c r="Y113" s="14" t="str">
        <f>IF(K113="元宝",X113/[2]货币基础!$B$5,"")</f>
        <v/>
      </c>
      <c r="Z113" s="14"/>
      <c r="AA113" s="14" t="str">
        <f>IF(K113="钻石",Z113/[2]货币基础!$B$4,"")</f>
        <v/>
      </c>
      <c r="AB113" s="14"/>
      <c r="AC113" s="14"/>
      <c r="AD113" s="12"/>
      <c r="AE113" s="27" t="s">
        <v>403</v>
      </c>
      <c r="AF113" s="27" t="s">
        <v>403</v>
      </c>
      <c r="AG113" s="27" t="s">
        <v>403</v>
      </c>
      <c r="AH113" s="27" t="s">
        <v>401</v>
      </c>
      <c r="AI113" s="27" t="s">
        <v>403</v>
      </c>
      <c r="AJ113" s="27" t="s">
        <v>403</v>
      </c>
      <c r="AK113" s="27" t="s">
        <v>403</v>
      </c>
      <c r="AL113" s="27" t="s">
        <v>404</v>
      </c>
    </row>
    <row r="114" spans="1:38" x14ac:dyDescent="0.15">
      <c r="A114" s="36"/>
      <c r="B114" s="36"/>
      <c r="C114" s="36"/>
      <c r="D114" s="36"/>
      <c r="E114" s="36"/>
      <c r="F114" s="36"/>
      <c r="G114" s="1" t="s">
        <v>603</v>
      </c>
      <c r="H114" s="1"/>
      <c r="I114" s="1">
        <v>60</v>
      </c>
      <c r="J114" s="1">
        <f>SUM($I$6:I114)/60</f>
        <v>17.25</v>
      </c>
      <c r="K114" s="11" t="s">
        <v>48</v>
      </c>
      <c r="L114" s="12"/>
      <c r="M114" s="25"/>
      <c r="N114" s="25"/>
      <c r="O114" s="12"/>
      <c r="P114" s="12">
        <v>90</v>
      </c>
      <c r="Q114" s="12">
        <v>90</v>
      </c>
      <c r="R114" s="13">
        <v>0</v>
      </c>
      <c r="S114" s="12">
        <v>90</v>
      </c>
      <c r="T114" s="13">
        <v>0.85</v>
      </c>
      <c r="U114" s="14">
        <f>IF(K114="经验",ROUND(INDEX([1]人物经验!$N$24:$N$573,S114)*T114+INDEX([1]人物经验!$O$24:$O$573,S114)-INDEX([1]人物经验!$O$24:$O$573,Q114)-INDEX([1]人物经验!$N$24:$N$573,Q114)*R114,0),"")</f>
        <v>836</v>
      </c>
      <c r="V114" s="14"/>
      <c r="W114" s="14"/>
      <c r="X114" s="14"/>
      <c r="Y114" s="14" t="str">
        <f>IF(K114="元宝",X114/[2]货币基础!$B$5,"")</f>
        <v/>
      </c>
      <c r="Z114" s="14"/>
      <c r="AA114" s="14" t="str">
        <f>IF(K114="钻石",Z114/[2]货币基础!$B$4,"")</f>
        <v/>
      </c>
      <c r="AB114" s="14"/>
      <c r="AC114" s="14"/>
      <c r="AD114" s="12"/>
      <c r="AE114" s="27" t="s">
        <v>403</v>
      </c>
      <c r="AF114" s="27" t="s">
        <v>403</v>
      </c>
      <c r="AG114" s="27" t="s">
        <v>403</v>
      </c>
      <c r="AH114" s="27" t="s">
        <v>401</v>
      </c>
      <c r="AI114" s="27" t="s">
        <v>403</v>
      </c>
      <c r="AJ114" s="27" t="s">
        <v>403</v>
      </c>
      <c r="AK114" s="27" t="s">
        <v>403</v>
      </c>
      <c r="AL114" s="27" t="s">
        <v>404</v>
      </c>
    </row>
    <row r="115" spans="1:38" x14ac:dyDescent="0.15">
      <c r="A115" s="36"/>
      <c r="B115" s="36"/>
      <c r="C115" s="36"/>
      <c r="D115" s="36"/>
      <c r="E115" s="36"/>
      <c r="F115" s="36"/>
      <c r="G115" s="1" t="s">
        <v>604</v>
      </c>
      <c r="H115" s="1"/>
      <c r="I115" s="1">
        <v>60</v>
      </c>
      <c r="J115" s="1">
        <f>SUM($I$6:I115)/60</f>
        <v>18.25</v>
      </c>
      <c r="K115" s="11" t="s">
        <v>48</v>
      </c>
      <c r="L115" s="12"/>
      <c r="M115" s="25"/>
      <c r="N115" s="25"/>
      <c r="O115" s="12"/>
      <c r="P115" s="12">
        <v>92</v>
      </c>
      <c r="Q115" s="12">
        <v>92</v>
      </c>
      <c r="R115" s="13">
        <v>0</v>
      </c>
      <c r="S115" s="12">
        <v>92</v>
      </c>
      <c r="T115" s="13">
        <v>0.78</v>
      </c>
      <c r="U115" s="14">
        <f>IF(K115="经验",ROUND(INDEX([1]人物经验!$N$24:$N$573,S115)*T115+INDEX([1]人物经验!$O$24:$O$573,S115)-INDEX([1]人物经验!$O$24:$O$573,Q115)-INDEX([1]人物经验!$N$24:$N$573,Q115)*R115,0),"")</f>
        <v>856</v>
      </c>
      <c r="V115" s="14"/>
      <c r="W115" s="14"/>
      <c r="X115" s="14"/>
      <c r="Y115" s="14" t="str">
        <f>IF(K115="元宝",X115/[2]货币基础!$B$5,"")</f>
        <v/>
      </c>
      <c r="Z115" s="14"/>
      <c r="AA115" s="14" t="str">
        <f>IF(K115="钻石",Z115/[2]货币基础!$B$4,"")</f>
        <v/>
      </c>
      <c r="AB115" s="14"/>
      <c r="AC115" s="14"/>
      <c r="AD115" s="12"/>
      <c r="AE115" s="27" t="s">
        <v>403</v>
      </c>
      <c r="AF115" s="27" t="s">
        <v>403</v>
      </c>
      <c r="AG115" s="27" t="s">
        <v>403</v>
      </c>
      <c r="AH115" s="27" t="s">
        <v>401</v>
      </c>
      <c r="AI115" s="27" t="s">
        <v>403</v>
      </c>
      <c r="AJ115" s="27" t="s">
        <v>403</v>
      </c>
      <c r="AK115" s="27" t="s">
        <v>403</v>
      </c>
      <c r="AL115" s="27" t="s">
        <v>404</v>
      </c>
    </row>
    <row r="116" spans="1:38" x14ac:dyDescent="0.15">
      <c r="A116" s="36"/>
      <c r="B116" s="36"/>
      <c r="C116" s="36"/>
      <c r="D116" s="36"/>
      <c r="E116" s="36"/>
      <c r="F116" s="36"/>
      <c r="G116" s="1" t="s">
        <v>645</v>
      </c>
      <c r="H116" s="1" t="s">
        <v>605</v>
      </c>
      <c r="I116" s="1">
        <v>5</v>
      </c>
      <c r="J116" s="1">
        <f>SUM($I$6:I116)/60</f>
        <v>18.333333333333332</v>
      </c>
      <c r="K116" s="11" t="s">
        <v>563</v>
      </c>
      <c r="L116" s="12"/>
      <c r="M116" s="31"/>
      <c r="N116" s="31" t="s">
        <v>232</v>
      </c>
      <c r="O116" s="12"/>
      <c r="P116" s="12">
        <v>92</v>
      </c>
      <c r="Q116" s="12">
        <f t="shared" si="44"/>
        <v>92</v>
      </c>
      <c r="R116" s="13">
        <f t="shared" si="45"/>
        <v>0.78</v>
      </c>
      <c r="S116" s="12">
        <v>92</v>
      </c>
      <c r="T116" s="13">
        <v>0.78</v>
      </c>
      <c r="U116" s="14" t="str">
        <f>IF(K116="经验",ROUND(INDEX([1]人物经验!$N$24:$N$573,S116)*T116+INDEX([1]人物经验!$O$24:$O$573,S116)-INDEX([1]人物经验!$O$24:$O$573,Q116)-INDEX([1]人物经验!$N$24:$N$573,Q116)*R116,0),"")</f>
        <v/>
      </c>
      <c r="V116" s="14"/>
      <c r="W116" s="14"/>
      <c r="X116" s="14">
        <v>1.5</v>
      </c>
      <c r="Y116" s="14">
        <f>IF(K116="元宝",X116/[2]货币基础!$B$5,"")</f>
        <v>15000</v>
      </c>
      <c r="Z116" s="14"/>
      <c r="AA116" s="14" t="str">
        <f>IF(K116="钻石",Z116/[2]货币基础!$B$4,"")</f>
        <v/>
      </c>
      <c r="AB116" s="14"/>
      <c r="AC116" s="14"/>
      <c r="AD116" s="12"/>
      <c r="AE116" s="27" t="s">
        <v>403</v>
      </c>
      <c r="AF116" s="27" t="s">
        <v>403</v>
      </c>
      <c r="AG116" s="27" t="s">
        <v>403</v>
      </c>
      <c r="AH116" s="27" t="s">
        <v>401</v>
      </c>
      <c r="AI116" s="27" t="s">
        <v>403</v>
      </c>
      <c r="AJ116" s="27" t="s">
        <v>403</v>
      </c>
      <c r="AK116" s="27" t="s">
        <v>403</v>
      </c>
      <c r="AL116" s="27" t="s">
        <v>404</v>
      </c>
    </row>
    <row r="117" spans="1:38" x14ac:dyDescent="0.15">
      <c r="A117" s="36"/>
      <c r="B117" s="36"/>
      <c r="C117" s="36"/>
      <c r="D117" s="36"/>
      <c r="E117" s="36"/>
      <c r="F117" s="36"/>
      <c r="G117" s="1" t="s">
        <v>590</v>
      </c>
      <c r="H117" s="32" t="s">
        <v>678</v>
      </c>
      <c r="I117" s="1">
        <v>30</v>
      </c>
      <c r="J117" s="1">
        <f>SUM($I$6:I117)/60</f>
        <v>18.833333333333332</v>
      </c>
      <c r="K117" s="11" t="s">
        <v>48</v>
      </c>
      <c r="L117" s="12"/>
      <c r="M117" s="25"/>
      <c r="N117" s="25" t="s">
        <v>143</v>
      </c>
      <c r="O117" s="12" t="s">
        <v>671</v>
      </c>
      <c r="P117" s="12">
        <v>93</v>
      </c>
      <c r="Q117" s="12">
        <v>93</v>
      </c>
      <c r="R117" s="13">
        <v>0</v>
      </c>
      <c r="S117" s="14">
        <v>93</v>
      </c>
      <c r="T117" s="13">
        <v>0.2</v>
      </c>
      <c r="U117" s="14">
        <f>IF(K117="经验",ROUND(INDEX([1]人物经验!$N$24:$N$573,S117)*T117+INDEX([1]人物经验!$O$24:$O$573,S117)-INDEX([1]人物经验!$O$24:$O$573,Q117)-INDEX([1]人物经验!$N$24:$N$573,Q117)*R117,0),"")</f>
        <v>235</v>
      </c>
      <c r="V117" s="14"/>
      <c r="W117" s="14"/>
      <c r="X117" s="14"/>
      <c r="Y117" s="14" t="str">
        <f>IF(K117="元宝",X117/[2]货币基础!$B$5,"")</f>
        <v/>
      </c>
      <c r="Z117" s="14"/>
      <c r="AA117" s="14" t="str">
        <f>IF(K117="钻石",Z117/[2]货币基础!$B$4,"")</f>
        <v/>
      </c>
      <c r="AB117" s="14"/>
      <c r="AC117" s="14"/>
      <c r="AD117" s="12" t="s">
        <v>82</v>
      </c>
      <c r="AE117" s="11" t="s">
        <v>666</v>
      </c>
      <c r="AF117" s="27" t="s">
        <v>403</v>
      </c>
      <c r="AG117" s="27" t="s">
        <v>403</v>
      </c>
      <c r="AH117" s="27" t="s">
        <v>401</v>
      </c>
      <c r="AI117" s="27" t="s">
        <v>403</v>
      </c>
      <c r="AJ117" s="27" t="s">
        <v>403</v>
      </c>
      <c r="AK117" s="27" t="s">
        <v>403</v>
      </c>
      <c r="AL117" s="27" t="s">
        <v>404</v>
      </c>
    </row>
    <row r="118" spans="1:38" x14ac:dyDescent="0.15">
      <c r="A118" s="36"/>
      <c r="B118" s="36"/>
      <c r="C118" s="36"/>
      <c r="D118" s="36"/>
      <c r="E118" s="36"/>
      <c r="F118" s="36"/>
      <c r="G118" s="1" t="s">
        <v>591</v>
      </c>
      <c r="H118" s="32" t="s">
        <v>678</v>
      </c>
      <c r="I118" s="1">
        <v>45</v>
      </c>
      <c r="J118" s="1">
        <f>SUM($I$6:I118)/60</f>
        <v>19.583333333333332</v>
      </c>
      <c r="K118" s="11" t="s">
        <v>48</v>
      </c>
      <c r="L118" s="12"/>
      <c r="M118" s="25"/>
      <c r="N118" s="25" t="s">
        <v>144</v>
      </c>
      <c r="O118" s="12" t="s">
        <v>668</v>
      </c>
      <c r="P118" s="12">
        <v>95</v>
      </c>
      <c r="Q118" s="12">
        <v>95</v>
      </c>
      <c r="R118" s="13">
        <v>0</v>
      </c>
      <c r="S118" s="12">
        <v>95</v>
      </c>
      <c r="T118" s="13">
        <v>0.2</v>
      </c>
      <c r="U118" s="14">
        <f>IF(K118="经验",ROUND(INDEX([1]人物经验!$N$24:$N$573,S118)*T118+INDEX([1]人物经验!$O$24:$O$573,S118)-INDEX([1]人物经验!$O$24:$O$573,Q118)-INDEX([1]人物经验!$N$24:$N$573,Q118)*R118,0),"")</f>
        <v>261</v>
      </c>
      <c r="V118" s="14"/>
      <c r="W118" s="14"/>
      <c r="X118" s="14"/>
      <c r="Y118" s="14" t="str">
        <f>IF(K118="元宝",X118/[2]货币基础!$B$5,"")</f>
        <v/>
      </c>
      <c r="Z118" s="14"/>
      <c r="AA118" s="14" t="str">
        <f>IF(K118="钻石",Z118/[2]货币基础!$B$4,"")</f>
        <v/>
      </c>
      <c r="AB118" s="14"/>
      <c r="AC118" s="14"/>
      <c r="AD118" s="12" t="s">
        <v>83</v>
      </c>
      <c r="AE118" s="11" t="s">
        <v>666</v>
      </c>
      <c r="AF118" s="25" t="s">
        <v>667</v>
      </c>
      <c r="AG118" s="27" t="s">
        <v>403</v>
      </c>
      <c r="AH118" s="11" t="s">
        <v>669</v>
      </c>
      <c r="AI118" s="27" t="s">
        <v>403</v>
      </c>
      <c r="AJ118" s="27" t="s">
        <v>403</v>
      </c>
      <c r="AK118" s="27" t="s">
        <v>403</v>
      </c>
      <c r="AL118" s="27" t="s">
        <v>404</v>
      </c>
    </row>
    <row r="119" spans="1:38" x14ac:dyDescent="0.15">
      <c r="A119" s="36"/>
      <c r="B119" s="36"/>
      <c r="C119" s="36"/>
      <c r="D119" s="36"/>
      <c r="E119" s="36"/>
      <c r="F119" s="36"/>
      <c r="G119" s="1" t="s">
        <v>690</v>
      </c>
      <c r="H119" s="1" t="s">
        <v>592</v>
      </c>
      <c r="I119" s="1">
        <v>5</v>
      </c>
      <c r="J119" s="1">
        <f>SUM($I$6:I119)/60</f>
        <v>19.666666666666668</v>
      </c>
      <c r="K119" s="11" t="s">
        <v>563</v>
      </c>
      <c r="L119" s="12"/>
      <c r="M119" s="25"/>
      <c r="N119" s="25"/>
      <c r="O119" s="12"/>
      <c r="P119" s="12">
        <v>95</v>
      </c>
      <c r="Q119" s="12">
        <v>95</v>
      </c>
      <c r="R119" s="13">
        <v>0.2</v>
      </c>
      <c r="S119" s="12">
        <v>95</v>
      </c>
      <c r="T119" s="13">
        <v>0.2</v>
      </c>
      <c r="U119" s="14" t="str">
        <f>IF(K119="经验",ROUND(INDEX([1]人物经验!$N$24:$N$573,S119)*T119+INDEX([1]人物经验!$O$24:$O$573,S119)-INDEX([1]人物经验!$O$24:$O$573,Q119)-INDEX([1]人物经验!$N$24:$N$573,Q119)*R119,0),"")</f>
        <v/>
      </c>
      <c r="V119" s="14"/>
      <c r="W119" s="14"/>
      <c r="X119" s="14">
        <v>1.5</v>
      </c>
      <c r="Y119" s="14">
        <f>IF(K119="元宝",X119/[2]货币基础!$B$5,"")</f>
        <v>15000</v>
      </c>
      <c r="Z119" s="14"/>
      <c r="AA119" s="14" t="str">
        <f>IF(K119="钻石",Z119/[2]货币基础!$B$4,"")</f>
        <v/>
      </c>
      <c r="AB119" s="14"/>
      <c r="AC119" s="14"/>
      <c r="AD119" s="12"/>
      <c r="AE119" s="11" t="s">
        <v>666</v>
      </c>
      <c r="AF119" s="25" t="s">
        <v>667</v>
      </c>
      <c r="AG119" s="27" t="s">
        <v>403</v>
      </c>
      <c r="AH119" s="11" t="s">
        <v>669</v>
      </c>
      <c r="AI119" s="27" t="s">
        <v>403</v>
      </c>
      <c r="AJ119" s="27" t="s">
        <v>403</v>
      </c>
      <c r="AK119" s="27" t="s">
        <v>403</v>
      </c>
      <c r="AL119" s="27" t="s">
        <v>404</v>
      </c>
    </row>
    <row r="120" spans="1:38" x14ac:dyDescent="0.15">
      <c r="A120" s="36"/>
      <c r="B120" s="36"/>
      <c r="C120" s="36"/>
      <c r="D120" s="36"/>
      <c r="E120" s="36"/>
      <c r="F120" s="36"/>
      <c r="G120" s="1" t="s">
        <v>593</v>
      </c>
      <c r="H120" s="32" t="s">
        <v>678</v>
      </c>
      <c r="I120" s="1">
        <v>45</v>
      </c>
      <c r="J120" s="1">
        <f>SUM($I$6:I120)/60</f>
        <v>20.416666666666668</v>
      </c>
      <c r="K120" s="11" t="s">
        <v>564</v>
      </c>
      <c r="L120" s="12"/>
      <c r="M120" s="25"/>
      <c r="N120" s="25" t="s">
        <v>146</v>
      </c>
      <c r="O120" s="12"/>
      <c r="P120" s="12">
        <v>97</v>
      </c>
      <c r="Q120" s="12">
        <v>97</v>
      </c>
      <c r="R120" s="13">
        <v>0</v>
      </c>
      <c r="S120" s="12">
        <v>97</v>
      </c>
      <c r="T120" s="13">
        <v>0.2</v>
      </c>
      <c r="U120" s="14">
        <f>IF(K120="经验",ROUND(INDEX([1]人物经验!$N$24:$N$573,S120)*T120+INDEX([1]人物经验!$O$24:$O$573,S120)-INDEX([1]人物经验!$O$24:$O$573,Q120)-INDEX([1]人物经验!$N$24:$N$573,Q120)*R120,0),"")</f>
        <v>291</v>
      </c>
      <c r="V120" s="14"/>
      <c r="W120" s="14"/>
      <c r="X120" s="14"/>
      <c r="Y120" s="14" t="str">
        <f>IF(K120="元宝",X120/[2]货币基础!$B$5,"")</f>
        <v/>
      </c>
      <c r="Z120" s="14"/>
      <c r="AA120" s="14" t="str">
        <f>IF(K120="钻石",Z120/[2]货币基础!$B$4,"")</f>
        <v/>
      </c>
      <c r="AB120" s="14"/>
      <c r="AC120" s="14"/>
      <c r="AD120" s="12" t="s">
        <v>596</v>
      </c>
      <c r="AE120" s="11" t="s">
        <v>666</v>
      </c>
      <c r="AF120" s="25" t="s">
        <v>667</v>
      </c>
      <c r="AG120" s="27" t="s">
        <v>403</v>
      </c>
      <c r="AH120" s="11" t="s">
        <v>403</v>
      </c>
      <c r="AI120" s="11" t="s">
        <v>666</v>
      </c>
      <c r="AJ120" s="27" t="s">
        <v>403</v>
      </c>
      <c r="AK120" s="27" t="s">
        <v>403</v>
      </c>
      <c r="AL120" s="27" t="s">
        <v>404</v>
      </c>
    </row>
    <row r="121" spans="1:38" x14ac:dyDescent="0.15">
      <c r="A121" s="36"/>
      <c r="B121" s="36"/>
      <c r="C121" s="36"/>
      <c r="D121" s="36"/>
      <c r="E121" s="36"/>
      <c r="F121" s="36"/>
      <c r="G121" s="1" t="s">
        <v>594</v>
      </c>
      <c r="H121" s="32" t="s">
        <v>678</v>
      </c>
      <c r="I121" s="1">
        <v>60</v>
      </c>
      <c r="J121" s="1">
        <f>SUM($I$6:I121)/60</f>
        <v>21.416666666666668</v>
      </c>
      <c r="K121" s="11" t="s">
        <v>48</v>
      </c>
      <c r="L121" s="12"/>
      <c r="M121" s="25"/>
      <c r="N121" s="25" t="s">
        <v>145</v>
      </c>
      <c r="O121" s="12"/>
      <c r="P121" s="12">
        <v>99</v>
      </c>
      <c r="Q121" s="12">
        <v>99</v>
      </c>
      <c r="R121" s="13">
        <v>0</v>
      </c>
      <c r="S121" s="12">
        <v>99</v>
      </c>
      <c r="T121" s="13">
        <v>0.2</v>
      </c>
      <c r="U121" s="14">
        <f>IF(K121="经验",ROUND(INDEX([1]人物经验!$N$24:$N$573,S121)*T121+INDEX([1]人物经验!$O$24:$O$573,S121)-INDEX([1]人物经验!$O$24:$O$573,Q121)-INDEX([1]人物经验!$N$24:$N$573,Q121)*R121,0),"")</f>
        <v>330</v>
      </c>
      <c r="V121" s="14"/>
      <c r="W121" s="14"/>
      <c r="X121" s="14"/>
      <c r="Y121" s="14" t="str">
        <f>IF(K121="元宝",X121/[2]货币基础!$B$5,"")</f>
        <v/>
      </c>
      <c r="Z121" s="14"/>
      <c r="AA121" s="14" t="str">
        <f>IF(K121="钻石",Z121/[2]货币基础!$B$4,"")</f>
        <v/>
      </c>
      <c r="AB121" s="14"/>
      <c r="AC121" s="14"/>
      <c r="AD121" s="12" t="s">
        <v>597</v>
      </c>
      <c r="AE121" s="11" t="s">
        <v>666</v>
      </c>
      <c r="AF121" s="25" t="s">
        <v>667</v>
      </c>
      <c r="AG121" s="27" t="s">
        <v>403</v>
      </c>
      <c r="AH121" s="11" t="s">
        <v>403</v>
      </c>
      <c r="AI121" s="11" t="s">
        <v>666</v>
      </c>
      <c r="AJ121" s="11" t="s">
        <v>666</v>
      </c>
      <c r="AK121" s="27" t="s">
        <v>403</v>
      </c>
      <c r="AL121" s="27" t="s">
        <v>404</v>
      </c>
    </row>
    <row r="122" spans="1:38" x14ac:dyDescent="0.15">
      <c r="A122" s="36"/>
      <c r="B122" s="36"/>
      <c r="C122" s="36"/>
      <c r="D122" s="36"/>
      <c r="E122" s="36"/>
      <c r="F122" s="36"/>
      <c r="G122" s="1" t="s">
        <v>646</v>
      </c>
      <c r="H122" s="1" t="s">
        <v>595</v>
      </c>
      <c r="I122" s="1">
        <v>5</v>
      </c>
      <c r="J122" s="1">
        <f>SUM($I$6:I122)/60</f>
        <v>21.5</v>
      </c>
      <c r="K122" s="11" t="s">
        <v>116</v>
      </c>
      <c r="L122" s="12"/>
      <c r="M122" s="25"/>
      <c r="N122" s="25"/>
      <c r="O122" s="12"/>
      <c r="P122" s="12">
        <v>99</v>
      </c>
      <c r="Q122" s="12">
        <f t="shared" si="44"/>
        <v>99</v>
      </c>
      <c r="R122" s="13">
        <f t="shared" si="45"/>
        <v>0.2</v>
      </c>
      <c r="S122" s="12">
        <v>99</v>
      </c>
      <c r="T122" s="13">
        <v>0.2</v>
      </c>
      <c r="U122" s="14" t="str">
        <f>IF(K122="经验",ROUND(INDEX([1]人物经验!$N$24:$N$573,S122)*T122+INDEX([1]人物经验!$O$24:$O$573,S122)-INDEX([1]人物经验!$O$24:$O$573,Q122)-INDEX([1]人物经验!$N$24:$N$573,Q122)*R122,0),"")</f>
        <v/>
      </c>
      <c r="V122" s="14"/>
      <c r="W122" s="14" t="str">
        <f>IF(K122="金币",INT(V122/[2]货币基础!$B$6*3600*INDEX([1]人物经验!$K$24:$K$573,P122)/1000+1)*1000,"")</f>
        <v/>
      </c>
      <c r="X122" s="14">
        <v>0.5</v>
      </c>
      <c r="Y122" s="14">
        <f>IF(K122="元宝",X122/[2]货币基础!$B$5,"")</f>
        <v>5000</v>
      </c>
      <c r="Z122" s="14"/>
      <c r="AA122" s="14" t="str">
        <f>IF(K122="钻石",Z122/[2]货币基础!$B$4,"")</f>
        <v/>
      </c>
      <c r="AB122" s="14"/>
      <c r="AC122" s="14"/>
      <c r="AD122" s="12" t="s">
        <v>599</v>
      </c>
      <c r="AE122" s="11" t="s">
        <v>404</v>
      </c>
      <c r="AF122" s="25" t="s">
        <v>404</v>
      </c>
      <c r="AG122" s="27" t="s">
        <v>403</v>
      </c>
      <c r="AH122" s="11" t="s">
        <v>403</v>
      </c>
      <c r="AI122" s="11" t="s">
        <v>404</v>
      </c>
      <c r="AJ122" s="11" t="s">
        <v>666</v>
      </c>
      <c r="AK122" s="27" t="s">
        <v>403</v>
      </c>
      <c r="AL122" s="27" t="s">
        <v>404</v>
      </c>
    </row>
    <row r="123" spans="1:38" x14ac:dyDescent="0.15">
      <c r="A123" s="36"/>
      <c r="B123" s="36"/>
      <c r="C123" s="36"/>
      <c r="D123" s="36"/>
      <c r="E123" s="36"/>
      <c r="F123" s="36"/>
      <c r="G123" s="1" t="s">
        <v>647</v>
      </c>
      <c r="H123" s="1" t="s">
        <v>598</v>
      </c>
      <c r="I123" s="1">
        <v>5</v>
      </c>
      <c r="J123" s="1">
        <f>SUM($I$6:I123)/60</f>
        <v>21.583333333333332</v>
      </c>
      <c r="K123" s="11" t="s">
        <v>563</v>
      </c>
      <c r="L123" s="12"/>
      <c r="M123" s="25"/>
      <c r="N123" s="25"/>
      <c r="O123" s="12"/>
      <c r="P123" s="12">
        <v>99</v>
      </c>
      <c r="Q123" s="12">
        <f t="shared" si="44"/>
        <v>99</v>
      </c>
      <c r="R123" s="13">
        <f t="shared" si="45"/>
        <v>0.2</v>
      </c>
      <c r="S123" s="12">
        <v>99</v>
      </c>
      <c r="T123" s="13">
        <v>0</v>
      </c>
      <c r="U123" s="14" t="str">
        <f>IF(K123="经验",ROUND(INDEX([1]人物经验!$N$24:$N$573,S123)*T123+INDEX([1]人物经验!$O$24:$O$573,S123)-INDEX([1]人物经验!$O$24:$O$573,Q123)-INDEX([1]人物经验!$N$24:$N$573,Q123)*R123,0),"")</f>
        <v/>
      </c>
      <c r="V123" s="14"/>
      <c r="W123" s="14" t="str">
        <f>IF(K123="金币",INT(V123/[2]货币基础!$B$6*3600*INDEX([1]人物经验!$K$24:$K$573,P123)/1000+1)*1000,"")</f>
        <v/>
      </c>
      <c r="X123" s="14">
        <v>0.5</v>
      </c>
      <c r="Y123" s="14">
        <f>IF(K123="元宝",X123/[2]货币基础!$B$5,"")</f>
        <v>5000</v>
      </c>
      <c r="Z123" s="14"/>
      <c r="AA123" s="14" t="str">
        <f>IF(K123="钻石",Z123/[2]货币基础!$B$4,"")</f>
        <v/>
      </c>
      <c r="AB123" s="14"/>
      <c r="AC123" s="14"/>
      <c r="AD123" s="12"/>
      <c r="AE123" s="11" t="s">
        <v>404</v>
      </c>
      <c r="AF123" s="25" t="s">
        <v>404</v>
      </c>
      <c r="AG123" s="27" t="s">
        <v>403</v>
      </c>
      <c r="AH123" s="11" t="s">
        <v>403</v>
      </c>
      <c r="AI123" s="11" t="s">
        <v>404</v>
      </c>
      <c r="AJ123" s="11" t="s">
        <v>404</v>
      </c>
      <c r="AK123" s="27" t="s">
        <v>403</v>
      </c>
      <c r="AL123" s="27" t="s">
        <v>404</v>
      </c>
    </row>
    <row r="124" spans="1:38" x14ac:dyDescent="0.15">
      <c r="A124" s="36"/>
      <c r="B124" s="36"/>
      <c r="C124" s="36"/>
      <c r="D124" s="36"/>
      <c r="E124" s="36"/>
      <c r="F124" s="36"/>
      <c r="G124" s="1" t="s">
        <v>648</v>
      </c>
      <c r="H124" s="1" t="s">
        <v>679</v>
      </c>
      <c r="I124" s="1">
        <f>60*3</f>
        <v>180</v>
      </c>
      <c r="J124" s="1">
        <f>SUM($I$6:I124)/60</f>
        <v>24.583333333333332</v>
      </c>
      <c r="K124" s="11" t="s">
        <v>562</v>
      </c>
      <c r="L124" s="12"/>
      <c r="M124" s="25"/>
      <c r="N124" s="25"/>
      <c r="O124" s="12"/>
      <c r="P124" s="12">
        <v>105</v>
      </c>
      <c r="Q124" s="12">
        <v>105</v>
      </c>
      <c r="R124" s="13">
        <v>0</v>
      </c>
      <c r="S124" s="12">
        <v>105</v>
      </c>
      <c r="T124" s="13">
        <v>0</v>
      </c>
      <c r="U124" s="14" t="str">
        <f>IF(K124="经验",ROUND(INDEX([1]人物经验!$N$24:$N$573,S124)*T124+INDEX([1]人物经验!$O$24:$O$573,S124)-INDEX([1]人物经验!$O$24:$O$573,Q124)-INDEX([1]人物经验!$N$24:$N$573,Q124)*R124,0),"")</f>
        <v/>
      </c>
      <c r="V124" s="14"/>
      <c r="W124" s="14" t="str">
        <f>IF(K124="金币",INT(V124/[2]货币基础!$B$6*3600*INDEX([1]人物经验!$K$24:$K$573,P124)/1000+1)*1000,"")</f>
        <v/>
      </c>
      <c r="X124" s="14"/>
      <c r="Y124" s="14" t="str">
        <f>IF(K124="元宝",X124/[2]货币基础!$B$5,"")</f>
        <v/>
      </c>
      <c r="Z124" s="14">
        <v>5</v>
      </c>
      <c r="AA124" s="14">
        <f>IF(K124="钻石",Z124/[2]货币基础!$B$4,"")</f>
        <v>500</v>
      </c>
      <c r="AB124" s="14"/>
      <c r="AC124" s="14"/>
      <c r="AD124" s="12"/>
      <c r="AE124" s="11" t="s">
        <v>404</v>
      </c>
      <c r="AF124" s="25" t="s">
        <v>404</v>
      </c>
      <c r="AG124" s="27" t="s">
        <v>403</v>
      </c>
      <c r="AH124" s="11" t="s">
        <v>403</v>
      </c>
      <c r="AI124" s="11" t="s">
        <v>404</v>
      </c>
      <c r="AJ124" s="11" t="s">
        <v>404</v>
      </c>
      <c r="AK124" s="27" t="s">
        <v>666</v>
      </c>
      <c r="AL124" s="27" t="s">
        <v>404</v>
      </c>
    </row>
    <row r="125" spans="1:38" x14ac:dyDescent="0.15">
      <c r="A125" s="36"/>
      <c r="B125" s="36"/>
      <c r="C125" s="36"/>
      <c r="D125" s="36"/>
      <c r="E125" s="36"/>
      <c r="F125" s="36"/>
      <c r="G125" s="1" t="s">
        <v>178</v>
      </c>
      <c r="H125" s="32" t="s">
        <v>678</v>
      </c>
      <c r="I125" s="1">
        <v>60</v>
      </c>
      <c r="J125" s="1">
        <f>SUM($I$6:I125)/60</f>
        <v>25.583333333333332</v>
      </c>
      <c r="K125" s="11" t="s">
        <v>48</v>
      </c>
      <c r="L125" s="12"/>
      <c r="M125" s="25"/>
      <c r="N125" s="25"/>
      <c r="O125" s="12"/>
      <c r="P125" s="12">
        <v>106</v>
      </c>
      <c r="Q125" s="12">
        <v>106</v>
      </c>
      <c r="R125" s="13">
        <f t="shared" si="45"/>
        <v>0</v>
      </c>
      <c r="S125" s="12">
        <v>106</v>
      </c>
      <c r="T125" s="13">
        <v>0.4</v>
      </c>
      <c r="U125" s="14">
        <f>IF(K125="经验",ROUND(INDEX([1]人物经验!$N$24:$N$573,S125)*T125+INDEX([1]人物经验!$O$24:$O$573,S125)-INDEX([1]人物经验!$O$24:$O$573,Q125)-INDEX([1]人物经验!$N$24:$N$573,Q125)*R125,0),"")</f>
        <v>949</v>
      </c>
      <c r="V125" s="14"/>
      <c r="W125" s="14" t="str">
        <f>IF(K125="金币",INT(V125/[2]货币基础!$B$6*3600*INDEX([1]人物经验!$K$24:$K$573,P125)/1000+1)*1000,"")</f>
        <v/>
      </c>
      <c r="X125" s="14"/>
      <c r="Y125" s="14" t="str">
        <f>IF(K125="元宝",X125/[2]货币基础!$B$5,"")</f>
        <v/>
      </c>
      <c r="Z125" s="14"/>
      <c r="AA125" s="14" t="str">
        <f>IF(K125="钻石",Z125/[2]货币基础!$B$4,"")</f>
        <v/>
      </c>
      <c r="AB125" s="14"/>
      <c r="AC125" s="14"/>
      <c r="AD125" s="12"/>
      <c r="AE125" s="11" t="s">
        <v>404</v>
      </c>
      <c r="AF125" s="25" t="s">
        <v>404</v>
      </c>
      <c r="AG125" s="27" t="s">
        <v>403</v>
      </c>
      <c r="AH125" s="11" t="s">
        <v>403</v>
      </c>
      <c r="AI125" s="11" t="s">
        <v>404</v>
      </c>
      <c r="AJ125" s="11" t="s">
        <v>404</v>
      </c>
      <c r="AK125" s="27" t="s">
        <v>666</v>
      </c>
      <c r="AL125" s="27" t="s">
        <v>404</v>
      </c>
    </row>
    <row r="126" spans="1:38" x14ac:dyDescent="0.15">
      <c r="A126" s="36"/>
      <c r="B126" s="36"/>
      <c r="C126" s="36"/>
      <c r="D126" s="36"/>
      <c r="E126" s="36"/>
      <c r="F126" s="36"/>
      <c r="G126" s="1" t="s">
        <v>84</v>
      </c>
      <c r="H126" s="32" t="s">
        <v>678</v>
      </c>
      <c r="I126" s="1">
        <v>60</v>
      </c>
      <c r="J126" s="1">
        <f>SUM($I$6:I126)/60</f>
        <v>26.583333333333332</v>
      </c>
      <c r="K126" s="11" t="s">
        <v>48</v>
      </c>
      <c r="L126" s="12"/>
      <c r="M126" s="25"/>
      <c r="N126" s="25"/>
      <c r="O126" s="12"/>
      <c r="P126" s="12">
        <v>107</v>
      </c>
      <c r="Q126" s="12">
        <v>107</v>
      </c>
      <c r="R126" s="13">
        <v>0</v>
      </c>
      <c r="S126" s="12">
        <v>107</v>
      </c>
      <c r="T126" s="13">
        <v>0.4</v>
      </c>
      <c r="U126" s="14">
        <f>IF(K126="经验",ROUND(INDEX([1]人物经验!$N$24:$N$573,S126)*T126+INDEX([1]人物经验!$O$24:$O$573,S126)-INDEX([1]人物经验!$O$24:$O$573,Q126)-INDEX([1]人物经验!$N$24:$N$573,Q126)*R126,0),"")</f>
        <v>959</v>
      </c>
      <c r="V126" s="14"/>
      <c r="W126" s="14" t="str">
        <f>IF(K126="金币",INT(V126/[2]货币基础!$B$6*3600*INDEX([1]人物经验!$K$24:$K$573,P126)/1000+1)*1000,"")</f>
        <v/>
      </c>
      <c r="X126" s="14"/>
      <c r="Y126" s="14" t="str">
        <f>IF(K126="元宝",X126/[2]货币基础!$B$5,"")</f>
        <v/>
      </c>
      <c r="Z126" s="14"/>
      <c r="AA126" s="14" t="str">
        <f>IF(K126="钻石",Z126/[2]货币基础!$B$4,"")</f>
        <v/>
      </c>
      <c r="AB126" s="14"/>
      <c r="AC126" s="14"/>
      <c r="AD126" s="12"/>
      <c r="AE126" s="11" t="s">
        <v>404</v>
      </c>
      <c r="AF126" s="25" t="s">
        <v>404</v>
      </c>
      <c r="AG126" s="27" t="s">
        <v>666</v>
      </c>
      <c r="AH126" s="11" t="s">
        <v>403</v>
      </c>
      <c r="AI126" s="11" t="s">
        <v>404</v>
      </c>
      <c r="AJ126" s="11" t="s">
        <v>404</v>
      </c>
      <c r="AK126" s="27" t="s">
        <v>404</v>
      </c>
      <c r="AL126" s="27" t="s">
        <v>404</v>
      </c>
    </row>
    <row r="127" spans="1:38" x14ac:dyDescent="0.15">
      <c r="A127" s="36"/>
      <c r="B127" s="36"/>
      <c r="C127" s="36"/>
      <c r="D127" s="36"/>
      <c r="E127" s="36"/>
      <c r="F127" s="36"/>
      <c r="G127" s="1" t="s">
        <v>85</v>
      </c>
      <c r="H127" s="32" t="s">
        <v>678</v>
      </c>
      <c r="I127" s="1">
        <v>60</v>
      </c>
      <c r="J127" s="1">
        <f>SUM($I$6:I127)/60</f>
        <v>27.583333333333332</v>
      </c>
      <c r="K127" s="11" t="s">
        <v>48</v>
      </c>
      <c r="L127" s="12"/>
      <c r="M127" s="25"/>
      <c r="N127" s="25"/>
      <c r="O127" s="12"/>
      <c r="P127" s="12">
        <v>108</v>
      </c>
      <c r="Q127" s="12">
        <v>108</v>
      </c>
      <c r="R127" s="13">
        <v>0</v>
      </c>
      <c r="S127" s="12">
        <v>108</v>
      </c>
      <c r="T127" s="13">
        <v>0.4</v>
      </c>
      <c r="U127" s="14">
        <f>IF(K127="经验",ROUND(INDEX([1]人物经验!$N$24:$N$573,S127)*T127+INDEX([1]人物经验!$O$24:$O$573,S127)-INDEX([1]人物经验!$O$24:$O$573,Q127)-INDEX([1]人物经验!$N$24:$N$573,Q127)*R127,0),"")</f>
        <v>987</v>
      </c>
      <c r="V127" s="14"/>
      <c r="W127" s="14" t="str">
        <f>IF(K127="金币",INT(V127/[2]货币基础!$B$6*3600*INDEX([1]人物经验!$K$24:$K$573,P127)/1000+1)*1000,"")</f>
        <v/>
      </c>
      <c r="X127" s="14"/>
      <c r="Y127" s="14" t="str">
        <f>IF(K127="元宝",X127/[2]货币基础!$B$5,"")</f>
        <v/>
      </c>
      <c r="Z127" s="14"/>
      <c r="AA127" s="14" t="str">
        <f>IF(K127="钻石",Z127/[2]货币基础!$B$4,"")</f>
        <v/>
      </c>
      <c r="AB127" s="14"/>
      <c r="AC127" s="14"/>
      <c r="AD127" s="12"/>
      <c r="AE127" s="11" t="s">
        <v>404</v>
      </c>
      <c r="AF127" s="25" t="s">
        <v>404</v>
      </c>
      <c r="AG127" s="27" t="s">
        <v>666</v>
      </c>
      <c r="AH127" s="11" t="s">
        <v>403</v>
      </c>
      <c r="AI127" s="11" t="s">
        <v>404</v>
      </c>
      <c r="AJ127" s="11" t="s">
        <v>404</v>
      </c>
      <c r="AK127" s="27" t="s">
        <v>404</v>
      </c>
      <c r="AL127" s="27" t="s">
        <v>404</v>
      </c>
    </row>
    <row r="128" spans="1:38" x14ac:dyDescent="0.15">
      <c r="A128" s="36"/>
      <c r="B128" s="36"/>
      <c r="C128" s="36"/>
      <c r="D128" s="36"/>
      <c r="E128" s="36"/>
      <c r="F128" s="36"/>
      <c r="G128" s="1" t="s">
        <v>86</v>
      </c>
      <c r="H128" s="32" t="s">
        <v>678</v>
      </c>
      <c r="I128" s="1">
        <v>60</v>
      </c>
      <c r="J128" s="1">
        <f>SUM($I$6:I128)/60</f>
        <v>28.583333333333332</v>
      </c>
      <c r="K128" s="11" t="s">
        <v>48</v>
      </c>
      <c r="L128" s="12"/>
      <c r="M128" s="25"/>
      <c r="N128" s="12"/>
      <c r="O128" s="12"/>
      <c r="P128" s="12">
        <v>109</v>
      </c>
      <c r="Q128" s="12">
        <v>109</v>
      </c>
      <c r="R128" s="13">
        <v>0</v>
      </c>
      <c r="S128" s="12">
        <v>109</v>
      </c>
      <c r="T128" s="13">
        <v>0.4</v>
      </c>
      <c r="U128" s="14">
        <f>IF(K128="经验",ROUND(INDEX([1]人物经验!$N$24:$N$573,S128)*T128+INDEX([1]人物经验!$O$24:$O$573,S128)-INDEX([1]人物经验!$O$24:$O$573,Q128)-INDEX([1]人物经验!$N$24:$N$573,Q128)*R128,0),"")</f>
        <v>1015</v>
      </c>
      <c r="V128" s="14"/>
      <c r="W128" s="14" t="str">
        <f>IF(K128="金币",INT(V128/[2]货币基础!$B$6*3600*INDEX([1]人物经验!$K$24:$K$573,P128)/1000+1)*1000,"")</f>
        <v/>
      </c>
      <c r="X128" s="14"/>
      <c r="Y128" s="14" t="str">
        <f>IF(K128="元宝",X128/[2]货币基础!$B$5,"")</f>
        <v/>
      </c>
      <c r="Z128" s="14"/>
      <c r="AA128" s="14" t="str">
        <f>IF(K128="钻石",Z128/[2]货币基础!$B$4,"")</f>
        <v/>
      </c>
      <c r="AB128" s="14"/>
      <c r="AC128" s="14"/>
      <c r="AD128" s="12"/>
      <c r="AE128" s="11" t="s">
        <v>404</v>
      </c>
      <c r="AF128" s="25" t="s">
        <v>404</v>
      </c>
      <c r="AG128" s="27" t="s">
        <v>404</v>
      </c>
      <c r="AH128" s="11" t="s">
        <v>403</v>
      </c>
      <c r="AI128" s="11" t="s">
        <v>404</v>
      </c>
      <c r="AJ128" s="11" t="s">
        <v>404</v>
      </c>
      <c r="AK128" s="27" t="s">
        <v>404</v>
      </c>
      <c r="AL128" s="27" t="s">
        <v>404</v>
      </c>
    </row>
    <row r="129" spans="1:38" x14ac:dyDescent="0.15">
      <c r="A129" s="36"/>
      <c r="B129" s="36"/>
      <c r="C129" s="36"/>
      <c r="D129" s="36"/>
      <c r="E129" s="36"/>
      <c r="F129" s="36"/>
      <c r="G129" s="1" t="s">
        <v>87</v>
      </c>
      <c r="H129" s="32" t="s">
        <v>678</v>
      </c>
      <c r="I129" s="1">
        <v>60</v>
      </c>
      <c r="J129" s="1">
        <f>SUM($I$6:I129)/60</f>
        <v>29.583333333333332</v>
      </c>
      <c r="K129" s="11" t="s">
        <v>48</v>
      </c>
      <c r="L129" s="12"/>
      <c r="M129" s="25"/>
      <c r="N129" s="12"/>
      <c r="O129" s="12"/>
      <c r="P129" s="12">
        <v>110</v>
      </c>
      <c r="Q129" s="12">
        <v>110</v>
      </c>
      <c r="R129" s="13">
        <v>0</v>
      </c>
      <c r="S129" s="12">
        <v>110</v>
      </c>
      <c r="T129" s="13">
        <v>0.4</v>
      </c>
      <c r="U129" s="14">
        <f>IF(K129="经验",ROUND(INDEX([1]人物经验!$N$24:$N$573,S129)*T129+INDEX([1]人物经验!$O$24:$O$573,S129)-INDEX([1]人物经验!$O$24:$O$573,Q129)-INDEX([1]人物经验!$N$24:$N$573,Q129)*R129,0),"")</f>
        <v>1043</v>
      </c>
      <c r="V129" s="14"/>
      <c r="W129" s="14" t="str">
        <f>IF(K129="金币",INT(V129/[2]货币基础!$B$6*3600*INDEX([1]人物经验!$K$24:$K$573,P129)/1000+1)*1000,"")</f>
        <v/>
      </c>
      <c r="X129" s="14"/>
      <c r="Y129" s="14" t="str">
        <f>IF(K129="元宝",X129/[2]货币基础!$B$5,"")</f>
        <v/>
      </c>
      <c r="Z129" s="14"/>
      <c r="AA129" s="14" t="str">
        <f>IF(K129="钻石",Z129/[2]货币基础!$B$4,"")</f>
        <v/>
      </c>
      <c r="AB129" s="14"/>
      <c r="AC129" s="14"/>
      <c r="AD129" s="12"/>
      <c r="AE129" s="11" t="s">
        <v>404</v>
      </c>
      <c r="AF129" s="25" t="s">
        <v>404</v>
      </c>
      <c r="AG129" s="27" t="s">
        <v>404</v>
      </c>
      <c r="AH129" s="11" t="s">
        <v>403</v>
      </c>
      <c r="AI129" s="11" t="s">
        <v>404</v>
      </c>
      <c r="AJ129" s="11" t="s">
        <v>404</v>
      </c>
      <c r="AK129" s="27" t="s">
        <v>404</v>
      </c>
      <c r="AL129" s="27" t="s">
        <v>404</v>
      </c>
    </row>
    <row r="130" spans="1:38" x14ac:dyDescent="0.15">
      <c r="A130" s="36"/>
      <c r="B130" s="36"/>
      <c r="C130" s="36"/>
      <c r="D130" s="36"/>
      <c r="E130" s="36"/>
      <c r="F130" s="36"/>
      <c r="G130" s="1" t="s">
        <v>649</v>
      </c>
      <c r="H130" s="1" t="s">
        <v>88</v>
      </c>
      <c r="I130" s="1">
        <v>5</v>
      </c>
      <c r="J130" s="1">
        <f>SUM($I$6:I130)/60</f>
        <v>29.666666666666668</v>
      </c>
      <c r="K130" s="11" t="s">
        <v>116</v>
      </c>
      <c r="L130" s="12"/>
      <c r="M130" s="25"/>
      <c r="N130" s="12"/>
      <c r="O130" s="12"/>
      <c r="P130" s="12">
        <v>110</v>
      </c>
      <c r="Q130" s="12">
        <f t="shared" si="44"/>
        <v>110</v>
      </c>
      <c r="R130" s="13">
        <f t="shared" si="45"/>
        <v>0.4</v>
      </c>
      <c r="S130" s="12">
        <v>110</v>
      </c>
      <c r="T130" s="13">
        <v>0.4</v>
      </c>
      <c r="U130" s="14" t="str">
        <f>IF(K130="经验",ROUND(INDEX([1]人物经验!$N$24:$N$573,S130)*T130+INDEX([1]人物经验!$O$24:$O$573,S130)-INDEX([1]人物经验!$O$24:$O$573,Q130)-INDEX([1]人物经验!$N$24:$N$573,Q130)*R130,0),"")</f>
        <v/>
      </c>
      <c r="V130" s="14"/>
      <c r="W130" s="14" t="str">
        <f>IF(K130="金币",INT(V130/[2]货币基础!$B$6*3600*INDEX([1]人物经验!$K$24:$K$573,P130)/1000+1)*1000,"")</f>
        <v/>
      </c>
      <c r="X130" s="14">
        <v>2</v>
      </c>
      <c r="Y130" s="14">
        <f>IF(K130="元宝",X130/[2]货币基础!$B$5,"")</f>
        <v>20000</v>
      </c>
      <c r="Z130" s="14"/>
      <c r="AA130" s="14" t="str">
        <f>IF(K130="钻石",Z130/[2]货币基础!$B$4,"")</f>
        <v/>
      </c>
      <c r="AB130" s="14"/>
      <c r="AC130" s="14"/>
      <c r="AD130" s="12"/>
      <c r="AE130" s="11" t="s">
        <v>404</v>
      </c>
      <c r="AF130" s="25" t="s">
        <v>404</v>
      </c>
      <c r="AG130" s="27" t="s">
        <v>404</v>
      </c>
      <c r="AH130" s="11" t="s">
        <v>666</v>
      </c>
      <c r="AI130" s="11" t="s">
        <v>404</v>
      </c>
      <c r="AJ130" s="11" t="s">
        <v>404</v>
      </c>
      <c r="AK130" s="27" t="s">
        <v>404</v>
      </c>
      <c r="AL130" s="27" t="s">
        <v>404</v>
      </c>
    </row>
    <row r="131" spans="1:38" x14ac:dyDescent="0.15">
      <c r="A131" s="36"/>
      <c r="B131" s="36"/>
      <c r="C131" s="36"/>
      <c r="D131" s="36"/>
      <c r="E131" s="36"/>
      <c r="F131" s="36"/>
      <c r="G131" s="1" t="s">
        <v>606</v>
      </c>
      <c r="H131" s="32" t="s">
        <v>678</v>
      </c>
      <c r="I131" s="1">
        <v>60</v>
      </c>
      <c r="J131" s="1">
        <f>SUM($I$6:I131)/60</f>
        <v>30.666666666666668</v>
      </c>
      <c r="K131" s="11" t="s">
        <v>48</v>
      </c>
      <c r="L131" s="12"/>
      <c r="M131" s="25"/>
      <c r="N131" s="12"/>
      <c r="O131" s="12"/>
      <c r="P131" s="12">
        <v>112</v>
      </c>
      <c r="Q131" s="12">
        <v>112</v>
      </c>
      <c r="R131" s="13">
        <v>0</v>
      </c>
      <c r="S131" s="12">
        <v>112</v>
      </c>
      <c r="T131" s="13">
        <v>0.4</v>
      </c>
      <c r="U131" s="14">
        <f>IF(K131="经验",ROUND(INDEX([1]人物经验!$N$24:$N$573,S131)*T131+INDEX([1]人物经验!$O$24:$O$573,S131)-INDEX([1]人物经验!$O$24:$O$573,Q131)-INDEX([1]人物经验!$N$24:$N$573,Q131)*R131,0),"")</f>
        <v>1082</v>
      </c>
      <c r="V131" s="14"/>
      <c r="W131" s="14" t="str">
        <f>IF(K131="金币",INT(V131/[2]货币基础!$B$6*3600*INDEX([1]人物经验!$K$24:$K$573,P131)/1000+1)*1000,"")</f>
        <v/>
      </c>
      <c r="X131" s="14"/>
      <c r="Y131" s="14" t="str">
        <f>IF(K131="元宝",X131/[2]货币基础!$B$5,"")</f>
        <v/>
      </c>
      <c r="Z131" s="14"/>
      <c r="AA131" s="14" t="str">
        <f>IF(K131="钻石",Z131/[2]货币基础!$B$4,"")</f>
        <v/>
      </c>
      <c r="AB131" s="14"/>
      <c r="AC131" s="14"/>
      <c r="AD131" s="12"/>
      <c r="AE131" s="11" t="s">
        <v>404</v>
      </c>
      <c r="AF131" s="25" t="s">
        <v>404</v>
      </c>
      <c r="AG131" s="27" t="s">
        <v>404</v>
      </c>
      <c r="AH131" s="11" t="s">
        <v>666</v>
      </c>
      <c r="AI131" s="11" t="s">
        <v>404</v>
      </c>
      <c r="AJ131" s="11" t="s">
        <v>404</v>
      </c>
      <c r="AK131" s="27" t="s">
        <v>404</v>
      </c>
      <c r="AL131" s="27" t="s">
        <v>404</v>
      </c>
    </row>
    <row r="132" spans="1:38" x14ac:dyDescent="0.15">
      <c r="A132" s="36"/>
      <c r="B132" s="36"/>
      <c r="C132" s="36"/>
      <c r="D132" s="36"/>
      <c r="E132" s="36"/>
      <c r="F132" s="36"/>
      <c r="G132" s="1" t="s">
        <v>180</v>
      </c>
      <c r="H132" s="32" t="s">
        <v>678</v>
      </c>
      <c r="I132" s="1">
        <v>60</v>
      </c>
      <c r="J132" s="1">
        <f>SUM($I$6:I132)/60</f>
        <v>31.666666666666668</v>
      </c>
      <c r="K132" s="11" t="s">
        <v>48</v>
      </c>
      <c r="L132" s="12"/>
      <c r="M132" s="12"/>
      <c r="N132" s="12"/>
      <c r="O132" s="12"/>
      <c r="P132" s="12">
        <v>114</v>
      </c>
      <c r="Q132" s="12">
        <v>114</v>
      </c>
      <c r="R132" s="13">
        <v>0</v>
      </c>
      <c r="S132" s="12">
        <v>114</v>
      </c>
      <c r="T132" s="13">
        <v>0.4</v>
      </c>
      <c r="U132" s="14">
        <f>IF(K132="经验",ROUND(INDEX([1]人物经验!$N$24:$N$573,S132)*T132+INDEX([1]人物经验!$O$24:$O$573,S132)-INDEX([1]人物经验!$O$24:$O$573,Q132)-INDEX([1]人物经验!$N$24:$N$573,Q132)*R132,0),"")</f>
        <v>1142</v>
      </c>
      <c r="V132" s="14"/>
      <c r="W132" s="14" t="str">
        <f>IF(K132="金币",INT(V132/[2]货币基础!$B$6*3600*INDEX([1]人物经验!$K$24:$K$573,P132)/1000+1)*1000,"")</f>
        <v/>
      </c>
      <c r="X132" s="14"/>
      <c r="Y132" s="14" t="str">
        <f>IF(K132="元宝",X132/[2]货币基础!$B$5,"")</f>
        <v/>
      </c>
      <c r="Z132" s="14"/>
      <c r="AA132" s="14" t="str">
        <f>IF(K132="钻石",Z132/[2]货币基础!$B$4,"")</f>
        <v/>
      </c>
      <c r="AB132" s="14"/>
      <c r="AC132" s="14"/>
      <c r="AD132" s="12"/>
      <c r="AE132" s="11" t="s">
        <v>404</v>
      </c>
      <c r="AF132" s="25" t="s">
        <v>404</v>
      </c>
      <c r="AG132" s="27" t="s">
        <v>404</v>
      </c>
      <c r="AH132" s="11" t="s">
        <v>404</v>
      </c>
      <c r="AI132" s="11" t="s">
        <v>404</v>
      </c>
      <c r="AJ132" s="11" t="s">
        <v>404</v>
      </c>
      <c r="AK132" s="27" t="s">
        <v>404</v>
      </c>
      <c r="AL132" s="27" t="s">
        <v>404</v>
      </c>
    </row>
    <row r="133" spans="1:38" x14ac:dyDescent="0.15">
      <c r="A133" s="36"/>
      <c r="B133" s="36"/>
      <c r="C133" s="36"/>
      <c r="D133" s="36"/>
      <c r="E133" s="36"/>
      <c r="F133" s="36"/>
      <c r="G133" s="1" t="s">
        <v>90</v>
      </c>
      <c r="H133" s="32" t="s">
        <v>678</v>
      </c>
      <c r="I133" s="1">
        <v>60</v>
      </c>
      <c r="J133" s="1">
        <f>SUM($I$6:I133)/60</f>
        <v>32.666666666666664</v>
      </c>
      <c r="K133" s="11" t="s">
        <v>48</v>
      </c>
      <c r="L133" s="12"/>
      <c r="M133" s="12"/>
      <c r="N133" s="12"/>
      <c r="O133" s="12"/>
      <c r="P133" s="12">
        <v>116</v>
      </c>
      <c r="Q133" s="12">
        <v>116</v>
      </c>
      <c r="R133" s="13">
        <v>0</v>
      </c>
      <c r="S133" s="12">
        <v>116</v>
      </c>
      <c r="T133" s="13">
        <v>0.4</v>
      </c>
      <c r="U133" s="14">
        <f>IF(K133="经验",ROUND(INDEX([1]人物经验!$N$24:$N$573,S133)*T133+INDEX([1]人物经验!$O$24:$O$573,S133)-INDEX([1]人物经验!$O$24:$O$573,Q133)-INDEX([1]人物经验!$N$24:$N$573,Q133)*R133,0),"")</f>
        <v>1183</v>
      </c>
      <c r="V133" s="14"/>
      <c r="W133" s="14" t="str">
        <f>IF(K133="金币",INT(V133/[2]货币基础!$B$6*3600*INDEX([1]人物经验!$K$24:$K$573,P133)/1000+1)*1000,"")</f>
        <v/>
      </c>
      <c r="X133" s="14"/>
      <c r="Y133" s="14" t="str">
        <f>IF(K133="元宝",X133/[2]货币基础!$B$5,"")</f>
        <v/>
      </c>
      <c r="Z133" s="14"/>
      <c r="AA133" s="14" t="str">
        <f>IF(K133="钻石",Z133/[2]货币基础!$B$4,"")</f>
        <v/>
      </c>
      <c r="AB133" s="14"/>
      <c r="AC133" s="14"/>
      <c r="AD133" s="12"/>
      <c r="AE133" s="11" t="s">
        <v>404</v>
      </c>
      <c r="AF133" s="25" t="s">
        <v>404</v>
      </c>
      <c r="AG133" s="27" t="s">
        <v>404</v>
      </c>
      <c r="AH133" s="11" t="s">
        <v>404</v>
      </c>
      <c r="AI133" s="11" t="s">
        <v>404</v>
      </c>
      <c r="AJ133" s="11" t="s">
        <v>404</v>
      </c>
      <c r="AK133" s="27" t="s">
        <v>404</v>
      </c>
      <c r="AL133" s="27" t="s">
        <v>404</v>
      </c>
    </row>
    <row r="134" spans="1:38" x14ac:dyDescent="0.15">
      <c r="A134" s="36"/>
      <c r="B134" s="36"/>
      <c r="C134" s="36"/>
      <c r="D134" s="36"/>
      <c r="E134" s="36"/>
      <c r="F134" s="36"/>
      <c r="G134" s="1" t="s">
        <v>91</v>
      </c>
      <c r="H134" s="32" t="s">
        <v>678</v>
      </c>
      <c r="I134" s="1">
        <v>60</v>
      </c>
      <c r="J134" s="1">
        <f>SUM($I$6:I134)/60</f>
        <v>33.666666666666664</v>
      </c>
      <c r="K134" s="11" t="s">
        <v>48</v>
      </c>
      <c r="L134" s="12"/>
      <c r="M134" s="12"/>
      <c r="N134" s="12"/>
      <c r="O134" s="12"/>
      <c r="P134" s="12">
        <v>118</v>
      </c>
      <c r="Q134" s="12">
        <v>118</v>
      </c>
      <c r="R134" s="13">
        <v>0</v>
      </c>
      <c r="S134" s="12">
        <v>118</v>
      </c>
      <c r="T134" s="13">
        <v>0.4</v>
      </c>
      <c r="U134" s="14">
        <f>IF(K134="经验",ROUND(INDEX([1]人物经验!$N$24:$N$573,S134)*T134+INDEX([1]人物经验!$O$24:$O$573,S134)-INDEX([1]人物经验!$O$24:$O$573,Q134)-INDEX([1]人物经验!$N$24:$N$573,Q134)*R134,0),"")</f>
        <v>1245</v>
      </c>
      <c r="V134" s="14"/>
      <c r="W134" s="14" t="str">
        <f>IF(K134="金币",INT(V134/[2]货币基础!$B$6*3600*INDEX([1]人物经验!$K$24:$K$573,P134)/1000+1)*1000,"")</f>
        <v/>
      </c>
      <c r="X134" s="14"/>
      <c r="Y134" s="14" t="str">
        <f>IF(K134="元宝",X134/[2]货币基础!$B$5,"")</f>
        <v/>
      </c>
      <c r="Z134" s="14"/>
      <c r="AA134" s="14" t="str">
        <f>IF(K134="钻石",Z134/[2]货币基础!$B$4,"")</f>
        <v/>
      </c>
      <c r="AB134" s="14"/>
      <c r="AC134" s="14"/>
      <c r="AD134" s="12"/>
      <c r="AE134" s="11" t="s">
        <v>404</v>
      </c>
      <c r="AF134" s="25" t="s">
        <v>404</v>
      </c>
      <c r="AG134" s="27" t="s">
        <v>404</v>
      </c>
      <c r="AH134" s="11" t="s">
        <v>404</v>
      </c>
      <c r="AI134" s="11" t="s">
        <v>404</v>
      </c>
      <c r="AJ134" s="11" t="s">
        <v>404</v>
      </c>
      <c r="AK134" s="27" t="s">
        <v>404</v>
      </c>
      <c r="AL134" s="27" t="s">
        <v>404</v>
      </c>
    </row>
    <row r="135" spans="1:38" x14ac:dyDescent="0.15">
      <c r="A135" s="36"/>
      <c r="B135" s="36"/>
      <c r="C135" s="36"/>
      <c r="D135" s="36"/>
      <c r="E135" s="36"/>
      <c r="F135" s="36"/>
      <c r="G135" s="1" t="s">
        <v>92</v>
      </c>
      <c r="H135" s="32" t="s">
        <v>678</v>
      </c>
      <c r="I135" s="1">
        <v>60</v>
      </c>
      <c r="J135" s="1">
        <f>SUM($I$6:I135)/60</f>
        <v>34.666666666666664</v>
      </c>
      <c r="K135" s="11" t="s">
        <v>48</v>
      </c>
      <c r="L135" s="12"/>
      <c r="M135" s="12"/>
      <c r="N135" s="12" t="s">
        <v>665</v>
      </c>
      <c r="O135" s="12"/>
      <c r="P135" s="12">
        <v>120</v>
      </c>
      <c r="Q135" s="12">
        <v>120</v>
      </c>
      <c r="R135" s="13">
        <v>0</v>
      </c>
      <c r="S135" s="12">
        <v>120</v>
      </c>
      <c r="T135" s="13">
        <v>0.4</v>
      </c>
      <c r="U135" s="14">
        <f>IF(K135="经验",ROUND(INDEX([1]人物经验!$N$24:$N$573,S135)*T135+INDEX([1]人物经验!$O$24:$O$573,S135)-INDEX([1]人物经验!$O$24:$O$573,Q135)-INDEX([1]人物经验!$N$24:$N$573,Q135)*R135,0),"")</f>
        <v>1288</v>
      </c>
      <c r="V135" s="14"/>
      <c r="W135" s="14" t="str">
        <f>IF(K135="金币",INT(V135/[2]货币基础!$B$6*3600*INDEX([1]人物经验!$K$24:$K$573,P135)/1000+1)*1000,"")</f>
        <v/>
      </c>
      <c r="X135" s="14"/>
      <c r="Y135" s="14" t="str">
        <f>IF(K135="元宝",X135/[2]货币基础!$B$5,"")</f>
        <v/>
      </c>
      <c r="Z135" s="14"/>
      <c r="AA135" s="14" t="str">
        <f>IF(K135="钻石",Z135/[2]货币基础!$B$4,"")</f>
        <v/>
      </c>
      <c r="AB135" s="14"/>
      <c r="AC135" s="14"/>
      <c r="AD135" s="12"/>
      <c r="AE135" s="11" t="s">
        <v>673</v>
      </c>
      <c r="AF135" s="25" t="s">
        <v>404</v>
      </c>
      <c r="AG135" s="27" t="s">
        <v>404</v>
      </c>
      <c r="AH135" s="11" t="s">
        <v>404</v>
      </c>
      <c r="AI135" s="11" t="s">
        <v>404</v>
      </c>
      <c r="AJ135" s="11" t="s">
        <v>404</v>
      </c>
      <c r="AK135" s="27" t="s">
        <v>404</v>
      </c>
      <c r="AL135" s="27" t="s">
        <v>404</v>
      </c>
    </row>
    <row r="136" spans="1:38" x14ac:dyDescent="0.15">
      <c r="A136" s="36"/>
      <c r="B136" s="36"/>
      <c r="C136" s="36"/>
      <c r="D136" s="36"/>
      <c r="E136" s="36"/>
      <c r="F136" s="36"/>
      <c r="G136" s="1" t="s">
        <v>607</v>
      </c>
      <c r="H136" s="1" t="s">
        <v>651</v>
      </c>
      <c r="I136" s="1">
        <v>5</v>
      </c>
      <c r="J136" s="1">
        <f>SUM($I$6:I136)/60</f>
        <v>34.75</v>
      </c>
      <c r="K136" s="11" t="s">
        <v>563</v>
      </c>
      <c r="L136" s="12"/>
      <c r="M136" s="12"/>
      <c r="N136" s="12"/>
      <c r="O136" s="12"/>
      <c r="P136" s="12">
        <v>120</v>
      </c>
      <c r="Q136" s="12">
        <v>120</v>
      </c>
      <c r="R136" s="13">
        <v>0.4</v>
      </c>
      <c r="S136" s="12">
        <v>120</v>
      </c>
      <c r="T136" s="13">
        <v>0.4</v>
      </c>
      <c r="U136" s="14" t="str">
        <f>IF(K136="经验",ROUND(INDEX([1]人物经验!$N$24:$N$573,S136)*T136+INDEX([1]人物经验!$O$24:$O$573,S136)-INDEX([1]人物经验!$O$24:$O$573,Q136)-INDEX([1]人物经验!$N$24:$N$573,Q136)*R136,0),"")</f>
        <v/>
      </c>
      <c r="V136" s="14"/>
      <c r="W136" s="14" t="str">
        <f>IF(K136="金币",INT(V136/[2]货币基础!$B$6*3600*INDEX([1]人物经验!$K$24:$K$573,P136)/1000+1)*1000,"")</f>
        <v/>
      </c>
      <c r="X136" s="14">
        <v>2</v>
      </c>
      <c r="Y136" s="14">
        <f>IF(K136="元宝",X136/[2]货币基础!$B$5,"")</f>
        <v>20000</v>
      </c>
      <c r="Z136" s="14"/>
      <c r="AA136" s="14" t="str">
        <f>IF(K136="钻石",Z136/[2]货币基础!$B$4,"")</f>
        <v/>
      </c>
      <c r="AB136" s="14"/>
      <c r="AC136" s="14"/>
      <c r="AD136" s="12"/>
      <c r="AE136" s="11" t="s">
        <v>673</v>
      </c>
      <c r="AF136" s="25" t="s">
        <v>404</v>
      </c>
      <c r="AG136" s="27" t="s">
        <v>404</v>
      </c>
      <c r="AH136" s="11" t="s">
        <v>404</v>
      </c>
      <c r="AI136" s="11" t="s">
        <v>404</v>
      </c>
      <c r="AJ136" s="11" t="s">
        <v>404</v>
      </c>
      <c r="AK136" s="27" t="s">
        <v>404</v>
      </c>
      <c r="AL136" s="27" t="s">
        <v>404</v>
      </c>
    </row>
    <row r="137" spans="1:38" x14ac:dyDescent="0.15">
      <c r="A137" s="36"/>
      <c r="B137" s="36"/>
      <c r="C137" s="36"/>
      <c r="D137" s="36"/>
      <c r="E137" s="36"/>
      <c r="F137" s="36"/>
      <c r="G137" s="1" t="s">
        <v>652</v>
      </c>
      <c r="H137" s="32" t="s">
        <v>678</v>
      </c>
      <c r="I137" s="1">
        <v>60</v>
      </c>
      <c r="J137" s="1">
        <f>SUM($I$6:I137)/60</f>
        <v>35.75</v>
      </c>
      <c r="K137" s="11" t="s">
        <v>565</v>
      </c>
      <c r="L137" s="12"/>
      <c r="M137" s="12"/>
      <c r="N137" s="12"/>
      <c r="O137" s="12"/>
      <c r="P137" s="12">
        <v>122</v>
      </c>
      <c r="Q137" s="12">
        <v>122</v>
      </c>
      <c r="R137" s="13">
        <v>0</v>
      </c>
      <c r="S137" s="12">
        <v>122</v>
      </c>
      <c r="T137" s="13">
        <v>0.4</v>
      </c>
      <c r="U137" s="14">
        <f>IF(K137="经验",ROUND(INDEX([1]人物经验!$N$24:$N$573,S137)*T137+INDEX([1]人物经验!$O$24:$O$573,S137)-INDEX([1]人物经验!$O$24:$O$573,Q137)-INDEX([1]人物经验!$N$24:$N$573,Q137)*R137,0),"")</f>
        <v>1433</v>
      </c>
      <c r="V137" s="14"/>
      <c r="W137" s="14" t="str">
        <f>IF(K137="金币",INT(V137/[2]货币基础!$B$6*3600*INDEX([1]人物经验!$K$24:$K$573,P137)/1000+1)*1000,"")</f>
        <v/>
      </c>
      <c r="X137" s="14"/>
      <c r="Y137" s="14" t="str">
        <f>IF(K137="元宝",X137/[2]货币基础!$B$5,"")</f>
        <v/>
      </c>
      <c r="Z137" s="14"/>
      <c r="AA137" s="14" t="str">
        <f>IF(K137="钻石",Z137/[2]货币基础!$B$4,"")</f>
        <v/>
      </c>
      <c r="AB137" s="14"/>
      <c r="AC137" s="14"/>
      <c r="AD137" s="12"/>
      <c r="AE137" s="11" t="s">
        <v>406</v>
      </c>
      <c r="AF137" s="25" t="s">
        <v>404</v>
      </c>
      <c r="AG137" s="27" t="s">
        <v>404</v>
      </c>
      <c r="AH137" s="11" t="s">
        <v>404</v>
      </c>
      <c r="AI137" s="11" t="s">
        <v>404</v>
      </c>
      <c r="AJ137" s="11" t="s">
        <v>404</v>
      </c>
      <c r="AK137" s="27" t="s">
        <v>404</v>
      </c>
      <c r="AL137" s="27" t="s">
        <v>404</v>
      </c>
    </row>
    <row r="138" spans="1:38" x14ac:dyDescent="0.15">
      <c r="A138" s="36"/>
      <c r="B138" s="36"/>
      <c r="C138" s="36"/>
      <c r="D138" s="36"/>
      <c r="E138" s="36"/>
      <c r="F138" s="36"/>
      <c r="G138" s="1" t="s">
        <v>182</v>
      </c>
      <c r="H138" s="32" t="s">
        <v>678</v>
      </c>
      <c r="I138" s="1">
        <v>60</v>
      </c>
      <c r="J138" s="1">
        <f>SUM($I$6:I138)/60</f>
        <v>36.75</v>
      </c>
      <c r="K138" s="11" t="s">
        <v>565</v>
      </c>
      <c r="L138" s="12"/>
      <c r="M138" s="12"/>
      <c r="N138" s="12"/>
      <c r="O138" s="12"/>
      <c r="P138" s="12">
        <v>124</v>
      </c>
      <c r="Q138" s="12">
        <v>124</v>
      </c>
      <c r="R138" s="13">
        <v>0</v>
      </c>
      <c r="S138" s="12">
        <v>124</v>
      </c>
      <c r="T138" s="13">
        <v>0.4</v>
      </c>
      <c r="U138" s="14">
        <f>IF(K138="经验",ROUND(INDEX([1]人物经验!$N$24:$N$573,S138)*T138+INDEX([1]人物经验!$O$24:$O$573,S138)-INDEX([1]人物经验!$O$24:$O$573,Q138)-INDEX([1]人物经验!$N$24:$N$573,Q138)*R138,0),"")</f>
        <v>1547</v>
      </c>
      <c r="V138" s="14"/>
      <c r="W138" s="14" t="str">
        <f>IF(K138="金币",INT(V138/[2]货币基础!$B$6*3600*INDEX([1]人物经验!$K$24:$K$573,P138)/1000+1)*1000,"")</f>
        <v/>
      </c>
      <c r="X138" s="14"/>
      <c r="Y138" s="14" t="str">
        <f>IF(K138="元宝",X138/[2]货币基础!$B$5,"")</f>
        <v/>
      </c>
      <c r="Z138" s="14"/>
      <c r="AA138" s="14" t="str">
        <f>IF(K138="钻石",Z138/[2]货币基础!$B$4,"")</f>
        <v/>
      </c>
      <c r="AB138" s="14"/>
      <c r="AC138" s="14"/>
      <c r="AD138" s="12"/>
      <c r="AE138" s="11" t="s">
        <v>406</v>
      </c>
      <c r="AF138" s="25" t="s">
        <v>404</v>
      </c>
      <c r="AG138" s="27" t="s">
        <v>404</v>
      </c>
      <c r="AH138" s="11" t="s">
        <v>404</v>
      </c>
      <c r="AI138" s="11" t="s">
        <v>404</v>
      </c>
      <c r="AJ138" s="11" t="s">
        <v>404</v>
      </c>
      <c r="AK138" s="27" t="s">
        <v>404</v>
      </c>
      <c r="AL138" s="27" t="s">
        <v>404</v>
      </c>
    </row>
    <row r="139" spans="1:38" x14ac:dyDescent="0.15">
      <c r="A139" s="36"/>
      <c r="B139" s="36"/>
      <c r="C139" s="36"/>
      <c r="D139" s="36"/>
      <c r="E139" s="36"/>
      <c r="F139" s="36"/>
      <c r="G139" s="1" t="s">
        <v>95</v>
      </c>
      <c r="H139" s="32" t="s">
        <v>678</v>
      </c>
      <c r="I139" s="1">
        <v>60</v>
      </c>
      <c r="J139" s="1">
        <f>SUM($I$6:I139)/60</f>
        <v>37.75</v>
      </c>
      <c r="K139" s="11" t="s">
        <v>565</v>
      </c>
      <c r="L139" s="12"/>
      <c r="M139" s="12"/>
      <c r="N139" s="12"/>
      <c r="O139" s="12"/>
      <c r="P139" s="12">
        <v>126</v>
      </c>
      <c r="Q139" s="12">
        <v>126</v>
      </c>
      <c r="R139" s="13">
        <v>0</v>
      </c>
      <c r="S139" s="12">
        <v>126</v>
      </c>
      <c r="T139" s="13">
        <v>0.4</v>
      </c>
      <c r="U139" s="14">
        <f>IF(K139="经验",ROUND(INDEX([1]人物经验!$N$24:$N$573,S139)*T139+INDEX([1]人物经验!$O$24:$O$573,S139)-INDEX([1]人物经验!$O$24:$O$573,Q139)-INDEX([1]人物经验!$N$24:$N$573,Q139)*R139,0),"")</f>
        <v>1689</v>
      </c>
      <c r="V139" s="14"/>
      <c r="W139" s="14" t="str">
        <f>IF(K139="金币",INT(V139/[2]货币基础!$B$6*3600*INDEX([1]人物经验!$K$24:$K$573,P139)/1000+1)*1000,"")</f>
        <v/>
      </c>
      <c r="X139" s="14"/>
      <c r="Y139" s="14" t="str">
        <f>IF(K139="元宝",X139/[2]货币基础!$B$5,"")</f>
        <v/>
      </c>
      <c r="Z139" s="14"/>
      <c r="AA139" s="14" t="str">
        <f>IF(K139="钻石",Z139/[2]货币基础!$B$4,"")</f>
        <v/>
      </c>
      <c r="AB139" s="14"/>
      <c r="AC139" s="14"/>
      <c r="AD139" s="12"/>
      <c r="AE139" s="11" t="s">
        <v>406</v>
      </c>
      <c r="AF139" s="25" t="s">
        <v>404</v>
      </c>
      <c r="AG139" s="27" t="s">
        <v>404</v>
      </c>
      <c r="AH139" s="11" t="s">
        <v>404</v>
      </c>
      <c r="AI139" s="11" t="s">
        <v>404</v>
      </c>
      <c r="AJ139" s="11" t="s">
        <v>404</v>
      </c>
      <c r="AK139" s="27" t="s">
        <v>404</v>
      </c>
      <c r="AL139" s="27" t="s">
        <v>404</v>
      </c>
    </row>
    <row r="140" spans="1:38" x14ac:dyDescent="0.15">
      <c r="A140" s="36"/>
      <c r="B140" s="36"/>
      <c r="C140" s="36"/>
      <c r="D140" s="36"/>
      <c r="E140" s="36"/>
      <c r="F140" s="36"/>
      <c r="G140" s="1" t="s">
        <v>96</v>
      </c>
      <c r="H140" s="32" t="s">
        <v>678</v>
      </c>
      <c r="I140" s="1">
        <v>60</v>
      </c>
      <c r="J140" s="1">
        <f>SUM($I$6:I140)/60</f>
        <v>38.75</v>
      </c>
      <c r="K140" s="11" t="s">
        <v>565</v>
      </c>
      <c r="L140" s="12"/>
      <c r="M140" s="12"/>
      <c r="N140" s="12"/>
      <c r="O140" s="12"/>
      <c r="P140" s="12">
        <v>128</v>
      </c>
      <c r="Q140" s="12">
        <v>128</v>
      </c>
      <c r="R140" s="13">
        <v>0</v>
      </c>
      <c r="S140" s="12">
        <v>128</v>
      </c>
      <c r="T140" s="13">
        <v>0.4</v>
      </c>
      <c r="U140" s="14">
        <f>IF(K140="经验",ROUND(INDEX([1]人物经验!$N$24:$N$573,S140)*T140+INDEX([1]人物经验!$O$24:$O$573,S140)-INDEX([1]人物经验!$O$24:$O$573,Q140)-INDEX([1]人物经验!$N$24:$N$573,Q140)*R140,0),"")</f>
        <v>1836</v>
      </c>
      <c r="V140" s="14"/>
      <c r="W140" s="14" t="str">
        <f>IF(K140="金币",INT(V140/[2]货币基础!$B$6*3600*INDEX([1]人物经验!$K$24:$K$573,P140)/1000+1)*1000,"")</f>
        <v/>
      </c>
      <c r="X140" s="14"/>
      <c r="Y140" s="14" t="str">
        <f>IF(K140="元宝",X140/[2]货币基础!$B$5,"")</f>
        <v/>
      </c>
      <c r="Z140" s="14"/>
      <c r="AA140" s="14" t="str">
        <f>IF(K140="钻石",Z140/[2]货币基础!$B$4,"")</f>
        <v/>
      </c>
      <c r="AB140" s="14"/>
      <c r="AC140" s="14"/>
      <c r="AD140" s="12"/>
      <c r="AE140" s="11" t="s">
        <v>406</v>
      </c>
      <c r="AF140" s="11" t="s">
        <v>672</v>
      </c>
      <c r="AG140" s="11" t="s">
        <v>672</v>
      </c>
      <c r="AH140" s="11" t="s">
        <v>672</v>
      </c>
      <c r="AI140" s="11" t="s">
        <v>672</v>
      </c>
      <c r="AJ140" s="11" t="s">
        <v>672</v>
      </c>
      <c r="AK140" s="11" t="s">
        <v>672</v>
      </c>
      <c r="AL140" s="11" t="s">
        <v>672</v>
      </c>
    </row>
    <row r="141" spans="1:38" x14ac:dyDescent="0.15">
      <c r="A141" s="36"/>
      <c r="B141" s="36"/>
      <c r="C141" s="36"/>
      <c r="D141" s="36"/>
      <c r="E141" s="36"/>
      <c r="F141" s="36"/>
      <c r="G141" s="1" t="s">
        <v>97</v>
      </c>
      <c r="H141" s="32" t="s">
        <v>678</v>
      </c>
      <c r="I141" s="1">
        <v>60</v>
      </c>
      <c r="J141" s="1">
        <f>SUM($I$6:I141)/60</f>
        <v>39.75</v>
      </c>
      <c r="K141" s="11" t="s">
        <v>565</v>
      </c>
      <c r="L141" s="12"/>
      <c r="M141" s="12"/>
      <c r="N141" s="12"/>
      <c r="O141" s="12"/>
      <c r="P141" s="12">
        <v>130</v>
      </c>
      <c r="Q141" s="12">
        <v>130</v>
      </c>
      <c r="R141" s="13">
        <v>0</v>
      </c>
      <c r="S141" s="12">
        <v>130</v>
      </c>
      <c r="T141" s="13">
        <v>0.4</v>
      </c>
      <c r="U141" s="14">
        <f>IF(K141="经验",ROUND(INDEX([1]人物经验!$N$24:$N$573,S141)*T141+INDEX([1]人物经验!$O$24:$O$573,S141)-INDEX([1]人物经验!$O$24:$O$573,Q141)-INDEX([1]人物经验!$N$24:$N$573,Q141)*R141,0),"")</f>
        <v>1990</v>
      </c>
      <c r="V141" s="14"/>
      <c r="W141" s="14" t="str">
        <f>IF(K141="金币",INT(V141/[2]货币基础!$B$6*3600*INDEX([1]人物经验!$K$24:$K$573,P141)/1000+1)*1000,"")</f>
        <v/>
      </c>
      <c r="X141" s="14"/>
      <c r="Y141" s="14" t="str">
        <f>IF(K141="元宝",X141/[2]货币基础!$B$5,"")</f>
        <v/>
      </c>
      <c r="Z141" s="14"/>
      <c r="AA141" s="14" t="str">
        <f>IF(K141="钻石",Z141/[2]货币基础!$B$4,"")</f>
        <v/>
      </c>
      <c r="AB141" s="14"/>
      <c r="AC141" s="14"/>
      <c r="AD141" s="12"/>
      <c r="AE141" s="11" t="s">
        <v>406</v>
      </c>
      <c r="AF141" s="11" t="s">
        <v>672</v>
      </c>
      <c r="AG141" s="11" t="s">
        <v>672</v>
      </c>
      <c r="AH141" s="11" t="s">
        <v>672</v>
      </c>
      <c r="AI141" s="11" t="s">
        <v>672</v>
      </c>
      <c r="AJ141" s="11" t="s">
        <v>672</v>
      </c>
      <c r="AK141" s="11" t="s">
        <v>672</v>
      </c>
      <c r="AL141" s="11" t="s">
        <v>672</v>
      </c>
    </row>
    <row r="142" spans="1:38" x14ac:dyDescent="0.15">
      <c r="A142" s="36"/>
      <c r="B142" s="36"/>
      <c r="C142" s="36"/>
      <c r="D142" s="36"/>
      <c r="E142" s="36"/>
      <c r="F142" s="36"/>
      <c r="G142" s="1" t="s">
        <v>650</v>
      </c>
      <c r="H142" s="1" t="s">
        <v>653</v>
      </c>
      <c r="I142" s="1">
        <v>5</v>
      </c>
      <c r="J142" s="1">
        <f>SUM($I$6:I142)/60</f>
        <v>39.833333333333336</v>
      </c>
      <c r="K142" s="11" t="s">
        <v>563</v>
      </c>
      <c r="L142" s="12"/>
      <c r="M142" s="12"/>
      <c r="N142" s="12"/>
      <c r="O142" s="12"/>
      <c r="P142" s="12">
        <v>130</v>
      </c>
      <c r="Q142" s="12">
        <v>130</v>
      </c>
      <c r="R142" s="13">
        <v>0.4</v>
      </c>
      <c r="S142" s="12">
        <v>130</v>
      </c>
      <c r="T142" s="13">
        <v>0.4</v>
      </c>
      <c r="U142" s="14" t="str">
        <f>IF(K142="经验",ROUND(INDEX([1]人物经验!$N$24:$N$573,S142)*T142+INDEX([1]人物经验!$O$24:$O$573,S142)-INDEX([1]人物经验!$O$24:$O$573,Q142)-INDEX([1]人物经验!$N$24:$N$573,Q142)*R142,0),"")</f>
        <v/>
      </c>
      <c r="V142" s="14"/>
      <c r="W142" s="14" t="str">
        <f>IF(K142="金币",INT(V142/[2]货币基础!$B$6*3600*INDEX([1]人物经验!$K$24:$K$573,P142)/1000+1)*1000,"")</f>
        <v/>
      </c>
      <c r="X142" s="14">
        <v>3</v>
      </c>
      <c r="Y142" s="14">
        <f>IF(K142="元宝",X142/[2]货币基础!$B$5,"")</f>
        <v>30000</v>
      </c>
      <c r="Z142" s="14"/>
      <c r="AA142" s="14" t="str">
        <f>IF(K142="钻石",Z142/[2]货币基础!$B$4,"")</f>
        <v/>
      </c>
      <c r="AB142" s="14"/>
      <c r="AC142" s="14"/>
      <c r="AD142" s="12"/>
      <c r="AE142" s="11" t="s">
        <v>406</v>
      </c>
      <c r="AF142" s="11" t="s">
        <v>672</v>
      </c>
      <c r="AG142" s="11" t="s">
        <v>672</v>
      </c>
      <c r="AH142" s="11" t="s">
        <v>672</v>
      </c>
      <c r="AI142" s="11" t="s">
        <v>672</v>
      </c>
      <c r="AJ142" s="11" t="s">
        <v>672</v>
      </c>
      <c r="AK142" s="11" t="s">
        <v>672</v>
      </c>
      <c r="AL142" s="11" t="s">
        <v>672</v>
      </c>
    </row>
    <row r="143" spans="1:38" x14ac:dyDescent="0.15">
      <c r="A143" s="36"/>
      <c r="B143" s="36"/>
      <c r="C143" s="36"/>
      <c r="D143" s="36"/>
      <c r="E143" s="36"/>
      <c r="F143" s="36"/>
      <c r="G143" s="1" t="s">
        <v>691</v>
      </c>
      <c r="H143" s="1" t="s">
        <v>654</v>
      </c>
      <c r="I143" s="1">
        <f>5*60</f>
        <v>300</v>
      </c>
      <c r="J143" s="1">
        <f>SUM($I$6:I143)/60</f>
        <v>44.833333333333336</v>
      </c>
      <c r="K143" s="11" t="s">
        <v>566</v>
      </c>
      <c r="L143" s="12"/>
      <c r="M143" s="12"/>
      <c r="N143" s="12"/>
      <c r="O143" s="12"/>
      <c r="P143" s="12">
        <v>135</v>
      </c>
      <c r="Q143" s="12">
        <v>135</v>
      </c>
      <c r="R143" s="13">
        <v>0</v>
      </c>
      <c r="S143" s="12">
        <v>135</v>
      </c>
      <c r="T143" s="13">
        <v>0</v>
      </c>
      <c r="U143" s="14" t="str">
        <f>IF(K143="经验",ROUND(INDEX([1]人物经验!$N$24:$N$573,S143)*T143+INDEX([1]人物经验!$O$24:$O$573,S143)-INDEX([1]人物经验!$O$24:$O$573,Q143)-INDEX([1]人物经验!$N$24:$N$573,Q143)*R143,0),"")</f>
        <v/>
      </c>
      <c r="V143" s="14"/>
      <c r="W143" s="14" t="str">
        <f>IF(K143="金币",INT(V143/[2]货币基础!$B$6*3600*INDEX([1]人物经验!$K$24:$K$573,P143)/1000+1)*1000,"")</f>
        <v/>
      </c>
      <c r="X143" s="14"/>
      <c r="Y143" s="14" t="str">
        <f>IF(K143="元宝",X143/[2]货币基础!$B$5,"")</f>
        <v/>
      </c>
      <c r="Z143" s="14">
        <v>10</v>
      </c>
      <c r="AA143" s="14">
        <f>IF(K143="钻石",Z143/[2]货币基础!$B$4,"")</f>
        <v>1000</v>
      </c>
      <c r="AB143" s="14"/>
      <c r="AC143" s="14"/>
      <c r="AD143" s="12"/>
      <c r="AE143" s="11" t="s">
        <v>406</v>
      </c>
      <c r="AF143" s="11" t="s">
        <v>672</v>
      </c>
      <c r="AG143" s="11" t="s">
        <v>672</v>
      </c>
      <c r="AH143" s="11" t="s">
        <v>672</v>
      </c>
      <c r="AI143" s="11" t="s">
        <v>672</v>
      </c>
      <c r="AJ143" s="11" t="s">
        <v>672</v>
      </c>
      <c r="AK143" s="11" t="s">
        <v>672</v>
      </c>
      <c r="AL143" s="11" t="s">
        <v>672</v>
      </c>
    </row>
    <row r="144" spans="1:38" x14ac:dyDescent="0.15">
      <c r="A144" s="36"/>
      <c r="B144" s="36"/>
      <c r="C144" s="36"/>
      <c r="D144" s="36"/>
      <c r="E144" s="36"/>
      <c r="F144" s="36"/>
      <c r="G144" s="1" t="s">
        <v>692</v>
      </c>
      <c r="H144" s="1" t="s">
        <v>655</v>
      </c>
      <c r="I144" s="1"/>
      <c r="J144" s="1"/>
      <c r="K144" s="11" t="s">
        <v>566</v>
      </c>
      <c r="L144" s="12"/>
      <c r="M144" s="12"/>
      <c r="N144" s="12"/>
      <c r="O144" s="12"/>
      <c r="P144" s="12">
        <v>235</v>
      </c>
      <c r="Q144" s="12">
        <v>235</v>
      </c>
      <c r="R144" s="13">
        <v>0</v>
      </c>
      <c r="S144" s="12">
        <v>235</v>
      </c>
      <c r="T144" s="13">
        <v>0</v>
      </c>
      <c r="U144" s="14" t="str">
        <f>IF(K144="经验",ROUND(INDEX([1]人物经验!$N$24:$N$573,S144)*T144+INDEX([1]人物经验!$O$24:$O$573,S144)-INDEX([1]人物经验!$O$24:$O$573,Q144)-INDEX([1]人物经验!$N$24:$N$573,Q144)*R144,0),"")</f>
        <v/>
      </c>
      <c r="V144" s="14"/>
      <c r="W144" s="14" t="str">
        <f>IF(K144="金币",INT(V144/[2]货币基础!$B$6*3600*INDEX([1]人物经验!$K$24:$K$573,P144)/1000+1)*1000,"")</f>
        <v/>
      </c>
      <c r="X144" s="14"/>
      <c r="Y144" s="14" t="str">
        <f>IF(K144="元宝",X144/[2]货币基础!$B$5,"")</f>
        <v/>
      </c>
      <c r="Z144" s="14">
        <v>20</v>
      </c>
      <c r="AA144" s="14">
        <f>IF(K144="钻石",Z144/[2]货币基础!$B$4,"")</f>
        <v>2000</v>
      </c>
      <c r="AB144" s="14"/>
      <c r="AC144" s="14"/>
      <c r="AD144" s="12"/>
      <c r="AE144" s="11"/>
      <c r="AF144" s="11"/>
      <c r="AG144" s="11"/>
      <c r="AH144" s="11"/>
      <c r="AI144" s="11"/>
      <c r="AJ144" s="11"/>
      <c r="AK144" s="11"/>
      <c r="AL144" s="11"/>
    </row>
  </sheetData>
  <mergeCells count="54">
    <mergeCell ref="A51:A62"/>
    <mergeCell ref="F44:F50"/>
    <mergeCell ref="E44:E50"/>
    <mergeCell ref="D44:D50"/>
    <mergeCell ref="C44:C50"/>
    <mergeCell ref="B44:B50"/>
    <mergeCell ref="A44:A50"/>
    <mergeCell ref="F51:F62"/>
    <mergeCell ref="E51:E62"/>
    <mergeCell ref="D51:D62"/>
    <mergeCell ref="C51:C62"/>
    <mergeCell ref="B51:B62"/>
    <mergeCell ref="F27:F43"/>
    <mergeCell ref="E27:E43"/>
    <mergeCell ref="D27:D43"/>
    <mergeCell ref="C27:C43"/>
    <mergeCell ref="B27:B43"/>
    <mergeCell ref="A27:A43"/>
    <mergeCell ref="A15:A26"/>
    <mergeCell ref="B15:B26"/>
    <mergeCell ref="C15:C26"/>
    <mergeCell ref="D15:D26"/>
    <mergeCell ref="E15:E26"/>
    <mergeCell ref="F15:F26"/>
    <mergeCell ref="A6:A14"/>
    <mergeCell ref="B6:B14"/>
    <mergeCell ref="C6:C14"/>
    <mergeCell ref="D6:D14"/>
    <mergeCell ref="E6:E14"/>
    <mergeCell ref="F6:F14"/>
    <mergeCell ref="A63:A86"/>
    <mergeCell ref="F87:F98"/>
    <mergeCell ref="E87:E98"/>
    <mergeCell ref="D87:D98"/>
    <mergeCell ref="C87:C98"/>
    <mergeCell ref="B87:B98"/>
    <mergeCell ref="A87:A98"/>
    <mergeCell ref="F63:F86"/>
    <mergeCell ref="E63:E86"/>
    <mergeCell ref="D63:D86"/>
    <mergeCell ref="C63:C86"/>
    <mergeCell ref="B63:B86"/>
    <mergeCell ref="A99:A144"/>
    <mergeCell ref="F99:F144"/>
    <mergeCell ref="E99:E144"/>
    <mergeCell ref="D99:D144"/>
    <mergeCell ref="C99:C144"/>
    <mergeCell ref="B99:B144"/>
    <mergeCell ref="AE4:AL4"/>
    <mergeCell ref="Q4:U4"/>
    <mergeCell ref="V4:W4"/>
    <mergeCell ref="X4:Y4"/>
    <mergeCell ref="Z4:AA4"/>
    <mergeCell ref="AB4:AC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C29"/>
  <sheetViews>
    <sheetView workbookViewId="0">
      <selection activeCell="B5" sqref="B5"/>
    </sheetView>
  </sheetViews>
  <sheetFormatPr defaultRowHeight="13.5" x14ac:dyDescent="0.15"/>
  <cols>
    <col min="1" max="1" width="17.625" bestFit="1" customWidth="1"/>
  </cols>
  <sheetData>
    <row r="3" spans="1:2" x14ac:dyDescent="0.15">
      <c r="A3" s="8" t="s">
        <v>419</v>
      </c>
      <c r="B3" s="2" t="s">
        <v>394</v>
      </c>
    </row>
    <row r="4" spans="1:2" x14ac:dyDescent="0.15">
      <c r="A4" s="1" t="s">
        <v>420</v>
      </c>
      <c r="B4" s="1">
        <f>'标准新手流程（非R）'!S10</f>
        <v>13</v>
      </c>
    </row>
    <row r="5" spans="1:2" x14ac:dyDescent="0.15">
      <c r="A5" s="1" t="s">
        <v>375</v>
      </c>
      <c r="B5" s="1">
        <f>'标准新手流程（非R）'!S22</f>
        <v>33</v>
      </c>
    </row>
    <row r="6" spans="1:2" x14ac:dyDescent="0.15">
      <c r="A6" s="1" t="s">
        <v>421</v>
      </c>
      <c r="B6" s="1">
        <f>'标准新手流程（非R）'!S48</f>
        <v>56</v>
      </c>
    </row>
    <row r="7" spans="1:2" x14ac:dyDescent="0.15">
      <c r="A7" s="1" t="s">
        <v>45</v>
      </c>
      <c r="B7" s="1">
        <f>'标准新手流程（非R）'!S45</f>
        <v>54</v>
      </c>
    </row>
    <row r="8" spans="1:2" x14ac:dyDescent="0.15">
      <c r="A8" s="1" t="s">
        <v>46</v>
      </c>
      <c r="B8" s="1">
        <f>'标准新手流程（非R）'!S46</f>
        <v>54</v>
      </c>
    </row>
    <row r="9" spans="1:2" x14ac:dyDescent="0.15">
      <c r="A9" s="1" t="s">
        <v>378</v>
      </c>
      <c r="B9" s="1">
        <f>'标准新手流程（非R）'!S58</f>
        <v>67</v>
      </c>
    </row>
    <row r="10" spans="1:2" x14ac:dyDescent="0.15">
      <c r="A10" s="1" t="s">
        <v>422</v>
      </c>
      <c r="B10" s="1">
        <f>'标准新手流程（非R）'!S67</f>
        <v>69</v>
      </c>
    </row>
    <row r="11" spans="1:2" x14ac:dyDescent="0.15">
      <c r="A11" s="1" t="s">
        <v>423</v>
      </c>
      <c r="B11" s="1">
        <f>'标准新手流程（非R）'!S63</f>
        <v>68</v>
      </c>
    </row>
    <row r="12" spans="1:2" x14ac:dyDescent="0.15">
      <c r="A12" s="1" t="s">
        <v>93</v>
      </c>
      <c r="B12" s="1">
        <f>'标准新手流程（非R）'!S74</f>
        <v>71</v>
      </c>
    </row>
    <row r="13" spans="1:2" x14ac:dyDescent="0.15">
      <c r="A13" s="1" t="s">
        <v>379</v>
      </c>
      <c r="B13" s="1">
        <f>'标准新手流程（非R）'!S94</f>
        <v>78</v>
      </c>
    </row>
    <row r="14" spans="1:2" x14ac:dyDescent="0.15">
      <c r="A14" s="1" t="s">
        <v>71</v>
      </c>
      <c r="B14" s="1">
        <f>'标准新手流程（非R）'!S96</f>
        <v>78</v>
      </c>
    </row>
    <row r="15" spans="1:2" x14ac:dyDescent="0.15">
      <c r="A15" s="1" t="s">
        <v>424</v>
      </c>
      <c r="B15" s="1">
        <f>'标准新手流程（非R）'!S102</f>
        <v>81</v>
      </c>
    </row>
    <row r="16" spans="1:2" x14ac:dyDescent="0.15">
      <c r="A16" s="1" t="s">
        <v>425</v>
      </c>
      <c r="B16" s="1">
        <f>'标准新手流程（非R）'!S102</f>
        <v>81</v>
      </c>
    </row>
    <row r="17" spans="1:3" ht="14.25" customHeight="1" x14ac:dyDescent="0.15">
      <c r="A17" s="1" t="s">
        <v>426</v>
      </c>
      <c r="B17" s="1">
        <v>75</v>
      </c>
    </row>
    <row r="18" spans="1:3" ht="14.25" customHeight="1" x14ac:dyDescent="0.15">
      <c r="A18" s="1" t="s">
        <v>428</v>
      </c>
      <c r="B18" s="1"/>
      <c r="C18" t="s">
        <v>681</v>
      </c>
    </row>
    <row r="19" spans="1:3" x14ac:dyDescent="0.15">
      <c r="A19" s="1" t="s">
        <v>427</v>
      </c>
      <c r="B19" s="1">
        <v>90</v>
      </c>
      <c r="C19" s="4" t="s">
        <v>680</v>
      </c>
    </row>
    <row r="20" spans="1:3" x14ac:dyDescent="0.15">
      <c r="A20" s="1" t="s">
        <v>430</v>
      </c>
      <c r="B20" s="1">
        <v>90</v>
      </c>
    </row>
    <row r="21" spans="1:3" x14ac:dyDescent="0.15">
      <c r="A21" s="1" t="s">
        <v>94</v>
      </c>
      <c r="B21" s="1">
        <v>110</v>
      </c>
    </row>
    <row r="22" spans="1:3" x14ac:dyDescent="0.15">
      <c r="A22" s="1" t="s">
        <v>429</v>
      </c>
      <c r="B22" s="1">
        <v>110</v>
      </c>
    </row>
    <row r="23" spans="1:3" x14ac:dyDescent="0.15">
      <c r="A23" s="1" t="s">
        <v>431</v>
      </c>
      <c r="B23" s="1">
        <v>130</v>
      </c>
    </row>
    <row r="24" spans="1:3" x14ac:dyDescent="0.15">
      <c r="A24" s="1" t="s">
        <v>98</v>
      </c>
      <c r="B24" s="1">
        <v>130</v>
      </c>
    </row>
    <row r="25" spans="1:3" x14ac:dyDescent="0.15">
      <c r="A25" s="1" t="s">
        <v>432</v>
      </c>
      <c r="B25" s="1">
        <v>160</v>
      </c>
      <c r="C25" t="s">
        <v>681</v>
      </c>
    </row>
    <row r="26" spans="1:3" x14ac:dyDescent="0.15">
      <c r="A26" s="1" t="s">
        <v>433</v>
      </c>
      <c r="B26" s="1">
        <v>275</v>
      </c>
    </row>
    <row r="27" spans="1:3" x14ac:dyDescent="0.15">
      <c r="A27" s="1" t="s">
        <v>434</v>
      </c>
      <c r="B27" s="1">
        <v>235</v>
      </c>
    </row>
    <row r="28" spans="1:3" x14ac:dyDescent="0.15">
      <c r="A28" s="33" t="s">
        <v>688</v>
      </c>
      <c r="B28" s="33">
        <v>150</v>
      </c>
    </row>
    <row r="29" spans="1:3" x14ac:dyDescent="0.15">
      <c r="A29" s="33" t="s">
        <v>689</v>
      </c>
      <c r="B29" s="33">
        <v>160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H17"/>
  <sheetViews>
    <sheetView workbookViewId="0">
      <selection activeCell="E4" sqref="E4:E12"/>
    </sheetView>
  </sheetViews>
  <sheetFormatPr defaultRowHeight="13.5" x14ac:dyDescent="0.15"/>
  <cols>
    <col min="2" max="4" width="9" customWidth="1"/>
    <col min="6" max="7" width="12.125" bestFit="1" customWidth="1"/>
  </cols>
  <sheetData>
    <row r="2" spans="1:8" x14ac:dyDescent="0.15">
      <c r="B2" s="34" t="s">
        <v>14</v>
      </c>
      <c r="C2" s="35"/>
      <c r="D2" s="35"/>
      <c r="E2" s="34" t="s">
        <v>3</v>
      </c>
      <c r="F2" s="35"/>
      <c r="G2" s="35"/>
    </row>
    <row r="3" spans="1:8" x14ac:dyDescent="0.15">
      <c r="A3" s="3" t="s">
        <v>0</v>
      </c>
      <c r="B3" s="2" t="s">
        <v>13</v>
      </c>
      <c r="C3" s="2" t="s">
        <v>12</v>
      </c>
      <c r="D3" s="2" t="s">
        <v>11</v>
      </c>
      <c r="E3" s="2" t="s">
        <v>4</v>
      </c>
      <c r="F3" s="2" t="s">
        <v>12</v>
      </c>
      <c r="G3" s="2" t="s">
        <v>11</v>
      </c>
    </row>
    <row r="4" spans="1:8" x14ac:dyDescent="0.15">
      <c r="A4" s="1" t="s">
        <v>1</v>
      </c>
      <c r="B4" s="1">
        <v>40</v>
      </c>
      <c r="C4" s="1">
        <f>INT(INDEX([1]人物经验!$H$24:$H$573,B4)+1)</f>
        <v>1</v>
      </c>
      <c r="D4" s="1">
        <f>IF(C4=1,INDEX([1]人物经验!$H$24:$H$573,B4)*24*60,INT(MOD(INDEX([1]人物经验!$H$24:$H$573,B4),1)*24/[1]经验产出!$S$5*60))</f>
        <v>15.000000000000004</v>
      </c>
      <c r="E4" s="1">
        <v>70</v>
      </c>
      <c r="F4" s="1">
        <f>INT(INDEX([1]人物经验!$H$24:$H$573,E4)+1)</f>
        <v>1</v>
      </c>
      <c r="G4" s="1">
        <f>ROUND(INDEX('标准新手流程（非R）'!J6:J144,MATCH(E4,'标准新手流程（非R）'!P6:P144,1)),2)</f>
        <v>8.58</v>
      </c>
      <c r="H4" s="4" t="s">
        <v>16</v>
      </c>
    </row>
    <row r="5" spans="1:8" x14ac:dyDescent="0.15">
      <c r="A5" s="1" t="s">
        <v>2</v>
      </c>
      <c r="B5" s="1"/>
      <c r="C5" s="1"/>
      <c r="D5" s="1"/>
      <c r="E5" s="1">
        <v>235</v>
      </c>
      <c r="F5" s="1">
        <f>INT(INDEX([1]人物经验!$H$24:$H$573,E5)+1)</f>
        <v>2</v>
      </c>
      <c r="G5" s="1">
        <f>IF(F5=1,INDEX([1]人物经验!$H$24:$H$573,E5)*24*60,INT(MOD(INDEX([1]人物经验!$H$24:$H$573,E5),1)*24/[1]经验产出!$S$5*60))</f>
        <v>14</v>
      </c>
      <c r="H5" s="4" t="s">
        <v>17</v>
      </c>
    </row>
    <row r="6" spans="1:8" x14ac:dyDescent="0.15">
      <c r="A6" s="1" t="s">
        <v>5</v>
      </c>
      <c r="B6" s="1"/>
      <c r="C6" s="1"/>
      <c r="D6" s="1"/>
      <c r="E6" s="1">
        <v>275</v>
      </c>
      <c r="F6" s="1">
        <f>INT(INDEX([1]人物经验!$H$24:$H$573,E6)+1)</f>
        <v>3</v>
      </c>
      <c r="G6" s="1">
        <f>IF(F6=1,INDEX([1]人物经验!$H$24:$H$573,E6)*24*60,INT(MOD(INDEX([1]人物经验!$H$24:$H$573,E6),1)*24/[1]经验产出!$S$5*60))</f>
        <v>26</v>
      </c>
    </row>
    <row r="7" spans="1:8" x14ac:dyDescent="0.15">
      <c r="A7" s="1" t="s">
        <v>6</v>
      </c>
      <c r="B7" s="1"/>
      <c r="C7" s="1"/>
      <c r="D7" s="1"/>
      <c r="E7" s="1">
        <v>300</v>
      </c>
      <c r="F7" s="1">
        <f>INT(INDEX([1]人物经验!$H$24:$H$573,E7)+1)</f>
        <v>5</v>
      </c>
      <c r="G7" s="1">
        <f>IF(F7=1,INDEX([1]人物经验!$H$24:$H$573,E7)*24*60,INT(MOD(INDEX([1]人物经验!$H$24:$H$573,E7),1)*24/[1]经验产出!$S$5*60))</f>
        <v>32</v>
      </c>
    </row>
    <row r="8" spans="1:8" x14ac:dyDescent="0.15">
      <c r="A8" s="1" t="s">
        <v>7</v>
      </c>
      <c r="B8" s="1"/>
      <c r="C8" s="1"/>
      <c r="D8" s="1"/>
      <c r="E8" s="1">
        <v>350</v>
      </c>
      <c r="F8" s="1">
        <f>INT(INDEX([1]人物经验!$H$24:$H$573,E8)+1)</f>
        <v>12</v>
      </c>
      <c r="G8" s="1">
        <f>IF(F8=1,INDEX([1]人物经验!$H$24:$H$573,E8)*24*60,INT(MOD(INDEX([1]人物经验!$H$24:$H$573,E8),1)*24/[1]经验产出!$S$5*60))</f>
        <v>32</v>
      </c>
    </row>
    <row r="9" spans="1:8" x14ac:dyDescent="0.15">
      <c r="A9" s="1" t="s">
        <v>8</v>
      </c>
      <c r="B9" s="1"/>
      <c r="C9" s="1"/>
      <c r="D9" s="1"/>
      <c r="E9" s="1">
        <v>400</v>
      </c>
      <c r="F9" s="1">
        <f>INT(INDEX([1]人物经验!$H$24:$H$573,E9)+1)</f>
        <v>19</v>
      </c>
      <c r="G9" s="1">
        <f>IF(F9=1,INDEX([1]人物经验!$H$24:$H$573,E9)*24*60,INT(MOD(INDEX([1]人物经验!$H$24:$H$573,E9),1)*24/[1]经验产出!$S$5*60))</f>
        <v>32</v>
      </c>
    </row>
    <row r="10" spans="1:8" x14ac:dyDescent="0.15">
      <c r="A10" s="1" t="s">
        <v>9</v>
      </c>
      <c r="B10" s="1"/>
      <c r="C10" s="1"/>
      <c r="D10" s="1"/>
      <c r="E10" s="1">
        <v>450</v>
      </c>
      <c r="F10" s="1">
        <f>INT(INDEX([1]人物经验!$H$24:$H$573,E10)+1)</f>
        <v>26</v>
      </c>
      <c r="G10" s="1">
        <f>IF(F10=1,INDEX([1]人物经验!$H$24:$H$573,E10)*24*60,INT(MOD(INDEX([1]人物经验!$H$24:$H$573,E10),1)*24/[1]经验产出!$S$5*60))</f>
        <v>32</v>
      </c>
    </row>
    <row r="11" spans="1:8" x14ac:dyDescent="0.15">
      <c r="A11" s="1" t="s">
        <v>10</v>
      </c>
      <c r="B11" s="1"/>
      <c r="C11" s="1"/>
      <c r="D11" s="1"/>
      <c r="E11" s="1">
        <v>500</v>
      </c>
      <c r="F11" s="1">
        <f>INT(INDEX([1]人物经验!$H$24:$H$573,E11)+1)</f>
        <v>40</v>
      </c>
      <c r="G11" s="1">
        <f>IF(F11=1,INDEX([1]人物经验!$H$24:$H$573,E11)*24*60,INT(MOD(INDEX([1]人物经验!$H$24:$H$573,E11),1)*24/[1]经验产出!$S$5*60))</f>
        <v>32</v>
      </c>
    </row>
    <row r="12" spans="1:8" x14ac:dyDescent="0.15">
      <c r="A12" s="1" t="s">
        <v>15</v>
      </c>
      <c r="B12" s="1"/>
      <c r="C12" s="1"/>
      <c r="D12" s="1"/>
      <c r="E12" s="1">
        <v>550</v>
      </c>
      <c r="F12" s="1">
        <f>INT(INDEX([1]人物经验!$H$24:$H$573,E12)+1)</f>
        <v>54</v>
      </c>
      <c r="G12" s="1">
        <f>IF(F12=1,INDEX([1]人物经验!$H$24:$H$573,E12)*24*60,INT(MOD(INDEX([1]人物经验!$H$24:$H$573,E12),1)*24/[1]经验产出!$S$5*60))</f>
        <v>32</v>
      </c>
    </row>
    <row r="15" spans="1:8" x14ac:dyDescent="0.15">
      <c r="A15" t="s">
        <v>159</v>
      </c>
    </row>
    <row r="16" spans="1:8" x14ac:dyDescent="0.15">
      <c r="A16" t="s">
        <v>160</v>
      </c>
    </row>
    <row r="17" spans="1:1" x14ac:dyDescent="0.15">
      <c r="A17" t="s">
        <v>161</v>
      </c>
    </row>
  </sheetData>
  <mergeCells count="2">
    <mergeCell ref="B2:D2"/>
    <mergeCell ref="E2:G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17"/>
  <sheetViews>
    <sheetView workbookViewId="0">
      <selection activeCell="D15" sqref="D15"/>
    </sheetView>
  </sheetViews>
  <sheetFormatPr defaultRowHeight="13.5" x14ac:dyDescent="0.15"/>
  <sheetData>
    <row r="2" spans="1:3" x14ac:dyDescent="0.15">
      <c r="A2" s="8" t="s">
        <v>18</v>
      </c>
      <c r="B2" s="2" t="s">
        <v>110</v>
      </c>
      <c r="C2" s="2" t="s">
        <v>107</v>
      </c>
    </row>
    <row r="3" spans="1:3" x14ac:dyDescent="0.15">
      <c r="A3" s="1">
        <v>1</v>
      </c>
      <c r="B3" s="1" t="s">
        <v>108</v>
      </c>
      <c r="C3" s="1" t="s">
        <v>109</v>
      </c>
    </row>
    <row r="4" spans="1:3" x14ac:dyDescent="0.15">
      <c r="A4" s="1">
        <v>50</v>
      </c>
      <c r="B4" s="1">
        <v>4</v>
      </c>
      <c r="C4" s="1" t="s">
        <v>111</v>
      </c>
    </row>
    <row r="5" spans="1:3" x14ac:dyDescent="0.15">
      <c r="A5" s="1">
        <v>75</v>
      </c>
      <c r="B5" s="1">
        <v>13</v>
      </c>
      <c r="C5" s="1" t="s">
        <v>112</v>
      </c>
    </row>
    <row r="6" spans="1:3" x14ac:dyDescent="0.15">
      <c r="A6" s="1">
        <v>120</v>
      </c>
      <c r="B6" s="1">
        <v>33.25</v>
      </c>
      <c r="C6" s="1" t="s">
        <v>113</v>
      </c>
    </row>
    <row r="7" spans="1:3" x14ac:dyDescent="0.15">
      <c r="A7" s="1">
        <v>200</v>
      </c>
      <c r="B7" s="1">
        <v>64</v>
      </c>
      <c r="C7" s="1" t="s">
        <v>114</v>
      </c>
    </row>
    <row r="11" spans="1:3" x14ac:dyDescent="0.15">
      <c r="A11" t="s">
        <v>162</v>
      </c>
    </row>
    <row r="12" spans="1:3" x14ac:dyDescent="0.15">
      <c r="A12" t="s">
        <v>163</v>
      </c>
    </row>
    <row r="13" spans="1:3" x14ac:dyDescent="0.15">
      <c r="A13" t="s">
        <v>164</v>
      </c>
    </row>
    <row r="14" spans="1:3" x14ac:dyDescent="0.15">
      <c r="A14" t="s">
        <v>165</v>
      </c>
    </row>
    <row r="15" spans="1:3" x14ac:dyDescent="0.15">
      <c r="A15" t="s">
        <v>166</v>
      </c>
    </row>
    <row r="16" spans="1:3" x14ac:dyDescent="0.15">
      <c r="A16" t="s">
        <v>167</v>
      </c>
    </row>
    <row r="17" spans="1:1" x14ac:dyDescent="0.15">
      <c r="A17" t="s">
        <v>168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L73"/>
  <sheetViews>
    <sheetView topLeftCell="A40" workbookViewId="0">
      <selection activeCell="F28" sqref="F28"/>
    </sheetView>
  </sheetViews>
  <sheetFormatPr defaultRowHeight="13.5" x14ac:dyDescent="0.15"/>
  <cols>
    <col min="4" max="4" width="12.75" bestFit="1" customWidth="1"/>
    <col min="11" max="11" width="11.125" bestFit="1" customWidth="1"/>
  </cols>
  <sheetData>
    <row r="2" spans="1:12" x14ac:dyDescent="0.15">
      <c r="A2" t="s">
        <v>212</v>
      </c>
      <c r="H2" t="s">
        <v>213</v>
      </c>
    </row>
    <row r="3" spans="1:12" x14ac:dyDescent="0.15">
      <c r="A3" s="8" t="s">
        <v>189</v>
      </c>
      <c r="B3" s="2" t="s">
        <v>170</v>
      </c>
      <c r="C3" s="2" t="s">
        <v>185</v>
      </c>
      <c r="D3" s="2" t="s">
        <v>186</v>
      </c>
      <c r="E3" s="2" t="s">
        <v>187</v>
      </c>
      <c r="F3" s="2" t="s">
        <v>243</v>
      </c>
      <c r="H3" s="8" t="s">
        <v>169</v>
      </c>
      <c r="I3" s="2" t="s">
        <v>185</v>
      </c>
      <c r="J3" s="2" t="s">
        <v>229</v>
      </c>
      <c r="K3" s="2" t="s">
        <v>230</v>
      </c>
      <c r="L3" s="2" t="s">
        <v>242</v>
      </c>
    </row>
    <row r="4" spans="1:12" x14ac:dyDescent="0.15">
      <c r="A4" s="1" t="s">
        <v>190</v>
      </c>
      <c r="B4" s="1" t="s">
        <v>72</v>
      </c>
      <c r="C4" s="1">
        <f>VLOOKUP(B4,'标准新手流程（非R）'!$G$5:$P$144,10,0)</f>
        <v>81</v>
      </c>
      <c r="D4" s="1">
        <f>VLOOKUP(B4,'标准新手流程（非R）'!$G$5:$P$144,4,0)</f>
        <v>13.083333333333334</v>
      </c>
      <c r="E4" s="1">
        <f>IF(COUNTA($C$4:C4)&lt;8,C4-(8-COUNTA($C$4:C4))*2,C4)</f>
        <v>67</v>
      </c>
      <c r="F4" s="1">
        <f>IF(ISNA(VLOOKUP(B4,'标准新手流程（非R）'!$G$5:$U$144,15,0)),"",VLOOKUP(B4,'标准新手流程（非R）'!$G$5:$U$144,15,0))</f>
        <v>585</v>
      </c>
      <c r="H4" s="1">
        <v>1</v>
      </c>
      <c r="I4" s="1">
        <f>C13</f>
        <v>92</v>
      </c>
      <c r="J4" s="1">
        <f>MATCH(I4,转生节奏!$E$4:$E$12,1)</f>
        <v>1</v>
      </c>
      <c r="K4" s="1" t="s">
        <v>231</v>
      </c>
      <c r="L4" s="1">
        <v>10</v>
      </c>
    </row>
    <row r="5" spans="1:12" x14ac:dyDescent="0.15">
      <c r="A5" s="1" t="s">
        <v>190</v>
      </c>
      <c r="B5" s="1" t="s">
        <v>171</v>
      </c>
      <c r="C5" s="1">
        <f>VLOOKUP(B5,'标准新手流程（非R）'!$G$5:$P$144,10,0)</f>
        <v>82</v>
      </c>
      <c r="D5" s="1">
        <f>VLOOKUP(B5,'标准新手流程（非R）'!$G$5:$P$144,4,0)</f>
        <v>13.166666666666666</v>
      </c>
      <c r="E5" s="1">
        <f>IF(COUNTA($C$4:C5)&lt;8,C5-(8-COUNTA($C$4:C5))*2,C5)</f>
        <v>70</v>
      </c>
      <c r="F5" s="1">
        <f>IF(ISNA(VLOOKUP(B5,'标准新手流程（非R）'!$G$5:$U$144,15,0)),"",VLOOKUP(B5,'标准新手流程（非R）'!$G$5:$U$144,15,0))</f>
        <v>627</v>
      </c>
      <c r="H5" s="1">
        <v>2</v>
      </c>
      <c r="I5" s="1">
        <f>C23</f>
        <v>120</v>
      </c>
      <c r="J5" s="1">
        <f>MATCH(I5,转生节奏!$E$4:$E$12,1)</f>
        <v>1</v>
      </c>
      <c r="K5" s="1" t="s">
        <v>233</v>
      </c>
      <c r="L5" s="1">
        <v>20</v>
      </c>
    </row>
    <row r="6" spans="1:12" x14ac:dyDescent="0.15">
      <c r="A6" s="1" t="s">
        <v>190</v>
      </c>
      <c r="B6" s="1" t="s">
        <v>172</v>
      </c>
      <c r="C6" s="1">
        <f>VLOOKUP(B6,'标准新手流程（非R）'!$G$5:$P$144,10,0)</f>
        <v>83</v>
      </c>
      <c r="D6" s="1">
        <f>VLOOKUP(B6,'标准新手流程（非R）'!$G$5:$P$144,4,0)</f>
        <v>13.25</v>
      </c>
      <c r="E6" s="1">
        <f>IF(COUNTA($C$4:C6)&lt;8,C6-(8-COUNTA($C$4:C6))*2,C6)</f>
        <v>73</v>
      </c>
      <c r="F6" s="1">
        <f>IF(ISNA(VLOOKUP(B6,'标准新手流程（非R）'!$G$5:$U$144,15,0)),"",VLOOKUP(B6,'标准新手流程（非R）'!$G$5:$U$144,15,0))</f>
        <v>656</v>
      </c>
      <c r="H6" s="1">
        <v>3</v>
      </c>
      <c r="I6" s="1">
        <f>C33</f>
        <v>155</v>
      </c>
      <c r="J6" s="1">
        <f>MATCH(I6,转生节奏!$E$4:$E$12,1)</f>
        <v>1</v>
      </c>
      <c r="K6" s="1" t="s">
        <v>234</v>
      </c>
      <c r="L6" s="1">
        <v>30</v>
      </c>
    </row>
    <row r="7" spans="1:12" x14ac:dyDescent="0.15">
      <c r="A7" s="1" t="s">
        <v>190</v>
      </c>
      <c r="B7" s="1" t="s">
        <v>173</v>
      </c>
      <c r="C7" s="1">
        <f>VLOOKUP(B7,'标准新手流程（非R）'!$G$5:$P$144,10,0)</f>
        <v>84</v>
      </c>
      <c r="D7" s="1">
        <f>VLOOKUP(B7,'标准新手流程（非R）'!$G$5:$P$144,4,0)</f>
        <v>13.833333333333334</v>
      </c>
      <c r="E7" s="1">
        <f>IF(COUNTA($C$4:C7)&lt;8,C7-(8-COUNTA($C$4:C7))*2,C7)</f>
        <v>76</v>
      </c>
      <c r="F7" s="1">
        <f>IF(ISNA(VLOOKUP(B7,'标准新手流程（非R）'!$G$5:$U$144,15,0)),"",VLOOKUP(B7,'标准新手流程（非R）'!$G$5:$U$144,15,0))</f>
        <v>676</v>
      </c>
      <c r="H7" s="1">
        <v>4</v>
      </c>
      <c r="I7" s="1">
        <f>C43</f>
        <v>205</v>
      </c>
      <c r="J7" s="1">
        <f>MATCH(I7,转生节奏!$E$4:$E$12,1)</f>
        <v>1</v>
      </c>
      <c r="K7" s="1" t="s">
        <v>235</v>
      </c>
      <c r="L7" s="1">
        <v>40</v>
      </c>
    </row>
    <row r="8" spans="1:12" x14ac:dyDescent="0.15">
      <c r="A8" s="1" t="s">
        <v>190</v>
      </c>
      <c r="B8" s="1" t="s">
        <v>73</v>
      </c>
      <c r="C8" s="1">
        <f>VLOOKUP(B8,'标准新手流程（非R）'!$G$5:$P$144,10,0)</f>
        <v>85</v>
      </c>
      <c r="D8" s="1">
        <f>VLOOKUP(B8,'标准新手流程（非R）'!$G$5:$P$144,4,0)</f>
        <v>14.166666666666666</v>
      </c>
      <c r="E8" s="1">
        <f>IF(COUNTA($C$4:C8)&lt;8,C8-(8-COUNTA($C$4:C8))*2,C8)</f>
        <v>79</v>
      </c>
      <c r="F8" s="1">
        <f>IF(ISNA(VLOOKUP(B8,'标准新手流程（非R）'!$G$5:$U$144,15,0)),"",VLOOKUP(B8,'标准新手流程（非R）'!$G$5:$U$144,15,0))</f>
        <v>709</v>
      </c>
      <c r="H8" s="1">
        <v>5</v>
      </c>
      <c r="I8" s="1">
        <f>C48</f>
        <v>210</v>
      </c>
      <c r="J8" s="1">
        <f>MATCH(I8,转生节奏!$E$4:$E$12,1)</f>
        <v>1</v>
      </c>
      <c r="K8" s="1" t="s">
        <v>236</v>
      </c>
      <c r="L8" s="1">
        <v>45</v>
      </c>
    </row>
    <row r="9" spans="1:12" x14ac:dyDescent="0.15">
      <c r="A9" s="1" t="s">
        <v>190</v>
      </c>
      <c r="B9" s="1" t="s">
        <v>74</v>
      </c>
      <c r="C9" s="1">
        <f>VLOOKUP(B9,'标准新手流程（非R）'!$G$5:$P$144,10,0)</f>
        <v>86</v>
      </c>
      <c r="D9" s="1">
        <f>VLOOKUP(B9,'标准新手流程（非R）'!$G$5:$P$144,4,0)</f>
        <v>14.666666666666666</v>
      </c>
      <c r="E9" s="1">
        <f>IF(COUNTA($C$4:C9)&lt;8,C9-(8-COUNTA($C$4:C9))*2,C9)</f>
        <v>82</v>
      </c>
      <c r="F9" s="1">
        <f>IF(ISNA(VLOOKUP(B9,'标准新手流程（非R）'!$G$5:$U$144,15,0)),"",VLOOKUP(B9,'标准新手流程（非R）'!$G$5:$U$144,15,0))</f>
        <v>714</v>
      </c>
      <c r="H9" s="1">
        <v>6</v>
      </c>
      <c r="I9" s="1">
        <f>C53</f>
        <v>215</v>
      </c>
      <c r="J9" s="1">
        <f>MATCH(I9,转生节奏!$E$4:$E$12,1)</f>
        <v>1</v>
      </c>
      <c r="K9" s="1" t="s">
        <v>237</v>
      </c>
      <c r="L9" s="1">
        <v>50</v>
      </c>
    </row>
    <row r="10" spans="1:12" x14ac:dyDescent="0.15">
      <c r="A10" s="1" t="s">
        <v>190</v>
      </c>
      <c r="B10" s="1" t="s">
        <v>174</v>
      </c>
      <c r="C10" s="1">
        <f>VLOOKUP(B10,'标准新手流程（非R）'!$G$5:$P$144,10,0)</f>
        <v>87</v>
      </c>
      <c r="D10" s="1">
        <f>VLOOKUP(B10,'标准新手流程（非R）'!$G$5:$P$144,4,0)</f>
        <v>15.416666666666666</v>
      </c>
      <c r="E10" s="1">
        <f>IF(COUNTA($C$4:C10)&lt;8,C10-(8-COUNTA($C$4:C10))*2,C10)</f>
        <v>85</v>
      </c>
      <c r="F10" s="1">
        <f>IF(ISNA(VLOOKUP(B10,'标准新手流程（非R）'!$G$5:$U$144,15,0)),"",VLOOKUP(B10,'标准新手流程（非R）'!$G$5:$U$144,15,0))</f>
        <v>758</v>
      </c>
      <c r="H10" s="1">
        <v>7</v>
      </c>
      <c r="I10" s="1">
        <f>C58</f>
        <v>220</v>
      </c>
      <c r="J10" s="1">
        <f>MATCH(I10,转生节奏!$E$4:$E$12,1)</f>
        <v>1</v>
      </c>
      <c r="K10" s="1" t="s">
        <v>238</v>
      </c>
      <c r="L10" s="1">
        <v>55</v>
      </c>
    </row>
    <row r="11" spans="1:12" x14ac:dyDescent="0.15">
      <c r="A11" s="1" t="s">
        <v>190</v>
      </c>
      <c r="B11" s="1" t="s">
        <v>175</v>
      </c>
      <c r="C11" s="1">
        <f>VLOOKUP(B11,'标准新手流程（非R）'!$G$5:$P$144,10,0)</f>
        <v>89</v>
      </c>
      <c r="D11" s="1">
        <f>VLOOKUP(B11,'标准新手流程（非R）'!$G$5:$P$144,4,0)</f>
        <v>16.25</v>
      </c>
      <c r="E11" s="1">
        <f>IF(COUNTA($C$4:C11)&lt;8,C11-(8-COUNTA($C$4:C11))*2,C11)</f>
        <v>89</v>
      </c>
      <c r="F11" s="1">
        <f>IF(ISNA(VLOOKUP(B11,'标准新手流程（非R）'!$G$5:$U$144,15,0)),"",VLOOKUP(B11,'标准新手流程（非R）'!$G$5:$U$144,15,0))</f>
        <v>800</v>
      </c>
      <c r="H11" s="1">
        <v>8</v>
      </c>
      <c r="I11" s="1">
        <f>C63</f>
        <v>225</v>
      </c>
      <c r="J11" s="1">
        <f>MATCH(I11,转生节奏!$E$4:$E$12,1)</f>
        <v>1</v>
      </c>
      <c r="K11" s="1" t="s">
        <v>240</v>
      </c>
      <c r="L11" s="1">
        <v>60</v>
      </c>
    </row>
    <row r="12" spans="1:12" x14ac:dyDescent="0.15">
      <c r="A12" s="1" t="s">
        <v>190</v>
      </c>
      <c r="B12" s="1" t="s">
        <v>176</v>
      </c>
      <c r="C12" s="1">
        <f>VLOOKUP(B12,'标准新手流程（非R）'!$G$5:$P$144,10,0)</f>
        <v>90</v>
      </c>
      <c r="D12" s="1">
        <f>VLOOKUP(B12,'标准新手流程（非R）'!$G$5:$P$144,4,0)</f>
        <v>17.25</v>
      </c>
      <c r="E12" s="1">
        <f>IF(COUNTA($C$4:C12)&lt;8,C12-(8-COUNTA($C$4:C12))*2,C12)</f>
        <v>90</v>
      </c>
      <c r="F12" s="1">
        <f>IF(ISNA(VLOOKUP(B12,'标准新手流程（非R）'!$G$5:$U$144,15,0)),"",VLOOKUP(B12,'标准新手流程（非R）'!$G$5:$U$144,15,0))</f>
        <v>836</v>
      </c>
      <c r="H12" s="1">
        <v>9</v>
      </c>
      <c r="I12" s="1">
        <f>C68</f>
        <v>230</v>
      </c>
      <c r="J12" s="1">
        <f>MATCH(I12,转生节奏!$E$4:$E$12,1)</f>
        <v>1</v>
      </c>
      <c r="K12" s="1" t="s">
        <v>241</v>
      </c>
      <c r="L12" s="1">
        <v>65</v>
      </c>
    </row>
    <row r="13" spans="1:12" x14ac:dyDescent="0.15">
      <c r="A13" s="1" t="s">
        <v>190</v>
      </c>
      <c r="B13" s="1" t="s">
        <v>177</v>
      </c>
      <c r="C13" s="1">
        <f>VLOOKUP(B13,'标准新手流程（非R）'!$G$5:$P$144,10,0)</f>
        <v>92</v>
      </c>
      <c r="D13" s="1">
        <f>VLOOKUP(B13,'标准新手流程（非R）'!$G$5:$P$144,4,0)</f>
        <v>18.25</v>
      </c>
      <c r="E13" s="1">
        <f>IF(COUNTA($C$4:C13)&lt;8,C13-(8-COUNTA($C$4:C13))*2,C13)</f>
        <v>92</v>
      </c>
      <c r="F13" s="1">
        <f>IF(ISNA(VLOOKUP(B13,'标准新手流程（非R）'!$G$5:$U$144,15,0)),"",VLOOKUP(B13,'标准新手流程（非R）'!$G$5:$U$144,15,0))</f>
        <v>856</v>
      </c>
      <c r="H13" s="1">
        <v>10</v>
      </c>
      <c r="I13" s="1">
        <f>C73</f>
        <v>235</v>
      </c>
      <c r="J13" s="1">
        <f>MATCH(I13,转生节奏!$E$4:$E$12,1)</f>
        <v>2</v>
      </c>
      <c r="K13" s="1" t="s">
        <v>239</v>
      </c>
      <c r="L13" s="1">
        <v>70</v>
      </c>
    </row>
    <row r="14" spans="1:12" x14ac:dyDescent="0.15">
      <c r="A14" s="1" t="s">
        <v>190</v>
      </c>
      <c r="B14" s="1" t="s">
        <v>178</v>
      </c>
      <c r="C14" s="1">
        <f>VLOOKUP(B14,'标准新手流程（非R）'!$G$5:$P$144,10,0)</f>
        <v>106</v>
      </c>
      <c r="D14" s="1">
        <f>VLOOKUP(B14,'标准新手流程（非R）'!$G$5:$P$144,4,0)</f>
        <v>25.583333333333332</v>
      </c>
      <c r="E14" s="1">
        <f>IF(COUNTA($C$4:C14)&lt;8,C14-(8-COUNTA($C$4:C14))*2,C14)</f>
        <v>106</v>
      </c>
      <c r="F14" s="1">
        <f>IF(ISNA(VLOOKUP(B14,'标准新手流程（非R）'!$G$5:$U$144,15,0)),"",VLOOKUP(B14,'标准新手流程（非R）'!$G$5:$U$144,15,0))</f>
        <v>949</v>
      </c>
    </row>
    <row r="15" spans="1:12" x14ac:dyDescent="0.15">
      <c r="A15" s="1" t="s">
        <v>190</v>
      </c>
      <c r="B15" s="1" t="s">
        <v>84</v>
      </c>
      <c r="C15" s="1">
        <f>VLOOKUP(B15,'标准新手流程（非R）'!$G$5:$P$144,10,0)</f>
        <v>107</v>
      </c>
      <c r="D15" s="1">
        <f>VLOOKUP(B15,'标准新手流程（非R）'!$G$5:$P$144,4,0)</f>
        <v>26.583333333333332</v>
      </c>
      <c r="E15" s="1">
        <f>IF(COUNTA($C$4:C15)&lt;8,C15-(8-COUNTA($C$4:C15))*2,C15)</f>
        <v>107</v>
      </c>
      <c r="F15" s="1">
        <f>IF(ISNA(VLOOKUP(B15,'标准新手流程（非R）'!$G$5:$U$144,15,0)),"",VLOOKUP(B15,'标准新手流程（非R）'!$G$5:$U$144,15,0))</f>
        <v>959</v>
      </c>
    </row>
    <row r="16" spans="1:12" x14ac:dyDescent="0.15">
      <c r="A16" s="1" t="s">
        <v>190</v>
      </c>
      <c r="B16" s="1" t="s">
        <v>85</v>
      </c>
      <c r="C16" s="1">
        <f>VLOOKUP(B16,'标准新手流程（非R）'!$G$5:$P$144,10,0)</f>
        <v>108</v>
      </c>
      <c r="D16" s="1">
        <f>VLOOKUP(B16,'标准新手流程（非R）'!$G$5:$P$144,4,0)</f>
        <v>27.583333333333332</v>
      </c>
      <c r="E16" s="1">
        <f>IF(COUNTA($C$4:C16)&lt;8,C16-(8-COUNTA($C$4:C16))*2,C16)</f>
        <v>108</v>
      </c>
      <c r="F16" s="1">
        <f>IF(ISNA(VLOOKUP(B16,'标准新手流程（非R）'!$G$5:$U$144,15,0)),"",VLOOKUP(B16,'标准新手流程（非R）'!$G$5:$U$144,15,0))</f>
        <v>987</v>
      </c>
    </row>
    <row r="17" spans="1:6" x14ac:dyDescent="0.15">
      <c r="A17" s="1" t="s">
        <v>190</v>
      </c>
      <c r="B17" s="1" t="s">
        <v>86</v>
      </c>
      <c r="C17" s="1">
        <f>VLOOKUP(B17,'标准新手流程（非R）'!$G$5:$P$144,10,0)</f>
        <v>109</v>
      </c>
      <c r="D17" s="1">
        <f>VLOOKUP(B17,'标准新手流程（非R）'!$G$5:$P$144,4,0)</f>
        <v>28.583333333333332</v>
      </c>
      <c r="E17" s="1">
        <f>IF(COUNTA($C$4:C17)&lt;8,C17-(8-COUNTA($C$4:C17))*2,C17)</f>
        <v>109</v>
      </c>
      <c r="F17" s="1">
        <f>IF(ISNA(VLOOKUP(B17,'标准新手流程（非R）'!$G$5:$U$144,15,0)),"",VLOOKUP(B17,'标准新手流程（非R）'!$G$5:$U$144,15,0))</f>
        <v>1015</v>
      </c>
    </row>
    <row r="18" spans="1:6" x14ac:dyDescent="0.15">
      <c r="A18" s="1" t="s">
        <v>190</v>
      </c>
      <c r="B18" s="1" t="s">
        <v>87</v>
      </c>
      <c r="C18" s="1">
        <f>VLOOKUP(B18,'标准新手流程（非R）'!$G$5:$P$144,10,0)</f>
        <v>110</v>
      </c>
      <c r="D18" s="1">
        <f>VLOOKUP(B18,'标准新手流程（非R）'!$G$5:$P$144,4,0)</f>
        <v>29.583333333333332</v>
      </c>
      <c r="E18" s="1">
        <f>IF(COUNTA($C$4:C18)&lt;8,C18-(8-COUNTA($C$4:C18))*2,C18)</f>
        <v>110</v>
      </c>
      <c r="F18" s="1">
        <f>IF(ISNA(VLOOKUP(B18,'标准新手流程（非R）'!$G$5:$U$144,15,0)),"",VLOOKUP(B18,'标准新手流程（非R）'!$G$5:$U$144,15,0))</f>
        <v>1043</v>
      </c>
    </row>
    <row r="19" spans="1:6" x14ac:dyDescent="0.15">
      <c r="A19" s="1" t="s">
        <v>190</v>
      </c>
      <c r="B19" s="1" t="s">
        <v>179</v>
      </c>
      <c r="C19" s="1">
        <f>VLOOKUP(B19,'标准新手流程（非R）'!$G$5:$P$144,10,0)</f>
        <v>112</v>
      </c>
      <c r="D19" s="1">
        <f>VLOOKUP(B19,'标准新手流程（非R）'!$G$5:$P$144,4,0)</f>
        <v>30.666666666666668</v>
      </c>
      <c r="E19" s="1">
        <f>IF(COUNTA($C$4:C19)&lt;8,C19-(8-COUNTA($C$4:C19))*2,C19)</f>
        <v>112</v>
      </c>
      <c r="F19" s="1">
        <f>IF(ISNA(VLOOKUP(B19,'标准新手流程（非R）'!$G$5:$U$144,15,0)),"",VLOOKUP(B19,'标准新手流程（非R）'!$G$5:$U$144,15,0))</f>
        <v>1082</v>
      </c>
    </row>
    <row r="20" spans="1:6" x14ac:dyDescent="0.15">
      <c r="A20" s="1" t="s">
        <v>190</v>
      </c>
      <c r="B20" s="1" t="s">
        <v>180</v>
      </c>
      <c r="C20" s="1">
        <f>VLOOKUP(B20,'标准新手流程（非R）'!$G$5:$P$144,10,0)</f>
        <v>114</v>
      </c>
      <c r="D20" s="1">
        <f>VLOOKUP(B20,'标准新手流程（非R）'!$G$5:$P$144,4,0)</f>
        <v>31.666666666666668</v>
      </c>
      <c r="E20" s="1">
        <f>IF(COUNTA($C$4:C20)&lt;8,C20-(8-COUNTA($C$4:C20))*2,C20)</f>
        <v>114</v>
      </c>
      <c r="F20" s="1">
        <f>IF(ISNA(VLOOKUP(B20,'标准新手流程（非R）'!$G$5:$U$144,15,0)),"",VLOOKUP(B20,'标准新手流程（非R）'!$G$5:$U$144,15,0))</f>
        <v>1142</v>
      </c>
    </row>
    <row r="21" spans="1:6" x14ac:dyDescent="0.15">
      <c r="A21" s="1" t="s">
        <v>190</v>
      </c>
      <c r="B21" s="1" t="s">
        <v>90</v>
      </c>
      <c r="C21" s="1">
        <f>VLOOKUP(B21,'标准新手流程（非R）'!$G$5:$P$144,10,0)</f>
        <v>116</v>
      </c>
      <c r="D21" s="1">
        <f>VLOOKUP(B21,'标准新手流程（非R）'!$G$5:$P$144,4,0)</f>
        <v>32.666666666666664</v>
      </c>
      <c r="E21" s="1">
        <f>IF(COUNTA($C$4:C21)&lt;8,C21-(8-COUNTA($C$4:C21))*2,C21)</f>
        <v>116</v>
      </c>
      <c r="F21" s="1">
        <f>IF(ISNA(VLOOKUP(B21,'标准新手流程（非R）'!$G$5:$U$144,15,0)),"",VLOOKUP(B21,'标准新手流程（非R）'!$G$5:$U$144,15,0))</f>
        <v>1183</v>
      </c>
    </row>
    <row r="22" spans="1:6" x14ac:dyDescent="0.15">
      <c r="A22" s="1" t="s">
        <v>190</v>
      </c>
      <c r="B22" s="1" t="s">
        <v>91</v>
      </c>
      <c r="C22" s="1">
        <f>VLOOKUP(B22,'标准新手流程（非R）'!$G$5:$P$144,10,0)</f>
        <v>118</v>
      </c>
      <c r="D22" s="1">
        <f>VLOOKUP(B22,'标准新手流程（非R）'!$G$5:$P$144,4,0)</f>
        <v>33.666666666666664</v>
      </c>
      <c r="E22" s="1">
        <f>IF(COUNTA($C$4:C22)&lt;8,C22-(8-COUNTA($C$4:C22))*2,C22)</f>
        <v>118</v>
      </c>
      <c r="F22" s="1">
        <f>IF(ISNA(VLOOKUP(B22,'标准新手流程（非R）'!$G$5:$U$144,15,0)),"",VLOOKUP(B22,'标准新手流程（非R）'!$G$5:$U$144,15,0))</f>
        <v>1245</v>
      </c>
    </row>
    <row r="23" spans="1:6" x14ac:dyDescent="0.15">
      <c r="A23" s="1" t="s">
        <v>190</v>
      </c>
      <c r="B23" s="1" t="s">
        <v>92</v>
      </c>
      <c r="C23" s="1">
        <f>VLOOKUP(B23,'标准新手流程（非R）'!$G$5:$P$144,10,0)</f>
        <v>120</v>
      </c>
      <c r="D23" s="1">
        <f>VLOOKUP(B23,'标准新手流程（非R）'!$G$5:$P$144,4,0)</f>
        <v>34.666666666666664</v>
      </c>
      <c r="E23" s="1">
        <f>IF(COUNTA($C$4:C23)&lt;8,C23-(8-COUNTA($C$4:C23))*2,C23)</f>
        <v>120</v>
      </c>
      <c r="F23" s="1">
        <f>IF(ISNA(VLOOKUP(B23,'标准新手流程（非R）'!$G$5:$U$144,15,0)),"",VLOOKUP(B23,'标准新手流程（非R）'!$G$5:$U$144,15,0))</f>
        <v>1288</v>
      </c>
    </row>
    <row r="24" spans="1:6" x14ac:dyDescent="0.15">
      <c r="A24" s="1" t="s">
        <v>190</v>
      </c>
      <c r="B24" s="1" t="s">
        <v>181</v>
      </c>
      <c r="C24" s="1">
        <f>VLOOKUP(B24,'标准新手流程（非R）'!$G$5:$P$144,10,0)</f>
        <v>122</v>
      </c>
      <c r="D24" s="1">
        <f>VLOOKUP(B24,'标准新手流程（非R）'!$G$5:$P$144,4,0)</f>
        <v>35.75</v>
      </c>
      <c r="E24" s="1">
        <f>IF(COUNTA($C$4:C24)&lt;8,C24-(8-COUNTA($C$4:C24))*2,C24)</f>
        <v>122</v>
      </c>
      <c r="F24" s="1">
        <f>IF(ISNA(VLOOKUP(B24,'标准新手流程（非R）'!$G$5:$U$144,15,0)),"",VLOOKUP(B24,'标准新手流程（非R）'!$G$5:$U$144,15,0))</f>
        <v>1433</v>
      </c>
    </row>
    <row r="25" spans="1:6" x14ac:dyDescent="0.15">
      <c r="A25" s="1" t="s">
        <v>190</v>
      </c>
      <c r="B25" s="1" t="s">
        <v>182</v>
      </c>
      <c r="C25" s="1">
        <f>VLOOKUP(B25,'标准新手流程（非R）'!$G$5:$P$144,10,0)</f>
        <v>124</v>
      </c>
      <c r="D25" s="1">
        <f>VLOOKUP(B25,'标准新手流程（非R）'!$G$5:$P$144,4,0)</f>
        <v>36.75</v>
      </c>
      <c r="E25" s="1">
        <f>IF(COUNTA($C$4:C25)&lt;8,C25-(8-COUNTA($C$4:C25))*2,C25)</f>
        <v>124</v>
      </c>
      <c r="F25" s="1">
        <f>IF(ISNA(VLOOKUP(B25,'标准新手流程（非R）'!$G$5:$U$144,15,0)),"",VLOOKUP(B25,'标准新手流程（非R）'!$G$5:$U$144,15,0))</f>
        <v>1547</v>
      </c>
    </row>
    <row r="26" spans="1:6" x14ac:dyDescent="0.15">
      <c r="A26" s="1" t="s">
        <v>190</v>
      </c>
      <c r="B26" s="1" t="s">
        <v>95</v>
      </c>
      <c r="C26" s="1">
        <f>VLOOKUP(B26,'标准新手流程（非R）'!$G$5:$P$144,10,0)</f>
        <v>126</v>
      </c>
      <c r="D26" s="1">
        <f>VLOOKUP(B26,'标准新手流程（非R）'!$G$5:$P$144,4,0)</f>
        <v>37.75</v>
      </c>
      <c r="E26" s="1">
        <f>IF(COUNTA($C$4:C26)&lt;8,C26-(8-COUNTA($C$4:C26))*2,C26)</f>
        <v>126</v>
      </c>
      <c r="F26" s="1">
        <f>IF(ISNA(VLOOKUP(B26,'标准新手流程（非R）'!$G$5:$U$144,15,0)),"",VLOOKUP(B26,'标准新手流程（非R）'!$G$5:$U$144,15,0))</f>
        <v>1689</v>
      </c>
    </row>
    <row r="27" spans="1:6" x14ac:dyDescent="0.15">
      <c r="A27" s="1" t="s">
        <v>190</v>
      </c>
      <c r="B27" s="1" t="s">
        <v>96</v>
      </c>
      <c r="C27" s="1">
        <f>VLOOKUP(B27,'标准新手流程（非R）'!$G$5:$P$144,10,0)</f>
        <v>128</v>
      </c>
      <c r="D27" s="1">
        <f>VLOOKUP(B27,'标准新手流程（非R）'!$G$5:$P$144,4,0)</f>
        <v>38.75</v>
      </c>
      <c r="E27" s="1">
        <f>IF(COUNTA($C$4:C27)&lt;8,C27-(8-COUNTA($C$4:C27))*2,C27)</f>
        <v>128</v>
      </c>
      <c r="F27" s="1">
        <f>IF(ISNA(VLOOKUP(B27,'标准新手流程（非R）'!$G$5:$U$144,15,0)),"",VLOOKUP(B27,'标准新手流程（非R）'!$G$5:$U$144,15,0))</f>
        <v>1836</v>
      </c>
    </row>
    <row r="28" spans="1:6" x14ac:dyDescent="0.15">
      <c r="A28" s="1" t="s">
        <v>190</v>
      </c>
      <c r="B28" s="1" t="s">
        <v>97</v>
      </c>
      <c r="C28" s="1">
        <f>VLOOKUP(B28,'标准新手流程（非R）'!$G$5:$P$144,10,0)</f>
        <v>130</v>
      </c>
      <c r="D28" s="1">
        <f>VLOOKUP(B28,'标准新手流程（非R）'!$G$5:$P$144,4,0)</f>
        <v>39.75</v>
      </c>
      <c r="E28" s="1">
        <f>IF(COUNTA($C$4:C28)&lt;8,C28-(8-COUNTA($C$4:C28))*2,C28)</f>
        <v>130</v>
      </c>
      <c r="F28" s="1">
        <f>IF(ISNA(VLOOKUP(B28,'标准新手流程（非R）'!$G$5:$U$144,15,0)),"",VLOOKUP(B28,'标准新手流程（非R）'!$G$5:$U$144,15,0))</f>
        <v>1990</v>
      </c>
    </row>
    <row r="29" spans="1:6" x14ac:dyDescent="0.15">
      <c r="A29" s="1" t="s">
        <v>191</v>
      </c>
      <c r="B29" s="1" t="s">
        <v>183</v>
      </c>
      <c r="C29" s="1">
        <v>135</v>
      </c>
      <c r="D29" s="1"/>
      <c r="E29" s="1">
        <f>IF(COUNTA($C$4:C29)&lt;8,C29-(8-COUNTA($C$4:C29))*2,C29)</f>
        <v>135</v>
      </c>
      <c r="F29" s="1" t="str">
        <f>IF(ISNA(VLOOKUP(B29,'标准新手流程（非R）'!$G$5:$U$144,15,0)),"",VLOOKUP(B29,'标准新手流程（非R）'!$G$5:$U$144,15,0))</f>
        <v/>
      </c>
    </row>
    <row r="30" spans="1:6" x14ac:dyDescent="0.15">
      <c r="A30" s="1" t="s">
        <v>191</v>
      </c>
      <c r="B30" s="1" t="s">
        <v>184</v>
      </c>
      <c r="C30" s="1">
        <v>140</v>
      </c>
      <c r="D30" s="1"/>
      <c r="E30" s="1">
        <f>IF(COUNTA($C$4:C30)&lt;8,C30-(8-COUNTA($C$4:C30))*2,C30)</f>
        <v>140</v>
      </c>
      <c r="F30" s="1" t="str">
        <f>IF(ISNA(VLOOKUP(B30,'标准新手流程（非R）'!$G$5:$U$144,15,0)),"",VLOOKUP(B30,'标准新手流程（非R）'!$G$5:$U$144,15,0))</f>
        <v/>
      </c>
    </row>
    <row r="31" spans="1:6" x14ac:dyDescent="0.15">
      <c r="A31" s="1" t="s">
        <v>191</v>
      </c>
      <c r="B31" s="1" t="s">
        <v>99</v>
      </c>
      <c r="C31" s="1">
        <v>145</v>
      </c>
      <c r="D31" s="1"/>
      <c r="E31" s="1">
        <f>IF(COUNTA($C$4:C31)&lt;8,C31-(8-COUNTA($C$4:C31))*2,C31)</f>
        <v>145</v>
      </c>
      <c r="F31" s="1" t="str">
        <f>IF(ISNA(VLOOKUP(B31,'标准新手流程（非R）'!$G$5:$U$144,15,0)),"",VLOOKUP(B31,'标准新手流程（非R）'!$G$5:$U$144,15,0))</f>
        <v/>
      </c>
    </row>
    <row r="32" spans="1:6" x14ac:dyDescent="0.15">
      <c r="A32" s="1" t="s">
        <v>191</v>
      </c>
      <c r="B32" s="1" t="s">
        <v>100</v>
      </c>
      <c r="C32" s="1">
        <v>150</v>
      </c>
      <c r="D32" s="1"/>
      <c r="E32" s="1">
        <f>IF(COUNTA($C$4:C32)&lt;8,C32-(8-COUNTA($C$4:C32))*2,C32)</f>
        <v>150</v>
      </c>
      <c r="F32" s="1" t="str">
        <f>IF(ISNA(VLOOKUP(B32,'标准新手流程（非R）'!$G$5:$U$144,15,0)),"",VLOOKUP(B32,'标准新手流程（非R）'!$G$5:$U$144,15,0))</f>
        <v/>
      </c>
    </row>
    <row r="33" spans="1:6" x14ac:dyDescent="0.15">
      <c r="A33" s="1" t="s">
        <v>191</v>
      </c>
      <c r="B33" s="1" t="s">
        <v>101</v>
      </c>
      <c r="C33" s="1">
        <v>155</v>
      </c>
      <c r="D33" s="1"/>
      <c r="E33" s="1">
        <f>IF(COUNTA($C$4:C33)&lt;8,C33-(8-COUNTA($C$4:C33))*2,C33)</f>
        <v>155</v>
      </c>
      <c r="F33" s="1" t="str">
        <f>IF(ISNA(VLOOKUP(B33,'标准新手流程（非R）'!$G$5:$U$144,15,0)),"",VLOOKUP(B33,'标准新手流程（非R）'!$G$5:$U$144,15,0))</f>
        <v/>
      </c>
    </row>
    <row r="34" spans="1:6" x14ac:dyDescent="0.15">
      <c r="A34" s="1" t="s">
        <v>191</v>
      </c>
      <c r="B34" s="1" t="s">
        <v>188</v>
      </c>
      <c r="C34" s="1">
        <v>160</v>
      </c>
      <c r="D34" s="1"/>
      <c r="E34" s="1">
        <f>IF(COUNTA($C$4:C34)&lt;8,C34-(8-COUNTA($C$4:C34))*2,C34)</f>
        <v>160</v>
      </c>
      <c r="F34" s="1" t="str">
        <f>IF(ISNA(VLOOKUP(B34,'标准新手流程（非R）'!$G$5:$U$144,15,0)),"",VLOOKUP(B34,'标准新手流程（非R）'!$G$5:$U$144,15,0))</f>
        <v/>
      </c>
    </row>
    <row r="35" spans="1:6" x14ac:dyDescent="0.15">
      <c r="A35" s="1" t="s">
        <v>191</v>
      </c>
      <c r="B35" s="1" t="s">
        <v>102</v>
      </c>
      <c r="C35" s="1">
        <v>165</v>
      </c>
      <c r="D35" s="1"/>
      <c r="E35" s="1">
        <f>IF(COUNTA($C$4:C35)&lt;8,C35-(8-COUNTA($C$4:C35))*2,C35)</f>
        <v>165</v>
      </c>
      <c r="F35" s="1" t="str">
        <f>IF(ISNA(VLOOKUP(B35,'标准新手流程（非R）'!$G$5:$U$144,15,0)),"",VLOOKUP(B35,'标准新手流程（非R）'!$G$5:$U$144,15,0))</f>
        <v/>
      </c>
    </row>
    <row r="36" spans="1:6" x14ac:dyDescent="0.15">
      <c r="A36" s="1" t="s">
        <v>191</v>
      </c>
      <c r="B36" s="1" t="s">
        <v>103</v>
      </c>
      <c r="C36" s="1">
        <v>170</v>
      </c>
      <c r="D36" s="1"/>
      <c r="E36" s="1">
        <f>IF(COUNTA($C$4:C36)&lt;8,C36-(8-COUNTA($C$4:C36))*2,C36)</f>
        <v>170</v>
      </c>
      <c r="F36" s="1" t="str">
        <f>IF(ISNA(VLOOKUP(B36,'标准新手流程（非R）'!$G$5:$U$144,15,0)),"",VLOOKUP(B36,'标准新手流程（非R）'!$G$5:$U$144,15,0))</f>
        <v/>
      </c>
    </row>
    <row r="37" spans="1:6" x14ac:dyDescent="0.15">
      <c r="A37" s="1" t="s">
        <v>191</v>
      </c>
      <c r="B37" s="1" t="s">
        <v>104</v>
      </c>
      <c r="C37" s="1">
        <v>180</v>
      </c>
      <c r="D37" s="1"/>
      <c r="E37" s="1">
        <f>IF(COUNTA($C$4:C37)&lt;8,C37-(8-COUNTA($C$4:C37))*2,C37)</f>
        <v>180</v>
      </c>
      <c r="F37" s="1" t="str">
        <f>IF(ISNA(VLOOKUP(B37,'标准新手流程（非R）'!$G$5:$U$144,15,0)),"",VLOOKUP(B37,'标准新手流程（非R）'!$G$5:$U$144,15,0))</f>
        <v/>
      </c>
    </row>
    <row r="38" spans="1:6" x14ac:dyDescent="0.15">
      <c r="A38" s="1" t="s">
        <v>191</v>
      </c>
      <c r="B38" s="1" t="s">
        <v>105</v>
      </c>
      <c r="C38" s="1">
        <v>190</v>
      </c>
      <c r="D38" s="1"/>
      <c r="E38" s="1">
        <f>IF(COUNTA($C$4:C38)&lt;8,C38-(8-COUNTA($C$4:C38))*2,C38)</f>
        <v>190</v>
      </c>
      <c r="F38" s="1" t="str">
        <f>IF(ISNA(VLOOKUP(B38,'标准新手流程（非R）'!$G$5:$U$144,15,0)),"",VLOOKUP(B38,'标准新手流程（非R）'!$G$5:$U$144,15,0))</f>
        <v/>
      </c>
    </row>
    <row r="39" spans="1:6" x14ac:dyDescent="0.15">
      <c r="A39" s="1" t="s">
        <v>191</v>
      </c>
      <c r="B39" s="1" t="s">
        <v>192</v>
      </c>
      <c r="C39" s="1">
        <v>201</v>
      </c>
      <c r="D39" s="1"/>
      <c r="E39" s="1">
        <f>IF(COUNTA($C$4:C39)&lt;8,C39-(8-COUNTA($C$4:C39))*2,C39)</f>
        <v>201</v>
      </c>
      <c r="F39" s="1" t="str">
        <f>IF(ISNA(VLOOKUP(B39,'标准新手流程（非R）'!$G$5:$U$144,15,0)),"",VLOOKUP(B39,'标准新手流程（非R）'!$G$5:$U$144,15,0))</f>
        <v/>
      </c>
    </row>
    <row r="40" spans="1:6" x14ac:dyDescent="0.15">
      <c r="A40" s="1" t="s">
        <v>191</v>
      </c>
      <c r="B40" s="1" t="s">
        <v>193</v>
      </c>
      <c r="C40" s="1">
        <v>202</v>
      </c>
      <c r="D40" s="1"/>
      <c r="E40" s="1">
        <f>IF(COUNTA($C$4:C40)&lt;8,C40-(8-COUNTA($C$4:C40))*2,C40)</f>
        <v>202</v>
      </c>
      <c r="F40" s="1" t="str">
        <f>IF(ISNA(VLOOKUP(B40,'标准新手流程（非R）'!$G$5:$U$144,15,0)),"",VLOOKUP(B40,'标准新手流程（非R）'!$G$5:$U$144,15,0))</f>
        <v/>
      </c>
    </row>
    <row r="41" spans="1:6" x14ac:dyDescent="0.15">
      <c r="A41" s="1" t="s">
        <v>191</v>
      </c>
      <c r="B41" s="1" t="s">
        <v>194</v>
      </c>
      <c r="C41" s="1">
        <v>203</v>
      </c>
      <c r="D41" s="1"/>
      <c r="E41" s="1">
        <f>IF(COUNTA($C$4:C41)&lt;8,C41-(8-COUNTA($C$4:C41))*2,C41)</f>
        <v>203</v>
      </c>
      <c r="F41" s="1" t="str">
        <f>IF(ISNA(VLOOKUP(B41,'标准新手流程（非R）'!$G$5:$U$144,15,0)),"",VLOOKUP(B41,'标准新手流程（非R）'!$G$5:$U$144,15,0))</f>
        <v/>
      </c>
    </row>
    <row r="42" spans="1:6" x14ac:dyDescent="0.15">
      <c r="A42" s="1" t="s">
        <v>191</v>
      </c>
      <c r="B42" s="1" t="s">
        <v>195</v>
      </c>
      <c r="C42" s="1">
        <v>204</v>
      </c>
      <c r="D42" s="1"/>
      <c r="E42" s="1">
        <f>IF(COUNTA($C$4:C42)&lt;8,C42-(8-COUNTA($C$4:C42))*2,C42)</f>
        <v>204</v>
      </c>
      <c r="F42" s="1" t="str">
        <f>IF(ISNA(VLOOKUP(B42,'标准新手流程（非R）'!$G$5:$U$144,15,0)),"",VLOOKUP(B42,'标准新手流程（非R）'!$G$5:$U$144,15,0))</f>
        <v/>
      </c>
    </row>
    <row r="43" spans="1:6" x14ac:dyDescent="0.15">
      <c r="A43" s="1" t="s">
        <v>191</v>
      </c>
      <c r="B43" s="1" t="s">
        <v>196</v>
      </c>
      <c r="C43" s="1">
        <v>205</v>
      </c>
      <c r="D43" s="1"/>
      <c r="E43" s="1">
        <f>IF(COUNTA($C$4:C43)&lt;8,C43-(8-COUNTA($C$4:C43))*2,C43)</f>
        <v>205</v>
      </c>
      <c r="F43" s="1" t="str">
        <f>IF(ISNA(VLOOKUP(B43,'标准新手流程（非R）'!$G$5:$U$144,15,0)),"",VLOOKUP(B43,'标准新手流程（非R）'!$G$5:$U$144,15,0))</f>
        <v/>
      </c>
    </row>
    <row r="44" spans="1:6" x14ac:dyDescent="0.15">
      <c r="A44" s="1" t="s">
        <v>191</v>
      </c>
      <c r="B44" s="1" t="s">
        <v>197</v>
      </c>
      <c r="C44" s="1">
        <v>206</v>
      </c>
      <c r="D44" s="1"/>
      <c r="E44" s="1">
        <f>IF(COUNTA($C$4:C44)&lt;8,C44-(8-COUNTA($C$4:C44))*2,C44)</f>
        <v>206</v>
      </c>
      <c r="F44" s="1" t="str">
        <f>IF(ISNA(VLOOKUP(B44,'标准新手流程（非R）'!$G$5:$U$144,15,0)),"",VLOOKUP(B44,'标准新手流程（非R）'!$G$5:$U$144,15,0))</f>
        <v/>
      </c>
    </row>
    <row r="45" spans="1:6" x14ac:dyDescent="0.15">
      <c r="A45" s="1" t="s">
        <v>191</v>
      </c>
      <c r="B45" s="1" t="s">
        <v>198</v>
      </c>
      <c r="C45" s="1">
        <v>207</v>
      </c>
      <c r="D45" s="1"/>
      <c r="E45" s="1">
        <f>IF(COUNTA($C$4:C45)&lt;8,C45-(8-COUNTA($C$4:C45))*2,C45)</f>
        <v>207</v>
      </c>
      <c r="F45" s="1" t="str">
        <f>IF(ISNA(VLOOKUP(B45,'标准新手流程（非R）'!$G$5:$U$144,15,0)),"",VLOOKUP(B45,'标准新手流程（非R）'!$G$5:$U$144,15,0))</f>
        <v/>
      </c>
    </row>
    <row r="46" spans="1:6" x14ac:dyDescent="0.15">
      <c r="A46" s="1" t="s">
        <v>191</v>
      </c>
      <c r="B46" s="1" t="s">
        <v>199</v>
      </c>
      <c r="C46" s="1">
        <v>208</v>
      </c>
      <c r="D46" s="1"/>
      <c r="E46" s="1">
        <f>IF(COUNTA($C$4:C46)&lt;8,C46-(8-COUNTA($C$4:C46))*2,C46)</f>
        <v>208</v>
      </c>
      <c r="F46" s="1" t="str">
        <f>IF(ISNA(VLOOKUP(B46,'标准新手流程（非R）'!$G$5:$U$144,15,0)),"",VLOOKUP(B46,'标准新手流程（非R）'!$G$5:$U$144,15,0))</f>
        <v/>
      </c>
    </row>
    <row r="47" spans="1:6" x14ac:dyDescent="0.15">
      <c r="A47" s="1" t="s">
        <v>191</v>
      </c>
      <c r="B47" s="1" t="s">
        <v>200</v>
      </c>
      <c r="C47" s="1">
        <v>209</v>
      </c>
      <c r="D47" s="1"/>
      <c r="E47" s="1">
        <f>IF(COUNTA($C$4:C47)&lt;8,C47-(8-COUNTA($C$4:C47))*2,C47)</f>
        <v>209</v>
      </c>
      <c r="F47" s="1" t="str">
        <f>IF(ISNA(VLOOKUP(B47,'标准新手流程（非R）'!$G$5:$U$144,15,0)),"",VLOOKUP(B47,'标准新手流程（非R）'!$G$5:$U$144,15,0))</f>
        <v/>
      </c>
    </row>
    <row r="48" spans="1:6" x14ac:dyDescent="0.15">
      <c r="A48" s="1" t="s">
        <v>191</v>
      </c>
      <c r="B48" s="1" t="s">
        <v>201</v>
      </c>
      <c r="C48" s="1">
        <v>210</v>
      </c>
      <c r="D48" s="1"/>
      <c r="E48" s="1">
        <f>IF(COUNTA($C$4:C48)&lt;8,C48-(8-COUNTA($C$4:C48))*2,C48)</f>
        <v>210</v>
      </c>
      <c r="F48" s="1" t="str">
        <f>IF(ISNA(VLOOKUP(B48,'标准新手流程（非R）'!$G$5:$U$144,15,0)),"",VLOOKUP(B48,'标准新手流程（非R）'!$G$5:$U$144,15,0))</f>
        <v/>
      </c>
    </row>
    <row r="49" spans="1:6" x14ac:dyDescent="0.15">
      <c r="A49" s="1" t="s">
        <v>191</v>
      </c>
      <c r="B49" s="1" t="s">
        <v>202</v>
      </c>
      <c r="C49" s="1">
        <v>211</v>
      </c>
      <c r="D49" s="1"/>
      <c r="E49" s="1">
        <f>IF(COUNTA($C$4:C49)&lt;8,C49-(8-COUNTA($C$4:C49))*2,C49)</f>
        <v>211</v>
      </c>
      <c r="F49" s="1" t="str">
        <f>IF(ISNA(VLOOKUP(B49,'标准新手流程（非R）'!$G$5:$U$144,15,0)),"",VLOOKUP(B49,'标准新手流程（非R）'!$G$5:$U$144,15,0))</f>
        <v/>
      </c>
    </row>
    <row r="50" spans="1:6" x14ac:dyDescent="0.15">
      <c r="A50" s="1" t="s">
        <v>191</v>
      </c>
      <c r="B50" s="1" t="s">
        <v>203</v>
      </c>
      <c r="C50" s="1">
        <v>212</v>
      </c>
      <c r="D50" s="1"/>
      <c r="E50" s="1">
        <f>IF(COUNTA($C$4:C50)&lt;8,C50-(8-COUNTA($C$4:C50))*2,C50)</f>
        <v>212</v>
      </c>
      <c r="F50" s="1" t="str">
        <f>IF(ISNA(VLOOKUP(B50,'标准新手流程（非R）'!$G$5:$U$144,15,0)),"",VLOOKUP(B50,'标准新手流程（非R）'!$G$5:$U$144,15,0))</f>
        <v/>
      </c>
    </row>
    <row r="51" spans="1:6" x14ac:dyDescent="0.15">
      <c r="A51" s="1" t="s">
        <v>191</v>
      </c>
      <c r="B51" s="1" t="s">
        <v>204</v>
      </c>
      <c r="C51" s="1">
        <v>213</v>
      </c>
      <c r="D51" s="1"/>
      <c r="E51" s="1">
        <f>IF(COUNTA($C$4:C51)&lt;8,C51-(8-COUNTA($C$4:C51))*2,C51)</f>
        <v>213</v>
      </c>
      <c r="F51" s="1" t="str">
        <f>IF(ISNA(VLOOKUP(B51,'标准新手流程（非R）'!$G$5:$U$144,15,0)),"",VLOOKUP(B51,'标准新手流程（非R）'!$G$5:$U$144,15,0))</f>
        <v/>
      </c>
    </row>
    <row r="52" spans="1:6" x14ac:dyDescent="0.15">
      <c r="A52" s="1" t="s">
        <v>191</v>
      </c>
      <c r="B52" s="1" t="s">
        <v>205</v>
      </c>
      <c r="C52" s="1">
        <v>214</v>
      </c>
      <c r="D52" s="1"/>
      <c r="E52" s="1">
        <f>IF(COUNTA($C$4:C52)&lt;8,C52-(8-COUNTA($C$4:C52))*2,C52)</f>
        <v>214</v>
      </c>
      <c r="F52" s="1" t="str">
        <f>IF(ISNA(VLOOKUP(B52,'标准新手流程（非R）'!$G$5:$U$144,15,0)),"",VLOOKUP(B52,'标准新手流程（非R）'!$G$5:$U$144,15,0))</f>
        <v/>
      </c>
    </row>
    <row r="53" spans="1:6" x14ac:dyDescent="0.15">
      <c r="A53" s="1" t="s">
        <v>191</v>
      </c>
      <c r="B53" s="1" t="s">
        <v>206</v>
      </c>
      <c r="C53" s="1">
        <v>215</v>
      </c>
      <c r="D53" s="1"/>
      <c r="E53" s="1">
        <f>IF(COUNTA($C$4:C53)&lt;8,C53-(8-COUNTA($C$4:C53))*2,C53)</f>
        <v>215</v>
      </c>
      <c r="F53" s="1" t="str">
        <f>IF(ISNA(VLOOKUP(B53,'标准新手流程（非R）'!$G$5:$U$144,15,0)),"",VLOOKUP(B53,'标准新手流程（非R）'!$G$5:$U$144,15,0))</f>
        <v/>
      </c>
    </row>
    <row r="54" spans="1:6" x14ac:dyDescent="0.15">
      <c r="A54" s="1" t="s">
        <v>191</v>
      </c>
      <c r="B54" s="1" t="s">
        <v>207</v>
      </c>
      <c r="C54" s="1">
        <v>216</v>
      </c>
      <c r="D54" s="1"/>
      <c r="E54" s="1">
        <f>IF(COUNTA($C$4:C54)&lt;8,C54-(8-COUNTA($C$4:C54))*2,C54)</f>
        <v>216</v>
      </c>
      <c r="F54" s="1" t="str">
        <f>IF(ISNA(VLOOKUP(B54,'标准新手流程（非R）'!$G$5:$U$144,15,0)),"",VLOOKUP(B54,'标准新手流程（非R）'!$G$5:$U$144,15,0))</f>
        <v/>
      </c>
    </row>
    <row r="55" spans="1:6" x14ac:dyDescent="0.15">
      <c r="A55" s="1" t="s">
        <v>191</v>
      </c>
      <c r="B55" s="1" t="s">
        <v>208</v>
      </c>
      <c r="C55" s="1">
        <v>217</v>
      </c>
      <c r="D55" s="1"/>
      <c r="E55" s="1">
        <f>IF(COUNTA($C$4:C55)&lt;8,C55-(8-COUNTA($C$4:C55))*2,C55)</f>
        <v>217</v>
      </c>
      <c r="F55" s="1" t="str">
        <f>IF(ISNA(VLOOKUP(B55,'标准新手流程（非R）'!$G$5:$U$144,15,0)),"",VLOOKUP(B55,'标准新手流程（非R）'!$G$5:$U$144,15,0))</f>
        <v/>
      </c>
    </row>
    <row r="56" spans="1:6" x14ac:dyDescent="0.15">
      <c r="A56" s="1" t="s">
        <v>191</v>
      </c>
      <c r="B56" s="1" t="s">
        <v>209</v>
      </c>
      <c r="C56" s="1">
        <v>218</v>
      </c>
      <c r="D56" s="1"/>
      <c r="E56" s="1">
        <f>IF(COUNTA($C$4:C56)&lt;8,C56-(8-COUNTA($C$4:C56))*2,C56)</f>
        <v>218</v>
      </c>
      <c r="F56" s="1" t="str">
        <f>IF(ISNA(VLOOKUP(B56,'标准新手流程（非R）'!$G$5:$U$144,15,0)),"",VLOOKUP(B56,'标准新手流程（非R）'!$G$5:$U$144,15,0))</f>
        <v/>
      </c>
    </row>
    <row r="57" spans="1:6" x14ac:dyDescent="0.15">
      <c r="A57" s="1" t="s">
        <v>191</v>
      </c>
      <c r="B57" s="1" t="s">
        <v>210</v>
      </c>
      <c r="C57" s="1">
        <v>219</v>
      </c>
      <c r="D57" s="1"/>
      <c r="E57" s="1">
        <f>IF(COUNTA($C$4:C57)&lt;8,C57-(8-COUNTA($C$4:C57))*2,C57)</f>
        <v>219</v>
      </c>
      <c r="F57" s="1" t="str">
        <f>IF(ISNA(VLOOKUP(B57,'标准新手流程（非R）'!$G$5:$U$144,15,0)),"",VLOOKUP(B57,'标准新手流程（非R）'!$G$5:$U$144,15,0))</f>
        <v/>
      </c>
    </row>
    <row r="58" spans="1:6" x14ac:dyDescent="0.15">
      <c r="A58" s="1" t="s">
        <v>191</v>
      </c>
      <c r="B58" s="1" t="s">
        <v>211</v>
      </c>
      <c r="C58" s="1">
        <v>220</v>
      </c>
      <c r="D58" s="1"/>
      <c r="E58" s="1">
        <f>IF(COUNTA($C$4:C58)&lt;8,C58-(8-COUNTA($C$4:C58))*2,C58)</f>
        <v>220</v>
      </c>
      <c r="F58" s="1" t="str">
        <f>IF(ISNA(VLOOKUP(B58,'标准新手流程（非R）'!$G$5:$U$144,15,0)),"",VLOOKUP(B58,'标准新手流程（非R）'!$G$5:$U$144,15,0))</f>
        <v/>
      </c>
    </row>
    <row r="59" spans="1:6" x14ac:dyDescent="0.15">
      <c r="A59" s="1" t="s">
        <v>191</v>
      </c>
      <c r="B59" s="1" t="s">
        <v>214</v>
      </c>
      <c r="C59" s="1">
        <v>221</v>
      </c>
      <c r="D59" s="1"/>
      <c r="E59" s="1">
        <f>IF(COUNTA($C$4:C59)&lt;8,C59-(8-COUNTA($C$4:C59))*2,C59)</f>
        <v>221</v>
      </c>
      <c r="F59" s="1" t="str">
        <f>IF(ISNA(VLOOKUP(B59,'标准新手流程（非R）'!$G$5:$U$144,15,0)),"",VLOOKUP(B59,'标准新手流程（非R）'!$G$5:$U$144,15,0))</f>
        <v/>
      </c>
    </row>
    <row r="60" spans="1:6" x14ac:dyDescent="0.15">
      <c r="A60" s="1" t="s">
        <v>191</v>
      </c>
      <c r="B60" s="1" t="s">
        <v>215</v>
      </c>
      <c r="C60" s="1">
        <v>222</v>
      </c>
      <c r="D60" s="1"/>
      <c r="E60" s="1">
        <f>IF(COUNTA($C$4:C60)&lt;8,C60-(8-COUNTA($C$4:C60))*2,C60)</f>
        <v>222</v>
      </c>
      <c r="F60" s="1" t="str">
        <f>IF(ISNA(VLOOKUP(B60,'标准新手流程（非R）'!$G$5:$U$144,15,0)),"",VLOOKUP(B60,'标准新手流程（非R）'!$G$5:$U$144,15,0))</f>
        <v/>
      </c>
    </row>
    <row r="61" spans="1:6" x14ac:dyDescent="0.15">
      <c r="A61" s="1" t="s">
        <v>191</v>
      </c>
      <c r="B61" s="1" t="s">
        <v>216</v>
      </c>
      <c r="C61" s="1">
        <v>223</v>
      </c>
      <c r="D61" s="1"/>
      <c r="E61" s="1">
        <f>IF(COUNTA($C$4:C61)&lt;8,C61-(8-COUNTA($C$4:C61))*2,C61)</f>
        <v>223</v>
      </c>
      <c r="F61" s="1" t="str">
        <f>IF(ISNA(VLOOKUP(B61,'标准新手流程（非R）'!$G$5:$U$144,15,0)),"",VLOOKUP(B61,'标准新手流程（非R）'!$G$5:$U$144,15,0))</f>
        <v/>
      </c>
    </row>
    <row r="62" spans="1:6" x14ac:dyDescent="0.15">
      <c r="A62" s="1" t="s">
        <v>191</v>
      </c>
      <c r="B62" s="1" t="s">
        <v>217</v>
      </c>
      <c r="C62" s="1">
        <v>224</v>
      </c>
      <c r="D62" s="1"/>
      <c r="E62" s="1">
        <f>IF(COUNTA($C$4:C62)&lt;8,C62-(8-COUNTA($C$4:C62))*2,C62)</f>
        <v>224</v>
      </c>
      <c r="F62" s="1" t="str">
        <f>IF(ISNA(VLOOKUP(B62,'标准新手流程（非R）'!$G$5:$U$144,15,0)),"",VLOOKUP(B62,'标准新手流程（非R）'!$G$5:$U$144,15,0))</f>
        <v/>
      </c>
    </row>
    <row r="63" spans="1:6" x14ac:dyDescent="0.15">
      <c r="A63" s="1" t="s">
        <v>191</v>
      </c>
      <c r="B63" s="1" t="s">
        <v>218</v>
      </c>
      <c r="C63" s="1">
        <v>225</v>
      </c>
      <c r="D63" s="1"/>
      <c r="E63" s="1">
        <f>IF(COUNTA($C$4:C63)&lt;8,C63-(8-COUNTA($C$4:C63))*2,C63)</f>
        <v>225</v>
      </c>
      <c r="F63" s="1" t="str">
        <f>IF(ISNA(VLOOKUP(B63,'标准新手流程（非R）'!$G$5:$U$144,15,0)),"",VLOOKUP(B63,'标准新手流程（非R）'!$G$5:$U$144,15,0))</f>
        <v/>
      </c>
    </row>
    <row r="64" spans="1:6" x14ac:dyDescent="0.15">
      <c r="A64" s="1" t="s">
        <v>191</v>
      </c>
      <c r="B64" s="1" t="s">
        <v>219</v>
      </c>
      <c r="C64" s="1">
        <v>226</v>
      </c>
      <c r="D64" s="1"/>
      <c r="E64" s="1">
        <f>IF(COUNTA($C$4:C64)&lt;8,C64-(8-COUNTA($C$4:C64))*2,C64)</f>
        <v>226</v>
      </c>
      <c r="F64" s="1" t="str">
        <f>IF(ISNA(VLOOKUP(B64,'标准新手流程（非R）'!$G$5:$U$144,15,0)),"",VLOOKUP(B64,'标准新手流程（非R）'!$G$5:$U$144,15,0))</f>
        <v/>
      </c>
    </row>
    <row r="65" spans="1:6" x14ac:dyDescent="0.15">
      <c r="A65" s="1" t="s">
        <v>191</v>
      </c>
      <c r="B65" s="1" t="s">
        <v>220</v>
      </c>
      <c r="C65" s="1">
        <v>227</v>
      </c>
      <c r="D65" s="1"/>
      <c r="E65" s="1">
        <f>IF(COUNTA($C$4:C65)&lt;8,C65-(8-COUNTA($C$4:C65))*2,C65)</f>
        <v>227</v>
      </c>
      <c r="F65" s="1" t="str">
        <f>IF(ISNA(VLOOKUP(B65,'标准新手流程（非R）'!$G$5:$U$144,15,0)),"",VLOOKUP(B65,'标准新手流程（非R）'!$G$5:$U$144,15,0))</f>
        <v/>
      </c>
    </row>
    <row r="66" spans="1:6" x14ac:dyDescent="0.15">
      <c r="A66" s="1" t="s">
        <v>191</v>
      </c>
      <c r="B66" s="1" t="s">
        <v>221</v>
      </c>
      <c r="C66" s="1">
        <v>228</v>
      </c>
      <c r="D66" s="1"/>
      <c r="E66" s="1">
        <f>IF(COUNTA($C$4:C66)&lt;8,C66-(8-COUNTA($C$4:C66))*2,C66)</f>
        <v>228</v>
      </c>
      <c r="F66" s="1" t="str">
        <f>IF(ISNA(VLOOKUP(B66,'标准新手流程（非R）'!$G$5:$U$144,15,0)),"",VLOOKUP(B66,'标准新手流程（非R）'!$G$5:$U$144,15,0))</f>
        <v/>
      </c>
    </row>
    <row r="67" spans="1:6" x14ac:dyDescent="0.15">
      <c r="A67" s="1" t="s">
        <v>191</v>
      </c>
      <c r="B67" s="1" t="s">
        <v>222</v>
      </c>
      <c r="C67" s="1">
        <v>229</v>
      </c>
      <c r="D67" s="1"/>
      <c r="E67" s="1">
        <f>IF(COUNTA($C$4:C67)&lt;8,C67-(8-COUNTA($C$4:C67))*2,C67)</f>
        <v>229</v>
      </c>
      <c r="F67" s="1" t="str">
        <f>IF(ISNA(VLOOKUP(B67,'标准新手流程（非R）'!$G$5:$U$144,15,0)),"",VLOOKUP(B67,'标准新手流程（非R）'!$G$5:$U$144,15,0))</f>
        <v/>
      </c>
    </row>
    <row r="68" spans="1:6" x14ac:dyDescent="0.15">
      <c r="A68" s="1" t="s">
        <v>191</v>
      </c>
      <c r="B68" s="1" t="s">
        <v>223</v>
      </c>
      <c r="C68" s="1">
        <v>230</v>
      </c>
      <c r="D68" s="1"/>
      <c r="E68" s="1">
        <f>IF(COUNTA($C$4:C68)&lt;8,C68-(8-COUNTA($C$4:C68))*2,C68)</f>
        <v>230</v>
      </c>
      <c r="F68" s="1" t="str">
        <f>IF(ISNA(VLOOKUP(B68,'标准新手流程（非R）'!$G$5:$U$144,15,0)),"",VLOOKUP(B68,'标准新手流程（非R）'!$G$5:$U$144,15,0))</f>
        <v/>
      </c>
    </row>
    <row r="69" spans="1:6" x14ac:dyDescent="0.15">
      <c r="A69" s="1" t="s">
        <v>191</v>
      </c>
      <c r="B69" s="1" t="s">
        <v>224</v>
      </c>
      <c r="C69" s="1">
        <v>231</v>
      </c>
      <c r="D69" s="1"/>
      <c r="E69" s="1">
        <f>IF(COUNTA($C$4:C69)&lt;8,C69-(8-COUNTA($C$4:C69))*2,C69)</f>
        <v>231</v>
      </c>
      <c r="F69" s="1" t="str">
        <f>IF(ISNA(VLOOKUP(B69,'标准新手流程（非R）'!$G$5:$U$144,15,0)),"",VLOOKUP(B69,'标准新手流程（非R）'!$G$5:$U$144,15,0))</f>
        <v/>
      </c>
    </row>
    <row r="70" spans="1:6" x14ac:dyDescent="0.15">
      <c r="A70" s="1" t="s">
        <v>191</v>
      </c>
      <c r="B70" s="1" t="s">
        <v>225</v>
      </c>
      <c r="C70" s="1">
        <v>232</v>
      </c>
      <c r="D70" s="1"/>
      <c r="E70" s="1">
        <f>IF(COUNTA($C$4:C70)&lt;8,C70-(8-COUNTA($C$4:C70))*2,C70)</f>
        <v>232</v>
      </c>
      <c r="F70" s="1" t="str">
        <f>IF(ISNA(VLOOKUP(B70,'标准新手流程（非R）'!$G$5:$U$144,15,0)),"",VLOOKUP(B70,'标准新手流程（非R）'!$G$5:$U$144,15,0))</f>
        <v/>
      </c>
    </row>
    <row r="71" spans="1:6" x14ac:dyDescent="0.15">
      <c r="A71" s="1" t="s">
        <v>191</v>
      </c>
      <c r="B71" s="1" t="s">
        <v>226</v>
      </c>
      <c r="C71" s="1">
        <v>233</v>
      </c>
      <c r="D71" s="1"/>
      <c r="E71" s="1">
        <f>IF(COUNTA($C$4:C71)&lt;8,C71-(8-COUNTA($C$4:C71))*2,C71)</f>
        <v>233</v>
      </c>
      <c r="F71" s="1" t="str">
        <f>IF(ISNA(VLOOKUP(B71,'标准新手流程（非R）'!$G$5:$U$144,15,0)),"",VLOOKUP(B71,'标准新手流程（非R）'!$G$5:$U$144,15,0))</f>
        <v/>
      </c>
    </row>
    <row r="72" spans="1:6" x14ac:dyDescent="0.15">
      <c r="A72" s="1" t="s">
        <v>191</v>
      </c>
      <c r="B72" s="1" t="s">
        <v>227</v>
      </c>
      <c r="C72" s="1">
        <v>234</v>
      </c>
      <c r="D72" s="1"/>
      <c r="E72" s="1">
        <f>IF(COUNTA($C$4:C72)&lt;8,C72-(8-COUNTA($C$4:C72))*2,C72)</f>
        <v>234</v>
      </c>
      <c r="F72" s="1" t="str">
        <f>IF(ISNA(VLOOKUP(B72,'标准新手流程（非R）'!$G$5:$U$144,15,0)),"",VLOOKUP(B72,'标准新手流程（非R）'!$G$5:$U$144,15,0))</f>
        <v/>
      </c>
    </row>
    <row r="73" spans="1:6" x14ac:dyDescent="0.15">
      <c r="A73" s="1" t="s">
        <v>191</v>
      </c>
      <c r="B73" s="1" t="s">
        <v>228</v>
      </c>
      <c r="C73" s="1">
        <v>235</v>
      </c>
      <c r="D73" s="1"/>
      <c r="E73" s="1">
        <f>IF(COUNTA($C$4:C73)&lt;8,C73-(8-COUNTA($C$4:C73))*2,C73)</f>
        <v>235</v>
      </c>
      <c r="F73" s="1" t="str">
        <f>IF(ISNA(VLOOKUP(B73,'标准新手流程（非R）'!$G$5:$U$144,15,0)),"",VLOOKUP(B73,'标准新手流程（非R）'!$G$5:$U$144,15,0))</f>
        <v/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I141"/>
  <sheetViews>
    <sheetView workbookViewId="0">
      <selection activeCell="G9" sqref="G9"/>
    </sheetView>
  </sheetViews>
  <sheetFormatPr defaultRowHeight="13.5" x14ac:dyDescent="0.15"/>
  <sheetData>
    <row r="2" spans="1:9" x14ac:dyDescent="0.15">
      <c r="A2" t="s">
        <v>244</v>
      </c>
    </row>
    <row r="3" spans="1:9" x14ac:dyDescent="0.15">
      <c r="A3" s="18" t="s">
        <v>372</v>
      </c>
    </row>
    <row r="4" spans="1:9" x14ac:dyDescent="0.15">
      <c r="A4" s="19">
        <v>30</v>
      </c>
    </row>
    <row r="6" spans="1:9" x14ac:dyDescent="0.15">
      <c r="A6" s="8" t="s">
        <v>189</v>
      </c>
      <c r="B6" s="2" t="s">
        <v>170</v>
      </c>
      <c r="C6" s="2" t="s">
        <v>185</v>
      </c>
      <c r="D6" s="2" t="s">
        <v>186</v>
      </c>
      <c r="E6" s="2" t="s">
        <v>187</v>
      </c>
      <c r="F6" s="2" t="s">
        <v>371</v>
      </c>
      <c r="H6" s="17" t="s">
        <v>370</v>
      </c>
    </row>
    <row r="7" spans="1:9" x14ac:dyDescent="0.15">
      <c r="A7" s="22" t="s">
        <v>245</v>
      </c>
      <c r="B7" s="15" t="s">
        <v>31</v>
      </c>
      <c r="C7" s="1">
        <f>VLOOKUP(B7,'标准新手流程（非R）'!$G$5:$Q$144,11,0)</f>
        <v>45</v>
      </c>
      <c r="D7" s="15"/>
      <c r="E7" s="15">
        <f t="shared" ref="E7:E71" si="0">IF(D7&lt;15,C7-INT(15-D7),C7)</f>
        <v>30</v>
      </c>
      <c r="F7" s="1">
        <f>IF(ISNA(VLOOKUP(B7,'标准新手流程（非R）'!$G$5:$U$144,15,0)),"",VLOOKUP(B7,'标准新手流程（非R）'!$G$5:$U$144,15,0))</f>
        <v>168</v>
      </c>
      <c r="I7" t="s">
        <v>435</v>
      </c>
    </row>
    <row r="8" spans="1:9" x14ac:dyDescent="0.15">
      <c r="A8" s="15" t="s">
        <v>245</v>
      </c>
      <c r="B8" s="15" t="s">
        <v>246</v>
      </c>
      <c r="C8" s="1">
        <f>VLOOKUP(B8,'标准新手流程（非R）'!$G$5:$Q$144,11,0)</f>
        <v>47</v>
      </c>
      <c r="D8" s="15"/>
      <c r="E8" s="15">
        <f t="shared" si="0"/>
        <v>32</v>
      </c>
      <c r="F8" s="1">
        <f>IF(ISNA(VLOOKUP(B8,'标准新手流程（非R）'!$G$5:$U$144,15,0)),"",VLOOKUP(B8,'标准新手流程（非R）'!$G$5:$U$144,15,0))</f>
        <v>90</v>
      </c>
      <c r="I8" t="s">
        <v>435</v>
      </c>
    </row>
    <row r="9" spans="1:9" x14ac:dyDescent="0.15">
      <c r="A9" s="15" t="s">
        <v>245</v>
      </c>
      <c r="B9" s="15" t="s">
        <v>247</v>
      </c>
      <c r="C9" s="1">
        <f>VLOOKUP(B9,'标准新手流程（非R）'!$G$5:$Q$144,11,0)</f>
        <v>48</v>
      </c>
      <c r="D9" s="15"/>
      <c r="E9" s="15">
        <f t="shared" si="0"/>
        <v>33</v>
      </c>
      <c r="F9" s="1">
        <f>IF(ISNA(VLOOKUP(B9,'标准新手流程（非R）'!$G$5:$U$144,15,0)),"",VLOOKUP(B9,'标准新手流程（非R）'!$G$5:$U$144,15,0))</f>
        <v>94</v>
      </c>
      <c r="I9" t="s">
        <v>435</v>
      </c>
    </row>
    <row r="10" spans="1:9" x14ac:dyDescent="0.15">
      <c r="A10" s="1" t="s">
        <v>245</v>
      </c>
      <c r="B10" s="1" t="s">
        <v>248</v>
      </c>
      <c r="C10" s="1">
        <f>VLOOKUP(B10,'标准新手流程（非R）'!$G$5:$Q$144,11,0)</f>
        <v>60</v>
      </c>
      <c r="D10" s="1">
        <f>INDEX('标准新手流程（非R）'!$J$6:$J$144,MATCH(C10,'标准新手流程（非R）'!$P$6:$P$144,1))</f>
        <v>6.25</v>
      </c>
      <c r="E10" s="1">
        <f t="shared" si="0"/>
        <v>52</v>
      </c>
      <c r="F10" s="1">
        <f>IF(ISNA(VLOOKUP(B10,'标准新手流程（非R）'!$G$5:$U$144,15,0)),"",VLOOKUP(B10,'标准新手流程（非R）'!$G$5:$U$144,15,0))</f>
        <v>423</v>
      </c>
      <c r="H10">
        <f>VLOOKUP(C10,[1]人物经验!$A$23:$I$573,9,0)</f>
        <v>12</v>
      </c>
    </row>
    <row r="11" spans="1:9" x14ac:dyDescent="0.15">
      <c r="A11" s="1" t="s">
        <v>245</v>
      </c>
      <c r="B11" s="1" t="s">
        <v>249</v>
      </c>
      <c r="C11" s="1">
        <f>VLOOKUP(B11,'标准新手流程（非R）'!$G$5:$Q$144,11,0)</f>
        <v>62</v>
      </c>
      <c r="D11" s="1">
        <f>INDEX('标准新手流程（非R）'!$J$6:$J$144,MATCH(C11,'标准新手流程（非R）'!$P$6:$P$144,1))</f>
        <v>6.5</v>
      </c>
      <c r="E11" s="1">
        <f t="shared" si="0"/>
        <v>54</v>
      </c>
      <c r="F11" s="1">
        <f>IF(ISNA(VLOOKUP(B11,'标准新手流程（非R）'!$G$5:$U$144,15,0)),"",VLOOKUP(B11,'标准新手流程（非R）'!$G$5:$U$144,15,0))</f>
        <v>467</v>
      </c>
      <c r="H11">
        <f>VLOOKUP(C11,[1]人物经验!$A$23:$I$573,9,0)</f>
        <v>13</v>
      </c>
    </row>
    <row r="12" spans="1:9" x14ac:dyDescent="0.15">
      <c r="A12" s="1" t="s">
        <v>245</v>
      </c>
      <c r="B12" s="1" t="s">
        <v>250</v>
      </c>
      <c r="C12" s="1">
        <f>VLOOKUP(B12,'标准新手流程（非R）'!$G$5:$Q$144,11,0)</f>
        <v>64</v>
      </c>
      <c r="D12" s="1">
        <f>INDEX('标准新手流程（非R）'!$J$6:$J$144,MATCH(C12,'标准新手流程（非R）'!$P$6:$P$144,1))</f>
        <v>6.833333333333333</v>
      </c>
      <c r="E12" s="1">
        <f t="shared" si="0"/>
        <v>56</v>
      </c>
      <c r="F12" s="1">
        <f>IF(ISNA(VLOOKUP(B12,'标准新手流程（非R）'!$G$5:$U$144,15,0)),"",VLOOKUP(B12,'标准新手流程（非R）'!$G$5:$U$144,15,0))</f>
        <v>507</v>
      </c>
      <c r="H12">
        <f>VLOOKUP(C12,[1]人物经验!$A$23:$I$573,9,0)</f>
        <v>14</v>
      </c>
    </row>
    <row r="13" spans="1:9" x14ac:dyDescent="0.15">
      <c r="A13" s="1" t="s">
        <v>245</v>
      </c>
      <c r="B13" s="1" t="s">
        <v>60</v>
      </c>
      <c r="C13" s="1">
        <f>VLOOKUP(B13,'标准新手流程（非R）'!$G$5:$Q$144,11,0)</f>
        <v>66</v>
      </c>
      <c r="D13" s="1">
        <f>INDEX('标准新手流程（非R）'!$J$6:$J$144,MATCH(C13,'标准新手流程（非R）'!$P$6:$P$144,1))</f>
        <v>7.166666666666667</v>
      </c>
      <c r="E13" s="1">
        <f t="shared" si="0"/>
        <v>59</v>
      </c>
      <c r="F13" s="1">
        <f>IF(ISNA(VLOOKUP(B13,'标准新手流程（非R）'!$G$5:$U$144,15,0)),"",VLOOKUP(B13,'标准新手流程（非R）'!$G$5:$U$144,15,0))</f>
        <v>275</v>
      </c>
      <c r="H13">
        <f>VLOOKUP(C13,[1]人物经验!$A$23:$I$573,9,0)</f>
        <v>15</v>
      </c>
    </row>
    <row r="14" spans="1:9" x14ac:dyDescent="0.15">
      <c r="A14" s="1" t="s">
        <v>245</v>
      </c>
      <c r="B14" s="1" t="s">
        <v>61</v>
      </c>
      <c r="C14" s="1">
        <f>VLOOKUP(B14,'标准新手流程（非R）'!$G$5:$Q$144,11,0)</f>
        <v>67</v>
      </c>
      <c r="D14" s="1">
        <f>INDEX('标准新手流程（非R）'!$J$6:$J$144,MATCH(C14,'标准新手流程（非R）'!$P$6:$P$144,1))</f>
        <v>7.416666666666667</v>
      </c>
      <c r="E14" s="1">
        <f t="shared" si="0"/>
        <v>60</v>
      </c>
      <c r="F14" s="1">
        <f>IF(ISNA(VLOOKUP(B14,'标准新手流程（非R）'!$G$5:$U$144,15,0)),"",VLOOKUP(B14,'标准新手流程（非R）'!$G$5:$U$144,15,0))</f>
        <v>284</v>
      </c>
      <c r="H14">
        <f>VLOOKUP(C14,[1]人物经验!$A$23:$I$573,9,0)</f>
        <v>15</v>
      </c>
    </row>
    <row r="15" spans="1:9" x14ac:dyDescent="0.15">
      <c r="A15" s="1" t="s">
        <v>245</v>
      </c>
      <c r="B15" s="1" t="s">
        <v>62</v>
      </c>
      <c r="C15" s="1">
        <f>VLOOKUP(B15,'标准新手流程（非R）'!$G$5:$Q$144,11,0)</f>
        <v>69</v>
      </c>
      <c r="D15" s="1">
        <f>INDEX('标准新手流程（非R）'!$J$6:$J$144,MATCH(C15,'标准新手流程（非R）'!$P$6:$P$144,1))</f>
        <v>8.3333333333333339</v>
      </c>
      <c r="E15" s="1">
        <f t="shared" si="0"/>
        <v>63</v>
      </c>
      <c r="F15" s="1">
        <f>IF(ISNA(VLOOKUP(B15,'标准新手流程（非R）'!$G$5:$U$144,15,0)),"",VLOOKUP(B15,'标准新手流程（非R）'!$G$5:$U$144,15,0))</f>
        <v>157</v>
      </c>
      <c r="H15">
        <f>VLOOKUP(C15,[1]人物经验!$A$23:$I$573,9,0)</f>
        <v>16</v>
      </c>
    </row>
    <row r="16" spans="1:9" x14ac:dyDescent="0.15">
      <c r="A16" s="1" t="s">
        <v>245</v>
      </c>
      <c r="B16" s="1" t="s">
        <v>63</v>
      </c>
      <c r="C16" s="1">
        <f>VLOOKUP(B16,'标准新手流程（非R）'!$G$5:$Q$144,11,0)</f>
        <v>70</v>
      </c>
      <c r="D16" s="1">
        <f>INDEX('标准新手流程（非R）'!$J$6:$J$144,MATCH(C16,'标准新手流程（非R）'!$P$6:$P$144,1))</f>
        <v>8.5833333333333339</v>
      </c>
      <c r="E16" s="1">
        <f t="shared" si="0"/>
        <v>64</v>
      </c>
      <c r="F16" s="1">
        <f>IF(ISNA(VLOOKUP(B16,'标准新手流程（非R）'!$G$5:$U$144,15,0)),"",VLOOKUP(B16,'标准新手流程（非R）'!$G$5:$U$144,15,0))</f>
        <v>334</v>
      </c>
      <c r="H16">
        <f>VLOOKUP(C16,[1]人物经验!$A$23:$I$573,9,0)</f>
        <v>17</v>
      </c>
    </row>
    <row r="17" spans="1:8" x14ac:dyDescent="0.15">
      <c r="A17" s="1" t="s">
        <v>245</v>
      </c>
      <c r="B17" s="1" t="s">
        <v>251</v>
      </c>
      <c r="C17" s="1">
        <f>VLOOKUP(B17,'标准新手流程（非R）'!$G$5:$Q$144,11,0)</f>
        <v>72</v>
      </c>
      <c r="D17" s="1">
        <f>INDEX('标准新手流程（非R）'!$J$6:$J$144,MATCH(C17,'标准新手流程（非R）'!$P$6:$P$144,1))</f>
        <v>9.75</v>
      </c>
      <c r="E17" s="1">
        <f t="shared" si="0"/>
        <v>67</v>
      </c>
      <c r="F17" s="1">
        <f>IF(ISNA(VLOOKUP(B17,'标准新手流程（非R）'!$G$5:$U$144,15,0)),"",VLOOKUP(B17,'标准新手流程（非R）'!$G$5:$U$144,15,0))</f>
        <v>298</v>
      </c>
      <c r="H17">
        <f>VLOOKUP(C17,[1]人物经验!$A$23:$I$573,9,0)</f>
        <v>18</v>
      </c>
    </row>
    <row r="18" spans="1:8" x14ac:dyDescent="0.15">
      <c r="A18" s="1" t="s">
        <v>245</v>
      </c>
      <c r="B18" s="1" t="s">
        <v>252</v>
      </c>
      <c r="C18" s="1">
        <f>VLOOKUP(B18,'标准新手流程（非R）'!$G$5:$Q$144,11,0)</f>
        <v>73</v>
      </c>
      <c r="D18" s="1">
        <f>INDEX('标准新手流程（非R）'!$J$6:$J$144,MATCH(C18,'标准新手流程（非R）'!$P$6:$P$144,1))</f>
        <v>10</v>
      </c>
      <c r="E18" s="1">
        <f t="shared" si="0"/>
        <v>68</v>
      </c>
      <c r="F18" s="1">
        <f>IF(ISNA(VLOOKUP(B18,'标准新手流程（非R）'!$G$5:$U$144,15,0)),"",VLOOKUP(B18,'标准新手流程（非R）'!$G$5:$U$144,15,0))</f>
        <v>267</v>
      </c>
      <c r="H18">
        <f>VLOOKUP(C18,[1]人物经验!$A$23:$I$573,9,0)</f>
        <v>18</v>
      </c>
    </row>
    <row r="19" spans="1:8" x14ac:dyDescent="0.15">
      <c r="A19" s="1" t="s">
        <v>245</v>
      </c>
      <c r="B19" s="1" t="s">
        <v>75</v>
      </c>
      <c r="C19" s="1">
        <f>VLOOKUP(B19,'标准新手流程（非R）'!$G$5:$Q$144,11,0)</f>
        <v>74</v>
      </c>
      <c r="D19" s="1">
        <f>INDEX('标准新手流程（非R）'!$J$6:$J$144,MATCH(C19,'标准新手流程（非R）'!$P$6:$P$144,1))</f>
        <v>10.5</v>
      </c>
      <c r="E19" s="1">
        <f t="shared" si="0"/>
        <v>70</v>
      </c>
      <c r="F19" s="1">
        <f>IF(ISNA(VLOOKUP(B19,'标准新手流程（非R）'!$G$5:$U$144,15,0)),"",VLOOKUP(B19,'标准新手流程（非R）'!$G$5:$U$144,15,0))</f>
        <v>244</v>
      </c>
      <c r="H19">
        <f>VLOOKUP(C19,[1]人物经验!$A$23:$I$573,9,0)</f>
        <v>19</v>
      </c>
    </row>
    <row r="20" spans="1:8" x14ac:dyDescent="0.15">
      <c r="A20" s="1" t="s">
        <v>245</v>
      </c>
      <c r="B20" s="1" t="s">
        <v>76</v>
      </c>
      <c r="C20" s="1">
        <f>VLOOKUP(B20,'标准新手流程（非R）'!$G$5:$Q$144,11,0)</f>
        <v>75</v>
      </c>
      <c r="D20" s="1">
        <f>INDEX('标准新手流程（非R）'!$J$6:$J$144,MATCH(C20,'标准新手流程（非R）'!$P$6:$P$144,1))</f>
        <v>10.833333333333334</v>
      </c>
      <c r="E20" s="1">
        <f t="shared" si="0"/>
        <v>71</v>
      </c>
      <c r="F20" s="1">
        <f>IF(ISNA(VLOOKUP(B20,'标准新手流程（非R）'!$G$5:$U$144,15,0)),"",VLOOKUP(B20,'标准新手流程（非R）'!$G$5:$U$144,15,0))</f>
        <v>253</v>
      </c>
      <c r="H20">
        <f>VLOOKUP(C20,[1]人物经验!$A$23:$I$573,9,0)</f>
        <v>19</v>
      </c>
    </row>
    <row r="21" spans="1:8" x14ac:dyDescent="0.15">
      <c r="A21" s="1" t="s">
        <v>245</v>
      </c>
      <c r="B21" s="1" t="s">
        <v>77</v>
      </c>
      <c r="C21" s="1">
        <f>VLOOKUP(B21,'标准新手流程（非R）'!$G$5:$Q$144,11,0)</f>
        <v>76</v>
      </c>
      <c r="D21" s="1">
        <f>INDEX('标准新手流程（非R）'!$J$6:$J$144,MATCH(C21,'标准新手流程（非R）'!$P$6:$P$144,1))</f>
        <v>11.25</v>
      </c>
      <c r="E21" s="1">
        <f t="shared" si="0"/>
        <v>73</v>
      </c>
      <c r="F21" s="1">
        <f>IF(ISNA(VLOOKUP(B21,'标准新手流程（非R）'!$G$5:$U$144,15,0)),"",VLOOKUP(B21,'标准新手流程（非R）'!$G$5:$U$144,15,0))</f>
        <v>269</v>
      </c>
      <c r="H21">
        <f>VLOOKUP(C21,[1]人物经验!$A$23:$I$573,9,0)</f>
        <v>20</v>
      </c>
    </row>
    <row r="22" spans="1:8" x14ac:dyDescent="0.15">
      <c r="A22" s="1" t="s">
        <v>245</v>
      </c>
      <c r="B22" s="1" t="s">
        <v>78</v>
      </c>
      <c r="C22" s="1">
        <f>VLOOKUP(B22,'标准新手流程（非R）'!$G$5:$Q$144,11,0)</f>
        <v>76</v>
      </c>
      <c r="D22" s="1">
        <f>INDEX('标准新手流程（非R）'!$J$6:$J$144,MATCH(C22,'标准新手流程（非R）'!$P$6:$P$144,1))</f>
        <v>11.25</v>
      </c>
      <c r="E22" s="1">
        <f t="shared" si="0"/>
        <v>73</v>
      </c>
      <c r="F22" s="1">
        <f>IF(ISNA(VLOOKUP(B22,'标准新手流程（非R）'!$G$5:$U$144,15,0)),"",VLOOKUP(B22,'标准新手流程（非R）'!$G$5:$U$144,15,0))</f>
        <v>272</v>
      </c>
      <c r="H22">
        <f>VLOOKUP(C22,[1]人物经验!$A$23:$I$573,9,0)</f>
        <v>20</v>
      </c>
    </row>
    <row r="23" spans="1:8" x14ac:dyDescent="0.15">
      <c r="A23" s="1" t="s">
        <v>245</v>
      </c>
      <c r="B23" s="1" t="s">
        <v>79</v>
      </c>
      <c r="C23" s="1">
        <f>VLOOKUP(B23,'标准新手流程（非R）'!$G$5:$Q$144,11,0)</f>
        <v>77</v>
      </c>
      <c r="D23" s="1">
        <f>INDEX('标准新手流程（非R）'!$J$6:$J$144,MATCH(C23,'标准新手流程（非R）'!$P$6:$P$144,1))</f>
        <v>11.833333333333334</v>
      </c>
      <c r="E23" s="1">
        <f t="shared" si="0"/>
        <v>74</v>
      </c>
      <c r="F23" s="1">
        <f>IF(ISNA(VLOOKUP(B23,'标准新手流程（非R）'!$G$5:$U$144,15,0)),"",VLOOKUP(B23,'标准新手流程（非R）'!$G$5:$U$144,15,0))</f>
        <v>371</v>
      </c>
      <c r="H23">
        <f>VLOOKUP(C23,[1]人物经验!$A$23:$I$573,9,0)</f>
        <v>20</v>
      </c>
    </row>
    <row r="24" spans="1:8" x14ac:dyDescent="0.15">
      <c r="A24" s="1" t="s">
        <v>245</v>
      </c>
      <c r="B24" s="1" t="s">
        <v>80</v>
      </c>
      <c r="C24" s="1">
        <f>VLOOKUP(B24,'标准新手流程（非R）'!$G$5:$Q$144,11,0)</f>
        <v>78</v>
      </c>
      <c r="D24" s="1">
        <f>INDEX('标准新手流程（非R）'!$J$6:$J$144,MATCH(C24,'标准新手流程（非R）'!$P$6:$P$144,1))</f>
        <v>12.25</v>
      </c>
      <c r="E24" s="1">
        <f t="shared" si="0"/>
        <v>76</v>
      </c>
      <c r="F24" s="1">
        <f>IF(ISNA(VLOOKUP(B24,'标准新手流程（非R）'!$G$5:$U$144,15,0)),"",VLOOKUP(B24,'标准新手流程（非R）'!$G$5:$U$144,15,0))</f>
        <v>494</v>
      </c>
      <c r="H24">
        <f>VLOOKUP(C24,[1]人物经验!$A$23:$I$573,9,0)</f>
        <v>21</v>
      </c>
    </row>
    <row r="25" spans="1:8" x14ac:dyDescent="0.15">
      <c r="A25" s="1" t="s">
        <v>245</v>
      </c>
      <c r="B25" s="1" t="s">
        <v>81</v>
      </c>
      <c r="C25" s="1">
        <f>VLOOKUP(B25,'标准新手流程（非R）'!$G$5:$Q$144,11,0)</f>
        <v>93</v>
      </c>
      <c r="D25" s="1">
        <f>INDEX('标准新手流程（非R）'!$J$6:$J$144,MATCH(C25,'标准新手流程（非R）'!$P$6:$P$144,1))</f>
        <v>18.833333333333332</v>
      </c>
      <c r="E25" s="1">
        <f t="shared" si="0"/>
        <v>93</v>
      </c>
      <c r="F25" s="1">
        <f>IF(ISNA(VLOOKUP(B25,'标准新手流程（非R）'!$G$5:$U$144,15,0)),"",VLOOKUP(B25,'标准新手流程（非R）'!$G$5:$U$144,15,0))</f>
        <v>235</v>
      </c>
      <c r="H25">
        <f>VLOOKUP(C25,[1]人物经验!$A$23:$I$573,9,0)</f>
        <v>29</v>
      </c>
    </row>
    <row r="26" spans="1:8" x14ac:dyDescent="0.15">
      <c r="A26" s="1" t="s">
        <v>369</v>
      </c>
      <c r="B26" s="1" t="s">
        <v>253</v>
      </c>
      <c r="C26" s="1">
        <v>85</v>
      </c>
      <c r="D26" s="1">
        <f>INDEX('标准新手流程（非R）'!$J$6:$J$144,MATCH(C26,'标准新手流程（非R）'!$P$6:$P$144,1))</f>
        <v>14.166666666666666</v>
      </c>
      <c r="E26" s="1">
        <f t="shared" si="0"/>
        <v>85</v>
      </c>
      <c r="F26" s="1">
        <f>IF(ISNA(VLOOKUP(B26,'标准新手流程（非R）'!$G$5:$U$144,15,0)),"",VLOOKUP(B26,'标准新手流程（非R）'!$G$5:$U$144,15,0))</f>
        <v>261</v>
      </c>
      <c r="H26">
        <f>VLOOKUP(C26,[1]人物经验!$A$23:$I$573,9,0)</f>
        <v>24</v>
      </c>
    </row>
    <row r="27" spans="1:8" x14ac:dyDescent="0.15">
      <c r="A27" s="1" t="s">
        <v>369</v>
      </c>
      <c r="B27" s="1" t="s">
        <v>254</v>
      </c>
      <c r="C27" s="1">
        <v>86</v>
      </c>
      <c r="D27" s="1">
        <f>INDEX('标准新手流程（非R）'!$J$6:$J$144,MATCH(C27,'标准新手流程（非R）'!$P$6:$P$144,1))</f>
        <v>14.666666666666666</v>
      </c>
      <c r="E27" s="1">
        <f t="shared" si="0"/>
        <v>86</v>
      </c>
      <c r="F27" s="1">
        <f>IF(ISNA(VLOOKUP(B27,'标准新手流程（非R）'!$G$5:$U$144,15,0)),"",VLOOKUP(B27,'标准新手流程（非R）'!$G$5:$U$144,15,0))</f>
        <v>291</v>
      </c>
      <c r="H27">
        <f>VLOOKUP(C27,[1]人物经验!$A$23:$I$573,9,0)</f>
        <v>25</v>
      </c>
    </row>
    <row r="28" spans="1:8" x14ac:dyDescent="0.15">
      <c r="A28" s="1" t="s">
        <v>369</v>
      </c>
      <c r="B28" s="1" t="s">
        <v>255</v>
      </c>
      <c r="C28" s="1">
        <v>87</v>
      </c>
      <c r="D28" s="1">
        <f>INDEX('标准新手流程（非R）'!$J$6:$J$144,MATCH(C28,'标准新手流程（非R）'!$P$6:$P$144,1))</f>
        <v>15.416666666666666</v>
      </c>
      <c r="E28" s="1">
        <f t="shared" si="0"/>
        <v>87</v>
      </c>
      <c r="F28" s="1">
        <f>IF(ISNA(VLOOKUP(B28,'标准新手流程（非R）'!$G$5:$U$144,15,0)),"",VLOOKUP(B28,'标准新手流程（非R）'!$G$5:$U$144,15,0))</f>
        <v>330</v>
      </c>
      <c r="H28">
        <f>VLOOKUP(C28,[1]人物经验!$A$23:$I$573,9,0)</f>
        <v>26</v>
      </c>
    </row>
    <row r="29" spans="1:8" x14ac:dyDescent="0.15">
      <c r="A29" s="1" t="s">
        <v>369</v>
      </c>
      <c r="B29" s="1" t="s">
        <v>256</v>
      </c>
      <c r="C29" s="1">
        <v>88</v>
      </c>
      <c r="D29" s="1">
        <f>INDEX('标准新手流程（非R）'!$J$6:$J$144,MATCH(C29,'标准新手流程（非R）'!$P$6:$P$144,1))</f>
        <v>15.416666666666666</v>
      </c>
      <c r="E29" s="1">
        <f t="shared" si="0"/>
        <v>88</v>
      </c>
      <c r="F29" s="1" t="str">
        <f>IF(ISNA(VLOOKUP(B29,'标准新手流程（非R）'!$G$5:$U$144,15,0)),"",VLOOKUP(B29,'标准新手流程（非R）'!$G$5:$U$144,15,0))</f>
        <v/>
      </c>
      <c r="H29">
        <f>VLOOKUP(C29,[1]人物经验!$A$23:$I$573,9,0)</f>
        <v>26</v>
      </c>
    </row>
    <row r="30" spans="1:8" x14ac:dyDescent="0.15">
      <c r="A30" s="1" t="s">
        <v>369</v>
      </c>
      <c r="B30" s="1" t="s">
        <v>257</v>
      </c>
      <c r="C30" s="1">
        <v>89</v>
      </c>
      <c r="D30" s="1">
        <f>INDEX('标准新手流程（非R）'!$J$6:$J$144,MATCH(C30,'标准新手流程（非R）'!$P$6:$P$144,1))</f>
        <v>16.25</v>
      </c>
      <c r="E30" s="1">
        <f t="shared" si="0"/>
        <v>89</v>
      </c>
      <c r="F30" s="1" t="str">
        <f>IF(ISNA(VLOOKUP(B30,'标准新手流程（非R）'!$G$5:$U$144,15,0)),"",VLOOKUP(B30,'标准新手流程（非R）'!$G$5:$U$144,15,0))</f>
        <v/>
      </c>
      <c r="H30">
        <f>VLOOKUP(C30,[1]人物经验!$A$23:$I$573,9,0)</f>
        <v>27</v>
      </c>
    </row>
    <row r="31" spans="1:8" x14ac:dyDescent="0.15">
      <c r="A31" s="1" t="s">
        <v>369</v>
      </c>
      <c r="B31" s="1" t="s">
        <v>258</v>
      </c>
      <c r="C31" s="1">
        <v>90</v>
      </c>
      <c r="D31" s="1">
        <f>INDEX('标准新手流程（非R）'!$J$6:$J$144,MATCH(C31,'标准新手流程（非R）'!$P$6:$P$144,1))</f>
        <v>17.25</v>
      </c>
      <c r="E31" s="1">
        <f t="shared" si="0"/>
        <v>90</v>
      </c>
      <c r="F31" s="1" t="str">
        <f>IF(ISNA(VLOOKUP(B31,'标准新手流程（非R）'!$G$5:$U$144,15,0)),"",VLOOKUP(B31,'标准新手流程（非R）'!$G$5:$U$144,15,0))</f>
        <v/>
      </c>
      <c r="H31">
        <f>VLOOKUP(C31,[1]人物经验!$A$23:$I$573,9,0)</f>
        <v>27</v>
      </c>
    </row>
    <row r="32" spans="1:8" x14ac:dyDescent="0.15">
      <c r="A32" s="1" t="s">
        <v>369</v>
      </c>
      <c r="B32" s="1" t="s">
        <v>259</v>
      </c>
      <c r="C32" s="1">
        <v>91</v>
      </c>
      <c r="D32" s="1">
        <f>INDEX('标准新手流程（非R）'!$J$6:$J$144,MATCH(C32,'标准新手流程（非R）'!$P$6:$P$144,1))</f>
        <v>17.25</v>
      </c>
      <c r="E32" s="1">
        <f t="shared" si="0"/>
        <v>91</v>
      </c>
      <c r="F32" s="1" t="str">
        <f>IF(ISNA(VLOOKUP(B32,'标准新手流程（非R）'!$G$5:$U$144,15,0)),"",VLOOKUP(B32,'标准新手流程（非R）'!$G$5:$U$144,15,0))</f>
        <v/>
      </c>
      <c r="H32">
        <f>VLOOKUP(C32,[1]人物经验!$A$23:$I$573,9,0)</f>
        <v>28</v>
      </c>
    </row>
    <row r="33" spans="1:8" x14ac:dyDescent="0.15">
      <c r="A33" s="1" t="s">
        <v>369</v>
      </c>
      <c r="B33" s="1" t="s">
        <v>260</v>
      </c>
      <c r="C33" s="1">
        <v>92</v>
      </c>
      <c r="D33" s="1">
        <f>INDEX('标准新手流程（非R）'!$J$6:$J$144,MATCH(C33,'标准新手流程（非R）'!$P$6:$P$144,1))</f>
        <v>18.333333333333332</v>
      </c>
      <c r="E33" s="1">
        <f t="shared" si="0"/>
        <v>92</v>
      </c>
      <c r="F33" s="1" t="str">
        <f>IF(ISNA(VLOOKUP(B33,'标准新手流程（非R）'!$G$5:$U$144,15,0)),"",VLOOKUP(B33,'标准新手流程（非R）'!$G$5:$U$144,15,0))</f>
        <v/>
      </c>
      <c r="H33">
        <f>VLOOKUP(C33,[1]人物经验!$A$23:$I$573,9,0)</f>
        <v>28</v>
      </c>
    </row>
    <row r="34" spans="1:8" x14ac:dyDescent="0.15">
      <c r="A34" s="1" t="s">
        <v>369</v>
      </c>
      <c r="B34" s="1" t="s">
        <v>261</v>
      </c>
      <c r="C34" s="1">
        <v>93</v>
      </c>
      <c r="D34" s="1">
        <f>INDEX('标准新手流程（非R）'!$J$6:$J$144,MATCH(C34,'标准新手流程（非R）'!$P$6:$P$144,1))</f>
        <v>18.833333333333332</v>
      </c>
      <c r="E34" s="1">
        <f t="shared" si="0"/>
        <v>93</v>
      </c>
      <c r="F34" s="1" t="str">
        <f>IF(ISNA(VLOOKUP(B34,'标准新手流程（非R）'!$G$5:$U$144,15,0)),"",VLOOKUP(B34,'标准新手流程（非R）'!$G$5:$U$144,15,0))</f>
        <v/>
      </c>
      <c r="H34">
        <f>VLOOKUP(C34,[1]人物经验!$A$23:$I$573,9,0)</f>
        <v>29</v>
      </c>
    </row>
    <row r="35" spans="1:8" x14ac:dyDescent="0.15">
      <c r="A35" s="1" t="s">
        <v>369</v>
      </c>
      <c r="B35" s="1" t="s">
        <v>262</v>
      </c>
      <c r="C35" s="1">
        <v>94</v>
      </c>
      <c r="D35" s="1">
        <f>INDEX('标准新手流程（非R）'!$J$6:$J$144,MATCH(C35,'标准新手流程（非R）'!$P$6:$P$144,1))</f>
        <v>18.833333333333332</v>
      </c>
      <c r="E35" s="1">
        <f t="shared" si="0"/>
        <v>94</v>
      </c>
      <c r="F35" s="1" t="str">
        <f>IF(ISNA(VLOOKUP(B35,'标准新手流程（非R）'!$G$5:$U$144,15,0)),"",VLOOKUP(B35,'标准新手流程（非R）'!$G$5:$U$144,15,0))</f>
        <v/>
      </c>
      <c r="H35">
        <f>VLOOKUP(C35,[1]人物经验!$A$23:$I$573,9,0)</f>
        <v>30</v>
      </c>
    </row>
    <row r="36" spans="1:8" x14ac:dyDescent="0.15">
      <c r="A36" s="1" t="s">
        <v>369</v>
      </c>
      <c r="B36" s="1" t="s">
        <v>263</v>
      </c>
      <c r="C36" s="1">
        <v>95</v>
      </c>
      <c r="D36" s="1">
        <f>INDEX('标准新手流程（非R）'!$J$6:$J$144,MATCH(C36,'标准新手流程（非R）'!$P$6:$P$144,1))</f>
        <v>19.666666666666668</v>
      </c>
      <c r="E36" s="1">
        <f t="shared" si="0"/>
        <v>95</v>
      </c>
      <c r="F36" s="1" t="str">
        <f>IF(ISNA(VLOOKUP(B36,'标准新手流程（非R）'!$G$5:$U$144,15,0)),"",VLOOKUP(B36,'标准新手流程（非R）'!$G$5:$U$144,15,0))</f>
        <v/>
      </c>
      <c r="H36">
        <f>VLOOKUP(C36,[1]人物经验!$A$23:$I$573,9,0)</f>
        <v>30</v>
      </c>
    </row>
    <row r="37" spans="1:8" x14ac:dyDescent="0.15">
      <c r="A37" s="1" t="s">
        <v>369</v>
      </c>
      <c r="B37" s="1" t="s">
        <v>264</v>
      </c>
      <c r="C37" s="1">
        <v>96</v>
      </c>
      <c r="D37" s="1">
        <f>INDEX('标准新手流程（非R）'!$J$6:$J$144,MATCH(C37,'标准新手流程（非R）'!$P$6:$P$144,1))</f>
        <v>19.666666666666668</v>
      </c>
      <c r="E37" s="1">
        <f t="shared" si="0"/>
        <v>96</v>
      </c>
      <c r="F37" s="1" t="str">
        <f>IF(ISNA(VLOOKUP(B37,'标准新手流程（非R）'!$G$5:$U$144,15,0)),"",VLOOKUP(B37,'标准新手流程（非R）'!$G$5:$U$144,15,0))</f>
        <v/>
      </c>
      <c r="H37">
        <f>VLOOKUP(C37,[1]人物经验!$A$23:$I$573,9,0)</f>
        <v>31</v>
      </c>
    </row>
    <row r="38" spans="1:8" x14ac:dyDescent="0.15">
      <c r="A38" s="1" t="s">
        <v>369</v>
      </c>
      <c r="B38" s="1" t="s">
        <v>265</v>
      </c>
      <c r="C38" s="1">
        <v>97</v>
      </c>
      <c r="D38" s="1">
        <f>INDEX('标准新手流程（非R）'!$J$6:$J$144,MATCH(C38,'标准新手流程（非R）'!$P$6:$P$144,1))</f>
        <v>20.416666666666668</v>
      </c>
      <c r="E38" s="1">
        <f t="shared" si="0"/>
        <v>97</v>
      </c>
      <c r="F38" s="1" t="str">
        <f>IF(ISNA(VLOOKUP(B38,'标准新手流程（非R）'!$G$5:$U$144,15,0)),"",VLOOKUP(B38,'标准新手流程（非R）'!$G$5:$U$144,15,0))</f>
        <v/>
      </c>
      <c r="H38">
        <f>VLOOKUP(C38,[1]人物经验!$A$23:$I$573,9,0)</f>
        <v>31</v>
      </c>
    </row>
    <row r="39" spans="1:8" x14ac:dyDescent="0.15">
      <c r="A39" s="1" t="s">
        <v>369</v>
      </c>
      <c r="B39" s="1" t="s">
        <v>266</v>
      </c>
      <c r="C39" s="1">
        <v>98</v>
      </c>
      <c r="D39" s="1">
        <f>INDEX('标准新手流程（非R）'!$J$6:$J$144,MATCH(C39,'标准新手流程（非R）'!$P$6:$P$144,1))</f>
        <v>20.416666666666668</v>
      </c>
      <c r="E39" s="1">
        <f t="shared" si="0"/>
        <v>98</v>
      </c>
      <c r="F39" s="1" t="str">
        <f>IF(ISNA(VLOOKUP(B39,'标准新手流程（非R）'!$G$5:$U$144,15,0)),"",VLOOKUP(B39,'标准新手流程（非R）'!$G$5:$U$144,15,0))</f>
        <v/>
      </c>
      <c r="H39">
        <f>VLOOKUP(C39,[1]人物经验!$A$23:$I$573,9,0)</f>
        <v>32</v>
      </c>
    </row>
    <row r="40" spans="1:8" x14ac:dyDescent="0.15">
      <c r="A40" s="1" t="s">
        <v>369</v>
      </c>
      <c r="B40" s="1" t="s">
        <v>267</v>
      </c>
      <c r="C40" s="1">
        <v>99</v>
      </c>
      <c r="D40" s="1">
        <f>INDEX('标准新手流程（非R）'!$J$6:$J$144,MATCH(C40,'标准新手流程（非R）'!$P$6:$P$144,1))</f>
        <v>21.583333333333332</v>
      </c>
      <c r="E40" s="1">
        <f t="shared" si="0"/>
        <v>99</v>
      </c>
      <c r="F40" s="1" t="str">
        <f>IF(ISNA(VLOOKUP(B40,'标准新手流程（非R）'!$G$5:$U$144,15,0)),"",VLOOKUP(B40,'标准新手流程（非R）'!$G$5:$U$144,15,0))</f>
        <v/>
      </c>
      <c r="H40">
        <f>VLOOKUP(C40,[1]人物经验!$A$23:$I$573,9,0)</f>
        <v>33</v>
      </c>
    </row>
    <row r="41" spans="1:8" x14ac:dyDescent="0.15">
      <c r="A41" s="1" t="s">
        <v>369</v>
      </c>
      <c r="B41" s="1" t="s">
        <v>268</v>
      </c>
      <c r="C41" s="1">
        <v>100</v>
      </c>
      <c r="D41" s="1">
        <f>INDEX('标准新手流程（非R）'!$J$6:$J$144,MATCH(C41,'标准新手流程（非R）'!$P$6:$P$144,1))</f>
        <v>21.583333333333332</v>
      </c>
      <c r="E41" s="1">
        <f t="shared" si="0"/>
        <v>100</v>
      </c>
      <c r="F41" s="1" t="str">
        <f>IF(ISNA(VLOOKUP(B41,'标准新手流程（非R）'!$G$5:$U$144,15,0)),"",VLOOKUP(B41,'标准新手流程（非R）'!$G$5:$U$144,15,0))</f>
        <v/>
      </c>
      <c r="H41">
        <f>VLOOKUP(C41,[1]人物经验!$A$23:$I$573,9,0)</f>
        <v>33</v>
      </c>
    </row>
    <row r="42" spans="1:8" x14ac:dyDescent="0.15">
      <c r="A42" s="1" t="s">
        <v>369</v>
      </c>
      <c r="B42" s="1" t="s">
        <v>269</v>
      </c>
      <c r="C42" s="1">
        <v>101</v>
      </c>
      <c r="D42" s="1">
        <f>INDEX('标准新手流程（非R）'!$J$6:$J$144,MATCH(C42,'标准新手流程（非R）'!$P$6:$P$144,1))</f>
        <v>21.583333333333332</v>
      </c>
      <c r="E42" s="1">
        <f t="shared" si="0"/>
        <v>101</v>
      </c>
      <c r="F42" s="1" t="str">
        <f>IF(ISNA(VLOOKUP(B42,'标准新手流程（非R）'!$G$5:$U$144,15,0)),"",VLOOKUP(B42,'标准新手流程（非R）'!$G$5:$U$144,15,0))</f>
        <v/>
      </c>
      <c r="H42">
        <f>VLOOKUP(C42,[1]人物经验!$A$23:$I$573,9,0)</f>
        <v>34</v>
      </c>
    </row>
    <row r="43" spans="1:8" x14ac:dyDescent="0.15">
      <c r="A43" s="1" t="s">
        <v>369</v>
      </c>
      <c r="B43" s="1" t="s">
        <v>270</v>
      </c>
      <c r="C43" s="1">
        <v>102</v>
      </c>
      <c r="D43" s="1">
        <f>INDEX('标准新手流程（非R）'!$J$6:$J$144,MATCH(C43,'标准新手流程（非R）'!$P$6:$P$144,1))</f>
        <v>21.583333333333332</v>
      </c>
      <c r="E43" s="1">
        <f t="shared" si="0"/>
        <v>102</v>
      </c>
      <c r="F43" s="1" t="str">
        <f>IF(ISNA(VLOOKUP(B43,'标准新手流程（非R）'!$G$5:$U$144,15,0)),"",VLOOKUP(B43,'标准新手流程（非R）'!$G$5:$U$144,15,0))</f>
        <v/>
      </c>
      <c r="H43">
        <f>VLOOKUP(C43,[1]人物经验!$A$23:$I$573,9,0)</f>
        <v>35</v>
      </c>
    </row>
    <row r="44" spans="1:8" x14ac:dyDescent="0.15">
      <c r="A44" s="1" t="s">
        <v>369</v>
      </c>
      <c r="B44" s="1" t="s">
        <v>271</v>
      </c>
      <c r="C44" s="1">
        <v>103</v>
      </c>
      <c r="D44" s="1">
        <f>INDEX('标准新手流程（非R）'!$J$6:$J$144,MATCH(C44,'标准新手流程（非R）'!$P$6:$P$144,1))</f>
        <v>21.583333333333332</v>
      </c>
      <c r="E44" s="1">
        <f t="shared" si="0"/>
        <v>103</v>
      </c>
      <c r="F44" s="1" t="str">
        <f>IF(ISNA(VLOOKUP(B44,'标准新手流程（非R）'!$G$5:$U$144,15,0)),"",VLOOKUP(B44,'标准新手流程（非R）'!$G$5:$U$144,15,0))</f>
        <v/>
      </c>
      <c r="H44">
        <f>VLOOKUP(C44,[1]人物经验!$A$23:$I$573,9,0)</f>
        <v>35</v>
      </c>
    </row>
    <row r="45" spans="1:8" x14ac:dyDescent="0.15">
      <c r="A45" s="1" t="s">
        <v>369</v>
      </c>
      <c r="B45" s="1" t="s">
        <v>272</v>
      </c>
      <c r="C45" s="1">
        <v>104</v>
      </c>
      <c r="D45" s="1">
        <f>INDEX('标准新手流程（非R）'!$J$6:$J$144,MATCH(C45,'标准新手流程（非R）'!$P$6:$P$144,1))</f>
        <v>21.583333333333332</v>
      </c>
      <c r="E45" s="1">
        <f t="shared" si="0"/>
        <v>104</v>
      </c>
      <c r="F45" s="1" t="str">
        <f>IF(ISNA(VLOOKUP(B45,'标准新手流程（非R）'!$G$5:$U$144,15,0)),"",VLOOKUP(B45,'标准新手流程（非R）'!$G$5:$U$144,15,0))</f>
        <v/>
      </c>
      <c r="H45">
        <f>VLOOKUP(C45,[1]人物经验!$A$23:$I$573,9,0)</f>
        <v>36</v>
      </c>
    </row>
    <row r="46" spans="1:8" x14ac:dyDescent="0.15">
      <c r="A46" s="1" t="s">
        <v>369</v>
      </c>
      <c r="B46" s="1" t="s">
        <v>273</v>
      </c>
      <c r="C46" s="1">
        <v>105</v>
      </c>
      <c r="D46" s="1">
        <f>INDEX('标准新手流程（非R）'!$J$6:$J$144,MATCH(C46,'标准新手流程（非R）'!$P$6:$P$144,1))</f>
        <v>24.583333333333332</v>
      </c>
      <c r="E46" s="1">
        <f t="shared" si="0"/>
        <v>105</v>
      </c>
      <c r="F46" s="1" t="str">
        <f>IF(ISNA(VLOOKUP(B46,'标准新手流程（非R）'!$G$5:$U$144,15,0)),"",VLOOKUP(B46,'标准新手流程（非R）'!$G$5:$U$144,15,0))</f>
        <v/>
      </c>
      <c r="H46">
        <f>VLOOKUP(C46,[1]人物经验!$A$23:$I$573,9,0)</f>
        <v>37</v>
      </c>
    </row>
    <row r="47" spans="1:8" x14ac:dyDescent="0.15">
      <c r="A47" s="1" t="s">
        <v>369</v>
      </c>
      <c r="B47" s="1" t="s">
        <v>274</v>
      </c>
      <c r="C47" s="1">
        <v>106</v>
      </c>
      <c r="D47" s="1">
        <f>INDEX('标准新手流程（非R）'!$J$6:$J$144,MATCH(C47,'标准新手流程（非R）'!$P$6:$P$144,1))</f>
        <v>25.583333333333332</v>
      </c>
      <c r="E47" s="1">
        <f t="shared" si="0"/>
        <v>106</v>
      </c>
      <c r="F47" s="1" t="str">
        <f>IF(ISNA(VLOOKUP(B47,'标准新手流程（非R）'!$G$5:$U$144,15,0)),"",VLOOKUP(B47,'标准新手流程（非R）'!$G$5:$U$144,15,0))</f>
        <v/>
      </c>
      <c r="H47">
        <f>VLOOKUP(C47,[1]人物经验!$A$23:$I$573,9,0)</f>
        <v>38</v>
      </c>
    </row>
    <row r="48" spans="1:8" x14ac:dyDescent="0.15">
      <c r="A48" s="1" t="s">
        <v>369</v>
      </c>
      <c r="B48" s="1" t="s">
        <v>275</v>
      </c>
      <c r="C48" s="1">
        <v>107</v>
      </c>
      <c r="D48" s="1">
        <f>INDEX('标准新手流程（非R）'!$J$6:$J$144,MATCH(C48,'标准新手流程（非R）'!$P$6:$P$144,1))</f>
        <v>26.583333333333332</v>
      </c>
      <c r="E48" s="1">
        <f t="shared" si="0"/>
        <v>107</v>
      </c>
      <c r="F48" s="1" t="str">
        <f>IF(ISNA(VLOOKUP(B48,'标准新手流程（非R）'!$G$5:$U$144,15,0)),"",VLOOKUP(B48,'标准新手流程（非R）'!$G$5:$U$144,15,0))</f>
        <v/>
      </c>
      <c r="H48">
        <f>VLOOKUP(C48,[1]人物经验!$A$23:$I$573,9,0)</f>
        <v>38</v>
      </c>
    </row>
    <row r="49" spans="1:8" x14ac:dyDescent="0.15">
      <c r="A49" s="1" t="s">
        <v>369</v>
      </c>
      <c r="B49" s="1" t="s">
        <v>276</v>
      </c>
      <c r="C49" s="1">
        <v>108</v>
      </c>
      <c r="D49" s="1">
        <f>INDEX('标准新手流程（非R）'!$J$6:$J$144,MATCH(C49,'标准新手流程（非R）'!$P$6:$P$144,1))</f>
        <v>27.583333333333332</v>
      </c>
      <c r="E49" s="1">
        <f t="shared" si="0"/>
        <v>108</v>
      </c>
      <c r="F49" s="1" t="str">
        <f>IF(ISNA(VLOOKUP(B49,'标准新手流程（非R）'!$G$5:$U$144,15,0)),"",VLOOKUP(B49,'标准新手流程（非R）'!$G$5:$U$144,15,0))</f>
        <v/>
      </c>
      <c r="H49">
        <f>VLOOKUP(C49,[1]人物经验!$A$23:$I$573,9,0)</f>
        <v>39</v>
      </c>
    </row>
    <row r="50" spans="1:8" x14ac:dyDescent="0.15">
      <c r="A50" s="1" t="s">
        <v>369</v>
      </c>
      <c r="B50" s="1" t="s">
        <v>277</v>
      </c>
      <c r="C50" s="1">
        <v>109</v>
      </c>
      <c r="D50" s="1">
        <f>INDEX('标准新手流程（非R）'!$J$6:$J$144,MATCH(C50,'标准新手流程（非R）'!$P$6:$P$144,1))</f>
        <v>28.583333333333332</v>
      </c>
      <c r="E50" s="1">
        <f t="shared" si="0"/>
        <v>109</v>
      </c>
      <c r="F50" s="1" t="str">
        <f>IF(ISNA(VLOOKUP(B50,'标准新手流程（非R）'!$G$5:$U$144,15,0)),"",VLOOKUP(B50,'标准新手流程（非R）'!$G$5:$U$144,15,0))</f>
        <v/>
      </c>
      <c r="H50">
        <f>VLOOKUP(C50,[1]人物经验!$A$23:$I$573,9,0)</f>
        <v>40</v>
      </c>
    </row>
    <row r="51" spans="1:8" x14ac:dyDescent="0.15">
      <c r="A51" s="1" t="s">
        <v>369</v>
      </c>
      <c r="B51" s="1" t="s">
        <v>278</v>
      </c>
      <c r="C51" s="1">
        <v>110</v>
      </c>
      <c r="D51" s="1">
        <f>INDEX('标准新手流程（非R）'!$J$6:$J$144,MATCH(C51,'标准新手流程（非R）'!$P$6:$P$144,1))</f>
        <v>29.666666666666668</v>
      </c>
      <c r="E51" s="1">
        <f t="shared" si="0"/>
        <v>110</v>
      </c>
      <c r="F51" s="1" t="str">
        <f>IF(ISNA(VLOOKUP(B51,'标准新手流程（非R）'!$G$5:$U$144,15,0)),"",VLOOKUP(B51,'标准新手流程（非R）'!$G$5:$U$144,15,0))</f>
        <v/>
      </c>
      <c r="H51">
        <f>VLOOKUP(C51,[1]人物经验!$A$23:$I$573,9,0)</f>
        <v>41</v>
      </c>
    </row>
    <row r="52" spans="1:8" x14ac:dyDescent="0.15">
      <c r="A52" s="1" t="s">
        <v>369</v>
      </c>
      <c r="B52" s="1" t="s">
        <v>279</v>
      </c>
      <c r="C52" s="1">
        <v>111</v>
      </c>
      <c r="D52" s="1">
        <f>INDEX('标准新手流程（非R）'!$J$6:$J$144,MATCH(C52,'标准新手流程（非R）'!$P$6:$P$144,1))</f>
        <v>29.666666666666668</v>
      </c>
      <c r="E52" s="1">
        <f t="shared" si="0"/>
        <v>111</v>
      </c>
      <c r="F52" s="1" t="str">
        <f>IF(ISNA(VLOOKUP(B52,'标准新手流程（非R）'!$G$5:$U$144,15,0)),"",VLOOKUP(B52,'标准新手流程（非R）'!$G$5:$U$144,15,0))</f>
        <v/>
      </c>
      <c r="H52">
        <f>VLOOKUP(C52,[1]人物经验!$A$23:$I$573,9,0)</f>
        <v>41</v>
      </c>
    </row>
    <row r="53" spans="1:8" x14ac:dyDescent="0.15">
      <c r="A53" s="1" t="s">
        <v>369</v>
      </c>
      <c r="B53" s="1" t="s">
        <v>280</v>
      </c>
      <c r="C53" s="1">
        <v>112</v>
      </c>
      <c r="D53" s="1">
        <f>INDEX('标准新手流程（非R）'!$J$6:$J$144,MATCH(C53,'标准新手流程（非R）'!$P$6:$P$144,1))</f>
        <v>30.666666666666668</v>
      </c>
      <c r="E53" s="1">
        <f t="shared" si="0"/>
        <v>112</v>
      </c>
      <c r="F53" s="1" t="str">
        <f>IF(ISNA(VLOOKUP(B53,'标准新手流程（非R）'!$G$5:$U$144,15,0)),"",VLOOKUP(B53,'标准新手流程（非R）'!$G$5:$U$144,15,0))</f>
        <v/>
      </c>
      <c r="H53">
        <f>VLOOKUP(C53,[1]人物经验!$A$23:$I$573,9,0)</f>
        <v>42</v>
      </c>
    </row>
    <row r="54" spans="1:8" x14ac:dyDescent="0.15">
      <c r="A54" s="1" t="s">
        <v>369</v>
      </c>
      <c r="B54" s="1" t="s">
        <v>281</v>
      </c>
      <c r="C54" s="1">
        <v>113</v>
      </c>
      <c r="D54" s="1">
        <f>INDEX('标准新手流程（非R）'!$J$6:$J$144,MATCH(C54,'标准新手流程（非R）'!$P$6:$P$144,1))</f>
        <v>30.666666666666668</v>
      </c>
      <c r="E54" s="1">
        <f t="shared" si="0"/>
        <v>113</v>
      </c>
      <c r="F54" s="1" t="str">
        <f>IF(ISNA(VLOOKUP(B54,'标准新手流程（非R）'!$G$5:$U$144,15,0)),"",VLOOKUP(B54,'标准新手流程（非R）'!$G$5:$U$144,15,0))</f>
        <v/>
      </c>
      <c r="H54">
        <f>VLOOKUP(C54,[1]人物经验!$A$23:$I$573,9,0)</f>
        <v>43</v>
      </c>
    </row>
    <row r="55" spans="1:8" x14ac:dyDescent="0.15">
      <c r="A55" s="1" t="s">
        <v>369</v>
      </c>
      <c r="B55" s="1" t="s">
        <v>282</v>
      </c>
      <c r="C55" s="1">
        <v>114</v>
      </c>
      <c r="D55" s="1">
        <f>INDEX('标准新手流程（非R）'!$J$6:$J$144,MATCH(C55,'标准新手流程（非R）'!$P$6:$P$144,1))</f>
        <v>31.666666666666668</v>
      </c>
      <c r="E55" s="1">
        <f t="shared" si="0"/>
        <v>114</v>
      </c>
      <c r="F55" s="1" t="str">
        <f>IF(ISNA(VLOOKUP(B55,'标准新手流程（非R）'!$G$5:$U$144,15,0)),"",VLOOKUP(B55,'标准新手流程（非R）'!$G$5:$U$144,15,0))</f>
        <v/>
      </c>
      <c r="H55">
        <f>VLOOKUP(C55,[1]人物经验!$A$23:$I$573,9,0)</f>
        <v>44</v>
      </c>
    </row>
    <row r="56" spans="1:8" x14ac:dyDescent="0.15">
      <c r="A56" s="1" t="s">
        <v>369</v>
      </c>
      <c r="B56" s="1" t="s">
        <v>283</v>
      </c>
      <c r="C56" s="1">
        <v>115</v>
      </c>
      <c r="D56" s="1">
        <f>INDEX('标准新手流程（非R）'!$J$6:$J$144,MATCH(C56,'标准新手流程（非R）'!$P$6:$P$144,1))</f>
        <v>31.666666666666668</v>
      </c>
      <c r="E56" s="1">
        <f t="shared" si="0"/>
        <v>115</v>
      </c>
      <c r="F56" s="1" t="str">
        <f>IF(ISNA(VLOOKUP(B56,'标准新手流程（非R）'!$G$5:$U$144,15,0)),"",VLOOKUP(B56,'标准新手流程（非R）'!$G$5:$U$144,15,0))</f>
        <v/>
      </c>
      <c r="H56">
        <f>VLOOKUP(C56,[1]人物经验!$A$23:$I$573,9,0)</f>
        <v>44</v>
      </c>
    </row>
    <row r="57" spans="1:8" x14ac:dyDescent="0.15">
      <c r="A57" s="1" t="s">
        <v>369</v>
      </c>
      <c r="B57" s="1" t="s">
        <v>284</v>
      </c>
      <c r="C57" s="1">
        <v>116</v>
      </c>
      <c r="D57" s="1">
        <f>INDEX('标准新手流程（非R）'!$J$6:$J$144,MATCH(C57,'标准新手流程（非R）'!$P$6:$P$144,1))</f>
        <v>32.666666666666664</v>
      </c>
      <c r="E57" s="1">
        <f t="shared" si="0"/>
        <v>116</v>
      </c>
      <c r="F57" s="1" t="str">
        <f>IF(ISNA(VLOOKUP(B57,'标准新手流程（非R）'!$G$5:$U$144,15,0)),"",VLOOKUP(B57,'标准新手流程（非R）'!$G$5:$U$144,15,0))</f>
        <v/>
      </c>
      <c r="H57">
        <f>VLOOKUP(C57,[1]人物经验!$A$23:$I$573,9,0)</f>
        <v>45</v>
      </c>
    </row>
    <row r="58" spans="1:8" x14ac:dyDescent="0.15">
      <c r="A58" s="1" t="s">
        <v>369</v>
      </c>
      <c r="B58" s="1" t="s">
        <v>285</v>
      </c>
      <c r="C58" s="1">
        <v>117</v>
      </c>
      <c r="D58" s="1">
        <f>INDEX('标准新手流程（非R）'!$J$6:$J$144,MATCH(C58,'标准新手流程（非R）'!$P$6:$P$144,1))</f>
        <v>32.666666666666664</v>
      </c>
      <c r="E58" s="1">
        <f t="shared" si="0"/>
        <v>117</v>
      </c>
      <c r="F58" s="1" t="str">
        <f>IF(ISNA(VLOOKUP(B58,'标准新手流程（非R）'!$G$5:$U$144,15,0)),"",VLOOKUP(B58,'标准新手流程（非R）'!$G$5:$U$144,15,0))</f>
        <v/>
      </c>
      <c r="H58">
        <f>VLOOKUP(C58,[1]人物经验!$A$23:$I$573,9,0)</f>
        <v>46</v>
      </c>
    </row>
    <row r="59" spans="1:8" x14ac:dyDescent="0.15">
      <c r="A59" s="1" t="s">
        <v>369</v>
      </c>
      <c r="B59" s="1" t="s">
        <v>286</v>
      </c>
      <c r="C59" s="1">
        <v>118</v>
      </c>
      <c r="D59" s="1">
        <f>INDEX('标准新手流程（非R）'!$J$6:$J$144,MATCH(C59,'标准新手流程（非R）'!$P$6:$P$144,1))</f>
        <v>33.666666666666664</v>
      </c>
      <c r="E59" s="1">
        <f t="shared" si="0"/>
        <v>118</v>
      </c>
      <c r="F59" s="1" t="str">
        <f>IF(ISNA(VLOOKUP(B59,'标准新手流程（非R）'!$G$5:$U$144,15,0)),"",VLOOKUP(B59,'标准新手流程（非R）'!$G$5:$U$144,15,0))</f>
        <v/>
      </c>
      <c r="H59">
        <f>VLOOKUP(C59,[1]人物经验!$A$23:$I$573,9,0)</f>
        <v>47</v>
      </c>
    </row>
    <row r="60" spans="1:8" x14ac:dyDescent="0.15">
      <c r="A60" s="1" t="s">
        <v>369</v>
      </c>
      <c r="B60" s="1" t="s">
        <v>287</v>
      </c>
      <c r="C60" s="1">
        <v>119</v>
      </c>
      <c r="D60" s="1">
        <f>INDEX('标准新手流程（非R）'!$J$6:$J$144,MATCH(C60,'标准新手流程（非R）'!$P$6:$P$144,1))</f>
        <v>33.666666666666664</v>
      </c>
      <c r="E60" s="1">
        <f t="shared" si="0"/>
        <v>119</v>
      </c>
      <c r="F60" s="1" t="str">
        <f>IF(ISNA(VLOOKUP(B60,'标准新手流程（非R）'!$G$5:$U$144,15,0)),"",VLOOKUP(B60,'标准新手流程（非R）'!$G$5:$U$144,15,0))</f>
        <v/>
      </c>
      <c r="H60">
        <f>VLOOKUP(C60,[1]人物经验!$A$23:$I$573,9,0)</f>
        <v>47</v>
      </c>
    </row>
    <row r="61" spans="1:8" x14ac:dyDescent="0.15">
      <c r="A61" s="1" t="s">
        <v>369</v>
      </c>
      <c r="B61" s="1" t="s">
        <v>288</v>
      </c>
      <c r="C61" s="1">
        <v>120</v>
      </c>
      <c r="D61" s="1">
        <f>INDEX('标准新手流程（非R）'!$J$6:$J$144,MATCH(C61,'标准新手流程（非R）'!$P$6:$P$144,1))</f>
        <v>34.75</v>
      </c>
      <c r="E61" s="1">
        <f t="shared" si="0"/>
        <v>120</v>
      </c>
      <c r="F61" s="1" t="str">
        <f>IF(ISNA(VLOOKUP(B61,'标准新手流程（非R）'!$G$5:$U$144,15,0)),"",VLOOKUP(B61,'标准新手流程（非R）'!$G$5:$U$144,15,0))</f>
        <v/>
      </c>
      <c r="H61">
        <f>VLOOKUP(C61,[1]人物经验!$A$23:$I$573,9,0)</f>
        <v>48</v>
      </c>
    </row>
    <row r="62" spans="1:8" x14ac:dyDescent="0.15">
      <c r="A62" s="1" t="s">
        <v>369</v>
      </c>
      <c r="B62" s="1" t="s">
        <v>289</v>
      </c>
      <c r="C62" s="1">
        <v>121</v>
      </c>
      <c r="D62" s="1">
        <f>INDEX('标准新手流程（非R）'!$J$6:$J$144,MATCH(C62,'标准新手流程（非R）'!$P$6:$P$144,1))</f>
        <v>34.75</v>
      </c>
      <c r="E62" s="1">
        <f t="shared" si="0"/>
        <v>121</v>
      </c>
      <c r="F62" s="1" t="str">
        <f>IF(ISNA(VLOOKUP(B62,'标准新手流程（非R）'!$G$5:$U$144,15,0)),"",VLOOKUP(B62,'标准新手流程（非R）'!$G$5:$U$144,15,0))</f>
        <v/>
      </c>
      <c r="H62">
        <f>VLOOKUP(C62,[1]人物经验!$A$23:$I$573,9,0)</f>
        <v>49</v>
      </c>
    </row>
    <row r="63" spans="1:8" x14ac:dyDescent="0.15">
      <c r="A63" s="1" t="s">
        <v>369</v>
      </c>
      <c r="B63" s="1" t="s">
        <v>290</v>
      </c>
      <c r="C63" s="1">
        <v>122</v>
      </c>
      <c r="D63" s="1">
        <f>INDEX('标准新手流程（非R）'!$J$6:$J$144,MATCH(C63,'标准新手流程（非R）'!$P$6:$P$144,1))</f>
        <v>35.75</v>
      </c>
      <c r="E63" s="1">
        <f t="shared" si="0"/>
        <v>122</v>
      </c>
      <c r="F63" s="1" t="str">
        <f>IF(ISNA(VLOOKUP(B63,'标准新手流程（非R）'!$G$5:$U$144,15,0)),"",VLOOKUP(B63,'标准新手流程（非R）'!$G$5:$U$144,15,0))</f>
        <v/>
      </c>
      <c r="H63">
        <f>VLOOKUP(C63,[1]人物经验!$A$23:$I$573,9,0)</f>
        <v>50</v>
      </c>
    </row>
    <row r="64" spans="1:8" x14ac:dyDescent="0.15">
      <c r="A64" s="1" t="s">
        <v>369</v>
      </c>
      <c r="B64" s="1" t="s">
        <v>291</v>
      </c>
      <c r="C64" s="1">
        <v>123</v>
      </c>
      <c r="D64" s="1">
        <f>INDEX('标准新手流程（非R）'!$J$6:$J$144,MATCH(C64,'标准新手流程（非R）'!$P$6:$P$144,1))</f>
        <v>35.75</v>
      </c>
      <c r="E64" s="1">
        <f t="shared" si="0"/>
        <v>123</v>
      </c>
      <c r="F64" s="1" t="str">
        <f>IF(ISNA(VLOOKUP(B64,'标准新手流程（非R）'!$G$5:$U$144,15,0)),"",VLOOKUP(B64,'标准新手流程（非R）'!$G$5:$U$144,15,0))</f>
        <v/>
      </c>
      <c r="H64">
        <f>VLOOKUP(C64,[1]人物经验!$A$23:$I$573,9,0)</f>
        <v>51</v>
      </c>
    </row>
    <row r="65" spans="1:8" x14ac:dyDescent="0.15">
      <c r="A65" s="1" t="s">
        <v>369</v>
      </c>
      <c r="B65" s="1" t="s">
        <v>292</v>
      </c>
      <c r="C65" s="1">
        <v>124</v>
      </c>
      <c r="D65" s="1">
        <f>INDEX('标准新手流程（非R）'!$J$6:$J$144,MATCH(C65,'标准新手流程（非R）'!$P$6:$P$144,1))</f>
        <v>36.75</v>
      </c>
      <c r="E65" s="1">
        <f t="shared" si="0"/>
        <v>124</v>
      </c>
      <c r="F65" s="1" t="str">
        <f>IF(ISNA(VLOOKUP(B65,'标准新手流程（非R）'!$G$5:$U$144,15,0)),"",VLOOKUP(B65,'标准新手流程（非R）'!$G$5:$U$144,15,0))</f>
        <v/>
      </c>
      <c r="H65">
        <f>VLOOKUP(C65,[1]人物经验!$A$23:$I$573,9,0)</f>
        <v>51</v>
      </c>
    </row>
    <row r="66" spans="1:8" x14ac:dyDescent="0.15">
      <c r="A66" s="1" t="s">
        <v>369</v>
      </c>
      <c r="B66" s="1" t="s">
        <v>293</v>
      </c>
      <c r="C66" s="1">
        <v>125</v>
      </c>
      <c r="D66" s="1">
        <f>INDEX('标准新手流程（非R）'!$J$6:$J$144,MATCH(C66,'标准新手流程（非R）'!$P$6:$P$144,1))</f>
        <v>36.75</v>
      </c>
      <c r="E66" s="1">
        <f t="shared" si="0"/>
        <v>125</v>
      </c>
      <c r="F66" s="1" t="str">
        <f>IF(ISNA(VLOOKUP(B66,'标准新手流程（非R）'!$G$5:$U$144,15,0)),"",VLOOKUP(B66,'标准新手流程（非R）'!$G$5:$U$144,15,0))</f>
        <v/>
      </c>
      <c r="H66">
        <f>VLOOKUP(C66,[1]人物经验!$A$23:$I$573,9,0)</f>
        <v>52</v>
      </c>
    </row>
    <row r="67" spans="1:8" x14ac:dyDescent="0.15">
      <c r="A67" s="1" t="s">
        <v>369</v>
      </c>
      <c r="B67" s="1" t="s">
        <v>294</v>
      </c>
      <c r="C67" s="1">
        <v>126</v>
      </c>
      <c r="D67" s="1">
        <f>INDEX('标准新手流程（非R）'!$J$6:$J$144,MATCH(C67,'标准新手流程（非R）'!$P$6:$P$144,1))</f>
        <v>37.75</v>
      </c>
      <c r="E67" s="1">
        <f t="shared" si="0"/>
        <v>126</v>
      </c>
      <c r="F67" s="1" t="str">
        <f>IF(ISNA(VLOOKUP(B67,'标准新手流程（非R）'!$G$5:$U$144,15,0)),"",VLOOKUP(B67,'标准新手流程（非R）'!$G$5:$U$144,15,0))</f>
        <v/>
      </c>
      <c r="H67">
        <f>VLOOKUP(C67,[1]人物经验!$A$23:$I$573,9,0)</f>
        <v>53</v>
      </c>
    </row>
    <row r="68" spans="1:8" x14ac:dyDescent="0.15">
      <c r="A68" s="1" t="s">
        <v>369</v>
      </c>
      <c r="B68" s="1" t="s">
        <v>295</v>
      </c>
      <c r="C68" s="1">
        <v>127</v>
      </c>
      <c r="D68" s="1">
        <f>INDEX('标准新手流程（非R）'!$J$6:$J$144,MATCH(C68,'标准新手流程（非R）'!$P$6:$P$144,1))</f>
        <v>37.75</v>
      </c>
      <c r="E68" s="1">
        <f t="shared" si="0"/>
        <v>127</v>
      </c>
      <c r="F68" s="1" t="str">
        <f>IF(ISNA(VLOOKUP(B68,'标准新手流程（非R）'!$G$5:$U$144,15,0)),"",VLOOKUP(B68,'标准新手流程（非R）'!$G$5:$U$144,15,0))</f>
        <v/>
      </c>
      <c r="H68">
        <f>VLOOKUP(C68,[1]人物经验!$A$23:$I$573,9,0)</f>
        <v>54</v>
      </c>
    </row>
    <row r="69" spans="1:8" x14ac:dyDescent="0.15">
      <c r="A69" s="1" t="s">
        <v>369</v>
      </c>
      <c r="B69" s="1" t="s">
        <v>296</v>
      </c>
      <c r="C69" s="1">
        <v>128</v>
      </c>
      <c r="D69" s="1">
        <f>INDEX('标准新手流程（非R）'!$J$6:$J$144,MATCH(C69,'标准新手流程（非R）'!$P$6:$P$144,1))</f>
        <v>38.75</v>
      </c>
      <c r="E69" s="1">
        <f t="shared" si="0"/>
        <v>128</v>
      </c>
      <c r="F69" s="1" t="str">
        <f>IF(ISNA(VLOOKUP(B69,'标准新手流程（非R）'!$G$5:$U$144,15,0)),"",VLOOKUP(B69,'标准新手流程（非R）'!$G$5:$U$144,15,0))</f>
        <v/>
      </c>
      <c r="H69">
        <f>VLOOKUP(C69,[1]人物经验!$A$23:$I$573,9,0)</f>
        <v>55</v>
      </c>
    </row>
    <row r="70" spans="1:8" x14ac:dyDescent="0.15">
      <c r="A70" s="1" t="s">
        <v>369</v>
      </c>
      <c r="B70" s="1" t="s">
        <v>297</v>
      </c>
      <c r="C70" s="1">
        <v>129</v>
      </c>
      <c r="D70" s="1">
        <f>INDEX('标准新手流程（非R）'!$J$6:$J$144,MATCH(C70,'标准新手流程（非R）'!$P$6:$P$144,1))</f>
        <v>38.75</v>
      </c>
      <c r="E70" s="1">
        <f t="shared" si="0"/>
        <v>129</v>
      </c>
      <c r="F70" s="1" t="str">
        <f>IF(ISNA(VLOOKUP(B70,'标准新手流程（非R）'!$G$5:$U$144,15,0)),"",VLOOKUP(B70,'标准新手流程（非R）'!$G$5:$U$144,15,0))</f>
        <v/>
      </c>
      <c r="H70">
        <f>VLOOKUP(C70,[1]人物经验!$A$23:$I$573,9,0)</f>
        <v>56</v>
      </c>
    </row>
    <row r="71" spans="1:8" x14ac:dyDescent="0.15">
      <c r="A71" s="1" t="s">
        <v>369</v>
      </c>
      <c r="B71" s="1" t="s">
        <v>298</v>
      </c>
      <c r="C71" s="1">
        <v>130</v>
      </c>
      <c r="D71" s="1">
        <f>INDEX('标准新手流程（非R）'!$J$6:$J$144,MATCH(C71,'标准新手流程（非R）'!$P$6:$P$144,1))</f>
        <v>39.833333333333336</v>
      </c>
      <c r="E71" s="1">
        <f t="shared" si="0"/>
        <v>130</v>
      </c>
      <c r="F71" s="1" t="str">
        <f>IF(ISNA(VLOOKUP(B71,'标准新手流程（非R）'!$G$5:$U$144,15,0)),"",VLOOKUP(B71,'标准新手流程（非R）'!$G$5:$U$144,15,0))</f>
        <v/>
      </c>
      <c r="H71">
        <f>VLOOKUP(C71,[1]人物经验!$A$23:$I$573,9,0)</f>
        <v>57</v>
      </c>
    </row>
    <row r="72" spans="1:8" x14ac:dyDescent="0.15">
      <c r="A72" s="1" t="s">
        <v>369</v>
      </c>
      <c r="B72" s="1" t="s">
        <v>299</v>
      </c>
      <c r="C72" s="1">
        <v>131</v>
      </c>
      <c r="D72" s="1">
        <f>INDEX('标准新手流程（非R）'!$J$6:$J$144,MATCH(C72,'标准新手流程（非R）'!$P$6:$P$144,1))</f>
        <v>39.833333333333336</v>
      </c>
      <c r="E72" s="1">
        <f t="shared" ref="E72:E135" si="1">IF(D72&lt;15,C72-INT(15-D72),C72)</f>
        <v>131</v>
      </c>
      <c r="F72" s="1" t="str">
        <f>IF(ISNA(VLOOKUP(B72,'标准新手流程（非R）'!$G$5:$U$144,15,0)),"",VLOOKUP(B72,'标准新手流程（非R）'!$G$5:$U$144,15,0))</f>
        <v/>
      </c>
      <c r="H72">
        <f>VLOOKUP(C72,[1]人物经验!$A$23:$I$573,9,0)</f>
        <v>58</v>
      </c>
    </row>
    <row r="73" spans="1:8" x14ac:dyDescent="0.15">
      <c r="A73" s="1" t="s">
        <v>369</v>
      </c>
      <c r="B73" s="1" t="s">
        <v>300</v>
      </c>
      <c r="C73" s="1">
        <v>132</v>
      </c>
      <c r="D73" s="1">
        <f>INDEX('标准新手流程（非R）'!$J$6:$J$144,MATCH(C73,'标准新手流程（非R）'!$P$6:$P$144,1))</f>
        <v>39.833333333333336</v>
      </c>
      <c r="E73" s="1">
        <f t="shared" si="1"/>
        <v>132</v>
      </c>
      <c r="F73" s="1" t="str">
        <f>IF(ISNA(VLOOKUP(B73,'标准新手流程（非R）'!$G$5:$U$144,15,0)),"",VLOOKUP(B73,'标准新手流程（非R）'!$G$5:$U$144,15,0))</f>
        <v/>
      </c>
      <c r="H73">
        <f>VLOOKUP(C73,[1]人物经验!$A$23:$I$573,9,0)</f>
        <v>59</v>
      </c>
    </row>
    <row r="74" spans="1:8" x14ac:dyDescent="0.15">
      <c r="A74" s="1" t="s">
        <v>369</v>
      </c>
      <c r="B74" s="1" t="s">
        <v>301</v>
      </c>
      <c r="C74" s="1">
        <v>133</v>
      </c>
      <c r="D74" s="1">
        <f>INDEX('标准新手流程（非R）'!$J$6:$J$144,MATCH(C74,'标准新手流程（非R）'!$P$6:$P$144,1))</f>
        <v>39.833333333333336</v>
      </c>
      <c r="E74" s="1">
        <f t="shared" si="1"/>
        <v>133</v>
      </c>
      <c r="F74" s="1" t="str">
        <f>IF(ISNA(VLOOKUP(B74,'标准新手流程（非R）'!$G$5:$U$144,15,0)),"",VLOOKUP(B74,'标准新手流程（非R）'!$G$5:$U$144,15,0))</f>
        <v/>
      </c>
      <c r="H74">
        <f>VLOOKUP(C74,[1]人物经验!$A$23:$I$573,9,0)</f>
        <v>60</v>
      </c>
    </row>
    <row r="75" spans="1:8" x14ac:dyDescent="0.15">
      <c r="A75" s="1" t="s">
        <v>369</v>
      </c>
      <c r="B75" s="1" t="s">
        <v>302</v>
      </c>
      <c r="C75" s="1">
        <v>134</v>
      </c>
      <c r="D75" s="1">
        <f>INDEX('标准新手流程（非R）'!$J$6:$J$144,MATCH(C75,'标准新手流程（非R）'!$P$6:$P$144,1))</f>
        <v>39.833333333333336</v>
      </c>
      <c r="E75" s="1">
        <f t="shared" si="1"/>
        <v>134</v>
      </c>
      <c r="F75" s="1" t="str">
        <f>IF(ISNA(VLOOKUP(B75,'标准新手流程（非R）'!$G$5:$U$144,15,0)),"",VLOOKUP(B75,'标准新手流程（非R）'!$G$5:$U$144,15,0))</f>
        <v/>
      </c>
      <c r="H75">
        <f>VLOOKUP(C75,[1]人物经验!$A$23:$I$573,9,0)</f>
        <v>61</v>
      </c>
    </row>
    <row r="76" spans="1:8" x14ac:dyDescent="0.15">
      <c r="A76" s="1" t="s">
        <v>369</v>
      </c>
      <c r="B76" s="1" t="s">
        <v>303</v>
      </c>
      <c r="C76" s="1">
        <v>135</v>
      </c>
      <c r="D76" s="1">
        <f>INDEX('标准新手流程（非R）'!$J$6:$J$144,MATCH(C76,'标准新手流程（非R）'!$P$6:$P$144,1))</f>
        <v>44.833333333333336</v>
      </c>
      <c r="E76" s="1">
        <f t="shared" si="1"/>
        <v>135</v>
      </c>
      <c r="F76" s="1" t="str">
        <f>IF(ISNA(VLOOKUP(B76,'标准新手流程（非R）'!$G$5:$U$144,15,0)),"",VLOOKUP(B76,'标准新手流程（非R）'!$G$5:$U$144,15,0))</f>
        <v/>
      </c>
      <c r="H76">
        <f>VLOOKUP(C76,[1]人物经验!$A$23:$I$573,9,0)</f>
        <v>62</v>
      </c>
    </row>
    <row r="77" spans="1:8" x14ac:dyDescent="0.15">
      <c r="A77" s="1" t="s">
        <v>369</v>
      </c>
      <c r="B77" s="1" t="s">
        <v>304</v>
      </c>
      <c r="C77" s="1">
        <v>136</v>
      </c>
      <c r="D77" s="1">
        <f>INDEX('标准新手流程（非R）'!$J$6:$J$144,MATCH(C77,'标准新手流程（非R）'!$P$6:$P$144,1))</f>
        <v>44.833333333333336</v>
      </c>
      <c r="E77" s="1">
        <f t="shared" si="1"/>
        <v>136</v>
      </c>
      <c r="F77" s="1" t="str">
        <f>IF(ISNA(VLOOKUP(B77,'标准新手流程（非R）'!$G$5:$U$144,15,0)),"",VLOOKUP(B77,'标准新手流程（非R）'!$G$5:$U$144,15,0))</f>
        <v/>
      </c>
      <c r="H77">
        <f>VLOOKUP(C77,[1]人物经验!$A$23:$I$573,9,0)</f>
        <v>63</v>
      </c>
    </row>
    <row r="78" spans="1:8" x14ac:dyDescent="0.15">
      <c r="A78" s="1" t="s">
        <v>369</v>
      </c>
      <c r="B78" s="1" t="s">
        <v>305</v>
      </c>
      <c r="C78" s="1">
        <v>137</v>
      </c>
      <c r="D78" s="1">
        <f>INDEX('标准新手流程（非R）'!$J$6:$J$144,MATCH(C78,'标准新手流程（非R）'!$P$6:$P$144,1))</f>
        <v>44.833333333333336</v>
      </c>
      <c r="E78" s="1">
        <f t="shared" si="1"/>
        <v>137</v>
      </c>
      <c r="F78" s="1" t="str">
        <f>IF(ISNA(VLOOKUP(B78,'标准新手流程（非R）'!$G$5:$U$144,15,0)),"",VLOOKUP(B78,'标准新手流程（非R）'!$G$5:$U$144,15,0))</f>
        <v/>
      </c>
      <c r="H78">
        <f>VLOOKUP(C78,[1]人物经验!$A$23:$I$573,9,0)</f>
        <v>64</v>
      </c>
    </row>
    <row r="79" spans="1:8" x14ac:dyDescent="0.15">
      <c r="A79" s="1" t="s">
        <v>369</v>
      </c>
      <c r="B79" s="1" t="s">
        <v>306</v>
      </c>
      <c r="C79" s="1">
        <v>138</v>
      </c>
      <c r="D79" s="1">
        <f>INDEX('标准新手流程（非R）'!$J$6:$J$144,MATCH(C79,'标准新手流程（非R）'!$P$6:$P$144,1))</f>
        <v>44.833333333333336</v>
      </c>
      <c r="E79" s="1">
        <f t="shared" si="1"/>
        <v>138</v>
      </c>
      <c r="F79" s="1" t="str">
        <f>IF(ISNA(VLOOKUP(B79,'标准新手流程（非R）'!$G$5:$U$144,15,0)),"",VLOOKUP(B79,'标准新手流程（非R）'!$G$5:$U$144,15,0))</f>
        <v/>
      </c>
      <c r="H79">
        <f>VLOOKUP(C79,[1]人物经验!$A$23:$I$573,9,0)</f>
        <v>65</v>
      </c>
    </row>
    <row r="80" spans="1:8" x14ac:dyDescent="0.15">
      <c r="A80" s="1" t="s">
        <v>369</v>
      </c>
      <c r="B80" s="1" t="s">
        <v>307</v>
      </c>
      <c r="C80" s="1">
        <v>139</v>
      </c>
      <c r="D80" s="1">
        <f>INDEX('标准新手流程（非R）'!$J$6:$J$144,MATCH(C80,'标准新手流程（非R）'!$P$6:$P$144,1))</f>
        <v>44.833333333333336</v>
      </c>
      <c r="E80" s="1">
        <f t="shared" si="1"/>
        <v>139</v>
      </c>
      <c r="F80" s="1" t="str">
        <f>IF(ISNA(VLOOKUP(B80,'标准新手流程（非R）'!$G$5:$U$144,15,0)),"",VLOOKUP(B80,'标准新手流程（非R）'!$G$5:$U$144,15,0))</f>
        <v/>
      </c>
      <c r="H80">
        <f>VLOOKUP(C80,[1]人物经验!$A$23:$I$573,9,0)</f>
        <v>66</v>
      </c>
    </row>
    <row r="81" spans="1:8" x14ac:dyDescent="0.15">
      <c r="A81" s="1" t="s">
        <v>369</v>
      </c>
      <c r="B81" s="1" t="s">
        <v>308</v>
      </c>
      <c r="C81" s="1">
        <v>140</v>
      </c>
      <c r="D81" s="1">
        <f>INDEX('标准新手流程（非R）'!$J$6:$J$144,MATCH(C81,'标准新手流程（非R）'!$P$6:$P$144,1))</f>
        <v>44.833333333333336</v>
      </c>
      <c r="E81" s="1">
        <f t="shared" si="1"/>
        <v>140</v>
      </c>
      <c r="F81" s="1" t="str">
        <f>IF(ISNA(VLOOKUP(B81,'标准新手流程（非R）'!$G$5:$U$144,15,0)),"",VLOOKUP(B81,'标准新手流程（非R）'!$G$5:$U$144,15,0))</f>
        <v/>
      </c>
      <c r="H81">
        <f>VLOOKUP(C81,[1]人物经验!$A$23:$I$573,9,0)</f>
        <v>67</v>
      </c>
    </row>
    <row r="82" spans="1:8" x14ac:dyDescent="0.15">
      <c r="A82" s="1" t="s">
        <v>369</v>
      </c>
      <c r="B82" s="1" t="s">
        <v>309</v>
      </c>
      <c r="C82" s="1">
        <v>141</v>
      </c>
      <c r="D82" s="1">
        <f>INDEX('标准新手流程（非R）'!$J$6:$J$144,MATCH(C82,'标准新手流程（非R）'!$P$6:$P$144,1))</f>
        <v>44.833333333333336</v>
      </c>
      <c r="E82" s="1">
        <f t="shared" si="1"/>
        <v>141</v>
      </c>
      <c r="F82" s="1" t="str">
        <f>IF(ISNA(VLOOKUP(B82,'标准新手流程（非R）'!$G$5:$U$144,15,0)),"",VLOOKUP(B82,'标准新手流程（非R）'!$G$5:$U$144,15,0))</f>
        <v/>
      </c>
      <c r="H82">
        <f>VLOOKUP(C82,[1]人物经验!$A$23:$I$573,9,0)</f>
        <v>68</v>
      </c>
    </row>
    <row r="83" spans="1:8" x14ac:dyDescent="0.15">
      <c r="A83" s="1" t="s">
        <v>369</v>
      </c>
      <c r="B83" s="1" t="s">
        <v>310</v>
      </c>
      <c r="C83" s="1">
        <v>142</v>
      </c>
      <c r="D83" s="1">
        <f>INDEX('标准新手流程（非R）'!$J$6:$J$144,MATCH(C83,'标准新手流程（非R）'!$P$6:$P$144,1))</f>
        <v>44.833333333333336</v>
      </c>
      <c r="E83" s="1">
        <f t="shared" si="1"/>
        <v>142</v>
      </c>
      <c r="F83" s="1" t="str">
        <f>IF(ISNA(VLOOKUP(B83,'标准新手流程（非R）'!$G$5:$U$144,15,0)),"",VLOOKUP(B83,'标准新手流程（非R）'!$G$5:$U$144,15,0))</f>
        <v/>
      </c>
      <c r="H83">
        <f>VLOOKUP(C83,[1]人物经验!$A$23:$I$573,9,0)</f>
        <v>69</v>
      </c>
    </row>
    <row r="84" spans="1:8" x14ac:dyDescent="0.15">
      <c r="A84" s="1" t="s">
        <v>369</v>
      </c>
      <c r="B84" s="1" t="s">
        <v>311</v>
      </c>
      <c r="C84" s="1">
        <v>143</v>
      </c>
      <c r="D84" s="1">
        <f>INDEX('标准新手流程（非R）'!$J$6:$J$144,MATCH(C84,'标准新手流程（非R）'!$P$6:$P$144,1))</f>
        <v>44.833333333333336</v>
      </c>
      <c r="E84" s="1">
        <f t="shared" si="1"/>
        <v>143</v>
      </c>
      <c r="F84" s="1" t="str">
        <f>IF(ISNA(VLOOKUP(B84,'标准新手流程（非R）'!$G$5:$U$144,15,0)),"",VLOOKUP(B84,'标准新手流程（非R）'!$G$5:$U$144,15,0))</f>
        <v/>
      </c>
      <c r="H84">
        <f>VLOOKUP(C84,[1]人物经验!$A$23:$I$573,9,0)</f>
        <v>70</v>
      </c>
    </row>
    <row r="85" spans="1:8" x14ac:dyDescent="0.15">
      <c r="A85" s="1" t="s">
        <v>369</v>
      </c>
      <c r="B85" s="1" t="s">
        <v>312</v>
      </c>
      <c r="C85" s="1">
        <v>144</v>
      </c>
      <c r="D85" s="1">
        <f>INDEX('标准新手流程（非R）'!$J$6:$J$144,MATCH(C85,'标准新手流程（非R）'!$P$6:$P$144,1))</f>
        <v>44.833333333333336</v>
      </c>
      <c r="E85" s="1">
        <f t="shared" si="1"/>
        <v>144</v>
      </c>
      <c r="F85" s="1" t="str">
        <f>IF(ISNA(VLOOKUP(B85,'标准新手流程（非R）'!$G$5:$U$144,15,0)),"",VLOOKUP(B85,'标准新手流程（非R）'!$G$5:$U$144,15,0))</f>
        <v/>
      </c>
      <c r="H85">
        <f>VLOOKUP(C85,[1]人物经验!$A$23:$I$573,9,0)</f>
        <v>71</v>
      </c>
    </row>
    <row r="86" spans="1:8" x14ac:dyDescent="0.15">
      <c r="A86" s="1" t="s">
        <v>369</v>
      </c>
      <c r="B86" s="1" t="s">
        <v>313</v>
      </c>
      <c r="C86" s="1">
        <v>145</v>
      </c>
      <c r="D86" s="1">
        <f>INDEX('标准新手流程（非R）'!$J$6:$J$144,MATCH(C86,'标准新手流程（非R）'!$P$6:$P$144,1))</f>
        <v>44.833333333333336</v>
      </c>
      <c r="E86" s="1">
        <f t="shared" si="1"/>
        <v>145</v>
      </c>
      <c r="F86" s="1" t="str">
        <f>IF(ISNA(VLOOKUP(B86,'标准新手流程（非R）'!$G$5:$U$144,15,0)),"",VLOOKUP(B86,'标准新手流程（非R）'!$G$5:$U$144,15,0))</f>
        <v/>
      </c>
      <c r="H86">
        <f>VLOOKUP(C86,[1]人物经验!$A$23:$I$573,9,0)</f>
        <v>73</v>
      </c>
    </row>
    <row r="87" spans="1:8" x14ac:dyDescent="0.15">
      <c r="A87" s="1" t="s">
        <v>369</v>
      </c>
      <c r="B87" s="1" t="s">
        <v>314</v>
      </c>
      <c r="C87" s="1">
        <v>146</v>
      </c>
      <c r="D87" s="1">
        <f>INDEX('标准新手流程（非R）'!$J$6:$J$144,MATCH(C87,'标准新手流程（非R）'!$P$6:$P$144,1))</f>
        <v>44.833333333333336</v>
      </c>
      <c r="E87" s="1">
        <f t="shared" si="1"/>
        <v>146</v>
      </c>
      <c r="F87" s="1" t="str">
        <f>IF(ISNA(VLOOKUP(B87,'标准新手流程（非R）'!$G$5:$U$144,15,0)),"",VLOOKUP(B87,'标准新手流程（非R）'!$G$5:$U$144,15,0))</f>
        <v/>
      </c>
      <c r="H87">
        <f>VLOOKUP(C87,[1]人物经验!$A$23:$I$573,9,0)</f>
        <v>74</v>
      </c>
    </row>
    <row r="88" spans="1:8" x14ac:dyDescent="0.15">
      <c r="A88" s="1" t="s">
        <v>369</v>
      </c>
      <c r="B88" s="1" t="s">
        <v>315</v>
      </c>
      <c r="C88" s="1">
        <v>147</v>
      </c>
      <c r="D88" s="1">
        <f>INDEX('标准新手流程（非R）'!$J$6:$J$144,MATCH(C88,'标准新手流程（非R）'!$P$6:$P$144,1))</f>
        <v>44.833333333333336</v>
      </c>
      <c r="E88" s="1">
        <f t="shared" si="1"/>
        <v>147</v>
      </c>
      <c r="F88" s="1" t="str">
        <f>IF(ISNA(VLOOKUP(B88,'标准新手流程（非R）'!$G$5:$U$144,15,0)),"",VLOOKUP(B88,'标准新手流程（非R）'!$G$5:$U$144,15,0))</f>
        <v/>
      </c>
      <c r="H88">
        <f>VLOOKUP(C88,[1]人物经验!$A$23:$I$573,9,0)</f>
        <v>75</v>
      </c>
    </row>
    <row r="89" spans="1:8" x14ac:dyDescent="0.15">
      <c r="A89" s="1" t="s">
        <v>369</v>
      </c>
      <c r="B89" s="1" t="s">
        <v>316</v>
      </c>
      <c r="C89" s="1">
        <v>148</v>
      </c>
      <c r="D89" s="1">
        <f>INDEX('标准新手流程（非R）'!$J$6:$J$144,MATCH(C89,'标准新手流程（非R）'!$P$6:$P$144,1))</f>
        <v>44.833333333333336</v>
      </c>
      <c r="E89" s="1">
        <f t="shared" si="1"/>
        <v>148</v>
      </c>
      <c r="F89" s="1" t="str">
        <f>IF(ISNA(VLOOKUP(B89,'标准新手流程（非R）'!$G$5:$U$144,15,0)),"",VLOOKUP(B89,'标准新手流程（非R）'!$G$5:$U$144,15,0))</f>
        <v/>
      </c>
      <c r="H89">
        <f>VLOOKUP(C89,[1]人物经验!$A$23:$I$573,9,0)</f>
        <v>76</v>
      </c>
    </row>
    <row r="90" spans="1:8" x14ac:dyDescent="0.15">
      <c r="A90" s="1" t="s">
        <v>369</v>
      </c>
      <c r="B90" s="1" t="s">
        <v>317</v>
      </c>
      <c r="C90" s="1">
        <v>149</v>
      </c>
      <c r="D90" s="1">
        <f>INDEX('标准新手流程（非R）'!$J$6:$J$144,MATCH(C90,'标准新手流程（非R）'!$P$6:$P$144,1))</f>
        <v>44.833333333333336</v>
      </c>
      <c r="E90" s="1">
        <f t="shared" si="1"/>
        <v>149</v>
      </c>
      <c r="F90" s="1" t="str">
        <f>IF(ISNA(VLOOKUP(B90,'标准新手流程（非R）'!$G$5:$U$144,15,0)),"",VLOOKUP(B90,'标准新手流程（非R）'!$G$5:$U$144,15,0))</f>
        <v/>
      </c>
      <c r="H90">
        <f>VLOOKUP(C90,[1]人物经验!$A$23:$I$573,9,0)</f>
        <v>77</v>
      </c>
    </row>
    <row r="91" spans="1:8" x14ac:dyDescent="0.15">
      <c r="A91" s="1" t="s">
        <v>369</v>
      </c>
      <c r="B91" s="1" t="s">
        <v>318</v>
      </c>
      <c r="C91" s="1">
        <v>150</v>
      </c>
      <c r="D91" s="1">
        <f>INDEX('标准新手流程（非R）'!$J$6:$J$144,MATCH(C91,'标准新手流程（非R）'!$P$6:$P$144,1))</f>
        <v>44.833333333333336</v>
      </c>
      <c r="E91" s="1">
        <f t="shared" si="1"/>
        <v>150</v>
      </c>
      <c r="F91" s="1" t="str">
        <f>IF(ISNA(VLOOKUP(B91,'标准新手流程（非R）'!$G$5:$U$144,15,0)),"",VLOOKUP(B91,'标准新手流程（非R）'!$G$5:$U$144,15,0))</f>
        <v/>
      </c>
      <c r="H91">
        <f>VLOOKUP(C91,[1]人物经验!$A$23:$I$573,9,0)</f>
        <v>79</v>
      </c>
    </row>
    <row r="92" spans="1:8" x14ac:dyDescent="0.15">
      <c r="A92" s="1" t="s">
        <v>369</v>
      </c>
      <c r="B92" s="1" t="s">
        <v>319</v>
      </c>
      <c r="C92" s="1">
        <v>151</v>
      </c>
      <c r="D92" s="1">
        <f>INDEX('标准新手流程（非R）'!$J$6:$J$144,MATCH(C92,'标准新手流程（非R）'!$P$6:$P$144,1))</f>
        <v>44.833333333333336</v>
      </c>
      <c r="E92" s="1">
        <f t="shared" si="1"/>
        <v>151</v>
      </c>
      <c r="F92" s="1" t="str">
        <f>IF(ISNA(VLOOKUP(B92,'标准新手流程（非R）'!$G$5:$U$144,15,0)),"",VLOOKUP(B92,'标准新手流程（非R）'!$G$5:$U$144,15,0))</f>
        <v/>
      </c>
      <c r="H92">
        <f>VLOOKUP(C92,[1]人物经验!$A$23:$I$573,9,0)</f>
        <v>80</v>
      </c>
    </row>
    <row r="93" spans="1:8" x14ac:dyDescent="0.15">
      <c r="A93" s="1" t="s">
        <v>369</v>
      </c>
      <c r="B93" s="1" t="s">
        <v>320</v>
      </c>
      <c r="C93" s="1">
        <v>152</v>
      </c>
      <c r="D93" s="1">
        <f>INDEX('标准新手流程（非R）'!$J$6:$J$144,MATCH(C93,'标准新手流程（非R）'!$P$6:$P$144,1))</f>
        <v>44.833333333333336</v>
      </c>
      <c r="E93" s="1">
        <f t="shared" si="1"/>
        <v>152</v>
      </c>
      <c r="F93" s="1" t="str">
        <f>IF(ISNA(VLOOKUP(B93,'标准新手流程（非R）'!$G$5:$U$144,15,0)),"",VLOOKUP(B93,'标准新手流程（非R）'!$G$5:$U$144,15,0))</f>
        <v/>
      </c>
      <c r="H93">
        <f>VLOOKUP(C93,[1]人物经验!$A$23:$I$573,9,0)</f>
        <v>81</v>
      </c>
    </row>
    <row r="94" spans="1:8" x14ac:dyDescent="0.15">
      <c r="A94" s="1" t="s">
        <v>369</v>
      </c>
      <c r="B94" s="1" t="s">
        <v>321</v>
      </c>
      <c r="C94" s="1">
        <v>153</v>
      </c>
      <c r="D94" s="1">
        <f>INDEX('标准新手流程（非R）'!$J$6:$J$144,MATCH(C94,'标准新手流程（非R）'!$P$6:$P$144,1))</f>
        <v>44.833333333333336</v>
      </c>
      <c r="E94" s="1">
        <f t="shared" si="1"/>
        <v>153</v>
      </c>
      <c r="F94" s="1" t="str">
        <f>IF(ISNA(VLOOKUP(B94,'标准新手流程（非R）'!$G$5:$U$144,15,0)),"",VLOOKUP(B94,'标准新手流程（非R）'!$G$5:$U$144,15,0))</f>
        <v/>
      </c>
      <c r="H94">
        <f>VLOOKUP(C94,[1]人物经验!$A$23:$I$573,9,0)</f>
        <v>82</v>
      </c>
    </row>
    <row r="95" spans="1:8" x14ac:dyDescent="0.15">
      <c r="A95" s="1" t="s">
        <v>369</v>
      </c>
      <c r="B95" s="1" t="s">
        <v>322</v>
      </c>
      <c r="C95" s="1">
        <v>154</v>
      </c>
      <c r="D95" s="1">
        <f>INDEX('标准新手流程（非R）'!$J$6:$J$144,MATCH(C95,'标准新手流程（非R）'!$P$6:$P$144,1))</f>
        <v>44.833333333333336</v>
      </c>
      <c r="E95" s="1">
        <f t="shared" si="1"/>
        <v>154</v>
      </c>
      <c r="F95" s="1" t="str">
        <f>IF(ISNA(VLOOKUP(B95,'标准新手流程（非R）'!$G$5:$U$144,15,0)),"",VLOOKUP(B95,'标准新手流程（非R）'!$G$5:$U$144,15,0))</f>
        <v/>
      </c>
      <c r="H95">
        <f>VLOOKUP(C95,[1]人物经验!$A$23:$I$573,9,0)</f>
        <v>84</v>
      </c>
    </row>
    <row r="96" spans="1:8" x14ac:dyDescent="0.15">
      <c r="A96" s="1" t="s">
        <v>369</v>
      </c>
      <c r="B96" s="1" t="s">
        <v>323</v>
      </c>
      <c r="C96" s="1">
        <v>155</v>
      </c>
      <c r="D96" s="1">
        <f>INDEX('标准新手流程（非R）'!$J$6:$J$144,MATCH(C96,'标准新手流程（非R）'!$P$6:$P$144,1))</f>
        <v>44.833333333333336</v>
      </c>
      <c r="E96" s="1">
        <f t="shared" si="1"/>
        <v>155</v>
      </c>
      <c r="F96" s="1" t="str">
        <f>IF(ISNA(VLOOKUP(B96,'标准新手流程（非R）'!$G$5:$U$144,15,0)),"",VLOOKUP(B96,'标准新手流程（非R）'!$G$5:$U$144,15,0))</f>
        <v/>
      </c>
      <c r="H96">
        <f>VLOOKUP(C96,[1]人物经验!$A$23:$I$573,9,0)</f>
        <v>85</v>
      </c>
    </row>
    <row r="97" spans="1:8" x14ac:dyDescent="0.15">
      <c r="A97" s="1" t="s">
        <v>369</v>
      </c>
      <c r="B97" s="1" t="s">
        <v>324</v>
      </c>
      <c r="C97" s="1">
        <v>156</v>
      </c>
      <c r="D97" s="1">
        <f>INDEX('标准新手流程（非R）'!$J$6:$J$144,MATCH(C97,'标准新手流程（非R）'!$P$6:$P$144,1))</f>
        <v>44.833333333333336</v>
      </c>
      <c r="E97" s="1">
        <f t="shared" si="1"/>
        <v>156</v>
      </c>
      <c r="F97" s="1" t="str">
        <f>IF(ISNA(VLOOKUP(B97,'标准新手流程（非R）'!$G$5:$U$144,15,0)),"",VLOOKUP(B97,'标准新手流程（非R）'!$G$5:$U$144,15,0))</f>
        <v/>
      </c>
      <c r="H97">
        <f>VLOOKUP(C97,[1]人物经验!$A$23:$I$573,9,0)</f>
        <v>86</v>
      </c>
    </row>
    <row r="98" spans="1:8" x14ac:dyDescent="0.15">
      <c r="A98" s="1" t="s">
        <v>369</v>
      </c>
      <c r="B98" s="1" t="s">
        <v>325</v>
      </c>
      <c r="C98" s="1">
        <v>157</v>
      </c>
      <c r="D98" s="1">
        <f>INDEX('标准新手流程（非R）'!$J$6:$J$144,MATCH(C98,'标准新手流程（非R）'!$P$6:$P$144,1))</f>
        <v>44.833333333333336</v>
      </c>
      <c r="E98" s="1">
        <f t="shared" si="1"/>
        <v>157</v>
      </c>
      <c r="F98" s="1" t="str">
        <f>IF(ISNA(VLOOKUP(B98,'标准新手流程（非R）'!$G$5:$U$144,15,0)),"",VLOOKUP(B98,'标准新手流程（非R）'!$G$5:$U$144,15,0))</f>
        <v/>
      </c>
      <c r="H98">
        <f>VLOOKUP(C98,[1]人物经验!$A$23:$I$573,9,0)</f>
        <v>87</v>
      </c>
    </row>
    <row r="99" spans="1:8" x14ac:dyDescent="0.15">
      <c r="A99" s="1" t="s">
        <v>369</v>
      </c>
      <c r="B99" s="1" t="s">
        <v>326</v>
      </c>
      <c r="C99" s="1">
        <v>158</v>
      </c>
      <c r="D99" s="1">
        <f>INDEX('标准新手流程（非R）'!$J$6:$J$144,MATCH(C99,'标准新手流程（非R）'!$P$6:$P$144,1))</f>
        <v>44.833333333333336</v>
      </c>
      <c r="E99" s="1">
        <f t="shared" si="1"/>
        <v>158</v>
      </c>
      <c r="F99" s="1" t="str">
        <f>IF(ISNA(VLOOKUP(B99,'标准新手流程（非R）'!$G$5:$U$144,15,0)),"",VLOOKUP(B99,'标准新手流程（非R）'!$G$5:$U$144,15,0))</f>
        <v/>
      </c>
      <c r="H99">
        <f>VLOOKUP(C99,[1]人物经验!$A$23:$I$573,9,0)</f>
        <v>89</v>
      </c>
    </row>
    <row r="100" spans="1:8" x14ac:dyDescent="0.15">
      <c r="A100" s="1" t="s">
        <v>369</v>
      </c>
      <c r="B100" s="1" t="s">
        <v>327</v>
      </c>
      <c r="C100" s="1">
        <v>159</v>
      </c>
      <c r="D100" s="1">
        <f>INDEX('标准新手流程（非R）'!$J$6:$J$144,MATCH(C100,'标准新手流程（非R）'!$P$6:$P$144,1))</f>
        <v>44.833333333333336</v>
      </c>
      <c r="E100" s="1">
        <f t="shared" si="1"/>
        <v>159</v>
      </c>
      <c r="F100" s="1" t="str">
        <f>IF(ISNA(VLOOKUP(B100,'标准新手流程（非R）'!$G$5:$U$144,15,0)),"",VLOOKUP(B100,'标准新手流程（非R）'!$G$5:$U$144,15,0))</f>
        <v/>
      </c>
      <c r="H100">
        <f>VLOOKUP(C100,[1]人物经验!$A$23:$I$573,9,0)</f>
        <v>90</v>
      </c>
    </row>
    <row r="101" spans="1:8" x14ac:dyDescent="0.15">
      <c r="A101" s="1" t="s">
        <v>369</v>
      </c>
      <c r="B101" s="1" t="s">
        <v>328</v>
      </c>
      <c r="C101" s="1">
        <v>160</v>
      </c>
      <c r="D101" s="1">
        <f>INDEX('标准新手流程（非R）'!$J$6:$J$144,MATCH(C101,'标准新手流程（非R）'!$P$6:$P$144,1))</f>
        <v>44.833333333333336</v>
      </c>
      <c r="E101" s="1">
        <f t="shared" si="1"/>
        <v>160</v>
      </c>
      <c r="F101" s="1" t="str">
        <f>IF(ISNA(VLOOKUP(B101,'标准新手流程（非R）'!$G$5:$U$144,15,0)),"",VLOOKUP(B101,'标准新手流程（非R）'!$G$5:$U$144,15,0))</f>
        <v/>
      </c>
      <c r="H101">
        <f>VLOOKUP(C101,[1]人物经验!$A$23:$I$573,9,0)</f>
        <v>91</v>
      </c>
    </row>
    <row r="102" spans="1:8" x14ac:dyDescent="0.15">
      <c r="A102" s="1" t="s">
        <v>369</v>
      </c>
      <c r="B102" s="1" t="s">
        <v>329</v>
      </c>
      <c r="C102" s="1">
        <v>161</v>
      </c>
      <c r="D102" s="1">
        <f>INDEX('标准新手流程（非R）'!$J$6:$J$144,MATCH(C102,'标准新手流程（非R）'!$P$6:$P$144,1))</f>
        <v>44.833333333333336</v>
      </c>
      <c r="E102" s="1">
        <f t="shared" si="1"/>
        <v>161</v>
      </c>
      <c r="F102" s="1" t="str">
        <f>IF(ISNA(VLOOKUP(B102,'标准新手流程（非R）'!$G$5:$U$144,15,0)),"",VLOOKUP(B102,'标准新手流程（非R）'!$G$5:$U$144,15,0))</f>
        <v/>
      </c>
      <c r="H102">
        <f>VLOOKUP(C102,[1]人物经验!$A$23:$I$573,9,0)</f>
        <v>93</v>
      </c>
    </row>
    <row r="103" spans="1:8" x14ac:dyDescent="0.15">
      <c r="A103" s="1" t="s">
        <v>369</v>
      </c>
      <c r="B103" s="1" t="s">
        <v>330</v>
      </c>
      <c r="C103" s="1">
        <v>162</v>
      </c>
      <c r="D103" s="1">
        <f>INDEX('标准新手流程（非R）'!$J$6:$J$144,MATCH(C103,'标准新手流程（非R）'!$P$6:$P$144,1))</f>
        <v>44.833333333333336</v>
      </c>
      <c r="E103" s="1">
        <f t="shared" si="1"/>
        <v>162</v>
      </c>
      <c r="F103" s="1" t="str">
        <f>IF(ISNA(VLOOKUP(B103,'标准新手流程（非R）'!$G$5:$U$144,15,0)),"",VLOOKUP(B103,'标准新手流程（非R）'!$G$5:$U$144,15,0))</f>
        <v/>
      </c>
      <c r="H103">
        <f>VLOOKUP(C103,[1]人物经验!$A$23:$I$573,9,0)</f>
        <v>94</v>
      </c>
    </row>
    <row r="104" spans="1:8" x14ac:dyDescent="0.15">
      <c r="A104" s="1" t="s">
        <v>369</v>
      </c>
      <c r="B104" s="1" t="s">
        <v>331</v>
      </c>
      <c r="C104" s="1">
        <v>163</v>
      </c>
      <c r="D104" s="1">
        <f>INDEX('标准新手流程（非R）'!$J$6:$J$144,MATCH(C104,'标准新手流程（非R）'!$P$6:$P$144,1))</f>
        <v>44.833333333333336</v>
      </c>
      <c r="E104" s="1">
        <f t="shared" si="1"/>
        <v>163</v>
      </c>
      <c r="F104" s="1" t="str">
        <f>IF(ISNA(VLOOKUP(B104,'标准新手流程（非R）'!$G$5:$U$144,15,0)),"",VLOOKUP(B104,'标准新手流程（非R）'!$G$5:$U$144,15,0))</f>
        <v/>
      </c>
      <c r="H104">
        <f>VLOOKUP(C104,[1]人物经验!$A$23:$I$573,9,0)</f>
        <v>96</v>
      </c>
    </row>
    <row r="105" spans="1:8" x14ac:dyDescent="0.15">
      <c r="A105" s="1" t="s">
        <v>369</v>
      </c>
      <c r="B105" s="1" t="s">
        <v>332</v>
      </c>
      <c r="C105" s="1">
        <v>164</v>
      </c>
      <c r="D105" s="1">
        <f>INDEX('标准新手流程（非R）'!$J$6:$J$144,MATCH(C105,'标准新手流程（非R）'!$P$6:$P$144,1))</f>
        <v>44.833333333333336</v>
      </c>
      <c r="E105" s="1">
        <f t="shared" si="1"/>
        <v>164</v>
      </c>
      <c r="F105" s="1" t="str">
        <f>IF(ISNA(VLOOKUP(B105,'标准新手流程（非R）'!$G$5:$U$144,15,0)),"",VLOOKUP(B105,'标准新手流程（非R）'!$G$5:$U$144,15,0))</f>
        <v/>
      </c>
      <c r="H105">
        <f>VLOOKUP(C105,[1]人物经验!$A$23:$I$573,9,0)</f>
        <v>97</v>
      </c>
    </row>
    <row r="106" spans="1:8" x14ac:dyDescent="0.15">
      <c r="A106" s="1" t="s">
        <v>369</v>
      </c>
      <c r="B106" s="1" t="s">
        <v>333</v>
      </c>
      <c r="C106" s="1">
        <v>165</v>
      </c>
      <c r="D106" s="1">
        <f>INDEX('标准新手流程（非R）'!$J$6:$J$144,MATCH(C106,'标准新手流程（非R）'!$P$6:$P$144,1))</f>
        <v>44.833333333333336</v>
      </c>
      <c r="E106" s="1">
        <f t="shared" si="1"/>
        <v>165</v>
      </c>
      <c r="F106" s="1" t="str">
        <f>IF(ISNA(VLOOKUP(B106,'标准新手流程（非R）'!$G$5:$U$144,15,0)),"",VLOOKUP(B106,'标准新手流程（非R）'!$G$5:$U$144,15,0))</f>
        <v/>
      </c>
      <c r="H106">
        <f>VLOOKUP(C106,[1]人物经验!$A$23:$I$573,9,0)</f>
        <v>99</v>
      </c>
    </row>
    <row r="107" spans="1:8" x14ac:dyDescent="0.15">
      <c r="A107" s="1" t="s">
        <v>369</v>
      </c>
      <c r="B107" s="1" t="s">
        <v>334</v>
      </c>
      <c r="C107" s="1">
        <v>166</v>
      </c>
      <c r="D107" s="1">
        <f>INDEX('标准新手流程（非R）'!$J$6:$J$144,MATCH(C107,'标准新手流程（非R）'!$P$6:$P$144,1))</f>
        <v>44.833333333333336</v>
      </c>
      <c r="E107" s="1">
        <f t="shared" si="1"/>
        <v>166</v>
      </c>
      <c r="F107" s="1" t="str">
        <f>IF(ISNA(VLOOKUP(B107,'标准新手流程（非R）'!$G$5:$U$144,15,0)),"",VLOOKUP(B107,'标准新手流程（非R）'!$G$5:$U$144,15,0))</f>
        <v/>
      </c>
      <c r="H107">
        <f>VLOOKUP(C107,[1]人物经验!$A$23:$I$573,9,0)</f>
        <v>100</v>
      </c>
    </row>
    <row r="108" spans="1:8" x14ac:dyDescent="0.15">
      <c r="A108" s="1" t="s">
        <v>369</v>
      </c>
      <c r="B108" s="1" t="s">
        <v>335</v>
      </c>
      <c r="C108" s="1">
        <v>167</v>
      </c>
      <c r="D108" s="1">
        <f>INDEX('标准新手流程（非R）'!$J$6:$J$144,MATCH(C108,'标准新手流程（非R）'!$P$6:$P$144,1))</f>
        <v>44.833333333333336</v>
      </c>
      <c r="E108" s="1">
        <f t="shared" si="1"/>
        <v>167</v>
      </c>
      <c r="F108" s="1" t="str">
        <f>IF(ISNA(VLOOKUP(B108,'标准新手流程（非R）'!$G$5:$U$144,15,0)),"",VLOOKUP(B108,'标准新手流程（非R）'!$G$5:$U$144,15,0))</f>
        <v/>
      </c>
      <c r="H108">
        <f>VLOOKUP(C108,[1]人物经验!$A$23:$I$573,9,0)</f>
        <v>102</v>
      </c>
    </row>
    <row r="109" spans="1:8" x14ac:dyDescent="0.15">
      <c r="A109" s="1" t="s">
        <v>369</v>
      </c>
      <c r="B109" s="1" t="s">
        <v>336</v>
      </c>
      <c r="C109" s="1">
        <v>168</v>
      </c>
      <c r="D109" s="1">
        <f>INDEX('标准新手流程（非R）'!$J$6:$J$144,MATCH(C109,'标准新手流程（非R）'!$P$6:$P$144,1))</f>
        <v>44.833333333333336</v>
      </c>
      <c r="E109" s="1">
        <f t="shared" si="1"/>
        <v>168</v>
      </c>
      <c r="F109" s="1" t="str">
        <f>IF(ISNA(VLOOKUP(B109,'标准新手流程（非R）'!$G$5:$U$144,15,0)),"",VLOOKUP(B109,'标准新手流程（非R）'!$G$5:$U$144,15,0))</f>
        <v/>
      </c>
      <c r="H109">
        <f>VLOOKUP(C109,[1]人物经验!$A$23:$I$573,9,0)</f>
        <v>103</v>
      </c>
    </row>
    <row r="110" spans="1:8" x14ac:dyDescent="0.15">
      <c r="A110" s="1" t="s">
        <v>369</v>
      </c>
      <c r="B110" s="1" t="s">
        <v>337</v>
      </c>
      <c r="C110" s="1">
        <v>169</v>
      </c>
      <c r="D110" s="1">
        <f>INDEX('标准新手流程（非R）'!$J$6:$J$144,MATCH(C110,'标准新手流程（非R）'!$P$6:$P$144,1))</f>
        <v>44.833333333333336</v>
      </c>
      <c r="E110" s="1">
        <f t="shared" si="1"/>
        <v>169</v>
      </c>
      <c r="F110" s="1" t="str">
        <f>IF(ISNA(VLOOKUP(B110,'标准新手流程（非R）'!$G$5:$U$144,15,0)),"",VLOOKUP(B110,'标准新手流程（非R）'!$G$5:$U$144,15,0))</f>
        <v/>
      </c>
      <c r="H110">
        <f>VLOOKUP(C110,[1]人物经验!$A$23:$I$573,9,0)</f>
        <v>105</v>
      </c>
    </row>
    <row r="111" spans="1:8" x14ac:dyDescent="0.15">
      <c r="A111" s="1" t="s">
        <v>369</v>
      </c>
      <c r="B111" s="1" t="s">
        <v>338</v>
      </c>
      <c r="C111" s="1">
        <v>170</v>
      </c>
      <c r="D111" s="1">
        <f>INDEX('标准新手流程（非R）'!$J$6:$J$144,MATCH(C111,'标准新手流程（非R）'!$P$6:$P$144,1))</f>
        <v>44.833333333333336</v>
      </c>
      <c r="E111" s="1">
        <f t="shared" si="1"/>
        <v>170</v>
      </c>
      <c r="F111" s="1" t="str">
        <f>IF(ISNA(VLOOKUP(B111,'标准新手流程（非R）'!$G$5:$U$144,15,0)),"",VLOOKUP(B111,'标准新手流程（非R）'!$G$5:$U$144,15,0))</f>
        <v/>
      </c>
      <c r="H111">
        <f>VLOOKUP(C111,[1]人物经验!$A$23:$I$573,9,0)</f>
        <v>106</v>
      </c>
    </row>
    <row r="112" spans="1:8" x14ac:dyDescent="0.15">
      <c r="A112" s="1" t="s">
        <v>369</v>
      </c>
      <c r="B112" s="1" t="s">
        <v>339</v>
      </c>
      <c r="C112" s="1">
        <v>171</v>
      </c>
      <c r="D112" s="1">
        <f>INDEX('标准新手流程（非R）'!$J$6:$J$144,MATCH(C112,'标准新手流程（非R）'!$P$6:$P$144,1))</f>
        <v>44.833333333333336</v>
      </c>
      <c r="E112" s="1">
        <f t="shared" si="1"/>
        <v>171</v>
      </c>
      <c r="F112" s="1" t="str">
        <f>IF(ISNA(VLOOKUP(B112,'标准新手流程（非R）'!$G$5:$U$144,15,0)),"",VLOOKUP(B112,'标准新手流程（非R）'!$G$5:$U$144,15,0))</f>
        <v/>
      </c>
      <c r="H112">
        <f>VLOOKUP(C112,[1]人物经验!$A$23:$I$573,9,0)</f>
        <v>108</v>
      </c>
    </row>
    <row r="113" spans="1:8" x14ac:dyDescent="0.15">
      <c r="A113" s="1" t="s">
        <v>369</v>
      </c>
      <c r="B113" s="1" t="s">
        <v>340</v>
      </c>
      <c r="C113" s="1">
        <v>172</v>
      </c>
      <c r="D113" s="1">
        <f>INDEX('标准新手流程（非R）'!$J$6:$J$144,MATCH(C113,'标准新手流程（非R）'!$P$6:$P$144,1))</f>
        <v>44.833333333333336</v>
      </c>
      <c r="E113" s="1">
        <f t="shared" si="1"/>
        <v>172</v>
      </c>
      <c r="F113" s="1" t="str">
        <f>IF(ISNA(VLOOKUP(B113,'标准新手流程（非R）'!$G$5:$U$144,15,0)),"",VLOOKUP(B113,'标准新手流程（非R）'!$G$5:$U$144,15,0))</f>
        <v/>
      </c>
      <c r="H113">
        <f>VLOOKUP(C113,[1]人物经验!$A$23:$I$573,9,0)</f>
        <v>109</v>
      </c>
    </row>
    <row r="114" spans="1:8" x14ac:dyDescent="0.15">
      <c r="A114" s="1" t="s">
        <v>369</v>
      </c>
      <c r="B114" s="1" t="s">
        <v>341</v>
      </c>
      <c r="C114" s="1">
        <v>173</v>
      </c>
      <c r="D114" s="1">
        <f>INDEX('标准新手流程（非R）'!$J$6:$J$144,MATCH(C114,'标准新手流程（非R）'!$P$6:$P$144,1))</f>
        <v>44.833333333333336</v>
      </c>
      <c r="E114" s="1">
        <f t="shared" si="1"/>
        <v>173</v>
      </c>
      <c r="F114" s="1" t="str">
        <f>IF(ISNA(VLOOKUP(B114,'标准新手流程（非R）'!$G$5:$U$144,15,0)),"",VLOOKUP(B114,'标准新手流程（非R）'!$G$5:$U$144,15,0))</f>
        <v/>
      </c>
      <c r="H114">
        <f>VLOOKUP(C114,[1]人物经验!$A$23:$I$573,9,0)</f>
        <v>111</v>
      </c>
    </row>
    <row r="115" spans="1:8" x14ac:dyDescent="0.15">
      <c r="A115" s="1" t="s">
        <v>369</v>
      </c>
      <c r="B115" s="1" t="s">
        <v>342</v>
      </c>
      <c r="C115" s="1">
        <v>174</v>
      </c>
      <c r="D115" s="1">
        <f>INDEX('标准新手流程（非R）'!$J$6:$J$144,MATCH(C115,'标准新手流程（非R）'!$P$6:$P$144,1))</f>
        <v>44.833333333333336</v>
      </c>
      <c r="E115" s="1">
        <f t="shared" si="1"/>
        <v>174</v>
      </c>
      <c r="F115" s="1" t="str">
        <f>IF(ISNA(VLOOKUP(B115,'标准新手流程（非R）'!$G$5:$U$144,15,0)),"",VLOOKUP(B115,'标准新手流程（非R）'!$G$5:$U$144,15,0))</f>
        <v/>
      </c>
      <c r="H115">
        <f>VLOOKUP(C115,[1]人物经验!$A$23:$I$573,9,0)</f>
        <v>112</v>
      </c>
    </row>
    <row r="116" spans="1:8" x14ac:dyDescent="0.15">
      <c r="A116" s="1" t="s">
        <v>369</v>
      </c>
      <c r="B116" s="1" t="s">
        <v>343</v>
      </c>
      <c r="C116" s="1">
        <v>175</v>
      </c>
      <c r="D116" s="1">
        <f>INDEX('标准新手流程（非R）'!$J$6:$J$144,MATCH(C116,'标准新手流程（非R）'!$P$6:$P$144,1))</f>
        <v>44.833333333333336</v>
      </c>
      <c r="E116" s="1">
        <f t="shared" si="1"/>
        <v>175</v>
      </c>
      <c r="F116" s="1" t="str">
        <f>IF(ISNA(VLOOKUP(B116,'标准新手流程（非R）'!$G$5:$U$144,15,0)),"",VLOOKUP(B116,'标准新手流程（非R）'!$G$5:$U$144,15,0))</f>
        <v/>
      </c>
      <c r="H116">
        <f>VLOOKUP(C116,[1]人物经验!$A$23:$I$573,9,0)</f>
        <v>114</v>
      </c>
    </row>
    <row r="117" spans="1:8" x14ac:dyDescent="0.15">
      <c r="A117" s="1" t="s">
        <v>369</v>
      </c>
      <c r="B117" s="1" t="s">
        <v>344</v>
      </c>
      <c r="C117" s="1">
        <v>176</v>
      </c>
      <c r="D117" s="1">
        <f>INDEX('标准新手流程（非R）'!$J$6:$J$144,MATCH(C117,'标准新手流程（非R）'!$P$6:$P$144,1))</f>
        <v>44.833333333333336</v>
      </c>
      <c r="E117" s="1">
        <f t="shared" si="1"/>
        <v>176</v>
      </c>
      <c r="F117" s="1" t="str">
        <f>IF(ISNA(VLOOKUP(B117,'标准新手流程（非R）'!$G$5:$U$144,15,0)),"",VLOOKUP(B117,'标准新手流程（非R）'!$G$5:$U$144,15,0))</f>
        <v/>
      </c>
      <c r="H117">
        <f>VLOOKUP(C117,[1]人物经验!$A$23:$I$573,9,0)</f>
        <v>115</v>
      </c>
    </row>
    <row r="118" spans="1:8" x14ac:dyDescent="0.15">
      <c r="A118" s="1" t="s">
        <v>369</v>
      </c>
      <c r="B118" s="1" t="s">
        <v>345</v>
      </c>
      <c r="C118" s="1">
        <v>177</v>
      </c>
      <c r="D118" s="1">
        <f>INDEX('标准新手流程（非R）'!$J$6:$J$144,MATCH(C118,'标准新手流程（非R）'!$P$6:$P$144,1))</f>
        <v>44.833333333333336</v>
      </c>
      <c r="E118" s="1">
        <f t="shared" si="1"/>
        <v>177</v>
      </c>
      <c r="F118" s="1" t="str">
        <f>IF(ISNA(VLOOKUP(B118,'标准新手流程（非R）'!$G$5:$U$144,15,0)),"",VLOOKUP(B118,'标准新手流程（非R）'!$G$5:$U$144,15,0))</f>
        <v/>
      </c>
      <c r="H118">
        <f>VLOOKUP(C118,[1]人物经验!$A$23:$I$573,9,0)</f>
        <v>117</v>
      </c>
    </row>
    <row r="119" spans="1:8" x14ac:dyDescent="0.15">
      <c r="A119" s="1" t="s">
        <v>369</v>
      </c>
      <c r="B119" s="1" t="s">
        <v>346</v>
      </c>
      <c r="C119" s="1">
        <v>178</v>
      </c>
      <c r="D119" s="1">
        <f>INDEX('标准新手流程（非R）'!$J$6:$J$144,MATCH(C119,'标准新手流程（非R）'!$P$6:$P$144,1))</f>
        <v>44.833333333333336</v>
      </c>
      <c r="E119" s="1">
        <f t="shared" si="1"/>
        <v>178</v>
      </c>
      <c r="F119" s="1" t="str">
        <f>IF(ISNA(VLOOKUP(B119,'标准新手流程（非R）'!$G$5:$U$144,15,0)),"",VLOOKUP(B119,'标准新手流程（非R）'!$G$5:$U$144,15,0))</f>
        <v/>
      </c>
      <c r="H119">
        <f>VLOOKUP(C119,[1]人物经验!$A$23:$I$573,9,0)</f>
        <v>118</v>
      </c>
    </row>
    <row r="120" spans="1:8" x14ac:dyDescent="0.15">
      <c r="A120" s="1" t="s">
        <v>369</v>
      </c>
      <c r="B120" s="1" t="s">
        <v>347</v>
      </c>
      <c r="C120" s="1">
        <v>179</v>
      </c>
      <c r="D120" s="1">
        <f>INDEX('标准新手流程（非R）'!$J$6:$J$144,MATCH(C120,'标准新手流程（非R）'!$P$6:$P$144,1))</f>
        <v>44.833333333333336</v>
      </c>
      <c r="E120" s="1">
        <f t="shared" si="1"/>
        <v>179</v>
      </c>
      <c r="F120" s="1" t="str">
        <f>IF(ISNA(VLOOKUP(B120,'标准新手流程（非R）'!$G$5:$U$144,15,0)),"",VLOOKUP(B120,'标准新手流程（非R）'!$G$5:$U$144,15,0))</f>
        <v/>
      </c>
      <c r="H120">
        <f>VLOOKUP(C120,[1]人物经验!$A$23:$I$573,9,0)</f>
        <v>119</v>
      </c>
    </row>
    <row r="121" spans="1:8" x14ac:dyDescent="0.15">
      <c r="A121" s="1" t="s">
        <v>369</v>
      </c>
      <c r="B121" s="1" t="s">
        <v>348</v>
      </c>
      <c r="C121" s="1">
        <v>180</v>
      </c>
      <c r="D121" s="1">
        <f>INDEX('标准新手流程（非R）'!$J$6:$J$144,MATCH(C121,'标准新手流程（非R）'!$P$6:$P$144,1))</f>
        <v>44.833333333333336</v>
      </c>
      <c r="E121" s="1">
        <f t="shared" si="1"/>
        <v>180</v>
      </c>
      <c r="F121" s="1" t="str">
        <f>IF(ISNA(VLOOKUP(B121,'标准新手流程（非R）'!$G$5:$U$144,15,0)),"",VLOOKUP(B121,'标准新手流程（非R）'!$G$5:$U$144,15,0))</f>
        <v/>
      </c>
      <c r="H121">
        <f>VLOOKUP(C121,[1]人物经验!$A$23:$I$573,9,0)</f>
        <v>121</v>
      </c>
    </row>
    <row r="122" spans="1:8" x14ac:dyDescent="0.15">
      <c r="A122" s="1" t="s">
        <v>369</v>
      </c>
      <c r="B122" s="1" t="s">
        <v>349</v>
      </c>
      <c r="C122" s="1">
        <v>181</v>
      </c>
      <c r="D122" s="1">
        <f>INDEX('标准新手流程（非R）'!$J$6:$J$144,MATCH(C122,'标准新手流程（非R）'!$P$6:$P$144,1))</f>
        <v>44.833333333333336</v>
      </c>
      <c r="E122" s="1">
        <f t="shared" si="1"/>
        <v>181</v>
      </c>
      <c r="F122" s="1" t="str">
        <f>IF(ISNA(VLOOKUP(B122,'标准新手流程（非R）'!$G$5:$U$144,15,0)),"",VLOOKUP(B122,'标准新手流程（非R）'!$G$5:$U$144,15,0))</f>
        <v/>
      </c>
      <c r="H122">
        <f>VLOOKUP(C122,[1]人物经验!$A$23:$I$573,9,0)</f>
        <v>123</v>
      </c>
    </row>
    <row r="123" spans="1:8" x14ac:dyDescent="0.15">
      <c r="A123" s="1" t="s">
        <v>369</v>
      </c>
      <c r="B123" s="1" t="s">
        <v>350</v>
      </c>
      <c r="C123" s="1">
        <v>182</v>
      </c>
      <c r="D123" s="1">
        <f>INDEX('标准新手流程（非R）'!$J$6:$J$144,MATCH(C123,'标准新手流程（非R）'!$P$6:$P$144,1))</f>
        <v>44.833333333333336</v>
      </c>
      <c r="E123" s="1">
        <f t="shared" si="1"/>
        <v>182</v>
      </c>
      <c r="F123" s="1" t="str">
        <f>IF(ISNA(VLOOKUP(B123,'标准新手流程（非R）'!$G$5:$U$144,15,0)),"",VLOOKUP(B123,'标准新手流程（非R）'!$G$5:$U$144,15,0))</f>
        <v/>
      </c>
      <c r="H123">
        <f>VLOOKUP(C123,[1]人物经验!$A$23:$I$573,9,0)</f>
        <v>124</v>
      </c>
    </row>
    <row r="124" spans="1:8" x14ac:dyDescent="0.15">
      <c r="A124" s="1" t="s">
        <v>369</v>
      </c>
      <c r="B124" s="1" t="s">
        <v>351</v>
      </c>
      <c r="C124" s="1">
        <v>183</v>
      </c>
      <c r="D124" s="1">
        <f>INDEX('标准新手流程（非R）'!$J$6:$J$144,MATCH(C124,'标准新手流程（非R）'!$P$6:$P$144,1))</f>
        <v>44.833333333333336</v>
      </c>
      <c r="E124" s="1">
        <f t="shared" si="1"/>
        <v>183</v>
      </c>
      <c r="F124" s="1" t="str">
        <f>IF(ISNA(VLOOKUP(B124,'标准新手流程（非R）'!$G$5:$U$144,15,0)),"",VLOOKUP(B124,'标准新手流程（非R）'!$G$5:$U$144,15,0))</f>
        <v/>
      </c>
      <c r="H124">
        <f>VLOOKUP(C124,[1]人物经验!$A$23:$I$573,9,0)</f>
        <v>126</v>
      </c>
    </row>
    <row r="125" spans="1:8" x14ac:dyDescent="0.15">
      <c r="A125" s="1" t="s">
        <v>369</v>
      </c>
      <c r="B125" s="1" t="s">
        <v>352</v>
      </c>
      <c r="C125" s="1">
        <v>184</v>
      </c>
      <c r="D125" s="1">
        <f>INDEX('标准新手流程（非R）'!$J$6:$J$144,MATCH(C125,'标准新手流程（非R）'!$P$6:$P$144,1))</f>
        <v>44.833333333333336</v>
      </c>
      <c r="E125" s="1">
        <f t="shared" si="1"/>
        <v>184</v>
      </c>
      <c r="F125" s="1" t="str">
        <f>IF(ISNA(VLOOKUP(B125,'标准新手流程（非R）'!$G$5:$U$144,15,0)),"",VLOOKUP(B125,'标准新手流程（非R）'!$G$5:$U$144,15,0))</f>
        <v/>
      </c>
      <c r="H125">
        <f>VLOOKUP(C125,[1]人物经验!$A$23:$I$573,9,0)</f>
        <v>128</v>
      </c>
    </row>
    <row r="126" spans="1:8" x14ac:dyDescent="0.15">
      <c r="A126" s="1" t="s">
        <v>369</v>
      </c>
      <c r="B126" s="1" t="s">
        <v>353</v>
      </c>
      <c r="C126" s="1">
        <v>185</v>
      </c>
      <c r="D126" s="1">
        <f>INDEX('标准新手流程（非R）'!$J$6:$J$144,MATCH(C126,'标准新手流程（非R）'!$P$6:$P$144,1))</f>
        <v>44.833333333333336</v>
      </c>
      <c r="E126" s="1">
        <f t="shared" si="1"/>
        <v>185</v>
      </c>
      <c r="F126" s="1" t="str">
        <f>IF(ISNA(VLOOKUP(B126,'标准新手流程（非R）'!$G$5:$U$144,15,0)),"",VLOOKUP(B126,'标准新手流程（非R）'!$G$5:$U$144,15,0))</f>
        <v/>
      </c>
      <c r="H126">
        <f>VLOOKUP(C126,[1]人物经验!$A$23:$I$573,9,0)</f>
        <v>130</v>
      </c>
    </row>
    <row r="127" spans="1:8" x14ac:dyDescent="0.15">
      <c r="A127" s="1" t="s">
        <v>369</v>
      </c>
      <c r="B127" s="1" t="s">
        <v>354</v>
      </c>
      <c r="C127" s="1">
        <v>186</v>
      </c>
      <c r="D127" s="1">
        <f>INDEX('标准新手流程（非R）'!$J$6:$J$144,MATCH(C127,'标准新手流程（非R）'!$P$6:$P$144,1))</f>
        <v>44.833333333333336</v>
      </c>
      <c r="E127" s="1">
        <f t="shared" si="1"/>
        <v>186</v>
      </c>
      <c r="F127" s="1" t="str">
        <f>IF(ISNA(VLOOKUP(B127,'标准新手流程（非R）'!$G$5:$U$144,15,0)),"",VLOOKUP(B127,'标准新手流程（非R）'!$G$5:$U$144,15,0))</f>
        <v/>
      </c>
      <c r="H127">
        <f>VLOOKUP(C127,[1]人物经验!$A$23:$I$573,9,0)</f>
        <v>131</v>
      </c>
    </row>
    <row r="128" spans="1:8" x14ac:dyDescent="0.15">
      <c r="A128" s="1" t="s">
        <v>369</v>
      </c>
      <c r="B128" s="1" t="s">
        <v>355</v>
      </c>
      <c r="C128" s="1">
        <v>187</v>
      </c>
      <c r="D128" s="1">
        <f>INDEX('标准新手流程（非R）'!$J$6:$J$144,MATCH(C128,'标准新手流程（非R）'!$P$6:$P$144,1))</f>
        <v>44.833333333333336</v>
      </c>
      <c r="E128" s="1">
        <f t="shared" si="1"/>
        <v>187</v>
      </c>
      <c r="F128" s="1" t="str">
        <f>IF(ISNA(VLOOKUP(B128,'标准新手流程（非R）'!$G$5:$U$144,15,0)),"",VLOOKUP(B128,'标准新手流程（非R）'!$G$5:$U$144,15,0))</f>
        <v/>
      </c>
      <c r="H128">
        <f>VLOOKUP(C128,[1]人物经验!$A$23:$I$573,9,0)</f>
        <v>133</v>
      </c>
    </row>
    <row r="129" spans="1:8" x14ac:dyDescent="0.15">
      <c r="A129" s="1" t="s">
        <v>369</v>
      </c>
      <c r="B129" s="1" t="s">
        <v>356</v>
      </c>
      <c r="C129" s="1">
        <v>188</v>
      </c>
      <c r="D129" s="1">
        <f>INDEX('标准新手流程（非R）'!$J$6:$J$144,MATCH(C129,'标准新手流程（非R）'!$P$6:$P$144,1))</f>
        <v>44.833333333333336</v>
      </c>
      <c r="E129" s="1">
        <f t="shared" si="1"/>
        <v>188</v>
      </c>
      <c r="F129" s="1" t="str">
        <f>IF(ISNA(VLOOKUP(B129,'标准新手流程（非R）'!$G$5:$U$144,15,0)),"",VLOOKUP(B129,'标准新手流程（非R）'!$G$5:$U$144,15,0))</f>
        <v/>
      </c>
      <c r="H129">
        <f>VLOOKUP(C129,[1]人物经验!$A$23:$I$573,9,0)</f>
        <v>135</v>
      </c>
    </row>
    <row r="130" spans="1:8" x14ac:dyDescent="0.15">
      <c r="A130" s="1" t="s">
        <v>369</v>
      </c>
      <c r="B130" s="1" t="s">
        <v>357</v>
      </c>
      <c r="C130" s="1">
        <v>189</v>
      </c>
      <c r="D130" s="1">
        <f>INDEX('标准新手流程（非R）'!$J$6:$J$144,MATCH(C130,'标准新手流程（非R）'!$P$6:$P$144,1))</f>
        <v>44.833333333333336</v>
      </c>
      <c r="E130" s="1">
        <f t="shared" si="1"/>
        <v>189</v>
      </c>
      <c r="F130" s="1" t="str">
        <f>IF(ISNA(VLOOKUP(B130,'标准新手流程（非R）'!$G$5:$U$144,15,0)),"",VLOOKUP(B130,'标准新手流程（非R）'!$G$5:$U$144,15,0))</f>
        <v/>
      </c>
      <c r="H130">
        <f>VLOOKUP(C130,[1]人物经验!$A$23:$I$573,9,0)</f>
        <v>136</v>
      </c>
    </row>
    <row r="131" spans="1:8" x14ac:dyDescent="0.15">
      <c r="A131" s="1" t="s">
        <v>369</v>
      </c>
      <c r="B131" s="1" t="s">
        <v>358</v>
      </c>
      <c r="C131" s="1">
        <v>190</v>
      </c>
      <c r="D131" s="1">
        <f>INDEX('标准新手流程（非R）'!$J$6:$J$144,MATCH(C131,'标准新手流程（非R）'!$P$6:$P$144,1))</f>
        <v>44.833333333333336</v>
      </c>
      <c r="E131" s="1">
        <f t="shared" si="1"/>
        <v>190</v>
      </c>
      <c r="F131" s="1" t="str">
        <f>IF(ISNA(VLOOKUP(B131,'标准新手流程（非R）'!$G$5:$U$144,15,0)),"",VLOOKUP(B131,'标准新手流程（非R）'!$G$5:$U$144,15,0))</f>
        <v/>
      </c>
      <c r="H131">
        <f>VLOOKUP(C131,[1]人物经验!$A$23:$I$573,9,0)</f>
        <v>138</v>
      </c>
    </row>
    <row r="132" spans="1:8" x14ac:dyDescent="0.15">
      <c r="A132" s="1" t="s">
        <v>369</v>
      </c>
      <c r="B132" s="1" t="s">
        <v>359</v>
      </c>
      <c r="C132" s="1">
        <v>191</v>
      </c>
      <c r="D132" s="1">
        <f>INDEX('标准新手流程（非R）'!$J$6:$J$144,MATCH(C132,'标准新手流程（非R）'!$P$6:$P$144,1))</f>
        <v>44.833333333333336</v>
      </c>
      <c r="E132" s="1">
        <f t="shared" si="1"/>
        <v>191</v>
      </c>
      <c r="F132" s="1" t="str">
        <f>IF(ISNA(VLOOKUP(B132,'标准新手流程（非R）'!$G$5:$U$144,15,0)),"",VLOOKUP(B132,'标准新手流程（非R）'!$G$5:$U$144,15,0))</f>
        <v/>
      </c>
      <c r="H132">
        <f>VLOOKUP(C132,[1]人物经验!$A$23:$I$573,9,0)</f>
        <v>140</v>
      </c>
    </row>
    <row r="133" spans="1:8" x14ac:dyDescent="0.15">
      <c r="A133" s="1" t="s">
        <v>369</v>
      </c>
      <c r="B133" s="1" t="s">
        <v>360</v>
      </c>
      <c r="C133" s="1">
        <v>192</v>
      </c>
      <c r="D133" s="1">
        <f>INDEX('标准新手流程（非R）'!$J$6:$J$144,MATCH(C133,'标准新手流程（非R）'!$P$6:$P$144,1))</f>
        <v>44.833333333333336</v>
      </c>
      <c r="E133" s="1">
        <f t="shared" si="1"/>
        <v>192</v>
      </c>
      <c r="F133" s="1" t="str">
        <f>IF(ISNA(VLOOKUP(B133,'标准新手流程（非R）'!$G$5:$U$144,15,0)),"",VLOOKUP(B133,'标准新手流程（非R）'!$G$5:$U$144,15,0))</f>
        <v/>
      </c>
      <c r="H133">
        <f>VLOOKUP(C133,[1]人物经验!$A$23:$I$573,9,0)</f>
        <v>141</v>
      </c>
    </row>
    <row r="134" spans="1:8" x14ac:dyDescent="0.15">
      <c r="A134" s="1" t="s">
        <v>369</v>
      </c>
      <c r="B134" s="1" t="s">
        <v>361</v>
      </c>
      <c r="C134" s="1">
        <v>193</v>
      </c>
      <c r="D134" s="1">
        <f>INDEX('标准新手流程（非R）'!$J$6:$J$144,MATCH(C134,'标准新手流程（非R）'!$P$6:$P$144,1))</f>
        <v>44.833333333333336</v>
      </c>
      <c r="E134" s="1">
        <f t="shared" si="1"/>
        <v>193</v>
      </c>
      <c r="F134" s="1" t="str">
        <f>IF(ISNA(VLOOKUP(B134,'标准新手流程（非R）'!$G$5:$U$144,15,0)),"",VLOOKUP(B134,'标准新手流程（非R）'!$G$5:$U$144,15,0))</f>
        <v/>
      </c>
      <c r="H134">
        <f>VLOOKUP(C134,[1]人物经验!$A$23:$I$573,9,0)</f>
        <v>143</v>
      </c>
    </row>
    <row r="135" spans="1:8" x14ac:dyDescent="0.15">
      <c r="A135" s="1" t="s">
        <v>369</v>
      </c>
      <c r="B135" s="1" t="s">
        <v>362</v>
      </c>
      <c r="C135" s="1">
        <v>194</v>
      </c>
      <c r="D135" s="1">
        <f>INDEX('标准新手流程（非R）'!$J$6:$J$144,MATCH(C135,'标准新手流程（非R）'!$P$6:$P$144,1))</f>
        <v>44.833333333333336</v>
      </c>
      <c r="E135" s="1">
        <f t="shared" si="1"/>
        <v>194</v>
      </c>
      <c r="F135" s="1" t="str">
        <f>IF(ISNA(VLOOKUP(B135,'标准新手流程（非R）'!$G$5:$U$144,15,0)),"",VLOOKUP(B135,'标准新手流程（非R）'!$G$5:$U$144,15,0))</f>
        <v/>
      </c>
      <c r="H135">
        <f>VLOOKUP(C135,[1]人物经验!$A$23:$I$573,9,0)</f>
        <v>144</v>
      </c>
    </row>
    <row r="136" spans="1:8" x14ac:dyDescent="0.15">
      <c r="A136" s="1" t="s">
        <v>369</v>
      </c>
      <c r="B136" s="1" t="s">
        <v>363</v>
      </c>
      <c r="C136" s="1">
        <v>195</v>
      </c>
      <c r="D136" s="1">
        <f>INDEX('标准新手流程（非R）'!$J$6:$J$144,MATCH(C136,'标准新手流程（非R）'!$P$6:$P$144,1))</f>
        <v>44.833333333333336</v>
      </c>
      <c r="E136" s="1">
        <f t="shared" ref="E136:E141" si="2">IF(D136&lt;15,C136-INT(15-D136),C136)</f>
        <v>195</v>
      </c>
      <c r="F136" s="1" t="str">
        <f>IF(ISNA(VLOOKUP(B136,'标准新手流程（非R）'!$G$5:$U$144,15,0)),"",VLOOKUP(B136,'标准新手流程（非R）'!$G$5:$U$144,15,0))</f>
        <v/>
      </c>
      <c r="H136">
        <f>VLOOKUP(C136,[1]人物经验!$A$23:$I$573,9,0)</f>
        <v>146</v>
      </c>
    </row>
    <row r="137" spans="1:8" x14ac:dyDescent="0.15">
      <c r="A137" s="1" t="s">
        <v>369</v>
      </c>
      <c r="B137" s="1" t="s">
        <v>364</v>
      </c>
      <c r="C137" s="1">
        <v>196</v>
      </c>
      <c r="D137" s="1">
        <f>INDEX('标准新手流程（非R）'!$J$6:$J$144,MATCH(C137,'标准新手流程（非R）'!$P$6:$P$144,1))</f>
        <v>44.833333333333336</v>
      </c>
      <c r="E137" s="1">
        <f t="shared" si="2"/>
        <v>196</v>
      </c>
      <c r="F137" s="1" t="str">
        <f>IF(ISNA(VLOOKUP(B137,'标准新手流程（非R）'!$G$5:$U$144,15,0)),"",VLOOKUP(B137,'标准新手流程（非R）'!$G$5:$U$144,15,0))</f>
        <v/>
      </c>
      <c r="H137">
        <f>VLOOKUP(C137,[1]人物经验!$A$23:$I$573,9,0)</f>
        <v>148</v>
      </c>
    </row>
    <row r="138" spans="1:8" x14ac:dyDescent="0.15">
      <c r="A138" s="1" t="s">
        <v>369</v>
      </c>
      <c r="B138" s="1" t="s">
        <v>365</v>
      </c>
      <c r="C138" s="1">
        <v>197</v>
      </c>
      <c r="D138" s="1">
        <f>INDEX('标准新手流程（非R）'!$J$6:$J$144,MATCH(C138,'标准新手流程（非R）'!$P$6:$P$144,1))</f>
        <v>44.833333333333336</v>
      </c>
      <c r="E138" s="1">
        <f t="shared" si="2"/>
        <v>197</v>
      </c>
      <c r="F138" s="1" t="str">
        <f>IF(ISNA(VLOOKUP(B138,'标准新手流程（非R）'!$G$5:$U$144,15,0)),"",VLOOKUP(B138,'标准新手流程（非R）'!$G$5:$U$144,15,0))</f>
        <v/>
      </c>
      <c r="H138">
        <f>VLOOKUP(C138,[1]人物经验!$A$23:$I$573,9,0)</f>
        <v>149</v>
      </c>
    </row>
    <row r="139" spans="1:8" x14ac:dyDescent="0.15">
      <c r="A139" s="1" t="s">
        <v>369</v>
      </c>
      <c r="B139" s="1" t="s">
        <v>366</v>
      </c>
      <c r="C139" s="1">
        <v>198</v>
      </c>
      <c r="D139" s="1">
        <f>INDEX('标准新手流程（非R）'!$J$6:$J$144,MATCH(C139,'标准新手流程（非R）'!$P$6:$P$144,1))</f>
        <v>44.833333333333336</v>
      </c>
      <c r="E139" s="1">
        <f t="shared" si="2"/>
        <v>198</v>
      </c>
      <c r="F139" s="1" t="str">
        <f>IF(ISNA(VLOOKUP(B139,'标准新手流程（非R）'!$G$5:$U$144,15,0)),"",VLOOKUP(B139,'标准新手流程（非R）'!$G$5:$U$144,15,0))</f>
        <v/>
      </c>
      <c r="H139">
        <f>VLOOKUP(C139,[1]人物经验!$A$23:$I$573,9,0)</f>
        <v>151</v>
      </c>
    </row>
    <row r="140" spans="1:8" x14ac:dyDescent="0.15">
      <c r="A140" s="1" t="s">
        <v>369</v>
      </c>
      <c r="B140" s="1" t="s">
        <v>367</v>
      </c>
      <c r="C140" s="1">
        <v>199</v>
      </c>
      <c r="D140" s="1">
        <f>INDEX('标准新手流程（非R）'!$J$6:$J$144,MATCH(C140,'标准新手流程（非R）'!$P$6:$P$144,1))</f>
        <v>44.833333333333336</v>
      </c>
      <c r="E140" s="1">
        <f t="shared" si="2"/>
        <v>199</v>
      </c>
      <c r="F140" s="1" t="str">
        <f>IF(ISNA(VLOOKUP(B140,'标准新手流程（非R）'!$G$5:$U$144,15,0)),"",VLOOKUP(B140,'标准新手流程（非R）'!$G$5:$U$144,15,0))</f>
        <v/>
      </c>
      <c r="H140">
        <f>VLOOKUP(C140,[1]人物经验!$A$23:$I$573,9,0)</f>
        <v>152</v>
      </c>
    </row>
    <row r="141" spans="1:8" x14ac:dyDescent="0.15">
      <c r="A141" s="1" t="s">
        <v>369</v>
      </c>
      <c r="B141" s="1" t="s">
        <v>368</v>
      </c>
      <c r="C141" s="1">
        <v>200</v>
      </c>
      <c r="D141" s="1">
        <f>INDEX('标准新手流程（非R）'!$J$6:$J$144,MATCH(C141,'标准新手流程（非R）'!$P$6:$P$144,1))</f>
        <v>44.833333333333336</v>
      </c>
      <c r="E141" s="1">
        <f t="shared" si="2"/>
        <v>200</v>
      </c>
      <c r="F141" s="1" t="str">
        <f>IF(ISNA(VLOOKUP(B141,'标准新手流程（非R）'!$G$5:$U$144,15,0)),"",VLOOKUP(B141,'标准新手流程（非R）'!$G$5:$U$144,15,0))</f>
        <v/>
      </c>
      <c r="H141">
        <f>VLOOKUP(C141,[1]人物经验!$A$23:$I$573,9,0)</f>
        <v>154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K282"/>
  <sheetViews>
    <sheetView topLeftCell="A43" workbookViewId="0">
      <selection activeCell="C17" sqref="C17:C34"/>
    </sheetView>
  </sheetViews>
  <sheetFormatPr defaultRowHeight="13.5" x14ac:dyDescent="0.15"/>
  <cols>
    <col min="3" max="3" width="15.5" bestFit="1" customWidth="1"/>
    <col min="4" max="4" width="10" bestFit="1" customWidth="1"/>
  </cols>
  <sheetData>
    <row r="3" spans="1:11" x14ac:dyDescent="0.15">
      <c r="A3" s="8" t="s">
        <v>373</v>
      </c>
      <c r="B3" s="2" t="s">
        <v>374</v>
      </c>
      <c r="C3" s="2" t="s">
        <v>376</v>
      </c>
      <c r="D3" s="2" t="s">
        <v>377</v>
      </c>
      <c r="E3" s="2" t="s">
        <v>381</v>
      </c>
      <c r="F3" s="23"/>
      <c r="I3" t="s">
        <v>436</v>
      </c>
      <c r="J3" t="s">
        <v>438</v>
      </c>
      <c r="K3" t="s">
        <v>437</v>
      </c>
    </row>
    <row r="4" spans="1:11" x14ac:dyDescent="0.15">
      <c r="A4" s="1">
        <f>[3]仙兵!A12</f>
        <v>1</v>
      </c>
      <c r="B4" s="1">
        <f>[3]仙兵!B12</f>
        <v>1</v>
      </c>
      <c r="C4" s="1" t="str">
        <f>'标准新手流程（非R）'!G23</f>
        <v>主线任务100017</v>
      </c>
      <c r="D4" s="1" t="s">
        <v>375</v>
      </c>
      <c r="E4" s="1">
        <f>IF(ISNA(VLOOKUP(C4,'标准新手流程（非R）'!$G$5:$J$144,4,0)),INDEX('标准新手流程（非R）'!$J$6:$J$144,MATCH(INDEX(关卡对接!$C$7:$C$141,MATCH(C4,关卡对接!$B$7:$B$141,0)),'标准新手流程（非R）'!$P$6:$P$144,1)),VLOOKUP(C4,'标准新手流程（非R）'!$G$5:$J$144,4,0))</f>
        <v>1.6666666666666667</v>
      </c>
      <c r="I4">
        <v>1</v>
      </c>
    </row>
    <row r="5" spans="1:11" x14ac:dyDescent="0.15">
      <c r="A5" s="1">
        <f>[3]仙兵!A13</f>
        <v>2</v>
      </c>
      <c r="B5" s="1">
        <f>[3]仙兵!B13</f>
        <v>1</v>
      </c>
      <c r="C5" s="1" t="str">
        <f>'标准新手流程（非R）'!G52</f>
        <v>关卡4</v>
      </c>
      <c r="D5" s="1" t="s">
        <v>378</v>
      </c>
      <c r="E5" s="1">
        <f>IF(ISNA(VLOOKUP(C5,'标准新手流程（非R）'!$G$5:$J$144,4,0)),INDEX('标准新手流程（非R）'!$J$6:$J$144,MATCH(INDEX(关卡对接!$C$7:$C$141,MATCH(C5,关卡对接!$B$7:$B$141,0)),'标准新手流程（非R）'!$P$6:$P$144,1)),VLOOKUP(C5,'标准新手流程（非R）'!$G$5:$J$144,4,0))</f>
        <v>6.25</v>
      </c>
      <c r="I5">
        <v>2</v>
      </c>
    </row>
    <row r="6" spans="1:11" x14ac:dyDescent="0.15">
      <c r="A6" s="1">
        <f>[3]仙兵!A14</f>
        <v>2</v>
      </c>
      <c r="B6" s="1">
        <f>[3]仙兵!B14</f>
        <v>2</v>
      </c>
      <c r="C6" s="1" t="str">
        <f>'标准新手流程（非R）'!G54</f>
        <v>关卡5</v>
      </c>
      <c r="D6" s="1" t="s">
        <v>378</v>
      </c>
      <c r="E6" s="1">
        <f>IF(ISNA(VLOOKUP(C6,'标准新手流程（非R）'!$G$5:$J$144,4,0)),INDEX('标准新手流程（非R）'!$J$6:$J$144,MATCH(INDEX(关卡对接!$C$7:$C$141,MATCH(C6,关卡对接!$B$7:$B$141,0)),'标准新手流程（非R）'!$P$6:$P$144,1)),VLOOKUP(C6,'标准新手流程（非R）'!$G$5:$J$144,4,0))</f>
        <v>6.5</v>
      </c>
      <c r="I6">
        <v>3</v>
      </c>
    </row>
    <row r="7" spans="1:11" x14ac:dyDescent="0.15">
      <c r="A7" s="1">
        <f>[3]仙兵!A15</f>
        <v>2</v>
      </c>
      <c r="B7" s="1">
        <f>[3]仙兵!B15</f>
        <v>3</v>
      </c>
      <c r="C7" s="1" t="str">
        <f>'标准新手流程（非R）'!G56</f>
        <v>关卡6</v>
      </c>
      <c r="D7" s="1" t="s">
        <v>378</v>
      </c>
      <c r="E7" s="1">
        <f>IF(ISNA(VLOOKUP(C7,'标准新手流程（非R）'!$G$5:$J$144,4,0)),INDEX('标准新手流程（非R）'!$J$6:$J$144,MATCH(INDEX(关卡对接!$C$7:$C$141,MATCH(C7,关卡对接!$B$7:$B$141,0)),'标准新手流程（非R）'!$P$6:$P$144,1)),VLOOKUP(C7,'标准新手流程（非R）'!$G$5:$J$144,4,0))</f>
        <v>6.833333333333333</v>
      </c>
      <c r="I7">
        <v>4</v>
      </c>
    </row>
    <row r="8" spans="1:11" x14ac:dyDescent="0.15">
      <c r="A8" s="1">
        <f>[3]仙兵!A16</f>
        <v>2</v>
      </c>
      <c r="B8" s="1">
        <f>[3]仙兵!B16</f>
        <v>4</v>
      </c>
      <c r="C8" s="1" t="str">
        <f>'标准新手流程（非R）'!G58</f>
        <v>关卡7</v>
      </c>
      <c r="D8" s="1" t="s">
        <v>378</v>
      </c>
      <c r="E8" s="1">
        <f>IF(ISNA(VLOOKUP(C8,'标准新手流程（非R）'!$G$5:$J$144,4,0)),INDEX('标准新手流程（非R）'!$J$6:$J$144,MATCH(INDEX(关卡对接!$C$7:$C$141,MATCH(C8,关卡对接!$B$7:$B$141,0)),'标准新手流程（非R）'!$P$6:$P$144,1)),VLOOKUP(C8,'标准新手流程（非R）'!$G$5:$J$144,4,0))</f>
        <v>7.166666666666667</v>
      </c>
      <c r="I8">
        <v>5</v>
      </c>
    </row>
    <row r="9" spans="1:11" x14ac:dyDescent="0.15">
      <c r="A9" s="1">
        <f>[3]仙兵!A17</f>
        <v>3</v>
      </c>
      <c r="B9" s="1">
        <f>[3]仙兵!B17</f>
        <v>1</v>
      </c>
      <c r="C9" s="1" t="str">
        <f>'标准新手流程（非R）'!G88</f>
        <v>关卡14</v>
      </c>
      <c r="D9" s="1" t="s">
        <v>379</v>
      </c>
      <c r="E9" s="1">
        <f>IF(ISNA(VLOOKUP(C9,'标准新手流程（非R）'!$G$5:$J$144,4,0)),INDEX('标准新手流程（非R）'!$J$6:$J$144,MATCH(INDEX(关卡对接!$C$7:$C$141,MATCH(C9,关卡对接!$B$7:$B$141,0)),'标准新手流程（非R）'!$P$6:$P$144,1)),VLOOKUP(C9,'标准新手流程（非R）'!$G$5:$J$144,4,0))</f>
        <v>10.833333333333334</v>
      </c>
      <c r="I9">
        <v>6</v>
      </c>
    </row>
    <row r="10" spans="1:11" x14ac:dyDescent="0.15">
      <c r="A10" s="1">
        <f>[3]仙兵!A18</f>
        <v>3</v>
      </c>
      <c r="B10" s="1">
        <f>[3]仙兵!B18</f>
        <v>2</v>
      </c>
      <c r="C10" s="1" t="str">
        <f>'标准新手流程（非R）'!G90</f>
        <v>关卡15</v>
      </c>
      <c r="D10" s="1" t="s">
        <v>379</v>
      </c>
      <c r="E10" s="1">
        <f>IF(ISNA(VLOOKUP(C10,'标准新手流程（非R）'!$G$5:$J$144,4,0)),INDEX('标准新手流程（非R）'!$J$6:$J$144,MATCH(INDEX(关卡对接!$C$7:$C$141,MATCH(C10,关卡对接!$B$7:$B$141,0)),'标准新手流程（非R）'!$P$6:$P$144,1)),VLOOKUP(C10,'标准新手流程（非R）'!$G$5:$J$144,4,0))</f>
        <v>11.166666666666666</v>
      </c>
      <c r="I10">
        <v>7</v>
      </c>
    </row>
    <row r="11" spans="1:11" x14ac:dyDescent="0.15">
      <c r="A11" s="1">
        <f>[3]仙兵!A19</f>
        <v>3</v>
      </c>
      <c r="B11" s="1">
        <f>[3]仙兵!B19</f>
        <v>3</v>
      </c>
      <c r="C11" s="1" t="str">
        <f>'标准新手流程（非R）'!G92</f>
        <v>关卡16</v>
      </c>
      <c r="D11" s="1" t="s">
        <v>379</v>
      </c>
      <c r="E11" s="1">
        <f>IF(ISNA(VLOOKUP(C11,'标准新手流程（非R）'!$G$5:$J$144,4,0)),INDEX('标准新手流程（非R）'!$J$6:$J$144,MATCH(INDEX(关卡对接!$C$7:$C$141,MATCH(C11,关卡对接!$B$7:$B$141,0)),'标准新手流程（非R）'!$P$6:$P$144,1)),VLOOKUP(C11,'标准新手流程（非R）'!$G$5:$J$144,4,0))</f>
        <v>11.5</v>
      </c>
      <c r="I11">
        <v>8</v>
      </c>
    </row>
    <row r="12" spans="1:11" x14ac:dyDescent="0.15">
      <c r="A12" s="1">
        <f>[3]仙兵!A20</f>
        <v>3</v>
      </c>
      <c r="B12" s="1">
        <f>[3]仙兵!B20</f>
        <v>4</v>
      </c>
      <c r="C12" s="1" t="str">
        <f>'标准新手流程（非R）'!G94</f>
        <v>关卡17</v>
      </c>
      <c r="D12" s="1" t="s">
        <v>379</v>
      </c>
      <c r="E12" s="1">
        <f>IF(ISNA(VLOOKUP(C12,'标准新手流程（非R）'!$G$5:$J$144,4,0)),INDEX('标准新手流程（非R）'!$J$6:$J$144,MATCH(INDEX(关卡对接!$C$7:$C$141,MATCH(C12,关卡对接!$B$7:$B$141,0)),'标准新手流程（非R）'!$P$6:$P$144,1)),VLOOKUP(C12,'标准新手流程（非R）'!$G$5:$J$144,4,0))</f>
        <v>11.833333333333334</v>
      </c>
      <c r="I12">
        <v>9</v>
      </c>
    </row>
    <row r="13" spans="1:11" x14ac:dyDescent="0.15">
      <c r="A13" s="1">
        <f>[3]仙兵!A21</f>
        <v>4</v>
      </c>
      <c r="B13" s="1">
        <f>[3]仙兵!B21</f>
        <v>1</v>
      </c>
      <c r="C13" s="1" t="str">
        <f>'标准新手流程（非R）'!G117</f>
        <v>关卡19</v>
      </c>
      <c r="D13" s="1" t="s">
        <v>380</v>
      </c>
      <c r="E13" s="1">
        <f>IF(ISNA(VLOOKUP(C13,'标准新手流程（非R）'!$G$5:$J$144,4,0)),INDEX('标准新手流程（非R）'!$J$6:$J$144,MATCH(INDEX(关卡对接!$C$7:$C$141,MATCH(C13,关卡对接!$B$7:$B$141,0)),'标准新手流程（非R）'!$P$6:$P$144,1)),VLOOKUP(C13,'标准新手流程（非R）'!$G$5:$J$144,4,0))</f>
        <v>18.833333333333332</v>
      </c>
      <c r="I13">
        <v>10</v>
      </c>
    </row>
    <row r="14" spans="1:11" x14ac:dyDescent="0.15">
      <c r="A14" s="1">
        <f>[3]仙兵!A22</f>
        <v>4</v>
      </c>
      <c r="B14" s="1">
        <f>[3]仙兵!B22</f>
        <v>2</v>
      </c>
      <c r="C14" s="1" t="str">
        <f>'标准新手流程（非R）'!G118</f>
        <v>关卡20</v>
      </c>
      <c r="D14" s="1" t="s">
        <v>380</v>
      </c>
      <c r="E14" s="1">
        <f>IF(ISNA(VLOOKUP(C14,'标准新手流程（非R）'!$G$5:$J$144,4,0)),INDEX('标准新手流程（非R）'!$J$6:$J$144,MATCH(INDEX(关卡对接!$C$7:$C$141,MATCH(C14,关卡对接!$B$7:$B$141,0)),'标准新手流程（非R）'!$P$6:$P$144,1)),VLOOKUP(C14,'标准新手流程（非R）'!$G$5:$J$144,4,0))</f>
        <v>19.583333333333332</v>
      </c>
      <c r="I14">
        <v>11</v>
      </c>
    </row>
    <row r="15" spans="1:11" x14ac:dyDescent="0.15">
      <c r="A15" s="1">
        <f>[3]仙兵!A23</f>
        <v>4</v>
      </c>
      <c r="B15" s="1">
        <f>[3]仙兵!B23</f>
        <v>3</v>
      </c>
      <c r="C15" s="1" t="str">
        <f>'标准新手流程（非R）'!G120</f>
        <v>关卡21</v>
      </c>
      <c r="D15" s="1" t="s">
        <v>380</v>
      </c>
      <c r="E15" s="1">
        <f>IF(ISNA(VLOOKUP(C15,'标准新手流程（非R）'!$G$5:$J$144,4,0)),INDEX('标准新手流程（非R）'!$J$6:$J$144,MATCH(INDEX(关卡对接!$C$7:$C$141,MATCH(C15,关卡对接!$B$7:$B$141,0)),'标准新手流程（非R）'!$P$6:$P$144,1)),VLOOKUP(C15,'标准新手流程（非R）'!$G$5:$J$144,4,0))</f>
        <v>20.416666666666668</v>
      </c>
      <c r="I15">
        <v>12</v>
      </c>
    </row>
    <row r="16" spans="1:11" x14ac:dyDescent="0.15">
      <c r="A16" s="1">
        <f>[3]仙兵!A24</f>
        <v>4</v>
      </c>
      <c r="B16" s="1">
        <f>[3]仙兵!B24</f>
        <v>4</v>
      </c>
      <c r="C16" s="1" t="str">
        <f>'标准新手流程（非R）'!G121</f>
        <v>关卡22</v>
      </c>
      <c r="D16" s="1" t="s">
        <v>380</v>
      </c>
      <c r="E16" s="1">
        <f>IF(ISNA(VLOOKUP(C16,'标准新手流程（非R）'!$G$5:$J$144,4,0)),INDEX('标准新手流程（非R）'!$J$6:$J$144,MATCH(INDEX(关卡对接!$C$7:$C$141,MATCH(C16,关卡对接!$B$7:$B$141,0)),'标准新手流程（非R）'!$P$6:$P$144,1)),VLOOKUP(C16,'标准新手流程（非R）'!$G$5:$J$144,4,0))</f>
        <v>21.416666666666668</v>
      </c>
      <c r="I16">
        <v>13</v>
      </c>
    </row>
    <row r="17" spans="1:11" x14ac:dyDescent="0.15">
      <c r="A17" s="1">
        <f>[3]仙兵!A25</f>
        <v>5</v>
      </c>
      <c r="B17" s="1">
        <f>[3]仙兵!B25</f>
        <v>1</v>
      </c>
      <c r="C17" s="1" t="s">
        <v>686</v>
      </c>
      <c r="D17" s="1" t="s">
        <v>383</v>
      </c>
      <c r="E17" s="1"/>
      <c r="I17">
        <v>14</v>
      </c>
    </row>
    <row r="18" spans="1:11" x14ac:dyDescent="0.15">
      <c r="A18" s="1">
        <f>[3]仙兵!A26</f>
        <v>5</v>
      </c>
      <c r="B18" s="1">
        <f>[3]仙兵!B26</f>
        <v>2</v>
      </c>
      <c r="C18" s="1" t="s">
        <v>687</v>
      </c>
      <c r="D18" s="1" t="s">
        <v>383</v>
      </c>
      <c r="E18" s="1"/>
      <c r="I18">
        <v>15</v>
      </c>
    </row>
    <row r="19" spans="1:11" x14ac:dyDescent="0.15">
      <c r="A19" s="1">
        <f>[3]仙兵!A27</f>
        <v>5</v>
      </c>
      <c r="B19" s="1">
        <f>[3]仙兵!B27</f>
        <v>3</v>
      </c>
      <c r="C19" s="1" t="s">
        <v>273</v>
      </c>
      <c r="D19" s="1" t="s">
        <v>383</v>
      </c>
      <c r="E19" s="1"/>
      <c r="I19">
        <v>16</v>
      </c>
    </row>
    <row r="20" spans="1:11" x14ac:dyDescent="0.15">
      <c r="A20" s="1">
        <f>[3]仙兵!A28</f>
        <v>5</v>
      </c>
      <c r="B20" s="1">
        <f>[3]仙兵!B28</f>
        <v>4</v>
      </c>
      <c r="C20" s="1" t="s">
        <v>279</v>
      </c>
      <c r="D20" s="1" t="s">
        <v>382</v>
      </c>
      <c r="E20" s="1"/>
      <c r="I20">
        <v>17</v>
      </c>
    </row>
    <row r="21" spans="1:11" x14ac:dyDescent="0.15">
      <c r="A21" s="1">
        <f>[3]仙兵!A29</f>
        <v>5</v>
      </c>
      <c r="B21" s="1">
        <f>[3]仙兵!B29</f>
        <v>5</v>
      </c>
      <c r="C21" s="1" t="s">
        <v>285</v>
      </c>
      <c r="D21" s="1" t="s">
        <v>382</v>
      </c>
      <c r="E21" s="1"/>
      <c r="I21">
        <v>18</v>
      </c>
    </row>
    <row r="22" spans="1:11" x14ac:dyDescent="0.15">
      <c r="A22" s="1">
        <f>[3]仙兵!A30</f>
        <v>5</v>
      </c>
      <c r="B22" s="1">
        <f>[3]仙兵!B30</f>
        <v>6</v>
      </c>
      <c r="C22" s="1" t="s">
        <v>291</v>
      </c>
      <c r="D22" s="1" t="s">
        <v>382</v>
      </c>
      <c r="E22" s="1"/>
      <c r="I22">
        <v>19</v>
      </c>
    </row>
    <row r="23" spans="1:11" x14ac:dyDescent="0.15">
      <c r="A23" s="1">
        <f>[3]仙兵!A31</f>
        <v>6</v>
      </c>
      <c r="B23" s="1">
        <f>[3]仙兵!B31</f>
        <v>1</v>
      </c>
      <c r="C23" s="1" t="s">
        <v>297</v>
      </c>
      <c r="D23" s="1" t="s">
        <v>385</v>
      </c>
      <c r="E23" s="1"/>
      <c r="I23">
        <v>20</v>
      </c>
    </row>
    <row r="24" spans="1:11" x14ac:dyDescent="0.15">
      <c r="A24" s="1">
        <f>[3]仙兵!A32</f>
        <v>6</v>
      </c>
      <c r="B24" s="1">
        <f>[3]仙兵!B32</f>
        <v>2</v>
      </c>
      <c r="C24" s="1" t="s">
        <v>303</v>
      </c>
      <c r="D24" s="1" t="s">
        <v>385</v>
      </c>
      <c r="E24" s="1"/>
      <c r="I24">
        <v>21</v>
      </c>
    </row>
    <row r="25" spans="1:11" x14ac:dyDescent="0.15">
      <c r="A25" s="1">
        <f>[3]仙兵!A33</f>
        <v>6</v>
      </c>
      <c r="B25" s="1">
        <f>[3]仙兵!B33</f>
        <v>3</v>
      </c>
      <c r="C25" s="1" t="s">
        <v>309</v>
      </c>
      <c r="D25" s="1" t="s">
        <v>384</v>
      </c>
      <c r="E25" s="1"/>
      <c r="I25">
        <v>22</v>
      </c>
    </row>
    <row r="26" spans="1:11" x14ac:dyDescent="0.15">
      <c r="A26" s="1">
        <f>[3]仙兵!A34</f>
        <v>6</v>
      </c>
      <c r="B26" s="1">
        <f>[3]仙兵!B34</f>
        <v>4</v>
      </c>
      <c r="C26" s="1" t="s">
        <v>315</v>
      </c>
      <c r="D26" s="1" t="s">
        <v>384</v>
      </c>
      <c r="E26" s="1"/>
      <c r="I26">
        <v>23</v>
      </c>
    </row>
    <row r="27" spans="1:11" x14ac:dyDescent="0.15">
      <c r="A27" s="1">
        <f>[3]仙兵!A35</f>
        <v>6</v>
      </c>
      <c r="B27" s="1">
        <f>[3]仙兵!B35</f>
        <v>5</v>
      </c>
      <c r="C27" s="1" t="s">
        <v>321</v>
      </c>
      <c r="D27" s="1" t="s">
        <v>384</v>
      </c>
      <c r="E27" s="1"/>
      <c r="I27">
        <v>24</v>
      </c>
    </row>
    <row r="28" spans="1:11" x14ac:dyDescent="0.15">
      <c r="A28" s="1">
        <f>[3]仙兵!A36</f>
        <v>6</v>
      </c>
      <c r="B28" s="1">
        <f>[3]仙兵!B36</f>
        <v>6</v>
      </c>
      <c r="C28" s="1" t="s">
        <v>327</v>
      </c>
      <c r="D28" s="1" t="s">
        <v>384</v>
      </c>
      <c r="E28" s="1"/>
      <c r="I28">
        <v>25</v>
      </c>
    </row>
    <row r="29" spans="1:11" x14ac:dyDescent="0.15">
      <c r="A29" s="1">
        <f>[3]仙兵!A37</f>
        <v>7</v>
      </c>
      <c r="B29" s="1">
        <f>[3]仙兵!B37</f>
        <v>1</v>
      </c>
      <c r="C29" s="1" t="s">
        <v>333</v>
      </c>
      <c r="D29" s="1" t="s">
        <v>387</v>
      </c>
      <c r="E29" s="1"/>
      <c r="I29">
        <v>26</v>
      </c>
    </row>
    <row r="30" spans="1:11" x14ac:dyDescent="0.15">
      <c r="A30" s="1">
        <f>[3]仙兵!A38</f>
        <v>7</v>
      </c>
      <c r="B30" s="1">
        <f>[3]仙兵!B38</f>
        <v>2</v>
      </c>
      <c r="C30" s="1" t="s">
        <v>339</v>
      </c>
      <c r="D30" s="1" t="s">
        <v>387</v>
      </c>
      <c r="E30" s="1"/>
      <c r="I30">
        <v>27</v>
      </c>
      <c r="J30">
        <v>1</v>
      </c>
      <c r="K30">
        <v>1</v>
      </c>
    </row>
    <row r="31" spans="1:11" x14ac:dyDescent="0.15">
      <c r="A31" s="1">
        <f>[3]仙兵!A39</f>
        <v>7</v>
      </c>
      <c r="B31" s="1">
        <f>[3]仙兵!B39</f>
        <v>3</v>
      </c>
      <c r="C31" s="1" t="s">
        <v>345</v>
      </c>
      <c r="D31" s="1" t="s">
        <v>386</v>
      </c>
      <c r="E31" s="1"/>
      <c r="I31">
        <v>28</v>
      </c>
      <c r="J31">
        <v>1</v>
      </c>
      <c r="K31">
        <v>1</v>
      </c>
    </row>
    <row r="32" spans="1:11" x14ac:dyDescent="0.15">
      <c r="A32" s="1">
        <f>[3]仙兵!A40</f>
        <v>7</v>
      </c>
      <c r="B32" s="1">
        <f>[3]仙兵!B40</f>
        <v>4</v>
      </c>
      <c r="C32" s="1" t="s">
        <v>351</v>
      </c>
      <c r="D32" s="1" t="s">
        <v>386</v>
      </c>
      <c r="E32" s="1"/>
      <c r="I32">
        <v>29</v>
      </c>
      <c r="J32">
        <v>1</v>
      </c>
      <c r="K32">
        <v>1</v>
      </c>
    </row>
    <row r="33" spans="1:11" x14ac:dyDescent="0.15">
      <c r="A33" s="1">
        <f>[3]仙兵!A41</f>
        <v>7</v>
      </c>
      <c r="B33" s="1">
        <f>[3]仙兵!B41</f>
        <v>5</v>
      </c>
      <c r="C33" s="1" t="s">
        <v>357</v>
      </c>
      <c r="D33" s="1" t="s">
        <v>386</v>
      </c>
      <c r="E33" s="1"/>
      <c r="I33">
        <v>30</v>
      </c>
      <c r="J33">
        <v>1</v>
      </c>
      <c r="K33">
        <v>1</v>
      </c>
    </row>
    <row r="34" spans="1:11" x14ac:dyDescent="0.15">
      <c r="A34" s="1">
        <f>[3]仙兵!A42</f>
        <v>7</v>
      </c>
      <c r="B34" s="1">
        <f>[3]仙兵!B42</f>
        <v>6</v>
      </c>
      <c r="C34" s="1" t="s">
        <v>363</v>
      </c>
      <c r="D34" s="1" t="s">
        <v>386</v>
      </c>
      <c r="E34" s="1"/>
      <c r="I34">
        <v>31</v>
      </c>
      <c r="J34">
        <v>1</v>
      </c>
      <c r="K34">
        <v>1</v>
      </c>
    </row>
    <row r="35" spans="1:11" x14ac:dyDescent="0.15">
      <c r="I35">
        <v>32</v>
      </c>
      <c r="J35">
        <v>1</v>
      </c>
      <c r="K35">
        <v>1</v>
      </c>
    </row>
    <row r="36" spans="1:11" x14ac:dyDescent="0.15">
      <c r="I36">
        <v>33</v>
      </c>
      <c r="J36">
        <v>1</v>
      </c>
      <c r="K36">
        <v>1</v>
      </c>
    </row>
    <row r="37" spans="1:11" x14ac:dyDescent="0.15">
      <c r="I37">
        <v>34</v>
      </c>
      <c r="J37">
        <v>1</v>
      </c>
      <c r="K37">
        <v>1</v>
      </c>
    </row>
    <row r="38" spans="1:11" x14ac:dyDescent="0.15">
      <c r="I38">
        <v>35</v>
      </c>
      <c r="J38">
        <v>1</v>
      </c>
      <c r="K38">
        <v>1</v>
      </c>
    </row>
    <row r="39" spans="1:11" x14ac:dyDescent="0.15">
      <c r="I39">
        <v>36</v>
      </c>
      <c r="J39">
        <v>1</v>
      </c>
      <c r="K39">
        <v>1</v>
      </c>
    </row>
    <row r="40" spans="1:11" x14ac:dyDescent="0.15">
      <c r="I40">
        <v>37</v>
      </c>
      <c r="J40">
        <v>1</v>
      </c>
      <c r="K40">
        <v>1</v>
      </c>
    </row>
    <row r="41" spans="1:11" x14ac:dyDescent="0.15">
      <c r="I41">
        <v>38</v>
      </c>
      <c r="J41">
        <v>1</v>
      </c>
      <c r="K41">
        <v>1</v>
      </c>
    </row>
    <row r="42" spans="1:11" x14ac:dyDescent="0.15">
      <c r="I42">
        <v>39</v>
      </c>
      <c r="J42">
        <v>1</v>
      </c>
      <c r="K42">
        <v>1</v>
      </c>
    </row>
    <row r="43" spans="1:11" x14ac:dyDescent="0.15">
      <c r="I43">
        <v>40</v>
      </c>
      <c r="J43">
        <v>1</v>
      </c>
      <c r="K43">
        <v>1</v>
      </c>
    </row>
    <row r="44" spans="1:11" x14ac:dyDescent="0.15">
      <c r="I44">
        <v>41</v>
      </c>
      <c r="J44">
        <v>1</v>
      </c>
      <c r="K44">
        <v>1</v>
      </c>
    </row>
    <row r="45" spans="1:11" x14ac:dyDescent="0.15">
      <c r="I45">
        <v>42</v>
      </c>
      <c r="J45">
        <v>1</v>
      </c>
      <c r="K45">
        <v>1</v>
      </c>
    </row>
    <row r="46" spans="1:11" x14ac:dyDescent="0.15">
      <c r="I46">
        <v>43</v>
      </c>
      <c r="J46">
        <v>1</v>
      </c>
      <c r="K46">
        <v>1</v>
      </c>
    </row>
    <row r="47" spans="1:11" x14ac:dyDescent="0.15">
      <c r="I47">
        <v>44</v>
      </c>
      <c r="J47">
        <v>1</v>
      </c>
      <c r="K47">
        <v>1</v>
      </c>
    </row>
    <row r="48" spans="1:11" x14ac:dyDescent="0.15">
      <c r="I48">
        <v>45</v>
      </c>
      <c r="J48">
        <v>1</v>
      </c>
      <c r="K48">
        <v>1</v>
      </c>
    </row>
    <row r="49" spans="9:11" x14ac:dyDescent="0.15">
      <c r="I49">
        <v>46</v>
      </c>
      <c r="J49">
        <v>1</v>
      </c>
      <c r="K49">
        <v>1</v>
      </c>
    </row>
    <row r="50" spans="9:11" x14ac:dyDescent="0.15">
      <c r="I50">
        <v>47</v>
      </c>
      <c r="J50">
        <v>1</v>
      </c>
      <c r="K50">
        <v>1</v>
      </c>
    </row>
    <row r="51" spans="9:11" x14ac:dyDescent="0.15">
      <c r="I51">
        <v>48</v>
      </c>
      <c r="J51">
        <v>1</v>
      </c>
      <c r="K51">
        <v>1</v>
      </c>
    </row>
    <row r="52" spans="9:11" x14ac:dyDescent="0.15">
      <c r="I52">
        <v>49</v>
      </c>
      <c r="J52">
        <v>1</v>
      </c>
      <c r="K52">
        <v>1</v>
      </c>
    </row>
    <row r="53" spans="9:11" x14ac:dyDescent="0.15">
      <c r="I53">
        <v>50</v>
      </c>
      <c r="J53">
        <v>1</v>
      </c>
      <c r="K53">
        <v>1</v>
      </c>
    </row>
    <row r="54" spans="9:11" x14ac:dyDescent="0.15">
      <c r="I54">
        <v>51</v>
      </c>
      <c r="J54">
        <v>1</v>
      </c>
      <c r="K54">
        <v>1</v>
      </c>
    </row>
    <row r="55" spans="9:11" x14ac:dyDescent="0.15">
      <c r="I55">
        <v>52</v>
      </c>
      <c r="J55">
        <v>1</v>
      </c>
      <c r="K55">
        <v>1</v>
      </c>
    </row>
    <row r="56" spans="9:11" x14ac:dyDescent="0.15">
      <c r="I56">
        <v>53</v>
      </c>
      <c r="J56">
        <v>1</v>
      </c>
      <c r="K56">
        <v>1</v>
      </c>
    </row>
    <row r="57" spans="9:11" x14ac:dyDescent="0.15">
      <c r="I57">
        <v>54</v>
      </c>
      <c r="J57">
        <v>1</v>
      </c>
      <c r="K57">
        <v>1</v>
      </c>
    </row>
    <row r="58" spans="9:11" x14ac:dyDescent="0.15">
      <c r="I58">
        <v>55</v>
      </c>
      <c r="J58">
        <v>1</v>
      </c>
      <c r="K58">
        <v>1</v>
      </c>
    </row>
    <row r="59" spans="9:11" x14ac:dyDescent="0.15">
      <c r="I59">
        <v>56</v>
      </c>
      <c r="J59">
        <v>1</v>
      </c>
      <c r="K59">
        <v>1</v>
      </c>
    </row>
    <row r="60" spans="9:11" x14ac:dyDescent="0.15">
      <c r="I60">
        <v>57</v>
      </c>
      <c r="J60">
        <v>1</v>
      </c>
      <c r="K60">
        <v>1</v>
      </c>
    </row>
    <row r="61" spans="9:11" x14ac:dyDescent="0.15">
      <c r="I61">
        <v>58</v>
      </c>
      <c r="J61">
        <v>1</v>
      </c>
      <c r="K61">
        <v>1</v>
      </c>
    </row>
    <row r="62" spans="9:11" x14ac:dyDescent="0.15">
      <c r="I62">
        <v>59</v>
      </c>
      <c r="J62">
        <v>1</v>
      </c>
      <c r="K62">
        <v>1</v>
      </c>
    </row>
    <row r="63" spans="9:11" x14ac:dyDescent="0.15">
      <c r="I63">
        <v>60</v>
      </c>
      <c r="J63">
        <v>2</v>
      </c>
      <c r="K63">
        <v>2</v>
      </c>
    </row>
    <row r="64" spans="9:11" x14ac:dyDescent="0.15">
      <c r="I64">
        <v>61</v>
      </c>
      <c r="J64">
        <v>2</v>
      </c>
      <c r="K64">
        <v>2</v>
      </c>
    </row>
    <row r="65" spans="9:11" x14ac:dyDescent="0.15">
      <c r="I65">
        <v>62</v>
      </c>
      <c r="J65">
        <v>2</v>
      </c>
      <c r="K65">
        <v>2</v>
      </c>
    </row>
    <row r="66" spans="9:11" x14ac:dyDescent="0.15">
      <c r="I66">
        <v>63</v>
      </c>
      <c r="J66">
        <v>5</v>
      </c>
      <c r="K66">
        <v>2</v>
      </c>
    </row>
    <row r="67" spans="9:11" x14ac:dyDescent="0.15">
      <c r="I67">
        <v>64</v>
      </c>
      <c r="J67">
        <v>5</v>
      </c>
      <c r="K67">
        <v>2</v>
      </c>
    </row>
    <row r="68" spans="9:11" x14ac:dyDescent="0.15">
      <c r="I68">
        <v>65</v>
      </c>
      <c r="J68">
        <v>5</v>
      </c>
      <c r="K68">
        <v>2</v>
      </c>
    </row>
    <row r="69" spans="9:11" x14ac:dyDescent="0.15">
      <c r="I69">
        <v>66</v>
      </c>
      <c r="J69">
        <v>5</v>
      </c>
      <c r="K69">
        <v>2</v>
      </c>
    </row>
    <row r="70" spans="9:11" x14ac:dyDescent="0.15">
      <c r="I70">
        <v>67</v>
      </c>
      <c r="J70">
        <v>5</v>
      </c>
      <c r="K70">
        <v>2</v>
      </c>
    </row>
    <row r="71" spans="9:11" x14ac:dyDescent="0.15">
      <c r="I71">
        <v>68</v>
      </c>
      <c r="J71">
        <v>5</v>
      </c>
      <c r="K71">
        <v>2</v>
      </c>
    </row>
    <row r="72" spans="9:11" x14ac:dyDescent="0.15">
      <c r="I72">
        <v>69</v>
      </c>
      <c r="J72">
        <v>5</v>
      </c>
      <c r="K72">
        <v>2</v>
      </c>
    </row>
    <row r="73" spans="9:11" x14ac:dyDescent="0.15">
      <c r="I73">
        <v>70</v>
      </c>
      <c r="J73">
        <v>5</v>
      </c>
      <c r="K73">
        <v>2</v>
      </c>
    </row>
    <row r="74" spans="9:11" x14ac:dyDescent="0.15">
      <c r="I74">
        <v>71</v>
      </c>
      <c r="J74">
        <v>5</v>
      </c>
      <c r="K74">
        <v>2</v>
      </c>
    </row>
    <row r="75" spans="9:11" x14ac:dyDescent="0.15">
      <c r="I75">
        <v>72</v>
      </c>
      <c r="J75">
        <v>5</v>
      </c>
      <c r="K75">
        <v>2</v>
      </c>
    </row>
    <row r="76" spans="9:11" x14ac:dyDescent="0.15">
      <c r="I76">
        <v>73</v>
      </c>
      <c r="J76">
        <v>6</v>
      </c>
      <c r="K76">
        <v>3</v>
      </c>
    </row>
    <row r="77" spans="9:11" x14ac:dyDescent="0.15">
      <c r="I77">
        <v>74</v>
      </c>
      <c r="J77">
        <v>7</v>
      </c>
      <c r="K77">
        <v>3</v>
      </c>
    </row>
    <row r="78" spans="9:11" x14ac:dyDescent="0.15">
      <c r="I78">
        <v>75</v>
      </c>
      <c r="J78">
        <v>7</v>
      </c>
      <c r="K78">
        <v>3</v>
      </c>
    </row>
    <row r="79" spans="9:11" x14ac:dyDescent="0.15">
      <c r="I79">
        <v>76</v>
      </c>
      <c r="J79">
        <v>8</v>
      </c>
      <c r="K79">
        <v>3</v>
      </c>
    </row>
    <row r="80" spans="9:11" x14ac:dyDescent="0.15">
      <c r="I80">
        <v>77</v>
      </c>
      <c r="J80">
        <v>9</v>
      </c>
      <c r="K80">
        <v>3</v>
      </c>
    </row>
    <row r="81" spans="9:11" x14ac:dyDescent="0.15">
      <c r="I81">
        <v>78</v>
      </c>
      <c r="J81">
        <v>9</v>
      </c>
      <c r="K81">
        <v>3</v>
      </c>
    </row>
    <row r="82" spans="9:11" x14ac:dyDescent="0.15">
      <c r="I82">
        <v>79</v>
      </c>
      <c r="J82">
        <v>9</v>
      </c>
      <c r="K82">
        <v>3</v>
      </c>
    </row>
    <row r="83" spans="9:11" x14ac:dyDescent="0.15">
      <c r="I83">
        <v>80</v>
      </c>
      <c r="J83">
        <v>9</v>
      </c>
      <c r="K83">
        <v>3</v>
      </c>
    </row>
    <row r="84" spans="9:11" x14ac:dyDescent="0.15">
      <c r="I84">
        <v>81</v>
      </c>
      <c r="J84">
        <v>9</v>
      </c>
      <c r="K84">
        <v>3</v>
      </c>
    </row>
    <row r="85" spans="9:11" x14ac:dyDescent="0.15">
      <c r="I85">
        <v>82</v>
      </c>
      <c r="J85">
        <v>10</v>
      </c>
      <c r="K85">
        <v>4</v>
      </c>
    </row>
    <row r="86" spans="9:11" x14ac:dyDescent="0.15">
      <c r="I86">
        <v>83</v>
      </c>
      <c r="J86">
        <v>10</v>
      </c>
      <c r="K86">
        <v>4</v>
      </c>
    </row>
    <row r="87" spans="9:11" x14ac:dyDescent="0.15">
      <c r="I87">
        <v>84</v>
      </c>
      <c r="J87">
        <v>10</v>
      </c>
      <c r="K87">
        <v>4</v>
      </c>
    </row>
    <row r="88" spans="9:11" x14ac:dyDescent="0.15">
      <c r="I88">
        <v>85</v>
      </c>
      <c r="J88">
        <v>10</v>
      </c>
      <c r="K88">
        <v>4</v>
      </c>
    </row>
    <row r="89" spans="9:11" x14ac:dyDescent="0.15">
      <c r="I89">
        <v>86</v>
      </c>
      <c r="J89">
        <v>10</v>
      </c>
      <c r="K89">
        <v>4</v>
      </c>
    </row>
    <row r="90" spans="9:11" x14ac:dyDescent="0.15">
      <c r="I90">
        <v>87</v>
      </c>
      <c r="J90">
        <v>10</v>
      </c>
      <c r="K90">
        <v>4</v>
      </c>
    </row>
    <row r="91" spans="9:11" x14ac:dyDescent="0.15">
      <c r="I91">
        <v>88</v>
      </c>
      <c r="J91">
        <v>10</v>
      </c>
      <c r="K91">
        <v>4</v>
      </c>
    </row>
    <row r="92" spans="9:11" x14ac:dyDescent="0.15">
      <c r="I92">
        <v>89</v>
      </c>
      <c r="J92">
        <v>10</v>
      </c>
      <c r="K92">
        <v>4</v>
      </c>
    </row>
    <row r="93" spans="9:11" x14ac:dyDescent="0.15">
      <c r="I93">
        <v>90</v>
      </c>
      <c r="J93">
        <v>10</v>
      </c>
      <c r="K93">
        <v>4</v>
      </c>
    </row>
    <row r="94" spans="9:11" x14ac:dyDescent="0.15">
      <c r="I94">
        <v>91</v>
      </c>
      <c r="J94">
        <v>10</v>
      </c>
      <c r="K94">
        <v>4</v>
      </c>
    </row>
    <row r="95" spans="9:11" x14ac:dyDescent="0.15">
      <c r="I95">
        <v>92</v>
      </c>
      <c r="J95">
        <v>10</v>
      </c>
      <c r="K95">
        <v>4</v>
      </c>
    </row>
    <row r="96" spans="9:11" x14ac:dyDescent="0.15">
      <c r="I96">
        <v>93</v>
      </c>
      <c r="J96">
        <v>10</v>
      </c>
      <c r="K96">
        <v>4</v>
      </c>
    </row>
    <row r="97" spans="9:11" x14ac:dyDescent="0.15">
      <c r="I97">
        <v>94</v>
      </c>
      <c r="J97">
        <v>10</v>
      </c>
      <c r="K97">
        <v>4</v>
      </c>
    </row>
    <row r="98" spans="9:11" x14ac:dyDescent="0.15">
      <c r="I98">
        <v>95</v>
      </c>
      <c r="J98">
        <v>10</v>
      </c>
      <c r="K98">
        <v>4</v>
      </c>
    </row>
    <row r="99" spans="9:11" x14ac:dyDescent="0.15">
      <c r="I99">
        <v>96</v>
      </c>
      <c r="J99">
        <v>11</v>
      </c>
      <c r="K99">
        <v>4</v>
      </c>
    </row>
    <row r="100" spans="9:11" x14ac:dyDescent="0.15">
      <c r="I100">
        <v>97</v>
      </c>
      <c r="J100">
        <v>12</v>
      </c>
      <c r="K100">
        <v>4</v>
      </c>
    </row>
    <row r="101" spans="9:11" x14ac:dyDescent="0.15">
      <c r="I101">
        <v>98</v>
      </c>
      <c r="J101">
        <v>12</v>
      </c>
      <c r="K101">
        <v>4</v>
      </c>
    </row>
    <row r="102" spans="9:11" x14ac:dyDescent="0.15">
      <c r="I102">
        <v>99</v>
      </c>
      <c r="J102">
        <v>12</v>
      </c>
      <c r="K102">
        <v>4</v>
      </c>
    </row>
    <row r="103" spans="9:11" x14ac:dyDescent="0.15">
      <c r="I103">
        <v>100</v>
      </c>
      <c r="J103">
        <v>12</v>
      </c>
      <c r="K103">
        <v>4</v>
      </c>
    </row>
    <row r="104" spans="9:11" x14ac:dyDescent="0.15">
      <c r="I104">
        <v>101</v>
      </c>
      <c r="J104">
        <v>12</v>
      </c>
      <c r="K104">
        <v>4</v>
      </c>
    </row>
    <row r="105" spans="9:11" x14ac:dyDescent="0.15">
      <c r="I105">
        <v>102</v>
      </c>
      <c r="J105">
        <v>12</v>
      </c>
      <c r="K105">
        <v>4</v>
      </c>
    </row>
    <row r="106" spans="9:11" x14ac:dyDescent="0.15">
      <c r="I106">
        <v>103</v>
      </c>
      <c r="J106">
        <v>12</v>
      </c>
      <c r="K106">
        <v>4</v>
      </c>
    </row>
    <row r="107" spans="9:11" x14ac:dyDescent="0.15">
      <c r="I107">
        <v>104</v>
      </c>
      <c r="J107">
        <v>12</v>
      </c>
      <c r="K107">
        <v>4</v>
      </c>
    </row>
    <row r="108" spans="9:11" x14ac:dyDescent="0.15">
      <c r="I108">
        <v>105</v>
      </c>
      <c r="J108">
        <v>13</v>
      </c>
      <c r="K108">
        <v>4</v>
      </c>
    </row>
    <row r="109" spans="9:11" x14ac:dyDescent="0.15">
      <c r="I109">
        <v>106</v>
      </c>
    </row>
    <row r="110" spans="9:11" x14ac:dyDescent="0.15">
      <c r="I110">
        <v>107</v>
      </c>
    </row>
    <row r="111" spans="9:11" x14ac:dyDescent="0.15">
      <c r="I111">
        <v>108</v>
      </c>
    </row>
    <row r="112" spans="9:11" x14ac:dyDescent="0.15">
      <c r="I112">
        <v>109</v>
      </c>
    </row>
    <row r="113" spans="9:9" x14ac:dyDescent="0.15">
      <c r="I113">
        <v>110</v>
      </c>
    </row>
    <row r="114" spans="9:9" x14ac:dyDescent="0.15">
      <c r="I114">
        <v>111</v>
      </c>
    </row>
    <row r="115" spans="9:9" x14ac:dyDescent="0.15">
      <c r="I115">
        <v>112</v>
      </c>
    </row>
    <row r="116" spans="9:9" x14ac:dyDescent="0.15">
      <c r="I116">
        <v>113</v>
      </c>
    </row>
    <row r="117" spans="9:9" x14ac:dyDescent="0.15">
      <c r="I117">
        <v>114</v>
      </c>
    </row>
    <row r="118" spans="9:9" x14ac:dyDescent="0.15">
      <c r="I118">
        <v>115</v>
      </c>
    </row>
    <row r="119" spans="9:9" x14ac:dyDescent="0.15">
      <c r="I119">
        <v>116</v>
      </c>
    </row>
    <row r="120" spans="9:9" x14ac:dyDescent="0.15">
      <c r="I120">
        <v>117</v>
      </c>
    </row>
    <row r="121" spans="9:9" x14ac:dyDescent="0.15">
      <c r="I121">
        <v>118</v>
      </c>
    </row>
    <row r="122" spans="9:9" x14ac:dyDescent="0.15">
      <c r="I122">
        <v>119</v>
      </c>
    </row>
    <row r="123" spans="9:9" x14ac:dyDescent="0.15">
      <c r="I123">
        <v>120</v>
      </c>
    </row>
    <row r="124" spans="9:9" x14ac:dyDescent="0.15">
      <c r="I124">
        <v>121</v>
      </c>
    </row>
    <row r="125" spans="9:9" x14ac:dyDescent="0.15">
      <c r="I125">
        <v>122</v>
      </c>
    </row>
    <row r="126" spans="9:9" x14ac:dyDescent="0.15">
      <c r="I126">
        <v>123</v>
      </c>
    </row>
    <row r="127" spans="9:9" x14ac:dyDescent="0.15">
      <c r="I127">
        <v>124</v>
      </c>
    </row>
    <row r="128" spans="9:9" x14ac:dyDescent="0.15">
      <c r="I128">
        <v>125</v>
      </c>
    </row>
    <row r="129" spans="9:9" x14ac:dyDescent="0.15">
      <c r="I129">
        <v>126</v>
      </c>
    </row>
    <row r="130" spans="9:9" x14ac:dyDescent="0.15">
      <c r="I130">
        <v>127</v>
      </c>
    </row>
    <row r="131" spans="9:9" x14ac:dyDescent="0.15">
      <c r="I131">
        <v>128</v>
      </c>
    </row>
    <row r="132" spans="9:9" x14ac:dyDescent="0.15">
      <c r="I132">
        <v>129</v>
      </c>
    </row>
    <row r="133" spans="9:9" x14ac:dyDescent="0.15">
      <c r="I133">
        <v>130</v>
      </c>
    </row>
    <row r="134" spans="9:9" x14ac:dyDescent="0.15">
      <c r="I134">
        <v>131</v>
      </c>
    </row>
    <row r="135" spans="9:9" x14ac:dyDescent="0.15">
      <c r="I135">
        <v>132</v>
      </c>
    </row>
    <row r="136" spans="9:9" x14ac:dyDescent="0.15">
      <c r="I136">
        <v>133</v>
      </c>
    </row>
    <row r="137" spans="9:9" x14ac:dyDescent="0.15">
      <c r="I137">
        <v>134</v>
      </c>
    </row>
    <row r="138" spans="9:9" x14ac:dyDescent="0.15">
      <c r="I138">
        <v>135</v>
      </c>
    </row>
    <row r="139" spans="9:9" x14ac:dyDescent="0.15">
      <c r="I139">
        <v>136</v>
      </c>
    </row>
    <row r="140" spans="9:9" x14ac:dyDescent="0.15">
      <c r="I140">
        <v>137</v>
      </c>
    </row>
    <row r="141" spans="9:9" x14ac:dyDescent="0.15">
      <c r="I141">
        <v>138</v>
      </c>
    </row>
    <row r="142" spans="9:9" x14ac:dyDescent="0.15">
      <c r="I142">
        <v>139</v>
      </c>
    </row>
    <row r="143" spans="9:9" x14ac:dyDescent="0.15">
      <c r="I143">
        <v>140</v>
      </c>
    </row>
    <row r="144" spans="9:9" x14ac:dyDescent="0.15">
      <c r="I144">
        <v>141</v>
      </c>
    </row>
    <row r="145" spans="9:9" x14ac:dyDescent="0.15">
      <c r="I145">
        <v>142</v>
      </c>
    </row>
    <row r="146" spans="9:9" x14ac:dyDescent="0.15">
      <c r="I146">
        <v>143</v>
      </c>
    </row>
    <row r="147" spans="9:9" x14ac:dyDescent="0.15">
      <c r="I147">
        <v>144</v>
      </c>
    </row>
    <row r="148" spans="9:9" x14ac:dyDescent="0.15">
      <c r="I148">
        <v>145</v>
      </c>
    </row>
    <row r="149" spans="9:9" x14ac:dyDescent="0.15">
      <c r="I149">
        <v>146</v>
      </c>
    </row>
    <row r="150" spans="9:9" x14ac:dyDescent="0.15">
      <c r="I150">
        <v>147</v>
      </c>
    </row>
    <row r="151" spans="9:9" x14ac:dyDescent="0.15">
      <c r="I151">
        <v>148</v>
      </c>
    </row>
    <row r="152" spans="9:9" x14ac:dyDescent="0.15">
      <c r="I152">
        <v>149</v>
      </c>
    </row>
    <row r="153" spans="9:9" x14ac:dyDescent="0.15">
      <c r="I153">
        <v>150</v>
      </c>
    </row>
    <row r="154" spans="9:9" x14ac:dyDescent="0.15">
      <c r="I154">
        <v>151</v>
      </c>
    </row>
    <row r="155" spans="9:9" x14ac:dyDescent="0.15">
      <c r="I155">
        <v>152</v>
      </c>
    </row>
    <row r="156" spans="9:9" x14ac:dyDescent="0.15">
      <c r="I156">
        <v>153</v>
      </c>
    </row>
    <row r="157" spans="9:9" x14ac:dyDescent="0.15">
      <c r="I157">
        <v>154</v>
      </c>
    </row>
    <row r="158" spans="9:9" x14ac:dyDescent="0.15">
      <c r="I158">
        <v>155</v>
      </c>
    </row>
    <row r="159" spans="9:9" x14ac:dyDescent="0.15">
      <c r="I159">
        <v>156</v>
      </c>
    </row>
    <row r="160" spans="9:9" x14ac:dyDescent="0.15">
      <c r="I160">
        <v>157</v>
      </c>
    </row>
    <row r="161" spans="9:9" x14ac:dyDescent="0.15">
      <c r="I161">
        <v>158</v>
      </c>
    </row>
    <row r="162" spans="9:9" x14ac:dyDescent="0.15">
      <c r="I162">
        <v>159</v>
      </c>
    </row>
    <row r="163" spans="9:9" x14ac:dyDescent="0.15">
      <c r="I163">
        <v>160</v>
      </c>
    </row>
    <row r="164" spans="9:9" x14ac:dyDescent="0.15">
      <c r="I164">
        <v>161</v>
      </c>
    </row>
    <row r="165" spans="9:9" x14ac:dyDescent="0.15">
      <c r="I165">
        <v>162</v>
      </c>
    </row>
    <row r="166" spans="9:9" x14ac:dyDescent="0.15">
      <c r="I166">
        <v>163</v>
      </c>
    </row>
    <row r="167" spans="9:9" x14ac:dyDescent="0.15">
      <c r="I167">
        <v>164</v>
      </c>
    </row>
    <row r="168" spans="9:9" x14ac:dyDescent="0.15">
      <c r="I168">
        <v>165</v>
      </c>
    </row>
    <row r="169" spans="9:9" x14ac:dyDescent="0.15">
      <c r="I169">
        <v>166</v>
      </c>
    </row>
    <row r="170" spans="9:9" x14ac:dyDescent="0.15">
      <c r="I170">
        <v>167</v>
      </c>
    </row>
    <row r="171" spans="9:9" x14ac:dyDescent="0.15">
      <c r="I171">
        <v>168</v>
      </c>
    </row>
    <row r="172" spans="9:9" x14ac:dyDescent="0.15">
      <c r="I172">
        <v>169</v>
      </c>
    </row>
    <row r="173" spans="9:9" x14ac:dyDescent="0.15">
      <c r="I173">
        <v>170</v>
      </c>
    </row>
    <row r="174" spans="9:9" x14ac:dyDescent="0.15">
      <c r="I174">
        <v>171</v>
      </c>
    </row>
    <row r="175" spans="9:9" x14ac:dyDescent="0.15">
      <c r="I175">
        <v>172</v>
      </c>
    </row>
    <row r="176" spans="9:9" x14ac:dyDescent="0.15">
      <c r="I176">
        <v>173</v>
      </c>
    </row>
    <row r="177" spans="9:9" x14ac:dyDescent="0.15">
      <c r="I177">
        <v>174</v>
      </c>
    </row>
    <row r="178" spans="9:9" x14ac:dyDescent="0.15">
      <c r="I178">
        <v>175</v>
      </c>
    </row>
    <row r="179" spans="9:9" x14ac:dyDescent="0.15">
      <c r="I179">
        <v>176</v>
      </c>
    </row>
    <row r="180" spans="9:9" x14ac:dyDescent="0.15">
      <c r="I180">
        <v>177</v>
      </c>
    </row>
    <row r="181" spans="9:9" x14ac:dyDescent="0.15">
      <c r="I181">
        <v>178</v>
      </c>
    </row>
    <row r="182" spans="9:9" x14ac:dyDescent="0.15">
      <c r="I182">
        <v>179</v>
      </c>
    </row>
    <row r="183" spans="9:9" x14ac:dyDescent="0.15">
      <c r="I183">
        <v>180</v>
      </c>
    </row>
    <row r="184" spans="9:9" x14ac:dyDescent="0.15">
      <c r="I184">
        <v>181</v>
      </c>
    </row>
    <row r="185" spans="9:9" x14ac:dyDescent="0.15">
      <c r="I185">
        <v>182</v>
      </c>
    </row>
    <row r="186" spans="9:9" x14ac:dyDescent="0.15">
      <c r="I186">
        <v>183</v>
      </c>
    </row>
    <row r="187" spans="9:9" x14ac:dyDescent="0.15">
      <c r="I187">
        <v>184</v>
      </c>
    </row>
    <row r="188" spans="9:9" x14ac:dyDescent="0.15">
      <c r="I188">
        <v>185</v>
      </c>
    </row>
    <row r="189" spans="9:9" x14ac:dyDescent="0.15">
      <c r="I189">
        <v>186</v>
      </c>
    </row>
    <row r="190" spans="9:9" x14ac:dyDescent="0.15">
      <c r="I190">
        <v>187</v>
      </c>
    </row>
    <row r="191" spans="9:9" x14ac:dyDescent="0.15">
      <c r="I191">
        <v>188</v>
      </c>
    </row>
    <row r="192" spans="9:9" x14ac:dyDescent="0.15">
      <c r="I192">
        <v>189</v>
      </c>
    </row>
    <row r="193" spans="9:9" x14ac:dyDescent="0.15">
      <c r="I193">
        <v>190</v>
      </c>
    </row>
    <row r="194" spans="9:9" x14ac:dyDescent="0.15">
      <c r="I194">
        <v>191</v>
      </c>
    </row>
    <row r="195" spans="9:9" x14ac:dyDescent="0.15">
      <c r="I195">
        <v>192</v>
      </c>
    </row>
    <row r="196" spans="9:9" x14ac:dyDescent="0.15">
      <c r="I196">
        <v>193</v>
      </c>
    </row>
    <row r="197" spans="9:9" x14ac:dyDescent="0.15">
      <c r="I197">
        <v>194</v>
      </c>
    </row>
    <row r="198" spans="9:9" x14ac:dyDescent="0.15">
      <c r="I198">
        <v>195</v>
      </c>
    </row>
    <row r="199" spans="9:9" x14ac:dyDescent="0.15">
      <c r="I199">
        <v>196</v>
      </c>
    </row>
    <row r="200" spans="9:9" x14ac:dyDescent="0.15">
      <c r="I200">
        <v>197</v>
      </c>
    </row>
    <row r="201" spans="9:9" x14ac:dyDescent="0.15">
      <c r="I201">
        <v>198</v>
      </c>
    </row>
    <row r="202" spans="9:9" x14ac:dyDescent="0.15">
      <c r="I202">
        <v>199</v>
      </c>
    </row>
    <row r="203" spans="9:9" x14ac:dyDescent="0.15">
      <c r="I203">
        <v>200</v>
      </c>
    </row>
    <row r="204" spans="9:9" x14ac:dyDescent="0.15">
      <c r="I204">
        <v>201</v>
      </c>
    </row>
    <row r="205" spans="9:9" x14ac:dyDescent="0.15">
      <c r="I205">
        <v>202</v>
      </c>
    </row>
    <row r="206" spans="9:9" x14ac:dyDescent="0.15">
      <c r="I206">
        <v>203</v>
      </c>
    </row>
    <row r="207" spans="9:9" x14ac:dyDescent="0.15">
      <c r="I207">
        <v>204</v>
      </c>
    </row>
    <row r="208" spans="9:9" x14ac:dyDescent="0.15">
      <c r="I208">
        <v>205</v>
      </c>
    </row>
    <row r="209" spans="9:9" x14ac:dyDescent="0.15">
      <c r="I209">
        <v>206</v>
      </c>
    </row>
    <row r="210" spans="9:9" x14ac:dyDescent="0.15">
      <c r="I210">
        <v>207</v>
      </c>
    </row>
    <row r="211" spans="9:9" x14ac:dyDescent="0.15">
      <c r="I211">
        <v>208</v>
      </c>
    </row>
    <row r="212" spans="9:9" x14ac:dyDescent="0.15">
      <c r="I212">
        <v>209</v>
      </c>
    </row>
    <row r="213" spans="9:9" x14ac:dyDescent="0.15">
      <c r="I213">
        <v>210</v>
      </c>
    </row>
    <row r="214" spans="9:9" x14ac:dyDescent="0.15">
      <c r="I214">
        <v>211</v>
      </c>
    </row>
    <row r="215" spans="9:9" x14ac:dyDescent="0.15">
      <c r="I215">
        <v>212</v>
      </c>
    </row>
    <row r="216" spans="9:9" x14ac:dyDescent="0.15">
      <c r="I216">
        <v>213</v>
      </c>
    </row>
    <row r="217" spans="9:9" x14ac:dyDescent="0.15">
      <c r="I217">
        <v>214</v>
      </c>
    </row>
    <row r="218" spans="9:9" x14ac:dyDescent="0.15">
      <c r="I218">
        <v>215</v>
      </c>
    </row>
    <row r="219" spans="9:9" x14ac:dyDescent="0.15">
      <c r="I219">
        <v>216</v>
      </c>
    </row>
    <row r="220" spans="9:9" x14ac:dyDescent="0.15">
      <c r="I220">
        <v>217</v>
      </c>
    </row>
    <row r="221" spans="9:9" x14ac:dyDescent="0.15">
      <c r="I221">
        <v>218</v>
      </c>
    </row>
    <row r="222" spans="9:9" x14ac:dyDescent="0.15">
      <c r="I222">
        <v>219</v>
      </c>
    </row>
    <row r="223" spans="9:9" x14ac:dyDescent="0.15">
      <c r="I223">
        <v>220</v>
      </c>
    </row>
    <row r="224" spans="9:9" x14ac:dyDescent="0.15">
      <c r="I224">
        <v>221</v>
      </c>
    </row>
    <row r="225" spans="9:9" x14ac:dyDescent="0.15">
      <c r="I225">
        <v>222</v>
      </c>
    </row>
    <row r="226" spans="9:9" x14ac:dyDescent="0.15">
      <c r="I226">
        <v>223</v>
      </c>
    </row>
    <row r="227" spans="9:9" x14ac:dyDescent="0.15">
      <c r="I227">
        <v>224</v>
      </c>
    </row>
    <row r="228" spans="9:9" x14ac:dyDescent="0.15">
      <c r="I228">
        <v>225</v>
      </c>
    </row>
    <row r="229" spans="9:9" x14ac:dyDescent="0.15">
      <c r="I229">
        <v>226</v>
      </c>
    </row>
    <row r="230" spans="9:9" x14ac:dyDescent="0.15">
      <c r="I230">
        <v>227</v>
      </c>
    </row>
    <row r="231" spans="9:9" x14ac:dyDescent="0.15">
      <c r="I231">
        <v>228</v>
      </c>
    </row>
    <row r="232" spans="9:9" x14ac:dyDescent="0.15">
      <c r="I232">
        <v>229</v>
      </c>
    </row>
    <row r="233" spans="9:9" x14ac:dyDescent="0.15">
      <c r="I233">
        <v>230</v>
      </c>
    </row>
    <row r="234" spans="9:9" x14ac:dyDescent="0.15">
      <c r="I234">
        <v>231</v>
      </c>
    </row>
    <row r="235" spans="9:9" x14ac:dyDescent="0.15">
      <c r="I235">
        <v>232</v>
      </c>
    </row>
    <row r="236" spans="9:9" x14ac:dyDescent="0.15">
      <c r="I236">
        <v>233</v>
      </c>
    </row>
    <row r="237" spans="9:9" x14ac:dyDescent="0.15">
      <c r="I237">
        <v>234</v>
      </c>
    </row>
    <row r="238" spans="9:9" x14ac:dyDescent="0.15">
      <c r="I238">
        <v>235</v>
      </c>
    </row>
    <row r="239" spans="9:9" x14ac:dyDescent="0.15">
      <c r="I239">
        <v>236</v>
      </c>
    </row>
    <row r="240" spans="9:9" x14ac:dyDescent="0.15">
      <c r="I240">
        <v>237</v>
      </c>
    </row>
    <row r="241" spans="9:9" x14ac:dyDescent="0.15">
      <c r="I241">
        <v>238</v>
      </c>
    </row>
    <row r="242" spans="9:9" x14ac:dyDescent="0.15">
      <c r="I242">
        <v>239</v>
      </c>
    </row>
    <row r="243" spans="9:9" x14ac:dyDescent="0.15">
      <c r="I243">
        <v>240</v>
      </c>
    </row>
    <row r="244" spans="9:9" x14ac:dyDescent="0.15">
      <c r="I244">
        <v>241</v>
      </c>
    </row>
    <row r="245" spans="9:9" x14ac:dyDescent="0.15">
      <c r="I245">
        <v>242</v>
      </c>
    </row>
    <row r="246" spans="9:9" x14ac:dyDescent="0.15">
      <c r="I246">
        <v>243</v>
      </c>
    </row>
    <row r="247" spans="9:9" x14ac:dyDescent="0.15">
      <c r="I247">
        <v>244</v>
      </c>
    </row>
    <row r="248" spans="9:9" x14ac:dyDescent="0.15">
      <c r="I248">
        <v>245</v>
      </c>
    </row>
    <row r="249" spans="9:9" x14ac:dyDescent="0.15">
      <c r="I249">
        <v>246</v>
      </c>
    </row>
    <row r="250" spans="9:9" x14ac:dyDescent="0.15">
      <c r="I250">
        <v>247</v>
      </c>
    </row>
    <row r="251" spans="9:9" x14ac:dyDescent="0.15">
      <c r="I251">
        <v>248</v>
      </c>
    </row>
    <row r="252" spans="9:9" x14ac:dyDescent="0.15">
      <c r="I252">
        <v>249</v>
      </c>
    </row>
    <row r="253" spans="9:9" x14ac:dyDescent="0.15">
      <c r="I253">
        <v>250</v>
      </c>
    </row>
    <row r="254" spans="9:9" x14ac:dyDescent="0.15">
      <c r="I254">
        <v>251</v>
      </c>
    </row>
    <row r="255" spans="9:9" x14ac:dyDescent="0.15">
      <c r="I255">
        <v>252</v>
      </c>
    </row>
    <row r="256" spans="9:9" x14ac:dyDescent="0.15">
      <c r="I256">
        <v>253</v>
      </c>
    </row>
    <row r="257" spans="9:9" x14ac:dyDescent="0.15">
      <c r="I257">
        <v>254</v>
      </c>
    </row>
    <row r="258" spans="9:9" x14ac:dyDescent="0.15">
      <c r="I258">
        <v>255</v>
      </c>
    </row>
    <row r="259" spans="9:9" x14ac:dyDescent="0.15">
      <c r="I259">
        <v>256</v>
      </c>
    </row>
    <row r="260" spans="9:9" x14ac:dyDescent="0.15">
      <c r="I260">
        <v>257</v>
      </c>
    </row>
    <row r="261" spans="9:9" x14ac:dyDescent="0.15">
      <c r="I261">
        <v>258</v>
      </c>
    </row>
    <row r="262" spans="9:9" x14ac:dyDescent="0.15">
      <c r="I262">
        <v>259</v>
      </c>
    </row>
    <row r="263" spans="9:9" x14ac:dyDescent="0.15">
      <c r="I263">
        <v>260</v>
      </c>
    </row>
    <row r="264" spans="9:9" x14ac:dyDescent="0.15">
      <c r="I264">
        <v>261</v>
      </c>
    </row>
    <row r="265" spans="9:9" x14ac:dyDescent="0.15">
      <c r="I265">
        <v>262</v>
      </c>
    </row>
    <row r="266" spans="9:9" x14ac:dyDescent="0.15">
      <c r="I266">
        <v>263</v>
      </c>
    </row>
    <row r="267" spans="9:9" x14ac:dyDescent="0.15">
      <c r="I267">
        <v>264</v>
      </c>
    </row>
    <row r="268" spans="9:9" x14ac:dyDescent="0.15">
      <c r="I268">
        <v>265</v>
      </c>
    </row>
    <row r="269" spans="9:9" x14ac:dyDescent="0.15">
      <c r="I269">
        <v>266</v>
      </c>
    </row>
    <row r="270" spans="9:9" x14ac:dyDescent="0.15">
      <c r="I270">
        <v>267</v>
      </c>
    </row>
    <row r="271" spans="9:9" x14ac:dyDescent="0.15">
      <c r="I271">
        <v>268</v>
      </c>
    </row>
    <row r="272" spans="9:9" x14ac:dyDescent="0.15">
      <c r="I272">
        <v>269</v>
      </c>
    </row>
    <row r="273" spans="9:9" x14ac:dyDescent="0.15">
      <c r="I273">
        <v>270</v>
      </c>
    </row>
    <row r="274" spans="9:9" x14ac:dyDescent="0.15">
      <c r="I274">
        <v>271</v>
      </c>
    </row>
    <row r="275" spans="9:9" x14ac:dyDescent="0.15">
      <c r="I275">
        <v>272</v>
      </c>
    </row>
    <row r="276" spans="9:9" x14ac:dyDescent="0.15">
      <c r="I276">
        <v>273</v>
      </c>
    </row>
    <row r="277" spans="9:9" x14ac:dyDescent="0.15">
      <c r="I277">
        <v>274</v>
      </c>
    </row>
    <row r="278" spans="9:9" x14ac:dyDescent="0.15">
      <c r="I278">
        <v>275</v>
      </c>
    </row>
    <row r="279" spans="9:9" x14ac:dyDescent="0.15">
      <c r="I279">
        <v>276</v>
      </c>
    </row>
    <row r="280" spans="9:9" x14ac:dyDescent="0.15">
      <c r="I280">
        <v>277</v>
      </c>
    </row>
    <row r="281" spans="9:9" x14ac:dyDescent="0.15">
      <c r="I281">
        <v>278</v>
      </c>
    </row>
    <row r="282" spans="9:9" x14ac:dyDescent="0.15">
      <c r="I282">
        <v>279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B7"/>
  <sheetViews>
    <sheetView workbookViewId="0">
      <selection activeCell="K28" sqref="K28"/>
    </sheetView>
  </sheetViews>
  <sheetFormatPr defaultRowHeight="13.5" x14ac:dyDescent="0.15"/>
  <sheetData>
    <row r="2" spans="1:2" x14ac:dyDescent="0.15">
      <c r="A2" s="8" t="s">
        <v>388</v>
      </c>
      <c r="B2" s="2" t="s">
        <v>394</v>
      </c>
    </row>
    <row r="3" spans="1:2" x14ac:dyDescent="0.15">
      <c r="A3" s="1" t="s">
        <v>389</v>
      </c>
      <c r="B3" s="1">
        <f>'标准新手流程（非R）'!S13</f>
        <v>20</v>
      </c>
    </row>
    <row r="4" spans="1:2" x14ac:dyDescent="0.15">
      <c r="A4" s="1" t="s">
        <v>390</v>
      </c>
      <c r="B4" s="1">
        <f>'标准新手流程（非R）'!S27</f>
        <v>41</v>
      </c>
    </row>
    <row r="5" spans="1:2" x14ac:dyDescent="0.15">
      <c r="A5" s="1" t="s">
        <v>391</v>
      </c>
      <c r="B5" s="1">
        <f>'标准新手流程（非R）'!S37</f>
        <v>48</v>
      </c>
    </row>
    <row r="6" spans="1:2" x14ac:dyDescent="0.15">
      <c r="A6" s="1" t="s">
        <v>392</v>
      </c>
      <c r="B6" s="1">
        <f>'标准新手流程（非R）'!S47</f>
        <v>56</v>
      </c>
    </row>
    <row r="7" spans="1:2" x14ac:dyDescent="0.15">
      <c r="A7" s="1" t="s">
        <v>393</v>
      </c>
      <c r="B7" s="1">
        <f>'标准新手流程（非R）'!S69</f>
        <v>70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3"/>
  <sheetViews>
    <sheetView workbookViewId="0">
      <pane xSplit="1" ySplit="3" topLeftCell="B160" activePane="bottomRight" state="frozen"/>
      <selection pane="topRight" activeCell="B1" sqref="B1"/>
      <selection pane="bottomLeft" activeCell="A4" sqref="A4"/>
      <selection pane="bottomRight" activeCell="B153" sqref="B153:I153"/>
    </sheetView>
  </sheetViews>
  <sheetFormatPr defaultRowHeight="13.5" x14ac:dyDescent="0.15"/>
  <sheetData>
    <row r="2" spans="1:17" x14ac:dyDescent="0.15">
      <c r="B2" s="38" t="s">
        <v>396</v>
      </c>
      <c r="C2" s="39"/>
      <c r="D2" s="39"/>
      <c r="E2" s="39"/>
      <c r="F2" s="39"/>
      <c r="G2" s="39"/>
      <c r="H2" s="39"/>
      <c r="I2" s="39"/>
      <c r="J2" s="40" t="s">
        <v>418</v>
      </c>
      <c r="K2" s="41"/>
      <c r="L2" s="41"/>
      <c r="M2" s="41"/>
      <c r="N2" s="41"/>
      <c r="O2" s="41"/>
      <c r="P2" s="41"/>
      <c r="Q2" s="41"/>
    </row>
    <row r="3" spans="1:17" x14ac:dyDescent="0.15">
      <c r="A3" s="1" t="s">
        <v>395</v>
      </c>
      <c r="B3" s="2" t="s">
        <v>123</v>
      </c>
      <c r="C3" s="2" t="s">
        <v>124</v>
      </c>
      <c r="D3" s="2" t="s">
        <v>125</v>
      </c>
      <c r="E3" s="2" t="s">
        <v>127</v>
      </c>
      <c r="F3" s="2" t="s">
        <v>126</v>
      </c>
      <c r="G3" s="2" t="s">
        <v>128</v>
      </c>
      <c r="H3" s="2" t="s">
        <v>129</v>
      </c>
      <c r="I3" s="2" t="s">
        <v>130</v>
      </c>
      <c r="J3" s="21" t="s">
        <v>123</v>
      </c>
      <c r="K3" s="20" t="s">
        <v>124</v>
      </c>
      <c r="L3" s="20" t="s">
        <v>125</v>
      </c>
      <c r="M3" s="20" t="s">
        <v>127</v>
      </c>
      <c r="N3" s="20" t="s">
        <v>126</v>
      </c>
      <c r="O3" s="20" t="s">
        <v>128</v>
      </c>
      <c r="P3" s="20" t="s">
        <v>129</v>
      </c>
      <c r="Q3" s="20" t="s">
        <v>130</v>
      </c>
    </row>
    <row r="4" spans="1:17" x14ac:dyDescent="0.15">
      <c r="A4" s="1">
        <v>1</v>
      </c>
      <c r="B4" s="1" t="str">
        <f>IF(VLOOKUP($A4,'标准新手流程（非R）'!$P$5:$AL$144,MATCH(B$3,'标准新手流程（非R）'!$P$5:$AL$5,0),1)="","",VLOOKUP($A4,'标准新手流程（非R）'!$P$5:$AL$144,MATCH(B$3,'标准新手流程（非R）'!$P$5:$AL$5,0),1))</f>
        <v/>
      </c>
      <c r="C4" s="1" t="str">
        <f>IF(VLOOKUP($A4,'标准新手流程（非R）'!$P$5:$AL$144,MATCH(C$3,'标准新手流程（非R）'!$P$5:$AL$5,0),1)="","",VLOOKUP($A4,'标准新手流程（非R）'!$P$5:$AL$144,MATCH(C$3,'标准新手流程（非R）'!$P$5:$AL$5,0),1))</f>
        <v/>
      </c>
      <c r="D4" s="1" t="str">
        <f>IF(VLOOKUP($A4,'标准新手流程（非R）'!$P$5:$AL$144,MATCH(D$3,'标准新手流程（非R）'!$P$5:$AL$5,0),1)="","",VLOOKUP($A4,'标准新手流程（非R）'!$P$5:$AL$144,MATCH(D$3,'标准新手流程（非R）'!$P$5:$AL$5,0),1))</f>
        <v/>
      </c>
      <c r="E4" s="1" t="str">
        <f>IF(VLOOKUP($A4,'标准新手流程（非R）'!$P$5:$AL$144,MATCH(E$3,'标准新手流程（非R）'!$P$5:$AL$5,0),1)="","",VLOOKUP($A4,'标准新手流程（非R）'!$P$5:$AL$144,MATCH(E$3,'标准新手流程（非R）'!$P$5:$AL$5,0),1))</f>
        <v/>
      </c>
      <c r="F4" s="1" t="str">
        <f>IF(VLOOKUP($A4,'标准新手流程（非R）'!$P$5:$AL$144,MATCH(F$3,'标准新手流程（非R）'!$P$5:$AL$5,0),1)="","",VLOOKUP($A4,'标准新手流程（非R）'!$P$5:$AL$144,MATCH(F$3,'标准新手流程（非R）'!$P$5:$AL$5,0),1))</f>
        <v/>
      </c>
      <c r="G4" s="1" t="str">
        <f>IF(VLOOKUP($A4,'标准新手流程（非R）'!$P$5:$AL$144,MATCH(G$3,'标准新手流程（非R）'!$P$5:$AL$5,0),1)="","",VLOOKUP($A4,'标准新手流程（非R）'!$P$5:$AL$144,MATCH(G$3,'标准新手流程（非R）'!$P$5:$AL$5,0),1))</f>
        <v/>
      </c>
      <c r="H4" s="1" t="str">
        <f>IF(VLOOKUP($A4,'标准新手流程（非R）'!$P$5:$AL$144,MATCH(H$3,'标准新手流程（非R）'!$P$5:$AL$5,0),1)="","",VLOOKUP($A4,'标准新手流程（非R）'!$P$5:$AL$144,MATCH(H$3,'标准新手流程（非R）'!$P$5:$AL$5,0),1))</f>
        <v/>
      </c>
      <c r="I4" s="1" t="str">
        <f>IF(VLOOKUP($A4,'标准新手流程（非R）'!$P$5:$AL$144,MATCH(I$3,'标准新手流程（非R）'!$P$5:$AL$5,0),1)="","",VLOOKUP($A4,'标准新手流程（非R）'!$P$5:$AL$144,MATCH(I$3,'标准新手流程（非R）'!$P$5:$AL$5,0),1))</f>
        <v/>
      </c>
    </row>
    <row r="5" spans="1:17" x14ac:dyDescent="0.15">
      <c r="A5" s="1">
        <v>2</v>
      </c>
      <c r="B5" s="1" t="str">
        <f>IF(VLOOKUP($A5,'标准新手流程（非R）'!$P$5:$AL$144,MATCH(B$3,'标准新手流程（非R）'!$P$5:$AL$5,0),1)="","",VLOOKUP($A5,'标准新手流程（非R）'!$P$5:$AL$144,MATCH(B$3,'标准新手流程（非R）'!$P$5:$AL$5,0),1))</f>
        <v/>
      </c>
      <c r="C5" s="1" t="str">
        <f>IF(VLOOKUP($A5,'标准新手流程（非R）'!$P$5:$AL$144,MATCH(C$3,'标准新手流程（非R）'!$P$5:$AL$5,0),1)="","",VLOOKUP($A5,'标准新手流程（非R）'!$P$5:$AL$144,MATCH(C$3,'标准新手流程（非R）'!$P$5:$AL$5,0),1))</f>
        <v/>
      </c>
      <c r="D5" s="1" t="str">
        <f>IF(VLOOKUP($A5,'标准新手流程（非R）'!$P$5:$AL$144,MATCH(D$3,'标准新手流程（非R）'!$P$5:$AL$5,0),1)="","",VLOOKUP($A5,'标准新手流程（非R）'!$P$5:$AL$144,MATCH(D$3,'标准新手流程（非R）'!$P$5:$AL$5,0),1))</f>
        <v/>
      </c>
      <c r="E5" s="1" t="str">
        <f>IF(VLOOKUP($A5,'标准新手流程（非R）'!$P$5:$AL$144,MATCH(E$3,'标准新手流程（非R）'!$P$5:$AL$5,0),1)="","",VLOOKUP($A5,'标准新手流程（非R）'!$P$5:$AL$144,MATCH(E$3,'标准新手流程（非R）'!$P$5:$AL$5,0),1))</f>
        <v/>
      </c>
      <c r="F5" s="1" t="str">
        <f>IF(VLOOKUP($A5,'标准新手流程（非R）'!$P$5:$AL$144,MATCH(F$3,'标准新手流程（非R）'!$P$5:$AL$5,0),1)="","",VLOOKUP($A5,'标准新手流程（非R）'!$P$5:$AL$144,MATCH(F$3,'标准新手流程（非R）'!$P$5:$AL$5,0),1))</f>
        <v/>
      </c>
      <c r="G5" s="1" t="str">
        <f>IF(VLOOKUP($A5,'标准新手流程（非R）'!$P$5:$AL$144,MATCH(G$3,'标准新手流程（非R）'!$P$5:$AL$5,0),1)="","",VLOOKUP($A5,'标准新手流程（非R）'!$P$5:$AL$144,MATCH(G$3,'标准新手流程（非R）'!$P$5:$AL$5,0),1))</f>
        <v/>
      </c>
      <c r="H5" s="1" t="str">
        <f>IF(VLOOKUP($A5,'标准新手流程（非R）'!$P$5:$AL$144,MATCH(H$3,'标准新手流程（非R）'!$P$5:$AL$5,0),1)="","",VLOOKUP($A5,'标准新手流程（非R）'!$P$5:$AL$144,MATCH(H$3,'标准新手流程（非R）'!$P$5:$AL$5,0),1))</f>
        <v/>
      </c>
      <c r="I5" s="1" t="str">
        <f>IF(VLOOKUP($A5,'标准新手流程（非R）'!$P$5:$AL$144,MATCH(I$3,'标准新手流程（非R）'!$P$5:$AL$5,0),1)="","",VLOOKUP($A5,'标准新手流程（非R）'!$P$5:$AL$144,MATCH(I$3,'标准新手流程（非R）'!$P$5:$AL$5,0),1))</f>
        <v/>
      </c>
    </row>
    <row r="6" spans="1:17" x14ac:dyDescent="0.15">
      <c r="A6" s="1">
        <v>3</v>
      </c>
      <c r="B6" s="1" t="str">
        <f>IF(VLOOKUP($A6,'标准新手流程（非R）'!$P$5:$AL$144,MATCH(B$3,'标准新手流程（非R）'!$P$5:$AL$5,0),1)="","",VLOOKUP($A6,'标准新手流程（非R）'!$P$5:$AL$144,MATCH(B$3,'标准新手流程（非R）'!$P$5:$AL$5,0),1))</f>
        <v/>
      </c>
      <c r="C6" s="1" t="str">
        <f>IF(VLOOKUP($A6,'标准新手流程（非R）'!$P$5:$AL$144,MATCH(C$3,'标准新手流程（非R）'!$P$5:$AL$5,0),1)="","",VLOOKUP($A6,'标准新手流程（非R）'!$P$5:$AL$144,MATCH(C$3,'标准新手流程（非R）'!$P$5:$AL$5,0),1))</f>
        <v/>
      </c>
      <c r="D6" s="1" t="str">
        <f>IF(VLOOKUP($A6,'标准新手流程（非R）'!$P$5:$AL$144,MATCH(D$3,'标准新手流程（非R）'!$P$5:$AL$5,0),1)="","",VLOOKUP($A6,'标准新手流程（非R）'!$P$5:$AL$144,MATCH(D$3,'标准新手流程（非R）'!$P$5:$AL$5,0),1))</f>
        <v/>
      </c>
      <c r="E6" s="1" t="str">
        <f>IF(VLOOKUP($A6,'标准新手流程（非R）'!$P$5:$AL$144,MATCH(E$3,'标准新手流程（非R）'!$P$5:$AL$5,0),1)="","",VLOOKUP($A6,'标准新手流程（非R）'!$P$5:$AL$144,MATCH(E$3,'标准新手流程（非R）'!$P$5:$AL$5,0),1))</f>
        <v/>
      </c>
      <c r="F6" s="1" t="str">
        <f>IF(VLOOKUP($A6,'标准新手流程（非R）'!$P$5:$AL$144,MATCH(F$3,'标准新手流程（非R）'!$P$5:$AL$5,0),1)="","",VLOOKUP($A6,'标准新手流程（非R）'!$P$5:$AL$144,MATCH(F$3,'标准新手流程（非R）'!$P$5:$AL$5,0),1))</f>
        <v/>
      </c>
      <c r="G6" s="1" t="str">
        <f>IF(VLOOKUP($A6,'标准新手流程（非R）'!$P$5:$AL$144,MATCH(G$3,'标准新手流程（非R）'!$P$5:$AL$5,0),1)="","",VLOOKUP($A6,'标准新手流程（非R）'!$P$5:$AL$144,MATCH(G$3,'标准新手流程（非R）'!$P$5:$AL$5,0),1))</f>
        <v/>
      </c>
      <c r="H6" s="1" t="str">
        <f>IF(VLOOKUP($A6,'标准新手流程（非R）'!$P$5:$AL$144,MATCH(H$3,'标准新手流程（非R）'!$P$5:$AL$5,0),1)="","",VLOOKUP($A6,'标准新手流程（非R）'!$P$5:$AL$144,MATCH(H$3,'标准新手流程（非R）'!$P$5:$AL$5,0),1))</f>
        <v/>
      </c>
      <c r="I6" s="1" t="str">
        <f>IF(VLOOKUP($A6,'标准新手流程（非R）'!$P$5:$AL$144,MATCH(I$3,'标准新手流程（非R）'!$P$5:$AL$5,0),1)="","",VLOOKUP($A6,'标准新手流程（非R）'!$P$5:$AL$144,MATCH(I$3,'标准新手流程（非R）'!$P$5:$AL$5,0),1))</f>
        <v/>
      </c>
    </row>
    <row r="7" spans="1:17" x14ac:dyDescent="0.15">
      <c r="A7" s="1">
        <v>4</v>
      </c>
      <c r="B7" s="1" t="str">
        <f>IF(VLOOKUP($A7,'标准新手流程（非R）'!$P$5:$AL$144,MATCH(B$3,'标准新手流程（非R）'!$P$5:$AL$5,0),1)="","",VLOOKUP($A7,'标准新手流程（非R）'!$P$5:$AL$144,MATCH(B$3,'标准新手流程（非R）'!$P$5:$AL$5,0),1))</f>
        <v/>
      </c>
      <c r="C7" s="1" t="str">
        <f>IF(VLOOKUP($A7,'标准新手流程（非R）'!$P$5:$AL$144,MATCH(C$3,'标准新手流程（非R）'!$P$5:$AL$5,0),1)="","",VLOOKUP($A7,'标准新手流程（非R）'!$P$5:$AL$144,MATCH(C$3,'标准新手流程（非R）'!$P$5:$AL$5,0),1))</f>
        <v/>
      </c>
      <c r="D7" s="1" t="str">
        <f>IF(VLOOKUP($A7,'标准新手流程（非R）'!$P$5:$AL$144,MATCH(D$3,'标准新手流程（非R）'!$P$5:$AL$5,0),1)="","",VLOOKUP($A7,'标准新手流程（非R）'!$P$5:$AL$144,MATCH(D$3,'标准新手流程（非R）'!$P$5:$AL$5,0),1))</f>
        <v/>
      </c>
      <c r="E7" s="1" t="str">
        <f>IF(VLOOKUP($A7,'标准新手流程（非R）'!$P$5:$AL$144,MATCH(E$3,'标准新手流程（非R）'!$P$5:$AL$5,0),1)="","",VLOOKUP($A7,'标准新手流程（非R）'!$P$5:$AL$144,MATCH(E$3,'标准新手流程（非R）'!$P$5:$AL$5,0),1))</f>
        <v/>
      </c>
      <c r="F7" s="1" t="str">
        <f>IF(VLOOKUP($A7,'标准新手流程（非R）'!$P$5:$AL$144,MATCH(F$3,'标准新手流程（非R）'!$P$5:$AL$5,0),1)="","",VLOOKUP($A7,'标准新手流程（非R）'!$P$5:$AL$144,MATCH(F$3,'标准新手流程（非R）'!$P$5:$AL$5,0),1))</f>
        <v/>
      </c>
      <c r="G7" s="1" t="str">
        <f>IF(VLOOKUP($A7,'标准新手流程（非R）'!$P$5:$AL$144,MATCH(G$3,'标准新手流程（非R）'!$P$5:$AL$5,0),1)="","",VLOOKUP($A7,'标准新手流程（非R）'!$P$5:$AL$144,MATCH(G$3,'标准新手流程（非R）'!$P$5:$AL$5,0),1))</f>
        <v/>
      </c>
      <c r="H7" s="1" t="str">
        <f>IF(VLOOKUP($A7,'标准新手流程（非R）'!$P$5:$AL$144,MATCH(H$3,'标准新手流程（非R）'!$P$5:$AL$5,0),1)="","",VLOOKUP($A7,'标准新手流程（非R）'!$P$5:$AL$144,MATCH(H$3,'标准新手流程（非R）'!$P$5:$AL$5,0),1))</f>
        <v/>
      </c>
      <c r="I7" s="1" t="str">
        <f>IF(VLOOKUP($A7,'标准新手流程（非R）'!$P$5:$AL$144,MATCH(I$3,'标准新手流程（非R）'!$P$5:$AL$5,0),1)="","",VLOOKUP($A7,'标准新手流程（非R）'!$P$5:$AL$144,MATCH(I$3,'标准新手流程（非R）'!$P$5:$AL$5,0),1))</f>
        <v/>
      </c>
    </row>
    <row r="8" spans="1:17" x14ac:dyDescent="0.15">
      <c r="A8" s="1">
        <v>5</v>
      </c>
      <c r="B8" s="1" t="str">
        <f>IF(VLOOKUP($A8,'标准新手流程（非R）'!$P$5:$AL$144,MATCH(B$3,'标准新手流程（非R）'!$P$5:$AL$5,0),1)="","",VLOOKUP($A8,'标准新手流程（非R）'!$P$5:$AL$144,MATCH(B$3,'标准新手流程（非R）'!$P$5:$AL$5,0),1))</f>
        <v/>
      </c>
      <c r="C8" s="1" t="str">
        <f>IF(VLOOKUP($A8,'标准新手流程（非R）'!$P$5:$AL$144,MATCH(C$3,'标准新手流程（非R）'!$P$5:$AL$5,0),1)="","",VLOOKUP($A8,'标准新手流程（非R）'!$P$5:$AL$144,MATCH(C$3,'标准新手流程（非R）'!$P$5:$AL$5,0),1))</f>
        <v/>
      </c>
      <c r="D8" s="1" t="str">
        <f>IF(VLOOKUP($A8,'标准新手流程（非R）'!$P$5:$AL$144,MATCH(D$3,'标准新手流程（非R）'!$P$5:$AL$5,0),1)="","",VLOOKUP($A8,'标准新手流程（非R）'!$P$5:$AL$144,MATCH(D$3,'标准新手流程（非R）'!$P$5:$AL$5,0),1))</f>
        <v/>
      </c>
      <c r="E8" s="1" t="str">
        <f>IF(VLOOKUP($A8,'标准新手流程（非R）'!$P$5:$AL$144,MATCH(E$3,'标准新手流程（非R）'!$P$5:$AL$5,0),1)="","",VLOOKUP($A8,'标准新手流程（非R）'!$P$5:$AL$144,MATCH(E$3,'标准新手流程（非R）'!$P$5:$AL$5,0),1))</f>
        <v/>
      </c>
      <c r="F8" s="1" t="str">
        <f>IF(VLOOKUP($A8,'标准新手流程（非R）'!$P$5:$AL$144,MATCH(F$3,'标准新手流程（非R）'!$P$5:$AL$5,0),1)="","",VLOOKUP($A8,'标准新手流程（非R）'!$P$5:$AL$144,MATCH(F$3,'标准新手流程（非R）'!$P$5:$AL$5,0),1))</f>
        <v/>
      </c>
      <c r="G8" s="1" t="str">
        <f>IF(VLOOKUP($A8,'标准新手流程（非R）'!$P$5:$AL$144,MATCH(G$3,'标准新手流程（非R）'!$P$5:$AL$5,0),1)="","",VLOOKUP($A8,'标准新手流程（非R）'!$P$5:$AL$144,MATCH(G$3,'标准新手流程（非R）'!$P$5:$AL$5,0),1))</f>
        <v/>
      </c>
      <c r="H8" s="1" t="str">
        <f>IF(VLOOKUP($A8,'标准新手流程（非R）'!$P$5:$AL$144,MATCH(H$3,'标准新手流程（非R）'!$P$5:$AL$5,0),1)="","",VLOOKUP($A8,'标准新手流程（非R）'!$P$5:$AL$144,MATCH(H$3,'标准新手流程（非R）'!$P$5:$AL$5,0),1))</f>
        <v/>
      </c>
      <c r="I8" s="1" t="str">
        <f>IF(VLOOKUP($A8,'标准新手流程（非R）'!$P$5:$AL$144,MATCH(I$3,'标准新手流程（非R）'!$P$5:$AL$5,0),1)="","",VLOOKUP($A8,'标准新手流程（非R）'!$P$5:$AL$144,MATCH(I$3,'标准新手流程（非R）'!$P$5:$AL$5,0),1))</f>
        <v/>
      </c>
    </row>
    <row r="9" spans="1:17" x14ac:dyDescent="0.15">
      <c r="A9" s="1">
        <v>6</v>
      </c>
      <c r="B9" s="1" t="str">
        <f>IF(VLOOKUP($A9,'标准新手流程（非R）'!$P$5:$AL$144,MATCH(B$3,'标准新手流程（非R）'!$P$5:$AL$5,0),1)="","",VLOOKUP($A9,'标准新手流程（非R）'!$P$5:$AL$144,MATCH(B$3,'标准新手流程（非R）'!$P$5:$AL$5,0),1))</f>
        <v/>
      </c>
      <c r="C9" s="1" t="str">
        <f>IF(VLOOKUP($A9,'标准新手流程（非R）'!$P$5:$AL$144,MATCH(C$3,'标准新手流程（非R）'!$P$5:$AL$5,0),1)="","",VLOOKUP($A9,'标准新手流程（非R）'!$P$5:$AL$144,MATCH(C$3,'标准新手流程（非R）'!$P$5:$AL$5,0),1))</f>
        <v/>
      </c>
      <c r="D9" s="1" t="str">
        <f>IF(VLOOKUP($A9,'标准新手流程（非R）'!$P$5:$AL$144,MATCH(D$3,'标准新手流程（非R）'!$P$5:$AL$5,0),1)="","",VLOOKUP($A9,'标准新手流程（非R）'!$P$5:$AL$144,MATCH(D$3,'标准新手流程（非R）'!$P$5:$AL$5,0),1))</f>
        <v/>
      </c>
      <c r="E9" s="1" t="str">
        <f>IF(VLOOKUP($A9,'标准新手流程（非R）'!$P$5:$AL$144,MATCH(E$3,'标准新手流程（非R）'!$P$5:$AL$5,0),1)="","",VLOOKUP($A9,'标准新手流程（非R）'!$P$5:$AL$144,MATCH(E$3,'标准新手流程（非R）'!$P$5:$AL$5,0),1))</f>
        <v/>
      </c>
      <c r="F9" s="1" t="str">
        <f>IF(VLOOKUP($A9,'标准新手流程（非R）'!$P$5:$AL$144,MATCH(F$3,'标准新手流程（非R）'!$P$5:$AL$5,0),1)="","",VLOOKUP($A9,'标准新手流程（非R）'!$P$5:$AL$144,MATCH(F$3,'标准新手流程（非R）'!$P$5:$AL$5,0),1))</f>
        <v/>
      </c>
      <c r="G9" s="1" t="str">
        <f>IF(VLOOKUP($A9,'标准新手流程（非R）'!$P$5:$AL$144,MATCH(G$3,'标准新手流程（非R）'!$P$5:$AL$5,0),1)="","",VLOOKUP($A9,'标准新手流程（非R）'!$P$5:$AL$144,MATCH(G$3,'标准新手流程（非R）'!$P$5:$AL$5,0),1))</f>
        <v/>
      </c>
      <c r="H9" s="1" t="str">
        <f>IF(VLOOKUP($A9,'标准新手流程（非R）'!$P$5:$AL$144,MATCH(H$3,'标准新手流程（非R）'!$P$5:$AL$5,0),1)="","",VLOOKUP($A9,'标准新手流程（非R）'!$P$5:$AL$144,MATCH(H$3,'标准新手流程（非R）'!$P$5:$AL$5,0),1))</f>
        <v/>
      </c>
      <c r="I9" s="1" t="str">
        <f>IF(VLOOKUP($A9,'标准新手流程（非R）'!$P$5:$AL$144,MATCH(I$3,'标准新手流程（非R）'!$P$5:$AL$5,0),1)="","",VLOOKUP($A9,'标准新手流程（非R）'!$P$5:$AL$144,MATCH(I$3,'标准新手流程（非R）'!$P$5:$AL$5,0),1))</f>
        <v/>
      </c>
    </row>
    <row r="10" spans="1:17" x14ac:dyDescent="0.15">
      <c r="A10" s="1">
        <v>7</v>
      </c>
      <c r="B10" s="1" t="str">
        <f>IF(VLOOKUP($A10,'标准新手流程（非R）'!$P$5:$AL$144,MATCH(B$3,'标准新手流程（非R）'!$P$5:$AL$5,0),1)="","",VLOOKUP($A10,'标准新手流程（非R）'!$P$5:$AL$144,MATCH(B$3,'标准新手流程（非R）'!$P$5:$AL$5,0),1))</f>
        <v/>
      </c>
      <c r="C10" s="1" t="str">
        <f>IF(VLOOKUP($A10,'标准新手流程（非R）'!$P$5:$AL$144,MATCH(C$3,'标准新手流程（非R）'!$P$5:$AL$5,0),1)="","",VLOOKUP($A10,'标准新手流程（非R）'!$P$5:$AL$144,MATCH(C$3,'标准新手流程（非R）'!$P$5:$AL$5,0),1))</f>
        <v/>
      </c>
      <c r="D10" s="1" t="str">
        <f>IF(VLOOKUP($A10,'标准新手流程（非R）'!$P$5:$AL$144,MATCH(D$3,'标准新手流程（非R）'!$P$5:$AL$5,0),1)="","",VLOOKUP($A10,'标准新手流程（非R）'!$P$5:$AL$144,MATCH(D$3,'标准新手流程（非R）'!$P$5:$AL$5,0),1))</f>
        <v/>
      </c>
      <c r="E10" s="1" t="str">
        <f>IF(VLOOKUP($A10,'标准新手流程（非R）'!$P$5:$AL$144,MATCH(E$3,'标准新手流程（非R）'!$P$5:$AL$5,0),1)="","",VLOOKUP($A10,'标准新手流程（非R）'!$P$5:$AL$144,MATCH(E$3,'标准新手流程（非R）'!$P$5:$AL$5,0),1))</f>
        <v/>
      </c>
      <c r="F10" s="1" t="str">
        <f>IF(VLOOKUP($A10,'标准新手流程（非R）'!$P$5:$AL$144,MATCH(F$3,'标准新手流程（非R）'!$P$5:$AL$5,0),1)="","",VLOOKUP($A10,'标准新手流程（非R）'!$P$5:$AL$144,MATCH(F$3,'标准新手流程（非R）'!$P$5:$AL$5,0),1))</f>
        <v/>
      </c>
      <c r="G10" s="1" t="str">
        <f>IF(VLOOKUP($A10,'标准新手流程（非R）'!$P$5:$AL$144,MATCH(G$3,'标准新手流程（非R）'!$P$5:$AL$5,0),1)="","",VLOOKUP($A10,'标准新手流程（非R）'!$P$5:$AL$144,MATCH(G$3,'标准新手流程（非R）'!$P$5:$AL$5,0),1))</f>
        <v/>
      </c>
      <c r="H10" s="1" t="str">
        <f>IF(VLOOKUP($A10,'标准新手流程（非R）'!$P$5:$AL$144,MATCH(H$3,'标准新手流程（非R）'!$P$5:$AL$5,0),1)="","",VLOOKUP($A10,'标准新手流程（非R）'!$P$5:$AL$144,MATCH(H$3,'标准新手流程（非R）'!$P$5:$AL$5,0),1))</f>
        <v/>
      </c>
      <c r="I10" s="1" t="str">
        <f>IF(VLOOKUP($A10,'标准新手流程（非R）'!$P$5:$AL$144,MATCH(I$3,'标准新手流程（非R）'!$P$5:$AL$5,0),1)="","",VLOOKUP($A10,'标准新手流程（非R）'!$P$5:$AL$144,MATCH(I$3,'标准新手流程（非R）'!$P$5:$AL$5,0),1))</f>
        <v/>
      </c>
    </row>
    <row r="11" spans="1:17" x14ac:dyDescent="0.15">
      <c r="A11" s="1">
        <v>8</v>
      </c>
      <c r="B11" s="1" t="str">
        <f>IF(VLOOKUP($A11,'标准新手流程（非R）'!$P$5:$AL$144,MATCH(B$3,'标准新手流程（非R）'!$P$5:$AL$5,0),1)="","",VLOOKUP($A11,'标准新手流程（非R）'!$P$5:$AL$144,MATCH(B$3,'标准新手流程（非R）'!$P$5:$AL$5,0),1))</f>
        <v/>
      </c>
      <c r="C11" s="1" t="str">
        <f>IF(VLOOKUP($A11,'标准新手流程（非R）'!$P$5:$AL$144,MATCH(C$3,'标准新手流程（非R）'!$P$5:$AL$5,0),1)="","",VLOOKUP($A11,'标准新手流程（非R）'!$P$5:$AL$144,MATCH(C$3,'标准新手流程（非R）'!$P$5:$AL$5,0),1))</f>
        <v/>
      </c>
      <c r="D11" s="1" t="str">
        <f>IF(VLOOKUP($A11,'标准新手流程（非R）'!$P$5:$AL$144,MATCH(D$3,'标准新手流程（非R）'!$P$5:$AL$5,0),1)="","",VLOOKUP($A11,'标准新手流程（非R）'!$P$5:$AL$144,MATCH(D$3,'标准新手流程（非R）'!$P$5:$AL$5,0),1))</f>
        <v/>
      </c>
      <c r="E11" s="1" t="str">
        <f>IF(VLOOKUP($A11,'标准新手流程（非R）'!$P$5:$AL$144,MATCH(E$3,'标准新手流程（非R）'!$P$5:$AL$5,0),1)="","",VLOOKUP($A11,'标准新手流程（非R）'!$P$5:$AL$144,MATCH(E$3,'标准新手流程（非R）'!$P$5:$AL$5,0),1))</f>
        <v/>
      </c>
      <c r="F11" s="1" t="str">
        <f>IF(VLOOKUP($A11,'标准新手流程（非R）'!$P$5:$AL$144,MATCH(F$3,'标准新手流程（非R）'!$P$5:$AL$5,0),1)="","",VLOOKUP($A11,'标准新手流程（非R）'!$P$5:$AL$144,MATCH(F$3,'标准新手流程（非R）'!$P$5:$AL$5,0),1))</f>
        <v/>
      </c>
      <c r="G11" s="1" t="str">
        <f>IF(VLOOKUP($A11,'标准新手流程（非R）'!$P$5:$AL$144,MATCH(G$3,'标准新手流程（非R）'!$P$5:$AL$5,0),1)="","",VLOOKUP($A11,'标准新手流程（非R）'!$P$5:$AL$144,MATCH(G$3,'标准新手流程（非R）'!$P$5:$AL$5,0),1))</f>
        <v/>
      </c>
      <c r="H11" s="1" t="str">
        <f>IF(VLOOKUP($A11,'标准新手流程（非R）'!$P$5:$AL$144,MATCH(H$3,'标准新手流程（非R）'!$P$5:$AL$5,0),1)="","",VLOOKUP($A11,'标准新手流程（非R）'!$P$5:$AL$144,MATCH(H$3,'标准新手流程（非R）'!$P$5:$AL$5,0),1))</f>
        <v/>
      </c>
      <c r="I11" s="1" t="str">
        <f>IF(VLOOKUP($A11,'标准新手流程（非R）'!$P$5:$AL$144,MATCH(I$3,'标准新手流程（非R）'!$P$5:$AL$5,0),1)="","",VLOOKUP($A11,'标准新手流程（非R）'!$P$5:$AL$144,MATCH(I$3,'标准新手流程（非R）'!$P$5:$AL$5,0),1))</f>
        <v/>
      </c>
    </row>
    <row r="12" spans="1:17" x14ac:dyDescent="0.15">
      <c r="A12" s="1">
        <v>9</v>
      </c>
      <c r="B12" s="1" t="str">
        <f>IF(VLOOKUP($A12,'标准新手流程（非R）'!$P$5:$AL$144,MATCH(B$3,'标准新手流程（非R）'!$P$5:$AL$5,0),1)="","",VLOOKUP($A12,'标准新手流程（非R）'!$P$5:$AL$144,MATCH(B$3,'标准新手流程（非R）'!$P$5:$AL$5,0),1))</f>
        <v>1级白</v>
      </c>
      <c r="C12" s="1" t="str">
        <f>IF(VLOOKUP($A12,'标准新手流程（非R）'!$P$5:$AL$144,MATCH(C$3,'标准新手流程（非R）'!$P$5:$AL$5,0),1)="","",VLOOKUP($A12,'标准新手流程（非R）'!$P$5:$AL$144,MATCH(C$3,'标准新手流程（非R）'!$P$5:$AL$5,0),1))</f>
        <v/>
      </c>
      <c r="D12" s="1" t="str">
        <f>IF(VLOOKUP($A12,'标准新手流程（非R）'!$P$5:$AL$144,MATCH(D$3,'标准新手流程（非R）'!$P$5:$AL$5,0),1)="","",VLOOKUP($A12,'标准新手流程（非R）'!$P$5:$AL$144,MATCH(D$3,'标准新手流程（非R）'!$P$5:$AL$5,0),1))</f>
        <v/>
      </c>
      <c r="E12" s="1" t="str">
        <f>IF(VLOOKUP($A12,'标准新手流程（非R）'!$P$5:$AL$144,MATCH(E$3,'标准新手流程（非R）'!$P$5:$AL$5,0),1)="","",VLOOKUP($A12,'标准新手流程（非R）'!$P$5:$AL$144,MATCH(E$3,'标准新手流程（非R）'!$P$5:$AL$5,0),1))</f>
        <v/>
      </c>
      <c r="F12" s="1" t="str">
        <f>IF(VLOOKUP($A12,'标准新手流程（非R）'!$P$5:$AL$144,MATCH(F$3,'标准新手流程（非R）'!$P$5:$AL$5,0),1)="","",VLOOKUP($A12,'标准新手流程（非R）'!$P$5:$AL$144,MATCH(F$3,'标准新手流程（非R）'!$P$5:$AL$5,0),1))</f>
        <v/>
      </c>
      <c r="G12" s="1" t="str">
        <f>IF(VLOOKUP($A12,'标准新手流程（非R）'!$P$5:$AL$144,MATCH(G$3,'标准新手流程（非R）'!$P$5:$AL$5,0),1)="","",VLOOKUP($A12,'标准新手流程（非R）'!$P$5:$AL$144,MATCH(G$3,'标准新手流程（非R）'!$P$5:$AL$5,0),1))</f>
        <v/>
      </c>
      <c r="H12" s="1" t="str">
        <f>IF(VLOOKUP($A12,'标准新手流程（非R）'!$P$5:$AL$144,MATCH(H$3,'标准新手流程（非R）'!$P$5:$AL$5,0),1)="","",VLOOKUP($A12,'标准新手流程（非R）'!$P$5:$AL$144,MATCH(H$3,'标准新手流程（非R）'!$P$5:$AL$5,0),1))</f>
        <v/>
      </c>
      <c r="I12" s="1" t="str">
        <f>IF(VLOOKUP($A12,'标准新手流程（非R）'!$P$5:$AL$144,MATCH(I$3,'标准新手流程（非R）'!$P$5:$AL$5,0),1)="","",VLOOKUP($A12,'标准新手流程（非R）'!$P$5:$AL$144,MATCH(I$3,'标准新手流程（非R）'!$P$5:$AL$5,0),1))</f>
        <v/>
      </c>
    </row>
    <row r="13" spans="1:17" x14ac:dyDescent="0.15">
      <c r="A13" s="1">
        <v>10</v>
      </c>
      <c r="B13" s="1" t="str">
        <f>IF(VLOOKUP($A13,'标准新手流程（非R）'!$P$5:$AL$144,MATCH(B$3,'标准新手流程（非R）'!$P$5:$AL$5,0),1)="","",VLOOKUP($A13,'标准新手流程（非R）'!$P$5:$AL$144,MATCH(B$3,'标准新手流程（非R）'!$P$5:$AL$5,0),1))</f>
        <v>1级白</v>
      </c>
      <c r="C13" s="1" t="str">
        <f>IF(VLOOKUP($A13,'标准新手流程（非R）'!$P$5:$AL$144,MATCH(C$3,'标准新手流程（非R）'!$P$5:$AL$5,0),1)="","",VLOOKUP($A13,'标准新手流程（非R）'!$P$5:$AL$144,MATCH(C$3,'标准新手流程（非R）'!$P$5:$AL$5,0),1))</f>
        <v/>
      </c>
      <c r="D13" s="1" t="str">
        <f>IF(VLOOKUP($A13,'标准新手流程（非R）'!$P$5:$AL$144,MATCH(D$3,'标准新手流程（非R）'!$P$5:$AL$5,0),1)="","",VLOOKUP($A13,'标准新手流程（非R）'!$P$5:$AL$144,MATCH(D$3,'标准新手流程（非R）'!$P$5:$AL$5,0),1))</f>
        <v/>
      </c>
      <c r="E13" s="1" t="str">
        <f>IF(VLOOKUP($A13,'标准新手流程（非R）'!$P$5:$AL$144,MATCH(E$3,'标准新手流程（非R）'!$P$5:$AL$5,0),1)="","",VLOOKUP($A13,'标准新手流程（非R）'!$P$5:$AL$144,MATCH(E$3,'标准新手流程（非R）'!$P$5:$AL$5,0),1))</f>
        <v/>
      </c>
      <c r="F13" s="1" t="str">
        <f>IF(VLOOKUP($A13,'标准新手流程（非R）'!$P$5:$AL$144,MATCH(F$3,'标准新手流程（非R）'!$P$5:$AL$5,0),1)="","",VLOOKUP($A13,'标准新手流程（非R）'!$P$5:$AL$144,MATCH(F$3,'标准新手流程（非R）'!$P$5:$AL$5,0),1))</f>
        <v/>
      </c>
      <c r="G13" s="1" t="str">
        <f>IF(VLOOKUP($A13,'标准新手流程（非R）'!$P$5:$AL$144,MATCH(G$3,'标准新手流程（非R）'!$P$5:$AL$5,0),1)="","",VLOOKUP($A13,'标准新手流程（非R）'!$P$5:$AL$144,MATCH(G$3,'标准新手流程（非R）'!$P$5:$AL$5,0),1))</f>
        <v/>
      </c>
      <c r="H13" s="1" t="str">
        <f>IF(VLOOKUP($A13,'标准新手流程（非R）'!$P$5:$AL$144,MATCH(H$3,'标准新手流程（非R）'!$P$5:$AL$5,0),1)="","",VLOOKUP($A13,'标准新手流程（非R）'!$P$5:$AL$144,MATCH(H$3,'标准新手流程（非R）'!$P$5:$AL$5,0),1))</f>
        <v/>
      </c>
      <c r="I13" s="1" t="str">
        <f>IF(VLOOKUP($A13,'标准新手流程（非R）'!$P$5:$AL$144,MATCH(I$3,'标准新手流程（非R）'!$P$5:$AL$5,0),1)="","",VLOOKUP($A13,'标准新手流程（非R）'!$P$5:$AL$144,MATCH(I$3,'标准新手流程（非R）'!$P$5:$AL$5,0),1))</f>
        <v/>
      </c>
    </row>
    <row r="14" spans="1:17" x14ac:dyDescent="0.15">
      <c r="A14" s="1">
        <v>11</v>
      </c>
      <c r="B14" s="1" t="str">
        <f>IF(VLOOKUP($A14,'标准新手流程（非R）'!$P$5:$AL$144,MATCH(B$3,'标准新手流程（非R）'!$P$5:$AL$5,0),1)="","",VLOOKUP($A14,'标准新手流程（非R）'!$P$5:$AL$144,MATCH(B$3,'标准新手流程（非R）'!$P$5:$AL$5,0),1))</f>
        <v>1级白</v>
      </c>
      <c r="C14" s="1" t="str">
        <f>IF(VLOOKUP($A14,'标准新手流程（非R）'!$P$5:$AL$144,MATCH(C$3,'标准新手流程（非R）'!$P$5:$AL$5,0),1)="","",VLOOKUP($A14,'标准新手流程（非R）'!$P$5:$AL$144,MATCH(C$3,'标准新手流程（非R）'!$P$5:$AL$5,0),1))</f>
        <v/>
      </c>
      <c r="D14" s="1" t="str">
        <f>IF(VLOOKUP($A14,'标准新手流程（非R）'!$P$5:$AL$144,MATCH(D$3,'标准新手流程（非R）'!$P$5:$AL$5,0),1)="","",VLOOKUP($A14,'标准新手流程（非R）'!$P$5:$AL$144,MATCH(D$3,'标准新手流程（非R）'!$P$5:$AL$5,0),1))</f>
        <v/>
      </c>
      <c r="E14" s="1" t="str">
        <f>IF(VLOOKUP($A14,'标准新手流程（非R）'!$P$5:$AL$144,MATCH(E$3,'标准新手流程（非R）'!$P$5:$AL$5,0),1)="","",VLOOKUP($A14,'标准新手流程（非R）'!$P$5:$AL$144,MATCH(E$3,'标准新手流程（非R）'!$P$5:$AL$5,0),1))</f>
        <v/>
      </c>
      <c r="F14" s="1" t="str">
        <f>IF(VLOOKUP($A14,'标准新手流程（非R）'!$P$5:$AL$144,MATCH(F$3,'标准新手流程（非R）'!$P$5:$AL$5,0),1)="","",VLOOKUP($A14,'标准新手流程（非R）'!$P$5:$AL$144,MATCH(F$3,'标准新手流程（非R）'!$P$5:$AL$5,0),1))</f>
        <v/>
      </c>
      <c r="G14" s="1" t="str">
        <f>IF(VLOOKUP($A14,'标准新手流程（非R）'!$P$5:$AL$144,MATCH(G$3,'标准新手流程（非R）'!$P$5:$AL$5,0),1)="","",VLOOKUP($A14,'标准新手流程（非R）'!$P$5:$AL$144,MATCH(G$3,'标准新手流程（非R）'!$P$5:$AL$5,0),1))</f>
        <v/>
      </c>
      <c r="H14" s="1" t="str">
        <f>IF(VLOOKUP($A14,'标准新手流程（非R）'!$P$5:$AL$144,MATCH(H$3,'标准新手流程（非R）'!$P$5:$AL$5,0),1)="","",VLOOKUP($A14,'标准新手流程（非R）'!$P$5:$AL$144,MATCH(H$3,'标准新手流程（非R）'!$P$5:$AL$5,0),1))</f>
        <v/>
      </c>
      <c r="I14" s="1" t="str">
        <f>IF(VLOOKUP($A14,'标准新手流程（非R）'!$P$5:$AL$144,MATCH(I$3,'标准新手流程（非R）'!$P$5:$AL$5,0),1)="","",VLOOKUP($A14,'标准新手流程（非R）'!$P$5:$AL$144,MATCH(I$3,'标准新手流程（非R）'!$P$5:$AL$5,0),1))</f>
        <v/>
      </c>
    </row>
    <row r="15" spans="1:17" x14ac:dyDescent="0.15">
      <c r="A15" s="1">
        <v>12</v>
      </c>
      <c r="B15" s="1" t="str">
        <f>IF(VLOOKUP($A15,'标准新手流程（非R）'!$P$5:$AL$144,MATCH(B$3,'标准新手流程（非R）'!$P$5:$AL$5,0),1)="","",VLOOKUP($A15,'标准新手流程（非R）'!$P$5:$AL$144,MATCH(B$3,'标准新手流程（非R）'!$P$5:$AL$5,0),1))</f>
        <v>1级白</v>
      </c>
      <c r="C15" s="1" t="str">
        <f>IF(VLOOKUP($A15,'标准新手流程（非R）'!$P$5:$AL$144,MATCH(C$3,'标准新手流程（非R）'!$P$5:$AL$5,0),1)="","",VLOOKUP($A15,'标准新手流程（非R）'!$P$5:$AL$144,MATCH(C$3,'标准新手流程（非R）'!$P$5:$AL$5,0),1))</f>
        <v/>
      </c>
      <c r="D15" s="1" t="str">
        <f>IF(VLOOKUP($A15,'标准新手流程（非R）'!$P$5:$AL$144,MATCH(D$3,'标准新手流程（非R）'!$P$5:$AL$5,0),1)="","",VLOOKUP($A15,'标准新手流程（非R）'!$P$5:$AL$144,MATCH(D$3,'标准新手流程（非R）'!$P$5:$AL$5,0),1))</f>
        <v/>
      </c>
      <c r="E15" s="1" t="str">
        <f>IF(VLOOKUP($A15,'标准新手流程（非R）'!$P$5:$AL$144,MATCH(E$3,'标准新手流程（非R）'!$P$5:$AL$5,0),1)="","",VLOOKUP($A15,'标准新手流程（非R）'!$P$5:$AL$144,MATCH(E$3,'标准新手流程（非R）'!$P$5:$AL$5,0),1))</f>
        <v/>
      </c>
      <c r="F15" s="1" t="str">
        <f>IF(VLOOKUP($A15,'标准新手流程（非R）'!$P$5:$AL$144,MATCH(F$3,'标准新手流程（非R）'!$P$5:$AL$5,0),1)="","",VLOOKUP($A15,'标准新手流程（非R）'!$P$5:$AL$144,MATCH(F$3,'标准新手流程（非R）'!$P$5:$AL$5,0),1))</f>
        <v/>
      </c>
      <c r="G15" s="1" t="str">
        <f>IF(VLOOKUP($A15,'标准新手流程（非R）'!$P$5:$AL$144,MATCH(G$3,'标准新手流程（非R）'!$P$5:$AL$5,0),1)="","",VLOOKUP($A15,'标准新手流程（非R）'!$P$5:$AL$144,MATCH(G$3,'标准新手流程（非R）'!$P$5:$AL$5,0),1))</f>
        <v/>
      </c>
      <c r="H15" s="1" t="str">
        <f>IF(VLOOKUP($A15,'标准新手流程（非R）'!$P$5:$AL$144,MATCH(H$3,'标准新手流程（非R）'!$P$5:$AL$5,0),1)="","",VLOOKUP($A15,'标准新手流程（非R）'!$P$5:$AL$144,MATCH(H$3,'标准新手流程（非R）'!$P$5:$AL$5,0),1))</f>
        <v/>
      </c>
      <c r="I15" s="1" t="str">
        <f>IF(VLOOKUP($A15,'标准新手流程（非R）'!$P$5:$AL$144,MATCH(I$3,'标准新手流程（非R）'!$P$5:$AL$5,0),1)="","",VLOOKUP($A15,'标准新手流程（非R）'!$P$5:$AL$144,MATCH(I$3,'标准新手流程（非R）'!$P$5:$AL$5,0),1))</f>
        <v/>
      </c>
    </row>
    <row r="16" spans="1:17" x14ac:dyDescent="0.15">
      <c r="A16" s="1">
        <v>13</v>
      </c>
      <c r="B16" s="1" t="str">
        <f>IF(VLOOKUP($A16,'标准新手流程（非R）'!$P$5:$AL$144,MATCH(B$3,'标准新手流程（非R）'!$P$5:$AL$5,0),1)="","",VLOOKUP($A16,'标准新手流程（非R）'!$P$5:$AL$144,MATCH(B$3,'标准新手流程（非R）'!$P$5:$AL$5,0),1))</f>
        <v>1级白</v>
      </c>
      <c r="C16" s="1" t="str">
        <f>IF(VLOOKUP($A16,'标准新手流程（非R）'!$P$5:$AL$144,MATCH(C$3,'标准新手流程（非R）'!$P$5:$AL$5,0),1)="","",VLOOKUP($A16,'标准新手流程（非R）'!$P$5:$AL$144,MATCH(C$3,'标准新手流程（非R）'!$P$5:$AL$5,0),1))</f>
        <v/>
      </c>
      <c r="D16" s="1" t="str">
        <f>IF(VLOOKUP($A16,'标准新手流程（非R）'!$P$5:$AL$144,MATCH(D$3,'标准新手流程（非R）'!$P$5:$AL$5,0),1)="","",VLOOKUP($A16,'标准新手流程（非R）'!$P$5:$AL$144,MATCH(D$3,'标准新手流程（非R）'!$P$5:$AL$5,0),1))</f>
        <v/>
      </c>
      <c r="E16" s="1" t="str">
        <f>IF(VLOOKUP($A16,'标准新手流程（非R）'!$P$5:$AL$144,MATCH(E$3,'标准新手流程（非R）'!$P$5:$AL$5,0),1)="","",VLOOKUP($A16,'标准新手流程（非R）'!$P$5:$AL$144,MATCH(E$3,'标准新手流程（非R）'!$P$5:$AL$5,0),1))</f>
        <v/>
      </c>
      <c r="F16" s="1" t="str">
        <f>IF(VLOOKUP($A16,'标准新手流程（非R）'!$P$5:$AL$144,MATCH(F$3,'标准新手流程（非R）'!$P$5:$AL$5,0),1)="","",VLOOKUP($A16,'标准新手流程（非R）'!$P$5:$AL$144,MATCH(F$3,'标准新手流程（非R）'!$P$5:$AL$5,0),1))</f>
        <v/>
      </c>
      <c r="G16" s="1" t="str">
        <f>IF(VLOOKUP($A16,'标准新手流程（非R）'!$P$5:$AL$144,MATCH(G$3,'标准新手流程（非R）'!$P$5:$AL$5,0),1)="","",VLOOKUP($A16,'标准新手流程（非R）'!$P$5:$AL$144,MATCH(G$3,'标准新手流程（非R）'!$P$5:$AL$5,0),1))</f>
        <v/>
      </c>
      <c r="H16" s="1" t="str">
        <f>IF(VLOOKUP($A16,'标准新手流程（非R）'!$P$5:$AL$144,MATCH(H$3,'标准新手流程（非R）'!$P$5:$AL$5,0),1)="","",VLOOKUP($A16,'标准新手流程（非R）'!$P$5:$AL$144,MATCH(H$3,'标准新手流程（非R）'!$P$5:$AL$5,0),1))</f>
        <v/>
      </c>
      <c r="I16" s="1" t="str">
        <f>IF(VLOOKUP($A16,'标准新手流程（非R）'!$P$5:$AL$144,MATCH(I$3,'标准新手流程（非R）'!$P$5:$AL$5,0),1)="","",VLOOKUP($A16,'标准新手流程（非R）'!$P$5:$AL$144,MATCH(I$3,'标准新手流程（非R）'!$P$5:$AL$5,0),1))</f>
        <v/>
      </c>
    </row>
    <row r="17" spans="1:9" x14ac:dyDescent="0.15">
      <c r="A17" s="1">
        <v>14</v>
      </c>
      <c r="B17" s="1" t="str">
        <f>IF(VLOOKUP($A17,'标准新手流程（非R）'!$P$5:$AL$144,MATCH(B$3,'标准新手流程（非R）'!$P$5:$AL$5,0),1)="","",VLOOKUP($A17,'标准新手流程（非R）'!$P$5:$AL$144,MATCH(B$3,'标准新手流程（非R）'!$P$5:$AL$5,0),1))</f>
        <v>1级白</v>
      </c>
      <c r="C17" s="1" t="str">
        <f>IF(VLOOKUP($A17,'标准新手流程（非R）'!$P$5:$AL$144,MATCH(C$3,'标准新手流程（非R）'!$P$5:$AL$5,0),1)="","",VLOOKUP($A17,'标准新手流程（非R）'!$P$5:$AL$144,MATCH(C$3,'标准新手流程（非R）'!$P$5:$AL$5,0),1))</f>
        <v/>
      </c>
      <c r="D17" s="1" t="str">
        <f>IF(VLOOKUP($A17,'标准新手流程（非R）'!$P$5:$AL$144,MATCH(D$3,'标准新手流程（非R）'!$P$5:$AL$5,0),1)="","",VLOOKUP($A17,'标准新手流程（非R）'!$P$5:$AL$144,MATCH(D$3,'标准新手流程（非R）'!$P$5:$AL$5,0),1))</f>
        <v/>
      </c>
      <c r="E17" s="1" t="str">
        <f>IF(VLOOKUP($A17,'标准新手流程（非R）'!$P$5:$AL$144,MATCH(E$3,'标准新手流程（非R）'!$P$5:$AL$5,0),1)="","",VLOOKUP($A17,'标准新手流程（非R）'!$P$5:$AL$144,MATCH(E$3,'标准新手流程（非R）'!$P$5:$AL$5,0),1))</f>
        <v/>
      </c>
      <c r="F17" s="1" t="str">
        <f>IF(VLOOKUP($A17,'标准新手流程（非R）'!$P$5:$AL$144,MATCH(F$3,'标准新手流程（非R）'!$P$5:$AL$5,0),1)="","",VLOOKUP($A17,'标准新手流程（非R）'!$P$5:$AL$144,MATCH(F$3,'标准新手流程（非R）'!$P$5:$AL$5,0),1))</f>
        <v/>
      </c>
      <c r="G17" s="1" t="str">
        <f>IF(VLOOKUP($A17,'标准新手流程（非R）'!$P$5:$AL$144,MATCH(G$3,'标准新手流程（非R）'!$P$5:$AL$5,0),1)="","",VLOOKUP($A17,'标准新手流程（非R）'!$P$5:$AL$144,MATCH(G$3,'标准新手流程（非R）'!$P$5:$AL$5,0),1))</f>
        <v/>
      </c>
      <c r="H17" s="1" t="str">
        <f>IF(VLOOKUP($A17,'标准新手流程（非R）'!$P$5:$AL$144,MATCH(H$3,'标准新手流程（非R）'!$P$5:$AL$5,0),1)="","",VLOOKUP($A17,'标准新手流程（非R）'!$P$5:$AL$144,MATCH(H$3,'标准新手流程（非R）'!$P$5:$AL$5,0),1))</f>
        <v/>
      </c>
      <c r="I17" s="1" t="str">
        <f>IF(VLOOKUP($A17,'标准新手流程（非R）'!$P$5:$AL$144,MATCH(I$3,'标准新手流程（非R）'!$P$5:$AL$5,0),1)="","",VLOOKUP($A17,'标准新手流程（非R）'!$P$5:$AL$144,MATCH(I$3,'标准新手流程（非R）'!$P$5:$AL$5,0),1))</f>
        <v/>
      </c>
    </row>
    <row r="18" spans="1:9" x14ac:dyDescent="0.15">
      <c r="A18" s="1">
        <v>15</v>
      </c>
      <c r="B18" s="1" t="str">
        <f>IF(VLOOKUP($A18,'标准新手流程（非R）'!$P$5:$AL$144,MATCH(B$3,'标准新手流程（非R）'!$P$5:$AL$5,0),1)="","",VLOOKUP($A18,'标准新手流程（非R）'!$P$5:$AL$144,MATCH(B$3,'标准新手流程（非R）'!$P$5:$AL$5,0),1))</f>
        <v>1级白</v>
      </c>
      <c r="C18" s="1" t="str">
        <f>IF(VLOOKUP($A18,'标准新手流程（非R）'!$P$5:$AL$144,MATCH(C$3,'标准新手流程（非R）'!$P$5:$AL$5,0),1)="","",VLOOKUP($A18,'标准新手流程（非R）'!$P$5:$AL$144,MATCH(C$3,'标准新手流程（非R）'!$P$5:$AL$5,0),1))</f>
        <v/>
      </c>
      <c r="D18" s="1" t="str">
        <f>IF(VLOOKUP($A18,'标准新手流程（非R）'!$P$5:$AL$144,MATCH(D$3,'标准新手流程（非R）'!$P$5:$AL$5,0),1)="","",VLOOKUP($A18,'标准新手流程（非R）'!$P$5:$AL$144,MATCH(D$3,'标准新手流程（非R）'!$P$5:$AL$5,0),1))</f>
        <v/>
      </c>
      <c r="E18" s="1" t="str">
        <f>IF(VLOOKUP($A18,'标准新手流程（非R）'!$P$5:$AL$144,MATCH(E$3,'标准新手流程（非R）'!$P$5:$AL$5,0),1)="","",VLOOKUP($A18,'标准新手流程（非R）'!$P$5:$AL$144,MATCH(E$3,'标准新手流程（非R）'!$P$5:$AL$5,0),1))</f>
        <v/>
      </c>
      <c r="F18" s="1" t="str">
        <f>IF(VLOOKUP($A18,'标准新手流程（非R）'!$P$5:$AL$144,MATCH(F$3,'标准新手流程（非R）'!$P$5:$AL$5,0),1)="","",VLOOKUP($A18,'标准新手流程（非R）'!$P$5:$AL$144,MATCH(F$3,'标准新手流程（非R）'!$P$5:$AL$5,0),1))</f>
        <v/>
      </c>
      <c r="G18" s="1" t="str">
        <f>IF(VLOOKUP($A18,'标准新手流程（非R）'!$P$5:$AL$144,MATCH(G$3,'标准新手流程（非R）'!$P$5:$AL$5,0),1)="","",VLOOKUP($A18,'标准新手流程（非R）'!$P$5:$AL$144,MATCH(G$3,'标准新手流程（非R）'!$P$5:$AL$5,0),1))</f>
        <v>1级白</v>
      </c>
      <c r="H18" s="1" t="str">
        <f>IF(VLOOKUP($A18,'标准新手流程（非R）'!$P$5:$AL$144,MATCH(H$3,'标准新手流程（非R）'!$P$5:$AL$5,0),1)="","",VLOOKUP($A18,'标准新手流程（非R）'!$P$5:$AL$144,MATCH(H$3,'标准新手流程（非R）'!$P$5:$AL$5,0),1))</f>
        <v/>
      </c>
      <c r="I18" s="1" t="str">
        <f>IF(VLOOKUP($A18,'标准新手流程（非R）'!$P$5:$AL$144,MATCH(I$3,'标准新手流程（非R）'!$P$5:$AL$5,0),1)="","",VLOOKUP($A18,'标准新手流程（非R）'!$P$5:$AL$144,MATCH(I$3,'标准新手流程（非R）'!$P$5:$AL$5,0),1))</f>
        <v/>
      </c>
    </row>
    <row r="19" spans="1:9" x14ac:dyDescent="0.15">
      <c r="A19" s="1">
        <v>16</v>
      </c>
      <c r="B19" s="1" t="str">
        <f>IF(VLOOKUP($A19,'标准新手流程（非R）'!$P$5:$AL$144,MATCH(B$3,'标准新手流程（非R）'!$P$5:$AL$5,0),1)="","",VLOOKUP($A19,'标准新手流程（非R）'!$P$5:$AL$144,MATCH(B$3,'标准新手流程（非R）'!$P$5:$AL$5,0),1))</f>
        <v>1级白</v>
      </c>
      <c r="C19" s="1" t="str">
        <f>IF(VLOOKUP($A19,'标准新手流程（非R）'!$P$5:$AL$144,MATCH(C$3,'标准新手流程（非R）'!$P$5:$AL$5,0),1)="","",VLOOKUP($A19,'标准新手流程（非R）'!$P$5:$AL$144,MATCH(C$3,'标准新手流程（非R）'!$P$5:$AL$5,0),1))</f>
        <v/>
      </c>
      <c r="D19" s="1" t="str">
        <f>IF(VLOOKUP($A19,'标准新手流程（非R）'!$P$5:$AL$144,MATCH(D$3,'标准新手流程（非R）'!$P$5:$AL$5,0),1)="","",VLOOKUP($A19,'标准新手流程（非R）'!$P$5:$AL$144,MATCH(D$3,'标准新手流程（非R）'!$P$5:$AL$5,0),1))</f>
        <v/>
      </c>
      <c r="E19" s="1" t="str">
        <f>IF(VLOOKUP($A19,'标准新手流程（非R）'!$P$5:$AL$144,MATCH(E$3,'标准新手流程（非R）'!$P$5:$AL$5,0),1)="","",VLOOKUP($A19,'标准新手流程（非R）'!$P$5:$AL$144,MATCH(E$3,'标准新手流程（非R）'!$P$5:$AL$5,0),1))</f>
        <v/>
      </c>
      <c r="F19" s="1" t="str">
        <f>IF(VLOOKUP($A19,'标准新手流程（非R）'!$P$5:$AL$144,MATCH(F$3,'标准新手流程（非R）'!$P$5:$AL$5,0),1)="","",VLOOKUP($A19,'标准新手流程（非R）'!$P$5:$AL$144,MATCH(F$3,'标准新手流程（非R）'!$P$5:$AL$5,0),1))</f>
        <v/>
      </c>
      <c r="G19" s="1" t="str">
        <f>IF(VLOOKUP($A19,'标准新手流程（非R）'!$P$5:$AL$144,MATCH(G$3,'标准新手流程（非R）'!$P$5:$AL$5,0),1)="","",VLOOKUP($A19,'标准新手流程（非R）'!$P$5:$AL$144,MATCH(G$3,'标准新手流程（非R）'!$P$5:$AL$5,0),1))</f>
        <v>1级白</v>
      </c>
      <c r="H19" s="1" t="str">
        <f>IF(VLOOKUP($A19,'标准新手流程（非R）'!$P$5:$AL$144,MATCH(H$3,'标准新手流程（非R）'!$P$5:$AL$5,0),1)="","",VLOOKUP($A19,'标准新手流程（非R）'!$P$5:$AL$144,MATCH(H$3,'标准新手流程（非R）'!$P$5:$AL$5,0),1))</f>
        <v/>
      </c>
      <c r="I19" s="1" t="str">
        <f>IF(VLOOKUP($A19,'标准新手流程（非R）'!$P$5:$AL$144,MATCH(I$3,'标准新手流程（非R）'!$P$5:$AL$5,0),1)="","",VLOOKUP($A19,'标准新手流程（非R）'!$P$5:$AL$144,MATCH(I$3,'标准新手流程（非R）'!$P$5:$AL$5,0),1))</f>
        <v/>
      </c>
    </row>
    <row r="20" spans="1:9" x14ac:dyDescent="0.15">
      <c r="A20" s="1">
        <v>17</v>
      </c>
      <c r="B20" s="1" t="str">
        <f>IF(VLOOKUP($A20,'标准新手流程（非R）'!$P$5:$AL$144,MATCH(B$3,'标准新手流程（非R）'!$P$5:$AL$5,0),1)="","",VLOOKUP($A20,'标准新手流程（非R）'!$P$5:$AL$144,MATCH(B$3,'标准新手流程（非R）'!$P$5:$AL$5,0),1))</f>
        <v>1级白</v>
      </c>
      <c r="C20" s="1" t="str">
        <f>IF(VLOOKUP($A20,'标准新手流程（非R）'!$P$5:$AL$144,MATCH(C$3,'标准新手流程（非R）'!$P$5:$AL$5,0),1)="","",VLOOKUP($A20,'标准新手流程（非R）'!$P$5:$AL$144,MATCH(C$3,'标准新手流程（非R）'!$P$5:$AL$5,0),1))</f>
        <v/>
      </c>
      <c r="D20" s="1" t="str">
        <f>IF(VLOOKUP($A20,'标准新手流程（非R）'!$P$5:$AL$144,MATCH(D$3,'标准新手流程（非R）'!$P$5:$AL$5,0),1)="","",VLOOKUP($A20,'标准新手流程（非R）'!$P$5:$AL$144,MATCH(D$3,'标准新手流程（非R）'!$P$5:$AL$5,0),1))</f>
        <v/>
      </c>
      <c r="E20" s="1" t="str">
        <f>IF(VLOOKUP($A20,'标准新手流程（非R）'!$P$5:$AL$144,MATCH(E$3,'标准新手流程（非R）'!$P$5:$AL$5,0),1)="","",VLOOKUP($A20,'标准新手流程（非R）'!$P$5:$AL$144,MATCH(E$3,'标准新手流程（非R）'!$P$5:$AL$5,0),1))</f>
        <v/>
      </c>
      <c r="F20" s="1" t="str">
        <f>IF(VLOOKUP($A20,'标准新手流程（非R）'!$P$5:$AL$144,MATCH(F$3,'标准新手流程（非R）'!$P$5:$AL$5,0),1)="","",VLOOKUP($A20,'标准新手流程（非R）'!$P$5:$AL$144,MATCH(F$3,'标准新手流程（非R）'!$P$5:$AL$5,0),1))</f>
        <v/>
      </c>
      <c r="G20" s="1" t="str">
        <f>IF(VLOOKUP($A20,'标准新手流程（非R）'!$P$5:$AL$144,MATCH(G$3,'标准新手流程（非R）'!$P$5:$AL$5,0),1)="","",VLOOKUP($A20,'标准新手流程（非R）'!$P$5:$AL$144,MATCH(G$3,'标准新手流程（非R）'!$P$5:$AL$5,0),1))</f>
        <v>1级白</v>
      </c>
      <c r="H20" s="1" t="str">
        <f>IF(VLOOKUP($A20,'标准新手流程（非R）'!$P$5:$AL$144,MATCH(H$3,'标准新手流程（非R）'!$P$5:$AL$5,0),1)="","",VLOOKUP($A20,'标准新手流程（非R）'!$P$5:$AL$144,MATCH(H$3,'标准新手流程（非R）'!$P$5:$AL$5,0),1))</f>
        <v/>
      </c>
      <c r="I20" s="1" t="str">
        <f>IF(VLOOKUP($A20,'标准新手流程（非R）'!$P$5:$AL$144,MATCH(I$3,'标准新手流程（非R）'!$P$5:$AL$5,0),1)="","",VLOOKUP($A20,'标准新手流程（非R）'!$P$5:$AL$144,MATCH(I$3,'标准新手流程（非R）'!$P$5:$AL$5,0),1))</f>
        <v/>
      </c>
    </row>
    <row r="21" spans="1:9" x14ac:dyDescent="0.15">
      <c r="A21" s="1">
        <v>18</v>
      </c>
      <c r="B21" s="1" t="str">
        <f>IF(VLOOKUP($A21,'标准新手流程（非R）'!$P$5:$AL$144,MATCH(B$3,'标准新手流程（非R）'!$P$5:$AL$5,0),1)="","",VLOOKUP($A21,'标准新手流程（非R）'!$P$5:$AL$144,MATCH(B$3,'标准新手流程（非R）'!$P$5:$AL$5,0),1))</f>
        <v>1级白</v>
      </c>
      <c r="C21" s="1" t="str">
        <f>IF(VLOOKUP($A21,'标准新手流程（非R）'!$P$5:$AL$144,MATCH(C$3,'标准新手流程（非R）'!$P$5:$AL$5,0),1)="","",VLOOKUP($A21,'标准新手流程（非R）'!$P$5:$AL$144,MATCH(C$3,'标准新手流程（非R）'!$P$5:$AL$5,0),1))</f>
        <v/>
      </c>
      <c r="D21" s="1" t="str">
        <f>IF(VLOOKUP($A21,'标准新手流程（非R）'!$P$5:$AL$144,MATCH(D$3,'标准新手流程（非R）'!$P$5:$AL$5,0),1)="","",VLOOKUP($A21,'标准新手流程（非R）'!$P$5:$AL$144,MATCH(D$3,'标准新手流程（非R）'!$P$5:$AL$5,0),1))</f>
        <v/>
      </c>
      <c r="E21" s="1" t="str">
        <f>IF(VLOOKUP($A21,'标准新手流程（非R）'!$P$5:$AL$144,MATCH(E$3,'标准新手流程（非R）'!$P$5:$AL$5,0),1)="","",VLOOKUP($A21,'标准新手流程（非R）'!$P$5:$AL$144,MATCH(E$3,'标准新手流程（非R）'!$P$5:$AL$5,0),1))</f>
        <v/>
      </c>
      <c r="F21" s="1" t="str">
        <f>IF(VLOOKUP($A21,'标准新手流程（非R）'!$P$5:$AL$144,MATCH(F$3,'标准新手流程（非R）'!$P$5:$AL$5,0),1)="","",VLOOKUP($A21,'标准新手流程（非R）'!$P$5:$AL$144,MATCH(F$3,'标准新手流程（非R）'!$P$5:$AL$5,0),1))</f>
        <v/>
      </c>
      <c r="G21" s="1" t="str">
        <f>IF(VLOOKUP($A21,'标准新手流程（非R）'!$P$5:$AL$144,MATCH(G$3,'标准新手流程（非R）'!$P$5:$AL$5,0),1)="","",VLOOKUP($A21,'标准新手流程（非R）'!$P$5:$AL$144,MATCH(G$3,'标准新手流程（非R）'!$P$5:$AL$5,0),1))</f>
        <v>1级白</v>
      </c>
      <c r="H21" s="1" t="str">
        <f>IF(VLOOKUP($A21,'标准新手流程（非R）'!$P$5:$AL$144,MATCH(H$3,'标准新手流程（非R）'!$P$5:$AL$5,0),1)="","",VLOOKUP($A21,'标准新手流程（非R）'!$P$5:$AL$144,MATCH(H$3,'标准新手流程（非R）'!$P$5:$AL$5,0),1))</f>
        <v/>
      </c>
      <c r="I21" s="1" t="str">
        <f>IF(VLOOKUP($A21,'标准新手流程（非R）'!$P$5:$AL$144,MATCH(I$3,'标准新手流程（非R）'!$P$5:$AL$5,0),1)="","",VLOOKUP($A21,'标准新手流程（非R）'!$P$5:$AL$144,MATCH(I$3,'标准新手流程（非R）'!$P$5:$AL$5,0),1))</f>
        <v/>
      </c>
    </row>
    <row r="22" spans="1:9" x14ac:dyDescent="0.15">
      <c r="A22" s="1">
        <v>19</v>
      </c>
      <c r="B22" s="1" t="str">
        <f>IF(VLOOKUP($A22,'标准新手流程（非R）'!$P$5:$AL$144,MATCH(B$3,'标准新手流程（非R）'!$P$5:$AL$5,0),1)="","",VLOOKUP($A22,'标准新手流程（非R）'!$P$5:$AL$144,MATCH(B$3,'标准新手流程（非R）'!$P$5:$AL$5,0),1))</f>
        <v>1级白</v>
      </c>
      <c r="C22" s="1" t="str">
        <f>IF(VLOOKUP($A22,'标准新手流程（非R）'!$P$5:$AL$144,MATCH(C$3,'标准新手流程（非R）'!$P$5:$AL$5,0),1)="","",VLOOKUP($A22,'标准新手流程（非R）'!$P$5:$AL$144,MATCH(C$3,'标准新手流程（非R）'!$P$5:$AL$5,0),1))</f>
        <v/>
      </c>
      <c r="D22" s="1" t="str">
        <f>IF(VLOOKUP($A22,'标准新手流程（非R）'!$P$5:$AL$144,MATCH(D$3,'标准新手流程（非R）'!$P$5:$AL$5,0),1)="","",VLOOKUP($A22,'标准新手流程（非R）'!$P$5:$AL$144,MATCH(D$3,'标准新手流程（非R）'!$P$5:$AL$5,0),1))</f>
        <v/>
      </c>
      <c r="E22" s="1" t="str">
        <f>IF(VLOOKUP($A22,'标准新手流程（非R）'!$P$5:$AL$144,MATCH(E$3,'标准新手流程（非R）'!$P$5:$AL$5,0),1)="","",VLOOKUP($A22,'标准新手流程（非R）'!$P$5:$AL$144,MATCH(E$3,'标准新手流程（非R）'!$P$5:$AL$5,0),1))</f>
        <v/>
      </c>
      <c r="F22" s="1" t="str">
        <f>IF(VLOOKUP($A22,'标准新手流程（非R）'!$P$5:$AL$144,MATCH(F$3,'标准新手流程（非R）'!$P$5:$AL$5,0),1)="","",VLOOKUP($A22,'标准新手流程（非R）'!$P$5:$AL$144,MATCH(F$3,'标准新手流程（非R）'!$P$5:$AL$5,0),1))</f>
        <v/>
      </c>
      <c r="G22" s="1" t="str">
        <f>IF(VLOOKUP($A22,'标准新手流程（非R）'!$P$5:$AL$144,MATCH(G$3,'标准新手流程（非R）'!$P$5:$AL$5,0),1)="","",VLOOKUP($A22,'标准新手流程（非R）'!$P$5:$AL$144,MATCH(G$3,'标准新手流程（非R）'!$P$5:$AL$5,0),1))</f>
        <v>1级白</v>
      </c>
      <c r="H22" s="1" t="str">
        <f>IF(VLOOKUP($A22,'标准新手流程（非R）'!$P$5:$AL$144,MATCH(H$3,'标准新手流程（非R）'!$P$5:$AL$5,0),1)="","",VLOOKUP($A22,'标准新手流程（非R）'!$P$5:$AL$144,MATCH(H$3,'标准新手流程（非R）'!$P$5:$AL$5,0),1))</f>
        <v/>
      </c>
      <c r="I22" s="1" t="str">
        <f>IF(VLOOKUP($A22,'标准新手流程（非R）'!$P$5:$AL$144,MATCH(I$3,'标准新手流程（非R）'!$P$5:$AL$5,0),1)="","",VLOOKUP($A22,'标准新手流程（非R）'!$P$5:$AL$144,MATCH(I$3,'标准新手流程（非R）'!$P$5:$AL$5,0),1))</f>
        <v/>
      </c>
    </row>
    <row r="23" spans="1:9" x14ac:dyDescent="0.15">
      <c r="A23" s="1">
        <v>20</v>
      </c>
      <c r="B23" s="1" t="str">
        <f>IF(VLOOKUP($A23,'标准新手流程（非R）'!$P$5:$AL$144,MATCH(B$3,'标准新手流程（非R）'!$P$5:$AL$5,0),1)="","",VLOOKUP($A23,'标准新手流程（非R）'!$P$5:$AL$144,MATCH(B$3,'标准新手流程（非R）'!$P$5:$AL$5,0),1))</f>
        <v>1级白</v>
      </c>
      <c r="C23" s="1" t="str">
        <f>IF(VLOOKUP($A23,'标准新手流程（非R）'!$P$5:$AL$144,MATCH(C$3,'标准新手流程（非R）'!$P$5:$AL$5,0),1)="","",VLOOKUP($A23,'标准新手流程（非R）'!$P$5:$AL$144,MATCH(C$3,'标准新手流程（非R）'!$P$5:$AL$5,0),1))</f>
        <v/>
      </c>
      <c r="D23" s="1" t="str">
        <f>IF(VLOOKUP($A23,'标准新手流程（非R）'!$P$5:$AL$144,MATCH(D$3,'标准新手流程（非R）'!$P$5:$AL$5,0),1)="","",VLOOKUP($A23,'标准新手流程（非R）'!$P$5:$AL$144,MATCH(D$3,'标准新手流程（非R）'!$P$5:$AL$5,0),1))</f>
        <v/>
      </c>
      <c r="E23" s="1" t="str">
        <f>IF(VLOOKUP($A23,'标准新手流程（非R）'!$P$5:$AL$144,MATCH(E$3,'标准新手流程（非R）'!$P$5:$AL$5,0),1)="","",VLOOKUP($A23,'标准新手流程（非R）'!$P$5:$AL$144,MATCH(E$3,'标准新手流程（非R）'!$P$5:$AL$5,0),1))</f>
        <v/>
      </c>
      <c r="F23" s="1" t="str">
        <f>IF(VLOOKUP($A23,'标准新手流程（非R）'!$P$5:$AL$144,MATCH(F$3,'标准新手流程（非R）'!$P$5:$AL$5,0),1)="","",VLOOKUP($A23,'标准新手流程（非R）'!$P$5:$AL$144,MATCH(F$3,'标准新手流程（非R）'!$P$5:$AL$5,0),1))</f>
        <v/>
      </c>
      <c r="G23" s="1" t="str">
        <f>IF(VLOOKUP($A23,'标准新手流程（非R）'!$P$5:$AL$144,MATCH(G$3,'标准新手流程（非R）'!$P$5:$AL$5,0),1)="","",VLOOKUP($A23,'标准新手流程（非R）'!$P$5:$AL$144,MATCH(G$3,'标准新手流程（非R）'!$P$5:$AL$5,0),1))</f>
        <v>1级白</v>
      </c>
      <c r="H23" s="1" t="str">
        <f>IF(VLOOKUP($A23,'标准新手流程（非R）'!$P$5:$AL$144,MATCH(H$3,'标准新手流程（非R）'!$P$5:$AL$5,0),1)="","",VLOOKUP($A23,'标准新手流程（非R）'!$P$5:$AL$144,MATCH(H$3,'标准新手流程（非R）'!$P$5:$AL$5,0),1))</f>
        <v/>
      </c>
      <c r="I23" s="1" t="str">
        <f>IF(VLOOKUP($A23,'标准新手流程（非R）'!$P$5:$AL$144,MATCH(I$3,'标准新手流程（非R）'!$P$5:$AL$5,0),1)="","",VLOOKUP($A23,'标准新手流程（非R）'!$P$5:$AL$144,MATCH(I$3,'标准新手流程（非R）'!$P$5:$AL$5,0),1))</f>
        <v/>
      </c>
    </row>
    <row r="24" spans="1:9" x14ac:dyDescent="0.15">
      <c r="A24" s="1">
        <v>21</v>
      </c>
      <c r="B24" s="1" t="str">
        <f>IF(VLOOKUP($A24,'标准新手流程（非R）'!$P$5:$AL$144,MATCH(B$3,'标准新手流程（非R）'!$P$5:$AL$5,0),1)="","",VLOOKUP($A24,'标准新手流程（非R）'!$P$5:$AL$144,MATCH(B$3,'标准新手流程（非R）'!$P$5:$AL$5,0),1))</f>
        <v>1级白</v>
      </c>
      <c r="C24" s="1" t="str">
        <f>IF(VLOOKUP($A24,'标准新手流程（非R）'!$P$5:$AL$144,MATCH(C$3,'标准新手流程（非R）'!$P$5:$AL$5,0),1)="","",VLOOKUP($A24,'标准新手流程（非R）'!$P$5:$AL$144,MATCH(C$3,'标准新手流程（非R）'!$P$5:$AL$5,0),1))</f>
        <v/>
      </c>
      <c r="D24" s="1" t="str">
        <f>IF(VLOOKUP($A24,'标准新手流程（非R）'!$P$5:$AL$144,MATCH(D$3,'标准新手流程（非R）'!$P$5:$AL$5,0),1)="","",VLOOKUP($A24,'标准新手流程（非R）'!$P$5:$AL$144,MATCH(D$3,'标准新手流程（非R）'!$P$5:$AL$5,0),1))</f>
        <v/>
      </c>
      <c r="E24" s="1" t="str">
        <f>IF(VLOOKUP($A24,'标准新手流程（非R）'!$P$5:$AL$144,MATCH(E$3,'标准新手流程（非R）'!$P$5:$AL$5,0),1)="","",VLOOKUP($A24,'标准新手流程（非R）'!$P$5:$AL$144,MATCH(E$3,'标准新手流程（非R）'!$P$5:$AL$5,0),1))</f>
        <v/>
      </c>
      <c r="F24" s="1" t="str">
        <f>IF(VLOOKUP($A24,'标准新手流程（非R）'!$P$5:$AL$144,MATCH(F$3,'标准新手流程（非R）'!$P$5:$AL$5,0),1)="","",VLOOKUP($A24,'标准新手流程（非R）'!$P$5:$AL$144,MATCH(F$3,'标准新手流程（非R）'!$P$5:$AL$5,0),1))</f>
        <v/>
      </c>
      <c r="G24" s="1" t="str">
        <f>IF(VLOOKUP($A24,'标准新手流程（非R）'!$P$5:$AL$144,MATCH(G$3,'标准新手流程（非R）'!$P$5:$AL$5,0),1)="","",VLOOKUP($A24,'标准新手流程（非R）'!$P$5:$AL$144,MATCH(G$3,'标准新手流程（非R）'!$P$5:$AL$5,0),1))</f>
        <v>1级白</v>
      </c>
      <c r="H24" s="1" t="str">
        <f>IF(VLOOKUP($A24,'标准新手流程（非R）'!$P$5:$AL$144,MATCH(H$3,'标准新手流程（非R）'!$P$5:$AL$5,0),1)="","",VLOOKUP($A24,'标准新手流程（非R）'!$P$5:$AL$144,MATCH(H$3,'标准新手流程（非R）'!$P$5:$AL$5,0),1))</f>
        <v/>
      </c>
      <c r="I24" s="1" t="str">
        <f>IF(VLOOKUP($A24,'标准新手流程（非R）'!$P$5:$AL$144,MATCH(I$3,'标准新手流程（非R）'!$P$5:$AL$5,0),1)="","",VLOOKUP($A24,'标准新手流程（非R）'!$P$5:$AL$144,MATCH(I$3,'标准新手流程（非R）'!$P$5:$AL$5,0),1))</f>
        <v/>
      </c>
    </row>
    <row r="25" spans="1:9" x14ac:dyDescent="0.15">
      <c r="A25" s="1">
        <v>22</v>
      </c>
      <c r="B25" s="1" t="str">
        <f>IF(VLOOKUP($A25,'标准新手流程（非R）'!$P$5:$AL$144,MATCH(B$3,'标准新手流程（非R）'!$P$5:$AL$5,0),1)="","",VLOOKUP($A25,'标准新手流程（非R）'!$P$5:$AL$144,MATCH(B$3,'标准新手流程（非R）'!$P$5:$AL$5,0),1))</f>
        <v>1级白</v>
      </c>
      <c r="C25" s="1" t="str">
        <f>IF(VLOOKUP($A25,'标准新手流程（非R）'!$P$5:$AL$144,MATCH(C$3,'标准新手流程（非R）'!$P$5:$AL$5,0),1)="","",VLOOKUP($A25,'标准新手流程（非R）'!$P$5:$AL$144,MATCH(C$3,'标准新手流程（非R）'!$P$5:$AL$5,0),1))</f>
        <v/>
      </c>
      <c r="D25" s="1" t="str">
        <f>IF(VLOOKUP($A25,'标准新手流程（非R）'!$P$5:$AL$144,MATCH(D$3,'标准新手流程（非R）'!$P$5:$AL$5,0),1)="","",VLOOKUP($A25,'标准新手流程（非R）'!$P$5:$AL$144,MATCH(D$3,'标准新手流程（非R）'!$P$5:$AL$5,0),1))</f>
        <v>1级白</v>
      </c>
      <c r="E25" s="1" t="str">
        <f>IF(VLOOKUP($A25,'标准新手流程（非R）'!$P$5:$AL$144,MATCH(E$3,'标准新手流程（非R）'!$P$5:$AL$5,0),1)="","",VLOOKUP($A25,'标准新手流程（非R）'!$P$5:$AL$144,MATCH(E$3,'标准新手流程（非R）'!$P$5:$AL$5,0),1))</f>
        <v>1级白</v>
      </c>
      <c r="F25" s="1" t="str">
        <f>IF(VLOOKUP($A25,'标准新手流程（非R）'!$P$5:$AL$144,MATCH(F$3,'标准新手流程（非R）'!$P$5:$AL$5,0),1)="","",VLOOKUP($A25,'标准新手流程（非R）'!$P$5:$AL$144,MATCH(F$3,'标准新手流程（非R）'!$P$5:$AL$5,0),1))</f>
        <v>1级白</v>
      </c>
      <c r="G25" s="1" t="str">
        <f>IF(VLOOKUP($A25,'标准新手流程（非R）'!$P$5:$AL$144,MATCH(G$3,'标准新手流程（非R）'!$P$5:$AL$5,0),1)="","",VLOOKUP($A25,'标准新手流程（非R）'!$P$5:$AL$144,MATCH(G$3,'标准新手流程（非R）'!$P$5:$AL$5,0),1))</f>
        <v>1级白</v>
      </c>
      <c r="H25" s="1" t="str">
        <f>IF(VLOOKUP($A25,'标准新手流程（非R）'!$P$5:$AL$144,MATCH(H$3,'标准新手流程（非R）'!$P$5:$AL$5,0),1)="","",VLOOKUP($A25,'标准新手流程（非R）'!$P$5:$AL$144,MATCH(H$3,'标准新手流程（非R）'!$P$5:$AL$5,0),1))</f>
        <v>1级白</v>
      </c>
      <c r="I25" s="1" t="str">
        <f>IF(VLOOKUP($A25,'标准新手流程（非R）'!$P$5:$AL$144,MATCH(I$3,'标准新手流程（非R）'!$P$5:$AL$5,0),1)="","",VLOOKUP($A25,'标准新手流程（非R）'!$P$5:$AL$144,MATCH(I$3,'标准新手流程（非R）'!$P$5:$AL$5,0),1))</f>
        <v/>
      </c>
    </row>
    <row r="26" spans="1:9" x14ac:dyDescent="0.15">
      <c r="A26" s="1">
        <v>23</v>
      </c>
      <c r="B26" s="1" t="str">
        <f>IF(VLOOKUP($A26,'标准新手流程（非R）'!$P$5:$AL$144,MATCH(B$3,'标准新手流程（非R）'!$P$5:$AL$5,0),1)="","",VLOOKUP($A26,'标准新手流程（非R）'!$P$5:$AL$144,MATCH(B$3,'标准新手流程（非R）'!$P$5:$AL$5,0),1))</f>
        <v>1级白</v>
      </c>
      <c r="C26" s="1" t="str">
        <f>IF(VLOOKUP($A26,'标准新手流程（非R）'!$P$5:$AL$144,MATCH(C$3,'标准新手流程（非R）'!$P$5:$AL$5,0),1)="","",VLOOKUP($A26,'标准新手流程（非R）'!$P$5:$AL$144,MATCH(C$3,'标准新手流程（非R）'!$P$5:$AL$5,0),1))</f>
        <v/>
      </c>
      <c r="D26" s="1" t="str">
        <f>IF(VLOOKUP($A26,'标准新手流程（非R）'!$P$5:$AL$144,MATCH(D$3,'标准新手流程（非R）'!$P$5:$AL$5,0),1)="","",VLOOKUP($A26,'标准新手流程（非R）'!$P$5:$AL$144,MATCH(D$3,'标准新手流程（非R）'!$P$5:$AL$5,0),1))</f>
        <v>1级白</v>
      </c>
      <c r="E26" s="1" t="str">
        <f>IF(VLOOKUP($A26,'标准新手流程（非R）'!$P$5:$AL$144,MATCH(E$3,'标准新手流程（非R）'!$P$5:$AL$5,0),1)="","",VLOOKUP($A26,'标准新手流程（非R）'!$P$5:$AL$144,MATCH(E$3,'标准新手流程（非R）'!$P$5:$AL$5,0),1))</f>
        <v>1级白</v>
      </c>
      <c r="F26" s="1" t="str">
        <f>IF(VLOOKUP($A26,'标准新手流程（非R）'!$P$5:$AL$144,MATCH(F$3,'标准新手流程（非R）'!$P$5:$AL$5,0),1)="","",VLOOKUP($A26,'标准新手流程（非R）'!$P$5:$AL$144,MATCH(F$3,'标准新手流程（非R）'!$P$5:$AL$5,0),1))</f>
        <v>1级白</v>
      </c>
      <c r="G26" s="1" t="str">
        <f>IF(VLOOKUP($A26,'标准新手流程（非R）'!$P$5:$AL$144,MATCH(G$3,'标准新手流程（非R）'!$P$5:$AL$5,0),1)="","",VLOOKUP($A26,'标准新手流程（非R）'!$P$5:$AL$144,MATCH(G$3,'标准新手流程（非R）'!$P$5:$AL$5,0),1))</f>
        <v>1级白</v>
      </c>
      <c r="H26" s="1" t="str">
        <f>IF(VLOOKUP($A26,'标准新手流程（非R）'!$P$5:$AL$144,MATCH(H$3,'标准新手流程（非R）'!$P$5:$AL$5,0),1)="","",VLOOKUP($A26,'标准新手流程（非R）'!$P$5:$AL$144,MATCH(H$3,'标准新手流程（非R）'!$P$5:$AL$5,0),1))</f>
        <v>1级白</v>
      </c>
      <c r="I26" s="1" t="str">
        <f>IF(VLOOKUP($A26,'标准新手流程（非R）'!$P$5:$AL$144,MATCH(I$3,'标准新手流程（非R）'!$P$5:$AL$5,0),1)="","",VLOOKUP($A26,'标准新手流程（非R）'!$P$5:$AL$144,MATCH(I$3,'标准新手流程（非R）'!$P$5:$AL$5,0),1))</f>
        <v/>
      </c>
    </row>
    <row r="27" spans="1:9" x14ac:dyDescent="0.15">
      <c r="A27" s="1">
        <v>24</v>
      </c>
      <c r="B27" s="1" t="str">
        <f>IF(VLOOKUP($A27,'标准新手流程（非R）'!$P$5:$AL$144,MATCH(B$3,'标准新手流程（非R）'!$P$5:$AL$5,0),1)="","",VLOOKUP($A27,'标准新手流程（非R）'!$P$5:$AL$144,MATCH(B$3,'标准新手流程（非R）'!$P$5:$AL$5,0),1))</f>
        <v>1级白</v>
      </c>
      <c r="C27" s="1" t="str">
        <f>IF(VLOOKUP($A27,'标准新手流程（非R）'!$P$5:$AL$144,MATCH(C$3,'标准新手流程（非R）'!$P$5:$AL$5,0),1)="","",VLOOKUP($A27,'标准新手流程（非R）'!$P$5:$AL$144,MATCH(C$3,'标准新手流程（非R）'!$P$5:$AL$5,0),1))</f>
        <v/>
      </c>
      <c r="D27" s="1" t="str">
        <f>IF(VLOOKUP($A27,'标准新手流程（非R）'!$P$5:$AL$144,MATCH(D$3,'标准新手流程（非R）'!$P$5:$AL$5,0),1)="","",VLOOKUP($A27,'标准新手流程（非R）'!$P$5:$AL$144,MATCH(D$3,'标准新手流程（非R）'!$P$5:$AL$5,0),1))</f>
        <v>1级白</v>
      </c>
      <c r="E27" s="1" t="str">
        <f>IF(VLOOKUP($A27,'标准新手流程（非R）'!$P$5:$AL$144,MATCH(E$3,'标准新手流程（非R）'!$P$5:$AL$5,0),1)="","",VLOOKUP($A27,'标准新手流程（非R）'!$P$5:$AL$144,MATCH(E$3,'标准新手流程（非R）'!$P$5:$AL$5,0),1))</f>
        <v>1级白</v>
      </c>
      <c r="F27" s="1" t="str">
        <f>IF(VLOOKUP($A27,'标准新手流程（非R）'!$P$5:$AL$144,MATCH(F$3,'标准新手流程（非R）'!$P$5:$AL$5,0),1)="","",VLOOKUP($A27,'标准新手流程（非R）'!$P$5:$AL$144,MATCH(F$3,'标准新手流程（非R）'!$P$5:$AL$5,0),1))</f>
        <v>1级白</v>
      </c>
      <c r="G27" s="1" t="str">
        <f>IF(VLOOKUP($A27,'标准新手流程（非R）'!$P$5:$AL$144,MATCH(G$3,'标准新手流程（非R）'!$P$5:$AL$5,0),1)="","",VLOOKUP($A27,'标准新手流程（非R）'!$P$5:$AL$144,MATCH(G$3,'标准新手流程（非R）'!$P$5:$AL$5,0),1))</f>
        <v>1级白</v>
      </c>
      <c r="H27" s="1" t="str">
        <f>IF(VLOOKUP($A27,'标准新手流程（非R）'!$P$5:$AL$144,MATCH(H$3,'标准新手流程（非R）'!$P$5:$AL$5,0),1)="","",VLOOKUP($A27,'标准新手流程（非R）'!$P$5:$AL$144,MATCH(H$3,'标准新手流程（非R）'!$P$5:$AL$5,0),1))</f>
        <v>1级白</v>
      </c>
      <c r="I27" s="1" t="str">
        <f>IF(VLOOKUP($A27,'标准新手流程（非R）'!$P$5:$AL$144,MATCH(I$3,'标准新手流程（非R）'!$P$5:$AL$5,0),1)="","",VLOOKUP($A27,'标准新手流程（非R）'!$P$5:$AL$144,MATCH(I$3,'标准新手流程（非R）'!$P$5:$AL$5,0),1))</f>
        <v/>
      </c>
    </row>
    <row r="28" spans="1:9" x14ac:dyDescent="0.15">
      <c r="A28" s="1">
        <v>25</v>
      </c>
      <c r="B28" s="1" t="str">
        <f>IF(VLOOKUP($A28,'标准新手流程（非R）'!$P$5:$AL$144,MATCH(B$3,'标准新手流程（非R）'!$P$5:$AL$5,0),1)="","",VLOOKUP($A28,'标准新手流程（非R）'!$P$5:$AL$144,MATCH(B$3,'标准新手流程（非R）'!$P$5:$AL$5,0),1))</f>
        <v>1级白</v>
      </c>
      <c r="C28" s="1" t="str">
        <f>IF(VLOOKUP($A28,'标准新手流程（非R）'!$P$5:$AL$144,MATCH(C$3,'标准新手流程（非R）'!$P$5:$AL$5,0),1)="","",VLOOKUP($A28,'标准新手流程（非R）'!$P$5:$AL$144,MATCH(C$3,'标准新手流程（非R）'!$P$5:$AL$5,0),1))</f>
        <v/>
      </c>
      <c r="D28" s="1" t="str">
        <f>IF(VLOOKUP($A28,'标准新手流程（非R）'!$P$5:$AL$144,MATCH(D$3,'标准新手流程（非R）'!$P$5:$AL$5,0),1)="","",VLOOKUP($A28,'标准新手流程（非R）'!$P$5:$AL$144,MATCH(D$3,'标准新手流程（非R）'!$P$5:$AL$5,0),1))</f>
        <v>1级白</v>
      </c>
      <c r="E28" s="1" t="str">
        <f>IF(VLOOKUP($A28,'标准新手流程（非R）'!$P$5:$AL$144,MATCH(E$3,'标准新手流程（非R）'!$P$5:$AL$5,0),1)="","",VLOOKUP($A28,'标准新手流程（非R）'!$P$5:$AL$144,MATCH(E$3,'标准新手流程（非R）'!$P$5:$AL$5,0),1))</f>
        <v>1级白</v>
      </c>
      <c r="F28" s="1" t="str">
        <f>IF(VLOOKUP($A28,'标准新手流程（非R）'!$P$5:$AL$144,MATCH(F$3,'标准新手流程（非R）'!$P$5:$AL$5,0),1)="","",VLOOKUP($A28,'标准新手流程（非R）'!$P$5:$AL$144,MATCH(F$3,'标准新手流程（非R）'!$P$5:$AL$5,0),1))</f>
        <v>1级白</v>
      </c>
      <c r="G28" s="1" t="str">
        <f>IF(VLOOKUP($A28,'标准新手流程（非R）'!$P$5:$AL$144,MATCH(G$3,'标准新手流程（非R）'!$P$5:$AL$5,0),1)="","",VLOOKUP($A28,'标准新手流程（非R）'!$P$5:$AL$144,MATCH(G$3,'标准新手流程（非R）'!$P$5:$AL$5,0),1))</f>
        <v>1级白</v>
      </c>
      <c r="H28" s="1" t="str">
        <f>IF(VLOOKUP($A28,'标准新手流程（非R）'!$P$5:$AL$144,MATCH(H$3,'标准新手流程（非R）'!$P$5:$AL$5,0),1)="","",VLOOKUP($A28,'标准新手流程（非R）'!$P$5:$AL$144,MATCH(H$3,'标准新手流程（非R）'!$P$5:$AL$5,0),1))</f>
        <v>1级白</v>
      </c>
      <c r="I28" s="1" t="str">
        <f>IF(VLOOKUP($A28,'标准新手流程（非R）'!$P$5:$AL$144,MATCH(I$3,'标准新手流程（非R）'!$P$5:$AL$5,0),1)="","",VLOOKUP($A28,'标准新手流程（非R）'!$P$5:$AL$144,MATCH(I$3,'标准新手流程（非R）'!$P$5:$AL$5,0),1))</f>
        <v/>
      </c>
    </row>
    <row r="29" spans="1:9" x14ac:dyDescent="0.15">
      <c r="A29" s="1">
        <v>26</v>
      </c>
      <c r="B29" s="1" t="str">
        <f>IF(VLOOKUP($A29,'标准新手流程（非R）'!$P$5:$AL$144,MATCH(B$3,'标准新手流程（非R）'!$P$5:$AL$5,0),1)="","",VLOOKUP($A29,'标准新手流程（非R）'!$P$5:$AL$144,MATCH(B$3,'标准新手流程（非R）'!$P$5:$AL$5,0),1))</f>
        <v>1级白</v>
      </c>
      <c r="C29" s="1" t="str">
        <f>IF(VLOOKUP($A29,'标准新手流程（非R）'!$P$5:$AL$144,MATCH(C$3,'标准新手流程（非R）'!$P$5:$AL$5,0),1)="","",VLOOKUP($A29,'标准新手流程（非R）'!$P$5:$AL$144,MATCH(C$3,'标准新手流程（非R）'!$P$5:$AL$5,0),1))</f>
        <v/>
      </c>
      <c r="D29" s="1" t="str">
        <f>IF(VLOOKUP($A29,'标准新手流程（非R）'!$P$5:$AL$144,MATCH(D$3,'标准新手流程（非R）'!$P$5:$AL$5,0),1)="","",VLOOKUP($A29,'标准新手流程（非R）'!$P$5:$AL$144,MATCH(D$3,'标准新手流程（非R）'!$P$5:$AL$5,0),1))</f>
        <v>1级白</v>
      </c>
      <c r="E29" s="1" t="str">
        <f>IF(VLOOKUP($A29,'标准新手流程（非R）'!$P$5:$AL$144,MATCH(E$3,'标准新手流程（非R）'!$P$5:$AL$5,0),1)="","",VLOOKUP($A29,'标准新手流程（非R）'!$P$5:$AL$144,MATCH(E$3,'标准新手流程（非R）'!$P$5:$AL$5,0),1))</f>
        <v>1级白</v>
      </c>
      <c r="F29" s="1" t="str">
        <f>IF(VLOOKUP($A29,'标准新手流程（非R）'!$P$5:$AL$144,MATCH(F$3,'标准新手流程（非R）'!$P$5:$AL$5,0),1)="","",VLOOKUP($A29,'标准新手流程（非R）'!$P$5:$AL$144,MATCH(F$3,'标准新手流程（非R）'!$P$5:$AL$5,0),1))</f>
        <v>1级白</v>
      </c>
      <c r="G29" s="1" t="str">
        <f>IF(VLOOKUP($A29,'标准新手流程（非R）'!$P$5:$AL$144,MATCH(G$3,'标准新手流程（非R）'!$P$5:$AL$5,0),1)="","",VLOOKUP($A29,'标准新手流程（非R）'!$P$5:$AL$144,MATCH(G$3,'标准新手流程（非R）'!$P$5:$AL$5,0),1))</f>
        <v>1级白</v>
      </c>
      <c r="H29" s="1" t="str">
        <f>IF(VLOOKUP($A29,'标准新手流程（非R）'!$P$5:$AL$144,MATCH(H$3,'标准新手流程（非R）'!$P$5:$AL$5,0),1)="","",VLOOKUP($A29,'标准新手流程（非R）'!$P$5:$AL$144,MATCH(H$3,'标准新手流程（非R）'!$P$5:$AL$5,0),1))</f>
        <v>1级白</v>
      </c>
      <c r="I29" s="1" t="str">
        <f>IF(VLOOKUP($A29,'标准新手流程（非R）'!$P$5:$AL$144,MATCH(I$3,'标准新手流程（非R）'!$P$5:$AL$5,0),1)="","",VLOOKUP($A29,'标准新手流程（非R）'!$P$5:$AL$144,MATCH(I$3,'标准新手流程（非R）'!$P$5:$AL$5,0),1))</f>
        <v/>
      </c>
    </row>
    <row r="30" spans="1:9" x14ac:dyDescent="0.15">
      <c r="A30" s="1">
        <v>27</v>
      </c>
      <c r="B30" s="1" t="str">
        <f>IF(VLOOKUP($A30,'标准新手流程（非R）'!$P$5:$AL$144,MATCH(B$3,'标准新手流程（非R）'!$P$5:$AL$5,0),1)="","",VLOOKUP($A30,'标准新手流程（非R）'!$P$5:$AL$144,MATCH(B$3,'标准新手流程（非R）'!$P$5:$AL$5,0),1))</f>
        <v>1级白</v>
      </c>
      <c r="C30" s="1" t="str">
        <f>IF(VLOOKUP($A30,'标准新手流程（非R）'!$P$5:$AL$144,MATCH(C$3,'标准新手流程（非R）'!$P$5:$AL$5,0),1)="","",VLOOKUP($A30,'标准新手流程（非R）'!$P$5:$AL$144,MATCH(C$3,'标准新手流程（非R）'!$P$5:$AL$5,0),1))</f>
        <v/>
      </c>
      <c r="D30" s="1" t="str">
        <f>IF(VLOOKUP($A30,'标准新手流程（非R）'!$P$5:$AL$144,MATCH(D$3,'标准新手流程（非R）'!$P$5:$AL$5,0),1)="","",VLOOKUP($A30,'标准新手流程（非R）'!$P$5:$AL$144,MATCH(D$3,'标准新手流程（非R）'!$P$5:$AL$5,0),1))</f>
        <v>1级白</v>
      </c>
      <c r="E30" s="1" t="str">
        <f>IF(VLOOKUP($A30,'标准新手流程（非R）'!$P$5:$AL$144,MATCH(E$3,'标准新手流程（非R）'!$P$5:$AL$5,0),1)="","",VLOOKUP($A30,'标准新手流程（非R）'!$P$5:$AL$144,MATCH(E$3,'标准新手流程（非R）'!$P$5:$AL$5,0),1))</f>
        <v>1级白</v>
      </c>
      <c r="F30" s="1" t="str">
        <f>IF(VLOOKUP($A30,'标准新手流程（非R）'!$P$5:$AL$144,MATCH(F$3,'标准新手流程（非R）'!$P$5:$AL$5,0),1)="","",VLOOKUP($A30,'标准新手流程（非R）'!$P$5:$AL$144,MATCH(F$3,'标准新手流程（非R）'!$P$5:$AL$5,0),1))</f>
        <v>1级白</v>
      </c>
      <c r="G30" s="1" t="str">
        <f>IF(VLOOKUP($A30,'标准新手流程（非R）'!$P$5:$AL$144,MATCH(G$3,'标准新手流程（非R）'!$P$5:$AL$5,0),1)="","",VLOOKUP($A30,'标准新手流程（非R）'!$P$5:$AL$144,MATCH(G$3,'标准新手流程（非R）'!$P$5:$AL$5,0),1))</f>
        <v>1级白</v>
      </c>
      <c r="H30" s="1" t="str">
        <f>IF(VLOOKUP($A30,'标准新手流程（非R）'!$P$5:$AL$144,MATCH(H$3,'标准新手流程（非R）'!$P$5:$AL$5,0),1)="","",VLOOKUP($A30,'标准新手流程（非R）'!$P$5:$AL$144,MATCH(H$3,'标准新手流程（非R）'!$P$5:$AL$5,0),1))</f>
        <v>1级白</v>
      </c>
      <c r="I30" s="1" t="str">
        <f>IF(VLOOKUP($A30,'标准新手流程（非R）'!$P$5:$AL$144,MATCH(I$3,'标准新手流程（非R）'!$P$5:$AL$5,0),1)="","",VLOOKUP($A30,'标准新手流程（非R）'!$P$5:$AL$144,MATCH(I$3,'标准新手流程（非R）'!$P$5:$AL$5,0),1))</f>
        <v/>
      </c>
    </row>
    <row r="31" spans="1:9" x14ac:dyDescent="0.15">
      <c r="A31" s="1">
        <v>28</v>
      </c>
      <c r="B31" s="1" t="str">
        <f>IF(VLOOKUP($A31,'标准新手流程（非R）'!$P$5:$AL$144,MATCH(B$3,'标准新手流程（非R）'!$P$5:$AL$5,0),1)="","",VLOOKUP($A31,'标准新手流程（非R）'!$P$5:$AL$144,MATCH(B$3,'标准新手流程（非R）'!$P$5:$AL$5,0),1))</f>
        <v>1级白</v>
      </c>
      <c r="C31" s="1" t="str">
        <f>IF(VLOOKUP($A31,'标准新手流程（非R）'!$P$5:$AL$144,MATCH(C$3,'标准新手流程（非R）'!$P$5:$AL$5,0),1)="","",VLOOKUP($A31,'标准新手流程（非R）'!$P$5:$AL$144,MATCH(C$3,'标准新手流程（非R）'!$P$5:$AL$5,0),1))</f>
        <v/>
      </c>
      <c r="D31" s="1" t="str">
        <f>IF(VLOOKUP($A31,'标准新手流程（非R）'!$P$5:$AL$144,MATCH(D$3,'标准新手流程（非R）'!$P$5:$AL$5,0),1)="","",VLOOKUP($A31,'标准新手流程（非R）'!$P$5:$AL$144,MATCH(D$3,'标准新手流程（非R）'!$P$5:$AL$5,0),1))</f>
        <v>1级白</v>
      </c>
      <c r="E31" s="1" t="str">
        <f>IF(VLOOKUP($A31,'标准新手流程（非R）'!$P$5:$AL$144,MATCH(E$3,'标准新手流程（非R）'!$P$5:$AL$5,0),1)="","",VLOOKUP($A31,'标准新手流程（非R）'!$P$5:$AL$144,MATCH(E$3,'标准新手流程（非R）'!$P$5:$AL$5,0),1))</f>
        <v>1级白</v>
      </c>
      <c r="F31" s="1" t="str">
        <f>IF(VLOOKUP($A31,'标准新手流程（非R）'!$P$5:$AL$144,MATCH(F$3,'标准新手流程（非R）'!$P$5:$AL$5,0),1)="","",VLOOKUP($A31,'标准新手流程（非R）'!$P$5:$AL$144,MATCH(F$3,'标准新手流程（非R）'!$P$5:$AL$5,0),1))</f>
        <v>1级白</v>
      </c>
      <c r="G31" s="1" t="str">
        <f>IF(VLOOKUP($A31,'标准新手流程（非R）'!$P$5:$AL$144,MATCH(G$3,'标准新手流程（非R）'!$P$5:$AL$5,0),1)="","",VLOOKUP($A31,'标准新手流程（非R）'!$P$5:$AL$144,MATCH(G$3,'标准新手流程（非R）'!$P$5:$AL$5,0),1))</f>
        <v>1级白</v>
      </c>
      <c r="H31" s="1" t="str">
        <f>IF(VLOOKUP($A31,'标准新手流程（非R）'!$P$5:$AL$144,MATCH(H$3,'标准新手流程（非R）'!$P$5:$AL$5,0),1)="","",VLOOKUP($A31,'标准新手流程（非R）'!$P$5:$AL$144,MATCH(H$3,'标准新手流程（非R）'!$P$5:$AL$5,0),1))</f>
        <v>1级白</v>
      </c>
      <c r="I31" s="1" t="str">
        <f>IF(VLOOKUP($A31,'标准新手流程（非R）'!$P$5:$AL$144,MATCH(I$3,'标准新手流程（非R）'!$P$5:$AL$5,0),1)="","",VLOOKUP($A31,'标准新手流程（非R）'!$P$5:$AL$144,MATCH(I$3,'标准新手流程（非R）'!$P$5:$AL$5,0),1))</f>
        <v/>
      </c>
    </row>
    <row r="32" spans="1:9" x14ac:dyDescent="0.15">
      <c r="A32" s="1">
        <v>29</v>
      </c>
      <c r="B32" s="1" t="str">
        <f>IF(VLOOKUP($A32,'标准新手流程（非R）'!$P$5:$AL$144,MATCH(B$3,'标准新手流程（非R）'!$P$5:$AL$5,0),1)="","",VLOOKUP($A32,'标准新手流程（非R）'!$P$5:$AL$144,MATCH(B$3,'标准新手流程（非R）'!$P$5:$AL$5,0),1))</f>
        <v>1级白</v>
      </c>
      <c r="C32" s="1" t="str">
        <f>IF(VLOOKUP($A32,'标准新手流程（非R）'!$P$5:$AL$144,MATCH(C$3,'标准新手流程（非R）'!$P$5:$AL$5,0),1)="","",VLOOKUP($A32,'标准新手流程（非R）'!$P$5:$AL$144,MATCH(C$3,'标准新手流程（非R）'!$P$5:$AL$5,0),1))</f>
        <v/>
      </c>
      <c r="D32" s="1" t="str">
        <f>IF(VLOOKUP($A32,'标准新手流程（非R）'!$P$5:$AL$144,MATCH(D$3,'标准新手流程（非R）'!$P$5:$AL$5,0),1)="","",VLOOKUP($A32,'标准新手流程（非R）'!$P$5:$AL$144,MATCH(D$3,'标准新手流程（非R）'!$P$5:$AL$5,0),1))</f>
        <v>1级白</v>
      </c>
      <c r="E32" s="1" t="str">
        <f>IF(VLOOKUP($A32,'标准新手流程（非R）'!$P$5:$AL$144,MATCH(E$3,'标准新手流程（非R）'!$P$5:$AL$5,0),1)="","",VLOOKUP($A32,'标准新手流程（非R）'!$P$5:$AL$144,MATCH(E$3,'标准新手流程（非R）'!$P$5:$AL$5,0),1))</f>
        <v>1级白</v>
      </c>
      <c r="F32" s="1" t="str">
        <f>IF(VLOOKUP($A32,'标准新手流程（非R）'!$P$5:$AL$144,MATCH(F$3,'标准新手流程（非R）'!$P$5:$AL$5,0),1)="","",VLOOKUP($A32,'标准新手流程（非R）'!$P$5:$AL$144,MATCH(F$3,'标准新手流程（非R）'!$P$5:$AL$5,0),1))</f>
        <v>1级白</v>
      </c>
      <c r="G32" s="1" t="str">
        <f>IF(VLOOKUP($A32,'标准新手流程（非R）'!$P$5:$AL$144,MATCH(G$3,'标准新手流程（非R）'!$P$5:$AL$5,0),1)="","",VLOOKUP($A32,'标准新手流程（非R）'!$P$5:$AL$144,MATCH(G$3,'标准新手流程（非R）'!$P$5:$AL$5,0),1))</f>
        <v>1级白</v>
      </c>
      <c r="H32" s="1" t="str">
        <f>IF(VLOOKUP($A32,'标准新手流程（非R）'!$P$5:$AL$144,MATCH(H$3,'标准新手流程（非R）'!$P$5:$AL$5,0),1)="","",VLOOKUP($A32,'标准新手流程（非R）'!$P$5:$AL$144,MATCH(H$3,'标准新手流程（非R）'!$P$5:$AL$5,0),1))</f>
        <v>1级白</v>
      </c>
      <c r="I32" s="1" t="str">
        <f>IF(VLOOKUP($A32,'标准新手流程（非R）'!$P$5:$AL$144,MATCH(I$3,'标准新手流程（非R）'!$P$5:$AL$5,0),1)="","",VLOOKUP($A32,'标准新手流程（非R）'!$P$5:$AL$144,MATCH(I$3,'标准新手流程（非R）'!$P$5:$AL$5,0),1))</f>
        <v/>
      </c>
    </row>
    <row r="33" spans="1:9" x14ac:dyDescent="0.15">
      <c r="A33" s="1">
        <v>30</v>
      </c>
      <c r="B33" s="1" t="str">
        <f>IF(VLOOKUP($A33,'标准新手流程（非R）'!$P$5:$AL$144,MATCH(B$3,'标准新手流程（非R）'!$P$5:$AL$5,0),1)="","",VLOOKUP($A33,'标准新手流程（非R）'!$P$5:$AL$144,MATCH(B$3,'标准新手流程（非R）'!$P$5:$AL$5,0),1))</f>
        <v>1级白</v>
      </c>
      <c r="C33" s="1" t="str">
        <f>IF(VLOOKUP($A33,'标准新手流程（非R）'!$P$5:$AL$144,MATCH(C$3,'标准新手流程（非R）'!$P$5:$AL$5,0),1)="","",VLOOKUP($A33,'标准新手流程（非R）'!$P$5:$AL$144,MATCH(C$3,'标准新手流程（非R）'!$P$5:$AL$5,0),1))</f>
        <v/>
      </c>
      <c r="D33" s="1" t="str">
        <f>IF(VLOOKUP($A33,'标准新手流程（非R）'!$P$5:$AL$144,MATCH(D$3,'标准新手流程（非R）'!$P$5:$AL$5,0),1)="","",VLOOKUP($A33,'标准新手流程（非R）'!$P$5:$AL$144,MATCH(D$3,'标准新手流程（非R）'!$P$5:$AL$5,0),1))</f>
        <v>1级白</v>
      </c>
      <c r="E33" s="1" t="str">
        <f>IF(VLOOKUP($A33,'标准新手流程（非R）'!$P$5:$AL$144,MATCH(E$3,'标准新手流程（非R）'!$P$5:$AL$5,0),1)="","",VLOOKUP($A33,'标准新手流程（非R）'!$P$5:$AL$144,MATCH(E$3,'标准新手流程（非R）'!$P$5:$AL$5,0),1))</f>
        <v>1级白</v>
      </c>
      <c r="F33" s="1" t="str">
        <f>IF(VLOOKUP($A33,'标准新手流程（非R）'!$P$5:$AL$144,MATCH(F$3,'标准新手流程（非R）'!$P$5:$AL$5,0),1)="","",VLOOKUP($A33,'标准新手流程（非R）'!$P$5:$AL$144,MATCH(F$3,'标准新手流程（非R）'!$P$5:$AL$5,0),1))</f>
        <v>1级白</v>
      </c>
      <c r="G33" s="1" t="str">
        <f>IF(VLOOKUP($A33,'标准新手流程（非R）'!$P$5:$AL$144,MATCH(G$3,'标准新手流程（非R）'!$P$5:$AL$5,0),1)="","",VLOOKUP($A33,'标准新手流程（非R）'!$P$5:$AL$144,MATCH(G$3,'标准新手流程（非R）'!$P$5:$AL$5,0),1))</f>
        <v>1级白</v>
      </c>
      <c r="H33" s="1" t="str">
        <f>IF(VLOOKUP($A33,'标准新手流程（非R）'!$P$5:$AL$144,MATCH(H$3,'标准新手流程（非R）'!$P$5:$AL$5,0),1)="","",VLOOKUP($A33,'标准新手流程（非R）'!$P$5:$AL$144,MATCH(H$3,'标准新手流程（非R）'!$P$5:$AL$5,0),1))</f>
        <v>1级白</v>
      </c>
      <c r="I33" s="1" t="str">
        <f>IF(VLOOKUP($A33,'标准新手流程（非R）'!$P$5:$AL$144,MATCH(I$3,'标准新手流程（非R）'!$P$5:$AL$5,0),1)="","",VLOOKUP($A33,'标准新手流程（非R）'!$P$5:$AL$144,MATCH(I$3,'标准新手流程（非R）'!$P$5:$AL$5,0),1))</f>
        <v/>
      </c>
    </row>
    <row r="34" spans="1:9" x14ac:dyDescent="0.15">
      <c r="A34" s="1">
        <v>31</v>
      </c>
      <c r="B34" s="1" t="str">
        <f>IF(VLOOKUP($A34,'标准新手流程（非R）'!$P$5:$AL$144,MATCH(B$3,'标准新手流程（非R）'!$P$5:$AL$5,0),1)="","",VLOOKUP($A34,'标准新手流程（非R）'!$P$5:$AL$144,MATCH(B$3,'标准新手流程（非R）'!$P$5:$AL$5,0),1))</f>
        <v>1级白</v>
      </c>
      <c r="C34" s="1" t="str">
        <f>IF(VLOOKUP($A34,'标准新手流程（非R）'!$P$5:$AL$144,MATCH(C$3,'标准新手流程（非R）'!$P$5:$AL$5,0),1)="","",VLOOKUP($A34,'标准新手流程（非R）'!$P$5:$AL$144,MATCH(C$3,'标准新手流程（非R）'!$P$5:$AL$5,0),1))</f>
        <v/>
      </c>
      <c r="D34" s="1" t="str">
        <f>IF(VLOOKUP($A34,'标准新手流程（非R）'!$P$5:$AL$144,MATCH(D$3,'标准新手流程（非R）'!$P$5:$AL$5,0),1)="","",VLOOKUP($A34,'标准新手流程（非R）'!$P$5:$AL$144,MATCH(D$3,'标准新手流程（非R）'!$P$5:$AL$5,0),1))</f>
        <v>1级白</v>
      </c>
      <c r="E34" s="1" t="str">
        <f>IF(VLOOKUP($A34,'标准新手流程（非R）'!$P$5:$AL$144,MATCH(E$3,'标准新手流程（非R）'!$P$5:$AL$5,0),1)="","",VLOOKUP($A34,'标准新手流程（非R）'!$P$5:$AL$144,MATCH(E$3,'标准新手流程（非R）'!$P$5:$AL$5,0),1))</f>
        <v>1级白</v>
      </c>
      <c r="F34" s="1" t="str">
        <f>IF(VLOOKUP($A34,'标准新手流程（非R）'!$P$5:$AL$144,MATCH(F$3,'标准新手流程（非R）'!$P$5:$AL$5,0),1)="","",VLOOKUP($A34,'标准新手流程（非R）'!$P$5:$AL$144,MATCH(F$3,'标准新手流程（非R）'!$P$5:$AL$5,0),1))</f>
        <v>1级白</v>
      </c>
      <c r="G34" s="1" t="str">
        <f>IF(VLOOKUP($A34,'标准新手流程（非R）'!$P$5:$AL$144,MATCH(G$3,'标准新手流程（非R）'!$P$5:$AL$5,0),1)="","",VLOOKUP($A34,'标准新手流程（非R）'!$P$5:$AL$144,MATCH(G$3,'标准新手流程（非R）'!$P$5:$AL$5,0),1))</f>
        <v>1级白</v>
      </c>
      <c r="H34" s="1" t="str">
        <f>IF(VLOOKUP($A34,'标准新手流程（非R）'!$P$5:$AL$144,MATCH(H$3,'标准新手流程（非R）'!$P$5:$AL$5,0),1)="","",VLOOKUP($A34,'标准新手流程（非R）'!$P$5:$AL$144,MATCH(H$3,'标准新手流程（非R）'!$P$5:$AL$5,0),1))</f>
        <v>1级白</v>
      </c>
      <c r="I34" s="1" t="str">
        <f>IF(VLOOKUP($A34,'标准新手流程（非R）'!$P$5:$AL$144,MATCH(I$3,'标准新手流程（非R）'!$P$5:$AL$5,0),1)="","",VLOOKUP($A34,'标准新手流程（非R）'!$P$5:$AL$144,MATCH(I$3,'标准新手流程（非R）'!$P$5:$AL$5,0),1))</f>
        <v/>
      </c>
    </row>
    <row r="35" spans="1:9" x14ac:dyDescent="0.15">
      <c r="A35" s="1">
        <v>32</v>
      </c>
      <c r="B35" s="1" t="str">
        <f>IF(VLOOKUP($A35,'标准新手流程（非R）'!$P$5:$AL$144,MATCH(B$3,'标准新手流程（非R）'!$P$5:$AL$5,0),1)="","",VLOOKUP($A35,'标准新手流程（非R）'!$P$5:$AL$144,MATCH(B$3,'标准新手流程（非R）'!$P$5:$AL$5,0),1))</f>
        <v>1级白</v>
      </c>
      <c r="C35" s="1" t="str">
        <f>IF(VLOOKUP($A35,'标准新手流程（非R）'!$P$5:$AL$144,MATCH(C$3,'标准新手流程（非R）'!$P$5:$AL$5,0),1)="","",VLOOKUP($A35,'标准新手流程（非R）'!$P$5:$AL$144,MATCH(C$3,'标准新手流程（非R）'!$P$5:$AL$5,0),1))</f>
        <v/>
      </c>
      <c r="D35" s="1" t="str">
        <f>IF(VLOOKUP($A35,'标准新手流程（非R）'!$P$5:$AL$144,MATCH(D$3,'标准新手流程（非R）'!$P$5:$AL$5,0),1)="","",VLOOKUP($A35,'标准新手流程（非R）'!$P$5:$AL$144,MATCH(D$3,'标准新手流程（非R）'!$P$5:$AL$5,0),1))</f>
        <v>1级白</v>
      </c>
      <c r="E35" s="1" t="str">
        <f>IF(VLOOKUP($A35,'标准新手流程（非R）'!$P$5:$AL$144,MATCH(E$3,'标准新手流程（非R）'!$P$5:$AL$5,0),1)="","",VLOOKUP($A35,'标准新手流程（非R）'!$P$5:$AL$144,MATCH(E$3,'标准新手流程（非R）'!$P$5:$AL$5,0),1))</f>
        <v>1级白</v>
      </c>
      <c r="F35" s="1" t="str">
        <f>IF(VLOOKUP($A35,'标准新手流程（非R）'!$P$5:$AL$144,MATCH(F$3,'标准新手流程（非R）'!$P$5:$AL$5,0),1)="","",VLOOKUP($A35,'标准新手流程（非R）'!$P$5:$AL$144,MATCH(F$3,'标准新手流程（非R）'!$P$5:$AL$5,0),1))</f>
        <v>1级白</v>
      </c>
      <c r="G35" s="1" t="str">
        <f>IF(VLOOKUP($A35,'标准新手流程（非R）'!$P$5:$AL$144,MATCH(G$3,'标准新手流程（非R）'!$P$5:$AL$5,0),1)="","",VLOOKUP($A35,'标准新手流程（非R）'!$P$5:$AL$144,MATCH(G$3,'标准新手流程（非R）'!$P$5:$AL$5,0),1))</f>
        <v>1级白</v>
      </c>
      <c r="H35" s="1" t="str">
        <f>IF(VLOOKUP($A35,'标准新手流程（非R）'!$P$5:$AL$144,MATCH(H$3,'标准新手流程（非R）'!$P$5:$AL$5,0),1)="","",VLOOKUP($A35,'标准新手流程（非R）'!$P$5:$AL$144,MATCH(H$3,'标准新手流程（非R）'!$P$5:$AL$5,0),1))</f>
        <v>1级白</v>
      </c>
      <c r="I35" s="1" t="str">
        <f>IF(VLOOKUP($A35,'标准新手流程（非R）'!$P$5:$AL$144,MATCH(I$3,'标准新手流程（非R）'!$P$5:$AL$5,0),1)="","",VLOOKUP($A35,'标准新手流程（非R）'!$P$5:$AL$144,MATCH(I$3,'标准新手流程（非R）'!$P$5:$AL$5,0),1))</f>
        <v/>
      </c>
    </row>
    <row r="36" spans="1:9" x14ac:dyDescent="0.15">
      <c r="A36" s="1">
        <v>33</v>
      </c>
      <c r="B36" s="1" t="str">
        <f>IF(VLOOKUP($A36,'标准新手流程（非R）'!$P$5:$AL$144,MATCH(B$3,'标准新手流程（非R）'!$P$5:$AL$5,0),1)="","",VLOOKUP($A36,'标准新手流程（非R）'!$P$5:$AL$144,MATCH(B$3,'标准新手流程（非R）'!$P$5:$AL$5,0),1))</f>
        <v>1级白</v>
      </c>
      <c r="C36" s="1" t="str">
        <f>IF(VLOOKUP($A36,'标准新手流程（非R）'!$P$5:$AL$144,MATCH(C$3,'标准新手流程（非R）'!$P$5:$AL$5,0),1)="","",VLOOKUP($A36,'标准新手流程（非R）'!$P$5:$AL$144,MATCH(C$3,'标准新手流程（非R）'!$P$5:$AL$5,0),1))</f>
        <v/>
      </c>
      <c r="D36" s="1" t="str">
        <f>IF(VLOOKUP($A36,'标准新手流程（非R）'!$P$5:$AL$144,MATCH(D$3,'标准新手流程（非R）'!$P$5:$AL$5,0),1)="","",VLOOKUP($A36,'标准新手流程（非R）'!$P$5:$AL$144,MATCH(D$3,'标准新手流程（非R）'!$P$5:$AL$5,0),1))</f>
        <v>1级白</v>
      </c>
      <c r="E36" s="1" t="str">
        <f>IF(VLOOKUP($A36,'标准新手流程（非R）'!$P$5:$AL$144,MATCH(E$3,'标准新手流程（非R）'!$P$5:$AL$5,0),1)="","",VLOOKUP($A36,'标准新手流程（非R）'!$P$5:$AL$144,MATCH(E$3,'标准新手流程（非R）'!$P$5:$AL$5,0),1))</f>
        <v>1级白</v>
      </c>
      <c r="F36" s="1" t="str">
        <f>IF(VLOOKUP($A36,'标准新手流程（非R）'!$P$5:$AL$144,MATCH(F$3,'标准新手流程（非R）'!$P$5:$AL$5,0),1)="","",VLOOKUP($A36,'标准新手流程（非R）'!$P$5:$AL$144,MATCH(F$3,'标准新手流程（非R）'!$P$5:$AL$5,0),1))</f>
        <v>1级白</v>
      </c>
      <c r="G36" s="1" t="str">
        <f>IF(VLOOKUP($A36,'标准新手流程（非R）'!$P$5:$AL$144,MATCH(G$3,'标准新手流程（非R）'!$P$5:$AL$5,0),1)="","",VLOOKUP($A36,'标准新手流程（非R）'!$P$5:$AL$144,MATCH(G$3,'标准新手流程（非R）'!$P$5:$AL$5,0),1))</f>
        <v>1级白</v>
      </c>
      <c r="H36" s="1" t="str">
        <f>IF(VLOOKUP($A36,'标准新手流程（非R）'!$P$5:$AL$144,MATCH(H$3,'标准新手流程（非R）'!$P$5:$AL$5,0),1)="","",VLOOKUP($A36,'标准新手流程（非R）'!$P$5:$AL$144,MATCH(H$3,'标准新手流程（非R）'!$P$5:$AL$5,0),1))</f>
        <v>1级白</v>
      </c>
      <c r="I36" s="1" t="str">
        <f>IF(VLOOKUP($A36,'标准新手流程（非R）'!$P$5:$AL$144,MATCH(I$3,'标准新手流程（非R）'!$P$5:$AL$5,0),1)="","",VLOOKUP($A36,'标准新手流程（非R）'!$P$5:$AL$144,MATCH(I$3,'标准新手流程（非R）'!$P$5:$AL$5,0),1))</f>
        <v/>
      </c>
    </row>
    <row r="37" spans="1:9" x14ac:dyDescent="0.15">
      <c r="A37" s="1">
        <v>34</v>
      </c>
      <c r="B37" s="1" t="str">
        <f>IF(VLOOKUP($A37,'标准新手流程（非R）'!$P$5:$AL$144,MATCH(B$3,'标准新手流程（非R）'!$P$5:$AL$5,0),1)="","",VLOOKUP($A37,'标准新手流程（非R）'!$P$5:$AL$144,MATCH(B$3,'标准新手流程（非R）'!$P$5:$AL$5,0),1))</f>
        <v>1级白</v>
      </c>
      <c r="C37" s="1" t="str">
        <f>IF(VLOOKUP($A37,'标准新手流程（非R）'!$P$5:$AL$144,MATCH(C$3,'标准新手流程（非R）'!$P$5:$AL$5,0),1)="","",VLOOKUP($A37,'标准新手流程（非R）'!$P$5:$AL$144,MATCH(C$3,'标准新手流程（非R）'!$P$5:$AL$5,0),1))</f>
        <v/>
      </c>
      <c r="D37" s="1" t="str">
        <f>IF(VLOOKUP($A37,'标准新手流程（非R）'!$P$5:$AL$144,MATCH(D$3,'标准新手流程（非R）'!$P$5:$AL$5,0),1)="","",VLOOKUP($A37,'标准新手流程（非R）'!$P$5:$AL$144,MATCH(D$3,'标准新手流程（非R）'!$P$5:$AL$5,0),1))</f>
        <v>1级白</v>
      </c>
      <c r="E37" s="1" t="str">
        <f>IF(VLOOKUP($A37,'标准新手流程（非R）'!$P$5:$AL$144,MATCH(E$3,'标准新手流程（非R）'!$P$5:$AL$5,0),1)="","",VLOOKUP($A37,'标准新手流程（非R）'!$P$5:$AL$144,MATCH(E$3,'标准新手流程（非R）'!$P$5:$AL$5,0),1))</f>
        <v>1级白</v>
      </c>
      <c r="F37" s="1" t="str">
        <f>IF(VLOOKUP($A37,'标准新手流程（非R）'!$P$5:$AL$144,MATCH(F$3,'标准新手流程（非R）'!$P$5:$AL$5,0),1)="","",VLOOKUP($A37,'标准新手流程（非R）'!$P$5:$AL$144,MATCH(F$3,'标准新手流程（非R）'!$P$5:$AL$5,0),1))</f>
        <v>1级白</v>
      </c>
      <c r="G37" s="1" t="str">
        <f>IF(VLOOKUP($A37,'标准新手流程（非R）'!$P$5:$AL$144,MATCH(G$3,'标准新手流程（非R）'!$P$5:$AL$5,0),1)="","",VLOOKUP($A37,'标准新手流程（非R）'!$P$5:$AL$144,MATCH(G$3,'标准新手流程（非R）'!$P$5:$AL$5,0),1))</f>
        <v>1级白</v>
      </c>
      <c r="H37" s="1" t="str">
        <f>IF(VLOOKUP($A37,'标准新手流程（非R）'!$P$5:$AL$144,MATCH(H$3,'标准新手流程（非R）'!$P$5:$AL$5,0),1)="","",VLOOKUP($A37,'标准新手流程（非R）'!$P$5:$AL$144,MATCH(H$3,'标准新手流程（非R）'!$P$5:$AL$5,0),1))</f>
        <v>1级白</v>
      </c>
      <c r="I37" s="1" t="str">
        <f>IF(VLOOKUP($A37,'标准新手流程（非R）'!$P$5:$AL$144,MATCH(I$3,'标准新手流程（非R）'!$P$5:$AL$5,0),1)="","",VLOOKUP($A37,'标准新手流程（非R）'!$P$5:$AL$144,MATCH(I$3,'标准新手流程（非R）'!$P$5:$AL$5,0),1))</f>
        <v/>
      </c>
    </row>
    <row r="38" spans="1:9" x14ac:dyDescent="0.15">
      <c r="A38" s="1">
        <v>35</v>
      </c>
      <c r="B38" s="1" t="str">
        <f>IF(VLOOKUP($A38,'标准新手流程（非R）'!$P$5:$AL$144,MATCH(B$3,'标准新手流程（非R）'!$P$5:$AL$5,0),1)="","",VLOOKUP($A38,'标准新手流程（非R）'!$P$5:$AL$144,MATCH(B$3,'标准新手流程（非R）'!$P$5:$AL$5,0),1))</f>
        <v>1级白</v>
      </c>
      <c r="C38" s="1" t="str">
        <f>IF(VLOOKUP($A38,'标准新手流程（非R）'!$P$5:$AL$144,MATCH(C$3,'标准新手流程（非R）'!$P$5:$AL$5,0),1)="","",VLOOKUP($A38,'标准新手流程（非R）'!$P$5:$AL$144,MATCH(C$3,'标准新手流程（非R）'!$P$5:$AL$5,0),1))</f>
        <v/>
      </c>
      <c r="D38" s="1" t="str">
        <f>IF(VLOOKUP($A38,'标准新手流程（非R）'!$P$5:$AL$144,MATCH(D$3,'标准新手流程（非R）'!$P$5:$AL$5,0),1)="","",VLOOKUP($A38,'标准新手流程（非R）'!$P$5:$AL$144,MATCH(D$3,'标准新手流程（非R）'!$P$5:$AL$5,0),1))</f>
        <v>1级白</v>
      </c>
      <c r="E38" s="1" t="str">
        <f>IF(VLOOKUP($A38,'标准新手流程（非R）'!$P$5:$AL$144,MATCH(E$3,'标准新手流程（非R）'!$P$5:$AL$5,0),1)="","",VLOOKUP($A38,'标准新手流程（非R）'!$P$5:$AL$144,MATCH(E$3,'标准新手流程（非R）'!$P$5:$AL$5,0),1))</f>
        <v>1级白</v>
      </c>
      <c r="F38" s="1" t="str">
        <f>IF(VLOOKUP($A38,'标准新手流程（非R）'!$P$5:$AL$144,MATCH(F$3,'标准新手流程（非R）'!$P$5:$AL$5,0),1)="","",VLOOKUP($A38,'标准新手流程（非R）'!$P$5:$AL$144,MATCH(F$3,'标准新手流程（非R）'!$P$5:$AL$5,0),1))</f>
        <v>1级白</v>
      </c>
      <c r="G38" s="1" t="str">
        <f>IF(VLOOKUP($A38,'标准新手流程（非R）'!$P$5:$AL$144,MATCH(G$3,'标准新手流程（非R）'!$P$5:$AL$5,0),1)="","",VLOOKUP($A38,'标准新手流程（非R）'!$P$5:$AL$144,MATCH(G$3,'标准新手流程（非R）'!$P$5:$AL$5,0),1))</f>
        <v>1级白</v>
      </c>
      <c r="H38" s="1" t="str">
        <f>IF(VLOOKUP($A38,'标准新手流程（非R）'!$P$5:$AL$144,MATCH(H$3,'标准新手流程（非R）'!$P$5:$AL$5,0),1)="","",VLOOKUP($A38,'标准新手流程（非R）'!$P$5:$AL$144,MATCH(H$3,'标准新手流程（非R）'!$P$5:$AL$5,0),1))</f>
        <v>1级白</v>
      </c>
      <c r="I38" s="1" t="str">
        <f>IF(VLOOKUP($A38,'标准新手流程（非R）'!$P$5:$AL$144,MATCH(I$3,'标准新手流程（非R）'!$P$5:$AL$5,0),1)="","",VLOOKUP($A38,'标准新手流程（非R）'!$P$5:$AL$144,MATCH(I$3,'标准新手流程（非R）'!$P$5:$AL$5,0),1))</f>
        <v/>
      </c>
    </row>
    <row r="39" spans="1:9" x14ac:dyDescent="0.15">
      <c r="A39" s="1">
        <v>36</v>
      </c>
      <c r="B39" s="1" t="str">
        <f>IF(VLOOKUP($A39,'标准新手流程（非R）'!$P$5:$AL$144,MATCH(B$3,'标准新手流程（非R）'!$P$5:$AL$5,0),1)="","",VLOOKUP($A39,'标准新手流程（非R）'!$P$5:$AL$144,MATCH(B$3,'标准新手流程（非R）'!$P$5:$AL$5,0),1))</f>
        <v>1级白</v>
      </c>
      <c r="C39" s="1" t="str">
        <f>IF(VLOOKUP($A39,'标准新手流程（非R）'!$P$5:$AL$144,MATCH(C$3,'标准新手流程（非R）'!$P$5:$AL$5,0),1)="","",VLOOKUP($A39,'标准新手流程（非R）'!$P$5:$AL$144,MATCH(C$3,'标准新手流程（非R）'!$P$5:$AL$5,0),1))</f>
        <v/>
      </c>
      <c r="D39" s="1" t="str">
        <f>IF(VLOOKUP($A39,'标准新手流程（非R）'!$P$5:$AL$144,MATCH(D$3,'标准新手流程（非R）'!$P$5:$AL$5,0),1)="","",VLOOKUP($A39,'标准新手流程（非R）'!$P$5:$AL$144,MATCH(D$3,'标准新手流程（非R）'!$P$5:$AL$5,0),1))</f>
        <v>1级白</v>
      </c>
      <c r="E39" s="1" t="str">
        <f>IF(VLOOKUP($A39,'标准新手流程（非R）'!$P$5:$AL$144,MATCH(E$3,'标准新手流程（非R）'!$P$5:$AL$5,0),1)="","",VLOOKUP($A39,'标准新手流程（非R）'!$P$5:$AL$144,MATCH(E$3,'标准新手流程（非R）'!$P$5:$AL$5,0),1))</f>
        <v>1级白</v>
      </c>
      <c r="F39" s="1" t="str">
        <f>IF(VLOOKUP($A39,'标准新手流程（非R）'!$P$5:$AL$144,MATCH(F$3,'标准新手流程（非R）'!$P$5:$AL$5,0),1)="","",VLOOKUP($A39,'标准新手流程（非R）'!$P$5:$AL$144,MATCH(F$3,'标准新手流程（非R）'!$P$5:$AL$5,0),1))</f>
        <v>1级白</v>
      </c>
      <c r="G39" s="1" t="str">
        <f>IF(VLOOKUP($A39,'标准新手流程（非R）'!$P$5:$AL$144,MATCH(G$3,'标准新手流程（非R）'!$P$5:$AL$5,0),1)="","",VLOOKUP($A39,'标准新手流程（非R）'!$P$5:$AL$144,MATCH(G$3,'标准新手流程（非R）'!$P$5:$AL$5,0),1))</f>
        <v>1级白</v>
      </c>
      <c r="H39" s="1" t="str">
        <f>IF(VLOOKUP($A39,'标准新手流程（非R）'!$P$5:$AL$144,MATCH(H$3,'标准新手流程（非R）'!$P$5:$AL$5,0),1)="","",VLOOKUP($A39,'标准新手流程（非R）'!$P$5:$AL$144,MATCH(H$3,'标准新手流程（非R）'!$P$5:$AL$5,0),1))</f>
        <v>1级白</v>
      </c>
      <c r="I39" s="1" t="str">
        <f>IF(VLOOKUP($A39,'标准新手流程（非R）'!$P$5:$AL$144,MATCH(I$3,'标准新手流程（非R）'!$P$5:$AL$5,0),1)="","",VLOOKUP($A39,'标准新手流程（非R）'!$P$5:$AL$144,MATCH(I$3,'标准新手流程（非R）'!$P$5:$AL$5,0),1))</f>
        <v/>
      </c>
    </row>
    <row r="40" spans="1:9" x14ac:dyDescent="0.15">
      <c r="A40" s="1">
        <v>37</v>
      </c>
      <c r="B40" s="1" t="str">
        <f>IF(VLOOKUP($A40,'标准新手流程（非R）'!$P$5:$AL$144,MATCH(B$3,'标准新手流程（非R）'!$P$5:$AL$5,0),1)="","",VLOOKUP($A40,'标准新手流程（非R）'!$P$5:$AL$144,MATCH(B$3,'标准新手流程（非R）'!$P$5:$AL$5,0),1))</f>
        <v>1级白</v>
      </c>
      <c r="C40" s="1" t="str">
        <f>IF(VLOOKUP($A40,'标准新手流程（非R）'!$P$5:$AL$144,MATCH(C$3,'标准新手流程（非R）'!$P$5:$AL$5,0),1)="","",VLOOKUP($A40,'标准新手流程（非R）'!$P$5:$AL$144,MATCH(C$3,'标准新手流程（非R）'!$P$5:$AL$5,0),1))</f>
        <v/>
      </c>
      <c r="D40" s="1" t="str">
        <f>IF(VLOOKUP($A40,'标准新手流程（非R）'!$P$5:$AL$144,MATCH(D$3,'标准新手流程（非R）'!$P$5:$AL$5,0),1)="","",VLOOKUP($A40,'标准新手流程（非R）'!$P$5:$AL$144,MATCH(D$3,'标准新手流程（非R）'!$P$5:$AL$5,0),1))</f>
        <v>1级白</v>
      </c>
      <c r="E40" s="1" t="str">
        <f>IF(VLOOKUP($A40,'标准新手流程（非R）'!$P$5:$AL$144,MATCH(E$3,'标准新手流程（非R）'!$P$5:$AL$5,0),1)="","",VLOOKUP($A40,'标准新手流程（非R）'!$P$5:$AL$144,MATCH(E$3,'标准新手流程（非R）'!$P$5:$AL$5,0),1))</f>
        <v>1级白</v>
      </c>
      <c r="F40" s="1" t="str">
        <f>IF(VLOOKUP($A40,'标准新手流程（非R）'!$P$5:$AL$144,MATCH(F$3,'标准新手流程（非R）'!$P$5:$AL$5,0),1)="","",VLOOKUP($A40,'标准新手流程（非R）'!$P$5:$AL$144,MATCH(F$3,'标准新手流程（非R）'!$P$5:$AL$5,0),1))</f>
        <v>1级白</v>
      </c>
      <c r="G40" s="1" t="str">
        <f>IF(VLOOKUP($A40,'标准新手流程（非R）'!$P$5:$AL$144,MATCH(G$3,'标准新手流程（非R）'!$P$5:$AL$5,0),1)="","",VLOOKUP($A40,'标准新手流程（非R）'!$P$5:$AL$144,MATCH(G$3,'标准新手流程（非R）'!$P$5:$AL$5,0),1))</f>
        <v>1级白</v>
      </c>
      <c r="H40" s="1" t="str">
        <f>IF(VLOOKUP($A40,'标准新手流程（非R）'!$P$5:$AL$144,MATCH(H$3,'标准新手流程（非R）'!$P$5:$AL$5,0),1)="","",VLOOKUP($A40,'标准新手流程（非R）'!$P$5:$AL$144,MATCH(H$3,'标准新手流程（非R）'!$P$5:$AL$5,0),1))</f>
        <v>1级白</v>
      </c>
      <c r="I40" s="1" t="str">
        <f>IF(VLOOKUP($A40,'标准新手流程（非R）'!$P$5:$AL$144,MATCH(I$3,'标准新手流程（非R）'!$P$5:$AL$5,0),1)="","",VLOOKUP($A40,'标准新手流程（非R）'!$P$5:$AL$144,MATCH(I$3,'标准新手流程（非R）'!$P$5:$AL$5,0),1))</f>
        <v/>
      </c>
    </row>
    <row r="41" spans="1:9" x14ac:dyDescent="0.15">
      <c r="A41" s="1">
        <v>38</v>
      </c>
      <c r="B41" s="1" t="str">
        <f>IF(VLOOKUP($A41,'标准新手流程（非R）'!$P$5:$AL$144,MATCH(B$3,'标准新手流程（非R）'!$P$5:$AL$5,0),1)="","",VLOOKUP($A41,'标准新手流程（非R）'!$P$5:$AL$144,MATCH(B$3,'标准新手流程（非R）'!$P$5:$AL$5,0),1))</f>
        <v>1级白</v>
      </c>
      <c r="C41" s="1" t="str">
        <f>IF(VLOOKUP($A41,'标准新手流程（非R）'!$P$5:$AL$144,MATCH(C$3,'标准新手流程（非R）'!$P$5:$AL$5,0),1)="","",VLOOKUP($A41,'标准新手流程（非R）'!$P$5:$AL$144,MATCH(C$3,'标准新手流程（非R）'!$P$5:$AL$5,0),1))</f>
        <v/>
      </c>
      <c r="D41" s="1" t="str">
        <f>IF(VLOOKUP($A41,'标准新手流程（非R）'!$P$5:$AL$144,MATCH(D$3,'标准新手流程（非R）'!$P$5:$AL$5,0),1)="","",VLOOKUP($A41,'标准新手流程（非R）'!$P$5:$AL$144,MATCH(D$3,'标准新手流程（非R）'!$P$5:$AL$5,0),1))</f>
        <v>1级白</v>
      </c>
      <c r="E41" s="1" t="str">
        <f>IF(VLOOKUP($A41,'标准新手流程（非R）'!$P$5:$AL$144,MATCH(E$3,'标准新手流程（非R）'!$P$5:$AL$5,0),1)="","",VLOOKUP($A41,'标准新手流程（非R）'!$P$5:$AL$144,MATCH(E$3,'标准新手流程（非R）'!$P$5:$AL$5,0),1))</f>
        <v>1级白</v>
      </c>
      <c r="F41" s="1" t="str">
        <f>IF(VLOOKUP($A41,'标准新手流程（非R）'!$P$5:$AL$144,MATCH(F$3,'标准新手流程（非R）'!$P$5:$AL$5,0),1)="","",VLOOKUP($A41,'标准新手流程（非R）'!$P$5:$AL$144,MATCH(F$3,'标准新手流程（非R）'!$P$5:$AL$5,0),1))</f>
        <v>1级白</v>
      </c>
      <c r="G41" s="1" t="str">
        <f>IF(VLOOKUP($A41,'标准新手流程（非R）'!$P$5:$AL$144,MATCH(G$3,'标准新手流程（非R）'!$P$5:$AL$5,0),1)="","",VLOOKUP($A41,'标准新手流程（非R）'!$P$5:$AL$144,MATCH(G$3,'标准新手流程（非R）'!$P$5:$AL$5,0),1))</f>
        <v>1级白</v>
      </c>
      <c r="H41" s="1" t="str">
        <f>IF(VLOOKUP($A41,'标准新手流程（非R）'!$P$5:$AL$144,MATCH(H$3,'标准新手流程（非R）'!$P$5:$AL$5,0),1)="","",VLOOKUP($A41,'标准新手流程（非R）'!$P$5:$AL$144,MATCH(H$3,'标准新手流程（非R）'!$P$5:$AL$5,0),1))</f>
        <v>1级白</v>
      </c>
      <c r="I41" s="1" t="str">
        <f>IF(VLOOKUP($A41,'标准新手流程（非R）'!$P$5:$AL$144,MATCH(I$3,'标准新手流程（非R）'!$P$5:$AL$5,0),1)="","",VLOOKUP($A41,'标准新手流程（非R）'!$P$5:$AL$144,MATCH(I$3,'标准新手流程（非R）'!$P$5:$AL$5,0),1))</f>
        <v/>
      </c>
    </row>
    <row r="42" spans="1:9" x14ac:dyDescent="0.15">
      <c r="A42" s="1">
        <v>39</v>
      </c>
      <c r="B42" s="1" t="str">
        <f>IF(VLOOKUP($A42,'标准新手流程（非R）'!$P$5:$AL$144,MATCH(B$3,'标准新手流程（非R）'!$P$5:$AL$5,0),1)="","",VLOOKUP($A42,'标准新手流程（非R）'!$P$5:$AL$144,MATCH(B$3,'标准新手流程（非R）'!$P$5:$AL$5,0),1))</f>
        <v>1级白</v>
      </c>
      <c r="C42" s="1" t="str">
        <f>IF(VLOOKUP($A42,'标准新手流程（非R）'!$P$5:$AL$144,MATCH(C$3,'标准新手流程（非R）'!$P$5:$AL$5,0),1)="","",VLOOKUP($A42,'标准新手流程（非R）'!$P$5:$AL$144,MATCH(C$3,'标准新手流程（非R）'!$P$5:$AL$5,0),1))</f>
        <v/>
      </c>
      <c r="D42" s="1" t="str">
        <f>IF(VLOOKUP($A42,'标准新手流程（非R）'!$P$5:$AL$144,MATCH(D$3,'标准新手流程（非R）'!$P$5:$AL$5,0),1)="","",VLOOKUP($A42,'标准新手流程（非R）'!$P$5:$AL$144,MATCH(D$3,'标准新手流程（非R）'!$P$5:$AL$5,0),1))</f>
        <v>1级白</v>
      </c>
      <c r="E42" s="1" t="str">
        <f>IF(VLOOKUP($A42,'标准新手流程（非R）'!$P$5:$AL$144,MATCH(E$3,'标准新手流程（非R）'!$P$5:$AL$5,0),1)="","",VLOOKUP($A42,'标准新手流程（非R）'!$P$5:$AL$144,MATCH(E$3,'标准新手流程（非R）'!$P$5:$AL$5,0),1))</f>
        <v>1级白</v>
      </c>
      <c r="F42" s="1" t="str">
        <f>IF(VLOOKUP($A42,'标准新手流程（非R）'!$P$5:$AL$144,MATCH(F$3,'标准新手流程（非R）'!$P$5:$AL$5,0),1)="","",VLOOKUP($A42,'标准新手流程（非R）'!$P$5:$AL$144,MATCH(F$3,'标准新手流程（非R）'!$P$5:$AL$5,0),1))</f>
        <v>1级白</v>
      </c>
      <c r="G42" s="1" t="str">
        <f>IF(VLOOKUP($A42,'标准新手流程（非R）'!$P$5:$AL$144,MATCH(G$3,'标准新手流程（非R）'!$P$5:$AL$5,0),1)="","",VLOOKUP($A42,'标准新手流程（非R）'!$P$5:$AL$144,MATCH(G$3,'标准新手流程（非R）'!$P$5:$AL$5,0),1))</f>
        <v>1级白</v>
      </c>
      <c r="H42" s="1" t="str">
        <f>IF(VLOOKUP($A42,'标准新手流程（非R）'!$P$5:$AL$144,MATCH(H$3,'标准新手流程（非R）'!$P$5:$AL$5,0),1)="","",VLOOKUP($A42,'标准新手流程（非R）'!$P$5:$AL$144,MATCH(H$3,'标准新手流程（非R）'!$P$5:$AL$5,0),1))</f>
        <v>1级白</v>
      </c>
      <c r="I42" s="1" t="str">
        <f>IF(VLOOKUP($A42,'标准新手流程（非R）'!$P$5:$AL$144,MATCH(I$3,'标准新手流程（非R）'!$P$5:$AL$5,0),1)="","",VLOOKUP($A42,'标准新手流程（非R）'!$P$5:$AL$144,MATCH(I$3,'标准新手流程（非R）'!$P$5:$AL$5,0),1))</f>
        <v/>
      </c>
    </row>
    <row r="43" spans="1:9" x14ac:dyDescent="0.15">
      <c r="A43" s="1">
        <v>40</v>
      </c>
      <c r="B43" s="1" t="str">
        <f>IF(VLOOKUP($A43,'标准新手流程（非R）'!$P$5:$AL$144,MATCH(B$3,'标准新手流程（非R）'!$P$5:$AL$5,0),1)="","",VLOOKUP($A43,'标准新手流程（非R）'!$P$5:$AL$144,MATCH(B$3,'标准新手流程（非R）'!$P$5:$AL$5,0),1))</f>
        <v>1级白</v>
      </c>
      <c r="C43" s="1" t="str">
        <f>IF(VLOOKUP($A43,'标准新手流程（非R）'!$P$5:$AL$144,MATCH(C$3,'标准新手流程（非R）'!$P$5:$AL$5,0),1)="","",VLOOKUP($A43,'标准新手流程（非R）'!$P$5:$AL$144,MATCH(C$3,'标准新手流程（非R）'!$P$5:$AL$5,0),1))</f>
        <v>1级白</v>
      </c>
      <c r="D43" s="1" t="str">
        <f>IF(VLOOKUP($A43,'标准新手流程（非R）'!$P$5:$AL$144,MATCH(D$3,'标准新手流程（非R）'!$P$5:$AL$5,0),1)="","",VLOOKUP($A43,'标准新手流程（非R）'!$P$5:$AL$144,MATCH(D$3,'标准新手流程（非R）'!$P$5:$AL$5,0),1))</f>
        <v>1级白</v>
      </c>
      <c r="E43" s="1" t="str">
        <f>IF(VLOOKUP($A43,'标准新手流程（非R）'!$P$5:$AL$144,MATCH(E$3,'标准新手流程（非R）'!$P$5:$AL$5,0),1)="","",VLOOKUP($A43,'标准新手流程（非R）'!$P$5:$AL$144,MATCH(E$3,'标准新手流程（非R）'!$P$5:$AL$5,0),1))</f>
        <v>1级白</v>
      </c>
      <c r="F43" s="1" t="str">
        <f>IF(VLOOKUP($A43,'标准新手流程（非R）'!$P$5:$AL$144,MATCH(F$3,'标准新手流程（非R）'!$P$5:$AL$5,0),1)="","",VLOOKUP($A43,'标准新手流程（非R）'!$P$5:$AL$144,MATCH(F$3,'标准新手流程（非R）'!$P$5:$AL$5,0),1))</f>
        <v>1级白</v>
      </c>
      <c r="G43" s="1" t="str">
        <f>IF(VLOOKUP($A43,'标准新手流程（非R）'!$P$5:$AL$144,MATCH(G$3,'标准新手流程（非R）'!$P$5:$AL$5,0),1)="","",VLOOKUP($A43,'标准新手流程（非R）'!$P$5:$AL$144,MATCH(G$3,'标准新手流程（非R）'!$P$5:$AL$5,0),1))</f>
        <v>1级白</v>
      </c>
      <c r="H43" s="1" t="str">
        <f>IF(VLOOKUP($A43,'标准新手流程（非R）'!$P$5:$AL$144,MATCH(H$3,'标准新手流程（非R）'!$P$5:$AL$5,0),1)="","",VLOOKUP($A43,'标准新手流程（非R）'!$P$5:$AL$144,MATCH(H$3,'标准新手流程（非R）'!$P$5:$AL$5,0),1))</f>
        <v>1级白</v>
      </c>
      <c r="I43" s="1" t="str">
        <f>IF(VLOOKUP($A43,'标准新手流程（非R）'!$P$5:$AL$144,MATCH(I$3,'标准新手流程（非R）'!$P$5:$AL$5,0),1)="","",VLOOKUP($A43,'标准新手流程（非R）'!$P$5:$AL$144,MATCH(I$3,'标准新手流程（非R）'!$P$5:$AL$5,0),1))</f>
        <v>1级白</v>
      </c>
    </row>
    <row r="44" spans="1:9" x14ac:dyDescent="0.15">
      <c r="A44" s="1">
        <v>41</v>
      </c>
      <c r="B44" s="1" t="str">
        <f>IF(VLOOKUP($A44,'标准新手流程（非R）'!$P$5:$AL$144,MATCH(B$3,'标准新手流程（非R）'!$P$5:$AL$5,0),1)="","",VLOOKUP($A44,'标准新手流程（非R）'!$P$5:$AL$144,MATCH(B$3,'标准新手流程（非R）'!$P$5:$AL$5,0),1))</f>
        <v>1级白</v>
      </c>
      <c r="C44" s="1" t="str">
        <f>IF(VLOOKUP($A44,'标准新手流程（非R）'!$P$5:$AL$144,MATCH(C$3,'标准新手流程（非R）'!$P$5:$AL$5,0),1)="","",VLOOKUP($A44,'标准新手流程（非R）'!$P$5:$AL$144,MATCH(C$3,'标准新手流程（非R）'!$P$5:$AL$5,0),1))</f>
        <v>1级白</v>
      </c>
      <c r="D44" s="1" t="str">
        <f>IF(VLOOKUP($A44,'标准新手流程（非R）'!$P$5:$AL$144,MATCH(D$3,'标准新手流程（非R）'!$P$5:$AL$5,0),1)="","",VLOOKUP($A44,'标准新手流程（非R）'!$P$5:$AL$144,MATCH(D$3,'标准新手流程（非R）'!$P$5:$AL$5,0),1))</f>
        <v>1级白</v>
      </c>
      <c r="E44" s="1" t="str">
        <f>IF(VLOOKUP($A44,'标准新手流程（非R）'!$P$5:$AL$144,MATCH(E$3,'标准新手流程（非R）'!$P$5:$AL$5,0),1)="","",VLOOKUP($A44,'标准新手流程（非R）'!$P$5:$AL$144,MATCH(E$3,'标准新手流程（非R）'!$P$5:$AL$5,0),1))</f>
        <v>1级白</v>
      </c>
      <c r="F44" s="1" t="str">
        <f>IF(VLOOKUP($A44,'标准新手流程（非R）'!$P$5:$AL$144,MATCH(F$3,'标准新手流程（非R）'!$P$5:$AL$5,0),1)="","",VLOOKUP($A44,'标准新手流程（非R）'!$P$5:$AL$144,MATCH(F$3,'标准新手流程（非R）'!$P$5:$AL$5,0),1))</f>
        <v>1级白</v>
      </c>
      <c r="G44" s="1" t="str">
        <f>IF(VLOOKUP($A44,'标准新手流程（非R）'!$P$5:$AL$144,MATCH(G$3,'标准新手流程（非R）'!$P$5:$AL$5,0),1)="","",VLOOKUP($A44,'标准新手流程（非R）'!$P$5:$AL$144,MATCH(G$3,'标准新手流程（非R）'!$P$5:$AL$5,0),1))</f>
        <v>1级白</v>
      </c>
      <c r="H44" s="1" t="str">
        <f>IF(VLOOKUP($A44,'标准新手流程（非R）'!$P$5:$AL$144,MATCH(H$3,'标准新手流程（非R）'!$P$5:$AL$5,0),1)="","",VLOOKUP($A44,'标准新手流程（非R）'!$P$5:$AL$144,MATCH(H$3,'标准新手流程（非R）'!$P$5:$AL$5,0),1))</f>
        <v>1级白</v>
      </c>
      <c r="I44" s="1" t="str">
        <f>IF(VLOOKUP($A44,'标准新手流程（非R）'!$P$5:$AL$144,MATCH(I$3,'标准新手流程（非R）'!$P$5:$AL$5,0),1)="","",VLOOKUP($A44,'标准新手流程（非R）'!$P$5:$AL$144,MATCH(I$3,'标准新手流程（非R）'!$P$5:$AL$5,0),1))</f>
        <v>1级白</v>
      </c>
    </row>
    <row r="45" spans="1:9" x14ac:dyDescent="0.15">
      <c r="A45" s="1">
        <v>42</v>
      </c>
      <c r="B45" s="1" t="str">
        <f>IF(VLOOKUP($A45,'标准新手流程（非R）'!$P$5:$AL$144,MATCH(B$3,'标准新手流程（非R）'!$P$5:$AL$5,0),1)="","",VLOOKUP($A45,'标准新手流程（非R）'!$P$5:$AL$144,MATCH(B$3,'标准新手流程（非R）'!$P$5:$AL$5,0),1))</f>
        <v>1级白</v>
      </c>
      <c r="C45" s="1" t="str">
        <f>IF(VLOOKUP($A45,'标准新手流程（非R）'!$P$5:$AL$144,MATCH(C$3,'标准新手流程（非R）'!$P$5:$AL$5,0),1)="","",VLOOKUP($A45,'标准新手流程（非R）'!$P$5:$AL$144,MATCH(C$3,'标准新手流程（非R）'!$P$5:$AL$5,0),1))</f>
        <v>1级白</v>
      </c>
      <c r="D45" s="1" t="str">
        <f>IF(VLOOKUP($A45,'标准新手流程（非R）'!$P$5:$AL$144,MATCH(D$3,'标准新手流程（非R）'!$P$5:$AL$5,0),1)="","",VLOOKUP($A45,'标准新手流程（非R）'!$P$5:$AL$144,MATCH(D$3,'标准新手流程（非R）'!$P$5:$AL$5,0),1))</f>
        <v>1级白</v>
      </c>
      <c r="E45" s="1" t="str">
        <f>IF(VLOOKUP($A45,'标准新手流程（非R）'!$P$5:$AL$144,MATCH(E$3,'标准新手流程（非R）'!$P$5:$AL$5,0),1)="","",VLOOKUP($A45,'标准新手流程（非R）'!$P$5:$AL$144,MATCH(E$3,'标准新手流程（非R）'!$P$5:$AL$5,0),1))</f>
        <v>1级白</v>
      </c>
      <c r="F45" s="1" t="str">
        <f>IF(VLOOKUP($A45,'标准新手流程（非R）'!$P$5:$AL$144,MATCH(F$3,'标准新手流程（非R）'!$P$5:$AL$5,0),1)="","",VLOOKUP($A45,'标准新手流程（非R）'!$P$5:$AL$144,MATCH(F$3,'标准新手流程（非R）'!$P$5:$AL$5,0),1))</f>
        <v>1级白</v>
      </c>
      <c r="G45" s="1" t="str">
        <f>IF(VLOOKUP($A45,'标准新手流程（非R）'!$P$5:$AL$144,MATCH(G$3,'标准新手流程（非R）'!$P$5:$AL$5,0),1)="","",VLOOKUP($A45,'标准新手流程（非R）'!$P$5:$AL$144,MATCH(G$3,'标准新手流程（非R）'!$P$5:$AL$5,0),1))</f>
        <v>1级白</v>
      </c>
      <c r="H45" s="1" t="str">
        <f>IF(VLOOKUP($A45,'标准新手流程（非R）'!$P$5:$AL$144,MATCH(H$3,'标准新手流程（非R）'!$P$5:$AL$5,0),1)="","",VLOOKUP($A45,'标准新手流程（非R）'!$P$5:$AL$144,MATCH(H$3,'标准新手流程（非R）'!$P$5:$AL$5,0),1))</f>
        <v>1级白</v>
      </c>
      <c r="I45" s="1" t="str">
        <f>IF(VLOOKUP($A45,'标准新手流程（非R）'!$P$5:$AL$144,MATCH(I$3,'标准新手流程（非R）'!$P$5:$AL$5,0),1)="","",VLOOKUP($A45,'标准新手流程（非R）'!$P$5:$AL$144,MATCH(I$3,'标准新手流程（非R）'!$P$5:$AL$5,0),1))</f>
        <v>1级白</v>
      </c>
    </row>
    <row r="46" spans="1:9" x14ac:dyDescent="0.15">
      <c r="A46" s="1">
        <v>43</v>
      </c>
      <c r="B46" s="1" t="str">
        <f>IF(VLOOKUP($A46,'标准新手流程（非R）'!$P$5:$AL$144,MATCH(B$3,'标准新手流程（非R）'!$P$5:$AL$5,0),1)="","",VLOOKUP($A46,'标准新手流程（非R）'!$P$5:$AL$144,MATCH(B$3,'标准新手流程（非R）'!$P$5:$AL$5,0),1))</f>
        <v>1级白</v>
      </c>
      <c r="C46" s="1" t="str">
        <f>IF(VLOOKUP($A46,'标准新手流程（非R）'!$P$5:$AL$144,MATCH(C$3,'标准新手流程（非R）'!$P$5:$AL$5,0),1)="","",VLOOKUP($A46,'标准新手流程（非R）'!$P$5:$AL$144,MATCH(C$3,'标准新手流程（非R）'!$P$5:$AL$5,0),1))</f>
        <v>1级白</v>
      </c>
      <c r="D46" s="1" t="str">
        <f>IF(VLOOKUP($A46,'标准新手流程（非R）'!$P$5:$AL$144,MATCH(D$3,'标准新手流程（非R）'!$P$5:$AL$5,0),1)="","",VLOOKUP($A46,'标准新手流程（非R）'!$P$5:$AL$144,MATCH(D$3,'标准新手流程（非R）'!$P$5:$AL$5,0),1))</f>
        <v>1级白</v>
      </c>
      <c r="E46" s="1" t="str">
        <f>IF(VLOOKUP($A46,'标准新手流程（非R）'!$P$5:$AL$144,MATCH(E$3,'标准新手流程（非R）'!$P$5:$AL$5,0),1)="","",VLOOKUP($A46,'标准新手流程（非R）'!$P$5:$AL$144,MATCH(E$3,'标准新手流程（非R）'!$P$5:$AL$5,0),1))</f>
        <v>1级白</v>
      </c>
      <c r="F46" s="1" t="str">
        <f>IF(VLOOKUP($A46,'标准新手流程（非R）'!$P$5:$AL$144,MATCH(F$3,'标准新手流程（非R）'!$P$5:$AL$5,0),1)="","",VLOOKUP($A46,'标准新手流程（非R）'!$P$5:$AL$144,MATCH(F$3,'标准新手流程（非R）'!$P$5:$AL$5,0),1))</f>
        <v>1级绿</v>
      </c>
      <c r="G46" s="1" t="str">
        <f>IF(VLOOKUP($A46,'标准新手流程（非R）'!$P$5:$AL$144,MATCH(G$3,'标准新手流程（非R）'!$P$5:$AL$5,0),1)="","",VLOOKUP($A46,'标准新手流程（非R）'!$P$5:$AL$144,MATCH(G$3,'标准新手流程（非R）'!$P$5:$AL$5,0),1))</f>
        <v>1级绿</v>
      </c>
      <c r="H46" s="1" t="str">
        <f>IF(VLOOKUP($A46,'标准新手流程（非R）'!$P$5:$AL$144,MATCH(H$3,'标准新手流程（非R）'!$P$5:$AL$5,0),1)="","",VLOOKUP($A46,'标准新手流程（非R）'!$P$5:$AL$144,MATCH(H$3,'标准新手流程（非R）'!$P$5:$AL$5,0),1))</f>
        <v>1级白</v>
      </c>
      <c r="I46" s="1" t="str">
        <f>IF(VLOOKUP($A46,'标准新手流程（非R）'!$P$5:$AL$144,MATCH(I$3,'标准新手流程（非R）'!$P$5:$AL$5,0),1)="","",VLOOKUP($A46,'标准新手流程（非R）'!$P$5:$AL$144,MATCH(I$3,'标准新手流程（非R）'!$P$5:$AL$5,0),1))</f>
        <v>1级白</v>
      </c>
    </row>
    <row r="47" spans="1:9" x14ac:dyDescent="0.15">
      <c r="A47" s="1">
        <v>44</v>
      </c>
      <c r="B47" s="1" t="str">
        <f>IF(VLOOKUP($A47,'标准新手流程（非R）'!$P$5:$AL$144,MATCH(B$3,'标准新手流程（非R）'!$P$5:$AL$5,0),1)="","",VLOOKUP($A47,'标准新手流程（非R）'!$P$5:$AL$144,MATCH(B$3,'标准新手流程（非R）'!$P$5:$AL$5,0),1))</f>
        <v>1级白</v>
      </c>
      <c r="C47" s="1" t="str">
        <f>IF(VLOOKUP($A47,'标准新手流程（非R）'!$P$5:$AL$144,MATCH(C$3,'标准新手流程（非R）'!$P$5:$AL$5,0),1)="","",VLOOKUP($A47,'标准新手流程（非R）'!$P$5:$AL$144,MATCH(C$3,'标准新手流程（非R）'!$P$5:$AL$5,0),1))</f>
        <v>1级白</v>
      </c>
      <c r="D47" s="1" t="str">
        <f>IF(VLOOKUP($A47,'标准新手流程（非R）'!$P$5:$AL$144,MATCH(D$3,'标准新手流程（非R）'!$P$5:$AL$5,0),1)="","",VLOOKUP($A47,'标准新手流程（非R）'!$P$5:$AL$144,MATCH(D$3,'标准新手流程（非R）'!$P$5:$AL$5,0),1))</f>
        <v>1级白</v>
      </c>
      <c r="E47" s="1" t="str">
        <f>IF(VLOOKUP($A47,'标准新手流程（非R）'!$P$5:$AL$144,MATCH(E$3,'标准新手流程（非R）'!$P$5:$AL$5,0),1)="","",VLOOKUP($A47,'标准新手流程（非R）'!$P$5:$AL$144,MATCH(E$3,'标准新手流程（非R）'!$P$5:$AL$5,0),1))</f>
        <v>1级白</v>
      </c>
      <c r="F47" s="1" t="str">
        <f>IF(VLOOKUP($A47,'标准新手流程（非R）'!$P$5:$AL$144,MATCH(F$3,'标准新手流程（非R）'!$P$5:$AL$5,0),1)="","",VLOOKUP($A47,'标准新手流程（非R）'!$P$5:$AL$144,MATCH(F$3,'标准新手流程（非R）'!$P$5:$AL$5,0),1))</f>
        <v>1级绿</v>
      </c>
      <c r="G47" s="1" t="str">
        <f>IF(VLOOKUP($A47,'标准新手流程（非R）'!$P$5:$AL$144,MATCH(G$3,'标准新手流程（非R）'!$P$5:$AL$5,0),1)="","",VLOOKUP($A47,'标准新手流程（非R）'!$P$5:$AL$144,MATCH(G$3,'标准新手流程（非R）'!$P$5:$AL$5,0),1))</f>
        <v>1级绿</v>
      </c>
      <c r="H47" s="1" t="str">
        <f>IF(VLOOKUP($A47,'标准新手流程（非R）'!$P$5:$AL$144,MATCH(H$3,'标准新手流程（非R）'!$P$5:$AL$5,0),1)="","",VLOOKUP($A47,'标准新手流程（非R）'!$P$5:$AL$144,MATCH(H$3,'标准新手流程（非R）'!$P$5:$AL$5,0),1))</f>
        <v>1级白</v>
      </c>
      <c r="I47" s="1" t="str">
        <f>IF(VLOOKUP($A47,'标准新手流程（非R）'!$P$5:$AL$144,MATCH(I$3,'标准新手流程（非R）'!$P$5:$AL$5,0),1)="","",VLOOKUP($A47,'标准新手流程（非R）'!$P$5:$AL$144,MATCH(I$3,'标准新手流程（非R）'!$P$5:$AL$5,0),1))</f>
        <v>1级白</v>
      </c>
    </row>
    <row r="48" spans="1:9" x14ac:dyDescent="0.15">
      <c r="A48" s="1">
        <v>45</v>
      </c>
      <c r="B48" s="1" t="str">
        <f>IF(VLOOKUP($A48,'标准新手流程（非R）'!$P$5:$AL$144,MATCH(B$3,'标准新手流程（非R）'!$P$5:$AL$5,0),1)="","",VLOOKUP($A48,'标准新手流程（非R）'!$P$5:$AL$144,MATCH(B$3,'标准新手流程（非R）'!$P$5:$AL$5,0),1))</f>
        <v>1级白</v>
      </c>
      <c r="C48" s="1" t="str">
        <f>IF(VLOOKUP($A48,'标准新手流程（非R）'!$P$5:$AL$144,MATCH(C$3,'标准新手流程（非R）'!$P$5:$AL$5,0),1)="","",VLOOKUP($A48,'标准新手流程（非R）'!$P$5:$AL$144,MATCH(C$3,'标准新手流程（非R）'!$P$5:$AL$5,0),1))</f>
        <v>1级白</v>
      </c>
      <c r="D48" s="1" t="str">
        <f>IF(VLOOKUP($A48,'标准新手流程（非R）'!$P$5:$AL$144,MATCH(D$3,'标准新手流程（非R）'!$P$5:$AL$5,0),1)="","",VLOOKUP($A48,'标准新手流程（非R）'!$P$5:$AL$144,MATCH(D$3,'标准新手流程（非R）'!$P$5:$AL$5,0),1))</f>
        <v>1级白</v>
      </c>
      <c r="E48" s="1" t="str">
        <f>IF(VLOOKUP($A48,'标准新手流程（非R）'!$P$5:$AL$144,MATCH(E$3,'标准新手流程（非R）'!$P$5:$AL$5,0),1)="","",VLOOKUP($A48,'标准新手流程（非R）'!$P$5:$AL$144,MATCH(E$3,'标准新手流程（非R）'!$P$5:$AL$5,0),1))</f>
        <v>1级绿</v>
      </c>
      <c r="F48" s="1" t="str">
        <f>IF(VLOOKUP($A48,'标准新手流程（非R）'!$P$5:$AL$144,MATCH(F$3,'标准新手流程（非R）'!$P$5:$AL$5,0),1)="","",VLOOKUP($A48,'标准新手流程（非R）'!$P$5:$AL$144,MATCH(F$3,'标准新手流程（非R）'!$P$5:$AL$5,0),1))</f>
        <v>1级绿</v>
      </c>
      <c r="G48" s="1" t="str">
        <f>IF(VLOOKUP($A48,'标准新手流程（非R）'!$P$5:$AL$144,MATCH(G$3,'标准新手流程（非R）'!$P$5:$AL$5,0),1)="","",VLOOKUP($A48,'标准新手流程（非R）'!$P$5:$AL$144,MATCH(G$3,'标准新手流程（非R）'!$P$5:$AL$5,0),1))</f>
        <v>1级绿</v>
      </c>
      <c r="H48" s="1" t="str">
        <f>IF(VLOOKUP($A48,'标准新手流程（非R）'!$P$5:$AL$144,MATCH(H$3,'标准新手流程（非R）'!$P$5:$AL$5,0),1)="","",VLOOKUP($A48,'标准新手流程（非R）'!$P$5:$AL$144,MATCH(H$3,'标准新手流程（非R）'!$P$5:$AL$5,0),1))</f>
        <v>1级白</v>
      </c>
      <c r="I48" s="1" t="str">
        <f>IF(VLOOKUP($A48,'标准新手流程（非R）'!$P$5:$AL$144,MATCH(I$3,'标准新手流程（非R）'!$P$5:$AL$5,0),1)="","",VLOOKUP($A48,'标准新手流程（非R）'!$P$5:$AL$144,MATCH(I$3,'标准新手流程（非R）'!$P$5:$AL$5,0),1))</f>
        <v>1级白</v>
      </c>
    </row>
    <row r="49" spans="1:9" x14ac:dyDescent="0.15">
      <c r="A49" s="1">
        <v>46</v>
      </c>
      <c r="B49" s="1" t="str">
        <f>IF(VLOOKUP($A49,'标准新手流程（非R）'!$P$5:$AL$144,MATCH(B$3,'标准新手流程（非R）'!$P$5:$AL$5,0),1)="","",VLOOKUP($A49,'标准新手流程（非R）'!$P$5:$AL$144,MATCH(B$3,'标准新手流程（非R）'!$P$5:$AL$5,0),1))</f>
        <v>1级白</v>
      </c>
      <c r="C49" s="1" t="str">
        <f>IF(VLOOKUP($A49,'标准新手流程（非R）'!$P$5:$AL$144,MATCH(C$3,'标准新手流程（非R）'!$P$5:$AL$5,0),1)="","",VLOOKUP($A49,'标准新手流程（非R）'!$P$5:$AL$144,MATCH(C$3,'标准新手流程（非R）'!$P$5:$AL$5,0),1))</f>
        <v>1级白</v>
      </c>
      <c r="D49" s="1" t="str">
        <f>IF(VLOOKUP($A49,'标准新手流程（非R）'!$P$5:$AL$144,MATCH(D$3,'标准新手流程（非R）'!$P$5:$AL$5,0),1)="","",VLOOKUP($A49,'标准新手流程（非R）'!$P$5:$AL$144,MATCH(D$3,'标准新手流程（非R）'!$P$5:$AL$5,0),1))</f>
        <v>1级白</v>
      </c>
      <c r="E49" s="1" t="str">
        <f>IF(VLOOKUP($A49,'标准新手流程（非R）'!$P$5:$AL$144,MATCH(E$3,'标准新手流程（非R）'!$P$5:$AL$5,0),1)="","",VLOOKUP($A49,'标准新手流程（非R）'!$P$5:$AL$144,MATCH(E$3,'标准新手流程（非R）'!$P$5:$AL$5,0),1))</f>
        <v>1级绿</v>
      </c>
      <c r="F49" s="1" t="str">
        <f>IF(VLOOKUP($A49,'标准新手流程（非R）'!$P$5:$AL$144,MATCH(F$3,'标准新手流程（非R）'!$P$5:$AL$5,0),1)="","",VLOOKUP($A49,'标准新手流程（非R）'!$P$5:$AL$144,MATCH(F$3,'标准新手流程（非R）'!$P$5:$AL$5,0),1))</f>
        <v>1级绿</v>
      </c>
      <c r="G49" s="1" t="str">
        <f>IF(VLOOKUP($A49,'标准新手流程（非R）'!$P$5:$AL$144,MATCH(G$3,'标准新手流程（非R）'!$P$5:$AL$5,0),1)="","",VLOOKUP($A49,'标准新手流程（非R）'!$P$5:$AL$144,MATCH(G$3,'标准新手流程（非R）'!$P$5:$AL$5,0),1))</f>
        <v>1级绿</v>
      </c>
      <c r="H49" s="1" t="str">
        <f>IF(VLOOKUP($A49,'标准新手流程（非R）'!$P$5:$AL$144,MATCH(H$3,'标准新手流程（非R）'!$P$5:$AL$5,0),1)="","",VLOOKUP($A49,'标准新手流程（非R）'!$P$5:$AL$144,MATCH(H$3,'标准新手流程（非R）'!$P$5:$AL$5,0),1))</f>
        <v>1级白</v>
      </c>
      <c r="I49" s="1" t="str">
        <f>IF(VLOOKUP($A49,'标准新手流程（非R）'!$P$5:$AL$144,MATCH(I$3,'标准新手流程（非R）'!$P$5:$AL$5,0),1)="","",VLOOKUP($A49,'标准新手流程（非R）'!$P$5:$AL$144,MATCH(I$3,'标准新手流程（非R）'!$P$5:$AL$5,0),1))</f>
        <v>1级白</v>
      </c>
    </row>
    <row r="50" spans="1:9" x14ac:dyDescent="0.15">
      <c r="A50" s="1">
        <v>47</v>
      </c>
      <c r="B50" s="1" t="str">
        <f>IF(VLOOKUP($A50,'标准新手流程（非R）'!$P$5:$AL$144,MATCH(B$3,'标准新手流程（非R）'!$P$5:$AL$5,0),1)="","",VLOOKUP($A50,'标准新手流程（非R）'!$P$5:$AL$144,MATCH(B$3,'标准新手流程（非R）'!$P$5:$AL$5,0),1))</f>
        <v>1级白</v>
      </c>
      <c r="C50" s="1" t="str">
        <f>IF(VLOOKUP($A50,'标准新手流程（非R）'!$P$5:$AL$144,MATCH(C$3,'标准新手流程（非R）'!$P$5:$AL$5,0),1)="","",VLOOKUP($A50,'标准新手流程（非R）'!$P$5:$AL$144,MATCH(C$3,'标准新手流程（非R）'!$P$5:$AL$5,0),1))</f>
        <v>1级白</v>
      </c>
      <c r="D50" s="1" t="str">
        <f>IF(VLOOKUP($A50,'标准新手流程（非R）'!$P$5:$AL$144,MATCH(D$3,'标准新手流程（非R）'!$P$5:$AL$5,0),1)="","",VLOOKUP($A50,'标准新手流程（非R）'!$P$5:$AL$144,MATCH(D$3,'标准新手流程（非R）'!$P$5:$AL$5,0),1))</f>
        <v>1级白</v>
      </c>
      <c r="E50" s="1" t="str">
        <f>IF(VLOOKUP($A50,'标准新手流程（非R）'!$P$5:$AL$144,MATCH(E$3,'标准新手流程（非R）'!$P$5:$AL$5,0),1)="","",VLOOKUP($A50,'标准新手流程（非R）'!$P$5:$AL$144,MATCH(E$3,'标准新手流程（非R）'!$P$5:$AL$5,0),1))</f>
        <v>1级绿</v>
      </c>
      <c r="F50" s="1" t="str">
        <f>IF(VLOOKUP($A50,'标准新手流程（非R）'!$P$5:$AL$144,MATCH(F$3,'标准新手流程（非R）'!$P$5:$AL$5,0),1)="","",VLOOKUP($A50,'标准新手流程（非R）'!$P$5:$AL$144,MATCH(F$3,'标准新手流程（非R）'!$P$5:$AL$5,0),1))</f>
        <v>1级绿</v>
      </c>
      <c r="G50" s="1" t="str">
        <f>IF(VLOOKUP($A50,'标准新手流程（非R）'!$P$5:$AL$144,MATCH(G$3,'标准新手流程（非R）'!$P$5:$AL$5,0),1)="","",VLOOKUP($A50,'标准新手流程（非R）'!$P$5:$AL$144,MATCH(G$3,'标准新手流程（非R）'!$P$5:$AL$5,0),1))</f>
        <v>1级绿</v>
      </c>
      <c r="H50" s="1" t="str">
        <f>IF(VLOOKUP($A50,'标准新手流程（非R）'!$P$5:$AL$144,MATCH(H$3,'标准新手流程（非R）'!$P$5:$AL$5,0),1)="","",VLOOKUP($A50,'标准新手流程（非R）'!$P$5:$AL$144,MATCH(H$3,'标准新手流程（非R）'!$P$5:$AL$5,0),1))</f>
        <v>1级绿</v>
      </c>
      <c r="I50" s="1" t="str">
        <f>IF(VLOOKUP($A50,'标准新手流程（非R）'!$P$5:$AL$144,MATCH(I$3,'标准新手流程（非R）'!$P$5:$AL$5,0),1)="","",VLOOKUP($A50,'标准新手流程（非R）'!$P$5:$AL$144,MATCH(I$3,'标准新手流程（非R）'!$P$5:$AL$5,0),1))</f>
        <v>1级白</v>
      </c>
    </row>
    <row r="51" spans="1:9" x14ac:dyDescent="0.15">
      <c r="A51" s="1">
        <v>48</v>
      </c>
      <c r="B51" s="1" t="str">
        <f>IF(VLOOKUP($A51,'标准新手流程（非R）'!$P$5:$AL$144,MATCH(B$3,'标准新手流程（非R）'!$P$5:$AL$5,0),1)="","",VLOOKUP($A51,'标准新手流程（非R）'!$P$5:$AL$144,MATCH(B$3,'标准新手流程（非R）'!$P$5:$AL$5,0),1))</f>
        <v>1级白</v>
      </c>
      <c r="C51" s="1" t="str">
        <f>IF(VLOOKUP($A51,'标准新手流程（非R）'!$P$5:$AL$144,MATCH(C$3,'标准新手流程（非R）'!$P$5:$AL$5,0),1)="","",VLOOKUP($A51,'标准新手流程（非R）'!$P$5:$AL$144,MATCH(C$3,'标准新手流程（非R）'!$P$5:$AL$5,0),1))</f>
        <v>1级白</v>
      </c>
      <c r="D51" s="1" t="str">
        <f>IF(VLOOKUP($A51,'标准新手流程（非R）'!$P$5:$AL$144,MATCH(D$3,'标准新手流程（非R）'!$P$5:$AL$5,0),1)="","",VLOOKUP($A51,'标准新手流程（非R）'!$P$5:$AL$144,MATCH(D$3,'标准新手流程（非R）'!$P$5:$AL$5,0),1))</f>
        <v>1级白</v>
      </c>
      <c r="E51" s="1" t="str">
        <f>IF(VLOOKUP($A51,'标准新手流程（非R）'!$P$5:$AL$144,MATCH(E$3,'标准新手流程（非R）'!$P$5:$AL$5,0),1)="","",VLOOKUP($A51,'标准新手流程（非R）'!$P$5:$AL$144,MATCH(E$3,'标准新手流程（非R）'!$P$5:$AL$5,0),1))</f>
        <v>1级绿</v>
      </c>
      <c r="F51" s="1" t="str">
        <f>IF(VLOOKUP($A51,'标准新手流程（非R）'!$P$5:$AL$144,MATCH(F$3,'标准新手流程（非R）'!$P$5:$AL$5,0),1)="","",VLOOKUP($A51,'标准新手流程（非R）'!$P$5:$AL$144,MATCH(F$3,'标准新手流程（非R）'!$P$5:$AL$5,0),1))</f>
        <v>1级绿</v>
      </c>
      <c r="G51" s="1" t="str">
        <f>IF(VLOOKUP($A51,'标准新手流程（非R）'!$P$5:$AL$144,MATCH(G$3,'标准新手流程（非R）'!$P$5:$AL$5,0),1)="","",VLOOKUP($A51,'标准新手流程（非R）'!$P$5:$AL$144,MATCH(G$3,'标准新手流程（非R）'!$P$5:$AL$5,0),1))</f>
        <v>1级绿</v>
      </c>
      <c r="H51" s="1" t="str">
        <f>IF(VLOOKUP($A51,'标准新手流程（非R）'!$P$5:$AL$144,MATCH(H$3,'标准新手流程（非R）'!$P$5:$AL$5,0),1)="","",VLOOKUP($A51,'标准新手流程（非R）'!$P$5:$AL$144,MATCH(H$3,'标准新手流程（非R）'!$P$5:$AL$5,0),1))</f>
        <v>1级绿</v>
      </c>
      <c r="I51" s="1" t="str">
        <f>IF(VLOOKUP($A51,'标准新手流程（非R）'!$P$5:$AL$144,MATCH(I$3,'标准新手流程（非R）'!$P$5:$AL$5,0),1)="","",VLOOKUP($A51,'标准新手流程（非R）'!$P$5:$AL$144,MATCH(I$3,'标准新手流程（非R）'!$P$5:$AL$5,0),1))</f>
        <v>1级白</v>
      </c>
    </row>
    <row r="52" spans="1:9" x14ac:dyDescent="0.15">
      <c r="A52" s="1">
        <v>49</v>
      </c>
      <c r="B52" s="1" t="str">
        <f>IF(VLOOKUP($A52,'标准新手流程（非R）'!$P$5:$AL$144,MATCH(B$3,'标准新手流程（非R）'!$P$5:$AL$5,0),1)="","",VLOOKUP($A52,'标准新手流程（非R）'!$P$5:$AL$144,MATCH(B$3,'标准新手流程（非R）'!$P$5:$AL$5,0),1))</f>
        <v>1级白</v>
      </c>
      <c r="C52" s="1" t="str">
        <f>IF(VLOOKUP($A52,'标准新手流程（非R）'!$P$5:$AL$144,MATCH(C$3,'标准新手流程（非R）'!$P$5:$AL$5,0),1)="","",VLOOKUP($A52,'标准新手流程（非R）'!$P$5:$AL$144,MATCH(C$3,'标准新手流程（非R）'!$P$5:$AL$5,0),1))</f>
        <v>1级白</v>
      </c>
      <c r="D52" s="1" t="str">
        <f>IF(VLOOKUP($A52,'标准新手流程（非R）'!$P$5:$AL$144,MATCH(D$3,'标准新手流程（非R）'!$P$5:$AL$5,0),1)="","",VLOOKUP($A52,'标准新手流程（非R）'!$P$5:$AL$144,MATCH(D$3,'标准新手流程（非R）'!$P$5:$AL$5,0),1))</f>
        <v>1级白</v>
      </c>
      <c r="E52" s="1" t="str">
        <f>IF(VLOOKUP($A52,'标准新手流程（非R）'!$P$5:$AL$144,MATCH(E$3,'标准新手流程（非R）'!$P$5:$AL$5,0),1)="","",VLOOKUP($A52,'标准新手流程（非R）'!$P$5:$AL$144,MATCH(E$3,'标准新手流程（非R）'!$P$5:$AL$5,0),1))</f>
        <v>1级绿</v>
      </c>
      <c r="F52" s="1" t="str">
        <f>IF(VLOOKUP($A52,'标准新手流程（非R）'!$P$5:$AL$144,MATCH(F$3,'标准新手流程（非R）'!$P$5:$AL$5,0),1)="","",VLOOKUP($A52,'标准新手流程（非R）'!$P$5:$AL$144,MATCH(F$3,'标准新手流程（非R）'!$P$5:$AL$5,0),1))</f>
        <v>1级绿</v>
      </c>
      <c r="G52" s="1" t="str">
        <f>IF(VLOOKUP($A52,'标准新手流程（非R）'!$P$5:$AL$144,MATCH(G$3,'标准新手流程（非R）'!$P$5:$AL$5,0),1)="","",VLOOKUP($A52,'标准新手流程（非R）'!$P$5:$AL$144,MATCH(G$3,'标准新手流程（非R）'!$P$5:$AL$5,0),1))</f>
        <v>1级绿</v>
      </c>
      <c r="H52" s="1" t="str">
        <f>IF(VLOOKUP($A52,'标准新手流程（非R）'!$P$5:$AL$144,MATCH(H$3,'标准新手流程（非R）'!$P$5:$AL$5,0),1)="","",VLOOKUP($A52,'标准新手流程（非R）'!$P$5:$AL$144,MATCH(H$3,'标准新手流程（非R）'!$P$5:$AL$5,0),1))</f>
        <v>1级绿</v>
      </c>
      <c r="I52" s="1" t="str">
        <f>IF(VLOOKUP($A52,'标准新手流程（非R）'!$P$5:$AL$144,MATCH(I$3,'标准新手流程（非R）'!$P$5:$AL$5,0),1)="","",VLOOKUP($A52,'标准新手流程（非R）'!$P$5:$AL$144,MATCH(I$3,'标准新手流程（非R）'!$P$5:$AL$5,0),1))</f>
        <v>1级白</v>
      </c>
    </row>
    <row r="53" spans="1:9" x14ac:dyDescent="0.15">
      <c r="A53" s="1">
        <v>50</v>
      </c>
      <c r="B53" s="1" t="str">
        <f>IF(VLOOKUP($A53,'标准新手流程（非R）'!$P$5:$AL$144,MATCH(B$3,'标准新手流程（非R）'!$P$5:$AL$5,0),1)="","",VLOOKUP($A53,'标准新手流程（非R）'!$P$5:$AL$144,MATCH(B$3,'标准新手流程（非R）'!$P$5:$AL$5,0),1))</f>
        <v>1级白</v>
      </c>
      <c r="C53" s="1" t="str">
        <f>IF(VLOOKUP($A53,'标准新手流程（非R）'!$P$5:$AL$144,MATCH(C$3,'标准新手流程（非R）'!$P$5:$AL$5,0),1)="","",VLOOKUP($A53,'标准新手流程（非R）'!$P$5:$AL$144,MATCH(C$3,'标准新手流程（非R）'!$P$5:$AL$5,0),1))</f>
        <v>1级白</v>
      </c>
      <c r="D53" s="1" t="str">
        <f>IF(VLOOKUP($A53,'标准新手流程（非R）'!$P$5:$AL$144,MATCH(D$3,'标准新手流程（非R）'!$P$5:$AL$5,0),1)="","",VLOOKUP($A53,'标准新手流程（非R）'!$P$5:$AL$144,MATCH(D$3,'标准新手流程（非R）'!$P$5:$AL$5,0),1))</f>
        <v>1级白</v>
      </c>
      <c r="E53" s="1" t="str">
        <f>IF(VLOOKUP($A53,'标准新手流程（非R）'!$P$5:$AL$144,MATCH(E$3,'标准新手流程（非R）'!$P$5:$AL$5,0),1)="","",VLOOKUP($A53,'标准新手流程（非R）'!$P$5:$AL$144,MATCH(E$3,'标准新手流程（非R）'!$P$5:$AL$5,0),1))</f>
        <v>1级绿</v>
      </c>
      <c r="F53" s="1" t="str">
        <f>IF(VLOOKUP($A53,'标准新手流程（非R）'!$P$5:$AL$144,MATCH(F$3,'标准新手流程（非R）'!$P$5:$AL$5,0),1)="","",VLOOKUP($A53,'标准新手流程（非R）'!$P$5:$AL$144,MATCH(F$3,'标准新手流程（非R）'!$P$5:$AL$5,0),1))</f>
        <v>1级绿</v>
      </c>
      <c r="G53" s="1" t="str">
        <f>IF(VLOOKUP($A53,'标准新手流程（非R）'!$P$5:$AL$144,MATCH(G$3,'标准新手流程（非R）'!$P$5:$AL$5,0),1)="","",VLOOKUP($A53,'标准新手流程（非R）'!$P$5:$AL$144,MATCH(G$3,'标准新手流程（非R）'!$P$5:$AL$5,0),1))</f>
        <v>1级绿</v>
      </c>
      <c r="H53" s="1" t="str">
        <f>IF(VLOOKUP($A53,'标准新手流程（非R）'!$P$5:$AL$144,MATCH(H$3,'标准新手流程（非R）'!$P$5:$AL$5,0),1)="","",VLOOKUP($A53,'标准新手流程（非R）'!$P$5:$AL$144,MATCH(H$3,'标准新手流程（非R）'!$P$5:$AL$5,0),1))</f>
        <v>1级绿</v>
      </c>
      <c r="I53" s="1" t="str">
        <f>IF(VLOOKUP($A53,'标准新手流程（非R）'!$P$5:$AL$144,MATCH(I$3,'标准新手流程（非R）'!$P$5:$AL$5,0),1)="","",VLOOKUP($A53,'标准新手流程（非R）'!$P$5:$AL$144,MATCH(I$3,'标准新手流程（非R）'!$P$5:$AL$5,0),1))</f>
        <v>1级白</v>
      </c>
    </row>
    <row r="54" spans="1:9" x14ac:dyDescent="0.15">
      <c r="A54" s="1">
        <v>51</v>
      </c>
      <c r="B54" s="1" t="str">
        <f>IF(VLOOKUP($A54,'标准新手流程（非R）'!$P$5:$AL$144,MATCH(B$3,'标准新手流程（非R）'!$P$5:$AL$5,0),1)="","",VLOOKUP($A54,'标准新手流程（非R）'!$P$5:$AL$144,MATCH(B$3,'标准新手流程（非R）'!$P$5:$AL$5,0),1))</f>
        <v>1级白</v>
      </c>
      <c r="C54" s="1" t="str">
        <f>IF(VLOOKUP($A54,'标准新手流程（非R）'!$P$5:$AL$144,MATCH(C$3,'标准新手流程（非R）'!$P$5:$AL$5,0),1)="","",VLOOKUP($A54,'标准新手流程（非R）'!$P$5:$AL$144,MATCH(C$3,'标准新手流程（非R）'!$P$5:$AL$5,0),1))</f>
        <v>1级白</v>
      </c>
      <c r="D54" s="1" t="str">
        <f>IF(VLOOKUP($A54,'标准新手流程（非R）'!$P$5:$AL$144,MATCH(D$3,'标准新手流程（非R）'!$P$5:$AL$5,0),1)="","",VLOOKUP($A54,'标准新手流程（非R）'!$P$5:$AL$144,MATCH(D$3,'标准新手流程（非R）'!$P$5:$AL$5,0),1))</f>
        <v>1级白</v>
      </c>
      <c r="E54" s="1" t="str">
        <f>IF(VLOOKUP($A54,'标准新手流程（非R）'!$P$5:$AL$144,MATCH(E$3,'标准新手流程（非R）'!$P$5:$AL$5,0),1)="","",VLOOKUP($A54,'标准新手流程（非R）'!$P$5:$AL$144,MATCH(E$3,'标准新手流程（非R）'!$P$5:$AL$5,0),1))</f>
        <v>1级绿</v>
      </c>
      <c r="F54" s="1" t="str">
        <f>IF(VLOOKUP($A54,'标准新手流程（非R）'!$P$5:$AL$144,MATCH(F$3,'标准新手流程（非R）'!$P$5:$AL$5,0),1)="","",VLOOKUP($A54,'标准新手流程（非R）'!$P$5:$AL$144,MATCH(F$3,'标准新手流程（非R）'!$P$5:$AL$5,0),1))</f>
        <v>1级绿</v>
      </c>
      <c r="G54" s="1" t="str">
        <f>IF(VLOOKUP($A54,'标准新手流程（非R）'!$P$5:$AL$144,MATCH(G$3,'标准新手流程（非R）'!$P$5:$AL$5,0),1)="","",VLOOKUP($A54,'标准新手流程（非R）'!$P$5:$AL$144,MATCH(G$3,'标准新手流程（非R）'!$P$5:$AL$5,0),1))</f>
        <v>1级绿</v>
      </c>
      <c r="H54" s="1" t="str">
        <f>IF(VLOOKUP($A54,'标准新手流程（非R）'!$P$5:$AL$144,MATCH(H$3,'标准新手流程（非R）'!$P$5:$AL$5,0),1)="","",VLOOKUP($A54,'标准新手流程（非R）'!$P$5:$AL$144,MATCH(H$3,'标准新手流程（非R）'!$P$5:$AL$5,0),1))</f>
        <v>1级绿</v>
      </c>
      <c r="I54" s="1" t="str">
        <f>IF(VLOOKUP($A54,'标准新手流程（非R）'!$P$5:$AL$144,MATCH(I$3,'标准新手流程（非R）'!$P$5:$AL$5,0),1)="","",VLOOKUP($A54,'标准新手流程（非R）'!$P$5:$AL$144,MATCH(I$3,'标准新手流程（非R）'!$P$5:$AL$5,0),1))</f>
        <v>1级白</v>
      </c>
    </row>
    <row r="55" spans="1:9" x14ac:dyDescent="0.15">
      <c r="A55" s="1">
        <v>52</v>
      </c>
      <c r="B55" s="1" t="str">
        <f>IF(VLOOKUP($A55,'标准新手流程（非R）'!$P$5:$AL$144,MATCH(B$3,'标准新手流程（非R）'!$P$5:$AL$5,0),1)="","",VLOOKUP($A55,'标准新手流程（非R）'!$P$5:$AL$144,MATCH(B$3,'标准新手流程（非R）'!$P$5:$AL$5,0),1))</f>
        <v>1级白</v>
      </c>
      <c r="C55" s="1" t="str">
        <f>IF(VLOOKUP($A55,'标准新手流程（非R）'!$P$5:$AL$144,MATCH(C$3,'标准新手流程（非R）'!$P$5:$AL$5,0),1)="","",VLOOKUP($A55,'标准新手流程（非R）'!$P$5:$AL$144,MATCH(C$3,'标准新手流程（非R）'!$P$5:$AL$5,0),1))</f>
        <v>1级白</v>
      </c>
      <c r="D55" s="1" t="str">
        <f>IF(VLOOKUP($A55,'标准新手流程（非R）'!$P$5:$AL$144,MATCH(D$3,'标准新手流程（非R）'!$P$5:$AL$5,0),1)="","",VLOOKUP($A55,'标准新手流程（非R）'!$P$5:$AL$144,MATCH(D$3,'标准新手流程（非R）'!$P$5:$AL$5,0),1))</f>
        <v>1级白</v>
      </c>
      <c r="E55" s="1" t="str">
        <f>IF(VLOOKUP($A55,'标准新手流程（非R）'!$P$5:$AL$144,MATCH(E$3,'标准新手流程（非R）'!$P$5:$AL$5,0),1)="","",VLOOKUP($A55,'标准新手流程（非R）'!$P$5:$AL$144,MATCH(E$3,'标准新手流程（非R）'!$P$5:$AL$5,0),1))</f>
        <v>1级绿</v>
      </c>
      <c r="F55" s="1" t="str">
        <f>IF(VLOOKUP($A55,'标准新手流程（非R）'!$P$5:$AL$144,MATCH(F$3,'标准新手流程（非R）'!$P$5:$AL$5,0),1)="","",VLOOKUP($A55,'标准新手流程（非R）'!$P$5:$AL$144,MATCH(F$3,'标准新手流程（非R）'!$P$5:$AL$5,0),1))</f>
        <v>1级绿</v>
      </c>
      <c r="G55" s="1" t="str">
        <f>IF(VLOOKUP($A55,'标准新手流程（非R）'!$P$5:$AL$144,MATCH(G$3,'标准新手流程（非R）'!$P$5:$AL$5,0),1)="","",VLOOKUP($A55,'标准新手流程（非R）'!$P$5:$AL$144,MATCH(G$3,'标准新手流程（非R）'!$P$5:$AL$5,0),1))</f>
        <v>1级绿</v>
      </c>
      <c r="H55" s="1" t="str">
        <f>IF(VLOOKUP($A55,'标准新手流程（非R）'!$P$5:$AL$144,MATCH(H$3,'标准新手流程（非R）'!$P$5:$AL$5,0),1)="","",VLOOKUP($A55,'标准新手流程（非R）'!$P$5:$AL$144,MATCH(H$3,'标准新手流程（非R）'!$P$5:$AL$5,0),1))</f>
        <v>1级绿</v>
      </c>
      <c r="I55" s="1" t="str">
        <f>IF(VLOOKUP($A55,'标准新手流程（非R）'!$P$5:$AL$144,MATCH(I$3,'标准新手流程（非R）'!$P$5:$AL$5,0),1)="","",VLOOKUP($A55,'标准新手流程（非R）'!$P$5:$AL$144,MATCH(I$3,'标准新手流程（非R）'!$P$5:$AL$5,0),1))</f>
        <v>1级白</v>
      </c>
    </row>
    <row r="56" spans="1:9" x14ac:dyDescent="0.15">
      <c r="A56" s="1">
        <v>53</v>
      </c>
      <c r="B56" s="1" t="str">
        <f>IF(VLOOKUP($A56,'标准新手流程（非R）'!$P$5:$AL$144,MATCH(B$3,'标准新手流程（非R）'!$P$5:$AL$5,0),1)="","",VLOOKUP($A56,'标准新手流程（非R）'!$P$5:$AL$144,MATCH(B$3,'标准新手流程（非R）'!$P$5:$AL$5,0),1))</f>
        <v>1级白</v>
      </c>
      <c r="C56" s="1" t="str">
        <f>IF(VLOOKUP($A56,'标准新手流程（非R）'!$P$5:$AL$144,MATCH(C$3,'标准新手流程（非R）'!$P$5:$AL$5,0),1)="","",VLOOKUP($A56,'标准新手流程（非R）'!$P$5:$AL$144,MATCH(C$3,'标准新手流程（非R）'!$P$5:$AL$5,0),1))</f>
        <v>1级白</v>
      </c>
      <c r="D56" s="1" t="str">
        <f>IF(VLOOKUP($A56,'标准新手流程（非R）'!$P$5:$AL$144,MATCH(D$3,'标准新手流程（非R）'!$P$5:$AL$5,0),1)="","",VLOOKUP($A56,'标准新手流程（非R）'!$P$5:$AL$144,MATCH(D$3,'标准新手流程（非R）'!$P$5:$AL$5,0),1))</f>
        <v>1级白</v>
      </c>
      <c r="E56" s="1" t="str">
        <f>IF(VLOOKUP($A56,'标准新手流程（非R）'!$P$5:$AL$144,MATCH(E$3,'标准新手流程（非R）'!$P$5:$AL$5,0),1)="","",VLOOKUP($A56,'标准新手流程（非R）'!$P$5:$AL$144,MATCH(E$3,'标准新手流程（非R）'!$P$5:$AL$5,0),1))</f>
        <v>1级绿</v>
      </c>
      <c r="F56" s="1" t="str">
        <f>IF(VLOOKUP($A56,'标准新手流程（非R）'!$P$5:$AL$144,MATCH(F$3,'标准新手流程（非R）'!$P$5:$AL$5,0),1)="","",VLOOKUP($A56,'标准新手流程（非R）'!$P$5:$AL$144,MATCH(F$3,'标准新手流程（非R）'!$P$5:$AL$5,0),1))</f>
        <v>1级绿</v>
      </c>
      <c r="G56" s="1" t="str">
        <f>IF(VLOOKUP($A56,'标准新手流程（非R）'!$P$5:$AL$144,MATCH(G$3,'标准新手流程（非R）'!$P$5:$AL$5,0),1)="","",VLOOKUP($A56,'标准新手流程（非R）'!$P$5:$AL$144,MATCH(G$3,'标准新手流程（非R）'!$P$5:$AL$5,0),1))</f>
        <v>1级绿</v>
      </c>
      <c r="H56" s="1" t="str">
        <f>IF(VLOOKUP($A56,'标准新手流程（非R）'!$P$5:$AL$144,MATCH(H$3,'标准新手流程（非R）'!$P$5:$AL$5,0),1)="","",VLOOKUP($A56,'标准新手流程（非R）'!$P$5:$AL$144,MATCH(H$3,'标准新手流程（非R）'!$P$5:$AL$5,0),1))</f>
        <v>1级绿</v>
      </c>
      <c r="I56" s="1" t="str">
        <f>IF(VLOOKUP($A56,'标准新手流程（非R）'!$P$5:$AL$144,MATCH(I$3,'标准新手流程（非R）'!$P$5:$AL$5,0),1)="","",VLOOKUP($A56,'标准新手流程（非R）'!$P$5:$AL$144,MATCH(I$3,'标准新手流程（非R）'!$P$5:$AL$5,0),1))</f>
        <v>1级白</v>
      </c>
    </row>
    <row r="57" spans="1:9" x14ac:dyDescent="0.15">
      <c r="A57" s="1">
        <v>54</v>
      </c>
      <c r="B57" s="1" t="str">
        <f>IF(VLOOKUP($A57,'标准新手流程（非R）'!$P$5:$AL$144,MATCH(B$3,'标准新手流程（非R）'!$P$5:$AL$5,0),1)="","",VLOOKUP($A57,'标准新手流程（非R）'!$P$5:$AL$144,MATCH(B$3,'标准新手流程（非R）'!$P$5:$AL$5,0),1))</f>
        <v>1级白</v>
      </c>
      <c r="C57" s="1" t="str">
        <f>IF(VLOOKUP($A57,'标准新手流程（非R）'!$P$5:$AL$144,MATCH(C$3,'标准新手流程（非R）'!$P$5:$AL$5,0),1)="","",VLOOKUP($A57,'标准新手流程（非R）'!$P$5:$AL$144,MATCH(C$3,'标准新手流程（非R）'!$P$5:$AL$5,0),1))</f>
        <v>1级白</v>
      </c>
      <c r="D57" s="1" t="str">
        <f>IF(VLOOKUP($A57,'标准新手流程（非R）'!$P$5:$AL$144,MATCH(D$3,'标准新手流程（非R）'!$P$5:$AL$5,0),1)="","",VLOOKUP($A57,'标准新手流程（非R）'!$P$5:$AL$144,MATCH(D$3,'标准新手流程（非R）'!$P$5:$AL$5,0),1))</f>
        <v>1级白</v>
      </c>
      <c r="E57" s="1" t="str">
        <f>IF(VLOOKUP($A57,'标准新手流程（非R）'!$P$5:$AL$144,MATCH(E$3,'标准新手流程（非R）'!$P$5:$AL$5,0),1)="","",VLOOKUP($A57,'标准新手流程（非R）'!$P$5:$AL$144,MATCH(E$3,'标准新手流程（非R）'!$P$5:$AL$5,0),1))</f>
        <v>1级绿</v>
      </c>
      <c r="F57" s="1" t="str">
        <f>IF(VLOOKUP($A57,'标准新手流程（非R）'!$P$5:$AL$144,MATCH(F$3,'标准新手流程（非R）'!$P$5:$AL$5,0),1)="","",VLOOKUP($A57,'标准新手流程（非R）'!$P$5:$AL$144,MATCH(F$3,'标准新手流程（非R）'!$P$5:$AL$5,0),1))</f>
        <v>1级绿</v>
      </c>
      <c r="G57" s="1" t="str">
        <f>IF(VLOOKUP($A57,'标准新手流程（非R）'!$P$5:$AL$144,MATCH(G$3,'标准新手流程（非R）'!$P$5:$AL$5,0),1)="","",VLOOKUP($A57,'标准新手流程（非R）'!$P$5:$AL$144,MATCH(G$3,'标准新手流程（非R）'!$P$5:$AL$5,0),1))</f>
        <v>1级绿</v>
      </c>
      <c r="H57" s="1" t="str">
        <f>IF(VLOOKUP($A57,'标准新手流程（非R）'!$P$5:$AL$144,MATCH(H$3,'标准新手流程（非R）'!$P$5:$AL$5,0),1)="","",VLOOKUP($A57,'标准新手流程（非R）'!$P$5:$AL$144,MATCH(H$3,'标准新手流程（非R）'!$P$5:$AL$5,0),1))</f>
        <v>1级绿</v>
      </c>
      <c r="I57" s="1" t="str">
        <f>IF(VLOOKUP($A57,'标准新手流程（非R）'!$P$5:$AL$144,MATCH(I$3,'标准新手流程（非R）'!$P$5:$AL$5,0),1)="","",VLOOKUP($A57,'标准新手流程（非R）'!$P$5:$AL$144,MATCH(I$3,'标准新手流程（非R）'!$P$5:$AL$5,0),1))</f>
        <v>50级绿</v>
      </c>
    </row>
    <row r="58" spans="1:9" x14ac:dyDescent="0.15">
      <c r="A58" s="1">
        <v>55</v>
      </c>
      <c r="B58" s="1" t="str">
        <f>IF(VLOOKUP($A58,'标准新手流程（非R）'!$P$5:$AL$144,MATCH(B$3,'标准新手流程（非R）'!$P$5:$AL$5,0),1)="","",VLOOKUP($A58,'标准新手流程（非R）'!$P$5:$AL$144,MATCH(B$3,'标准新手流程（非R）'!$P$5:$AL$5,0),1))</f>
        <v>1级白</v>
      </c>
      <c r="C58" s="1" t="str">
        <f>IF(VLOOKUP($A58,'标准新手流程（非R）'!$P$5:$AL$144,MATCH(C$3,'标准新手流程（非R）'!$P$5:$AL$5,0),1)="","",VLOOKUP($A58,'标准新手流程（非R）'!$P$5:$AL$144,MATCH(C$3,'标准新手流程（非R）'!$P$5:$AL$5,0),1))</f>
        <v>1级白</v>
      </c>
      <c r="D58" s="1" t="str">
        <f>IF(VLOOKUP($A58,'标准新手流程（非R）'!$P$5:$AL$144,MATCH(D$3,'标准新手流程（非R）'!$P$5:$AL$5,0),1)="","",VLOOKUP($A58,'标准新手流程（非R）'!$P$5:$AL$144,MATCH(D$3,'标准新手流程（非R）'!$P$5:$AL$5,0),1))</f>
        <v>1级白</v>
      </c>
      <c r="E58" s="1" t="str">
        <f>IF(VLOOKUP($A58,'标准新手流程（非R）'!$P$5:$AL$144,MATCH(E$3,'标准新手流程（非R）'!$P$5:$AL$5,0),1)="","",VLOOKUP($A58,'标准新手流程（非R）'!$P$5:$AL$144,MATCH(E$3,'标准新手流程（非R）'!$P$5:$AL$5,0),1))</f>
        <v>1级绿</v>
      </c>
      <c r="F58" s="1" t="str">
        <f>IF(VLOOKUP($A58,'标准新手流程（非R）'!$P$5:$AL$144,MATCH(F$3,'标准新手流程（非R）'!$P$5:$AL$5,0),1)="","",VLOOKUP($A58,'标准新手流程（非R）'!$P$5:$AL$144,MATCH(F$3,'标准新手流程（非R）'!$P$5:$AL$5,0),1))</f>
        <v>1级绿</v>
      </c>
      <c r="G58" s="1" t="str">
        <f>IF(VLOOKUP($A58,'标准新手流程（非R）'!$P$5:$AL$144,MATCH(G$3,'标准新手流程（非R）'!$P$5:$AL$5,0),1)="","",VLOOKUP($A58,'标准新手流程（非R）'!$P$5:$AL$144,MATCH(G$3,'标准新手流程（非R）'!$P$5:$AL$5,0),1))</f>
        <v>1级绿</v>
      </c>
      <c r="H58" s="1" t="str">
        <f>IF(VLOOKUP($A58,'标准新手流程（非R）'!$P$5:$AL$144,MATCH(H$3,'标准新手流程（非R）'!$P$5:$AL$5,0),1)="","",VLOOKUP($A58,'标准新手流程（非R）'!$P$5:$AL$144,MATCH(H$3,'标准新手流程（非R）'!$P$5:$AL$5,0),1))</f>
        <v>1级绿</v>
      </c>
      <c r="I58" s="1" t="str">
        <f>IF(VLOOKUP($A58,'标准新手流程（非R）'!$P$5:$AL$144,MATCH(I$3,'标准新手流程（非R）'!$P$5:$AL$5,0),1)="","",VLOOKUP($A58,'标准新手流程（非R）'!$P$5:$AL$144,MATCH(I$3,'标准新手流程（非R）'!$P$5:$AL$5,0),1))</f>
        <v>50级绿</v>
      </c>
    </row>
    <row r="59" spans="1:9" x14ac:dyDescent="0.15">
      <c r="A59" s="1">
        <v>56</v>
      </c>
      <c r="B59" s="1" t="str">
        <f>IF(VLOOKUP($A59,'标准新手流程（非R）'!$P$5:$AL$144,MATCH(B$3,'标准新手流程（非R）'!$P$5:$AL$5,0),1)="","",VLOOKUP($A59,'标准新手流程（非R）'!$P$5:$AL$144,MATCH(B$3,'标准新手流程（非R）'!$P$5:$AL$5,0),1))</f>
        <v>1级白</v>
      </c>
      <c r="C59" s="1" t="str">
        <f>IF(VLOOKUP($A59,'标准新手流程（非R）'!$P$5:$AL$144,MATCH(C$3,'标准新手流程（非R）'!$P$5:$AL$5,0),1)="","",VLOOKUP($A59,'标准新手流程（非R）'!$P$5:$AL$144,MATCH(C$3,'标准新手流程（非R）'!$P$5:$AL$5,0),1))</f>
        <v>1级白</v>
      </c>
      <c r="D59" s="1" t="str">
        <f>IF(VLOOKUP($A59,'标准新手流程（非R）'!$P$5:$AL$144,MATCH(D$3,'标准新手流程（非R）'!$P$5:$AL$5,0),1)="","",VLOOKUP($A59,'标准新手流程（非R）'!$P$5:$AL$144,MATCH(D$3,'标准新手流程（非R）'!$P$5:$AL$5,0),1))</f>
        <v>50级紫</v>
      </c>
      <c r="E59" s="1" t="str">
        <f>IF(VLOOKUP($A59,'标准新手流程（非R）'!$P$5:$AL$144,MATCH(E$3,'标准新手流程（非R）'!$P$5:$AL$5,0),1)="","",VLOOKUP($A59,'标准新手流程（非R）'!$P$5:$AL$144,MATCH(E$3,'标准新手流程（非R）'!$P$5:$AL$5,0),1))</f>
        <v>1级绿</v>
      </c>
      <c r="F59" s="1" t="str">
        <f>IF(VLOOKUP($A59,'标准新手流程（非R）'!$P$5:$AL$144,MATCH(F$3,'标准新手流程（非R）'!$P$5:$AL$5,0),1)="","",VLOOKUP($A59,'标准新手流程（非R）'!$P$5:$AL$144,MATCH(F$3,'标准新手流程（非R）'!$P$5:$AL$5,0),1))</f>
        <v>1级绿</v>
      </c>
      <c r="G59" s="1" t="str">
        <f>IF(VLOOKUP($A59,'标准新手流程（非R）'!$P$5:$AL$144,MATCH(G$3,'标准新手流程（非R）'!$P$5:$AL$5,0),1)="","",VLOOKUP($A59,'标准新手流程（非R）'!$P$5:$AL$144,MATCH(G$3,'标准新手流程（非R）'!$P$5:$AL$5,0),1))</f>
        <v>1级绿</v>
      </c>
      <c r="H59" s="1" t="str">
        <f>IF(VLOOKUP($A59,'标准新手流程（非R）'!$P$5:$AL$144,MATCH(H$3,'标准新手流程（非R）'!$P$5:$AL$5,0),1)="","",VLOOKUP($A59,'标准新手流程（非R）'!$P$5:$AL$144,MATCH(H$3,'标准新手流程（非R）'!$P$5:$AL$5,0),1))</f>
        <v>1级绿</v>
      </c>
      <c r="I59" s="1" t="str">
        <f>IF(VLOOKUP($A59,'标准新手流程（非R）'!$P$5:$AL$144,MATCH(I$3,'标准新手流程（非R）'!$P$5:$AL$5,0),1)="","",VLOOKUP($A59,'标准新手流程（非R）'!$P$5:$AL$144,MATCH(I$3,'标准新手流程（非R）'!$P$5:$AL$5,0),1))</f>
        <v>50级绿</v>
      </c>
    </row>
    <row r="60" spans="1:9" x14ac:dyDescent="0.15">
      <c r="A60" s="1">
        <v>57</v>
      </c>
      <c r="B60" s="1" t="str">
        <f>IF(VLOOKUP($A60,'标准新手流程（非R）'!$P$5:$AL$144,MATCH(B$3,'标准新手流程（非R）'!$P$5:$AL$5,0),1)="","",VLOOKUP($A60,'标准新手流程（非R）'!$P$5:$AL$144,MATCH(B$3,'标准新手流程（非R）'!$P$5:$AL$5,0),1))</f>
        <v>1级白</v>
      </c>
      <c r="C60" s="1" t="str">
        <f>IF(VLOOKUP($A60,'标准新手流程（非R）'!$P$5:$AL$144,MATCH(C$3,'标准新手流程（非R）'!$P$5:$AL$5,0),1)="","",VLOOKUP($A60,'标准新手流程（非R）'!$P$5:$AL$144,MATCH(C$3,'标准新手流程（非R）'!$P$5:$AL$5,0),1))</f>
        <v>1级白</v>
      </c>
      <c r="D60" s="1" t="str">
        <f>IF(VLOOKUP($A60,'标准新手流程（非R）'!$P$5:$AL$144,MATCH(D$3,'标准新手流程（非R）'!$P$5:$AL$5,0),1)="","",VLOOKUP($A60,'标准新手流程（非R）'!$P$5:$AL$144,MATCH(D$3,'标准新手流程（非R）'!$P$5:$AL$5,0),1))</f>
        <v>50级紫</v>
      </c>
      <c r="E60" s="1" t="str">
        <f>IF(VLOOKUP($A60,'标准新手流程（非R）'!$P$5:$AL$144,MATCH(E$3,'标准新手流程（非R）'!$P$5:$AL$5,0),1)="","",VLOOKUP($A60,'标准新手流程（非R）'!$P$5:$AL$144,MATCH(E$3,'标准新手流程（非R）'!$P$5:$AL$5,0),1))</f>
        <v>1级绿</v>
      </c>
      <c r="F60" s="1" t="str">
        <f>IF(VLOOKUP($A60,'标准新手流程（非R）'!$P$5:$AL$144,MATCH(F$3,'标准新手流程（非R）'!$P$5:$AL$5,0),1)="","",VLOOKUP($A60,'标准新手流程（非R）'!$P$5:$AL$144,MATCH(F$3,'标准新手流程（非R）'!$P$5:$AL$5,0),1))</f>
        <v>1级绿</v>
      </c>
      <c r="G60" s="1" t="str">
        <f>IF(VLOOKUP($A60,'标准新手流程（非R）'!$P$5:$AL$144,MATCH(G$3,'标准新手流程（非R）'!$P$5:$AL$5,0),1)="","",VLOOKUP($A60,'标准新手流程（非R）'!$P$5:$AL$144,MATCH(G$3,'标准新手流程（非R）'!$P$5:$AL$5,0),1))</f>
        <v>1级绿</v>
      </c>
      <c r="H60" s="1" t="str">
        <f>IF(VLOOKUP($A60,'标准新手流程（非R）'!$P$5:$AL$144,MATCH(H$3,'标准新手流程（非R）'!$P$5:$AL$5,0),1)="","",VLOOKUP($A60,'标准新手流程（非R）'!$P$5:$AL$144,MATCH(H$3,'标准新手流程（非R）'!$P$5:$AL$5,0),1))</f>
        <v>1级绿</v>
      </c>
      <c r="I60" s="1" t="str">
        <f>IF(VLOOKUP($A60,'标准新手流程（非R）'!$P$5:$AL$144,MATCH(I$3,'标准新手流程（非R）'!$P$5:$AL$5,0),1)="","",VLOOKUP($A60,'标准新手流程（非R）'!$P$5:$AL$144,MATCH(I$3,'标准新手流程（非R）'!$P$5:$AL$5,0),1))</f>
        <v>50级绿</v>
      </c>
    </row>
    <row r="61" spans="1:9" x14ac:dyDescent="0.15">
      <c r="A61" s="1">
        <v>58</v>
      </c>
      <c r="B61" s="1" t="str">
        <f>IF(VLOOKUP($A61,'标准新手流程（非R）'!$P$5:$AL$144,MATCH(B$3,'标准新手流程（非R）'!$P$5:$AL$5,0),1)="","",VLOOKUP($A61,'标准新手流程（非R）'!$P$5:$AL$144,MATCH(B$3,'标准新手流程（非R）'!$P$5:$AL$5,0),1))</f>
        <v>50级紫</v>
      </c>
      <c r="C61" s="1" t="str">
        <f>IF(VLOOKUP($A61,'标准新手流程（非R）'!$P$5:$AL$144,MATCH(C$3,'标准新手流程（非R）'!$P$5:$AL$5,0),1)="","",VLOOKUP($A61,'标准新手流程（非R）'!$P$5:$AL$144,MATCH(C$3,'标准新手流程（非R）'!$P$5:$AL$5,0),1))</f>
        <v>1级白</v>
      </c>
      <c r="D61" s="1" t="str">
        <f>IF(VLOOKUP($A61,'标准新手流程（非R）'!$P$5:$AL$144,MATCH(D$3,'标准新手流程（非R）'!$P$5:$AL$5,0),1)="","",VLOOKUP($A61,'标准新手流程（非R）'!$P$5:$AL$144,MATCH(D$3,'标准新手流程（非R）'!$P$5:$AL$5,0),1))</f>
        <v>50级紫</v>
      </c>
      <c r="E61" s="1" t="str">
        <f>IF(VLOOKUP($A61,'标准新手流程（非R）'!$P$5:$AL$144,MATCH(E$3,'标准新手流程（非R）'!$P$5:$AL$5,0),1)="","",VLOOKUP($A61,'标准新手流程（非R）'!$P$5:$AL$144,MATCH(E$3,'标准新手流程（非R）'!$P$5:$AL$5,0),1))</f>
        <v>1级绿</v>
      </c>
      <c r="F61" s="1" t="str">
        <f>IF(VLOOKUP($A61,'标准新手流程（非R）'!$P$5:$AL$144,MATCH(F$3,'标准新手流程（非R）'!$P$5:$AL$5,0),1)="","",VLOOKUP($A61,'标准新手流程（非R）'!$P$5:$AL$144,MATCH(F$3,'标准新手流程（非R）'!$P$5:$AL$5,0),1))</f>
        <v>1级绿</v>
      </c>
      <c r="G61" s="1" t="str">
        <f>IF(VLOOKUP($A61,'标准新手流程（非R）'!$P$5:$AL$144,MATCH(G$3,'标准新手流程（非R）'!$P$5:$AL$5,0),1)="","",VLOOKUP($A61,'标准新手流程（非R）'!$P$5:$AL$144,MATCH(G$3,'标准新手流程（非R）'!$P$5:$AL$5,0),1))</f>
        <v>1级绿</v>
      </c>
      <c r="H61" s="1" t="str">
        <f>IF(VLOOKUP($A61,'标准新手流程（非R）'!$P$5:$AL$144,MATCH(H$3,'标准新手流程（非R）'!$P$5:$AL$5,0),1)="","",VLOOKUP($A61,'标准新手流程（非R）'!$P$5:$AL$144,MATCH(H$3,'标准新手流程（非R）'!$P$5:$AL$5,0),1))</f>
        <v>1级绿</v>
      </c>
      <c r="I61" s="1" t="str">
        <f>IF(VLOOKUP($A61,'标准新手流程（非R）'!$P$5:$AL$144,MATCH(I$3,'标准新手流程（非R）'!$P$5:$AL$5,0),1)="","",VLOOKUP($A61,'标准新手流程（非R）'!$P$5:$AL$144,MATCH(I$3,'标准新手流程（非R）'!$P$5:$AL$5,0),1))</f>
        <v>50级绿</v>
      </c>
    </row>
    <row r="62" spans="1:9" x14ac:dyDescent="0.15">
      <c r="A62" s="1">
        <v>59</v>
      </c>
      <c r="B62" s="1" t="str">
        <f>IF(VLOOKUP($A62,'标准新手流程（非R）'!$P$5:$AL$144,MATCH(B$3,'标准新手流程（非R）'!$P$5:$AL$5,0),1)="","",VLOOKUP($A62,'标准新手流程（非R）'!$P$5:$AL$144,MATCH(B$3,'标准新手流程（非R）'!$P$5:$AL$5,0),1))</f>
        <v>50级紫</v>
      </c>
      <c r="C62" s="1" t="str">
        <f>IF(VLOOKUP($A62,'标准新手流程（非R）'!$P$5:$AL$144,MATCH(C$3,'标准新手流程（非R）'!$P$5:$AL$5,0),1)="","",VLOOKUP($A62,'标准新手流程（非R）'!$P$5:$AL$144,MATCH(C$3,'标准新手流程（非R）'!$P$5:$AL$5,0),1))</f>
        <v>1级白</v>
      </c>
      <c r="D62" s="1" t="str">
        <f>IF(VLOOKUP($A62,'标准新手流程（非R）'!$P$5:$AL$144,MATCH(D$3,'标准新手流程（非R）'!$P$5:$AL$5,0),1)="","",VLOOKUP($A62,'标准新手流程（非R）'!$P$5:$AL$144,MATCH(D$3,'标准新手流程（非R）'!$P$5:$AL$5,0),1))</f>
        <v>50级紫</v>
      </c>
      <c r="E62" s="1" t="str">
        <f>IF(VLOOKUP($A62,'标准新手流程（非R）'!$P$5:$AL$144,MATCH(E$3,'标准新手流程（非R）'!$P$5:$AL$5,0),1)="","",VLOOKUP($A62,'标准新手流程（非R）'!$P$5:$AL$144,MATCH(E$3,'标准新手流程（非R）'!$P$5:$AL$5,0),1))</f>
        <v>1级绿</v>
      </c>
      <c r="F62" s="1" t="str">
        <f>IF(VLOOKUP($A62,'标准新手流程（非R）'!$P$5:$AL$144,MATCH(F$3,'标准新手流程（非R）'!$P$5:$AL$5,0),1)="","",VLOOKUP($A62,'标准新手流程（非R）'!$P$5:$AL$144,MATCH(F$3,'标准新手流程（非R）'!$P$5:$AL$5,0),1))</f>
        <v>1级绿</v>
      </c>
      <c r="G62" s="1" t="str">
        <f>IF(VLOOKUP($A62,'标准新手流程（非R）'!$P$5:$AL$144,MATCH(G$3,'标准新手流程（非R）'!$P$5:$AL$5,0),1)="","",VLOOKUP($A62,'标准新手流程（非R）'!$P$5:$AL$144,MATCH(G$3,'标准新手流程（非R）'!$P$5:$AL$5,0),1))</f>
        <v>1级绿</v>
      </c>
      <c r="H62" s="1" t="str">
        <f>IF(VLOOKUP($A62,'标准新手流程（非R）'!$P$5:$AL$144,MATCH(H$3,'标准新手流程（非R）'!$P$5:$AL$5,0),1)="","",VLOOKUP($A62,'标准新手流程（非R）'!$P$5:$AL$144,MATCH(H$3,'标准新手流程（非R）'!$P$5:$AL$5,0),1))</f>
        <v>1级绿</v>
      </c>
      <c r="I62" s="1" t="str">
        <f>IF(VLOOKUP($A62,'标准新手流程（非R）'!$P$5:$AL$144,MATCH(I$3,'标准新手流程（非R）'!$P$5:$AL$5,0),1)="","",VLOOKUP($A62,'标准新手流程（非R）'!$P$5:$AL$144,MATCH(I$3,'标准新手流程（非R）'!$P$5:$AL$5,0),1))</f>
        <v>50级绿</v>
      </c>
    </row>
    <row r="63" spans="1:9" x14ac:dyDescent="0.15">
      <c r="A63" s="1">
        <v>60</v>
      </c>
      <c r="B63" s="1" t="str">
        <f>IF(VLOOKUP($A63,'标准新手流程（非R）'!$P$5:$AL$144,MATCH(B$3,'标准新手流程（非R）'!$P$5:$AL$5,0),1)="","",VLOOKUP($A63,'标准新手流程（非R）'!$P$5:$AL$144,MATCH(B$3,'标准新手流程（非R）'!$P$5:$AL$5,0),1))</f>
        <v>50级紫</v>
      </c>
      <c r="C63" s="1" t="str">
        <f>IF(VLOOKUP($A63,'标准新手流程（非R）'!$P$5:$AL$144,MATCH(C$3,'标准新手流程（非R）'!$P$5:$AL$5,0),1)="","",VLOOKUP($A63,'标准新手流程（非R）'!$P$5:$AL$144,MATCH(C$3,'标准新手流程（非R）'!$P$5:$AL$5,0),1))</f>
        <v>50级绿</v>
      </c>
      <c r="D63" s="1" t="str">
        <f>IF(VLOOKUP($A63,'标准新手流程（非R）'!$P$5:$AL$144,MATCH(D$3,'标准新手流程（非R）'!$P$5:$AL$5,0),1)="","",VLOOKUP($A63,'标准新手流程（非R）'!$P$5:$AL$144,MATCH(D$3,'标准新手流程（非R）'!$P$5:$AL$5,0),1))</f>
        <v>50级紫</v>
      </c>
      <c r="E63" s="1" t="str">
        <f>IF(VLOOKUP($A63,'标准新手流程（非R）'!$P$5:$AL$144,MATCH(E$3,'标准新手流程（非R）'!$P$5:$AL$5,0),1)="","",VLOOKUP($A63,'标准新手流程（非R）'!$P$5:$AL$144,MATCH(E$3,'标准新手流程（非R）'!$P$5:$AL$5,0),1))</f>
        <v>1级绿</v>
      </c>
      <c r="F63" s="1" t="str">
        <f>IF(VLOOKUP($A63,'标准新手流程（非R）'!$P$5:$AL$144,MATCH(F$3,'标准新手流程（非R）'!$P$5:$AL$5,0),1)="","",VLOOKUP($A63,'标准新手流程（非R）'!$P$5:$AL$144,MATCH(F$3,'标准新手流程（非R）'!$P$5:$AL$5,0),1))</f>
        <v>1级绿</v>
      </c>
      <c r="G63" s="1" t="str">
        <f>IF(VLOOKUP($A63,'标准新手流程（非R）'!$P$5:$AL$144,MATCH(G$3,'标准新手流程（非R）'!$P$5:$AL$5,0),1)="","",VLOOKUP($A63,'标准新手流程（非R）'!$P$5:$AL$144,MATCH(G$3,'标准新手流程（非R）'!$P$5:$AL$5,0),1))</f>
        <v>1级绿</v>
      </c>
      <c r="H63" s="1" t="str">
        <f>IF(VLOOKUP($A63,'标准新手流程（非R）'!$P$5:$AL$144,MATCH(H$3,'标准新手流程（非R）'!$P$5:$AL$5,0),1)="","",VLOOKUP($A63,'标准新手流程（非R）'!$P$5:$AL$144,MATCH(H$3,'标准新手流程（非R）'!$P$5:$AL$5,0),1))</f>
        <v>1级绿</v>
      </c>
      <c r="I63" s="1" t="str">
        <f>IF(VLOOKUP($A63,'标准新手流程（非R）'!$P$5:$AL$144,MATCH(I$3,'标准新手流程（非R）'!$P$5:$AL$5,0),1)="","",VLOOKUP($A63,'标准新手流程（非R）'!$P$5:$AL$144,MATCH(I$3,'标准新手流程（非R）'!$P$5:$AL$5,0),1))</f>
        <v>50级绿</v>
      </c>
    </row>
    <row r="64" spans="1:9" x14ac:dyDescent="0.15">
      <c r="A64" s="1">
        <v>61</v>
      </c>
      <c r="B64" s="1" t="str">
        <f>IF(VLOOKUP($A64,'标准新手流程（非R）'!$P$5:$AL$144,MATCH(B$3,'标准新手流程（非R）'!$P$5:$AL$5,0),1)="","",VLOOKUP($A64,'标准新手流程（非R）'!$P$5:$AL$144,MATCH(B$3,'标准新手流程（非R）'!$P$5:$AL$5,0),1))</f>
        <v>50级紫</v>
      </c>
      <c r="C64" s="1" t="str">
        <f>IF(VLOOKUP($A64,'标准新手流程（非R）'!$P$5:$AL$144,MATCH(C$3,'标准新手流程（非R）'!$P$5:$AL$5,0),1)="","",VLOOKUP($A64,'标准新手流程（非R）'!$P$5:$AL$144,MATCH(C$3,'标准新手流程（非R）'!$P$5:$AL$5,0),1))</f>
        <v>50级绿</v>
      </c>
      <c r="D64" s="1" t="str">
        <f>IF(VLOOKUP($A64,'标准新手流程（非R）'!$P$5:$AL$144,MATCH(D$3,'标准新手流程（非R）'!$P$5:$AL$5,0),1)="","",VLOOKUP($A64,'标准新手流程（非R）'!$P$5:$AL$144,MATCH(D$3,'标准新手流程（非R）'!$P$5:$AL$5,0),1))</f>
        <v>50级紫</v>
      </c>
      <c r="E64" s="1" t="str">
        <f>IF(VLOOKUP($A64,'标准新手流程（非R）'!$P$5:$AL$144,MATCH(E$3,'标准新手流程（非R）'!$P$5:$AL$5,0),1)="","",VLOOKUP($A64,'标准新手流程（非R）'!$P$5:$AL$144,MATCH(E$3,'标准新手流程（非R）'!$P$5:$AL$5,0),1))</f>
        <v>1级绿</v>
      </c>
      <c r="F64" s="1" t="str">
        <f>IF(VLOOKUP($A64,'标准新手流程（非R）'!$P$5:$AL$144,MATCH(F$3,'标准新手流程（非R）'!$P$5:$AL$5,0),1)="","",VLOOKUP($A64,'标准新手流程（非R）'!$P$5:$AL$144,MATCH(F$3,'标准新手流程（非R）'!$P$5:$AL$5,0),1))</f>
        <v>1级绿</v>
      </c>
      <c r="G64" s="1" t="str">
        <f>IF(VLOOKUP($A64,'标准新手流程（非R）'!$P$5:$AL$144,MATCH(G$3,'标准新手流程（非R）'!$P$5:$AL$5,0),1)="","",VLOOKUP($A64,'标准新手流程（非R）'!$P$5:$AL$144,MATCH(G$3,'标准新手流程（非R）'!$P$5:$AL$5,0),1))</f>
        <v>1级绿</v>
      </c>
      <c r="H64" s="1" t="str">
        <f>IF(VLOOKUP($A64,'标准新手流程（非R）'!$P$5:$AL$144,MATCH(H$3,'标准新手流程（非R）'!$P$5:$AL$5,0),1)="","",VLOOKUP($A64,'标准新手流程（非R）'!$P$5:$AL$144,MATCH(H$3,'标准新手流程（非R）'!$P$5:$AL$5,0),1))</f>
        <v>1级绿</v>
      </c>
      <c r="I64" s="1" t="str">
        <f>IF(VLOOKUP($A64,'标准新手流程（非R）'!$P$5:$AL$144,MATCH(I$3,'标准新手流程（非R）'!$P$5:$AL$5,0),1)="","",VLOOKUP($A64,'标准新手流程（非R）'!$P$5:$AL$144,MATCH(I$3,'标准新手流程（非R）'!$P$5:$AL$5,0),1))</f>
        <v>50级绿</v>
      </c>
    </row>
    <row r="65" spans="1:9" x14ac:dyDescent="0.15">
      <c r="A65" s="1">
        <v>62</v>
      </c>
      <c r="B65" s="1" t="str">
        <f>IF(VLOOKUP($A65,'标准新手流程（非R）'!$P$5:$AL$144,MATCH(B$3,'标准新手流程（非R）'!$P$5:$AL$5,0),1)="","",VLOOKUP($A65,'标准新手流程（非R）'!$P$5:$AL$144,MATCH(B$3,'标准新手流程（非R）'!$P$5:$AL$5,0),1))</f>
        <v>50级紫</v>
      </c>
      <c r="C65" s="1" t="str">
        <f>IF(VLOOKUP($A65,'标准新手流程（非R）'!$P$5:$AL$144,MATCH(C$3,'标准新手流程（非R）'!$P$5:$AL$5,0),1)="","",VLOOKUP($A65,'标准新手流程（非R）'!$P$5:$AL$144,MATCH(C$3,'标准新手流程（非R）'!$P$5:$AL$5,0),1))</f>
        <v>50级绿</v>
      </c>
      <c r="D65" s="1" t="str">
        <f>IF(VLOOKUP($A65,'标准新手流程（非R）'!$P$5:$AL$144,MATCH(D$3,'标准新手流程（非R）'!$P$5:$AL$5,0),1)="","",VLOOKUP($A65,'标准新手流程（非R）'!$P$5:$AL$144,MATCH(D$3,'标准新手流程（非R）'!$P$5:$AL$5,0),1))</f>
        <v>50级紫</v>
      </c>
      <c r="E65" s="1" t="str">
        <f>IF(VLOOKUP($A65,'标准新手流程（非R）'!$P$5:$AL$144,MATCH(E$3,'标准新手流程（非R）'!$P$5:$AL$5,0),1)="","",VLOOKUP($A65,'标准新手流程（非R）'!$P$5:$AL$144,MATCH(E$3,'标准新手流程（非R）'!$P$5:$AL$5,0),1))</f>
        <v>1级绿</v>
      </c>
      <c r="F65" s="1" t="str">
        <f>IF(VLOOKUP($A65,'标准新手流程（非R）'!$P$5:$AL$144,MATCH(F$3,'标准新手流程（非R）'!$P$5:$AL$5,0),1)="","",VLOOKUP($A65,'标准新手流程（非R）'!$P$5:$AL$144,MATCH(F$3,'标准新手流程（非R）'!$P$5:$AL$5,0),1))</f>
        <v>1级绿</v>
      </c>
      <c r="G65" s="1" t="str">
        <f>IF(VLOOKUP($A65,'标准新手流程（非R）'!$P$5:$AL$144,MATCH(G$3,'标准新手流程（非R）'!$P$5:$AL$5,0),1)="","",VLOOKUP($A65,'标准新手流程（非R）'!$P$5:$AL$144,MATCH(G$3,'标准新手流程（非R）'!$P$5:$AL$5,0),1))</f>
        <v>1级绿</v>
      </c>
      <c r="H65" s="1" t="str">
        <f>IF(VLOOKUP($A65,'标准新手流程（非R）'!$P$5:$AL$144,MATCH(H$3,'标准新手流程（非R）'!$P$5:$AL$5,0),1)="","",VLOOKUP($A65,'标准新手流程（非R）'!$P$5:$AL$144,MATCH(H$3,'标准新手流程（非R）'!$P$5:$AL$5,0),1))</f>
        <v>1级绿</v>
      </c>
      <c r="I65" s="1" t="str">
        <f>IF(VLOOKUP($A65,'标准新手流程（非R）'!$P$5:$AL$144,MATCH(I$3,'标准新手流程（非R）'!$P$5:$AL$5,0),1)="","",VLOOKUP($A65,'标准新手流程（非R）'!$P$5:$AL$144,MATCH(I$3,'标准新手流程（非R）'!$P$5:$AL$5,0),1))</f>
        <v>50级绿</v>
      </c>
    </row>
    <row r="66" spans="1:9" x14ac:dyDescent="0.15">
      <c r="A66" s="1">
        <v>63</v>
      </c>
      <c r="B66" s="1" t="str">
        <f>IF(VLOOKUP($A66,'标准新手流程（非R）'!$P$5:$AL$144,MATCH(B$3,'标准新手流程（非R）'!$P$5:$AL$5,0),1)="","",VLOOKUP($A66,'标准新手流程（非R）'!$P$5:$AL$144,MATCH(B$3,'标准新手流程（非R）'!$P$5:$AL$5,0),1))</f>
        <v>50级紫</v>
      </c>
      <c r="C66" s="1" t="str">
        <f>IF(VLOOKUP($A66,'标准新手流程（非R）'!$P$5:$AL$144,MATCH(C$3,'标准新手流程（非R）'!$P$5:$AL$5,0),1)="","",VLOOKUP($A66,'标准新手流程（非R）'!$P$5:$AL$144,MATCH(C$3,'标准新手流程（非R）'!$P$5:$AL$5,0),1))</f>
        <v>50级绿</v>
      </c>
      <c r="D66" s="1" t="str">
        <f>IF(VLOOKUP($A66,'标准新手流程（非R）'!$P$5:$AL$144,MATCH(D$3,'标准新手流程（非R）'!$P$5:$AL$5,0),1)="","",VLOOKUP($A66,'标准新手流程（非R）'!$P$5:$AL$144,MATCH(D$3,'标准新手流程（非R）'!$P$5:$AL$5,0),1))</f>
        <v>50级紫</v>
      </c>
      <c r="E66" s="1" t="str">
        <f>IF(VLOOKUP($A66,'标准新手流程（非R）'!$P$5:$AL$144,MATCH(E$3,'标准新手流程（非R）'!$P$5:$AL$5,0),1)="","",VLOOKUP($A66,'标准新手流程（非R）'!$P$5:$AL$144,MATCH(E$3,'标准新手流程（非R）'!$P$5:$AL$5,0),1))</f>
        <v>1级绿</v>
      </c>
      <c r="F66" s="1" t="str">
        <f>IF(VLOOKUP($A66,'标准新手流程（非R）'!$P$5:$AL$144,MATCH(F$3,'标准新手流程（非R）'!$P$5:$AL$5,0),1)="","",VLOOKUP($A66,'标准新手流程（非R）'!$P$5:$AL$144,MATCH(F$3,'标准新手流程（非R）'!$P$5:$AL$5,0),1))</f>
        <v>1级绿</v>
      </c>
      <c r="G66" s="1" t="str">
        <f>IF(VLOOKUP($A66,'标准新手流程（非R）'!$P$5:$AL$144,MATCH(G$3,'标准新手流程（非R）'!$P$5:$AL$5,0),1)="","",VLOOKUP($A66,'标准新手流程（非R）'!$P$5:$AL$144,MATCH(G$3,'标准新手流程（非R）'!$P$5:$AL$5,0),1))</f>
        <v>1级绿</v>
      </c>
      <c r="H66" s="1" t="str">
        <f>IF(VLOOKUP($A66,'标准新手流程（非R）'!$P$5:$AL$144,MATCH(H$3,'标准新手流程（非R）'!$P$5:$AL$5,0),1)="","",VLOOKUP($A66,'标准新手流程（非R）'!$P$5:$AL$144,MATCH(H$3,'标准新手流程（非R）'!$P$5:$AL$5,0),1))</f>
        <v>1级绿</v>
      </c>
      <c r="I66" s="1" t="str">
        <f>IF(VLOOKUP($A66,'标准新手流程（非R）'!$P$5:$AL$144,MATCH(I$3,'标准新手流程（非R）'!$P$5:$AL$5,0),1)="","",VLOOKUP($A66,'标准新手流程（非R）'!$P$5:$AL$144,MATCH(I$3,'标准新手流程（非R）'!$P$5:$AL$5,0),1))</f>
        <v>50级绿</v>
      </c>
    </row>
    <row r="67" spans="1:9" x14ac:dyDescent="0.15">
      <c r="A67" s="1">
        <v>64</v>
      </c>
      <c r="B67" s="1" t="str">
        <f>IF(VLOOKUP($A67,'标准新手流程（非R）'!$P$5:$AL$144,MATCH(B$3,'标准新手流程（非R）'!$P$5:$AL$5,0),1)="","",VLOOKUP($A67,'标准新手流程（非R）'!$P$5:$AL$144,MATCH(B$3,'标准新手流程（非R）'!$P$5:$AL$5,0),1))</f>
        <v>50级紫</v>
      </c>
      <c r="C67" s="1" t="str">
        <f>IF(VLOOKUP($A67,'标准新手流程（非R）'!$P$5:$AL$144,MATCH(C$3,'标准新手流程（非R）'!$P$5:$AL$5,0),1)="","",VLOOKUP($A67,'标准新手流程（非R）'!$P$5:$AL$144,MATCH(C$3,'标准新手流程（非R）'!$P$5:$AL$5,0),1))</f>
        <v>50级绿</v>
      </c>
      <c r="D67" s="1" t="str">
        <f>IF(VLOOKUP($A67,'标准新手流程（非R）'!$P$5:$AL$144,MATCH(D$3,'标准新手流程（非R）'!$P$5:$AL$5,0),1)="","",VLOOKUP($A67,'标准新手流程（非R）'!$P$5:$AL$144,MATCH(D$3,'标准新手流程（非R）'!$P$5:$AL$5,0),1))</f>
        <v>50级紫</v>
      </c>
      <c r="E67" s="1" t="str">
        <f>IF(VLOOKUP($A67,'标准新手流程（非R）'!$P$5:$AL$144,MATCH(E$3,'标准新手流程（非R）'!$P$5:$AL$5,0),1)="","",VLOOKUP($A67,'标准新手流程（非R）'!$P$5:$AL$144,MATCH(E$3,'标准新手流程（非R）'!$P$5:$AL$5,0),1))</f>
        <v>1级绿</v>
      </c>
      <c r="F67" s="1" t="str">
        <f>IF(VLOOKUP($A67,'标准新手流程（非R）'!$P$5:$AL$144,MATCH(F$3,'标准新手流程（非R）'!$P$5:$AL$5,0),1)="","",VLOOKUP($A67,'标准新手流程（非R）'!$P$5:$AL$144,MATCH(F$3,'标准新手流程（非R）'!$P$5:$AL$5,0),1))</f>
        <v>1级绿</v>
      </c>
      <c r="G67" s="1" t="str">
        <f>IF(VLOOKUP($A67,'标准新手流程（非R）'!$P$5:$AL$144,MATCH(G$3,'标准新手流程（非R）'!$P$5:$AL$5,0),1)="","",VLOOKUP($A67,'标准新手流程（非R）'!$P$5:$AL$144,MATCH(G$3,'标准新手流程（非R）'!$P$5:$AL$5,0),1))</f>
        <v>1级绿</v>
      </c>
      <c r="H67" s="1" t="str">
        <f>IF(VLOOKUP($A67,'标准新手流程（非R）'!$P$5:$AL$144,MATCH(H$3,'标准新手流程（非R）'!$P$5:$AL$5,0),1)="","",VLOOKUP($A67,'标准新手流程（非R）'!$P$5:$AL$144,MATCH(H$3,'标准新手流程（非R）'!$P$5:$AL$5,0),1))</f>
        <v>1级绿</v>
      </c>
      <c r="I67" s="1" t="str">
        <f>IF(VLOOKUP($A67,'标准新手流程（非R）'!$P$5:$AL$144,MATCH(I$3,'标准新手流程（非R）'!$P$5:$AL$5,0),1)="","",VLOOKUP($A67,'标准新手流程（非R）'!$P$5:$AL$144,MATCH(I$3,'标准新手流程（非R）'!$P$5:$AL$5,0),1))</f>
        <v>50级绿</v>
      </c>
    </row>
    <row r="68" spans="1:9" x14ac:dyDescent="0.15">
      <c r="A68" s="1">
        <v>65</v>
      </c>
      <c r="B68" s="1" t="str">
        <f>IF(VLOOKUP($A68,'标准新手流程（非R）'!$P$5:$AL$144,MATCH(B$3,'标准新手流程（非R）'!$P$5:$AL$5,0),1)="","",VLOOKUP($A68,'标准新手流程（非R）'!$P$5:$AL$144,MATCH(B$3,'标准新手流程（非R）'!$P$5:$AL$5,0),1))</f>
        <v>50级紫</v>
      </c>
      <c r="C68" s="1" t="str">
        <f>IF(VLOOKUP($A68,'标准新手流程（非R）'!$P$5:$AL$144,MATCH(C$3,'标准新手流程（非R）'!$P$5:$AL$5,0),1)="","",VLOOKUP($A68,'标准新手流程（非R）'!$P$5:$AL$144,MATCH(C$3,'标准新手流程（非R）'!$P$5:$AL$5,0),1))</f>
        <v>50级绿</v>
      </c>
      <c r="D68" s="1" t="str">
        <f>IF(VLOOKUP($A68,'标准新手流程（非R）'!$P$5:$AL$144,MATCH(D$3,'标准新手流程（非R）'!$P$5:$AL$5,0),1)="","",VLOOKUP($A68,'标准新手流程（非R）'!$P$5:$AL$144,MATCH(D$3,'标准新手流程（非R）'!$P$5:$AL$5,0),1))</f>
        <v>50级紫</v>
      </c>
      <c r="E68" s="1" t="str">
        <f>IF(VLOOKUP($A68,'标准新手流程（非R）'!$P$5:$AL$144,MATCH(E$3,'标准新手流程（非R）'!$P$5:$AL$5,0),1)="","",VLOOKUP($A68,'标准新手流程（非R）'!$P$5:$AL$144,MATCH(E$3,'标准新手流程（非R）'!$P$5:$AL$5,0),1))</f>
        <v>1级绿</v>
      </c>
      <c r="F68" s="1" t="str">
        <f>IF(VLOOKUP($A68,'标准新手流程（非R）'!$P$5:$AL$144,MATCH(F$3,'标准新手流程（非R）'!$P$5:$AL$5,0),1)="","",VLOOKUP($A68,'标准新手流程（非R）'!$P$5:$AL$144,MATCH(F$3,'标准新手流程（非R）'!$P$5:$AL$5,0),1))</f>
        <v>1级绿</v>
      </c>
      <c r="G68" s="1" t="str">
        <f>IF(VLOOKUP($A68,'标准新手流程（非R）'!$P$5:$AL$144,MATCH(G$3,'标准新手流程（非R）'!$P$5:$AL$5,0),1)="","",VLOOKUP($A68,'标准新手流程（非R）'!$P$5:$AL$144,MATCH(G$3,'标准新手流程（非R）'!$P$5:$AL$5,0),1))</f>
        <v>1级绿</v>
      </c>
      <c r="H68" s="1" t="str">
        <f>IF(VLOOKUP($A68,'标准新手流程（非R）'!$P$5:$AL$144,MATCH(H$3,'标准新手流程（非R）'!$P$5:$AL$5,0),1)="","",VLOOKUP($A68,'标准新手流程（非R）'!$P$5:$AL$144,MATCH(H$3,'标准新手流程（非R）'!$P$5:$AL$5,0),1))</f>
        <v>1级绿</v>
      </c>
      <c r="I68" s="1" t="str">
        <f>IF(VLOOKUP($A68,'标准新手流程（非R）'!$P$5:$AL$144,MATCH(I$3,'标准新手流程（非R）'!$P$5:$AL$5,0),1)="","",VLOOKUP($A68,'标准新手流程（非R）'!$P$5:$AL$144,MATCH(I$3,'标准新手流程（非R）'!$P$5:$AL$5,0),1))</f>
        <v>50级绿</v>
      </c>
    </row>
    <row r="69" spans="1:9" x14ac:dyDescent="0.15">
      <c r="A69" s="1">
        <v>66</v>
      </c>
      <c r="B69" s="1" t="str">
        <f>IF(VLOOKUP($A69,'标准新手流程（非R）'!$P$5:$AL$144,MATCH(B$3,'标准新手流程（非R）'!$P$5:$AL$5,0),1)="","",VLOOKUP($A69,'标准新手流程（非R）'!$P$5:$AL$144,MATCH(B$3,'标准新手流程（非R）'!$P$5:$AL$5,0),1))</f>
        <v>50级紫</v>
      </c>
      <c r="C69" s="1" t="str">
        <f>IF(VLOOKUP($A69,'标准新手流程（非R）'!$P$5:$AL$144,MATCH(C$3,'标准新手流程（非R）'!$P$5:$AL$5,0),1)="","",VLOOKUP($A69,'标准新手流程（非R）'!$P$5:$AL$144,MATCH(C$3,'标准新手流程（非R）'!$P$5:$AL$5,0),1))</f>
        <v>50级绿</v>
      </c>
      <c r="D69" s="1" t="str">
        <f>IF(VLOOKUP($A69,'标准新手流程（非R）'!$P$5:$AL$144,MATCH(D$3,'标准新手流程（非R）'!$P$5:$AL$5,0),1)="","",VLOOKUP($A69,'标准新手流程（非R）'!$P$5:$AL$144,MATCH(D$3,'标准新手流程（非R）'!$P$5:$AL$5,0),1))</f>
        <v>50级紫</v>
      </c>
      <c r="E69" s="1" t="str">
        <f>IF(VLOOKUP($A69,'标准新手流程（非R）'!$P$5:$AL$144,MATCH(E$3,'标准新手流程（非R）'!$P$5:$AL$5,0),1)="","",VLOOKUP($A69,'标准新手流程（非R）'!$P$5:$AL$144,MATCH(E$3,'标准新手流程（非R）'!$P$5:$AL$5,0),1))</f>
        <v>1级绿</v>
      </c>
      <c r="F69" s="1" t="str">
        <f>IF(VLOOKUP($A69,'标准新手流程（非R）'!$P$5:$AL$144,MATCH(F$3,'标准新手流程（非R）'!$P$5:$AL$5,0),1)="","",VLOOKUP($A69,'标准新手流程（非R）'!$P$5:$AL$144,MATCH(F$3,'标准新手流程（非R）'!$P$5:$AL$5,0),1))</f>
        <v>1级绿</v>
      </c>
      <c r="G69" s="1" t="str">
        <f>IF(VLOOKUP($A69,'标准新手流程（非R）'!$P$5:$AL$144,MATCH(G$3,'标准新手流程（非R）'!$P$5:$AL$5,0),1)="","",VLOOKUP($A69,'标准新手流程（非R）'!$P$5:$AL$144,MATCH(G$3,'标准新手流程（非R）'!$P$5:$AL$5,0),1))</f>
        <v>1级绿</v>
      </c>
      <c r="H69" s="1" t="str">
        <f>IF(VLOOKUP($A69,'标准新手流程（非R）'!$P$5:$AL$144,MATCH(H$3,'标准新手流程（非R）'!$P$5:$AL$5,0),1)="","",VLOOKUP($A69,'标准新手流程（非R）'!$P$5:$AL$144,MATCH(H$3,'标准新手流程（非R）'!$P$5:$AL$5,0),1))</f>
        <v>1级绿</v>
      </c>
      <c r="I69" s="1" t="str">
        <f>IF(VLOOKUP($A69,'标准新手流程（非R）'!$P$5:$AL$144,MATCH(I$3,'标准新手流程（非R）'!$P$5:$AL$5,0),1)="","",VLOOKUP($A69,'标准新手流程（非R）'!$P$5:$AL$144,MATCH(I$3,'标准新手流程（非R）'!$P$5:$AL$5,0),1))</f>
        <v>50级绿</v>
      </c>
    </row>
    <row r="70" spans="1:9" x14ac:dyDescent="0.15">
      <c r="A70" s="1">
        <v>67</v>
      </c>
      <c r="B70" s="1" t="str">
        <f>IF(VLOOKUP($A70,'标准新手流程（非R）'!$P$5:$AL$144,MATCH(B$3,'标准新手流程（非R）'!$P$5:$AL$5,0),1)="","",VLOOKUP($A70,'标准新手流程（非R）'!$P$5:$AL$144,MATCH(B$3,'标准新手流程（非R）'!$P$5:$AL$5,0),1))</f>
        <v>50级紫</v>
      </c>
      <c r="C70" s="1" t="str">
        <f>IF(VLOOKUP($A70,'标准新手流程（非R）'!$P$5:$AL$144,MATCH(C$3,'标准新手流程（非R）'!$P$5:$AL$5,0),1)="","",VLOOKUP($A70,'标准新手流程（非R）'!$P$5:$AL$144,MATCH(C$3,'标准新手流程（非R）'!$P$5:$AL$5,0),1))</f>
        <v>50级绿</v>
      </c>
      <c r="D70" s="1" t="str">
        <f>IF(VLOOKUP($A70,'标准新手流程（非R）'!$P$5:$AL$144,MATCH(D$3,'标准新手流程（非R）'!$P$5:$AL$5,0),1)="","",VLOOKUP($A70,'标准新手流程（非R）'!$P$5:$AL$144,MATCH(D$3,'标准新手流程（非R）'!$P$5:$AL$5,0),1))</f>
        <v>50级紫</v>
      </c>
      <c r="E70" s="1" t="str">
        <f>IF(VLOOKUP($A70,'标准新手流程（非R）'!$P$5:$AL$144,MATCH(E$3,'标准新手流程（非R）'!$P$5:$AL$5,0),1)="","",VLOOKUP($A70,'标准新手流程（非R）'!$P$5:$AL$144,MATCH(E$3,'标准新手流程（非R）'!$P$5:$AL$5,0),1))</f>
        <v>1级绿</v>
      </c>
      <c r="F70" s="1" t="str">
        <f>IF(VLOOKUP($A70,'标准新手流程（非R）'!$P$5:$AL$144,MATCH(F$3,'标准新手流程（非R）'!$P$5:$AL$5,0),1)="","",VLOOKUP($A70,'标准新手流程（非R）'!$P$5:$AL$144,MATCH(F$3,'标准新手流程（非R）'!$P$5:$AL$5,0),1))</f>
        <v>1级绿</v>
      </c>
      <c r="G70" s="1" t="str">
        <f>IF(VLOOKUP($A70,'标准新手流程（非R）'!$P$5:$AL$144,MATCH(G$3,'标准新手流程（非R）'!$P$5:$AL$5,0),1)="","",VLOOKUP($A70,'标准新手流程（非R）'!$P$5:$AL$144,MATCH(G$3,'标准新手流程（非R）'!$P$5:$AL$5,0),1))</f>
        <v>1级绿</v>
      </c>
      <c r="H70" s="1" t="str">
        <f>IF(VLOOKUP($A70,'标准新手流程（非R）'!$P$5:$AL$144,MATCH(H$3,'标准新手流程（非R）'!$P$5:$AL$5,0),1)="","",VLOOKUP($A70,'标准新手流程（非R）'!$P$5:$AL$144,MATCH(H$3,'标准新手流程（非R）'!$P$5:$AL$5,0),1))</f>
        <v>1级绿</v>
      </c>
      <c r="I70" s="1" t="str">
        <f>IF(VLOOKUP($A70,'标准新手流程（非R）'!$P$5:$AL$144,MATCH(I$3,'标准新手流程（非R）'!$P$5:$AL$5,0),1)="","",VLOOKUP($A70,'标准新手流程（非R）'!$P$5:$AL$144,MATCH(I$3,'标准新手流程（非R）'!$P$5:$AL$5,0),1))</f>
        <v>50级绿</v>
      </c>
    </row>
    <row r="71" spans="1:9" x14ac:dyDescent="0.15">
      <c r="A71" s="1">
        <v>68</v>
      </c>
      <c r="B71" s="1" t="str">
        <f>IF(VLOOKUP($A71,'标准新手流程（非R）'!$P$5:$AL$144,MATCH(B$3,'标准新手流程（非R）'!$P$5:$AL$5,0),1)="","",VLOOKUP($A71,'标准新手流程（非R）'!$P$5:$AL$144,MATCH(B$3,'标准新手流程（非R）'!$P$5:$AL$5,0),1))</f>
        <v>50级紫</v>
      </c>
      <c r="C71" s="1" t="str">
        <f>IF(VLOOKUP($A71,'标准新手流程（非R）'!$P$5:$AL$144,MATCH(C$3,'标准新手流程（非R）'!$P$5:$AL$5,0),1)="","",VLOOKUP($A71,'标准新手流程（非R）'!$P$5:$AL$144,MATCH(C$3,'标准新手流程（非R）'!$P$5:$AL$5,0),1))</f>
        <v>50级绿</v>
      </c>
      <c r="D71" s="1" t="str">
        <f>IF(VLOOKUP($A71,'标准新手流程（非R）'!$P$5:$AL$144,MATCH(D$3,'标准新手流程（非R）'!$P$5:$AL$5,0),1)="","",VLOOKUP($A71,'标准新手流程（非R）'!$P$5:$AL$144,MATCH(D$3,'标准新手流程（非R）'!$P$5:$AL$5,0),1))</f>
        <v>50级紫</v>
      </c>
      <c r="E71" s="1" t="str">
        <f>IF(VLOOKUP($A71,'标准新手流程（非R）'!$P$5:$AL$144,MATCH(E$3,'标准新手流程（非R）'!$P$5:$AL$5,0),1)="","",VLOOKUP($A71,'标准新手流程（非R）'!$P$5:$AL$144,MATCH(E$3,'标准新手流程（非R）'!$P$5:$AL$5,0),1))</f>
        <v>1级绿</v>
      </c>
      <c r="F71" s="1" t="str">
        <f>IF(VLOOKUP($A71,'标准新手流程（非R）'!$P$5:$AL$144,MATCH(F$3,'标准新手流程（非R）'!$P$5:$AL$5,0),1)="","",VLOOKUP($A71,'标准新手流程（非R）'!$P$5:$AL$144,MATCH(F$3,'标准新手流程（非R）'!$P$5:$AL$5,0),1))</f>
        <v>1级绿</v>
      </c>
      <c r="G71" s="1" t="str">
        <f>IF(VLOOKUP($A71,'标准新手流程（非R）'!$P$5:$AL$144,MATCH(G$3,'标准新手流程（非R）'!$P$5:$AL$5,0),1)="","",VLOOKUP($A71,'标准新手流程（非R）'!$P$5:$AL$144,MATCH(G$3,'标准新手流程（非R）'!$P$5:$AL$5,0),1))</f>
        <v>1级绿</v>
      </c>
      <c r="H71" s="1" t="str">
        <f>IF(VLOOKUP($A71,'标准新手流程（非R）'!$P$5:$AL$144,MATCH(H$3,'标准新手流程（非R）'!$P$5:$AL$5,0),1)="","",VLOOKUP($A71,'标准新手流程（非R）'!$P$5:$AL$144,MATCH(H$3,'标准新手流程（非R）'!$P$5:$AL$5,0),1))</f>
        <v>1级绿</v>
      </c>
      <c r="I71" s="1" t="str">
        <f>IF(VLOOKUP($A71,'标准新手流程（非R）'!$P$5:$AL$144,MATCH(I$3,'标准新手流程（非R）'!$P$5:$AL$5,0),1)="","",VLOOKUP($A71,'标准新手流程（非R）'!$P$5:$AL$144,MATCH(I$3,'标准新手流程（非R）'!$P$5:$AL$5,0),1))</f>
        <v>50级绿</v>
      </c>
    </row>
    <row r="72" spans="1:9" x14ac:dyDescent="0.15">
      <c r="A72" s="1">
        <v>69</v>
      </c>
      <c r="B72" s="1" t="str">
        <f>IF(VLOOKUP($A72,'标准新手流程（非R）'!$P$5:$AL$144,MATCH(B$3,'标准新手流程（非R）'!$P$5:$AL$5,0),1)="","",VLOOKUP($A72,'标准新手流程（非R）'!$P$5:$AL$144,MATCH(B$3,'标准新手流程（非R）'!$P$5:$AL$5,0),1))</f>
        <v>50级紫</v>
      </c>
      <c r="C72" s="1" t="str">
        <f>IF(VLOOKUP($A72,'标准新手流程（非R）'!$P$5:$AL$144,MATCH(C$3,'标准新手流程（非R）'!$P$5:$AL$5,0),1)="","",VLOOKUP($A72,'标准新手流程（非R）'!$P$5:$AL$144,MATCH(C$3,'标准新手流程（非R）'!$P$5:$AL$5,0),1))</f>
        <v>50级绿</v>
      </c>
      <c r="D72" s="1" t="str">
        <f>IF(VLOOKUP($A72,'标准新手流程（非R）'!$P$5:$AL$144,MATCH(D$3,'标准新手流程（非R）'!$P$5:$AL$5,0),1)="","",VLOOKUP($A72,'标准新手流程（非R）'!$P$5:$AL$144,MATCH(D$3,'标准新手流程（非R）'!$P$5:$AL$5,0),1))</f>
        <v>50级紫</v>
      </c>
      <c r="E72" s="1" t="str">
        <f>IF(VLOOKUP($A72,'标准新手流程（非R）'!$P$5:$AL$144,MATCH(E$3,'标准新手流程（非R）'!$P$5:$AL$5,0),1)="","",VLOOKUP($A72,'标准新手流程（非R）'!$P$5:$AL$144,MATCH(E$3,'标准新手流程（非R）'!$P$5:$AL$5,0),1))</f>
        <v>50级红</v>
      </c>
      <c r="F72" s="1" t="str">
        <f>IF(VLOOKUP($A72,'标准新手流程（非R）'!$P$5:$AL$144,MATCH(F$3,'标准新手流程（非R）'!$P$5:$AL$5,0),1)="","",VLOOKUP($A72,'标准新手流程（非R）'!$P$5:$AL$144,MATCH(F$3,'标准新手流程（非R）'!$P$5:$AL$5,0),1))</f>
        <v>50级绿</v>
      </c>
      <c r="G72" s="1" t="str">
        <f>IF(VLOOKUP($A72,'标准新手流程（非R）'!$P$5:$AL$144,MATCH(G$3,'标准新手流程（非R）'!$P$5:$AL$5,0),1)="","",VLOOKUP($A72,'标准新手流程（非R）'!$P$5:$AL$144,MATCH(G$3,'标准新手流程（非R）'!$P$5:$AL$5,0),1))</f>
        <v>1级绿</v>
      </c>
      <c r="H72" s="1" t="str">
        <f>IF(VLOOKUP($A72,'标准新手流程（非R）'!$P$5:$AL$144,MATCH(H$3,'标准新手流程（非R）'!$P$5:$AL$5,0),1)="","",VLOOKUP($A72,'标准新手流程（非R）'!$P$5:$AL$144,MATCH(H$3,'标准新手流程（非R）'!$P$5:$AL$5,0),1))</f>
        <v>50级橙</v>
      </c>
      <c r="I72" s="1" t="str">
        <f>IF(VLOOKUP($A72,'标准新手流程（非R）'!$P$5:$AL$144,MATCH(I$3,'标准新手流程（非R）'!$P$5:$AL$5,0),1)="","",VLOOKUP($A72,'标准新手流程（非R）'!$P$5:$AL$144,MATCH(I$3,'标准新手流程（非R）'!$P$5:$AL$5,0),1))</f>
        <v>50级紫</v>
      </c>
    </row>
    <row r="73" spans="1:9" x14ac:dyDescent="0.15">
      <c r="A73" s="1">
        <v>70</v>
      </c>
      <c r="B73" s="1" t="str">
        <f>IF(VLOOKUP($A73,'标准新手流程（非R）'!$P$5:$AL$144,MATCH(B$3,'标准新手流程（非R）'!$P$5:$AL$5,0),1)="","",VLOOKUP($A73,'标准新手流程（非R）'!$P$5:$AL$144,MATCH(B$3,'标准新手流程（非R）'!$P$5:$AL$5,0),1))</f>
        <v>50级紫</v>
      </c>
      <c r="C73" s="1" t="str">
        <f>IF(VLOOKUP($A73,'标准新手流程（非R）'!$P$5:$AL$144,MATCH(C$3,'标准新手流程（非R）'!$P$5:$AL$5,0),1)="","",VLOOKUP($A73,'标准新手流程（非R）'!$P$5:$AL$144,MATCH(C$3,'标准新手流程（非R）'!$P$5:$AL$5,0),1))</f>
        <v>50级绿</v>
      </c>
      <c r="D73" s="1" t="str">
        <f>IF(VLOOKUP($A73,'标准新手流程（非R）'!$P$5:$AL$144,MATCH(D$3,'标准新手流程（非R）'!$P$5:$AL$5,0),1)="","",VLOOKUP($A73,'标准新手流程（非R）'!$P$5:$AL$144,MATCH(D$3,'标准新手流程（非R）'!$P$5:$AL$5,0),1))</f>
        <v>50级紫</v>
      </c>
      <c r="E73" s="1" t="str">
        <f>IF(VLOOKUP($A73,'标准新手流程（非R）'!$P$5:$AL$144,MATCH(E$3,'标准新手流程（非R）'!$P$5:$AL$5,0),1)="","",VLOOKUP($A73,'标准新手流程（非R）'!$P$5:$AL$144,MATCH(E$3,'标准新手流程（非R）'!$P$5:$AL$5,0),1))</f>
        <v>50级红</v>
      </c>
      <c r="F73" s="1" t="str">
        <f>IF(VLOOKUP($A73,'标准新手流程（非R）'!$P$5:$AL$144,MATCH(F$3,'标准新手流程（非R）'!$P$5:$AL$5,0),1)="","",VLOOKUP($A73,'标准新手流程（非R）'!$P$5:$AL$144,MATCH(F$3,'标准新手流程（非R）'!$P$5:$AL$5,0),1))</f>
        <v>50级绿</v>
      </c>
      <c r="G73" s="1" t="str">
        <f>IF(VLOOKUP($A73,'标准新手流程（非R）'!$P$5:$AL$144,MATCH(G$3,'标准新手流程（非R）'!$P$5:$AL$5,0),1)="","",VLOOKUP($A73,'标准新手流程（非R）'!$P$5:$AL$144,MATCH(G$3,'标准新手流程（非R）'!$P$5:$AL$5,0),1))</f>
        <v>50级绿</v>
      </c>
      <c r="H73" s="1" t="str">
        <f>IF(VLOOKUP($A73,'标准新手流程（非R）'!$P$5:$AL$144,MATCH(H$3,'标准新手流程（非R）'!$P$5:$AL$5,0),1)="","",VLOOKUP($A73,'标准新手流程（非R）'!$P$5:$AL$144,MATCH(H$3,'标准新手流程（非R）'!$P$5:$AL$5,0),1))</f>
        <v>50级橙</v>
      </c>
      <c r="I73" s="1" t="str">
        <f>IF(VLOOKUP($A73,'标准新手流程（非R）'!$P$5:$AL$144,MATCH(I$3,'标准新手流程（非R）'!$P$5:$AL$5,0),1)="","",VLOOKUP($A73,'标准新手流程（非R）'!$P$5:$AL$144,MATCH(I$3,'标准新手流程（非R）'!$P$5:$AL$5,0),1))</f>
        <v>50级紫</v>
      </c>
    </row>
    <row r="74" spans="1:9" x14ac:dyDescent="0.15">
      <c r="A74" s="1">
        <v>71</v>
      </c>
      <c r="B74" s="1" t="str">
        <f>IF(VLOOKUP($A74,'标准新手流程（非R）'!$P$5:$AL$144,MATCH(B$3,'标准新手流程（非R）'!$P$5:$AL$5,0),1)="","",VLOOKUP($A74,'标准新手流程（非R）'!$P$5:$AL$144,MATCH(B$3,'标准新手流程（非R）'!$P$5:$AL$5,0),1))</f>
        <v>50级紫</v>
      </c>
      <c r="C74" s="1" t="str">
        <f>IF(VLOOKUP($A74,'标准新手流程（非R）'!$P$5:$AL$144,MATCH(C$3,'标准新手流程（非R）'!$P$5:$AL$5,0),1)="","",VLOOKUP($A74,'标准新手流程（非R）'!$P$5:$AL$144,MATCH(C$3,'标准新手流程（非R）'!$P$5:$AL$5,0),1))</f>
        <v>50级绿</v>
      </c>
      <c r="D74" s="1" t="str">
        <f>IF(VLOOKUP($A74,'标准新手流程（非R）'!$P$5:$AL$144,MATCH(D$3,'标准新手流程（非R）'!$P$5:$AL$5,0),1)="","",VLOOKUP($A74,'标准新手流程（非R）'!$P$5:$AL$144,MATCH(D$3,'标准新手流程（非R）'!$P$5:$AL$5,0),1))</f>
        <v>50级紫</v>
      </c>
      <c r="E74" s="1" t="str">
        <f>IF(VLOOKUP($A74,'标准新手流程（非R）'!$P$5:$AL$144,MATCH(E$3,'标准新手流程（非R）'!$P$5:$AL$5,0),1)="","",VLOOKUP($A74,'标准新手流程（非R）'!$P$5:$AL$144,MATCH(E$3,'标准新手流程（非R）'!$P$5:$AL$5,0),1))</f>
        <v>50级红</v>
      </c>
      <c r="F74" s="1" t="str">
        <f>IF(VLOOKUP($A74,'标准新手流程（非R）'!$P$5:$AL$144,MATCH(F$3,'标准新手流程（非R）'!$P$5:$AL$5,0),1)="","",VLOOKUP($A74,'标准新手流程（非R）'!$P$5:$AL$144,MATCH(F$3,'标准新手流程（非R）'!$P$5:$AL$5,0),1))</f>
        <v>50级绿</v>
      </c>
      <c r="G74" s="1" t="str">
        <f>IF(VLOOKUP($A74,'标准新手流程（非R）'!$P$5:$AL$144,MATCH(G$3,'标准新手流程（非R）'!$P$5:$AL$5,0),1)="","",VLOOKUP($A74,'标准新手流程（非R）'!$P$5:$AL$144,MATCH(G$3,'标准新手流程（非R）'!$P$5:$AL$5,0),1))</f>
        <v>50级绿</v>
      </c>
      <c r="H74" s="1" t="str">
        <f>IF(VLOOKUP($A74,'标准新手流程（非R）'!$P$5:$AL$144,MATCH(H$3,'标准新手流程（非R）'!$P$5:$AL$5,0),1)="","",VLOOKUP($A74,'标准新手流程（非R）'!$P$5:$AL$144,MATCH(H$3,'标准新手流程（非R）'!$P$5:$AL$5,0),1))</f>
        <v>50级橙</v>
      </c>
      <c r="I74" s="1" t="str">
        <f>IF(VLOOKUP($A74,'标准新手流程（非R）'!$P$5:$AL$144,MATCH(I$3,'标准新手流程（非R）'!$P$5:$AL$5,0),1)="","",VLOOKUP($A74,'标准新手流程（非R）'!$P$5:$AL$144,MATCH(I$3,'标准新手流程（非R）'!$P$5:$AL$5,0),1))</f>
        <v>50级紫</v>
      </c>
    </row>
    <row r="75" spans="1:9" x14ac:dyDescent="0.15">
      <c r="A75" s="1">
        <v>72</v>
      </c>
      <c r="B75" s="1" t="str">
        <f>IF(VLOOKUP($A75,'标准新手流程（非R）'!$P$5:$AL$144,MATCH(B$3,'标准新手流程（非R）'!$P$5:$AL$5,0),1)="","",VLOOKUP($A75,'标准新手流程（非R）'!$P$5:$AL$144,MATCH(B$3,'标准新手流程（非R）'!$P$5:$AL$5,0),1))</f>
        <v>50级紫</v>
      </c>
      <c r="C75" s="1" t="str">
        <f>IF(VLOOKUP($A75,'标准新手流程（非R）'!$P$5:$AL$144,MATCH(C$3,'标准新手流程（非R）'!$P$5:$AL$5,0),1)="","",VLOOKUP($A75,'标准新手流程（非R）'!$P$5:$AL$144,MATCH(C$3,'标准新手流程（非R）'!$P$5:$AL$5,0),1))</f>
        <v>50级绿</v>
      </c>
      <c r="D75" s="1" t="str">
        <f>IF(VLOOKUP($A75,'标准新手流程（非R）'!$P$5:$AL$144,MATCH(D$3,'标准新手流程（非R）'!$P$5:$AL$5,0),1)="","",VLOOKUP($A75,'标准新手流程（非R）'!$P$5:$AL$144,MATCH(D$3,'标准新手流程（非R）'!$P$5:$AL$5,0),1))</f>
        <v>50级紫</v>
      </c>
      <c r="E75" s="1" t="str">
        <f>IF(VLOOKUP($A75,'标准新手流程（非R）'!$P$5:$AL$144,MATCH(E$3,'标准新手流程（非R）'!$P$5:$AL$5,0),1)="","",VLOOKUP($A75,'标准新手流程（非R）'!$P$5:$AL$144,MATCH(E$3,'标准新手流程（非R）'!$P$5:$AL$5,0),1))</f>
        <v>50级红</v>
      </c>
      <c r="F75" s="1" t="str">
        <f>IF(VLOOKUP($A75,'标准新手流程（非R）'!$P$5:$AL$144,MATCH(F$3,'标准新手流程（非R）'!$P$5:$AL$5,0),1)="","",VLOOKUP($A75,'标准新手流程（非R）'!$P$5:$AL$144,MATCH(F$3,'标准新手流程（非R）'!$P$5:$AL$5,0),1))</f>
        <v>50级绿</v>
      </c>
      <c r="G75" s="1" t="str">
        <f>IF(VLOOKUP($A75,'标准新手流程（非R）'!$P$5:$AL$144,MATCH(G$3,'标准新手流程（非R）'!$P$5:$AL$5,0),1)="","",VLOOKUP($A75,'标准新手流程（非R）'!$P$5:$AL$144,MATCH(G$3,'标准新手流程（非R）'!$P$5:$AL$5,0),1))</f>
        <v>50级紫</v>
      </c>
      <c r="H75" s="1" t="str">
        <f>IF(VLOOKUP($A75,'标准新手流程（非R）'!$P$5:$AL$144,MATCH(H$3,'标准新手流程（非R）'!$P$5:$AL$5,0),1)="","",VLOOKUP($A75,'标准新手流程（非R）'!$P$5:$AL$144,MATCH(H$3,'标准新手流程（非R）'!$P$5:$AL$5,0),1))</f>
        <v>50级橙</v>
      </c>
      <c r="I75" s="1" t="str">
        <f>IF(VLOOKUP($A75,'标准新手流程（非R）'!$P$5:$AL$144,MATCH(I$3,'标准新手流程（非R）'!$P$5:$AL$5,0),1)="","",VLOOKUP($A75,'标准新手流程（非R）'!$P$5:$AL$144,MATCH(I$3,'标准新手流程（非R）'!$P$5:$AL$5,0),1))</f>
        <v>50级紫</v>
      </c>
    </row>
    <row r="76" spans="1:9" x14ac:dyDescent="0.15">
      <c r="A76" s="1">
        <v>73</v>
      </c>
      <c r="B76" s="1" t="str">
        <f>IF(VLOOKUP($A76,'标准新手流程（非R）'!$P$5:$AL$144,MATCH(B$3,'标准新手流程（非R）'!$P$5:$AL$5,0),1)="","",VLOOKUP($A76,'标准新手流程（非R）'!$P$5:$AL$144,MATCH(B$3,'标准新手流程（非R）'!$P$5:$AL$5,0),1))</f>
        <v>50级紫</v>
      </c>
      <c r="C76" s="1" t="str">
        <f>IF(VLOOKUP($A76,'标准新手流程（非R）'!$P$5:$AL$144,MATCH(C$3,'标准新手流程（非R）'!$P$5:$AL$5,0),1)="","",VLOOKUP($A76,'标准新手流程（非R）'!$P$5:$AL$144,MATCH(C$3,'标准新手流程（非R）'!$P$5:$AL$5,0),1))</f>
        <v>50级绿</v>
      </c>
      <c r="D76" s="1" t="str">
        <f>IF(VLOOKUP($A76,'标准新手流程（非R）'!$P$5:$AL$144,MATCH(D$3,'标准新手流程（非R）'!$P$5:$AL$5,0),1)="","",VLOOKUP($A76,'标准新手流程（非R）'!$P$5:$AL$144,MATCH(D$3,'标准新手流程（非R）'!$P$5:$AL$5,0),1))</f>
        <v>50级紫</v>
      </c>
      <c r="E76" s="1" t="str">
        <f>IF(VLOOKUP($A76,'标准新手流程（非R）'!$P$5:$AL$144,MATCH(E$3,'标准新手流程（非R）'!$P$5:$AL$5,0),1)="","",VLOOKUP($A76,'标准新手流程（非R）'!$P$5:$AL$144,MATCH(E$3,'标准新手流程（非R）'!$P$5:$AL$5,0),1))</f>
        <v>50级红</v>
      </c>
      <c r="F76" s="1" t="str">
        <f>IF(VLOOKUP($A76,'标准新手流程（非R）'!$P$5:$AL$144,MATCH(F$3,'标准新手流程（非R）'!$P$5:$AL$5,0),1)="","",VLOOKUP($A76,'标准新手流程（非R）'!$P$5:$AL$144,MATCH(F$3,'标准新手流程（非R）'!$P$5:$AL$5,0),1))</f>
        <v>50级紫</v>
      </c>
      <c r="G76" s="1" t="str">
        <f>IF(VLOOKUP($A76,'标准新手流程（非R）'!$P$5:$AL$144,MATCH(G$3,'标准新手流程（非R）'!$P$5:$AL$5,0),1)="","",VLOOKUP($A76,'标准新手流程（非R）'!$P$5:$AL$144,MATCH(G$3,'标准新手流程（非R）'!$P$5:$AL$5,0),1))</f>
        <v>50级紫</v>
      </c>
      <c r="H76" s="1" t="str">
        <f>IF(VLOOKUP($A76,'标准新手流程（非R）'!$P$5:$AL$144,MATCH(H$3,'标准新手流程（非R）'!$P$5:$AL$5,0),1)="","",VLOOKUP($A76,'标准新手流程（非R）'!$P$5:$AL$144,MATCH(H$3,'标准新手流程（非R）'!$P$5:$AL$5,0),1))</f>
        <v>50级橙</v>
      </c>
      <c r="I76" s="1" t="str">
        <f>IF(VLOOKUP($A76,'标准新手流程（非R）'!$P$5:$AL$144,MATCH(I$3,'标准新手流程（非R）'!$P$5:$AL$5,0),1)="","",VLOOKUP($A76,'标准新手流程（非R）'!$P$5:$AL$144,MATCH(I$3,'标准新手流程（非R）'!$P$5:$AL$5,0),1))</f>
        <v>50级紫</v>
      </c>
    </row>
    <row r="77" spans="1:9" x14ac:dyDescent="0.15">
      <c r="A77" s="1">
        <v>74</v>
      </c>
      <c r="B77" s="1" t="str">
        <f>IF(VLOOKUP($A77,'标准新手流程（非R）'!$P$5:$AL$144,MATCH(B$3,'标准新手流程（非R）'!$P$5:$AL$5,0),1)="","",VLOOKUP($A77,'标准新手流程（非R）'!$P$5:$AL$144,MATCH(B$3,'标准新手流程（非R）'!$P$5:$AL$5,0),1))</f>
        <v>50级紫</v>
      </c>
      <c r="C77" s="1" t="str">
        <f>IF(VLOOKUP($A77,'标准新手流程（非R）'!$P$5:$AL$144,MATCH(C$3,'标准新手流程（非R）'!$P$5:$AL$5,0),1)="","",VLOOKUP($A77,'标准新手流程（非R）'!$P$5:$AL$144,MATCH(C$3,'标准新手流程（非R）'!$P$5:$AL$5,0),1))</f>
        <v>50级紫</v>
      </c>
      <c r="D77" s="1" t="str">
        <f>IF(VLOOKUP($A77,'标准新手流程（非R）'!$P$5:$AL$144,MATCH(D$3,'标准新手流程（非R）'!$P$5:$AL$5,0),1)="","",VLOOKUP($A77,'标准新手流程（非R）'!$P$5:$AL$144,MATCH(D$3,'标准新手流程（非R）'!$P$5:$AL$5,0),1))</f>
        <v>50级紫</v>
      </c>
      <c r="E77" s="1" t="str">
        <f>IF(VLOOKUP($A77,'标准新手流程（非R）'!$P$5:$AL$144,MATCH(E$3,'标准新手流程（非R）'!$P$5:$AL$5,0),1)="","",VLOOKUP($A77,'标准新手流程（非R）'!$P$5:$AL$144,MATCH(E$3,'标准新手流程（非R）'!$P$5:$AL$5,0),1))</f>
        <v>50级红</v>
      </c>
      <c r="F77" s="1" t="str">
        <f>IF(VLOOKUP($A77,'标准新手流程（非R）'!$P$5:$AL$144,MATCH(F$3,'标准新手流程（非R）'!$P$5:$AL$5,0),1)="","",VLOOKUP($A77,'标准新手流程（非R）'!$P$5:$AL$144,MATCH(F$3,'标准新手流程（非R）'!$P$5:$AL$5,0),1))</f>
        <v>50级紫</v>
      </c>
      <c r="G77" s="1" t="str">
        <f>IF(VLOOKUP($A77,'标准新手流程（非R）'!$P$5:$AL$144,MATCH(G$3,'标准新手流程（非R）'!$P$5:$AL$5,0),1)="","",VLOOKUP($A77,'标准新手流程（非R）'!$P$5:$AL$144,MATCH(G$3,'标准新手流程（非R）'!$P$5:$AL$5,0),1))</f>
        <v>50级紫</v>
      </c>
      <c r="H77" s="1" t="str">
        <f>IF(VLOOKUP($A77,'标准新手流程（非R）'!$P$5:$AL$144,MATCH(H$3,'标准新手流程（非R）'!$P$5:$AL$5,0),1)="","",VLOOKUP($A77,'标准新手流程（非R）'!$P$5:$AL$144,MATCH(H$3,'标准新手流程（非R）'!$P$5:$AL$5,0),1))</f>
        <v>50级橙</v>
      </c>
      <c r="I77" s="1" t="str">
        <f>IF(VLOOKUP($A77,'标准新手流程（非R）'!$P$5:$AL$144,MATCH(I$3,'标准新手流程（非R）'!$P$5:$AL$5,0),1)="","",VLOOKUP($A77,'标准新手流程（非R）'!$P$5:$AL$144,MATCH(I$3,'标准新手流程（非R）'!$P$5:$AL$5,0),1))</f>
        <v>50级紫</v>
      </c>
    </row>
    <row r="78" spans="1:9" x14ac:dyDescent="0.15">
      <c r="A78" s="1">
        <v>75</v>
      </c>
      <c r="B78" s="1" t="str">
        <f>IF(VLOOKUP($A78,'标准新手流程（非R）'!$P$5:$AL$144,MATCH(B$3,'标准新手流程（非R）'!$P$5:$AL$5,0),1)="","",VLOOKUP($A78,'标准新手流程（非R）'!$P$5:$AL$144,MATCH(B$3,'标准新手流程（非R）'!$P$5:$AL$5,0),1))</f>
        <v>75级绿</v>
      </c>
      <c r="C78" s="1" t="str">
        <f>IF(VLOOKUP($A78,'标准新手流程（非R）'!$P$5:$AL$144,MATCH(C$3,'标准新手流程（非R）'!$P$5:$AL$5,0),1)="","",VLOOKUP($A78,'标准新手流程（非R）'!$P$5:$AL$144,MATCH(C$3,'标准新手流程（非R）'!$P$5:$AL$5,0),1))</f>
        <v>50级紫</v>
      </c>
      <c r="D78" s="1" t="str">
        <f>IF(VLOOKUP($A78,'标准新手流程（非R）'!$P$5:$AL$144,MATCH(D$3,'标准新手流程（非R）'!$P$5:$AL$5,0),1)="","",VLOOKUP($A78,'标准新手流程（非R）'!$P$5:$AL$144,MATCH(D$3,'标准新手流程（非R）'!$P$5:$AL$5,0),1))</f>
        <v>50级紫</v>
      </c>
      <c r="E78" s="1" t="str">
        <f>IF(VLOOKUP($A78,'标准新手流程（非R）'!$P$5:$AL$144,MATCH(E$3,'标准新手流程（非R）'!$P$5:$AL$5,0),1)="","",VLOOKUP($A78,'标准新手流程（非R）'!$P$5:$AL$144,MATCH(E$3,'标准新手流程（非R）'!$P$5:$AL$5,0),1))</f>
        <v>50级红</v>
      </c>
      <c r="F78" s="1" t="str">
        <f>IF(VLOOKUP($A78,'标准新手流程（非R）'!$P$5:$AL$144,MATCH(F$3,'标准新手流程（非R）'!$P$5:$AL$5,0),1)="","",VLOOKUP($A78,'标准新手流程（非R）'!$P$5:$AL$144,MATCH(F$3,'标准新手流程（非R）'!$P$5:$AL$5,0),1))</f>
        <v>50级紫</v>
      </c>
      <c r="G78" s="1" t="str">
        <f>IF(VLOOKUP($A78,'标准新手流程（非R）'!$P$5:$AL$144,MATCH(G$3,'标准新手流程（非R）'!$P$5:$AL$5,0),1)="","",VLOOKUP($A78,'标准新手流程（非R）'!$P$5:$AL$144,MATCH(G$3,'标准新手流程（非R）'!$P$5:$AL$5,0),1))</f>
        <v>50级紫</v>
      </c>
      <c r="H78" s="1" t="str">
        <f>IF(VLOOKUP($A78,'标准新手流程（非R）'!$P$5:$AL$144,MATCH(H$3,'标准新手流程（非R）'!$P$5:$AL$5,0),1)="","",VLOOKUP($A78,'标准新手流程（非R）'!$P$5:$AL$144,MATCH(H$3,'标准新手流程（非R）'!$P$5:$AL$5,0),1))</f>
        <v>50级橙</v>
      </c>
      <c r="I78" s="1" t="str">
        <f>IF(VLOOKUP($A78,'标准新手流程（非R）'!$P$5:$AL$144,MATCH(I$3,'标准新手流程（非R）'!$P$5:$AL$5,0),1)="","",VLOOKUP($A78,'标准新手流程（非R）'!$P$5:$AL$144,MATCH(I$3,'标准新手流程（非R）'!$P$5:$AL$5,0),1))</f>
        <v>50级紫</v>
      </c>
    </row>
    <row r="79" spans="1:9" x14ac:dyDescent="0.15">
      <c r="A79" s="1">
        <v>76</v>
      </c>
      <c r="B79" s="1" t="str">
        <f>IF(VLOOKUP($A79,'标准新手流程（非R）'!$P$5:$AL$144,MATCH(B$3,'标准新手流程（非R）'!$P$5:$AL$5,0),1)="","",VLOOKUP($A79,'标准新手流程（非R）'!$P$5:$AL$144,MATCH(B$3,'标准新手流程（非R）'!$P$5:$AL$5,0),1))</f>
        <v>75级绿</v>
      </c>
      <c r="C79" s="1" t="str">
        <f>IF(VLOOKUP($A79,'标准新手流程（非R）'!$P$5:$AL$144,MATCH(C$3,'标准新手流程（非R）'!$P$5:$AL$5,0),1)="","",VLOOKUP($A79,'标准新手流程（非R）'!$P$5:$AL$144,MATCH(C$3,'标准新手流程（非R）'!$P$5:$AL$5,0),1))</f>
        <v>50级紫</v>
      </c>
      <c r="D79" s="1" t="str">
        <f>IF(VLOOKUP($A79,'标准新手流程（非R）'!$P$5:$AL$144,MATCH(D$3,'标准新手流程（非R）'!$P$5:$AL$5,0),1)="","",VLOOKUP($A79,'标准新手流程（非R）'!$P$5:$AL$144,MATCH(D$3,'标准新手流程（非R）'!$P$5:$AL$5,0),1))</f>
        <v>75级绿</v>
      </c>
      <c r="E79" s="1" t="str">
        <f>IF(VLOOKUP($A79,'标准新手流程（非R）'!$P$5:$AL$144,MATCH(E$3,'标准新手流程（非R）'!$P$5:$AL$5,0),1)="","",VLOOKUP($A79,'标准新手流程（非R）'!$P$5:$AL$144,MATCH(E$3,'标准新手流程（非R）'!$P$5:$AL$5,0),1))</f>
        <v>50级红</v>
      </c>
      <c r="F79" s="1" t="str">
        <f>IF(VLOOKUP($A79,'标准新手流程（非R）'!$P$5:$AL$144,MATCH(F$3,'标准新手流程（非R）'!$P$5:$AL$5,0),1)="","",VLOOKUP($A79,'标准新手流程（非R）'!$P$5:$AL$144,MATCH(F$3,'标准新手流程（非R）'!$P$5:$AL$5,0),1))</f>
        <v>50级紫</v>
      </c>
      <c r="G79" s="1" t="str">
        <f>IF(VLOOKUP($A79,'标准新手流程（非R）'!$P$5:$AL$144,MATCH(G$3,'标准新手流程（非R）'!$P$5:$AL$5,0),1)="","",VLOOKUP($A79,'标准新手流程（非R）'!$P$5:$AL$144,MATCH(G$3,'标准新手流程（非R）'!$P$5:$AL$5,0),1))</f>
        <v>50级紫</v>
      </c>
      <c r="H79" s="1" t="str">
        <f>IF(VLOOKUP($A79,'标准新手流程（非R）'!$P$5:$AL$144,MATCH(H$3,'标准新手流程（非R）'!$P$5:$AL$5,0),1)="","",VLOOKUP($A79,'标准新手流程（非R）'!$P$5:$AL$144,MATCH(H$3,'标准新手流程（非R）'!$P$5:$AL$5,0),1))</f>
        <v>50级橙</v>
      </c>
      <c r="I79" s="1" t="str">
        <f>IF(VLOOKUP($A79,'标准新手流程（非R）'!$P$5:$AL$144,MATCH(I$3,'标准新手流程（非R）'!$P$5:$AL$5,0),1)="","",VLOOKUP($A79,'标准新手流程（非R）'!$P$5:$AL$144,MATCH(I$3,'标准新手流程（非R）'!$P$5:$AL$5,0),1))</f>
        <v>50级紫</v>
      </c>
    </row>
    <row r="80" spans="1:9" x14ac:dyDescent="0.15">
      <c r="A80" s="1">
        <v>77</v>
      </c>
      <c r="B80" s="1" t="str">
        <f>IF(VLOOKUP($A80,'标准新手流程（非R）'!$P$5:$AL$144,MATCH(B$3,'标准新手流程（非R）'!$P$5:$AL$5,0),1)="","",VLOOKUP($A80,'标准新手流程（非R）'!$P$5:$AL$144,MATCH(B$3,'标准新手流程（非R）'!$P$5:$AL$5,0),1))</f>
        <v>75级绿</v>
      </c>
      <c r="C80" s="1" t="str">
        <f>IF(VLOOKUP($A80,'标准新手流程（非R）'!$P$5:$AL$144,MATCH(C$3,'标准新手流程（非R）'!$P$5:$AL$5,0),1)="","",VLOOKUP($A80,'标准新手流程（非R）'!$P$5:$AL$144,MATCH(C$3,'标准新手流程（非R）'!$P$5:$AL$5,0),1))</f>
        <v>75级绿</v>
      </c>
      <c r="D80" s="1" t="str">
        <f>IF(VLOOKUP($A80,'标准新手流程（非R）'!$P$5:$AL$144,MATCH(D$3,'标准新手流程（非R）'!$P$5:$AL$5,0),1)="","",VLOOKUP($A80,'标准新手流程（非R）'!$P$5:$AL$144,MATCH(D$3,'标准新手流程（非R）'!$P$5:$AL$5,0),1))</f>
        <v>75级绿</v>
      </c>
      <c r="E80" s="1" t="str">
        <f>IF(VLOOKUP($A80,'标准新手流程（非R）'!$P$5:$AL$144,MATCH(E$3,'标准新手流程（非R）'!$P$5:$AL$5,0),1)="","",VLOOKUP($A80,'标准新手流程（非R）'!$P$5:$AL$144,MATCH(E$3,'标准新手流程（非R）'!$P$5:$AL$5,0),1))</f>
        <v>50级红</v>
      </c>
      <c r="F80" s="1" t="str">
        <f>IF(VLOOKUP($A80,'标准新手流程（非R）'!$P$5:$AL$144,MATCH(F$3,'标准新手流程（非R）'!$P$5:$AL$5,0),1)="","",VLOOKUP($A80,'标准新手流程（非R）'!$P$5:$AL$144,MATCH(F$3,'标准新手流程（非R）'!$P$5:$AL$5,0),1))</f>
        <v>50级紫</v>
      </c>
      <c r="G80" s="1" t="str">
        <f>IF(VLOOKUP($A80,'标准新手流程（非R）'!$P$5:$AL$144,MATCH(G$3,'标准新手流程（非R）'!$P$5:$AL$5,0),1)="","",VLOOKUP($A80,'标准新手流程（非R）'!$P$5:$AL$144,MATCH(G$3,'标准新手流程（非R）'!$P$5:$AL$5,0),1))</f>
        <v>50级紫</v>
      </c>
      <c r="H80" s="1" t="str">
        <f>IF(VLOOKUP($A80,'标准新手流程（非R）'!$P$5:$AL$144,MATCH(H$3,'标准新手流程（非R）'!$P$5:$AL$5,0),1)="","",VLOOKUP($A80,'标准新手流程（非R）'!$P$5:$AL$144,MATCH(H$3,'标准新手流程（非R）'!$P$5:$AL$5,0),1))</f>
        <v>50级橙</v>
      </c>
      <c r="I80" s="1" t="str">
        <f>IF(VLOOKUP($A80,'标准新手流程（非R）'!$P$5:$AL$144,MATCH(I$3,'标准新手流程（非R）'!$P$5:$AL$5,0),1)="","",VLOOKUP($A80,'标准新手流程（非R）'!$P$5:$AL$144,MATCH(I$3,'标准新手流程（非R）'!$P$5:$AL$5,0),1))</f>
        <v>75级紫</v>
      </c>
    </row>
    <row r="81" spans="1:9" x14ac:dyDescent="0.15">
      <c r="A81" s="1">
        <v>78</v>
      </c>
      <c r="B81" s="1" t="str">
        <f>IF(VLOOKUP($A81,'标准新手流程（非R）'!$P$5:$AL$144,MATCH(B$3,'标准新手流程（非R）'!$P$5:$AL$5,0),1)="","",VLOOKUP($A81,'标准新手流程（非R）'!$P$5:$AL$144,MATCH(B$3,'标准新手流程（非R）'!$P$5:$AL$5,0),1))</f>
        <v>75级绿</v>
      </c>
      <c r="C81" s="1" t="str">
        <f>IF(VLOOKUP($A81,'标准新手流程（非R）'!$P$5:$AL$144,MATCH(C$3,'标准新手流程（非R）'!$P$5:$AL$5,0),1)="","",VLOOKUP($A81,'标准新手流程（非R）'!$P$5:$AL$144,MATCH(C$3,'标准新手流程（非R）'!$P$5:$AL$5,0),1))</f>
        <v>75级绿</v>
      </c>
      <c r="D81" s="1" t="str">
        <f>IF(VLOOKUP($A81,'标准新手流程（非R）'!$P$5:$AL$144,MATCH(D$3,'标准新手流程（非R）'!$P$5:$AL$5,0),1)="","",VLOOKUP($A81,'标准新手流程（非R）'!$P$5:$AL$144,MATCH(D$3,'标准新手流程（非R）'!$P$5:$AL$5,0),1))</f>
        <v>75级绿</v>
      </c>
      <c r="E81" s="1" t="str">
        <f>IF(VLOOKUP($A81,'标准新手流程（非R）'!$P$5:$AL$144,MATCH(E$3,'标准新手流程（非R）'!$P$5:$AL$5,0),1)="","",VLOOKUP($A81,'标准新手流程（非R）'!$P$5:$AL$144,MATCH(E$3,'标准新手流程（非R）'!$P$5:$AL$5,0),1))</f>
        <v>50级红</v>
      </c>
      <c r="F81" s="1" t="str">
        <f>IF(VLOOKUP($A81,'标准新手流程（非R）'!$P$5:$AL$144,MATCH(F$3,'标准新手流程（非R）'!$P$5:$AL$5,0),1)="","",VLOOKUP($A81,'标准新手流程（非R）'!$P$5:$AL$144,MATCH(F$3,'标准新手流程（非R）'!$P$5:$AL$5,0),1))</f>
        <v>50级紫</v>
      </c>
      <c r="G81" s="1" t="str">
        <f>IF(VLOOKUP($A81,'标准新手流程（非R）'!$P$5:$AL$144,MATCH(G$3,'标准新手流程（非R）'!$P$5:$AL$5,0),1)="","",VLOOKUP($A81,'标准新手流程（非R）'!$P$5:$AL$144,MATCH(G$3,'标准新手流程（非R）'!$P$5:$AL$5,0),1))</f>
        <v>75级绿</v>
      </c>
      <c r="H81" s="1" t="str">
        <f>IF(VLOOKUP($A81,'标准新手流程（非R）'!$P$5:$AL$144,MATCH(H$3,'标准新手流程（非R）'!$P$5:$AL$5,0),1)="","",VLOOKUP($A81,'标准新手流程（非R）'!$P$5:$AL$144,MATCH(H$3,'标准新手流程（非R）'!$P$5:$AL$5,0),1))</f>
        <v>50级橙</v>
      </c>
      <c r="I81" s="1" t="str">
        <f>IF(VLOOKUP($A81,'标准新手流程（非R）'!$P$5:$AL$144,MATCH(I$3,'标准新手流程（非R）'!$P$5:$AL$5,0),1)="","",VLOOKUP($A81,'标准新手流程（非R）'!$P$5:$AL$144,MATCH(I$3,'标准新手流程（非R）'!$P$5:$AL$5,0),1))</f>
        <v>75级紫</v>
      </c>
    </row>
    <row r="82" spans="1:9" x14ac:dyDescent="0.15">
      <c r="A82" s="1">
        <v>79</v>
      </c>
      <c r="B82" s="1" t="str">
        <f>IF(VLOOKUP($A82,'标准新手流程（非R）'!$P$5:$AL$144,MATCH(B$3,'标准新手流程（非R）'!$P$5:$AL$5,0),1)="","",VLOOKUP($A82,'标准新手流程（非R）'!$P$5:$AL$144,MATCH(B$3,'标准新手流程（非R）'!$P$5:$AL$5,0),1))</f>
        <v>75级绿</v>
      </c>
      <c r="C82" s="1" t="str">
        <f>IF(VLOOKUP($A82,'标准新手流程（非R）'!$P$5:$AL$144,MATCH(C$3,'标准新手流程（非R）'!$P$5:$AL$5,0),1)="","",VLOOKUP($A82,'标准新手流程（非R）'!$P$5:$AL$144,MATCH(C$3,'标准新手流程（非R）'!$P$5:$AL$5,0),1))</f>
        <v>75级绿</v>
      </c>
      <c r="D82" s="1" t="str">
        <f>IF(VLOOKUP($A82,'标准新手流程（非R）'!$P$5:$AL$144,MATCH(D$3,'标准新手流程（非R）'!$P$5:$AL$5,0),1)="","",VLOOKUP($A82,'标准新手流程（非R）'!$P$5:$AL$144,MATCH(D$3,'标准新手流程（非R）'!$P$5:$AL$5,0),1))</f>
        <v>75级绿</v>
      </c>
      <c r="E82" s="1" t="str">
        <f>IF(VLOOKUP($A82,'标准新手流程（非R）'!$P$5:$AL$144,MATCH(E$3,'标准新手流程（非R）'!$P$5:$AL$5,0),1)="","",VLOOKUP($A82,'标准新手流程（非R）'!$P$5:$AL$144,MATCH(E$3,'标准新手流程（非R）'!$P$5:$AL$5,0),1))</f>
        <v>50级红</v>
      </c>
      <c r="F82" s="1" t="str">
        <f>IF(VLOOKUP($A82,'标准新手流程（非R）'!$P$5:$AL$144,MATCH(F$3,'标准新手流程（非R）'!$P$5:$AL$5,0),1)="","",VLOOKUP($A82,'标准新手流程（非R）'!$P$5:$AL$144,MATCH(F$3,'标准新手流程（非R）'!$P$5:$AL$5,0),1))</f>
        <v>75级绿</v>
      </c>
      <c r="G82" s="1" t="str">
        <f>IF(VLOOKUP($A82,'标准新手流程（非R）'!$P$5:$AL$144,MATCH(G$3,'标准新手流程（非R）'!$P$5:$AL$5,0),1)="","",VLOOKUP($A82,'标准新手流程（非R）'!$P$5:$AL$144,MATCH(G$3,'标准新手流程（非R）'!$P$5:$AL$5,0),1))</f>
        <v>75级绿</v>
      </c>
      <c r="H82" s="1" t="str">
        <f>IF(VLOOKUP($A82,'标准新手流程（非R）'!$P$5:$AL$144,MATCH(H$3,'标准新手流程（非R）'!$P$5:$AL$5,0),1)="","",VLOOKUP($A82,'标准新手流程（非R）'!$P$5:$AL$144,MATCH(H$3,'标准新手流程（非R）'!$P$5:$AL$5,0),1))</f>
        <v>75级绿</v>
      </c>
      <c r="I82" s="1" t="str">
        <f>IF(VLOOKUP($A82,'标准新手流程（非R）'!$P$5:$AL$144,MATCH(I$3,'标准新手流程（非R）'!$P$5:$AL$5,0),1)="","",VLOOKUP($A82,'标准新手流程（非R）'!$P$5:$AL$144,MATCH(I$3,'标准新手流程（非R）'!$P$5:$AL$5,0),1))</f>
        <v>75级紫</v>
      </c>
    </row>
    <row r="83" spans="1:9" x14ac:dyDescent="0.15">
      <c r="A83" s="1">
        <v>80</v>
      </c>
      <c r="B83" s="1" t="str">
        <f>IF(VLOOKUP($A83,'标准新手流程（非R）'!$P$5:$AL$144,MATCH(B$3,'标准新手流程（非R）'!$P$5:$AL$5,0),1)="","",VLOOKUP($A83,'标准新手流程（非R）'!$P$5:$AL$144,MATCH(B$3,'标准新手流程（非R）'!$P$5:$AL$5,0),1))</f>
        <v>75级绿</v>
      </c>
      <c r="C83" s="1" t="str">
        <f>IF(VLOOKUP($A83,'标准新手流程（非R）'!$P$5:$AL$144,MATCH(C$3,'标准新手流程（非R）'!$P$5:$AL$5,0),1)="","",VLOOKUP($A83,'标准新手流程（非R）'!$P$5:$AL$144,MATCH(C$3,'标准新手流程（非R）'!$P$5:$AL$5,0),1))</f>
        <v>75级绿</v>
      </c>
      <c r="D83" s="1" t="str">
        <f>IF(VLOOKUP($A83,'标准新手流程（非R）'!$P$5:$AL$144,MATCH(D$3,'标准新手流程（非R）'!$P$5:$AL$5,0),1)="","",VLOOKUP($A83,'标准新手流程（非R）'!$P$5:$AL$144,MATCH(D$3,'标准新手流程（非R）'!$P$5:$AL$5,0),1))</f>
        <v>75级绿</v>
      </c>
      <c r="E83" s="1" t="str">
        <f>IF(VLOOKUP($A83,'标准新手流程（非R）'!$P$5:$AL$144,MATCH(E$3,'标准新手流程（非R）'!$P$5:$AL$5,0),1)="","",VLOOKUP($A83,'标准新手流程（非R）'!$P$5:$AL$144,MATCH(E$3,'标准新手流程（非R）'!$P$5:$AL$5,0),1))</f>
        <v>50级红</v>
      </c>
      <c r="F83" s="1" t="str">
        <f>IF(VLOOKUP($A83,'标准新手流程（非R）'!$P$5:$AL$144,MATCH(F$3,'标准新手流程（非R）'!$P$5:$AL$5,0),1)="","",VLOOKUP($A83,'标准新手流程（非R）'!$P$5:$AL$144,MATCH(F$3,'标准新手流程（非R）'!$P$5:$AL$5,0),1))</f>
        <v>75级绿</v>
      </c>
      <c r="G83" s="1" t="str">
        <f>IF(VLOOKUP($A83,'标准新手流程（非R）'!$P$5:$AL$144,MATCH(G$3,'标准新手流程（非R）'!$P$5:$AL$5,0),1)="","",VLOOKUP($A83,'标准新手流程（非R）'!$P$5:$AL$144,MATCH(G$3,'标准新手流程（非R）'!$P$5:$AL$5,0),1))</f>
        <v>75级绿</v>
      </c>
      <c r="H83" s="1" t="str">
        <f>IF(VLOOKUP($A83,'标准新手流程（非R）'!$P$5:$AL$144,MATCH(H$3,'标准新手流程（非R）'!$P$5:$AL$5,0),1)="","",VLOOKUP($A83,'标准新手流程（非R）'!$P$5:$AL$144,MATCH(H$3,'标准新手流程（非R）'!$P$5:$AL$5,0),1))</f>
        <v>75级绿</v>
      </c>
      <c r="I83" s="1" t="str">
        <f>IF(VLOOKUP($A83,'标准新手流程（非R）'!$P$5:$AL$144,MATCH(I$3,'标准新手流程（非R）'!$P$5:$AL$5,0),1)="","",VLOOKUP($A83,'标准新手流程（非R）'!$P$5:$AL$144,MATCH(I$3,'标准新手流程（非R）'!$P$5:$AL$5,0),1))</f>
        <v>75级紫</v>
      </c>
    </row>
    <row r="84" spans="1:9" x14ac:dyDescent="0.15">
      <c r="A84" s="1">
        <v>81</v>
      </c>
      <c r="B84" s="1" t="str">
        <f>IF(VLOOKUP($A84,'标准新手流程（非R）'!$P$5:$AL$144,MATCH(B$3,'标准新手流程（非R）'!$P$5:$AL$5,0),1)="","",VLOOKUP($A84,'标准新手流程（非R）'!$P$5:$AL$144,MATCH(B$3,'标准新手流程（非R）'!$P$5:$AL$5,0),1))</f>
        <v>75级绿</v>
      </c>
      <c r="C84" s="1" t="str">
        <f>IF(VLOOKUP($A84,'标准新手流程（非R）'!$P$5:$AL$144,MATCH(C$3,'标准新手流程（非R）'!$P$5:$AL$5,0),1)="","",VLOOKUP($A84,'标准新手流程（非R）'!$P$5:$AL$144,MATCH(C$3,'标准新手流程（非R）'!$P$5:$AL$5,0),1))</f>
        <v>75级绿</v>
      </c>
      <c r="D84" s="1" t="str">
        <f>IF(VLOOKUP($A84,'标准新手流程（非R）'!$P$5:$AL$144,MATCH(D$3,'标准新手流程（非R）'!$P$5:$AL$5,0),1)="","",VLOOKUP($A84,'标准新手流程（非R）'!$P$5:$AL$144,MATCH(D$3,'标准新手流程（非R）'!$P$5:$AL$5,0),1))</f>
        <v>75级绿</v>
      </c>
      <c r="E84" s="1" t="str">
        <f>IF(VLOOKUP($A84,'标准新手流程（非R）'!$P$5:$AL$144,MATCH(E$3,'标准新手流程（非R）'!$P$5:$AL$5,0),1)="","",VLOOKUP($A84,'标准新手流程（非R）'!$P$5:$AL$144,MATCH(E$3,'标准新手流程（非R）'!$P$5:$AL$5,0),1))</f>
        <v>50级红</v>
      </c>
      <c r="F84" s="1" t="str">
        <f>IF(VLOOKUP($A84,'标准新手流程（非R）'!$P$5:$AL$144,MATCH(F$3,'标准新手流程（非R）'!$P$5:$AL$5,0),1)="","",VLOOKUP($A84,'标准新手流程（非R）'!$P$5:$AL$144,MATCH(F$3,'标准新手流程（非R）'!$P$5:$AL$5,0),1))</f>
        <v>75级绿</v>
      </c>
      <c r="G84" s="1" t="str">
        <f>IF(VLOOKUP($A84,'标准新手流程（非R）'!$P$5:$AL$144,MATCH(G$3,'标准新手流程（非R）'!$P$5:$AL$5,0),1)="","",VLOOKUP($A84,'标准新手流程（非R）'!$P$5:$AL$144,MATCH(G$3,'标准新手流程（非R）'!$P$5:$AL$5,0),1))</f>
        <v>75级绿</v>
      </c>
      <c r="H84" s="1" t="str">
        <f>IF(VLOOKUP($A84,'标准新手流程（非R）'!$P$5:$AL$144,MATCH(H$3,'标准新手流程（非R）'!$P$5:$AL$5,0),1)="","",VLOOKUP($A84,'标准新手流程（非R）'!$P$5:$AL$144,MATCH(H$3,'标准新手流程（非R）'!$P$5:$AL$5,0),1))</f>
        <v>75级绿</v>
      </c>
      <c r="I84" s="1" t="str">
        <f>IF(VLOOKUP($A84,'标准新手流程（非R）'!$P$5:$AL$144,MATCH(I$3,'标准新手流程（非R）'!$P$5:$AL$5,0),1)="","",VLOOKUP($A84,'标准新手流程（非R）'!$P$5:$AL$144,MATCH(I$3,'标准新手流程（非R）'!$P$5:$AL$5,0),1))</f>
        <v>75级紫</v>
      </c>
    </row>
    <row r="85" spans="1:9" x14ac:dyDescent="0.15">
      <c r="A85" s="1">
        <v>82</v>
      </c>
      <c r="B85" s="1" t="str">
        <f>IF(VLOOKUP($A85,'标准新手流程（非R）'!$P$5:$AL$144,MATCH(B$3,'标准新手流程（非R）'!$P$5:$AL$5,0),1)="","",VLOOKUP($A85,'标准新手流程（非R）'!$P$5:$AL$144,MATCH(B$3,'标准新手流程（非R）'!$P$5:$AL$5,0),1))</f>
        <v>75级绿</v>
      </c>
      <c r="C85" s="1" t="str">
        <f>IF(VLOOKUP($A85,'标准新手流程（非R）'!$P$5:$AL$144,MATCH(C$3,'标准新手流程（非R）'!$P$5:$AL$5,0),1)="","",VLOOKUP($A85,'标准新手流程（非R）'!$P$5:$AL$144,MATCH(C$3,'标准新手流程（非R）'!$P$5:$AL$5,0),1))</f>
        <v>75级绿</v>
      </c>
      <c r="D85" s="1" t="str">
        <f>IF(VLOOKUP($A85,'标准新手流程（非R）'!$P$5:$AL$144,MATCH(D$3,'标准新手流程（非R）'!$P$5:$AL$5,0),1)="","",VLOOKUP($A85,'标准新手流程（非R）'!$P$5:$AL$144,MATCH(D$3,'标准新手流程（非R）'!$P$5:$AL$5,0),1))</f>
        <v>75级绿</v>
      </c>
      <c r="E85" s="1" t="str">
        <f>IF(VLOOKUP($A85,'标准新手流程（非R）'!$P$5:$AL$144,MATCH(E$3,'标准新手流程（非R）'!$P$5:$AL$5,0),1)="","",VLOOKUP($A85,'标准新手流程（非R）'!$P$5:$AL$144,MATCH(E$3,'标准新手流程（非R）'!$P$5:$AL$5,0),1))</f>
        <v>50级红</v>
      </c>
      <c r="F85" s="1" t="str">
        <f>IF(VLOOKUP($A85,'标准新手流程（非R）'!$P$5:$AL$144,MATCH(F$3,'标准新手流程（非R）'!$P$5:$AL$5,0),1)="","",VLOOKUP($A85,'标准新手流程（非R）'!$P$5:$AL$144,MATCH(F$3,'标准新手流程（非R）'!$P$5:$AL$5,0),1))</f>
        <v>75级绿</v>
      </c>
      <c r="G85" s="1" t="str">
        <f>IF(VLOOKUP($A85,'标准新手流程（非R）'!$P$5:$AL$144,MATCH(G$3,'标准新手流程（非R）'!$P$5:$AL$5,0),1)="","",VLOOKUP($A85,'标准新手流程（非R）'!$P$5:$AL$144,MATCH(G$3,'标准新手流程（非R）'!$P$5:$AL$5,0),1))</f>
        <v>75级绿</v>
      </c>
      <c r="H85" s="1" t="str">
        <f>IF(VLOOKUP($A85,'标准新手流程（非R）'!$P$5:$AL$144,MATCH(H$3,'标准新手流程（非R）'!$P$5:$AL$5,0),1)="","",VLOOKUP($A85,'标准新手流程（非R）'!$P$5:$AL$144,MATCH(H$3,'标准新手流程（非R）'!$P$5:$AL$5,0),1))</f>
        <v>75级绿</v>
      </c>
      <c r="I85" s="1" t="str">
        <f>IF(VLOOKUP($A85,'标准新手流程（非R）'!$P$5:$AL$144,MATCH(I$3,'标准新手流程（非R）'!$P$5:$AL$5,0),1)="","",VLOOKUP($A85,'标准新手流程（非R）'!$P$5:$AL$144,MATCH(I$3,'标准新手流程（非R）'!$P$5:$AL$5,0),1))</f>
        <v>75级紫</v>
      </c>
    </row>
    <row r="86" spans="1:9" x14ac:dyDescent="0.15">
      <c r="A86" s="1">
        <v>83</v>
      </c>
      <c r="B86" s="1" t="str">
        <f>IF(VLOOKUP($A86,'标准新手流程（非R）'!$P$5:$AL$144,MATCH(B$3,'标准新手流程（非R）'!$P$5:$AL$5,0),1)="","",VLOOKUP($A86,'标准新手流程（非R）'!$P$5:$AL$144,MATCH(B$3,'标准新手流程（非R）'!$P$5:$AL$5,0),1))</f>
        <v>75级绿</v>
      </c>
      <c r="C86" s="1" t="str">
        <f>IF(VLOOKUP($A86,'标准新手流程（非R）'!$P$5:$AL$144,MATCH(C$3,'标准新手流程（非R）'!$P$5:$AL$5,0),1)="","",VLOOKUP($A86,'标准新手流程（非R）'!$P$5:$AL$144,MATCH(C$3,'标准新手流程（非R）'!$P$5:$AL$5,0),1))</f>
        <v>75级绿</v>
      </c>
      <c r="D86" s="1" t="str">
        <f>IF(VLOOKUP($A86,'标准新手流程（非R）'!$P$5:$AL$144,MATCH(D$3,'标准新手流程（非R）'!$P$5:$AL$5,0),1)="","",VLOOKUP($A86,'标准新手流程（非R）'!$P$5:$AL$144,MATCH(D$3,'标准新手流程（非R）'!$P$5:$AL$5,0),1))</f>
        <v>75级绿</v>
      </c>
      <c r="E86" s="1" t="str">
        <f>IF(VLOOKUP($A86,'标准新手流程（非R）'!$P$5:$AL$144,MATCH(E$3,'标准新手流程（非R）'!$P$5:$AL$5,0),1)="","",VLOOKUP($A86,'标准新手流程（非R）'!$P$5:$AL$144,MATCH(E$3,'标准新手流程（非R）'!$P$5:$AL$5,0),1))</f>
        <v>50级红</v>
      </c>
      <c r="F86" s="1" t="str">
        <f>IF(VLOOKUP($A86,'标准新手流程（非R）'!$P$5:$AL$144,MATCH(F$3,'标准新手流程（非R）'!$P$5:$AL$5,0),1)="","",VLOOKUP($A86,'标准新手流程（非R）'!$P$5:$AL$144,MATCH(F$3,'标准新手流程（非R）'!$P$5:$AL$5,0),1))</f>
        <v>75级绿</v>
      </c>
      <c r="G86" s="1" t="str">
        <f>IF(VLOOKUP($A86,'标准新手流程（非R）'!$P$5:$AL$144,MATCH(G$3,'标准新手流程（非R）'!$P$5:$AL$5,0),1)="","",VLOOKUP($A86,'标准新手流程（非R）'!$P$5:$AL$144,MATCH(G$3,'标准新手流程（非R）'!$P$5:$AL$5,0),1))</f>
        <v>75级绿</v>
      </c>
      <c r="H86" s="1" t="str">
        <f>IF(VLOOKUP($A86,'标准新手流程（非R）'!$P$5:$AL$144,MATCH(H$3,'标准新手流程（非R）'!$P$5:$AL$5,0),1)="","",VLOOKUP($A86,'标准新手流程（非R）'!$P$5:$AL$144,MATCH(H$3,'标准新手流程（非R）'!$P$5:$AL$5,0),1))</f>
        <v>75级绿</v>
      </c>
      <c r="I86" s="1" t="str">
        <f>IF(VLOOKUP($A86,'标准新手流程（非R）'!$P$5:$AL$144,MATCH(I$3,'标准新手流程（非R）'!$P$5:$AL$5,0),1)="","",VLOOKUP($A86,'标准新手流程（非R）'!$P$5:$AL$144,MATCH(I$3,'标准新手流程（非R）'!$P$5:$AL$5,0),1))</f>
        <v>75级紫</v>
      </c>
    </row>
    <row r="87" spans="1:9" x14ac:dyDescent="0.15">
      <c r="A87" s="1">
        <v>84</v>
      </c>
      <c r="B87" s="1" t="str">
        <f>IF(VLOOKUP($A87,'标准新手流程（非R）'!$P$5:$AL$144,MATCH(B$3,'标准新手流程（非R）'!$P$5:$AL$5,0),1)="","",VLOOKUP($A87,'标准新手流程（非R）'!$P$5:$AL$144,MATCH(B$3,'标准新手流程（非R）'!$P$5:$AL$5,0),1))</f>
        <v>75级绿</v>
      </c>
      <c r="C87" s="1" t="str">
        <f>IF(VLOOKUP($A87,'标准新手流程（非R）'!$P$5:$AL$144,MATCH(C$3,'标准新手流程（非R）'!$P$5:$AL$5,0),1)="","",VLOOKUP($A87,'标准新手流程（非R）'!$P$5:$AL$144,MATCH(C$3,'标准新手流程（非R）'!$P$5:$AL$5,0),1))</f>
        <v>75级绿</v>
      </c>
      <c r="D87" s="1" t="str">
        <f>IF(VLOOKUP($A87,'标准新手流程（非R）'!$P$5:$AL$144,MATCH(D$3,'标准新手流程（非R）'!$P$5:$AL$5,0),1)="","",VLOOKUP($A87,'标准新手流程（非R）'!$P$5:$AL$144,MATCH(D$3,'标准新手流程（非R）'!$P$5:$AL$5,0),1))</f>
        <v>75级绿</v>
      </c>
      <c r="E87" s="1" t="str">
        <f>IF(VLOOKUP($A87,'标准新手流程（非R）'!$P$5:$AL$144,MATCH(E$3,'标准新手流程（非R）'!$P$5:$AL$5,0),1)="","",VLOOKUP($A87,'标准新手流程（非R）'!$P$5:$AL$144,MATCH(E$3,'标准新手流程（非R）'!$P$5:$AL$5,0),1))</f>
        <v>50级红</v>
      </c>
      <c r="F87" s="1" t="str">
        <f>IF(VLOOKUP($A87,'标准新手流程（非R）'!$P$5:$AL$144,MATCH(F$3,'标准新手流程（非R）'!$P$5:$AL$5,0),1)="","",VLOOKUP($A87,'标准新手流程（非R）'!$P$5:$AL$144,MATCH(F$3,'标准新手流程（非R）'!$P$5:$AL$5,0),1))</f>
        <v>75级绿</v>
      </c>
      <c r="G87" s="1" t="str">
        <f>IF(VLOOKUP($A87,'标准新手流程（非R）'!$P$5:$AL$144,MATCH(G$3,'标准新手流程（非R）'!$P$5:$AL$5,0),1)="","",VLOOKUP($A87,'标准新手流程（非R）'!$P$5:$AL$144,MATCH(G$3,'标准新手流程（非R）'!$P$5:$AL$5,0),1))</f>
        <v>75级绿</v>
      </c>
      <c r="H87" s="1" t="str">
        <f>IF(VLOOKUP($A87,'标准新手流程（非R）'!$P$5:$AL$144,MATCH(H$3,'标准新手流程（非R）'!$P$5:$AL$5,0),1)="","",VLOOKUP($A87,'标准新手流程（非R）'!$P$5:$AL$144,MATCH(H$3,'标准新手流程（非R）'!$P$5:$AL$5,0),1))</f>
        <v>75级绿</v>
      </c>
      <c r="I87" s="1" t="str">
        <f>IF(VLOOKUP($A87,'标准新手流程（非R）'!$P$5:$AL$144,MATCH(I$3,'标准新手流程（非R）'!$P$5:$AL$5,0),1)="","",VLOOKUP($A87,'标准新手流程（非R）'!$P$5:$AL$144,MATCH(I$3,'标准新手流程（非R）'!$P$5:$AL$5,0),1))</f>
        <v>75级紫</v>
      </c>
    </row>
    <row r="88" spans="1:9" x14ac:dyDescent="0.15">
      <c r="A88" s="1">
        <v>85</v>
      </c>
      <c r="B88" s="1" t="str">
        <f>IF(VLOOKUP($A88,'标准新手流程（非R）'!$P$5:$AL$144,MATCH(B$3,'标准新手流程（非R）'!$P$5:$AL$5,0),1)="","",VLOOKUP($A88,'标准新手流程（非R）'!$P$5:$AL$144,MATCH(B$3,'标准新手流程（非R）'!$P$5:$AL$5,0),1))</f>
        <v>75级绿</v>
      </c>
      <c r="C88" s="1" t="str">
        <f>IF(VLOOKUP($A88,'标准新手流程（非R）'!$P$5:$AL$144,MATCH(C$3,'标准新手流程（非R）'!$P$5:$AL$5,0),1)="","",VLOOKUP($A88,'标准新手流程（非R）'!$P$5:$AL$144,MATCH(C$3,'标准新手流程（非R）'!$P$5:$AL$5,0),1))</f>
        <v>75级绿</v>
      </c>
      <c r="D88" s="1" t="str">
        <f>IF(VLOOKUP($A88,'标准新手流程（非R）'!$P$5:$AL$144,MATCH(D$3,'标准新手流程（非R）'!$P$5:$AL$5,0),1)="","",VLOOKUP($A88,'标准新手流程（非R）'!$P$5:$AL$144,MATCH(D$3,'标准新手流程（非R）'!$P$5:$AL$5,0),1))</f>
        <v>75级绿</v>
      </c>
      <c r="E88" s="1" t="str">
        <f>IF(VLOOKUP($A88,'标准新手流程（非R）'!$P$5:$AL$144,MATCH(E$3,'标准新手流程（非R）'!$P$5:$AL$5,0),1)="","",VLOOKUP($A88,'标准新手流程（非R）'!$P$5:$AL$144,MATCH(E$3,'标准新手流程（非R）'!$P$5:$AL$5,0),1))</f>
        <v>50级红</v>
      </c>
      <c r="F88" s="1" t="str">
        <f>IF(VLOOKUP($A88,'标准新手流程（非R）'!$P$5:$AL$144,MATCH(F$3,'标准新手流程（非R）'!$P$5:$AL$5,0),1)="","",VLOOKUP($A88,'标准新手流程（非R）'!$P$5:$AL$144,MATCH(F$3,'标准新手流程（非R）'!$P$5:$AL$5,0),1))</f>
        <v>75级绿</v>
      </c>
      <c r="G88" s="1" t="str">
        <f>IF(VLOOKUP($A88,'标准新手流程（非R）'!$P$5:$AL$144,MATCH(G$3,'标准新手流程（非R）'!$P$5:$AL$5,0),1)="","",VLOOKUP($A88,'标准新手流程（非R）'!$P$5:$AL$144,MATCH(G$3,'标准新手流程（非R）'!$P$5:$AL$5,0),1))</f>
        <v>75级绿</v>
      </c>
      <c r="H88" s="1" t="str">
        <f>IF(VLOOKUP($A88,'标准新手流程（非R）'!$P$5:$AL$144,MATCH(H$3,'标准新手流程（非R）'!$P$5:$AL$5,0),1)="","",VLOOKUP($A88,'标准新手流程（非R）'!$P$5:$AL$144,MATCH(H$3,'标准新手流程（非R）'!$P$5:$AL$5,0),1))</f>
        <v>75级绿</v>
      </c>
      <c r="I88" s="1" t="str">
        <f>IF(VLOOKUP($A88,'标准新手流程（非R）'!$P$5:$AL$144,MATCH(I$3,'标准新手流程（非R）'!$P$5:$AL$5,0),1)="","",VLOOKUP($A88,'标准新手流程（非R）'!$P$5:$AL$144,MATCH(I$3,'标准新手流程（非R）'!$P$5:$AL$5,0),1))</f>
        <v>75级紫</v>
      </c>
    </row>
    <row r="89" spans="1:9" x14ac:dyDescent="0.15">
      <c r="A89" s="1">
        <v>86</v>
      </c>
      <c r="B89" s="1" t="str">
        <f>IF(VLOOKUP($A89,'标准新手流程（非R）'!$P$5:$AL$144,MATCH(B$3,'标准新手流程（非R）'!$P$5:$AL$5,0),1)="","",VLOOKUP($A89,'标准新手流程（非R）'!$P$5:$AL$144,MATCH(B$3,'标准新手流程（非R）'!$P$5:$AL$5,0),1))</f>
        <v>75级绿</v>
      </c>
      <c r="C89" s="1" t="str">
        <f>IF(VLOOKUP($A89,'标准新手流程（非R）'!$P$5:$AL$144,MATCH(C$3,'标准新手流程（非R）'!$P$5:$AL$5,0),1)="","",VLOOKUP($A89,'标准新手流程（非R）'!$P$5:$AL$144,MATCH(C$3,'标准新手流程（非R）'!$P$5:$AL$5,0),1))</f>
        <v>75级绿</v>
      </c>
      <c r="D89" s="1" t="str">
        <f>IF(VLOOKUP($A89,'标准新手流程（非R）'!$P$5:$AL$144,MATCH(D$3,'标准新手流程（非R）'!$P$5:$AL$5,0),1)="","",VLOOKUP($A89,'标准新手流程（非R）'!$P$5:$AL$144,MATCH(D$3,'标准新手流程（非R）'!$P$5:$AL$5,0),1))</f>
        <v>75级绿</v>
      </c>
      <c r="E89" s="1" t="str">
        <f>IF(VLOOKUP($A89,'标准新手流程（非R）'!$P$5:$AL$144,MATCH(E$3,'标准新手流程（非R）'!$P$5:$AL$5,0),1)="","",VLOOKUP($A89,'标准新手流程（非R）'!$P$5:$AL$144,MATCH(E$3,'标准新手流程（非R）'!$P$5:$AL$5,0),1))</f>
        <v>50级红</v>
      </c>
      <c r="F89" s="1" t="str">
        <f>IF(VLOOKUP($A89,'标准新手流程（非R）'!$P$5:$AL$144,MATCH(F$3,'标准新手流程（非R）'!$P$5:$AL$5,0),1)="","",VLOOKUP($A89,'标准新手流程（非R）'!$P$5:$AL$144,MATCH(F$3,'标准新手流程（非R）'!$P$5:$AL$5,0),1))</f>
        <v>75级绿</v>
      </c>
      <c r="G89" s="1" t="str">
        <f>IF(VLOOKUP($A89,'标准新手流程（非R）'!$P$5:$AL$144,MATCH(G$3,'标准新手流程（非R）'!$P$5:$AL$5,0),1)="","",VLOOKUP($A89,'标准新手流程（非R）'!$P$5:$AL$144,MATCH(G$3,'标准新手流程（非R）'!$P$5:$AL$5,0),1))</f>
        <v>75级绿</v>
      </c>
      <c r="H89" s="1" t="str">
        <f>IF(VLOOKUP($A89,'标准新手流程（非R）'!$P$5:$AL$144,MATCH(H$3,'标准新手流程（非R）'!$P$5:$AL$5,0),1)="","",VLOOKUP($A89,'标准新手流程（非R）'!$P$5:$AL$144,MATCH(H$3,'标准新手流程（非R）'!$P$5:$AL$5,0),1))</f>
        <v>75级绿</v>
      </c>
      <c r="I89" s="1" t="str">
        <f>IF(VLOOKUP($A89,'标准新手流程（非R）'!$P$5:$AL$144,MATCH(I$3,'标准新手流程（非R）'!$P$5:$AL$5,0),1)="","",VLOOKUP($A89,'标准新手流程（非R）'!$P$5:$AL$144,MATCH(I$3,'标准新手流程（非R）'!$P$5:$AL$5,0),1))</f>
        <v>75级紫</v>
      </c>
    </row>
    <row r="90" spans="1:9" x14ac:dyDescent="0.15">
      <c r="A90" s="1">
        <v>87</v>
      </c>
      <c r="B90" s="1" t="str">
        <f>IF(VLOOKUP($A90,'标准新手流程（非R）'!$P$5:$AL$144,MATCH(B$3,'标准新手流程（非R）'!$P$5:$AL$5,0),1)="","",VLOOKUP($A90,'标准新手流程（非R）'!$P$5:$AL$144,MATCH(B$3,'标准新手流程（非R）'!$P$5:$AL$5,0),1))</f>
        <v>75级绿</v>
      </c>
      <c r="C90" s="1" t="str">
        <f>IF(VLOOKUP($A90,'标准新手流程（非R）'!$P$5:$AL$144,MATCH(C$3,'标准新手流程（非R）'!$P$5:$AL$5,0),1)="","",VLOOKUP($A90,'标准新手流程（非R）'!$P$5:$AL$144,MATCH(C$3,'标准新手流程（非R）'!$P$5:$AL$5,0),1))</f>
        <v>75级绿</v>
      </c>
      <c r="D90" s="1" t="str">
        <f>IF(VLOOKUP($A90,'标准新手流程（非R）'!$P$5:$AL$144,MATCH(D$3,'标准新手流程（非R）'!$P$5:$AL$5,0),1)="","",VLOOKUP($A90,'标准新手流程（非R）'!$P$5:$AL$144,MATCH(D$3,'标准新手流程（非R）'!$P$5:$AL$5,0),1))</f>
        <v>75级绿</v>
      </c>
      <c r="E90" s="1" t="str">
        <f>IF(VLOOKUP($A90,'标准新手流程（非R）'!$P$5:$AL$144,MATCH(E$3,'标准新手流程（非R）'!$P$5:$AL$5,0),1)="","",VLOOKUP($A90,'标准新手流程（非R）'!$P$5:$AL$144,MATCH(E$3,'标准新手流程（非R）'!$P$5:$AL$5,0),1))</f>
        <v>50级红</v>
      </c>
      <c r="F90" s="1" t="str">
        <f>IF(VLOOKUP($A90,'标准新手流程（非R）'!$P$5:$AL$144,MATCH(F$3,'标准新手流程（非R）'!$P$5:$AL$5,0),1)="","",VLOOKUP($A90,'标准新手流程（非R）'!$P$5:$AL$144,MATCH(F$3,'标准新手流程（非R）'!$P$5:$AL$5,0),1))</f>
        <v>75级绿</v>
      </c>
      <c r="G90" s="1" t="str">
        <f>IF(VLOOKUP($A90,'标准新手流程（非R）'!$P$5:$AL$144,MATCH(G$3,'标准新手流程（非R）'!$P$5:$AL$5,0),1)="","",VLOOKUP($A90,'标准新手流程（非R）'!$P$5:$AL$144,MATCH(G$3,'标准新手流程（非R）'!$P$5:$AL$5,0),1))</f>
        <v>75级绿</v>
      </c>
      <c r="H90" s="1" t="str">
        <f>IF(VLOOKUP($A90,'标准新手流程（非R）'!$P$5:$AL$144,MATCH(H$3,'标准新手流程（非R）'!$P$5:$AL$5,0),1)="","",VLOOKUP($A90,'标准新手流程（非R）'!$P$5:$AL$144,MATCH(H$3,'标准新手流程（非R）'!$P$5:$AL$5,0),1))</f>
        <v>75级绿</v>
      </c>
      <c r="I90" s="1" t="str">
        <f>IF(VLOOKUP($A90,'标准新手流程（非R）'!$P$5:$AL$144,MATCH(I$3,'标准新手流程（非R）'!$P$5:$AL$5,0),1)="","",VLOOKUP($A90,'标准新手流程（非R）'!$P$5:$AL$144,MATCH(I$3,'标准新手流程（非R）'!$P$5:$AL$5,0),1))</f>
        <v>75级紫</v>
      </c>
    </row>
    <row r="91" spans="1:9" x14ac:dyDescent="0.15">
      <c r="A91" s="1">
        <v>88</v>
      </c>
      <c r="B91" s="1" t="str">
        <f>IF(VLOOKUP($A91,'标准新手流程（非R）'!$P$5:$AL$144,MATCH(B$3,'标准新手流程（非R）'!$P$5:$AL$5,0),1)="","",VLOOKUP($A91,'标准新手流程（非R）'!$P$5:$AL$144,MATCH(B$3,'标准新手流程（非R）'!$P$5:$AL$5,0),1))</f>
        <v>75级绿</v>
      </c>
      <c r="C91" s="1" t="str">
        <f>IF(VLOOKUP($A91,'标准新手流程（非R）'!$P$5:$AL$144,MATCH(C$3,'标准新手流程（非R）'!$P$5:$AL$5,0),1)="","",VLOOKUP($A91,'标准新手流程（非R）'!$P$5:$AL$144,MATCH(C$3,'标准新手流程（非R）'!$P$5:$AL$5,0),1))</f>
        <v>75级绿</v>
      </c>
      <c r="D91" s="1" t="str">
        <f>IF(VLOOKUP($A91,'标准新手流程（非R）'!$P$5:$AL$144,MATCH(D$3,'标准新手流程（非R）'!$P$5:$AL$5,0),1)="","",VLOOKUP($A91,'标准新手流程（非R）'!$P$5:$AL$144,MATCH(D$3,'标准新手流程（非R）'!$P$5:$AL$5,0),1))</f>
        <v>75级绿</v>
      </c>
      <c r="E91" s="1" t="str">
        <f>IF(VLOOKUP($A91,'标准新手流程（非R）'!$P$5:$AL$144,MATCH(E$3,'标准新手流程（非R）'!$P$5:$AL$5,0),1)="","",VLOOKUP($A91,'标准新手流程（非R）'!$P$5:$AL$144,MATCH(E$3,'标准新手流程（非R）'!$P$5:$AL$5,0),1))</f>
        <v>50级红</v>
      </c>
      <c r="F91" s="1" t="str">
        <f>IF(VLOOKUP($A91,'标准新手流程（非R）'!$P$5:$AL$144,MATCH(F$3,'标准新手流程（非R）'!$P$5:$AL$5,0),1)="","",VLOOKUP($A91,'标准新手流程（非R）'!$P$5:$AL$144,MATCH(F$3,'标准新手流程（非R）'!$P$5:$AL$5,0),1))</f>
        <v>75级绿</v>
      </c>
      <c r="G91" s="1" t="str">
        <f>IF(VLOOKUP($A91,'标准新手流程（非R）'!$P$5:$AL$144,MATCH(G$3,'标准新手流程（非R）'!$P$5:$AL$5,0),1)="","",VLOOKUP($A91,'标准新手流程（非R）'!$P$5:$AL$144,MATCH(G$3,'标准新手流程（非R）'!$P$5:$AL$5,0),1))</f>
        <v>75级绿</v>
      </c>
      <c r="H91" s="1" t="str">
        <f>IF(VLOOKUP($A91,'标准新手流程（非R）'!$P$5:$AL$144,MATCH(H$3,'标准新手流程（非R）'!$P$5:$AL$5,0),1)="","",VLOOKUP($A91,'标准新手流程（非R）'!$P$5:$AL$144,MATCH(H$3,'标准新手流程（非R）'!$P$5:$AL$5,0),1))</f>
        <v>75级绿</v>
      </c>
      <c r="I91" s="1" t="str">
        <f>IF(VLOOKUP($A91,'标准新手流程（非R）'!$P$5:$AL$144,MATCH(I$3,'标准新手流程（非R）'!$P$5:$AL$5,0),1)="","",VLOOKUP($A91,'标准新手流程（非R）'!$P$5:$AL$144,MATCH(I$3,'标准新手流程（非R）'!$P$5:$AL$5,0),1))</f>
        <v>75级紫</v>
      </c>
    </row>
    <row r="92" spans="1:9" x14ac:dyDescent="0.15">
      <c r="A92" s="1">
        <v>89</v>
      </c>
      <c r="B92" s="1" t="str">
        <f>IF(VLOOKUP($A92,'标准新手流程（非R）'!$P$5:$AL$144,MATCH(B$3,'标准新手流程（非R）'!$P$5:$AL$5,0),1)="","",VLOOKUP($A92,'标准新手流程（非R）'!$P$5:$AL$144,MATCH(B$3,'标准新手流程（非R）'!$P$5:$AL$5,0),1))</f>
        <v>75级绿</v>
      </c>
      <c r="C92" s="1" t="str">
        <f>IF(VLOOKUP($A92,'标准新手流程（非R）'!$P$5:$AL$144,MATCH(C$3,'标准新手流程（非R）'!$P$5:$AL$5,0),1)="","",VLOOKUP($A92,'标准新手流程（非R）'!$P$5:$AL$144,MATCH(C$3,'标准新手流程（非R）'!$P$5:$AL$5,0),1))</f>
        <v>75级绿</v>
      </c>
      <c r="D92" s="1" t="str">
        <f>IF(VLOOKUP($A92,'标准新手流程（非R）'!$P$5:$AL$144,MATCH(D$3,'标准新手流程（非R）'!$P$5:$AL$5,0),1)="","",VLOOKUP($A92,'标准新手流程（非R）'!$P$5:$AL$144,MATCH(D$3,'标准新手流程（非R）'!$P$5:$AL$5,0),1))</f>
        <v>75级绿</v>
      </c>
      <c r="E92" s="1" t="str">
        <f>IF(VLOOKUP($A92,'标准新手流程（非R）'!$P$5:$AL$144,MATCH(E$3,'标准新手流程（非R）'!$P$5:$AL$5,0),1)="","",VLOOKUP($A92,'标准新手流程（非R）'!$P$5:$AL$144,MATCH(E$3,'标准新手流程（非R）'!$P$5:$AL$5,0),1))</f>
        <v>50级红</v>
      </c>
      <c r="F92" s="1" t="str">
        <f>IF(VLOOKUP($A92,'标准新手流程（非R）'!$P$5:$AL$144,MATCH(F$3,'标准新手流程（非R）'!$P$5:$AL$5,0),1)="","",VLOOKUP($A92,'标准新手流程（非R）'!$P$5:$AL$144,MATCH(F$3,'标准新手流程（非R）'!$P$5:$AL$5,0),1))</f>
        <v>75级绿</v>
      </c>
      <c r="G92" s="1" t="str">
        <f>IF(VLOOKUP($A92,'标准新手流程（非R）'!$P$5:$AL$144,MATCH(G$3,'标准新手流程（非R）'!$P$5:$AL$5,0),1)="","",VLOOKUP($A92,'标准新手流程（非R）'!$P$5:$AL$144,MATCH(G$3,'标准新手流程（非R）'!$P$5:$AL$5,0),1))</f>
        <v>75级绿</v>
      </c>
      <c r="H92" s="1" t="str">
        <f>IF(VLOOKUP($A92,'标准新手流程（非R）'!$P$5:$AL$144,MATCH(H$3,'标准新手流程（非R）'!$P$5:$AL$5,0),1)="","",VLOOKUP($A92,'标准新手流程（非R）'!$P$5:$AL$144,MATCH(H$3,'标准新手流程（非R）'!$P$5:$AL$5,0),1))</f>
        <v>75级绿</v>
      </c>
      <c r="I92" s="1" t="str">
        <f>IF(VLOOKUP($A92,'标准新手流程（非R）'!$P$5:$AL$144,MATCH(I$3,'标准新手流程（非R）'!$P$5:$AL$5,0),1)="","",VLOOKUP($A92,'标准新手流程（非R）'!$P$5:$AL$144,MATCH(I$3,'标准新手流程（非R）'!$P$5:$AL$5,0),1))</f>
        <v>75级紫</v>
      </c>
    </row>
    <row r="93" spans="1:9" x14ac:dyDescent="0.15">
      <c r="A93" s="1">
        <v>90</v>
      </c>
      <c r="B93" s="1" t="str">
        <f>IF(VLOOKUP($A93,'标准新手流程（非R）'!$P$5:$AL$144,MATCH(B$3,'标准新手流程（非R）'!$P$5:$AL$5,0),1)="","",VLOOKUP($A93,'标准新手流程（非R）'!$P$5:$AL$144,MATCH(B$3,'标准新手流程（非R）'!$P$5:$AL$5,0),1))</f>
        <v>75级绿</v>
      </c>
      <c r="C93" s="1" t="str">
        <f>IF(VLOOKUP($A93,'标准新手流程（非R）'!$P$5:$AL$144,MATCH(C$3,'标准新手流程（非R）'!$P$5:$AL$5,0),1)="","",VLOOKUP($A93,'标准新手流程（非R）'!$P$5:$AL$144,MATCH(C$3,'标准新手流程（非R）'!$P$5:$AL$5,0),1))</f>
        <v>75级绿</v>
      </c>
      <c r="D93" s="1" t="str">
        <f>IF(VLOOKUP($A93,'标准新手流程（非R）'!$P$5:$AL$144,MATCH(D$3,'标准新手流程（非R）'!$P$5:$AL$5,0),1)="","",VLOOKUP($A93,'标准新手流程（非R）'!$P$5:$AL$144,MATCH(D$3,'标准新手流程（非R）'!$P$5:$AL$5,0),1))</f>
        <v>75级绿</v>
      </c>
      <c r="E93" s="1" t="str">
        <f>IF(VLOOKUP($A93,'标准新手流程（非R）'!$P$5:$AL$144,MATCH(E$3,'标准新手流程（非R）'!$P$5:$AL$5,0),1)="","",VLOOKUP($A93,'标准新手流程（非R）'!$P$5:$AL$144,MATCH(E$3,'标准新手流程（非R）'!$P$5:$AL$5,0),1))</f>
        <v>50级红</v>
      </c>
      <c r="F93" s="1" t="str">
        <f>IF(VLOOKUP($A93,'标准新手流程（非R）'!$P$5:$AL$144,MATCH(F$3,'标准新手流程（非R）'!$P$5:$AL$5,0),1)="","",VLOOKUP($A93,'标准新手流程（非R）'!$P$5:$AL$144,MATCH(F$3,'标准新手流程（非R）'!$P$5:$AL$5,0),1))</f>
        <v>75级绿</v>
      </c>
      <c r="G93" s="1" t="str">
        <f>IF(VLOOKUP($A93,'标准新手流程（非R）'!$P$5:$AL$144,MATCH(G$3,'标准新手流程（非R）'!$P$5:$AL$5,0),1)="","",VLOOKUP($A93,'标准新手流程（非R）'!$P$5:$AL$144,MATCH(G$3,'标准新手流程（非R）'!$P$5:$AL$5,0),1))</f>
        <v>75级绿</v>
      </c>
      <c r="H93" s="1" t="str">
        <f>IF(VLOOKUP($A93,'标准新手流程（非R）'!$P$5:$AL$144,MATCH(H$3,'标准新手流程（非R）'!$P$5:$AL$5,0),1)="","",VLOOKUP($A93,'标准新手流程（非R）'!$P$5:$AL$144,MATCH(H$3,'标准新手流程（非R）'!$P$5:$AL$5,0),1))</f>
        <v>75级绿</v>
      </c>
      <c r="I93" s="1" t="str">
        <f>IF(VLOOKUP($A93,'标准新手流程（非R）'!$P$5:$AL$144,MATCH(I$3,'标准新手流程（非R）'!$P$5:$AL$5,0),1)="","",VLOOKUP($A93,'标准新手流程（非R）'!$P$5:$AL$144,MATCH(I$3,'标准新手流程（非R）'!$P$5:$AL$5,0),1))</f>
        <v>75级紫</v>
      </c>
    </row>
    <row r="94" spans="1:9" x14ac:dyDescent="0.15">
      <c r="A94" s="1">
        <v>91</v>
      </c>
      <c r="B94" s="1" t="str">
        <f>IF(VLOOKUP($A94,'标准新手流程（非R）'!$P$5:$AL$144,MATCH(B$3,'标准新手流程（非R）'!$P$5:$AL$5,0),1)="","",VLOOKUP($A94,'标准新手流程（非R）'!$P$5:$AL$144,MATCH(B$3,'标准新手流程（非R）'!$P$5:$AL$5,0),1))</f>
        <v>75级绿</v>
      </c>
      <c r="C94" s="1" t="str">
        <f>IF(VLOOKUP($A94,'标准新手流程（非R）'!$P$5:$AL$144,MATCH(C$3,'标准新手流程（非R）'!$P$5:$AL$5,0),1)="","",VLOOKUP($A94,'标准新手流程（非R）'!$P$5:$AL$144,MATCH(C$3,'标准新手流程（非R）'!$P$5:$AL$5,0),1))</f>
        <v>75级绿</v>
      </c>
      <c r="D94" s="1" t="str">
        <f>IF(VLOOKUP($A94,'标准新手流程（非R）'!$P$5:$AL$144,MATCH(D$3,'标准新手流程（非R）'!$P$5:$AL$5,0),1)="","",VLOOKUP($A94,'标准新手流程（非R）'!$P$5:$AL$144,MATCH(D$3,'标准新手流程（非R）'!$P$5:$AL$5,0),1))</f>
        <v>75级绿</v>
      </c>
      <c r="E94" s="1" t="str">
        <f>IF(VLOOKUP($A94,'标准新手流程（非R）'!$P$5:$AL$144,MATCH(E$3,'标准新手流程（非R）'!$P$5:$AL$5,0),1)="","",VLOOKUP($A94,'标准新手流程（非R）'!$P$5:$AL$144,MATCH(E$3,'标准新手流程（非R）'!$P$5:$AL$5,0),1))</f>
        <v>50级红</v>
      </c>
      <c r="F94" s="1" t="str">
        <f>IF(VLOOKUP($A94,'标准新手流程（非R）'!$P$5:$AL$144,MATCH(F$3,'标准新手流程（非R）'!$P$5:$AL$5,0),1)="","",VLOOKUP($A94,'标准新手流程（非R）'!$P$5:$AL$144,MATCH(F$3,'标准新手流程（非R）'!$P$5:$AL$5,0),1))</f>
        <v>75级绿</v>
      </c>
      <c r="G94" s="1" t="str">
        <f>IF(VLOOKUP($A94,'标准新手流程（非R）'!$P$5:$AL$144,MATCH(G$3,'标准新手流程（非R）'!$P$5:$AL$5,0),1)="","",VLOOKUP($A94,'标准新手流程（非R）'!$P$5:$AL$144,MATCH(G$3,'标准新手流程（非R）'!$P$5:$AL$5,0),1))</f>
        <v>75级绿</v>
      </c>
      <c r="H94" s="1" t="str">
        <f>IF(VLOOKUP($A94,'标准新手流程（非R）'!$P$5:$AL$144,MATCH(H$3,'标准新手流程（非R）'!$P$5:$AL$5,0),1)="","",VLOOKUP($A94,'标准新手流程（非R）'!$P$5:$AL$144,MATCH(H$3,'标准新手流程（非R）'!$P$5:$AL$5,0),1))</f>
        <v>75级绿</v>
      </c>
      <c r="I94" s="1" t="str">
        <f>IF(VLOOKUP($A94,'标准新手流程（非R）'!$P$5:$AL$144,MATCH(I$3,'标准新手流程（非R）'!$P$5:$AL$5,0),1)="","",VLOOKUP($A94,'标准新手流程（非R）'!$P$5:$AL$144,MATCH(I$3,'标准新手流程（非R）'!$P$5:$AL$5,0),1))</f>
        <v>75级紫</v>
      </c>
    </row>
    <row r="95" spans="1:9" x14ac:dyDescent="0.15">
      <c r="A95" s="1">
        <v>92</v>
      </c>
      <c r="B95" s="1" t="str">
        <f>IF(VLOOKUP($A95,'标准新手流程（非R）'!$P$5:$AL$144,MATCH(B$3,'标准新手流程（非R）'!$P$5:$AL$5,0),1)="","",VLOOKUP($A95,'标准新手流程（非R）'!$P$5:$AL$144,MATCH(B$3,'标准新手流程（非R）'!$P$5:$AL$5,0),1))</f>
        <v>75级绿</v>
      </c>
      <c r="C95" s="1" t="str">
        <f>IF(VLOOKUP($A95,'标准新手流程（非R）'!$P$5:$AL$144,MATCH(C$3,'标准新手流程（非R）'!$P$5:$AL$5,0),1)="","",VLOOKUP($A95,'标准新手流程（非R）'!$P$5:$AL$144,MATCH(C$3,'标准新手流程（非R）'!$P$5:$AL$5,0),1))</f>
        <v>75级绿</v>
      </c>
      <c r="D95" s="1" t="str">
        <f>IF(VLOOKUP($A95,'标准新手流程（非R）'!$P$5:$AL$144,MATCH(D$3,'标准新手流程（非R）'!$P$5:$AL$5,0),1)="","",VLOOKUP($A95,'标准新手流程（非R）'!$P$5:$AL$144,MATCH(D$3,'标准新手流程（非R）'!$P$5:$AL$5,0),1))</f>
        <v>75级绿</v>
      </c>
      <c r="E95" s="1" t="str">
        <f>IF(VLOOKUP($A95,'标准新手流程（非R）'!$P$5:$AL$144,MATCH(E$3,'标准新手流程（非R）'!$P$5:$AL$5,0),1)="","",VLOOKUP($A95,'标准新手流程（非R）'!$P$5:$AL$144,MATCH(E$3,'标准新手流程（非R）'!$P$5:$AL$5,0),1))</f>
        <v>50级红</v>
      </c>
      <c r="F95" s="1" t="str">
        <f>IF(VLOOKUP($A95,'标准新手流程（非R）'!$P$5:$AL$144,MATCH(F$3,'标准新手流程（非R）'!$P$5:$AL$5,0),1)="","",VLOOKUP($A95,'标准新手流程（非R）'!$P$5:$AL$144,MATCH(F$3,'标准新手流程（非R）'!$P$5:$AL$5,0),1))</f>
        <v>75级绿</v>
      </c>
      <c r="G95" s="1" t="str">
        <f>IF(VLOOKUP($A95,'标准新手流程（非R）'!$P$5:$AL$144,MATCH(G$3,'标准新手流程（非R）'!$P$5:$AL$5,0),1)="","",VLOOKUP($A95,'标准新手流程（非R）'!$P$5:$AL$144,MATCH(G$3,'标准新手流程（非R）'!$P$5:$AL$5,0),1))</f>
        <v>75级绿</v>
      </c>
      <c r="H95" s="1" t="str">
        <f>IF(VLOOKUP($A95,'标准新手流程（非R）'!$P$5:$AL$144,MATCH(H$3,'标准新手流程（非R）'!$P$5:$AL$5,0),1)="","",VLOOKUP($A95,'标准新手流程（非R）'!$P$5:$AL$144,MATCH(H$3,'标准新手流程（非R）'!$P$5:$AL$5,0),1))</f>
        <v>75级绿</v>
      </c>
      <c r="I95" s="1" t="str">
        <f>IF(VLOOKUP($A95,'标准新手流程（非R）'!$P$5:$AL$144,MATCH(I$3,'标准新手流程（非R）'!$P$5:$AL$5,0),1)="","",VLOOKUP($A95,'标准新手流程（非R）'!$P$5:$AL$144,MATCH(I$3,'标准新手流程（非R）'!$P$5:$AL$5,0),1))</f>
        <v>75级紫</v>
      </c>
    </row>
    <row r="96" spans="1:9" x14ac:dyDescent="0.15">
      <c r="A96" s="1">
        <v>93</v>
      </c>
      <c r="B96" s="1" t="str">
        <f>IF(VLOOKUP($A96,'标准新手流程（非R）'!$P$5:$AL$144,MATCH(B$3,'标准新手流程（非R）'!$P$5:$AL$5,0),1)="","",VLOOKUP($A96,'标准新手流程（非R）'!$P$5:$AL$144,MATCH(B$3,'标准新手流程（非R）'!$P$5:$AL$5,0),1))</f>
        <v>75级紫</v>
      </c>
      <c r="C96" s="1" t="str">
        <f>IF(VLOOKUP($A96,'标准新手流程（非R）'!$P$5:$AL$144,MATCH(C$3,'标准新手流程（非R）'!$P$5:$AL$5,0),1)="","",VLOOKUP($A96,'标准新手流程（非R）'!$P$5:$AL$144,MATCH(C$3,'标准新手流程（非R）'!$P$5:$AL$5,0),1))</f>
        <v>75级绿</v>
      </c>
      <c r="D96" s="1" t="str">
        <f>IF(VLOOKUP($A96,'标准新手流程（非R）'!$P$5:$AL$144,MATCH(D$3,'标准新手流程（非R）'!$P$5:$AL$5,0),1)="","",VLOOKUP($A96,'标准新手流程（非R）'!$P$5:$AL$144,MATCH(D$3,'标准新手流程（非R）'!$P$5:$AL$5,0),1))</f>
        <v>75级绿</v>
      </c>
      <c r="E96" s="1" t="str">
        <f>IF(VLOOKUP($A96,'标准新手流程（非R）'!$P$5:$AL$144,MATCH(E$3,'标准新手流程（非R）'!$P$5:$AL$5,0),1)="","",VLOOKUP($A96,'标准新手流程（非R）'!$P$5:$AL$144,MATCH(E$3,'标准新手流程（非R）'!$P$5:$AL$5,0),1))</f>
        <v>50级红</v>
      </c>
      <c r="F96" s="1" t="str">
        <f>IF(VLOOKUP($A96,'标准新手流程（非R）'!$P$5:$AL$144,MATCH(F$3,'标准新手流程（非R）'!$P$5:$AL$5,0),1)="","",VLOOKUP($A96,'标准新手流程（非R）'!$P$5:$AL$144,MATCH(F$3,'标准新手流程（非R）'!$P$5:$AL$5,0),1))</f>
        <v>75级绿</v>
      </c>
      <c r="G96" s="1" t="str">
        <f>IF(VLOOKUP($A96,'标准新手流程（非R）'!$P$5:$AL$144,MATCH(G$3,'标准新手流程（非R）'!$P$5:$AL$5,0),1)="","",VLOOKUP($A96,'标准新手流程（非R）'!$P$5:$AL$144,MATCH(G$3,'标准新手流程（非R）'!$P$5:$AL$5,0),1))</f>
        <v>75级绿</v>
      </c>
      <c r="H96" s="1" t="str">
        <f>IF(VLOOKUP($A96,'标准新手流程（非R）'!$P$5:$AL$144,MATCH(H$3,'标准新手流程（非R）'!$P$5:$AL$5,0),1)="","",VLOOKUP($A96,'标准新手流程（非R）'!$P$5:$AL$144,MATCH(H$3,'标准新手流程（非R）'!$P$5:$AL$5,0),1))</f>
        <v>75级绿</v>
      </c>
      <c r="I96" s="1" t="str">
        <f>IF(VLOOKUP($A96,'标准新手流程（非R）'!$P$5:$AL$144,MATCH(I$3,'标准新手流程（非R）'!$P$5:$AL$5,0),1)="","",VLOOKUP($A96,'标准新手流程（非R）'!$P$5:$AL$144,MATCH(I$3,'标准新手流程（非R）'!$P$5:$AL$5,0),1))</f>
        <v>75级紫</v>
      </c>
    </row>
    <row r="97" spans="1:9" x14ac:dyDescent="0.15">
      <c r="A97" s="1">
        <v>94</v>
      </c>
      <c r="B97" s="1" t="str">
        <f>IF(VLOOKUP($A97,'标准新手流程（非R）'!$P$5:$AL$144,MATCH(B$3,'标准新手流程（非R）'!$P$5:$AL$5,0),1)="","",VLOOKUP($A97,'标准新手流程（非R）'!$P$5:$AL$144,MATCH(B$3,'标准新手流程（非R）'!$P$5:$AL$5,0),1))</f>
        <v>75级紫</v>
      </c>
      <c r="C97" s="1" t="str">
        <f>IF(VLOOKUP($A97,'标准新手流程（非R）'!$P$5:$AL$144,MATCH(C$3,'标准新手流程（非R）'!$P$5:$AL$5,0),1)="","",VLOOKUP($A97,'标准新手流程（非R）'!$P$5:$AL$144,MATCH(C$3,'标准新手流程（非R）'!$P$5:$AL$5,0),1))</f>
        <v>75级绿</v>
      </c>
      <c r="D97" s="1" t="str">
        <f>IF(VLOOKUP($A97,'标准新手流程（非R）'!$P$5:$AL$144,MATCH(D$3,'标准新手流程（非R）'!$P$5:$AL$5,0),1)="","",VLOOKUP($A97,'标准新手流程（非R）'!$P$5:$AL$144,MATCH(D$3,'标准新手流程（非R）'!$P$5:$AL$5,0),1))</f>
        <v>75级绿</v>
      </c>
      <c r="E97" s="1" t="str">
        <f>IF(VLOOKUP($A97,'标准新手流程（非R）'!$P$5:$AL$144,MATCH(E$3,'标准新手流程（非R）'!$P$5:$AL$5,0),1)="","",VLOOKUP($A97,'标准新手流程（非R）'!$P$5:$AL$144,MATCH(E$3,'标准新手流程（非R）'!$P$5:$AL$5,0),1))</f>
        <v>50级红</v>
      </c>
      <c r="F97" s="1" t="str">
        <f>IF(VLOOKUP($A97,'标准新手流程（非R）'!$P$5:$AL$144,MATCH(F$3,'标准新手流程（非R）'!$P$5:$AL$5,0),1)="","",VLOOKUP($A97,'标准新手流程（非R）'!$P$5:$AL$144,MATCH(F$3,'标准新手流程（非R）'!$P$5:$AL$5,0),1))</f>
        <v>75级绿</v>
      </c>
      <c r="G97" s="1" t="str">
        <f>IF(VLOOKUP($A97,'标准新手流程（非R）'!$P$5:$AL$144,MATCH(G$3,'标准新手流程（非R）'!$P$5:$AL$5,0),1)="","",VLOOKUP($A97,'标准新手流程（非R）'!$P$5:$AL$144,MATCH(G$3,'标准新手流程（非R）'!$P$5:$AL$5,0),1))</f>
        <v>75级绿</v>
      </c>
      <c r="H97" s="1" t="str">
        <f>IF(VLOOKUP($A97,'标准新手流程（非R）'!$P$5:$AL$144,MATCH(H$3,'标准新手流程（非R）'!$P$5:$AL$5,0),1)="","",VLOOKUP($A97,'标准新手流程（非R）'!$P$5:$AL$144,MATCH(H$3,'标准新手流程（非R）'!$P$5:$AL$5,0),1))</f>
        <v>75级绿</v>
      </c>
      <c r="I97" s="1" t="str">
        <f>IF(VLOOKUP($A97,'标准新手流程（非R）'!$P$5:$AL$144,MATCH(I$3,'标准新手流程（非R）'!$P$5:$AL$5,0),1)="","",VLOOKUP($A97,'标准新手流程（非R）'!$P$5:$AL$144,MATCH(I$3,'标准新手流程（非R）'!$P$5:$AL$5,0),1))</f>
        <v>75级紫</v>
      </c>
    </row>
    <row r="98" spans="1:9" x14ac:dyDescent="0.15">
      <c r="A98" s="1">
        <v>95</v>
      </c>
      <c r="B98" s="1" t="str">
        <f>IF(VLOOKUP($A98,'标准新手流程（非R）'!$P$5:$AL$144,MATCH(B$3,'标准新手流程（非R）'!$P$5:$AL$5,0),1)="","",VLOOKUP($A98,'标准新手流程（非R）'!$P$5:$AL$144,MATCH(B$3,'标准新手流程（非R）'!$P$5:$AL$5,0),1))</f>
        <v>75级紫</v>
      </c>
      <c r="C98" s="1" t="str">
        <f>IF(VLOOKUP($A98,'标准新手流程（非R）'!$P$5:$AL$144,MATCH(C$3,'标准新手流程（非R）'!$P$5:$AL$5,0),1)="","",VLOOKUP($A98,'标准新手流程（非R）'!$P$5:$AL$144,MATCH(C$3,'标准新手流程（非R）'!$P$5:$AL$5,0),1))</f>
        <v>75级紫</v>
      </c>
      <c r="D98" s="1" t="str">
        <f>IF(VLOOKUP($A98,'标准新手流程（非R）'!$P$5:$AL$144,MATCH(D$3,'标准新手流程（非R）'!$P$5:$AL$5,0),1)="","",VLOOKUP($A98,'标准新手流程（非R）'!$P$5:$AL$144,MATCH(D$3,'标准新手流程（非R）'!$P$5:$AL$5,0),1))</f>
        <v>75级绿</v>
      </c>
      <c r="E98" s="1" t="str">
        <f>IF(VLOOKUP($A98,'标准新手流程（非R）'!$P$5:$AL$144,MATCH(E$3,'标准新手流程（非R）'!$P$5:$AL$5,0),1)="","",VLOOKUP($A98,'标准新手流程（非R）'!$P$5:$AL$144,MATCH(E$3,'标准新手流程（非R）'!$P$5:$AL$5,0),1))</f>
        <v>75级绿</v>
      </c>
      <c r="F98" s="1" t="str">
        <f>IF(VLOOKUP($A98,'标准新手流程（非R）'!$P$5:$AL$144,MATCH(F$3,'标准新手流程（非R）'!$P$5:$AL$5,0),1)="","",VLOOKUP($A98,'标准新手流程（非R）'!$P$5:$AL$144,MATCH(F$3,'标准新手流程（非R）'!$P$5:$AL$5,0),1))</f>
        <v>75级绿</v>
      </c>
      <c r="G98" s="1" t="str">
        <f>IF(VLOOKUP($A98,'标准新手流程（非R）'!$P$5:$AL$144,MATCH(G$3,'标准新手流程（非R）'!$P$5:$AL$5,0),1)="","",VLOOKUP($A98,'标准新手流程（非R）'!$P$5:$AL$144,MATCH(G$3,'标准新手流程（非R）'!$P$5:$AL$5,0),1))</f>
        <v>75级绿</v>
      </c>
      <c r="H98" s="1" t="str">
        <f>IF(VLOOKUP($A98,'标准新手流程（非R）'!$P$5:$AL$144,MATCH(H$3,'标准新手流程（非R）'!$P$5:$AL$5,0),1)="","",VLOOKUP($A98,'标准新手流程（非R）'!$P$5:$AL$144,MATCH(H$3,'标准新手流程（非R）'!$P$5:$AL$5,0),1))</f>
        <v>75级绿</v>
      </c>
      <c r="I98" s="1" t="str">
        <f>IF(VLOOKUP($A98,'标准新手流程（非R）'!$P$5:$AL$144,MATCH(I$3,'标准新手流程（非R）'!$P$5:$AL$5,0),1)="","",VLOOKUP($A98,'标准新手流程（非R）'!$P$5:$AL$144,MATCH(I$3,'标准新手流程（非R）'!$P$5:$AL$5,0),1))</f>
        <v>75级紫</v>
      </c>
    </row>
    <row r="99" spans="1:9" x14ac:dyDescent="0.15">
      <c r="A99" s="1">
        <v>96</v>
      </c>
      <c r="B99" s="1" t="str">
        <f>IF(VLOOKUP($A99,'标准新手流程（非R）'!$P$5:$AL$144,MATCH(B$3,'标准新手流程（非R）'!$P$5:$AL$5,0),1)="","",VLOOKUP($A99,'标准新手流程（非R）'!$P$5:$AL$144,MATCH(B$3,'标准新手流程（非R）'!$P$5:$AL$5,0),1))</f>
        <v>75级紫</v>
      </c>
      <c r="C99" s="1" t="str">
        <f>IF(VLOOKUP($A99,'标准新手流程（非R）'!$P$5:$AL$144,MATCH(C$3,'标准新手流程（非R）'!$P$5:$AL$5,0),1)="","",VLOOKUP($A99,'标准新手流程（非R）'!$P$5:$AL$144,MATCH(C$3,'标准新手流程（非R）'!$P$5:$AL$5,0),1))</f>
        <v>75级紫</v>
      </c>
      <c r="D99" s="1" t="str">
        <f>IF(VLOOKUP($A99,'标准新手流程（非R）'!$P$5:$AL$144,MATCH(D$3,'标准新手流程（非R）'!$P$5:$AL$5,0),1)="","",VLOOKUP($A99,'标准新手流程（非R）'!$P$5:$AL$144,MATCH(D$3,'标准新手流程（非R）'!$P$5:$AL$5,0),1))</f>
        <v>75级绿</v>
      </c>
      <c r="E99" s="1" t="str">
        <f>IF(VLOOKUP($A99,'标准新手流程（非R）'!$P$5:$AL$144,MATCH(E$3,'标准新手流程（非R）'!$P$5:$AL$5,0),1)="","",VLOOKUP($A99,'标准新手流程（非R）'!$P$5:$AL$144,MATCH(E$3,'标准新手流程（非R）'!$P$5:$AL$5,0),1))</f>
        <v>75级绿</v>
      </c>
      <c r="F99" s="1" t="str">
        <f>IF(VLOOKUP($A99,'标准新手流程（非R）'!$P$5:$AL$144,MATCH(F$3,'标准新手流程（非R）'!$P$5:$AL$5,0),1)="","",VLOOKUP($A99,'标准新手流程（非R）'!$P$5:$AL$144,MATCH(F$3,'标准新手流程（非R）'!$P$5:$AL$5,0),1))</f>
        <v>75级绿</v>
      </c>
      <c r="G99" s="1" t="str">
        <f>IF(VLOOKUP($A99,'标准新手流程（非R）'!$P$5:$AL$144,MATCH(G$3,'标准新手流程（非R）'!$P$5:$AL$5,0),1)="","",VLOOKUP($A99,'标准新手流程（非R）'!$P$5:$AL$144,MATCH(G$3,'标准新手流程（非R）'!$P$5:$AL$5,0),1))</f>
        <v>75级绿</v>
      </c>
      <c r="H99" s="1" t="str">
        <f>IF(VLOOKUP($A99,'标准新手流程（非R）'!$P$5:$AL$144,MATCH(H$3,'标准新手流程（非R）'!$P$5:$AL$5,0),1)="","",VLOOKUP($A99,'标准新手流程（非R）'!$P$5:$AL$144,MATCH(H$3,'标准新手流程（非R）'!$P$5:$AL$5,0),1))</f>
        <v>75级绿</v>
      </c>
      <c r="I99" s="1" t="str">
        <f>IF(VLOOKUP($A99,'标准新手流程（非R）'!$P$5:$AL$144,MATCH(I$3,'标准新手流程（非R）'!$P$5:$AL$5,0),1)="","",VLOOKUP($A99,'标准新手流程（非R）'!$P$5:$AL$144,MATCH(I$3,'标准新手流程（非R）'!$P$5:$AL$5,0),1))</f>
        <v>75级紫</v>
      </c>
    </row>
    <row r="100" spans="1:9" x14ac:dyDescent="0.15">
      <c r="A100" s="1">
        <v>97</v>
      </c>
      <c r="B100" s="1" t="str">
        <f>IF(VLOOKUP($A100,'标准新手流程（非R）'!$P$5:$AL$144,MATCH(B$3,'标准新手流程（非R）'!$P$5:$AL$5,0),1)="","",VLOOKUP($A100,'标准新手流程（非R）'!$P$5:$AL$144,MATCH(B$3,'标准新手流程（非R）'!$P$5:$AL$5,0),1))</f>
        <v>75级紫</v>
      </c>
      <c r="C100" s="1" t="str">
        <f>IF(VLOOKUP($A100,'标准新手流程（非R）'!$P$5:$AL$144,MATCH(C$3,'标准新手流程（非R）'!$P$5:$AL$5,0),1)="","",VLOOKUP($A100,'标准新手流程（非R）'!$P$5:$AL$144,MATCH(C$3,'标准新手流程（非R）'!$P$5:$AL$5,0),1))</f>
        <v>75级紫</v>
      </c>
      <c r="D100" s="1" t="str">
        <f>IF(VLOOKUP($A100,'标准新手流程（非R）'!$P$5:$AL$144,MATCH(D$3,'标准新手流程（非R）'!$P$5:$AL$5,0),1)="","",VLOOKUP($A100,'标准新手流程（非R）'!$P$5:$AL$144,MATCH(D$3,'标准新手流程（非R）'!$P$5:$AL$5,0),1))</f>
        <v>75级绿</v>
      </c>
      <c r="E100" s="1" t="str">
        <f>IF(VLOOKUP($A100,'标准新手流程（非R）'!$P$5:$AL$144,MATCH(E$3,'标准新手流程（非R）'!$P$5:$AL$5,0),1)="","",VLOOKUP($A100,'标准新手流程（非R）'!$P$5:$AL$144,MATCH(E$3,'标准新手流程（非R）'!$P$5:$AL$5,0),1))</f>
        <v>75级绿</v>
      </c>
      <c r="F100" s="1" t="str">
        <f>IF(VLOOKUP($A100,'标准新手流程（非R）'!$P$5:$AL$144,MATCH(F$3,'标准新手流程（非R）'!$P$5:$AL$5,0),1)="","",VLOOKUP($A100,'标准新手流程（非R）'!$P$5:$AL$144,MATCH(F$3,'标准新手流程（非R）'!$P$5:$AL$5,0),1))</f>
        <v>75级紫</v>
      </c>
      <c r="G100" s="1" t="str">
        <f>IF(VLOOKUP($A100,'标准新手流程（非R）'!$P$5:$AL$144,MATCH(G$3,'标准新手流程（非R）'!$P$5:$AL$5,0),1)="","",VLOOKUP($A100,'标准新手流程（非R）'!$P$5:$AL$144,MATCH(G$3,'标准新手流程（非R）'!$P$5:$AL$5,0),1))</f>
        <v>75级绿</v>
      </c>
      <c r="H100" s="1" t="str">
        <f>IF(VLOOKUP($A100,'标准新手流程（非R）'!$P$5:$AL$144,MATCH(H$3,'标准新手流程（非R）'!$P$5:$AL$5,0),1)="","",VLOOKUP($A100,'标准新手流程（非R）'!$P$5:$AL$144,MATCH(H$3,'标准新手流程（非R）'!$P$5:$AL$5,0),1))</f>
        <v>75级绿</v>
      </c>
      <c r="I100" s="1" t="str">
        <f>IF(VLOOKUP($A100,'标准新手流程（非R）'!$P$5:$AL$144,MATCH(I$3,'标准新手流程（非R）'!$P$5:$AL$5,0),1)="","",VLOOKUP($A100,'标准新手流程（非R）'!$P$5:$AL$144,MATCH(I$3,'标准新手流程（非R）'!$P$5:$AL$5,0),1))</f>
        <v>75级紫</v>
      </c>
    </row>
    <row r="101" spans="1:9" x14ac:dyDescent="0.15">
      <c r="A101" s="1">
        <v>98</v>
      </c>
      <c r="B101" s="1" t="str">
        <f>IF(VLOOKUP($A101,'标准新手流程（非R）'!$P$5:$AL$144,MATCH(B$3,'标准新手流程（非R）'!$P$5:$AL$5,0),1)="","",VLOOKUP($A101,'标准新手流程（非R）'!$P$5:$AL$144,MATCH(B$3,'标准新手流程（非R）'!$P$5:$AL$5,0),1))</f>
        <v>75级紫</v>
      </c>
      <c r="C101" s="1" t="str">
        <f>IF(VLOOKUP($A101,'标准新手流程（非R）'!$P$5:$AL$144,MATCH(C$3,'标准新手流程（非R）'!$P$5:$AL$5,0),1)="","",VLOOKUP($A101,'标准新手流程（非R）'!$P$5:$AL$144,MATCH(C$3,'标准新手流程（非R）'!$P$5:$AL$5,0),1))</f>
        <v>75级紫</v>
      </c>
      <c r="D101" s="1" t="str">
        <f>IF(VLOOKUP($A101,'标准新手流程（非R）'!$P$5:$AL$144,MATCH(D$3,'标准新手流程（非R）'!$P$5:$AL$5,0),1)="","",VLOOKUP($A101,'标准新手流程（非R）'!$P$5:$AL$144,MATCH(D$3,'标准新手流程（非R）'!$P$5:$AL$5,0),1))</f>
        <v>75级绿</v>
      </c>
      <c r="E101" s="1" t="str">
        <f>IF(VLOOKUP($A101,'标准新手流程（非R）'!$P$5:$AL$144,MATCH(E$3,'标准新手流程（非R）'!$P$5:$AL$5,0),1)="","",VLOOKUP($A101,'标准新手流程（非R）'!$P$5:$AL$144,MATCH(E$3,'标准新手流程（非R）'!$P$5:$AL$5,0),1))</f>
        <v>75级绿</v>
      </c>
      <c r="F101" s="1" t="str">
        <f>IF(VLOOKUP($A101,'标准新手流程（非R）'!$P$5:$AL$144,MATCH(F$3,'标准新手流程（非R）'!$P$5:$AL$5,0),1)="","",VLOOKUP($A101,'标准新手流程（非R）'!$P$5:$AL$144,MATCH(F$3,'标准新手流程（非R）'!$P$5:$AL$5,0),1))</f>
        <v>75级紫</v>
      </c>
      <c r="G101" s="1" t="str">
        <f>IF(VLOOKUP($A101,'标准新手流程（非R）'!$P$5:$AL$144,MATCH(G$3,'标准新手流程（非R）'!$P$5:$AL$5,0),1)="","",VLOOKUP($A101,'标准新手流程（非R）'!$P$5:$AL$144,MATCH(G$3,'标准新手流程（非R）'!$P$5:$AL$5,0),1))</f>
        <v>75级绿</v>
      </c>
      <c r="H101" s="1" t="str">
        <f>IF(VLOOKUP($A101,'标准新手流程（非R）'!$P$5:$AL$144,MATCH(H$3,'标准新手流程（非R）'!$P$5:$AL$5,0),1)="","",VLOOKUP($A101,'标准新手流程（非R）'!$P$5:$AL$144,MATCH(H$3,'标准新手流程（非R）'!$P$5:$AL$5,0),1))</f>
        <v>75级绿</v>
      </c>
      <c r="I101" s="1" t="str">
        <f>IF(VLOOKUP($A101,'标准新手流程（非R）'!$P$5:$AL$144,MATCH(I$3,'标准新手流程（非R）'!$P$5:$AL$5,0),1)="","",VLOOKUP($A101,'标准新手流程（非R）'!$P$5:$AL$144,MATCH(I$3,'标准新手流程（非R）'!$P$5:$AL$5,0),1))</f>
        <v>75级紫</v>
      </c>
    </row>
    <row r="102" spans="1:9" x14ac:dyDescent="0.15">
      <c r="A102" s="1">
        <v>99</v>
      </c>
      <c r="B102" s="1" t="str">
        <f>IF(VLOOKUP($A102,'标准新手流程（非R）'!$P$5:$AL$144,MATCH(B$3,'标准新手流程（非R）'!$P$5:$AL$5,0),1)="","",VLOOKUP($A102,'标准新手流程（非R）'!$P$5:$AL$144,MATCH(B$3,'标准新手流程（非R）'!$P$5:$AL$5,0),1))</f>
        <v>75级紫</v>
      </c>
      <c r="C102" s="1" t="str">
        <f>IF(VLOOKUP($A102,'标准新手流程（非R）'!$P$5:$AL$144,MATCH(C$3,'标准新手流程（非R）'!$P$5:$AL$5,0),1)="","",VLOOKUP($A102,'标准新手流程（非R）'!$P$5:$AL$144,MATCH(C$3,'标准新手流程（非R）'!$P$5:$AL$5,0),1))</f>
        <v>75级紫</v>
      </c>
      <c r="D102" s="1" t="str">
        <f>IF(VLOOKUP($A102,'标准新手流程（非R）'!$P$5:$AL$144,MATCH(D$3,'标准新手流程（非R）'!$P$5:$AL$5,0),1)="","",VLOOKUP($A102,'标准新手流程（非R）'!$P$5:$AL$144,MATCH(D$3,'标准新手流程（非R）'!$P$5:$AL$5,0),1))</f>
        <v>75级绿</v>
      </c>
      <c r="E102" s="1" t="str">
        <f>IF(VLOOKUP($A102,'标准新手流程（非R）'!$P$5:$AL$144,MATCH(E$3,'标准新手流程（非R）'!$P$5:$AL$5,0),1)="","",VLOOKUP($A102,'标准新手流程（非R）'!$P$5:$AL$144,MATCH(E$3,'标准新手流程（非R）'!$P$5:$AL$5,0),1))</f>
        <v>75级绿</v>
      </c>
      <c r="F102" s="1" t="str">
        <f>IF(VLOOKUP($A102,'标准新手流程（非R）'!$P$5:$AL$144,MATCH(F$3,'标准新手流程（非R）'!$P$5:$AL$5,0),1)="","",VLOOKUP($A102,'标准新手流程（非R）'!$P$5:$AL$144,MATCH(F$3,'标准新手流程（非R）'!$P$5:$AL$5,0),1))</f>
        <v>75级紫</v>
      </c>
      <c r="G102" s="1" t="str">
        <f>IF(VLOOKUP($A102,'标准新手流程（非R）'!$P$5:$AL$144,MATCH(G$3,'标准新手流程（非R）'!$P$5:$AL$5,0),1)="","",VLOOKUP($A102,'标准新手流程（非R）'!$P$5:$AL$144,MATCH(G$3,'标准新手流程（非R）'!$P$5:$AL$5,0),1))</f>
        <v>75级紫</v>
      </c>
      <c r="H102" s="1" t="str">
        <f>IF(VLOOKUP($A102,'标准新手流程（非R）'!$P$5:$AL$144,MATCH(H$3,'标准新手流程（非R）'!$P$5:$AL$5,0),1)="","",VLOOKUP($A102,'标准新手流程（非R）'!$P$5:$AL$144,MATCH(H$3,'标准新手流程（非R）'!$P$5:$AL$5,0),1))</f>
        <v>75级绿</v>
      </c>
      <c r="I102" s="1" t="str">
        <f>IF(VLOOKUP($A102,'标准新手流程（非R）'!$P$5:$AL$144,MATCH(I$3,'标准新手流程（非R）'!$P$5:$AL$5,0),1)="","",VLOOKUP($A102,'标准新手流程（非R）'!$P$5:$AL$144,MATCH(I$3,'标准新手流程（非R）'!$P$5:$AL$5,0),1))</f>
        <v>75级紫</v>
      </c>
    </row>
    <row r="103" spans="1:9" x14ac:dyDescent="0.15">
      <c r="A103" s="1">
        <v>100</v>
      </c>
      <c r="B103" s="1" t="str">
        <f>IF(VLOOKUP($A103,'标准新手流程（非R）'!$P$5:$AL$144,MATCH(B$3,'标准新手流程（非R）'!$P$5:$AL$5,0),1)="","",VLOOKUP($A103,'标准新手流程（非R）'!$P$5:$AL$144,MATCH(B$3,'标准新手流程（非R）'!$P$5:$AL$5,0),1))</f>
        <v>75级紫</v>
      </c>
      <c r="C103" s="1" t="str">
        <f>IF(VLOOKUP($A103,'标准新手流程（非R）'!$P$5:$AL$144,MATCH(C$3,'标准新手流程（非R）'!$P$5:$AL$5,0),1)="","",VLOOKUP($A103,'标准新手流程（非R）'!$P$5:$AL$144,MATCH(C$3,'标准新手流程（非R）'!$P$5:$AL$5,0),1))</f>
        <v>75级紫</v>
      </c>
      <c r="D103" s="1" t="str">
        <f>IF(VLOOKUP($A103,'标准新手流程（非R）'!$P$5:$AL$144,MATCH(D$3,'标准新手流程（非R）'!$P$5:$AL$5,0),1)="","",VLOOKUP($A103,'标准新手流程（非R）'!$P$5:$AL$144,MATCH(D$3,'标准新手流程（非R）'!$P$5:$AL$5,0),1))</f>
        <v>75级绿</v>
      </c>
      <c r="E103" s="1" t="str">
        <f>IF(VLOOKUP($A103,'标准新手流程（非R）'!$P$5:$AL$144,MATCH(E$3,'标准新手流程（非R）'!$P$5:$AL$5,0),1)="","",VLOOKUP($A103,'标准新手流程（非R）'!$P$5:$AL$144,MATCH(E$3,'标准新手流程（非R）'!$P$5:$AL$5,0),1))</f>
        <v>75级绿</v>
      </c>
      <c r="F103" s="1" t="str">
        <f>IF(VLOOKUP($A103,'标准新手流程（非R）'!$P$5:$AL$144,MATCH(F$3,'标准新手流程（非R）'!$P$5:$AL$5,0),1)="","",VLOOKUP($A103,'标准新手流程（非R）'!$P$5:$AL$144,MATCH(F$3,'标准新手流程（非R）'!$P$5:$AL$5,0),1))</f>
        <v>75级紫</v>
      </c>
      <c r="G103" s="1" t="str">
        <f>IF(VLOOKUP($A103,'标准新手流程（非R）'!$P$5:$AL$144,MATCH(G$3,'标准新手流程（非R）'!$P$5:$AL$5,0),1)="","",VLOOKUP($A103,'标准新手流程（非R）'!$P$5:$AL$144,MATCH(G$3,'标准新手流程（非R）'!$P$5:$AL$5,0),1))</f>
        <v>75级紫</v>
      </c>
      <c r="H103" s="1" t="str">
        <f>IF(VLOOKUP($A103,'标准新手流程（非R）'!$P$5:$AL$144,MATCH(H$3,'标准新手流程（非R）'!$P$5:$AL$5,0),1)="","",VLOOKUP($A103,'标准新手流程（非R）'!$P$5:$AL$144,MATCH(H$3,'标准新手流程（非R）'!$P$5:$AL$5,0),1))</f>
        <v>75级绿</v>
      </c>
      <c r="I103" s="1" t="str">
        <f>IF(VLOOKUP($A103,'标准新手流程（非R）'!$P$5:$AL$144,MATCH(I$3,'标准新手流程（非R）'!$P$5:$AL$5,0),1)="","",VLOOKUP($A103,'标准新手流程（非R）'!$P$5:$AL$144,MATCH(I$3,'标准新手流程（非R）'!$P$5:$AL$5,0),1))</f>
        <v>75级紫</v>
      </c>
    </row>
    <row r="104" spans="1:9" x14ac:dyDescent="0.15">
      <c r="A104" s="1">
        <v>101</v>
      </c>
      <c r="B104" s="1" t="str">
        <f>IF(VLOOKUP($A104,'标准新手流程（非R）'!$P$5:$AL$144,MATCH(B$3,'标准新手流程（非R）'!$P$5:$AL$5,0),1)="","",VLOOKUP($A104,'标准新手流程（非R）'!$P$5:$AL$144,MATCH(B$3,'标准新手流程（非R）'!$P$5:$AL$5,0),1))</f>
        <v>75级紫</v>
      </c>
      <c r="C104" s="1" t="str">
        <f>IF(VLOOKUP($A104,'标准新手流程（非R）'!$P$5:$AL$144,MATCH(C$3,'标准新手流程（非R）'!$P$5:$AL$5,0),1)="","",VLOOKUP($A104,'标准新手流程（非R）'!$P$5:$AL$144,MATCH(C$3,'标准新手流程（非R）'!$P$5:$AL$5,0),1))</f>
        <v>75级紫</v>
      </c>
      <c r="D104" s="1" t="str">
        <f>IF(VLOOKUP($A104,'标准新手流程（非R）'!$P$5:$AL$144,MATCH(D$3,'标准新手流程（非R）'!$P$5:$AL$5,0),1)="","",VLOOKUP($A104,'标准新手流程（非R）'!$P$5:$AL$144,MATCH(D$3,'标准新手流程（非R）'!$P$5:$AL$5,0),1))</f>
        <v>75级绿</v>
      </c>
      <c r="E104" s="1" t="str">
        <f>IF(VLOOKUP($A104,'标准新手流程（非R）'!$P$5:$AL$144,MATCH(E$3,'标准新手流程（非R）'!$P$5:$AL$5,0),1)="","",VLOOKUP($A104,'标准新手流程（非R）'!$P$5:$AL$144,MATCH(E$3,'标准新手流程（非R）'!$P$5:$AL$5,0),1))</f>
        <v>75级绿</v>
      </c>
      <c r="F104" s="1" t="str">
        <f>IF(VLOOKUP($A104,'标准新手流程（非R）'!$P$5:$AL$144,MATCH(F$3,'标准新手流程（非R）'!$P$5:$AL$5,0),1)="","",VLOOKUP($A104,'标准新手流程（非R）'!$P$5:$AL$144,MATCH(F$3,'标准新手流程（非R）'!$P$5:$AL$5,0),1))</f>
        <v>75级紫</v>
      </c>
      <c r="G104" s="1" t="str">
        <f>IF(VLOOKUP($A104,'标准新手流程（非R）'!$P$5:$AL$144,MATCH(G$3,'标准新手流程（非R）'!$P$5:$AL$5,0),1)="","",VLOOKUP($A104,'标准新手流程（非R）'!$P$5:$AL$144,MATCH(G$3,'标准新手流程（非R）'!$P$5:$AL$5,0),1))</f>
        <v>75级紫</v>
      </c>
      <c r="H104" s="1" t="str">
        <f>IF(VLOOKUP($A104,'标准新手流程（非R）'!$P$5:$AL$144,MATCH(H$3,'标准新手流程（非R）'!$P$5:$AL$5,0),1)="","",VLOOKUP($A104,'标准新手流程（非R）'!$P$5:$AL$144,MATCH(H$3,'标准新手流程（非R）'!$P$5:$AL$5,0),1))</f>
        <v>75级绿</v>
      </c>
      <c r="I104" s="1" t="str">
        <f>IF(VLOOKUP($A104,'标准新手流程（非R）'!$P$5:$AL$144,MATCH(I$3,'标准新手流程（非R）'!$P$5:$AL$5,0),1)="","",VLOOKUP($A104,'标准新手流程（非R）'!$P$5:$AL$144,MATCH(I$3,'标准新手流程（非R）'!$P$5:$AL$5,0),1))</f>
        <v>75级紫</v>
      </c>
    </row>
    <row r="105" spans="1:9" x14ac:dyDescent="0.15">
      <c r="A105" s="1">
        <v>102</v>
      </c>
      <c r="B105" s="1" t="str">
        <f>IF(VLOOKUP($A105,'标准新手流程（非R）'!$P$5:$AL$144,MATCH(B$3,'标准新手流程（非R）'!$P$5:$AL$5,0),1)="","",VLOOKUP($A105,'标准新手流程（非R）'!$P$5:$AL$144,MATCH(B$3,'标准新手流程（非R）'!$P$5:$AL$5,0),1))</f>
        <v>75级紫</v>
      </c>
      <c r="C105" s="1" t="str">
        <f>IF(VLOOKUP($A105,'标准新手流程（非R）'!$P$5:$AL$144,MATCH(C$3,'标准新手流程（非R）'!$P$5:$AL$5,0),1)="","",VLOOKUP($A105,'标准新手流程（非R）'!$P$5:$AL$144,MATCH(C$3,'标准新手流程（非R）'!$P$5:$AL$5,0),1))</f>
        <v>75级紫</v>
      </c>
      <c r="D105" s="1" t="str">
        <f>IF(VLOOKUP($A105,'标准新手流程（非R）'!$P$5:$AL$144,MATCH(D$3,'标准新手流程（非R）'!$P$5:$AL$5,0),1)="","",VLOOKUP($A105,'标准新手流程（非R）'!$P$5:$AL$144,MATCH(D$3,'标准新手流程（非R）'!$P$5:$AL$5,0),1))</f>
        <v>75级绿</v>
      </c>
      <c r="E105" s="1" t="str">
        <f>IF(VLOOKUP($A105,'标准新手流程（非R）'!$P$5:$AL$144,MATCH(E$3,'标准新手流程（非R）'!$P$5:$AL$5,0),1)="","",VLOOKUP($A105,'标准新手流程（非R）'!$P$5:$AL$144,MATCH(E$3,'标准新手流程（非R）'!$P$5:$AL$5,0),1))</f>
        <v>75级绿</v>
      </c>
      <c r="F105" s="1" t="str">
        <f>IF(VLOOKUP($A105,'标准新手流程（非R）'!$P$5:$AL$144,MATCH(F$3,'标准新手流程（非R）'!$P$5:$AL$5,0),1)="","",VLOOKUP($A105,'标准新手流程（非R）'!$P$5:$AL$144,MATCH(F$3,'标准新手流程（非R）'!$P$5:$AL$5,0),1))</f>
        <v>75级紫</v>
      </c>
      <c r="G105" s="1" t="str">
        <f>IF(VLOOKUP($A105,'标准新手流程（非R）'!$P$5:$AL$144,MATCH(G$3,'标准新手流程（非R）'!$P$5:$AL$5,0),1)="","",VLOOKUP($A105,'标准新手流程（非R）'!$P$5:$AL$144,MATCH(G$3,'标准新手流程（非R）'!$P$5:$AL$5,0),1))</f>
        <v>75级紫</v>
      </c>
      <c r="H105" s="1" t="str">
        <f>IF(VLOOKUP($A105,'标准新手流程（非R）'!$P$5:$AL$144,MATCH(H$3,'标准新手流程（非R）'!$P$5:$AL$5,0),1)="","",VLOOKUP($A105,'标准新手流程（非R）'!$P$5:$AL$144,MATCH(H$3,'标准新手流程（非R）'!$P$5:$AL$5,0),1))</f>
        <v>75级绿</v>
      </c>
      <c r="I105" s="1" t="str">
        <f>IF(VLOOKUP($A105,'标准新手流程（非R）'!$P$5:$AL$144,MATCH(I$3,'标准新手流程（非R）'!$P$5:$AL$5,0),1)="","",VLOOKUP($A105,'标准新手流程（非R）'!$P$5:$AL$144,MATCH(I$3,'标准新手流程（非R）'!$P$5:$AL$5,0),1))</f>
        <v>75级紫</v>
      </c>
    </row>
    <row r="106" spans="1:9" x14ac:dyDescent="0.15">
      <c r="A106" s="1">
        <v>103</v>
      </c>
      <c r="B106" s="1" t="str">
        <f>IF(VLOOKUP($A106,'标准新手流程（非R）'!$P$5:$AL$144,MATCH(B$3,'标准新手流程（非R）'!$P$5:$AL$5,0),1)="","",VLOOKUP($A106,'标准新手流程（非R）'!$P$5:$AL$144,MATCH(B$3,'标准新手流程（非R）'!$P$5:$AL$5,0),1))</f>
        <v>75级紫</v>
      </c>
      <c r="C106" s="1" t="str">
        <f>IF(VLOOKUP($A106,'标准新手流程（非R）'!$P$5:$AL$144,MATCH(C$3,'标准新手流程（非R）'!$P$5:$AL$5,0),1)="","",VLOOKUP($A106,'标准新手流程（非R）'!$P$5:$AL$144,MATCH(C$3,'标准新手流程（非R）'!$P$5:$AL$5,0),1))</f>
        <v>75级紫</v>
      </c>
      <c r="D106" s="1" t="str">
        <f>IF(VLOOKUP($A106,'标准新手流程（非R）'!$P$5:$AL$144,MATCH(D$3,'标准新手流程（非R）'!$P$5:$AL$5,0),1)="","",VLOOKUP($A106,'标准新手流程（非R）'!$P$5:$AL$144,MATCH(D$3,'标准新手流程（非R）'!$P$5:$AL$5,0),1))</f>
        <v>75级绿</v>
      </c>
      <c r="E106" s="1" t="str">
        <f>IF(VLOOKUP($A106,'标准新手流程（非R）'!$P$5:$AL$144,MATCH(E$3,'标准新手流程（非R）'!$P$5:$AL$5,0),1)="","",VLOOKUP($A106,'标准新手流程（非R）'!$P$5:$AL$144,MATCH(E$3,'标准新手流程（非R）'!$P$5:$AL$5,0),1))</f>
        <v>75级绿</v>
      </c>
      <c r="F106" s="1" t="str">
        <f>IF(VLOOKUP($A106,'标准新手流程（非R）'!$P$5:$AL$144,MATCH(F$3,'标准新手流程（非R）'!$P$5:$AL$5,0),1)="","",VLOOKUP($A106,'标准新手流程（非R）'!$P$5:$AL$144,MATCH(F$3,'标准新手流程（非R）'!$P$5:$AL$5,0),1))</f>
        <v>75级紫</v>
      </c>
      <c r="G106" s="1" t="str">
        <f>IF(VLOOKUP($A106,'标准新手流程（非R）'!$P$5:$AL$144,MATCH(G$3,'标准新手流程（非R）'!$P$5:$AL$5,0),1)="","",VLOOKUP($A106,'标准新手流程（非R）'!$P$5:$AL$144,MATCH(G$3,'标准新手流程（非R）'!$P$5:$AL$5,0),1))</f>
        <v>75级紫</v>
      </c>
      <c r="H106" s="1" t="str">
        <f>IF(VLOOKUP($A106,'标准新手流程（非R）'!$P$5:$AL$144,MATCH(H$3,'标准新手流程（非R）'!$P$5:$AL$5,0),1)="","",VLOOKUP($A106,'标准新手流程（非R）'!$P$5:$AL$144,MATCH(H$3,'标准新手流程（非R）'!$P$5:$AL$5,0),1))</f>
        <v>75级绿</v>
      </c>
      <c r="I106" s="1" t="str">
        <f>IF(VLOOKUP($A106,'标准新手流程（非R）'!$P$5:$AL$144,MATCH(I$3,'标准新手流程（非R）'!$P$5:$AL$5,0),1)="","",VLOOKUP($A106,'标准新手流程（非R）'!$P$5:$AL$144,MATCH(I$3,'标准新手流程（非R）'!$P$5:$AL$5,0),1))</f>
        <v>75级紫</v>
      </c>
    </row>
    <row r="107" spans="1:9" x14ac:dyDescent="0.15">
      <c r="A107" s="1">
        <v>104</v>
      </c>
      <c r="B107" s="1" t="str">
        <f>IF(VLOOKUP($A107,'标准新手流程（非R）'!$P$5:$AL$144,MATCH(B$3,'标准新手流程（非R）'!$P$5:$AL$5,0),1)="","",VLOOKUP($A107,'标准新手流程（非R）'!$P$5:$AL$144,MATCH(B$3,'标准新手流程（非R）'!$P$5:$AL$5,0),1))</f>
        <v>75级紫</v>
      </c>
      <c r="C107" s="1" t="str">
        <f>IF(VLOOKUP($A107,'标准新手流程（非R）'!$P$5:$AL$144,MATCH(C$3,'标准新手流程（非R）'!$P$5:$AL$5,0),1)="","",VLOOKUP($A107,'标准新手流程（非R）'!$P$5:$AL$144,MATCH(C$3,'标准新手流程（非R）'!$P$5:$AL$5,0),1))</f>
        <v>75级紫</v>
      </c>
      <c r="D107" s="1" t="str">
        <f>IF(VLOOKUP($A107,'标准新手流程（非R）'!$P$5:$AL$144,MATCH(D$3,'标准新手流程（非R）'!$P$5:$AL$5,0),1)="","",VLOOKUP($A107,'标准新手流程（非R）'!$P$5:$AL$144,MATCH(D$3,'标准新手流程（非R）'!$P$5:$AL$5,0),1))</f>
        <v>75级绿</v>
      </c>
      <c r="E107" s="1" t="str">
        <f>IF(VLOOKUP($A107,'标准新手流程（非R）'!$P$5:$AL$144,MATCH(E$3,'标准新手流程（非R）'!$P$5:$AL$5,0),1)="","",VLOOKUP($A107,'标准新手流程（非R）'!$P$5:$AL$144,MATCH(E$3,'标准新手流程（非R）'!$P$5:$AL$5,0),1))</f>
        <v>75级绿</v>
      </c>
      <c r="F107" s="1" t="str">
        <f>IF(VLOOKUP($A107,'标准新手流程（非R）'!$P$5:$AL$144,MATCH(F$3,'标准新手流程（非R）'!$P$5:$AL$5,0),1)="","",VLOOKUP($A107,'标准新手流程（非R）'!$P$5:$AL$144,MATCH(F$3,'标准新手流程（非R）'!$P$5:$AL$5,0),1))</f>
        <v>75级紫</v>
      </c>
      <c r="G107" s="1" t="str">
        <f>IF(VLOOKUP($A107,'标准新手流程（非R）'!$P$5:$AL$144,MATCH(G$3,'标准新手流程（非R）'!$P$5:$AL$5,0),1)="","",VLOOKUP($A107,'标准新手流程（非R）'!$P$5:$AL$144,MATCH(G$3,'标准新手流程（非R）'!$P$5:$AL$5,0),1))</f>
        <v>75级紫</v>
      </c>
      <c r="H107" s="1" t="str">
        <f>IF(VLOOKUP($A107,'标准新手流程（非R）'!$P$5:$AL$144,MATCH(H$3,'标准新手流程（非R）'!$P$5:$AL$5,0),1)="","",VLOOKUP($A107,'标准新手流程（非R）'!$P$5:$AL$144,MATCH(H$3,'标准新手流程（非R）'!$P$5:$AL$5,0),1))</f>
        <v>75级绿</v>
      </c>
      <c r="I107" s="1" t="str">
        <f>IF(VLOOKUP($A107,'标准新手流程（非R）'!$P$5:$AL$144,MATCH(I$3,'标准新手流程（非R）'!$P$5:$AL$5,0),1)="","",VLOOKUP($A107,'标准新手流程（非R）'!$P$5:$AL$144,MATCH(I$3,'标准新手流程（非R）'!$P$5:$AL$5,0),1))</f>
        <v>75级紫</v>
      </c>
    </row>
    <row r="108" spans="1:9" x14ac:dyDescent="0.15">
      <c r="A108" s="1">
        <v>105</v>
      </c>
      <c r="B108" s="1" t="str">
        <f>IF(VLOOKUP($A108,'标准新手流程（非R）'!$P$5:$AL$144,MATCH(B$3,'标准新手流程（非R）'!$P$5:$AL$5,0),1)="","",VLOOKUP($A108,'标准新手流程（非R）'!$P$5:$AL$144,MATCH(B$3,'标准新手流程（非R）'!$P$5:$AL$5,0),1))</f>
        <v>75级紫</v>
      </c>
      <c r="C108" s="1" t="str">
        <f>IF(VLOOKUP($A108,'标准新手流程（非R）'!$P$5:$AL$144,MATCH(C$3,'标准新手流程（非R）'!$P$5:$AL$5,0),1)="","",VLOOKUP($A108,'标准新手流程（非R）'!$P$5:$AL$144,MATCH(C$3,'标准新手流程（非R）'!$P$5:$AL$5,0),1))</f>
        <v>75级紫</v>
      </c>
      <c r="D108" s="1" t="str">
        <f>IF(VLOOKUP($A108,'标准新手流程（非R）'!$P$5:$AL$144,MATCH(D$3,'标准新手流程（非R）'!$P$5:$AL$5,0),1)="","",VLOOKUP($A108,'标准新手流程（非R）'!$P$5:$AL$144,MATCH(D$3,'标准新手流程（非R）'!$P$5:$AL$5,0),1))</f>
        <v>75级绿</v>
      </c>
      <c r="E108" s="1" t="str">
        <f>IF(VLOOKUP($A108,'标准新手流程（非R）'!$P$5:$AL$144,MATCH(E$3,'标准新手流程（非R）'!$P$5:$AL$5,0),1)="","",VLOOKUP($A108,'标准新手流程（非R）'!$P$5:$AL$144,MATCH(E$3,'标准新手流程（非R）'!$P$5:$AL$5,0),1))</f>
        <v>75级绿</v>
      </c>
      <c r="F108" s="1" t="str">
        <f>IF(VLOOKUP($A108,'标准新手流程（非R）'!$P$5:$AL$144,MATCH(F$3,'标准新手流程（非R）'!$P$5:$AL$5,0),1)="","",VLOOKUP($A108,'标准新手流程（非R）'!$P$5:$AL$144,MATCH(F$3,'标准新手流程（非R）'!$P$5:$AL$5,0),1))</f>
        <v>75级紫</v>
      </c>
      <c r="G108" s="1" t="str">
        <f>IF(VLOOKUP($A108,'标准新手流程（非R）'!$P$5:$AL$144,MATCH(G$3,'标准新手流程（非R）'!$P$5:$AL$5,0),1)="","",VLOOKUP($A108,'标准新手流程（非R）'!$P$5:$AL$144,MATCH(G$3,'标准新手流程（非R）'!$P$5:$AL$5,0),1))</f>
        <v>75级紫</v>
      </c>
      <c r="H108" s="1" t="str">
        <f>IF(VLOOKUP($A108,'标准新手流程（非R）'!$P$5:$AL$144,MATCH(H$3,'标准新手流程（非R）'!$P$5:$AL$5,0),1)="","",VLOOKUP($A108,'标准新手流程（非R）'!$P$5:$AL$144,MATCH(H$3,'标准新手流程（非R）'!$P$5:$AL$5,0),1))</f>
        <v>75级紫</v>
      </c>
      <c r="I108" s="1" t="str">
        <f>IF(VLOOKUP($A108,'标准新手流程（非R）'!$P$5:$AL$144,MATCH(I$3,'标准新手流程（非R）'!$P$5:$AL$5,0),1)="","",VLOOKUP($A108,'标准新手流程（非R）'!$P$5:$AL$144,MATCH(I$3,'标准新手流程（非R）'!$P$5:$AL$5,0),1))</f>
        <v>75级紫</v>
      </c>
    </row>
    <row r="109" spans="1:9" x14ac:dyDescent="0.15">
      <c r="A109" s="1">
        <v>106</v>
      </c>
      <c r="B109" s="1" t="str">
        <f>IF(VLOOKUP($A109,'标准新手流程（非R）'!$P$5:$AL$144,MATCH(B$3,'标准新手流程（非R）'!$P$5:$AL$5,0),1)="","",VLOOKUP($A109,'标准新手流程（非R）'!$P$5:$AL$144,MATCH(B$3,'标准新手流程（非R）'!$P$5:$AL$5,0),1))</f>
        <v>75级紫</v>
      </c>
      <c r="C109" s="1" t="str">
        <f>IF(VLOOKUP($A109,'标准新手流程（非R）'!$P$5:$AL$144,MATCH(C$3,'标准新手流程（非R）'!$P$5:$AL$5,0),1)="","",VLOOKUP($A109,'标准新手流程（非R）'!$P$5:$AL$144,MATCH(C$3,'标准新手流程（非R）'!$P$5:$AL$5,0),1))</f>
        <v>75级紫</v>
      </c>
      <c r="D109" s="1" t="str">
        <f>IF(VLOOKUP($A109,'标准新手流程（非R）'!$P$5:$AL$144,MATCH(D$3,'标准新手流程（非R）'!$P$5:$AL$5,0),1)="","",VLOOKUP($A109,'标准新手流程（非R）'!$P$5:$AL$144,MATCH(D$3,'标准新手流程（非R）'!$P$5:$AL$5,0),1))</f>
        <v>75级绿</v>
      </c>
      <c r="E109" s="1" t="str">
        <f>IF(VLOOKUP($A109,'标准新手流程（非R）'!$P$5:$AL$144,MATCH(E$3,'标准新手流程（非R）'!$P$5:$AL$5,0),1)="","",VLOOKUP($A109,'标准新手流程（非R）'!$P$5:$AL$144,MATCH(E$3,'标准新手流程（非R）'!$P$5:$AL$5,0),1))</f>
        <v>75级绿</v>
      </c>
      <c r="F109" s="1" t="str">
        <f>IF(VLOOKUP($A109,'标准新手流程（非R）'!$P$5:$AL$144,MATCH(F$3,'标准新手流程（非R）'!$P$5:$AL$5,0),1)="","",VLOOKUP($A109,'标准新手流程（非R）'!$P$5:$AL$144,MATCH(F$3,'标准新手流程（非R）'!$P$5:$AL$5,0),1))</f>
        <v>75级紫</v>
      </c>
      <c r="G109" s="1" t="str">
        <f>IF(VLOOKUP($A109,'标准新手流程（非R）'!$P$5:$AL$144,MATCH(G$3,'标准新手流程（非R）'!$P$5:$AL$5,0),1)="","",VLOOKUP($A109,'标准新手流程（非R）'!$P$5:$AL$144,MATCH(G$3,'标准新手流程（非R）'!$P$5:$AL$5,0),1))</f>
        <v>75级紫</v>
      </c>
      <c r="H109" s="1" t="str">
        <f>IF(VLOOKUP($A109,'标准新手流程（非R）'!$P$5:$AL$144,MATCH(H$3,'标准新手流程（非R）'!$P$5:$AL$5,0),1)="","",VLOOKUP($A109,'标准新手流程（非R）'!$P$5:$AL$144,MATCH(H$3,'标准新手流程（非R）'!$P$5:$AL$5,0),1))</f>
        <v>75级紫</v>
      </c>
      <c r="I109" s="1" t="str">
        <f>IF(VLOOKUP($A109,'标准新手流程（非R）'!$P$5:$AL$144,MATCH(I$3,'标准新手流程（非R）'!$P$5:$AL$5,0),1)="","",VLOOKUP($A109,'标准新手流程（非R）'!$P$5:$AL$144,MATCH(I$3,'标准新手流程（非R）'!$P$5:$AL$5,0),1))</f>
        <v>75级紫</v>
      </c>
    </row>
    <row r="110" spans="1:9" x14ac:dyDescent="0.15">
      <c r="A110" s="1">
        <v>107</v>
      </c>
      <c r="B110" s="1" t="str">
        <f>IF(VLOOKUP($A110,'标准新手流程（非R）'!$P$5:$AL$144,MATCH(B$3,'标准新手流程（非R）'!$P$5:$AL$5,0),1)="","",VLOOKUP($A110,'标准新手流程（非R）'!$P$5:$AL$144,MATCH(B$3,'标准新手流程（非R）'!$P$5:$AL$5,0),1))</f>
        <v>75级紫</v>
      </c>
      <c r="C110" s="1" t="str">
        <f>IF(VLOOKUP($A110,'标准新手流程（非R）'!$P$5:$AL$144,MATCH(C$3,'标准新手流程（非R）'!$P$5:$AL$5,0),1)="","",VLOOKUP($A110,'标准新手流程（非R）'!$P$5:$AL$144,MATCH(C$3,'标准新手流程（非R）'!$P$5:$AL$5,0),1))</f>
        <v>75级紫</v>
      </c>
      <c r="D110" s="1" t="str">
        <f>IF(VLOOKUP($A110,'标准新手流程（非R）'!$P$5:$AL$144,MATCH(D$3,'标准新手流程（非R）'!$P$5:$AL$5,0),1)="","",VLOOKUP($A110,'标准新手流程（非R）'!$P$5:$AL$144,MATCH(D$3,'标准新手流程（非R）'!$P$5:$AL$5,0),1))</f>
        <v>75级紫</v>
      </c>
      <c r="E110" s="1" t="str">
        <f>IF(VLOOKUP($A110,'标准新手流程（非R）'!$P$5:$AL$144,MATCH(E$3,'标准新手流程（非R）'!$P$5:$AL$5,0),1)="","",VLOOKUP($A110,'标准新手流程（非R）'!$P$5:$AL$144,MATCH(E$3,'标准新手流程（非R）'!$P$5:$AL$5,0),1))</f>
        <v>75级绿</v>
      </c>
      <c r="F110" s="1" t="str">
        <f>IF(VLOOKUP($A110,'标准新手流程（非R）'!$P$5:$AL$144,MATCH(F$3,'标准新手流程（非R）'!$P$5:$AL$5,0),1)="","",VLOOKUP($A110,'标准新手流程（非R）'!$P$5:$AL$144,MATCH(F$3,'标准新手流程（非R）'!$P$5:$AL$5,0),1))</f>
        <v>75级紫</v>
      </c>
      <c r="G110" s="1" t="str">
        <f>IF(VLOOKUP($A110,'标准新手流程（非R）'!$P$5:$AL$144,MATCH(G$3,'标准新手流程（非R）'!$P$5:$AL$5,0),1)="","",VLOOKUP($A110,'标准新手流程（非R）'!$P$5:$AL$144,MATCH(G$3,'标准新手流程（非R）'!$P$5:$AL$5,0),1))</f>
        <v>75级紫</v>
      </c>
      <c r="H110" s="1" t="str">
        <f>IF(VLOOKUP($A110,'标准新手流程（非R）'!$P$5:$AL$144,MATCH(H$3,'标准新手流程（非R）'!$P$5:$AL$5,0),1)="","",VLOOKUP($A110,'标准新手流程（非R）'!$P$5:$AL$144,MATCH(H$3,'标准新手流程（非R）'!$P$5:$AL$5,0),1))</f>
        <v>75级紫</v>
      </c>
      <c r="I110" s="1" t="str">
        <f>IF(VLOOKUP($A110,'标准新手流程（非R）'!$P$5:$AL$144,MATCH(I$3,'标准新手流程（非R）'!$P$5:$AL$5,0),1)="","",VLOOKUP($A110,'标准新手流程（非R）'!$P$5:$AL$144,MATCH(I$3,'标准新手流程（非R）'!$P$5:$AL$5,0),1))</f>
        <v>75级紫</v>
      </c>
    </row>
    <row r="111" spans="1:9" x14ac:dyDescent="0.15">
      <c r="A111" s="1">
        <v>108</v>
      </c>
      <c r="B111" s="1" t="str">
        <f>IF(VLOOKUP($A111,'标准新手流程（非R）'!$P$5:$AL$144,MATCH(B$3,'标准新手流程（非R）'!$P$5:$AL$5,0),1)="","",VLOOKUP($A111,'标准新手流程（非R）'!$P$5:$AL$144,MATCH(B$3,'标准新手流程（非R）'!$P$5:$AL$5,0),1))</f>
        <v>75级紫</v>
      </c>
      <c r="C111" s="1" t="str">
        <f>IF(VLOOKUP($A111,'标准新手流程（非R）'!$P$5:$AL$144,MATCH(C$3,'标准新手流程（非R）'!$P$5:$AL$5,0),1)="","",VLOOKUP($A111,'标准新手流程（非R）'!$P$5:$AL$144,MATCH(C$3,'标准新手流程（非R）'!$P$5:$AL$5,0),1))</f>
        <v>75级紫</v>
      </c>
      <c r="D111" s="1" t="str">
        <f>IF(VLOOKUP($A111,'标准新手流程（非R）'!$P$5:$AL$144,MATCH(D$3,'标准新手流程（非R）'!$P$5:$AL$5,0),1)="","",VLOOKUP($A111,'标准新手流程（非R）'!$P$5:$AL$144,MATCH(D$3,'标准新手流程（非R）'!$P$5:$AL$5,0),1))</f>
        <v>75级紫</v>
      </c>
      <c r="E111" s="1" t="str">
        <f>IF(VLOOKUP($A111,'标准新手流程（非R）'!$P$5:$AL$144,MATCH(E$3,'标准新手流程（非R）'!$P$5:$AL$5,0),1)="","",VLOOKUP($A111,'标准新手流程（非R）'!$P$5:$AL$144,MATCH(E$3,'标准新手流程（非R）'!$P$5:$AL$5,0),1))</f>
        <v>75级绿</v>
      </c>
      <c r="F111" s="1" t="str">
        <f>IF(VLOOKUP($A111,'标准新手流程（非R）'!$P$5:$AL$144,MATCH(F$3,'标准新手流程（非R）'!$P$5:$AL$5,0),1)="","",VLOOKUP($A111,'标准新手流程（非R）'!$P$5:$AL$144,MATCH(F$3,'标准新手流程（非R）'!$P$5:$AL$5,0),1))</f>
        <v>75级紫</v>
      </c>
      <c r="G111" s="1" t="str">
        <f>IF(VLOOKUP($A111,'标准新手流程（非R）'!$P$5:$AL$144,MATCH(G$3,'标准新手流程（非R）'!$P$5:$AL$5,0),1)="","",VLOOKUP($A111,'标准新手流程（非R）'!$P$5:$AL$144,MATCH(G$3,'标准新手流程（非R）'!$P$5:$AL$5,0),1))</f>
        <v>75级紫</v>
      </c>
      <c r="H111" s="1" t="str">
        <f>IF(VLOOKUP($A111,'标准新手流程（非R）'!$P$5:$AL$144,MATCH(H$3,'标准新手流程（非R）'!$P$5:$AL$5,0),1)="","",VLOOKUP($A111,'标准新手流程（非R）'!$P$5:$AL$144,MATCH(H$3,'标准新手流程（非R）'!$P$5:$AL$5,0),1))</f>
        <v>75级紫</v>
      </c>
      <c r="I111" s="1" t="str">
        <f>IF(VLOOKUP($A111,'标准新手流程（非R）'!$P$5:$AL$144,MATCH(I$3,'标准新手流程（非R）'!$P$5:$AL$5,0),1)="","",VLOOKUP($A111,'标准新手流程（非R）'!$P$5:$AL$144,MATCH(I$3,'标准新手流程（非R）'!$P$5:$AL$5,0),1))</f>
        <v>75级紫</v>
      </c>
    </row>
    <row r="112" spans="1:9" x14ac:dyDescent="0.15">
      <c r="A112" s="1">
        <v>109</v>
      </c>
      <c r="B112" s="1" t="str">
        <f>IF(VLOOKUP($A112,'标准新手流程（非R）'!$P$5:$AL$144,MATCH(B$3,'标准新手流程（非R）'!$P$5:$AL$5,0),1)="","",VLOOKUP($A112,'标准新手流程（非R）'!$P$5:$AL$144,MATCH(B$3,'标准新手流程（非R）'!$P$5:$AL$5,0),1))</f>
        <v>75级紫</v>
      </c>
      <c r="C112" s="1" t="str">
        <f>IF(VLOOKUP($A112,'标准新手流程（非R）'!$P$5:$AL$144,MATCH(C$3,'标准新手流程（非R）'!$P$5:$AL$5,0),1)="","",VLOOKUP($A112,'标准新手流程（非R）'!$P$5:$AL$144,MATCH(C$3,'标准新手流程（非R）'!$P$5:$AL$5,0),1))</f>
        <v>75级紫</v>
      </c>
      <c r="D112" s="1" t="str">
        <f>IF(VLOOKUP($A112,'标准新手流程（非R）'!$P$5:$AL$144,MATCH(D$3,'标准新手流程（非R）'!$P$5:$AL$5,0),1)="","",VLOOKUP($A112,'标准新手流程（非R）'!$P$5:$AL$144,MATCH(D$3,'标准新手流程（非R）'!$P$5:$AL$5,0),1))</f>
        <v>75级紫</v>
      </c>
      <c r="E112" s="1" t="str">
        <f>IF(VLOOKUP($A112,'标准新手流程（非R）'!$P$5:$AL$144,MATCH(E$3,'标准新手流程（非R）'!$P$5:$AL$5,0),1)="","",VLOOKUP($A112,'标准新手流程（非R）'!$P$5:$AL$144,MATCH(E$3,'标准新手流程（非R）'!$P$5:$AL$5,0),1))</f>
        <v>75级绿</v>
      </c>
      <c r="F112" s="1" t="str">
        <f>IF(VLOOKUP($A112,'标准新手流程（非R）'!$P$5:$AL$144,MATCH(F$3,'标准新手流程（非R）'!$P$5:$AL$5,0),1)="","",VLOOKUP($A112,'标准新手流程（非R）'!$P$5:$AL$144,MATCH(F$3,'标准新手流程（非R）'!$P$5:$AL$5,0),1))</f>
        <v>75级紫</v>
      </c>
      <c r="G112" s="1" t="str">
        <f>IF(VLOOKUP($A112,'标准新手流程（非R）'!$P$5:$AL$144,MATCH(G$3,'标准新手流程（非R）'!$P$5:$AL$5,0),1)="","",VLOOKUP($A112,'标准新手流程（非R）'!$P$5:$AL$144,MATCH(G$3,'标准新手流程（非R）'!$P$5:$AL$5,0),1))</f>
        <v>75级紫</v>
      </c>
      <c r="H112" s="1" t="str">
        <f>IF(VLOOKUP($A112,'标准新手流程（非R）'!$P$5:$AL$144,MATCH(H$3,'标准新手流程（非R）'!$P$5:$AL$5,0),1)="","",VLOOKUP($A112,'标准新手流程（非R）'!$P$5:$AL$144,MATCH(H$3,'标准新手流程（非R）'!$P$5:$AL$5,0),1))</f>
        <v>75级紫</v>
      </c>
      <c r="I112" s="1" t="str">
        <f>IF(VLOOKUP($A112,'标准新手流程（非R）'!$P$5:$AL$144,MATCH(I$3,'标准新手流程（非R）'!$P$5:$AL$5,0),1)="","",VLOOKUP($A112,'标准新手流程（非R）'!$P$5:$AL$144,MATCH(I$3,'标准新手流程（非R）'!$P$5:$AL$5,0),1))</f>
        <v>75级紫</v>
      </c>
    </row>
    <row r="113" spans="1:9" x14ac:dyDescent="0.15">
      <c r="A113" s="1">
        <v>110</v>
      </c>
      <c r="B113" s="1" t="str">
        <f>IF(VLOOKUP($A113,'标准新手流程（非R）'!$P$5:$AL$144,MATCH(B$3,'标准新手流程（非R）'!$P$5:$AL$5,0),1)="","",VLOOKUP($A113,'标准新手流程（非R）'!$P$5:$AL$144,MATCH(B$3,'标准新手流程（非R）'!$P$5:$AL$5,0),1))</f>
        <v>75级紫</v>
      </c>
      <c r="C113" s="1" t="str">
        <f>IF(VLOOKUP($A113,'标准新手流程（非R）'!$P$5:$AL$144,MATCH(C$3,'标准新手流程（非R）'!$P$5:$AL$5,0),1)="","",VLOOKUP($A113,'标准新手流程（非R）'!$P$5:$AL$144,MATCH(C$3,'标准新手流程（非R）'!$P$5:$AL$5,0),1))</f>
        <v>75级紫</v>
      </c>
      <c r="D113" s="1" t="str">
        <f>IF(VLOOKUP($A113,'标准新手流程（非R）'!$P$5:$AL$144,MATCH(D$3,'标准新手流程（非R）'!$P$5:$AL$5,0),1)="","",VLOOKUP($A113,'标准新手流程（非R）'!$P$5:$AL$144,MATCH(D$3,'标准新手流程（非R）'!$P$5:$AL$5,0),1))</f>
        <v>75级紫</v>
      </c>
      <c r="E113" s="1" t="str">
        <f>IF(VLOOKUP($A113,'标准新手流程（非R）'!$P$5:$AL$144,MATCH(E$3,'标准新手流程（非R）'!$P$5:$AL$5,0),1)="","",VLOOKUP($A113,'标准新手流程（非R）'!$P$5:$AL$144,MATCH(E$3,'标准新手流程（非R）'!$P$5:$AL$5,0),1))</f>
        <v>75级紫</v>
      </c>
      <c r="F113" s="1" t="str">
        <f>IF(VLOOKUP($A113,'标准新手流程（非R）'!$P$5:$AL$144,MATCH(F$3,'标准新手流程（非R）'!$P$5:$AL$5,0),1)="","",VLOOKUP($A113,'标准新手流程（非R）'!$P$5:$AL$144,MATCH(F$3,'标准新手流程（非R）'!$P$5:$AL$5,0),1))</f>
        <v>75级紫</v>
      </c>
      <c r="G113" s="1" t="str">
        <f>IF(VLOOKUP($A113,'标准新手流程（非R）'!$P$5:$AL$144,MATCH(G$3,'标准新手流程（非R）'!$P$5:$AL$5,0),1)="","",VLOOKUP($A113,'标准新手流程（非R）'!$P$5:$AL$144,MATCH(G$3,'标准新手流程（非R）'!$P$5:$AL$5,0),1))</f>
        <v>75级紫</v>
      </c>
      <c r="H113" s="1" t="str">
        <f>IF(VLOOKUP($A113,'标准新手流程（非R）'!$P$5:$AL$144,MATCH(H$3,'标准新手流程（非R）'!$P$5:$AL$5,0),1)="","",VLOOKUP($A113,'标准新手流程（非R）'!$P$5:$AL$144,MATCH(H$3,'标准新手流程（非R）'!$P$5:$AL$5,0),1))</f>
        <v>75级紫</v>
      </c>
      <c r="I113" s="1" t="str">
        <f>IF(VLOOKUP($A113,'标准新手流程（非R）'!$P$5:$AL$144,MATCH(I$3,'标准新手流程（非R）'!$P$5:$AL$5,0),1)="","",VLOOKUP($A113,'标准新手流程（非R）'!$P$5:$AL$144,MATCH(I$3,'标准新手流程（非R）'!$P$5:$AL$5,0),1))</f>
        <v>75级紫</v>
      </c>
    </row>
    <row r="114" spans="1:9" x14ac:dyDescent="0.15">
      <c r="A114" s="1">
        <v>111</v>
      </c>
      <c r="B114" s="1" t="str">
        <f>IF(VLOOKUP($A114,'标准新手流程（非R）'!$P$5:$AL$144,MATCH(B$3,'标准新手流程（非R）'!$P$5:$AL$5,0),1)="","",VLOOKUP($A114,'标准新手流程（非R）'!$P$5:$AL$144,MATCH(B$3,'标准新手流程（非R）'!$P$5:$AL$5,0),1))</f>
        <v>75级紫</v>
      </c>
      <c r="C114" s="1" t="str">
        <f>IF(VLOOKUP($A114,'标准新手流程（非R）'!$P$5:$AL$144,MATCH(C$3,'标准新手流程（非R）'!$P$5:$AL$5,0),1)="","",VLOOKUP($A114,'标准新手流程（非R）'!$P$5:$AL$144,MATCH(C$3,'标准新手流程（非R）'!$P$5:$AL$5,0),1))</f>
        <v>75级紫</v>
      </c>
      <c r="D114" s="1" t="str">
        <f>IF(VLOOKUP($A114,'标准新手流程（非R）'!$P$5:$AL$144,MATCH(D$3,'标准新手流程（非R）'!$P$5:$AL$5,0),1)="","",VLOOKUP($A114,'标准新手流程（非R）'!$P$5:$AL$144,MATCH(D$3,'标准新手流程（非R）'!$P$5:$AL$5,0),1))</f>
        <v>75级紫</v>
      </c>
      <c r="E114" s="1" t="str">
        <f>IF(VLOOKUP($A114,'标准新手流程（非R）'!$P$5:$AL$144,MATCH(E$3,'标准新手流程（非R）'!$P$5:$AL$5,0),1)="","",VLOOKUP($A114,'标准新手流程（非R）'!$P$5:$AL$144,MATCH(E$3,'标准新手流程（非R）'!$P$5:$AL$5,0),1))</f>
        <v>75级紫</v>
      </c>
      <c r="F114" s="1" t="str">
        <f>IF(VLOOKUP($A114,'标准新手流程（非R）'!$P$5:$AL$144,MATCH(F$3,'标准新手流程（非R）'!$P$5:$AL$5,0),1)="","",VLOOKUP($A114,'标准新手流程（非R）'!$P$5:$AL$144,MATCH(F$3,'标准新手流程（非R）'!$P$5:$AL$5,0),1))</f>
        <v>75级紫</v>
      </c>
      <c r="G114" s="1" t="str">
        <f>IF(VLOOKUP($A114,'标准新手流程（非R）'!$P$5:$AL$144,MATCH(G$3,'标准新手流程（非R）'!$P$5:$AL$5,0),1)="","",VLOOKUP($A114,'标准新手流程（非R）'!$P$5:$AL$144,MATCH(G$3,'标准新手流程（非R）'!$P$5:$AL$5,0),1))</f>
        <v>75级紫</v>
      </c>
      <c r="H114" s="1" t="str">
        <f>IF(VLOOKUP($A114,'标准新手流程（非R）'!$P$5:$AL$144,MATCH(H$3,'标准新手流程（非R）'!$P$5:$AL$5,0),1)="","",VLOOKUP($A114,'标准新手流程（非R）'!$P$5:$AL$144,MATCH(H$3,'标准新手流程（非R）'!$P$5:$AL$5,0),1))</f>
        <v>75级紫</v>
      </c>
      <c r="I114" s="1" t="str">
        <f>IF(VLOOKUP($A114,'标准新手流程（非R）'!$P$5:$AL$144,MATCH(I$3,'标准新手流程（非R）'!$P$5:$AL$5,0),1)="","",VLOOKUP($A114,'标准新手流程（非R）'!$P$5:$AL$144,MATCH(I$3,'标准新手流程（非R）'!$P$5:$AL$5,0),1))</f>
        <v>75级紫</v>
      </c>
    </row>
    <row r="115" spans="1:9" x14ac:dyDescent="0.15">
      <c r="A115" s="1">
        <v>112</v>
      </c>
      <c r="B115" s="1" t="str">
        <f>IF(VLOOKUP($A115,'标准新手流程（非R）'!$P$5:$AL$144,MATCH(B$3,'标准新手流程（非R）'!$P$5:$AL$5,0),1)="","",VLOOKUP($A115,'标准新手流程（非R）'!$P$5:$AL$144,MATCH(B$3,'标准新手流程（非R）'!$P$5:$AL$5,0),1))</f>
        <v>75级紫</v>
      </c>
      <c r="C115" s="1" t="str">
        <f>IF(VLOOKUP($A115,'标准新手流程（非R）'!$P$5:$AL$144,MATCH(C$3,'标准新手流程（非R）'!$P$5:$AL$5,0),1)="","",VLOOKUP($A115,'标准新手流程（非R）'!$P$5:$AL$144,MATCH(C$3,'标准新手流程（非R）'!$P$5:$AL$5,0),1))</f>
        <v>75级紫</v>
      </c>
      <c r="D115" s="1" t="str">
        <f>IF(VLOOKUP($A115,'标准新手流程（非R）'!$P$5:$AL$144,MATCH(D$3,'标准新手流程（非R）'!$P$5:$AL$5,0),1)="","",VLOOKUP($A115,'标准新手流程（非R）'!$P$5:$AL$144,MATCH(D$3,'标准新手流程（非R）'!$P$5:$AL$5,0),1))</f>
        <v>75级紫</v>
      </c>
      <c r="E115" s="1" t="str">
        <f>IF(VLOOKUP($A115,'标准新手流程（非R）'!$P$5:$AL$144,MATCH(E$3,'标准新手流程（非R）'!$P$5:$AL$5,0),1)="","",VLOOKUP($A115,'标准新手流程（非R）'!$P$5:$AL$144,MATCH(E$3,'标准新手流程（非R）'!$P$5:$AL$5,0),1))</f>
        <v>75级紫</v>
      </c>
      <c r="F115" s="1" t="str">
        <f>IF(VLOOKUP($A115,'标准新手流程（非R）'!$P$5:$AL$144,MATCH(F$3,'标准新手流程（非R）'!$P$5:$AL$5,0),1)="","",VLOOKUP($A115,'标准新手流程（非R）'!$P$5:$AL$144,MATCH(F$3,'标准新手流程（非R）'!$P$5:$AL$5,0),1))</f>
        <v>75级紫</v>
      </c>
      <c r="G115" s="1" t="str">
        <f>IF(VLOOKUP($A115,'标准新手流程（非R）'!$P$5:$AL$144,MATCH(G$3,'标准新手流程（非R）'!$P$5:$AL$5,0),1)="","",VLOOKUP($A115,'标准新手流程（非R）'!$P$5:$AL$144,MATCH(G$3,'标准新手流程（非R）'!$P$5:$AL$5,0),1))</f>
        <v>75级紫</v>
      </c>
      <c r="H115" s="1" t="str">
        <f>IF(VLOOKUP($A115,'标准新手流程（非R）'!$P$5:$AL$144,MATCH(H$3,'标准新手流程（非R）'!$P$5:$AL$5,0),1)="","",VLOOKUP($A115,'标准新手流程（非R）'!$P$5:$AL$144,MATCH(H$3,'标准新手流程（非R）'!$P$5:$AL$5,0),1))</f>
        <v>75级紫</v>
      </c>
      <c r="I115" s="1" t="str">
        <f>IF(VLOOKUP($A115,'标准新手流程（非R）'!$P$5:$AL$144,MATCH(I$3,'标准新手流程（非R）'!$P$5:$AL$5,0),1)="","",VLOOKUP($A115,'标准新手流程（非R）'!$P$5:$AL$144,MATCH(I$3,'标准新手流程（非R）'!$P$5:$AL$5,0),1))</f>
        <v>75级紫</v>
      </c>
    </row>
    <row r="116" spans="1:9" x14ac:dyDescent="0.15">
      <c r="A116" s="1">
        <v>113</v>
      </c>
      <c r="B116" s="1" t="str">
        <f>IF(VLOOKUP($A116,'标准新手流程（非R）'!$P$5:$AL$144,MATCH(B$3,'标准新手流程（非R）'!$P$5:$AL$5,0),1)="","",VLOOKUP($A116,'标准新手流程（非R）'!$P$5:$AL$144,MATCH(B$3,'标准新手流程（非R）'!$P$5:$AL$5,0),1))</f>
        <v>75级紫</v>
      </c>
      <c r="C116" s="1" t="str">
        <f>IF(VLOOKUP($A116,'标准新手流程（非R）'!$P$5:$AL$144,MATCH(C$3,'标准新手流程（非R）'!$P$5:$AL$5,0),1)="","",VLOOKUP($A116,'标准新手流程（非R）'!$P$5:$AL$144,MATCH(C$3,'标准新手流程（非R）'!$P$5:$AL$5,0),1))</f>
        <v>75级紫</v>
      </c>
      <c r="D116" s="1" t="str">
        <f>IF(VLOOKUP($A116,'标准新手流程（非R）'!$P$5:$AL$144,MATCH(D$3,'标准新手流程（非R）'!$P$5:$AL$5,0),1)="","",VLOOKUP($A116,'标准新手流程（非R）'!$P$5:$AL$144,MATCH(D$3,'标准新手流程（非R）'!$P$5:$AL$5,0),1))</f>
        <v>75级紫</v>
      </c>
      <c r="E116" s="1" t="str">
        <f>IF(VLOOKUP($A116,'标准新手流程（非R）'!$P$5:$AL$144,MATCH(E$3,'标准新手流程（非R）'!$P$5:$AL$5,0),1)="","",VLOOKUP($A116,'标准新手流程（非R）'!$P$5:$AL$144,MATCH(E$3,'标准新手流程（非R）'!$P$5:$AL$5,0),1))</f>
        <v>75级紫</v>
      </c>
      <c r="F116" s="1" t="str">
        <f>IF(VLOOKUP($A116,'标准新手流程（非R）'!$P$5:$AL$144,MATCH(F$3,'标准新手流程（非R）'!$P$5:$AL$5,0),1)="","",VLOOKUP($A116,'标准新手流程（非R）'!$P$5:$AL$144,MATCH(F$3,'标准新手流程（非R）'!$P$5:$AL$5,0),1))</f>
        <v>75级紫</v>
      </c>
      <c r="G116" s="1" t="str">
        <f>IF(VLOOKUP($A116,'标准新手流程（非R）'!$P$5:$AL$144,MATCH(G$3,'标准新手流程（非R）'!$P$5:$AL$5,0),1)="","",VLOOKUP($A116,'标准新手流程（非R）'!$P$5:$AL$144,MATCH(G$3,'标准新手流程（非R）'!$P$5:$AL$5,0),1))</f>
        <v>75级紫</v>
      </c>
      <c r="H116" s="1" t="str">
        <f>IF(VLOOKUP($A116,'标准新手流程（非R）'!$P$5:$AL$144,MATCH(H$3,'标准新手流程（非R）'!$P$5:$AL$5,0),1)="","",VLOOKUP($A116,'标准新手流程（非R）'!$P$5:$AL$144,MATCH(H$3,'标准新手流程（非R）'!$P$5:$AL$5,0),1))</f>
        <v>75级紫</v>
      </c>
      <c r="I116" s="1" t="str">
        <f>IF(VLOOKUP($A116,'标准新手流程（非R）'!$P$5:$AL$144,MATCH(I$3,'标准新手流程（非R）'!$P$5:$AL$5,0),1)="","",VLOOKUP($A116,'标准新手流程（非R）'!$P$5:$AL$144,MATCH(I$3,'标准新手流程（非R）'!$P$5:$AL$5,0),1))</f>
        <v>75级紫</v>
      </c>
    </row>
    <row r="117" spans="1:9" x14ac:dyDescent="0.15">
      <c r="A117" s="1">
        <v>114</v>
      </c>
      <c r="B117" s="1" t="str">
        <f>IF(VLOOKUP($A117,'标准新手流程（非R）'!$P$5:$AL$144,MATCH(B$3,'标准新手流程（非R）'!$P$5:$AL$5,0),1)="","",VLOOKUP($A117,'标准新手流程（非R）'!$P$5:$AL$144,MATCH(B$3,'标准新手流程（非R）'!$P$5:$AL$5,0),1))</f>
        <v>75级紫</v>
      </c>
      <c r="C117" s="1" t="str">
        <f>IF(VLOOKUP($A117,'标准新手流程（非R）'!$P$5:$AL$144,MATCH(C$3,'标准新手流程（非R）'!$P$5:$AL$5,0),1)="","",VLOOKUP($A117,'标准新手流程（非R）'!$P$5:$AL$144,MATCH(C$3,'标准新手流程（非R）'!$P$5:$AL$5,0),1))</f>
        <v>75级紫</v>
      </c>
      <c r="D117" s="1" t="str">
        <f>IF(VLOOKUP($A117,'标准新手流程（非R）'!$P$5:$AL$144,MATCH(D$3,'标准新手流程（非R）'!$P$5:$AL$5,0),1)="","",VLOOKUP($A117,'标准新手流程（非R）'!$P$5:$AL$144,MATCH(D$3,'标准新手流程（非R）'!$P$5:$AL$5,0),1))</f>
        <v>75级紫</v>
      </c>
      <c r="E117" s="1" t="str">
        <f>IF(VLOOKUP($A117,'标准新手流程（非R）'!$P$5:$AL$144,MATCH(E$3,'标准新手流程（非R）'!$P$5:$AL$5,0),1)="","",VLOOKUP($A117,'标准新手流程（非R）'!$P$5:$AL$144,MATCH(E$3,'标准新手流程（非R）'!$P$5:$AL$5,0),1))</f>
        <v>75级紫</v>
      </c>
      <c r="F117" s="1" t="str">
        <f>IF(VLOOKUP($A117,'标准新手流程（非R）'!$P$5:$AL$144,MATCH(F$3,'标准新手流程（非R）'!$P$5:$AL$5,0),1)="","",VLOOKUP($A117,'标准新手流程（非R）'!$P$5:$AL$144,MATCH(F$3,'标准新手流程（非R）'!$P$5:$AL$5,0),1))</f>
        <v>75级紫</v>
      </c>
      <c r="G117" s="1" t="str">
        <f>IF(VLOOKUP($A117,'标准新手流程（非R）'!$P$5:$AL$144,MATCH(G$3,'标准新手流程（非R）'!$P$5:$AL$5,0),1)="","",VLOOKUP($A117,'标准新手流程（非R）'!$P$5:$AL$144,MATCH(G$3,'标准新手流程（非R）'!$P$5:$AL$5,0),1))</f>
        <v>75级紫</v>
      </c>
      <c r="H117" s="1" t="str">
        <f>IF(VLOOKUP($A117,'标准新手流程（非R）'!$P$5:$AL$144,MATCH(H$3,'标准新手流程（非R）'!$P$5:$AL$5,0),1)="","",VLOOKUP($A117,'标准新手流程（非R）'!$P$5:$AL$144,MATCH(H$3,'标准新手流程（非R）'!$P$5:$AL$5,0),1))</f>
        <v>75级紫</v>
      </c>
      <c r="I117" s="1" t="str">
        <f>IF(VLOOKUP($A117,'标准新手流程（非R）'!$P$5:$AL$144,MATCH(I$3,'标准新手流程（非R）'!$P$5:$AL$5,0),1)="","",VLOOKUP($A117,'标准新手流程（非R）'!$P$5:$AL$144,MATCH(I$3,'标准新手流程（非R）'!$P$5:$AL$5,0),1))</f>
        <v>75级紫</v>
      </c>
    </row>
    <row r="118" spans="1:9" x14ac:dyDescent="0.15">
      <c r="A118" s="1">
        <v>115</v>
      </c>
      <c r="B118" s="1" t="str">
        <f>IF(VLOOKUP($A118,'标准新手流程（非R）'!$P$5:$AL$144,MATCH(B$3,'标准新手流程（非R）'!$P$5:$AL$5,0),1)="","",VLOOKUP($A118,'标准新手流程（非R）'!$P$5:$AL$144,MATCH(B$3,'标准新手流程（非R）'!$P$5:$AL$5,0),1))</f>
        <v>75级紫</v>
      </c>
      <c r="C118" s="1" t="str">
        <f>IF(VLOOKUP($A118,'标准新手流程（非R）'!$P$5:$AL$144,MATCH(C$3,'标准新手流程（非R）'!$P$5:$AL$5,0),1)="","",VLOOKUP($A118,'标准新手流程（非R）'!$P$5:$AL$144,MATCH(C$3,'标准新手流程（非R）'!$P$5:$AL$5,0),1))</f>
        <v>75级紫</v>
      </c>
      <c r="D118" s="1" t="str">
        <f>IF(VLOOKUP($A118,'标准新手流程（非R）'!$P$5:$AL$144,MATCH(D$3,'标准新手流程（非R）'!$P$5:$AL$5,0),1)="","",VLOOKUP($A118,'标准新手流程（非R）'!$P$5:$AL$144,MATCH(D$3,'标准新手流程（非R）'!$P$5:$AL$5,0),1))</f>
        <v>75级紫</v>
      </c>
      <c r="E118" s="1" t="str">
        <f>IF(VLOOKUP($A118,'标准新手流程（非R）'!$P$5:$AL$144,MATCH(E$3,'标准新手流程（非R）'!$P$5:$AL$5,0),1)="","",VLOOKUP($A118,'标准新手流程（非R）'!$P$5:$AL$144,MATCH(E$3,'标准新手流程（非R）'!$P$5:$AL$5,0),1))</f>
        <v>75级紫</v>
      </c>
      <c r="F118" s="1" t="str">
        <f>IF(VLOOKUP($A118,'标准新手流程（非R）'!$P$5:$AL$144,MATCH(F$3,'标准新手流程（非R）'!$P$5:$AL$5,0),1)="","",VLOOKUP($A118,'标准新手流程（非R）'!$P$5:$AL$144,MATCH(F$3,'标准新手流程（非R）'!$P$5:$AL$5,0),1))</f>
        <v>75级紫</v>
      </c>
      <c r="G118" s="1" t="str">
        <f>IF(VLOOKUP($A118,'标准新手流程（非R）'!$P$5:$AL$144,MATCH(G$3,'标准新手流程（非R）'!$P$5:$AL$5,0),1)="","",VLOOKUP($A118,'标准新手流程（非R）'!$P$5:$AL$144,MATCH(G$3,'标准新手流程（非R）'!$P$5:$AL$5,0),1))</f>
        <v>75级紫</v>
      </c>
      <c r="H118" s="1" t="str">
        <f>IF(VLOOKUP($A118,'标准新手流程（非R）'!$P$5:$AL$144,MATCH(H$3,'标准新手流程（非R）'!$P$5:$AL$5,0),1)="","",VLOOKUP($A118,'标准新手流程（非R）'!$P$5:$AL$144,MATCH(H$3,'标准新手流程（非R）'!$P$5:$AL$5,0),1))</f>
        <v>75级紫</v>
      </c>
      <c r="I118" s="1" t="str">
        <f>IF(VLOOKUP($A118,'标准新手流程（非R）'!$P$5:$AL$144,MATCH(I$3,'标准新手流程（非R）'!$P$5:$AL$5,0),1)="","",VLOOKUP($A118,'标准新手流程（非R）'!$P$5:$AL$144,MATCH(I$3,'标准新手流程（非R）'!$P$5:$AL$5,0),1))</f>
        <v>75级紫</v>
      </c>
    </row>
    <row r="119" spans="1:9" x14ac:dyDescent="0.15">
      <c r="A119" s="1">
        <v>116</v>
      </c>
      <c r="B119" s="1" t="str">
        <f>IF(VLOOKUP($A119,'标准新手流程（非R）'!$P$5:$AL$144,MATCH(B$3,'标准新手流程（非R）'!$P$5:$AL$5,0),1)="","",VLOOKUP($A119,'标准新手流程（非R）'!$P$5:$AL$144,MATCH(B$3,'标准新手流程（非R）'!$P$5:$AL$5,0),1))</f>
        <v>75级紫</v>
      </c>
      <c r="C119" s="1" t="str">
        <f>IF(VLOOKUP($A119,'标准新手流程（非R）'!$P$5:$AL$144,MATCH(C$3,'标准新手流程（非R）'!$P$5:$AL$5,0),1)="","",VLOOKUP($A119,'标准新手流程（非R）'!$P$5:$AL$144,MATCH(C$3,'标准新手流程（非R）'!$P$5:$AL$5,0),1))</f>
        <v>75级紫</v>
      </c>
      <c r="D119" s="1" t="str">
        <f>IF(VLOOKUP($A119,'标准新手流程（非R）'!$P$5:$AL$144,MATCH(D$3,'标准新手流程（非R）'!$P$5:$AL$5,0),1)="","",VLOOKUP($A119,'标准新手流程（非R）'!$P$5:$AL$144,MATCH(D$3,'标准新手流程（非R）'!$P$5:$AL$5,0),1))</f>
        <v>75级紫</v>
      </c>
      <c r="E119" s="1" t="str">
        <f>IF(VLOOKUP($A119,'标准新手流程（非R）'!$P$5:$AL$144,MATCH(E$3,'标准新手流程（非R）'!$P$5:$AL$5,0),1)="","",VLOOKUP($A119,'标准新手流程（非R）'!$P$5:$AL$144,MATCH(E$3,'标准新手流程（非R）'!$P$5:$AL$5,0),1))</f>
        <v>75级紫</v>
      </c>
      <c r="F119" s="1" t="str">
        <f>IF(VLOOKUP($A119,'标准新手流程（非R）'!$P$5:$AL$144,MATCH(F$3,'标准新手流程（非R）'!$P$5:$AL$5,0),1)="","",VLOOKUP($A119,'标准新手流程（非R）'!$P$5:$AL$144,MATCH(F$3,'标准新手流程（非R）'!$P$5:$AL$5,0),1))</f>
        <v>75级紫</v>
      </c>
      <c r="G119" s="1" t="str">
        <f>IF(VLOOKUP($A119,'标准新手流程（非R）'!$P$5:$AL$144,MATCH(G$3,'标准新手流程（非R）'!$P$5:$AL$5,0),1)="","",VLOOKUP($A119,'标准新手流程（非R）'!$P$5:$AL$144,MATCH(G$3,'标准新手流程（非R）'!$P$5:$AL$5,0),1))</f>
        <v>75级紫</v>
      </c>
      <c r="H119" s="1" t="str">
        <f>IF(VLOOKUP($A119,'标准新手流程（非R）'!$P$5:$AL$144,MATCH(H$3,'标准新手流程（非R）'!$P$5:$AL$5,0),1)="","",VLOOKUP($A119,'标准新手流程（非R）'!$P$5:$AL$144,MATCH(H$3,'标准新手流程（非R）'!$P$5:$AL$5,0),1))</f>
        <v>75级紫</v>
      </c>
      <c r="I119" s="1" t="str">
        <f>IF(VLOOKUP($A119,'标准新手流程（非R）'!$P$5:$AL$144,MATCH(I$3,'标准新手流程（非R）'!$P$5:$AL$5,0),1)="","",VLOOKUP($A119,'标准新手流程（非R）'!$P$5:$AL$144,MATCH(I$3,'标准新手流程（非R）'!$P$5:$AL$5,0),1))</f>
        <v>75级紫</v>
      </c>
    </row>
    <row r="120" spans="1:9" x14ac:dyDescent="0.15">
      <c r="A120" s="1">
        <v>117</v>
      </c>
      <c r="B120" s="1" t="str">
        <f>IF(VLOOKUP($A120,'标准新手流程（非R）'!$P$5:$AL$144,MATCH(B$3,'标准新手流程（非R）'!$P$5:$AL$5,0),1)="","",VLOOKUP($A120,'标准新手流程（非R）'!$P$5:$AL$144,MATCH(B$3,'标准新手流程（非R）'!$P$5:$AL$5,0),1))</f>
        <v>75级紫</v>
      </c>
      <c r="C120" s="1" t="str">
        <f>IF(VLOOKUP($A120,'标准新手流程（非R）'!$P$5:$AL$144,MATCH(C$3,'标准新手流程（非R）'!$P$5:$AL$5,0),1)="","",VLOOKUP($A120,'标准新手流程（非R）'!$P$5:$AL$144,MATCH(C$3,'标准新手流程（非R）'!$P$5:$AL$5,0),1))</f>
        <v>75级紫</v>
      </c>
      <c r="D120" s="1" t="str">
        <f>IF(VLOOKUP($A120,'标准新手流程（非R）'!$P$5:$AL$144,MATCH(D$3,'标准新手流程（非R）'!$P$5:$AL$5,0),1)="","",VLOOKUP($A120,'标准新手流程（非R）'!$P$5:$AL$144,MATCH(D$3,'标准新手流程（非R）'!$P$5:$AL$5,0),1))</f>
        <v>75级紫</v>
      </c>
      <c r="E120" s="1" t="str">
        <f>IF(VLOOKUP($A120,'标准新手流程（非R）'!$P$5:$AL$144,MATCH(E$3,'标准新手流程（非R）'!$P$5:$AL$5,0),1)="","",VLOOKUP($A120,'标准新手流程（非R）'!$P$5:$AL$144,MATCH(E$3,'标准新手流程（非R）'!$P$5:$AL$5,0),1))</f>
        <v>75级紫</v>
      </c>
      <c r="F120" s="1" t="str">
        <f>IF(VLOOKUP($A120,'标准新手流程（非R）'!$P$5:$AL$144,MATCH(F$3,'标准新手流程（非R）'!$P$5:$AL$5,0),1)="","",VLOOKUP($A120,'标准新手流程（非R）'!$P$5:$AL$144,MATCH(F$3,'标准新手流程（非R）'!$P$5:$AL$5,0),1))</f>
        <v>75级紫</v>
      </c>
      <c r="G120" s="1" t="str">
        <f>IF(VLOOKUP($A120,'标准新手流程（非R）'!$P$5:$AL$144,MATCH(G$3,'标准新手流程（非R）'!$P$5:$AL$5,0),1)="","",VLOOKUP($A120,'标准新手流程（非R）'!$P$5:$AL$144,MATCH(G$3,'标准新手流程（非R）'!$P$5:$AL$5,0),1))</f>
        <v>75级紫</v>
      </c>
      <c r="H120" s="1" t="str">
        <f>IF(VLOOKUP($A120,'标准新手流程（非R）'!$P$5:$AL$144,MATCH(H$3,'标准新手流程（非R）'!$P$5:$AL$5,0),1)="","",VLOOKUP($A120,'标准新手流程（非R）'!$P$5:$AL$144,MATCH(H$3,'标准新手流程（非R）'!$P$5:$AL$5,0),1))</f>
        <v>75级紫</v>
      </c>
      <c r="I120" s="1" t="str">
        <f>IF(VLOOKUP($A120,'标准新手流程（非R）'!$P$5:$AL$144,MATCH(I$3,'标准新手流程（非R）'!$P$5:$AL$5,0),1)="","",VLOOKUP($A120,'标准新手流程（非R）'!$P$5:$AL$144,MATCH(I$3,'标准新手流程（非R）'!$P$5:$AL$5,0),1))</f>
        <v>75级紫</v>
      </c>
    </row>
    <row r="121" spans="1:9" x14ac:dyDescent="0.15">
      <c r="A121" s="1">
        <v>118</v>
      </c>
      <c r="B121" s="1" t="str">
        <f>IF(VLOOKUP($A121,'标准新手流程（非R）'!$P$5:$AL$144,MATCH(B$3,'标准新手流程（非R）'!$P$5:$AL$5,0),1)="","",VLOOKUP($A121,'标准新手流程（非R）'!$P$5:$AL$144,MATCH(B$3,'标准新手流程（非R）'!$P$5:$AL$5,0),1))</f>
        <v>75级紫</v>
      </c>
      <c r="C121" s="1" t="str">
        <f>IF(VLOOKUP($A121,'标准新手流程（非R）'!$P$5:$AL$144,MATCH(C$3,'标准新手流程（非R）'!$P$5:$AL$5,0),1)="","",VLOOKUP($A121,'标准新手流程（非R）'!$P$5:$AL$144,MATCH(C$3,'标准新手流程（非R）'!$P$5:$AL$5,0),1))</f>
        <v>75级紫</v>
      </c>
      <c r="D121" s="1" t="str">
        <f>IF(VLOOKUP($A121,'标准新手流程（非R）'!$P$5:$AL$144,MATCH(D$3,'标准新手流程（非R）'!$P$5:$AL$5,0),1)="","",VLOOKUP($A121,'标准新手流程（非R）'!$P$5:$AL$144,MATCH(D$3,'标准新手流程（非R）'!$P$5:$AL$5,0),1))</f>
        <v>75级紫</v>
      </c>
      <c r="E121" s="1" t="str">
        <f>IF(VLOOKUP($A121,'标准新手流程（非R）'!$P$5:$AL$144,MATCH(E$3,'标准新手流程（非R）'!$P$5:$AL$5,0),1)="","",VLOOKUP($A121,'标准新手流程（非R）'!$P$5:$AL$144,MATCH(E$3,'标准新手流程（非R）'!$P$5:$AL$5,0),1))</f>
        <v>75级紫</v>
      </c>
      <c r="F121" s="1" t="str">
        <f>IF(VLOOKUP($A121,'标准新手流程（非R）'!$P$5:$AL$144,MATCH(F$3,'标准新手流程（非R）'!$P$5:$AL$5,0),1)="","",VLOOKUP($A121,'标准新手流程（非R）'!$P$5:$AL$144,MATCH(F$3,'标准新手流程（非R）'!$P$5:$AL$5,0),1))</f>
        <v>75级紫</v>
      </c>
      <c r="G121" s="1" t="str">
        <f>IF(VLOOKUP($A121,'标准新手流程（非R）'!$P$5:$AL$144,MATCH(G$3,'标准新手流程（非R）'!$P$5:$AL$5,0),1)="","",VLOOKUP($A121,'标准新手流程（非R）'!$P$5:$AL$144,MATCH(G$3,'标准新手流程（非R）'!$P$5:$AL$5,0),1))</f>
        <v>75级紫</v>
      </c>
      <c r="H121" s="1" t="str">
        <f>IF(VLOOKUP($A121,'标准新手流程（非R）'!$P$5:$AL$144,MATCH(H$3,'标准新手流程（非R）'!$P$5:$AL$5,0),1)="","",VLOOKUP($A121,'标准新手流程（非R）'!$P$5:$AL$144,MATCH(H$3,'标准新手流程（非R）'!$P$5:$AL$5,0),1))</f>
        <v>75级紫</v>
      </c>
      <c r="I121" s="1" t="str">
        <f>IF(VLOOKUP($A121,'标准新手流程（非R）'!$P$5:$AL$144,MATCH(I$3,'标准新手流程（非R）'!$P$5:$AL$5,0),1)="","",VLOOKUP($A121,'标准新手流程（非R）'!$P$5:$AL$144,MATCH(I$3,'标准新手流程（非R）'!$P$5:$AL$5,0),1))</f>
        <v>75级紫</v>
      </c>
    </row>
    <row r="122" spans="1:9" x14ac:dyDescent="0.15">
      <c r="A122" s="1">
        <v>119</v>
      </c>
      <c r="B122" s="1" t="str">
        <f>IF(VLOOKUP($A122,'标准新手流程（非R）'!$P$5:$AL$144,MATCH(B$3,'标准新手流程（非R）'!$P$5:$AL$5,0),1)="","",VLOOKUP($A122,'标准新手流程（非R）'!$P$5:$AL$144,MATCH(B$3,'标准新手流程（非R）'!$P$5:$AL$5,0),1))</f>
        <v>75级紫</v>
      </c>
      <c r="C122" s="1" t="str">
        <f>IF(VLOOKUP($A122,'标准新手流程（非R）'!$P$5:$AL$144,MATCH(C$3,'标准新手流程（非R）'!$P$5:$AL$5,0),1)="","",VLOOKUP($A122,'标准新手流程（非R）'!$P$5:$AL$144,MATCH(C$3,'标准新手流程（非R）'!$P$5:$AL$5,0),1))</f>
        <v>75级紫</v>
      </c>
      <c r="D122" s="1" t="str">
        <f>IF(VLOOKUP($A122,'标准新手流程（非R）'!$P$5:$AL$144,MATCH(D$3,'标准新手流程（非R）'!$P$5:$AL$5,0),1)="","",VLOOKUP($A122,'标准新手流程（非R）'!$P$5:$AL$144,MATCH(D$3,'标准新手流程（非R）'!$P$5:$AL$5,0),1))</f>
        <v>75级紫</v>
      </c>
      <c r="E122" s="1" t="str">
        <f>IF(VLOOKUP($A122,'标准新手流程（非R）'!$P$5:$AL$144,MATCH(E$3,'标准新手流程（非R）'!$P$5:$AL$5,0),1)="","",VLOOKUP($A122,'标准新手流程（非R）'!$P$5:$AL$144,MATCH(E$3,'标准新手流程（非R）'!$P$5:$AL$5,0),1))</f>
        <v>75级紫</v>
      </c>
      <c r="F122" s="1" t="str">
        <f>IF(VLOOKUP($A122,'标准新手流程（非R）'!$P$5:$AL$144,MATCH(F$3,'标准新手流程（非R）'!$P$5:$AL$5,0),1)="","",VLOOKUP($A122,'标准新手流程（非R）'!$P$5:$AL$144,MATCH(F$3,'标准新手流程（非R）'!$P$5:$AL$5,0),1))</f>
        <v>75级紫</v>
      </c>
      <c r="G122" s="1" t="str">
        <f>IF(VLOOKUP($A122,'标准新手流程（非R）'!$P$5:$AL$144,MATCH(G$3,'标准新手流程（非R）'!$P$5:$AL$5,0),1)="","",VLOOKUP($A122,'标准新手流程（非R）'!$P$5:$AL$144,MATCH(G$3,'标准新手流程（非R）'!$P$5:$AL$5,0),1))</f>
        <v>75级紫</v>
      </c>
      <c r="H122" s="1" t="str">
        <f>IF(VLOOKUP($A122,'标准新手流程（非R）'!$P$5:$AL$144,MATCH(H$3,'标准新手流程（非R）'!$P$5:$AL$5,0),1)="","",VLOOKUP($A122,'标准新手流程（非R）'!$P$5:$AL$144,MATCH(H$3,'标准新手流程（非R）'!$P$5:$AL$5,0),1))</f>
        <v>75级紫</v>
      </c>
      <c r="I122" s="1" t="str">
        <f>IF(VLOOKUP($A122,'标准新手流程（非R）'!$P$5:$AL$144,MATCH(I$3,'标准新手流程（非R）'!$P$5:$AL$5,0),1)="","",VLOOKUP($A122,'标准新手流程（非R）'!$P$5:$AL$144,MATCH(I$3,'标准新手流程（非R）'!$P$5:$AL$5,0),1))</f>
        <v>75级紫</v>
      </c>
    </row>
    <row r="123" spans="1:9" x14ac:dyDescent="0.15">
      <c r="A123" s="1">
        <v>120</v>
      </c>
      <c r="B123" s="1" t="str">
        <f>IF(VLOOKUP($A123,'标准新手流程（非R）'!$P$5:$AL$144,MATCH(B$3,'标准新手流程（非R）'!$P$5:$AL$5,0),1)="","",VLOOKUP($A123,'标准新手流程（非R）'!$P$5:$AL$144,MATCH(B$3,'标准新手流程（非R）'!$P$5:$AL$5,0),1))</f>
        <v>120级红</v>
      </c>
      <c r="C123" s="1" t="str">
        <f>IF(VLOOKUP($A123,'标准新手流程（非R）'!$P$5:$AL$144,MATCH(C$3,'标准新手流程（非R）'!$P$5:$AL$5,0),1)="","",VLOOKUP($A123,'标准新手流程（非R）'!$P$5:$AL$144,MATCH(C$3,'标准新手流程（非R）'!$P$5:$AL$5,0),1))</f>
        <v>75级紫</v>
      </c>
      <c r="D123" s="1" t="str">
        <f>IF(VLOOKUP($A123,'标准新手流程（非R）'!$P$5:$AL$144,MATCH(D$3,'标准新手流程（非R）'!$P$5:$AL$5,0),1)="","",VLOOKUP($A123,'标准新手流程（非R）'!$P$5:$AL$144,MATCH(D$3,'标准新手流程（非R）'!$P$5:$AL$5,0),1))</f>
        <v>75级紫</v>
      </c>
      <c r="E123" s="1" t="str">
        <f>IF(VLOOKUP($A123,'标准新手流程（非R）'!$P$5:$AL$144,MATCH(E$3,'标准新手流程（非R）'!$P$5:$AL$5,0),1)="","",VLOOKUP($A123,'标准新手流程（非R）'!$P$5:$AL$144,MATCH(E$3,'标准新手流程（非R）'!$P$5:$AL$5,0),1))</f>
        <v>75级紫</v>
      </c>
      <c r="F123" s="1" t="str">
        <f>IF(VLOOKUP($A123,'标准新手流程（非R）'!$P$5:$AL$144,MATCH(F$3,'标准新手流程（非R）'!$P$5:$AL$5,0),1)="","",VLOOKUP($A123,'标准新手流程（非R）'!$P$5:$AL$144,MATCH(F$3,'标准新手流程（非R）'!$P$5:$AL$5,0),1))</f>
        <v>75级紫</v>
      </c>
      <c r="G123" s="1" t="str">
        <f>IF(VLOOKUP($A123,'标准新手流程（非R）'!$P$5:$AL$144,MATCH(G$3,'标准新手流程（非R）'!$P$5:$AL$5,0),1)="","",VLOOKUP($A123,'标准新手流程（非R）'!$P$5:$AL$144,MATCH(G$3,'标准新手流程（非R）'!$P$5:$AL$5,0),1))</f>
        <v>75级紫</v>
      </c>
      <c r="H123" s="1" t="str">
        <f>IF(VLOOKUP($A123,'标准新手流程（非R）'!$P$5:$AL$144,MATCH(H$3,'标准新手流程（非R）'!$P$5:$AL$5,0),1)="","",VLOOKUP($A123,'标准新手流程（非R）'!$P$5:$AL$144,MATCH(H$3,'标准新手流程（非R）'!$P$5:$AL$5,0),1))</f>
        <v>75级紫</v>
      </c>
      <c r="I123" s="1" t="str">
        <f>IF(VLOOKUP($A123,'标准新手流程（非R）'!$P$5:$AL$144,MATCH(I$3,'标准新手流程（非R）'!$P$5:$AL$5,0),1)="","",VLOOKUP($A123,'标准新手流程（非R）'!$P$5:$AL$144,MATCH(I$3,'标准新手流程（非R）'!$P$5:$AL$5,0),1))</f>
        <v>75级紫</v>
      </c>
    </row>
    <row r="124" spans="1:9" x14ac:dyDescent="0.15">
      <c r="A124" s="1">
        <v>121</v>
      </c>
      <c r="B124" s="1" t="str">
        <f>IF(VLOOKUP($A124,'标准新手流程（非R）'!$P$5:$AL$144,MATCH(B$3,'标准新手流程（非R）'!$P$5:$AL$5,0),1)="","",VLOOKUP($A124,'标准新手流程（非R）'!$P$5:$AL$144,MATCH(B$3,'标准新手流程（非R）'!$P$5:$AL$5,0),1))</f>
        <v>120级红</v>
      </c>
      <c r="C124" s="1" t="str">
        <f>IF(VLOOKUP($A124,'标准新手流程（非R）'!$P$5:$AL$144,MATCH(C$3,'标准新手流程（非R）'!$P$5:$AL$5,0),1)="","",VLOOKUP($A124,'标准新手流程（非R）'!$P$5:$AL$144,MATCH(C$3,'标准新手流程（非R）'!$P$5:$AL$5,0),1))</f>
        <v>75级紫</v>
      </c>
      <c r="D124" s="1" t="str">
        <f>IF(VLOOKUP($A124,'标准新手流程（非R）'!$P$5:$AL$144,MATCH(D$3,'标准新手流程（非R）'!$P$5:$AL$5,0),1)="","",VLOOKUP($A124,'标准新手流程（非R）'!$P$5:$AL$144,MATCH(D$3,'标准新手流程（非R）'!$P$5:$AL$5,0),1))</f>
        <v>75级紫</v>
      </c>
      <c r="E124" s="1" t="str">
        <f>IF(VLOOKUP($A124,'标准新手流程（非R）'!$P$5:$AL$144,MATCH(E$3,'标准新手流程（非R）'!$P$5:$AL$5,0),1)="","",VLOOKUP($A124,'标准新手流程（非R）'!$P$5:$AL$144,MATCH(E$3,'标准新手流程（非R）'!$P$5:$AL$5,0),1))</f>
        <v>75级紫</v>
      </c>
      <c r="F124" s="1" t="str">
        <f>IF(VLOOKUP($A124,'标准新手流程（非R）'!$P$5:$AL$144,MATCH(F$3,'标准新手流程（非R）'!$P$5:$AL$5,0),1)="","",VLOOKUP($A124,'标准新手流程（非R）'!$P$5:$AL$144,MATCH(F$3,'标准新手流程（非R）'!$P$5:$AL$5,0),1))</f>
        <v>75级紫</v>
      </c>
      <c r="G124" s="1" t="str">
        <f>IF(VLOOKUP($A124,'标准新手流程（非R）'!$P$5:$AL$144,MATCH(G$3,'标准新手流程（非R）'!$P$5:$AL$5,0),1)="","",VLOOKUP($A124,'标准新手流程（非R）'!$P$5:$AL$144,MATCH(G$3,'标准新手流程（非R）'!$P$5:$AL$5,0),1))</f>
        <v>75级紫</v>
      </c>
      <c r="H124" s="1" t="str">
        <f>IF(VLOOKUP($A124,'标准新手流程（非R）'!$P$5:$AL$144,MATCH(H$3,'标准新手流程（非R）'!$P$5:$AL$5,0),1)="","",VLOOKUP($A124,'标准新手流程（非R）'!$P$5:$AL$144,MATCH(H$3,'标准新手流程（非R）'!$P$5:$AL$5,0),1))</f>
        <v>75级紫</v>
      </c>
      <c r="I124" s="1" t="str">
        <f>IF(VLOOKUP($A124,'标准新手流程（非R）'!$P$5:$AL$144,MATCH(I$3,'标准新手流程（非R）'!$P$5:$AL$5,0),1)="","",VLOOKUP($A124,'标准新手流程（非R）'!$P$5:$AL$144,MATCH(I$3,'标准新手流程（非R）'!$P$5:$AL$5,0),1))</f>
        <v>75级紫</v>
      </c>
    </row>
    <row r="125" spans="1:9" x14ac:dyDescent="0.15">
      <c r="A125" s="1">
        <v>122</v>
      </c>
      <c r="B125" s="1" t="str">
        <f>IF(VLOOKUP($A125,'标准新手流程（非R）'!$P$5:$AL$144,MATCH(B$3,'标准新手流程（非R）'!$P$5:$AL$5,0),1)="","",VLOOKUP($A125,'标准新手流程（非R）'!$P$5:$AL$144,MATCH(B$3,'标准新手流程（非R）'!$P$5:$AL$5,0),1))</f>
        <v>120级红</v>
      </c>
      <c r="C125" s="1" t="str">
        <f>IF(VLOOKUP($A125,'标准新手流程（非R）'!$P$5:$AL$144,MATCH(C$3,'标准新手流程（非R）'!$P$5:$AL$5,0),1)="","",VLOOKUP($A125,'标准新手流程（非R）'!$P$5:$AL$144,MATCH(C$3,'标准新手流程（非R）'!$P$5:$AL$5,0),1))</f>
        <v>75级紫</v>
      </c>
      <c r="D125" s="1" t="str">
        <f>IF(VLOOKUP($A125,'标准新手流程（非R）'!$P$5:$AL$144,MATCH(D$3,'标准新手流程（非R）'!$P$5:$AL$5,0),1)="","",VLOOKUP($A125,'标准新手流程（非R）'!$P$5:$AL$144,MATCH(D$3,'标准新手流程（非R）'!$P$5:$AL$5,0),1))</f>
        <v>75级紫</v>
      </c>
      <c r="E125" s="1" t="str">
        <f>IF(VLOOKUP($A125,'标准新手流程（非R）'!$P$5:$AL$144,MATCH(E$3,'标准新手流程（非R）'!$P$5:$AL$5,0),1)="","",VLOOKUP($A125,'标准新手流程（非R）'!$P$5:$AL$144,MATCH(E$3,'标准新手流程（非R）'!$P$5:$AL$5,0),1))</f>
        <v>75级紫</v>
      </c>
      <c r="F125" s="1" t="str">
        <f>IF(VLOOKUP($A125,'标准新手流程（非R）'!$P$5:$AL$144,MATCH(F$3,'标准新手流程（非R）'!$P$5:$AL$5,0),1)="","",VLOOKUP($A125,'标准新手流程（非R）'!$P$5:$AL$144,MATCH(F$3,'标准新手流程（非R）'!$P$5:$AL$5,0),1))</f>
        <v>75级紫</v>
      </c>
      <c r="G125" s="1" t="str">
        <f>IF(VLOOKUP($A125,'标准新手流程（非R）'!$P$5:$AL$144,MATCH(G$3,'标准新手流程（非R）'!$P$5:$AL$5,0),1)="","",VLOOKUP($A125,'标准新手流程（非R）'!$P$5:$AL$144,MATCH(G$3,'标准新手流程（非R）'!$P$5:$AL$5,0),1))</f>
        <v>75级紫</v>
      </c>
      <c r="H125" s="1" t="str">
        <f>IF(VLOOKUP($A125,'标准新手流程（非R）'!$P$5:$AL$144,MATCH(H$3,'标准新手流程（非R）'!$P$5:$AL$5,0),1)="","",VLOOKUP($A125,'标准新手流程（非R）'!$P$5:$AL$144,MATCH(H$3,'标准新手流程（非R）'!$P$5:$AL$5,0),1))</f>
        <v>75级紫</v>
      </c>
      <c r="I125" s="1" t="str">
        <f>IF(VLOOKUP($A125,'标准新手流程（非R）'!$P$5:$AL$144,MATCH(I$3,'标准新手流程（非R）'!$P$5:$AL$5,0),1)="","",VLOOKUP($A125,'标准新手流程（非R）'!$P$5:$AL$144,MATCH(I$3,'标准新手流程（非R）'!$P$5:$AL$5,0),1))</f>
        <v>75级紫</v>
      </c>
    </row>
    <row r="126" spans="1:9" x14ac:dyDescent="0.15">
      <c r="A126" s="1">
        <v>123</v>
      </c>
      <c r="B126" s="1" t="str">
        <f>IF(VLOOKUP($A126,'标准新手流程（非R）'!$P$5:$AL$144,MATCH(B$3,'标准新手流程（非R）'!$P$5:$AL$5,0),1)="","",VLOOKUP($A126,'标准新手流程（非R）'!$P$5:$AL$144,MATCH(B$3,'标准新手流程（非R）'!$P$5:$AL$5,0),1))</f>
        <v>120级红</v>
      </c>
      <c r="C126" s="1" t="str">
        <f>IF(VLOOKUP($A126,'标准新手流程（非R）'!$P$5:$AL$144,MATCH(C$3,'标准新手流程（非R）'!$P$5:$AL$5,0),1)="","",VLOOKUP($A126,'标准新手流程（非R）'!$P$5:$AL$144,MATCH(C$3,'标准新手流程（非R）'!$P$5:$AL$5,0),1))</f>
        <v>75级紫</v>
      </c>
      <c r="D126" s="1" t="str">
        <f>IF(VLOOKUP($A126,'标准新手流程（非R）'!$P$5:$AL$144,MATCH(D$3,'标准新手流程（非R）'!$P$5:$AL$5,0),1)="","",VLOOKUP($A126,'标准新手流程（非R）'!$P$5:$AL$144,MATCH(D$3,'标准新手流程（非R）'!$P$5:$AL$5,0),1))</f>
        <v>75级紫</v>
      </c>
      <c r="E126" s="1" t="str">
        <f>IF(VLOOKUP($A126,'标准新手流程（非R）'!$P$5:$AL$144,MATCH(E$3,'标准新手流程（非R）'!$P$5:$AL$5,0),1)="","",VLOOKUP($A126,'标准新手流程（非R）'!$P$5:$AL$144,MATCH(E$3,'标准新手流程（非R）'!$P$5:$AL$5,0),1))</f>
        <v>75级紫</v>
      </c>
      <c r="F126" s="1" t="str">
        <f>IF(VLOOKUP($A126,'标准新手流程（非R）'!$P$5:$AL$144,MATCH(F$3,'标准新手流程（非R）'!$P$5:$AL$5,0),1)="","",VLOOKUP($A126,'标准新手流程（非R）'!$P$5:$AL$144,MATCH(F$3,'标准新手流程（非R）'!$P$5:$AL$5,0),1))</f>
        <v>75级紫</v>
      </c>
      <c r="G126" s="1" t="str">
        <f>IF(VLOOKUP($A126,'标准新手流程（非R）'!$P$5:$AL$144,MATCH(G$3,'标准新手流程（非R）'!$P$5:$AL$5,0),1)="","",VLOOKUP($A126,'标准新手流程（非R）'!$P$5:$AL$144,MATCH(G$3,'标准新手流程（非R）'!$P$5:$AL$5,0),1))</f>
        <v>75级紫</v>
      </c>
      <c r="H126" s="1" t="str">
        <f>IF(VLOOKUP($A126,'标准新手流程（非R）'!$P$5:$AL$144,MATCH(H$3,'标准新手流程（非R）'!$P$5:$AL$5,0),1)="","",VLOOKUP($A126,'标准新手流程（非R）'!$P$5:$AL$144,MATCH(H$3,'标准新手流程（非R）'!$P$5:$AL$5,0),1))</f>
        <v>75级紫</v>
      </c>
      <c r="I126" s="1" t="str">
        <f>IF(VLOOKUP($A126,'标准新手流程（非R）'!$P$5:$AL$144,MATCH(I$3,'标准新手流程（非R）'!$P$5:$AL$5,0),1)="","",VLOOKUP($A126,'标准新手流程（非R）'!$P$5:$AL$144,MATCH(I$3,'标准新手流程（非R）'!$P$5:$AL$5,0),1))</f>
        <v>75级紫</v>
      </c>
    </row>
    <row r="127" spans="1:9" x14ac:dyDescent="0.15">
      <c r="A127" s="1">
        <v>124</v>
      </c>
      <c r="B127" s="1" t="str">
        <f>IF(VLOOKUP($A127,'标准新手流程（非R）'!$P$5:$AL$144,MATCH(B$3,'标准新手流程（非R）'!$P$5:$AL$5,0),1)="","",VLOOKUP($A127,'标准新手流程（非R）'!$P$5:$AL$144,MATCH(B$3,'标准新手流程（非R）'!$P$5:$AL$5,0),1))</f>
        <v>120级红</v>
      </c>
      <c r="C127" s="1" t="str">
        <f>IF(VLOOKUP($A127,'标准新手流程（非R）'!$P$5:$AL$144,MATCH(C$3,'标准新手流程（非R）'!$P$5:$AL$5,0),1)="","",VLOOKUP($A127,'标准新手流程（非R）'!$P$5:$AL$144,MATCH(C$3,'标准新手流程（非R）'!$P$5:$AL$5,0),1))</f>
        <v>75级紫</v>
      </c>
      <c r="D127" s="1" t="str">
        <f>IF(VLOOKUP($A127,'标准新手流程（非R）'!$P$5:$AL$144,MATCH(D$3,'标准新手流程（非R）'!$P$5:$AL$5,0),1)="","",VLOOKUP($A127,'标准新手流程（非R）'!$P$5:$AL$144,MATCH(D$3,'标准新手流程（非R）'!$P$5:$AL$5,0),1))</f>
        <v>75级紫</v>
      </c>
      <c r="E127" s="1" t="str">
        <f>IF(VLOOKUP($A127,'标准新手流程（非R）'!$P$5:$AL$144,MATCH(E$3,'标准新手流程（非R）'!$P$5:$AL$5,0),1)="","",VLOOKUP($A127,'标准新手流程（非R）'!$P$5:$AL$144,MATCH(E$3,'标准新手流程（非R）'!$P$5:$AL$5,0),1))</f>
        <v>75级紫</v>
      </c>
      <c r="F127" s="1" t="str">
        <f>IF(VLOOKUP($A127,'标准新手流程（非R）'!$P$5:$AL$144,MATCH(F$3,'标准新手流程（非R）'!$P$5:$AL$5,0),1)="","",VLOOKUP($A127,'标准新手流程（非R）'!$P$5:$AL$144,MATCH(F$3,'标准新手流程（非R）'!$P$5:$AL$5,0),1))</f>
        <v>75级紫</v>
      </c>
      <c r="G127" s="1" t="str">
        <f>IF(VLOOKUP($A127,'标准新手流程（非R）'!$P$5:$AL$144,MATCH(G$3,'标准新手流程（非R）'!$P$5:$AL$5,0),1)="","",VLOOKUP($A127,'标准新手流程（非R）'!$P$5:$AL$144,MATCH(G$3,'标准新手流程（非R）'!$P$5:$AL$5,0),1))</f>
        <v>75级紫</v>
      </c>
      <c r="H127" s="1" t="str">
        <f>IF(VLOOKUP($A127,'标准新手流程（非R）'!$P$5:$AL$144,MATCH(H$3,'标准新手流程（非R）'!$P$5:$AL$5,0),1)="","",VLOOKUP($A127,'标准新手流程（非R）'!$P$5:$AL$144,MATCH(H$3,'标准新手流程（非R）'!$P$5:$AL$5,0),1))</f>
        <v>75级紫</v>
      </c>
      <c r="I127" s="1" t="str">
        <f>IF(VLOOKUP($A127,'标准新手流程（非R）'!$P$5:$AL$144,MATCH(I$3,'标准新手流程（非R）'!$P$5:$AL$5,0),1)="","",VLOOKUP($A127,'标准新手流程（非R）'!$P$5:$AL$144,MATCH(I$3,'标准新手流程（非R）'!$P$5:$AL$5,0),1))</f>
        <v>75级紫</v>
      </c>
    </row>
    <row r="128" spans="1:9" x14ac:dyDescent="0.15">
      <c r="A128" s="1">
        <v>125</v>
      </c>
      <c r="B128" s="1" t="str">
        <f>IF(VLOOKUP($A128,'标准新手流程（非R）'!$P$5:$AL$144,MATCH(B$3,'标准新手流程（非R）'!$P$5:$AL$5,0),1)="","",VLOOKUP($A128,'标准新手流程（非R）'!$P$5:$AL$144,MATCH(B$3,'标准新手流程（非R）'!$P$5:$AL$5,0),1))</f>
        <v>120级红</v>
      </c>
      <c r="C128" s="1" t="str">
        <f>IF(VLOOKUP($A128,'标准新手流程（非R）'!$P$5:$AL$144,MATCH(C$3,'标准新手流程（非R）'!$P$5:$AL$5,0),1)="","",VLOOKUP($A128,'标准新手流程（非R）'!$P$5:$AL$144,MATCH(C$3,'标准新手流程（非R）'!$P$5:$AL$5,0),1))</f>
        <v>75级紫</v>
      </c>
      <c r="D128" s="1" t="str">
        <f>IF(VLOOKUP($A128,'标准新手流程（非R）'!$P$5:$AL$144,MATCH(D$3,'标准新手流程（非R）'!$P$5:$AL$5,0),1)="","",VLOOKUP($A128,'标准新手流程（非R）'!$P$5:$AL$144,MATCH(D$3,'标准新手流程（非R）'!$P$5:$AL$5,0),1))</f>
        <v>75级紫</v>
      </c>
      <c r="E128" s="1" t="str">
        <f>IF(VLOOKUP($A128,'标准新手流程（非R）'!$P$5:$AL$144,MATCH(E$3,'标准新手流程（非R）'!$P$5:$AL$5,0),1)="","",VLOOKUP($A128,'标准新手流程（非R）'!$P$5:$AL$144,MATCH(E$3,'标准新手流程（非R）'!$P$5:$AL$5,0),1))</f>
        <v>75级紫</v>
      </c>
      <c r="F128" s="1" t="str">
        <f>IF(VLOOKUP($A128,'标准新手流程（非R）'!$P$5:$AL$144,MATCH(F$3,'标准新手流程（非R）'!$P$5:$AL$5,0),1)="","",VLOOKUP($A128,'标准新手流程（非R）'!$P$5:$AL$144,MATCH(F$3,'标准新手流程（非R）'!$P$5:$AL$5,0),1))</f>
        <v>75级紫</v>
      </c>
      <c r="G128" s="1" t="str">
        <f>IF(VLOOKUP($A128,'标准新手流程（非R）'!$P$5:$AL$144,MATCH(G$3,'标准新手流程（非R）'!$P$5:$AL$5,0),1)="","",VLOOKUP($A128,'标准新手流程（非R）'!$P$5:$AL$144,MATCH(G$3,'标准新手流程（非R）'!$P$5:$AL$5,0),1))</f>
        <v>75级紫</v>
      </c>
      <c r="H128" s="1" t="str">
        <f>IF(VLOOKUP($A128,'标准新手流程（非R）'!$P$5:$AL$144,MATCH(H$3,'标准新手流程（非R）'!$P$5:$AL$5,0),1)="","",VLOOKUP($A128,'标准新手流程（非R）'!$P$5:$AL$144,MATCH(H$3,'标准新手流程（非R）'!$P$5:$AL$5,0),1))</f>
        <v>75级紫</v>
      </c>
      <c r="I128" s="1" t="str">
        <f>IF(VLOOKUP($A128,'标准新手流程（非R）'!$P$5:$AL$144,MATCH(I$3,'标准新手流程（非R）'!$P$5:$AL$5,0),1)="","",VLOOKUP($A128,'标准新手流程（非R）'!$P$5:$AL$144,MATCH(I$3,'标准新手流程（非R）'!$P$5:$AL$5,0),1))</f>
        <v>75级紫</v>
      </c>
    </row>
    <row r="129" spans="1:9" x14ac:dyDescent="0.15">
      <c r="A129" s="1">
        <v>126</v>
      </c>
      <c r="B129" s="1" t="str">
        <f>IF(VLOOKUP($A129,'标准新手流程（非R）'!$P$5:$AL$144,MATCH(B$3,'标准新手流程（非R）'!$P$5:$AL$5,0),1)="","",VLOOKUP($A129,'标准新手流程（非R）'!$P$5:$AL$144,MATCH(B$3,'标准新手流程（非R）'!$P$5:$AL$5,0),1))</f>
        <v>120级红</v>
      </c>
      <c r="C129" s="1" t="str">
        <f>IF(VLOOKUP($A129,'标准新手流程（非R）'!$P$5:$AL$144,MATCH(C$3,'标准新手流程（非R）'!$P$5:$AL$5,0),1)="","",VLOOKUP($A129,'标准新手流程（非R）'!$P$5:$AL$144,MATCH(C$3,'标准新手流程（非R）'!$P$5:$AL$5,0),1))</f>
        <v>75级紫</v>
      </c>
      <c r="D129" s="1" t="str">
        <f>IF(VLOOKUP($A129,'标准新手流程（非R）'!$P$5:$AL$144,MATCH(D$3,'标准新手流程（非R）'!$P$5:$AL$5,0),1)="","",VLOOKUP($A129,'标准新手流程（非R）'!$P$5:$AL$144,MATCH(D$3,'标准新手流程（非R）'!$P$5:$AL$5,0),1))</f>
        <v>75级紫</v>
      </c>
      <c r="E129" s="1" t="str">
        <f>IF(VLOOKUP($A129,'标准新手流程（非R）'!$P$5:$AL$144,MATCH(E$3,'标准新手流程（非R）'!$P$5:$AL$5,0),1)="","",VLOOKUP($A129,'标准新手流程（非R）'!$P$5:$AL$144,MATCH(E$3,'标准新手流程（非R）'!$P$5:$AL$5,0),1))</f>
        <v>75级紫</v>
      </c>
      <c r="F129" s="1" t="str">
        <f>IF(VLOOKUP($A129,'标准新手流程（非R）'!$P$5:$AL$144,MATCH(F$3,'标准新手流程（非R）'!$P$5:$AL$5,0),1)="","",VLOOKUP($A129,'标准新手流程（非R）'!$P$5:$AL$144,MATCH(F$3,'标准新手流程（非R）'!$P$5:$AL$5,0),1))</f>
        <v>75级紫</v>
      </c>
      <c r="G129" s="1" t="str">
        <f>IF(VLOOKUP($A129,'标准新手流程（非R）'!$P$5:$AL$144,MATCH(G$3,'标准新手流程（非R）'!$P$5:$AL$5,0),1)="","",VLOOKUP($A129,'标准新手流程（非R）'!$P$5:$AL$144,MATCH(G$3,'标准新手流程（非R）'!$P$5:$AL$5,0),1))</f>
        <v>75级紫</v>
      </c>
      <c r="H129" s="1" t="str">
        <f>IF(VLOOKUP($A129,'标准新手流程（非R）'!$P$5:$AL$144,MATCH(H$3,'标准新手流程（非R）'!$P$5:$AL$5,0),1)="","",VLOOKUP($A129,'标准新手流程（非R）'!$P$5:$AL$144,MATCH(H$3,'标准新手流程（非R）'!$P$5:$AL$5,0),1))</f>
        <v>75级紫</v>
      </c>
      <c r="I129" s="1" t="str">
        <f>IF(VLOOKUP($A129,'标准新手流程（非R）'!$P$5:$AL$144,MATCH(I$3,'标准新手流程（非R）'!$P$5:$AL$5,0),1)="","",VLOOKUP($A129,'标准新手流程（非R）'!$P$5:$AL$144,MATCH(I$3,'标准新手流程（非R）'!$P$5:$AL$5,0),1))</f>
        <v>75级紫</v>
      </c>
    </row>
    <row r="130" spans="1:9" x14ac:dyDescent="0.15">
      <c r="A130" s="1">
        <v>127</v>
      </c>
      <c r="B130" s="1" t="str">
        <f>IF(VLOOKUP($A130,'标准新手流程（非R）'!$P$5:$AL$144,MATCH(B$3,'标准新手流程（非R）'!$P$5:$AL$5,0),1)="","",VLOOKUP($A130,'标准新手流程（非R）'!$P$5:$AL$144,MATCH(B$3,'标准新手流程（非R）'!$P$5:$AL$5,0),1))</f>
        <v>120级红</v>
      </c>
      <c r="C130" s="1" t="str">
        <f>IF(VLOOKUP($A130,'标准新手流程（非R）'!$P$5:$AL$144,MATCH(C$3,'标准新手流程（非R）'!$P$5:$AL$5,0),1)="","",VLOOKUP($A130,'标准新手流程（非R）'!$P$5:$AL$144,MATCH(C$3,'标准新手流程（非R）'!$P$5:$AL$5,0),1))</f>
        <v>75级紫</v>
      </c>
      <c r="D130" s="1" t="str">
        <f>IF(VLOOKUP($A130,'标准新手流程（非R）'!$P$5:$AL$144,MATCH(D$3,'标准新手流程（非R）'!$P$5:$AL$5,0),1)="","",VLOOKUP($A130,'标准新手流程（非R）'!$P$5:$AL$144,MATCH(D$3,'标准新手流程（非R）'!$P$5:$AL$5,0),1))</f>
        <v>75级紫</v>
      </c>
      <c r="E130" s="1" t="str">
        <f>IF(VLOOKUP($A130,'标准新手流程（非R）'!$P$5:$AL$144,MATCH(E$3,'标准新手流程（非R）'!$P$5:$AL$5,0),1)="","",VLOOKUP($A130,'标准新手流程（非R）'!$P$5:$AL$144,MATCH(E$3,'标准新手流程（非R）'!$P$5:$AL$5,0),1))</f>
        <v>75级紫</v>
      </c>
      <c r="F130" s="1" t="str">
        <f>IF(VLOOKUP($A130,'标准新手流程（非R）'!$P$5:$AL$144,MATCH(F$3,'标准新手流程（非R）'!$P$5:$AL$5,0),1)="","",VLOOKUP($A130,'标准新手流程（非R）'!$P$5:$AL$144,MATCH(F$3,'标准新手流程（非R）'!$P$5:$AL$5,0),1))</f>
        <v>75级紫</v>
      </c>
      <c r="G130" s="1" t="str">
        <f>IF(VLOOKUP($A130,'标准新手流程（非R）'!$P$5:$AL$144,MATCH(G$3,'标准新手流程（非R）'!$P$5:$AL$5,0),1)="","",VLOOKUP($A130,'标准新手流程（非R）'!$P$5:$AL$144,MATCH(G$3,'标准新手流程（非R）'!$P$5:$AL$5,0),1))</f>
        <v>75级紫</v>
      </c>
      <c r="H130" s="1" t="str">
        <f>IF(VLOOKUP($A130,'标准新手流程（非R）'!$P$5:$AL$144,MATCH(H$3,'标准新手流程（非R）'!$P$5:$AL$5,0),1)="","",VLOOKUP($A130,'标准新手流程（非R）'!$P$5:$AL$144,MATCH(H$3,'标准新手流程（非R）'!$P$5:$AL$5,0),1))</f>
        <v>75级紫</v>
      </c>
      <c r="I130" s="1" t="str">
        <f>IF(VLOOKUP($A130,'标准新手流程（非R）'!$P$5:$AL$144,MATCH(I$3,'标准新手流程（非R）'!$P$5:$AL$5,0),1)="","",VLOOKUP($A130,'标准新手流程（非R）'!$P$5:$AL$144,MATCH(I$3,'标准新手流程（非R）'!$P$5:$AL$5,0),1))</f>
        <v>75级紫</v>
      </c>
    </row>
    <row r="131" spans="1:9" x14ac:dyDescent="0.15">
      <c r="A131" s="1">
        <v>128</v>
      </c>
      <c r="B131" s="1" t="str">
        <f>IF(VLOOKUP($A131,'标准新手流程（非R）'!$P$5:$AL$144,MATCH(B$3,'标准新手流程（非R）'!$P$5:$AL$5,0),1)="","",VLOOKUP($A131,'标准新手流程（非R）'!$P$5:$AL$144,MATCH(B$3,'标准新手流程（非R）'!$P$5:$AL$5,0),1))</f>
        <v>120级红</v>
      </c>
      <c r="C131" s="1" t="str">
        <f>IF(VLOOKUP($A131,'标准新手流程（非R）'!$P$5:$AL$144,MATCH(C$3,'标准新手流程（非R）'!$P$5:$AL$5,0),1)="","",VLOOKUP($A131,'标准新手流程（非R）'!$P$5:$AL$144,MATCH(C$3,'标准新手流程（非R）'!$P$5:$AL$5,0),1))</f>
        <v>120级绿</v>
      </c>
      <c r="D131" s="1" t="str">
        <f>IF(VLOOKUP($A131,'标准新手流程（非R）'!$P$5:$AL$144,MATCH(D$3,'标准新手流程（非R）'!$P$5:$AL$5,0),1)="","",VLOOKUP($A131,'标准新手流程（非R）'!$P$5:$AL$144,MATCH(D$3,'标准新手流程（非R）'!$P$5:$AL$5,0),1))</f>
        <v>120级绿</v>
      </c>
      <c r="E131" s="1" t="str">
        <f>IF(VLOOKUP($A131,'标准新手流程（非R）'!$P$5:$AL$144,MATCH(E$3,'标准新手流程（非R）'!$P$5:$AL$5,0),1)="","",VLOOKUP($A131,'标准新手流程（非R）'!$P$5:$AL$144,MATCH(E$3,'标准新手流程（非R）'!$P$5:$AL$5,0),1))</f>
        <v>120级绿</v>
      </c>
      <c r="F131" s="1" t="str">
        <f>IF(VLOOKUP($A131,'标准新手流程（非R）'!$P$5:$AL$144,MATCH(F$3,'标准新手流程（非R）'!$P$5:$AL$5,0),1)="","",VLOOKUP($A131,'标准新手流程（非R）'!$P$5:$AL$144,MATCH(F$3,'标准新手流程（非R）'!$P$5:$AL$5,0),1))</f>
        <v>120级绿</v>
      </c>
      <c r="G131" s="1" t="str">
        <f>IF(VLOOKUP($A131,'标准新手流程（非R）'!$P$5:$AL$144,MATCH(G$3,'标准新手流程（非R）'!$P$5:$AL$5,0),1)="","",VLOOKUP($A131,'标准新手流程（非R）'!$P$5:$AL$144,MATCH(G$3,'标准新手流程（非R）'!$P$5:$AL$5,0),1))</f>
        <v>120级绿</v>
      </c>
      <c r="H131" s="1" t="str">
        <f>IF(VLOOKUP($A131,'标准新手流程（非R）'!$P$5:$AL$144,MATCH(H$3,'标准新手流程（非R）'!$P$5:$AL$5,0),1)="","",VLOOKUP($A131,'标准新手流程（非R）'!$P$5:$AL$144,MATCH(H$3,'标准新手流程（非R）'!$P$5:$AL$5,0),1))</f>
        <v>120级绿</v>
      </c>
      <c r="I131" s="1" t="str">
        <f>IF(VLOOKUP($A131,'标准新手流程（非R）'!$P$5:$AL$144,MATCH(I$3,'标准新手流程（非R）'!$P$5:$AL$5,0),1)="","",VLOOKUP($A131,'标准新手流程（非R）'!$P$5:$AL$144,MATCH(I$3,'标准新手流程（非R）'!$P$5:$AL$5,0),1))</f>
        <v>120级绿</v>
      </c>
    </row>
    <row r="132" spans="1:9" x14ac:dyDescent="0.15">
      <c r="A132" s="1">
        <v>129</v>
      </c>
      <c r="B132" s="1" t="str">
        <f>IF(VLOOKUP($A132,'标准新手流程（非R）'!$P$5:$AL$144,MATCH(B$3,'标准新手流程（非R）'!$P$5:$AL$5,0),1)="","",VLOOKUP($A132,'标准新手流程（非R）'!$P$5:$AL$144,MATCH(B$3,'标准新手流程（非R）'!$P$5:$AL$5,0),1))</f>
        <v>120级红</v>
      </c>
      <c r="C132" s="1" t="str">
        <f>IF(VLOOKUP($A132,'标准新手流程（非R）'!$P$5:$AL$144,MATCH(C$3,'标准新手流程（非R）'!$P$5:$AL$5,0),1)="","",VLOOKUP($A132,'标准新手流程（非R）'!$P$5:$AL$144,MATCH(C$3,'标准新手流程（非R）'!$P$5:$AL$5,0),1))</f>
        <v>120级绿</v>
      </c>
      <c r="D132" s="1" t="str">
        <f>IF(VLOOKUP($A132,'标准新手流程（非R）'!$P$5:$AL$144,MATCH(D$3,'标准新手流程（非R）'!$P$5:$AL$5,0),1)="","",VLOOKUP($A132,'标准新手流程（非R）'!$P$5:$AL$144,MATCH(D$3,'标准新手流程（非R）'!$P$5:$AL$5,0),1))</f>
        <v>120级绿</v>
      </c>
      <c r="E132" s="1" t="str">
        <f>IF(VLOOKUP($A132,'标准新手流程（非R）'!$P$5:$AL$144,MATCH(E$3,'标准新手流程（非R）'!$P$5:$AL$5,0),1)="","",VLOOKUP($A132,'标准新手流程（非R）'!$P$5:$AL$144,MATCH(E$3,'标准新手流程（非R）'!$P$5:$AL$5,0),1))</f>
        <v>120级绿</v>
      </c>
      <c r="F132" s="1" t="str">
        <f>IF(VLOOKUP($A132,'标准新手流程（非R）'!$P$5:$AL$144,MATCH(F$3,'标准新手流程（非R）'!$P$5:$AL$5,0),1)="","",VLOOKUP($A132,'标准新手流程（非R）'!$P$5:$AL$144,MATCH(F$3,'标准新手流程（非R）'!$P$5:$AL$5,0),1))</f>
        <v>120级绿</v>
      </c>
      <c r="G132" s="1" t="str">
        <f>IF(VLOOKUP($A132,'标准新手流程（非R）'!$P$5:$AL$144,MATCH(G$3,'标准新手流程（非R）'!$P$5:$AL$5,0),1)="","",VLOOKUP($A132,'标准新手流程（非R）'!$P$5:$AL$144,MATCH(G$3,'标准新手流程（非R）'!$P$5:$AL$5,0),1))</f>
        <v>120级绿</v>
      </c>
      <c r="H132" s="1" t="str">
        <f>IF(VLOOKUP($A132,'标准新手流程（非R）'!$P$5:$AL$144,MATCH(H$3,'标准新手流程（非R）'!$P$5:$AL$5,0),1)="","",VLOOKUP($A132,'标准新手流程（非R）'!$P$5:$AL$144,MATCH(H$3,'标准新手流程（非R）'!$P$5:$AL$5,0),1))</f>
        <v>120级绿</v>
      </c>
      <c r="I132" s="1" t="str">
        <f>IF(VLOOKUP($A132,'标准新手流程（非R）'!$P$5:$AL$144,MATCH(I$3,'标准新手流程（非R）'!$P$5:$AL$5,0),1)="","",VLOOKUP($A132,'标准新手流程（非R）'!$P$5:$AL$144,MATCH(I$3,'标准新手流程（非R）'!$P$5:$AL$5,0),1))</f>
        <v>120级绿</v>
      </c>
    </row>
    <row r="133" spans="1:9" x14ac:dyDescent="0.15">
      <c r="A133" s="1">
        <v>130</v>
      </c>
      <c r="B133" s="1" t="str">
        <f>IF(VLOOKUP($A133,'标准新手流程（非R）'!$P$5:$AL$144,MATCH(B$3,'标准新手流程（非R）'!$P$5:$AL$5,0),1)="","",VLOOKUP($A133,'标准新手流程（非R）'!$P$5:$AL$144,MATCH(B$3,'标准新手流程（非R）'!$P$5:$AL$5,0),1))</f>
        <v>120级红</v>
      </c>
      <c r="C133" s="1" t="str">
        <f>IF(VLOOKUP($A133,'标准新手流程（非R）'!$P$5:$AL$144,MATCH(C$3,'标准新手流程（非R）'!$P$5:$AL$5,0),1)="","",VLOOKUP($A133,'标准新手流程（非R）'!$P$5:$AL$144,MATCH(C$3,'标准新手流程（非R）'!$P$5:$AL$5,0),1))</f>
        <v>120级绿</v>
      </c>
      <c r="D133" s="1" t="str">
        <f>IF(VLOOKUP($A133,'标准新手流程（非R）'!$P$5:$AL$144,MATCH(D$3,'标准新手流程（非R）'!$P$5:$AL$5,0),1)="","",VLOOKUP($A133,'标准新手流程（非R）'!$P$5:$AL$144,MATCH(D$3,'标准新手流程（非R）'!$P$5:$AL$5,0),1))</f>
        <v>120级绿</v>
      </c>
      <c r="E133" s="1" t="str">
        <f>IF(VLOOKUP($A133,'标准新手流程（非R）'!$P$5:$AL$144,MATCH(E$3,'标准新手流程（非R）'!$P$5:$AL$5,0),1)="","",VLOOKUP($A133,'标准新手流程（非R）'!$P$5:$AL$144,MATCH(E$3,'标准新手流程（非R）'!$P$5:$AL$5,0),1))</f>
        <v>120级绿</v>
      </c>
      <c r="F133" s="1" t="str">
        <f>IF(VLOOKUP($A133,'标准新手流程（非R）'!$P$5:$AL$144,MATCH(F$3,'标准新手流程（非R）'!$P$5:$AL$5,0),1)="","",VLOOKUP($A133,'标准新手流程（非R）'!$P$5:$AL$144,MATCH(F$3,'标准新手流程（非R）'!$P$5:$AL$5,0),1))</f>
        <v>120级绿</v>
      </c>
      <c r="G133" s="1" t="str">
        <f>IF(VLOOKUP($A133,'标准新手流程（非R）'!$P$5:$AL$144,MATCH(G$3,'标准新手流程（非R）'!$P$5:$AL$5,0),1)="","",VLOOKUP($A133,'标准新手流程（非R）'!$P$5:$AL$144,MATCH(G$3,'标准新手流程（非R）'!$P$5:$AL$5,0),1))</f>
        <v>120级绿</v>
      </c>
      <c r="H133" s="1" t="str">
        <f>IF(VLOOKUP($A133,'标准新手流程（非R）'!$P$5:$AL$144,MATCH(H$3,'标准新手流程（非R）'!$P$5:$AL$5,0),1)="","",VLOOKUP($A133,'标准新手流程（非R）'!$P$5:$AL$144,MATCH(H$3,'标准新手流程（非R）'!$P$5:$AL$5,0),1))</f>
        <v>120级绿</v>
      </c>
      <c r="I133" s="1" t="str">
        <f>IF(VLOOKUP($A133,'标准新手流程（非R）'!$P$5:$AL$144,MATCH(I$3,'标准新手流程（非R）'!$P$5:$AL$5,0),1)="","",VLOOKUP($A133,'标准新手流程（非R）'!$P$5:$AL$144,MATCH(I$3,'标准新手流程（非R）'!$P$5:$AL$5,0),1))</f>
        <v>120级绿</v>
      </c>
    </row>
    <row r="134" spans="1:9" x14ac:dyDescent="0.15">
      <c r="A134" s="1">
        <v>131</v>
      </c>
      <c r="B134" s="1" t="str">
        <f>IF(VLOOKUP($A134,'标准新手流程（非R）'!$P$5:$AL$144,MATCH(B$3,'标准新手流程（非R）'!$P$5:$AL$5,0),1)="","",VLOOKUP($A134,'标准新手流程（非R）'!$P$5:$AL$144,MATCH(B$3,'标准新手流程（非R）'!$P$5:$AL$5,0),1))</f>
        <v>120级红</v>
      </c>
      <c r="C134" s="1" t="str">
        <f>IF(VLOOKUP($A134,'标准新手流程（非R）'!$P$5:$AL$144,MATCH(C$3,'标准新手流程（非R）'!$P$5:$AL$5,0),1)="","",VLOOKUP($A134,'标准新手流程（非R）'!$P$5:$AL$144,MATCH(C$3,'标准新手流程（非R）'!$P$5:$AL$5,0),1))</f>
        <v>120级绿</v>
      </c>
      <c r="D134" s="1" t="str">
        <f>IF(VLOOKUP($A134,'标准新手流程（非R）'!$P$5:$AL$144,MATCH(D$3,'标准新手流程（非R）'!$P$5:$AL$5,0),1)="","",VLOOKUP($A134,'标准新手流程（非R）'!$P$5:$AL$144,MATCH(D$3,'标准新手流程（非R）'!$P$5:$AL$5,0),1))</f>
        <v>120级绿</v>
      </c>
      <c r="E134" s="1" t="str">
        <f>IF(VLOOKUP($A134,'标准新手流程（非R）'!$P$5:$AL$144,MATCH(E$3,'标准新手流程（非R）'!$P$5:$AL$5,0),1)="","",VLOOKUP($A134,'标准新手流程（非R）'!$P$5:$AL$144,MATCH(E$3,'标准新手流程（非R）'!$P$5:$AL$5,0),1))</f>
        <v>120级绿</v>
      </c>
      <c r="F134" s="1" t="str">
        <f>IF(VLOOKUP($A134,'标准新手流程（非R）'!$P$5:$AL$144,MATCH(F$3,'标准新手流程（非R）'!$P$5:$AL$5,0),1)="","",VLOOKUP($A134,'标准新手流程（非R）'!$P$5:$AL$144,MATCH(F$3,'标准新手流程（非R）'!$P$5:$AL$5,0),1))</f>
        <v>120级绿</v>
      </c>
      <c r="G134" s="1" t="str">
        <f>IF(VLOOKUP($A134,'标准新手流程（非R）'!$P$5:$AL$144,MATCH(G$3,'标准新手流程（非R）'!$P$5:$AL$5,0),1)="","",VLOOKUP($A134,'标准新手流程（非R）'!$P$5:$AL$144,MATCH(G$3,'标准新手流程（非R）'!$P$5:$AL$5,0),1))</f>
        <v>120级绿</v>
      </c>
      <c r="H134" s="1" t="str">
        <f>IF(VLOOKUP($A134,'标准新手流程（非R）'!$P$5:$AL$144,MATCH(H$3,'标准新手流程（非R）'!$P$5:$AL$5,0),1)="","",VLOOKUP($A134,'标准新手流程（非R）'!$P$5:$AL$144,MATCH(H$3,'标准新手流程（非R）'!$P$5:$AL$5,0),1))</f>
        <v>120级绿</v>
      </c>
      <c r="I134" s="1" t="str">
        <f>IF(VLOOKUP($A134,'标准新手流程（非R）'!$P$5:$AL$144,MATCH(I$3,'标准新手流程（非R）'!$P$5:$AL$5,0),1)="","",VLOOKUP($A134,'标准新手流程（非R）'!$P$5:$AL$144,MATCH(I$3,'标准新手流程（非R）'!$P$5:$AL$5,0),1))</f>
        <v>120级绿</v>
      </c>
    </row>
    <row r="135" spans="1:9" x14ac:dyDescent="0.15">
      <c r="A135" s="1">
        <v>132</v>
      </c>
      <c r="B135" s="1" t="str">
        <f>IF(VLOOKUP($A135,'标准新手流程（非R）'!$P$5:$AL$144,MATCH(B$3,'标准新手流程（非R）'!$P$5:$AL$5,0),1)="","",VLOOKUP($A135,'标准新手流程（非R）'!$P$5:$AL$144,MATCH(B$3,'标准新手流程（非R）'!$P$5:$AL$5,0),1))</f>
        <v>120级红</v>
      </c>
      <c r="C135" s="1" t="str">
        <f>IF(VLOOKUP($A135,'标准新手流程（非R）'!$P$5:$AL$144,MATCH(C$3,'标准新手流程（非R）'!$P$5:$AL$5,0),1)="","",VLOOKUP($A135,'标准新手流程（非R）'!$P$5:$AL$144,MATCH(C$3,'标准新手流程（非R）'!$P$5:$AL$5,0),1))</f>
        <v>120级绿</v>
      </c>
      <c r="D135" s="1" t="str">
        <f>IF(VLOOKUP($A135,'标准新手流程（非R）'!$P$5:$AL$144,MATCH(D$3,'标准新手流程（非R）'!$P$5:$AL$5,0),1)="","",VLOOKUP($A135,'标准新手流程（非R）'!$P$5:$AL$144,MATCH(D$3,'标准新手流程（非R）'!$P$5:$AL$5,0),1))</f>
        <v>120级绿</v>
      </c>
      <c r="E135" s="1" t="str">
        <f>IF(VLOOKUP($A135,'标准新手流程（非R）'!$P$5:$AL$144,MATCH(E$3,'标准新手流程（非R）'!$P$5:$AL$5,0),1)="","",VLOOKUP($A135,'标准新手流程（非R）'!$P$5:$AL$144,MATCH(E$3,'标准新手流程（非R）'!$P$5:$AL$5,0),1))</f>
        <v>120级绿</v>
      </c>
      <c r="F135" s="1" t="str">
        <f>IF(VLOOKUP($A135,'标准新手流程（非R）'!$P$5:$AL$144,MATCH(F$3,'标准新手流程（非R）'!$P$5:$AL$5,0),1)="","",VLOOKUP($A135,'标准新手流程（非R）'!$P$5:$AL$144,MATCH(F$3,'标准新手流程（非R）'!$P$5:$AL$5,0),1))</f>
        <v>120级绿</v>
      </c>
      <c r="G135" s="1" t="str">
        <f>IF(VLOOKUP($A135,'标准新手流程（非R）'!$P$5:$AL$144,MATCH(G$3,'标准新手流程（非R）'!$P$5:$AL$5,0),1)="","",VLOOKUP($A135,'标准新手流程（非R）'!$P$5:$AL$144,MATCH(G$3,'标准新手流程（非R）'!$P$5:$AL$5,0),1))</f>
        <v>120级绿</v>
      </c>
      <c r="H135" s="1" t="str">
        <f>IF(VLOOKUP($A135,'标准新手流程（非R）'!$P$5:$AL$144,MATCH(H$3,'标准新手流程（非R）'!$P$5:$AL$5,0),1)="","",VLOOKUP($A135,'标准新手流程（非R）'!$P$5:$AL$144,MATCH(H$3,'标准新手流程（非R）'!$P$5:$AL$5,0),1))</f>
        <v>120级绿</v>
      </c>
      <c r="I135" s="1" t="str">
        <f>IF(VLOOKUP($A135,'标准新手流程（非R）'!$P$5:$AL$144,MATCH(I$3,'标准新手流程（非R）'!$P$5:$AL$5,0),1)="","",VLOOKUP($A135,'标准新手流程（非R）'!$P$5:$AL$144,MATCH(I$3,'标准新手流程（非R）'!$P$5:$AL$5,0),1))</f>
        <v>120级绿</v>
      </c>
    </row>
    <row r="136" spans="1:9" x14ac:dyDescent="0.15">
      <c r="A136" s="1">
        <v>133</v>
      </c>
      <c r="B136" s="1" t="str">
        <f>IF(VLOOKUP($A136,'标准新手流程（非R）'!$P$5:$AL$144,MATCH(B$3,'标准新手流程（非R）'!$P$5:$AL$5,0),1)="","",VLOOKUP($A136,'标准新手流程（非R）'!$P$5:$AL$144,MATCH(B$3,'标准新手流程（非R）'!$P$5:$AL$5,0),1))</f>
        <v>120级红</v>
      </c>
      <c r="C136" s="1" t="str">
        <f>IF(VLOOKUP($A136,'标准新手流程（非R）'!$P$5:$AL$144,MATCH(C$3,'标准新手流程（非R）'!$P$5:$AL$5,0),1)="","",VLOOKUP($A136,'标准新手流程（非R）'!$P$5:$AL$144,MATCH(C$3,'标准新手流程（非R）'!$P$5:$AL$5,0),1))</f>
        <v>120级绿</v>
      </c>
      <c r="D136" s="1" t="str">
        <f>IF(VLOOKUP($A136,'标准新手流程（非R）'!$P$5:$AL$144,MATCH(D$3,'标准新手流程（非R）'!$P$5:$AL$5,0),1)="","",VLOOKUP($A136,'标准新手流程（非R）'!$P$5:$AL$144,MATCH(D$3,'标准新手流程（非R）'!$P$5:$AL$5,0),1))</f>
        <v>120级绿</v>
      </c>
      <c r="E136" s="1" t="str">
        <f>IF(VLOOKUP($A136,'标准新手流程（非R）'!$P$5:$AL$144,MATCH(E$3,'标准新手流程（非R）'!$P$5:$AL$5,0),1)="","",VLOOKUP($A136,'标准新手流程（非R）'!$P$5:$AL$144,MATCH(E$3,'标准新手流程（非R）'!$P$5:$AL$5,0),1))</f>
        <v>120级绿</v>
      </c>
      <c r="F136" s="1" t="str">
        <f>IF(VLOOKUP($A136,'标准新手流程（非R）'!$P$5:$AL$144,MATCH(F$3,'标准新手流程（非R）'!$P$5:$AL$5,0),1)="","",VLOOKUP($A136,'标准新手流程（非R）'!$P$5:$AL$144,MATCH(F$3,'标准新手流程（非R）'!$P$5:$AL$5,0),1))</f>
        <v>120级绿</v>
      </c>
      <c r="G136" s="1" t="str">
        <f>IF(VLOOKUP($A136,'标准新手流程（非R）'!$P$5:$AL$144,MATCH(G$3,'标准新手流程（非R）'!$P$5:$AL$5,0),1)="","",VLOOKUP($A136,'标准新手流程（非R）'!$P$5:$AL$144,MATCH(G$3,'标准新手流程（非R）'!$P$5:$AL$5,0),1))</f>
        <v>120级绿</v>
      </c>
      <c r="H136" s="1" t="str">
        <f>IF(VLOOKUP($A136,'标准新手流程（非R）'!$P$5:$AL$144,MATCH(H$3,'标准新手流程（非R）'!$P$5:$AL$5,0),1)="","",VLOOKUP($A136,'标准新手流程（非R）'!$P$5:$AL$144,MATCH(H$3,'标准新手流程（非R）'!$P$5:$AL$5,0),1))</f>
        <v>120级绿</v>
      </c>
      <c r="I136" s="1" t="str">
        <f>IF(VLOOKUP($A136,'标准新手流程（非R）'!$P$5:$AL$144,MATCH(I$3,'标准新手流程（非R）'!$P$5:$AL$5,0),1)="","",VLOOKUP($A136,'标准新手流程（非R）'!$P$5:$AL$144,MATCH(I$3,'标准新手流程（非R）'!$P$5:$AL$5,0),1))</f>
        <v>120级绿</v>
      </c>
    </row>
    <row r="137" spans="1:9" x14ac:dyDescent="0.15">
      <c r="A137" s="1">
        <v>134</v>
      </c>
      <c r="B137" s="1" t="str">
        <f>IF(VLOOKUP($A137,'标准新手流程（非R）'!$P$5:$AL$144,MATCH(B$3,'标准新手流程（非R）'!$P$5:$AL$5,0),1)="","",VLOOKUP($A137,'标准新手流程（非R）'!$P$5:$AL$144,MATCH(B$3,'标准新手流程（非R）'!$P$5:$AL$5,0),1))</f>
        <v>120级红</v>
      </c>
      <c r="C137" s="1" t="str">
        <f>IF(VLOOKUP($A137,'标准新手流程（非R）'!$P$5:$AL$144,MATCH(C$3,'标准新手流程（非R）'!$P$5:$AL$5,0),1)="","",VLOOKUP($A137,'标准新手流程（非R）'!$P$5:$AL$144,MATCH(C$3,'标准新手流程（非R）'!$P$5:$AL$5,0),1))</f>
        <v>120级绿</v>
      </c>
      <c r="D137" s="1" t="str">
        <f>IF(VLOOKUP($A137,'标准新手流程（非R）'!$P$5:$AL$144,MATCH(D$3,'标准新手流程（非R）'!$P$5:$AL$5,0),1)="","",VLOOKUP($A137,'标准新手流程（非R）'!$P$5:$AL$144,MATCH(D$3,'标准新手流程（非R）'!$P$5:$AL$5,0),1))</f>
        <v>120级绿</v>
      </c>
      <c r="E137" s="1" t="str">
        <f>IF(VLOOKUP($A137,'标准新手流程（非R）'!$P$5:$AL$144,MATCH(E$3,'标准新手流程（非R）'!$P$5:$AL$5,0),1)="","",VLOOKUP($A137,'标准新手流程（非R）'!$P$5:$AL$144,MATCH(E$3,'标准新手流程（非R）'!$P$5:$AL$5,0),1))</f>
        <v>120级绿</v>
      </c>
      <c r="F137" s="1" t="str">
        <f>IF(VLOOKUP($A137,'标准新手流程（非R）'!$P$5:$AL$144,MATCH(F$3,'标准新手流程（非R）'!$P$5:$AL$5,0),1)="","",VLOOKUP($A137,'标准新手流程（非R）'!$P$5:$AL$144,MATCH(F$3,'标准新手流程（非R）'!$P$5:$AL$5,0),1))</f>
        <v>120级绿</v>
      </c>
      <c r="G137" s="1" t="str">
        <f>IF(VLOOKUP($A137,'标准新手流程（非R）'!$P$5:$AL$144,MATCH(G$3,'标准新手流程（非R）'!$P$5:$AL$5,0),1)="","",VLOOKUP($A137,'标准新手流程（非R）'!$P$5:$AL$144,MATCH(G$3,'标准新手流程（非R）'!$P$5:$AL$5,0),1))</f>
        <v>120级绿</v>
      </c>
      <c r="H137" s="1" t="str">
        <f>IF(VLOOKUP($A137,'标准新手流程（非R）'!$P$5:$AL$144,MATCH(H$3,'标准新手流程（非R）'!$P$5:$AL$5,0),1)="","",VLOOKUP($A137,'标准新手流程（非R）'!$P$5:$AL$144,MATCH(H$3,'标准新手流程（非R）'!$P$5:$AL$5,0),1))</f>
        <v>120级绿</v>
      </c>
      <c r="I137" s="1" t="str">
        <f>IF(VLOOKUP($A137,'标准新手流程（非R）'!$P$5:$AL$144,MATCH(I$3,'标准新手流程（非R）'!$P$5:$AL$5,0),1)="","",VLOOKUP($A137,'标准新手流程（非R）'!$P$5:$AL$144,MATCH(I$3,'标准新手流程（非R）'!$P$5:$AL$5,0),1))</f>
        <v>120级绿</v>
      </c>
    </row>
    <row r="138" spans="1:9" x14ac:dyDescent="0.15">
      <c r="A138" s="1">
        <v>135</v>
      </c>
      <c r="B138" s="1" t="str">
        <f>IF(VLOOKUP($A138,'标准新手流程（非R）'!$P$5:$AL$144,MATCH(B$3,'标准新手流程（非R）'!$P$5:$AL$5,0),1)="","",VLOOKUP($A138,'标准新手流程（非R）'!$P$5:$AL$144,MATCH(B$3,'标准新手流程（非R）'!$P$5:$AL$5,0),1))</f>
        <v>120级红</v>
      </c>
      <c r="C138" s="1" t="str">
        <f>IF(VLOOKUP($A138,'标准新手流程（非R）'!$P$5:$AL$144,MATCH(C$3,'标准新手流程（非R）'!$P$5:$AL$5,0),1)="","",VLOOKUP($A138,'标准新手流程（非R）'!$P$5:$AL$144,MATCH(C$3,'标准新手流程（非R）'!$P$5:$AL$5,0),1))</f>
        <v>120级绿</v>
      </c>
      <c r="D138" s="1" t="str">
        <f>IF(VLOOKUP($A138,'标准新手流程（非R）'!$P$5:$AL$144,MATCH(D$3,'标准新手流程（非R）'!$P$5:$AL$5,0),1)="","",VLOOKUP($A138,'标准新手流程（非R）'!$P$5:$AL$144,MATCH(D$3,'标准新手流程（非R）'!$P$5:$AL$5,0),1))</f>
        <v>120级绿</v>
      </c>
      <c r="E138" s="1" t="str">
        <f>IF(VLOOKUP($A138,'标准新手流程（非R）'!$P$5:$AL$144,MATCH(E$3,'标准新手流程（非R）'!$P$5:$AL$5,0),1)="","",VLOOKUP($A138,'标准新手流程（非R）'!$P$5:$AL$144,MATCH(E$3,'标准新手流程（非R）'!$P$5:$AL$5,0),1))</f>
        <v>120级绿</v>
      </c>
      <c r="F138" s="1" t="str">
        <f>IF(VLOOKUP($A138,'标准新手流程（非R）'!$P$5:$AL$144,MATCH(F$3,'标准新手流程（非R）'!$P$5:$AL$5,0),1)="","",VLOOKUP($A138,'标准新手流程（非R）'!$P$5:$AL$144,MATCH(F$3,'标准新手流程（非R）'!$P$5:$AL$5,0),1))</f>
        <v>120级绿</v>
      </c>
      <c r="G138" s="1" t="str">
        <f>IF(VLOOKUP($A138,'标准新手流程（非R）'!$P$5:$AL$144,MATCH(G$3,'标准新手流程（非R）'!$P$5:$AL$5,0),1)="","",VLOOKUP($A138,'标准新手流程（非R）'!$P$5:$AL$144,MATCH(G$3,'标准新手流程（非R）'!$P$5:$AL$5,0),1))</f>
        <v>120级绿</v>
      </c>
      <c r="H138" s="1" t="str">
        <f>IF(VLOOKUP($A138,'标准新手流程（非R）'!$P$5:$AL$144,MATCH(H$3,'标准新手流程（非R）'!$P$5:$AL$5,0),1)="","",VLOOKUP($A138,'标准新手流程（非R）'!$P$5:$AL$144,MATCH(H$3,'标准新手流程（非R）'!$P$5:$AL$5,0),1))</f>
        <v>120级绿</v>
      </c>
      <c r="I138" s="1" t="str">
        <f>IF(VLOOKUP($A138,'标准新手流程（非R）'!$P$5:$AL$144,MATCH(I$3,'标准新手流程（非R）'!$P$5:$AL$5,0),1)="","",VLOOKUP($A138,'标准新手流程（非R）'!$P$5:$AL$144,MATCH(I$3,'标准新手流程（非R）'!$P$5:$AL$5,0),1))</f>
        <v>120级绿</v>
      </c>
    </row>
    <row r="139" spans="1:9" x14ac:dyDescent="0.15">
      <c r="A139" s="1">
        <v>136</v>
      </c>
      <c r="B139" s="1" t="str">
        <f>IF(VLOOKUP($A139,'标准新手流程（非R）'!$P$5:$AL$144,MATCH(B$3,'标准新手流程（非R）'!$P$5:$AL$5,0),1)="","",VLOOKUP($A139,'标准新手流程（非R）'!$P$5:$AL$144,MATCH(B$3,'标准新手流程（非R）'!$P$5:$AL$5,0),1))</f>
        <v>120级红</v>
      </c>
      <c r="C139" s="1" t="str">
        <f>IF(VLOOKUP($A139,'标准新手流程（非R）'!$P$5:$AL$144,MATCH(C$3,'标准新手流程（非R）'!$P$5:$AL$5,0),1)="","",VLOOKUP($A139,'标准新手流程（非R）'!$P$5:$AL$144,MATCH(C$3,'标准新手流程（非R）'!$P$5:$AL$5,0),1))</f>
        <v>120级绿</v>
      </c>
      <c r="D139" s="1" t="str">
        <f>IF(VLOOKUP($A139,'标准新手流程（非R）'!$P$5:$AL$144,MATCH(D$3,'标准新手流程（非R）'!$P$5:$AL$5,0),1)="","",VLOOKUP($A139,'标准新手流程（非R）'!$P$5:$AL$144,MATCH(D$3,'标准新手流程（非R）'!$P$5:$AL$5,0),1))</f>
        <v>120级绿</v>
      </c>
      <c r="E139" s="1" t="str">
        <f>IF(VLOOKUP($A139,'标准新手流程（非R）'!$P$5:$AL$144,MATCH(E$3,'标准新手流程（非R）'!$P$5:$AL$5,0),1)="","",VLOOKUP($A139,'标准新手流程（非R）'!$P$5:$AL$144,MATCH(E$3,'标准新手流程（非R）'!$P$5:$AL$5,0),1))</f>
        <v>120级绿</v>
      </c>
      <c r="F139" s="1" t="str">
        <f>IF(VLOOKUP($A139,'标准新手流程（非R）'!$P$5:$AL$144,MATCH(F$3,'标准新手流程（非R）'!$P$5:$AL$5,0),1)="","",VLOOKUP($A139,'标准新手流程（非R）'!$P$5:$AL$144,MATCH(F$3,'标准新手流程（非R）'!$P$5:$AL$5,0),1))</f>
        <v>120级绿</v>
      </c>
      <c r="G139" s="1" t="str">
        <f>IF(VLOOKUP($A139,'标准新手流程（非R）'!$P$5:$AL$144,MATCH(G$3,'标准新手流程（非R）'!$P$5:$AL$5,0),1)="","",VLOOKUP($A139,'标准新手流程（非R）'!$P$5:$AL$144,MATCH(G$3,'标准新手流程（非R）'!$P$5:$AL$5,0),1))</f>
        <v>120级绿</v>
      </c>
      <c r="H139" s="1" t="str">
        <f>IF(VLOOKUP($A139,'标准新手流程（非R）'!$P$5:$AL$144,MATCH(H$3,'标准新手流程（非R）'!$P$5:$AL$5,0),1)="","",VLOOKUP($A139,'标准新手流程（非R）'!$P$5:$AL$144,MATCH(H$3,'标准新手流程（非R）'!$P$5:$AL$5,0),1))</f>
        <v>120级绿</v>
      </c>
      <c r="I139" s="1" t="str">
        <f>IF(VLOOKUP($A139,'标准新手流程（非R）'!$P$5:$AL$144,MATCH(I$3,'标准新手流程（非R）'!$P$5:$AL$5,0),1)="","",VLOOKUP($A139,'标准新手流程（非R）'!$P$5:$AL$144,MATCH(I$3,'标准新手流程（非R）'!$P$5:$AL$5,0),1))</f>
        <v>120级绿</v>
      </c>
    </row>
    <row r="140" spans="1:9" x14ac:dyDescent="0.15">
      <c r="A140" s="1">
        <v>137</v>
      </c>
      <c r="B140" s="1" t="str">
        <f>IF(VLOOKUP($A140,'标准新手流程（非R）'!$P$5:$AL$144,MATCH(B$3,'标准新手流程（非R）'!$P$5:$AL$5,0),1)="","",VLOOKUP($A140,'标准新手流程（非R）'!$P$5:$AL$144,MATCH(B$3,'标准新手流程（非R）'!$P$5:$AL$5,0),1))</f>
        <v>120级红</v>
      </c>
      <c r="C140" s="1" t="str">
        <f>IF(VLOOKUP($A140,'标准新手流程（非R）'!$P$5:$AL$144,MATCH(C$3,'标准新手流程（非R）'!$P$5:$AL$5,0),1)="","",VLOOKUP($A140,'标准新手流程（非R）'!$P$5:$AL$144,MATCH(C$3,'标准新手流程（非R）'!$P$5:$AL$5,0),1))</f>
        <v>120级绿</v>
      </c>
      <c r="D140" s="1" t="str">
        <f>IF(VLOOKUP($A140,'标准新手流程（非R）'!$P$5:$AL$144,MATCH(D$3,'标准新手流程（非R）'!$P$5:$AL$5,0),1)="","",VLOOKUP($A140,'标准新手流程（非R）'!$P$5:$AL$144,MATCH(D$3,'标准新手流程（非R）'!$P$5:$AL$5,0),1))</f>
        <v>120级绿</v>
      </c>
      <c r="E140" s="1" t="str">
        <f>IF(VLOOKUP($A140,'标准新手流程（非R）'!$P$5:$AL$144,MATCH(E$3,'标准新手流程（非R）'!$P$5:$AL$5,0),1)="","",VLOOKUP($A140,'标准新手流程（非R）'!$P$5:$AL$144,MATCH(E$3,'标准新手流程（非R）'!$P$5:$AL$5,0),1))</f>
        <v>120级绿</v>
      </c>
      <c r="F140" s="1" t="str">
        <f>IF(VLOOKUP($A140,'标准新手流程（非R）'!$P$5:$AL$144,MATCH(F$3,'标准新手流程（非R）'!$P$5:$AL$5,0),1)="","",VLOOKUP($A140,'标准新手流程（非R）'!$P$5:$AL$144,MATCH(F$3,'标准新手流程（非R）'!$P$5:$AL$5,0),1))</f>
        <v>120级绿</v>
      </c>
      <c r="G140" s="1" t="str">
        <f>IF(VLOOKUP($A140,'标准新手流程（非R）'!$P$5:$AL$144,MATCH(G$3,'标准新手流程（非R）'!$P$5:$AL$5,0),1)="","",VLOOKUP($A140,'标准新手流程（非R）'!$P$5:$AL$144,MATCH(G$3,'标准新手流程（非R）'!$P$5:$AL$5,0),1))</f>
        <v>120级绿</v>
      </c>
      <c r="H140" s="1" t="str">
        <f>IF(VLOOKUP($A140,'标准新手流程（非R）'!$P$5:$AL$144,MATCH(H$3,'标准新手流程（非R）'!$P$5:$AL$5,0),1)="","",VLOOKUP($A140,'标准新手流程（非R）'!$P$5:$AL$144,MATCH(H$3,'标准新手流程（非R）'!$P$5:$AL$5,0),1))</f>
        <v>120级绿</v>
      </c>
      <c r="I140" s="1" t="str">
        <f>IF(VLOOKUP($A140,'标准新手流程（非R）'!$P$5:$AL$144,MATCH(I$3,'标准新手流程（非R）'!$P$5:$AL$5,0),1)="","",VLOOKUP($A140,'标准新手流程（非R）'!$P$5:$AL$144,MATCH(I$3,'标准新手流程（非R）'!$P$5:$AL$5,0),1))</f>
        <v>120级绿</v>
      </c>
    </row>
    <row r="141" spans="1:9" x14ac:dyDescent="0.15">
      <c r="A141" s="1">
        <v>138</v>
      </c>
      <c r="B141" s="1" t="str">
        <f>IF(VLOOKUP($A141,'标准新手流程（非R）'!$P$5:$AL$144,MATCH(B$3,'标准新手流程（非R）'!$P$5:$AL$5,0),1)="","",VLOOKUP($A141,'标准新手流程（非R）'!$P$5:$AL$144,MATCH(B$3,'标准新手流程（非R）'!$P$5:$AL$5,0),1))</f>
        <v>120级红</v>
      </c>
      <c r="C141" s="1" t="str">
        <f>IF(VLOOKUP($A141,'标准新手流程（非R）'!$P$5:$AL$144,MATCH(C$3,'标准新手流程（非R）'!$P$5:$AL$5,0),1)="","",VLOOKUP($A141,'标准新手流程（非R）'!$P$5:$AL$144,MATCH(C$3,'标准新手流程（非R）'!$P$5:$AL$5,0),1))</f>
        <v>120级绿</v>
      </c>
      <c r="D141" s="1" t="str">
        <f>IF(VLOOKUP($A141,'标准新手流程（非R）'!$P$5:$AL$144,MATCH(D$3,'标准新手流程（非R）'!$P$5:$AL$5,0),1)="","",VLOOKUP($A141,'标准新手流程（非R）'!$P$5:$AL$144,MATCH(D$3,'标准新手流程（非R）'!$P$5:$AL$5,0),1))</f>
        <v>120级绿</v>
      </c>
      <c r="E141" s="1" t="str">
        <f>IF(VLOOKUP($A141,'标准新手流程（非R）'!$P$5:$AL$144,MATCH(E$3,'标准新手流程（非R）'!$P$5:$AL$5,0),1)="","",VLOOKUP($A141,'标准新手流程（非R）'!$P$5:$AL$144,MATCH(E$3,'标准新手流程（非R）'!$P$5:$AL$5,0),1))</f>
        <v>120级绿</v>
      </c>
      <c r="F141" s="1" t="str">
        <f>IF(VLOOKUP($A141,'标准新手流程（非R）'!$P$5:$AL$144,MATCH(F$3,'标准新手流程（非R）'!$P$5:$AL$5,0),1)="","",VLOOKUP($A141,'标准新手流程（非R）'!$P$5:$AL$144,MATCH(F$3,'标准新手流程（非R）'!$P$5:$AL$5,0),1))</f>
        <v>120级绿</v>
      </c>
      <c r="G141" s="1" t="str">
        <f>IF(VLOOKUP($A141,'标准新手流程（非R）'!$P$5:$AL$144,MATCH(G$3,'标准新手流程（非R）'!$P$5:$AL$5,0),1)="","",VLOOKUP($A141,'标准新手流程（非R）'!$P$5:$AL$144,MATCH(G$3,'标准新手流程（非R）'!$P$5:$AL$5,0),1))</f>
        <v>120级绿</v>
      </c>
      <c r="H141" s="1" t="str">
        <f>IF(VLOOKUP($A141,'标准新手流程（非R）'!$P$5:$AL$144,MATCH(H$3,'标准新手流程（非R）'!$P$5:$AL$5,0),1)="","",VLOOKUP($A141,'标准新手流程（非R）'!$P$5:$AL$144,MATCH(H$3,'标准新手流程（非R）'!$P$5:$AL$5,0),1))</f>
        <v>120级绿</v>
      </c>
      <c r="I141" s="1" t="str">
        <f>IF(VLOOKUP($A141,'标准新手流程（非R）'!$P$5:$AL$144,MATCH(I$3,'标准新手流程（非R）'!$P$5:$AL$5,0),1)="","",VLOOKUP($A141,'标准新手流程（非R）'!$P$5:$AL$144,MATCH(I$3,'标准新手流程（非R）'!$P$5:$AL$5,0),1))</f>
        <v>120级绿</v>
      </c>
    </row>
    <row r="142" spans="1:9" x14ac:dyDescent="0.15">
      <c r="A142" s="1">
        <v>139</v>
      </c>
      <c r="B142" s="1" t="str">
        <f>IF(VLOOKUP($A142,'标准新手流程（非R）'!$P$5:$AL$144,MATCH(B$3,'标准新手流程（非R）'!$P$5:$AL$5,0),1)="","",VLOOKUP($A142,'标准新手流程（非R）'!$P$5:$AL$144,MATCH(B$3,'标准新手流程（非R）'!$P$5:$AL$5,0),1))</f>
        <v>120级红</v>
      </c>
      <c r="C142" s="1" t="str">
        <f>IF(VLOOKUP($A142,'标准新手流程（非R）'!$P$5:$AL$144,MATCH(C$3,'标准新手流程（非R）'!$P$5:$AL$5,0),1)="","",VLOOKUP($A142,'标准新手流程（非R）'!$P$5:$AL$144,MATCH(C$3,'标准新手流程（非R）'!$P$5:$AL$5,0),1))</f>
        <v>120级绿</v>
      </c>
      <c r="D142" s="1" t="str">
        <f>IF(VLOOKUP($A142,'标准新手流程（非R）'!$P$5:$AL$144,MATCH(D$3,'标准新手流程（非R）'!$P$5:$AL$5,0),1)="","",VLOOKUP($A142,'标准新手流程（非R）'!$P$5:$AL$144,MATCH(D$3,'标准新手流程（非R）'!$P$5:$AL$5,0),1))</f>
        <v>120级绿</v>
      </c>
      <c r="E142" s="1" t="str">
        <f>IF(VLOOKUP($A142,'标准新手流程（非R）'!$P$5:$AL$144,MATCH(E$3,'标准新手流程（非R）'!$P$5:$AL$5,0),1)="","",VLOOKUP($A142,'标准新手流程（非R）'!$P$5:$AL$144,MATCH(E$3,'标准新手流程（非R）'!$P$5:$AL$5,0),1))</f>
        <v>120级绿</v>
      </c>
      <c r="F142" s="1" t="str">
        <f>IF(VLOOKUP($A142,'标准新手流程（非R）'!$P$5:$AL$144,MATCH(F$3,'标准新手流程（非R）'!$P$5:$AL$5,0),1)="","",VLOOKUP($A142,'标准新手流程（非R）'!$P$5:$AL$144,MATCH(F$3,'标准新手流程（非R）'!$P$5:$AL$5,0),1))</f>
        <v>120级绿</v>
      </c>
      <c r="G142" s="1" t="str">
        <f>IF(VLOOKUP($A142,'标准新手流程（非R）'!$P$5:$AL$144,MATCH(G$3,'标准新手流程（非R）'!$P$5:$AL$5,0),1)="","",VLOOKUP($A142,'标准新手流程（非R）'!$P$5:$AL$144,MATCH(G$3,'标准新手流程（非R）'!$P$5:$AL$5,0),1))</f>
        <v>120级绿</v>
      </c>
      <c r="H142" s="1" t="str">
        <f>IF(VLOOKUP($A142,'标准新手流程（非R）'!$P$5:$AL$144,MATCH(H$3,'标准新手流程（非R）'!$P$5:$AL$5,0),1)="","",VLOOKUP($A142,'标准新手流程（非R）'!$P$5:$AL$144,MATCH(H$3,'标准新手流程（非R）'!$P$5:$AL$5,0),1))</f>
        <v>120级绿</v>
      </c>
      <c r="I142" s="1" t="str">
        <f>IF(VLOOKUP($A142,'标准新手流程（非R）'!$P$5:$AL$144,MATCH(I$3,'标准新手流程（非R）'!$P$5:$AL$5,0),1)="","",VLOOKUP($A142,'标准新手流程（非R）'!$P$5:$AL$144,MATCH(I$3,'标准新手流程（非R）'!$P$5:$AL$5,0),1))</f>
        <v>120级绿</v>
      </c>
    </row>
    <row r="143" spans="1:9" x14ac:dyDescent="0.15">
      <c r="A143" s="1">
        <v>140</v>
      </c>
      <c r="B143" s="1" t="s">
        <v>406</v>
      </c>
      <c r="C143" s="1" t="s">
        <v>405</v>
      </c>
      <c r="D143" s="1" t="s">
        <v>405</v>
      </c>
      <c r="E143" s="1" t="s">
        <v>405</v>
      </c>
      <c r="F143" s="1" t="s">
        <v>405</v>
      </c>
      <c r="G143" s="1" t="s">
        <v>405</v>
      </c>
      <c r="H143" s="1" t="s">
        <v>405</v>
      </c>
      <c r="I143" s="1" t="s">
        <v>405</v>
      </c>
    </row>
    <row r="144" spans="1:9" x14ac:dyDescent="0.15">
      <c r="A144" s="1">
        <v>141</v>
      </c>
      <c r="B144" s="1" t="s">
        <v>406</v>
      </c>
      <c r="C144" s="1" t="s">
        <v>405</v>
      </c>
      <c r="D144" s="1" t="s">
        <v>405</v>
      </c>
      <c r="E144" s="1" t="s">
        <v>405</v>
      </c>
      <c r="F144" s="1" t="s">
        <v>405</v>
      </c>
      <c r="G144" s="1" t="s">
        <v>405</v>
      </c>
      <c r="H144" s="1" t="s">
        <v>405</v>
      </c>
      <c r="I144" s="1" t="s">
        <v>405</v>
      </c>
    </row>
    <row r="145" spans="1:9" x14ac:dyDescent="0.15">
      <c r="A145" s="1">
        <v>142</v>
      </c>
      <c r="B145" s="1" t="s">
        <v>406</v>
      </c>
      <c r="C145" s="1" t="s">
        <v>405</v>
      </c>
      <c r="D145" s="1" t="s">
        <v>405</v>
      </c>
      <c r="E145" s="1" t="s">
        <v>405</v>
      </c>
      <c r="F145" s="1" t="s">
        <v>405</v>
      </c>
      <c r="G145" s="1" t="s">
        <v>405</v>
      </c>
      <c r="H145" s="1" t="s">
        <v>405</v>
      </c>
      <c r="I145" s="1" t="s">
        <v>405</v>
      </c>
    </row>
    <row r="146" spans="1:9" x14ac:dyDescent="0.15">
      <c r="A146" s="1">
        <v>143</v>
      </c>
      <c r="B146" s="1" t="s">
        <v>406</v>
      </c>
      <c r="C146" s="1" t="s">
        <v>405</v>
      </c>
      <c r="D146" s="1" t="s">
        <v>405</v>
      </c>
      <c r="E146" s="1" t="s">
        <v>405</v>
      </c>
      <c r="F146" s="1" t="s">
        <v>405</v>
      </c>
      <c r="G146" s="1" t="s">
        <v>405</v>
      </c>
      <c r="H146" s="1" t="s">
        <v>405</v>
      </c>
      <c r="I146" s="1" t="s">
        <v>405</v>
      </c>
    </row>
    <row r="147" spans="1:9" x14ac:dyDescent="0.15">
      <c r="A147" s="1">
        <v>144</v>
      </c>
      <c r="B147" s="1" t="s">
        <v>406</v>
      </c>
      <c r="C147" s="1" t="s">
        <v>405</v>
      </c>
      <c r="D147" s="1" t="s">
        <v>405</v>
      </c>
      <c r="E147" s="1" t="s">
        <v>405</v>
      </c>
      <c r="F147" s="1" t="s">
        <v>405</v>
      </c>
      <c r="G147" s="1" t="s">
        <v>405</v>
      </c>
      <c r="H147" s="1" t="s">
        <v>405</v>
      </c>
      <c r="I147" s="1" t="s">
        <v>405</v>
      </c>
    </row>
    <row r="148" spans="1:9" x14ac:dyDescent="0.15">
      <c r="A148" s="1">
        <v>145</v>
      </c>
      <c r="B148" s="1" t="s">
        <v>406</v>
      </c>
      <c r="C148" s="1" t="s">
        <v>405</v>
      </c>
      <c r="D148" s="1" t="s">
        <v>405</v>
      </c>
      <c r="E148" s="1" t="s">
        <v>405</v>
      </c>
      <c r="F148" s="1" t="s">
        <v>405</v>
      </c>
      <c r="G148" s="1" t="s">
        <v>405</v>
      </c>
      <c r="H148" s="1" t="s">
        <v>405</v>
      </c>
      <c r="I148" s="1" t="s">
        <v>405</v>
      </c>
    </row>
    <row r="149" spans="1:9" x14ac:dyDescent="0.15">
      <c r="A149" s="1">
        <v>146</v>
      </c>
      <c r="B149" s="1" t="s">
        <v>406</v>
      </c>
      <c r="C149" s="1" t="s">
        <v>405</v>
      </c>
      <c r="D149" s="1" t="s">
        <v>405</v>
      </c>
      <c r="E149" s="1" t="s">
        <v>405</v>
      </c>
      <c r="F149" s="1" t="s">
        <v>405</v>
      </c>
      <c r="G149" s="1" t="s">
        <v>405</v>
      </c>
      <c r="H149" s="1" t="s">
        <v>405</v>
      </c>
      <c r="I149" s="1" t="s">
        <v>405</v>
      </c>
    </row>
    <row r="150" spans="1:9" x14ac:dyDescent="0.15">
      <c r="A150" s="1">
        <v>147</v>
      </c>
      <c r="B150" s="1" t="s">
        <v>406</v>
      </c>
      <c r="C150" s="1" t="s">
        <v>405</v>
      </c>
      <c r="D150" s="1" t="s">
        <v>405</v>
      </c>
      <c r="E150" s="1" t="s">
        <v>405</v>
      </c>
      <c r="F150" s="1" t="s">
        <v>405</v>
      </c>
      <c r="G150" s="1" t="s">
        <v>405</v>
      </c>
      <c r="H150" s="1" t="s">
        <v>405</v>
      </c>
      <c r="I150" s="1" t="s">
        <v>405</v>
      </c>
    </row>
    <row r="151" spans="1:9" x14ac:dyDescent="0.15">
      <c r="A151" s="1">
        <v>148</v>
      </c>
      <c r="B151" s="1" t="s">
        <v>406</v>
      </c>
      <c r="C151" s="1" t="s">
        <v>405</v>
      </c>
      <c r="D151" s="1" t="s">
        <v>405</v>
      </c>
      <c r="E151" s="1" t="s">
        <v>405</v>
      </c>
      <c r="F151" s="1" t="s">
        <v>405</v>
      </c>
      <c r="G151" s="1" t="s">
        <v>405</v>
      </c>
      <c r="H151" s="1" t="s">
        <v>405</v>
      </c>
      <c r="I151" s="1" t="s">
        <v>405</v>
      </c>
    </row>
    <row r="152" spans="1:9" x14ac:dyDescent="0.15">
      <c r="A152" s="1">
        <v>149</v>
      </c>
      <c r="B152" s="1" t="s">
        <v>406</v>
      </c>
      <c r="C152" s="1" t="s">
        <v>405</v>
      </c>
      <c r="D152" s="1" t="s">
        <v>405</v>
      </c>
      <c r="E152" s="1" t="s">
        <v>405</v>
      </c>
      <c r="F152" s="1" t="s">
        <v>405</v>
      </c>
      <c r="G152" s="1" t="s">
        <v>405</v>
      </c>
      <c r="H152" s="1" t="s">
        <v>405</v>
      </c>
      <c r="I152" s="1" t="s">
        <v>405</v>
      </c>
    </row>
    <row r="153" spans="1:9" x14ac:dyDescent="0.15">
      <c r="A153" s="1">
        <v>150</v>
      </c>
      <c r="B153" s="1" t="s">
        <v>406</v>
      </c>
      <c r="C153" s="1" t="s">
        <v>405</v>
      </c>
      <c r="D153" s="1" t="s">
        <v>405</v>
      </c>
      <c r="E153" s="1" t="s">
        <v>405</v>
      </c>
      <c r="F153" s="1" t="s">
        <v>405</v>
      </c>
      <c r="G153" s="1" t="s">
        <v>405</v>
      </c>
      <c r="H153" s="1" t="s">
        <v>407</v>
      </c>
      <c r="I153" s="1" t="s">
        <v>405</v>
      </c>
    </row>
    <row r="154" spans="1:9" x14ac:dyDescent="0.15">
      <c r="A154" s="1">
        <v>151</v>
      </c>
      <c r="B154" s="1" t="s">
        <v>406</v>
      </c>
      <c r="C154" s="1" t="s">
        <v>405</v>
      </c>
      <c r="D154" s="1" t="s">
        <v>405</v>
      </c>
      <c r="E154" s="1" t="s">
        <v>405</v>
      </c>
      <c r="F154" s="1" t="s">
        <v>405</v>
      </c>
      <c r="G154" s="1" t="s">
        <v>405</v>
      </c>
      <c r="H154" s="1" t="s">
        <v>407</v>
      </c>
      <c r="I154" s="1" t="s">
        <v>405</v>
      </c>
    </row>
    <row r="155" spans="1:9" x14ac:dyDescent="0.15">
      <c r="A155" s="1">
        <v>152</v>
      </c>
      <c r="B155" s="1" t="s">
        <v>406</v>
      </c>
      <c r="C155" s="1" t="s">
        <v>405</v>
      </c>
      <c r="D155" s="1" t="s">
        <v>405</v>
      </c>
      <c r="E155" s="1" t="s">
        <v>405</v>
      </c>
      <c r="F155" s="1" t="s">
        <v>405</v>
      </c>
      <c r="G155" s="1" t="s">
        <v>405</v>
      </c>
      <c r="H155" s="1" t="s">
        <v>407</v>
      </c>
      <c r="I155" s="1" t="s">
        <v>405</v>
      </c>
    </row>
    <row r="156" spans="1:9" x14ac:dyDescent="0.15">
      <c r="A156" s="1">
        <v>153</v>
      </c>
      <c r="B156" s="1" t="s">
        <v>406</v>
      </c>
      <c r="C156" s="1" t="s">
        <v>405</v>
      </c>
      <c r="D156" s="1" t="s">
        <v>405</v>
      </c>
      <c r="E156" s="1" t="s">
        <v>405</v>
      </c>
      <c r="F156" s="1" t="s">
        <v>405</v>
      </c>
      <c r="G156" s="1" t="s">
        <v>405</v>
      </c>
      <c r="H156" s="1" t="s">
        <v>407</v>
      </c>
      <c r="I156" s="1" t="s">
        <v>405</v>
      </c>
    </row>
    <row r="157" spans="1:9" x14ac:dyDescent="0.15">
      <c r="A157" s="1">
        <v>154</v>
      </c>
      <c r="B157" s="1" t="s">
        <v>406</v>
      </c>
      <c r="C157" s="1" t="s">
        <v>405</v>
      </c>
      <c r="D157" s="1" t="s">
        <v>405</v>
      </c>
      <c r="E157" s="1" t="s">
        <v>405</v>
      </c>
      <c r="F157" s="1" t="s">
        <v>405</v>
      </c>
      <c r="G157" s="1" t="s">
        <v>405</v>
      </c>
      <c r="H157" s="1" t="s">
        <v>407</v>
      </c>
      <c r="I157" s="1" t="s">
        <v>405</v>
      </c>
    </row>
    <row r="158" spans="1:9" x14ac:dyDescent="0.15">
      <c r="A158" s="1">
        <v>155</v>
      </c>
      <c r="B158" s="1" t="s">
        <v>406</v>
      </c>
      <c r="C158" s="1" t="s">
        <v>405</v>
      </c>
      <c r="D158" s="1" t="s">
        <v>405</v>
      </c>
      <c r="E158" s="1" t="s">
        <v>405</v>
      </c>
      <c r="F158" s="1" t="s">
        <v>405</v>
      </c>
      <c r="G158" s="1" t="s">
        <v>405</v>
      </c>
      <c r="H158" s="1" t="s">
        <v>407</v>
      </c>
      <c r="I158" s="1" t="s">
        <v>405</v>
      </c>
    </row>
    <row r="159" spans="1:9" x14ac:dyDescent="0.15">
      <c r="A159" s="1">
        <v>156</v>
      </c>
      <c r="B159" s="1" t="s">
        <v>406</v>
      </c>
      <c r="C159" s="1" t="s">
        <v>405</v>
      </c>
      <c r="D159" s="1" t="s">
        <v>405</v>
      </c>
      <c r="E159" s="1" t="s">
        <v>405</v>
      </c>
      <c r="F159" s="1" t="s">
        <v>405</v>
      </c>
      <c r="G159" s="1" t="s">
        <v>405</v>
      </c>
      <c r="H159" s="1" t="s">
        <v>407</v>
      </c>
      <c r="I159" s="1" t="s">
        <v>405</v>
      </c>
    </row>
    <row r="160" spans="1:9" x14ac:dyDescent="0.15">
      <c r="A160" s="1">
        <v>157</v>
      </c>
      <c r="B160" s="1" t="s">
        <v>406</v>
      </c>
      <c r="C160" s="1" t="s">
        <v>405</v>
      </c>
      <c r="D160" s="1" t="s">
        <v>405</v>
      </c>
      <c r="E160" s="1" t="s">
        <v>405</v>
      </c>
      <c r="F160" s="1" t="s">
        <v>405</v>
      </c>
      <c r="G160" s="1" t="s">
        <v>405</v>
      </c>
      <c r="H160" s="1" t="s">
        <v>407</v>
      </c>
      <c r="I160" s="1" t="s">
        <v>405</v>
      </c>
    </row>
    <row r="161" spans="1:9" x14ac:dyDescent="0.15">
      <c r="A161" s="1">
        <v>158</v>
      </c>
      <c r="B161" s="1" t="s">
        <v>406</v>
      </c>
      <c r="C161" s="1" t="s">
        <v>405</v>
      </c>
      <c r="D161" s="1" t="s">
        <v>405</v>
      </c>
      <c r="E161" s="1" t="s">
        <v>405</v>
      </c>
      <c r="F161" s="1" t="s">
        <v>405</v>
      </c>
      <c r="G161" s="1" t="s">
        <v>405</v>
      </c>
      <c r="H161" s="1" t="s">
        <v>407</v>
      </c>
      <c r="I161" s="1" t="s">
        <v>405</v>
      </c>
    </row>
    <row r="162" spans="1:9" x14ac:dyDescent="0.15">
      <c r="A162" s="1">
        <v>159</v>
      </c>
      <c r="B162" s="1" t="s">
        <v>406</v>
      </c>
      <c r="C162" s="1" t="s">
        <v>405</v>
      </c>
      <c r="D162" s="1" t="s">
        <v>405</v>
      </c>
      <c r="E162" s="1" t="s">
        <v>405</v>
      </c>
      <c r="F162" s="1" t="s">
        <v>405</v>
      </c>
      <c r="G162" s="1" t="s">
        <v>405</v>
      </c>
      <c r="H162" s="1" t="s">
        <v>407</v>
      </c>
      <c r="I162" s="1" t="s">
        <v>405</v>
      </c>
    </row>
    <row r="163" spans="1:9" x14ac:dyDescent="0.15">
      <c r="A163" s="1">
        <v>160</v>
      </c>
      <c r="B163" s="1" t="s">
        <v>406</v>
      </c>
      <c r="C163" s="1" t="s">
        <v>405</v>
      </c>
      <c r="D163" s="1" t="s">
        <v>407</v>
      </c>
      <c r="E163" s="1" t="s">
        <v>407</v>
      </c>
      <c r="F163" s="1" t="s">
        <v>405</v>
      </c>
      <c r="G163" s="1" t="s">
        <v>405</v>
      </c>
      <c r="H163" s="1" t="s">
        <v>407</v>
      </c>
      <c r="I163" s="1" t="s">
        <v>405</v>
      </c>
    </row>
    <row r="164" spans="1:9" x14ac:dyDescent="0.15">
      <c r="A164" s="1">
        <v>161</v>
      </c>
      <c r="B164" s="1" t="s">
        <v>406</v>
      </c>
      <c r="C164" s="1" t="s">
        <v>405</v>
      </c>
      <c r="D164" s="1" t="s">
        <v>407</v>
      </c>
      <c r="E164" s="1" t="s">
        <v>407</v>
      </c>
      <c r="F164" s="1" t="s">
        <v>405</v>
      </c>
      <c r="G164" s="1" t="s">
        <v>405</v>
      </c>
      <c r="H164" s="1" t="s">
        <v>407</v>
      </c>
      <c r="I164" s="1" t="s">
        <v>405</v>
      </c>
    </row>
    <row r="165" spans="1:9" x14ac:dyDescent="0.15">
      <c r="A165" s="1">
        <v>162</v>
      </c>
      <c r="B165" s="1" t="s">
        <v>406</v>
      </c>
      <c r="C165" s="1" t="s">
        <v>405</v>
      </c>
      <c r="D165" s="1" t="s">
        <v>407</v>
      </c>
      <c r="E165" s="1" t="s">
        <v>407</v>
      </c>
      <c r="F165" s="1" t="s">
        <v>405</v>
      </c>
      <c r="G165" s="1" t="s">
        <v>405</v>
      </c>
      <c r="H165" s="1" t="s">
        <v>407</v>
      </c>
      <c r="I165" s="1" t="s">
        <v>405</v>
      </c>
    </row>
    <row r="166" spans="1:9" x14ac:dyDescent="0.15">
      <c r="A166" s="1">
        <v>163</v>
      </c>
      <c r="B166" s="1" t="s">
        <v>406</v>
      </c>
      <c r="C166" s="1" t="s">
        <v>405</v>
      </c>
      <c r="D166" s="1" t="s">
        <v>407</v>
      </c>
      <c r="E166" s="1" t="s">
        <v>407</v>
      </c>
      <c r="F166" s="1" t="s">
        <v>405</v>
      </c>
      <c r="G166" s="1" t="s">
        <v>405</v>
      </c>
      <c r="H166" s="1" t="s">
        <v>407</v>
      </c>
      <c r="I166" s="1" t="s">
        <v>405</v>
      </c>
    </row>
    <row r="167" spans="1:9" x14ac:dyDescent="0.15">
      <c r="A167" s="1">
        <v>164</v>
      </c>
      <c r="B167" s="1" t="s">
        <v>406</v>
      </c>
      <c r="C167" s="1" t="s">
        <v>405</v>
      </c>
      <c r="D167" s="1" t="s">
        <v>407</v>
      </c>
      <c r="E167" s="1" t="s">
        <v>407</v>
      </c>
      <c r="F167" s="1" t="s">
        <v>405</v>
      </c>
      <c r="G167" s="1" t="s">
        <v>405</v>
      </c>
      <c r="H167" s="1" t="s">
        <v>407</v>
      </c>
      <c r="I167" s="1" t="s">
        <v>405</v>
      </c>
    </row>
    <row r="168" spans="1:9" x14ac:dyDescent="0.15">
      <c r="A168" s="1">
        <v>165</v>
      </c>
      <c r="B168" s="1" t="s">
        <v>406</v>
      </c>
      <c r="C168" s="1" t="s">
        <v>405</v>
      </c>
      <c r="D168" s="1" t="s">
        <v>407</v>
      </c>
      <c r="E168" s="1" t="s">
        <v>407</v>
      </c>
      <c r="F168" s="1" t="s">
        <v>407</v>
      </c>
      <c r="G168" s="1" t="s">
        <v>405</v>
      </c>
      <c r="H168" s="1" t="s">
        <v>407</v>
      </c>
      <c r="I168" s="1" t="s">
        <v>405</v>
      </c>
    </row>
    <row r="169" spans="1:9" x14ac:dyDescent="0.15">
      <c r="A169" s="1">
        <v>166</v>
      </c>
      <c r="B169" s="1" t="s">
        <v>406</v>
      </c>
      <c r="C169" s="1" t="s">
        <v>405</v>
      </c>
      <c r="D169" s="1" t="s">
        <v>407</v>
      </c>
      <c r="E169" s="1" t="s">
        <v>407</v>
      </c>
      <c r="F169" s="1" t="s">
        <v>407</v>
      </c>
      <c r="G169" s="1" t="s">
        <v>405</v>
      </c>
      <c r="H169" s="1" t="s">
        <v>407</v>
      </c>
      <c r="I169" s="1" t="s">
        <v>405</v>
      </c>
    </row>
    <row r="170" spans="1:9" x14ac:dyDescent="0.15">
      <c r="A170" s="1">
        <v>167</v>
      </c>
      <c r="B170" s="1" t="s">
        <v>406</v>
      </c>
      <c r="C170" s="1" t="s">
        <v>405</v>
      </c>
      <c r="D170" s="1" t="s">
        <v>407</v>
      </c>
      <c r="E170" s="1" t="s">
        <v>407</v>
      </c>
      <c r="F170" s="1" t="s">
        <v>407</v>
      </c>
      <c r="G170" s="1" t="s">
        <v>405</v>
      </c>
      <c r="H170" s="1" t="s">
        <v>407</v>
      </c>
      <c r="I170" s="1" t="s">
        <v>405</v>
      </c>
    </row>
    <row r="171" spans="1:9" x14ac:dyDescent="0.15">
      <c r="A171" s="1">
        <v>168</v>
      </c>
      <c r="B171" s="1" t="s">
        <v>406</v>
      </c>
      <c r="C171" s="1" t="s">
        <v>405</v>
      </c>
      <c r="D171" s="1" t="s">
        <v>407</v>
      </c>
      <c r="E171" s="1" t="s">
        <v>407</v>
      </c>
      <c r="F171" s="1" t="s">
        <v>407</v>
      </c>
      <c r="G171" s="1" t="s">
        <v>405</v>
      </c>
      <c r="H171" s="1" t="s">
        <v>407</v>
      </c>
      <c r="I171" s="1" t="s">
        <v>405</v>
      </c>
    </row>
    <row r="172" spans="1:9" x14ac:dyDescent="0.15">
      <c r="A172" s="1">
        <v>169</v>
      </c>
      <c r="B172" s="1" t="s">
        <v>406</v>
      </c>
      <c r="C172" s="1" t="s">
        <v>405</v>
      </c>
      <c r="D172" s="1" t="s">
        <v>407</v>
      </c>
      <c r="E172" s="1" t="s">
        <v>407</v>
      </c>
      <c r="F172" s="1" t="s">
        <v>407</v>
      </c>
      <c r="G172" s="1" t="s">
        <v>405</v>
      </c>
      <c r="H172" s="1" t="s">
        <v>407</v>
      </c>
      <c r="I172" s="1" t="s">
        <v>405</v>
      </c>
    </row>
    <row r="173" spans="1:9" x14ac:dyDescent="0.15">
      <c r="A173" s="1">
        <v>170</v>
      </c>
      <c r="B173" s="1" t="s">
        <v>406</v>
      </c>
      <c r="C173" s="1" t="s">
        <v>405</v>
      </c>
      <c r="D173" s="1" t="s">
        <v>407</v>
      </c>
      <c r="E173" s="1" t="s">
        <v>407</v>
      </c>
      <c r="F173" s="1" t="s">
        <v>407</v>
      </c>
      <c r="G173" s="1" t="s">
        <v>405</v>
      </c>
      <c r="H173" s="1" t="s">
        <v>407</v>
      </c>
      <c r="I173" s="1" t="s">
        <v>407</v>
      </c>
    </row>
    <row r="174" spans="1:9" x14ac:dyDescent="0.15">
      <c r="A174" s="1">
        <v>171</v>
      </c>
      <c r="B174" s="1" t="s">
        <v>406</v>
      </c>
      <c r="C174" s="1" t="s">
        <v>405</v>
      </c>
      <c r="D174" s="1" t="s">
        <v>407</v>
      </c>
      <c r="E174" s="1" t="s">
        <v>407</v>
      </c>
      <c r="F174" s="1" t="s">
        <v>407</v>
      </c>
      <c r="G174" s="1" t="s">
        <v>405</v>
      </c>
      <c r="H174" s="1" t="s">
        <v>407</v>
      </c>
      <c r="I174" s="1" t="s">
        <v>407</v>
      </c>
    </row>
    <row r="175" spans="1:9" x14ac:dyDescent="0.15">
      <c r="A175" s="1">
        <v>172</v>
      </c>
      <c r="B175" s="1" t="s">
        <v>406</v>
      </c>
      <c r="C175" s="1" t="s">
        <v>405</v>
      </c>
      <c r="D175" s="1" t="s">
        <v>407</v>
      </c>
      <c r="E175" s="1" t="s">
        <v>407</v>
      </c>
      <c r="F175" s="1" t="s">
        <v>407</v>
      </c>
      <c r="G175" s="1" t="s">
        <v>405</v>
      </c>
      <c r="H175" s="1" t="s">
        <v>407</v>
      </c>
      <c r="I175" s="1" t="s">
        <v>407</v>
      </c>
    </row>
    <row r="176" spans="1:9" x14ac:dyDescent="0.15">
      <c r="A176" s="1">
        <v>173</v>
      </c>
      <c r="B176" s="1" t="s">
        <v>406</v>
      </c>
      <c r="C176" s="1" t="s">
        <v>405</v>
      </c>
      <c r="D176" s="1" t="s">
        <v>407</v>
      </c>
      <c r="E176" s="1" t="s">
        <v>407</v>
      </c>
      <c r="F176" s="1" t="s">
        <v>407</v>
      </c>
      <c r="G176" s="1" t="s">
        <v>405</v>
      </c>
      <c r="H176" s="1" t="s">
        <v>407</v>
      </c>
      <c r="I176" s="1" t="s">
        <v>407</v>
      </c>
    </row>
    <row r="177" spans="1:9" x14ac:dyDescent="0.15">
      <c r="A177" s="1">
        <v>174</v>
      </c>
      <c r="B177" s="1" t="s">
        <v>406</v>
      </c>
      <c r="C177" s="1" t="s">
        <v>405</v>
      </c>
      <c r="D177" s="1" t="s">
        <v>407</v>
      </c>
      <c r="E177" s="1" t="s">
        <v>407</v>
      </c>
      <c r="F177" s="1" t="s">
        <v>407</v>
      </c>
      <c r="G177" s="1" t="s">
        <v>405</v>
      </c>
      <c r="H177" s="1" t="s">
        <v>407</v>
      </c>
      <c r="I177" s="1" t="s">
        <v>407</v>
      </c>
    </row>
    <row r="178" spans="1:9" x14ac:dyDescent="0.15">
      <c r="A178" s="1">
        <v>175</v>
      </c>
      <c r="B178" s="1" t="s">
        <v>406</v>
      </c>
      <c r="C178" s="1" t="s">
        <v>407</v>
      </c>
      <c r="D178" s="1" t="s">
        <v>407</v>
      </c>
      <c r="E178" s="1" t="s">
        <v>407</v>
      </c>
      <c r="F178" s="1" t="s">
        <v>407</v>
      </c>
      <c r="G178" s="1" t="s">
        <v>405</v>
      </c>
      <c r="H178" s="1" t="s">
        <v>407</v>
      </c>
      <c r="I178" s="1" t="s">
        <v>407</v>
      </c>
    </row>
    <row r="179" spans="1:9" x14ac:dyDescent="0.15">
      <c r="A179" s="1">
        <v>176</v>
      </c>
      <c r="B179" s="1" t="s">
        <v>406</v>
      </c>
      <c r="C179" s="1" t="s">
        <v>407</v>
      </c>
      <c r="D179" s="1" t="s">
        <v>407</v>
      </c>
      <c r="E179" s="1" t="s">
        <v>407</v>
      </c>
      <c r="F179" s="1" t="s">
        <v>407</v>
      </c>
      <c r="G179" s="1" t="s">
        <v>405</v>
      </c>
      <c r="H179" s="1" t="s">
        <v>407</v>
      </c>
      <c r="I179" s="1" t="s">
        <v>407</v>
      </c>
    </row>
    <row r="180" spans="1:9" x14ac:dyDescent="0.15">
      <c r="A180" s="1">
        <v>177</v>
      </c>
      <c r="B180" s="1" t="s">
        <v>406</v>
      </c>
      <c r="C180" s="1" t="s">
        <v>407</v>
      </c>
      <c r="D180" s="1" t="s">
        <v>407</v>
      </c>
      <c r="E180" s="1" t="s">
        <v>407</v>
      </c>
      <c r="F180" s="1" t="s">
        <v>407</v>
      </c>
      <c r="G180" s="1" t="s">
        <v>405</v>
      </c>
      <c r="H180" s="1" t="s">
        <v>407</v>
      </c>
      <c r="I180" s="1" t="s">
        <v>407</v>
      </c>
    </row>
    <row r="181" spans="1:9" x14ac:dyDescent="0.15">
      <c r="A181" s="1">
        <v>178</v>
      </c>
      <c r="B181" s="1" t="s">
        <v>406</v>
      </c>
      <c r="C181" s="1" t="s">
        <v>407</v>
      </c>
      <c r="D181" s="1" t="s">
        <v>407</v>
      </c>
      <c r="E181" s="1" t="s">
        <v>407</v>
      </c>
      <c r="F181" s="1" t="s">
        <v>407</v>
      </c>
      <c r="G181" s="1" t="s">
        <v>405</v>
      </c>
      <c r="H181" s="1" t="s">
        <v>407</v>
      </c>
      <c r="I181" s="1" t="s">
        <v>407</v>
      </c>
    </row>
    <row r="182" spans="1:9" x14ac:dyDescent="0.15">
      <c r="A182" s="1">
        <v>179</v>
      </c>
      <c r="B182" s="1" t="s">
        <v>406</v>
      </c>
      <c r="C182" s="1" t="s">
        <v>407</v>
      </c>
      <c r="D182" s="1" t="s">
        <v>407</v>
      </c>
      <c r="E182" s="1" t="s">
        <v>407</v>
      </c>
      <c r="F182" s="1" t="s">
        <v>407</v>
      </c>
      <c r="G182" s="1" t="s">
        <v>405</v>
      </c>
      <c r="H182" s="1" t="s">
        <v>407</v>
      </c>
      <c r="I182" s="1" t="s">
        <v>407</v>
      </c>
    </row>
    <row r="183" spans="1:9" x14ac:dyDescent="0.15">
      <c r="A183" s="1">
        <v>180</v>
      </c>
      <c r="B183" s="1" t="s">
        <v>406</v>
      </c>
      <c r="C183" s="1" t="s">
        <v>407</v>
      </c>
      <c r="D183" s="1" t="s">
        <v>407</v>
      </c>
      <c r="E183" s="1" t="s">
        <v>407</v>
      </c>
      <c r="F183" s="1" t="s">
        <v>407</v>
      </c>
      <c r="G183" s="1" t="s">
        <v>407</v>
      </c>
      <c r="H183" s="1" t="s">
        <v>407</v>
      </c>
      <c r="I183" s="1" t="s">
        <v>407</v>
      </c>
    </row>
    <row r="184" spans="1:9" x14ac:dyDescent="0.15">
      <c r="A184" s="1">
        <v>181</v>
      </c>
      <c r="B184" s="1" t="s">
        <v>406</v>
      </c>
      <c r="C184" s="1" t="s">
        <v>407</v>
      </c>
      <c r="D184" s="1" t="s">
        <v>407</v>
      </c>
      <c r="E184" s="1" t="s">
        <v>407</v>
      </c>
      <c r="F184" s="1" t="s">
        <v>407</v>
      </c>
      <c r="G184" s="1" t="s">
        <v>407</v>
      </c>
      <c r="H184" s="1" t="s">
        <v>407</v>
      </c>
      <c r="I184" s="1" t="s">
        <v>407</v>
      </c>
    </row>
    <row r="185" spans="1:9" x14ac:dyDescent="0.15">
      <c r="A185" s="1">
        <v>182</v>
      </c>
      <c r="B185" s="1" t="s">
        <v>406</v>
      </c>
      <c r="C185" s="1" t="s">
        <v>407</v>
      </c>
      <c r="D185" s="1" t="s">
        <v>407</v>
      </c>
      <c r="E185" s="1" t="s">
        <v>407</v>
      </c>
      <c r="F185" s="1" t="s">
        <v>407</v>
      </c>
      <c r="G185" s="1" t="s">
        <v>407</v>
      </c>
      <c r="H185" s="1" t="s">
        <v>407</v>
      </c>
      <c r="I185" s="1" t="s">
        <v>407</v>
      </c>
    </row>
    <row r="186" spans="1:9" x14ac:dyDescent="0.15">
      <c r="A186" s="1">
        <v>183</v>
      </c>
      <c r="B186" s="1" t="s">
        <v>406</v>
      </c>
      <c r="C186" s="1" t="s">
        <v>407</v>
      </c>
      <c r="D186" s="1" t="s">
        <v>407</v>
      </c>
      <c r="E186" s="1" t="s">
        <v>407</v>
      </c>
      <c r="F186" s="1" t="s">
        <v>407</v>
      </c>
      <c r="G186" s="1" t="s">
        <v>407</v>
      </c>
      <c r="H186" s="1" t="s">
        <v>407</v>
      </c>
      <c r="I186" s="1" t="s">
        <v>407</v>
      </c>
    </row>
    <row r="187" spans="1:9" x14ac:dyDescent="0.15">
      <c r="A187" s="1">
        <v>184</v>
      </c>
      <c r="B187" s="1" t="s">
        <v>406</v>
      </c>
      <c r="C187" s="1" t="s">
        <v>407</v>
      </c>
      <c r="D187" s="1" t="s">
        <v>407</v>
      </c>
      <c r="E187" s="1" t="s">
        <v>407</v>
      </c>
      <c r="F187" s="1" t="s">
        <v>407</v>
      </c>
      <c r="G187" s="1" t="s">
        <v>407</v>
      </c>
      <c r="H187" s="1" t="s">
        <v>407</v>
      </c>
      <c r="I187" s="1" t="s">
        <v>407</v>
      </c>
    </row>
    <row r="188" spans="1:9" x14ac:dyDescent="0.15">
      <c r="A188" s="1">
        <v>185</v>
      </c>
      <c r="B188" s="1" t="s">
        <v>406</v>
      </c>
      <c r="C188" s="1" t="s">
        <v>407</v>
      </c>
      <c r="D188" s="1" t="s">
        <v>407</v>
      </c>
      <c r="E188" s="1" t="s">
        <v>407</v>
      </c>
      <c r="F188" s="1" t="s">
        <v>407</v>
      </c>
      <c r="G188" s="1" t="s">
        <v>407</v>
      </c>
      <c r="H188" s="1" t="s">
        <v>407</v>
      </c>
      <c r="I188" s="1" t="s">
        <v>407</v>
      </c>
    </row>
    <row r="189" spans="1:9" x14ac:dyDescent="0.15">
      <c r="A189" s="1">
        <v>186</v>
      </c>
      <c r="B189" s="1" t="s">
        <v>406</v>
      </c>
      <c r="C189" s="1" t="s">
        <v>407</v>
      </c>
      <c r="D189" s="1" t="s">
        <v>407</v>
      </c>
      <c r="E189" s="1" t="s">
        <v>407</v>
      </c>
      <c r="F189" s="1" t="s">
        <v>407</v>
      </c>
      <c r="G189" s="1" t="s">
        <v>407</v>
      </c>
      <c r="H189" s="1" t="s">
        <v>407</v>
      </c>
      <c r="I189" s="1" t="s">
        <v>407</v>
      </c>
    </row>
    <row r="190" spans="1:9" x14ac:dyDescent="0.15">
      <c r="A190" s="1">
        <v>187</v>
      </c>
      <c r="B190" s="1" t="s">
        <v>406</v>
      </c>
      <c r="C190" s="1" t="s">
        <v>407</v>
      </c>
      <c r="D190" s="1" t="s">
        <v>407</v>
      </c>
      <c r="E190" s="1" t="s">
        <v>407</v>
      </c>
      <c r="F190" s="1" t="s">
        <v>407</v>
      </c>
      <c r="G190" s="1" t="s">
        <v>407</v>
      </c>
      <c r="H190" s="1" t="s">
        <v>407</v>
      </c>
      <c r="I190" s="1" t="s">
        <v>407</v>
      </c>
    </row>
    <row r="191" spans="1:9" x14ac:dyDescent="0.15">
      <c r="A191" s="1">
        <v>188</v>
      </c>
      <c r="B191" s="1" t="s">
        <v>406</v>
      </c>
      <c r="C191" s="1" t="s">
        <v>407</v>
      </c>
      <c r="D191" s="1" t="s">
        <v>407</v>
      </c>
      <c r="E191" s="1" t="s">
        <v>407</v>
      </c>
      <c r="F191" s="1" t="s">
        <v>407</v>
      </c>
      <c r="G191" s="1" t="s">
        <v>407</v>
      </c>
      <c r="H191" s="1" t="s">
        <v>407</v>
      </c>
      <c r="I191" s="1" t="s">
        <v>407</v>
      </c>
    </row>
    <row r="192" spans="1:9" x14ac:dyDescent="0.15">
      <c r="A192" s="1">
        <v>189</v>
      </c>
      <c r="B192" s="1" t="s">
        <v>406</v>
      </c>
      <c r="C192" s="1" t="s">
        <v>407</v>
      </c>
      <c r="D192" s="1" t="s">
        <v>407</v>
      </c>
      <c r="E192" s="1" t="s">
        <v>407</v>
      </c>
      <c r="F192" s="1" t="s">
        <v>407</v>
      </c>
      <c r="G192" s="1" t="s">
        <v>407</v>
      </c>
      <c r="H192" s="1" t="s">
        <v>407</v>
      </c>
      <c r="I192" s="1" t="s">
        <v>407</v>
      </c>
    </row>
    <row r="193" spans="1:9" x14ac:dyDescent="0.15">
      <c r="A193" s="1">
        <v>190</v>
      </c>
      <c r="B193" s="1" t="s">
        <v>406</v>
      </c>
      <c r="C193" s="1" t="s">
        <v>407</v>
      </c>
      <c r="D193" s="1" t="s">
        <v>407</v>
      </c>
      <c r="E193" s="1" t="s">
        <v>407</v>
      </c>
      <c r="F193" s="1" t="s">
        <v>407</v>
      </c>
      <c r="G193" s="1" t="s">
        <v>407</v>
      </c>
      <c r="H193" s="1" t="s">
        <v>407</v>
      </c>
      <c r="I193" s="1" t="s">
        <v>407</v>
      </c>
    </row>
    <row r="194" spans="1:9" x14ac:dyDescent="0.15">
      <c r="A194" s="1">
        <v>191</v>
      </c>
      <c r="B194" s="1" t="s">
        <v>406</v>
      </c>
      <c r="C194" s="1" t="s">
        <v>407</v>
      </c>
      <c r="D194" s="1" t="s">
        <v>407</v>
      </c>
      <c r="E194" s="1" t="s">
        <v>407</v>
      </c>
      <c r="F194" s="1" t="s">
        <v>407</v>
      </c>
      <c r="G194" s="1" t="s">
        <v>407</v>
      </c>
      <c r="H194" s="1" t="s">
        <v>407</v>
      </c>
      <c r="I194" s="1" t="s">
        <v>407</v>
      </c>
    </row>
    <row r="195" spans="1:9" x14ac:dyDescent="0.15">
      <c r="A195" s="1">
        <v>192</v>
      </c>
      <c r="B195" s="1" t="s">
        <v>406</v>
      </c>
      <c r="C195" s="1" t="s">
        <v>407</v>
      </c>
      <c r="D195" s="1" t="s">
        <v>407</v>
      </c>
      <c r="E195" s="1" t="s">
        <v>407</v>
      </c>
      <c r="F195" s="1" t="s">
        <v>407</v>
      </c>
      <c r="G195" s="1" t="s">
        <v>407</v>
      </c>
      <c r="H195" s="1" t="s">
        <v>407</v>
      </c>
      <c r="I195" s="1" t="s">
        <v>407</v>
      </c>
    </row>
    <row r="196" spans="1:9" x14ac:dyDescent="0.15">
      <c r="A196" s="1">
        <v>193</v>
      </c>
      <c r="B196" s="1" t="s">
        <v>406</v>
      </c>
      <c r="C196" s="1" t="s">
        <v>407</v>
      </c>
      <c r="D196" s="1" t="s">
        <v>407</v>
      </c>
      <c r="E196" s="1" t="s">
        <v>407</v>
      </c>
      <c r="F196" s="1" t="s">
        <v>407</v>
      </c>
      <c r="G196" s="1" t="s">
        <v>407</v>
      </c>
      <c r="H196" s="1" t="s">
        <v>407</v>
      </c>
      <c r="I196" s="1" t="s">
        <v>407</v>
      </c>
    </row>
    <row r="197" spans="1:9" x14ac:dyDescent="0.15">
      <c r="A197" s="1">
        <v>194</v>
      </c>
      <c r="B197" s="1" t="s">
        <v>406</v>
      </c>
      <c r="C197" s="1" t="s">
        <v>407</v>
      </c>
      <c r="D197" s="1" t="s">
        <v>407</v>
      </c>
      <c r="E197" s="1" t="s">
        <v>407</v>
      </c>
      <c r="F197" s="1" t="s">
        <v>407</v>
      </c>
      <c r="G197" s="1" t="s">
        <v>407</v>
      </c>
      <c r="H197" s="1" t="s">
        <v>407</v>
      </c>
      <c r="I197" s="1" t="s">
        <v>407</v>
      </c>
    </row>
    <row r="198" spans="1:9" x14ac:dyDescent="0.15">
      <c r="A198" s="1">
        <v>195</v>
      </c>
      <c r="B198" s="1" t="s">
        <v>406</v>
      </c>
      <c r="C198" s="1" t="s">
        <v>407</v>
      </c>
      <c r="D198" s="1" t="s">
        <v>407</v>
      </c>
      <c r="E198" s="1" t="s">
        <v>407</v>
      </c>
      <c r="F198" s="1" t="s">
        <v>407</v>
      </c>
      <c r="G198" s="1" t="s">
        <v>407</v>
      </c>
      <c r="H198" s="1" t="s">
        <v>407</v>
      </c>
      <c r="I198" s="1" t="s">
        <v>407</v>
      </c>
    </row>
    <row r="199" spans="1:9" x14ac:dyDescent="0.15">
      <c r="A199" s="1">
        <v>196</v>
      </c>
      <c r="B199" s="1" t="s">
        <v>406</v>
      </c>
      <c r="C199" s="1" t="s">
        <v>407</v>
      </c>
      <c r="D199" s="1" t="s">
        <v>407</v>
      </c>
      <c r="E199" s="1" t="s">
        <v>407</v>
      </c>
      <c r="F199" s="1" t="s">
        <v>407</v>
      </c>
      <c r="G199" s="1" t="s">
        <v>407</v>
      </c>
      <c r="H199" s="1" t="s">
        <v>407</v>
      </c>
      <c r="I199" s="1" t="s">
        <v>407</v>
      </c>
    </row>
    <row r="200" spans="1:9" x14ac:dyDescent="0.15">
      <c r="A200" s="1">
        <v>197</v>
      </c>
      <c r="B200" s="1" t="s">
        <v>406</v>
      </c>
      <c r="C200" s="1" t="s">
        <v>407</v>
      </c>
      <c r="D200" s="1" t="s">
        <v>407</v>
      </c>
      <c r="E200" s="1" t="s">
        <v>407</v>
      </c>
      <c r="F200" s="1" t="s">
        <v>407</v>
      </c>
      <c r="G200" s="1" t="s">
        <v>407</v>
      </c>
      <c r="H200" s="1" t="s">
        <v>407</v>
      </c>
      <c r="I200" s="1" t="s">
        <v>407</v>
      </c>
    </row>
    <row r="201" spans="1:9" x14ac:dyDescent="0.15">
      <c r="A201" s="1">
        <v>198</v>
      </c>
      <c r="B201" s="1" t="s">
        <v>406</v>
      </c>
      <c r="C201" s="1" t="s">
        <v>407</v>
      </c>
      <c r="D201" s="1" t="s">
        <v>407</v>
      </c>
      <c r="E201" s="1" t="s">
        <v>407</v>
      </c>
      <c r="F201" s="1" t="s">
        <v>407</v>
      </c>
      <c r="G201" s="1" t="s">
        <v>407</v>
      </c>
      <c r="H201" s="1" t="s">
        <v>407</v>
      </c>
      <c r="I201" s="1" t="s">
        <v>407</v>
      </c>
    </row>
    <row r="202" spans="1:9" x14ac:dyDescent="0.15">
      <c r="A202" s="1">
        <v>199</v>
      </c>
      <c r="B202" s="1" t="s">
        <v>406</v>
      </c>
      <c r="C202" s="1" t="s">
        <v>407</v>
      </c>
      <c r="D202" s="1" t="s">
        <v>407</v>
      </c>
      <c r="E202" s="1" t="s">
        <v>407</v>
      </c>
      <c r="F202" s="1" t="s">
        <v>407</v>
      </c>
      <c r="G202" s="1" t="s">
        <v>407</v>
      </c>
      <c r="H202" s="1" t="s">
        <v>407</v>
      </c>
      <c r="I202" s="1" t="s">
        <v>407</v>
      </c>
    </row>
    <row r="203" spans="1:9" x14ac:dyDescent="0.15">
      <c r="A203" s="1">
        <v>200</v>
      </c>
      <c r="B203" s="1" t="s">
        <v>406</v>
      </c>
      <c r="C203" s="1" t="s">
        <v>407</v>
      </c>
      <c r="D203" s="1" t="s">
        <v>407</v>
      </c>
      <c r="E203" s="1" t="s">
        <v>408</v>
      </c>
      <c r="F203" s="1" t="s">
        <v>407</v>
      </c>
      <c r="G203" s="1" t="s">
        <v>407</v>
      </c>
      <c r="H203" s="1" t="s">
        <v>407</v>
      </c>
      <c r="I203" s="1" t="s">
        <v>407</v>
      </c>
    </row>
    <row r="204" spans="1:9" x14ac:dyDescent="0.15">
      <c r="A204" s="1">
        <v>201</v>
      </c>
      <c r="B204" s="1" t="s">
        <v>406</v>
      </c>
      <c r="C204" s="1" t="s">
        <v>407</v>
      </c>
      <c r="D204" s="1" t="s">
        <v>407</v>
      </c>
      <c r="E204" s="1" t="s">
        <v>408</v>
      </c>
      <c r="F204" s="1" t="s">
        <v>407</v>
      </c>
      <c r="G204" s="1" t="s">
        <v>407</v>
      </c>
      <c r="H204" s="1" t="s">
        <v>407</v>
      </c>
      <c r="I204" s="1" t="s">
        <v>407</v>
      </c>
    </row>
    <row r="205" spans="1:9" x14ac:dyDescent="0.15">
      <c r="A205" s="1">
        <v>202</v>
      </c>
      <c r="B205" s="1" t="s">
        <v>406</v>
      </c>
      <c r="C205" s="1" t="s">
        <v>407</v>
      </c>
      <c r="D205" s="1" t="s">
        <v>407</v>
      </c>
      <c r="E205" s="1" t="s">
        <v>408</v>
      </c>
      <c r="F205" s="1" t="s">
        <v>407</v>
      </c>
      <c r="G205" s="1" t="s">
        <v>407</v>
      </c>
      <c r="H205" s="1" t="s">
        <v>407</v>
      </c>
      <c r="I205" s="1" t="s">
        <v>407</v>
      </c>
    </row>
    <row r="206" spans="1:9" x14ac:dyDescent="0.15">
      <c r="A206" s="1">
        <v>203</v>
      </c>
      <c r="B206" s="1" t="s">
        <v>406</v>
      </c>
      <c r="C206" s="1" t="s">
        <v>407</v>
      </c>
      <c r="D206" s="1" t="s">
        <v>407</v>
      </c>
      <c r="E206" s="1" t="s">
        <v>408</v>
      </c>
      <c r="F206" s="1" t="s">
        <v>407</v>
      </c>
      <c r="G206" s="1" t="s">
        <v>407</v>
      </c>
      <c r="H206" s="1" t="s">
        <v>407</v>
      </c>
      <c r="I206" s="1" t="s">
        <v>407</v>
      </c>
    </row>
    <row r="207" spans="1:9" x14ac:dyDescent="0.15">
      <c r="A207" s="1">
        <v>204</v>
      </c>
      <c r="B207" s="1" t="s">
        <v>406</v>
      </c>
      <c r="C207" s="1" t="s">
        <v>407</v>
      </c>
      <c r="D207" s="1" t="s">
        <v>407</v>
      </c>
      <c r="E207" s="1" t="s">
        <v>408</v>
      </c>
      <c r="F207" s="1" t="s">
        <v>407</v>
      </c>
      <c r="G207" s="1" t="s">
        <v>407</v>
      </c>
      <c r="H207" s="1" t="s">
        <v>407</v>
      </c>
      <c r="I207" s="1" t="s">
        <v>407</v>
      </c>
    </row>
    <row r="208" spans="1:9" x14ac:dyDescent="0.15">
      <c r="A208" s="1">
        <v>205</v>
      </c>
      <c r="B208" s="1" t="s">
        <v>406</v>
      </c>
      <c r="C208" s="1" t="s">
        <v>408</v>
      </c>
      <c r="D208" s="1" t="s">
        <v>407</v>
      </c>
      <c r="E208" s="1" t="s">
        <v>408</v>
      </c>
      <c r="F208" s="1" t="s">
        <v>407</v>
      </c>
      <c r="G208" s="1" t="s">
        <v>408</v>
      </c>
      <c r="H208" s="1" t="s">
        <v>407</v>
      </c>
      <c r="I208" s="1" t="s">
        <v>409</v>
      </c>
    </row>
    <row r="209" spans="1:9" x14ac:dyDescent="0.15">
      <c r="A209" s="1">
        <v>206</v>
      </c>
      <c r="B209" s="1" t="s">
        <v>406</v>
      </c>
      <c r="C209" s="1" t="s">
        <v>408</v>
      </c>
      <c r="D209" s="1" t="s">
        <v>407</v>
      </c>
      <c r="E209" s="1" t="s">
        <v>408</v>
      </c>
      <c r="F209" s="1" t="s">
        <v>407</v>
      </c>
      <c r="G209" s="1" t="s">
        <v>408</v>
      </c>
      <c r="H209" s="1" t="s">
        <v>407</v>
      </c>
      <c r="I209" s="1" t="s">
        <v>409</v>
      </c>
    </row>
    <row r="210" spans="1:9" x14ac:dyDescent="0.15">
      <c r="A210" s="1">
        <v>207</v>
      </c>
      <c r="B210" s="1" t="s">
        <v>406</v>
      </c>
      <c r="C210" s="1" t="s">
        <v>408</v>
      </c>
      <c r="D210" s="1" t="s">
        <v>407</v>
      </c>
      <c r="E210" s="1" t="s">
        <v>408</v>
      </c>
      <c r="F210" s="1" t="s">
        <v>407</v>
      </c>
      <c r="G210" s="1" t="s">
        <v>408</v>
      </c>
      <c r="H210" s="1" t="s">
        <v>407</v>
      </c>
      <c r="I210" s="1" t="s">
        <v>409</v>
      </c>
    </row>
    <row r="211" spans="1:9" x14ac:dyDescent="0.15">
      <c r="A211" s="1">
        <v>208</v>
      </c>
      <c r="B211" s="1" t="s">
        <v>406</v>
      </c>
      <c r="C211" s="1" t="s">
        <v>408</v>
      </c>
      <c r="D211" s="1" t="s">
        <v>407</v>
      </c>
      <c r="E211" s="1" t="s">
        <v>408</v>
      </c>
      <c r="F211" s="1" t="s">
        <v>407</v>
      </c>
      <c r="G211" s="1" t="s">
        <v>408</v>
      </c>
      <c r="H211" s="1" t="s">
        <v>407</v>
      </c>
      <c r="I211" s="1" t="s">
        <v>409</v>
      </c>
    </row>
    <row r="212" spans="1:9" x14ac:dyDescent="0.15">
      <c r="A212" s="1">
        <v>209</v>
      </c>
      <c r="B212" s="1" t="s">
        <v>406</v>
      </c>
      <c r="C212" s="1" t="s">
        <v>408</v>
      </c>
      <c r="D212" s="1" t="s">
        <v>407</v>
      </c>
      <c r="E212" s="1" t="s">
        <v>408</v>
      </c>
      <c r="F212" s="1" t="s">
        <v>407</v>
      </c>
      <c r="G212" s="1" t="s">
        <v>408</v>
      </c>
      <c r="H212" s="1" t="s">
        <v>407</v>
      </c>
      <c r="I212" s="1" t="s">
        <v>409</v>
      </c>
    </row>
    <row r="213" spans="1:9" x14ac:dyDescent="0.15">
      <c r="A213" s="1">
        <v>210</v>
      </c>
      <c r="B213" s="1" t="s">
        <v>408</v>
      </c>
      <c r="C213" s="1" t="s">
        <v>408</v>
      </c>
      <c r="D213" s="1" t="s">
        <v>408</v>
      </c>
      <c r="E213" s="1" t="s">
        <v>408</v>
      </c>
      <c r="F213" s="1" t="s">
        <v>410</v>
      </c>
      <c r="G213" s="1" t="s">
        <v>408</v>
      </c>
      <c r="H213" s="1" t="s">
        <v>408</v>
      </c>
      <c r="I213" s="1" t="s">
        <v>409</v>
      </c>
    </row>
    <row r="214" spans="1:9" x14ac:dyDescent="0.15">
      <c r="A214" s="1">
        <v>211</v>
      </c>
      <c r="B214" s="1" t="s">
        <v>408</v>
      </c>
      <c r="C214" s="1" t="s">
        <v>408</v>
      </c>
      <c r="D214" s="1" t="s">
        <v>408</v>
      </c>
      <c r="E214" s="1" t="s">
        <v>408</v>
      </c>
      <c r="F214" s="1" t="s">
        <v>410</v>
      </c>
      <c r="G214" s="1" t="s">
        <v>408</v>
      </c>
      <c r="H214" s="1" t="s">
        <v>408</v>
      </c>
      <c r="I214" s="1" t="s">
        <v>409</v>
      </c>
    </row>
    <row r="215" spans="1:9" x14ac:dyDescent="0.15">
      <c r="A215" s="1">
        <v>212</v>
      </c>
      <c r="B215" s="1" t="s">
        <v>408</v>
      </c>
      <c r="C215" s="1" t="s">
        <v>408</v>
      </c>
      <c r="D215" s="1" t="s">
        <v>408</v>
      </c>
      <c r="E215" s="1" t="s">
        <v>408</v>
      </c>
      <c r="F215" s="1" t="s">
        <v>410</v>
      </c>
      <c r="G215" s="1" t="s">
        <v>408</v>
      </c>
      <c r="H215" s="1" t="s">
        <v>408</v>
      </c>
      <c r="I215" s="1" t="s">
        <v>409</v>
      </c>
    </row>
    <row r="216" spans="1:9" x14ac:dyDescent="0.15">
      <c r="A216" s="1">
        <v>213</v>
      </c>
      <c r="B216" s="1" t="s">
        <v>408</v>
      </c>
      <c r="C216" s="1" t="s">
        <v>408</v>
      </c>
      <c r="D216" s="1" t="s">
        <v>408</v>
      </c>
      <c r="E216" s="1" t="s">
        <v>408</v>
      </c>
      <c r="F216" s="1" t="s">
        <v>410</v>
      </c>
      <c r="G216" s="1" t="s">
        <v>408</v>
      </c>
      <c r="H216" s="1" t="s">
        <v>408</v>
      </c>
      <c r="I216" s="1" t="s">
        <v>409</v>
      </c>
    </row>
    <row r="217" spans="1:9" x14ac:dyDescent="0.15">
      <c r="A217" s="1">
        <v>214</v>
      </c>
      <c r="B217" s="1" t="s">
        <v>408</v>
      </c>
      <c r="C217" s="1" t="s">
        <v>408</v>
      </c>
      <c r="D217" s="1" t="s">
        <v>408</v>
      </c>
      <c r="E217" s="1" t="s">
        <v>408</v>
      </c>
      <c r="F217" s="1" t="s">
        <v>410</v>
      </c>
      <c r="G217" s="1" t="s">
        <v>408</v>
      </c>
      <c r="H217" s="1" t="s">
        <v>408</v>
      </c>
      <c r="I217" s="1" t="s">
        <v>409</v>
      </c>
    </row>
    <row r="218" spans="1:9" x14ac:dyDescent="0.15">
      <c r="A218" s="1">
        <v>215</v>
      </c>
      <c r="B218" s="1" t="s">
        <v>408</v>
      </c>
      <c r="C218" s="1" t="s">
        <v>411</v>
      </c>
      <c r="D218" s="1" t="s">
        <v>408</v>
      </c>
      <c r="E218" s="1" t="s">
        <v>411</v>
      </c>
      <c r="F218" s="1" t="s">
        <v>410</v>
      </c>
      <c r="G218" s="1" t="s">
        <v>408</v>
      </c>
      <c r="H218" s="1" t="s">
        <v>408</v>
      </c>
      <c r="I218" s="1" t="s">
        <v>409</v>
      </c>
    </row>
    <row r="219" spans="1:9" x14ac:dyDescent="0.15">
      <c r="A219" s="1">
        <v>216</v>
      </c>
      <c r="B219" s="1" t="s">
        <v>408</v>
      </c>
      <c r="C219" s="1" t="s">
        <v>411</v>
      </c>
      <c r="D219" s="1" t="s">
        <v>408</v>
      </c>
      <c r="E219" s="1" t="s">
        <v>411</v>
      </c>
      <c r="F219" s="1" t="s">
        <v>410</v>
      </c>
      <c r="G219" s="1" t="s">
        <v>408</v>
      </c>
      <c r="H219" s="1" t="s">
        <v>408</v>
      </c>
      <c r="I219" s="1" t="s">
        <v>409</v>
      </c>
    </row>
    <row r="220" spans="1:9" x14ac:dyDescent="0.15">
      <c r="A220" s="1">
        <v>217</v>
      </c>
      <c r="B220" s="1" t="s">
        <v>408</v>
      </c>
      <c r="C220" s="1" t="s">
        <v>411</v>
      </c>
      <c r="D220" s="1" t="s">
        <v>408</v>
      </c>
      <c r="E220" s="1" t="s">
        <v>411</v>
      </c>
      <c r="F220" s="1" t="s">
        <v>410</v>
      </c>
      <c r="G220" s="1" t="s">
        <v>408</v>
      </c>
      <c r="H220" s="1" t="s">
        <v>408</v>
      </c>
      <c r="I220" s="1" t="s">
        <v>409</v>
      </c>
    </row>
    <row r="221" spans="1:9" x14ac:dyDescent="0.15">
      <c r="A221" s="1">
        <v>218</v>
      </c>
      <c r="B221" s="1" t="s">
        <v>408</v>
      </c>
      <c r="C221" s="1" t="s">
        <v>411</v>
      </c>
      <c r="D221" s="1" t="s">
        <v>408</v>
      </c>
      <c r="E221" s="1" t="s">
        <v>411</v>
      </c>
      <c r="F221" s="1" t="s">
        <v>410</v>
      </c>
      <c r="G221" s="1" t="s">
        <v>408</v>
      </c>
      <c r="H221" s="1" t="s">
        <v>408</v>
      </c>
      <c r="I221" s="1" t="s">
        <v>409</v>
      </c>
    </row>
    <row r="222" spans="1:9" x14ac:dyDescent="0.15">
      <c r="A222" s="1">
        <v>219</v>
      </c>
      <c r="B222" s="1" t="s">
        <v>408</v>
      </c>
      <c r="C222" s="1" t="s">
        <v>411</v>
      </c>
      <c r="D222" s="1" t="s">
        <v>408</v>
      </c>
      <c r="E222" s="1" t="s">
        <v>411</v>
      </c>
      <c r="F222" s="1" t="s">
        <v>410</v>
      </c>
      <c r="G222" s="1" t="s">
        <v>408</v>
      </c>
      <c r="H222" s="1" t="s">
        <v>408</v>
      </c>
      <c r="I222" s="1" t="s">
        <v>409</v>
      </c>
    </row>
    <row r="223" spans="1:9" x14ac:dyDescent="0.15">
      <c r="A223" s="1">
        <v>220</v>
      </c>
      <c r="B223" s="1" t="s">
        <v>411</v>
      </c>
      <c r="C223" s="1" t="s">
        <v>411</v>
      </c>
      <c r="D223" s="1" t="s">
        <v>411</v>
      </c>
      <c r="E223" s="1" t="s">
        <v>411</v>
      </c>
      <c r="F223" s="1" t="s">
        <v>410</v>
      </c>
      <c r="G223" s="1" t="s">
        <v>408</v>
      </c>
      <c r="H223" s="1" t="s">
        <v>410</v>
      </c>
      <c r="I223" s="1" t="s">
        <v>409</v>
      </c>
    </row>
    <row r="224" spans="1:9" x14ac:dyDescent="0.15">
      <c r="A224" s="1">
        <v>221</v>
      </c>
      <c r="B224" s="1" t="s">
        <v>411</v>
      </c>
      <c r="C224" s="1" t="s">
        <v>411</v>
      </c>
      <c r="D224" s="1" t="s">
        <v>411</v>
      </c>
      <c r="E224" s="1" t="s">
        <v>411</v>
      </c>
      <c r="F224" s="1" t="s">
        <v>410</v>
      </c>
      <c r="G224" s="1" t="s">
        <v>408</v>
      </c>
      <c r="H224" s="1" t="s">
        <v>410</v>
      </c>
      <c r="I224" s="1" t="s">
        <v>409</v>
      </c>
    </row>
    <row r="225" spans="1:9" x14ac:dyDescent="0.15">
      <c r="A225" s="1">
        <v>222</v>
      </c>
      <c r="B225" s="1" t="s">
        <v>411</v>
      </c>
      <c r="C225" s="1" t="s">
        <v>411</v>
      </c>
      <c r="D225" s="1" t="s">
        <v>411</v>
      </c>
      <c r="E225" s="1" t="s">
        <v>411</v>
      </c>
      <c r="F225" s="1" t="s">
        <v>410</v>
      </c>
      <c r="G225" s="1" t="s">
        <v>408</v>
      </c>
      <c r="H225" s="1" t="s">
        <v>410</v>
      </c>
      <c r="I225" s="1" t="s">
        <v>409</v>
      </c>
    </row>
    <row r="226" spans="1:9" x14ac:dyDescent="0.15">
      <c r="A226" s="1">
        <v>223</v>
      </c>
      <c r="B226" s="1" t="s">
        <v>411</v>
      </c>
      <c r="C226" s="1" t="s">
        <v>411</v>
      </c>
      <c r="D226" s="1" t="s">
        <v>411</v>
      </c>
      <c r="E226" s="1" t="s">
        <v>411</v>
      </c>
      <c r="F226" s="1" t="s">
        <v>410</v>
      </c>
      <c r="G226" s="1" t="s">
        <v>408</v>
      </c>
      <c r="H226" s="1" t="s">
        <v>410</v>
      </c>
      <c r="I226" s="1" t="s">
        <v>409</v>
      </c>
    </row>
    <row r="227" spans="1:9" x14ac:dyDescent="0.15">
      <c r="A227" s="1">
        <v>224</v>
      </c>
      <c r="B227" s="1" t="s">
        <v>411</v>
      </c>
      <c r="C227" s="1" t="s">
        <v>411</v>
      </c>
      <c r="D227" s="1" t="s">
        <v>411</v>
      </c>
      <c r="E227" s="1" t="s">
        <v>411</v>
      </c>
      <c r="F227" s="1" t="s">
        <v>410</v>
      </c>
      <c r="G227" s="1" t="s">
        <v>408</v>
      </c>
      <c r="H227" s="1" t="s">
        <v>410</v>
      </c>
      <c r="I227" s="1" t="s">
        <v>409</v>
      </c>
    </row>
    <row r="228" spans="1:9" x14ac:dyDescent="0.15">
      <c r="A228" s="1">
        <v>225</v>
      </c>
      <c r="B228" s="1" t="s">
        <v>411</v>
      </c>
      <c r="C228" s="1" t="s">
        <v>410</v>
      </c>
      <c r="D228" s="1" t="s">
        <v>411</v>
      </c>
      <c r="E228" s="1" t="s">
        <v>411</v>
      </c>
      <c r="F228" s="1" t="s">
        <v>410</v>
      </c>
      <c r="G228" s="1" t="s">
        <v>411</v>
      </c>
      <c r="H228" s="1" t="s">
        <v>410</v>
      </c>
      <c r="I228" s="1" t="s">
        <v>409</v>
      </c>
    </row>
    <row r="229" spans="1:9" x14ac:dyDescent="0.15">
      <c r="A229" s="1">
        <v>226</v>
      </c>
      <c r="B229" s="1" t="s">
        <v>411</v>
      </c>
      <c r="C229" s="1" t="s">
        <v>410</v>
      </c>
      <c r="D229" s="1" t="s">
        <v>411</v>
      </c>
      <c r="E229" s="1" t="s">
        <v>411</v>
      </c>
      <c r="F229" s="1" t="s">
        <v>410</v>
      </c>
      <c r="G229" s="1" t="s">
        <v>411</v>
      </c>
      <c r="H229" s="1" t="s">
        <v>410</v>
      </c>
      <c r="I229" s="1" t="s">
        <v>409</v>
      </c>
    </row>
    <row r="230" spans="1:9" x14ac:dyDescent="0.15">
      <c r="A230" s="1">
        <v>227</v>
      </c>
      <c r="B230" s="1" t="s">
        <v>411</v>
      </c>
      <c r="C230" s="1" t="s">
        <v>410</v>
      </c>
      <c r="D230" s="1" t="s">
        <v>411</v>
      </c>
      <c r="E230" s="1" t="s">
        <v>411</v>
      </c>
      <c r="F230" s="1" t="s">
        <v>410</v>
      </c>
      <c r="G230" s="1" t="s">
        <v>411</v>
      </c>
      <c r="H230" s="1" t="s">
        <v>410</v>
      </c>
      <c r="I230" s="1" t="s">
        <v>409</v>
      </c>
    </row>
    <row r="231" spans="1:9" x14ac:dyDescent="0.15">
      <c r="A231" s="1">
        <v>228</v>
      </c>
      <c r="B231" s="1" t="s">
        <v>411</v>
      </c>
      <c r="C231" s="1" t="s">
        <v>410</v>
      </c>
      <c r="D231" s="1" t="s">
        <v>411</v>
      </c>
      <c r="E231" s="1" t="s">
        <v>411</v>
      </c>
      <c r="F231" s="1" t="s">
        <v>410</v>
      </c>
      <c r="G231" s="1" t="s">
        <v>411</v>
      </c>
      <c r="H231" s="1" t="s">
        <v>410</v>
      </c>
      <c r="I231" s="1" t="s">
        <v>409</v>
      </c>
    </row>
    <row r="232" spans="1:9" x14ac:dyDescent="0.15">
      <c r="A232" s="1">
        <v>229</v>
      </c>
      <c r="B232" s="1" t="s">
        <v>411</v>
      </c>
      <c r="C232" s="1" t="s">
        <v>410</v>
      </c>
      <c r="D232" s="1" t="s">
        <v>411</v>
      </c>
      <c r="E232" s="1" t="s">
        <v>411</v>
      </c>
      <c r="F232" s="1" t="s">
        <v>410</v>
      </c>
      <c r="G232" s="1" t="s">
        <v>411</v>
      </c>
      <c r="H232" s="1" t="s">
        <v>410</v>
      </c>
      <c r="I232" s="1" t="s">
        <v>409</v>
      </c>
    </row>
    <row r="233" spans="1:9" x14ac:dyDescent="0.15">
      <c r="A233" s="1">
        <v>230</v>
      </c>
      <c r="B233" s="1" t="s">
        <v>415</v>
      </c>
      <c r="C233" s="1" t="s">
        <v>410</v>
      </c>
      <c r="D233" s="1" t="s">
        <v>415</v>
      </c>
      <c r="E233" s="1" t="s">
        <v>415</v>
      </c>
      <c r="F233" s="1" t="s">
        <v>410</v>
      </c>
      <c r="G233" s="1" t="s">
        <v>415</v>
      </c>
      <c r="H233" s="1" t="s">
        <v>410</v>
      </c>
      <c r="I233" s="1" t="s">
        <v>409</v>
      </c>
    </row>
    <row r="234" spans="1:9" x14ac:dyDescent="0.15">
      <c r="A234" s="1">
        <v>231</v>
      </c>
      <c r="B234" s="1" t="s">
        <v>415</v>
      </c>
      <c r="C234" s="1" t="s">
        <v>410</v>
      </c>
      <c r="D234" s="1" t="s">
        <v>415</v>
      </c>
      <c r="E234" s="1" t="s">
        <v>415</v>
      </c>
      <c r="F234" s="1" t="s">
        <v>410</v>
      </c>
      <c r="G234" s="1" t="s">
        <v>415</v>
      </c>
      <c r="H234" s="1" t="s">
        <v>410</v>
      </c>
      <c r="I234" s="1" t="s">
        <v>409</v>
      </c>
    </row>
    <row r="235" spans="1:9" x14ac:dyDescent="0.15">
      <c r="A235" s="1">
        <v>232</v>
      </c>
      <c r="B235" s="1" t="s">
        <v>415</v>
      </c>
      <c r="C235" s="1" t="s">
        <v>410</v>
      </c>
      <c r="D235" s="1" t="s">
        <v>415</v>
      </c>
      <c r="E235" s="1" t="s">
        <v>415</v>
      </c>
      <c r="F235" s="1" t="s">
        <v>410</v>
      </c>
      <c r="G235" s="1" t="s">
        <v>415</v>
      </c>
      <c r="H235" s="1" t="s">
        <v>410</v>
      </c>
      <c r="I235" s="1" t="s">
        <v>409</v>
      </c>
    </row>
    <row r="236" spans="1:9" x14ac:dyDescent="0.15">
      <c r="A236" s="1">
        <v>233</v>
      </c>
      <c r="B236" s="1" t="s">
        <v>415</v>
      </c>
      <c r="C236" s="1" t="s">
        <v>410</v>
      </c>
      <c r="D236" s="1" t="s">
        <v>415</v>
      </c>
      <c r="E236" s="1" t="s">
        <v>415</v>
      </c>
      <c r="F236" s="1" t="s">
        <v>410</v>
      </c>
      <c r="G236" s="1" t="s">
        <v>415</v>
      </c>
      <c r="H236" s="1" t="s">
        <v>410</v>
      </c>
      <c r="I236" s="1" t="s">
        <v>409</v>
      </c>
    </row>
    <row r="237" spans="1:9" x14ac:dyDescent="0.15">
      <c r="A237" s="1">
        <v>234</v>
      </c>
      <c r="B237" s="1" t="s">
        <v>415</v>
      </c>
      <c r="C237" s="1" t="s">
        <v>410</v>
      </c>
      <c r="D237" s="1" t="s">
        <v>415</v>
      </c>
      <c r="E237" s="1" t="s">
        <v>415</v>
      </c>
      <c r="F237" s="1" t="s">
        <v>410</v>
      </c>
      <c r="G237" s="1" t="s">
        <v>415</v>
      </c>
      <c r="H237" s="1" t="s">
        <v>410</v>
      </c>
      <c r="I237" s="1" t="s">
        <v>409</v>
      </c>
    </row>
    <row r="238" spans="1:9" x14ac:dyDescent="0.15">
      <c r="A238" s="1">
        <v>235</v>
      </c>
      <c r="B238" s="1" t="s">
        <v>415</v>
      </c>
      <c r="C238" s="1" t="s">
        <v>410</v>
      </c>
      <c r="D238" s="1" t="s">
        <v>415</v>
      </c>
      <c r="E238" s="1" t="s">
        <v>415</v>
      </c>
      <c r="F238" s="1" t="s">
        <v>410</v>
      </c>
      <c r="G238" s="1" t="s">
        <v>415</v>
      </c>
      <c r="H238" s="1" t="s">
        <v>410</v>
      </c>
      <c r="I238" s="1" t="s">
        <v>409</v>
      </c>
    </row>
    <row r="239" spans="1:9" x14ac:dyDescent="0.15">
      <c r="A239" s="1">
        <v>236</v>
      </c>
      <c r="B239" s="1" t="s">
        <v>415</v>
      </c>
      <c r="C239" s="1" t="s">
        <v>410</v>
      </c>
      <c r="D239" s="1" t="s">
        <v>415</v>
      </c>
      <c r="E239" s="1" t="s">
        <v>415</v>
      </c>
      <c r="F239" s="1" t="s">
        <v>410</v>
      </c>
      <c r="G239" s="1" t="s">
        <v>415</v>
      </c>
      <c r="H239" s="1" t="s">
        <v>410</v>
      </c>
      <c r="I239" s="1" t="s">
        <v>409</v>
      </c>
    </row>
    <row r="240" spans="1:9" x14ac:dyDescent="0.15">
      <c r="A240" s="1">
        <v>237</v>
      </c>
      <c r="B240" s="1" t="s">
        <v>416</v>
      </c>
      <c r="C240" s="1" t="s">
        <v>410</v>
      </c>
      <c r="D240" s="1" t="s">
        <v>416</v>
      </c>
      <c r="E240" s="1" t="s">
        <v>416</v>
      </c>
      <c r="F240" s="1" t="s">
        <v>410</v>
      </c>
      <c r="G240" s="1" t="s">
        <v>416</v>
      </c>
      <c r="H240" s="1" t="s">
        <v>410</v>
      </c>
      <c r="I240" s="1" t="s">
        <v>409</v>
      </c>
    </row>
    <row r="241" spans="1:9" x14ac:dyDescent="0.15">
      <c r="A241" s="1">
        <v>238</v>
      </c>
      <c r="B241" s="1" t="s">
        <v>416</v>
      </c>
      <c r="C241" s="1" t="s">
        <v>410</v>
      </c>
      <c r="D241" s="1" t="s">
        <v>416</v>
      </c>
      <c r="E241" s="1" t="s">
        <v>416</v>
      </c>
      <c r="F241" s="1" t="s">
        <v>410</v>
      </c>
      <c r="G241" s="1" t="s">
        <v>416</v>
      </c>
      <c r="H241" s="1" t="s">
        <v>410</v>
      </c>
      <c r="I241" s="1" t="s">
        <v>409</v>
      </c>
    </row>
    <row r="242" spans="1:9" x14ac:dyDescent="0.15">
      <c r="A242" s="1">
        <v>239</v>
      </c>
      <c r="B242" s="1" t="s">
        <v>416</v>
      </c>
      <c r="C242" s="1" t="s">
        <v>410</v>
      </c>
      <c r="D242" s="1" t="s">
        <v>416</v>
      </c>
      <c r="E242" s="1" t="s">
        <v>416</v>
      </c>
      <c r="F242" s="1" t="s">
        <v>410</v>
      </c>
      <c r="G242" s="1" t="s">
        <v>416</v>
      </c>
      <c r="H242" s="1" t="s">
        <v>410</v>
      </c>
      <c r="I242" s="1" t="s">
        <v>409</v>
      </c>
    </row>
    <row r="243" spans="1:9" x14ac:dyDescent="0.15">
      <c r="A243" s="1">
        <v>240</v>
      </c>
      <c r="B243" s="1" t="s">
        <v>416</v>
      </c>
      <c r="C243" s="1" t="s">
        <v>410</v>
      </c>
      <c r="D243" s="1" t="s">
        <v>416</v>
      </c>
      <c r="E243" s="1" t="s">
        <v>416</v>
      </c>
      <c r="F243" s="1" t="s">
        <v>410</v>
      </c>
      <c r="G243" s="1" t="s">
        <v>416</v>
      </c>
      <c r="H243" s="1" t="s">
        <v>410</v>
      </c>
      <c r="I243" s="1" t="s">
        <v>409</v>
      </c>
    </row>
    <row r="244" spans="1:9" x14ac:dyDescent="0.15">
      <c r="A244" s="1">
        <v>241</v>
      </c>
      <c r="B244" s="1" t="s">
        <v>416</v>
      </c>
      <c r="C244" s="1" t="s">
        <v>410</v>
      </c>
      <c r="D244" s="1" t="s">
        <v>416</v>
      </c>
      <c r="E244" s="1" t="s">
        <v>416</v>
      </c>
      <c r="F244" s="1" t="s">
        <v>410</v>
      </c>
      <c r="G244" s="1" t="s">
        <v>416</v>
      </c>
      <c r="H244" s="1" t="s">
        <v>410</v>
      </c>
      <c r="I244" s="1" t="s">
        <v>409</v>
      </c>
    </row>
    <row r="245" spans="1:9" x14ac:dyDescent="0.15">
      <c r="A245" s="1">
        <v>242</v>
      </c>
      <c r="B245" s="1" t="s">
        <v>416</v>
      </c>
      <c r="C245" s="1" t="s">
        <v>410</v>
      </c>
      <c r="D245" s="1" t="s">
        <v>416</v>
      </c>
      <c r="E245" s="1" t="s">
        <v>416</v>
      </c>
      <c r="F245" s="1" t="s">
        <v>410</v>
      </c>
      <c r="G245" s="1" t="s">
        <v>416</v>
      </c>
      <c r="H245" s="1" t="s">
        <v>410</v>
      </c>
      <c r="I245" s="1" t="s">
        <v>409</v>
      </c>
    </row>
    <row r="246" spans="1:9" x14ac:dyDescent="0.15">
      <c r="A246" s="1">
        <v>243</v>
      </c>
      <c r="B246" s="1" t="s">
        <v>416</v>
      </c>
      <c r="C246" s="1" t="s">
        <v>410</v>
      </c>
      <c r="D246" s="1" t="s">
        <v>416</v>
      </c>
      <c r="E246" s="1" t="s">
        <v>416</v>
      </c>
      <c r="F246" s="1" t="s">
        <v>410</v>
      </c>
      <c r="G246" s="1" t="s">
        <v>416</v>
      </c>
      <c r="H246" s="1" t="s">
        <v>410</v>
      </c>
      <c r="I246" s="1" t="s">
        <v>409</v>
      </c>
    </row>
    <row r="247" spans="1:9" x14ac:dyDescent="0.15">
      <c r="A247" s="1">
        <v>244</v>
      </c>
      <c r="B247" s="1" t="s">
        <v>416</v>
      </c>
      <c r="C247" s="1" t="s">
        <v>410</v>
      </c>
      <c r="D247" s="1" t="s">
        <v>416</v>
      </c>
      <c r="E247" s="1" t="s">
        <v>416</v>
      </c>
      <c r="F247" s="1" t="s">
        <v>410</v>
      </c>
      <c r="G247" s="1" t="s">
        <v>416</v>
      </c>
      <c r="H247" s="1" t="s">
        <v>410</v>
      </c>
      <c r="I247" s="1" t="s">
        <v>409</v>
      </c>
    </row>
    <row r="248" spans="1:9" x14ac:dyDescent="0.15">
      <c r="A248" s="1">
        <v>245</v>
      </c>
      <c r="B248" s="1" t="s">
        <v>417</v>
      </c>
      <c r="C248" s="1" t="s">
        <v>410</v>
      </c>
      <c r="D248" s="1" t="s">
        <v>416</v>
      </c>
      <c r="E248" s="1" t="s">
        <v>416</v>
      </c>
      <c r="F248" s="1" t="s">
        <v>410</v>
      </c>
      <c r="G248" s="1" t="s">
        <v>416</v>
      </c>
      <c r="H248" s="1" t="s">
        <v>410</v>
      </c>
      <c r="I248" s="1" t="s">
        <v>409</v>
      </c>
    </row>
    <row r="249" spans="1:9" x14ac:dyDescent="0.15">
      <c r="A249" s="1">
        <v>246</v>
      </c>
      <c r="B249" s="1" t="s">
        <v>417</v>
      </c>
      <c r="C249" s="1" t="s">
        <v>410</v>
      </c>
      <c r="D249" s="1" t="s">
        <v>416</v>
      </c>
      <c r="E249" s="1" t="s">
        <v>416</v>
      </c>
      <c r="F249" s="1" t="s">
        <v>410</v>
      </c>
      <c r="G249" s="1" t="s">
        <v>416</v>
      </c>
      <c r="H249" s="1" t="s">
        <v>410</v>
      </c>
      <c r="I249" s="1" t="s">
        <v>409</v>
      </c>
    </row>
    <row r="250" spans="1:9" x14ac:dyDescent="0.15">
      <c r="A250" s="1">
        <v>247</v>
      </c>
      <c r="B250" s="1" t="s">
        <v>417</v>
      </c>
      <c r="C250" s="1" t="s">
        <v>410</v>
      </c>
      <c r="D250" s="1" t="s">
        <v>416</v>
      </c>
      <c r="E250" s="1" t="s">
        <v>416</v>
      </c>
      <c r="F250" s="1" t="s">
        <v>410</v>
      </c>
      <c r="G250" s="1" t="s">
        <v>416</v>
      </c>
      <c r="H250" s="1" t="s">
        <v>410</v>
      </c>
      <c r="I250" s="1" t="s">
        <v>409</v>
      </c>
    </row>
    <row r="251" spans="1:9" x14ac:dyDescent="0.15">
      <c r="A251" s="1">
        <v>248</v>
      </c>
      <c r="B251" s="1" t="s">
        <v>417</v>
      </c>
      <c r="C251" s="1" t="s">
        <v>410</v>
      </c>
      <c r="D251" s="1" t="s">
        <v>416</v>
      </c>
      <c r="E251" s="1" t="s">
        <v>416</v>
      </c>
      <c r="F251" s="1" t="s">
        <v>410</v>
      </c>
      <c r="G251" s="1" t="s">
        <v>416</v>
      </c>
      <c r="H251" s="1" t="s">
        <v>410</v>
      </c>
      <c r="I251" s="1" t="s">
        <v>409</v>
      </c>
    </row>
    <row r="252" spans="1:9" x14ac:dyDescent="0.15">
      <c r="A252" s="1">
        <v>249</v>
      </c>
      <c r="B252" s="1" t="s">
        <v>417</v>
      </c>
      <c r="C252" s="1" t="s">
        <v>410</v>
      </c>
      <c r="D252" s="1" t="s">
        <v>416</v>
      </c>
      <c r="E252" s="1" t="s">
        <v>416</v>
      </c>
      <c r="F252" s="1" t="s">
        <v>410</v>
      </c>
      <c r="G252" s="1" t="s">
        <v>416</v>
      </c>
      <c r="H252" s="1" t="s">
        <v>410</v>
      </c>
      <c r="I252" s="1" t="s">
        <v>409</v>
      </c>
    </row>
    <row r="253" spans="1:9" x14ac:dyDescent="0.15">
      <c r="A253" s="1">
        <v>250</v>
      </c>
      <c r="B253" s="1" t="s">
        <v>417</v>
      </c>
      <c r="C253" s="1" t="s">
        <v>412</v>
      </c>
      <c r="D253" s="1" t="s">
        <v>412</v>
      </c>
      <c r="E253" s="1" t="s">
        <v>412</v>
      </c>
      <c r="F253" s="1" t="s">
        <v>412</v>
      </c>
      <c r="G253" s="1" t="s">
        <v>412</v>
      </c>
      <c r="H253" s="1" t="s">
        <v>412</v>
      </c>
      <c r="I253" s="1" t="s">
        <v>412</v>
      </c>
    </row>
    <row r="254" spans="1:9" x14ac:dyDescent="0.15">
      <c r="A254" s="1">
        <v>251</v>
      </c>
      <c r="B254" s="1" t="s">
        <v>417</v>
      </c>
      <c r="C254" s="1" t="s">
        <v>412</v>
      </c>
      <c r="D254" s="1" t="s">
        <v>412</v>
      </c>
      <c r="E254" s="1" t="s">
        <v>412</v>
      </c>
      <c r="F254" s="1" t="s">
        <v>412</v>
      </c>
      <c r="G254" s="1" t="s">
        <v>412</v>
      </c>
      <c r="H254" s="1" t="s">
        <v>412</v>
      </c>
      <c r="I254" s="1" t="s">
        <v>412</v>
      </c>
    </row>
    <row r="255" spans="1:9" x14ac:dyDescent="0.15">
      <c r="A255" s="1">
        <v>252</v>
      </c>
      <c r="B255" s="1" t="s">
        <v>417</v>
      </c>
      <c r="C255" s="1" t="s">
        <v>412</v>
      </c>
      <c r="D255" s="1" t="s">
        <v>412</v>
      </c>
      <c r="E255" s="1" t="s">
        <v>412</v>
      </c>
      <c r="F255" s="1" t="s">
        <v>412</v>
      </c>
      <c r="G255" s="1" t="s">
        <v>412</v>
      </c>
      <c r="H255" s="1" t="s">
        <v>412</v>
      </c>
      <c r="I255" s="1" t="s">
        <v>412</v>
      </c>
    </row>
    <row r="256" spans="1:9" x14ac:dyDescent="0.15">
      <c r="A256" s="1">
        <v>253</v>
      </c>
      <c r="B256" s="1" t="s">
        <v>417</v>
      </c>
      <c r="C256" s="1" t="s">
        <v>412</v>
      </c>
      <c r="D256" s="1" t="s">
        <v>412</v>
      </c>
      <c r="E256" s="1" t="s">
        <v>412</v>
      </c>
      <c r="F256" s="1" t="s">
        <v>412</v>
      </c>
      <c r="G256" s="1" t="s">
        <v>412</v>
      </c>
      <c r="H256" s="1" t="s">
        <v>412</v>
      </c>
      <c r="I256" s="1" t="s">
        <v>412</v>
      </c>
    </row>
    <row r="257" spans="1:9" x14ac:dyDescent="0.15">
      <c r="A257" s="1">
        <v>254</v>
      </c>
      <c r="B257" s="1" t="s">
        <v>417</v>
      </c>
      <c r="C257" s="1" t="s">
        <v>412</v>
      </c>
      <c r="D257" s="1" t="s">
        <v>412</v>
      </c>
      <c r="E257" s="1" t="s">
        <v>412</v>
      </c>
      <c r="F257" s="1" t="s">
        <v>412</v>
      </c>
      <c r="G257" s="1" t="s">
        <v>412</v>
      </c>
      <c r="H257" s="1" t="s">
        <v>412</v>
      </c>
      <c r="I257" s="1" t="s">
        <v>412</v>
      </c>
    </row>
    <row r="258" spans="1:9" x14ac:dyDescent="0.15">
      <c r="A258" s="1">
        <v>255</v>
      </c>
      <c r="B258" s="1" t="s">
        <v>417</v>
      </c>
      <c r="C258" s="1" t="s">
        <v>412</v>
      </c>
      <c r="D258" s="1" t="s">
        <v>412</v>
      </c>
      <c r="E258" s="1" t="s">
        <v>412</v>
      </c>
      <c r="F258" s="1" t="s">
        <v>412</v>
      </c>
      <c r="G258" s="1" t="s">
        <v>412</v>
      </c>
      <c r="H258" s="1" t="s">
        <v>412</v>
      </c>
      <c r="I258" s="1" t="s">
        <v>412</v>
      </c>
    </row>
    <row r="259" spans="1:9" x14ac:dyDescent="0.15">
      <c r="A259" s="1">
        <v>256</v>
      </c>
      <c r="B259" s="1" t="s">
        <v>417</v>
      </c>
      <c r="C259" s="1" t="s">
        <v>412</v>
      </c>
      <c r="D259" s="1" t="s">
        <v>412</v>
      </c>
      <c r="E259" s="1" t="s">
        <v>412</v>
      </c>
      <c r="F259" s="1" t="s">
        <v>412</v>
      </c>
      <c r="G259" s="1" t="s">
        <v>412</v>
      </c>
      <c r="H259" s="1" t="s">
        <v>412</v>
      </c>
      <c r="I259" s="1" t="s">
        <v>412</v>
      </c>
    </row>
    <row r="260" spans="1:9" x14ac:dyDescent="0.15">
      <c r="A260" s="1">
        <v>257</v>
      </c>
      <c r="B260" s="1" t="s">
        <v>417</v>
      </c>
      <c r="C260" s="1" t="s">
        <v>412</v>
      </c>
      <c r="D260" s="1" t="s">
        <v>412</v>
      </c>
      <c r="E260" s="1" t="s">
        <v>412</v>
      </c>
      <c r="F260" s="1" t="s">
        <v>412</v>
      </c>
      <c r="G260" s="1" t="s">
        <v>412</v>
      </c>
      <c r="H260" s="1" t="s">
        <v>412</v>
      </c>
      <c r="I260" s="1" t="s">
        <v>412</v>
      </c>
    </row>
    <row r="261" spans="1:9" x14ac:dyDescent="0.15">
      <c r="A261" s="1">
        <v>258</v>
      </c>
      <c r="B261" s="1" t="s">
        <v>417</v>
      </c>
      <c r="C261" s="1" t="s">
        <v>412</v>
      </c>
      <c r="D261" s="1" t="s">
        <v>412</v>
      </c>
      <c r="E261" s="1" t="s">
        <v>412</v>
      </c>
      <c r="F261" s="1" t="s">
        <v>412</v>
      </c>
      <c r="G261" s="1" t="s">
        <v>412</v>
      </c>
      <c r="H261" s="1" t="s">
        <v>412</v>
      </c>
      <c r="I261" s="1" t="s">
        <v>412</v>
      </c>
    </row>
    <row r="262" spans="1:9" x14ac:dyDescent="0.15">
      <c r="A262" s="1">
        <v>259</v>
      </c>
      <c r="B262" s="1" t="s">
        <v>417</v>
      </c>
      <c r="C262" s="1" t="s">
        <v>412</v>
      </c>
      <c r="D262" s="1" t="s">
        <v>412</v>
      </c>
      <c r="E262" s="1" t="s">
        <v>412</v>
      </c>
      <c r="F262" s="1" t="s">
        <v>412</v>
      </c>
      <c r="G262" s="1" t="s">
        <v>412</v>
      </c>
      <c r="H262" s="1" t="s">
        <v>412</v>
      </c>
      <c r="I262" s="1" t="s">
        <v>412</v>
      </c>
    </row>
    <row r="263" spans="1:9" x14ac:dyDescent="0.15">
      <c r="A263" s="1">
        <v>260</v>
      </c>
      <c r="B263" s="1" t="s">
        <v>417</v>
      </c>
      <c r="C263" s="1" t="s">
        <v>413</v>
      </c>
      <c r="D263" s="1" t="s">
        <v>413</v>
      </c>
      <c r="E263" s="1" t="s">
        <v>413</v>
      </c>
      <c r="F263" s="1" t="s">
        <v>413</v>
      </c>
      <c r="G263" s="1" t="s">
        <v>413</v>
      </c>
      <c r="H263" s="1" t="s">
        <v>413</v>
      </c>
      <c r="I263" s="1" t="s">
        <v>413</v>
      </c>
    </row>
    <row r="264" spans="1:9" x14ac:dyDescent="0.15">
      <c r="A264" s="1">
        <v>261</v>
      </c>
      <c r="B264" s="1" t="s">
        <v>417</v>
      </c>
      <c r="C264" s="1" t="s">
        <v>413</v>
      </c>
      <c r="D264" s="1" t="s">
        <v>413</v>
      </c>
      <c r="E264" s="1" t="s">
        <v>413</v>
      </c>
      <c r="F264" s="1" t="s">
        <v>413</v>
      </c>
      <c r="G264" s="1" t="s">
        <v>413</v>
      </c>
      <c r="H264" s="1" t="s">
        <v>413</v>
      </c>
      <c r="I264" s="1" t="s">
        <v>413</v>
      </c>
    </row>
    <row r="265" spans="1:9" x14ac:dyDescent="0.15">
      <c r="A265" s="1">
        <v>262</v>
      </c>
      <c r="B265" s="1" t="s">
        <v>417</v>
      </c>
      <c r="C265" s="1" t="s">
        <v>413</v>
      </c>
      <c r="D265" s="1" t="s">
        <v>413</v>
      </c>
      <c r="E265" s="1" t="s">
        <v>413</v>
      </c>
      <c r="F265" s="1" t="s">
        <v>413</v>
      </c>
      <c r="G265" s="1" t="s">
        <v>413</v>
      </c>
      <c r="H265" s="1" t="s">
        <v>413</v>
      </c>
      <c r="I265" s="1" t="s">
        <v>413</v>
      </c>
    </row>
    <row r="266" spans="1:9" x14ac:dyDescent="0.15">
      <c r="A266" s="1">
        <v>263</v>
      </c>
      <c r="B266" s="1" t="s">
        <v>417</v>
      </c>
      <c r="C266" s="1" t="s">
        <v>413</v>
      </c>
      <c r="D266" s="1" t="s">
        <v>413</v>
      </c>
      <c r="E266" s="1" t="s">
        <v>413</v>
      </c>
      <c r="F266" s="1" t="s">
        <v>413</v>
      </c>
      <c r="G266" s="1" t="s">
        <v>413</v>
      </c>
      <c r="H266" s="1" t="s">
        <v>413</v>
      </c>
      <c r="I266" s="1" t="s">
        <v>413</v>
      </c>
    </row>
    <row r="267" spans="1:9" x14ac:dyDescent="0.15">
      <c r="A267" s="1">
        <v>264</v>
      </c>
      <c r="B267" s="1" t="s">
        <v>417</v>
      </c>
      <c r="C267" s="1" t="s">
        <v>413</v>
      </c>
      <c r="D267" s="1" t="s">
        <v>413</v>
      </c>
      <c r="E267" s="1" t="s">
        <v>413</v>
      </c>
      <c r="F267" s="1" t="s">
        <v>413</v>
      </c>
      <c r="G267" s="1" t="s">
        <v>413</v>
      </c>
      <c r="H267" s="1" t="s">
        <v>413</v>
      </c>
      <c r="I267" s="1" t="s">
        <v>413</v>
      </c>
    </row>
    <row r="268" spans="1:9" x14ac:dyDescent="0.15">
      <c r="A268" s="1">
        <v>265</v>
      </c>
      <c r="B268" s="1" t="s">
        <v>417</v>
      </c>
      <c r="C268" s="1" t="s">
        <v>413</v>
      </c>
      <c r="D268" s="1" t="s">
        <v>413</v>
      </c>
      <c r="E268" s="1" t="s">
        <v>413</v>
      </c>
      <c r="F268" s="1" t="s">
        <v>413</v>
      </c>
      <c r="G268" s="1" t="s">
        <v>413</v>
      </c>
      <c r="H268" s="1" t="s">
        <v>413</v>
      </c>
      <c r="I268" s="1" t="s">
        <v>413</v>
      </c>
    </row>
    <row r="269" spans="1:9" x14ac:dyDescent="0.15">
      <c r="A269" s="1">
        <v>266</v>
      </c>
      <c r="B269" s="1" t="s">
        <v>417</v>
      </c>
      <c r="C269" s="1" t="s">
        <v>413</v>
      </c>
      <c r="D269" s="1" t="s">
        <v>413</v>
      </c>
      <c r="E269" s="1" t="s">
        <v>413</v>
      </c>
      <c r="F269" s="1" t="s">
        <v>413</v>
      </c>
      <c r="G269" s="1" t="s">
        <v>413</v>
      </c>
      <c r="H269" s="1" t="s">
        <v>413</v>
      </c>
      <c r="I269" s="1" t="s">
        <v>413</v>
      </c>
    </row>
    <row r="270" spans="1:9" x14ac:dyDescent="0.15">
      <c r="A270" s="1">
        <v>267</v>
      </c>
      <c r="B270" s="1" t="s">
        <v>417</v>
      </c>
      <c r="C270" s="1" t="s">
        <v>413</v>
      </c>
      <c r="D270" s="1" t="s">
        <v>413</v>
      </c>
      <c r="E270" s="1" t="s">
        <v>413</v>
      </c>
      <c r="F270" s="1" t="s">
        <v>413</v>
      </c>
      <c r="G270" s="1" t="s">
        <v>413</v>
      </c>
      <c r="H270" s="1" t="s">
        <v>413</v>
      </c>
      <c r="I270" s="1" t="s">
        <v>413</v>
      </c>
    </row>
    <row r="271" spans="1:9" x14ac:dyDescent="0.15">
      <c r="A271" s="1">
        <v>268</v>
      </c>
      <c r="B271" s="1" t="s">
        <v>417</v>
      </c>
      <c r="C271" s="1" t="s">
        <v>413</v>
      </c>
      <c r="D271" s="1" t="s">
        <v>413</v>
      </c>
      <c r="E271" s="1" t="s">
        <v>413</v>
      </c>
      <c r="F271" s="1" t="s">
        <v>413</v>
      </c>
      <c r="G271" s="1" t="s">
        <v>413</v>
      </c>
      <c r="H271" s="1" t="s">
        <v>413</v>
      </c>
      <c r="I271" s="1" t="s">
        <v>413</v>
      </c>
    </row>
    <row r="272" spans="1:9" x14ac:dyDescent="0.15">
      <c r="A272" s="1">
        <v>269</v>
      </c>
      <c r="B272" s="1" t="s">
        <v>417</v>
      </c>
      <c r="C272" s="1" t="s">
        <v>413</v>
      </c>
      <c r="D272" s="1" t="s">
        <v>413</v>
      </c>
      <c r="E272" s="1" t="s">
        <v>413</v>
      </c>
      <c r="F272" s="1" t="s">
        <v>413</v>
      </c>
      <c r="G272" s="1" t="s">
        <v>413</v>
      </c>
      <c r="H272" s="1" t="s">
        <v>413</v>
      </c>
      <c r="I272" s="1" t="s">
        <v>413</v>
      </c>
    </row>
    <row r="273" spans="1:9" x14ac:dyDescent="0.15">
      <c r="A273" s="1">
        <v>270</v>
      </c>
      <c r="B273" s="1" t="s">
        <v>417</v>
      </c>
      <c r="C273" s="1" t="s">
        <v>413</v>
      </c>
      <c r="D273" s="1" t="s">
        <v>413</v>
      </c>
      <c r="E273" s="1" t="s">
        <v>413</v>
      </c>
      <c r="F273" s="1" t="s">
        <v>413</v>
      </c>
      <c r="G273" s="1" t="s">
        <v>413</v>
      </c>
      <c r="H273" s="1" t="s">
        <v>414</v>
      </c>
      <c r="I273" s="1" t="s">
        <v>414</v>
      </c>
    </row>
    <row r="274" spans="1:9" x14ac:dyDescent="0.15">
      <c r="A274" s="1">
        <v>271</v>
      </c>
      <c r="B274" s="1" t="s">
        <v>417</v>
      </c>
      <c r="C274" s="1" t="s">
        <v>413</v>
      </c>
      <c r="D274" s="1" t="s">
        <v>413</v>
      </c>
      <c r="E274" s="1" t="s">
        <v>413</v>
      </c>
      <c r="F274" s="1" t="s">
        <v>413</v>
      </c>
      <c r="G274" s="1" t="s">
        <v>413</v>
      </c>
      <c r="H274" s="1" t="s">
        <v>414</v>
      </c>
      <c r="I274" s="1" t="s">
        <v>414</v>
      </c>
    </row>
    <row r="275" spans="1:9" x14ac:dyDescent="0.15">
      <c r="A275" s="1">
        <v>272</v>
      </c>
      <c r="B275" s="1" t="s">
        <v>417</v>
      </c>
      <c r="C275" s="1" t="s">
        <v>413</v>
      </c>
      <c r="D275" s="1" t="s">
        <v>413</v>
      </c>
      <c r="E275" s="1" t="s">
        <v>413</v>
      </c>
      <c r="F275" s="1" t="s">
        <v>413</v>
      </c>
      <c r="G275" s="1" t="s">
        <v>413</v>
      </c>
      <c r="H275" s="1" t="s">
        <v>414</v>
      </c>
      <c r="I275" s="1" t="s">
        <v>414</v>
      </c>
    </row>
    <row r="276" spans="1:9" x14ac:dyDescent="0.15">
      <c r="A276" s="1">
        <v>273</v>
      </c>
      <c r="B276" s="1" t="s">
        <v>417</v>
      </c>
      <c r="C276" s="1" t="s">
        <v>413</v>
      </c>
      <c r="D276" s="1" t="s">
        <v>413</v>
      </c>
      <c r="E276" s="1" t="s">
        <v>413</v>
      </c>
      <c r="F276" s="1" t="s">
        <v>413</v>
      </c>
      <c r="G276" s="1" t="s">
        <v>413</v>
      </c>
      <c r="H276" s="1" t="s">
        <v>414</v>
      </c>
      <c r="I276" s="1" t="s">
        <v>414</v>
      </c>
    </row>
    <row r="277" spans="1:9" x14ac:dyDescent="0.15">
      <c r="A277" s="1">
        <v>274</v>
      </c>
      <c r="B277" s="1" t="s">
        <v>417</v>
      </c>
      <c r="C277" s="1" t="s">
        <v>413</v>
      </c>
      <c r="D277" s="1" t="s">
        <v>413</v>
      </c>
      <c r="E277" s="1" t="s">
        <v>413</v>
      </c>
      <c r="F277" s="1" t="s">
        <v>413</v>
      </c>
      <c r="G277" s="1" t="s">
        <v>413</v>
      </c>
      <c r="H277" s="1" t="s">
        <v>414</v>
      </c>
      <c r="I277" s="1" t="s">
        <v>414</v>
      </c>
    </row>
    <row r="278" spans="1:9" x14ac:dyDescent="0.15">
      <c r="A278" s="1">
        <v>275</v>
      </c>
      <c r="B278" s="1" t="s">
        <v>417</v>
      </c>
      <c r="C278" s="1" t="s">
        <v>413</v>
      </c>
      <c r="D278" s="1" t="s">
        <v>413</v>
      </c>
      <c r="E278" s="1" t="s">
        <v>413</v>
      </c>
      <c r="F278" s="1" t="s">
        <v>413</v>
      </c>
      <c r="G278" s="1" t="s">
        <v>413</v>
      </c>
      <c r="H278" s="1" t="s">
        <v>414</v>
      </c>
      <c r="I278" s="1" t="s">
        <v>414</v>
      </c>
    </row>
    <row r="279" spans="1:9" x14ac:dyDescent="0.15">
      <c r="A279" s="1">
        <v>276</v>
      </c>
      <c r="B279" s="1" t="s">
        <v>417</v>
      </c>
      <c r="C279" s="1" t="s">
        <v>413</v>
      </c>
      <c r="D279" s="1" t="s">
        <v>413</v>
      </c>
      <c r="E279" s="1" t="s">
        <v>413</v>
      </c>
      <c r="F279" s="1" t="s">
        <v>413</v>
      </c>
      <c r="G279" s="1" t="s">
        <v>413</v>
      </c>
      <c r="H279" s="1" t="s">
        <v>414</v>
      </c>
      <c r="I279" s="1" t="s">
        <v>414</v>
      </c>
    </row>
    <row r="280" spans="1:9" x14ac:dyDescent="0.15">
      <c r="A280" s="1">
        <v>277</v>
      </c>
      <c r="B280" s="1" t="s">
        <v>417</v>
      </c>
      <c r="C280" s="1" t="s">
        <v>413</v>
      </c>
      <c r="D280" s="1" t="s">
        <v>413</v>
      </c>
      <c r="E280" s="1" t="s">
        <v>413</v>
      </c>
      <c r="F280" s="1" t="s">
        <v>413</v>
      </c>
      <c r="G280" s="1" t="s">
        <v>413</v>
      </c>
      <c r="H280" s="1" t="s">
        <v>414</v>
      </c>
      <c r="I280" s="1" t="s">
        <v>414</v>
      </c>
    </row>
    <row r="281" spans="1:9" x14ac:dyDescent="0.15">
      <c r="A281" s="1">
        <v>278</v>
      </c>
      <c r="B281" s="1" t="s">
        <v>417</v>
      </c>
      <c r="C281" s="1" t="s">
        <v>413</v>
      </c>
      <c r="D281" s="1" t="s">
        <v>413</v>
      </c>
      <c r="E281" s="1" t="s">
        <v>413</v>
      </c>
      <c r="F281" s="1" t="s">
        <v>413</v>
      </c>
      <c r="G281" s="1" t="s">
        <v>413</v>
      </c>
      <c r="H281" s="1" t="s">
        <v>414</v>
      </c>
      <c r="I281" s="1" t="s">
        <v>414</v>
      </c>
    </row>
    <row r="282" spans="1:9" x14ac:dyDescent="0.15">
      <c r="A282" s="1">
        <v>279</v>
      </c>
      <c r="B282" s="1" t="s">
        <v>417</v>
      </c>
      <c r="C282" s="1" t="s">
        <v>413</v>
      </c>
      <c r="D282" s="1" t="s">
        <v>413</v>
      </c>
      <c r="E282" s="1" t="s">
        <v>413</v>
      </c>
      <c r="F282" s="1" t="s">
        <v>413</v>
      </c>
      <c r="G282" s="1" t="s">
        <v>413</v>
      </c>
      <c r="H282" s="1" t="s">
        <v>414</v>
      </c>
      <c r="I282" s="1" t="s">
        <v>414</v>
      </c>
    </row>
    <row r="283" spans="1:9" x14ac:dyDescent="0.15">
      <c r="A283" s="1">
        <v>280</v>
      </c>
      <c r="B283" s="1" t="s">
        <v>417</v>
      </c>
      <c r="C283" s="1" t="s">
        <v>413</v>
      </c>
      <c r="D283" s="1" t="s">
        <v>413</v>
      </c>
      <c r="E283" s="1" t="s">
        <v>413</v>
      </c>
      <c r="F283" s="1" t="s">
        <v>413</v>
      </c>
      <c r="G283" s="1" t="s">
        <v>413</v>
      </c>
      <c r="H283" s="1" t="s">
        <v>414</v>
      </c>
      <c r="I283" s="1" t="s">
        <v>414</v>
      </c>
    </row>
  </sheetData>
  <mergeCells count="2">
    <mergeCell ref="B2:I2"/>
    <mergeCell ref="J2:Q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22"/>
  <sheetViews>
    <sheetView topLeftCell="A208" workbookViewId="0">
      <selection activeCell="G15" sqref="G15"/>
    </sheetView>
  </sheetViews>
  <sheetFormatPr defaultRowHeight="13.5" x14ac:dyDescent="0.15"/>
  <cols>
    <col min="2" max="2" width="16.25" bestFit="1" customWidth="1"/>
  </cols>
  <sheetData>
    <row r="2" spans="1:3" x14ac:dyDescent="0.15">
      <c r="A2" t="s">
        <v>19</v>
      </c>
      <c r="B2" t="s">
        <v>20</v>
      </c>
      <c r="C2" t="s">
        <v>21</v>
      </c>
    </row>
    <row r="3" spans="1:3" x14ac:dyDescent="0.15">
      <c r="A3">
        <v>1</v>
      </c>
      <c r="B3">
        <f>INDEX([1]人物经验!$H$24:$H$573,A3)</f>
        <v>5.8159722222222223E-5</v>
      </c>
      <c r="C3">
        <f>INDEX([1]人物经验!$O$24:$O$573,A3)</f>
        <v>0</v>
      </c>
    </row>
    <row r="4" spans="1:3" x14ac:dyDescent="0.15">
      <c r="A4">
        <v>2</v>
      </c>
      <c r="B4">
        <f>INDEX([1]人物经验!$H$24:$H$573,A4)</f>
        <v>1.2847222222222223E-4</v>
      </c>
      <c r="C4">
        <f>INDEX([1]人物经验!$O$24:$O$573,A4)</f>
        <v>4</v>
      </c>
    </row>
    <row r="5" spans="1:3" x14ac:dyDescent="0.15">
      <c r="A5">
        <v>3</v>
      </c>
      <c r="B5">
        <f>INDEX([1]人物经验!$H$24:$H$573,A5)</f>
        <v>2.1093749999999997E-4</v>
      </c>
      <c r="C5">
        <f>INDEX([1]人物经验!$O$24:$O$573,A5)</f>
        <v>9</v>
      </c>
    </row>
    <row r="6" spans="1:3" x14ac:dyDescent="0.15">
      <c r="A6">
        <v>4</v>
      </c>
      <c r="B6">
        <f>INDEX([1]人物经验!$H$24:$H$573,A6)</f>
        <v>3.0555555555555555E-4</v>
      </c>
      <c r="C6">
        <f>INDEX([1]人物经验!$O$24:$O$573,A6)</f>
        <v>15</v>
      </c>
    </row>
    <row r="7" spans="1:3" x14ac:dyDescent="0.15">
      <c r="A7">
        <v>5</v>
      </c>
      <c r="B7">
        <f>INDEX([1]人物经验!$H$24:$H$573,A7)</f>
        <v>4.1232638888888889E-4</v>
      </c>
      <c r="C7">
        <f>INDEX([1]人物经验!$O$24:$O$573,A7)</f>
        <v>22</v>
      </c>
    </row>
    <row r="8" spans="1:3" x14ac:dyDescent="0.15">
      <c r="A8">
        <v>6</v>
      </c>
      <c r="B8">
        <f>INDEX([1]人物经验!$H$24:$H$573,A8)</f>
        <v>5.3125000000000004E-4</v>
      </c>
      <c r="C8">
        <f>INDEX([1]人物经验!$O$24:$O$573,A8)</f>
        <v>30</v>
      </c>
    </row>
    <row r="9" spans="1:3" x14ac:dyDescent="0.15">
      <c r="A9">
        <v>7</v>
      </c>
      <c r="B9">
        <f>INDEX([1]人物经验!$H$24:$H$573,A9)</f>
        <v>6.6232638888888884E-4</v>
      </c>
      <c r="C9">
        <f>INDEX([1]人物经验!$O$24:$O$573,A9)</f>
        <v>39</v>
      </c>
    </row>
    <row r="10" spans="1:3" x14ac:dyDescent="0.15">
      <c r="A10">
        <v>8</v>
      </c>
      <c r="B10">
        <f>INDEX([1]人物经验!$H$24:$H$573,A10)</f>
        <v>8.0555555555555556E-4</v>
      </c>
      <c r="C10">
        <f>INDEX([1]人物经验!$O$24:$O$573,A10)</f>
        <v>49</v>
      </c>
    </row>
    <row r="11" spans="1:3" x14ac:dyDescent="0.15">
      <c r="A11">
        <v>9</v>
      </c>
      <c r="B11">
        <f>INDEX([1]人物经验!$H$24:$H$573,A11)</f>
        <v>9.6093749999999999E-4</v>
      </c>
      <c r="C11">
        <f>INDEX([1]人物经验!$O$24:$O$573,A11)</f>
        <v>60</v>
      </c>
    </row>
    <row r="12" spans="1:3" x14ac:dyDescent="0.15">
      <c r="A12">
        <v>10</v>
      </c>
      <c r="B12">
        <f>INDEX([1]人物经验!$H$24:$H$573,A12)</f>
        <v>1.1284722222222221E-3</v>
      </c>
      <c r="C12">
        <f>INDEX([1]人物经验!$O$24:$O$573,A12)</f>
        <v>72</v>
      </c>
    </row>
    <row r="13" spans="1:3" x14ac:dyDescent="0.15">
      <c r="A13">
        <v>11</v>
      </c>
      <c r="B13">
        <f>INDEX([1]人物经验!$H$24:$H$573,A13)</f>
        <v>1.3081597222222221E-3</v>
      </c>
      <c r="C13">
        <f>INDEX([1]人物经验!$O$24:$O$573,A13)</f>
        <v>85</v>
      </c>
    </row>
    <row r="14" spans="1:3" x14ac:dyDescent="0.15">
      <c r="A14">
        <v>12</v>
      </c>
      <c r="B14">
        <f>INDEX([1]人物经验!$H$24:$H$573,A14)</f>
        <v>1.4999999999999998E-3</v>
      </c>
      <c r="C14">
        <f>INDEX([1]人物经验!$O$24:$O$573,A14)</f>
        <v>99</v>
      </c>
    </row>
    <row r="15" spans="1:3" x14ac:dyDescent="0.15">
      <c r="A15">
        <v>13</v>
      </c>
      <c r="B15">
        <f>INDEX([1]人物经验!$H$24:$H$573,A15)</f>
        <v>1.7039930555555556E-3</v>
      </c>
      <c r="C15">
        <f>INDEX([1]人物经验!$O$24:$O$573,A15)</f>
        <v>114</v>
      </c>
    </row>
    <row r="16" spans="1:3" x14ac:dyDescent="0.15">
      <c r="A16">
        <v>14</v>
      </c>
      <c r="B16">
        <f>INDEX([1]人物经验!$H$24:$H$573,A16)</f>
        <v>1.9201388888888888E-3</v>
      </c>
      <c r="C16">
        <f>INDEX([1]人物经验!$O$24:$O$573,A16)</f>
        <v>130</v>
      </c>
    </row>
    <row r="17" spans="1:3" x14ac:dyDescent="0.15">
      <c r="A17">
        <v>15</v>
      </c>
      <c r="B17">
        <f>INDEX([1]人物经验!$H$24:$H$573,A17)</f>
        <v>2.1484374999999997E-3</v>
      </c>
      <c r="C17">
        <f>INDEX([1]人物经验!$O$24:$O$573,A17)</f>
        <v>149</v>
      </c>
    </row>
    <row r="18" spans="1:3" x14ac:dyDescent="0.15">
      <c r="A18">
        <v>16</v>
      </c>
      <c r="B18">
        <f>INDEX([1]人物经验!$H$24:$H$573,A18)</f>
        <v>2.3888888888888887E-3</v>
      </c>
      <c r="C18">
        <f>INDEX([1]人物经验!$O$24:$O$573,A18)</f>
        <v>169</v>
      </c>
    </row>
    <row r="19" spans="1:3" x14ac:dyDescent="0.15">
      <c r="A19">
        <v>17</v>
      </c>
      <c r="B19">
        <f>INDEX([1]人物经验!$H$24:$H$573,A19)</f>
        <v>2.6414930555555553E-3</v>
      </c>
      <c r="C19">
        <f>INDEX([1]人物经验!$O$24:$O$573,A19)</f>
        <v>190</v>
      </c>
    </row>
    <row r="20" spans="1:3" x14ac:dyDescent="0.15">
      <c r="A20">
        <v>18</v>
      </c>
      <c r="B20">
        <f>INDEX([1]人物经验!$H$24:$H$573,A20)</f>
        <v>2.9062499999999995E-3</v>
      </c>
      <c r="C20">
        <f>INDEX([1]人物经验!$O$24:$O$573,A20)</f>
        <v>212</v>
      </c>
    </row>
    <row r="21" spans="1:3" x14ac:dyDescent="0.15">
      <c r="A21">
        <v>19</v>
      </c>
      <c r="B21">
        <f>INDEX([1]人物经验!$H$24:$H$573,A21)</f>
        <v>3.1831597222222213E-3</v>
      </c>
      <c r="C21">
        <f>INDEX([1]人物经验!$O$24:$O$573,A21)</f>
        <v>236</v>
      </c>
    </row>
    <row r="22" spans="1:3" x14ac:dyDescent="0.15">
      <c r="A22">
        <v>20</v>
      </c>
      <c r="B22">
        <f>INDEX([1]人物经验!$H$24:$H$573,A22)</f>
        <v>3.472222222222222E-3</v>
      </c>
      <c r="C22">
        <f>INDEX([1]人物经验!$O$24:$O$573,A22)</f>
        <v>261</v>
      </c>
    </row>
    <row r="23" spans="1:3" x14ac:dyDescent="0.15">
      <c r="A23">
        <v>21</v>
      </c>
      <c r="B23">
        <f>INDEX([1]人物经验!$H$24:$H$573,A23)</f>
        <v>3.7699652777777779E-3</v>
      </c>
      <c r="C23">
        <f>INDEX([1]人物经验!$O$24:$O$573,A23)</f>
        <v>287</v>
      </c>
    </row>
    <row r="24" spans="1:3" x14ac:dyDescent="0.15">
      <c r="A24">
        <v>22</v>
      </c>
      <c r="B24">
        <f>INDEX([1]人物经验!$H$24:$H$573,A24)</f>
        <v>4.0729166666666665E-3</v>
      </c>
      <c r="C24">
        <f>INDEX([1]人物经验!$O$24:$O$573,A24)</f>
        <v>315</v>
      </c>
    </row>
    <row r="25" spans="1:3" x14ac:dyDescent="0.15">
      <c r="A25">
        <v>23</v>
      </c>
      <c r="B25">
        <f>INDEX([1]人物经验!$H$24:$H$573,A25)</f>
        <v>4.3810763888888892E-3</v>
      </c>
      <c r="C25">
        <f>INDEX([1]人物经验!$O$24:$O$573,A25)</f>
        <v>344</v>
      </c>
    </row>
    <row r="26" spans="1:3" x14ac:dyDescent="0.15">
      <c r="A26">
        <v>24</v>
      </c>
      <c r="B26">
        <f>INDEX([1]人物经验!$H$24:$H$573,A26)</f>
        <v>4.6944444444444447E-3</v>
      </c>
      <c r="C26">
        <f>INDEX([1]人物经验!$O$24:$O$573,A26)</f>
        <v>373</v>
      </c>
    </row>
    <row r="27" spans="1:3" x14ac:dyDescent="0.15">
      <c r="A27">
        <v>25</v>
      </c>
      <c r="B27">
        <f>INDEX([1]人物经验!$H$24:$H$573,A27)</f>
        <v>5.0130208333333337E-3</v>
      </c>
      <c r="C27">
        <f>INDEX([1]人物经验!$O$24:$O$573,A27)</f>
        <v>403</v>
      </c>
    </row>
    <row r="28" spans="1:3" x14ac:dyDescent="0.15">
      <c r="A28">
        <v>26</v>
      </c>
      <c r="B28">
        <f>INDEX([1]人物经验!$H$24:$H$573,A28)</f>
        <v>5.3368055555555564E-3</v>
      </c>
      <c r="C28">
        <f>INDEX([1]人物经验!$O$24:$O$573,A28)</f>
        <v>434</v>
      </c>
    </row>
    <row r="29" spans="1:3" x14ac:dyDescent="0.15">
      <c r="A29">
        <v>27</v>
      </c>
      <c r="B29">
        <f>INDEX([1]人物经验!$H$24:$H$573,A29)</f>
        <v>5.6657986111111102E-3</v>
      </c>
      <c r="C29">
        <f>INDEX([1]人物经验!$O$24:$O$573,A29)</f>
        <v>465</v>
      </c>
    </row>
    <row r="30" spans="1:3" x14ac:dyDescent="0.15">
      <c r="A30">
        <v>28</v>
      </c>
      <c r="B30">
        <f>INDEX([1]人物经验!$H$24:$H$573,A30)</f>
        <v>6.0000000000000019E-3</v>
      </c>
      <c r="C30">
        <f>INDEX([1]人物经验!$O$24:$O$573,A30)</f>
        <v>498</v>
      </c>
    </row>
    <row r="31" spans="1:3" x14ac:dyDescent="0.15">
      <c r="A31">
        <v>29</v>
      </c>
      <c r="B31">
        <f>INDEX([1]人物经验!$H$24:$H$573,A31)</f>
        <v>6.3394097222222228E-3</v>
      </c>
      <c r="C31">
        <f>INDEX([1]人物经验!$O$24:$O$573,A31)</f>
        <v>532</v>
      </c>
    </row>
    <row r="32" spans="1:3" x14ac:dyDescent="0.15">
      <c r="A32">
        <v>30</v>
      </c>
      <c r="B32">
        <f>INDEX([1]人物经验!$H$24:$H$573,A32)</f>
        <v>6.6840277777777783E-3</v>
      </c>
      <c r="C32">
        <f>INDEX([1]人物经验!$O$24:$O$573,A32)</f>
        <v>567</v>
      </c>
    </row>
    <row r="33" spans="1:3" x14ac:dyDescent="0.15">
      <c r="A33">
        <v>31</v>
      </c>
      <c r="B33">
        <f>INDEX([1]人物经验!$H$24:$H$573,A33)</f>
        <v>7.0338541666666666E-3</v>
      </c>
      <c r="C33">
        <f>INDEX([1]人物经验!$O$24:$O$573,A33)</f>
        <v>603</v>
      </c>
    </row>
    <row r="34" spans="1:3" x14ac:dyDescent="0.15">
      <c r="A34">
        <v>32</v>
      </c>
      <c r="B34">
        <f>INDEX([1]人物经验!$H$24:$H$573,A34)</f>
        <v>7.3888888888888902E-3</v>
      </c>
      <c r="C34">
        <f>INDEX([1]人物经验!$O$24:$O$573,A34)</f>
        <v>640</v>
      </c>
    </row>
    <row r="35" spans="1:3" x14ac:dyDescent="0.15">
      <c r="A35">
        <v>33</v>
      </c>
      <c r="B35">
        <f>INDEX([1]人物经验!$H$24:$H$573,A35)</f>
        <v>7.7491319444444456E-3</v>
      </c>
      <c r="C35">
        <f>INDEX([1]人物经验!$O$24:$O$573,A35)</f>
        <v>679</v>
      </c>
    </row>
    <row r="36" spans="1:3" x14ac:dyDescent="0.15">
      <c r="A36">
        <v>34</v>
      </c>
      <c r="B36">
        <f>INDEX([1]人物经验!$H$24:$H$573,A36)</f>
        <v>8.1145833333333348E-3</v>
      </c>
      <c r="C36">
        <f>INDEX([1]人物经验!$O$24:$O$573,A36)</f>
        <v>719</v>
      </c>
    </row>
    <row r="37" spans="1:3" x14ac:dyDescent="0.15">
      <c r="A37">
        <v>35</v>
      </c>
      <c r="B37">
        <f>INDEX([1]人物经验!$H$24:$H$573,A37)</f>
        <v>8.4852430555555566E-3</v>
      </c>
      <c r="C37">
        <f>INDEX([1]人物经验!$O$24:$O$573,A37)</f>
        <v>760</v>
      </c>
    </row>
    <row r="38" spans="1:3" x14ac:dyDescent="0.15">
      <c r="A38">
        <v>36</v>
      </c>
      <c r="B38">
        <f>INDEX([1]人物经验!$H$24:$H$573,A38)</f>
        <v>8.861111111111113E-3</v>
      </c>
      <c r="C38">
        <f>INDEX([1]人物经验!$O$24:$O$573,A38)</f>
        <v>802</v>
      </c>
    </row>
    <row r="39" spans="1:3" x14ac:dyDescent="0.15">
      <c r="A39">
        <v>37</v>
      </c>
      <c r="B39">
        <f>INDEX([1]人物经验!$H$24:$H$573,A39)</f>
        <v>9.2421875000000004E-3</v>
      </c>
      <c r="C39">
        <f>INDEX([1]人物经验!$O$24:$O$573,A39)</f>
        <v>845</v>
      </c>
    </row>
    <row r="40" spans="1:3" x14ac:dyDescent="0.15">
      <c r="A40">
        <v>38</v>
      </c>
      <c r="B40">
        <f>INDEX([1]人物经验!$H$24:$H$573,A40)</f>
        <v>9.628472222222224E-3</v>
      </c>
      <c r="C40">
        <f>INDEX([1]人物经验!$O$24:$O$573,A40)</f>
        <v>891</v>
      </c>
    </row>
    <row r="41" spans="1:3" x14ac:dyDescent="0.15">
      <c r="A41">
        <v>39</v>
      </c>
      <c r="B41">
        <f>INDEX([1]人物经验!$H$24:$H$573,A41)</f>
        <v>1.001996527777778E-2</v>
      </c>
      <c r="C41">
        <f>INDEX([1]人物经验!$O$24:$O$573,A41)</f>
        <v>938</v>
      </c>
    </row>
    <row r="42" spans="1:3" x14ac:dyDescent="0.15">
      <c r="A42">
        <v>40</v>
      </c>
      <c r="B42">
        <f>INDEX([1]人物经验!$H$24:$H$573,A42)</f>
        <v>1.041666666666667E-2</v>
      </c>
      <c r="C42">
        <f>INDEX([1]人物经验!$O$24:$O$573,A42)</f>
        <v>986</v>
      </c>
    </row>
    <row r="43" spans="1:3" x14ac:dyDescent="0.15">
      <c r="A43">
        <v>41</v>
      </c>
      <c r="B43">
        <f>INDEX([1]人物经验!$H$24:$H$573,A43)</f>
        <v>1.091154513888889E-2</v>
      </c>
      <c r="C43">
        <f>INDEX([1]人物经验!$O$24:$O$573,A43)</f>
        <v>1035</v>
      </c>
    </row>
    <row r="44" spans="1:3" x14ac:dyDescent="0.15">
      <c r="A44">
        <v>42</v>
      </c>
      <c r="B44">
        <f>INDEX([1]人物经验!$H$24:$H$573,A44)</f>
        <v>1.1424305555555557E-2</v>
      </c>
      <c r="C44">
        <f>INDEX([1]人物经验!$O$24:$O$573,A44)</f>
        <v>1097</v>
      </c>
    </row>
    <row r="45" spans="1:3" x14ac:dyDescent="0.15">
      <c r="A45">
        <v>43</v>
      </c>
      <c r="B45">
        <f>INDEX([1]人物经验!$H$24:$H$573,A45)</f>
        <v>1.1955468750000002E-2</v>
      </c>
      <c r="C45">
        <f>INDEX([1]人物经验!$O$24:$O$573,A45)</f>
        <v>1165</v>
      </c>
    </row>
    <row r="46" spans="1:3" x14ac:dyDescent="0.15">
      <c r="A46">
        <v>44</v>
      </c>
      <c r="B46">
        <f>INDEX([1]人物经验!$H$24:$H$573,A46)</f>
        <v>1.2505555555555554E-2</v>
      </c>
      <c r="C46">
        <f>INDEX([1]人物经验!$O$24:$O$573,A46)</f>
        <v>1236</v>
      </c>
    </row>
    <row r="47" spans="1:3" x14ac:dyDescent="0.15">
      <c r="A47">
        <v>45</v>
      </c>
      <c r="B47">
        <f>INDEX([1]人物经验!$H$24:$H$573,A47)</f>
        <v>1.3075086805555554E-2</v>
      </c>
      <c r="C47">
        <f>INDEX([1]人物经验!$O$24:$O$573,A47)</f>
        <v>1311</v>
      </c>
    </row>
    <row r="48" spans="1:3" x14ac:dyDescent="0.15">
      <c r="A48">
        <v>46</v>
      </c>
      <c r="B48">
        <f>INDEX([1]人物经验!$H$24:$H$573,A48)</f>
        <v>1.3664583333333334E-2</v>
      </c>
      <c r="C48">
        <f>INDEX([1]人物经验!$O$24:$O$573,A48)</f>
        <v>1393</v>
      </c>
    </row>
    <row r="49" spans="1:3" x14ac:dyDescent="0.15">
      <c r="A49">
        <v>47</v>
      </c>
      <c r="B49">
        <f>INDEX([1]人物经验!$H$24:$H$573,A49)</f>
        <v>1.4274565972222217E-2</v>
      </c>
      <c r="C49">
        <f>INDEX([1]人物经验!$O$24:$O$573,A49)</f>
        <v>1479</v>
      </c>
    </row>
    <row r="50" spans="1:3" x14ac:dyDescent="0.15">
      <c r="A50">
        <v>48</v>
      </c>
      <c r="B50">
        <f>INDEX([1]人物经验!$H$24:$H$573,A50)</f>
        <v>1.4905555555555552E-2</v>
      </c>
      <c r="C50">
        <f>INDEX([1]人物经验!$O$24:$O$573,A50)</f>
        <v>1569</v>
      </c>
    </row>
    <row r="51" spans="1:3" x14ac:dyDescent="0.15">
      <c r="A51">
        <v>49</v>
      </c>
      <c r="B51">
        <f>INDEX([1]人物经验!$H$24:$H$573,A51)</f>
        <v>1.5558072916666664E-2</v>
      </c>
      <c r="C51">
        <f>INDEX([1]人物经验!$O$24:$O$573,A51)</f>
        <v>1663</v>
      </c>
    </row>
    <row r="52" spans="1:3" x14ac:dyDescent="0.15">
      <c r="A52">
        <v>50</v>
      </c>
      <c r="B52">
        <f>INDEX([1]人物经验!$H$24:$H$573,A52)</f>
        <v>1.6232638888888887E-2</v>
      </c>
      <c r="C52">
        <f>INDEX([1]人物经验!$O$24:$O$573,A52)</f>
        <v>1766</v>
      </c>
    </row>
    <row r="53" spans="1:3" x14ac:dyDescent="0.15">
      <c r="A53">
        <v>51</v>
      </c>
      <c r="B53">
        <f>INDEX([1]人物经验!$H$24:$H$573,A53)</f>
        <v>1.6929774305555555E-2</v>
      </c>
      <c r="C53">
        <f>INDEX([1]人物经验!$O$24:$O$573,A53)</f>
        <v>1874</v>
      </c>
    </row>
    <row r="54" spans="1:3" x14ac:dyDescent="0.15">
      <c r="A54">
        <v>52</v>
      </c>
      <c r="B54">
        <f>INDEX([1]人物经验!$H$24:$H$573,A54)</f>
        <v>1.7650000000000002E-2</v>
      </c>
      <c r="C54">
        <f>INDEX([1]人物经验!$O$24:$O$573,A54)</f>
        <v>1987</v>
      </c>
    </row>
    <row r="55" spans="1:3" x14ac:dyDescent="0.15">
      <c r="A55">
        <v>53</v>
      </c>
      <c r="B55">
        <f>INDEX([1]人物经验!$H$24:$H$573,A55)</f>
        <v>1.8393836805555553E-2</v>
      </c>
      <c r="C55">
        <f>INDEX([1]人物经验!$O$24:$O$573,A55)</f>
        <v>2110</v>
      </c>
    </row>
    <row r="56" spans="1:3" x14ac:dyDescent="0.15">
      <c r="A56">
        <v>54</v>
      </c>
      <c r="B56">
        <f>INDEX([1]人物经验!$H$24:$H$573,A56)</f>
        <v>1.9161805555555553E-2</v>
      </c>
      <c r="C56">
        <f>INDEX([1]人物经验!$O$24:$O$573,A56)</f>
        <v>2240</v>
      </c>
    </row>
    <row r="57" spans="1:3" x14ac:dyDescent="0.15">
      <c r="A57">
        <v>55</v>
      </c>
      <c r="B57">
        <f>INDEX([1]人物经验!$H$24:$H$573,A57)</f>
        <v>1.9954427083333334E-2</v>
      </c>
      <c r="C57">
        <f>INDEX([1]人物经验!$O$24:$O$573,A57)</f>
        <v>2381</v>
      </c>
    </row>
    <row r="58" spans="1:3" x14ac:dyDescent="0.15">
      <c r="A58">
        <v>56</v>
      </c>
      <c r="B58">
        <f>INDEX([1]人物经验!$H$24:$H$573,A58)</f>
        <v>2.0772222222222223E-2</v>
      </c>
      <c r="C58">
        <f>INDEX([1]人物经验!$O$24:$O$573,A58)</f>
        <v>2529</v>
      </c>
    </row>
    <row r="59" spans="1:3" x14ac:dyDescent="0.15">
      <c r="A59">
        <v>57</v>
      </c>
      <c r="B59">
        <f>INDEX([1]人物经验!$H$24:$H$573,A59)</f>
        <v>2.1615711805555559E-2</v>
      </c>
      <c r="C59">
        <f>INDEX([1]人物经验!$O$24:$O$573,A59)</f>
        <v>2685</v>
      </c>
    </row>
    <row r="60" spans="1:3" x14ac:dyDescent="0.15">
      <c r="A60">
        <v>58</v>
      </c>
      <c r="B60">
        <f>INDEX([1]人物经验!$H$24:$H$573,A60)</f>
        <v>2.2485416666666671E-2</v>
      </c>
      <c r="C60">
        <f>INDEX([1]人物经验!$O$24:$O$573,A60)</f>
        <v>2854</v>
      </c>
    </row>
    <row r="61" spans="1:3" x14ac:dyDescent="0.15">
      <c r="A61">
        <v>59</v>
      </c>
      <c r="B61">
        <f>INDEX([1]人物经验!$H$24:$H$573,A61)</f>
        <v>2.3381857638888892E-2</v>
      </c>
      <c r="C61">
        <f>INDEX([1]人物经验!$O$24:$O$573,A61)</f>
        <v>3032</v>
      </c>
    </row>
    <row r="62" spans="1:3" x14ac:dyDescent="0.15">
      <c r="A62">
        <v>60</v>
      </c>
      <c r="B62">
        <f>INDEX([1]人物经验!$H$24:$H$573,A62)</f>
        <v>2.4305555555555556E-2</v>
      </c>
      <c r="C62">
        <f>INDEX([1]人物经验!$O$24:$O$573,A62)</f>
        <v>3226</v>
      </c>
    </row>
    <row r="63" spans="1:3" x14ac:dyDescent="0.15">
      <c r="A63">
        <v>61</v>
      </c>
      <c r="B63">
        <f>INDEX([1]人物经验!$H$24:$H$573,A63)</f>
        <v>2.5248263888888886E-2</v>
      </c>
      <c r="C63">
        <f>INDEX([1]人物经验!$O$24:$O$573,A63)</f>
        <v>3430</v>
      </c>
    </row>
    <row r="64" spans="1:3" x14ac:dyDescent="0.15">
      <c r="A64">
        <v>62</v>
      </c>
      <c r="B64">
        <f>INDEX([1]人物经验!$H$24:$H$573,A64)</f>
        <v>2.6201388888888885E-2</v>
      </c>
      <c r="C64">
        <f>INDEX([1]人物经验!$O$24:$O$573,A64)</f>
        <v>3649</v>
      </c>
    </row>
    <row r="65" spans="1:3" x14ac:dyDescent="0.15">
      <c r="A65">
        <v>63</v>
      </c>
      <c r="B65">
        <f>INDEX([1]人物经验!$H$24:$H$573,A65)</f>
        <v>2.716493055555555E-2</v>
      </c>
      <c r="C65">
        <f>INDEX([1]人物经验!$O$24:$O$573,A65)</f>
        <v>3875</v>
      </c>
    </row>
    <row r="66" spans="1:3" x14ac:dyDescent="0.15">
      <c r="A66">
        <v>64</v>
      </c>
      <c r="B66">
        <f>INDEX([1]人物经验!$H$24:$H$573,A66)</f>
        <v>2.8138888888888883E-2</v>
      </c>
      <c r="C66">
        <f>INDEX([1]人物经验!$O$24:$O$573,A66)</f>
        <v>4116</v>
      </c>
    </row>
    <row r="67" spans="1:3" x14ac:dyDescent="0.15">
      <c r="A67">
        <v>65</v>
      </c>
      <c r="B67">
        <f>INDEX([1]人物经验!$H$24:$H$573,A67)</f>
        <v>2.912326388888889E-2</v>
      </c>
      <c r="C67">
        <f>INDEX([1]人物经验!$O$24:$O$573,A67)</f>
        <v>4365</v>
      </c>
    </row>
    <row r="68" spans="1:3" x14ac:dyDescent="0.15">
      <c r="A68">
        <v>66</v>
      </c>
      <c r="B68">
        <f>INDEX([1]人物经验!$H$24:$H$573,A68)</f>
        <v>3.0118055555555554E-2</v>
      </c>
      <c r="C68">
        <f>INDEX([1]人物经验!$O$24:$O$573,A68)</f>
        <v>4623</v>
      </c>
    </row>
    <row r="69" spans="1:3" x14ac:dyDescent="0.15">
      <c r="A69">
        <v>67</v>
      </c>
      <c r="B69">
        <f>INDEX([1]人物经验!$H$24:$H$573,A69)</f>
        <v>3.1123263888888888E-2</v>
      </c>
      <c r="C69">
        <f>INDEX([1]人物经验!$O$24:$O$573,A69)</f>
        <v>4898</v>
      </c>
    </row>
    <row r="70" spans="1:3" x14ac:dyDescent="0.15">
      <c r="A70">
        <v>68</v>
      </c>
      <c r="B70">
        <f>INDEX([1]人物经验!$H$24:$H$573,A70)</f>
        <v>3.2138888888888884E-2</v>
      </c>
      <c r="C70">
        <f>INDEX([1]人物经验!$O$24:$O$573,A70)</f>
        <v>5182</v>
      </c>
    </row>
    <row r="71" spans="1:3" x14ac:dyDescent="0.15">
      <c r="A71">
        <v>69</v>
      </c>
      <c r="B71">
        <f>INDEX([1]人物经验!$H$24:$H$573,A71)</f>
        <v>3.3164930555555555E-2</v>
      </c>
      <c r="C71">
        <f>INDEX([1]人物经验!$O$24:$O$573,A71)</f>
        <v>5485</v>
      </c>
    </row>
    <row r="72" spans="1:3" x14ac:dyDescent="0.15">
      <c r="A72">
        <v>70</v>
      </c>
      <c r="B72">
        <f>INDEX([1]人物经验!$H$24:$H$573,A72)</f>
        <v>3.4201388888888885E-2</v>
      </c>
      <c r="C72">
        <f>INDEX([1]人物经验!$O$24:$O$573,A72)</f>
        <v>5798</v>
      </c>
    </row>
    <row r="73" spans="1:3" x14ac:dyDescent="0.15">
      <c r="A73">
        <v>71</v>
      </c>
      <c r="B73">
        <f>INDEX([1]人物经验!$H$24:$H$573,A73)</f>
        <v>3.5248263888888888E-2</v>
      </c>
      <c r="C73">
        <f>INDEX([1]人物经验!$O$24:$O$573,A73)</f>
        <v>6132</v>
      </c>
    </row>
    <row r="74" spans="1:3" x14ac:dyDescent="0.15">
      <c r="A74">
        <v>72</v>
      </c>
      <c r="B74">
        <f>INDEX([1]人物经验!$H$24:$H$573,A74)</f>
        <v>3.6305555555555549E-2</v>
      </c>
      <c r="C74">
        <f>INDEX([1]人物经验!$O$24:$O$573,A74)</f>
        <v>6478</v>
      </c>
    </row>
    <row r="75" spans="1:3" x14ac:dyDescent="0.15">
      <c r="A75">
        <v>73</v>
      </c>
      <c r="B75">
        <f>INDEX([1]人物经验!$H$24:$H$573,A75)</f>
        <v>3.737326388888889E-2</v>
      </c>
      <c r="C75">
        <f>INDEX([1]人物经验!$O$24:$O$573,A75)</f>
        <v>6846</v>
      </c>
    </row>
    <row r="76" spans="1:3" x14ac:dyDescent="0.15">
      <c r="A76">
        <v>74</v>
      </c>
      <c r="B76">
        <f>INDEX([1]人物经验!$H$24:$H$573,A76)</f>
        <v>3.8451388888888889E-2</v>
      </c>
      <c r="C76">
        <f>INDEX([1]人物经验!$O$24:$O$573,A76)</f>
        <v>7227</v>
      </c>
    </row>
    <row r="77" spans="1:3" x14ac:dyDescent="0.15">
      <c r="A77">
        <v>75</v>
      </c>
      <c r="B77">
        <f>INDEX([1]人物经验!$H$24:$H$573,A77)</f>
        <v>3.9539930555555554E-2</v>
      </c>
      <c r="C77">
        <f>INDEX([1]人物经验!$O$24:$O$573,A77)</f>
        <v>7633</v>
      </c>
    </row>
    <row r="78" spans="1:3" x14ac:dyDescent="0.15">
      <c r="A78">
        <v>76</v>
      </c>
      <c r="B78">
        <f>INDEX([1]人物经验!$H$24:$H$573,A78)</f>
        <v>4.0638888888888884E-2</v>
      </c>
      <c r="C78">
        <f>INDEX([1]人物经验!$O$24:$O$573,A78)</f>
        <v>8054</v>
      </c>
    </row>
    <row r="79" spans="1:3" x14ac:dyDescent="0.15">
      <c r="A79">
        <v>77</v>
      </c>
      <c r="B79">
        <f>INDEX([1]人物经验!$H$24:$H$573,A79)</f>
        <v>4.1748263888888887E-2</v>
      </c>
      <c r="C79">
        <f>INDEX([1]人物经验!$O$24:$O$573,A79)</f>
        <v>8502</v>
      </c>
    </row>
    <row r="80" spans="1:3" x14ac:dyDescent="0.15">
      <c r="A80">
        <v>78</v>
      </c>
      <c r="B80">
        <f>INDEX([1]人物经验!$H$24:$H$573,A80)</f>
        <v>4.2868055555555555E-2</v>
      </c>
      <c r="C80">
        <f>INDEX([1]人物经验!$O$24:$O$573,A80)</f>
        <v>8966</v>
      </c>
    </row>
    <row r="81" spans="1:3" x14ac:dyDescent="0.15">
      <c r="A81">
        <v>79</v>
      </c>
      <c r="B81">
        <f>INDEX([1]人物经验!$H$24:$H$573,A81)</f>
        <v>4.3998263888888882E-2</v>
      </c>
      <c r="C81">
        <f>INDEX([1]人物经验!$O$24:$O$573,A81)</f>
        <v>9460</v>
      </c>
    </row>
    <row r="82" spans="1:3" x14ac:dyDescent="0.15">
      <c r="A82">
        <v>80</v>
      </c>
      <c r="B82">
        <f>INDEX([1]人物经验!$H$24:$H$573,A82)</f>
        <v>4.5138888888888874E-2</v>
      </c>
      <c r="C82">
        <f>INDEX([1]人物经验!$O$24:$O$573,A82)</f>
        <v>9972</v>
      </c>
    </row>
    <row r="83" spans="1:3" x14ac:dyDescent="0.15">
      <c r="A83">
        <v>81</v>
      </c>
      <c r="B83">
        <f>INDEX([1]人物经验!$H$24:$H$573,A83)</f>
        <v>4.6329861111111099E-2</v>
      </c>
      <c r="C83">
        <f>INDEX([1]人物经验!$O$24:$O$573,A83)</f>
        <v>10517</v>
      </c>
    </row>
    <row r="84" spans="1:3" x14ac:dyDescent="0.15">
      <c r="A84">
        <v>82</v>
      </c>
      <c r="B84">
        <f>INDEX([1]人物经验!$H$24:$H$573,A84)</f>
        <v>4.7541666666666656E-2</v>
      </c>
      <c r="C84">
        <f>INDEX([1]人物经验!$O$24:$O$573,A84)</f>
        <v>11102</v>
      </c>
    </row>
    <row r="85" spans="1:3" x14ac:dyDescent="0.15">
      <c r="A85">
        <v>83</v>
      </c>
      <c r="B85">
        <f>INDEX([1]人物经验!$H$24:$H$573,A85)</f>
        <v>4.8774305555555543E-2</v>
      </c>
      <c r="C85">
        <f>INDEX([1]人物经验!$O$24:$O$573,A85)</f>
        <v>11729</v>
      </c>
    </row>
    <row r="86" spans="1:3" x14ac:dyDescent="0.15">
      <c r="A86">
        <v>84</v>
      </c>
      <c r="B86">
        <f>INDEX([1]人物经验!$H$24:$H$573,A86)</f>
        <v>5.0027777777777775E-2</v>
      </c>
      <c r="C86">
        <f>INDEX([1]人物经验!$O$24:$O$573,A86)</f>
        <v>12385</v>
      </c>
    </row>
    <row r="87" spans="1:3" x14ac:dyDescent="0.15">
      <c r="A87">
        <v>85</v>
      </c>
      <c r="B87">
        <f>INDEX([1]人物经验!$H$24:$H$573,A87)</f>
        <v>5.1302083333333331E-2</v>
      </c>
      <c r="C87">
        <f>INDEX([1]人物经验!$O$24:$O$573,A87)</f>
        <v>13088</v>
      </c>
    </row>
    <row r="88" spans="1:3" x14ac:dyDescent="0.15">
      <c r="A88">
        <v>86</v>
      </c>
      <c r="B88">
        <f>INDEX([1]人物经验!$H$24:$H$573,A88)</f>
        <v>5.2597222222222219E-2</v>
      </c>
      <c r="C88">
        <f>INDEX([1]人物经验!$O$24:$O$573,A88)</f>
        <v>13823</v>
      </c>
    </row>
    <row r="89" spans="1:3" x14ac:dyDescent="0.15">
      <c r="A89">
        <v>87</v>
      </c>
      <c r="B89">
        <f>INDEX([1]人物经验!$H$24:$H$573,A89)</f>
        <v>5.3913194444444444E-2</v>
      </c>
      <c r="C89">
        <f>INDEX([1]人物经验!$O$24:$O$573,A89)</f>
        <v>14610</v>
      </c>
    </row>
    <row r="90" spans="1:3" x14ac:dyDescent="0.15">
      <c r="A90">
        <v>88</v>
      </c>
      <c r="B90">
        <f>INDEX([1]人物经验!$H$24:$H$573,A90)</f>
        <v>5.5249999999999994E-2</v>
      </c>
      <c r="C90">
        <f>INDEX([1]人物经验!$O$24:$O$573,A90)</f>
        <v>15452</v>
      </c>
    </row>
    <row r="91" spans="1:3" x14ac:dyDescent="0.15">
      <c r="A91">
        <v>89</v>
      </c>
      <c r="B91">
        <f>INDEX([1]人物经验!$H$24:$H$573,A91)</f>
        <v>5.6607638888888888E-2</v>
      </c>
      <c r="C91">
        <f>INDEX([1]人物经验!$O$24:$O$573,A91)</f>
        <v>16333</v>
      </c>
    </row>
    <row r="92" spans="1:3" x14ac:dyDescent="0.15">
      <c r="A92">
        <v>90</v>
      </c>
      <c r="B92">
        <f>INDEX([1]人物经验!$H$24:$H$573,A92)</f>
        <v>5.7986111111111106E-2</v>
      </c>
      <c r="C92">
        <f>INDEX([1]人物经验!$O$24:$O$573,A92)</f>
        <v>17274</v>
      </c>
    </row>
    <row r="93" spans="1:3" x14ac:dyDescent="0.15">
      <c r="A93">
        <v>91</v>
      </c>
      <c r="B93">
        <f>INDEX([1]人物经验!$H$24:$H$573,A93)</f>
        <v>5.9385416666666663E-2</v>
      </c>
      <c r="C93">
        <f>INDEX([1]人物经验!$O$24:$O$573,A93)</f>
        <v>18258</v>
      </c>
    </row>
    <row r="94" spans="1:3" x14ac:dyDescent="0.15">
      <c r="A94">
        <v>92</v>
      </c>
      <c r="B94">
        <f>INDEX([1]人物经验!$H$24:$H$573,A94)</f>
        <v>6.080555555555555E-2</v>
      </c>
      <c r="C94">
        <f>INDEX([1]人物经验!$O$24:$O$573,A94)</f>
        <v>19309</v>
      </c>
    </row>
    <row r="95" spans="1:3" x14ac:dyDescent="0.15">
      <c r="A95">
        <v>93</v>
      </c>
      <c r="B95">
        <f>INDEX([1]人物经验!$H$24:$H$573,A95)</f>
        <v>6.2246527777777776E-2</v>
      </c>
      <c r="C95">
        <f>INDEX([1]人物经验!$O$24:$O$573,A95)</f>
        <v>20407</v>
      </c>
    </row>
    <row r="96" spans="1:3" x14ac:dyDescent="0.15">
      <c r="A96">
        <v>94</v>
      </c>
      <c r="B96">
        <f>INDEX([1]人物经验!$H$24:$H$573,A96)</f>
        <v>6.3708333333333325E-2</v>
      </c>
      <c r="C96">
        <f>INDEX([1]人物经验!$O$24:$O$573,A96)</f>
        <v>21580</v>
      </c>
    </row>
    <row r="97" spans="1:3" x14ac:dyDescent="0.15">
      <c r="A97">
        <v>95</v>
      </c>
      <c r="B97">
        <f>INDEX([1]人物经验!$H$24:$H$573,A97)</f>
        <v>6.5190972222222227E-2</v>
      </c>
      <c r="C97">
        <f>INDEX([1]人物经验!$O$24:$O$573,A97)</f>
        <v>22831</v>
      </c>
    </row>
    <row r="98" spans="1:3" x14ac:dyDescent="0.15">
      <c r="A98">
        <v>96</v>
      </c>
      <c r="B98">
        <f>INDEX([1]人物经验!$H$24:$H$573,A98)</f>
        <v>6.6694444444444445E-2</v>
      </c>
      <c r="C98">
        <f>INDEX([1]人物经验!$O$24:$O$573,A98)</f>
        <v>24138</v>
      </c>
    </row>
    <row r="99" spans="1:3" x14ac:dyDescent="0.15">
      <c r="A99">
        <v>97</v>
      </c>
      <c r="B99">
        <f>INDEX([1]人物经验!$H$24:$H$573,A99)</f>
        <v>6.8218750000000009E-2</v>
      </c>
      <c r="C99">
        <f>INDEX([1]人物经验!$O$24:$O$573,A99)</f>
        <v>25531</v>
      </c>
    </row>
    <row r="100" spans="1:3" x14ac:dyDescent="0.15">
      <c r="A100">
        <v>98</v>
      </c>
      <c r="B100">
        <f>INDEX([1]人物经验!$H$24:$H$573,A100)</f>
        <v>6.9763888888888889E-2</v>
      </c>
      <c r="C100">
        <f>INDEX([1]人物经验!$O$24:$O$573,A100)</f>
        <v>26985</v>
      </c>
    </row>
    <row r="101" spans="1:3" x14ac:dyDescent="0.15">
      <c r="A101">
        <v>99</v>
      </c>
      <c r="B101">
        <f>INDEX([1]人物经验!$H$24:$H$573,A101)</f>
        <v>7.1329861111111101E-2</v>
      </c>
      <c r="C101">
        <f>INDEX([1]人物经验!$O$24:$O$573,A101)</f>
        <v>28534</v>
      </c>
    </row>
    <row r="102" spans="1:3" x14ac:dyDescent="0.15">
      <c r="A102">
        <v>100</v>
      </c>
      <c r="B102">
        <f>INDEX([1]人物经验!$H$24:$H$573,A102)</f>
        <v>7.2916666666666671E-2</v>
      </c>
      <c r="C102">
        <f>INDEX([1]人物经验!$O$24:$O$573,A102)</f>
        <v>30184</v>
      </c>
    </row>
    <row r="103" spans="1:3" x14ac:dyDescent="0.15">
      <c r="A103">
        <v>101</v>
      </c>
      <c r="B103">
        <f>INDEX([1]人物经验!$H$24:$H$573,A103)</f>
        <v>7.4802083333333325E-2</v>
      </c>
      <c r="C103">
        <f>INDEX([1]人物经验!$O$24:$O$573,A103)</f>
        <v>31906</v>
      </c>
    </row>
    <row r="104" spans="1:3" x14ac:dyDescent="0.15">
      <c r="A104">
        <v>102</v>
      </c>
      <c r="B104">
        <f>INDEX([1]人物经验!$H$24:$H$573,A104)</f>
        <v>7.6708333333333337E-2</v>
      </c>
      <c r="C104">
        <f>INDEX([1]人物经验!$O$24:$O$573,A104)</f>
        <v>33992</v>
      </c>
    </row>
    <row r="105" spans="1:3" x14ac:dyDescent="0.15">
      <c r="A105">
        <v>103</v>
      </c>
      <c r="B105">
        <f>INDEX([1]人物经验!$H$24:$H$573,A105)</f>
        <v>7.8635416666666652E-2</v>
      </c>
      <c r="C105">
        <f>INDEX([1]人物经验!$O$24:$O$573,A105)</f>
        <v>36142</v>
      </c>
    </row>
    <row r="106" spans="1:3" x14ac:dyDescent="0.15">
      <c r="A106">
        <v>104</v>
      </c>
      <c r="B106">
        <f>INDEX([1]人物经验!$H$24:$H$573,A106)</f>
        <v>8.0583333333333326E-2</v>
      </c>
      <c r="C106">
        <f>INDEX([1]人物经验!$O$24:$O$573,A106)</f>
        <v>38316</v>
      </c>
    </row>
    <row r="107" spans="1:3" x14ac:dyDescent="0.15">
      <c r="A107">
        <v>105</v>
      </c>
      <c r="B107">
        <f>INDEX([1]人物经验!$H$24:$H$573,A107)</f>
        <v>8.2552083333333331E-2</v>
      </c>
      <c r="C107">
        <f>INDEX([1]人物经验!$O$24:$O$573,A107)</f>
        <v>40555</v>
      </c>
    </row>
    <row r="108" spans="1:3" x14ac:dyDescent="0.15">
      <c r="A108">
        <v>106</v>
      </c>
      <c r="B108">
        <f>INDEX([1]人物经验!$H$24:$H$573,A108)</f>
        <v>8.4541666666666668E-2</v>
      </c>
      <c r="C108">
        <f>INDEX([1]人物经验!$O$24:$O$573,A108)</f>
        <v>42861</v>
      </c>
    </row>
    <row r="109" spans="1:3" x14ac:dyDescent="0.15">
      <c r="A109">
        <v>107</v>
      </c>
      <c r="B109">
        <f>INDEX([1]人物经验!$H$24:$H$573,A109)</f>
        <v>8.6552083333333321E-2</v>
      </c>
      <c r="C109">
        <f>INDEX([1]人物经验!$O$24:$O$573,A109)</f>
        <v>45234</v>
      </c>
    </row>
    <row r="110" spans="1:3" x14ac:dyDescent="0.15">
      <c r="A110">
        <v>108</v>
      </c>
      <c r="B110">
        <f>INDEX([1]人物经验!$H$24:$H$573,A110)</f>
        <v>8.8583333333333333E-2</v>
      </c>
      <c r="C110">
        <f>INDEX([1]人物经验!$O$24:$O$573,A110)</f>
        <v>47632</v>
      </c>
    </row>
    <row r="111" spans="1:3" x14ac:dyDescent="0.15">
      <c r="A111">
        <v>109</v>
      </c>
      <c r="B111">
        <f>INDEX([1]人物经验!$H$24:$H$573,A111)</f>
        <v>9.0635416666666649E-2</v>
      </c>
      <c r="C111">
        <f>INDEX([1]人物经验!$O$24:$O$573,A111)</f>
        <v>50099</v>
      </c>
    </row>
    <row r="112" spans="1:3" x14ac:dyDescent="0.15">
      <c r="A112">
        <v>110</v>
      </c>
      <c r="B112">
        <f>INDEX([1]人物经验!$H$24:$H$573,A112)</f>
        <v>9.2708333333333337E-2</v>
      </c>
      <c r="C112">
        <f>INDEX([1]人物经验!$O$24:$O$573,A112)</f>
        <v>52636</v>
      </c>
    </row>
    <row r="113" spans="1:3" x14ac:dyDescent="0.15">
      <c r="A113">
        <v>111</v>
      </c>
      <c r="B113">
        <f>INDEX([1]人物经验!$H$24:$H$573,A113)</f>
        <v>9.4802083333333328E-2</v>
      </c>
      <c r="C113">
        <f>INDEX([1]人物经验!$O$24:$O$573,A113)</f>
        <v>55244</v>
      </c>
    </row>
    <row r="114" spans="1:3" x14ac:dyDescent="0.15">
      <c r="A114">
        <v>112</v>
      </c>
      <c r="B114">
        <f>INDEX([1]人物经验!$H$24:$H$573,A114)</f>
        <v>9.6916666666666665E-2</v>
      </c>
      <c r="C114">
        <f>INDEX([1]人物经验!$O$24:$O$573,A114)</f>
        <v>57878</v>
      </c>
    </row>
    <row r="115" spans="1:3" x14ac:dyDescent="0.15">
      <c r="A115">
        <v>113</v>
      </c>
      <c r="B115">
        <f>INDEX([1]人物经验!$H$24:$H$573,A115)</f>
        <v>9.905208333333336E-2</v>
      </c>
      <c r="C115">
        <f>INDEX([1]人物经验!$O$24:$O$573,A115)</f>
        <v>60584</v>
      </c>
    </row>
    <row r="116" spans="1:3" x14ac:dyDescent="0.15">
      <c r="A116">
        <v>114</v>
      </c>
      <c r="B116">
        <f>INDEX([1]人物经验!$H$24:$H$573,A116)</f>
        <v>0.10120833333333333</v>
      </c>
      <c r="C116">
        <f>INDEX([1]人物经验!$O$24:$O$573,A116)</f>
        <v>63363</v>
      </c>
    </row>
    <row r="117" spans="1:3" x14ac:dyDescent="0.15">
      <c r="A117">
        <v>115</v>
      </c>
      <c r="B117">
        <f>INDEX([1]人物经验!$H$24:$H$573,A117)</f>
        <v>0.10338541666666667</v>
      </c>
      <c r="C117">
        <f>INDEX([1]人物经验!$O$24:$O$573,A117)</f>
        <v>66217</v>
      </c>
    </row>
    <row r="118" spans="1:3" x14ac:dyDescent="0.15">
      <c r="A118">
        <v>116</v>
      </c>
      <c r="B118">
        <f>INDEX([1]人物经验!$H$24:$H$573,A118)</f>
        <v>0.10558333333333332</v>
      </c>
      <c r="C118">
        <f>INDEX([1]人物经验!$O$24:$O$573,A118)</f>
        <v>69098</v>
      </c>
    </row>
    <row r="119" spans="1:3" x14ac:dyDescent="0.15">
      <c r="A119">
        <v>117</v>
      </c>
      <c r="B119">
        <f>INDEX([1]人物经验!$H$24:$H$573,A119)</f>
        <v>0.10780208333333331</v>
      </c>
      <c r="C119">
        <f>INDEX([1]人物经验!$O$24:$O$573,A119)</f>
        <v>72055</v>
      </c>
    </row>
    <row r="120" spans="1:3" x14ac:dyDescent="0.15">
      <c r="A120">
        <v>118</v>
      </c>
      <c r="B120">
        <f>INDEX([1]人物经验!$H$24:$H$573,A120)</f>
        <v>0.11004166666666665</v>
      </c>
      <c r="C120">
        <f>INDEX([1]人物经验!$O$24:$O$573,A120)</f>
        <v>75089</v>
      </c>
    </row>
    <row r="121" spans="1:3" x14ac:dyDescent="0.15">
      <c r="A121">
        <v>119</v>
      </c>
      <c r="B121">
        <f>INDEX([1]人物经验!$H$24:$H$573,A121)</f>
        <v>0.11230208333333332</v>
      </c>
      <c r="C121">
        <f>INDEX([1]人物经验!$O$24:$O$573,A121)</f>
        <v>78201</v>
      </c>
    </row>
    <row r="122" spans="1:3" x14ac:dyDescent="0.15">
      <c r="A122">
        <v>120</v>
      </c>
      <c r="B122">
        <f>INDEX([1]人物经验!$H$24:$H$573,A122)</f>
        <v>0.11458333333333331</v>
      </c>
      <c r="C122">
        <f>INDEX([1]人物经验!$O$24:$O$573,A122)</f>
        <v>81342</v>
      </c>
    </row>
    <row r="123" spans="1:3" x14ac:dyDescent="0.15">
      <c r="A123">
        <v>121</v>
      </c>
      <c r="B123">
        <f>INDEX([1]人物经验!$H$24:$H$573,A123)</f>
        <v>0.11696614583333331</v>
      </c>
      <c r="C123">
        <f>INDEX([1]人物经验!$O$24:$O$573,A123)</f>
        <v>84562</v>
      </c>
    </row>
    <row r="124" spans="1:3" x14ac:dyDescent="0.15">
      <c r="A124">
        <v>122</v>
      </c>
      <c r="B124">
        <f>INDEX([1]人物经验!$H$24:$H$573,A124)</f>
        <v>0.11942708333333331</v>
      </c>
      <c r="C124">
        <f>INDEX([1]人物经验!$O$24:$O$573,A124)</f>
        <v>87978</v>
      </c>
    </row>
    <row r="125" spans="1:3" x14ac:dyDescent="0.15">
      <c r="A125">
        <v>123</v>
      </c>
      <c r="B125">
        <f>INDEX([1]人物经验!$H$24:$H$573,A125)</f>
        <v>0.12196614583333332</v>
      </c>
      <c r="C125">
        <f>INDEX([1]人物经验!$O$24:$O$573,A125)</f>
        <v>91560</v>
      </c>
    </row>
    <row r="126" spans="1:3" x14ac:dyDescent="0.15">
      <c r="A126">
        <v>124</v>
      </c>
      <c r="B126">
        <f>INDEX([1]人物经验!$H$24:$H$573,A126)</f>
        <v>0.12458333333333332</v>
      </c>
      <c r="C126">
        <f>INDEX([1]人物经验!$O$24:$O$573,A126)</f>
        <v>95313</v>
      </c>
    </row>
    <row r="127" spans="1:3" x14ac:dyDescent="0.15">
      <c r="A127">
        <v>125</v>
      </c>
      <c r="B127">
        <f>INDEX([1]人物经验!$H$24:$H$573,A127)</f>
        <v>0.12727864583333331</v>
      </c>
      <c r="C127">
        <f>INDEX([1]人物经验!$O$24:$O$573,A127)</f>
        <v>99181</v>
      </c>
    </row>
    <row r="128" spans="1:3" x14ac:dyDescent="0.15">
      <c r="A128">
        <v>126</v>
      </c>
      <c r="B128">
        <f>INDEX([1]人物经验!$H$24:$H$573,A128)</f>
        <v>0.13005208333333332</v>
      </c>
      <c r="C128">
        <f>INDEX([1]人物经验!$O$24:$O$573,A128)</f>
        <v>103224</v>
      </c>
    </row>
    <row r="129" spans="1:3" x14ac:dyDescent="0.15">
      <c r="A129">
        <v>127</v>
      </c>
      <c r="B129">
        <f>INDEX([1]人物经验!$H$24:$H$573,A129)</f>
        <v>0.13290364583333331</v>
      </c>
      <c r="C129">
        <f>INDEX([1]人物经验!$O$24:$O$573,A129)</f>
        <v>107447</v>
      </c>
    </row>
    <row r="130" spans="1:3" x14ac:dyDescent="0.15">
      <c r="A130">
        <v>128</v>
      </c>
      <c r="B130">
        <f>INDEX([1]人物经验!$H$24:$H$573,A130)</f>
        <v>0.13583333333333331</v>
      </c>
      <c r="C130">
        <f>INDEX([1]人物经验!$O$24:$O$573,A130)</f>
        <v>111852</v>
      </c>
    </row>
    <row r="131" spans="1:3" x14ac:dyDescent="0.15">
      <c r="A131">
        <v>129</v>
      </c>
      <c r="B131">
        <f>INDEX([1]人物经验!$H$24:$H$573,A131)</f>
        <v>0.13884114583333332</v>
      </c>
      <c r="C131">
        <f>INDEX([1]人物经验!$O$24:$O$573,A131)</f>
        <v>116443</v>
      </c>
    </row>
    <row r="132" spans="1:3" x14ac:dyDescent="0.15">
      <c r="A132">
        <v>130</v>
      </c>
      <c r="B132">
        <f>INDEX([1]人物经验!$H$24:$H$573,A132)</f>
        <v>0.14192708333333331</v>
      </c>
      <c r="C132">
        <f>INDEX([1]人物经验!$O$24:$O$573,A132)</f>
        <v>121224</v>
      </c>
    </row>
    <row r="133" spans="1:3" x14ac:dyDescent="0.15">
      <c r="A133">
        <v>131</v>
      </c>
      <c r="B133">
        <f>INDEX([1]人物经验!$H$24:$H$573,A133)</f>
        <v>0.14509114583333332</v>
      </c>
      <c r="C133">
        <f>INDEX([1]人物经验!$O$24:$O$573,A133)</f>
        <v>126199</v>
      </c>
    </row>
    <row r="134" spans="1:3" x14ac:dyDescent="0.15">
      <c r="A134">
        <v>132</v>
      </c>
      <c r="B134">
        <f>INDEX([1]人物经验!$H$24:$H$573,A134)</f>
        <v>0.14833333333333332</v>
      </c>
      <c r="C134">
        <f>INDEX([1]人物经验!$O$24:$O$573,A134)</f>
        <v>131371</v>
      </c>
    </row>
    <row r="135" spans="1:3" x14ac:dyDescent="0.15">
      <c r="A135">
        <v>133</v>
      </c>
      <c r="B135">
        <f>INDEX([1]人物经验!$H$24:$H$573,A135)</f>
        <v>0.15165364583333332</v>
      </c>
      <c r="C135">
        <f>INDEX([1]人物经验!$O$24:$O$573,A135)</f>
        <v>136744</v>
      </c>
    </row>
    <row r="136" spans="1:3" x14ac:dyDescent="0.15">
      <c r="A136">
        <v>134</v>
      </c>
      <c r="B136">
        <f>INDEX([1]人物经验!$H$24:$H$573,A136)</f>
        <v>0.15505208333333328</v>
      </c>
      <c r="C136">
        <f>INDEX([1]人物经验!$O$24:$O$573,A136)</f>
        <v>142322</v>
      </c>
    </row>
    <row r="137" spans="1:3" x14ac:dyDescent="0.15">
      <c r="A137">
        <v>135</v>
      </c>
      <c r="B137">
        <f>INDEX([1]人物经验!$H$24:$H$573,A137)</f>
        <v>0.15852864583333329</v>
      </c>
      <c r="C137">
        <f>INDEX([1]人物经验!$O$24:$O$573,A137)</f>
        <v>148108</v>
      </c>
    </row>
    <row r="138" spans="1:3" x14ac:dyDescent="0.15">
      <c r="A138">
        <v>136</v>
      </c>
      <c r="B138">
        <f>INDEX([1]人物经验!$H$24:$H$573,A138)</f>
        <v>0.1620833333333333</v>
      </c>
      <c r="C138">
        <f>INDEX([1]人物经验!$O$24:$O$573,A138)</f>
        <v>154106</v>
      </c>
    </row>
    <row r="139" spans="1:3" x14ac:dyDescent="0.15">
      <c r="A139">
        <v>137</v>
      </c>
      <c r="B139">
        <f>INDEX([1]人物经验!$H$24:$H$573,A139)</f>
        <v>0.1657161458333333</v>
      </c>
      <c r="C139">
        <f>INDEX([1]人物经验!$O$24:$O$573,A139)</f>
        <v>160319</v>
      </c>
    </row>
    <row r="140" spans="1:3" x14ac:dyDescent="0.15">
      <c r="A140">
        <v>138</v>
      </c>
      <c r="B140">
        <f>INDEX([1]人物经验!$H$24:$H$573,A140)</f>
        <v>0.16942708333333331</v>
      </c>
      <c r="C140">
        <f>INDEX([1]人物经验!$O$24:$O$573,A140)</f>
        <v>166752</v>
      </c>
    </row>
    <row r="141" spans="1:3" x14ac:dyDescent="0.15">
      <c r="A141">
        <v>139</v>
      </c>
      <c r="B141">
        <f>INDEX([1]人物经验!$H$24:$H$573,A141)</f>
        <v>0.17321614583333331</v>
      </c>
      <c r="C141">
        <f>INDEX([1]人物经验!$O$24:$O$573,A141)</f>
        <v>173408</v>
      </c>
    </row>
    <row r="142" spans="1:3" x14ac:dyDescent="0.15">
      <c r="A142">
        <v>140</v>
      </c>
      <c r="B142">
        <f>INDEX([1]人物经验!$H$24:$H$573,A142)</f>
        <v>0.17708333333333329</v>
      </c>
      <c r="C142">
        <f>INDEX([1]人物经验!$O$24:$O$573,A142)</f>
        <v>180291</v>
      </c>
    </row>
    <row r="143" spans="1:3" x14ac:dyDescent="0.15">
      <c r="A143">
        <v>141</v>
      </c>
      <c r="B143">
        <f>INDEX([1]人物经验!$H$24:$H$573,A143)</f>
        <v>0.18130208333333328</v>
      </c>
      <c r="C143">
        <f>INDEX([1]人物经验!$O$24:$O$573,A143)</f>
        <v>187404</v>
      </c>
    </row>
    <row r="144" spans="1:3" x14ac:dyDescent="0.15">
      <c r="A144">
        <v>142</v>
      </c>
      <c r="B144">
        <f>INDEX([1]人物经验!$H$24:$H$573,A144)</f>
        <v>0.18562499999999996</v>
      </c>
      <c r="C144">
        <f>INDEX([1]人物经验!$O$24:$O$573,A144)</f>
        <v>195261</v>
      </c>
    </row>
    <row r="145" spans="1:3" x14ac:dyDescent="0.15">
      <c r="A145">
        <v>143</v>
      </c>
      <c r="B145">
        <f>INDEX([1]人物经验!$H$24:$H$573,A145)</f>
        <v>0.19005208333333332</v>
      </c>
      <c r="C145">
        <f>INDEX([1]人物经验!$O$24:$O$573,A145)</f>
        <v>203412</v>
      </c>
    </row>
    <row r="146" spans="1:3" x14ac:dyDescent="0.15">
      <c r="A146">
        <v>144</v>
      </c>
      <c r="B146">
        <f>INDEX([1]人物经验!$H$24:$H$573,A146)</f>
        <v>0.1945833333333333</v>
      </c>
      <c r="C146">
        <f>INDEX([1]人物经验!$O$24:$O$573,A146)</f>
        <v>211861</v>
      </c>
    </row>
    <row r="147" spans="1:3" x14ac:dyDescent="0.15">
      <c r="A147">
        <v>145</v>
      </c>
      <c r="B147">
        <f>INDEX([1]人物经验!$H$24:$H$573,A147)</f>
        <v>0.19921874999999997</v>
      </c>
      <c r="C147">
        <f>INDEX([1]人物经验!$O$24:$O$573,A147)</f>
        <v>220614</v>
      </c>
    </row>
    <row r="148" spans="1:3" x14ac:dyDescent="0.15">
      <c r="A148">
        <v>146</v>
      </c>
      <c r="B148">
        <f>INDEX([1]人物经验!$H$24:$H$573,A148)</f>
        <v>0.20395833333333327</v>
      </c>
      <c r="C148">
        <f>INDEX([1]人物经验!$O$24:$O$573,A148)</f>
        <v>229783</v>
      </c>
    </row>
    <row r="149" spans="1:3" x14ac:dyDescent="0.15">
      <c r="A149">
        <v>147</v>
      </c>
      <c r="B149">
        <f>INDEX([1]人物经验!$H$24:$H$573,A149)</f>
        <v>0.2088020833333333</v>
      </c>
      <c r="C149">
        <f>INDEX([1]人物经验!$O$24:$O$573,A149)</f>
        <v>239268</v>
      </c>
    </row>
    <row r="150" spans="1:3" x14ac:dyDescent="0.15">
      <c r="A150">
        <v>148</v>
      </c>
      <c r="B150">
        <f>INDEX([1]人物经验!$H$24:$H$573,A150)</f>
        <v>0.21374999999999997</v>
      </c>
      <c r="C150">
        <f>INDEX([1]人物经验!$O$24:$O$573,A150)</f>
        <v>249075</v>
      </c>
    </row>
    <row r="151" spans="1:3" x14ac:dyDescent="0.15">
      <c r="A151">
        <v>149</v>
      </c>
      <c r="B151">
        <f>INDEX([1]人物经验!$H$24:$H$573,A151)</f>
        <v>0.21880208333333329</v>
      </c>
      <c r="C151">
        <f>INDEX([1]人物经验!$O$24:$O$573,A151)</f>
        <v>259208</v>
      </c>
    </row>
    <row r="152" spans="1:3" x14ac:dyDescent="0.15">
      <c r="A152">
        <v>150</v>
      </c>
      <c r="B152">
        <f>INDEX([1]人物经验!$H$24:$H$573,A152)</f>
        <v>0.22395833333333329</v>
      </c>
      <c r="C152">
        <f>INDEX([1]人物经验!$O$24:$O$573,A152)</f>
        <v>269673</v>
      </c>
    </row>
    <row r="153" spans="1:3" x14ac:dyDescent="0.15">
      <c r="A153">
        <v>151</v>
      </c>
      <c r="B153">
        <f>INDEX([1]人物经验!$H$24:$H$573,A153)</f>
        <v>0.22921874999999994</v>
      </c>
      <c r="C153">
        <f>INDEX([1]人物经验!$O$24:$O$573,A153)</f>
        <v>280596</v>
      </c>
    </row>
    <row r="154" spans="1:3" x14ac:dyDescent="0.15">
      <c r="A154">
        <v>152</v>
      </c>
      <c r="B154">
        <f>INDEX([1]人物经验!$H$24:$H$573,A154)</f>
        <v>0.23458333333333325</v>
      </c>
      <c r="C154">
        <f>INDEX([1]人物经验!$O$24:$O$573,A154)</f>
        <v>291863</v>
      </c>
    </row>
    <row r="155" spans="1:3" x14ac:dyDescent="0.15">
      <c r="A155">
        <v>153</v>
      </c>
      <c r="B155">
        <f>INDEX([1]人物经验!$H$24:$H$573,A155)</f>
        <v>0.24005208333333328</v>
      </c>
      <c r="C155">
        <f>INDEX([1]人物经验!$O$24:$O$573,A155)</f>
        <v>303480</v>
      </c>
    </row>
    <row r="156" spans="1:3" x14ac:dyDescent="0.15">
      <c r="A156">
        <v>154</v>
      </c>
      <c r="B156">
        <f>INDEX([1]人物经验!$H$24:$H$573,A156)</f>
        <v>0.2456249999999999</v>
      </c>
      <c r="C156">
        <f>INDEX([1]人物经验!$O$24:$O$573,A156)</f>
        <v>315452</v>
      </c>
    </row>
    <row r="157" spans="1:3" x14ac:dyDescent="0.15">
      <c r="A157">
        <v>155</v>
      </c>
      <c r="B157">
        <f>INDEX([1]人物经验!$H$24:$H$573,A157)</f>
        <v>0.25130208333333326</v>
      </c>
      <c r="C157">
        <f>INDEX([1]人物经验!$O$24:$O$573,A157)</f>
        <v>327916</v>
      </c>
    </row>
    <row r="158" spans="1:3" x14ac:dyDescent="0.15">
      <c r="A158">
        <v>156</v>
      </c>
      <c r="B158">
        <f>INDEX([1]人物经验!$H$24:$H$573,A158)</f>
        <v>0.25708333333333327</v>
      </c>
      <c r="C158">
        <f>INDEX([1]人物经验!$O$24:$O$573,A158)</f>
        <v>340748</v>
      </c>
    </row>
    <row r="159" spans="1:3" x14ac:dyDescent="0.15">
      <c r="A159">
        <v>157</v>
      </c>
      <c r="B159">
        <f>INDEX([1]人物经验!$H$24:$H$573,A159)</f>
        <v>0.26296874999999992</v>
      </c>
      <c r="C159">
        <f>INDEX([1]人物经验!$O$24:$O$573,A159)</f>
        <v>353953</v>
      </c>
    </row>
    <row r="160" spans="1:3" x14ac:dyDescent="0.15">
      <c r="A160">
        <v>158</v>
      </c>
      <c r="B160">
        <f>INDEX([1]人物经验!$H$24:$H$573,A160)</f>
        <v>0.26895833333333324</v>
      </c>
      <c r="C160">
        <f>INDEX([1]人物经验!$O$24:$O$573,A160)</f>
        <v>367537</v>
      </c>
    </row>
    <row r="161" spans="1:3" x14ac:dyDescent="0.15">
      <c r="A161">
        <v>159</v>
      </c>
      <c r="B161">
        <f>INDEX([1]人物经验!$H$24:$H$573,A161)</f>
        <v>0.27505208333333325</v>
      </c>
      <c r="C161">
        <f>INDEX([1]人物经验!$O$24:$O$573,A161)</f>
        <v>381648</v>
      </c>
    </row>
    <row r="162" spans="1:3" x14ac:dyDescent="0.15">
      <c r="A162">
        <v>160</v>
      </c>
      <c r="B162">
        <f>INDEX([1]人物经验!$H$24:$H$573,A162)</f>
        <v>0.28124999999999994</v>
      </c>
      <c r="C162">
        <f>INDEX([1]人物经验!$O$24:$O$573,A162)</f>
        <v>396151</v>
      </c>
    </row>
    <row r="163" spans="1:3" x14ac:dyDescent="0.15">
      <c r="A163">
        <v>161</v>
      </c>
      <c r="B163">
        <f>INDEX([1]人物经验!$H$24:$H$573,A163)</f>
        <v>0.28879166666666656</v>
      </c>
      <c r="C163">
        <f>INDEX([1]人物经验!$O$24:$O$573,A163)</f>
        <v>411052</v>
      </c>
    </row>
    <row r="164" spans="1:3" x14ac:dyDescent="0.15">
      <c r="A164">
        <v>162</v>
      </c>
      <c r="B164">
        <f>INDEX([1]人物经验!$H$24:$H$573,A164)</f>
        <v>0.29641666666666661</v>
      </c>
      <c r="C164">
        <f>INDEX([1]人物经验!$O$24:$O$573,A164)</f>
        <v>429548</v>
      </c>
    </row>
    <row r="165" spans="1:3" x14ac:dyDescent="0.15">
      <c r="A165">
        <v>163</v>
      </c>
      <c r="B165">
        <f>INDEX([1]人物经验!$H$24:$H$573,A165)</f>
        <v>0.30412499999999987</v>
      </c>
      <c r="C165">
        <f>INDEX([1]人物经验!$O$24:$O$573,A165)</f>
        <v>448433</v>
      </c>
    </row>
    <row r="166" spans="1:3" x14ac:dyDescent="0.15">
      <c r="A166">
        <v>164</v>
      </c>
      <c r="B166">
        <f>INDEX([1]人物经验!$H$24:$H$573,A166)</f>
        <v>0.31191666666666656</v>
      </c>
      <c r="C166">
        <f>INDEX([1]人物经验!$O$24:$O$573,A166)</f>
        <v>467899</v>
      </c>
    </row>
    <row r="167" spans="1:3" x14ac:dyDescent="0.15">
      <c r="A167">
        <v>165</v>
      </c>
      <c r="B167">
        <f>INDEX([1]人物经验!$H$24:$H$573,A167)</f>
        <v>0.31979166666666659</v>
      </c>
      <c r="C167">
        <f>INDEX([1]人物经验!$O$24:$O$573,A167)</f>
        <v>487765</v>
      </c>
    </row>
    <row r="168" spans="1:3" x14ac:dyDescent="0.15">
      <c r="A168">
        <v>166</v>
      </c>
      <c r="B168">
        <f>INDEX([1]人物经验!$H$24:$H$573,A168)</f>
        <v>0.32774999999999993</v>
      </c>
      <c r="C168">
        <f>INDEX([1]人物经验!$O$24:$O$573,A168)</f>
        <v>508229</v>
      </c>
    </row>
    <row r="169" spans="1:3" x14ac:dyDescent="0.15">
      <c r="A169">
        <v>167</v>
      </c>
      <c r="B169">
        <f>INDEX([1]人物经验!$H$24:$H$573,A169)</f>
        <v>0.33579166666666654</v>
      </c>
      <c r="C169">
        <f>INDEX([1]人物经验!$O$24:$O$573,A169)</f>
        <v>529105</v>
      </c>
    </row>
    <row r="170" spans="1:3" x14ac:dyDescent="0.15">
      <c r="A170">
        <v>168</v>
      </c>
      <c r="B170">
        <f>INDEX([1]人物经验!$H$24:$H$573,A170)</f>
        <v>0.34391666666666659</v>
      </c>
      <c r="C170">
        <f>INDEX([1]人物经验!$O$24:$O$573,A170)</f>
        <v>550595</v>
      </c>
    </row>
    <row r="171" spans="1:3" x14ac:dyDescent="0.15">
      <c r="A171">
        <v>169</v>
      </c>
      <c r="B171">
        <f>INDEX([1]人物经验!$H$24:$H$573,A171)</f>
        <v>0.35212499999999985</v>
      </c>
      <c r="C171">
        <f>INDEX([1]人物经验!$O$24:$O$573,A171)</f>
        <v>572508</v>
      </c>
    </row>
    <row r="172" spans="1:3" x14ac:dyDescent="0.15">
      <c r="A172">
        <v>170</v>
      </c>
      <c r="B172">
        <f>INDEX([1]人物经验!$H$24:$H$573,A172)</f>
        <v>0.36041666666666661</v>
      </c>
      <c r="C172">
        <f>INDEX([1]人物经验!$O$24:$O$573,A172)</f>
        <v>595053</v>
      </c>
    </row>
    <row r="173" spans="1:3" x14ac:dyDescent="0.15">
      <c r="A173">
        <v>171</v>
      </c>
      <c r="B173">
        <f>INDEX([1]人物经验!$H$24:$H$573,A173)</f>
        <v>0.36879166666666657</v>
      </c>
      <c r="C173">
        <f>INDEX([1]人物经验!$O$24:$O$573,A173)</f>
        <v>618032</v>
      </c>
    </row>
    <row r="174" spans="1:3" x14ac:dyDescent="0.15">
      <c r="A174">
        <v>172</v>
      </c>
      <c r="B174">
        <f>INDEX([1]人物经验!$H$24:$H$573,A174)</f>
        <v>0.37724999999999992</v>
      </c>
      <c r="C174">
        <f>INDEX([1]人物经验!$O$24:$O$573,A174)</f>
        <v>641660</v>
      </c>
    </row>
    <row r="175" spans="1:3" x14ac:dyDescent="0.15">
      <c r="A175">
        <v>173</v>
      </c>
      <c r="B175">
        <f>INDEX([1]人物经验!$H$24:$H$573,A175)</f>
        <v>0.38579166666666653</v>
      </c>
      <c r="C175">
        <f>INDEX([1]人物经验!$O$24:$O$573,A175)</f>
        <v>665734</v>
      </c>
    </row>
    <row r="176" spans="1:3" x14ac:dyDescent="0.15">
      <c r="A176">
        <v>174</v>
      </c>
      <c r="B176">
        <f>INDEX([1]人物经验!$H$24:$H$573,A176)</f>
        <v>0.39441666666666658</v>
      </c>
      <c r="C176">
        <f>INDEX([1]人物经验!$O$24:$O$573,A176)</f>
        <v>690474</v>
      </c>
    </row>
    <row r="177" spans="1:3" x14ac:dyDescent="0.15">
      <c r="A177">
        <v>175</v>
      </c>
      <c r="B177">
        <f>INDEX([1]人物经验!$H$24:$H$573,A177)</f>
        <v>0.40312499999999996</v>
      </c>
      <c r="C177">
        <f>INDEX([1]人物经验!$O$24:$O$573,A177)</f>
        <v>715672</v>
      </c>
    </row>
    <row r="178" spans="1:3" x14ac:dyDescent="0.15">
      <c r="A178">
        <v>176</v>
      </c>
      <c r="B178">
        <f>INDEX([1]人物经验!$H$24:$H$573,A178)</f>
        <v>0.41191666666666654</v>
      </c>
      <c r="C178">
        <f>INDEX([1]人物经验!$O$24:$O$573,A178)</f>
        <v>741552</v>
      </c>
    </row>
    <row r="179" spans="1:3" x14ac:dyDescent="0.15">
      <c r="A179">
        <v>177</v>
      </c>
      <c r="B179">
        <f>INDEX([1]人物经验!$H$24:$H$573,A179)</f>
        <v>0.42079166666666662</v>
      </c>
      <c r="C179">
        <f>INDEX([1]人物经验!$O$24:$O$573,A179)</f>
        <v>767903</v>
      </c>
    </row>
    <row r="180" spans="1:3" x14ac:dyDescent="0.15">
      <c r="A180">
        <v>178</v>
      </c>
      <c r="B180">
        <f>INDEX([1]人物经验!$H$24:$H$573,A180)</f>
        <v>0.42974999999999991</v>
      </c>
      <c r="C180">
        <f>INDEX([1]人物经验!$O$24:$O$573,A180)</f>
        <v>794954</v>
      </c>
    </row>
    <row r="181" spans="1:3" x14ac:dyDescent="0.15">
      <c r="A181">
        <v>179</v>
      </c>
      <c r="B181">
        <f>INDEX([1]人物经验!$H$24:$H$573,A181)</f>
        <v>0.43879166666666664</v>
      </c>
      <c r="C181">
        <f>INDEX([1]人物经验!$O$24:$O$573,A181)</f>
        <v>822487</v>
      </c>
    </row>
    <row r="182" spans="1:3" x14ac:dyDescent="0.15">
      <c r="A182">
        <v>180</v>
      </c>
      <c r="B182">
        <f>INDEX([1]人物经验!$H$24:$H$573,A182)</f>
        <v>0.44791666666666657</v>
      </c>
      <c r="C182">
        <f>INDEX([1]人物经验!$O$24:$O$573,A182)</f>
        <v>850507</v>
      </c>
    </row>
    <row r="183" spans="1:3" x14ac:dyDescent="0.15">
      <c r="A183">
        <v>181</v>
      </c>
      <c r="B183">
        <f>INDEX([1]人物经验!$H$24:$H$573,A183)</f>
        <v>0.45982291666666658</v>
      </c>
      <c r="C183">
        <f>INDEX([1]人物经验!$O$24:$O$573,A183)</f>
        <v>879252</v>
      </c>
    </row>
    <row r="184" spans="1:3" x14ac:dyDescent="0.15">
      <c r="A184">
        <v>182</v>
      </c>
      <c r="B184">
        <f>INDEX([1]人物经验!$H$24:$H$573,A184)</f>
        <v>0.47179166666666655</v>
      </c>
      <c r="C184">
        <f>INDEX([1]人物经验!$O$24:$O$573,A184)</f>
        <v>917370</v>
      </c>
    </row>
    <row r="185" spans="1:3" x14ac:dyDescent="0.15">
      <c r="A185">
        <v>183</v>
      </c>
      <c r="B185">
        <f>INDEX([1]人物经验!$H$24:$H$573,A185)</f>
        <v>0.48382291666666655</v>
      </c>
      <c r="C185">
        <f>INDEX([1]人物经验!$O$24:$O$573,A185)</f>
        <v>955997</v>
      </c>
    </row>
    <row r="186" spans="1:3" x14ac:dyDescent="0.15">
      <c r="A186">
        <v>184</v>
      </c>
      <c r="B186">
        <f>INDEX([1]人物经验!$H$24:$H$573,A186)</f>
        <v>0.49591666666666651</v>
      </c>
      <c r="C186">
        <f>INDEX([1]人物经验!$O$24:$O$573,A186)</f>
        <v>995447</v>
      </c>
    </row>
    <row r="187" spans="1:3" x14ac:dyDescent="0.15">
      <c r="A187">
        <v>185</v>
      </c>
      <c r="B187">
        <f>INDEX([1]人物经验!$H$24:$H$573,A187)</f>
        <v>0.50807291666666654</v>
      </c>
      <c r="C187">
        <f>INDEX([1]人物经验!$O$24:$O$573,A187)</f>
        <v>1035730</v>
      </c>
    </row>
    <row r="188" spans="1:3" x14ac:dyDescent="0.15">
      <c r="A188">
        <v>186</v>
      </c>
      <c r="B188">
        <f>INDEX([1]人物经验!$H$24:$H$573,A188)</f>
        <v>0.52029166666666649</v>
      </c>
      <c r="C188">
        <f>INDEX([1]人物经验!$O$24:$O$573,A188)</f>
        <v>1076855</v>
      </c>
    </row>
    <row r="189" spans="1:3" x14ac:dyDescent="0.15">
      <c r="A189">
        <v>187</v>
      </c>
      <c r="B189">
        <f>INDEX([1]人物经验!$H$24:$H$573,A189)</f>
        <v>0.5325729166666664</v>
      </c>
      <c r="C189">
        <f>INDEX([1]人物经验!$O$24:$O$573,A189)</f>
        <v>1118511</v>
      </c>
    </row>
    <row r="190" spans="1:3" x14ac:dyDescent="0.15">
      <c r="A190">
        <v>188</v>
      </c>
      <c r="B190">
        <f>INDEX([1]人物经验!$H$24:$H$573,A190)</f>
        <v>0.54491666666666649</v>
      </c>
      <c r="C190">
        <f>INDEX([1]人物经验!$O$24:$O$573,A190)</f>
        <v>1161024</v>
      </c>
    </row>
    <row r="191" spans="1:3" x14ac:dyDescent="0.15">
      <c r="A191">
        <v>189</v>
      </c>
      <c r="B191">
        <f>INDEX([1]人物经验!$H$24:$H$573,A191)</f>
        <v>0.55732291666666645</v>
      </c>
      <c r="C191">
        <f>INDEX([1]人物经验!$O$24:$O$573,A191)</f>
        <v>1204404</v>
      </c>
    </row>
    <row r="192" spans="1:3" x14ac:dyDescent="0.15">
      <c r="A192">
        <v>190</v>
      </c>
      <c r="B192">
        <f>INDEX([1]人物经验!$H$24:$H$573,A192)</f>
        <v>0.56979166666666647</v>
      </c>
      <c r="C192">
        <f>INDEX([1]人物经验!$O$24:$O$573,A192)</f>
        <v>1248331</v>
      </c>
    </row>
    <row r="193" spans="1:3" x14ac:dyDescent="0.15">
      <c r="A193">
        <v>191</v>
      </c>
      <c r="B193">
        <f>INDEX([1]人物经验!$H$24:$H$573,A193)</f>
        <v>0.58232291666666647</v>
      </c>
      <c r="C193">
        <f>INDEX([1]人物经验!$O$24:$O$573,A193)</f>
        <v>1293140</v>
      </c>
    </row>
    <row r="194" spans="1:3" x14ac:dyDescent="0.15">
      <c r="A194">
        <v>192</v>
      </c>
      <c r="B194">
        <f>INDEX([1]人物经验!$H$24:$H$573,A194)</f>
        <v>0.59491666666666643</v>
      </c>
      <c r="C194">
        <f>INDEX([1]人物经验!$O$24:$O$573,A194)</f>
        <v>1338841</v>
      </c>
    </row>
    <row r="195" spans="1:3" x14ac:dyDescent="0.15">
      <c r="A195">
        <v>193</v>
      </c>
      <c r="B195">
        <f>INDEX([1]人物经验!$H$24:$H$573,A195)</f>
        <v>0.60757291666666646</v>
      </c>
      <c r="C195">
        <f>INDEX([1]人物经验!$O$24:$O$573,A195)</f>
        <v>1385106</v>
      </c>
    </row>
    <row r="196" spans="1:3" x14ac:dyDescent="0.15">
      <c r="A196">
        <v>194</v>
      </c>
      <c r="B196">
        <f>INDEX([1]人物经验!$H$24:$H$573,A196)</f>
        <v>0.62029166666666646</v>
      </c>
      <c r="C196">
        <f>INDEX([1]人物经验!$O$24:$O$573,A196)</f>
        <v>1432278</v>
      </c>
    </row>
    <row r="197" spans="1:3" x14ac:dyDescent="0.15">
      <c r="A197">
        <v>195</v>
      </c>
      <c r="B197">
        <f>INDEX([1]人物经验!$H$24:$H$573,A197)</f>
        <v>0.63307291666666654</v>
      </c>
      <c r="C197">
        <f>INDEX([1]人物经验!$O$24:$O$573,A197)</f>
        <v>1480025</v>
      </c>
    </row>
    <row r="198" spans="1:3" x14ac:dyDescent="0.15">
      <c r="A198">
        <v>196</v>
      </c>
      <c r="B198">
        <f>INDEX([1]人物经验!$H$24:$H$573,A198)</f>
        <v>0.64591666666666658</v>
      </c>
      <c r="C198">
        <f>INDEX([1]人物经验!$O$24:$O$573,A198)</f>
        <v>1528695</v>
      </c>
    </row>
    <row r="199" spans="1:3" x14ac:dyDescent="0.15">
      <c r="A199">
        <v>197</v>
      </c>
      <c r="B199">
        <f>INDEX([1]人物经验!$H$24:$H$573,A199)</f>
        <v>0.65882291666666648</v>
      </c>
      <c r="C199">
        <f>INDEX([1]人物经验!$O$24:$O$573,A199)</f>
        <v>1578298</v>
      </c>
    </row>
    <row r="200" spans="1:3" x14ac:dyDescent="0.15">
      <c r="A200">
        <v>198</v>
      </c>
      <c r="B200">
        <f>INDEX([1]人物经验!$H$24:$H$573,A200)</f>
        <v>0.67179166666666656</v>
      </c>
      <c r="C200">
        <f>INDEX([1]人物经验!$O$24:$O$573,A200)</f>
        <v>1628493</v>
      </c>
    </row>
    <row r="201" spans="1:3" x14ac:dyDescent="0.15">
      <c r="A201">
        <v>199</v>
      </c>
      <c r="B201">
        <f>INDEX([1]人物经验!$H$24:$H$573,A201)</f>
        <v>0.6848229166666665</v>
      </c>
      <c r="C201">
        <f>INDEX([1]人物经验!$O$24:$O$573,A201)</f>
        <v>1679637</v>
      </c>
    </row>
    <row r="202" spans="1:3" x14ac:dyDescent="0.15">
      <c r="A202">
        <v>200</v>
      </c>
      <c r="B202">
        <f>INDEX([1]人物经验!$H$24:$H$573,A202)</f>
        <v>0.69791666666666652</v>
      </c>
      <c r="C202">
        <f>INDEX([1]人物经验!$O$24:$O$573,A202)</f>
        <v>1731383</v>
      </c>
    </row>
    <row r="203" spans="1:3" x14ac:dyDescent="0.15">
      <c r="A203">
        <v>201</v>
      </c>
      <c r="B203">
        <f>INDEX([1]人物经验!$H$24:$H$573,A203)</f>
        <v>0.71124999999999983</v>
      </c>
      <c r="C203">
        <f>INDEX([1]人物经验!$O$24:$O$573,A203)</f>
        <v>1784095</v>
      </c>
    </row>
    <row r="204" spans="1:3" x14ac:dyDescent="0.15">
      <c r="A204">
        <v>202</v>
      </c>
      <c r="B204">
        <f>INDEX([1]人物经验!$H$24:$H$573,A204)</f>
        <v>0.72458333333333325</v>
      </c>
      <c r="C204">
        <f>INDEX([1]人物经验!$O$24:$O$573,A204)</f>
        <v>1838138</v>
      </c>
    </row>
    <row r="205" spans="1:3" x14ac:dyDescent="0.15">
      <c r="A205">
        <v>203</v>
      </c>
      <c r="B205">
        <f>INDEX([1]人物经验!$H$24:$H$573,A205)</f>
        <v>0.73791666666666644</v>
      </c>
      <c r="C205">
        <f>INDEX([1]人物经验!$O$24:$O$573,A205)</f>
        <v>1892916</v>
      </c>
    </row>
    <row r="206" spans="1:3" x14ac:dyDescent="0.15">
      <c r="A206">
        <v>204</v>
      </c>
      <c r="B206">
        <f>INDEX([1]人物经验!$H$24:$H$573,A206)</f>
        <v>0.75124999999999975</v>
      </c>
      <c r="C206">
        <f>INDEX([1]人物经验!$O$24:$O$573,A206)</f>
        <v>1948062</v>
      </c>
    </row>
    <row r="207" spans="1:3" x14ac:dyDescent="0.15">
      <c r="A207">
        <v>205</v>
      </c>
      <c r="B207">
        <f>INDEX([1]人物经验!$H$24:$H$573,A207)</f>
        <v>0.76458333333333328</v>
      </c>
      <c r="C207">
        <f>INDEX([1]人物经验!$O$24:$O$573,A207)</f>
        <v>2003578</v>
      </c>
    </row>
    <row r="208" spans="1:3" x14ac:dyDescent="0.15">
      <c r="A208">
        <v>206</v>
      </c>
      <c r="B208">
        <f>INDEX([1]人物经验!$H$24:$H$573,A208)</f>
        <v>0.77791666666666659</v>
      </c>
      <c r="C208">
        <f>INDEX([1]人物经验!$O$24:$O$573,A208)</f>
        <v>2059835</v>
      </c>
    </row>
    <row r="209" spans="1:3" x14ac:dyDescent="0.15">
      <c r="A209">
        <v>207</v>
      </c>
      <c r="B209">
        <f>INDEX([1]人物经验!$H$24:$H$573,A209)</f>
        <v>0.7912499999999999</v>
      </c>
      <c r="C209">
        <f>INDEX([1]人物经验!$O$24:$O$573,A209)</f>
        <v>2116463</v>
      </c>
    </row>
    <row r="210" spans="1:3" x14ac:dyDescent="0.15">
      <c r="A210">
        <v>208</v>
      </c>
      <c r="B210">
        <f>INDEX([1]人物经验!$H$24:$H$573,A210)</f>
        <v>0.8045833333333331</v>
      </c>
      <c r="C210">
        <f>INDEX([1]人物经验!$O$24:$O$573,A210)</f>
        <v>2173837</v>
      </c>
    </row>
    <row r="211" spans="1:3" x14ac:dyDescent="0.15">
      <c r="A211">
        <v>209</v>
      </c>
      <c r="B211">
        <f>INDEX([1]人物经验!$H$24:$H$573,A211)</f>
        <v>0.81791666666666651</v>
      </c>
      <c r="C211">
        <f>INDEX([1]人物经验!$O$24:$O$573,A211)</f>
        <v>2231585</v>
      </c>
    </row>
    <row r="212" spans="1:3" x14ac:dyDescent="0.15">
      <c r="A212">
        <v>210</v>
      </c>
      <c r="B212">
        <f>INDEX([1]人物经验!$H$24:$H$573,A212)</f>
        <v>0.83124999999999982</v>
      </c>
      <c r="C212">
        <f>INDEX([1]人物经验!$O$24:$O$573,A212)</f>
        <v>2289708</v>
      </c>
    </row>
    <row r="213" spans="1:3" x14ac:dyDescent="0.15">
      <c r="A213">
        <v>211</v>
      </c>
      <c r="B213">
        <f>INDEX([1]人物经验!$H$24:$H$573,A213)</f>
        <v>0.84458333333333313</v>
      </c>
      <c r="C213">
        <f>INDEX([1]人物经验!$O$24:$O$573,A213)</f>
        <v>2348583</v>
      </c>
    </row>
    <row r="214" spans="1:3" x14ac:dyDescent="0.15">
      <c r="A214">
        <v>212</v>
      </c>
      <c r="B214">
        <f>INDEX([1]人物经验!$H$24:$H$573,A214)</f>
        <v>0.85791666666666655</v>
      </c>
      <c r="C214">
        <f>INDEX([1]人物经验!$O$24:$O$573,A214)</f>
        <v>2407835</v>
      </c>
    </row>
    <row r="215" spans="1:3" x14ac:dyDescent="0.15">
      <c r="A215">
        <v>213</v>
      </c>
      <c r="B215">
        <f>INDEX([1]人物经验!$H$24:$H$573,A215)</f>
        <v>0.87124999999999975</v>
      </c>
      <c r="C215">
        <f>INDEX([1]人物经验!$O$24:$O$573,A215)</f>
        <v>2467465</v>
      </c>
    </row>
    <row r="216" spans="1:3" x14ac:dyDescent="0.15">
      <c r="A216">
        <v>214</v>
      </c>
      <c r="B216">
        <f>INDEX([1]人物经验!$H$24:$H$573,A216)</f>
        <v>0.88458333333333317</v>
      </c>
      <c r="C216">
        <f>INDEX([1]人物经验!$O$24:$O$573,A216)</f>
        <v>2527853</v>
      </c>
    </row>
    <row r="217" spans="1:3" x14ac:dyDescent="0.15">
      <c r="A217">
        <v>215</v>
      </c>
      <c r="B217">
        <f>INDEX([1]人物经验!$H$24:$H$573,A217)</f>
        <v>0.89791666666666659</v>
      </c>
      <c r="C217">
        <f>INDEX([1]人物经验!$O$24:$O$573,A217)</f>
        <v>2588622</v>
      </c>
    </row>
    <row r="218" spans="1:3" x14ac:dyDescent="0.15">
      <c r="A218">
        <v>216</v>
      </c>
      <c r="B218">
        <f>INDEX([1]人物经验!$H$24:$H$573,A218)</f>
        <v>0.91124999999999989</v>
      </c>
      <c r="C218">
        <f>INDEX([1]人物经验!$O$24:$O$573,A218)</f>
        <v>2649772</v>
      </c>
    </row>
    <row r="219" spans="1:3" x14ac:dyDescent="0.15">
      <c r="A219">
        <v>217</v>
      </c>
      <c r="B219">
        <f>INDEX([1]人物经验!$H$24:$H$573,A219)</f>
        <v>0.9245833333333332</v>
      </c>
      <c r="C219">
        <f>INDEX([1]人物经验!$O$24:$O$573,A219)</f>
        <v>2711304</v>
      </c>
    </row>
    <row r="220" spans="1:3" x14ac:dyDescent="0.15">
      <c r="A220">
        <v>218</v>
      </c>
      <c r="B220">
        <f>INDEX([1]人物经验!$H$24:$H$573,A220)</f>
        <v>0.9379166666666664</v>
      </c>
      <c r="C220">
        <f>INDEX([1]人物经验!$O$24:$O$573,A220)</f>
        <v>2773602</v>
      </c>
    </row>
    <row r="221" spans="1:3" x14ac:dyDescent="0.15">
      <c r="A221">
        <v>219</v>
      </c>
      <c r="B221">
        <f>INDEX([1]人物经验!$H$24:$H$573,A221)</f>
        <v>0.95124999999999982</v>
      </c>
      <c r="C221">
        <f>INDEX([1]人物经验!$O$24:$O$573,A221)</f>
        <v>2836284</v>
      </c>
    </row>
    <row r="222" spans="1:3" x14ac:dyDescent="0.15">
      <c r="A222">
        <v>220</v>
      </c>
      <c r="B222">
        <f>INDEX([1]人物经验!$H$24:$H$573,A222)</f>
        <v>0.96458333333333313</v>
      </c>
      <c r="C222">
        <f>INDEX([1]人物经验!$O$24:$O$573,A222)</f>
        <v>2899351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标准新手流程（非R）</vt:lpstr>
      <vt:lpstr>功能开启节奏</vt:lpstr>
      <vt:lpstr>转生节奏</vt:lpstr>
      <vt:lpstr>基础装备节奏</vt:lpstr>
      <vt:lpstr>通天塔对接</vt:lpstr>
      <vt:lpstr>关卡对接</vt:lpstr>
      <vt:lpstr>仙兵对接</vt:lpstr>
      <vt:lpstr>职业技能对接</vt:lpstr>
      <vt:lpstr>前3天非R装备模拟</vt:lpstr>
      <vt:lpstr>新手阶段非R升级节奏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2021-12-18T08:29:35Z</dcterms:modified>
</cp:coreProperties>
</file>