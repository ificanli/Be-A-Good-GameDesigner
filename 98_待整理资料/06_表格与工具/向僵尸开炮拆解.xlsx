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648BCD9D-D3E7-4767-A6E5-3DB7458AD41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结论汇总" sheetId="9" r:id="rId1"/>
    <sheet name="总养成规划和系统设计" sheetId="5" r:id="rId2"/>
    <sheet name="解锁节奏" sheetId="3" r:id="rId3"/>
    <sheet name="商业化" sheetId="2" r:id="rId4"/>
    <sheet name="局内肉鸽战斗和主线验证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" i="2" l="1"/>
  <c r="K26" i="2"/>
  <c r="K27" i="2"/>
  <c r="K28" i="2"/>
  <c r="K29" i="2"/>
  <c r="K24" i="2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42" i="3"/>
  <c r="E30" i="3"/>
  <c r="E31" i="3"/>
  <c r="E32" i="3"/>
  <c r="E33" i="3"/>
  <c r="E34" i="3"/>
  <c r="E35" i="3"/>
  <c r="E36" i="3"/>
  <c r="E37" i="3"/>
  <c r="E38" i="3"/>
  <c r="E39" i="3"/>
  <c r="E40" i="3"/>
  <c r="E41" i="3"/>
  <c r="E29" i="3"/>
  <c r="N30" i="3"/>
  <c r="O30" i="3" s="1"/>
  <c r="O35" i="3"/>
  <c r="L37" i="2"/>
  <c r="M37" i="2" s="1"/>
  <c r="D46" i="2"/>
  <c r="D41" i="2"/>
  <c r="D51" i="2"/>
  <c r="D52" i="2" s="1"/>
  <c r="K60" i="2"/>
  <c r="K42" i="2"/>
  <c r="I25" i="2"/>
  <c r="I26" i="2"/>
  <c r="I27" i="2"/>
  <c r="I28" i="2"/>
  <c r="I29" i="2"/>
  <c r="I24" i="2"/>
  <c r="D25" i="2"/>
  <c r="C47" i="2" s="1"/>
  <c r="C52" i="2" l="1"/>
  <c r="C41" i="2"/>
  <c r="C46" i="2"/>
  <c r="C44" i="2"/>
  <c r="C42" i="2"/>
  <c r="C40" i="2"/>
  <c r="C39" i="2"/>
  <c r="L38" i="2"/>
  <c r="M38" i="2" s="1"/>
  <c r="L50" i="2"/>
  <c r="M50" i="2" s="1"/>
  <c r="L51" i="2"/>
  <c r="M51" i="2" s="1"/>
  <c r="C48" i="2"/>
  <c r="C45" i="2"/>
  <c r="C37" i="2"/>
  <c r="C38" i="2"/>
  <c r="C43" i="2"/>
  <c r="C51" i="2"/>
  <c r="C50" i="2"/>
  <c r="C49" i="2"/>
  <c r="Q29" i="3"/>
  <c r="Q30" i="3" s="1"/>
  <c r="F37" i="3" s="1"/>
  <c r="Q34" i="3"/>
  <c r="Q35" i="3" s="1"/>
  <c r="G63" i="3" s="1"/>
  <c r="G48" i="3"/>
  <c r="G31" i="3"/>
  <c r="G57" i="3"/>
  <c r="G80" i="3"/>
  <c r="G79" i="3"/>
  <c r="G33" i="3"/>
  <c r="G42" i="3"/>
  <c r="G32" i="3"/>
  <c r="G76" i="3"/>
  <c r="G60" i="3"/>
  <c r="G44" i="3"/>
  <c r="G58" i="3"/>
  <c r="G73" i="3"/>
  <c r="G82" i="3"/>
  <c r="G66" i="3"/>
  <c r="G50" i="3"/>
  <c r="G34" i="3"/>
  <c r="G99" i="3"/>
  <c r="D53" i="2"/>
  <c r="L39" i="2"/>
  <c r="M39" i="2" s="1"/>
  <c r="L52" i="2" l="1"/>
  <c r="M52" i="2" s="1"/>
  <c r="C53" i="2"/>
  <c r="F64" i="3"/>
  <c r="F101" i="3"/>
  <c r="F39" i="3"/>
  <c r="F53" i="3"/>
  <c r="F46" i="3"/>
  <c r="F67" i="3"/>
  <c r="F62" i="3"/>
  <c r="F61" i="3"/>
  <c r="F47" i="3"/>
  <c r="F44" i="3"/>
  <c r="F76" i="3"/>
  <c r="F70" i="3"/>
  <c r="F30" i="3"/>
  <c r="F45" i="3"/>
  <c r="F78" i="3"/>
  <c r="F77" i="3"/>
  <c r="F58" i="3"/>
  <c r="F80" i="3"/>
  <c r="F31" i="3"/>
  <c r="F60" i="3"/>
  <c r="F90" i="3"/>
  <c r="F38" i="3"/>
  <c r="F56" i="3"/>
  <c r="F63" i="3"/>
  <c r="F98" i="3"/>
  <c r="G64" i="3"/>
  <c r="F68" i="3"/>
  <c r="F91" i="3"/>
  <c r="F95" i="3"/>
  <c r="F48" i="3"/>
  <c r="F52" i="3"/>
  <c r="F32" i="3"/>
  <c r="G45" i="3"/>
  <c r="F40" i="3"/>
  <c r="F41" i="3"/>
  <c r="F29" i="3"/>
  <c r="F92" i="3"/>
  <c r="F99" i="3"/>
  <c r="F93" i="3"/>
  <c r="F42" i="3"/>
  <c r="F102" i="3"/>
  <c r="F96" i="3"/>
  <c r="F100" i="3"/>
  <c r="G59" i="3"/>
  <c r="G61" i="3"/>
  <c r="G40" i="3"/>
  <c r="F73" i="3"/>
  <c r="G97" i="3"/>
  <c r="G47" i="3"/>
  <c r="G55" i="3"/>
  <c r="G70" i="3"/>
  <c r="G98" i="3"/>
  <c r="G54" i="3"/>
  <c r="G92" i="3"/>
  <c r="G93" i="3"/>
  <c r="G71" i="3"/>
  <c r="G29" i="3"/>
  <c r="G52" i="3"/>
  <c r="G85" i="3"/>
  <c r="G100" i="3"/>
  <c r="G53" i="3"/>
  <c r="G39" i="3"/>
  <c r="G68" i="3"/>
  <c r="G37" i="3"/>
  <c r="G87" i="3"/>
  <c r="G36" i="3"/>
  <c r="G38" i="3"/>
  <c r="G102" i="3"/>
  <c r="G84" i="3"/>
  <c r="G86" i="3"/>
  <c r="F35" i="3"/>
  <c r="F69" i="3"/>
  <c r="G81" i="3"/>
  <c r="G30" i="3"/>
  <c r="G35" i="3"/>
  <c r="G89" i="3"/>
  <c r="F72" i="3"/>
  <c r="F82" i="3"/>
  <c r="F75" i="3"/>
  <c r="G62" i="3"/>
  <c r="G78" i="3"/>
  <c r="G67" i="3"/>
  <c r="G69" i="3"/>
  <c r="F79" i="3"/>
  <c r="F49" i="3"/>
  <c r="F50" i="3"/>
  <c r="G43" i="3"/>
  <c r="F51" i="3"/>
  <c r="G49" i="3"/>
  <c r="G51" i="3"/>
  <c r="G94" i="3"/>
  <c r="F33" i="3"/>
  <c r="F94" i="3"/>
  <c r="F57" i="3"/>
  <c r="F65" i="3"/>
  <c r="F83" i="3"/>
  <c r="G46" i="3"/>
  <c r="F84" i="3"/>
  <c r="G41" i="3"/>
  <c r="G77" i="3"/>
  <c r="G75" i="3"/>
  <c r="G72" i="3"/>
  <c r="F74" i="3"/>
  <c r="F81" i="3"/>
  <c r="F85" i="3"/>
  <c r="F34" i="3"/>
  <c r="F86" i="3"/>
  <c r="F71" i="3"/>
  <c r="G65" i="3"/>
  <c r="F97" i="3"/>
  <c r="F43" i="3"/>
  <c r="F36" i="3"/>
  <c r="F87" i="3"/>
  <c r="G74" i="3"/>
  <c r="G95" i="3"/>
  <c r="G83" i="3"/>
  <c r="G91" i="3"/>
  <c r="G103" i="3"/>
  <c r="F89" i="3"/>
  <c r="G88" i="3"/>
  <c r="F59" i="3"/>
  <c r="F55" i="3"/>
  <c r="G90" i="3"/>
  <c r="G101" i="3"/>
  <c r="G96" i="3"/>
  <c r="F103" i="3"/>
  <c r="F88" i="3"/>
  <c r="F66" i="3"/>
  <c r="G56" i="3"/>
  <c r="F54" i="3"/>
  <c r="D54" i="2"/>
  <c r="L40" i="2"/>
  <c r="M40" i="2" s="1"/>
  <c r="L53" i="2" l="1"/>
  <c r="M53" i="2" s="1"/>
  <c r="C54" i="2"/>
  <c r="D55" i="2"/>
  <c r="L41" i="2"/>
  <c r="M41" i="2" s="1"/>
  <c r="M42" i="2" s="1"/>
  <c r="L54" i="2" l="1"/>
  <c r="M54" i="2" s="1"/>
  <c r="D56" i="2"/>
  <c r="C55" i="2"/>
  <c r="C56" i="2" l="1"/>
  <c r="L55" i="2"/>
  <c r="M55" i="2" s="1"/>
  <c r="M60" i="2" s="1"/>
</calcChain>
</file>

<file path=xl/sharedStrings.xml><?xml version="1.0" encoding="utf-8"?>
<sst xmlns="http://schemas.openxmlformats.org/spreadsheetml/2006/main" count="485" uniqueCount="384">
  <si>
    <t>体力</t>
    <phoneticPr fontId="1" type="noConversion"/>
  </si>
  <si>
    <t>等级</t>
    <phoneticPr fontId="1" type="noConversion"/>
  </si>
  <si>
    <t>备注</t>
    <phoneticPr fontId="1" type="noConversion"/>
  </si>
  <si>
    <t>十分简单的竖版战斗，主角释放枪械技能和选取的4大技能，并随着击杀怪物等级提升，选取祝福。</t>
    <phoneticPr fontId="1" type="noConversion"/>
  </si>
  <si>
    <t>验证点：</t>
    <phoneticPr fontId="1" type="noConversion"/>
  </si>
  <si>
    <t>伤害</t>
    <phoneticPr fontId="1" type="noConversion"/>
  </si>
  <si>
    <t>…</t>
    <phoneticPr fontId="1" type="noConversion"/>
  </si>
  <si>
    <t>局内战斗设计规律</t>
    <phoneticPr fontId="1" type="noConversion"/>
  </si>
  <si>
    <t>激光</t>
    <phoneticPr fontId="1" type="noConversion"/>
  </si>
  <si>
    <t>弹幕</t>
    <phoneticPr fontId="1" type="noConversion"/>
  </si>
  <si>
    <t>类型</t>
    <phoneticPr fontId="3" type="noConversion"/>
  </si>
  <si>
    <t>内容</t>
    <phoneticPr fontId="3" type="noConversion"/>
  </si>
  <si>
    <t>子项</t>
    <phoneticPr fontId="1" type="noConversion"/>
  </si>
  <si>
    <t>上限</t>
    <phoneticPr fontId="1" type="noConversion"/>
  </si>
  <si>
    <t>效果</t>
    <phoneticPr fontId="3" type="noConversion"/>
  </si>
  <si>
    <t>效果二</t>
    <phoneticPr fontId="1" type="noConversion"/>
  </si>
  <si>
    <t>装备</t>
    <phoneticPr fontId="1" type="noConversion"/>
  </si>
  <si>
    <t>强化</t>
    <phoneticPr fontId="1" type="noConversion"/>
  </si>
  <si>
    <t>加</t>
    <phoneticPr fontId="1" type="noConversion"/>
  </si>
  <si>
    <t>升星</t>
    <phoneticPr fontId="1" type="noConversion"/>
  </si>
  <si>
    <t>比例</t>
    <phoneticPr fontId="1" type="noConversion"/>
  </si>
  <si>
    <t>攻击</t>
    <phoneticPr fontId="1" type="noConversion"/>
  </si>
  <si>
    <t>升级</t>
    <phoneticPr fontId="1" type="noConversion"/>
  </si>
  <si>
    <t>主角</t>
    <phoneticPr fontId="1" type="noConversion"/>
  </si>
  <si>
    <t>6个部位</t>
    <phoneticPr fontId="1" type="noConversion"/>
  </si>
  <si>
    <t>宝石</t>
    <phoneticPr fontId="1" type="noConversion"/>
  </si>
  <si>
    <t>升品</t>
    <phoneticPr fontId="1" type="noConversion"/>
  </si>
  <si>
    <t>锻造石</t>
    <phoneticPr fontId="1" type="noConversion"/>
  </si>
  <si>
    <t>洗练</t>
    <phoneticPr fontId="1" type="noConversion"/>
  </si>
  <si>
    <t>合成</t>
    <phoneticPr fontId="1" type="noConversion"/>
  </si>
  <si>
    <t>加、比例</t>
    <phoneticPr fontId="1" type="noConversion"/>
  </si>
  <si>
    <t>时装</t>
    <phoneticPr fontId="1" type="noConversion"/>
  </si>
  <si>
    <t>幻形</t>
    <phoneticPr fontId="1" type="noConversion"/>
  </si>
  <si>
    <t>时装被动效果</t>
    <phoneticPr fontId="1" type="noConversion"/>
  </si>
  <si>
    <t>枪械属性</t>
    <phoneticPr fontId="1" type="noConversion"/>
  </si>
  <si>
    <t>枪械局内可选效果</t>
    <phoneticPr fontId="1" type="noConversion"/>
  </si>
  <si>
    <t>防线</t>
    <phoneticPr fontId="1" type="noConversion"/>
  </si>
  <si>
    <t>基建耗材、熔粉</t>
    <phoneticPr fontId="1" type="noConversion"/>
  </si>
  <si>
    <t>防线效果</t>
    <phoneticPr fontId="1" type="noConversion"/>
  </si>
  <si>
    <t>防御能力</t>
    <phoneticPr fontId="1" type="noConversion"/>
  </si>
  <si>
    <t>防线外观</t>
    <phoneticPr fontId="1" type="noConversion"/>
  </si>
  <si>
    <t>激活</t>
    <phoneticPr fontId="1" type="noConversion"/>
  </si>
  <si>
    <t xml:space="preserve"> </t>
    <phoneticPr fontId="1" type="noConversion"/>
  </si>
  <si>
    <t>防御技能</t>
    <phoneticPr fontId="1" type="noConversion"/>
  </si>
  <si>
    <t>解锁防线被动效果</t>
    <phoneticPr fontId="1" type="noConversion"/>
  </si>
  <si>
    <t>工程图纸</t>
    <phoneticPr fontId="1" type="noConversion"/>
  </si>
  <si>
    <t>佣兵</t>
    <phoneticPr fontId="1" type="noConversion"/>
  </si>
  <si>
    <t>碎片</t>
    <phoneticPr fontId="1" type="noConversion"/>
  </si>
  <si>
    <t>佣兵效果</t>
    <phoneticPr fontId="1" type="noConversion"/>
  </si>
  <si>
    <t>先锋特技</t>
    <phoneticPr fontId="1" type="noConversion"/>
  </si>
  <si>
    <t>暴击伤害</t>
    <phoneticPr fontId="1" type="noConversion"/>
  </si>
  <si>
    <t>技能</t>
    <phoneticPr fontId="1" type="noConversion"/>
  </si>
  <si>
    <t>攻击、枪械攻击</t>
    <phoneticPr fontId="1" type="noConversion"/>
  </si>
  <si>
    <t>额外属性攻击</t>
    <phoneticPr fontId="1" type="noConversion"/>
  </si>
  <si>
    <t>修改攻击属性</t>
    <phoneticPr fontId="1" type="noConversion"/>
  </si>
  <si>
    <t>宝石效果</t>
    <phoneticPr fontId="1" type="noConversion"/>
  </si>
  <si>
    <t>修改宝石效果</t>
    <phoneticPr fontId="1" type="noConversion"/>
  </si>
  <si>
    <t>换新试剂</t>
    <phoneticPr fontId="1" type="noConversion"/>
  </si>
  <si>
    <t>特技效果</t>
    <phoneticPr fontId="1" type="noConversion"/>
  </si>
  <si>
    <r>
      <t>枪械图纸、</t>
    </r>
    <r>
      <rPr>
        <sz val="10"/>
        <color rgb="FFFF0000"/>
        <rFont val="宋体"/>
        <family val="3"/>
        <charset val="134"/>
      </rPr>
      <t>金币</t>
    </r>
    <phoneticPr fontId="1" type="noConversion"/>
  </si>
  <si>
    <r>
      <t>强化补剂、</t>
    </r>
    <r>
      <rPr>
        <sz val="10"/>
        <color rgb="FFFF0000"/>
        <rFont val="宋体"/>
        <family val="3"/>
        <charset val="134"/>
      </rPr>
      <t>金币</t>
    </r>
    <phoneticPr fontId="1" type="noConversion"/>
  </si>
  <si>
    <r>
      <rPr>
        <b/>
        <sz val="10"/>
        <color rgb="FFFF0000"/>
        <rFont val="宋体"/>
        <family val="3"/>
        <charset val="134"/>
      </rPr>
      <t>金币</t>
    </r>
    <r>
      <rPr>
        <sz val="10"/>
        <rFont val="宋体"/>
        <family val="3"/>
        <charset val="134"/>
      </rPr>
      <t>、技能图纸</t>
    </r>
    <phoneticPr fontId="1" type="noConversion"/>
  </si>
  <si>
    <t>枪械天赋树</t>
    <phoneticPr fontId="1" type="noConversion"/>
  </si>
  <si>
    <t>枪械涂装</t>
    <phoneticPr fontId="1" type="noConversion"/>
  </si>
  <si>
    <r>
      <t>枪械涂装、</t>
    </r>
    <r>
      <rPr>
        <sz val="10"/>
        <color theme="4" tint="-0.249977111117893"/>
        <rFont val="宋体"/>
        <family val="3"/>
        <charset val="134"/>
      </rPr>
      <t>万能枪械</t>
    </r>
    <phoneticPr fontId="1" type="noConversion"/>
  </si>
  <si>
    <r>
      <t>幻形、</t>
    </r>
    <r>
      <rPr>
        <sz val="10"/>
        <color theme="4" tint="-0.249977111117893"/>
        <rFont val="宋体"/>
        <family val="3"/>
        <charset val="134"/>
      </rPr>
      <t>万能幻形</t>
    </r>
    <phoneticPr fontId="1" type="noConversion"/>
  </si>
  <si>
    <r>
      <t>防线外观、</t>
    </r>
    <r>
      <rPr>
        <sz val="10"/>
        <color theme="4" tint="-0.249977111117893"/>
        <rFont val="宋体"/>
        <family val="3"/>
        <charset val="134"/>
      </rPr>
      <t>万能防线</t>
    </r>
    <phoneticPr fontId="1" type="noConversion"/>
  </si>
  <si>
    <r>
      <t>时装、</t>
    </r>
    <r>
      <rPr>
        <sz val="10"/>
        <color theme="4" tint="-0.249977111117893"/>
        <rFont val="宋体"/>
        <family val="3"/>
        <charset val="134"/>
      </rPr>
      <t>万能时装</t>
    </r>
    <phoneticPr fontId="1" type="noConversion"/>
  </si>
  <si>
    <t>枪械伤害</t>
    <phoneticPr fontId="1" type="noConversion"/>
  </si>
  <si>
    <t>5*14</t>
    <phoneticPr fontId="1" type="noConversion"/>
  </si>
  <si>
    <t>5*13</t>
    <phoneticPr fontId="1" type="noConversion"/>
  </si>
  <si>
    <t>金币、各部位图纸</t>
    <phoneticPr fontId="1" type="noConversion"/>
  </si>
  <si>
    <t>丧尸题材+跑酷玩法买量</t>
    <phoneticPr fontId="1" type="noConversion"/>
  </si>
  <si>
    <t>结论</t>
    <phoneticPr fontId="1" type="noConversion"/>
  </si>
  <si>
    <t>充值比例</t>
    <phoneticPr fontId="1" type="noConversion"/>
  </si>
  <si>
    <t>货币</t>
    <phoneticPr fontId="1" type="noConversion"/>
  </si>
  <si>
    <t>兑换比例</t>
    <phoneticPr fontId="1" type="noConversion"/>
  </si>
  <si>
    <t>RMB</t>
    <phoneticPr fontId="1" type="noConversion"/>
  </si>
  <si>
    <t>钻石</t>
    <phoneticPr fontId="1" type="noConversion"/>
  </si>
  <si>
    <t>钻石充值档位</t>
    <phoneticPr fontId="1" type="noConversion"/>
  </si>
  <si>
    <t>首充额外钻石</t>
    <phoneticPr fontId="1" type="noConversion"/>
  </si>
  <si>
    <t>道具价值</t>
    <phoneticPr fontId="1" type="noConversion"/>
  </si>
  <si>
    <t>道具</t>
    <phoneticPr fontId="1" type="noConversion"/>
  </si>
  <si>
    <t>金币</t>
    <phoneticPr fontId="1" type="noConversion"/>
  </si>
  <si>
    <t>枪械图纸</t>
    <phoneticPr fontId="1" type="noConversion"/>
  </si>
  <si>
    <t>基建熔粉</t>
    <phoneticPr fontId="1" type="noConversion"/>
  </si>
  <si>
    <t>基建耗材</t>
    <phoneticPr fontId="1" type="noConversion"/>
  </si>
  <si>
    <t>强化补剂</t>
    <phoneticPr fontId="1" type="noConversion"/>
  </si>
  <si>
    <t>招募令</t>
    <phoneticPr fontId="1" type="noConversion"/>
  </si>
  <si>
    <t>随机技能手册</t>
    <phoneticPr fontId="1" type="noConversion"/>
  </si>
  <si>
    <t>装备图纸</t>
    <phoneticPr fontId="1" type="noConversion"/>
  </si>
  <si>
    <t>璀璨宝箱钥匙</t>
    <phoneticPr fontId="1" type="noConversion"/>
  </si>
  <si>
    <t>焕新试剂</t>
    <phoneticPr fontId="1" type="noConversion"/>
  </si>
  <si>
    <t>普通宝箱钥匙</t>
    <phoneticPr fontId="1" type="noConversion"/>
  </si>
  <si>
    <t>（商店限购价推导）</t>
    <phoneticPr fontId="1" type="noConversion"/>
  </si>
  <si>
    <t>每日买300</t>
    <phoneticPr fontId="1" type="noConversion"/>
  </si>
  <si>
    <t>普通宝箱池</t>
    <phoneticPr fontId="1" type="noConversion"/>
  </si>
  <si>
    <t>奖池</t>
    <phoneticPr fontId="1" type="noConversion"/>
  </si>
  <si>
    <t>概率</t>
    <phoneticPr fontId="1" type="noConversion"/>
  </si>
  <si>
    <t>价值</t>
    <phoneticPr fontId="1" type="noConversion"/>
  </si>
  <si>
    <t>期望</t>
    <phoneticPr fontId="1" type="noConversion"/>
  </si>
  <si>
    <t>白宝石</t>
    <phoneticPr fontId="1" type="noConversion"/>
  </si>
  <si>
    <t>绿宝石</t>
    <phoneticPr fontId="1" type="noConversion"/>
  </si>
  <si>
    <t>蓝宝石</t>
    <phoneticPr fontId="1" type="noConversion"/>
  </si>
  <si>
    <t>紫宝石</t>
    <phoneticPr fontId="1" type="noConversion"/>
  </si>
  <si>
    <t>橙宝石</t>
    <phoneticPr fontId="1" type="noConversion"/>
  </si>
  <si>
    <t>单抽价格</t>
    <phoneticPr fontId="1" type="noConversion"/>
  </si>
  <si>
    <t>璀璨宝箱池</t>
    <phoneticPr fontId="1" type="noConversion"/>
  </si>
  <si>
    <t>红宝石</t>
    <phoneticPr fontId="1" type="noConversion"/>
  </si>
  <si>
    <t>至尊宝石</t>
    <phoneticPr fontId="1" type="noConversion"/>
  </si>
  <si>
    <t>橙幻形</t>
    <phoneticPr fontId="1" type="noConversion"/>
  </si>
  <si>
    <t>红幻形</t>
    <phoneticPr fontId="1" type="noConversion"/>
  </si>
  <si>
    <t>橙时装</t>
    <phoneticPr fontId="1" type="noConversion"/>
  </si>
  <si>
    <t>红时装</t>
    <phoneticPr fontId="1" type="noConversion"/>
  </si>
  <si>
    <t>特惠礼包折扣推导</t>
    <phoneticPr fontId="1" type="noConversion"/>
  </si>
  <si>
    <t>周礼包推导</t>
    <phoneticPr fontId="1" type="noConversion"/>
  </si>
  <si>
    <t>用普池抽卡定价</t>
    <phoneticPr fontId="1" type="noConversion"/>
  </si>
  <si>
    <t>日礼包</t>
    <phoneticPr fontId="1" type="noConversion"/>
  </si>
  <si>
    <t>周礼包</t>
    <phoneticPr fontId="1" type="noConversion"/>
  </si>
  <si>
    <t>限购次数</t>
    <phoneticPr fontId="1" type="noConversion"/>
  </si>
  <si>
    <t>道具类型1</t>
    <phoneticPr fontId="1" type="noConversion"/>
  </si>
  <si>
    <t>道具数量1</t>
    <phoneticPr fontId="1" type="noConversion"/>
  </si>
  <si>
    <t>条件</t>
    <phoneticPr fontId="1" type="noConversion"/>
  </si>
  <si>
    <t>道具类型2</t>
    <phoneticPr fontId="1" type="noConversion"/>
  </si>
  <si>
    <t>道具数量2</t>
    <phoneticPr fontId="1" type="noConversion"/>
  </si>
  <si>
    <t>道具类型3</t>
    <phoneticPr fontId="1" type="noConversion"/>
  </si>
  <si>
    <t>道具数量3</t>
    <phoneticPr fontId="1" type="noConversion"/>
  </si>
  <si>
    <t>折扣</t>
    <phoneticPr fontId="1" type="noConversion"/>
  </si>
  <si>
    <t>总价格</t>
    <phoneticPr fontId="1" type="noConversion"/>
  </si>
  <si>
    <t>首冲返利比</t>
    <phoneticPr fontId="1" type="noConversion"/>
  </si>
  <si>
    <t>效果值</t>
    <phoneticPr fontId="1" type="noConversion"/>
  </si>
  <si>
    <t>效果类型</t>
    <phoneticPr fontId="3" type="noConversion"/>
  </si>
  <si>
    <t>幻形效果、属性伤害</t>
    <phoneticPr fontId="1" type="noConversion"/>
  </si>
  <si>
    <t>解锁技能可选流派、技能伤害</t>
    <phoneticPr fontId="1" type="noConversion"/>
  </si>
  <si>
    <t>消耗值</t>
    <phoneticPr fontId="1" type="noConversion"/>
  </si>
  <si>
    <t>消耗值2</t>
    <phoneticPr fontId="1" type="noConversion"/>
  </si>
  <si>
    <t>系统产出消耗、玩家循环：</t>
    <phoneticPr fontId="1" type="noConversion"/>
  </si>
  <si>
    <t>机甲</t>
    <phoneticPr fontId="1" type="noConversion"/>
  </si>
  <si>
    <t>机甲终端、金币</t>
    <phoneticPr fontId="1" type="noConversion"/>
  </si>
  <si>
    <t>技能升级</t>
    <phoneticPr fontId="1" type="noConversion"/>
  </si>
  <si>
    <t>5*6个宝石格</t>
    <phoneticPr fontId="1" type="noConversion"/>
  </si>
  <si>
    <t>机甲技能手册</t>
    <phoneticPr fontId="1" type="noConversion"/>
  </si>
  <si>
    <t>解锁机甲技能</t>
    <phoneticPr fontId="1" type="noConversion"/>
  </si>
  <si>
    <t>0.1/0.15/0.2</t>
    <phoneticPr fontId="1" type="noConversion"/>
  </si>
  <si>
    <t>初始值</t>
    <phoneticPr fontId="1" type="noConversion"/>
  </si>
  <si>
    <t>属性攻击</t>
    <phoneticPr fontId="1" type="noConversion"/>
  </si>
  <si>
    <t>芯片、复合机芯</t>
    <phoneticPr fontId="1" type="noConversion"/>
  </si>
  <si>
    <t>阶数+1</t>
    <phoneticPr fontId="1" type="noConversion"/>
  </si>
  <si>
    <t>技能解锁等级</t>
    <phoneticPr fontId="1" type="noConversion"/>
  </si>
  <si>
    <t>初始</t>
    <phoneticPr fontId="1" type="noConversion"/>
  </si>
  <si>
    <t>4个</t>
    <phoneticPr fontId="1" type="noConversion"/>
  </si>
  <si>
    <t>基地功能解锁等级</t>
    <phoneticPr fontId="1" type="noConversion"/>
  </si>
  <si>
    <t>历练大厅</t>
    <phoneticPr fontId="1" type="noConversion"/>
  </si>
  <si>
    <t>远征堡垒</t>
    <phoneticPr fontId="1" type="noConversion"/>
  </si>
  <si>
    <t>酒馆</t>
    <phoneticPr fontId="1" type="noConversion"/>
  </si>
  <si>
    <t>排行榜</t>
    <phoneticPr fontId="1" type="noConversion"/>
  </si>
  <si>
    <t>历练大厅内部解锁等级</t>
    <phoneticPr fontId="1" type="noConversion"/>
  </si>
  <si>
    <t>深渊</t>
    <phoneticPr fontId="1" type="noConversion"/>
  </si>
  <si>
    <t>环球救援</t>
    <phoneticPr fontId="1" type="noConversion"/>
  </si>
  <si>
    <t>终末危机</t>
    <phoneticPr fontId="1" type="noConversion"/>
  </si>
  <si>
    <t>战场争霸</t>
    <phoneticPr fontId="1" type="noConversion"/>
  </si>
  <si>
    <t>雾境迷宫</t>
    <phoneticPr fontId="1" type="noConversion"/>
  </si>
  <si>
    <t>元素试炼</t>
    <phoneticPr fontId="1" type="noConversion"/>
  </si>
  <si>
    <t>研究所、食堂</t>
    <phoneticPr fontId="1" type="noConversion"/>
  </si>
  <si>
    <t>特色</t>
    <phoneticPr fontId="1" type="noConversion"/>
  </si>
  <si>
    <t>局外养成内容</t>
    <phoneticPr fontId="1" type="noConversion"/>
  </si>
  <si>
    <t>局内的不同特性</t>
    <phoneticPr fontId="1" type="noConversion"/>
  </si>
  <si>
    <t>宝石特性</t>
    <phoneticPr fontId="1" type="noConversion"/>
  </si>
  <si>
    <t>佣兵特效</t>
    <phoneticPr fontId="1" type="noConversion"/>
  </si>
  <si>
    <t>枪械特性</t>
    <phoneticPr fontId="1" type="noConversion"/>
  </si>
  <si>
    <t>局内不同技能的属性</t>
    <phoneticPr fontId="1" type="noConversion"/>
  </si>
  <si>
    <t>概述</t>
    <phoneticPr fontId="1" type="noConversion"/>
  </si>
  <si>
    <t>先锋技能效果</t>
    <phoneticPr fontId="1" type="noConversion"/>
  </si>
  <si>
    <t>机甲特效</t>
    <phoneticPr fontId="1" type="noConversion"/>
  </si>
  <si>
    <t>时装和幻形效果</t>
    <phoneticPr fontId="1" type="noConversion"/>
  </si>
  <si>
    <t>对c1的启发</t>
    <phoneticPr fontId="1" type="noConversion"/>
  </si>
  <si>
    <t>养成和数值：</t>
    <phoneticPr fontId="1" type="noConversion"/>
  </si>
  <si>
    <t>c1局外可带入额外效果非常少，只有角色，几乎所有内容都在局内。</t>
    <phoneticPr fontId="1" type="noConversion"/>
  </si>
  <si>
    <t>等级和天数</t>
    <phoneticPr fontId="1" type="noConversion"/>
  </si>
  <si>
    <t>不购买体力</t>
  </si>
  <si>
    <t>买满体力</t>
    <phoneticPr fontId="1" type="noConversion"/>
  </si>
  <si>
    <t>天数</t>
    <phoneticPr fontId="1" type="noConversion"/>
  </si>
  <si>
    <t>芯片打造</t>
    <phoneticPr fontId="1" type="noConversion"/>
  </si>
  <si>
    <t>扫荡次数</t>
    <phoneticPr fontId="1" type="noConversion"/>
  </si>
  <si>
    <t>军团</t>
    <phoneticPr fontId="1" type="noConversion"/>
  </si>
  <si>
    <t>初始 主线15关</t>
    <phoneticPr fontId="1" type="noConversion"/>
  </si>
  <si>
    <t>雇佣兵</t>
    <phoneticPr fontId="1" type="noConversion"/>
  </si>
  <si>
    <t>先锋技能</t>
    <phoneticPr fontId="1" type="noConversion"/>
  </si>
  <si>
    <t>超武</t>
    <phoneticPr fontId="1" type="noConversion"/>
  </si>
  <si>
    <t>小R</t>
    <phoneticPr fontId="1" type="noConversion"/>
  </si>
  <si>
    <t>白嫖</t>
    <phoneticPr fontId="1" type="noConversion"/>
  </si>
  <si>
    <t>大R</t>
    <phoneticPr fontId="1" type="noConversion"/>
  </si>
  <si>
    <t>食堂</t>
    <phoneticPr fontId="1" type="noConversion"/>
  </si>
  <si>
    <t>15*4</t>
    <phoneticPr fontId="1" type="noConversion"/>
  </si>
  <si>
    <t>自动恢复</t>
    <phoneticPr fontId="1" type="noConversion"/>
  </si>
  <si>
    <t>广告</t>
    <phoneticPr fontId="1" type="noConversion"/>
  </si>
  <si>
    <t>5*3</t>
    <phoneticPr fontId="1" type="noConversion"/>
  </si>
  <si>
    <t>250/7</t>
    <phoneticPr fontId="1" type="noConversion"/>
  </si>
  <si>
    <t>购买体力</t>
    <phoneticPr fontId="1" type="noConversion"/>
  </si>
  <si>
    <t>15*5</t>
    <phoneticPr fontId="1" type="noConversion"/>
  </si>
  <si>
    <t>每日体力</t>
    <phoneticPr fontId="1" type="noConversion"/>
  </si>
  <si>
    <t>每日扫荡次数</t>
    <phoneticPr fontId="1" type="noConversion"/>
  </si>
  <si>
    <t>累计扫荡次数</t>
    <phoneticPr fontId="1" type="noConversion"/>
  </si>
  <si>
    <t>//实际比计算多，有很多礼包包括充值会赠送体力</t>
    <phoneticPr fontId="1" type="noConversion"/>
  </si>
  <si>
    <t>解锁</t>
    <phoneticPr fontId="1" type="noConversion"/>
  </si>
  <si>
    <t>养成线</t>
    <phoneticPr fontId="1" type="noConversion"/>
  </si>
  <si>
    <t>基础系统：排行榜、历练大厅</t>
    <phoneticPr fontId="1" type="noConversion"/>
  </si>
  <si>
    <t>有付费体力，能解锁军团</t>
    <phoneticPr fontId="1" type="noConversion"/>
  </si>
  <si>
    <t>大R在第4、8、14、22、38天解锁新的玩法和养成线</t>
    <phoneticPr fontId="1" type="noConversion"/>
  </si>
  <si>
    <t>前七天内解锁完所有的技能</t>
    <phoneticPr fontId="1" type="noConversion"/>
  </si>
  <si>
    <t>买体力的玩家比没买体力的玩家多一倍的经验，等级进度领先一半</t>
    <phoneticPr fontId="1" type="noConversion"/>
  </si>
  <si>
    <t>优点</t>
    <phoneticPr fontId="1" type="noConversion"/>
  </si>
  <si>
    <t>新玩法的解锁总是伴随新的养成坑的开放，带来新的追求</t>
    <phoneticPr fontId="1" type="noConversion"/>
  </si>
  <si>
    <t>todo</t>
    <phoneticPr fontId="1" type="noConversion"/>
  </si>
  <si>
    <t>随机红枪</t>
    <phoneticPr fontId="1" type="noConversion"/>
  </si>
  <si>
    <t>随机红核</t>
    <phoneticPr fontId="1" type="noConversion"/>
  </si>
  <si>
    <t>随机红时装</t>
    <phoneticPr fontId="1" type="noConversion"/>
  </si>
  <si>
    <t>价值比例</t>
    <phoneticPr fontId="1" type="noConversion"/>
  </si>
  <si>
    <t>活动兑换</t>
    <phoneticPr fontId="1" type="noConversion"/>
  </si>
  <si>
    <t>随机先锋技能</t>
    <phoneticPr fontId="1" type="noConversion"/>
  </si>
  <si>
    <t>新防线</t>
    <phoneticPr fontId="1" type="noConversion"/>
  </si>
  <si>
    <t>璀璨钥匙</t>
    <phoneticPr fontId="1" type="noConversion"/>
  </si>
  <si>
    <t>试剂</t>
    <phoneticPr fontId="1" type="noConversion"/>
  </si>
  <si>
    <t>付费分层</t>
    <phoneticPr fontId="1" type="noConversion"/>
  </si>
  <si>
    <t>玩家付费层级</t>
    <phoneticPr fontId="1" type="noConversion"/>
  </si>
  <si>
    <t>一次性</t>
    <phoneticPr fontId="1" type="noConversion"/>
  </si>
  <si>
    <t>周期性</t>
    <phoneticPr fontId="1" type="noConversion"/>
  </si>
  <si>
    <t>赛季通行证30r、98r</t>
    <phoneticPr fontId="1" type="noConversion"/>
  </si>
  <si>
    <t>日礼包、周礼包、月礼包</t>
    <phoneticPr fontId="1" type="noConversion"/>
  </si>
  <si>
    <t>等级基金68r</t>
    <phoneticPr fontId="1" type="noConversion"/>
  </si>
  <si>
    <t>活动</t>
    <phoneticPr fontId="1" type="noConversion"/>
  </si>
  <si>
    <t>首充礼包6r、98r、128r</t>
    <phoneticPr fontId="1" type="noConversion"/>
  </si>
  <si>
    <t>高级签到12r</t>
    <phoneticPr fontId="1" type="noConversion"/>
  </si>
  <si>
    <t>每日连续充值6r/30r（持续7日6个洗剂1个紫钥匙）</t>
    <phoneticPr fontId="1" type="noConversion"/>
  </si>
  <si>
    <t>超值月卡、福利月卡</t>
    <phoneticPr fontId="1" type="noConversion"/>
  </si>
  <si>
    <t>累计充值（680钻石）</t>
    <phoneticPr fontId="1" type="noConversion"/>
  </si>
  <si>
    <t>关卡礼包（5/10关一个）</t>
    <phoneticPr fontId="1" type="noConversion"/>
  </si>
  <si>
    <t>弹窗礼包</t>
    <phoneticPr fontId="1" type="noConversion"/>
  </si>
  <si>
    <t>钻石直抽、玩法+任务+付费购买+抽奖+兑换</t>
    <phoneticPr fontId="1" type="noConversion"/>
  </si>
  <si>
    <t>深渊战令、堡垒战令</t>
    <phoneticPr fontId="1" type="noConversion"/>
  </si>
  <si>
    <t>军团每日一刀</t>
    <phoneticPr fontId="1" type="noConversion"/>
  </si>
  <si>
    <t>中R</t>
    <phoneticPr fontId="1" type="noConversion"/>
  </si>
  <si>
    <t>付费设计</t>
    <phoneticPr fontId="1" type="noConversion"/>
  </si>
  <si>
    <t>大R（5w+）主要付费内容：活动抽奖。大R主要追求：枪械/角色时装/幻形</t>
    <phoneticPr fontId="1" type="noConversion"/>
  </si>
  <si>
    <t>中R+（5k~2w）主要付费内容：各种礼包。追求体力（扫荡满提前开玩法）、高级宝石和宝石洗剂、有价值的时装和幻形</t>
    <phoneticPr fontId="1" type="noConversion"/>
  </si>
  <si>
    <t>付费特点</t>
    <phoneticPr fontId="1" type="noConversion"/>
  </si>
  <si>
    <t>活动抽奖的设计以及高稀有奖励和作用，在中期隔离了大R和中小R</t>
    <phoneticPr fontId="1" type="noConversion"/>
  </si>
  <si>
    <t>结果</t>
    <phoneticPr fontId="1" type="noConversion"/>
  </si>
  <si>
    <t>//概率疑似假的</t>
    <phoneticPr fontId="1" type="noConversion"/>
  </si>
  <si>
    <t>【随机抽奖】【随机时装/幻形礼包】【随机洗练】，随机的设计让玩家容易上头去追奖励</t>
    <phoneticPr fontId="1" type="noConversion"/>
  </si>
  <si>
    <t>追求点比较散</t>
    <phoneticPr fontId="1" type="noConversion"/>
  </si>
  <si>
    <t>没有特别突出的通用的付费核心资源和核心养成点</t>
    <phoneticPr fontId="1" type="noConversion"/>
  </si>
  <si>
    <t>道具售卖类型很零散，让玩家各取所需</t>
    <phoneticPr fontId="1" type="noConversion"/>
  </si>
  <si>
    <t>小R：小月卡和战令等。追求免广告奖励、宝石洗剂</t>
    <phoneticPr fontId="1" type="noConversion"/>
  </si>
  <si>
    <t>消耗材料</t>
    <phoneticPr fontId="1" type="noConversion"/>
  </si>
  <si>
    <t>225？</t>
    <phoneticPr fontId="1" type="noConversion"/>
  </si>
  <si>
    <t>5*9</t>
    <phoneticPr fontId="1" type="noConversion"/>
  </si>
  <si>
    <t>在核心追求上必定引入随机性</t>
    <phoneticPr fontId="1" type="noConversion"/>
  </si>
  <si>
    <t>体验时长</t>
    <phoneticPr fontId="1" type="noConversion"/>
  </si>
  <si>
    <t>局外养成+主线肉鸽推图的设计，巧妙结合了养成和肉鸽验证</t>
    <phoneticPr fontId="1" type="noConversion"/>
  </si>
  <si>
    <t>养成和系统玩法简洁：系统减负明显</t>
    <phoneticPr fontId="1" type="noConversion"/>
  </si>
  <si>
    <t>养成</t>
    <phoneticPr fontId="1" type="noConversion"/>
  </si>
  <si>
    <t>玩家在不同阶段追求的目标比较明确，不同付费类型的玩家追求目标明确</t>
    <phoneticPr fontId="1" type="noConversion"/>
  </si>
  <si>
    <t>系统</t>
    <phoneticPr fontId="1" type="noConversion"/>
  </si>
  <si>
    <t>养成线多，每个养成线的坑都很深，深不见底</t>
    <phoneticPr fontId="1" type="noConversion"/>
  </si>
  <si>
    <t>付费的成长反馈和奖励反馈不是很足</t>
    <phoneticPr fontId="1" type="noConversion"/>
  </si>
  <si>
    <t>n为技能等级，【】表示向下取整</t>
    <phoneticPr fontId="1" type="noConversion"/>
  </si>
  <si>
    <t>原因是验证的跨度太大了，怪物血量几何增加，而各种局外效果的属性增加如果没形成构筑，大幅度强化战力，就没有用。</t>
    <phoneticPr fontId="1" type="noConversion"/>
  </si>
  <si>
    <t>系统的产出核心资源和对应消耗养成线、付费战令（礼包）一一对应，很清晰</t>
    <phoneticPr fontId="1" type="noConversion"/>
  </si>
  <si>
    <t>系统奖励转化玩法成材料的形式比较多，商店兑换、酒馆抽奖、体力扫荡等</t>
    <phoneticPr fontId="1" type="noConversion"/>
  </si>
  <si>
    <t>持续追求：技能等级、装备等级</t>
    <phoneticPr fontId="1" type="noConversion"/>
  </si>
  <si>
    <t>按阶段追求：随着等级解锁的系统</t>
    <phoneticPr fontId="1" type="noConversion"/>
  </si>
  <si>
    <t>大后期：追求指定效果的高等宝石（洗练秒杀、风百、传送等）、高等级技能、皮肤和核心构筑</t>
    <phoneticPr fontId="1" type="noConversion"/>
  </si>
  <si>
    <t>问题</t>
    <phoneticPr fontId="1" type="noConversion"/>
  </si>
  <si>
    <t>比如先锋特技、防线的一堆效果只有一个传送有用</t>
    <phoneticPr fontId="1" type="noConversion"/>
  </si>
  <si>
    <t>玩法很简洁规整，奖励不重复，体验不重复</t>
    <phoneticPr fontId="1" type="noConversion"/>
  </si>
  <si>
    <t>或者说核心宝石能力太强、构筑能力太强，同时怪物的免疫特效太强，大幅度弱化了颗粒度不高的养成比如攻击力、技能伤害、平平无奇的局外特效等的作用</t>
    <phoneticPr fontId="1" type="noConversion"/>
  </si>
  <si>
    <t>大部分养成的消耗是分段倍数增加，部分养成消耗比如装备前中期是线性增加。越到后期越难养，越想花钱。</t>
    <phoneticPr fontId="1" type="noConversion"/>
  </si>
  <si>
    <t>养成结果简洁，分布在攻击力、流派类型攻击力、局内额外特效、局内效果的成长上。</t>
    <phoneticPr fontId="1" type="noConversion"/>
  </si>
  <si>
    <t>随机概率，付费内容</t>
    <phoneticPr fontId="1" type="noConversion"/>
  </si>
  <si>
    <t>玩法投放</t>
    <phoneticPr fontId="1" type="noConversion"/>
  </si>
  <si>
    <t>主线投放</t>
    <phoneticPr fontId="1" type="noConversion"/>
  </si>
  <si>
    <t>活动/付费投放</t>
    <phoneticPr fontId="1" type="noConversion"/>
  </si>
  <si>
    <t>养成投放方式</t>
    <phoneticPr fontId="3" type="noConversion"/>
  </si>
  <si>
    <t>时间点</t>
    <phoneticPr fontId="1" type="noConversion"/>
  </si>
  <si>
    <t>前几波</t>
    <phoneticPr fontId="1" type="noConversion"/>
  </si>
  <si>
    <t>中后期精英怪和boss</t>
    <phoneticPr fontId="1" type="noConversion"/>
  </si>
  <si>
    <t>验证内容</t>
    <phoneticPr fontId="1" type="noConversion"/>
  </si>
  <si>
    <t>充值可以无限送体力，680钻=10体力：不卡超级大R</t>
    <phoneticPr fontId="1" type="noConversion"/>
  </si>
  <si>
    <t>核心结论</t>
    <phoneticPr fontId="1" type="noConversion"/>
  </si>
  <si>
    <t>持续范围伤害</t>
    <phoneticPr fontId="1" type="noConversion"/>
  </si>
  <si>
    <t>局内不同技能可解锁的进阶效果的选项</t>
    <phoneticPr fontId="1" type="noConversion"/>
  </si>
  <si>
    <t>数量</t>
    <phoneticPr fontId="1" type="noConversion"/>
  </si>
  <si>
    <t>范围</t>
    <phoneticPr fontId="1" type="noConversion"/>
  </si>
  <si>
    <t>做元素伤害和元素抗性/破防的对抗设计。物理、能量、火系、冰系、电系</t>
    <phoneticPr fontId="1" type="noConversion"/>
  </si>
  <si>
    <t>需要知道僵尸的优点和缺点</t>
    <phoneticPr fontId="1" type="noConversion"/>
  </si>
  <si>
    <t>4个技能+枪械，提供选择的空间</t>
    <phoneticPr fontId="1" type="noConversion"/>
  </si>
  <si>
    <t>战斗的克制和流派的成长，提供选择的深度</t>
    <phoneticPr fontId="1" type="noConversion"/>
  </si>
  <si>
    <t>主要玩点（乐趣点）：选择的策略性</t>
    <phoneticPr fontId="1" type="noConversion"/>
  </si>
  <si>
    <t>穿透</t>
    <phoneticPr fontId="1" type="noConversion"/>
  </si>
  <si>
    <t>反弹</t>
    <phoneticPr fontId="1" type="noConversion"/>
  </si>
  <si>
    <t>散射</t>
    <phoneticPr fontId="1" type="noConversion"/>
  </si>
  <si>
    <t>连射</t>
    <phoneticPr fontId="1" type="noConversion"/>
  </si>
  <si>
    <t>CD</t>
    <phoneticPr fontId="1" type="noConversion"/>
  </si>
  <si>
    <t>四大表现类型</t>
    <phoneticPr fontId="1" type="noConversion"/>
  </si>
  <si>
    <t>命中触发其他表现（爆炸、分裂弹幕等）</t>
    <phoneticPr fontId="1" type="noConversion"/>
  </si>
  <si>
    <t>击退</t>
    <phoneticPr fontId="1" type="noConversion"/>
  </si>
  <si>
    <t>移动路径</t>
    <phoneticPr fontId="1" type="noConversion"/>
  </si>
  <si>
    <t>局内可选的祝福类型：</t>
    <phoneticPr fontId="1" type="noConversion"/>
  </si>
  <si>
    <t>新的技能</t>
    <phoneticPr fontId="1" type="noConversion"/>
  </si>
  <si>
    <t>技能的各自通用效果数值和机制的强化</t>
    <phoneticPr fontId="1" type="noConversion"/>
  </si>
  <si>
    <t>两个技能的耦合强化</t>
    <phoneticPr fontId="1" type="noConversion"/>
  </si>
  <si>
    <t>技能和异常状态的耦合强化</t>
    <phoneticPr fontId="1" type="noConversion"/>
  </si>
  <si>
    <t>技能触发新技能</t>
    <phoneticPr fontId="1" type="noConversion"/>
  </si>
  <si>
    <t>a和b伤害提升</t>
    <phoneticPr fontId="1" type="noConversion"/>
  </si>
  <si>
    <t>a命中b效果伤害提升</t>
    <phoneticPr fontId="1" type="noConversion"/>
  </si>
  <si>
    <t>装配局外养成的宝石和时装</t>
    <phoneticPr fontId="1" type="noConversion"/>
  </si>
  <si>
    <t>选择合适的局内效果</t>
    <phoneticPr fontId="1" type="noConversion"/>
  </si>
  <si>
    <t>折射</t>
    <phoneticPr fontId="1" type="noConversion"/>
  </si>
  <si>
    <t>一次范围伤害</t>
    <phoneticPr fontId="1" type="noConversion"/>
  </si>
  <si>
    <t>扫荡</t>
    <phoneticPr fontId="1" type="noConversion"/>
  </si>
  <si>
    <t>a触发b效果</t>
    <phoneticPr fontId="1" type="noConversion"/>
  </si>
  <si>
    <t>a触发b技能</t>
    <phoneticPr fontId="1" type="noConversion"/>
  </si>
  <si>
    <t>https://www.bilibili.com/video/BV1gzzFYREKv/?vd_source=201be56713c354e3d4e049ece60d7dd9</t>
  </si>
  <si>
    <t>移动目标</t>
    <phoneticPr fontId="1" type="noConversion"/>
  </si>
  <si>
    <t>连线</t>
    <phoneticPr fontId="1" type="noConversion"/>
  </si>
  <si>
    <t>大R的付费内容：抽奖，是7天后开放的。前七天，中大R战力相近，大家都有充值欲望</t>
    <phoneticPr fontId="1" type="noConversion"/>
  </si>
  <si>
    <t>命中触发其他机制（减速、吸附等负面状态</t>
    <phoneticPr fontId="1" type="noConversion"/>
  </si>
  <si>
    <t>局内策略选择结果、局外影响局内选择的强度的养成（局内可选效果解锁、局内效果的数值）</t>
    <phoneticPr fontId="1" type="noConversion"/>
  </si>
  <si>
    <r>
      <t>属性投放合适。</t>
    </r>
    <r>
      <rPr>
        <sz val="11"/>
        <color rgb="FFFF0000"/>
        <rFont val="等线"/>
        <family val="3"/>
        <charset val="134"/>
        <scheme val="minor"/>
      </rPr>
      <t>暴击率投放很谨慎，只在宝石效果里有，同时暴击伤害投的很多，很碎，在技能升级里投。</t>
    </r>
    <phoneticPr fontId="1" type="noConversion"/>
  </si>
  <si>
    <t>负面状态和负面状态免疫/破防的对抗设计。燃烧、麻痹、击退、减速、冰冻、眩晕</t>
    <phoneticPr fontId="1" type="noConversion"/>
  </si>
  <si>
    <t>局内效果</t>
    <phoneticPr fontId="1" type="noConversion"/>
  </si>
  <si>
    <t>表现的通用进阶设计：</t>
    <phoneticPr fontId="1" type="noConversion"/>
  </si>
  <si>
    <t>表现的各自进阶机制</t>
    <phoneticPr fontId="1" type="noConversion"/>
  </si>
  <si>
    <t>xx伤害增加</t>
    <phoneticPr fontId="1" type="noConversion"/>
  </si>
  <si>
    <t>xx效果持续时间增强、xx效果伤害增加、免疫xx效果</t>
    <phoneticPr fontId="1" type="noConversion"/>
  </si>
  <si>
    <t>地面技能、弹道技能和对应的免疫/破防的对抗设计。</t>
    <phoneticPr fontId="1" type="noConversion"/>
  </si>
  <si>
    <t>游玩天数20+，62级，主线60关，付费6000+</t>
    <phoneticPr fontId="1" type="noConversion"/>
  </si>
  <si>
    <t>前期快速筛选用户。用不平滑的难度曲线和很弱的养成反馈，留下能适应这类游戏的【硬核挑战型】数值付费玩家</t>
    <phoneticPr fontId="1" type="noConversion"/>
  </si>
  <si>
    <t>解锁的节奏很好，最终解锁的内容拉的时间够长。在旧内容没有新意的时候开放，有助于提高3留、7留、14留、22留</t>
    <phoneticPr fontId="1" type="noConversion"/>
  </si>
  <si>
    <t>玩家可以完全预期的进度：等级。很早就埋好了后续内容，让玩家期待。</t>
    <phoneticPr fontId="1" type="noConversion"/>
  </si>
  <si>
    <t>大部分养成的消耗是分段倍数增加</t>
    <phoneticPr fontId="1" type="noConversion"/>
  </si>
  <si>
    <t>属性投放合适。暴击率投放很谨慎，只在宝石效果里有，同时暴击伤害投的很多，很碎，在技能升级里投。</t>
    <phoneticPr fontId="1" type="noConversion"/>
  </si>
  <si>
    <t>部分养成内容对局内验证完全没有帮助</t>
  </si>
  <si>
    <t>部分养成内容对局内验证完全没有帮助</t>
    <phoneticPr fontId="1" type="noConversion"/>
  </si>
  <si>
    <t>验证内容强度的跨度太大，而各种局外效果的属性增加如果没形成合适的构筑就没用。</t>
    <phoneticPr fontId="1" type="noConversion"/>
  </si>
  <si>
    <t>系统和玩法很简洁规整，核心资源奖励不重复，玩法体验不重复</t>
    <phoneticPr fontId="1" type="noConversion"/>
  </si>
  <si>
    <t>【活动随机抽奖】【随机时装/幻形礼包】【随机洗练】，随机的设计让玩家容易上头去追奖励</t>
    <phoneticPr fontId="1" type="noConversion"/>
  </si>
  <si>
    <t>“硬核卡牌”，卡点硬、推关慢、付费成长感弱、有局内策略，需要玩家找攻略。足够吸引大R玩家？</t>
    <phoneticPr fontId="1" type="noConversion"/>
  </si>
  <si>
    <t>养成坑很深，深不见底</t>
    <phoneticPr fontId="1" type="noConversion"/>
  </si>
  <si>
    <t>付费的成长反馈和奖励的反馈不足，一反数值游戏常态</t>
    <phoneticPr fontId="1" type="noConversion"/>
  </si>
  <si>
    <t>技能效果</t>
    <phoneticPr fontId="1" type="noConversion"/>
  </si>
  <si>
    <t>局外基础战力养成(攻击力、初始技能、机甲、宝石..）</t>
    <phoneticPr fontId="1" type="noConversion"/>
  </si>
  <si>
    <t>运营：活动+时装和幻形更新换代。只更新大R追求内容</t>
    <phoneticPr fontId="1" type="noConversion"/>
  </si>
  <si>
    <t>运营数据和版本更新内容分析</t>
    <phoneticPr fontId="1" type="noConversion"/>
  </si>
  <si>
    <t>养成和战斗数值细拆</t>
    <phoneticPr fontId="1" type="noConversion"/>
  </si>
  <si>
    <r>
      <t>局外养成影响局内的选择</t>
    </r>
    <r>
      <rPr>
        <b/>
        <sz val="11"/>
        <color theme="1"/>
        <rFont val="等线"/>
        <family val="3"/>
        <charset val="134"/>
        <scheme val="minor"/>
      </rPr>
      <t>空间</t>
    </r>
    <phoneticPr fontId="1" type="noConversion"/>
  </si>
  <si>
    <t>流派的局外构筑和局内选择、流派和怪物效果的对抗</t>
    <phoneticPr fontId="1" type="noConversion"/>
  </si>
  <si>
    <t>在不同游戏阶段追求的目标比较明确，不同付费类型的玩家追求目标明确</t>
    <phoneticPr fontId="1" type="noConversion"/>
  </si>
  <si>
    <t>范围攻击盒</t>
    <phoneticPr fontId="1" type="noConversion"/>
  </si>
  <si>
    <t>持续范围攻击盒</t>
    <phoneticPr fontId="1" type="noConversion"/>
  </si>
  <si>
    <t>是否可以把c1的局内信物和眠蜡扒了，改为局外养成局外带入？</t>
    <phoneticPr fontId="1" type="noConversion"/>
  </si>
  <si>
    <t>c1局外的养成上限太低，反而局内成长比例过高，几十倍的失控。</t>
    <phoneticPr fontId="1" type="noConversion"/>
  </si>
  <si>
    <t>向僵尸开炮坑很深，同时大部分的中后期养成坑都在堆局外效果。围绕局内肉鸽相关的数值只有：通用数值（攻击力）和技能流派数值（包括枪械）。</t>
    <phoneticPr fontId="1" type="noConversion"/>
  </si>
  <si>
    <t>改成主数值，副肉鸽的游戏，让局内成长数值大幅度可控，局外数值大幅加码。</t>
    <phoneticPr fontId="1" type="noConversion"/>
  </si>
  <si>
    <t>如果c1的战斗改成玩家操控or放置角色（守塔&amp;守角色血量），怪物一波一波进攻，玩家击杀怪后选祝福，所有的向僵尸开炮的玩法都可以照搬。同时体验也不差。</t>
    <phoneticPr fontId="1" type="noConversion"/>
  </si>
  <si>
    <t>验证点同样是前期的验局外养成、中后期的精英怪验局内相关。</t>
    <phoneticPr fontId="1" type="noConversion"/>
  </si>
  <si>
    <t>但是C1局内选择的内容完全没有差异度，都是堆DPS</t>
    <phoneticPr fontId="1" type="noConversion"/>
  </si>
  <si>
    <t>如果把复刷和存盘改类吸血鬼验证</t>
    <phoneticPr fontId="1" type="noConversion"/>
  </si>
  <si>
    <t>类似向僵尸开炮，利用角色的【标签】</t>
    <phoneticPr fontId="1" type="noConversion"/>
  </si>
  <si>
    <t>怪物混合免疫&amp;强化不同【标签】的伤害</t>
    <phoneticPr fontId="1" type="noConversion"/>
  </si>
  <si>
    <t>玩家可能混选不同标签的效果来战斗，来面对不同的怪物。</t>
    <phoneticPr fontId="1" type="noConversion"/>
  </si>
  <si>
    <r>
      <t>很精彩的设计：一场战斗出现</t>
    </r>
    <r>
      <rPr>
        <b/>
        <sz val="11"/>
        <color rgb="FFFF0000"/>
        <rFont val="等线"/>
        <family val="3"/>
        <charset val="134"/>
        <scheme val="minor"/>
      </rPr>
      <t>矛盾</t>
    </r>
    <r>
      <rPr>
        <sz val="11"/>
        <color rgb="FFFF0000"/>
        <rFont val="等线"/>
        <family val="3"/>
        <charset val="134"/>
        <scheme val="minor"/>
      </rPr>
      <t>的怪物。A怪物免疫C效果，B怪物强化C效果，让玩家去选吧</t>
    </r>
    <phoneticPr fontId="1" type="noConversion"/>
  </si>
  <si>
    <t>新玩法的解锁总是伴随新的养成系统的开放。解锁时间总在在旧内容没有新意的时候，比如3、7、14天</t>
    <phoneticPr fontId="1" type="noConversion"/>
  </si>
  <si>
    <t>解锁天数</t>
    <phoneticPr fontId="1" type="noConversion"/>
  </si>
  <si>
    <t>大R系统解锁时刻</t>
    <phoneticPr fontId="1" type="noConversion"/>
  </si>
  <si>
    <t>战斗验证&amp;系统</t>
    <phoneticPr fontId="1" type="noConversion"/>
  </si>
  <si>
    <t>向僵尸开炮肉鸽相关玩法很多，变化很多，都可以借鉴。</t>
    <phoneticPr fontId="1" type="noConversion"/>
  </si>
  <si>
    <t>c1三角色体系可以类比向僵尸开炮5技能体系，作用是局外安排好局内选择的内容</t>
    <phoneticPr fontId="1" type="noConversion"/>
  </si>
  <si>
    <t>系统的产出核心资源和对应的养成线、对应付费内容（战令或礼包）一一对应，很清晰</t>
    <phoneticPr fontId="1" type="noConversion"/>
  </si>
  <si>
    <t>养成结果简洁，分布在攻击力、流派类型攻击力、局内额外特效、局内效果的成长这几部分。</t>
    <phoneticPr fontId="1" type="noConversion"/>
  </si>
  <si>
    <t>核心宝石能力太强、构筑成型效果太强，同时怪物的免疫特效太强，大幅度弱化了本来就颗粒度不高的养成比如攻击力、技能伤害、平平无奇的局内额外效果等的作用</t>
    <phoneticPr fontId="1" type="noConversion"/>
  </si>
  <si>
    <t>养成结合主线肉鸽战斗验证</t>
    <phoneticPr fontId="1" type="noConversion"/>
  </si>
  <si>
    <t>玩法/活动/付费投放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</si>
</sst>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000"/>
  </numFmts>
  <fonts count="2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color indexed="43"/>
      <name val="宋体"/>
      <family val="3"/>
      <charset val="134"/>
    </font>
    <font>
      <sz val="9"/>
      <name val="宋体"/>
      <family val="3"/>
      <charset val="134"/>
    </font>
    <font>
      <b/>
      <sz val="10"/>
      <color rgb="FFFF0000"/>
      <name val="宋体"/>
      <family val="3"/>
      <charset val="134"/>
    </font>
    <font>
      <sz val="10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rgb="FFFF0000"/>
      <name val="宋体"/>
      <family val="3"/>
      <charset val="134"/>
    </font>
    <font>
      <sz val="10"/>
      <color rgb="FFFF0000"/>
      <name val="宋体"/>
      <family val="3"/>
      <charset val="134"/>
    </font>
    <font>
      <sz val="10"/>
      <color theme="4" tint="-0.249977111117893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  <font>
      <b/>
      <sz val="24"/>
      <color theme="8" tint="-0.499984740745262"/>
      <name val="等线"/>
      <family val="3"/>
      <charset val="134"/>
      <scheme val="minor"/>
    </font>
    <font>
      <sz val="11"/>
      <color theme="8" tint="-0.499984740745262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2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i/>
      <sz val="11"/>
      <color theme="1"/>
      <name val="等线"/>
      <family val="3"/>
      <charset val="134"/>
      <scheme val="minor"/>
    </font>
    <font>
      <i/>
      <sz val="11"/>
      <color theme="2" tint="-0.499984740745262"/>
      <name val="等线"/>
      <family val="3"/>
      <charset val="134"/>
      <scheme val="minor"/>
    </font>
    <font>
      <sz val="11"/>
      <color theme="1" tint="4.9989318521683403E-2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/>
      <diagonal/>
    </border>
    <border>
      <left style="thin">
        <color theme="4" tint="-0.499984740745262"/>
      </left>
      <right style="thin">
        <color theme="4" tint="-0.499984740745262"/>
      </right>
      <top/>
      <bottom/>
      <diagonal/>
    </border>
    <border>
      <left style="thin">
        <color theme="4" tint="-0.499984740745262"/>
      </left>
      <right style="thin">
        <color theme="4" tint="-0.499984740745262"/>
      </right>
      <top/>
      <bottom style="thin">
        <color theme="4" tint="-0.499984740745262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top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/>
    </xf>
    <xf numFmtId="0" fontId="10" fillId="0" borderId="0" xfId="0" applyFont="1"/>
    <xf numFmtId="0" fontId="11" fillId="0" borderId="5" xfId="0" applyFont="1" applyBorder="1"/>
    <xf numFmtId="0" fontId="12" fillId="0" borderId="5" xfId="0" applyFont="1" applyBorder="1"/>
    <xf numFmtId="0" fontId="0" fillId="5" borderId="0" xfId="0" applyFill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1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177" fontId="0" fillId="0" borderId="0" xfId="0" applyNumberFormat="1" applyAlignment="1">
      <alignment horizontal="center" vertical="center"/>
    </xf>
    <xf numFmtId="177" fontId="13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top"/>
    </xf>
    <xf numFmtId="0" fontId="5" fillId="0" borderId="7" xfId="0" applyFont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top"/>
    </xf>
    <xf numFmtId="0" fontId="5" fillId="3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top"/>
    </xf>
    <xf numFmtId="0" fontId="0" fillId="0" borderId="6" xfId="0" applyBorder="1"/>
    <xf numFmtId="0" fontId="14" fillId="0" borderId="0" xfId="0" applyFont="1"/>
    <xf numFmtId="0" fontId="13" fillId="0" borderId="0" xfId="0" applyFont="1"/>
    <xf numFmtId="0" fontId="15" fillId="0" borderId="0" xfId="0" applyFont="1"/>
    <xf numFmtId="10" fontId="0" fillId="0" borderId="0" xfId="0" applyNumberFormat="1"/>
    <xf numFmtId="1" fontId="0" fillId="0" borderId="0" xfId="0" applyNumberFormat="1"/>
    <xf numFmtId="0" fontId="5" fillId="0" borderId="1" xfId="0" applyFont="1" applyBorder="1" applyAlignment="1">
      <alignment horizontal="left"/>
    </xf>
    <xf numFmtId="0" fontId="7" fillId="4" borderId="7" xfId="0" applyFont="1" applyFill="1" applyBorder="1" applyAlignment="1">
      <alignment horizontal="center" vertical="center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5" fillId="0" borderId="6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161925</xdr:colOff>
      <xdr:row>15</xdr:row>
      <xdr:rowOff>38100</xdr:rowOff>
    </xdr:from>
    <xdr:to>
      <xdr:col>4</xdr:col>
      <xdr:colOff>2339140</xdr:colOff>
      <xdr:row>15</xdr:row>
      <xdr:rowOff>523875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862287D5-CE64-7F86-6203-AD89C7A91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05200" y="2752725"/>
          <a:ext cx="2177215" cy="485775"/>
        </a:xfrm>
        <a:prstGeom prst="rect">
          <a:avLst/>
        </a:prstGeom>
      </xdr:spPr>
    </xdr:pic>
    <xdr:clientData/>
  </xdr:twoCellAnchor>
  <xdr:twoCellAnchor editAs="oneCell">
    <xdr:from>
      <xdr:col>1</xdr:col>
      <xdr:colOff>771526</xdr:colOff>
      <xdr:row>52</xdr:row>
      <xdr:rowOff>67209</xdr:rowOff>
    </xdr:from>
    <xdr:to>
      <xdr:col>10</xdr:col>
      <xdr:colOff>742951</xdr:colOff>
      <xdr:row>86</xdr:row>
      <xdr:rowOff>84762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E0B106C5-44D4-A2DD-85E2-E3BEFD012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57326" y="10116084"/>
          <a:ext cx="8553450" cy="617070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295275</xdr:colOff>
      <xdr:row>83</xdr:row>
      <xdr:rowOff>152400</xdr:rowOff>
    </xdr:from>
    <xdr:to>
      <xdr:col>23</xdr:col>
      <xdr:colOff>389530</xdr:colOff>
      <xdr:row>113</xdr:row>
      <xdr:rowOff>170769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3AAD00EE-4E7D-7087-214C-9F249C3EA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0" y="14630400"/>
          <a:ext cx="7961905" cy="5447619"/>
        </a:xfrm>
        <a:prstGeom prst="rect">
          <a:avLst/>
        </a:prstGeom>
      </xdr:spPr>
    </xdr:pic>
    <xdr:clientData/>
  </xdr:twoCellAnchor>
  <xdr:twoCellAnchor editAs="oneCell">
    <xdr:from>
      <xdr:col>3</xdr:col>
      <xdr:colOff>485775</xdr:colOff>
      <xdr:row>72</xdr:row>
      <xdr:rowOff>76200</xdr:rowOff>
    </xdr:from>
    <xdr:to>
      <xdr:col>11</xdr:col>
      <xdr:colOff>132700</xdr:colOff>
      <xdr:row>115</xdr:row>
      <xdr:rowOff>123825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F58CAC7-0F94-A518-8DB2-2E3EA4799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6550" y="12563475"/>
          <a:ext cx="5457175" cy="782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438150</xdr:colOff>
      <xdr:row>61</xdr:row>
      <xdr:rowOff>28575</xdr:rowOff>
    </xdr:from>
    <xdr:to>
      <xdr:col>20</xdr:col>
      <xdr:colOff>199897</xdr:colOff>
      <xdr:row>83</xdr:row>
      <xdr:rowOff>123825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C79F99AA-63C7-3ED9-BCF7-EE82D9176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0775" y="10525125"/>
          <a:ext cx="4562347" cy="407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2B2E4-5B9F-4C7A-969C-F1F2D1ACCB4A}">
  <dimension ref="B1:F64"/>
  <sheetViews>
    <sheetView tabSelected="1" zoomScaleNormal="100" workbookViewId="0">
      <selection activeCell="S20" sqref="S20"/>
    </sheetView>
  </sheetViews>
  <sheetFormatPr defaultRowHeight="14.25" x14ac:dyDescent="0.2"/>
  <cols>
    <col min="5" max="5" width="10.75" customWidth="1"/>
  </cols>
  <sheetData>
    <row r="1" spans="2:5" x14ac:dyDescent="0.2">
      <c r="E1" t="s">
        <v>42</v>
      </c>
    </row>
    <row r="3" spans="2:5" x14ac:dyDescent="0.2">
      <c r="B3" t="s">
        <v>258</v>
      </c>
      <c r="C3" t="s">
        <v>337</v>
      </c>
    </row>
    <row r="5" spans="2:5" x14ac:dyDescent="0.2">
      <c r="B5" t="s">
        <v>171</v>
      </c>
      <c r="C5" t="s">
        <v>72</v>
      </c>
    </row>
    <row r="6" spans="2:5" x14ac:dyDescent="0.2">
      <c r="C6" t="s">
        <v>338</v>
      </c>
    </row>
    <row r="7" spans="2:5" x14ac:dyDescent="0.2">
      <c r="C7" t="s">
        <v>353</v>
      </c>
    </row>
    <row r="10" spans="2:5" x14ac:dyDescent="0.2">
      <c r="B10" t="s">
        <v>164</v>
      </c>
      <c r="C10" t="s">
        <v>259</v>
      </c>
    </row>
    <row r="11" spans="2:5" x14ac:dyDescent="0.2">
      <c r="C11" t="s">
        <v>348</v>
      </c>
    </row>
    <row r="12" spans="2:5" x14ac:dyDescent="0.2">
      <c r="C12" t="s">
        <v>260</v>
      </c>
    </row>
    <row r="15" spans="2:5" x14ac:dyDescent="0.2">
      <c r="B15" t="s">
        <v>289</v>
      </c>
      <c r="C15" s="10"/>
    </row>
    <row r="16" spans="2:5" x14ac:dyDescent="0.2">
      <c r="C16" t="s">
        <v>373</v>
      </c>
    </row>
    <row r="17" spans="3:5" x14ac:dyDescent="0.2">
      <c r="D17" t="s">
        <v>358</v>
      </c>
    </row>
    <row r="18" spans="3:5" x14ac:dyDescent="0.2">
      <c r="C18" t="s">
        <v>346</v>
      </c>
    </row>
    <row r="19" spans="3:5" x14ac:dyDescent="0.2">
      <c r="D19" t="s">
        <v>379</v>
      </c>
    </row>
    <row r="20" spans="3:5" x14ac:dyDescent="0.2">
      <c r="C20" t="s">
        <v>349</v>
      </c>
    </row>
    <row r="21" spans="3:5" x14ac:dyDescent="0.2">
      <c r="D21" t="s">
        <v>341</v>
      </c>
    </row>
    <row r="22" spans="3:5" x14ac:dyDescent="0.2">
      <c r="D22" t="s">
        <v>380</v>
      </c>
    </row>
    <row r="23" spans="3:5" x14ac:dyDescent="0.2">
      <c r="D23" s="46" t="s">
        <v>342</v>
      </c>
    </row>
    <row r="24" spans="3:5" x14ac:dyDescent="0.2">
      <c r="D24" s="10" t="s">
        <v>257</v>
      </c>
    </row>
    <row r="25" spans="3:5" x14ac:dyDescent="0.2">
      <c r="E25" t="s">
        <v>347</v>
      </c>
    </row>
    <row r="26" spans="3:5" x14ac:dyDescent="0.2">
      <c r="C26" t="s">
        <v>382</v>
      </c>
    </row>
    <row r="27" spans="3:5" x14ac:dyDescent="0.2">
      <c r="D27" t="s">
        <v>357</v>
      </c>
    </row>
    <row r="28" spans="3:5" x14ac:dyDescent="0.2">
      <c r="D28" t="s">
        <v>356</v>
      </c>
    </row>
    <row r="29" spans="3:5" x14ac:dyDescent="0.2">
      <c r="C29" s="10"/>
    </row>
    <row r="30" spans="3:5" x14ac:dyDescent="0.2">
      <c r="C30" t="s">
        <v>350</v>
      </c>
    </row>
    <row r="31" spans="3:5" x14ac:dyDescent="0.2">
      <c r="D31" t="s">
        <v>343</v>
      </c>
    </row>
    <row r="32" spans="3:5" x14ac:dyDescent="0.2">
      <c r="D32" t="s">
        <v>345</v>
      </c>
    </row>
    <row r="33" spans="2:5" x14ac:dyDescent="0.2">
      <c r="D33" s="10" t="s">
        <v>381</v>
      </c>
    </row>
    <row r="36" spans="2:5" x14ac:dyDescent="0.2">
      <c r="B36" t="s">
        <v>175</v>
      </c>
    </row>
    <row r="37" spans="2:5" x14ac:dyDescent="0.2">
      <c r="C37" t="s">
        <v>176</v>
      </c>
    </row>
    <row r="38" spans="2:5" x14ac:dyDescent="0.2">
      <c r="D38" t="s">
        <v>363</v>
      </c>
    </row>
    <row r="39" spans="2:5" x14ac:dyDescent="0.2">
      <c r="D39" t="s">
        <v>177</v>
      </c>
    </row>
    <row r="40" spans="2:5" x14ac:dyDescent="0.2">
      <c r="E40" s="44" t="s">
        <v>361</v>
      </c>
    </row>
    <row r="41" spans="2:5" x14ac:dyDescent="0.2">
      <c r="D41" t="s">
        <v>362</v>
      </c>
    </row>
    <row r="42" spans="2:5" x14ac:dyDescent="0.2">
      <c r="E42" s="44" t="s">
        <v>364</v>
      </c>
    </row>
    <row r="44" spans="2:5" x14ac:dyDescent="0.2">
      <c r="C44" t="s">
        <v>376</v>
      </c>
    </row>
    <row r="45" spans="2:5" x14ac:dyDescent="0.2">
      <c r="D45" t="s">
        <v>365</v>
      </c>
    </row>
    <row r="46" spans="2:5" x14ac:dyDescent="0.2">
      <c r="E46" t="s">
        <v>366</v>
      </c>
    </row>
    <row r="47" spans="2:5" x14ac:dyDescent="0.2">
      <c r="E47" t="s">
        <v>377</v>
      </c>
    </row>
    <row r="49" spans="2:6" x14ac:dyDescent="0.2">
      <c r="D49" t="s">
        <v>378</v>
      </c>
    </row>
    <row r="50" spans="2:6" x14ac:dyDescent="0.2">
      <c r="E50" t="s">
        <v>367</v>
      </c>
    </row>
    <row r="51" spans="2:6" x14ac:dyDescent="0.2">
      <c r="E51" t="s">
        <v>368</v>
      </c>
    </row>
    <row r="52" spans="2:6" x14ac:dyDescent="0.2">
      <c r="F52" t="s">
        <v>369</v>
      </c>
    </row>
    <row r="53" spans="2:6" x14ac:dyDescent="0.2">
      <c r="F53" t="s">
        <v>370</v>
      </c>
    </row>
    <row r="54" spans="2:6" x14ac:dyDescent="0.2">
      <c r="F54" t="s">
        <v>371</v>
      </c>
    </row>
    <row r="63" spans="2:6" x14ac:dyDescent="0.2">
      <c r="B63" t="s">
        <v>213</v>
      </c>
      <c r="C63" t="s">
        <v>354</v>
      </c>
    </row>
    <row r="64" spans="2:6" x14ac:dyDescent="0.2">
      <c r="C64" t="s">
        <v>355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72A2B-6E15-413C-BE03-D14BD3FC497A}">
  <dimension ref="A2:O52"/>
  <sheetViews>
    <sheetView topLeftCell="A33" zoomScaleNormal="100" workbookViewId="0">
      <selection activeCell="N21" sqref="N21:N23"/>
    </sheetView>
  </sheetViews>
  <sheetFormatPr defaultRowHeight="14.25" x14ac:dyDescent="0.2"/>
  <cols>
    <col min="2" max="2" width="10.375" customWidth="1"/>
    <col min="4" max="4" width="15.5" customWidth="1"/>
    <col min="5" max="5" width="32.5" customWidth="1"/>
    <col min="6" max="6" width="12" customWidth="1"/>
    <col min="7" max="7" width="2" customWidth="1"/>
    <col min="9" max="9" width="11.875" customWidth="1"/>
    <col min="10" max="11" width="10.375" customWidth="1"/>
    <col min="12" max="12" width="17" customWidth="1"/>
    <col min="13" max="13" width="22" customWidth="1"/>
    <col min="14" max="14" width="37" customWidth="1"/>
    <col min="15" max="15" width="2" customWidth="1"/>
    <col min="21" max="21" width="11" customWidth="1"/>
  </cols>
  <sheetData>
    <row r="2" spans="1:15" x14ac:dyDescent="0.2">
      <c r="A2" s="1" t="s">
        <v>10</v>
      </c>
      <c r="B2" s="1" t="s">
        <v>11</v>
      </c>
      <c r="C2" s="1" t="s">
        <v>12</v>
      </c>
      <c r="D2" s="1" t="s">
        <v>254</v>
      </c>
      <c r="E2" s="24" t="s">
        <v>134</v>
      </c>
      <c r="F2" s="24" t="s">
        <v>135</v>
      </c>
      <c r="G2" s="2"/>
      <c r="H2" s="1" t="s">
        <v>13</v>
      </c>
      <c r="I2" s="3" t="s">
        <v>14</v>
      </c>
      <c r="J2" s="1" t="s">
        <v>131</v>
      </c>
      <c r="K2" s="1" t="s">
        <v>144</v>
      </c>
      <c r="L2" s="3" t="s">
        <v>130</v>
      </c>
      <c r="M2" s="3" t="s">
        <v>15</v>
      </c>
      <c r="N2" s="1" t="s">
        <v>283</v>
      </c>
      <c r="O2" s="2"/>
    </row>
    <row r="3" spans="1:15" x14ac:dyDescent="0.2">
      <c r="A3" s="51" t="s">
        <v>16</v>
      </c>
      <c r="B3" s="54" t="s">
        <v>24</v>
      </c>
      <c r="C3" s="9" t="s">
        <v>22</v>
      </c>
      <c r="D3" s="5" t="s">
        <v>71</v>
      </c>
      <c r="E3" s="7"/>
      <c r="F3" s="7"/>
      <c r="G3" s="6"/>
      <c r="H3" s="5">
        <v>150</v>
      </c>
      <c r="I3" s="7" t="s">
        <v>52</v>
      </c>
      <c r="J3" s="5" t="s">
        <v>18</v>
      </c>
      <c r="K3" s="5"/>
      <c r="L3" s="7"/>
      <c r="M3" s="7"/>
      <c r="N3" s="5" t="s">
        <v>281</v>
      </c>
      <c r="O3" s="6"/>
    </row>
    <row r="4" spans="1:15" x14ac:dyDescent="0.2">
      <c r="A4" s="52"/>
      <c r="B4" s="54"/>
      <c r="C4" s="5" t="s">
        <v>26</v>
      </c>
      <c r="D4" s="5" t="s">
        <v>27</v>
      </c>
      <c r="E4" s="7"/>
      <c r="F4" s="7"/>
      <c r="G4" s="6"/>
      <c r="H4" s="5">
        <v>24</v>
      </c>
      <c r="I4" s="7" t="s">
        <v>21</v>
      </c>
      <c r="J4" s="5" t="s">
        <v>18</v>
      </c>
      <c r="K4" s="5"/>
      <c r="L4" s="7" t="s">
        <v>147</v>
      </c>
      <c r="M4" s="7" t="s">
        <v>53</v>
      </c>
      <c r="N4" s="5"/>
      <c r="O4" s="6"/>
    </row>
    <row r="5" spans="1:15" x14ac:dyDescent="0.2">
      <c r="A5" s="53"/>
      <c r="B5" s="54"/>
      <c r="C5" s="5" t="s">
        <v>28</v>
      </c>
      <c r="D5" s="5" t="s">
        <v>27</v>
      </c>
      <c r="E5" s="7"/>
      <c r="F5" s="7"/>
      <c r="G5" s="6"/>
      <c r="H5" s="5"/>
      <c r="I5" s="7" t="s">
        <v>54</v>
      </c>
      <c r="J5" s="5" t="s">
        <v>18</v>
      </c>
      <c r="K5" s="5"/>
      <c r="L5" s="7"/>
      <c r="M5" s="7"/>
      <c r="N5" s="5"/>
      <c r="O5" s="6"/>
    </row>
    <row r="6" spans="1:15" x14ac:dyDescent="0.2">
      <c r="A6" s="51" t="s">
        <v>25</v>
      </c>
      <c r="B6" s="51" t="s">
        <v>140</v>
      </c>
      <c r="C6" s="5" t="s">
        <v>29</v>
      </c>
      <c r="D6" s="5" t="s">
        <v>25</v>
      </c>
      <c r="E6" s="7"/>
      <c r="F6" s="7"/>
      <c r="G6" s="6"/>
      <c r="H6" s="5">
        <v>7</v>
      </c>
      <c r="I6" s="7" t="s">
        <v>55</v>
      </c>
      <c r="J6" s="5" t="s">
        <v>30</v>
      </c>
      <c r="K6" s="5"/>
      <c r="L6" s="7"/>
      <c r="M6" s="7"/>
      <c r="N6" s="5" t="s">
        <v>281</v>
      </c>
      <c r="O6" s="6"/>
    </row>
    <row r="7" spans="1:15" x14ac:dyDescent="0.2">
      <c r="A7" s="53"/>
      <c r="B7" s="53"/>
      <c r="C7" s="5" t="s">
        <v>28</v>
      </c>
      <c r="D7" s="5" t="s">
        <v>57</v>
      </c>
      <c r="E7" s="7"/>
      <c r="F7" s="7"/>
      <c r="G7" s="6"/>
      <c r="H7" s="5"/>
      <c r="I7" s="7" t="s">
        <v>56</v>
      </c>
      <c r="J7" s="5" t="s">
        <v>18</v>
      </c>
      <c r="K7" s="5"/>
      <c r="L7" s="7"/>
      <c r="M7" s="7"/>
      <c r="N7" s="5" t="s">
        <v>279</v>
      </c>
      <c r="O7" s="6"/>
    </row>
    <row r="8" spans="1:15" x14ac:dyDescent="0.2">
      <c r="A8" s="51" t="s">
        <v>36</v>
      </c>
      <c r="B8" s="51" t="s">
        <v>36</v>
      </c>
      <c r="C8" s="9" t="s">
        <v>22</v>
      </c>
      <c r="D8" s="5" t="s">
        <v>37</v>
      </c>
      <c r="E8" s="7"/>
      <c r="F8" s="7"/>
      <c r="G8" s="6"/>
      <c r="H8" s="5" t="s">
        <v>255</v>
      </c>
      <c r="I8" s="7" t="s">
        <v>39</v>
      </c>
      <c r="J8" s="5" t="s">
        <v>18</v>
      </c>
      <c r="K8" s="5"/>
      <c r="L8" s="7"/>
      <c r="M8" s="7" t="s">
        <v>44</v>
      </c>
      <c r="N8" s="5" t="s">
        <v>280</v>
      </c>
      <c r="O8" s="6"/>
    </row>
    <row r="9" spans="1:15" x14ac:dyDescent="0.2">
      <c r="A9" s="52"/>
      <c r="B9" s="53"/>
      <c r="C9" s="5" t="s">
        <v>17</v>
      </c>
      <c r="D9" s="5" t="s">
        <v>45</v>
      </c>
      <c r="E9" s="7"/>
      <c r="F9" s="7"/>
      <c r="G9" s="6"/>
      <c r="H9" s="5"/>
      <c r="I9" s="7" t="s">
        <v>38</v>
      </c>
      <c r="J9" s="5" t="s">
        <v>18</v>
      </c>
      <c r="K9" s="5"/>
      <c r="L9" s="7"/>
      <c r="M9" s="7"/>
      <c r="N9" s="5" t="s">
        <v>280</v>
      </c>
      <c r="O9" s="6"/>
    </row>
    <row r="10" spans="1:15" x14ac:dyDescent="0.2">
      <c r="A10" s="52"/>
      <c r="B10" s="51" t="s">
        <v>40</v>
      </c>
      <c r="C10" s="5" t="s">
        <v>41</v>
      </c>
      <c r="D10" s="5" t="s">
        <v>40</v>
      </c>
      <c r="E10" s="7"/>
      <c r="F10" s="7"/>
      <c r="G10" s="6"/>
      <c r="H10" s="5"/>
      <c r="I10" s="7" t="s">
        <v>39</v>
      </c>
      <c r="J10" s="5" t="s">
        <v>18</v>
      </c>
      <c r="K10" s="5"/>
      <c r="L10" s="7"/>
      <c r="M10" s="7" t="s">
        <v>43</v>
      </c>
      <c r="N10" s="5" t="s">
        <v>282</v>
      </c>
      <c r="O10" s="6"/>
    </row>
    <row r="11" spans="1:15" x14ac:dyDescent="0.2">
      <c r="A11" s="52"/>
      <c r="B11" s="52"/>
      <c r="C11" s="5" t="s">
        <v>19</v>
      </c>
      <c r="D11" s="5" t="s">
        <v>66</v>
      </c>
      <c r="E11" s="7"/>
      <c r="F11" s="7"/>
      <c r="G11" s="6"/>
      <c r="H11" s="5" t="s">
        <v>256</v>
      </c>
      <c r="I11" s="7" t="s">
        <v>39</v>
      </c>
      <c r="J11" s="5" t="s">
        <v>18</v>
      </c>
      <c r="K11" s="5"/>
      <c r="L11" s="7"/>
      <c r="M11" s="7"/>
      <c r="N11" s="5" t="s">
        <v>282</v>
      </c>
      <c r="O11" s="6"/>
    </row>
    <row r="12" spans="1:15" x14ac:dyDescent="0.2">
      <c r="A12" s="47" t="s">
        <v>23</v>
      </c>
      <c r="B12" s="29" t="s">
        <v>31</v>
      </c>
      <c r="C12" s="25" t="s">
        <v>22</v>
      </c>
      <c r="D12" s="5" t="s">
        <v>67</v>
      </c>
      <c r="E12" s="7"/>
      <c r="F12" s="7"/>
      <c r="G12" s="6"/>
      <c r="H12" s="5" t="s">
        <v>70</v>
      </c>
      <c r="I12" s="7" t="s">
        <v>21</v>
      </c>
      <c r="J12" s="5" t="s">
        <v>18</v>
      </c>
      <c r="K12" s="5"/>
      <c r="L12" s="7">
        <v>60</v>
      </c>
      <c r="M12" s="7" t="s">
        <v>33</v>
      </c>
      <c r="N12" s="5" t="s">
        <v>282</v>
      </c>
      <c r="O12" s="6"/>
    </row>
    <row r="13" spans="1:15" x14ac:dyDescent="0.2">
      <c r="A13" s="47"/>
      <c r="B13" s="29" t="s">
        <v>62</v>
      </c>
      <c r="C13" s="26" t="s">
        <v>22</v>
      </c>
      <c r="D13" s="5" t="s">
        <v>59</v>
      </c>
      <c r="E13" s="7"/>
      <c r="F13" s="7"/>
      <c r="G13" s="6"/>
      <c r="H13" s="5"/>
      <c r="I13" s="7" t="s">
        <v>34</v>
      </c>
      <c r="J13" s="5" t="s">
        <v>18</v>
      </c>
      <c r="K13" s="5"/>
      <c r="L13" s="7"/>
      <c r="M13" s="7" t="s">
        <v>35</v>
      </c>
      <c r="N13" s="5" t="s">
        <v>281</v>
      </c>
      <c r="O13" s="6"/>
    </row>
    <row r="14" spans="1:15" x14ac:dyDescent="0.2">
      <c r="A14" s="47"/>
      <c r="B14" s="29" t="s">
        <v>63</v>
      </c>
      <c r="C14" s="25" t="s">
        <v>19</v>
      </c>
      <c r="D14" s="5" t="s">
        <v>64</v>
      </c>
      <c r="E14" s="8"/>
      <c r="F14" s="8"/>
      <c r="G14" s="6"/>
      <c r="H14" s="5" t="s">
        <v>69</v>
      </c>
      <c r="I14" s="8" t="s">
        <v>68</v>
      </c>
      <c r="J14" s="5" t="s">
        <v>20</v>
      </c>
      <c r="K14" s="5"/>
      <c r="L14" s="8" t="s">
        <v>143</v>
      </c>
      <c r="M14" s="7"/>
      <c r="N14" s="5" t="s">
        <v>282</v>
      </c>
      <c r="O14" s="6"/>
    </row>
    <row r="15" spans="1:15" x14ac:dyDescent="0.2">
      <c r="A15" s="47"/>
      <c r="B15" s="29" t="s">
        <v>32</v>
      </c>
      <c r="C15" s="25" t="s">
        <v>22</v>
      </c>
      <c r="D15" s="5" t="s">
        <v>65</v>
      </c>
      <c r="E15" s="7"/>
      <c r="F15" s="7"/>
      <c r="G15" s="6"/>
      <c r="H15" s="5" t="s">
        <v>70</v>
      </c>
      <c r="I15" s="8" t="s">
        <v>50</v>
      </c>
      <c r="J15" s="5" t="s">
        <v>20</v>
      </c>
      <c r="K15" s="5"/>
      <c r="L15" s="7"/>
      <c r="M15" s="7" t="s">
        <v>132</v>
      </c>
      <c r="N15" s="5" t="s">
        <v>282</v>
      </c>
      <c r="O15" s="6"/>
    </row>
    <row r="16" spans="1:15" ht="64.5" customHeight="1" x14ac:dyDescent="0.2">
      <c r="A16" s="47"/>
      <c r="B16" s="29" t="s">
        <v>51</v>
      </c>
      <c r="C16" s="41" t="s">
        <v>22</v>
      </c>
      <c r="D16" s="5" t="s">
        <v>61</v>
      </c>
      <c r="E16" s="40" t="s">
        <v>266</v>
      </c>
      <c r="F16" s="7"/>
      <c r="G16" s="6"/>
      <c r="H16" s="5">
        <v>46</v>
      </c>
      <c r="I16" s="8" t="s">
        <v>50</v>
      </c>
      <c r="J16" s="5" t="s">
        <v>20</v>
      </c>
      <c r="K16" s="5"/>
      <c r="L16" s="7"/>
      <c r="M16" s="7" t="s">
        <v>133</v>
      </c>
      <c r="N16" s="5" t="s">
        <v>281</v>
      </c>
      <c r="O16" s="6"/>
    </row>
    <row r="17" spans="1:15" x14ac:dyDescent="0.2">
      <c r="A17" s="47"/>
      <c r="B17" s="47" t="s">
        <v>46</v>
      </c>
      <c r="C17" s="27" t="s">
        <v>22</v>
      </c>
      <c r="D17" s="5" t="s">
        <v>60</v>
      </c>
      <c r="E17" s="7"/>
      <c r="F17" s="7"/>
      <c r="G17" s="6"/>
      <c r="H17" s="5">
        <v>100</v>
      </c>
      <c r="I17" s="7" t="s">
        <v>21</v>
      </c>
      <c r="J17" s="5" t="s">
        <v>18</v>
      </c>
      <c r="K17" s="5"/>
      <c r="L17" s="7"/>
      <c r="M17" s="7"/>
      <c r="N17" s="5" t="s">
        <v>280</v>
      </c>
      <c r="O17" s="6"/>
    </row>
    <row r="18" spans="1:15" x14ac:dyDescent="0.2">
      <c r="A18" s="47"/>
      <c r="B18" s="47"/>
      <c r="C18" s="28" t="s">
        <v>26</v>
      </c>
      <c r="D18" s="5" t="s">
        <v>47</v>
      </c>
      <c r="E18" s="7"/>
      <c r="F18" s="7"/>
      <c r="G18" s="6"/>
      <c r="H18" s="5"/>
      <c r="I18" s="7" t="s">
        <v>48</v>
      </c>
      <c r="J18" s="5" t="s">
        <v>18</v>
      </c>
      <c r="K18" s="5"/>
      <c r="L18" s="7"/>
      <c r="M18" s="7"/>
      <c r="N18" s="5" t="s">
        <v>383</v>
      </c>
      <c r="O18" s="6"/>
    </row>
    <row r="19" spans="1:15" x14ac:dyDescent="0.2">
      <c r="A19" s="47"/>
      <c r="B19" s="29" t="s">
        <v>49</v>
      </c>
      <c r="C19" s="25"/>
      <c r="D19" s="5"/>
      <c r="E19" s="5"/>
      <c r="F19" s="31"/>
      <c r="G19" s="32"/>
      <c r="H19" s="5">
        <v>20</v>
      </c>
      <c r="I19" s="31" t="s">
        <v>58</v>
      </c>
      <c r="J19" s="4"/>
      <c r="K19" s="4"/>
      <c r="L19" s="31"/>
      <c r="M19" s="33"/>
      <c r="N19" s="5" t="s">
        <v>280</v>
      </c>
      <c r="O19" s="32"/>
    </row>
    <row r="20" spans="1:15" x14ac:dyDescent="0.2">
      <c r="A20" s="47"/>
      <c r="B20" s="48" t="s">
        <v>137</v>
      </c>
      <c r="C20" s="25" t="s">
        <v>22</v>
      </c>
      <c r="D20" s="5" t="s">
        <v>138</v>
      </c>
      <c r="E20" s="30"/>
      <c r="F20" s="34"/>
      <c r="G20" s="6"/>
      <c r="H20" s="5">
        <v>100</v>
      </c>
      <c r="I20" s="34" t="s">
        <v>21</v>
      </c>
      <c r="J20" s="29" t="s">
        <v>18</v>
      </c>
      <c r="K20" s="29"/>
      <c r="L20" s="34">
        <v>2</v>
      </c>
      <c r="M20" s="34"/>
      <c r="N20" s="5" t="s">
        <v>280</v>
      </c>
      <c r="O20" s="6"/>
    </row>
    <row r="21" spans="1:15" x14ac:dyDescent="0.2">
      <c r="A21" s="47"/>
      <c r="B21" s="49"/>
      <c r="C21" s="25" t="s">
        <v>26</v>
      </c>
      <c r="D21" s="5" t="s">
        <v>137</v>
      </c>
      <c r="E21" s="30"/>
      <c r="F21" s="34"/>
      <c r="G21" s="6"/>
      <c r="H21" s="5"/>
      <c r="I21" s="34" t="s">
        <v>21</v>
      </c>
      <c r="J21" s="29" t="s">
        <v>18</v>
      </c>
      <c r="K21" s="29"/>
      <c r="L21" s="34">
        <v>20</v>
      </c>
      <c r="M21" s="34" t="s">
        <v>142</v>
      </c>
      <c r="N21" s="5"/>
      <c r="O21" s="6"/>
    </row>
    <row r="22" spans="1:15" x14ac:dyDescent="0.2">
      <c r="A22" s="47"/>
      <c r="B22" s="49"/>
      <c r="C22" s="25" t="s">
        <v>139</v>
      </c>
      <c r="D22" s="5" t="s">
        <v>141</v>
      </c>
      <c r="E22" s="30"/>
      <c r="F22" s="34"/>
      <c r="G22" s="6"/>
      <c r="H22" s="5"/>
      <c r="I22" s="34"/>
      <c r="J22" s="34"/>
      <c r="K22" s="34"/>
      <c r="L22" s="34"/>
      <c r="M22" s="34"/>
      <c r="N22" s="5"/>
      <c r="O22" s="6"/>
    </row>
    <row r="23" spans="1:15" x14ac:dyDescent="0.2">
      <c r="A23" s="47"/>
      <c r="B23" s="50"/>
      <c r="C23" s="25" t="s">
        <v>182</v>
      </c>
      <c r="D23" s="5" t="s">
        <v>146</v>
      </c>
      <c r="E23" s="30"/>
      <c r="F23" s="34"/>
      <c r="G23" s="32"/>
      <c r="H23" s="5"/>
      <c r="I23" s="34" t="s">
        <v>145</v>
      </c>
      <c r="J23" s="29" t="s">
        <v>18</v>
      </c>
      <c r="K23" s="34">
        <v>12</v>
      </c>
      <c r="L23" s="34">
        <v>2</v>
      </c>
      <c r="M23" s="34"/>
      <c r="N23" s="5"/>
      <c r="O23" s="32"/>
    </row>
    <row r="25" spans="1:15" ht="15.75" x14ac:dyDescent="0.25">
      <c r="B25" s="42" t="s">
        <v>73</v>
      </c>
      <c r="C25" t="s">
        <v>261</v>
      </c>
    </row>
    <row r="26" spans="1:15" x14ac:dyDescent="0.2">
      <c r="D26" t="s">
        <v>264</v>
      </c>
    </row>
    <row r="27" spans="1:15" x14ac:dyDescent="0.2">
      <c r="E27" t="s">
        <v>277</v>
      </c>
    </row>
    <row r="28" spans="1:15" x14ac:dyDescent="0.2">
      <c r="E28" t="s">
        <v>265</v>
      </c>
    </row>
    <row r="29" spans="1:15" x14ac:dyDescent="0.2">
      <c r="E29" t="s">
        <v>278</v>
      </c>
    </row>
    <row r="30" spans="1:15" x14ac:dyDescent="0.2">
      <c r="E30" t="s">
        <v>329</v>
      </c>
    </row>
    <row r="31" spans="1:15" x14ac:dyDescent="0.2">
      <c r="D31" t="s">
        <v>262</v>
      </c>
    </row>
    <row r="32" spans="1:15" x14ac:dyDescent="0.2">
      <c r="E32" t="s">
        <v>270</v>
      </c>
    </row>
    <row r="33" spans="3:5" x14ac:dyDescent="0.2">
      <c r="E33" t="s">
        <v>271</v>
      </c>
    </row>
    <row r="34" spans="3:5" x14ac:dyDescent="0.2">
      <c r="E34" t="s">
        <v>272</v>
      </c>
    </row>
    <row r="37" spans="3:5" x14ac:dyDescent="0.2">
      <c r="C37" t="s">
        <v>263</v>
      </c>
    </row>
    <row r="38" spans="3:5" x14ac:dyDescent="0.2">
      <c r="D38" t="s">
        <v>275</v>
      </c>
    </row>
    <row r="39" spans="3:5" x14ac:dyDescent="0.2">
      <c r="E39" t="s">
        <v>269</v>
      </c>
    </row>
    <row r="40" spans="3:5" x14ac:dyDescent="0.2">
      <c r="E40" t="s">
        <v>268</v>
      </c>
    </row>
    <row r="42" spans="3:5" x14ac:dyDescent="0.2">
      <c r="C42" t="s">
        <v>273</v>
      </c>
      <c r="D42" t="s">
        <v>344</v>
      </c>
    </row>
    <row r="43" spans="3:5" x14ac:dyDescent="0.2">
      <c r="E43" t="s">
        <v>274</v>
      </c>
    </row>
    <row r="44" spans="3:5" x14ac:dyDescent="0.2">
      <c r="E44" t="s">
        <v>267</v>
      </c>
    </row>
    <row r="45" spans="3:5" x14ac:dyDescent="0.2">
      <c r="E45" s="10" t="s">
        <v>276</v>
      </c>
    </row>
    <row r="52" spans="1:1" x14ac:dyDescent="0.2">
      <c r="A52" t="s">
        <v>136</v>
      </c>
    </row>
  </sheetData>
  <mergeCells count="10">
    <mergeCell ref="B17:B18"/>
    <mergeCell ref="A12:A23"/>
    <mergeCell ref="B20:B23"/>
    <mergeCell ref="A3:A5"/>
    <mergeCell ref="B6:B7"/>
    <mergeCell ref="A6:A7"/>
    <mergeCell ref="A8:A11"/>
    <mergeCell ref="B10:B11"/>
    <mergeCell ref="B8:B9"/>
    <mergeCell ref="B3:B5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978CF-A8CB-4433-995B-D4E419C15C6D}">
  <dimension ref="B3:Q103"/>
  <sheetViews>
    <sheetView workbookViewId="0">
      <selection activeCell="J35" sqref="J35"/>
    </sheetView>
  </sheetViews>
  <sheetFormatPr defaultRowHeight="14.25" x14ac:dyDescent="0.2"/>
  <cols>
    <col min="2" max="2" width="13.125" customWidth="1"/>
    <col min="3" max="3" width="13.25" customWidth="1"/>
    <col min="4" max="4" width="14" customWidth="1"/>
    <col min="5" max="5" width="10.25" customWidth="1"/>
    <col min="6" max="6" width="10.5" customWidth="1"/>
    <col min="8" max="8" width="10.875" customWidth="1"/>
    <col min="11" max="11" width="11.625" customWidth="1"/>
    <col min="16" max="16" width="11.375" customWidth="1"/>
  </cols>
  <sheetData>
    <row r="3" spans="2:11" x14ac:dyDescent="0.2">
      <c r="C3" s="10" t="s">
        <v>247</v>
      </c>
      <c r="D3" t="s">
        <v>208</v>
      </c>
    </row>
    <row r="4" spans="2:11" x14ac:dyDescent="0.2">
      <c r="D4" t="s">
        <v>209</v>
      </c>
    </row>
    <row r="5" spans="2:11" x14ac:dyDescent="0.2">
      <c r="D5" t="s">
        <v>210</v>
      </c>
    </row>
    <row r="6" spans="2:11" x14ac:dyDescent="0.2">
      <c r="D6" t="s">
        <v>288</v>
      </c>
    </row>
    <row r="8" spans="2:11" x14ac:dyDescent="0.2">
      <c r="C8" t="s">
        <v>211</v>
      </c>
      <c r="D8" t="s">
        <v>212</v>
      </c>
    </row>
    <row r="9" spans="2:11" x14ac:dyDescent="0.2">
      <c r="D9" t="s">
        <v>339</v>
      </c>
    </row>
    <row r="10" spans="2:11" x14ac:dyDescent="0.2">
      <c r="E10" t="s">
        <v>340</v>
      </c>
    </row>
    <row r="11" spans="2:11" x14ac:dyDescent="0.2">
      <c r="B11" s="14"/>
      <c r="C11" s="14"/>
      <c r="D11" s="14"/>
      <c r="E11" s="14"/>
      <c r="F11" s="14"/>
      <c r="G11" s="14"/>
      <c r="H11" s="14"/>
      <c r="I11" s="14"/>
      <c r="J11" s="14"/>
    </row>
    <row r="12" spans="2:11" x14ac:dyDescent="0.2">
      <c r="B12" s="14" t="s">
        <v>148</v>
      </c>
      <c r="C12" s="14"/>
      <c r="D12" s="14"/>
      <c r="E12" s="14" t="s">
        <v>151</v>
      </c>
      <c r="F12" s="14"/>
      <c r="G12" s="14"/>
      <c r="H12" s="20" t="s">
        <v>156</v>
      </c>
      <c r="I12" s="14"/>
      <c r="J12" s="14"/>
      <c r="K12" t="s">
        <v>205</v>
      </c>
    </row>
    <row r="13" spans="2:11" x14ac:dyDescent="0.2">
      <c r="B13" s="14" t="s">
        <v>149</v>
      </c>
      <c r="C13" s="14" t="s">
        <v>150</v>
      </c>
      <c r="D13" s="14"/>
      <c r="E13" s="14" t="s">
        <v>149</v>
      </c>
      <c r="F13" s="14" t="s">
        <v>163</v>
      </c>
      <c r="G13" s="14"/>
      <c r="H13" s="21" t="s">
        <v>185</v>
      </c>
      <c r="I13" s="14" t="s">
        <v>157</v>
      </c>
      <c r="J13" s="14"/>
    </row>
    <row r="14" spans="2:11" x14ac:dyDescent="0.2">
      <c r="B14" s="14">
        <v>6</v>
      </c>
      <c r="C14" s="14">
        <v>1</v>
      </c>
      <c r="D14" s="14"/>
      <c r="E14" s="14">
        <v>5</v>
      </c>
      <c r="F14" s="14" t="s">
        <v>155</v>
      </c>
      <c r="G14" s="14"/>
      <c r="H14" s="14">
        <v>30</v>
      </c>
      <c r="I14" s="14" t="s">
        <v>158</v>
      </c>
      <c r="J14" s="14"/>
      <c r="K14" t="s">
        <v>36</v>
      </c>
    </row>
    <row r="15" spans="2:11" x14ac:dyDescent="0.2">
      <c r="B15" s="14">
        <v>9</v>
      </c>
      <c r="C15" s="14">
        <v>1</v>
      </c>
      <c r="D15" s="14"/>
      <c r="E15" s="14">
        <v>15</v>
      </c>
      <c r="F15" s="14" t="s">
        <v>152</v>
      </c>
      <c r="G15" s="14"/>
      <c r="H15" s="14">
        <v>40</v>
      </c>
      <c r="I15" s="14" t="s">
        <v>159</v>
      </c>
      <c r="J15" s="14"/>
      <c r="K15" t="s">
        <v>186</v>
      </c>
    </row>
    <row r="16" spans="2:11" x14ac:dyDescent="0.2">
      <c r="B16" s="14">
        <v>13</v>
      </c>
      <c r="C16" s="14">
        <v>1</v>
      </c>
      <c r="D16" s="14"/>
      <c r="E16" s="14">
        <v>25</v>
      </c>
      <c r="F16" s="14" t="s">
        <v>184</v>
      </c>
      <c r="G16" s="14"/>
      <c r="H16" s="14">
        <v>50</v>
      </c>
      <c r="I16" s="14" t="s">
        <v>160</v>
      </c>
      <c r="J16" s="14"/>
      <c r="K16" t="s">
        <v>187</v>
      </c>
    </row>
    <row r="17" spans="2:17" x14ac:dyDescent="0.2">
      <c r="B17" s="14">
        <v>17</v>
      </c>
      <c r="C17" s="14">
        <v>1</v>
      </c>
      <c r="D17" s="14"/>
      <c r="E17" s="14">
        <v>30</v>
      </c>
      <c r="F17" s="14" t="s">
        <v>36</v>
      </c>
      <c r="G17" s="14"/>
      <c r="H17" s="14">
        <v>60</v>
      </c>
      <c r="I17" s="14" t="s">
        <v>161</v>
      </c>
      <c r="J17" s="14"/>
      <c r="K17" t="s">
        <v>137</v>
      </c>
    </row>
    <row r="18" spans="2:17" x14ac:dyDescent="0.2">
      <c r="B18" s="14">
        <v>22</v>
      </c>
      <c r="C18" s="14">
        <v>1</v>
      </c>
      <c r="D18" s="14"/>
      <c r="E18" s="14">
        <v>40</v>
      </c>
      <c r="F18" s="14" t="s">
        <v>154</v>
      </c>
      <c r="G18" s="14"/>
      <c r="H18" s="14">
        <v>75</v>
      </c>
      <c r="I18" s="14" t="s">
        <v>162</v>
      </c>
      <c r="J18" s="14"/>
      <c r="K18" t="s">
        <v>188</v>
      </c>
    </row>
    <row r="19" spans="2:17" x14ac:dyDescent="0.2">
      <c r="B19" s="14">
        <v>27</v>
      </c>
      <c r="C19" s="14">
        <v>1</v>
      </c>
      <c r="D19" s="14"/>
      <c r="E19" s="14">
        <v>60</v>
      </c>
      <c r="F19" s="14" t="s">
        <v>153</v>
      </c>
      <c r="G19" s="14"/>
      <c r="H19" s="14"/>
      <c r="I19" s="14"/>
      <c r="J19" s="14"/>
    </row>
    <row r="20" spans="2:17" x14ac:dyDescent="0.2">
      <c r="B20" s="14">
        <v>32</v>
      </c>
      <c r="C20" s="14">
        <v>1</v>
      </c>
      <c r="D20" s="14"/>
      <c r="E20" s="14"/>
      <c r="F20" s="14"/>
      <c r="G20" s="14"/>
      <c r="H20" s="14"/>
      <c r="I20" s="14"/>
      <c r="J20" s="14"/>
    </row>
    <row r="21" spans="2:17" x14ac:dyDescent="0.2">
      <c r="B21" s="14">
        <v>35</v>
      </c>
      <c r="C21" s="14">
        <v>1</v>
      </c>
      <c r="D21" s="14"/>
      <c r="E21" s="14"/>
      <c r="F21" s="14"/>
      <c r="G21" s="14"/>
      <c r="H21" s="14"/>
      <c r="I21" s="14"/>
      <c r="J21" s="14"/>
    </row>
    <row r="22" spans="2:17" x14ac:dyDescent="0.2">
      <c r="B22" s="14">
        <v>38</v>
      </c>
      <c r="C22" s="14">
        <v>1</v>
      </c>
      <c r="D22" s="14"/>
      <c r="E22" s="14"/>
      <c r="F22" s="14"/>
      <c r="G22" s="14"/>
      <c r="H22" s="14"/>
      <c r="I22" s="14"/>
      <c r="J22" s="14"/>
    </row>
    <row r="27" spans="2:17" x14ac:dyDescent="0.2">
      <c r="C27" s="14" t="s">
        <v>178</v>
      </c>
      <c r="D27" s="14"/>
      <c r="E27" s="14"/>
      <c r="F27" s="14" t="s">
        <v>179</v>
      </c>
      <c r="G27" s="14" t="s">
        <v>180</v>
      </c>
    </row>
    <row r="28" spans="2:17" x14ac:dyDescent="0.2">
      <c r="C28" s="14" t="s">
        <v>1</v>
      </c>
      <c r="D28" s="14" t="s">
        <v>183</v>
      </c>
      <c r="E28" s="14" t="s">
        <v>202</v>
      </c>
      <c r="F28" s="14" t="s">
        <v>374</v>
      </c>
      <c r="G28" s="14" t="s">
        <v>374</v>
      </c>
    </row>
    <row r="29" spans="2:17" x14ac:dyDescent="0.2">
      <c r="C29" s="14">
        <v>1</v>
      </c>
      <c r="D29" s="14">
        <v>0</v>
      </c>
      <c r="E29" s="14">
        <f>SUM($D$29:D29)</f>
        <v>0</v>
      </c>
      <c r="F29" s="14">
        <f>INT(E29/$Q$30)</f>
        <v>0</v>
      </c>
      <c r="G29" s="14">
        <f t="shared" ref="G29:G60" si="0">INT(E29/$Q$35)</f>
        <v>0</v>
      </c>
      <c r="K29" t="s">
        <v>190</v>
      </c>
      <c r="M29" t="s">
        <v>192</v>
      </c>
      <c r="N29" t="s">
        <v>193</v>
      </c>
      <c r="O29">
        <v>60</v>
      </c>
      <c r="P29" t="s">
        <v>200</v>
      </c>
      <c r="Q29">
        <f>SUM(O29:O31)</f>
        <v>132.6</v>
      </c>
    </row>
    <row r="30" spans="2:17" x14ac:dyDescent="0.2">
      <c r="C30" s="14">
        <v>2</v>
      </c>
      <c r="D30" s="14">
        <v>1</v>
      </c>
      <c r="E30" s="14">
        <f>SUM($D$29:D30)</f>
        <v>1</v>
      </c>
      <c r="F30" s="14">
        <f t="shared" ref="F30:F93" si="1">INT(E30/$Q$30)</f>
        <v>0</v>
      </c>
      <c r="G30" s="14">
        <f t="shared" si="0"/>
        <v>0</v>
      </c>
      <c r="M30" t="s">
        <v>194</v>
      </c>
      <c r="N30">
        <f>24*60/5/5</f>
        <v>57.6</v>
      </c>
      <c r="O30">
        <f>N30</f>
        <v>57.6</v>
      </c>
      <c r="P30" t="s">
        <v>201</v>
      </c>
      <c r="Q30">
        <f>Q29/5</f>
        <v>26.52</v>
      </c>
    </row>
    <row r="31" spans="2:17" x14ac:dyDescent="0.2">
      <c r="C31" s="14">
        <v>3</v>
      </c>
      <c r="D31" s="14">
        <v>1</v>
      </c>
      <c r="E31" s="14">
        <f>SUM($D$29:D31)</f>
        <v>2</v>
      </c>
      <c r="F31" s="14">
        <f t="shared" si="1"/>
        <v>0</v>
      </c>
      <c r="G31" s="14">
        <f t="shared" si="0"/>
        <v>0</v>
      </c>
      <c r="M31" t="s">
        <v>195</v>
      </c>
      <c r="N31" t="s">
        <v>196</v>
      </c>
      <c r="O31">
        <v>15</v>
      </c>
    </row>
    <row r="32" spans="2:17" x14ac:dyDescent="0.2">
      <c r="C32" s="14">
        <v>4</v>
      </c>
      <c r="D32" s="14">
        <v>2</v>
      </c>
      <c r="E32" s="14">
        <f>SUM($D$29:D32)</f>
        <v>4</v>
      </c>
      <c r="F32" s="14">
        <f t="shared" si="1"/>
        <v>0</v>
      </c>
      <c r="G32" s="14">
        <f t="shared" si="0"/>
        <v>0</v>
      </c>
    </row>
    <row r="33" spans="3:17" x14ac:dyDescent="0.2">
      <c r="C33" s="14">
        <v>5</v>
      </c>
      <c r="D33" s="14">
        <v>1</v>
      </c>
      <c r="E33" s="14">
        <f>SUM($D$29:D33)</f>
        <v>5</v>
      </c>
      <c r="F33" s="14">
        <f t="shared" si="1"/>
        <v>0</v>
      </c>
      <c r="G33" s="14">
        <f t="shared" si="0"/>
        <v>0</v>
      </c>
    </row>
    <row r="34" spans="3:17" x14ac:dyDescent="0.2">
      <c r="C34" s="14">
        <v>6</v>
      </c>
      <c r="D34" s="14">
        <v>2</v>
      </c>
      <c r="E34" s="14">
        <f>SUM($D$29:D34)</f>
        <v>7</v>
      </c>
      <c r="F34" s="14">
        <f t="shared" si="1"/>
        <v>0</v>
      </c>
      <c r="G34" s="14">
        <f t="shared" si="0"/>
        <v>0</v>
      </c>
      <c r="K34" t="s">
        <v>191</v>
      </c>
      <c r="M34" t="s">
        <v>117</v>
      </c>
      <c r="N34">
        <v>30</v>
      </c>
      <c r="O34">
        <v>30</v>
      </c>
      <c r="P34" t="s">
        <v>200</v>
      </c>
      <c r="Q34">
        <f>SUM(O29:O36)</f>
        <v>273.31428571428569</v>
      </c>
    </row>
    <row r="35" spans="3:17" x14ac:dyDescent="0.2">
      <c r="C35" s="14">
        <v>7</v>
      </c>
      <c r="D35" s="14">
        <v>3</v>
      </c>
      <c r="E35" s="14">
        <f>SUM($D$29:D35)</f>
        <v>10</v>
      </c>
      <c r="F35" s="14">
        <f t="shared" si="1"/>
        <v>0</v>
      </c>
      <c r="G35" s="14">
        <f t="shared" si="0"/>
        <v>0</v>
      </c>
      <c r="M35" t="s">
        <v>118</v>
      </c>
      <c r="N35" t="s">
        <v>197</v>
      </c>
      <c r="O35">
        <f>250/7</f>
        <v>35.714285714285715</v>
      </c>
      <c r="P35" t="s">
        <v>201</v>
      </c>
      <c r="Q35">
        <f>Q34/5</f>
        <v>54.662857142857135</v>
      </c>
    </row>
    <row r="36" spans="3:17" x14ac:dyDescent="0.2">
      <c r="C36" s="14">
        <v>8</v>
      </c>
      <c r="D36" s="14">
        <v>2</v>
      </c>
      <c r="E36" s="14">
        <f>SUM($D$29:D36)</f>
        <v>12</v>
      </c>
      <c r="F36" s="14">
        <f t="shared" si="1"/>
        <v>0</v>
      </c>
      <c r="G36" s="14">
        <f t="shared" si="0"/>
        <v>0</v>
      </c>
      <c r="M36" t="s">
        <v>198</v>
      </c>
      <c r="N36" t="s">
        <v>199</v>
      </c>
      <c r="O36">
        <v>75</v>
      </c>
    </row>
    <row r="37" spans="3:17" x14ac:dyDescent="0.2">
      <c r="C37" s="14">
        <v>9</v>
      </c>
      <c r="D37" s="14">
        <v>3</v>
      </c>
      <c r="E37" s="14">
        <f>SUM($D$29:D37)</f>
        <v>15</v>
      </c>
      <c r="F37" s="14">
        <f t="shared" si="1"/>
        <v>0</v>
      </c>
      <c r="G37" s="14">
        <f t="shared" si="0"/>
        <v>0</v>
      </c>
      <c r="M37" s="35" t="s">
        <v>203</v>
      </c>
    </row>
    <row r="38" spans="3:17" x14ac:dyDescent="0.2">
      <c r="C38" s="14">
        <v>10</v>
      </c>
      <c r="D38" s="14">
        <v>4</v>
      </c>
      <c r="E38" s="14">
        <f>SUM($D$29:D38)</f>
        <v>19</v>
      </c>
      <c r="F38" s="14">
        <f t="shared" si="1"/>
        <v>0</v>
      </c>
      <c r="G38" s="14">
        <f t="shared" si="0"/>
        <v>0</v>
      </c>
    </row>
    <row r="39" spans="3:17" x14ac:dyDescent="0.2">
      <c r="C39" s="14">
        <v>11</v>
      </c>
      <c r="D39" s="14">
        <v>3</v>
      </c>
      <c r="E39" s="14">
        <f>SUM($D$29:D39)</f>
        <v>22</v>
      </c>
      <c r="F39" s="14">
        <f t="shared" si="1"/>
        <v>0</v>
      </c>
      <c r="G39" s="14">
        <f t="shared" si="0"/>
        <v>0</v>
      </c>
    </row>
    <row r="40" spans="3:17" x14ac:dyDescent="0.2">
      <c r="C40" s="14">
        <v>12</v>
      </c>
      <c r="D40" s="14">
        <v>4</v>
      </c>
      <c r="E40" s="14">
        <f>SUM($D$29:D40)</f>
        <v>26</v>
      </c>
      <c r="F40" s="14">
        <f t="shared" si="1"/>
        <v>0</v>
      </c>
      <c r="G40" s="14">
        <f t="shared" si="0"/>
        <v>0</v>
      </c>
    </row>
    <row r="41" spans="3:17" x14ac:dyDescent="0.2">
      <c r="C41" s="14">
        <v>13</v>
      </c>
      <c r="D41" s="14">
        <v>5</v>
      </c>
      <c r="E41" s="14">
        <f>SUM($D$29:D41)</f>
        <v>31</v>
      </c>
      <c r="F41" s="14">
        <f t="shared" si="1"/>
        <v>1</v>
      </c>
      <c r="G41" s="14">
        <f t="shared" si="0"/>
        <v>0</v>
      </c>
      <c r="I41" s="10" t="s">
        <v>375</v>
      </c>
    </row>
    <row r="42" spans="3:17" x14ac:dyDescent="0.2">
      <c r="C42" s="14">
        <v>14</v>
      </c>
      <c r="D42" s="14">
        <v>4</v>
      </c>
      <c r="E42" s="14">
        <f>SUM($D$29:D42)</f>
        <v>35</v>
      </c>
      <c r="F42" s="14">
        <f t="shared" si="1"/>
        <v>1</v>
      </c>
      <c r="G42" s="14">
        <f t="shared" si="0"/>
        <v>0</v>
      </c>
    </row>
    <row r="43" spans="3:17" x14ac:dyDescent="0.2">
      <c r="C43" s="14">
        <v>15</v>
      </c>
      <c r="D43" s="14">
        <v>5</v>
      </c>
      <c r="E43" s="14">
        <f>SUM($D$29:D43)</f>
        <v>40</v>
      </c>
      <c r="F43" s="14">
        <f t="shared" si="1"/>
        <v>1</v>
      </c>
      <c r="G43" s="14">
        <f t="shared" si="0"/>
        <v>0</v>
      </c>
      <c r="I43" t="s">
        <v>181</v>
      </c>
      <c r="J43" t="s">
        <v>1</v>
      </c>
      <c r="K43" t="s">
        <v>204</v>
      </c>
    </row>
    <row r="44" spans="3:17" x14ac:dyDescent="0.2">
      <c r="C44" s="14">
        <v>16</v>
      </c>
      <c r="D44" s="14">
        <v>6</v>
      </c>
      <c r="E44" s="14">
        <f>SUM($D$29:D44)</f>
        <v>46</v>
      </c>
      <c r="F44" s="14">
        <f t="shared" si="1"/>
        <v>1</v>
      </c>
      <c r="G44" s="14">
        <f t="shared" si="0"/>
        <v>0</v>
      </c>
      <c r="I44">
        <v>0</v>
      </c>
      <c r="J44">
        <v>17</v>
      </c>
      <c r="K44" t="s">
        <v>206</v>
      </c>
    </row>
    <row r="45" spans="3:17" x14ac:dyDescent="0.2">
      <c r="C45" s="14">
        <v>17</v>
      </c>
      <c r="D45" s="14">
        <v>5</v>
      </c>
      <c r="E45" s="14">
        <f>SUM($D$29:D45)</f>
        <v>51</v>
      </c>
      <c r="F45" s="14">
        <f t="shared" si="1"/>
        <v>1</v>
      </c>
      <c r="G45" s="14">
        <f t="shared" si="0"/>
        <v>0</v>
      </c>
      <c r="I45">
        <v>1</v>
      </c>
      <c r="J45" s="36">
        <v>24</v>
      </c>
      <c r="K45" t="s">
        <v>207</v>
      </c>
    </row>
    <row r="46" spans="3:17" x14ac:dyDescent="0.2">
      <c r="C46" s="14">
        <v>18</v>
      </c>
      <c r="D46" s="14">
        <v>6</v>
      </c>
      <c r="E46" s="14">
        <f>SUM($D$29:D46)</f>
        <v>57</v>
      </c>
      <c r="F46" s="14">
        <f t="shared" si="1"/>
        <v>2</v>
      </c>
      <c r="G46" s="14">
        <f t="shared" si="0"/>
        <v>1</v>
      </c>
      <c r="I46">
        <v>2</v>
      </c>
      <c r="J46">
        <v>28</v>
      </c>
    </row>
    <row r="47" spans="3:17" x14ac:dyDescent="0.2">
      <c r="C47" s="14">
        <v>19</v>
      </c>
      <c r="D47" s="14">
        <v>7</v>
      </c>
      <c r="E47" s="14">
        <f>SUM($D$29:D47)</f>
        <v>64</v>
      </c>
      <c r="F47" s="14">
        <f t="shared" si="1"/>
        <v>2</v>
      </c>
      <c r="G47" s="14">
        <f t="shared" si="0"/>
        <v>1</v>
      </c>
      <c r="I47">
        <v>3</v>
      </c>
      <c r="J47" s="37">
        <v>32</v>
      </c>
      <c r="K47" s="14" t="s">
        <v>158</v>
      </c>
      <c r="L47" t="s">
        <v>36</v>
      </c>
    </row>
    <row r="48" spans="3:17" x14ac:dyDescent="0.2">
      <c r="C48" s="14">
        <v>20</v>
      </c>
      <c r="D48" s="14">
        <v>7</v>
      </c>
      <c r="E48" s="14">
        <f>SUM($D$29:D48)</f>
        <v>71</v>
      </c>
      <c r="F48" s="14">
        <f t="shared" si="1"/>
        <v>2</v>
      </c>
      <c r="G48" s="14">
        <f t="shared" si="0"/>
        <v>1</v>
      </c>
      <c r="I48">
        <v>4</v>
      </c>
      <c r="J48">
        <v>35</v>
      </c>
    </row>
    <row r="49" spans="3:12" x14ac:dyDescent="0.2">
      <c r="C49" s="14">
        <v>21</v>
      </c>
      <c r="D49" s="14">
        <v>8</v>
      </c>
      <c r="E49" s="14">
        <f>SUM($D$29:D49)</f>
        <v>79</v>
      </c>
      <c r="F49" s="14">
        <f t="shared" si="1"/>
        <v>2</v>
      </c>
      <c r="G49" s="14">
        <f t="shared" si="0"/>
        <v>1</v>
      </c>
      <c r="I49">
        <v>5</v>
      </c>
      <c r="J49">
        <v>37</v>
      </c>
    </row>
    <row r="50" spans="3:12" x14ac:dyDescent="0.2">
      <c r="C50" s="14">
        <v>22</v>
      </c>
      <c r="D50" s="14">
        <v>9</v>
      </c>
      <c r="E50" s="14">
        <f>SUM($D$29:D50)</f>
        <v>88</v>
      </c>
      <c r="F50" s="14">
        <f t="shared" si="1"/>
        <v>3</v>
      </c>
      <c r="G50" s="14">
        <f t="shared" si="0"/>
        <v>1</v>
      </c>
      <c r="I50">
        <v>6</v>
      </c>
      <c r="J50">
        <v>39</v>
      </c>
    </row>
    <row r="51" spans="3:12" x14ac:dyDescent="0.2">
      <c r="C51" s="14">
        <v>23</v>
      </c>
      <c r="D51" s="14">
        <v>9</v>
      </c>
      <c r="E51" s="14">
        <f>SUM($D$29:D51)</f>
        <v>97</v>
      </c>
      <c r="F51" s="14">
        <f t="shared" si="1"/>
        <v>3</v>
      </c>
      <c r="G51" s="14">
        <f t="shared" si="0"/>
        <v>1</v>
      </c>
      <c r="I51">
        <v>7</v>
      </c>
      <c r="J51" s="37">
        <v>41</v>
      </c>
      <c r="K51" s="14" t="s">
        <v>159</v>
      </c>
      <c r="L51" t="s">
        <v>186</v>
      </c>
    </row>
    <row r="52" spans="3:12" x14ac:dyDescent="0.2">
      <c r="C52" s="14">
        <v>24</v>
      </c>
      <c r="D52" s="14">
        <v>10</v>
      </c>
      <c r="E52" s="14">
        <f>SUM($D$29:D52)</f>
        <v>107</v>
      </c>
      <c r="F52" s="14">
        <f t="shared" si="1"/>
        <v>4</v>
      </c>
      <c r="G52" s="14">
        <f t="shared" si="0"/>
        <v>1</v>
      </c>
      <c r="I52">
        <v>8</v>
      </c>
      <c r="J52">
        <v>43</v>
      </c>
    </row>
    <row r="53" spans="3:12" x14ac:dyDescent="0.2">
      <c r="C53" s="14">
        <v>25</v>
      </c>
      <c r="D53" s="14">
        <v>11</v>
      </c>
      <c r="E53" s="14">
        <f>SUM($D$29:D53)</f>
        <v>118</v>
      </c>
      <c r="F53" s="14">
        <f t="shared" si="1"/>
        <v>4</v>
      </c>
      <c r="G53" s="14">
        <f t="shared" si="0"/>
        <v>2</v>
      </c>
      <c r="I53">
        <v>9</v>
      </c>
      <c r="J53">
        <v>45</v>
      </c>
    </row>
    <row r="54" spans="3:12" x14ac:dyDescent="0.2">
      <c r="C54" s="14">
        <v>26</v>
      </c>
      <c r="D54" s="14">
        <v>11</v>
      </c>
      <c r="E54" s="14">
        <f>SUM($D$29:D54)</f>
        <v>129</v>
      </c>
      <c r="F54" s="14">
        <f t="shared" si="1"/>
        <v>4</v>
      </c>
      <c r="G54" s="14">
        <f t="shared" si="0"/>
        <v>2</v>
      </c>
      <c r="I54">
        <v>10</v>
      </c>
      <c r="J54">
        <v>46</v>
      </c>
    </row>
    <row r="55" spans="3:12" x14ac:dyDescent="0.2">
      <c r="C55" s="14">
        <v>27</v>
      </c>
      <c r="D55" s="14">
        <v>12</v>
      </c>
      <c r="E55" s="14">
        <f>SUM($D$29:D55)</f>
        <v>141</v>
      </c>
      <c r="F55" s="14">
        <f t="shared" si="1"/>
        <v>5</v>
      </c>
      <c r="G55" s="14">
        <f t="shared" si="0"/>
        <v>2</v>
      </c>
      <c r="I55">
        <v>11</v>
      </c>
      <c r="J55">
        <v>47</v>
      </c>
    </row>
    <row r="56" spans="3:12" x14ac:dyDescent="0.2">
      <c r="C56" s="14">
        <v>28</v>
      </c>
      <c r="D56" s="14">
        <v>13</v>
      </c>
      <c r="E56" s="14">
        <f>SUM($D$29:D56)</f>
        <v>154</v>
      </c>
      <c r="F56" s="14">
        <f t="shared" si="1"/>
        <v>5</v>
      </c>
      <c r="G56" s="14">
        <f t="shared" si="0"/>
        <v>2</v>
      </c>
      <c r="I56">
        <v>12</v>
      </c>
      <c r="J56">
        <v>49</v>
      </c>
    </row>
    <row r="57" spans="3:12" x14ac:dyDescent="0.2">
      <c r="C57" s="14">
        <v>29</v>
      </c>
      <c r="D57" s="14">
        <v>13</v>
      </c>
      <c r="E57" s="14">
        <f>SUM($D$29:D57)</f>
        <v>167</v>
      </c>
      <c r="F57" s="14">
        <f t="shared" si="1"/>
        <v>6</v>
      </c>
      <c r="G57" s="14">
        <f t="shared" si="0"/>
        <v>3</v>
      </c>
      <c r="I57">
        <v>13</v>
      </c>
      <c r="J57" s="37">
        <v>51</v>
      </c>
      <c r="K57" s="14" t="s">
        <v>160</v>
      </c>
      <c r="L57" t="s">
        <v>187</v>
      </c>
    </row>
    <row r="58" spans="3:12" x14ac:dyDescent="0.2">
      <c r="C58" s="14">
        <v>30</v>
      </c>
      <c r="D58" s="14">
        <v>15</v>
      </c>
      <c r="E58" s="14">
        <f>SUM($D$29:D58)</f>
        <v>182</v>
      </c>
      <c r="F58" s="14">
        <f t="shared" si="1"/>
        <v>6</v>
      </c>
      <c r="G58" s="14">
        <f t="shared" si="0"/>
        <v>3</v>
      </c>
      <c r="I58">
        <v>14</v>
      </c>
      <c r="J58">
        <v>52</v>
      </c>
    </row>
    <row r="59" spans="3:12" x14ac:dyDescent="0.2">
      <c r="C59" s="14">
        <v>31</v>
      </c>
      <c r="D59" s="14">
        <v>15</v>
      </c>
      <c r="E59" s="14">
        <f>SUM($D$29:D59)</f>
        <v>197</v>
      </c>
      <c r="F59" s="14">
        <f t="shared" si="1"/>
        <v>7</v>
      </c>
      <c r="G59" s="14">
        <f t="shared" si="0"/>
        <v>3</v>
      </c>
      <c r="I59">
        <v>15</v>
      </c>
      <c r="J59">
        <v>53</v>
      </c>
    </row>
    <row r="60" spans="3:12" x14ac:dyDescent="0.2">
      <c r="C60" s="14">
        <v>32</v>
      </c>
      <c r="D60" s="14">
        <v>17</v>
      </c>
      <c r="E60" s="14">
        <f>SUM($D$29:D60)</f>
        <v>214</v>
      </c>
      <c r="F60" s="14">
        <f t="shared" si="1"/>
        <v>8</v>
      </c>
      <c r="G60" s="14">
        <f t="shared" si="0"/>
        <v>3</v>
      </c>
      <c r="I60">
        <v>16</v>
      </c>
      <c r="J60">
        <v>54</v>
      </c>
    </row>
    <row r="61" spans="3:12" x14ac:dyDescent="0.2">
      <c r="C61" s="14">
        <v>33</v>
      </c>
      <c r="D61" s="14">
        <v>17</v>
      </c>
      <c r="E61" s="14">
        <f>SUM($D$29:D61)</f>
        <v>231</v>
      </c>
      <c r="F61" s="14">
        <f t="shared" si="1"/>
        <v>8</v>
      </c>
      <c r="G61" s="14">
        <f t="shared" ref="G61:G88" si="2">INT(E61/$Q$35)</f>
        <v>4</v>
      </c>
      <c r="I61">
        <v>17</v>
      </c>
      <c r="J61">
        <v>55</v>
      </c>
    </row>
    <row r="62" spans="3:12" x14ac:dyDescent="0.2">
      <c r="C62" s="14">
        <v>34</v>
      </c>
      <c r="D62" s="14">
        <v>18</v>
      </c>
      <c r="E62" s="14">
        <f>SUM($D$29:D62)</f>
        <v>249</v>
      </c>
      <c r="F62" s="14">
        <f t="shared" si="1"/>
        <v>9</v>
      </c>
      <c r="G62" s="14">
        <f t="shared" si="2"/>
        <v>4</v>
      </c>
      <c r="I62">
        <v>18</v>
      </c>
      <c r="J62">
        <v>56</v>
      </c>
    </row>
    <row r="63" spans="3:12" x14ac:dyDescent="0.2">
      <c r="C63" s="14">
        <v>35</v>
      </c>
      <c r="D63" s="14">
        <v>20</v>
      </c>
      <c r="E63" s="14">
        <f>SUM($D$29:D63)</f>
        <v>269</v>
      </c>
      <c r="F63" s="14">
        <f t="shared" si="1"/>
        <v>10</v>
      </c>
      <c r="G63" s="14">
        <f t="shared" si="2"/>
        <v>4</v>
      </c>
      <c r="I63">
        <v>19</v>
      </c>
      <c r="J63">
        <v>58</v>
      </c>
    </row>
    <row r="64" spans="3:12" x14ac:dyDescent="0.2">
      <c r="C64" s="14">
        <v>36</v>
      </c>
      <c r="D64" s="14">
        <v>21</v>
      </c>
      <c r="E64" s="14">
        <f>SUM($D$29:D64)</f>
        <v>290</v>
      </c>
      <c r="F64" s="14">
        <f t="shared" si="1"/>
        <v>10</v>
      </c>
      <c r="G64" s="14">
        <f t="shared" si="2"/>
        <v>5</v>
      </c>
      <c r="I64">
        <v>20</v>
      </c>
      <c r="J64">
        <v>59</v>
      </c>
    </row>
    <row r="65" spans="3:12" x14ac:dyDescent="0.2">
      <c r="C65" s="14">
        <v>37</v>
      </c>
      <c r="D65" s="14">
        <v>22</v>
      </c>
      <c r="E65" s="14">
        <f>SUM($D$29:D65)</f>
        <v>312</v>
      </c>
      <c r="F65" s="14">
        <f t="shared" si="1"/>
        <v>11</v>
      </c>
      <c r="G65" s="14">
        <f t="shared" si="2"/>
        <v>5</v>
      </c>
      <c r="I65">
        <v>21</v>
      </c>
      <c r="J65" s="37">
        <v>60</v>
      </c>
      <c r="K65" s="14" t="s">
        <v>161</v>
      </c>
      <c r="L65" t="s">
        <v>137</v>
      </c>
    </row>
    <row r="66" spans="3:12" x14ac:dyDescent="0.2">
      <c r="C66" s="14">
        <v>38</v>
      </c>
      <c r="D66" s="14">
        <v>23</v>
      </c>
      <c r="E66" s="14">
        <f>SUM($D$29:D66)</f>
        <v>335</v>
      </c>
      <c r="F66" s="14">
        <f t="shared" si="1"/>
        <v>12</v>
      </c>
      <c r="G66" s="14">
        <f t="shared" si="2"/>
        <v>6</v>
      </c>
      <c r="I66">
        <v>22</v>
      </c>
      <c r="J66">
        <v>61</v>
      </c>
    </row>
    <row r="67" spans="3:12" x14ac:dyDescent="0.2">
      <c r="C67" s="14">
        <v>39</v>
      </c>
      <c r="D67" s="14">
        <v>24</v>
      </c>
      <c r="E67" s="14">
        <f>SUM($D$29:D67)</f>
        <v>359</v>
      </c>
      <c r="F67" s="14">
        <f t="shared" si="1"/>
        <v>13</v>
      </c>
      <c r="G67" s="14">
        <f t="shared" si="2"/>
        <v>6</v>
      </c>
      <c r="I67">
        <v>23</v>
      </c>
      <c r="J67">
        <v>62</v>
      </c>
    </row>
    <row r="68" spans="3:12" x14ac:dyDescent="0.2">
      <c r="C68" s="14">
        <v>40</v>
      </c>
      <c r="D68" s="14">
        <v>26</v>
      </c>
      <c r="E68" s="14">
        <f>SUM($D$29:D68)</f>
        <v>385</v>
      </c>
      <c r="F68" s="14">
        <f t="shared" si="1"/>
        <v>14</v>
      </c>
      <c r="G68" s="14">
        <f t="shared" si="2"/>
        <v>7</v>
      </c>
      <c r="I68">
        <v>24</v>
      </c>
      <c r="J68">
        <v>62</v>
      </c>
    </row>
    <row r="69" spans="3:12" x14ac:dyDescent="0.2">
      <c r="C69" s="14">
        <v>41</v>
      </c>
      <c r="D69" s="14">
        <v>26</v>
      </c>
      <c r="E69" s="14">
        <f>SUM($D$29:D69)</f>
        <v>411</v>
      </c>
      <c r="F69" s="14">
        <f t="shared" si="1"/>
        <v>15</v>
      </c>
      <c r="G69" s="14">
        <f t="shared" si="2"/>
        <v>7</v>
      </c>
      <c r="I69">
        <v>25</v>
      </c>
      <c r="J69">
        <v>63</v>
      </c>
    </row>
    <row r="70" spans="3:12" x14ac:dyDescent="0.2">
      <c r="C70" s="14">
        <v>42</v>
      </c>
      <c r="D70" s="14">
        <v>29</v>
      </c>
      <c r="E70" s="14">
        <f>SUM($D$29:D70)</f>
        <v>440</v>
      </c>
      <c r="F70" s="14">
        <f t="shared" si="1"/>
        <v>16</v>
      </c>
      <c r="G70" s="14">
        <f t="shared" si="2"/>
        <v>8</v>
      </c>
    </row>
    <row r="71" spans="3:12" x14ac:dyDescent="0.2">
      <c r="C71" s="14">
        <v>43</v>
      </c>
      <c r="D71" s="14">
        <v>29</v>
      </c>
      <c r="E71" s="14">
        <f>SUM($D$29:D71)</f>
        <v>469</v>
      </c>
      <c r="F71" s="14">
        <f t="shared" si="1"/>
        <v>17</v>
      </c>
      <c r="G71" s="14">
        <f t="shared" si="2"/>
        <v>8</v>
      </c>
    </row>
    <row r="72" spans="3:12" x14ac:dyDescent="0.2">
      <c r="C72" s="14">
        <v>44</v>
      </c>
      <c r="D72" s="14">
        <v>31</v>
      </c>
      <c r="E72" s="14">
        <f>SUM($D$29:D72)</f>
        <v>500</v>
      </c>
      <c r="F72" s="14">
        <f t="shared" si="1"/>
        <v>18</v>
      </c>
      <c r="G72" s="14">
        <f t="shared" si="2"/>
        <v>9</v>
      </c>
    </row>
    <row r="73" spans="3:12" x14ac:dyDescent="0.2">
      <c r="C73" s="14">
        <v>45</v>
      </c>
      <c r="D73" s="14">
        <v>33</v>
      </c>
      <c r="E73" s="14">
        <f>SUM($D$29:D73)</f>
        <v>533</v>
      </c>
      <c r="F73" s="14">
        <f t="shared" si="1"/>
        <v>20</v>
      </c>
      <c r="G73" s="14">
        <f t="shared" si="2"/>
        <v>9</v>
      </c>
    </row>
    <row r="74" spans="3:12" x14ac:dyDescent="0.2">
      <c r="C74" s="14">
        <v>46</v>
      </c>
      <c r="D74" s="14">
        <v>33</v>
      </c>
      <c r="E74" s="14">
        <f>SUM($D$29:D74)</f>
        <v>566</v>
      </c>
      <c r="F74" s="14">
        <f t="shared" si="1"/>
        <v>21</v>
      </c>
      <c r="G74" s="14">
        <f t="shared" si="2"/>
        <v>10</v>
      </c>
    </row>
    <row r="75" spans="3:12" x14ac:dyDescent="0.2">
      <c r="C75" s="14">
        <v>47</v>
      </c>
      <c r="D75" s="14">
        <v>36</v>
      </c>
      <c r="E75" s="14">
        <f>SUM($D$29:D75)</f>
        <v>602</v>
      </c>
      <c r="F75" s="14">
        <f t="shared" si="1"/>
        <v>22</v>
      </c>
      <c r="G75" s="14">
        <f t="shared" si="2"/>
        <v>11</v>
      </c>
    </row>
    <row r="76" spans="3:12" x14ac:dyDescent="0.2">
      <c r="C76" s="14">
        <v>48</v>
      </c>
      <c r="D76" s="14">
        <v>36</v>
      </c>
      <c r="E76" s="14">
        <f>SUM($D$29:D76)</f>
        <v>638</v>
      </c>
      <c r="F76" s="14">
        <f t="shared" si="1"/>
        <v>24</v>
      </c>
      <c r="G76" s="14">
        <f t="shared" si="2"/>
        <v>11</v>
      </c>
    </row>
    <row r="77" spans="3:12" x14ac:dyDescent="0.2">
      <c r="C77" s="14">
        <v>49</v>
      </c>
      <c r="D77" s="14">
        <v>39</v>
      </c>
      <c r="E77" s="14">
        <f>SUM($D$29:D77)</f>
        <v>677</v>
      </c>
      <c r="F77" s="14">
        <f t="shared" si="1"/>
        <v>25</v>
      </c>
      <c r="G77" s="14">
        <f t="shared" si="2"/>
        <v>12</v>
      </c>
    </row>
    <row r="78" spans="3:12" x14ac:dyDescent="0.2">
      <c r="C78" s="14">
        <v>50</v>
      </c>
      <c r="D78" s="14">
        <v>40</v>
      </c>
      <c r="E78" s="14">
        <f>SUM($D$29:D78)</f>
        <v>717</v>
      </c>
      <c r="F78" s="14">
        <f t="shared" si="1"/>
        <v>27</v>
      </c>
      <c r="G78" s="14">
        <f t="shared" si="2"/>
        <v>13</v>
      </c>
    </row>
    <row r="79" spans="3:12" x14ac:dyDescent="0.2">
      <c r="C79" s="14">
        <v>51</v>
      </c>
      <c r="D79" s="14">
        <v>39</v>
      </c>
      <c r="E79" s="14">
        <f>SUM($D$29:D79)</f>
        <v>756</v>
      </c>
      <c r="F79" s="14">
        <f t="shared" si="1"/>
        <v>28</v>
      </c>
      <c r="G79" s="14">
        <f t="shared" si="2"/>
        <v>13</v>
      </c>
    </row>
    <row r="80" spans="3:12" x14ac:dyDescent="0.2">
      <c r="C80" s="14">
        <v>52</v>
      </c>
      <c r="D80" s="14">
        <v>44</v>
      </c>
      <c r="E80" s="14">
        <f>SUM($D$29:D80)</f>
        <v>800</v>
      </c>
      <c r="F80" s="14">
        <f t="shared" si="1"/>
        <v>30</v>
      </c>
      <c r="G80" s="14">
        <f t="shared" si="2"/>
        <v>14</v>
      </c>
    </row>
    <row r="81" spans="3:7" x14ac:dyDescent="0.2">
      <c r="C81" s="14">
        <v>53</v>
      </c>
      <c r="D81" s="14">
        <v>44</v>
      </c>
      <c r="E81" s="14">
        <f>SUM($D$29:D81)</f>
        <v>844</v>
      </c>
      <c r="F81" s="14">
        <f t="shared" si="1"/>
        <v>31</v>
      </c>
      <c r="G81" s="14">
        <f t="shared" si="2"/>
        <v>15</v>
      </c>
    </row>
    <row r="82" spans="3:7" x14ac:dyDescent="0.2">
      <c r="C82" s="14">
        <v>54</v>
      </c>
      <c r="D82" s="14">
        <v>46</v>
      </c>
      <c r="E82" s="14">
        <f>SUM($D$29:D82)</f>
        <v>890</v>
      </c>
      <c r="F82" s="14">
        <f t="shared" si="1"/>
        <v>33</v>
      </c>
      <c r="G82" s="14">
        <f t="shared" si="2"/>
        <v>16</v>
      </c>
    </row>
    <row r="83" spans="3:7" x14ac:dyDescent="0.2">
      <c r="C83" s="14">
        <v>55</v>
      </c>
      <c r="D83" s="14">
        <v>49</v>
      </c>
      <c r="E83" s="14">
        <f>SUM($D$29:D83)</f>
        <v>939</v>
      </c>
      <c r="F83" s="14">
        <f t="shared" si="1"/>
        <v>35</v>
      </c>
      <c r="G83" s="14">
        <f t="shared" si="2"/>
        <v>17</v>
      </c>
    </row>
    <row r="84" spans="3:7" x14ac:dyDescent="0.2">
      <c r="C84" s="14">
        <v>56</v>
      </c>
      <c r="D84" s="14">
        <v>50</v>
      </c>
      <c r="E84" s="14">
        <f>SUM($D$29:D84)</f>
        <v>989</v>
      </c>
      <c r="F84" s="14">
        <f t="shared" si="1"/>
        <v>37</v>
      </c>
      <c r="G84" s="14">
        <f t="shared" si="2"/>
        <v>18</v>
      </c>
    </row>
    <row r="85" spans="3:7" x14ac:dyDescent="0.2">
      <c r="C85" s="14">
        <v>57</v>
      </c>
      <c r="D85" s="14">
        <v>51</v>
      </c>
      <c r="E85" s="14">
        <f>SUM($D$29:D85)</f>
        <v>1040</v>
      </c>
      <c r="F85" s="14">
        <f t="shared" si="1"/>
        <v>39</v>
      </c>
      <c r="G85" s="14">
        <f t="shared" si="2"/>
        <v>19</v>
      </c>
    </row>
    <row r="86" spans="3:7" x14ac:dyDescent="0.2">
      <c r="C86" s="14">
        <v>58</v>
      </c>
      <c r="D86" s="14">
        <v>52</v>
      </c>
      <c r="E86" s="14">
        <f>SUM($D$29:D86)</f>
        <v>1092</v>
      </c>
      <c r="F86" s="14">
        <f t="shared" si="1"/>
        <v>41</v>
      </c>
      <c r="G86" s="14">
        <f t="shared" si="2"/>
        <v>19</v>
      </c>
    </row>
    <row r="87" spans="3:7" x14ac:dyDescent="0.2">
      <c r="C87" s="14">
        <v>59</v>
      </c>
      <c r="D87" s="14">
        <v>53</v>
      </c>
      <c r="E87" s="14">
        <f>SUM($D$29:D87)</f>
        <v>1145</v>
      </c>
      <c r="F87" s="14">
        <f t="shared" si="1"/>
        <v>43</v>
      </c>
      <c r="G87" s="14">
        <f t="shared" si="2"/>
        <v>20</v>
      </c>
    </row>
    <row r="88" spans="3:7" x14ac:dyDescent="0.2">
      <c r="C88" s="14">
        <v>60</v>
      </c>
      <c r="D88" s="14">
        <v>54</v>
      </c>
      <c r="E88" s="14">
        <f>SUM($D$29:D88)</f>
        <v>1199</v>
      </c>
      <c r="F88" s="14">
        <f t="shared" si="1"/>
        <v>45</v>
      </c>
      <c r="G88" s="14">
        <f t="shared" si="2"/>
        <v>21</v>
      </c>
    </row>
    <row r="89" spans="3:7" x14ac:dyDescent="0.2">
      <c r="C89" s="14">
        <v>61</v>
      </c>
      <c r="D89" s="14">
        <v>55</v>
      </c>
      <c r="E89" s="14">
        <f>SUM($D$29:D89)</f>
        <v>1254</v>
      </c>
      <c r="F89" s="14">
        <f t="shared" si="1"/>
        <v>47</v>
      </c>
      <c r="G89" s="14">
        <f t="shared" ref="G89:G103" si="3">INT(E89/$Q$35)</f>
        <v>22</v>
      </c>
    </row>
    <row r="90" spans="3:7" x14ac:dyDescent="0.2">
      <c r="C90" s="14">
        <v>62</v>
      </c>
      <c r="D90" s="14">
        <v>56</v>
      </c>
      <c r="E90" s="14">
        <f>SUM($D$29:D90)</f>
        <v>1310</v>
      </c>
      <c r="F90" s="14">
        <f t="shared" si="1"/>
        <v>49</v>
      </c>
      <c r="G90" s="14">
        <f t="shared" si="3"/>
        <v>23</v>
      </c>
    </row>
    <row r="91" spans="3:7" x14ac:dyDescent="0.2">
      <c r="C91" s="14">
        <v>63</v>
      </c>
      <c r="D91" s="14">
        <v>57</v>
      </c>
      <c r="E91" s="14">
        <f>SUM($D$29:D91)</f>
        <v>1367</v>
      </c>
      <c r="F91" s="14">
        <f t="shared" si="1"/>
        <v>51</v>
      </c>
      <c r="G91" s="14">
        <f t="shared" si="3"/>
        <v>25</v>
      </c>
    </row>
    <row r="92" spans="3:7" x14ac:dyDescent="0.2">
      <c r="C92" s="14">
        <v>64</v>
      </c>
      <c r="D92" s="14">
        <v>58</v>
      </c>
      <c r="E92" s="14">
        <f>SUM($D$29:D92)</f>
        <v>1425</v>
      </c>
      <c r="F92" s="14">
        <f t="shared" si="1"/>
        <v>53</v>
      </c>
      <c r="G92" s="14">
        <f t="shared" si="3"/>
        <v>26</v>
      </c>
    </row>
    <row r="93" spans="3:7" x14ac:dyDescent="0.2">
      <c r="C93" s="14">
        <v>65</v>
      </c>
      <c r="D93" s="14">
        <v>59</v>
      </c>
      <c r="E93" s="14">
        <f>SUM($D$29:D93)</f>
        <v>1484</v>
      </c>
      <c r="F93" s="14">
        <f t="shared" si="1"/>
        <v>55</v>
      </c>
      <c r="G93" s="14">
        <f t="shared" si="3"/>
        <v>27</v>
      </c>
    </row>
    <row r="94" spans="3:7" x14ac:dyDescent="0.2">
      <c r="C94" s="14">
        <v>66</v>
      </c>
      <c r="D94" s="14">
        <v>60</v>
      </c>
      <c r="E94" s="14">
        <f>SUM($D$29:D94)</f>
        <v>1544</v>
      </c>
      <c r="F94" s="14">
        <f t="shared" ref="F94:F103" si="4">INT(E94/$Q$30)</f>
        <v>58</v>
      </c>
      <c r="G94" s="14">
        <f t="shared" si="3"/>
        <v>28</v>
      </c>
    </row>
    <row r="95" spans="3:7" x14ac:dyDescent="0.2">
      <c r="C95" s="14">
        <v>67</v>
      </c>
      <c r="D95" s="14">
        <v>61</v>
      </c>
      <c r="E95" s="14">
        <f>SUM($D$29:D95)</f>
        <v>1605</v>
      </c>
      <c r="F95" s="14">
        <f t="shared" si="4"/>
        <v>60</v>
      </c>
      <c r="G95" s="14">
        <f t="shared" si="3"/>
        <v>29</v>
      </c>
    </row>
    <row r="96" spans="3:7" x14ac:dyDescent="0.2">
      <c r="C96" s="14">
        <v>68</v>
      </c>
      <c r="D96" s="14">
        <v>62</v>
      </c>
      <c r="E96" s="14">
        <f>SUM($D$29:D96)</f>
        <v>1667</v>
      </c>
      <c r="F96" s="14">
        <f t="shared" si="4"/>
        <v>62</v>
      </c>
      <c r="G96" s="14">
        <f t="shared" si="3"/>
        <v>30</v>
      </c>
    </row>
    <row r="97" spans="3:7" x14ac:dyDescent="0.2">
      <c r="C97" s="14">
        <v>69</v>
      </c>
      <c r="D97" s="14">
        <v>63</v>
      </c>
      <c r="E97" s="14">
        <f>SUM($D$29:D97)</f>
        <v>1730</v>
      </c>
      <c r="F97" s="14">
        <f t="shared" si="4"/>
        <v>65</v>
      </c>
      <c r="G97" s="14">
        <f t="shared" si="3"/>
        <v>31</v>
      </c>
    </row>
    <row r="98" spans="3:7" x14ac:dyDescent="0.2">
      <c r="C98" s="14">
        <v>70</v>
      </c>
      <c r="D98" s="14">
        <v>64</v>
      </c>
      <c r="E98" s="14">
        <f>SUM($D$29:D98)</f>
        <v>1794</v>
      </c>
      <c r="F98" s="14">
        <f t="shared" si="4"/>
        <v>67</v>
      </c>
      <c r="G98" s="14">
        <f t="shared" si="3"/>
        <v>32</v>
      </c>
    </row>
    <row r="99" spans="3:7" x14ac:dyDescent="0.2">
      <c r="C99" s="14">
        <v>71</v>
      </c>
      <c r="D99" s="14">
        <v>65</v>
      </c>
      <c r="E99" s="14">
        <f>SUM($D$29:D99)</f>
        <v>1859</v>
      </c>
      <c r="F99" s="14">
        <f t="shared" si="4"/>
        <v>70</v>
      </c>
      <c r="G99" s="14">
        <f t="shared" si="3"/>
        <v>34</v>
      </c>
    </row>
    <row r="100" spans="3:7" x14ac:dyDescent="0.2">
      <c r="C100" s="14">
        <v>72</v>
      </c>
      <c r="D100" s="14">
        <v>66</v>
      </c>
      <c r="E100" s="14">
        <f>SUM($D$29:D100)</f>
        <v>1925</v>
      </c>
      <c r="F100" s="14">
        <f t="shared" si="4"/>
        <v>72</v>
      </c>
      <c r="G100" s="14">
        <f t="shared" si="3"/>
        <v>35</v>
      </c>
    </row>
    <row r="101" spans="3:7" x14ac:dyDescent="0.2">
      <c r="C101" s="14">
        <v>73</v>
      </c>
      <c r="D101" s="14">
        <v>67</v>
      </c>
      <c r="E101" s="14">
        <f>SUM($D$29:D101)</f>
        <v>1992</v>
      </c>
      <c r="F101" s="14">
        <f t="shared" si="4"/>
        <v>75</v>
      </c>
      <c r="G101" s="14">
        <f t="shared" si="3"/>
        <v>36</v>
      </c>
    </row>
    <row r="102" spans="3:7" x14ac:dyDescent="0.2">
      <c r="C102" s="14">
        <v>74</v>
      </c>
      <c r="D102" s="14">
        <v>68</v>
      </c>
      <c r="E102" s="14">
        <f>SUM($D$29:D102)</f>
        <v>2060</v>
      </c>
      <c r="F102" s="14">
        <f t="shared" si="4"/>
        <v>77</v>
      </c>
      <c r="G102" s="14">
        <f t="shared" si="3"/>
        <v>37</v>
      </c>
    </row>
    <row r="103" spans="3:7" x14ac:dyDescent="0.2">
      <c r="C103" s="14">
        <v>75</v>
      </c>
      <c r="D103" s="14">
        <v>69</v>
      </c>
      <c r="E103" s="14">
        <f>SUM($D$29:D103)</f>
        <v>2129</v>
      </c>
      <c r="F103" s="14">
        <f t="shared" si="4"/>
        <v>80</v>
      </c>
      <c r="G103" s="14">
        <f t="shared" si="3"/>
        <v>38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FF5F8-69A9-47A1-9570-84C664A6E4DD}">
  <dimension ref="B2:Q93"/>
  <sheetViews>
    <sheetView workbookViewId="0">
      <selection activeCell="E19" sqref="E19"/>
    </sheetView>
  </sheetViews>
  <sheetFormatPr defaultRowHeight="14.25" x14ac:dyDescent="0.2"/>
  <cols>
    <col min="1" max="1" width="12.375" customWidth="1"/>
    <col min="3" max="3" width="13.125" bestFit="1" customWidth="1"/>
    <col min="4" max="4" width="9.875" customWidth="1"/>
    <col min="9" max="9" width="9.5" customWidth="1"/>
    <col min="10" max="10" width="10.875" customWidth="1"/>
    <col min="11" max="11" width="9.875" customWidth="1"/>
    <col min="16" max="16" width="11.125" customWidth="1"/>
    <col min="17" max="17" width="10.125" customWidth="1"/>
  </cols>
  <sheetData>
    <row r="2" spans="2:4" s="12" customFormat="1" ht="30" x14ac:dyDescent="0.4">
      <c r="B2" s="11" t="s">
        <v>73</v>
      </c>
    </row>
    <row r="4" spans="2:4" x14ac:dyDescent="0.2">
      <c r="B4" s="10" t="s">
        <v>223</v>
      </c>
      <c r="C4" t="s">
        <v>243</v>
      </c>
    </row>
    <row r="5" spans="2:4" x14ac:dyDescent="0.2">
      <c r="B5" s="10"/>
      <c r="C5" t="s">
        <v>244</v>
      </c>
    </row>
    <row r="6" spans="2:4" x14ac:dyDescent="0.2">
      <c r="C6" t="s">
        <v>253</v>
      </c>
    </row>
    <row r="8" spans="2:4" x14ac:dyDescent="0.2">
      <c r="B8" s="10" t="s">
        <v>245</v>
      </c>
      <c r="C8" t="s">
        <v>326</v>
      </c>
    </row>
    <row r="9" spans="2:4" x14ac:dyDescent="0.2">
      <c r="D9" t="s">
        <v>246</v>
      </c>
    </row>
    <row r="10" spans="2:4" x14ac:dyDescent="0.2">
      <c r="C10" t="s">
        <v>257</v>
      </c>
    </row>
    <row r="11" spans="2:4" x14ac:dyDescent="0.2">
      <c r="D11" t="s">
        <v>249</v>
      </c>
    </row>
    <row r="12" spans="2:4" x14ac:dyDescent="0.2">
      <c r="C12" t="s">
        <v>252</v>
      </c>
    </row>
    <row r="13" spans="2:4" x14ac:dyDescent="0.2">
      <c r="D13" t="s">
        <v>250</v>
      </c>
    </row>
    <row r="14" spans="2:4" x14ac:dyDescent="0.2">
      <c r="D14" t="s">
        <v>251</v>
      </c>
    </row>
    <row r="19" spans="2:11" s="12" customFormat="1" ht="30" x14ac:dyDescent="0.4">
      <c r="B19" s="11" t="s">
        <v>81</v>
      </c>
    </row>
    <row r="22" spans="2:11" x14ac:dyDescent="0.2">
      <c r="B22" s="13" t="s">
        <v>74</v>
      </c>
      <c r="C22" s="13"/>
      <c r="D22" s="13"/>
      <c r="G22" s="13" t="s">
        <v>79</v>
      </c>
      <c r="H22" s="13"/>
      <c r="I22" s="13"/>
      <c r="J22" s="13"/>
      <c r="K22" s="13"/>
    </row>
    <row r="23" spans="2:11" x14ac:dyDescent="0.2">
      <c r="B23" s="13" t="s">
        <v>75</v>
      </c>
      <c r="C23" s="13" t="s">
        <v>76</v>
      </c>
      <c r="D23" s="13" t="s">
        <v>20</v>
      </c>
      <c r="G23" s="13" t="s">
        <v>77</v>
      </c>
      <c r="H23" s="13" t="s">
        <v>78</v>
      </c>
      <c r="I23" s="13" t="s">
        <v>76</v>
      </c>
      <c r="J23" s="13" t="s">
        <v>80</v>
      </c>
      <c r="K23" s="13" t="s">
        <v>129</v>
      </c>
    </row>
    <row r="24" spans="2:11" x14ac:dyDescent="0.2">
      <c r="B24" t="s">
        <v>77</v>
      </c>
      <c r="C24">
        <v>648</v>
      </c>
      <c r="D24">
        <v>1</v>
      </c>
      <c r="G24">
        <v>6</v>
      </c>
      <c r="H24">
        <v>60</v>
      </c>
      <c r="I24">
        <f>H24/G24/($H$24/$G$24)</f>
        <v>1</v>
      </c>
      <c r="J24">
        <v>60</v>
      </c>
      <c r="K24" s="38">
        <f>(J24+H24)/G24/$D$26</f>
        <v>2</v>
      </c>
    </row>
    <row r="25" spans="2:11" x14ac:dyDescent="0.2">
      <c r="B25" t="s">
        <v>78</v>
      </c>
      <c r="C25">
        <v>7780</v>
      </c>
      <c r="D25" s="39">
        <f>C25/C24</f>
        <v>12.006172839506172</v>
      </c>
      <c r="G25">
        <v>30</v>
      </c>
      <c r="H25">
        <v>330</v>
      </c>
      <c r="I25">
        <f t="shared" ref="I25:I29" si="0">H25/G25/($H$24/$G$24)</f>
        <v>1.1000000000000001</v>
      </c>
      <c r="J25">
        <v>270</v>
      </c>
      <c r="K25" s="38">
        <f t="shared" ref="K25:K29" si="1">(J25+H25)/G25/$D$26</f>
        <v>2</v>
      </c>
    </row>
    <row r="26" spans="2:11" x14ac:dyDescent="0.2">
      <c r="D26">
        <v>10</v>
      </c>
      <c r="G26">
        <v>68</v>
      </c>
      <c r="H26">
        <v>750</v>
      </c>
      <c r="I26">
        <f t="shared" si="0"/>
        <v>1.1029411764705883</v>
      </c>
      <c r="J26">
        <v>610</v>
      </c>
      <c r="K26" s="38">
        <f t="shared" si="1"/>
        <v>2</v>
      </c>
    </row>
    <row r="27" spans="2:11" x14ac:dyDescent="0.2">
      <c r="G27">
        <v>128</v>
      </c>
      <c r="H27">
        <v>1480</v>
      </c>
      <c r="I27">
        <f t="shared" si="0"/>
        <v>1.15625</v>
      </c>
      <c r="J27">
        <v>1080</v>
      </c>
      <c r="K27" s="38">
        <f t="shared" si="1"/>
        <v>2</v>
      </c>
    </row>
    <row r="28" spans="2:11" x14ac:dyDescent="0.2">
      <c r="G28">
        <v>328</v>
      </c>
      <c r="H28">
        <v>3780</v>
      </c>
      <c r="I28">
        <f t="shared" si="0"/>
        <v>1.1524390243902438</v>
      </c>
      <c r="J28">
        <v>2780</v>
      </c>
      <c r="K28" s="38">
        <f t="shared" si="1"/>
        <v>2</v>
      </c>
    </row>
    <row r="29" spans="2:11" x14ac:dyDescent="0.2">
      <c r="G29">
        <v>648</v>
      </c>
      <c r="H29">
        <v>7780</v>
      </c>
      <c r="I29">
        <f t="shared" si="0"/>
        <v>1.2006172839506173</v>
      </c>
      <c r="J29">
        <v>5180</v>
      </c>
      <c r="K29" s="38">
        <f t="shared" si="1"/>
        <v>2</v>
      </c>
    </row>
    <row r="35" spans="2:13" x14ac:dyDescent="0.2">
      <c r="B35" s="13" t="s">
        <v>81</v>
      </c>
      <c r="C35" s="13" t="s">
        <v>94</v>
      </c>
      <c r="D35" s="13"/>
      <c r="E35" s="13"/>
      <c r="F35" s="13"/>
      <c r="J35" s="15" t="s">
        <v>96</v>
      </c>
      <c r="K35" s="15"/>
      <c r="L35" s="15"/>
      <c r="M35" s="15"/>
    </row>
    <row r="36" spans="2:13" x14ac:dyDescent="0.2">
      <c r="B36" s="13" t="s">
        <v>82</v>
      </c>
      <c r="C36" s="15" t="s">
        <v>77</v>
      </c>
      <c r="D36" s="15" t="s">
        <v>78</v>
      </c>
      <c r="E36" s="13"/>
      <c r="F36" s="13" t="s">
        <v>2</v>
      </c>
      <c r="J36" s="15" t="s">
        <v>97</v>
      </c>
      <c r="K36" s="15" t="s">
        <v>98</v>
      </c>
      <c r="L36" s="15" t="s">
        <v>99</v>
      </c>
      <c r="M36" s="15" t="s">
        <v>100</v>
      </c>
    </row>
    <row r="37" spans="2:13" x14ac:dyDescent="0.2">
      <c r="B37" s="21" t="s">
        <v>83</v>
      </c>
      <c r="C37" s="22">
        <f>D37/$D$25</f>
        <v>8.3290488431876607E-3</v>
      </c>
      <c r="D37" s="14">
        <v>0.1</v>
      </c>
      <c r="J37" s="14" t="s">
        <v>101</v>
      </c>
      <c r="K37" s="17">
        <v>0.6</v>
      </c>
      <c r="L37">
        <f>_xlfn.XLOOKUP(J37,$B$50:$B$55,$D$50:$D$55)</f>
        <v>10</v>
      </c>
      <c r="M37">
        <f>K37*L37</f>
        <v>6</v>
      </c>
    </row>
    <row r="38" spans="2:13" x14ac:dyDescent="0.2">
      <c r="B38" s="21" t="s">
        <v>84</v>
      </c>
      <c r="C38" s="22">
        <f t="shared" ref="C38:C54" si="2">D38/$D$25</f>
        <v>8.3290488431876614E-2</v>
      </c>
      <c r="D38" s="14">
        <v>1</v>
      </c>
      <c r="J38" s="14" t="s">
        <v>102</v>
      </c>
      <c r="K38" s="17">
        <v>0.3</v>
      </c>
      <c r="L38">
        <f>_xlfn.XLOOKUP(J38,$B$50:$B$55,$D$50:$D$55)</f>
        <v>50</v>
      </c>
      <c r="M38">
        <f t="shared" ref="M38:M41" si="3">K38*L38</f>
        <v>15</v>
      </c>
    </row>
    <row r="39" spans="2:13" x14ac:dyDescent="0.2">
      <c r="B39" s="21" t="s">
        <v>85</v>
      </c>
      <c r="C39" s="22">
        <f t="shared" si="2"/>
        <v>2.4987146529562985</v>
      </c>
      <c r="D39" s="14">
        <v>30</v>
      </c>
      <c r="J39" s="14" t="s">
        <v>103</v>
      </c>
      <c r="K39" s="18">
        <v>9.8500000000000004E-2</v>
      </c>
      <c r="L39">
        <f>_xlfn.XLOOKUP(J39,$B$50:$B$55,$D$50:$D$55)</f>
        <v>250</v>
      </c>
      <c r="M39">
        <f t="shared" si="3"/>
        <v>24.625</v>
      </c>
    </row>
    <row r="40" spans="2:13" x14ac:dyDescent="0.2">
      <c r="B40" s="21" t="s">
        <v>86</v>
      </c>
      <c r="C40" s="22">
        <f t="shared" si="2"/>
        <v>0.83290488431876608</v>
      </c>
      <c r="D40" s="14">
        <v>10</v>
      </c>
      <c r="J40" s="14" t="s">
        <v>104</v>
      </c>
      <c r="K40" s="18">
        <v>1E-3</v>
      </c>
      <c r="L40">
        <f>_xlfn.XLOOKUP(J40,$B$50:$B$55,$D$50:$D$55)</f>
        <v>1250</v>
      </c>
      <c r="M40">
        <f t="shared" si="3"/>
        <v>1.25</v>
      </c>
    </row>
    <row r="41" spans="2:13" x14ac:dyDescent="0.2">
      <c r="B41" s="21" t="s">
        <v>27</v>
      </c>
      <c r="C41" s="22">
        <f t="shared" si="2"/>
        <v>0.83290488431876608</v>
      </c>
      <c r="D41" s="14">
        <f>90/30/3*10</f>
        <v>10</v>
      </c>
      <c r="F41" s="20" t="s">
        <v>114</v>
      </c>
      <c r="J41" s="14" t="s">
        <v>105</v>
      </c>
      <c r="K41" s="18">
        <v>5.0000000000000001E-4</v>
      </c>
      <c r="L41">
        <f>_xlfn.XLOOKUP(J41,$B$50:$B$55,$D$50:$D$55)</f>
        <v>6250</v>
      </c>
      <c r="M41">
        <f t="shared" si="3"/>
        <v>3.125</v>
      </c>
    </row>
    <row r="42" spans="2:13" x14ac:dyDescent="0.2">
      <c r="B42" s="21" t="s">
        <v>87</v>
      </c>
      <c r="C42" s="22">
        <f t="shared" si="2"/>
        <v>0.83290488431876608</v>
      </c>
      <c r="D42" s="14">
        <v>10</v>
      </c>
      <c r="K42" s="17">
        <f>SUM(K37:K41)</f>
        <v>0.99999999999999989</v>
      </c>
      <c r="L42" s="14"/>
      <c r="M42" s="19">
        <f>SUM(M37:M41)</f>
        <v>50</v>
      </c>
    </row>
    <row r="43" spans="2:13" x14ac:dyDescent="0.2">
      <c r="B43" s="21" t="s">
        <v>88</v>
      </c>
      <c r="C43" s="22">
        <f>D43/$D$25</f>
        <v>2.4987146529562985</v>
      </c>
      <c r="D43" s="14">
        <v>30</v>
      </c>
    </row>
    <row r="44" spans="2:13" x14ac:dyDescent="0.2">
      <c r="B44" s="21" t="s">
        <v>89</v>
      </c>
      <c r="C44" s="22">
        <f t="shared" si="2"/>
        <v>8.3290488431876614E-2</v>
      </c>
      <c r="D44" s="14">
        <v>1</v>
      </c>
      <c r="L44" t="s">
        <v>106</v>
      </c>
      <c r="M44">
        <v>50</v>
      </c>
    </row>
    <row r="45" spans="2:13" x14ac:dyDescent="0.2">
      <c r="B45" s="21" t="s">
        <v>90</v>
      </c>
      <c r="C45" s="22">
        <f t="shared" si="2"/>
        <v>0.83290488431876608</v>
      </c>
      <c r="D45" s="14">
        <v>10</v>
      </c>
    </row>
    <row r="46" spans="2:13" x14ac:dyDescent="0.2">
      <c r="B46" s="21" t="s">
        <v>92</v>
      </c>
      <c r="C46" s="23">
        <f t="shared" si="2"/>
        <v>2.0822622107969151</v>
      </c>
      <c r="D46" s="14">
        <f>300/12</f>
        <v>25</v>
      </c>
      <c r="F46" t="s">
        <v>115</v>
      </c>
    </row>
    <row r="47" spans="2:13" x14ac:dyDescent="0.2">
      <c r="B47" s="21" t="s">
        <v>91</v>
      </c>
      <c r="C47" s="22">
        <f t="shared" si="2"/>
        <v>20.822622107969153</v>
      </c>
      <c r="D47" s="14">
        <v>250</v>
      </c>
      <c r="J47" s="15" t="s">
        <v>107</v>
      </c>
      <c r="K47" s="15"/>
      <c r="L47" s="15"/>
      <c r="M47" s="15"/>
    </row>
    <row r="48" spans="2:13" x14ac:dyDescent="0.2">
      <c r="B48" s="21" t="s">
        <v>93</v>
      </c>
      <c r="C48" s="22">
        <f t="shared" si="2"/>
        <v>4.1645244215938302</v>
      </c>
      <c r="D48" s="14">
        <v>50</v>
      </c>
      <c r="J48" s="15" t="s">
        <v>97</v>
      </c>
      <c r="K48" s="15" t="s">
        <v>98</v>
      </c>
      <c r="L48" s="15" t="s">
        <v>99</v>
      </c>
      <c r="M48" s="15" t="s">
        <v>100</v>
      </c>
    </row>
    <row r="49" spans="2:17" x14ac:dyDescent="0.2">
      <c r="B49" s="21" t="s">
        <v>0</v>
      </c>
      <c r="C49" s="22">
        <f t="shared" si="2"/>
        <v>0.33316195372750645</v>
      </c>
      <c r="D49" s="14">
        <v>4</v>
      </c>
      <c r="F49" t="s">
        <v>95</v>
      </c>
      <c r="J49" s="14"/>
    </row>
    <row r="50" spans="2:17" x14ac:dyDescent="0.2">
      <c r="B50" s="21" t="s">
        <v>101</v>
      </c>
      <c r="C50" s="22">
        <f t="shared" si="2"/>
        <v>0.83290488431876608</v>
      </c>
      <c r="D50" s="14">
        <v>10</v>
      </c>
      <c r="F50" s="10" t="s">
        <v>116</v>
      </c>
      <c r="J50" s="14" t="s">
        <v>102</v>
      </c>
      <c r="K50" s="17">
        <v>0.6</v>
      </c>
      <c r="L50">
        <f>_xlfn.XLOOKUP(J50,$B$50:$B$55,$D$50:$D$55)</f>
        <v>50</v>
      </c>
      <c r="M50">
        <f>K50*L50</f>
        <v>30</v>
      </c>
    </row>
    <row r="51" spans="2:17" x14ac:dyDescent="0.2">
      <c r="B51" s="21" t="s">
        <v>102</v>
      </c>
      <c r="C51" s="22">
        <f t="shared" si="2"/>
        <v>4.1645244215938302</v>
      </c>
      <c r="D51" s="14">
        <f>D50*5</f>
        <v>50</v>
      </c>
      <c r="J51" s="14" t="s">
        <v>103</v>
      </c>
      <c r="K51" s="17">
        <v>0.3</v>
      </c>
      <c r="L51">
        <f>_xlfn.XLOOKUP(J51,$B$50:$B$55,$D$50:$D$55)</f>
        <v>250</v>
      </c>
      <c r="M51">
        <f t="shared" ref="M51:M54" si="4">K51*L51</f>
        <v>75</v>
      </c>
    </row>
    <row r="52" spans="2:17" x14ac:dyDescent="0.2">
      <c r="B52" s="21" t="s">
        <v>103</v>
      </c>
      <c r="C52" s="22">
        <f t="shared" si="2"/>
        <v>20.822622107969153</v>
      </c>
      <c r="D52" s="14">
        <f t="shared" ref="D52:D56" si="5">D51*5</f>
        <v>250</v>
      </c>
      <c r="J52" s="14" t="s">
        <v>104</v>
      </c>
      <c r="K52" s="18">
        <v>8.5000000000000006E-2</v>
      </c>
      <c r="L52">
        <f>_xlfn.XLOOKUP(J52,$B$50:$B$55,$D$50:$D$55)</f>
        <v>1250</v>
      </c>
      <c r="M52">
        <f t="shared" si="4"/>
        <v>106.25000000000001</v>
      </c>
      <c r="P52" t="s">
        <v>218</v>
      </c>
      <c r="Q52" t="s">
        <v>217</v>
      </c>
    </row>
    <row r="53" spans="2:17" x14ac:dyDescent="0.2">
      <c r="B53" s="21" t="s">
        <v>104</v>
      </c>
      <c r="C53" s="22">
        <f t="shared" si="2"/>
        <v>104.11311053984576</v>
      </c>
      <c r="D53" s="14">
        <f t="shared" si="5"/>
        <v>1250</v>
      </c>
      <c r="J53" s="14" t="s">
        <v>105</v>
      </c>
      <c r="K53" s="18">
        <v>7.7999999999999996E-3</v>
      </c>
      <c r="L53">
        <f>_xlfn.XLOOKUP(J53,$B$50:$B$55,$D$50:$D$55)</f>
        <v>6250</v>
      </c>
      <c r="M53">
        <f t="shared" si="4"/>
        <v>48.75</v>
      </c>
      <c r="P53" t="s">
        <v>214</v>
      </c>
      <c r="Q53">
        <v>2</v>
      </c>
    </row>
    <row r="54" spans="2:17" x14ac:dyDescent="0.2">
      <c r="B54" s="21" t="s">
        <v>105</v>
      </c>
      <c r="C54" s="22">
        <f t="shared" si="2"/>
        <v>520.56555269922876</v>
      </c>
      <c r="D54" s="14">
        <f t="shared" si="5"/>
        <v>6250</v>
      </c>
      <c r="J54" s="14" t="s">
        <v>108</v>
      </c>
      <c r="K54" s="16">
        <v>8.0000000000000004E-4</v>
      </c>
      <c r="L54">
        <f>_xlfn.XLOOKUP(J54,$B$50:$B$55,$D$50:$D$55)</f>
        <v>31250</v>
      </c>
      <c r="M54">
        <f t="shared" si="4"/>
        <v>25</v>
      </c>
      <c r="P54" t="s">
        <v>215</v>
      </c>
      <c r="Q54">
        <v>30</v>
      </c>
    </row>
    <row r="55" spans="2:17" x14ac:dyDescent="0.2">
      <c r="B55" s="21" t="s">
        <v>108</v>
      </c>
      <c r="C55" s="23">
        <f>D55/$D$25</f>
        <v>2602.8277634961441</v>
      </c>
      <c r="D55" s="14">
        <f t="shared" si="5"/>
        <v>31250</v>
      </c>
      <c r="J55" s="14" t="s">
        <v>109</v>
      </c>
      <c r="K55" s="16">
        <v>2.0000000000000001E-4</v>
      </c>
      <c r="L55">
        <f>_xlfn.XLOOKUP(J55,$B$50:$B$56,$D$50:$D$56)</f>
        <v>156250</v>
      </c>
      <c r="M55">
        <f t="shared" ref="M55" si="6">K55*L55</f>
        <v>31.25</v>
      </c>
      <c r="P55" t="s">
        <v>216</v>
      </c>
      <c r="Q55">
        <v>50</v>
      </c>
    </row>
    <row r="56" spans="2:17" x14ac:dyDescent="0.2">
      <c r="B56" s="14" t="s">
        <v>109</v>
      </c>
      <c r="C56" s="22">
        <f>D56/$D$25</f>
        <v>13014.13881748072</v>
      </c>
      <c r="D56" s="14">
        <f t="shared" si="5"/>
        <v>156250</v>
      </c>
      <c r="J56" s="14" t="s">
        <v>110</v>
      </c>
      <c r="K56" s="16">
        <v>4.0000000000000001E-3</v>
      </c>
      <c r="P56" t="s">
        <v>219</v>
      </c>
      <c r="Q56">
        <v>16</v>
      </c>
    </row>
    <row r="57" spans="2:17" x14ac:dyDescent="0.2">
      <c r="J57" s="14" t="s">
        <v>111</v>
      </c>
      <c r="K57" s="16">
        <v>4.0000000000000002E-4</v>
      </c>
      <c r="P57" t="s">
        <v>186</v>
      </c>
      <c r="Q57">
        <v>13</v>
      </c>
    </row>
    <row r="58" spans="2:17" x14ac:dyDescent="0.2">
      <c r="J58" s="14" t="s">
        <v>112</v>
      </c>
      <c r="K58" s="16">
        <v>1.6000000000000001E-3</v>
      </c>
      <c r="P58" t="s">
        <v>220</v>
      </c>
      <c r="Q58">
        <v>20</v>
      </c>
    </row>
    <row r="59" spans="2:17" x14ac:dyDescent="0.2">
      <c r="J59" s="14" t="s">
        <v>113</v>
      </c>
      <c r="K59" s="16">
        <v>2.0000000000000001E-4</v>
      </c>
      <c r="P59" t="s">
        <v>221</v>
      </c>
      <c r="Q59">
        <v>0.5</v>
      </c>
    </row>
    <row r="60" spans="2:17" x14ac:dyDescent="0.2">
      <c r="K60" s="17">
        <f>SUM(K50:K59)</f>
        <v>0.99999999999999989</v>
      </c>
      <c r="M60" s="19">
        <f>SUM(M50:M59)</f>
        <v>316.25</v>
      </c>
      <c r="P60" t="s">
        <v>222</v>
      </c>
      <c r="Q60">
        <v>0.1</v>
      </c>
    </row>
    <row r="61" spans="2:17" x14ac:dyDescent="0.2">
      <c r="K61" t="s">
        <v>248</v>
      </c>
    </row>
    <row r="62" spans="2:17" x14ac:dyDescent="0.2">
      <c r="L62" t="s">
        <v>106</v>
      </c>
      <c r="M62">
        <v>250</v>
      </c>
    </row>
    <row r="65" spans="2:16" s="12" customFormat="1" ht="30" x14ac:dyDescent="0.4">
      <c r="B65" s="11" t="s">
        <v>223</v>
      </c>
    </row>
    <row r="67" spans="2:16" x14ac:dyDescent="0.2">
      <c r="H67" t="s">
        <v>224</v>
      </c>
    </row>
    <row r="68" spans="2:16" x14ac:dyDescent="0.2">
      <c r="H68" s="14" t="s">
        <v>189</v>
      </c>
      <c r="I68" s="14" t="s">
        <v>241</v>
      </c>
      <c r="J68" s="14" t="s">
        <v>191</v>
      </c>
    </row>
    <row r="69" spans="2:16" x14ac:dyDescent="0.2">
      <c r="B69" s="10" t="s">
        <v>242</v>
      </c>
      <c r="C69" t="s">
        <v>225</v>
      </c>
      <c r="D69" t="s">
        <v>231</v>
      </c>
    </row>
    <row r="70" spans="2:16" x14ac:dyDescent="0.2">
      <c r="D70" t="s">
        <v>229</v>
      </c>
      <c r="M70" s="14"/>
      <c r="N70" s="14"/>
      <c r="O70" s="14"/>
      <c r="P70" s="14"/>
    </row>
    <row r="71" spans="2:16" x14ac:dyDescent="0.2">
      <c r="D71" t="s">
        <v>236</v>
      </c>
    </row>
    <row r="73" spans="2:16" x14ac:dyDescent="0.2">
      <c r="C73" t="s">
        <v>226</v>
      </c>
      <c r="D73" t="s">
        <v>227</v>
      </c>
    </row>
    <row r="74" spans="2:16" x14ac:dyDescent="0.2">
      <c r="D74" t="s">
        <v>228</v>
      </c>
    </row>
    <row r="75" spans="2:16" x14ac:dyDescent="0.2">
      <c r="D75" t="s">
        <v>239</v>
      </c>
    </row>
    <row r="76" spans="2:16" x14ac:dyDescent="0.2">
      <c r="D76" t="s">
        <v>232</v>
      </c>
    </row>
    <row r="77" spans="2:16" x14ac:dyDescent="0.2">
      <c r="D77" t="s">
        <v>234</v>
      </c>
    </row>
    <row r="78" spans="2:16" x14ac:dyDescent="0.2">
      <c r="D78" t="s">
        <v>240</v>
      </c>
    </row>
    <row r="80" spans="2:16" x14ac:dyDescent="0.2">
      <c r="C80" t="s">
        <v>230</v>
      </c>
      <c r="D80" t="s">
        <v>233</v>
      </c>
    </row>
    <row r="81" spans="2:13" x14ac:dyDescent="0.2">
      <c r="D81" t="s">
        <v>235</v>
      </c>
      <c r="J81" s="14"/>
      <c r="K81" s="14"/>
      <c r="L81" s="14"/>
      <c r="M81" s="14"/>
    </row>
    <row r="82" spans="2:13" x14ac:dyDescent="0.2">
      <c r="C82" s="14"/>
      <c r="D82" t="s">
        <v>238</v>
      </c>
      <c r="E82" s="14"/>
      <c r="G82" s="14"/>
    </row>
    <row r="83" spans="2:13" x14ac:dyDescent="0.2">
      <c r="D83" t="s">
        <v>237</v>
      </c>
    </row>
    <row r="91" spans="2:13" x14ac:dyDescent="0.2">
      <c r="M91" s="14"/>
    </row>
    <row r="93" spans="2:13" x14ac:dyDescent="0.2">
      <c r="B93" t="s">
        <v>120</v>
      </c>
      <c r="C93" s="14" t="s">
        <v>121</v>
      </c>
      <c r="D93" t="s">
        <v>123</v>
      </c>
      <c r="E93" s="14" t="s">
        <v>124</v>
      </c>
      <c r="F93" t="s">
        <v>125</v>
      </c>
      <c r="G93" s="14" t="s">
        <v>126</v>
      </c>
      <c r="H93" t="s">
        <v>128</v>
      </c>
      <c r="I93" t="s">
        <v>127</v>
      </c>
      <c r="J93" s="14" t="s">
        <v>78</v>
      </c>
      <c r="K93" s="14" t="s">
        <v>119</v>
      </c>
      <c r="L93" s="14" t="s">
        <v>122</v>
      </c>
      <c r="M93" s="14" t="s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28FA0-20E7-4D51-92F5-BF100D19072F}">
  <dimension ref="B4:K63"/>
  <sheetViews>
    <sheetView workbookViewId="0">
      <selection activeCell="B35" sqref="B35"/>
    </sheetView>
  </sheetViews>
  <sheetFormatPr defaultRowHeight="14.25" x14ac:dyDescent="0.2"/>
  <cols>
    <col min="2" max="2" width="13.375" customWidth="1"/>
    <col min="4" max="4" width="10.125" customWidth="1"/>
    <col min="5" max="5" width="12.125" customWidth="1"/>
    <col min="13" max="13" width="13.25" customWidth="1"/>
  </cols>
  <sheetData>
    <row r="4" spans="2:5" x14ac:dyDescent="0.2">
      <c r="B4" t="s">
        <v>3</v>
      </c>
    </row>
    <row r="6" spans="2:5" x14ac:dyDescent="0.2">
      <c r="C6" t="s">
        <v>351</v>
      </c>
      <c r="D6" t="s">
        <v>323</v>
      </c>
    </row>
    <row r="7" spans="2:5" x14ac:dyDescent="0.2">
      <c r="C7" t="s">
        <v>55</v>
      </c>
    </row>
    <row r="9" spans="2:5" x14ac:dyDescent="0.2">
      <c r="B9" t="s">
        <v>4</v>
      </c>
    </row>
    <row r="10" spans="2:5" x14ac:dyDescent="0.2">
      <c r="C10" t="s">
        <v>284</v>
      </c>
      <c r="E10" t="s">
        <v>287</v>
      </c>
    </row>
    <row r="11" spans="2:5" x14ac:dyDescent="0.2">
      <c r="C11" t="s">
        <v>285</v>
      </c>
      <c r="E11" t="s">
        <v>352</v>
      </c>
    </row>
    <row r="12" spans="2:5" x14ac:dyDescent="0.2">
      <c r="C12" t="s">
        <v>286</v>
      </c>
      <c r="E12" t="s">
        <v>328</v>
      </c>
    </row>
    <row r="16" spans="2:5" x14ac:dyDescent="0.2">
      <c r="B16" s="10" t="s">
        <v>165</v>
      </c>
      <c r="C16" t="s">
        <v>170</v>
      </c>
    </row>
    <row r="17" spans="2:7" x14ac:dyDescent="0.2">
      <c r="C17" t="s">
        <v>291</v>
      </c>
    </row>
    <row r="18" spans="2:7" x14ac:dyDescent="0.2">
      <c r="C18" t="s">
        <v>166</v>
      </c>
    </row>
    <row r="19" spans="2:7" x14ac:dyDescent="0.2">
      <c r="D19" t="s">
        <v>169</v>
      </c>
    </row>
    <row r="20" spans="2:7" x14ac:dyDescent="0.2">
      <c r="D20" t="s">
        <v>167</v>
      </c>
    </row>
    <row r="21" spans="2:7" x14ac:dyDescent="0.2">
      <c r="D21" t="s">
        <v>174</v>
      </c>
    </row>
    <row r="22" spans="2:7" x14ac:dyDescent="0.2">
      <c r="D22" t="s">
        <v>168</v>
      </c>
    </row>
    <row r="23" spans="2:7" x14ac:dyDescent="0.2">
      <c r="D23" t="s">
        <v>172</v>
      </c>
    </row>
    <row r="24" spans="2:7" x14ac:dyDescent="0.2">
      <c r="D24" t="s">
        <v>173</v>
      </c>
    </row>
    <row r="25" spans="2:7" x14ac:dyDescent="0.2">
      <c r="D25" t="s">
        <v>6</v>
      </c>
    </row>
    <row r="26" spans="2:7" x14ac:dyDescent="0.2">
      <c r="B26" s="43" t="s">
        <v>298</v>
      </c>
    </row>
    <row r="27" spans="2:7" x14ac:dyDescent="0.2">
      <c r="C27" t="s">
        <v>295</v>
      </c>
    </row>
    <row r="28" spans="2:7" x14ac:dyDescent="0.2">
      <c r="D28" t="s">
        <v>316</v>
      </c>
    </row>
    <row r="29" spans="2:7" x14ac:dyDescent="0.2">
      <c r="D29" t="s">
        <v>317</v>
      </c>
    </row>
    <row r="31" spans="2:7" x14ac:dyDescent="0.2">
      <c r="C31" s="43" t="s">
        <v>296</v>
      </c>
    </row>
    <row r="32" spans="2:7" x14ac:dyDescent="0.2">
      <c r="C32" t="s">
        <v>297</v>
      </c>
      <c r="G32" s="35" t="s">
        <v>372</v>
      </c>
    </row>
    <row r="35" spans="2:11" x14ac:dyDescent="0.2">
      <c r="B35" s="10" t="s">
        <v>7</v>
      </c>
    </row>
    <row r="37" spans="2:11" x14ac:dyDescent="0.2">
      <c r="C37" t="s">
        <v>294</v>
      </c>
      <c r="K37" s="45" t="s">
        <v>334</v>
      </c>
    </row>
    <row r="38" spans="2:11" x14ac:dyDescent="0.2">
      <c r="C38" t="s">
        <v>330</v>
      </c>
      <c r="K38" s="45" t="s">
        <v>335</v>
      </c>
    </row>
    <row r="39" spans="2:11" x14ac:dyDescent="0.2">
      <c r="C39" t="s">
        <v>336</v>
      </c>
    </row>
    <row r="41" spans="2:11" x14ac:dyDescent="0.2">
      <c r="C41" t="s">
        <v>331</v>
      </c>
      <c r="D41" s="10" t="s">
        <v>308</v>
      </c>
      <c r="F41" t="s">
        <v>309</v>
      </c>
    </row>
    <row r="42" spans="2:11" x14ac:dyDescent="0.2">
      <c r="F42" t="s">
        <v>310</v>
      </c>
      <c r="I42" s="45" t="s">
        <v>321</v>
      </c>
    </row>
    <row r="43" spans="2:11" x14ac:dyDescent="0.2">
      <c r="F43" t="s">
        <v>311</v>
      </c>
      <c r="I43" s="45" t="s">
        <v>314</v>
      </c>
    </row>
    <row r="44" spans="2:11" x14ac:dyDescent="0.2">
      <c r="F44" t="s">
        <v>312</v>
      </c>
      <c r="I44" s="45" t="s">
        <v>315</v>
      </c>
    </row>
    <row r="45" spans="2:11" x14ac:dyDescent="0.2">
      <c r="F45" t="s">
        <v>313</v>
      </c>
      <c r="I45" s="45" t="s">
        <v>322</v>
      </c>
    </row>
    <row r="47" spans="2:11" x14ac:dyDescent="0.2">
      <c r="D47" t="s">
        <v>304</v>
      </c>
      <c r="F47" t="s">
        <v>8</v>
      </c>
    </row>
    <row r="48" spans="2:11" x14ac:dyDescent="0.2">
      <c r="F48" t="s">
        <v>9</v>
      </c>
    </row>
    <row r="49" spans="4:11" x14ac:dyDescent="0.2">
      <c r="F49" t="s">
        <v>359</v>
      </c>
    </row>
    <row r="50" spans="4:11" x14ac:dyDescent="0.2">
      <c r="F50" t="s">
        <v>360</v>
      </c>
    </row>
    <row r="52" spans="4:11" x14ac:dyDescent="0.2">
      <c r="D52" t="s">
        <v>332</v>
      </c>
      <c r="F52" t="s">
        <v>303</v>
      </c>
    </row>
    <row r="53" spans="4:11" x14ac:dyDescent="0.2">
      <c r="F53" t="s">
        <v>5</v>
      </c>
    </row>
    <row r="54" spans="4:11" x14ac:dyDescent="0.2">
      <c r="F54" t="s">
        <v>292</v>
      </c>
    </row>
    <row r="55" spans="4:11" x14ac:dyDescent="0.2">
      <c r="F55" t="s">
        <v>293</v>
      </c>
    </row>
    <row r="56" spans="4:11" x14ac:dyDescent="0.2">
      <c r="F56" t="s">
        <v>305</v>
      </c>
    </row>
    <row r="57" spans="4:11" x14ac:dyDescent="0.2">
      <c r="F57" t="s">
        <v>327</v>
      </c>
    </row>
    <row r="59" spans="4:11" x14ac:dyDescent="0.2">
      <c r="D59" t="s">
        <v>333</v>
      </c>
    </row>
    <row r="60" spans="4:11" x14ac:dyDescent="0.2">
      <c r="F60" t="s">
        <v>8</v>
      </c>
      <c r="G60" t="s">
        <v>318</v>
      </c>
      <c r="H60" t="s">
        <v>320</v>
      </c>
      <c r="I60" t="s">
        <v>325</v>
      </c>
    </row>
    <row r="61" spans="4:11" x14ac:dyDescent="0.2">
      <c r="F61" t="s">
        <v>9</v>
      </c>
      <c r="G61" s="10" t="s">
        <v>306</v>
      </c>
      <c r="H61" t="s">
        <v>299</v>
      </c>
      <c r="I61" t="s">
        <v>300</v>
      </c>
      <c r="J61" t="s">
        <v>301</v>
      </c>
      <c r="K61" t="s">
        <v>302</v>
      </c>
    </row>
    <row r="62" spans="4:11" x14ac:dyDescent="0.2">
      <c r="F62" t="s">
        <v>319</v>
      </c>
    </row>
    <row r="63" spans="4:11" x14ac:dyDescent="0.2">
      <c r="F63" t="s">
        <v>290</v>
      </c>
      <c r="G63" t="s">
        <v>324</v>
      </c>
      <c r="H63" t="s">
        <v>307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结论汇总</vt:lpstr>
      <vt:lpstr>总养成规划和系统设计</vt:lpstr>
      <vt:lpstr>解锁节奏</vt:lpstr>
      <vt:lpstr>商业化</vt:lpstr>
      <vt:lpstr>局内肉鸽战斗和主线验证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a83113</cp:lastModifiedBy>
  <dcterms:created xsi:type="dcterms:W3CDTF">2015-06-05T18:19:34Z</dcterms:created>
  <dcterms:modified xsi:type="dcterms:W3CDTF">2025-04-13T15:04:17Z</dcterms:modified>
</cp:coreProperties>
</file>