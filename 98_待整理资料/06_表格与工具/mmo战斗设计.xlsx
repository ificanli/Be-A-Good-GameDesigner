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drawings/drawing3.xml" ContentType="application/vnd.openxmlformats-officedocument.drawing+xml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embeddings/oleObject15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 activeTab="5"/>
  </bookViews>
  <sheets>
    <sheet name="属性结构" sheetId="6" r:id="rId1"/>
    <sheet name="战斗力计算" sheetId="4" r:id="rId2"/>
    <sheet name="女神、神兵、翅膀技能" sheetId="10" r:id="rId3"/>
    <sheet name="其他设定" sheetId="13" r:id="rId4"/>
    <sheet name="伤害测试" sheetId="12" r:id="rId5"/>
    <sheet name="技能量化" sheetId="16" r:id="rId6"/>
    <sheet name="公式优化 (调试)" sheetId="15" r:id="rId7"/>
    <sheet name="PVP验证" sheetId="17" r:id="rId8"/>
  </sheets>
  <calcPr calcId="152511"/>
</workbook>
</file>

<file path=xl/calcChain.xml><?xml version="1.0" encoding="utf-8"?>
<calcChain xmlns="http://schemas.openxmlformats.org/spreadsheetml/2006/main">
  <c r="L19" i="10" l="1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18" i="10"/>
  <c r="D292" i="16"/>
  <c r="E292" i="16"/>
  <c r="F292" i="16"/>
  <c r="C292" i="16"/>
  <c r="P298" i="16" l="1"/>
  <c r="P299" i="16"/>
  <c r="P300" i="16"/>
  <c r="P301" i="16"/>
  <c r="P302" i="16"/>
  <c r="P303" i="16"/>
  <c r="P304" i="16"/>
  <c r="P305" i="16"/>
  <c r="P306" i="16"/>
  <c r="P307" i="16"/>
  <c r="P308" i="16"/>
  <c r="P309" i="16"/>
  <c r="P310" i="16"/>
  <c r="P311" i="16"/>
  <c r="P312" i="16"/>
  <c r="P313" i="16"/>
  <c r="P314" i="16"/>
  <c r="P315" i="16"/>
  <c r="P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297" i="16"/>
  <c r="M298" i="16"/>
  <c r="M299" i="16"/>
  <c r="M300" i="16"/>
  <c r="M301" i="16"/>
  <c r="M302" i="16"/>
  <c r="M303" i="16"/>
  <c r="M304" i="16"/>
  <c r="M305" i="16"/>
  <c r="M306" i="16"/>
  <c r="M307" i="16"/>
  <c r="M308" i="16"/>
  <c r="M309" i="16"/>
  <c r="M310" i="16"/>
  <c r="M311" i="16"/>
  <c r="M312" i="16"/>
  <c r="M313" i="16"/>
  <c r="M314" i="16"/>
  <c r="M315" i="16"/>
  <c r="M297" i="16"/>
  <c r="K298" i="16"/>
  <c r="K299" i="16"/>
  <c r="K300" i="16"/>
  <c r="K301" i="16"/>
  <c r="K302" i="16"/>
  <c r="K303" i="16"/>
  <c r="K304" i="16"/>
  <c r="K305" i="16"/>
  <c r="K306" i="16"/>
  <c r="K307" i="16"/>
  <c r="K308" i="16"/>
  <c r="K309" i="16"/>
  <c r="K310" i="16"/>
  <c r="K311" i="16"/>
  <c r="K312" i="16"/>
  <c r="K313" i="16"/>
  <c r="K314" i="16"/>
  <c r="K315" i="16"/>
  <c r="K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297" i="16"/>
  <c r="F42" i="4" l="1"/>
  <c r="D42" i="4"/>
  <c r="C42" i="4"/>
  <c r="D288" i="16"/>
  <c r="E288" i="16"/>
  <c r="F288" i="16"/>
  <c r="C288" i="16"/>
  <c r="E179" i="16" l="1"/>
  <c r="F179" i="16"/>
  <c r="G179" i="16"/>
  <c r="E180" i="16"/>
  <c r="F180" i="16"/>
  <c r="G180" i="16"/>
  <c r="D180" i="16"/>
  <c r="D179" i="16"/>
  <c r="H57" i="15" l="1"/>
  <c r="T52" i="15"/>
  <c r="T53" i="15"/>
  <c r="L18" i="17"/>
  <c r="M9" i="17"/>
  <c r="M8" i="17"/>
  <c r="L8" i="17"/>
  <c r="L9" i="17" s="1"/>
  <c r="L10" i="17" s="1"/>
  <c r="G4" i="17"/>
  <c r="H4" i="17" s="1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G103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D209" i="16"/>
  <c r="E209" i="16"/>
  <c r="F209" i="16"/>
  <c r="E239" i="16"/>
  <c r="F239" i="16"/>
  <c r="G239" i="16"/>
  <c r="D239" i="16"/>
  <c r="P222" i="16"/>
  <c r="D185" i="16"/>
  <c r="E116" i="16"/>
  <c r="F116" i="16"/>
  <c r="G116" i="16"/>
  <c r="D116" i="16"/>
  <c r="D115" i="16"/>
  <c r="G115" i="16"/>
  <c r="E115" i="16"/>
  <c r="F115" i="16"/>
  <c r="F130" i="12" l="1"/>
  <c r="H143" i="12" l="1"/>
  <c r="F143" i="12"/>
  <c r="H142" i="12"/>
  <c r="F142" i="12"/>
  <c r="H141" i="12"/>
  <c r="F141" i="12"/>
  <c r="M139" i="12"/>
  <c r="G139" i="12"/>
  <c r="I139" i="12" s="1"/>
  <c r="M137" i="12"/>
  <c r="G137" i="12"/>
  <c r="G138" i="12" s="1"/>
  <c r="M135" i="12"/>
  <c r="G135" i="12"/>
  <c r="G136" i="12" s="1"/>
  <c r="M133" i="12"/>
  <c r="G133" i="12"/>
  <c r="G134" i="12" s="1"/>
  <c r="F131" i="12"/>
  <c r="F132" i="12" s="1"/>
  <c r="H130" i="12"/>
  <c r="G130" i="12"/>
  <c r="F129" i="12"/>
  <c r="H124" i="12"/>
  <c r="F124" i="12"/>
  <c r="H123" i="12"/>
  <c r="F123" i="12"/>
  <c r="H122" i="12"/>
  <c r="F122" i="12"/>
  <c r="M120" i="12"/>
  <c r="G120" i="12"/>
  <c r="I120" i="12" s="1"/>
  <c r="M118" i="12"/>
  <c r="G118" i="12"/>
  <c r="G119" i="12" s="1"/>
  <c r="M116" i="12"/>
  <c r="G116" i="12"/>
  <c r="G117" i="12" s="1"/>
  <c r="M114" i="12"/>
  <c r="G114" i="12"/>
  <c r="H114" i="12" s="1"/>
  <c r="F111" i="12"/>
  <c r="H111" i="12" s="1"/>
  <c r="F110" i="12"/>
  <c r="H118" i="12" l="1"/>
  <c r="H137" i="12"/>
  <c r="G140" i="12"/>
  <c r="I118" i="12"/>
  <c r="I137" i="12"/>
  <c r="G111" i="12"/>
  <c r="H116" i="12"/>
  <c r="H135" i="12"/>
  <c r="I135" i="12"/>
  <c r="F112" i="12"/>
  <c r="F113" i="12" s="1"/>
  <c r="H139" i="12"/>
  <c r="I114" i="12"/>
  <c r="I116" i="12"/>
  <c r="I133" i="12"/>
  <c r="H133" i="12"/>
  <c r="G115" i="12"/>
  <c r="G121" i="12"/>
  <c r="H120" i="12"/>
  <c r="G299" i="16"/>
  <c r="G300" i="16" s="1"/>
  <c r="G301" i="16" s="1"/>
  <c r="G302" i="16" s="1"/>
  <c r="G303" i="16" s="1"/>
  <c r="G304" i="16" s="1"/>
  <c r="G305" i="16" s="1"/>
  <c r="G306" i="16" s="1"/>
  <c r="G307" i="16" s="1"/>
  <c r="G308" i="16" s="1"/>
  <c r="G309" i="16" s="1"/>
  <c r="G310" i="16" s="1"/>
  <c r="G311" i="16" s="1"/>
  <c r="G312" i="16" s="1"/>
  <c r="G313" i="16" s="1"/>
  <c r="G314" i="16" s="1"/>
  <c r="G315" i="16" s="1"/>
  <c r="G298" i="16"/>
  <c r="E311" i="16"/>
  <c r="E312" i="16" s="1"/>
  <c r="E313" i="16" s="1"/>
  <c r="E314" i="16" s="1"/>
  <c r="E315" i="16" s="1"/>
  <c r="D311" i="16"/>
  <c r="D312" i="16" s="1"/>
  <c r="D313" i="16" s="1"/>
  <c r="D314" i="16" s="1"/>
  <c r="D315" i="16" s="1"/>
  <c r="E307" i="16"/>
  <c r="E308" i="16" s="1"/>
  <c r="E309" i="16" s="1"/>
  <c r="D307" i="16"/>
  <c r="D308" i="16" s="1"/>
  <c r="D309" i="16" s="1"/>
  <c r="E303" i="16"/>
  <c r="E304" i="16" s="1"/>
  <c r="E305" i="16" s="1"/>
  <c r="D303" i="16"/>
  <c r="D304" i="16" s="1"/>
  <c r="D305" i="16" s="1"/>
  <c r="E299" i="16"/>
  <c r="E300" i="16" s="1"/>
  <c r="E301" i="16" s="1"/>
  <c r="D299" i="16"/>
  <c r="D300" i="16" s="1"/>
  <c r="D301" i="16" s="1"/>
  <c r="E297" i="16"/>
  <c r="D297" i="16"/>
  <c r="E298" i="16"/>
  <c r="D298" i="16"/>
  <c r="E310" i="16"/>
  <c r="D310" i="16"/>
  <c r="E306" i="16"/>
  <c r="D306" i="16"/>
  <c r="E302" i="16"/>
  <c r="D302" i="16"/>
  <c r="Q72" i="16" l="1"/>
  <c r="R72" i="16"/>
  <c r="S72" i="16"/>
  <c r="P72" i="16"/>
  <c r="E54" i="16" l="1"/>
  <c r="F54" i="16"/>
  <c r="G54" i="16"/>
  <c r="D54" i="16"/>
  <c r="R259" i="16" l="1"/>
  <c r="S256" i="16"/>
  <c r="T256" i="16" s="1"/>
  <c r="U256" i="16" s="1"/>
  <c r="S257" i="16"/>
  <c r="S276" i="16" s="1"/>
  <c r="Q33" i="16"/>
  <c r="S259" i="16"/>
  <c r="T259" i="16" s="1"/>
  <c r="S260" i="16"/>
  <c r="T260" i="16" s="1"/>
  <c r="U260" i="16" s="1"/>
  <c r="S261" i="16"/>
  <c r="T261" i="16" s="1"/>
  <c r="U261" i="16" s="1"/>
  <c r="S263" i="16"/>
  <c r="T263" i="16" s="1"/>
  <c r="U263" i="16" s="1"/>
  <c r="S264" i="16"/>
  <c r="T264" i="16" s="1"/>
  <c r="U264" i="16" s="1"/>
  <c r="S265" i="16"/>
  <c r="T265" i="16" s="1"/>
  <c r="S267" i="16"/>
  <c r="T267" i="16" s="1"/>
  <c r="S268" i="16"/>
  <c r="T268" i="16" s="1"/>
  <c r="U268" i="16" s="1"/>
  <c r="S269" i="16"/>
  <c r="T269" i="16" s="1"/>
  <c r="U269" i="16" s="1"/>
  <c r="T255" i="16"/>
  <c r="U255" i="16" s="1"/>
  <c r="S255" i="16"/>
  <c r="Y258" i="16"/>
  <c r="Y257" i="16"/>
  <c r="Y256" i="16"/>
  <c r="Y255" i="16"/>
  <c r="S274" i="16"/>
  <c r="S275" i="16"/>
  <c r="S284" i="16"/>
  <c r="S287" i="16"/>
  <c r="R288" i="16"/>
  <c r="R287" i="16"/>
  <c r="R286" i="16"/>
  <c r="R284" i="16"/>
  <c r="R283" i="16"/>
  <c r="R282" i="16"/>
  <c r="R280" i="16"/>
  <c r="R279" i="16"/>
  <c r="R278" i="16"/>
  <c r="R276" i="16"/>
  <c r="R275" i="16"/>
  <c r="R274" i="16"/>
  <c r="P209" i="16"/>
  <c r="Q202" i="16"/>
  <c r="P202" i="16"/>
  <c r="P195" i="16"/>
  <c r="Q147" i="16"/>
  <c r="P147" i="16"/>
  <c r="P142" i="16"/>
  <c r="P137" i="16"/>
  <c r="P87" i="16"/>
  <c r="Q77" i="16"/>
  <c r="P77" i="16"/>
  <c r="P22" i="16"/>
  <c r="Q15" i="16"/>
  <c r="P15" i="16"/>
  <c r="Q8" i="16"/>
  <c r="P8" i="16"/>
  <c r="S279" i="16" l="1"/>
  <c r="S286" i="16"/>
  <c r="Q195" i="16"/>
  <c r="U265" i="16"/>
  <c r="T284" i="16"/>
  <c r="R147" i="16"/>
  <c r="S283" i="16"/>
  <c r="Q142" i="16"/>
  <c r="Q137" i="16"/>
  <c r="S282" i="16"/>
  <c r="Z257" i="16"/>
  <c r="S278" i="16"/>
  <c r="Q22" i="16"/>
  <c r="T257" i="16"/>
  <c r="R77" i="16"/>
  <c r="T278" i="16"/>
  <c r="U259" i="16"/>
  <c r="S77" i="16" s="1"/>
  <c r="T286" i="16"/>
  <c r="U267" i="16"/>
  <c r="U286" i="16" s="1"/>
  <c r="R195" i="16"/>
  <c r="S277" i="16"/>
  <c r="T258" i="16"/>
  <c r="U258" i="16" s="1"/>
  <c r="U277" i="16" s="1"/>
  <c r="Z255" i="16"/>
  <c r="Z258" i="16"/>
  <c r="T279" i="16"/>
  <c r="U279" i="16"/>
  <c r="AA256" i="16"/>
  <c r="S147" i="16"/>
  <c r="U284" i="16"/>
  <c r="T288" i="16"/>
  <c r="R209" i="16"/>
  <c r="T283" i="16"/>
  <c r="R142" i="16"/>
  <c r="AA257" i="16"/>
  <c r="R137" i="16"/>
  <c r="T282" i="16"/>
  <c r="S195" i="16"/>
  <c r="T280" i="16"/>
  <c r="R87" i="16"/>
  <c r="R15" i="16"/>
  <c r="T275" i="16"/>
  <c r="Z256" i="16"/>
  <c r="Q87" i="16"/>
  <c r="Q209" i="16"/>
  <c r="S288" i="16"/>
  <c r="S280" i="16"/>
  <c r="R8" i="16"/>
  <c r="T274" i="16"/>
  <c r="U274" i="16"/>
  <c r="S8" i="16"/>
  <c r="Y259" i="16"/>
  <c r="U278" i="16" l="1"/>
  <c r="AB256" i="16"/>
  <c r="U257" i="16"/>
  <c r="R22" i="16"/>
  <c r="T276" i="16"/>
  <c r="R33" i="16"/>
  <c r="S33" i="16"/>
  <c r="Z13" i="16" s="1"/>
  <c r="Z26" i="16" s="1"/>
  <c r="AA255" i="16"/>
  <c r="T277" i="16"/>
  <c r="U283" i="16"/>
  <c r="S142" i="16"/>
  <c r="U275" i="16"/>
  <c r="S15" i="16"/>
  <c r="Z8" i="16" s="1"/>
  <c r="Z21" i="16" s="1"/>
  <c r="AB257" i="16"/>
  <c r="S137" i="16"/>
  <c r="U282" i="16"/>
  <c r="U288" i="16"/>
  <c r="S209" i="16"/>
  <c r="AB255" i="16"/>
  <c r="R202" i="16"/>
  <c r="T287" i="16"/>
  <c r="AA258" i="16"/>
  <c r="U280" i="16"/>
  <c r="S87" i="16"/>
  <c r="Z259" i="16"/>
  <c r="X138" i="16"/>
  <c r="X151" i="16" s="1"/>
  <c r="X196" i="16"/>
  <c r="X209" i="16" s="1"/>
  <c r="X71" i="16"/>
  <c r="X84" i="16" s="1"/>
  <c r="X194" i="16"/>
  <c r="X207" i="16" s="1"/>
  <c r="X140" i="16"/>
  <c r="X153" i="16" s="1"/>
  <c r="X72" i="16"/>
  <c r="X85" i="16" s="1"/>
  <c r="Z7" i="16"/>
  <c r="Z20" i="16" s="1"/>
  <c r="X198" i="16"/>
  <c r="X211" i="16" s="1"/>
  <c r="X75" i="16"/>
  <c r="X88" i="16" s="1"/>
  <c r="X135" i="16"/>
  <c r="Y11" i="16"/>
  <c r="Y24" i="16" s="1"/>
  <c r="G240" i="16"/>
  <c r="F240" i="16"/>
  <c r="E240" i="16"/>
  <c r="D240" i="16"/>
  <c r="W198" i="16"/>
  <c r="W211" i="16" s="1"/>
  <c r="W197" i="16"/>
  <c r="W210" i="16" s="1"/>
  <c r="W196" i="16"/>
  <c r="W209" i="16" s="1"/>
  <c r="X195" i="16"/>
  <c r="X208" i="16" s="1"/>
  <c r="W195" i="16"/>
  <c r="W208" i="16" s="1"/>
  <c r="C195" i="16"/>
  <c r="W194" i="16"/>
  <c r="W207" i="16" s="1"/>
  <c r="W193" i="16"/>
  <c r="I193" i="16"/>
  <c r="I192" i="16"/>
  <c r="S155" i="16"/>
  <c r="W140" i="16"/>
  <c r="W153" i="16" s="1"/>
  <c r="X139" i="16"/>
  <c r="X152" i="16" s="1"/>
  <c r="W139" i="16"/>
  <c r="W152" i="16" s="1"/>
  <c r="W138" i="16"/>
  <c r="W151" i="16" s="1"/>
  <c r="W137" i="16"/>
  <c r="W150" i="16" s="1"/>
  <c r="C137" i="16"/>
  <c r="W136" i="16"/>
  <c r="W149" i="16" s="1"/>
  <c r="W135" i="16"/>
  <c r="W148" i="16" s="1"/>
  <c r="I135" i="16"/>
  <c r="I134" i="16"/>
  <c r="Z86" i="16"/>
  <c r="Y86" i="16"/>
  <c r="X86" i="16"/>
  <c r="W86" i="16"/>
  <c r="W75" i="16"/>
  <c r="W88" i="16" s="1"/>
  <c r="W74" i="16"/>
  <c r="W87" i="16" s="1"/>
  <c r="W72" i="16"/>
  <c r="W85" i="16" s="1"/>
  <c r="C72" i="16"/>
  <c r="W71" i="16"/>
  <c r="W84" i="16" s="1"/>
  <c r="W70" i="16"/>
  <c r="W83" i="16" s="1"/>
  <c r="I70" i="16"/>
  <c r="I69" i="16"/>
  <c r="F17" i="16"/>
  <c r="E17" i="16"/>
  <c r="D17" i="16"/>
  <c r="C17" i="16"/>
  <c r="F16" i="16"/>
  <c r="E16" i="16"/>
  <c r="D16" i="16"/>
  <c r="E46" i="16" s="1"/>
  <c r="C16" i="16"/>
  <c r="D46" i="16" s="1"/>
  <c r="F15" i="16"/>
  <c r="E15" i="16"/>
  <c r="D15" i="16"/>
  <c r="E44" i="16" s="1"/>
  <c r="C15" i="16"/>
  <c r="D44" i="16" s="1"/>
  <c r="Y13" i="16"/>
  <c r="Y26" i="16" s="1"/>
  <c r="X13" i="16"/>
  <c r="X26" i="16" s="1"/>
  <c r="W13" i="16"/>
  <c r="W26" i="16" s="1"/>
  <c r="F14" i="16"/>
  <c r="G60" i="16" s="1"/>
  <c r="E14" i="16"/>
  <c r="D14" i="16"/>
  <c r="C14" i="16"/>
  <c r="D60" i="16" s="1"/>
  <c r="Y12" i="16"/>
  <c r="Y25" i="16" s="1"/>
  <c r="X12" i="16"/>
  <c r="X25" i="16" s="1"/>
  <c r="W12" i="16"/>
  <c r="W25" i="16" s="1"/>
  <c r="X11" i="16"/>
  <c r="X24" i="16" s="1"/>
  <c r="W11" i="16"/>
  <c r="W24" i="16" s="1"/>
  <c r="Y10" i="16"/>
  <c r="X10" i="16"/>
  <c r="X23" i="16" s="1"/>
  <c r="W10" i="16"/>
  <c r="W23" i="16" s="1"/>
  <c r="Z9" i="16"/>
  <c r="Z22" i="16" s="1"/>
  <c r="Y9" i="16"/>
  <c r="Y22" i="16" s="1"/>
  <c r="X9" i="16"/>
  <c r="X22" i="16" s="1"/>
  <c r="W9" i="16"/>
  <c r="W22" i="16" s="1"/>
  <c r="Y8" i="16"/>
  <c r="X8" i="16"/>
  <c r="X21" i="16" s="1"/>
  <c r="W8" i="16"/>
  <c r="W21" i="16" s="1"/>
  <c r="Y7" i="16"/>
  <c r="Y20" i="16" s="1"/>
  <c r="X7" i="16"/>
  <c r="X20" i="16" s="1"/>
  <c r="W7" i="16"/>
  <c r="W20" i="16" s="1"/>
  <c r="Y6" i="16"/>
  <c r="X6" i="16"/>
  <c r="W6" i="16"/>
  <c r="I6" i="16"/>
  <c r="I5" i="16"/>
  <c r="Z12" i="16" l="1"/>
  <c r="Z25" i="16" s="1"/>
  <c r="AA259" i="16"/>
  <c r="U276" i="16"/>
  <c r="S22" i="16"/>
  <c r="G44" i="16"/>
  <c r="S202" i="16"/>
  <c r="U287" i="16"/>
  <c r="AB258" i="16"/>
  <c r="AB259" i="16" s="1"/>
  <c r="J69" i="16"/>
  <c r="J134" i="16"/>
  <c r="X137" i="16"/>
  <c r="X150" i="16" s="1"/>
  <c r="X197" i="16"/>
  <c r="X210" i="16" s="1"/>
  <c r="Z6" i="16"/>
  <c r="X70" i="16"/>
  <c r="X83" i="16" s="1"/>
  <c r="X136" i="16"/>
  <c r="X149" i="16" s="1"/>
  <c r="X74" i="16"/>
  <c r="X87" i="16" s="1"/>
  <c r="X193" i="16"/>
  <c r="X206" i="16" s="1"/>
  <c r="J5" i="16"/>
  <c r="F81" i="16"/>
  <c r="D12" i="16"/>
  <c r="K263" i="16" s="1"/>
  <c r="E12" i="16"/>
  <c r="L263" i="16" s="1"/>
  <c r="D143" i="16"/>
  <c r="E169" i="16" s="1"/>
  <c r="Z72" i="16"/>
  <c r="Z85" i="16" s="1"/>
  <c r="Y72" i="16"/>
  <c r="Y85" i="16" s="1"/>
  <c r="E47" i="16"/>
  <c r="G62" i="16"/>
  <c r="F12" i="16"/>
  <c r="M263" i="16" s="1"/>
  <c r="D62" i="16"/>
  <c r="C12" i="16"/>
  <c r="J263" i="16" s="1"/>
  <c r="X14" i="16"/>
  <c r="L278" i="16" s="1"/>
  <c r="Y14" i="16"/>
  <c r="M278" i="16" s="1"/>
  <c r="W14" i="16"/>
  <c r="K278" i="16" s="1"/>
  <c r="D78" i="16"/>
  <c r="E104" i="16" s="1"/>
  <c r="X148" i="16"/>
  <c r="E79" i="16"/>
  <c r="F106" i="16" s="1"/>
  <c r="E78" i="16"/>
  <c r="Y19" i="16"/>
  <c r="E80" i="16"/>
  <c r="F108" i="16" s="1"/>
  <c r="E81" i="16"/>
  <c r="F13" i="16"/>
  <c r="F18" i="16" s="1"/>
  <c r="E43" i="16"/>
  <c r="W144" i="16"/>
  <c r="K283" i="16" s="1"/>
  <c r="Y21" i="16"/>
  <c r="F46" i="16"/>
  <c r="F55" i="16"/>
  <c r="F45" i="16"/>
  <c r="F61" i="16"/>
  <c r="E60" i="16"/>
  <c r="E42" i="16"/>
  <c r="E62" i="16"/>
  <c r="E48" i="16"/>
  <c r="E55" i="16"/>
  <c r="E45" i="16"/>
  <c r="D13" i="16"/>
  <c r="F42" i="16"/>
  <c r="F41" i="16"/>
  <c r="F60" i="16"/>
  <c r="F59" i="16"/>
  <c r="F43" i="16"/>
  <c r="F44" i="16"/>
  <c r="F62" i="16"/>
  <c r="F48" i="16"/>
  <c r="F47" i="16"/>
  <c r="E59" i="16"/>
  <c r="E61" i="16"/>
  <c r="X79" i="16"/>
  <c r="L281" i="16" s="1"/>
  <c r="E13" i="16"/>
  <c r="Y23" i="16"/>
  <c r="X19" i="16"/>
  <c r="E41" i="16"/>
  <c r="C13" i="16"/>
  <c r="W19" i="16"/>
  <c r="D41" i="16"/>
  <c r="D43" i="16"/>
  <c r="D45" i="16"/>
  <c r="D47" i="16"/>
  <c r="D55" i="16"/>
  <c r="D59" i="16"/>
  <c r="D61" i="16"/>
  <c r="C78" i="16"/>
  <c r="W78" i="16"/>
  <c r="K280" i="16" s="1"/>
  <c r="W79" i="16"/>
  <c r="K281" i="16" s="1"/>
  <c r="W80" i="16"/>
  <c r="W143" i="16"/>
  <c r="K282" i="16" s="1"/>
  <c r="W206" i="16"/>
  <c r="W201" i="16"/>
  <c r="K284" i="16" s="1"/>
  <c r="E204" i="16"/>
  <c r="E203" i="16"/>
  <c r="E202" i="16"/>
  <c r="D204" i="16"/>
  <c r="D203" i="16"/>
  <c r="D202" i="16"/>
  <c r="C204" i="16"/>
  <c r="C203" i="16"/>
  <c r="C202" i="16"/>
  <c r="D201" i="16"/>
  <c r="C201" i="16"/>
  <c r="F204" i="16"/>
  <c r="F203" i="16"/>
  <c r="F202" i="16"/>
  <c r="G41" i="16"/>
  <c r="G43" i="16"/>
  <c r="G45" i="16"/>
  <c r="G47" i="16"/>
  <c r="G55" i="16"/>
  <c r="G59" i="16"/>
  <c r="G61" i="16"/>
  <c r="F78" i="16"/>
  <c r="C146" i="16"/>
  <c r="C145" i="16"/>
  <c r="C144" i="16"/>
  <c r="F143" i="16"/>
  <c r="E143" i="16"/>
  <c r="F146" i="16"/>
  <c r="F145" i="16"/>
  <c r="F144" i="16"/>
  <c r="E146" i="16"/>
  <c r="E145" i="16"/>
  <c r="E144" i="16"/>
  <c r="D146" i="16"/>
  <c r="D145" i="16"/>
  <c r="D144" i="16"/>
  <c r="W15" i="16"/>
  <c r="K279" i="16" s="1"/>
  <c r="D42" i="16"/>
  <c r="D48" i="16"/>
  <c r="C79" i="16"/>
  <c r="C80" i="16"/>
  <c r="C81" i="16"/>
  <c r="W145" i="16"/>
  <c r="X15" i="16"/>
  <c r="L279" i="16" s="1"/>
  <c r="D79" i="16"/>
  <c r="D80" i="16"/>
  <c r="D81" i="16"/>
  <c r="X145" i="16"/>
  <c r="E201" i="16"/>
  <c r="C143" i="16"/>
  <c r="J192" i="16"/>
  <c r="F201" i="16"/>
  <c r="Y15" i="16"/>
  <c r="M279" i="16" s="1"/>
  <c r="G42" i="16"/>
  <c r="G48" i="16"/>
  <c r="F79" i="16"/>
  <c r="F80" i="16"/>
  <c r="W202" i="16"/>
  <c r="K285" i="16" s="1"/>
  <c r="X202" i="16"/>
  <c r="L285" i="16" s="1"/>
  <c r="Z11" i="16" l="1"/>
  <c r="Z10" i="16"/>
  <c r="Z23" i="16" s="1"/>
  <c r="Z14" i="16"/>
  <c r="N278" i="16" s="1"/>
  <c r="G46" i="16"/>
  <c r="G50" i="16" s="1"/>
  <c r="G30" i="16" s="1"/>
  <c r="Z19" i="16"/>
  <c r="E168" i="16"/>
  <c r="X143" i="16"/>
  <c r="L282" i="16" s="1"/>
  <c r="X144" i="16"/>
  <c r="L283" i="16" s="1"/>
  <c r="L287" i="16" s="1"/>
  <c r="F141" i="16"/>
  <c r="M265" i="16" s="1"/>
  <c r="F76" i="16"/>
  <c r="M264" i="16" s="1"/>
  <c r="X201" i="16"/>
  <c r="L284" i="16" s="1"/>
  <c r="X80" i="16"/>
  <c r="X78" i="16"/>
  <c r="L280" i="16" s="1"/>
  <c r="F104" i="16"/>
  <c r="F110" i="16" s="1"/>
  <c r="E199" i="16"/>
  <c r="L266" i="16" s="1"/>
  <c r="Z138" i="16"/>
  <c r="Z151" i="16" s="1"/>
  <c r="Z137" i="16"/>
  <c r="Z150" i="16" s="1"/>
  <c r="Y196" i="16"/>
  <c r="Y209" i="16" s="1"/>
  <c r="Y195" i="16"/>
  <c r="Y208" i="16" s="1"/>
  <c r="Z194" i="16"/>
  <c r="Z193" i="16"/>
  <c r="Y198" i="16"/>
  <c r="Y211" i="16" s="1"/>
  <c r="Y197" i="16"/>
  <c r="Y210" i="16" s="1"/>
  <c r="S154" i="16"/>
  <c r="Z140" i="16" s="1"/>
  <c r="Z153" i="16" s="1"/>
  <c r="Z195" i="16"/>
  <c r="Z208" i="16" s="1"/>
  <c r="Z196" i="16"/>
  <c r="Z209" i="16" s="1"/>
  <c r="C199" i="16"/>
  <c r="J266" i="16" s="1"/>
  <c r="Y135" i="16"/>
  <c r="Y136" i="16"/>
  <c r="Z197" i="16"/>
  <c r="Z210" i="16" s="1"/>
  <c r="Z198" i="16"/>
  <c r="Z211" i="16" s="1"/>
  <c r="Y75" i="16"/>
  <c r="Y88" i="16" s="1"/>
  <c r="Y74" i="16"/>
  <c r="Z135" i="16"/>
  <c r="Z136" i="16"/>
  <c r="Z149" i="16" s="1"/>
  <c r="Y71" i="16"/>
  <c r="Y70" i="16"/>
  <c r="Z75" i="16"/>
  <c r="Z88" i="16" s="1"/>
  <c r="Z74" i="16"/>
  <c r="Y139" i="16"/>
  <c r="Y140" i="16"/>
  <c r="Y153" i="16" s="1"/>
  <c r="Z70" i="16"/>
  <c r="Z71" i="16"/>
  <c r="F199" i="16"/>
  <c r="M266" i="16" s="1"/>
  <c r="D199" i="16"/>
  <c r="K266" i="16" s="1"/>
  <c r="E103" i="16"/>
  <c r="Y194" i="16"/>
  <c r="Y193" i="16"/>
  <c r="Y137" i="16"/>
  <c r="Y150" i="16" s="1"/>
  <c r="Y138" i="16"/>
  <c r="Y151" i="16" s="1"/>
  <c r="E141" i="16"/>
  <c r="L265" i="16" s="1"/>
  <c r="D142" i="16"/>
  <c r="D147" i="16" s="1"/>
  <c r="D141" i="16"/>
  <c r="K265" i="16" s="1"/>
  <c r="C141" i="16"/>
  <c r="J265" i="16" s="1"/>
  <c r="E76" i="16"/>
  <c r="L264" i="16" s="1"/>
  <c r="D76" i="16"/>
  <c r="K264" i="16" s="1"/>
  <c r="C76" i="16"/>
  <c r="J264" i="16" s="1"/>
  <c r="G40" i="16"/>
  <c r="G49" i="16" s="1"/>
  <c r="G33" i="16" s="1"/>
  <c r="F63" i="16"/>
  <c r="M255" i="16"/>
  <c r="C142" i="16"/>
  <c r="C147" i="16" s="1"/>
  <c r="K286" i="16"/>
  <c r="D200" i="16"/>
  <c r="D205" i="16" s="1"/>
  <c r="E142" i="16"/>
  <c r="E147" i="16" s="1"/>
  <c r="F105" i="16"/>
  <c r="K287" i="16"/>
  <c r="F103" i="16"/>
  <c r="E77" i="16"/>
  <c r="F102" i="16" s="1"/>
  <c r="F121" i="16"/>
  <c r="F122" i="16" s="1"/>
  <c r="F107" i="16"/>
  <c r="F127" i="16"/>
  <c r="D104" i="16"/>
  <c r="D103" i="16"/>
  <c r="E170" i="16"/>
  <c r="E171" i="16"/>
  <c r="G231" i="16"/>
  <c r="G246" i="16"/>
  <c r="G230" i="16"/>
  <c r="J255" i="16"/>
  <c r="D40" i="16"/>
  <c r="C18" i="16"/>
  <c r="E63" i="16"/>
  <c r="G227" i="16"/>
  <c r="G244" i="16"/>
  <c r="G226" i="16"/>
  <c r="E121" i="16"/>
  <c r="E122" i="16" s="1"/>
  <c r="E108" i="16"/>
  <c r="E107" i="16"/>
  <c r="E127" i="16"/>
  <c r="F168" i="16"/>
  <c r="F169" i="16"/>
  <c r="G104" i="16"/>
  <c r="G103" i="16"/>
  <c r="D227" i="16"/>
  <c r="D244" i="16"/>
  <c r="D226" i="16"/>
  <c r="E245" i="16"/>
  <c r="E229" i="16"/>
  <c r="E228" i="16"/>
  <c r="D63" i="16"/>
  <c r="D231" i="16"/>
  <c r="D246" i="16"/>
  <c r="D230" i="16"/>
  <c r="G181" i="16"/>
  <c r="G172" i="16"/>
  <c r="G173" i="16"/>
  <c r="G185" i="16"/>
  <c r="G186" i="16" s="1"/>
  <c r="L255" i="16"/>
  <c r="F40" i="16"/>
  <c r="E18" i="16"/>
  <c r="E231" i="16"/>
  <c r="E246" i="16"/>
  <c r="E230" i="16"/>
  <c r="F50" i="16"/>
  <c r="F30" i="16" s="1"/>
  <c r="G170" i="16"/>
  <c r="G171" i="16"/>
  <c r="F231" i="16"/>
  <c r="F246" i="16"/>
  <c r="F230" i="16"/>
  <c r="E50" i="16"/>
  <c r="E106" i="16"/>
  <c r="E105" i="16"/>
  <c r="G106" i="16"/>
  <c r="G105" i="16"/>
  <c r="D168" i="16"/>
  <c r="D169" i="16"/>
  <c r="F227" i="16"/>
  <c r="F226" i="16"/>
  <c r="F244" i="16"/>
  <c r="D77" i="16"/>
  <c r="D121" i="16"/>
  <c r="D122" i="16" s="1"/>
  <c r="D108" i="16"/>
  <c r="D127" i="16"/>
  <c r="D107" i="16"/>
  <c r="F170" i="16"/>
  <c r="F171" i="16"/>
  <c r="D170" i="16"/>
  <c r="D171" i="16"/>
  <c r="E227" i="16"/>
  <c r="E244" i="16"/>
  <c r="E226" i="16"/>
  <c r="K255" i="16"/>
  <c r="E40" i="16"/>
  <c r="D18" i="16"/>
  <c r="D50" i="16"/>
  <c r="D36" i="16" s="1"/>
  <c r="E172" i="16"/>
  <c r="E185" i="16"/>
  <c r="E186" i="16" s="1"/>
  <c r="E173" i="16"/>
  <c r="G121" i="16"/>
  <c r="G122" i="16" s="1"/>
  <c r="G108" i="16"/>
  <c r="G127" i="16"/>
  <c r="G117" i="16"/>
  <c r="G107" i="16"/>
  <c r="F77" i="16"/>
  <c r="D106" i="16"/>
  <c r="D105" i="16"/>
  <c r="F172" i="16"/>
  <c r="F173" i="16"/>
  <c r="F185" i="16"/>
  <c r="F186" i="16" s="1"/>
  <c r="D172" i="16"/>
  <c r="D186" i="16"/>
  <c r="D173" i="16"/>
  <c r="G63" i="16"/>
  <c r="F200" i="16"/>
  <c r="C200" i="16"/>
  <c r="E200" i="16"/>
  <c r="G168" i="16"/>
  <c r="G169" i="16"/>
  <c r="F142" i="16"/>
  <c r="C77" i="16"/>
  <c r="G245" i="16"/>
  <c r="G229" i="16"/>
  <c r="G228" i="16"/>
  <c r="D245" i="16"/>
  <c r="D229" i="16"/>
  <c r="D228" i="16"/>
  <c r="F245" i="16"/>
  <c r="F229" i="16"/>
  <c r="F228" i="16"/>
  <c r="Z24" i="16" l="1"/>
  <c r="Z15" i="16"/>
  <c r="N279" i="16" s="1"/>
  <c r="L286" i="16"/>
  <c r="F181" i="16"/>
  <c r="D117" i="16"/>
  <c r="E181" i="16"/>
  <c r="D181" i="16"/>
  <c r="E167" i="16"/>
  <c r="K257" i="16" s="1"/>
  <c r="Z144" i="16"/>
  <c r="N283" i="16" s="1"/>
  <c r="Z139" i="16"/>
  <c r="Z152" i="16" s="1"/>
  <c r="Y84" i="16"/>
  <c r="Y79" i="16"/>
  <c r="M281" i="16" s="1"/>
  <c r="Y148" i="16"/>
  <c r="Y143" i="16"/>
  <c r="M282" i="16" s="1"/>
  <c r="Z206" i="16"/>
  <c r="Z201" i="16"/>
  <c r="N284" i="16" s="1"/>
  <c r="Z84" i="16"/>
  <c r="Z79" i="16"/>
  <c r="N281" i="16" s="1"/>
  <c r="Z207" i="16"/>
  <c r="Z202" i="16"/>
  <c r="N285" i="16" s="1"/>
  <c r="Z83" i="16"/>
  <c r="Z78" i="16"/>
  <c r="N280" i="16" s="1"/>
  <c r="Z148" i="16"/>
  <c r="Y149" i="16"/>
  <c r="Y144" i="16"/>
  <c r="M283" i="16" s="1"/>
  <c r="Y87" i="16"/>
  <c r="Y80" i="16"/>
  <c r="Y83" i="16"/>
  <c r="Y78" i="16"/>
  <c r="M280" i="16" s="1"/>
  <c r="Y201" i="16"/>
  <c r="M284" i="16" s="1"/>
  <c r="Y206" i="16"/>
  <c r="Y145" i="16"/>
  <c r="Y152" i="16"/>
  <c r="Y207" i="16"/>
  <c r="Y202" i="16"/>
  <c r="M285" i="16" s="1"/>
  <c r="Z87" i="16"/>
  <c r="Z80" i="16"/>
  <c r="F167" i="16"/>
  <c r="L257" i="16" s="1"/>
  <c r="D167" i="16"/>
  <c r="J257" i="16" s="1"/>
  <c r="F117" i="16"/>
  <c r="E117" i="16"/>
  <c r="E225" i="16"/>
  <c r="K258" i="16" s="1"/>
  <c r="F98" i="16"/>
  <c r="E82" i="16"/>
  <c r="E247" i="16"/>
  <c r="D128" i="16"/>
  <c r="F128" i="16"/>
  <c r="D30" i="16"/>
  <c r="G35" i="16"/>
  <c r="F36" i="16"/>
  <c r="F32" i="16"/>
  <c r="F34" i="16"/>
  <c r="G28" i="16"/>
  <c r="E128" i="16"/>
  <c r="F96" i="16"/>
  <c r="F225" i="16"/>
  <c r="E205" i="16"/>
  <c r="E267" i="16"/>
  <c r="D23" i="16"/>
  <c r="E34" i="16"/>
  <c r="E32" i="16"/>
  <c r="D49" i="16"/>
  <c r="D28" i="16" s="1"/>
  <c r="D102" i="16"/>
  <c r="C82" i="16"/>
  <c r="D225" i="16"/>
  <c r="C205" i="16"/>
  <c r="F247" i="16"/>
  <c r="G128" i="16"/>
  <c r="F269" i="16"/>
  <c r="F94" i="16"/>
  <c r="F175" i="16"/>
  <c r="F147" i="16"/>
  <c r="G167" i="16"/>
  <c r="F233" i="16"/>
  <c r="E110" i="16"/>
  <c r="D247" i="16"/>
  <c r="G225" i="16"/>
  <c r="F205" i="16"/>
  <c r="G267" i="16"/>
  <c r="F23" i="16"/>
  <c r="G34" i="16"/>
  <c r="G32" i="16"/>
  <c r="G36" i="16"/>
  <c r="E36" i="16"/>
  <c r="E233" i="16"/>
  <c r="D233" i="16"/>
  <c r="G247" i="16"/>
  <c r="G175" i="16"/>
  <c r="G266" i="16"/>
  <c r="F22" i="16"/>
  <c r="D175" i="16"/>
  <c r="G31" i="16"/>
  <c r="L256" i="16"/>
  <c r="F109" i="16"/>
  <c r="F92" i="16" s="1"/>
  <c r="G29" i="16"/>
  <c r="G233" i="16"/>
  <c r="E102" i="16"/>
  <c r="D82" i="16"/>
  <c r="E49" i="16"/>
  <c r="F49" i="16"/>
  <c r="F28" i="16" s="1"/>
  <c r="G102" i="16"/>
  <c r="F82" i="16"/>
  <c r="D267" i="16"/>
  <c r="C23" i="16"/>
  <c r="D34" i="16"/>
  <c r="D32" i="16"/>
  <c r="E30" i="16"/>
  <c r="F267" i="16"/>
  <c r="E23" i="16"/>
  <c r="G110" i="16"/>
  <c r="E175" i="16"/>
  <c r="D110" i="16"/>
  <c r="E174" i="16" l="1"/>
  <c r="E162" i="16" s="1"/>
  <c r="E232" i="16"/>
  <c r="E215" i="16" s="1"/>
  <c r="E87" i="16"/>
  <c r="F258" i="16" s="1"/>
  <c r="D174" i="16"/>
  <c r="D160" i="16" s="1"/>
  <c r="N287" i="16"/>
  <c r="Z143" i="16"/>
  <c r="N282" i="16" s="1"/>
  <c r="N286" i="16" s="1"/>
  <c r="Z145" i="16"/>
  <c r="M286" i="16"/>
  <c r="M287" i="16"/>
  <c r="F174" i="16"/>
  <c r="F157" i="16" s="1"/>
  <c r="G217" i="16"/>
  <c r="F221" i="16"/>
  <c r="D221" i="16"/>
  <c r="K267" i="16"/>
  <c r="G163" i="16"/>
  <c r="E163" i="16"/>
  <c r="L267" i="16"/>
  <c r="D159" i="16"/>
  <c r="F159" i="16"/>
  <c r="G96" i="16"/>
  <c r="M267" i="16"/>
  <c r="D94" i="16"/>
  <c r="D217" i="16"/>
  <c r="G98" i="16"/>
  <c r="E161" i="16"/>
  <c r="F217" i="16"/>
  <c r="F161" i="16"/>
  <c r="F219" i="16"/>
  <c r="F163" i="16"/>
  <c r="E266" i="16"/>
  <c r="D22" i="16"/>
  <c r="E31" i="16"/>
  <c r="E35" i="16"/>
  <c r="E29" i="16"/>
  <c r="E33" i="16"/>
  <c r="E273" i="16"/>
  <c r="D210" i="16"/>
  <c r="D270" i="16"/>
  <c r="E219" i="16"/>
  <c r="E28" i="16"/>
  <c r="D271" i="16"/>
  <c r="C152" i="16"/>
  <c r="E270" i="16"/>
  <c r="E158" i="16"/>
  <c r="G256" i="16"/>
  <c r="D219" i="16"/>
  <c r="M256" i="16"/>
  <c r="G109" i="16"/>
  <c r="G92" i="16" s="1"/>
  <c r="F152" i="16"/>
  <c r="G271" i="16"/>
  <c r="E256" i="16"/>
  <c r="F256" i="16"/>
  <c r="G273" i="16"/>
  <c r="F210" i="16"/>
  <c r="J258" i="16"/>
  <c r="D232" i="16"/>
  <c r="D215" i="16" s="1"/>
  <c r="D269" i="16"/>
  <c r="C87" i="16"/>
  <c r="E271" i="16"/>
  <c r="D152" i="16"/>
  <c r="E159" i="16"/>
  <c r="F266" i="16"/>
  <c r="E22" i="16"/>
  <c r="F29" i="16"/>
  <c r="F31" i="16"/>
  <c r="F35" i="16"/>
  <c r="F33" i="16"/>
  <c r="G159" i="16"/>
  <c r="D273" i="16"/>
  <c r="C210" i="16"/>
  <c r="D163" i="16"/>
  <c r="M258" i="16"/>
  <c r="G232" i="16"/>
  <c r="G215" i="16" s="1"/>
  <c r="E269" i="16"/>
  <c r="D87" i="16"/>
  <c r="E94" i="16"/>
  <c r="M257" i="16"/>
  <c r="G174" i="16"/>
  <c r="G157" i="16" s="1"/>
  <c r="J256" i="16"/>
  <c r="D109" i="16"/>
  <c r="D92" i="16" s="1"/>
  <c r="G219" i="16"/>
  <c r="D96" i="16"/>
  <c r="G94" i="16"/>
  <c r="G221" i="16"/>
  <c r="F268" i="16"/>
  <c r="E86" i="16"/>
  <c r="F95" i="16"/>
  <c r="F97" i="16"/>
  <c r="F93" i="16"/>
  <c r="E221" i="16"/>
  <c r="E96" i="16"/>
  <c r="D256" i="16"/>
  <c r="G269" i="16"/>
  <c r="F87" i="16"/>
  <c r="D98" i="16"/>
  <c r="G255" i="16"/>
  <c r="G161" i="16"/>
  <c r="D266" i="16"/>
  <c r="C22" i="16"/>
  <c r="D33" i="16"/>
  <c r="D31" i="16"/>
  <c r="D29" i="16"/>
  <c r="D35" i="16"/>
  <c r="D161" i="16"/>
  <c r="K256" i="16"/>
  <c r="K259" i="16" s="1"/>
  <c r="E109" i="16"/>
  <c r="E217" i="16"/>
  <c r="F273" i="16"/>
  <c r="E210" i="16"/>
  <c r="F271" i="16"/>
  <c r="E152" i="16"/>
  <c r="E98" i="16"/>
  <c r="L258" i="16"/>
  <c r="L259" i="16" s="1"/>
  <c r="F232" i="16"/>
  <c r="D157" i="16" l="1"/>
  <c r="D158" i="16"/>
  <c r="D162" i="16"/>
  <c r="D151" i="16"/>
  <c r="E259" i="16" s="1"/>
  <c r="E157" i="16"/>
  <c r="E160" i="16"/>
  <c r="E216" i="16"/>
  <c r="E272" i="16"/>
  <c r="E218" i="16"/>
  <c r="E261" i="16"/>
  <c r="E220" i="16"/>
  <c r="C151" i="16"/>
  <c r="D259" i="16" s="1"/>
  <c r="F160" i="16"/>
  <c r="F162" i="16"/>
  <c r="F158" i="16"/>
  <c r="E151" i="16"/>
  <c r="F259" i="16" s="1"/>
  <c r="F270" i="16"/>
  <c r="J267" i="16"/>
  <c r="E275" i="16"/>
  <c r="D291" i="16" s="1"/>
  <c r="E268" i="16"/>
  <c r="D86" i="16"/>
  <c r="E93" i="16"/>
  <c r="E97" i="16"/>
  <c r="E95" i="16"/>
  <c r="E212" i="16"/>
  <c r="F262" i="16"/>
  <c r="D255" i="16"/>
  <c r="F151" i="16"/>
  <c r="G270" i="16"/>
  <c r="G160" i="16"/>
  <c r="G162" i="16"/>
  <c r="G158" i="16"/>
  <c r="F255" i="16"/>
  <c r="D262" i="16"/>
  <c r="C212" i="16"/>
  <c r="F272" i="16"/>
  <c r="F220" i="16"/>
  <c r="F216" i="16"/>
  <c r="F218" i="16"/>
  <c r="D268" i="16"/>
  <c r="C86" i="16"/>
  <c r="D95" i="16"/>
  <c r="D93" i="16"/>
  <c r="D97" i="16"/>
  <c r="E258" i="16"/>
  <c r="E260" i="16"/>
  <c r="G260" i="16"/>
  <c r="D272" i="16"/>
  <c r="C209" i="16"/>
  <c r="D220" i="16"/>
  <c r="D216" i="16"/>
  <c r="D218" i="16"/>
  <c r="F215" i="16"/>
  <c r="G275" i="16"/>
  <c r="G282" i="16" s="1"/>
  <c r="F257" i="16"/>
  <c r="J259" i="16"/>
  <c r="F212" i="16"/>
  <c r="G262" i="16"/>
  <c r="G268" i="16"/>
  <c r="F86" i="16"/>
  <c r="G93" i="16"/>
  <c r="G97" i="16"/>
  <c r="G95" i="16"/>
  <c r="E255" i="16"/>
  <c r="F260" i="16"/>
  <c r="E92" i="16"/>
  <c r="G258" i="16"/>
  <c r="G272" i="16"/>
  <c r="G216" i="16"/>
  <c r="G218" i="16"/>
  <c r="G220" i="16"/>
  <c r="D275" i="16"/>
  <c r="D286" i="16" s="1"/>
  <c r="M259" i="16"/>
  <c r="D260" i="16"/>
  <c r="F275" i="16"/>
  <c r="F284" i="16" s="1"/>
  <c r="D258" i="16"/>
  <c r="E262" i="16"/>
  <c r="D212" i="16"/>
  <c r="M45" i="10"/>
  <c r="E274" i="16" l="1"/>
  <c r="D290" i="16" s="1"/>
  <c r="D211" i="16"/>
  <c r="E284" i="16"/>
  <c r="E282" i="16"/>
  <c r="E286" i="16"/>
  <c r="G286" i="16"/>
  <c r="F286" i="16"/>
  <c r="E280" i="16"/>
  <c r="G284" i="16"/>
  <c r="G259" i="16"/>
  <c r="D257" i="16"/>
  <c r="E257" i="16"/>
  <c r="F274" i="16"/>
  <c r="C291" i="16"/>
  <c r="D280" i="16"/>
  <c r="E291" i="16"/>
  <c r="F280" i="16"/>
  <c r="F282" i="16"/>
  <c r="D282" i="16"/>
  <c r="G261" i="16"/>
  <c r="F211" i="16"/>
  <c r="G257" i="16"/>
  <c r="D274" i="16"/>
  <c r="F291" i="16"/>
  <c r="G280" i="16"/>
  <c r="D284" i="16"/>
  <c r="G274" i="16"/>
  <c r="D261" i="16"/>
  <c r="C211" i="16"/>
  <c r="F261" i="16"/>
  <c r="E211" i="16"/>
  <c r="E52" i="15"/>
  <c r="E285" i="16" l="1"/>
  <c r="E283" i="16"/>
  <c r="E279" i="16"/>
  <c r="E281" i="16"/>
  <c r="F285" i="16"/>
  <c r="D281" i="16"/>
  <c r="G285" i="16"/>
  <c r="D285" i="16"/>
  <c r="F290" i="16"/>
  <c r="G279" i="16"/>
  <c r="E290" i="16"/>
  <c r="F279" i="16"/>
  <c r="F283" i="16"/>
  <c r="F281" i="16"/>
  <c r="G281" i="16"/>
  <c r="C290" i="16"/>
  <c r="D279" i="16"/>
  <c r="D283" i="16"/>
  <c r="G283" i="16"/>
  <c r="F52" i="15"/>
  <c r="Q75" i="15" l="1"/>
  <c r="Q74" i="15"/>
  <c r="E57" i="15"/>
  <c r="D57" i="15"/>
  <c r="P200" i="15"/>
  <c r="O200" i="15"/>
  <c r="L200" i="15" s="1"/>
  <c r="N200" i="15"/>
  <c r="J200" i="15"/>
  <c r="P199" i="15"/>
  <c r="O199" i="15"/>
  <c r="L199" i="15" s="1"/>
  <c r="N199" i="15"/>
  <c r="J199" i="15"/>
  <c r="P198" i="15"/>
  <c r="O198" i="15"/>
  <c r="L198" i="15" s="1"/>
  <c r="N198" i="15"/>
  <c r="J198" i="15"/>
  <c r="P197" i="15"/>
  <c r="O197" i="15"/>
  <c r="L197" i="15" s="1"/>
  <c r="N197" i="15"/>
  <c r="J197" i="15"/>
  <c r="P196" i="15"/>
  <c r="O196" i="15"/>
  <c r="L196" i="15" s="1"/>
  <c r="N196" i="15"/>
  <c r="J196" i="15"/>
  <c r="P195" i="15"/>
  <c r="L195" i="15" s="1"/>
  <c r="O195" i="15"/>
  <c r="N195" i="15"/>
  <c r="J195" i="15"/>
  <c r="P194" i="15"/>
  <c r="O194" i="15"/>
  <c r="N194" i="15"/>
  <c r="L194" i="15"/>
  <c r="J194" i="15"/>
  <c r="P193" i="15"/>
  <c r="O193" i="15"/>
  <c r="L193" i="15" s="1"/>
  <c r="N193" i="15"/>
  <c r="J193" i="15"/>
  <c r="P192" i="15"/>
  <c r="O192" i="15"/>
  <c r="L192" i="15" s="1"/>
  <c r="N192" i="15"/>
  <c r="J192" i="15"/>
  <c r="P191" i="15"/>
  <c r="O191" i="15"/>
  <c r="L191" i="15" s="1"/>
  <c r="N191" i="15"/>
  <c r="J191" i="15"/>
  <c r="P190" i="15"/>
  <c r="O190" i="15"/>
  <c r="L190" i="15" s="1"/>
  <c r="N190" i="15"/>
  <c r="J190" i="15"/>
  <c r="P189" i="15"/>
  <c r="O189" i="15"/>
  <c r="L189" i="15" s="1"/>
  <c r="N189" i="15"/>
  <c r="J189" i="15"/>
  <c r="P188" i="15"/>
  <c r="O188" i="15"/>
  <c r="L188" i="15" s="1"/>
  <c r="N188" i="15"/>
  <c r="J188" i="15"/>
  <c r="P187" i="15"/>
  <c r="L187" i="15" s="1"/>
  <c r="O187" i="15"/>
  <c r="N187" i="15"/>
  <c r="J187" i="15"/>
  <c r="P186" i="15"/>
  <c r="O186" i="15"/>
  <c r="N186" i="15"/>
  <c r="L186" i="15"/>
  <c r="J186" i="15"/>
  <c r="P185" i="15"/>
  <c r="O185" i="15"/>
  <c r="L185" i="15" s="1"/>
  <c r="N185" i="15"/>
  <c r="J185" i="15"/>
  <c r="P184" i="15"/>
  <c r="O184" i="15"/>
  <c r="L184" i="15" s="1"/>
  <c r="N184" i="15"/>
  <c r="J184" i="15"/>
  <c r="P183" i="15"/>
  <c r="O183" i="15"/>
  <c r="L183" i="15" s="1"/>
  <c r="N183" i="15"/>
  <c r="J183" i="15"/>
  <c r="P182" i="15"/>
  <c r="O182" i="15"/>
  <c r="N182" i="15"/>
  <c r="L182" i="15"/>
  <c r="J182" i="15"/>
  <c r="P181" i="15"/>
  <c r="L181" i="15" s="1"/>
  <c r="O181" i="15"/>
  <c r="N181" i="15"/>
  <c r="J181" i="15"/>
  <c r="P180" i="15"/>
  <c r="O180" i="15"/>
  <c r="L180" i="15" s="1"/>
  <c r="N180" i="15"/>
  <c r="J180" i="15"/>
  <c r="P179" i="15"/>
  <c r="O179" i="15"/>
  <c r="N179" i="15"/>
  <c r="L179" i="15"/>
  <c r="J179" i="15"/>
  <c r="P178" i="15"/>
  <c r="O178" i="15"/>
  <c r="N178" i="15"/>
  <c r="L178" i="15"/>
  <c r="J178" i="15"/>
  <c r="P177" i="15"/>
  <c r="O177" i="15"/>
  <c r="L177" i="15" s="1"/>
  <c r="N177" i="15"/>
  <c r="J177" i="15"/>
  <c r="P176" i="15"/>
  <c r="L176" i="15" s="1"/>
  <c r="O176" i="15"/>
  <c r="N176" i="15"/>
  <c r="J176" i="15"/>
  <c r="P175" i="15"/>
  <c r="O175" i="15"/>
  <c r="L175" i="15" s="1"/>
  <c r="N175" i="15"/>
  <c r="J175" i="15"/>
  <c r="P174" i="15"/>
  <c r="O174" i="15"/>
  <c r="N174" i="15"/>
  <c r="L174" i="15"/>
  <c r="J174" i="15"/>
  <c r="P173" i="15"/>
  <c r="L173" i="15" s="1"/>
  <c r="O173" i="15"/>
  <c r="N173" i="15"/>
  <c r="J173" i="15"/>
  <c r="P172" i="15"/>
  <c r="O172" i="15"/>
  <c r="L172" i="15" s="1"/>
  <c r="N172" i="15"/>
  <c r="J172" i="15"/>
  <c r="P171" i="15"/>
  <c r="O171" i="15"/>
  <c r="N171" i="15"/>
  <c r="L171" i="15"/>
  <c r="J171" i="15"/>
  <c r="P170" i="15"/>
  <c r="O170" i="15"/>
  <c r="N170" i="15"/>
  <c r="L170" i="15"/>
  <c r="J170" i="15"/>
  <c r="P169" i="15"/>
  <c r="O169" i="15"/>
  <c r="L169" i="15" s="1"/>
  <c r="N169" i="15"/>
  <c r="J169" i="15"/>
  <c r="P168" i="15"/>
  <c r="L168" i="15" s="1"/>
  <c r="O168" i="15"/>
  <c r="N168" i="15"/>
  <c r="J168" i="15"/>
  <c r="P167" i="15"/>
  <c r="O167" i="15"/>
  <c r="L167" i="15" s="1"/>
  <c r="N167" i="15"/>
  <c r="J167" i="15"/>
  <c r="P166" i="15"/>
  <c r="O166" i="15"/>
  <c r="N166" i="15"/>
  <c r="L166" i="15"/>
  <c r="J166" i="15"/>
  <c r="P165" i="15"/>
  <c r="L165" i="15" s="1"/>
  <c r="O165" i="15"/>
  <c r="N165" i="15"/>
  <c r="J165" i="15"/>
  <c r="P164" i="15"/>
  <c r="O164" i="15"/>
  <c r="L164" i="15" s="1"/>
  <c r="N164" i="15"/>
  <c r="J164" i="15"/>
  <c r="P163" i="15"/>
  <c r="O163" i="15"/>
  <c r="N163" i="15"/>
  <c r="L163" i="15"/>
  <c r="J163" i="15"/>
  <c r="P162" i="15"/>
  <c r="O162" i="15"/>
  <c r="N162" i="15"/>
  <c r="L162" i="15"/>
  <c r="J162" i="15"/>
  <c r="P161" i="15"/>
  <c r="O161" i="15"/>
  <c r="L161" i="15" s="1"/>
  <c r="N161" i="15"/>
  <c r="J161" i="15"/>
  <c r="P160" i="15"/>
  <c r="L160" i="15" s="1"/>
  <c r="O160" i="15"/>
  <c r="N160" i="15"/>
  <c r="J160" i="15"/>
  <c r="P159" i="15"/>
  <c r="O159" i="15"/>
  <c r="L159" i="15" s="1"/>
  <c r="N159" i="15"/>
  <c r="J159" i="15"/>
  <c r="P158" i="15"/>
  <c r="O158" i="15"/>
  <c r="N158" i="15"/>
  <c r="L158" i="15"/>
  <c r="J158" i="15"/>
  <c r="P157" i="15"/>
  <c r="L157" i="15" s="1"/>
  <c r="O157" i="15"/>
  <c r="N157" i="15"/>
  <c r="J157" i="15"/>
  <c r="P156" i="15"/>
  <c r="O156" i="15"/>
  <c r="L156" i="15" s="1"/>
  <c r="N156" i="15"/>
  <c r="J156" i="15"/>
  <c r="P155" i="15"/>
  <c r="O155" i="15"/>
  <c r="N155" i="15"/>
  <c r="L155" i="15"/>
  <c r="J155" i="15"/>
  <c r="P154" i="15"/>
  <c r="O154" i="15"/>
  <c r="N154" i="15"/>
  <c r="L154" i="15"/>
  <c r="J154" i="15"/>
  <c r="P153" i="15"/>
  <c r="O153" i="15"/>
  <c r="L153" i="15" s="1"/>
  <c r="N153" i="15"/>
  <c r="J153" i="15"/>
  <c r="P152" i="15"/>
  <c r="L152" i="15" s="1"/>
  <c r="O152" i="15"/>
  <c r="N152" i="15"/>
  <c r="J152" i="15"/>
  <c r="P151" i="15"/>
  <c r="O151" i="15"/>
  <c r="L151" i="15" s="1"/>
  <c r="N151" i="15"/>
  <c r="J151" i="15"/>
  <c r="P150" i="15"/>
  <c r="O150" i="15"/>
  <c r="N150" i="15"/>
  <c r="L150" i="15"/>
  <c r="J150" i="15"/>
  <c r="P149" i="15"/>
  <c r="L149" i="15" s="1"/>
  <c r="O149" i="15"/>
  <c r="N149" i="15"/>
  <c r="J149" i="15"/>
  <c r="P148" i="15"/>
  <c r="O148" i="15"/>
  <c r="L148" i="15" s="1"/>
  <c r="N148" i="15"/>
  <c r="J148" i="15"/>
  <c r="P147" i="15"/>
  <c r="O147" i="15"/>
  <c r="N147" i="15"/>
  <c r="L147" i="15"/>
  <c r="J147" i="15"/>
  <c r="P146" i="15"/>
  <c r="O146" i="15"/>
  <c r="N146" i="15"/>
  <c r="L146" i="15"/>
  <c r="J146" i="15"/>
  <c r="P145" i="15"/>
  <c r="O145" i="15"/>
  <c r="L145" i="15" s="1"/>
  <c r="N145" i="15"/>
  <c r="J145" i="15"/>
  <c r="P144" i="15"/>
  <c r="L144" i="15" s="1"/>
  <c r="O144" i="15"/>
  <c r="N144" i="15"/>
  <c r="J144" i="15"/>
  <c r="P143" i="15"/>
  <c r="O143" i="15"/>
  <c r="L143" i="15" s="1"/>
  <c r="N143" i="15"/>
  <c r="J143" i="15"/>
  <c r="P142" i="15"/>
  <c r="O142" i="15"/>
  <c r="N142" i="15"/>
  <c r="L142" i="15"/>
  <c r="J142" i="15"/>
  <c r="P141" i="15"/>
  <c r="L141" i="15" s="1"/>
  <c r="O141" i="15"/>
  <c r="N141" i="15"/>
  <c r="J141" i="15"/>
  <c r="P140" i="15"/>
  <c r="O140" i="15"/>
  <c r="L140" i="15" s="1"/>
  <c r="N140" i="15"/>
  <c r="J140" i="15"/>
  <c r="P139" i="15"/>
  <c r="O139" i="15"/>
  <c r="N139" i="15"/>
  <c r="L139" i="15"/>
  <c r="J139" i="15"/>
  <c r="P138" i="15"/>
  <c r="O138" i="15"/>
  <c r="N138" i="15"/>
  <c r="L138" i="15"/>
  <c r="J138" i="15"/>
  <c r="P137" i="15"/>
  <c r="O137" i="15"/>
  <c r="N137" i="15"/>
  <c r="L137" i="15"/>
  <c r="J137" i="15"/>
  <c r="P136" i="15"/>
  <c r="O136" i="15"/>
  <c r="N136" i="15"/>
  <c r="L136" i="15"/>
  <c r="J136" i="15"/>
  <c r="P135" i="15"/>
  <c r="O135" i="15"/>
  <c r="N135" i="15"/>
  <c r="L135" i="15"/>
  <c r="J135" i="15"/>
  <c r="P134" i="15"/>
  <c r="O134" i="15"/>
  <c r="N134" i="15"/>
  <c r="L134" i="15"/>
  <c r="J134" i="15"/>
  <c r="P133" i="15"/>
  <c r="L133" i="15" s="1"/>
  <c r="O133" i="15"/>
  <c r="N133" i="15"/>
  <c r="J133" i="15"/>
  <c r="P132" i="15"/>
  <c r="O132" i="15"/>
  <c r="L132" i="15" s="1"/>
  <c r="N132" i="15"/>
  <c r="J132" i="15"/>
  <c r="P131" i="15"/>
  <c r="O131" i="15"/>
  <c r="N131" i="15"/>
  <c r="L131" i="15"/>
  <c r="J131" i="15"/>
  <c r="P130" i="15"/>
  <c r="O130" i="15"/>
  <c r="N130" i="15"/>
  <c r="L130" i="15"/>
  <c r="J130" i="15"/>
  <c r="P129" i="15"/>
  <c r="O129" i="15"/>
  <c r="L129" i="15" s="1"/>
  <c r="N129" i="15"/>
  <c r="J129" i="15"/>
  <c r="P128" i="15"/>
  <c r="O128" i="15"/>
  <c r="L128" i="15" s="1"/>
  <c r="N128" i="15"/>
  <c r="J128" i="15"/>
  <c r="P127" i="15"/>
  <c r="O127" i="15"/>
  <c r="N127" i="15"/>
  <c r="L127" i="15"/>
  <c r="J127" i="15"/>
  <c r="P126" i="15"/>
  <c r="O126" i="15"/>
  <c r="N126" i="15"/>
  <c r="L126" i="15"/>
  <c r="J126" i="15"/>
  <c r="P125" i="15"/>
  <c r="L125" i="15" s="1"/>
  <c r="O125" i="15"/>
  <c r="N125" i="15"/>
  <c r="J125" i="15"/>
  <c r="P124" i="15"/>
  <c r="O124" i="15"/>
  <c r="L124" i="15" s="1"/>
  <c r="N124" i="15"/>
  <c r="J124" i="15"/>
  <c r="P123" i="15"/>
  <c r="O123" i="15"/>
  <c r="N123" i="15"/>
  <c r="L123" i="15"/>
  <c r="J123" i="15"/>
  <c r="P122" i="15"/>
  <c r="O122" i="15"/>
  <c r="N122" i="15"/>
  <c r="L122" i="15"/>
  <c r="J122" i="15"/>
  <c r="P121" i="15"/>
  <c r="O121" i="15"/>
  <c r="L121" i="15" s="1"/>
  <c r="N121" i="15"/>
  <c r="J121" i="15"/>
  <c r="P120" i="15"/>
  <c r="O120" i="15"/>
  <c r="N120" i="15"/>
  <c r="L120" i="15"/>
  <c r="J120" i="15"/>
  <c r="P119" i="15"/>
  <c r="O119" i="15"/>
  <c r="N119" i="15"/>
  <c r="L119" i="15"/>
  <c r="J119" i="15"/>
  <c r="P118" i="15"/>
  <c r="O118" i="15"/>
  <c r="N118" i="15"/>
  <c r="L118" i="15"/>
  <c r="J118" i="15"/>
  <c r="P117" i="15"/>
  <c r="L117" i="15" s="1"/>
  <c r="O117" i="15"/>
  <c r="N117" i="15"/>
  <c r="J117" i="15"/>
  <c r="P116" i="15"/>
  <c r="O116" i="15"/>
  <c r="L116" i="15" s="1"/>
  <c r="N116" i="15"/>
  <c r="J116" i="15"/>
  <c r="P115" i="15"/>
  <c r="O115" i="15"/>
  <c r="N115" i="15"/>
  <c r="L115" i="15"/>
  <c r="J115" i="15"/>
  <c r="P114" i="15"/>
  <c r="O114" i="15"/>
  <c r="N114" i="15"/>
  <c r="L114" i="15"/>
  <c r="J114" i="15"/>
  <c r="P113" i="15"/>
  <c r="O113" i="15"/>
  <c r="L113" i="15" s="1"/>
  <c r="N113" i="15"/>
  <c r="J113" i="15"/>
  <c r="P112" i="15"/>
  <c r="O112" i="15"/>
  <c r="N112" i="15"/>
  <c r="L112" i="15"/>
  <c r="J112" i="15"/>
  <c r="P111" i="15"/>
  <c r="O111" i="15"/>
  <c r="N111" i="15"/>
  <c r="L111" i="15"/>
  <c r="J111" i="15"/>
  <c r="P110" i="15"/>
  <c r="O110" i="15"/>
  <c r="N110" i="15"/>
  <c r="L110" i="15"/>
  <c r="J110" i="15"/>
  <c r="P109" i="15"/>
  <c r="L109" i="15" s="1"/>
  <c r="O109" i="15"/>
  <c r="N109" i="15"/>
  <c r="J109" i="15"/>
  <c r="P108" i="15"/>
  <c r="O108" i="15"/>
  <c r="L108" i="15" s="1"/>
  <c r="N108" i="15"/>
  <c r="J108" i="15"/>
  <c r="P107" i="15"/>
  <c r="O107" i="15"/>
  <c r="N107" i="15"/>
  <c r="L107" i="15"/>
  <c r="J107" i="15"/>
  <c r="P106" i="15"/>
  <c r="O106" i="15"/>
  <c r="N106" i="15"/>
  <c r="L106" i="15"/>
  <c r="J106" i="15"/>
  <c r="P105" i="15"/>
  <c r="O105" i="15"/>
  <c r="N105" i="15"/>
  <c r="L105" i="15"/>
  <c r="J105" i="15"/>
  <c r="P104" i="15"/>
  <c r="O104" i="15"/>
  <c r="L104" i="15" s="1"/>
  <c r="N104" i="15"/>
  <c r="J104" i="15"/>
  <c r="P103" i="15"/>
  <c r="O103" i="15"/>
  <c r="N103" i="15"/>
  <c r="L103" i="15"/>
  <c r="J103" i="15"/>
  <c r="P102" i="15"/>
  <c r="O102" i="15"/>
  <c r="N102" i="15"/>
  <c r="L102" i="15"/>
  <c r="J102" i="15"/>
  <c r="P101" i="15"/>
  <c r="O101" i="15"/>
  <c r="N101" i="15"/>
  <c r="L101" i="15"/>
  <c r="J101" i="15"/>
  <c r="P100" i="15"/>
  <c r="O100" i="15"/>
  <c r="N100" i="15"/>
  <c r="L100" i="15" s="1"/>
  <c r="J100" i="15"/>
  <c r="P99" i="15"/>
  <c r="O99" i="15"/>
  <c r="N99" i="15"/>
  <c r="L99" i="15" s="1"/>
  <c r="J99" i="15"/>
  <c r="P98" i="15"/>
  <c r="O98" i="15"/>
  <c r="N98" i="15"/>
  <c r="L98" i="15"/>
  <c r="J98" i="15"/>
  <c r="P97" i="15"/>
  <c r="O97" i="15"/>
  <c r="N97" i="15"/>
  <c r="L97" i="15"/>
  <c r="J97" i="15"/>
  <c r="P96" i="15"/>
  <c r="O96" i="15"/>
  <c r="N96" i="15"/>
  <c r="L96" i="15"/>
  <c r="J96" i="15"/>
  <c r="P95" i="15"/>
  <c r="O95" i="15"/>
  <c r="N95" i="15"/>
  <c r="L95" i="15"/>
  <c r="J95" i="15"/>
  <c r="P94" i="15"/>
  <c r="O94" i="15"/>
  <c r="N94" i="15"/>
  <c r="L94" i="15" s="1"/>
  <c r="J94" i="15"/>
  <c r="P93" i="15"/>
  <c r="O93" i="15"/>
  <c r="N93" i="15"/>
  <c r="L93" i="15"/>
  <c r="J93" i="15"/>
  <c r="P92" i="15"/>
  <c r="O92" i="15"/>
  <c r="N92" i="15"/>
  <c r="L92" i="15" s="1"/>
  <c r="J92" i="15"/>
  <c r="P91" i="15"/>
  <c r="O91" i="15"/>
  <c r="N91" i="15"/>
  <c r="L91" i="15" s="1"/>
  <c r="J91" i="15"/>
  <c r="D87" i="15"/>
  <c r="D88" i="15" s="1"/>
  <c r="D89" i="15" s="1"/>
  <c r="D90" i="15" s="1"/>
  <c r="D91" i="15" s="1"/>
  <c r="D92" i="15" s="1"/>
  <c r="D93" i="15" s="1"/>
  <c r="D94" i="15" s="1"/>
  <c r="D95" i="15" s="1"/>
  <c r="D96" i="15" s="1"/>
  <c r="D97" i="15" s="1"/>
  <c r="D98" i="15" s="1"/>
  <c r="D99" i="15" s="1"/>
  <c r="D100" i="15" s="1"/>
  <c r="D101" i="15" s="1"/>
  <c r="D102" i="15" s="1"/>
  <c r="D103" i="15" s="1"/>
  <c r="D104" i="15" s="1"/>
  <c r="D105" i="15" s="1"/>
  <c r="D106" i="15" s="1"/>
  <c r="D107" i="15" s="1"/>
  <c r="D108" i="15" s="1"/>
  <c r="D109" i="15" s="1"/>
  <c r="D110" i="15" s="1"/>
  <c r="D111" i="15" s="1"/>
  <c r="D112" i="15" s="1"/>
  <c r="D113" i="15" s="1"/>
  <c r="D114" i="15" s="1"/>
  <c r="D115" i="15" s="1"/>
  <c r="D116" i="15" s="1"/>
  <c r="D117" i="15" s="1"/>
  <c r="D118" i="15" s="1"/>
  <c r="D119" i="15" s="1"/>
  <c r="D120" i="15" s="1"/>
  <c r="D121" i="15" s="1"/>
  <c r="D122" i="15" s="1"/>
  <c r="D123" i="15" s="1"/>
  <c r="D124" i="15" s="1"/>
  <c r="D125" i="15" s="1"/>
  <c r="D126" i="15" s="1"/>
  <c r="D127" i="15" s="1"/>
  <c r="D128" i="15" s="1"/>
  <c r="D129" i="15" s="1"/>
  <c r="D130" i="15" s="1"/>
  <c r="D131" i="15" s="1"/>
  <c r="D132" i="15" s="1"/>
  <c r="D133" i="15" s="1"/>
  <c r="D134" i="15" s="1"/>
  <c r="D135" i="15" s="1"/>
  <c r="D136" i="15" s="1"/>
  <c r="D137" i="15" s="1"/>
  <c r="D138" i="15" s="1"/>
  <c r="D139" i="15" s="1"/>
  <c r="D140" i="15" s="1"/>
  <c r="D141" i="15" s="1"/>
  <c r="D142" i="15" s="1"/>
  <c r="D143" i="15" s="1"/>
  <c r="D144" i="15" s="1"/>
  <c r="D145" i="15" s="1"/>
  <c r="D146" i="15" s="1"/>
  <c r="D147" i="15" s="1"/>
  <c r="D148" i="15" s="1"/>
  <c r="D149" i="15" s="1"/>
  <c r="D150" i="15" s="1"/>
  <c r="D151" i="15" s="1"/>
  <c r="D152" i="15" s="1"/>
  <c r="D153" i="15" s="1"/>
  <c r="D154" i="15" s="1"/>
  <c r="D155" i="15" s="1"/>
  <c r="D156" i="15" s="1"/>
  <c r="D157" i="15" s="1"/>
  <c r="D158" i="15" s="1"/>
  <c r="D159" i="15" s="1"/>
  <c r="D160" i="15" s="1"/>
  <c r="D161" i="15" s="1"/>
  <c r="D162" i="15" s="1"/>
  <c r="D163" i="15" s="1"/>
  <c r="D164" i="15" s="1"/>
  <c r="D165" i="15" s="1"/>
  <c r="D166" i="15" s="1"/>
  <c r="D167" i="15" s="1"/>
  <c r="D168" i="15" s="1"/>
  <c r="D169" i="15" s="1"/>
  <c r="D170" i="15" s="1"/>
  <c r="D171" i="15" s="1"/>
  <c r="D172" i="15" s="1"/>
  <c r="D173" i="15" s="1"/>
  <c r="D174" i="15" s="1"/>
  <c r="D175" i="15" s="1"/>
  <c r="D176" i="15" s="1"/>
  <c r="D177" i="15" s="1"/>
  <c r="D178" i="15" s="1"/>
  <c r="D179" i="15" s="1"/>
  <c r="D180" i="15" s="1"/>
  <c r="C87" i="15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109" i="15" s="1"/>
  <c r="C110" i="15" s="1"/>
  <c r="C111" i="15" s="1"/>
  <c r="C112" i="15" s="1"/>
  <c r="C113" i="15" s="1"/>
  <c r="C114" i="15" s="1"/>
  <c r="C115" i="15" s="1"/>
  <c r="C116" i="15" s="1"/>
  <c r="C117" i="15" s="1"/>
  <c r="C118" i="15" s="1"/>
  <c r="C119" i="15" s="1"/>
  <c r="C120" i="15" s="1"/>
  <c r="C121" i="15" s="1"/>
  <c r="C122" i="15" s="1"/>
  <c r="C123" i="15" s="1"/>
  <c r="C124" i="15" s="1"/>
  <c r="C125" i="15" s="1"/>
  <c r="C126" i="15" s="1"/>
  <c r="C127" i="15" s="1"/>
  <c r="C128" i="15" s="1"/>
  <c r="C129" i="15" s="1"/>
  <c r="C130" i="15" s="1"/>
  <c r="C131" i="15" s="1"/>
  <c r="C132" i="15" s="1"/>
  <c r="C133" i="15" s="1"/>
  <c r="C134" i="15" s="1"/>
  <c r="C135" i="15" s="1"/>
  <c r="C136" i="15" s="1"/>
  <c r="C137" i="15" s="1"/>
  <c r="C138" i="15" s="1"/>
  <c r="C139" i="15" s="1"/>
  <c r="C140" i="15" s="1"/>
  <c r="C141" i="15" s="1"/>
  <c r="C142" i="15" s="1"/>
  <c r="C143" i="15" s="1"/>
  <c r="C144" i="15" s="1"/>
  <c r="C145" i="15" s="1"/>
  <c r="C146" i="15" s="1"/>
  <c r="C147" i="15" s="1"/>
  <c r="C148" i="15" s="1"/>
  <c r="C149" i="15" s="1"/>
  <c r="C150" i="15" s="1"/>
  <c r="C151" i="15" s="1"/>
  <c r="C152" i="15" s="1"/>
  <c r="C153" i="15" s="1"/>
  <c r="C154" i="15" s="1"/>
  <c r="C155" i="15" s="1"/>
  <c r="C156" i="15" s="1"/>
  <c r="C157" i="15" s="1"/>
  <c r="C158" i="15" s="1"/>
  <c r="C159" i="15" s="1"/>
  <c r="C160" i="15" s="1"/>
  <c r="C161" i="15" s="1"/>
  <c r="C162" i="15" s="1"/>
  <c r="C163" i="15" s="1"/>
  <c r="C164" i="15" s="1"/>
  <c r="C165" i="15" s="1"/>
  <c r="C166" i="15" s="1"/>
  <c r="C167" i="15" s="1"/>
  <c r="C168" i="15" s="1"/>
  <c r="C169" i="15" s="1"/>
  <c r="C170" i="15" s="1"/>
  <c r="C171" i="15" s="1"/>
  <c r="C172" i="15" s="1"/>
  <c r="C173" i="15" s="1"/>
  <c r="C174" i="15" s="1"/>
  <c r="C175" i="15" s="1"/>
  <c r="C176" i="15" s="1"/>
  <c r="C177" i="15" s="1"/>
  <c r="C178" i="15" s="1"/>
  <c r="C179" i="15" s="1"/>
  <c r="C180" i="15" s="1"/>
  <c r="C181" i="15" s="1"/>
  <c r="C182" i="15" s="1"/>
  <c r="C183" i="15" s="1"/>
  <c r="C184" i="15" s="1"/>
  <c r="C185" i="15" s="1"/>
  <c r="C186" i="15" s="1"/>
  <c r="C83" i="15"/>
  <c r="C82" i="15"/>
  <c r="C81" i="15"/>
  <c r="C80" i="15"/>
  <c r="C65" i="15"/>
  <c r="C25" i="15"/>
  <c r="C26" i="15" s="1"/>
  <c r="C27" i="15" s="1"/>
  <c r="C28" i="15" s="1"/>
  <c r="C29" i="15" s="1"/>
  <c r="C30" i="15" s="1"/>
  <c r="C31" i="15" s="1"/>
  <c r="C32" i="15" s="1"/>
  <c r="C33" i="15" s="1"/>
  <c r="C34" i="15" s="1"/>
  <c r="C35" i="15" s="1"/>
  <c r="C36" i="15" s="1"/>
  <c r="C37" i="15" s="1"/>
  <c r="C38" i="15" s="1"/>
  <c r="C39" i="15" s="1"/>
  <c r="C40" i="15" s="1"/>
  <c r="C41" i="15" s="1"/>
  <c r="C42" i="15" s="1"/>
  <c r="C43" i="15" s="1"/>
  <c r="C44" i="15" s="1"/>
  <c r="C22" i="15"/>
  <c r="C21" i="15"/>
  <c r="C20" i="15"/>
  <c r="C19" i="15"/>
  <c r="D65" i="15" l="1"/>
  <c r="F65" i="15" s="1"/>
  <c r="F57" i="15"/>
  <c r="E65" i="15"/>
  <c r="D181" i="15"/>
  <c r="D182" i="15" s="1"/>
  <c r="D183" i="15" s="1"/>
  <c r="D184" i="15" s="1"/>
  <c r="D185" i="15" s="1"/>
  <c r="D186" i="15" s="1"/>
  <c r="D25" i="15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G57" i="15" l="1"/>
  <c r="G65" i="15"/>
  <c r="F99" i="12"/>
  <c r="H98" i="12"/>
  <c r="F98" i="12"/>
  <c r="H99" i="12"/>
  <c r="F14" i="12"/>
  <c r="F17" i="12"/>
  <c r="F15" i="12"/>
  <c r="F16" i="12"/>
  <c r="F79" i="12"/>
  <c r="F97" i="12"/>
  <c r="H97" i="12"/>
  <c r="M95" i="12"/>
  <c r="G95" i="12" s="1"/>
  <c r="G96" i="12" s="1"/>
  <c r="M93" i="12"/>
  <c r="G93" i="12" s="1"/>
  <c r="G94" i="12" s="1"/>
  <c r="M91" i="12"/>
  <c r="G91" i="12" s="1"/>
  <c r="G92" i="12" s="1"/>
  <c r="M89" i="12"/>
  <c r="G89" i="12" s="1"/>
  <c r="H89" i="12" s="1"/>
  <c r="F86" i="12"/>
  <c r="F87" i="12" s="1"/>
  <c r="F88" i="12" s="1"/>
  <c r="F85" i="12"/>
  <c r="M76" i="12"/>
  <c r="G76" i="12" s="1"/>
  <c r="I76" i="12" s="1"/>
  <c r="M74" i="12"/>
  <c r="G74" i="12" s="1"/>
  <c r="G75" i="12" s="1"/>
  <c r="M72" i="12"/>
  <c r="G72" i="12" s="1"/>
  <c r="H72" i="12" s="1"/>
  <c r="M70" i="12"/>
  <c r="G70" i="12" s="1"/>
  <c r="F67" i="12"/>
  <c r="F68" i="12" s="1"/>
  <c r="F69" i="12" s="1"/>
  <c r="F66" i="12"/>
  <c r="H80" i="12"/>
  <c r="F80" i="12" s="1"/>
  <c r="H79" i="12"/>
  <c r="H78" i="12"/>
  <c r="F78" i="12" s="1"/>
  <c r="D61" i="15" l="1"/>
  <c r="G77" i="12"/>
  <c r="H70" i="12"/>
  <c r="I70" i="12"/>
  <c r="G71" i="12"/>
  <c r="H74" i="12"/>
  <c r="I72" i="12"/>
  <c r="H76" i="12"/>
  <c r="G73" i="12"/>
  <c r="I74" i="12"/>
  <c r="G67" i="12"/>
  <c r="H67" i="12"/>
  <c r="G90" i="12"/>
  <c r="I91" i="12"/>
  <c r="H91" i="12"/>
  <c r="I95" i="12"/>
  <c r="H95" i="12"/>
  <c r="I89" i="12"/>
  <c r="H93" i="12"/>
  <c r="I93" i="12"/>
  <c r="G86" i="12"/>
  <c r="H86" i="12"/>
  <c r="K6" i="12" l="1"/>
  <c r="F7" i="12" l="1"/>
  <c r="I54" i="4" l="1"/>
  <c r="I55" i="4"/>
  <c r="I60" i="4"/>
  <c r="I61" i="4"/>
  <c r="E63" i="10" l="1"/>
  <c r="E64" i="10"/>
  <c r="E65" i="10"/>
  <c r="E66" i="10"/>
  <c r="E67" i="10"/>
  <c r="E51" i="10"/>
  <c r="E52" i="10"/>
  <c r="E53" i="10"/>
  <c r="E54" i="10"/>
  <c r="E50" i="10"/>
  <c r="H10" i="12" l="1"/>
  <c r="G10" i="12"/>
  <c r="F22" i="12"/>
  <c r="G22" i="12" s="1"/>
  <c r="H22" i="12" l="1"/>
  <c r="I46" i="10"/>
  <c r="I47" i="10" s="1"/>
  <c r="I60" i="10"/>
  <c r="F8" i="12" l="1"/>
  <c r="F23" i="12"/>
  <c r="F26" i="12"/>
  <c r="F29" i="12" s="1"/>
  <c r="F25" i="12"/>
  <c r="F28" i="12" s="1"/>
  <c r="F24" i="12"/>
  <c r="F27" i="12" s="1"/>
  <c r="F13" i="12"/>
  <c r="F12" i="12"/>
  <c r="F9" i="12" l="1"/>
  <c r="H8" i="12"/>
  <c r="G8" i="12"/>
  <c r="F3" i="12"/>
  <c r="I67" i="4" l="1"/>
  <c r="I66" i="4"/>
  <c r="I65" i="4"/>
  <c r="I64" i="4"/>
  <c r="I63" i="4"/>
  <c r="I62" i="4"/>
  <c r="I59" i="4"/>
  <c r="I58" i="4"/>
  <c r="I57" i="4"/>
  <c r="I56" i="4"/>
  <c r="I53" i="4"/>
  <c r="I52" i="4"/>
  <c r="I51" i="4"/>
  <c r="I50" i="4"/>
  <c r="I49" i="4"/>
  <c r="I48" i="4"/>
  <c r="I47" i="4"/>
  <c r="I46" i="4"/>
  <c r="I45" i="4"/>
  <c r="E21" i="4"/>
  <c r="H13" i="4"/>
  <c r="F18" i="4" s="1"/>
  <c r="G18" i="4" s="1"/>
  <c r="I18" i="4" s="1"/>
  <c r="D13" i="4"/>
  <c r="H12" i="4"/>
  <c r="D12" i="4"/>
  <c r="H9" i="4"/>
  <c r="D9" i="4"/>
  <c r="B6" i="4"/>
  <c r="C5" i="4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F16" i="4" l="1"/>
  <c r="G16" i="4" s="1"/>
  <c r="I16" i="4" s="1"/>
  <c r="C36" i="4"/>
  <c r="C37" i="4" s="1"/>
  <c r="C38" i="4" s="1"/>
  <c r="C6" i="4"/>
  <c r="D5" i="4"/>
  <c r="F5" i="4" s="1"/>
  <c r="F6" i="4" s="1"/>
  <c r="D36" i="4"/>
  <c r="D37" i="4" s="1"/>
  <c r="D38" i="4" s="1"/>
  <c r="E31" i="4"/>
  <c r="F17" i="4"/>
  <c r="G17" i="4" s="1"/>
  <c r="I17" i="4" s="1"/>
  <c r="F22" i="4"/>
  <c r="G22" i="4" s="1"/>
  <c r="F23" i="4"/>
  <c r="G23" i="4" s="1"/>
  <c r="J52" i="4"/>
  <c r="J60" i="4"/>
  <c r="I68" i="4"/>
  <c r="J68" i="4" s="1"/>
  <c r="J53" i="4"/>
  <c r="J61" i="4"/>
  <c r="F24" i="4"/>
  <c r="G24" i="4" s="1"/>
  <c r="J46" i="4"/>
  <c r="J54" i="4"/>
  <c r="J62" i="4"/>
  <c r="F13" i="4"/>
  <c r="F25" i="4"/>
  <c r="G25" i="4" s="1"/>
  <c r="E28" i="4"/>
  <c r="F28" i="4" s="1"/>
  <c r="J48" i="4"/>
  <c r="J56" i="4"/>
  <c r="J64" i="4"/>
  <c r="J49" i="4"/>
  <c r="J57" i="4"/>
  <c r="J65" i="4"/>
  <c r="F21" i="4"/>
  <c r="G21" i="4" s="1"/>
  <c r="F36" i="4"/>
  <c r="F37" i="4" s="1"/>
  <c r="J50" i="4"/>
  <c r="J58" i="4"/>
  <c r="J66" i="4"/>
  <c r="E36" i="4"/>
  <c r="E37" i="4" s="1"/>
  <c r="E38" i="4" s="1"/>
  <c r="J45" i="4"/>
  <c r="F12" i="4"/>
  <c r="J47" i="4"/>
  <c r="J51" i="4"/>
  <c r="J55" i="4"/>
  <c r="J59" i="4"/>
  <c r="J63" i="4"/>
  <c r="J67" i="4"/>
  <c r="F38" i="4" l="1"/>
</calcChain>
</file>

<file path=xl/comments1.xml><?xml version="1.0" encoding="utf-8"?>
<comments xmlns="http://schemas.openxmlformats.org/spreadsheetml/2006/main">
  <authors>
    <author>作者</author>
  </authors>
  <commentList>
    <comment ref="E17" authorId="0" shapeId="0">
      <text>
        <r>
          <rPr>
            <b/>
            <sz val="9"/>
            <color indexed="81"/>
            <rFont val="宋体"/>
            <family val="3"/>
            <charset val="134"/>
          </rPr>
          <t>暴击伤害</t>
        </r>
      </text>
    </comment>
    <comment ref="E18" authorId="0" shapeId="0">
      <text>
        <r>
          <rPr>
            <b/>
            <sz val="9"/>
            <color indexed="81"/>
            <rFont val="宋体"/>
            <family val="3"/>
            <charset val="134"/>
          </rPr>
          <t>格挡伤害</t>
        </r>
      </text>
    </comment>
    <comment ref="E21" authorId="0" shapeId="0">
      <text>
        <r>
          <rPr>
            <b/>
            <sz val="9"/>
            <color indexed="81"/>
            <rFont val="宋体"/>
            <family val="3"/>
            <charset val="134"/>
          </rPr>
          <t>暴击率</t>
        </r>
      </text>
    </comment>
    <comment ref="E22" authorId="0" shapeId="0">
      <text>
        <r>
          <rPr>
            <b/>
            <sz val="9"/>
            <color indexed="81"/>
            <rFont val="宋体"/>
            <family val="3"/>
            <charset val="134"/>
          </rPr>
          <t>吸血比例</t>
        </r>
      </text>
    </comment>
    <comment ref="E23" authorId="0" shapeId="0">
      <text>
        <r>
          <rPr>
            <b/>
            <sz val="9"/>
            <color indexed="81"/>
            <rFont val="宋体"/>
            <family val="3"/>
            <charset val="134"/>
          </rPr>
          <t>吸血几率</t>
        </r>
      </text>
    </comment>
    <comment ref="E24" authorId="0" shapeId="0">
      <text>
        <r>
          <rPr>
            <b/>
            <sz val="9"/>
            <color indexed="81"/>
            <rFont val="宋体"/>
            <family val="3"/>
            <charset val="134"/>
          </rPr>
          <t>反弹比例</t>
        </r>
      </text>
    </comment>
    <comment ref="E25" authorId="0" shapeId="0">
      <text>
        <r>
          <rPr>
            <b/>
            <sz val="9"/>
            <color indexed="81"/>
            <rFont val="宋体"/>
            <family val="3"/>
            <charset val="134"/>
          </rPr>
          <t>反弹几率</t>
        </r>
      </text>
    </comment>
  </commentList>
</comments>
</file>

<file path=xl/sharedStrings.xml><?xml version="1.0" encoding="utf-8"?>
<sst xmlns="http://schemas.openxmlformats.org/spreadsheetml/2006/main" count="1654" uniqueCount="544">
  <si>
    <t>技能</t>
    <phoneticPr fontId="1" type="noConversion"/>
  </si>
  <si>
    <t>眩晕</t>
    <phoneticPr fontId="1" type="noConversion"/>
  </si>
  <si>
    <t>击倒</t>
    <phoneticPr fontId="1" type="noConversion"/>
  </si>
  <si>
    <t>debuff</t>
    <phoneticPr fontId="1" type="noConversion"/>
  </si>
  <si>
    <t>命中</t>
    <phoneticPr fontId="1" type="noConversion"/>
  </si>
  <si>
    <t>暴击</t>
    <phoneticPr fontId="1" type="noConversion"/>
  </si>
  <si>
    <t>攻击</t>
    <phoneticPr fontId="1" type="noConversion"/>
  </si>
  <si>
    <t>防御</t>
    <phoneticPr fontId="1" type="noConversion"/>
  </si>
  <si>
    <t>生命</t>
    <phoneticPr fontId="1" type="noConversion"/>
  </si>
  <si>
    <t>闪避</t>
    <phoneticPr fontId="1" type="noConversion"/>
  </si>
  <si>
    <t>暴击</t>
    <phoneticPr fontId="1" type="noConversion"/>
  </si>
  <si>
    <t>抗暴</t>
    <phoneticPr fontId="1" type="noConversion"/>
  </si>
  <si>
    <t>序号</t>
    <phoneticPr fontId="1" type="noConversion"/>
  </si>
  <si>
    <t>暴击</t>
    <phoneticPr fontId="1" type="noConversion"/>
  </si>
  <si>
    <t>伤害增加百分比</t>
    <phoneticPr fontId="1" type="noConversion"/>
  </si>
  <si>
    <t>伤害减少百分比</t>
    <phoneticPr fontId="1" type="noConversion"/>
  </si>
  <si>
    <t>伤害</t>
    <phoneticPr fontId="1" type="noConversion"/>
  </si>
  <si>
    <t>控制</t>
    <phoneticPr fontId="1" type="noConversion"/>
  </si>
  <si>
    <t>属性</t>
    <phoneticPr fontId="1" type="noConversion"/>
  </si>
  <si>
    <t>a1</t>
    <phoneticPr fontId="1" type="noConversion"/>
  </si>
  <si>
    <t>d</t>
    <phoneticPr fontId="1" type="noConversion"/>
  </si>
  <si>
    <t>各级</t>
    <phoneticPr fontId="1" type="noConversion"/>
  </si>
  <si>
    <t>累积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</si>
  <si>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</si>
  <si>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</si>
  <si>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</si>
  <si>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</si>
  <si>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暴击伤害增加百分比</t>
    <phoneticPr fontId="1" type="noConversion"/>
  </si>
  <si>
    <t>暴击率增加百分比</t>
    <phoneticPr fontId="1" type="noConversion"/>
  </si>
  <si>
    <t>命中率增加百分比</t>
    <phoneticPr fontId="1" type="noConversion"/>
  </si>
  <si>
    <t>输出系数</t>
    <phoneticPr fontId="1" type="noConversion"/>
  </si>
  <si>
    <t>生命</t>
    <phoneticPr fontId="1" type="noConversion"/>
  </si>
  <si>
    <t>类型</t>
    <phoneticPr fontId="1" type="noConversion"/>
  </si>
  <si>
    <t>衍生属性</t>
    <phoneticPr fontId="1" type="noConversion"/>
  </si>
  <si>
    <t>暴击伤害减少百分比</t>
    <phoneticPr fontId="1" type="noConversion"/>
  </si>
  <si>
    <t>法师</t>
    <phoneticPr fontId="1" type="noConversion"/>
  </si>
  <si>
    <t>格挡</t>
    <phoneticPr fontId="1" type="noConversion"/>
  </si>
  <si>
    <t>破击</t>
    <phoneticPr fontId="1" type="noConversion"/>
  </si>
  <si>
    <t>格挡率增加百分比</t>
    <phoneticPr fontId="1" type="noConversion"/>
  </si>
  <si>
    <t>弓箭</t>
    <phoneticPr fontId="1" type="noConversion"/>
  </si>
  <si>
    <t>法师</t>
    <phoneticPr fontId="1" type="noConversion"/>
  </si>
  <si>
    <t>刺客</t>
    <phoneticPr fontId="1" type="noConversion"/>
  </si>
  <si>
    <t>嘲讽</t>
    <phoneticPr fontId="1" type="noConversion"/>
  </si>
  <si>
    <t>性质</t>
    <phoneticPr fontId="1" type="noConversion"/>
  </si>
  <si>
    <t>每次攻击</t>
    <phoneticPr fontId="1" type="noConversion"/>
  </si>
  <si>
    <t>buff</t>
    <phoneticPr fontId="1" type="noConversion"/>
  </si>
  <si>
    <t>性质</t>
    <phoneticPr fontId="1" type="noConversion"/>
  </si>
  <si>
    <t>基础伤害</t>
    <phoneticPr fontId="1" type="noConversion"/>
  </si>
  <si>
    <t>环节</t>
    <phoneticPr fontId="1" type="noConversion"/>
  </si>
  <si>
    <t>以上部分pvp和pve分两套，方便调整</t>
    <phoneticPr fontId="1" type="noConversion"/>
  </si>
  <si>
    <t>反弹几率</t>
    <phoneticPr fontId="1" type="noConversion"/>
  </si>
  <si>
    <t>$</t>
    <phoneticPr fontId="1" type="noConversion"/>
  </si>
  <si>
    <t>是否命中</t>
  </si>
  <si>
    <t>是否格挡</t>
  </si>
  <si>
    <t>计算基础伤害</t>
  </si>
  <si>
    <t>是否暴击</t>
  </si>
  <si>
    <t>攻方.输出系数</t>
  </si>
  <si>
    <t>防方.受伤系数</t>
  </si>
  <si>
    <t>命中环节</t>
    <phoneticPr fontId="1" type="noConversion"/>
  </si>
  <si>
    <t>攻击</t>
    <phoneticPr fontId="1" type="noConversion"/>
  </si>
  <si>
    <t>是否双倍打击、穿透、流血、附加攻击</t>
    <phoneticPr fontId="1" type="noConversion"/>
  </si>
  <si>
    <t>是否触发</t>
  </si>
  <si>
    <t>主流程</t>
    <phoneticPr fontId="1" type="noConversion"/>
  </si>
  <si>
    <t>$</t>
  </si>
  <si>
    <r>
      <rPr>
        <sz val="11"/>
        <color rgb="FFFF0000"/>
        <rFont val="宋体"/>
        <family val="3"/>
        <charset val="134"/>
        <scheme val="minor"/>
      </rPr>
      <t>持续伤害</t>
    </r>
    <r>
      <rPr>
        <sz val="11"/>
        <color theme="1"/>
        <rFont val="宋体"/>
        <family val="2"/>
        <scheme val="minor"/>
      </rPr>
      <t>不会吸血，不会反弹，也不会触发</t>
    </r>
    <r>
      <rPr>
        <sz val="11"/>
        <color rgb="FFFF0000"/>
        <rFont val="宋体"/>
        <family val="3"/>
        <charset val="134"/>
        <scheme val="minor"/>
      </rPr>
      <t>武器特效、攻击类和受击类特效</t>
    </r>
    <phoneticPr fontId="1" type="noConversion"/>
  </si>
  <si>
    <t>伤害修正</t>
    <phoneticPr fontId="1" type="noConversion"/>
  </si>
  <si>
    <t>基础属性</t>
    <phoneticPr fontId="1" type="noConversion"/>
  </si>
  <si>
    <t>衍生属性</t>
    <phoneticPr fontId="1" type="noConversion"/>
  </si>
  <si>
    <t>整型</t>
    <phoneticPr fontId="1" type="noConversion"/>
  </si>
  <si>
    <t>攻击</t>
    <phoneticPr fontId="1" type="noConversion"/>
  </si>
  <si>
    <t>整型</t>
    <phoneticPr fontId="1" type="noConversion"/>
  </si>
  <si>
    <t>防御</t>
    <phoneticPr fontId="1" type="noConversion"/>
  </si>
  <si>
    <t>闪避</t>
    <phoneticPr fontId="1" type="noConversion"/>
  </si>
  <si>
    <t>命中率增加百分比</t>
    <phoneticPr fontId="1" type="noConversion"/>
  </si>
  <si>
    <t>万分比</t>
    <phoneticPr fontId="1" type="noConversion"/>
  </si>
  <si>
    <t>万分比</t>
    <phoneticPr fontId="1" type="noConversion"/>
  </si>
  <si>
    <t>闪避率增加百分比</t>
    <phoneticPr fontId="1" type="noConversion"/>
  </si>
  <si>
    <t>万分比</t>
    <phoneticPr fontId="1" type="noConversion"/>
  </si>
  <si>
    <t>整型</t>
    <phoneticPr fontId="1" type="noConversion"/>
  </si>
  <si>
    <t>抗暴率增加百分比</t>
    <phoneticPr fontId="1" type="noConversion"/>
  </si>
  <si>
    <t>暴击伤害增加百分比</t>
    <phoneticPr fontId="1" type="noConversion"/>
  </si>
  <si>
    <t>暴击伤害减少百分比</t>
    <phoneticPr fontId="1" type="noConversion"/>
  </si>
  <si>
    <t>万分比</t>
    <phoneticPr fontId="1" type="noConversion"/>
  </si>
  <si>
    <t>破击率增加百分比</t>
    <phoneticPr fontId="1" type="noConversion"/>
  </si>
  <si>
    <t>特殊</t>
  </si>
  <si>
    <t>吸血几率</t>
    <phoneticPr fontId="1" type="noConversion"/>
  </si>
  <si>
    <t>吸血比例</t>
    <phoneticPr fontId="1" type="noConversion"/>
  </si>
  <si>
    <t>反弹比例</t>
    <phoneticPr fontId="1" type="noConversion"/>
  </si>
  <si>
    <t>伤害加成</t>
    <phoneticPr fontId="1" type="noConversion"/>
  </si>
  <si>
    <t>伤害增加百分比</t>
    <phoneticPr fontId="1" type="noConversion"/>
  </si>
  <si>
    <t>伤害减少百分比</t>
    <phoneticPr fontId="1" type="noConversion"/>
  </si>
  <si>
    <t>受伤系数</t>
    <phoneticPr fontId="1" type="noConversion"/>
  </si>
  <si>
    <t>攻击类特效（3类触发时机）</t>
    <phoneticPr fontId="1" type="noConversion"/>
  </si>
  <si>
    <r>
      <t>若是附加1次攻击，则相当于走多一次</t>
    </r>
    <r>
      <rPr>
        <sz val="11"/>
        <color rgb="FFFF0000"/>
        <rFont val="宋体"/>
        <family val="3"/>
        <charset val="134"/>
        <scheme val="minor"/>
      </rPr>
      <t>命中之后（不激活武器特效）</t>
    </r>
    <r>
      <rPr>
        <sz val="11"/>
        <color theme="1"/>
        <rFont val="宋体"/>
        <family val="2"/>
        <scheme val="minor"/>
      </rPr>
      <t>的伤害流程</t>
    </r>
    <phoneticPr fontId="1" type="noConversion"/>
  </si>
  <si>
    <t>每次击中</t>
    <phoneticPr fontId="1" type="noConversion"/>
  </si>
  <si>
    <t>每次暴击</t>
    <phoneticPr fontId="1" type="noConversion"/>
  </si>
  <si>
    <t>$</t>
    <phoneticPr fontId="1" type="noConversion"/>
  </si>
  <si>
    <t>出手环节</t>
    <phoneticPr fontId="1" type="noConversion"/>
  </si>
  <si>
    <t>是否触发</t>
    <phoneticPr fontId="1" type="noConversion"/>
  </si>
  <si>
    <t>$</t>
    <phoneticPr fontId="1" type="noConversion"/>
  </si>
  <si>
    <t>$</t>
    <phoneticPr fontId="1" type="noConversion"/>
  </si>
  <si>
    <t>武器特效</t>
    <phoneticPr fontId="1" type="noConversion"/>
  </si>
  <si>
    <t>格挡环节</t>
    <phoneticPr fontId="1" type="noConversion"/>
  </si>
  <si>
    <t>暴击环节</t>
    <phoneticPr fontId="1" type="noConversion"/>
  </si>
  <si>
    <t xml:space="preserve"> </t>
    <phoneticPr fontId="1" type="noConversion"/>
  </si>
  <si>
    <t>受击类特效</t>
    <phoneticPr fontId="1" type="noConversion"/>
  </si>
  <si>
    <t>是否触发受击类特效</t>
    <phoneticPr fontId="1" type="noConversion"/>
  </si>
  <si>
    <t>伤害加成</t>
    <phoneticPr fontId="1" type="noConversion"/>
  </si>
  <si>
    <t>伤害增加、减少百分比</t>
    <phoneticPr fontId="1" type="noConversion"/>
  </si>
  <si>
    <t>buff、debuff效果</t>
    <phoneticPr fontId="1" type="noConversion"/>
  </si>
  <si>
    <t>初始主伤害</t>
    <phoneticPr fontId="1" type="noConversion"/>
  </si>
  <si>
    <t>"</t>
    <phoneticPr fontId="1" type="noConversion"/>
  </si>
  <si>
    <t>以主伤害为基数计算</t>
    <phoneticPr fontId="1" type="noConversion"/>
  </si>
  <si>
    <t>主伤害</t>
    <phoneticPr fontId="1" type="noConversion"/>
  </si>
  <si>
    <t>!</t>
    <phoneticPr fontId="1" type="noConversion"/>
  </si>
  <si>
    <t>加入</t>
    <phoneticPr fontId="1" type="noConversion"/>
  </si>
  <si>
    <t>加成伤害</t>
    <phoneticPr fontId="1" type="noConversion"/>
  </si>
  <si>
    <t>额外伤害</t>
    <phoneticPr fontId="1" type="noConversion"/>
  </si>
  <si>
    <t>吸血</t>
    <phoneticPr fontId="1" type="noConversion"/>
  </si>
  <si>
    <t>额外的伤害数字</t>
    <phoneticPr fontId="1" type="noConversion"/>
  </si>
  <si>
    <t>反弹</t>
    <phoneticPr fontId="1" type="noConversion"/>
  </si>
  <si>
    <t>主伤害数字</t>
    <phoneticPr fontId="1" type="noConversion"/>
  </si>
  <si>
    <t>战斗特效</t>
    <phoneticPr fontId="1" type="noConversion"/>
  </si>
  <si>
    <t>特效类别</t>
    <phoneticPr fontId="1" type="noConversion"/>
  </si>
  <si>
    <t>说明</t>
    <phoneticPr fontId="1" type="noConversion"/>
  </si>
  <si>
    <t>只有武器带有的特效</t>
    <phoneticPr fontId="1" type="noConversion"/>
  </si>
  <si>
    <t>攻击类特效</t>
    <phoneticPr fontId="1" type="noConversion"/>
  </si>
  <si>
    <t>在攻击时被动触发的特效</t>
    <phoneticPr fontId="1" type="noConversion"/>
  </si>
  <si>
    <t>在受击时被动触发的特效</t>
    <phoneticPr fontId="1" type="noConversion"/>
  </si>
  <si>
    <t>技能特效</t>
    <phoneticPr fontId="1" type="noConversion"/>
  </si>
  <si>
    <t>通过按键操作主动放出的特效</t>
    <phoneticPr fontId="1" type="noConversion"/>
  </si>
  <si>
    <r>
      <t>攻击类特效和受击类特效</t>
    </r>
    <r>
      <rPr>
        <sz val="11"/>
        <color rgb="FFFF0000"/>
        <rFont val="宋体"/>
        <family val="3"/>
        <charset val="134"/>
        <scheme val="minor"/>
      </rPr>
      <t>不会再触发</t>
    </r>
    <r>
      <rPr>
        <sz val="11"/>
        <color theme="1"/>
        <rFont val="宋体"/>
        <family val="2"/>
        <scheme val="minor"/>
      </rPr>
      <t>攻击类特效和受击类特效</t>
    </r>
    <phoneticPr fontId="1" type="noConversion"/>
  </si>
  <si>
    <t>职业</t>
    <phoneticPr fontId="1" type="noConversion"/>
  </si>
  <si>
    <t>战士</t>
    <phoneticPr fontId="1" type="noConversion"/>
  </si>
  <si>
    <t>几率造成双倍打击</t>
    <phoneticPr fontId="1" type="noConversion"/>
  </si>
  <si>
    <t>弓箭</t>
    <phoneticPr fontId="1" type="noConversion"/>
  </si>
  <si>
    <r>
      <t>几率造成穿透</t>
    </r>
    <r>
      <rPr>
        <sz val="11"/>
        <color theme="0"/>
        <rFont val="宋体"/>
        <family val="3"/>
        <charset val="134"/>
        <scheme val="minor"/>
      </rPr>
      <t>穿透</t>
    </r>
    <phoneticPr fontId="1" type="noConversion"/>
  </si>
  <si>
    <t>每次击中，有X%几率忽视防御</t>
    <phoneticPr fontId="1" type="noConversion"/>
  </si>
  <si>
    <t>法师</t>
    <phoneticPr fontId="1" type="noConversion"/>
  </si>
  <si>
    <t>几率击中时造成流血</t>
    <phoneticPr fontId="1" type="noConversion"/>
  </si>
  <si>
    <t>刺客</t>
    <phoneticPr fontId="1" type="noConversion"/>
  </si>
  <si>
    <t>几率附加多一次伤害</t>
    <phoneticPr fontId="1" type="noConversion"/>
  </si>
  <si>
    <t>每次击中，有X%几率附加1次伤害</t>
    <phoneticPr fontId="1" type="noConversion"/>
  </si>
  <si>
    <t>武器特效的伤害全部都是基于触发特效的攻击伤害总值去计算</t>
    <phoneticPr fontId="1" type="noConversion"/>
  </si>
  <si>
    <t>攻击类特效的触发时机目前分三大类</t>
    <phoneticPr fontId="1" type="noConversion"/>
  </si>
  <si>
    <t>触发时机</t>
    <phoneticPr fontId="1" type="noConversion"/>
  </si>
  <si>
    <t>每次攻击</t>
    <phoneticPr fontId="1" type="noConversion"/>
  </si>
  <si>
    <t>每次攻击的时候有几率触发</t>
    <phoneticPr fontId="1" type="noConversion"/>
  </si>
  <si>
    <t>每次击中</t>
    <phoneticPr fontId="1" type="noConversion"/>
  </si>
  <si>
    <t>每次击中敌人的时候有几率触发</t>
    <phoneticPr fontId="1" type="noConversion"/>
  </si>
  <si>
    <t>每次暴击</t>
    <phoneticPr fontId="1" type="noConversion"/>
  </si>
  <si>
    <t>每次暴击敌人的时候有几率触发</t>
    <phoneticPr fontId="1" type="noConversion"/>
  </si>
  <si>
    <t>伤害、控制、debuff的效果都是作用在敌方身上的，衍生出许多抗性</t>
    <phoneticPr fontId="1" type="noConversion"/>
  </si>
  <si>
    <t>可抗效果和对应的抗性</t>
    <phoneticPr fontId="1" type="noConversion"/>
  </si>
  <si>
    <t>性质</t>
    <phoneticPr fontId="1" type="noConversion"/>
  </si>
  <si>
    <t>效果</t>
    <phoneticPr fontId="1" type="noConversion"/>
  </si>
  <si>
    <t>抗性</t>
    <phoneticPr fontId="1" type="noConversion"/>
  </si>
  <si>
    <t>备注</t>
    <phoneticPr fontId="1" type="noConversion"/>
  </si>
  <si>
    <t>控制</t>
    <phoneticPr fontId="1" type="noConversion"/>
  </si>
  <si>
    <t>嘲讽</t>
    <phoneticPr fontId="1" type="noConversion"/>
  </si>
  <si>
    <t>吸引攻击</t>
    <phoneticPr fontId="1" type="noConversion"/>
  </si>
  <si>
    <t>减速</t>
    <phoneticPr fontId="1" type="noConversion"/>
  </si>
  <si>
    <t>击退</t>
    <phoneticPr fontId="1" type="noConversion"/>
  </si>
  <si>
    <t>位移</t>
    <phoneticPr fontId="1" type="noConversion"/>
  </si>
  <si>
    <t>击倒</t>
    <phoneticPr fontId="1" type="noConversion"/>
  </si>
  <si>
    <t>冰冻</t>
    <phoneticPr fontId="1" type="noConversion"/>
  </si>
  <si>
    <t>定身</t>
    <phoneticPr fontId="1" type="noConversion"/>
  </si>
  <si>
    <t>晕眩</t>
    <phoneticPr fontId="1" type="noConversion"/>
  </si>
  <si>
    <t>沉默</t>
    <phoneticPr fontId="1" type="noConversion"/>
  </si>
  <si>
    <t>无法释放技能</t>
    <phoneticPr fontId="1" type="noConversion"/>
  </si>
  <si>
    <t>魅惑</t>
    <phoneticPr fontId="1" type="noConversion"/>
  </si>
  <si>
    <t>攻击队友</t>
    <phoneticPr fontId="1" type="noConversion"/>
  </si>
  <si>
    <t>巫术</t>
    <phoneticPr fontId="1" type="noConversion"/>
  </si>
  <si>
    <t>变成其他单位</t>
    <phoneticPr fontId="1" type="noConversion"/>
  </si>
  <si>
    <t>伤害</t>
    <phoneticPr fontId="1" type="noConversion"/>
  </si>
  <si>
    <t>破甲</t>
    <phoneticPr fontId="1" type="noConversion"/>
  </si>
  <si>
    <t>绝对伤害</t>
    <phoneticPr fontId="1" type="noConversion"/>
  </si>
  <si>
    <t>中毒</t>
    <phoneticPr fontId="1" type="noConversion"/>
  </si>
  <si>
    <t>持续伤害</t>
    <phoneticPr fontId="1" type="noConversion"/>
  </si>
  <si>
    <t>烈焰</t>
    <phoneticPr fontId="1" type="noConversion"/>
  </si>
  <si>
    <t>暴击时附加伤害</t>
    <phoneticPr fontId="1" type="noConversion"/>
  </si>
  <si>
    <t>闪电</t>
    <phoneticPr fontId="1" type="noConversion"/>
  </si>
  <si>
    <t>直接伤害</t>
    <phoneticPr fontId="1" type="noConversion"/>
  </si>
  <si>
    <t>震荡</t>
    <phoneticPr fontId="1" type="noConversion"/>
  </si>
  <si>
    <t>debuff</t>
    <phoneticPr fontId="1" type="noConversion"/>
  </si>
  <si>
    <t>虚弱</t>
    <phoneticPr fontId="1" type="noConversion"/>
  </si>
  <si>
    <t>受伤增加</t>
    <phoneticPr fontId="1" type="noConversion"/>
  </si>
  <si>
    <t>诅咒</t>
    <phoneticPr fontId="1" type="noConversion"/>
  </si>
  <si>
    <r>
      <t>抗性仅减少该类效果的</t>
    </r>
    <r>
      <rPr>
        <sz val="11"/>
        <color rgb="FFFF0000"/>
        <rFont val="宋体"/>
        <family val="3"/>
        <charset val="134"/>
        <scheme val="minor"/>
      </rPr>
      <t>几率，</t>
    </r>
    <r>
      <rPr>
        <sz val="11"/>
        <rFont val="宋体"/>
        <family val="3"/>
        <charset val="134"/>
        <scheme val="minor"/>
      </rPr>
      <t>不影响其他数值</t>
    </r>
    <phoneticPr fontId="1" type="noConversion"/>
  </si>
  <si>
    <r>
      <t>某些特效带有可抗效果，</t>
    </r>
    <r>
      <rPr>
        <sz val="11"/>
        <color rgb="FFFF0000"/>
        <rFont val="宋体"/>
        <family val="3"/>
        <charset val="134"/>
        <scheme val="minor"/>
      </rPr>
      <t>有些不可抗</t>
    </r>
    <phoneticPr fontId="1" type="noConversion"/>
  </si>
  <si>
    <r>
      <t>每个特效的触发几率</t>
    </r>
    <r>
      <rPr>
        <sz val="11"/>
        <color rgb="FFFF0000"/>
        <rFont val="宋体"/>
        <family val="3"/>
        <charset val="134"/>
        <scheme val="minor"/>
      </rPr>
      <t>独立</t>
    </r>
    <r>
      <rPr>
        <sz val="11"/>
        <color theme="1"/>
        <rFont val="宋体"/>
        <family val="2"/>
        <scheme val="minor"/>
      </rPr>
      <t>结算</t>
    </r>
    <phoneticPr fontId="1" type="noConversion"/>
  </si>
  <si>
    <r>
      <t>相同的buff和debuff叠加相当于</t>
    </r>
    <r>
      <rPr>
        <sz val="11"/>
        <color rgb="FFFF0000"/>
        <rFont val="宋体"/>
        <family val="3"/>
        <charset val="134"/>
        <scheme val="minor"/>
      </rPr>
      <t>重置持续时间，效果不叠加</t>
    </r>
    <phoneticPr fontId="1" type="noConversion"/>
  </si>
  <si>
    <t>实例：</t>
    <phoneticPr fontId="1" type="noConversion"/>
  </si>
  <si>
    <t>每次攻击有50%的几率放出一道冲击波，100%几率对前方的敌人造成眩晕。</t>
    <phoneticPr fontId="1" type="noConversion"/>
  </si>
  <si>
    <t>P</t>
    <phoneticPr fontId="1" type="noConversion"/>
  </si>
  <si>
    <t>50%释放冲击波的几率是由特效本身配置决定的，不可改变</t>
    <phoneticPr fontId="1" type="noConversion"/>
  </si>
  <si>
    <t>冲击波对敌人造成眩晕的100%几率可以通过抗性减少</t>
    <phoneticPr fontId="1" type="noConversion"/>
  </si>
  <si>
    <t>每次攻击有50%的几率召唤出狼群撕咬前方敌人，造成200%的伤害。</t>
    <phoneticPr fontId="1" type="noConversion"/>
  </si>
  <si>
    <t>50%的召唤狼群几率由特效本身配置决定，不可改变</t>
    <phoneticPr fontId="1" type="noConversion"/>
  </si>
  <si>
    <t>每次击中敌人，敌人有50%的几率被闪电击中，受到额外200%的伤害</t>
    <phoneticPr fontId="1" type="noConversion"/>
  </si>
  <si>
    <t>50%出现闪电的几率可以被“抗闪电”抗性减少</t>
    <phoneticPr fontId="1" type="noConversion"/>
  </si>
  <si>
    <t>200%的伤害由特效本身配置决定，不可改变</t>
    <phoneticPr fontId="1" type="noConversion"/>
  </si>
  <si>
    <t>攻击</t>
    <phoneticPr fontId="1" type="noConversion"/>
  </si>
  <si>
    <t>防御</t>
    <phoneticPr fontId="1" type="noConversion"/>
  </si>
  <si>
    <t>伤害</t>
    <phoneticPr fontId="1" type="noConversion"/>
  </si>
  <si>
    <t>回合</t>
    <phoneticPr fontId="1" type="noConversion"/>
  </si>
  <si>
    <t>生命</t>
    <phoneticPr fontId="1" type="noConversion"/>
  </si>
  <si>
    <t>攻击类属性</t>
    <phoneticPr fontId="1" type="noConversion"/>
  </si>
  <si>
    <t>防御类属性</t>
    <phoneticPr fontId="1" type="noConversion"/>
  </si>
  <si>
    <t>攻击</t>
    <phoneticPr fontId="1" type="noConversion"/>
  </si>
  <si>
    <t>防御</t>
    <phoneticPr fontId="1" type="noConversion"/>
  </si>
  <si>
    <t>生命</t>
    <phoneticPr fontId="1" type="noConversion"/>
  </si>
  <si>
    <t>影响空间</t>
    <phoneticPr fontId="1" type="noConversion"/>
  </si>
  <si>
    <t>绝对比例</t>
    <phoneticPr fontId="1" type="noConversion"/>
  </si>
  <si>
    <t>初步比例</t>
    <phoneticPr fontId="1" type="noConversion"/>
  </si>
  <si>
    <t>属性空间</t>
    <phoneticPr fontId="1" type="noConversion"/>
  </si>
  <si>
    <t>战力分值</t>
    <phoneticPr fontId="1" type="noConversion"/>
  </si>
  <si>
    <t>修正</t>
    <phoneticPr fontId="1" type="noConversion"/>
  </si>
  <si>
    <t>战力总值</t>
    <phoneticPr fontId="1" type="noConversion"/>
  </si>
  <si>
    <t>命中率</t>
    <phoneticPr fontId="1" type="noConversion"/>
  </si>
  <si>
    <t>暴击率</t>
    <phoneticPr fontId="1" type="noConversion"/>
  </si>
  <si>
    <t>格挡率</t>
    <phoneticPr fontId="1" type="noConversion"/>
  </si>
  <si>
    <t>每1%价值</t>
    <phoneticPr fontId="1" type="noConversion"/>
  </si>
  <si>
    <t>攻击</t>
    <phoneticPr fontId="1" type="noConversion"/>
  </si>
  <si>
    <t>相关参数</t>
    <phoneticPr fontId="1" type="noConversion"/>
  </si>
  <si>
    <t>无</t>
    <phoneticPr fontId="1" type="noConversion"/>
  </si>
  <si>
    <t>几率</t>
    <phoneticPr fontId="1" type="noConversion"/>
  </si>
  <si>
    <t>暴击伤害</t>
    <phoneticPr fontId="1" type="noConversion"/>
  </si>
  <si>
    <t>吸血几率</t>
    <phoneticPr fontId="1" type="noConversion"/>
  </si>
  <si>
    <t>吸血比例</t>
    <phoneticPr fontId="1" type="noConversion"/>
  </si>
  <si>
    <t>反弹几率</t>
    <phoneticPr fontId="1" type="noConversion"/>
  </si>
  <si>
    <t>反弹比例</t>
    <phoneticPr fontId="1" type="noConversion"/>
  </si>
  <si>
    <t>攻击</t>
    <phoneticPr fontId="1" type="noConversion"/>
  </si>
  <si>
    <t>初始数值</t>
    <phoneticPr fontId="1" type="noConversion"/>
  </si>
  <si>
    <t>初始数值</t>
    <phoneticPr fontId="1" type="noConversion"/>
  </si>
  <si>
    <t>相关参数</t>
    <phoneticPr fontId="1" type="noConversion"/>
  </si>
  <si>
    <t>生命</t>
    <phoneticPr fontId="1" type="noConversion"/>
  </si>
  <si>
    <t>价值参照</t>
    <phoneticPr fontId="1" type="noConversion"/>
  </si>
  <si>
    <t>属性</t>
    <phoneticPr fontId="1" type="noConversion"/>
  </si>
  <si>
    <t>命中/闪避</t>
    <phoneticPr fontId="1" type="noConversion"/>
  </si>
  <si>
    <t>暴击/抗暴</t>
    <phoneticPr fontId="1" type="noConversion"/>
  </si>
  <si>
    <t>格挡/破击</t>
    <phoneticPr fontId="1" type="noConversion"/>
  </si>
  <si>
    <t>属性空间</t>
    <phoneticPr fontId="1" type="noConversion"/>
  </si>
  <si>
    <t>最小改变值</t>
    <phoneticPr fontId="1" type="noConversion"/>
  </si>
  <si>
    <t>评分</t>
    <phoneticPr fontId="1" type="noConversion"/>
  </si>
  <si>
    <t>修正</t>
    <phoneticPr fontId="1" type="noConversion"/>
  </si>
  <si>
    <t>总分</t>
    <phoneticPr fontId="1" type="noConversion"/>
  </si>
  <si>
    <t>占比</t>
    <phoneticPr fontId="1" type="noConversion"/>
  </si>
  <si>
    <t xml:space="preserve"> </t>
    <phoneticPr fontId="1" type="noConversion"/>
  </si>
  <si>
    <t>武器特效</t>
    <phoneticPr fontId="1" type="noConversion"/>
  </si>
  <si>
    <t>双倍打击</t>
    <phoneticPr fontId="1" type="noConversion"/>
  </si>
  <si>
    <t>附加攻击</t>
    <phoneticPr fontId="1" type="noConversion"/>
  </si>
  <si>
    <t>流血</t>
    <phoneticPr fontId="1" type="noConversion"/>
  </si>
  <si>
    <t>穿透</t>
    <phoneticPr fontId="1" type="noConversion"/>
  </si>
  <si>
    <t>几率</t>
    <phoneticPr fontId="1" type="noConversion"/>
  </si>
  <si>
    <t>参数</t>
    <phoneticPr fontId="1" type="noConversion"/>
  </si>
  <si>
    <t>无</t>
    <phoneticPr fontId="1" type="noConversion"/>
  </si>
  <si>
    <t>无</t>
    <phoneticPr fontId="1" type="noConversion"/>
  </si>
  <si>
    <t>无</t>
    <phoneticPr fontId="1" type="noConversion"/>
  </si>
  <si>
    <t>1%价值</t>
    <phoneticPr fontId="1" type="noConversion"/>
  </si>
  <si>
    <t>每次击中，有X%几率造成200%的伤害</t>
    <phoneticPr fontId="1" type="noConversion"/>
  </si>
  <si>
    <t>修正</t>
    <phoneticPr fontId="1" type="noConversion"/>
  </si>
  <si>
    <t>修正</t>
    <phoneticPr fontId="1" type="noConversion"/>
  </si>
  <si>
    <t>旋风斩</t>
    <phoneticPr fontId="1" type="noConversion"/>
  </si>
  <si>
    <t>冲击波</t>
    <phoneticPr fontId="1" type="noConversion"/>
  </si>
  <si>
    <t>盾牌</t>
    <phoneticPr fontId="1" type="noConversion"/>
  </si>
  <si>
    <t>冲锋</t>
    <phoneticPr fontId="1" type="noConversion"/>
  </si>
  <si>
    <t>蓄力箭</t>
    <phoneticPr fontId="1" type="noConversion"/>
  </si>
  <si>
    <t>陷阱</t>
    <phoneticPr fontId="1" type="noConversion"/>
  </si>
  <si>
    <t>箭雨</t>
    <phoneticPr fontId="1" type="noConversion"/>
  </si>
  <si>
    <t>冰锥术</t>
    <phoneticPr fontId="1" type="noConversion"/>
  </si>
  <si>
    <t>旋风</t>
    <phoneticPr fontId="1" type="noConversion"/>
  </si>
  <si>
    <t>流星刺</t>
    <phoneticPr fontId="1" type="noConversion"/>
  </si>
  <si>
    <t>莲花</t>
    <phoneticPr fontId="1" type="noConversion"/>
  </si>
  <si>
    <t>伤害百分比</t>
    <phoneticPr fontId="1" type="noConversion"/>
  </si>
  <si>
    <t>伤害次数</t>
    <phoneticPr fontId="1" type="noConversion"/>
  </si>
  <si>
    <t>持续时间</t>
    <phoneticPr fontId="1" type="noConversion"/>
  </si>
  <si>
    <t>数值</t>
    <phoneticPr fontId="1" type="noConversion"/>
  </si>
  <si>
    <t>次数</t>
    <phoneticPr fontId="1" type="noConversion"/>
  </si>
  <si>
    <t>技能</t>
    <phoneticPr fontId="1" type="noConversion"/>
  </si>
  <si>
    <t>冷却时间</t>
    <phoneticPr fontId="1" type="noConversion"/>
  </si>
  <si>
    <t>伤害</t>
  </si>
  <si>
    <t>加暴击buff</t>
    <phoneticPr fontId="1" type="noConversion"/>
  </si>
  <si>
    <t>普通攻击</t>
    <phoneticPr fontId="1" type="noConversion"/>
  </si>
  <si>
    <t>技能攻击</t>
    <phoneticPr fontId="1" type="noConversion"/>
  </si>
  <si>
    <t>时间</t>
    <phoneticPr fontId="1" type="noConversion"/>
  </si>
  <si>
    <t>总</t>
    <phoneticPr fontId="1" type="noConversion"/>
  </si>
  <si>
    <t>战斗时间</t>
    <phoneticPr fontId="1" type="noConversion"/>
  </si>
  <si>
    <t>施法时间</t>
    <phoneticPr fontId="1" type="noConversion"/>
  </si>
  <si>
    <t>百分比</t>
    <phoneticPr fontId="1" type="noConversion"/>
  </si>
  <si>
    <t>附加</t>
    <phoneticPr fontId="1" type="noConversion"/>
  </si>
  <si>
    <t>总和</t>
  </si>
  <si>
    <t>总和</t>
    <phoneticPr fontId="1" type="noConversion"/>
  </si>
  <si>
    <t>蓄力箭</t>
  </si>
  <si>
    <t>陷阱</t>
  </si>
  <si>
    <t>箭雨</t>
  </si>
  <si>
    <t>受伤增加debuff</t>
    <phoneticPr fontId="1" type="noConversion"/>
  </si>
  <si>
    <t>冰锥术</t>
  </si>
  <si>
    <t>雷暴</t>
  </si>
  <si>
    <t>旋风</t>
  </si>
  <si>
    <t>闪烁</t>
    <phoneticPr fontId="1" type="noConversion"/>
  </si>
  <si>
    <t>雷暴</t>
    <phoneticPr fontId="1" type="noConversion"/>
  </si>
  <si>
    <t>流星刺</t>
  </si>
  <si>
    <t>风轮</t>
  </si>
  <si>
    <t>风轮</t>
    <phoneticPr fontId="1" type="noConversion"/>
  </si>
  <si>
    <t>莲花</t>
  </si>
  <si>
    <t>加闪避buff</t>
    <phoneticPr fontId="1" type="noConversion"/>
  </si>
  <si>
    <t>加闪避</t>
    <phoneticPr fontId="1" type="noConversion"/>
  </si>
  <si>
    <t>总时长</t>
    <phoneticPr fontId="1" type="noConversion"/>
  </si>
  <si>
    <t>主动技能</t>
    <phoneticPr fontId="1" type="noConversion"/>
  </si>
  <si>
    <t>战斗力</t>
    <phoneticPr fontId="1" type="noConversion"/>
  </si>
  <si>
    <t>抗性</t>
    <phoneticPr fontId="1" type="noConversion"/>
  </si>
  <si>
    <t>技能</t>
    <phoneticPr fontId="1" type="noConversion"/>
  </si>
  <si>
    <t>攻击</t>
    <phoneticPr fontId="1" type="noConversion"/>
  </si>
  <si>
    <t>价值</t>
    <phoneticPr fontId="1" type="noConversion"/>
  </si>
  <si>
    <t>修正</t>
    <phoneticPr fontId="1" type="noConversion"/>
  </si>
  <si>
    <t>防</t>
    <phoneticPr fontId="1" type="noConversion"/>
  </si>
  <si>
    <t>等差数列</t>
    <phoneticPr fontId="1" type="noConversion"/>
  </si>
  <si>
    <t>攻防减法优化</t>
    <phoneticPr fontId="1" type="noConversion"/>
  </si>
  <si>
    <t>攻</t>
    <phoneticPr fontId="1" type="noConversion"/>
  </si>
  <si>
    <t>属性比例</t>
    <phoneticPr fontId="1" type="noConversion"/>
  </si>
  <si>
    <t>玩家1</t>
    <phoneticPr fontId="1" type="noConversion"/>
  </si>
  <si>
    <t>玩家2</t>
    <phoneticPr fontId="1" type="noConversion"/>
  </si>
  <si>
    <t>受伤</t>
    <phoneticPr fontId="1" type="noConversion"/>
  </si>
  <si>
    <t>对手属性</t>
    <phoneticPr fontId="1" type="noConversion"/>
  </si>
  <si>
    <t>死亡刀数</t>
    <phoneticPr fontId="1" type="noConversion"/>
  </si>
  <si>
    <t>保底伤害倍数</t>
    <phoneticPr fontId="1" type="noConversion"/>
  </si>
  <si>
    <t>思路：</t>
    <phoneticPr fontId="1" type="noConversion"/>
  </si>
  <si>
    <t>防御可以减少伤害</t>
    <phoneticPr fontId="1" type="noConversion"/>
  </si>
  <si>
    <t>边际效应越来越小</t>
    <phoneticPr fontId="1" type="noConversion"/>
  </si>
  <si>
    <t>减少伤害</t>
    <phoneticPr fontId="1" type="noConversion"/>
  </si>
  <si>
    <t>需要防御</t>
    <phoneticPr fontId="1" type="noConversion"/>
  </si>
  <si>
    <t>中转1</t>
    <phoneticPr fontId="1" type="noConversion"/>
  </si>
  <si>
    <t>中转2</t>
    <phoneticPr fontId="1" type="noConversion"/>
  </si>
  <si>
    <t>中转3</t>
    <phoneticPr fontId="1" type="noConversion"/>
  </si>
  <si>
    <t>相对攻比例</t>
    <phoneticPr fontId="1" type="noConversion"/>
  </si>
  <si>
    <t>修正思路：</t>
    <phoneticPr fontId="1" type="noConversion"/>
  </si>
  <si>
    <t>保底修正</t>
    <phoneticPr fontId="1" type="noConversion"/>
  </si>
  <si>
    <t>防御即使很大也有伤害变化</t>
    <phoneticPr fontId="1" type="noConversion"/>
  </si>
  <si>
    <t>伤害&gt;=0.4*攻</t>
    <phoneticPr fontId="1" type="noConversion"/>
  </si>
  <si>
    <t>伤害&lt;0.4*攻</t>
    <phoneticPr fontId="1" type="noConversion"/>
  </si>
  <si>
    <t>减法</t>
    <phoneticPr fontId="1" type="noConversion"/>
  </si>
  <si>
    <t>战士</t>
  </si>
  <si>
    <t>汇总</t>
    <phoneticPr fontId="1" type="noConversion"/>
  </si>
  <si>
    <t>类型</t>
    <phoneticPr fontId="1" type="noConversion"/>
  </si>
  <si>
    <t>秒伤</t>
    <phoneticPr fontId="1" type="noConversion"/>
  </si>
  <si>
    <t>女神技能</t>
    <phoneticPr fontId="1" type="noConversion"/>
  </si>
  <si>
    <t>女神</t>
  </si>
  <si>
    <t>颜色</t>
  </si>
  <si>
    <t>紫</t>
  </si>
  <si>
    <t>生命女神</t>
  </si>
  <si>
    <t>橙</t>
  </si>
  <si>
    <t>治疗</t>
    <phoneticPr fontId="1" type="noConversion"/>
  </si>
  <si>
    <t>吸怪</t>
    <phoneticPr fontId="1" type="noConversion"/>
  </si>
  <si>
    <t>晕眩</t>
    <phoneticPr fontId="1" type="noConversion"/>
  </si>
  <si>
    <t>每级战斗力</t>
    <phoneticPr fontId="1" type="noConversion"/>
  </si>
  <si>
    <t>神兵技能</t>
    <phoneticPr fontId="1" type="noConversion"/>
  </si>
  <si>
    <t>每阶战斗力</t>
    <phoneticPr fontId="1" type="noConversion"/>
  </si>
  <si>
    <t>羽翼技能</t>
    <phoneticPr fontId="1" type="noConversion"/>
  </si>
  <si>
    <t>每阶战斗力</t>
    <phoneticPr fontId="1" type="noConversion"/>
  </si>
  <si>
    <t>有10%/20%/30%/40%/50%的几率造成对方晕眩2秒</t>
    <phoneticPr fontId="1" type="noConversion"/>
  </si>
  <si>
    <t>每次受击有2%/4%/6%/8%/10%的几率无敌，持续2秒</t>
    <phoneticPr fontId="1" type="noConversion"/>
  </si>
  <si>
    <t>潮汐女神</t>
  </si>
  <si>
    <t>烈焰女神</t>
  </si>
  <si>
    <t>天空女神</t>
  </si>
  <si>
    <t>夜之女神</t>
  </si>
  <si>
    <t>智慧女神</t>
  </si>
  <si>
    <t>光明女神</t>
  </si>
  <si>
    <t>效果</t>
    <phoneticPr fontId="1" type="noConversion"/>
  </si>
  <si>
    <t>时间</t>
    <phoneticPr fontId="1" type="noConversion"/>
  </si>
  <si>
    <t>等级</t>
    <phoneticPr fontId="1" type="noConversion"/>
  </si>
  <si>
    <t>几率</t>
    <phoneticPr fontId="1" type="noConversion"/>
  </si>
  <si>
    <t>PVE（人打怪）伤害公式</t>
    <phoneticPr fontId="1" type="noConversion"/>
  </si>
  <si>
    <t>PVE(怪打人）伤害公式</t>
    <phoneticPr fontId="1" type="noConversion"/>
  </si>
  <si>
    <t>PVP伤害公式</t>
    <phoneticPr fontId="1" type="noConversion"/>
  </si>
  <si>
    <t>综合能力</t>
    <phoneticPr fontId="1" type="noConversion"/>
  </si>
  <si>
    <t>平均值</t>
    <phoneticPr fontId="1" type="noConversion"/>
  </si>
  <si>
    <t>伤害能力(值）</t>
    <phoneticPr fontId="1" type="noConversion"/>
  </si>
  <si>
    <t>伤害能力（比例）</t>
    <phoneticPr fontId="1" type="noConversion"/>
  </si>
  <si>
    <t>技能伤害百分比</t>
    <phoneticPr fontId="1" type="noConversion"/>
  </si>
  <si>
    <t>攻击</t>
    <phoneticPr fontId="1" type="noConversion"/>
  </si>
  <si>
    <t>命中</t>
    <phoneticPr fontId="1" type="noConversion"/>
  </si>
  <si>
    <t>闪避</t>
    <phoneticPr fontId="1" type="noConversion"/>
  </si>
  <si>
    <t>抗暴</t>
    <phoneticPr fontId="1" type="noConversion"/>
  </si>
  <si>
    <t>破击</t>
    <phoneticPr fontId="1" type="noConversion"/>
  </si>
  <si>
    <t>格挡</t>
    <phoneticPr fontId="1" type="noConversion"/>
  </si>
  <si>
    <t>命中率</t>
    <phoneticPr fontId="1" type="noConversion"/>
  </si>
  <si>
    <t>闪避率</t>
    <phoneticPr fontId="1" type="noConversion"/>
  </si>
  <si>
    <t>暴击率</t>
    <phoneticPr fontId="1" type="noConversion"/>
  </si>
  <si>
    <t>抗暴率</t>
    <phoneticPr fontId="1" type="noConversion"/>
  </si>
  <si>
    <t>格挡率</t>
    <phoneticPr fontId="1" type="noConversion"/>
  </si>
  <si>
    <t>破击率</t>
    <phoneticPr fontId="1" type="noConversion"/>
  </si>
  <si>
    <t>格挡率</t>
    <phoneticPr fontId="1" type="noConversion"/>
  </si>
  <si>
    <t>伤害增加</t>
    <phoneticPr fontId="1" type="noConversion"/>
  </si>
  <si>
    <t>伤害减免</t>
    <phoneticPr fontId="1" type="noConversion"/>
  </si>
  <si>
    <t>命中率</t>
    <phoneticPr fontId="1" type="noConversion"/>
  </si>
  <si>
    <t>命中差值</t>
    <phoneticPr fontId="1" type="noConversion"/>
  </si>
  <si>
    <t>暴击差值</t>
    <phoneticPr fontId="1" type="noConversion"/>
  </si>
  <si>
    <t>格挡差值</t>
    <phoneticPr fontId="1" type="noConversion"/>
  </si>
  <si>
    <t>人打怪</t>
    <phoneticPr fontId="1" type="noConversion"/>
  </si>
  <si>
    <t>怪打人</t>
    <phoneticPr fontId="1" type="noConversion"/>
  </si>
  <si>
    <t>平砍</t>
    <phoneticPr fontId="1" type="noConversion"/>
  </si>
  <si>
    <t>技能附加</t>
    <phoneticPr fontId="1" type="noConversion"/>
  </si>
  <si>
    <t>技能系数</t>
    <phoneticPr fontId="1" type="noConversion"/>
  </si>
  <si>
    <t>血瓶的使用</t>
    <phoneticPr fontId="1" type="noConversion"/>
  </si>
  <si>
    <t>副本内只能使用1次，回复50%生命</t>
    <phoneticPr fontId="1" type="noConversion"/>
  </si>
  <si>
    <t>人</t>
    <phoneticPr fontId="1" type="noConversion"/>
  </si>
  <si>
    <t>怪</t>
    <phoneticPr fontId="1" type="noConversion"/>
  </si>
  <si>
    <t>伤害比例</t>
    <phoneticPr fontId="1" type="noConversion"/>
  </si>
  <si>
    <t>伤害系数</t>
    <phoneticPr fontId="1" type="noConversion"/>
  </si>
  <si>
    <t>伤害浮动（0.98~1.02）</t>
    <phoneticPr fontId="1" type="noConversion"/>
  </si>
  <si>
    <t>几率</t>
    <phoneticPr fontId="1" type="noConversion"/>
  </si>
  <si>
    <t>战斗力</t>
    <phoneticPr fontId="1" type="noConversion"/>
  </si>
  <si>
    <t>输出系数</t>
    <phoneticPr fontId="1" type="noConversion"/>
  </si>
  <si>
    <t>技能学习等级</t>
    <phoneticPr fontId="1" type="noConversion"/>
  </si>
  <si>
    <t>技能1</t>
    <phoneticPr fontId="1" type="noConversion"/>
  </si>
  <si>
    <t>技能2</t>
    <phoneticPr fontId="1" type="noConversion"/>
  </si>
  <si>
    <t>技能3</t>
    <phoneticPr fontId="1" type="noConversion"/>
  </si>
  <si>
    <t>技能4</t>
    <phoneticPr fontId="1" type="noConversion"/>
  </si>
  <si>
    <t>等级</t>
    <phoneticPr fontId="1" type="noConversion"/>
  </si>
  <si>
    <t>伤害量</t>
    <phoneticPr fontId="1" type="noConversion"/>
  </si>
  <si>
    <t>技能</t>
    <phoneticPr fontId="1" type="noConversion"/>
  </si>
  <si>
    <t>附加值</t>
    <phoneticPr fontId="1" type="noConversion"/>
  </si>
  <si>
    <t>秒伤</t>
    <phoneticPr fontId="1" type="noConversion"/>
  </si>
  <si>
    <t>闪避</t>
  </si>
  <si>
    <t>闪烁</t>
  </si>
  <si>
    <t>100%几率冰冻敌人，持续3秒</t>
    <phoneticPr fontId="1" type="noConversion"/>
  </si>
  <si>
    <t>100%几率魅惑敌人，持续3秒</t>
    <phoneticPr fontId="1" type="noConversion"/>
  </si>
  <si>
    <t>100%几率麻痹敌人，持续3秒</t>
    <phoneticPr fontId="1" type="noConversion"/>
  </si>
  <si>
    <t>100%几率晕眩敌人，持续3秒</t>
    <phoneticPr fontId="1" type="noConversion"/>
  </si>
  <si>
    <t>中毒</t>
    <phoneticPr fontId="1" type="noConversion"/>
  </si>
  <si>
    <t>6次，间隔1秒</t>
    <phoneticPr fontId="1" type="noConversion"/>
  </si>
  <si>
    <t>输出(pve)</t>
    <phoneticPr fontId="1" type="noConversion"/>
  </si>
  <si>
    <t>附加攻击</t>
    <phoneticPr fontId="1" type="noConversion"/>
  </si>
  <si>
    <t>是否破防</t>
    <phoneticPr fontId="1" type="noConversion"/>
  </si>
  <si>
    <t xml:space="preserve"> </t>
    <phoneticPr fontId="1" type="noConversion"/>
  </si>
  <si>
    <t>PVP</t>
    <phoneticPr fontId="1" type="noConversion"/>
  </si>
  <si>
    <t>A</t>
    <phoneticPr fontId="1" type="noConversion"/>
  </si>
  <si>
    <t>A对B</t>
    <phoneticPr fontId="1" type="noConversion"/>
  </si>
  <si>
    <t>B</t>
    <phoneticPr fontId="1" type="noConversion"/>
  </si>
  <si>
    <t>调整系数</t>
    <phoneticPr fontId="1" type="noConversion"/>
  </si>
  <si>
    <t>平砍比例</t>
    <phoneticPr fontId="1" type="noConversion"/>
  </si>
  <si>
    <t>技能1</t>
    <phoneticPr fontId="1" type="noConversion"/>
  </si>
  <si>
    <t>技能2</t>
    <phoneticPr fontId="1" type="noConversion"/>
  </si>
  <si>
    <t>技能3</t>
    <phoneticPr fontId="1" type="noConversion"/>
  </si>
  <si>
    <t>技能4</t>
    <phoneticPr fontId="1" type="noConversion"/>
  </si>
  <si>
    <t>伤害</t>
    <phoneticPr fontId="1" type="noConversion"/>
  </si>
  <si>
    <t>比例</t>
    <phoneticPr fontId="1" type="noConversion"/>
  </si>
  <si>
    <t>浮动下限</t>
    <phoneticPr fontId="1" type="noConversion"/>
  </si>
  <si>
    <t>浮动上限</t>
    <phoneticPr fontId="1" type="noConversion"/>
  </si>
  <si>
    <t>中转攻击</t>
    <phoneticPr fontId="1" type="noConversion"/>
  </si>
  <si>
    <t>B对A</t>
    <phoneticPr fontId="1" type="noConversion"/>
  </si>
  <si>
    <t>致死倍数</t>
    <phoneticPr fontId="1" type="noConversion"/>
  </si>
  <si>
    <t>致死倍数</t>
    <phoneticPr fontId="1" type="noConversion"/>
  </si>
  <si>
    <t>每次击中，有X%几率使目标流血，每隔Y秒Z%的伤害，共W次</t>
    <phoneticPr fontId="1" type="noConversion"/>
  </si>
  <si>
    <t>生命</t>
    <phoneticPr fontId="1" type="noConversion"/>
  </si>
  <si>
    <t>pk刀数</t>
    <phoneticPr fontId="1" type="noConversion"/>
  </si>
  <si>
    <t>pk刀数</t>
    <phoneticPr fontId="1" type="noConversion"/>
  </si>
  <si>
    <t>伤害</t>
    <phoneticPr fontId="1" type="noConversion"/>
  </si>
  <si>
    <t>pk效率</t>
    <phoneticPr fontId="1" type="noConversion"/>
  </si>
  <si>
    <t>减少防御减少伤害的空间，伤害公式接近乘法公式</t>
    <phoneticPr fontId="1" type="noConversion"/>
  </si>
  <si>
    <t>最多只能做到pk效率为4倍</t>
    <phoneticPr fontId="1" type="noConversion"/>
  </si>
  <si>
    <t>伤害系数</t>
    <phoneticPr fontId="1" type="noConversion"/>
  </si>
  <si>
    <t>秒伤</t>
    <phoneticPr fontId="1" type="noConversion"/>
  </si>
  <si>
    <t>女神技能</t>
    <phoneticPr fontId="1" type="noConversion"/>
  </si>
  <si>
    <t>进阶次数</t>
    <phoneticPr fontId="1" type="noConversion"/>
  </si>
  <si>
    <t>倍数</t>
    <phoneticPr fontId="1" type="noConversion"/>
  </si>
  <si>
    <t>百分比</t>
  </si>
  <si>
    <t>附加</t>
  </si>
  <si>
    <t>女神颜色</t>
    <phoneticPr fontId="1" type="noConversion"/>
  </si>
  <si>
    <t>紫</t>
    <phoneticPr fontId="1" type="noConversion"/>
  </si>
  <si>
    <t>橙</t>
    <phoneticPr fontId="1" type="noConversion"/>
  </si>
  <si>
    <t>技能等级</t>
    <phoneticPr fontId="1" type="noConversion"/>
  </si>
  <si>
    <t>百分比</t>
    <phoneticPr fontId="1" type="noConversion"/>
  </si>
  <si>
    <t>修正系数</t>
    <phoneticPr fontId="1" type="noConversion"/>
  </si>
  <si>
    <t>修正后</t>
    <phoneticPr fontId="1" type="noConversion"/>
  </si>
  <si>
    <t>调整数列</t>
    <phoneticPr fontId="1" type="noConversion"/>
  </si>
  <si>
    <t>固定值</t>
    <phoneticPr fontId="1" type="noConversion"/>
  </si>
  <si>
    <t>百分比</t>
    <phoneticPr fontId="1" type="noConversion"/>
  </si>
  <si>
    <t>附加</t>
    <phoneticPr fontId="1" type="noConversion"/>
  </si>
  <si>
    <t>等级</t>
    <phoneticPr fontId="1" type="noConversion"/>
  </si>
  <si>
    <t>伤害次数</t>
    <phoneticPr fontId="1" type="noConversion"/>
  </si>
  <si>
    <t>女神</t>
    <phoneticPr fontId="1" type="noConversion"/>
  </si>
  <si>
    <t>6（中毒）</t>
    <phoneticPr fontId="1" type="noConversion"/>
  </si>
  <si>
    <t>1（伤害）</t>
    <phoneticPr fontId="1" type="noConversion"/>
  </si>
  <si>
    <t>一轮伤害</t>
    <phoneticPr fontId="1" type="noConversion"/>
  </si>
  <si>
    <t>一轮伤害</t>
    <phoneticPr fontId="1" type="noConversion"/>
  </si>
  <si>
    <t>旧的：</t>
    <phoneticPr fontId="1" type="noConversion"/>
  </si>
  <si>
    <t>普通攻击输出量</t>
    <phoneticPr fontId="1" type="noConversion"/>
  </si>
  <si>
    <t>平均</t>
    <phoneticPr fontId="1" type="noConversion"/>
  </si>
  <si>
    <t>职业</t>
    <phoneticPr fontId="1" type="noConversion"/>
  </si>
  <si>
    <t>技能</t>
    <phoneticPr fontId="1" type="noConversion"/>
  </si>
  <si>
    <t>1级</t>
    <phoneticPr fontId="1" type="noConversion"/>
  </si>
  <si>
    <t>2级</t>
    <phoneticPr fontId="1" type="noConversion"/>
  </si>
  <si>
    <t>3级</t>
    <phoneticPr fontId="1" type="noConversion"/>
  </si>
  <si>
    <t>4级</t>
    <phoneticPr fontId="1" type="noConversion"/>
  </si>
  <si>
    <t>普通攻击时间占比</t>
    <phoneticPr fontId="1" type="noConversion"/>
  </si>
  <si>
    <t>普攻时间</t>
    <phoneticPr fontId="1" type="noConversion"/>
  </si>
  <si>
    <t>普攻时间</t>
    <phoneticPr fontId="1" type="noConversion"/>
  </si>
  <si>
    <t>中毒，持续伤害</t>
    <phoneticPr fontId="1" type="noConversion"/>
  </si>
  <si>
    <t>无伤害</t>
    <phoneticPr fontId="1" type="noConversion"/>
  </si>
  <si>
    <t>战士</t>
    <phoneticPr fontId="1" type="noConversion"/>
  </si>
  <si>
    <t>总输出</t>
    <phoneticPr fontId="1" type="noConversion"/>
  </si>
  <si>
    <t>两次伤害</t>
    <phoneticPr fontId="1" type="noConversion"/>
  </si>
  <si>
    <t>格挡buff</t>
    <phoneticPr fontId="1" type="noConversion"/>
  </si>
  <si>
    <t>女神等级</t>
    <phoneticPr fontId="1" type="noConversion"/>
  </si>
  <si>
    <t>标准</t>
    <phoneticPr fontId="1" type="noConversion"/>
  </si>
  <si>
    <t>PVE</t>
    <phoneticPr fontId="1" type="noConversion"/>
  </si>
  <si>
    <t>玩家</t>
    <phoneticPr fontId="1" type="noConversion"/>
  </si>
  <si>
    <t>怪物</t>
    <phoneticPr fontId="1" type="noConversion"/>
  </si>
  <si>
    <t>玩家对怪物</t>
    <phoneticPr fontId="1" type="noConversion"/>
  </si>
  <si>
    <t>怪物对玩家</t>
    <phoneticPr fontId="1" type="noConversion"/>
  </si>
  <si>
    <t>综合能力</t>
    <phoneticPr fontId="1" type="noConversion"/>
  </si>
  <si>
    <t>生命</t>
  </si>
  <si>
    <t>攻击</t>
  </si>
  <si>
    <t>防御</t>
  </si>
  <si>
    <t>等级</t>
  </si>
  <si>
    <t>A</t>
    <phoneticPr fontId="1" type="noConversion"/>
  </si>
  <si>
    <t>暴击率</t>
    <phoneticPr fontId="1" type="noConversion"/>
  </si>
  <si>
    <t>暴击伤害</t>
    <phoneticPr fontId="1" type="noConversion"/>
  </si>
  <si>
    <t>输出增加</t>
    <phoneticPr fontId="1" type="noConversion"/>
  </si>
  <si>
    <t>实际输出</t>
    <phoneticPr fontId="1" type="noConversion"/>
  </si>
  <si>
    <t>现在</t>
    <phoneticPr fontId="1" type="noConversion"/>
  </si>
  <si>
    <t>2倍战力</t>
    <phoneticPr fontId="1" type="noConversion"/>
  </si>
  <si>
    <t>3.83倍</t>
    <phoneticPr fontId="1" type="noConversion"/>
  </si>
  <si>
    <t>承受20被平砍伤害</t>
    <phoneticPr fontId="1" type="noConversion"/>
  </si>
  <si>
    <t>大概1套技能</t>
    <phoneticPr fontId="1" type="noConversion"/>
  </si>
  <si>
    <t>同等战力</t>
    <phoneticPr fontId="1" type="noConversion"/>
  </si>
  <si>
    <t>1倍</t>
    <phoneticPr fontId="1" type="noConversion"/>
  </si>
  <si>
    <t>承受62被平砍伤害</t>
    <phoneticPr fontId="1" type="noConversion"/>
  </si>
  <si>
    <t>大概3套技能</t>
    <phoneticPr fontId="1" type="noConversion"/>
  </si>
  <si>
    <t>改</t>
    <phoneticPr fontId="1" type="noConversion"/>
  </si>
  <si>
    <t>同等战力</t>
    <phoneticPr fontId="1" type="noConversion"/>
  </si>
  <si>
    <t>减伤buff</t>
    <phoneticPr fontId="1" type="noConversion"/>
  </si>
  <si>
    <t>减伤buff</t>
    <phoneticPr fontId="1" type="noConversion"/>
  </si>
  <si>
    <t>定身</t>
    <phoneticPr fontId="1" type="noConversion"/>
  </si>
  <si>
    <t xml:space="preserve"> </t>
    <phoneticPr fontId="1" type="noConversion"/>
  </si>
  <si>
    <t>特殊效果</t>
    <phoneticPr fontId="1" type="noConversion"/>
  </si>
  <si>
    <t>冷却时间</t>
    <phoneticPr fontId="1" type="noConversion"/>
  </si>
  <si>
    <t>魅惑</t>
    <phoneticPr fontId="1" type="noConversion"/>
  </si>
  <si>
    <t>每个技能（累积）</t>
    <phoneticPr fontId="1" type="noConversion"/>
  </si>
  <si>
    <t>技能战斗力每个升1级加2000</t>
    <phoneticPr fontId="1" type="noConversion"/>
  </si>
  <si>
    <t>次数</t>
    <phoneticPr fontId="1" type="noConversion"/>
  </si>
  <si>
    <t>回血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</si>
</sst>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_ "/>
    <numFmt numFmtId="177" formatCode="0_ "/>
    <numFmt numFmtId="178" formatCode="0.0_ "/>
    <numFmt numFmtId="179" formatCode="0.000_ "/>
  </numFmts>
  <fonts count="1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Wingdings 2"/>
      <family val="1"/>
      <charset val="2"/>
    </font>
    <font>
      <sz val="11"/>
      <color theme="1"/>
      <name val="Wingdings 3"/>
      <family val="1"/>
      <charset val="2"/>
    </font>
    <font>
      <sz val="11"/>
      <color theme="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theme="0"/>
      <name val="Wingdings 3"/>
      <family val="1"/>
      <charset val="2"/>
    </font>
    <font>
      <sz val="11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rgb="FF3F3F76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rgb="FF00B0F0"/>
        <bgColor indexed="6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</cellStyleXfs>
  <cellXfs count="108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0" fontId="2" fillId="3" borderId="0" xfId="1" applyAlignment="1"/>
    <xf numFmtId="0" fontId="0" fillId="2" borderId="13" xfId="0" applyFill="1" applyBorder="1"/>
    <xf numFmtId="0" fontId="0" fillId="4" borderId="13" xfId="0" applyFill="1" applyBorder="1"/>
    <xf numFmtId="0" fontId="0" fillId="2" borderId="5" xfId="0" quotePrefix="1" applyFill="1" applyBorder="1"/>
    <xf numFmtId="0" fontId="3" fillId="2" borderId="0" xfId="0" applyFont="1" applyFill="1"/>
    <xf numFmtId="0" fontId="6" fillId="2" borderId="0" xfId="0" applyFont="1" applyFill="1"/>
    <xf numFmtId="9" fontId="0" fillId="2" borderId="0" xfId="0" applyNumberFormat="1" applyFill="1"/>
    <xf numFmtId="0" fontId="4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2" fillId="5" borderId="0" xfId="2" applyAlignment="1"/>
    <xf numFmtId="0" fontId="10" fillId="5" borderId="0" xfId="2" applyFont="1" applyAlignment="1"/>
    <xf numFmtId="0" fontId="10" fillId="3" borderId="0" xfId="1" applyFont="1" applyAlignment="1"/>
    <xf numFmtId="0" fontId="2" fillId="6" borderId="0" xfId="3" applyAlignment="1"/>
    <xf numFmtId="0" fontId="10" fillId="6" borderId="0" xfId="3" applyFont="1" applyAlignment="1"/>
    <xf numFmtId="0" fontId="0" fillId="2" borderId="13" xfId="0" quotePrefix="1" applyFill="1" applyBorder="1"/>
    <xf numFmtId="0" fontId="0" fillId="2" borderId="6" xfId="0" quotePrefix="1" applyFill="1" applyBorder="1"/>
    <xf numFmtId="0" fontId="11" fillId="5" borderId="0" xfId="2" applyFont="1" applyAlignment="1"/>
    <xf numFmtId="0" fontId="12" fillId="2" borderId="0" xfId="0" applyFont="1" applyFill="1"/>
    <xf numFmtId="10" fontId="0" fillId="2" borderId="1" xfId="0" applyNumberFormat="1" applyFill="1" applyBorder="1"/>
    <xf numFmtId="0" fontId="0" fillId="2" borderId="0" xfId="0" applyFill="1" applyBorder="1"/>
    <xf numFmtId="0" fontId="2" fillId="5" borderId="2" xfId="2" applyBorder="1" applyAlignment="1"/>
    <xf numFmtId="0" fontId="2" fillId="5" borderId="1" xfId="2" applyBorder="1" applyAlignment="1"/>
    <xf numFmtId="0" fontId="2" fillId="5" borderId="3" xfId="2" applyBorder="1" applyAlignment="1"/>
    <xf numFmtId="0" fontId="2" fillId="5" borderId="6" xfId="2" applyBorder="1" applyAlignment="1"/>
    <xf numFmtId="0" fontId="2" fillId="5" borderId="4" xfId="2" applyBorder="1" applyAlignment="1"/>
    <xf numFmtId="0" fontId="2" fillId="6" borderId="2" xfId="3" applyBorder="1" applyAlignment="1"/>
    <xf numFmtId="0" fontId="2" fillId="6" borderId="1" xfId="3" applyBorder="1" applyAlignment="1"/>
    <xf numFmtId="0" fontId="2" fillId="6" borderId="3" xfId="3" applyBorder="1" applyAlignment="1"/>
    <xf numFmtId="0" fontId="2" fillId="5" borderId="8" xfId="2" applyBorder="1" applyAlignment="1"/>
    <xf numFmtId="0" fontId="2" fillId="5" borderId="10" xfId="2" applyBorder="1" applyAlignment="1"/>
    <xf numFmtId="0" fontId="2" fillId="6" borderId="8" xfId="3" applyBorder="1" applyAlignment="1"/>
    <xf numFmtId="0" fontId="2" fillId="6" borderId="12" xfId="3" applyBorder="1" applyAlignment="1"/>
    <xf numFmtId="0" fontId="2" fillId="5" borderId="12" xfId="2" applyBorder="1" applyAlignment="1"/>
    <xf numFmtId="0" fontId="2" fillId="8" borderId="3" xfId="5" applyBorder="1" applyAlignment="1"/>
    <xf numFmtId="0" fontId="2" fillId="8" borderId="1" xfId="5" applyBorder="1" applyAlignment="1"/>
    <xf numFmtId="0" fontId="14" fillId="7" borderId="14" xfId="4" applyAlignment="1"/>
    <xf numFmtId="0" fontId="2" fillId="8" borderId="8" xfId="5" applyBorder="1" applyAlignment="1"/>
    <xf numFmtId="176" fontId="0" fillId="2" borderId="6" xfId="0" applyNumberFormat="1" applyFill="1" applyBorder="1"/>
    <xf numFmtId="176" fontId="0" fillId="2" borderId="1" xfId="0" applyNumberFormat="1" applyFill="1" applyBorder="1"/>
    <xf numFmtId="0" fontId="0" fillId="4" borderId="2" xfId="0" applyFill="1" applyBorder="1"/>
    <xf numFmtId="177" fontId="0" fillId="2" borderId="1" xfId="0" applyNumberFormat="1" applyFill="1" applyBorder="1"/>
    <xf numFmtId="0" fontId="14" fillId="7" borderId="15" xfId="4" applyBorder="1" applyAlignment="1"/>
    <xf numFmtId="0" fontId="14" fillId="7" borderId="16" xfId="4" applyBorder="1" applyAlignment="1"/>
    <xf numFmtId="0" fontId="2" fillId="8" borderId="2" xfId="5" applyBorder="1" applyAlignment="1"/>
    <xf numFmtId="0" fontId="2" fillId="8" borderId="6" xfId="5" applyBorder="1" applyAlignment="1"/>
    <xf numFmtId="0" fontId="14" fillId="7" borderId="1" xfId="4" applyBorder="1" applyAlignment="1"/>
    <xf numFmtId="0" fontId="14" fillId="7" borderId="19" xfId="4" applyBorder="1" applyAlignment="1"/>
    <xf numFmtId="0" fontId="14" fillId="7" borderId="18" xfId="4" applyBorder="1" applyAlignment="1"/>
    <xf numFmtId="0" fontId="2" fillId="6" borderId="4" xfId="3" applyBorder="1" applyAlignment="1"/>
    <xf numFmtId="0" fontId="2" fillId="6" borderId="6" xfId="3" applyBorder="1" applyAlignment="1"/>
    <xf numFmtId="0" fontId="2" fillId="9" borderId="1" xfId="3" applyFill="1" applyBorder="1" applyAlignment="1"/>
    <xf numFmtId="0" fontId="2" fillId="9" borderId="1" xfId="2" applyFill="1" applyBorder="1" applyAlignment="1"/>
    <xf numFmtId="0" fontId="2" fillId="9" borderId="2" xfId="2" applyFill="1" applyBorder="1" applyAlignment="1"/>
    <xf numFmtId="0" fontId="0" fillId="9" borderId="1" xfId="0" applyFill="1" applyBorder="1"/>
    <xf numFmtId="0" fontId="0" fillId="9" borderId="4" xfId="0" applyFill="1" applyBorder="1"/>
    <xf numFmtId="0" fontId="2" fillId="9" borderId="1" xfId="5" applyFill="1" applyBorder="1" applyAlignment="1"/>
    <xf numFmtId="0" fontId="2" fillId="9" borderId="2" xfId="5" applyFill="1" applyBorder="1" applyAlignment="1"/>
    <xf numFmtId="0" fontId="14" fillId="7" borderId="20" xfId="4" applyBorder="1" applyAlignment="1"/>
    <xf numFmtId="10" fontId="0" fillId="2" borderId="0" xfId="0" applyNumberFormat="1" applyFill="1"/>
    <xf numFmtId="0" fontId="14" fillId="7" borderId="2" xfId="4" applyBorder="1" applyAlignment="1"/>
    <xf numFmtId="0" fontId="14" fillId="7" borderId="17" xfId="4" applyBorder="1" applyAlignment="1"/>
    <xf numFmtId="0" fontId="14" fillId="7" borderId="3" xfId="4" applyBorder="1" applyAlignment="1"/>
    <xf numFmtId="0" fontId="14" fillId="7" borderId="6" xfId="4" applyBorder="1" applyAlignment="1"/>
    <xf numFmtId="0" fontId="2" fillId="8" borderId="12" xfId="5" applyBorder="1" applyAlignment="1"/>
    <xf numFmtId="0" fontId="2" fillId="6" borderId="10" xfId="3" applyBorder="1" applyAlignment="1"/>
    <xf numFmtId="10" fontId="15" fillId="10" borderId="1" xfId="6" applyNumberFormat="1" applyFont="1" applyBorder="1" applyAlignment="1"/>
    <xf numFmtId="0" fontId="14" fillId="7" borderId="21" xfId="4" applyBorder="1" applyAlignment="1"/>
    <xf numFmtId="0" fontId="14" fillId="11" borderId="2" xfId="4" applyFill="1" applyBorder="1" applyAlignment="1"/>
    <xf numFmtId="0" fontId="0" fillId="11" borderId="4" xfId="0" applyFill="1" applyBorder="1"/>
    <xf numFmtId="0" fontId="16" fillId="2" borderId="0" xfId="0" applyFont="1" applyFill="1"/>
    <xf numFmtId="0" fontId="0" fillId="4" borderId="4" xfId="0" applyFill="1" applyBorder="1"/>
    <xf numFmtId="0" fontId="0" fillId="4" borderId="7" xfId="0" applyFill="1" applyBorder="1"/>
    <xf numFmtId="0" fontId="0" fillId="4" borderId="3" xfId="0" applyFill="1" applyBorder="1"/>
    <xf numFmtId="0" fontId="0" fillId="4" borderId="9" xfId="0" applyFill="1" applyBorder="1"/>
    <xf numFmtId="0" fontId="0" fillId="4" borderId="22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3" fillId="12" borderId="1" xfId="0" applyFont="1" applyFill="1" applyBorder="1"/>
    <xf numFmtId="178" fontId="0" fillId="2" borderId="1" xfId="0" applyNumberFormat="1" applyFill="1" applyBorder="1"/>
    <xf numFmtId="178" fontId="0" fillId="12" borderId="1" xfId="0" applyNumberFormat="1" applyFill="1" applyBorder="1"/>
    <xf numFmtId="179" fontId="0" fillId="2" borderId="6" xfId="0" applyNumberFormat="1" applyFill="1" applyBorder="1"/>
    <xf numFmtId="0" fontId="0" fillId="4" borderId="8" xfId="0" applyFill="1" applyBorder="1"/>
    <xf numFmtId="0" fontId="0" fillId="4" borderId="10" xfId="0" applyFill="1" applyBorder="1"/>
    <xf numFmtId="0" fontId="0" fillId="9" borderId="5" xfId="0" applyFill="1" applyBorder="1"/>
    <xf numFmtId="176" fontId="0" fillId="9" borderId="6" xfId="0" applyNumberFormat="1" applyFill="1" applyBorder="1"/>
    <xf numFmtId="0" fontId="2" fillId="9" borderId="8" xfId="3" applyFill="1" applyBorder="1" applyAlignment="1"/>
    <xf numFmtId="0" fontId="2" fillId="9" borderId="2" xfId="3" applyFill="1" applyBorder="1" applyAlignment="1"/>
    <xf numFmtId="0" fontId="2" fillId="9" borderId="12" xfId="3" applyFill="1" applyBorder="1" applyAlignment="1"/>
    <xf numFmtId="0" fontId="2" fillId="9" borderId="3" xfId="3" applyFill="1" applyBorder="1" applyAlignment="1"/>
  </cellXfs>
  <cellStyles count="7">
    <cellStyle name="60% - 着色 1" xfId="6" builtinId="32"/>
    <cellStyle name="常规" xfId="0" builtinId="0"/>
    <cellStyle name="输入" xfId="4" builtinId="20"/>
    <cellStyle name="着色 1" xfId="1" builtinId="29"/>
    <cellStyle name="着色 2" xfId="2" builtinId="33"/>
    <cellStyle name="着色 3" xfId="3" builtinId="37"/>
    <cellStyle name="着色 6" xfId="5" builtinId="49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'公式优化 (调试)'!$L$91:$L$200</c:f>
              <c:numCache>
                <c:formatCode>General</c:formatCode>
                <c:ptCount val="110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800</c:v>
                </c:pt>
                <c:pt idx="4">
                  <c:v>750</c:v>
                </c:pt>
                <c:pt idx="5">
                  <c:v>700</c:v>
                </c:pt>
                <c:pt idx="6">
                  <c:v>650</c:v>
                </c:pt>
                <c:pt idx="7">
                  <c:v>600</c:v>
                </c:pt>
                <c:pt idx="8">
                  <c:v>550</c:v>
                </c:pt>
                <c:pt idx="9">
                  <c:v>500</c:v>
                </c:pt>
                <c:pt idx="10">
                  <c:v>450</c:v>
                </c:pt>
                <c:pt idx="11">
                  <c:v>400</c:v>
                </c:pt>
                <c:pt idx="12">
                  <c:v>391.38812579192165</c:v>
                </c:pt>
                <c:pt idx="13">
                  <c:v>387.27853734667212</c:v>
                </c:pt>
                <c:pt idx="14">
                  <c:v>384.11466134928628</c:v>
                </c:pt>
                <c:pt idx="15">
                  <c:v>381.44382887986842</c:v>
                </c:pt>
                <c:pt idx="16">
                  <c:v>379.08906516898503</c:v>
                </c:pt>
                <c:pt idx="17">
                  <c:v>376.95921761638397</c:v>
                </c:pt>
                <c:pt idx="18">
                  <c:v>375</c:v>
                </c:pt>
                <c:pt idx="19">
                  <c:v>373.17598192346293</c:v>
                </c:pt>
                <c:pt idx="20">
                  <c:v>371.46252340824884</c:v>
                </c:pt>
                <c:pt idx="21">
                  <c:v>369.84166776344654</c:v>
                </c:pt>
                <c:pt idx="22">
                  <c:v>368.29984939793195</c:v>
                </c:pt>
                <c:pt idx="23">
                  <c:v>366.82652310482837</c:v>
                </c:pt>
                <c:pt idx="24">
                  <c:v>365.41329884846772</c:v>
                </c:pt>
                <c:pt idx="25">
                  <c:v>364.05337131329441</c:v>
                </c:pt>
                <c:pt idx="26">
                  <c:v>362.74113004743299</c:v>
                </c:pt>
                <c:pt idx="27">
                  <c:v>361.47188488074914</c:v>
                </c:pt>
                <c:pt idx="28">
                  <c:v>360.24166750824747</c:v>
                </c:pt>
                <c:pt idx="29">
                  <c:v>359.04708490574529</c:v>
                </c:pt>
                <c:pt idx="30">
                  <c:v>357.88520893091425</c:v>
                </c:pt>
                <c:pt idx="31">
                  <c:v>356.75349175633926</c:v>
                </c:pt>
                <c:pt idx="32">
                  <c:v>355.64970011003197</c:v>
                </c:pt>
                <c:pt idx="33">
                  <c:v>354.57186345059074</c:v>
                </c:pt>
                <c:pt idx="34">
                  <c:v>353.51823262946641</c:v>
                </c:pt>
                <c:pt idx="35">
                  <c:v>352.48724655765602</c:v>
                </c:pt>
                <c:pt idx="36">
                  <c:v>351.47750506022317</c:v>
                </c:pt>
                <c:pt idx="37">
                  <c:v>350.48774657006419</c:v>
                </c:pt>
                <c:pt idx="38">
                  <c:v>349.51682964650962</c:v>
                </c:pt>
                <c:pt idx="39">
                  <c:v>348.56371754646915</c:v>
                </c:pt>
                <c:pt idx="40">
                  <c:v>347.62746525361928</c:v>
                </c:pt>
                <c:pt idx="41">
                  <c:v>346.70720850330764</c:v>
                </c:pt>
                <c:pt idx="42">
                  <c:v>345.80215444022991</c:v>
                </c:pt>
                <c:pt idx="43">
                  <c:v>344.91157362145509</c:v>
                </c:pt>
                <c:pt idx="44">
                  <c:v>344.03479313532404</c:v>
                </c:pt>
                <c:pt idx="45">
                  <c:v>343.17119065161711</c:v>
                </c:pt>
                <c:pt idx="46">
                  <c:v>342.32018925342868</c:v>
                </c:pt>
                <c:pt idx="47">
                  <c:v>341.48125292877234</c:v>
                </c:pt>
                <c:pt idx="48">
                  <c:v>340.65388262181392</c:v>
                </c:pt>
                <c:pt idx="49">
                  <c:v>339.83761276110044</c:v>
                </c:pt>
                <c:pt idx="50">
                  <c:v>339.03200819619701</c:v>
                </c:pt>
                <c:pt idx="51">
                  <c:v>338.23666148550171</c:v>
                </c:pt>
                <c:pt idx="52">
                  <c:v>337.45119048725417</c:v>
                </c:pt>
                <c:pt idx="53">
                  <c:v>336.67523621331122</c:v>
                </c:pt>
                <c:pt idx="54">
                  <c:v>335.90846091148649</c:v>
                </c:pt>
                <c:pt idx="55">
                  <c:v>335.1505463473888</c:v>
                </c:pt>
                <c:pt idx="56">
                  <c:v>334.40119226096488</c:v>
                </c:pt>
                <c:pt idx="57">
                  <c:v>333.66011497651255</c:v>
                </c:pt>
                <c:pt idx="58">
                  <c:v>332.92704614791631</c:v>
                </c:pt>
                <c:pt idx="59">
                  <c:v>332.20173162336596</c:v>
                </c:pt>
                <c:pt idx="60">
                  <c:v>331.48393041593954</c:v>
                </c:pt>
                <c:pt idx="61">
                  <c:v>330.77341376823</c:v>
                </c:pt>
                <c:pt idx="62">
                  <c:v>330.06996430072292</c:v>
                </c:pt>
                <c:pt idx="63">
                  <c:v>329.37337523493841</c:v>
                </c:pt>
                <c:pt idx="64">
                  <c:v>328.68344968346827</c:v>
                </c:pt>
                <c:pt idx="65">
                  <c:v>328</c:v>
                </c:pt>
                <c:pt idx="66">
                  <c:v>327.32284718324649</c:v>
                </c:pt>
                <c:pt idx="67">
                  <c:v>326.65182032941618</c:v>
                </c:pt>
                <c:pt idx="68">
                  <c:v>325.98675612847774</c:v>
                </c:pt>
                <c:pt idx="69">
                  <c:v>325.32749840001316</c:v>
                </c:pt>
                <c:pt idx="70">
                  <c:v>324.67389766492118</c:v>
                </c:pt>
                <c:pt idx="71">
                  <c:v>324.02581074964382</c:v>
                </c:pt>
                <c:pt idx="72">
                  <c:v>323.38310041994754</c:v>
                </c:pt>
                <c:pt idx="73">
                  <c:v>322.74563504160545</c:v>
                </c:pt>
                <c:pt idx="74">
                  <c:v>322.11328826560452</c:v>
                </c:pt>
                <c:pt idx="75">
                  <c:v>321.4859387357447</c:v>
                </c:pt>
                <c:pt idx="76">
                  <c:v>320.86346981671397</c:v>
                </c:pt>
                <c:pt idx="77">
                  <c:v>320.24576934091368</c:v>
                </c:pt>
                <c:pt idx="78">
                  <c:v>319.63272937247757</c:v>
                </c:pt>
                <c:pt idx="79">
                  <c:v>319.02424598707813</c:v>
                </c:pt>
                <c:pt idx="80">
                  <c:v>318.42021906624933</c:v>
                </c:pt>
                <c:pt idx="81">
                  <c:v>317.82055210507184</c:v>
                </c:pt>
                <c:pt idx="82">
                  <c:v>317.22515203217512</c:v>
                </c:pt>
                <c:pt idx="83">
                  <c:v>316.63392904110617</c:v>
                </c:pt>
                <c:pt idx="84">
                  <c:v>316.04679643219924</c:v>
                </c:pt>
                <c:pt idx="85">
                  <c:v>315.46367046415799</c:v>
                </c:pt>
                <c:pt idx="86">
                  <c:v>314.88447021463185</c:v>
                </c:pt>
                <c:pt idx="87">
                  <c:v>314.30911744912771</c:v>
                </c:pt>
                <c:pt idx="88">
                  <c:v>313.73753649765752</c:v>
                </c:pt>
                <c:pt idx="89">
                  <c:v>313.16965413856911</c:v>
                </c:pt>
                <c:pt idx="90">
                  <c:v>312.60539948905785</c:v>
                </c:pt>
                <c:pt idx="91">
                  <c:v>312.044703901893</c:v>
                </c:pt>
                <c:pt idx="92">
                  <c:v>311.48750086793501</c:v>
                </c:pt>
                <c:pt idx="93">
                  <c:v>310.93372592405052</c:v>
                </c:pt>
                <c:pt idx="94">
                  <c:v>310.38331656606459</c:v>
                </c:pt>
                <c:pt idx="95">
                  <c:v>309.83621216641768</c:v>
                </c:pt>
                <c:pt idx="96">
                  <c:v>309.29235389621965</c:v>
                </c:pt>
                <c:pt idx="97">
                  <c:v>308.75168465141803</c:v>
                </c:pt>
                <c:pt idx="98">
                  <c:v>308.21414898281733</c:v>
                </c:pt>
                <c:pt idx="99">
                  <c:v>307.67969302970704</c:v>
                </c:pt>
                <c:pt idx="100">
                  <c:v>307.1482644568739</c:v>
                </c:pt>
                <c:pt idx="101">
                  <c:v>306.61981239478916</c:v>
                </c:pt>
                <c:pt idx="102">
                  <c:v>306.09428738277774</c:v>
                </c:pt>
                <c:pt idx="103">
                  <c:v>305.57164131498962</c:v>
                </c:pt>
                <c:pt idx="104">
                  <c:v>305.05182738900646</c:v>
                </c:pt>
                <c:pt idx="105">
                  <c:v>304.53480005692762</c:v>
                </c:pt>
                <c:pt idx="106">
                  <c:v>304.02051497879154</c:v>
                </c:pt>
                <c:pt idx="107">
                  <c:v>303.50892897819722</c:v>
                </c:pt>
                <c:pt idx="108">
                  <c:v>303</c:v>
                </c:pt>
                <c:pt idx="109">
                  <c:v>302.49368706996506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250912"/>
        <c:axId val="316982816"/>
      </c:lineChart>
      <c:catAx>
        <c:axId val="572250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16982816"/>
        <c:crosses val="autoZero"/>
        <c:auto val="1"/>
        <c:lblAlgn val="ctr"/>
        <c:lblOffset val="100"/>
        <c:noMultiLvlLbl val="0"/>
      </c:catAx>
      <c:valAx>
        <c:axId val="31698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225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F76F5FFD-39E5-4DC9-88C3-A03EBCF9D140}" type="doc">
      <dgm:prSet loTypeId="urn:microsoft.com/office/officeart/2008/layout/HorizontalMultiLevelHierarchy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A21AE2EE-2B94-4ADA-8402-3B992C650BC4}">
      <dgm:prSet phldrT="[文本]"/>
      <dgm:spPr/>
      <dgm:t>
        <a:bodyPr/>
        <a:lstStyle/>
        <a:p>
          <a:r>
            <a:rPr lang="zh-CN" altLang="en-US"/>
            <a:t>攻击类特效</a:t>
          </a:r>
        </a:p>
      </dgm:t>
    </dgm:pt>
    <dgm:pt modelId="{77AE4298-F60B-44CE-9977-1C877A9D86CA}" type="par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3E048DBF-7DFA-4DC0-B263-F01B7971DC60}" type="sib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1844AAB1-42BA-4E85-9A20-C97F13C686AE}">
      <dgm:prSet phldrT="[文本]"/>
      <dgm:spPr/>
      <dgm:t>
        <a:bodyPr/>
        <a:lstStyle/>
        <a:p>
          <a:r>
            <a:rPr lang="zh-CN" altLang="en-US"/>
            <a:t>触发时机</a:t>
          </a:r>
        </a:p>
      </dgm:t>
    </dgm:pt>
    <dgm:pt modelId="{2521EE39-5271-41C9-BC3F-E7E04C6F9550}" type="parTrans" cxnId="{847E1798-E7A6-495E-921A-FA01F472EB6C}">
      <dgm:prSet/>
      <dgm:spPr/>
      <dgm:t>
        <a:bodyPr/>
        <a:lstStyle/>
        <a:p>
          <a:endParaRPr lang="zh-CN" altLang="en-US"/>
        </a:p>
      </dgm:t>
    </dgm:pt>
    <dgm:pt modelId="{A181517F-22CD-4B5B-BE79-A07B55084059}" type="sibTrans" cxnId="{847E1798-E7A6-495E-921A-FA01F472EB6C}">
      <dgm:prSet/>
      <dgm:spPr/>
      <dgm:t>
        <a:bodyPr/>
        <a:lstStyle/>
        <a:p>
          <a:endParaRPr lang="zh-CN" altLang="en-US"/>
        </a:p>
      </dgm:t>
    </dgm:pt>
    <dgm:pt modelId="{4B2C7FE5-1E92-46F4-8EC5-A2EEED56C949}">
      <dgm:prSet phldrT="[文本]"/>
      <dgm:spPr/>
      <dgm:t>
        <a:bodyPr/>
        <a:lstStyle/>
        <a:p>
          <a:r>
            <a:rPr lang="zh-CN" altLang="en-US"/>
            <a:t>性质</a:t>
          </a:r>
        </a:p>
      </dgm:t>
    </dgm:pt>
    <dgm:pt modelId="{DF0008C4-A99C-4CA0-AFD6-CAD70AEAD768}" type="parTrans" cxnId="{BC4AC302-C14D-4F00-9D59-2BF412F0717C}">
      <dgm:prSet/>
      <dgm:spPr/>
      <dgm:t>
        <a:bodyPr/>
        <a:lstStyle/>
        <a:p>
          <a:endParaRPr lang="zh-CN" altLang="en-US"/>
        </a:p>
      </dgm:t>
    </dgm:pt>
    <dgm:pt modelId="{B5962EF7-00EE-4E13-9686-D427A3291021}" type="sibTrans" cxnId="{BC4AC302-C14D-4F00-9D59-2BF412F0717C}">
      <dgm:prSet/>
      <dgm:spPr/>
      <dgm:t>
        <a:bodyPr/>
        <a:lstStyle/>
        <a:p>
          <a:endParaRPr lang="zh-CN" altLang="en-US"/>
        </a:p>
      </dgm:t>
    </dgm:pt>
    <dgm:pt modelId="{F3001CCD-3B88-4896-B360-448B8EFAFDC0}">
      <dgm:prSet phldrT="[文本]"/>
      <dgm:spPr/>
      <dgm:t>
        <a:bodyPr/>
        <a:lstStyle/>
        <a:p>
          <a:r>
            <a:rPr lang="zh-CN" altLang="en-US"/>
            <a:t>每次攻击</a:t>
          </a:r>
        </a:p>
      </dgm:t>
    </dgm:pt>
    <dgm:pt modelId="{A1459B56-0783-4036-B1F1-B884ABF261E1}" type="parTrans" cxnId="{6D26ECD3-25E8-4312-B0C1-C2F91212DBDA}">
      <dgm:prSet/>
      <dgm:spPr/>
      <dgm:t>
        <a:bodyPr/>
        <a:lstStyle/>
        <a:p>
          <a:endParaRPr lang="zh-CN" altLang="en-US"/>
        </a:p>
      </dgm:t>
    </dgm:pt>
    <dgm:pt modelId="{BAC3A94B-E574-453E-9D04-34E8D1743C12}" type="sibTrans" cxnId="{6D26ECD3-25E8-4312-B0C1-C2F91212DBDA}">
      <dgm:prSet/>
      <dgm:spPr/>
      <dgm:t>
        <a:bodyPr/>
        <a:lstStyle/>
        <a:p>
          <a:endParaRPr lang="zh-CN" altLang="en-US"/>
        </a:p>
      </dgm:t>
    </dgm:pt>
    <dgm:pt modelId="{E7F9FAB3-B4E7-40B4-A56C-FA3F0C293475}">
      <dgm:prSet phldrT="[文本]"/>
      <dgm:spPr/>
      <dgm:t>
        <a:bodyPr/>
        <a:lstStyle/>
        <a:p>
          <a:r>
            <a:rPr lang="zh-CN" altLang="en-US"/>
            <a:t>伤害</a:t>
          </a:r>
        </a:p>
      </dgm:t>
    </dgm:pt>
    <dgm:pt modelId="{4DE82E4A-93F1-4DBD-88F0-91A8F6305223}" type="parTrans" cxnId="{EE040E49-AEEF-4BAF-B24B-A85C9DFCF6A4}">
      <dgm:prSet/>
      <dgm:spPr/>
      <dgm:t>
        <a:bodyPr/>
        <a:lstStyle/>
        <a:p>
          <a:endParaRPr lang="zh-CN" altLang="en-US"/>
        </a:p>
      </dgm:t>
    </dgm:pt>
    <dgm:pt modelId="{A4D17A11-545C-4CF6-B082-3F5BD022BF0A}" type="sibTrans" cxnId="{EE040E49-AEEF-4BAF-B24B-A85C9DFCF6A4}">
      <dgm:prSet/>
      <dgm:spPr/>
      <dgm:t>
        <a:bodyPr/>
        <a:lstStyle/>
        <a:p>
          <a:endParaRPr lang="zh-CN" altLang="en-US"/>
        </a:p>
      </dgm:t>
    </dgm:pt>
    <dgm:pt modelId="{653AE01A-10D8-447D-857F-F0CDC5AFC7D1}">
      <dgm:prSet phldrT="[文本]"/>
      <dgm:spPr/>
      <dgm:t>
        <a:bodyPr/>
        <a:lstStyle/>
        <a:p>
          <a:r>
            <a:rPr lang="zh-CN" altLang="en-US"/>
            <a:t>每次击中</a:t>
          </a:r>
        </a:p>
      </dgm:t>
    </dgm:pt>
    <dgm:pt modelId="{05922A1E-F4CD-4BDF-AF1D-1E20E66D6423}" type="parTrans" cxnId="{1552F0F5-8696-4DE8-8E39-FEC8A4399E5A}">
      <dgm:prSet/>
      <dgm:spPr/>
      <dgm:t>
        <a:bodyPr/>
        <a:lstStyle/>
        <a:p>
          <a:endParaRPr lang="zh-CN" altLang="en-US"/>
        </a:p>
      </dgm:t>
    </dgm:pt>
    <dgm:pt modelId="{6BF0B30A-9AF2-4945-B008-30CDB0E91709}" type="sibTrans" cxnId="{1552F0F5-8696-4DE8-8E39-FEC8A4399E5A}">
      <dgm:prSet/>
      <dgm:spPr/>
      <dgm:t>
        <a:bodyPr/>
        <a:lstStyle/>
        <a:p>
          <a:endParaRPr lang="zh-CN" altLang="en-US"/>
        </a:p>
      </dgm:t>
    </dgm:pt>
    <dgm:pt modelId="{0F76CBFE-85EB-418B-B537-F58ED3208908}">
      <dgm:prSet phldrT="[文本]"/>
      <dgm:spPr/>
      <dgm:t>
        <a:bodyPr/>
        <a:lstStyle/>
        <a:p>
          <a:r>
            <a:rPr lang="zh-CN" altLang="en-US"/>
            <a:t>每次暴击</a:t>
          </a:r>
        </a:p>
      </dgm:t>
    </dgm:pt>
    <dgm:pt modelId="{4BA12037-CC3D-464F-A2D4-295BDFDDE1DD}" type="parTrans" cxnId="{9605B793-3E14-4DBC-B23B-4D6968A49704}">
      <dgm:prSet/>
      <dgm:spPr/>
      <dgm:t>
        <a:bodyPr/>
        <a:lstStyle/>
        <a:p>
          <a:endParaRPr lang="zh-CN" altLang="en-US"/>
        </a:p>
      </dgm:t>
    </dgm:pt>
    <dgm:pt modelId="{D4AA19A3-C61C-47B8-B3A5-5B6BEA0C9B18}" type="sibTrans" cxnId="{9605B793-3E14-4DBC-B23B-4D6968A49704}">
      <dgm:prSet/>
      <dgm:spPr/>
      <dgm:t>
        <a:bodyPr/>
        <a:lstStyle/>
        <a:p>
          <a:endParaRPr lang="zh-CN" altLang="en-US"/>
        </a:p>
      </dgm:t>
    </dgm:pt>
    <dgm:pt modelId="{326BE1EF-CD38-49AD-AB82-C8A3B683DF74}">
      <dgm:prSet phldrT="[文本]"/>
      <dgm:spPr/>
      <dgm:t>
        <a:bodyPr/>
        <a:lstStyle/>
        <a:p>
          <a:r>
            <a:rPr lang="zh-CN" altLang="en-US"/>
            <a:t>控制</a:t>
          </a:r>
        </a:p>
      </dgm:t>
    </dgm:pt>
    <dgm:pt modelId="{06E18F15-08F5-478A-BED1-06EE05C3B192}" type="par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B29D375F-34D7-4BF7-9FFF-03AFD9B1D5D2}" type="sib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1BB373AA-7760-4C27-A8AC-04447A2CE856}">
      <dgm:prSet phldrT="[文本]"/>
      <dgm:spPr/>
      <dgm:t>
        <a:bodyPr/>
        <a:lstStyle/>
        <a:p>
          <a:r>
            <a:rPr lang="en-US" altLang="zh-CN"/>
            <a:t>buff</a:t>
          </a:r>
          <a:endParaRPr lang="zh-CN" altLang="en-US"/>
        </a:p>
      </dgm:t>
    </dgm:pt>
    <dgm:pt modelId="{D0E8FBE6-8334-4429-96CF-75588B94CFBF}" type="parTrans" cxnId="{6C2C066C-49FB-4D06-B0D3-D68323DEA328}">
      <dgm:prSet/>
      <dgm:spPr/>
      <dgm:t>
        <a:bodyPr/>
        <a:lstStyle/>
        <a:p>
          <a:endParaRPr lang="zh-CN" altLang="en-US"/>
        </a:p>
      </dgm:t>
    </dgm:pt>
    <dgm:pt modelId="{211D2CE0-48A0-4A72-B568-ADF789D39C3B}" type="sibTrans" cxnId="{6C2C066C-49FB-4D06-B0D3-D68323DEA328}">
      <dgm:prSet/>
      <dgm:spPr/>
      <dgm:t>
        <a:bodyPr/>
        <a:lstStyle/>
        <a:p>
          <a:endParaRPr lang="zh-CN" altLang="en-US"/>
        </a:p>
      </dgm:t>
    </dgm:pt>
    <dgm:pt modelId="{15C4254D-CFF8-4768-92CA-FC275E4D8CC9}">
      <dgm:prSet phldrT="[文本]"/>
      <dgm:spPr/>
      <dgm:t>
        <a:bodyPr/>
        <a:lstStyle/>
        <a:p>
          <a:r>
            <a:rPr lang="en-US" altLang="zh-CN"/>
            <a:t>debuff</a:t>
          </a:r>
          <a:endParaRPr lang="zh-CN" altLang="en-US"/>
        </a:p>
      </dgm:t>
    </dgm:pt>
    <dgm:pt modelId="{64CAE365-0285-4FEB-952F-60F21E9FB006}" type="parTrans" cxnId="{083DADA8-265B-4F7E-8C97-6BD83D3C1204}">
      <dgm:prSet/>
      <dgm:spPr/>
      <dgm:t>
        <a:bodyPr/>
        <a:lstStyle/>
        <a:p>
          <a:endParaRPr lang="zh-CN" altLang="en-US"/>
        </a:p>
      </dgm:t>
    </dgm:pt>
    <dgm:pt modelId="{8B893264-5D57-4C03-B6AC-6F4BE1BF7B93}" type="sibTrans" cxnId="{083DADA8-265B-4F7E-8C97-6BD83D3C1204}">
      <dgm:prSet/>
      <dgm:spPr/>
      <dgm:t>
        <a:bodyPr/>
        <a:lstStyle/>
        <a:p>
          <a:endParaRPr lang="zh-CN" altLang="en-US"/>
        </a:p>
      </dgm:t>
    </dgm:pt>
    <dgm:pt modelId="{18E9DFC9-24F4-4CDA-8DDD-4357734BE91E}">
      <dgm:prSet phldrT="[文本]"/>
      <dgm:spPr/>
      <dgm:t>
        <a:bodyPr/>
        <a:lstStyle/>
        <a:p>
          <a:r>
            <a:rPr lang="zh-CN" altLang="en-US"/>
            <a:t>加成</a:t>
          </a:r>
        </a:p>
      </dgm:t>
    </dgm:pt>
    <dgm:pt modelId="{7035D2FD-A7CF-44EC-8D1D-4B145CDC6183}" type="parTrans" cxnId="{5EC246C6-9674-4367-95D3-478DFE4869B3}">
      <dgm:prSet/>
      <dgm:spPr/>
      <dgm:t>
        <a:bodyPr/>
        <a:lstStyle/>
        <a:p>
          <a:endParaRPr lang="zh-CN" altLang="en-US"/>
        </a:p>
      </dgm:t>
    </dgm:pt>
    <dgm:pt modelId="{C5179791-674F-4C05-B5FB-749F86BF88C8}" type="sibTrans" cxnId="{5EC246C6-9674-4367-95D3-478DFE4869B3}">
      <dgm:prSet/>
      <dgm:spPr/>
      <dgm:t>
        <a:bodyPr/>
        <a:lstStyle/>
        <a:p>
          <a:endParaRPr lang="zh-CN" altLang="en-US"/>
        </a:p>
      </dgm:t>
    </dgm:pt>
    <dgm:pt modelId="{95826B95-0E1B-4269-95A4-D7B5FAF45499}">
      <dgm:prSet phldrT="[文本]"/>
      <dgm:spPr/>
      <dgm:t>
        <a:bodyPr/>
        <a:lstStyle/>
        <a:p>
          <a:r>
            <a:rPr lang="zh-CN" altLang="en-US"/>
            <a:t>额外</a:t>
          </a:r>
        </a:p>
      </dgm:t>
    </dgm:pt>
    <dgm:pt modelId="{707C65DA-7D05-45D1-BDF7-56F701FB713A}" type="parTrans" cxnId="{BEDAD0D4-F3D7-4810-BC8B-52C5C0DF0C42}">
      <dgm:prSet/>
      <dgm:spPr/>
      <dgm:t>
        <a:bodyPr/>
        <a:lstStyle/>
        <a:p>
          <a:endParaRPr lang="zh-CN" altLang="en-US"/>
        </a:p>
      </dgm:t>
    </dgm:pt>
    <dgm:pt modelId="{FA651E67-B73B-437E-B35D-E427C685F1E5}" type="sibTrans" cxnId="{BEDAD0D4-F3D7-4810-BC8B-52C5C0DF0C42}">
      <dgm:prSet/>
      <dgm:spPr/>
      <dgm:t>
        <a:bodyPr/>
        <a:lstStyle/>
        <a:p>
          <a:endParaRPr lang="zh-CN" altLang="en-US"/>
        </a:p>
      </dgm:t>
    </dgm:pt>
    <dgm:pt modelId="{C8CA6221-F621-48D0-A8D2-1A66113F5CC4}">
      <dgm:prSet phldrT="[文本]"/>
      <dgm:spPr/>
      <dgm:t>
        <a:bodyPr/>
        <a:lstStyle/>
        <a:p>
          <a:r>
            <a:rPr lang="zh-CN" altLang="en-US"/>
            <a:t>单次</a:t>
          </a:r>
        </a:p>
      </dgm:t>
    </dgm:pt>
    <dgm:pt modelId="{44614448-9E58-4014-BA65-13AB7E4F94B7}" type="parTrans" cxnId="{544A649B-3213-442F-8F09-2E8C5CF31F0C}">
      <dgm:prSet/>
      <dgm:spPr/>
      <dgm:t>
        <a:bodyPr/>
        <a:lstStyle/>
        <a:p>
          <a:endParaRPr lang="zh-CN" altLang="en-US"/>
        </a:p>
      </dgm:t>
    </dgm:pt>
    <dgm:pt modelId="{0F335132-B069-4F86-9745-B3F0BF1FCB72}" type="sibTrans" cxnId="{544A649B-3213-442F-8F09-2E8C5CF31F0C}">
      <dgm:prSet/>
      <dgm:spPr/>
      <dgm:t>
        <a:bodyPr/>
        <a:lstStyle/>
        <a:p>
          <a:endParaRPr lang="zh-CN" altLang="en-US"/>
        </a:p>
      </dgm:t>
    </dgm:pt>
    <dgm:pt modelId="{E9BAEF2C-21F2-4D81-A9C9-CF42D7371379}">
      <dgm:prSet phldrT="[文本]"/>
      <dgm:spPr/>
      <dgm:t>
        <a:bodyPr/>
        <a:lstStyle/>
        <a:p>
          <a:r>
            <a:rPr lang="zh-CN" altLang="en-US"/>
            <a:t>持续</a:t>
          </a:r>
        </a:p>
      </dgm:t>
    </dgm:pt>
    <dgm:pt modelId="{E8BBA726-F828-4AD1-AB8A-39B3ED8B7071}" type="parTrans" cxnId="{0FD3333A-B642-4138-82E4-EF1AD73FCD54}">
      <dgm:prSet/>
      <dgm:spPr/>
      <dgm:t>
        <a:bodyPr/>
        <a:lstStyle/>
        <a:p>
          <a:endParaRPr lang="zh-CN" altLang="en-US"/>
        </a:p>
      </dgm:t>
    </dgm:pt>
    <dgm:pt modelId="{98FB947F-1C9B-45F2-A5CE-8E4656236983}" type="sibTrans" cxnId="{0FD3333A-B642-4138-82E4-EF1AD73FCD54}">
      <dgm:prSet/>
      <dgm:spPr/>
      <dgm:t>
        <a:bodyPr/>
        <a:lstStyle/>
        <a:p>
          <a:endParaRPr lang="zh-CN" altLang="en-US"/>
        </a:p>
      </dgm:t>
    </dgm:pt>
    <dgm:pt modelId="{F7AA5C27-D610-4CEE-B367-2837CF5239DB}" type="pres">
      <dgm:prSet presAssocID="{F76F5FFD-39E5-4DC9-88C3-A03EBCF9D140}" presName="Name0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  <dgm:t>
        <a:bodyPr/>
        <a:lstStyle/>
        <a:p>
          <a:endParaRPr lang="zh-CN" altLang="en-US"/>
        </a:p>
      </dgm:t>
    </dgm:pt>
    <dgm:pt modelId="{C7A51166-8C2D-4402-94F1-217ED1A6D04B}" type="pres">
      <dgm:prSet presAssocID="{A21AE2EE-2B94-4ADA-8402-3B992C650BC4}" presName="root1" presStyleCnt="0"/>
      <dgm:spPr/>
    </dgm:pt>
    <dgm:pt modelId="{7623EA2D-4004-4231-AA5D-D1E355D19192}" type="pres">
      <dgm:prSet presAssocID="{A21AE2EE-2B94-4ADA-8402-3B992C650BC4}" presName="LevelOneTextNode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3FC1C467-0EA7-493E-B599-2230FAF6A463}" type="pres">
      <dgm:prSet presAssocID="{A21AE2EE-2B94-4ADA-8402-3B992C650BC4}" presName="level2hierChild" presStyleCnt="0"/>
      <dgm:spPr/>
    </dgm:pt>
    <dgm:pt modelId="{BBE59A82-CC43-44DE-9CA8-F9A31CACB5EB}" type="pres">
      <dgm:prSet presAssocID="{2521EE39-5271-41C9-BC3F-E7E04C6F9550}" presName="conn2-1" presStyleLbl="parChTrans1D2" presStyleIdx="0" presStyleCnt="2"/>
      <dgm:spPr/>
      <dgm:t>
        <a:bodyPr/>
        <a:lstStyle/>
        <a:p>
          <a:endParaRPr lang="zh-CN" altLang="en-US"/>
        </a:p>
      </dgm:t>
    </dgm:pt>
    <dgm:pt modelId="{337F12DC-932B-412C-A6BE-189EA6C4CEEE}" type="pres">
      <dgm:prSet presAssocID="{2521EE39-5271-41C9-BC3F-E7E04C6F9550}" presName="connTx" presStyleLbl="parChTrans1D2" presStyleIdx="0" presStyleCnt="2"/>
      <dgm:spPr/>
      <dgm:t>
        <a:bodyPr/>
        <a:lstStyle/>
        <a:p>
          <a:endParaRPr lang="zh-CN" altLang="en-US"/>
        </a:p>
      </dgm:t>
    </dgm:pt>
    <dgm:pt modelId="{043EE7B4-6CCE-4EEF-B2BA-FB55F3CF5F67}" type="pres">
      <dgm:prSet presAssocID="{1844AAB1-42BA-4E85-9A20-C97F13C686AE}" presName="root2" presStyleCnt="0"/>
      <dgm:spPr/>
    </dgm:pt>
    <dgm:pt modelId="{C4D344F2-D831-4933-8BA0-D6353DFDBF43}" type="pres">
      <dgm:prSet presAssocID="{1844AAB1-42BA-4E85-9A20-C97F13C686AE}" presName="LevelTwoTextNode" presStyleLbl="node2" presStyleIdx="0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3F3DBCE4-D6D3-4B55-9586-CC4CEC1A78B3}" type="pres">
      <dgm:prSet presAssocID="{1844AAB1-42BA-4E85-9A20-C97F13C686AE}" presName="level3hierChild" presStyleCnt="0"/>
      <dgm:spPr/>
    </dgm:pt>
    <dgm:pt modelId="{23F0DFD1-3F28-426B-9434-D8CDBE595516}" type="pres">
      <dgm:prSet presAssocID="{A1459B56-0783-4036-B1F1-B884ABF261E1}" presName="conn2-1" presStyleLbl="parChTrans1D3" presStyleIdx="0" presStyleCnt="7"/>
      <dgm:spPr/>
      <dgm:t>
        <a:bodyPr/>
        <a:lstStyle/>
        <a:p>
          <a:endParaRPr lang="zh-CN" altLang="en-US"/>
        </a:p>
      </dgm:t>
    </dgm:pt>
    <dgm:pt modelId="{EBCF32F8-9440-4DF0-892E-0747C003CD69}" type="pres">
      <dgm:prSet presAssocID="{A1459B56-0783-4036-B1F1-B884ABF261E1}" presName="connTx" presStyleLbl="parChTrans1D3" presStyleIdx="0" presStyleCnt="7"/>
      <dgm:spPr/>
      <dgm:t>
        <a:bodyPr/>
        <a:lstStyle/>
        <a:p>
          <a:endParaRPr lang="zh-CN" altLang="en-US"/>
        </a:p>
      </dgm:t>
    </dgm:pt>
    <dgm:pt modelId="{9FB82CA0-D21E-45EE-AB83-81DC0D8B2BD6}" type="pres">
      <dgm:prSet presAssocID="{F3001CCD-3B88-4896-B360-448B8EFAFDC0}" presName="root2" presStyleCnt="0"/>
      <dgm:spPr/>
    </dgm:pt>
    <dgm:pt modelId="{C6354DC9-11FF-44B7-9DDF-C83A3492A15A}" type="pres">
      <dgm:prSet presAssocID="{F3001CCD-3B88-4896-B360-448B8EFAFDC0}" presName="LevelTwoTextNode" presStyleLbl="node3" presStyleIdx="0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D1EE95B-9466-432E-8600-D5721555AEAD}" type="pres">
      <dgm:prSet presAssocID="{F3001CCD-3B88-4896-B360-448B8EFAFDC0}" presName="level3hierChild" presStyleCnt="0"/>
      <dgm:spPr/>
    </dgm:pt>
    <dgm:pt modelId="{52624B56-7A44-4C2A-B489-98EE6CE92259}" type="pres">
      <dgm:prSet presAssocID="{05922A1E-F4CD-4BDF-AF1D-1E20E66D6423}" presName="conn2-1" presStyleLbl="parChTrans1D3" presStyleIdx="1" presStyleCnt="7"/>
      <dgm:spPr/>
      <dgm:t>
        <a:bodyPr/>
        <a:lstStyle/>
        <a:p>
          <a:endParaRPr lang="zh-CN" altLang="en-US"/>
        </a:p>
      </dgm:t>
    </dgm:pt>
    <dgm:pt modelId="{265D8824-51A8-4EF0-BAC1-E761EED80C82}" type="pres">
      <dgm:prSet presAssocID="{05922A1E-F4CD-4BDF-AF1D-1E20E66D6423}" presName="connTx" presStyleLbl="parChTrans1D3" presStyleIdx="1" presStyleCnt="7"/>
      <dgm:spPr/>
      <dgm:t>
        <a:bodyPr/>
        <a:lstStyle/>
        <a:p>
          <a:endParaRPr lang="zh-CN" altLang="en-US"/>
        </a:p>
      </dgm:t>
    </dgm:pt>
    <dgm:pt modelId="{9B955B0B-6D82-4217-9D05-88C358ECCA23}" type="pres">
      <dgm:prSet presAssocID="{653AE01A-10D8-447D-857F-F0CDC5AFC7D1}" presName="root2" presStyleCnt="0"/>
      <dgm:spPr/>
    </dgm:pt>
    <dgm:pt modelId="{B4F45A7C-F2A1-41D7-92AB-31C2CA7AA45C}" type="pres">
      <dgm:prSet presAssocID="{653AE01A-10D8-447D-857F-F0CDC5AFC7D1}" presName="LevelTwoTextNode" presStyleLbl="node3" presStyleIdx="1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9D61F6E5-418F-4B63-84A4-6E2C6A528B5C}" type="pres">
      <dgm:prSet presAssocID="{653AE01A-10D8-447D-857F-F0CDC5AFC7D1}" presName="level3hierChild" presStyleCnt="0"/>
      <dgm:spPr/>
    </dgm:pt>
    <dgm:pt modelId="{7C1C83E2-7A37-4DEC-A6C7-F00211D93951}" type="pres">
      <dgm:prSet presAssocID="{4BA12037-CC3D-464F-A2D4-295BDFDDE1DD}" presName="conn2-1" presStyleLbl="parChTrans1D3" presStyleIdx="2" presStyleCnt="7"/>
      <dgm:spPr/>
      <dgm:t>
        <a:bodyPr/>
        <a:lstStyle/>
        <a:p>
          <a:endParaRPr lang="zh-CN" altLang="en-US"/>
        </a:p>
      </dgm:t>
    </dgm:pt>
    <dgm:pt modelId="{ED8879EB-64E4-4913-8CEB-66D099099F87}" type="pres">
      <dgm:prSet presAssocID="{4BA12037-CC3D-464F-A2D4-295BDFDDE1DD}" presName="connTx" presStyleLbl="parChTrans1D3" presStyleIdx="2" presStyleCnt="7"/>
      <dgm:spPr/>
      <dgm:t>
        <a:bodyPr/>
        <a:lstStyle/>
        <a:p>
          <a:endParaRPr lang="zh-CN" altLang="en-US"/>
        </a:p>
      </dgm:t>
    </dgm:pt>
    <dgm:pt modelId="{81306647-C908-4424-9AA4-5FF5A145CEA6}" type="pres">
      <dgm:prSet presAssocID="{0F76CBFE-85EB-418B-B537-F58ED3208908}" presName="root2" presStyleCnt="0"/>
      <dgm:spPr/>
    </dgm:pt>
    <dgm:pt modelId="{BC90FF38-7B58-4389-BD96-44EF8F5B4369}" type="pres">
      <dgm:prSet presAssocID="{0F76CBFE-85EB-418B-B537-F58ED3208908}" presName="LevelTwoTextNode" presStyleLbl="node3" presStyleIdx="2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499BDB83-FF13-448E-B94C-271366254079}" type="pres">
      <dgm:prSet presAssocID="{0F76CBFE-85EB-418B-B537-F58ED3208908}" presName="level3hierChild" presStyleCnt="0"/>
      <dgm:spPr/>
    </dgm:pt>
    <dgm:pt modelId="{0920206D-8143-4542-8460-3C3C24D775F7}" type="pres">
      <dgm:prSet presAssocID="{DF0008C4-A99C-4CA0-AFD6-CAD70AEAD768}" presName="conn2-1" presStyleLbl="parChTrans1D2" presStyleIdx="1" presStyleCnt="2"/>
      <dgm:spPr/>
      <dgm:t>
        <a:bodyPr/>
        <a:lstStyle/>
        <a:p>
          <a:endParaRPr lang="zh-CN" altLang="en-US"/>
        </a:p>
      </dgm:t>
    </dgm:pt>
    <dgm:pt modelId="{F4B0A416-2DBC-4364-85B7-479E42A62E26}" type="pres">
      <dgm:prSet presAssocID="{DF0008C4-A99C-4CA0-AFD6-CAD70AEAD768}" presName="connTx" presStyleLbl="parChTrans1D2" presStyleIdx="1" presStyleCnt="2"/>
      <dgm:spPr/>
      <dgm:t>
        <a:bodyPr/>
        <a:lstStyle/>
        <a:p>
          <a:endParaRPr lang="zh-CN" altLang="en-US"/>
        </a:p>
      </dgm:t>
    </dgm:pt>
    <dgm:pt modelId="{D32327A4-6BC4-4C3B-8F27-9B83605030DD}" type="pres">
      <dgm:prSet presAssocID="{4B2C7FE5-1E92-46F4-8EC5-A2EEED56C949}" presName="root2" presStyleCnt="0"/>
      <dgm:spPr/>
    </dgm:pt>
    <dgm:pt modelId="{4ACA9925-0CFD-4F58-A674-0E1767E16CBA}" type="pres">
      <dgm:prSet presAssocID="{4B2C7FE5-1E92-46F4-8EC5-A2EEED56C949}" presName="LevelTwoTextNode" presStyleLbl="node2" presStyleIdx="1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4C03E01E-B651-4653-BD04-1BB16FC03E9E}" type="pres">
      <dgm:prSet presAssocID="{4B2C7FE5-1E92-46F4-8EC5-A2EEED56C949}" presName="level3hierChild" presStyleCnt="0"/>
      <dgm:spPr/>
    </dgm:pt>
    <dgm:pt modelId="{04705377-758C-443E-BB02-69FF14CB8C5A}" type="pres">
      <dgm:prSet presAssocID="{4DE82E4A-93F1-4DBD-88F0-91A8F6305223}" presName="conn2-1" presStyleLbl="parChTrans1D3" presStyleIdx="3" presStyleCnt="7"/>
      <dgm:spPr/>
      <dgm:t>
        <a:bodyPr/>
        <a:lstStyle/>
        <a:p>
          <a:endParaRPr lang="zh-CN" altLang="en-US"/>
        </a:p>
      </dgm:t>
    </dgm:pt>
    <dgm:pt modelId="{F8F9D7D7-0790-4355-ACA9-8161B9D1A368}" type="pres">
      <dgm:prSet presAssocID="{4DE82E4A-93F1-4DBD-88F0-91A8F6305223}" presName="connTx" presStyleLbl="parChTrans1D3" presStyleIdx="3" presStyleCnt="7"/>
      <dgm:spPr/>
      <dgm:t>
        <a:bodyPr/>
        <a:lstStyle/>
        <a:p>
          <a:endParaRPr lang="zh-CN" altLang="en-US"/>
        </a:p>
      </dgm:t>
    </dgm:pt>
    <dgm:pt modelId="{0668D3B6-388A-4E9B-87C1-A9403E517901}" type="pres">
      <dgm:prSet presAssocID="{E7F9FAB3-B4E7-40B4-A56C-FA3F0C293475}" presName="root2" presStyleCnt="0"/>
      <dgm:spPr/>
    </dgm:pt>
    <dgm:pt modelId="{614BF545-5847-49F0-BE8B-373A2B15603F}" type="pres">
      <dgm:prSet presAssocID="{E7F9FAB3-B4E7-40B4-A56C-FA3F0C293475}" presName="LevelTwoTextNode" presStyleLbl="node3" presStyleIdx="3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CFF5A9DE-76D4-4074-9E04-35B384172431}" type="pres">
      <dgm:prSet presAssocID="{E7F9FAB3-B4E7-40B4-A56C-FA3F0C293475}" presName="level3hierChild" presStyleCnt="0"/>
      <dgm:spPr/>
    </dgm:pt>
    <dgm:pt modelId="{1A31792C-EE7C-412B-8B15-97CC0E0E3C39}" type="pres">
      <dgm:prSet presAssocID="{7035D2FD-A7CF-44EC-8D1D-4B145CDC6183}" presName="conn2-1" presStyleLbl="parChTrans1D4" presStyleIdx="0" presStyleCnt="4"/>
      <dgm:spPr/>
      <dgm:t>
        <a:bodyPr/>
        <a:lstStyle/>
        <a:p>
          <a:endParaRPr lang="zh-CN" altLang="en-US"/>
        </a:p>
      </dgm:t>
    </dgm:pt>
    <dgm:pt modelId="{090C6680-8FD3-4F77-AC11-68E6FDC97BD0}" type="pres">
      <dgm:prSet presAssocID="{7035D2FD-A7CF-44EC-8D1D-4B145CDC6183}" presName="connTx" presStyleLbl="parChTrans1D4" presStyleIdx="0" presStyleCnt="4"/>
      <dgm:spPr/>
      <dgm:t>
        <a:bodyPr/>
        <a:lstStyle/>
        <a:p>
          <a:endParaRPr lang="zh-CN" altLang="en-US"/>
        </a:p>
      </dgm:t>
    </dgm:pt>
    <dgm:pt modelId="{CDF53649-0115-4A3B-86BB-DB2955B01EEF}" type="pres">
      <dgm:prSet presAssocID="{18E9DFC9-24F4-4CDA-8DDD-4357734BE91E}" presName="root2" presStyleCnt="0"/>
      <dgm:spPr/>
    </dgm:pt>
    <dgm:pt modelId="{5AF42422-4DBE-4EA4-BDFD-A23050E6A98C}" type="pres">
      <dgm:prSet presAssocID="{18E9DFC9-24F4-4CDA-8DDD-4357734BE91E}" presName="LevelTwoTextNode" presStyleLbl="node4" presStyleIdx="0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92762A7E-7E4B-442B-97BC-BA8554F062BF}" type="pres">
      <dgm:prSet presAssocID="{18E9DFC9-24F4-4CDA-8DDD-4357734BE91E}" presName="level3hierChild" presStyleCnt="0"/>
      <dgm:spPr/>
    </dgm:pt>
    <dgm:pt modelId="{87FDC4E9-E95A-4354-BEAB-9C0B39C24DFC}" type="pres">
      <dgm:prSet presAssocID="{707C65DA-7D05-45D1-BDF7-56F701FB713A}" presName="conn2-1" presStyleLbl="parChTrans1D4" presStyleIdx="1" presStyleCnt="4"/>
      <dgm:spPr/>
      <dgm:t>
        <a:bodyPr/>
        <a:lstStyle/>
        <a:p>
          <a:endParaRPr lang="zh-CN" altLang="en-US"/>
        </a:p>
      </dgm:t>
    </dgm:pt>
    <dgm:pt modelId="{9361B1C0-42E0-4D1D-A6A6-4A57918CFCAF}" type="pres">
      <dgm:prSet presAssocID="{707C65DA-7D05-45D1-BDF7-56F701FB713A}" presName="connTx" presStyleLbl="parChTrans1D4" presStyleIdx="1" presStyleCnt="4"/>
      <dgm:spPr/>
      <dgm:t>
        <a:bodyPr/>
        <a:lstStyle/>
        <a:p>
          <a:endParaRPr lang="zh-CN" altLang="en-US"/>
        </a:p>
      </dgm:t>
    </dgm:pt>
    <dgm:pt modelId="{EE10EAF3-3046-4FE7-9633-58E52A2562C9}" type="pres">
      <dgm:prSet presAssocID="{95826B95-0E1B-4269-95A4-D7B5FAF45499}" presName="root2" presStyleCnt="0"/>
      <dgm:spPr/>
    </dgm:pt>
    <dgm:pt modelId="{714350B7-A35A-4BBD-B1EB-C0886CD930CA}" type="pres">
      <dgm:prSet presAssocID="{95826B95-0E1B-4269-95A4-D7B5FAF45499}" presName="LevelTwoTextNode" presStyleLbl="node4" presStyleIdx="1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4DE4744F-D223-47FA-BF58-9245D2626104}" type="pres">
      <dgm:prSet presAssocID="{95826B95-0E1B-4269-95A4-D7B5FAF45499}" presName="level3hierChild" presStyleCnt="0"/>
      <dgm:spPr/>
    </dgm:pt>
    <dgm:pt modelId="{654482DD-BC6F-4C27-8C47-ED14914C6091}" type="pres">
      <dgm:prSet presAssocID="{44614448-9E58-4014-BA65-13AB7E4F94B7}" presName="conn2-1" presStyleLbl="parChTrans1D4" presStyleIdx="2" presStyleCnt="4"/>
      <dgm:spPr/>
      <dgm:t>
        <a:bodyPr/>
        <a:lstStyle/>
        <a:p>
          <a:endParaRPr lang="zh-CN" altLang="en-US"/>
        </a:p>
      </dgm:t>
    </dgm:pt>
    <dgm:pt modelId="{245C3134-D05C-4A55-A3B7-97D34CB9E734}" type="pres">
      <dgm:prSet presAssocID="{44614448-9E58-4014-BA65-13AB7E4F94B7}" presName="connTx" presStyleLbl="parChTrans1D4" presStyleIdx="2" presStyleCnt="4"/>
      <dgm:spPr/>
      <dgm:t>
        <a:bodyPr/>
        <a:lstStyle/>
        <a:p>
          <a:endParaRPr lang="zh-CN" altLang="en-US"/>
        </a:p>
      </dgm:t>
    </dgm:pt>
    <dgm:pt modelId="{7933C69C-C24F-4978-A014-CEDC73A21799}" type="pres">
      <dgm:prSet presAssocID="{C8CA6221-F621-48D0-A8D2-1A66113F5CC4}" presName="root2" presStyleCnt="0"/>
      <dgm:spPr/>
    </dgm:pt>
    <dgm:pt modelId="{4191F118-0B2C-43CF-A133-737135C37F2C}" type="pres">
      <dgm:prSet presAssocID="{C8CA6221-F621-48D0-A8D2-1A66113F5CC4}" presName="LevelTwoTextNode" presStyleLbl="node4" presStyleIdx="2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4C658F1-B30F-45FF-A26B-18FEE0F699B9}" type="pres">
      <dgm:prSet presAssocID="{C8CA6221-F621-48D0-A8D2-1A66113F5CC4}" presName="level3hierChild" presStyleCnt="0"/>
      <dgm:spPr/>
    </dgm:pt>
    <dgm:pt modelId="{98D55A85-5D9A-46BD-8966-CFC2EC6EF683}" type="pres">
      <dgm:prSet presAssocID="{E8BBA726-F828-4AD1-AB8A-39B3ED8B7071}" presName="conn2-1" presStyleLbl="parChTrans1D4" presStyleIdx="3" presStyleCnt="4"/>
      <dgm:spPr/>
      <dgm:t>
        <a:bodyPr/>
        <a:lstStyle/>
        <a:p>
          <a:endParaRPr lang="zh-CN" altLang="en-US"/>
        </a:p>
      </dgm:t>
    </dgm:pt>
    <dgm:pt modelId="{EB1AD8CD-6A56-4FF1-882B-A49C28293FD8}" type="pres">
      <dgm:prSet presAssocID="{E8BBA726-F828-4AD1-AB8A-39B3ED8B7071}" presName="connTx" presStyleLbl="parChTrans1D4" presStyleIdx="3" presStyleCnt="4"/>
      <dgm:spPr/>
      <dgm:t>
        <a:bodyPr/>
        <a:lstStyle/>
        <a:p>
          <a:endParaRPr lang="zh-CN" altLang="en-US"/>
        </a:p>
      </dgm:t>
    </dgm:pt>
    <dgm:pt modelId="{06031BC9-0E99-424E-827F-3FA4BAE15259}" type="pres">
      <dgm:prSet presAssocID="{E9BAEF2C-21F2-4D81-A9C9-CF42D7371379}" presName="root2" presStyleCnt="0"/>
      <dgm:spPr/>
    </dgm:pt>
    <dgm:pt modelId="{99F24C42-4791-4048-8895-CD3EBD895BD0}" type="pres">
      <dgm:prSet presAssocID="{E9BAEF2C-21F2-4D81-A9C9-CF42D7371379}" presName="LevelTwoTextNode" presStyleLbl="node4" presStyleIdx="3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AB7A0D2B-5300-462D-934A-DF9BECBE4F1D}" type="pres">
      <dgm:prSet presAssocID="{E9BAEF2C-21F2-4D81-A9C9-CF42D7371379}" presName="level3hierChild" presStyleCnt="0"/>
      <dgm:spPr/>
    </dgm:pt>
    <dgm:pt modelId="{EA31A552-86F2-45E6-8ED2-3B26771654F7}" type="pres">
      <dgm:prSet presAssocID="{06E18F15-08F5-478A-BED1-06EE05C3B192}" presName="conn2-1" presStyleLbl="parChTrans1D3" presStyleIdx="4" presStyleCnt="7"/>
      <dgm:spPr/>
      <dgm:t>
        <a:bodyPr/>
        <a:lstStyle/>
        <a:p>
          <a:endParaRPr lang="zh-CN" altLang="en-US"/>
        </a:p>
      </dgm:t>
    </dgm:pt>
    <dgm:pt modelId="{EBDFA94F-4588-421A-A827-A35752415526}" type="pres">
      <dgm:prSet presAssocID="{06E18F15-08F5-478A-BED1-06EE05C3B192}" presName="connTx" presStyleLbl="parChTrans1D3" presStyleIdx="4" presStyleCnt="7"/>
      <dgm:spPr/>
      <dgm:t>
        <a:bodyPr/>
        <a:lstStyle/>
        <a:p>
          <a:endParaRPr lang="zh-CN" altLang="en-US"/>
        </a:p>
      </dgm:t>
    </dgm:pt>
    <dgm:pt modelId="{12C0875C-873E-4B60-B8FA-EED675498B1A}" type="pres">
      <dgm:prSet presAssocID="{326BE1EF-CD38-49AD-AB82-C8A3B683DF74}" presName="root2" presStyleCnt="0"/>
      <dgm:spPr/>
    </dgm:pt>
    <dgm:pt modelId="{771A9A2A-75D2-424C-8D80-56325F122D13}" type="pres">
      <dgm:prSet presAssocID="{326BE1EF-CD38-49AD-AB82-C8A3B683DF74}" presName="LevelTwoTextNode" presStyleLbl="node3" presStyleIdx="4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BD7C308-4654-42BD-A284-C70D2698932F}" type="pres">
      <dgm:prSet presAssocID="{326BE1EF-CD38-49AD-AB82-C8A3B683DF74}" presName="level3hierChild" presStyleCnt="0"/>
      <dgm:spPr/>
    </dgm:pt>
    <dgm:pt modelId="{9E94A8D4-9318-4DE8-AC47-6585F1CD54C0}" type="pres">
      <dgm:prSet presAssocID="{D0E8FBE6-8334-4429-96CF-75588B94CFBF}" presName="conn2-1" presStyleLbl="parChTrans1D3" presStyleIdx="5" presStyleCnt="7"/>
      <dgm:spPr/>
      <dgm:t>
        <a:bodyPr/>
        <a:lstStyle/>
        <a:p>
          <a:endParaRPr lang="zh-CN" altLang="en-US"/>
        </a:p>
      </dgm:t>
    </dgm:pt>
    <dgm:pt modelId="{98EED8C2-A802-410C-8EB7-58200E65CFA6}" type="pres">
      <dgm:prSet presAssocID="{D0E8FBE6-8334-4429-96CF-75588B94CFBF}" presName="connTx" presStyleLbl="parChTrans1D3" presStyleIdx="5" presStyleCnt="7"/>
      <dgm:spPr/>
      <dgm:t>
        <a:bodyPr/>
        <a:lstStyle/>
        <a:p>
          <a:endParaRPr lang="zh-CN" altLang="en-US"/>
        </a:p>
      </dgm:t>
    </dgm:pt>
    <dgm:pt modelId="{DC172094-5025-4D11-A48B-189A0B26029B}" type="pres">
      <dgm:prSet presAssocID="{1BB373AA-7760-4C27-A8AC-04447A2CE856}" presName="root2" presStyleCnt="0"/>
      <dgm:spPr/>
    </dgm:pt>
    <dgm:pt modelId="{DF33A442-8293-456A-BDE4-3C911CF24994}" type="pres">
      <dgm:prSet presAssocID="{1BB373AA-7760-4C27-A8AC-04447A2CE856}" presName="LevelTwoTextNode" presStyleLbl="node3" presStyleIdx="5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05AB61B5-9686-4156-BE1B-1CDA3FF49CBD}" type="pres">
      <dgm:prSet presAssocID="{1BB373AA-7760-4C27-A8AC-04447A2CE856}" presName="level3hierChild" presStyleCnt="0"/>
      <dgm:spPr/>
    </dgm:pt>
    <dgm:pt modelId="{5D863BEC-3A31-4066-9CEE-1850F6EF4131}" type="pres">
      <dgm:prSet presAssocID="{64CAE365-0285-4FEB-952F-60F21E9FB006}" presName="conn2-1" presStyleLbl="parChTrans1D3" presStyleIdx="6" presStyleCnt="7"/>
      <dgm:spPr/>
      <dgm:t>
        <a:bodyPr/>
        <a:lstStyle/>
        <a:p>
          <a:endParaRPr lang="zh-CN" altLang="en-US"/>
        </a:p>
      </dgm:t>
    </dgm:pt>
    <dgm:pt modelId="{E5E4D189-1480-487E-9E11-B27AA21DDD09}" type="pres">
      <dgm:prSet presAssocID="{64CAE365-0285-4FEB-952F-60F21E9FB006}" presName="connTx" presStyleLbl="parChTrans1D3" presStyleIdx="6" presStyleCnt="7"/>
      <dgm:spPr/>
      <dgm:t>
        <a:bodyPr/>
        <a:lstStyle/>
        <a:p>
          <a:endParaRPr lang="zh-CN" altLang="en-US"/>
        </a:p>
      </dgm:t>
    </dgm:pt>
    <dgm:pt modelId="{1D6803C4-13D1-4726-8165-44B92BD92E06}" type="pres">
      <dgm:prSet presAssocID="{15C4254D-CFF8-4768-92CA-FC275E4D8CC9}" presName="root2" presStyleCnt="0"/>
      <dgm:spPr/>
    </dgm:pt>
    <dgm:pt modelId="{D28C9E69-EBBB-4C0A-9B76-1EF17B260D9A}" type="pres">
      <dgm:prSet presAssocID="{15C4254D-CFF8-4768-92CA-FC275E4D8CC9}" presName="LevelTwoTextNode" presStyleLbl="node3" presStyleIdx="6" presStyleCnt="7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6EB8FC2-CE27-4EAD-BE83-CA1E20EA134F}" type="pres">
      <dgm:prSet presAssocID="{15C4254D-CFF8-4768-92CA-FC275E4D8CC9}" presName="level3hierChild" presStyleCnt="0"/>
      <dgm:spPr/>
    </dgm:pt>
  </dgm:ptLst>
  <dgm:cxnLst>
    <dgm:cxn modelId="{BC4AC302-C14D-4F00-9D59-2BF412F0717C}" srcId="{A21AE2EE-2B94-4ADA-8402-3B992C650BC4}" destId="{4B2C7FE5-1E92-46F4-8EC5-A2EEED56C949}" srcOrd="1" destOrd="0" parTransId="{DF0008C4-A99C-4CA0-AFD6-CAD70AEAD768}" sibTransId="{B5962EF7-00EE-4E13-9686-D427A3291021}"/>
    <dgm:cxn modelId="{1211499C-D45B-4C3E-A5B8-47D9263531B4}" srcId="{F76F5FFD-39E5-4DC9-88C3-A03EBCF9D140}" destId="{A21AE2EE-2B94-4ADA-8402-3B992C650BC4}" srcOrd="0" destOrd="0" parTransId="{77AE4298-F60B-44CE-9977-1C877A9D86CA}" sibTransId="{3E048DBF-7DFA-4DC0-B263-F01B7971DC60}"/>
    <dgm:cxn modelId="{2A969FAE-4B2A-4914-A64D-5BFCA7F5DCA6}" type="presOf" srcId="{4BA12037-CC3D-464F-A2D4-295BDFDDE1DD}" destId="{7C1C83E2-7A37-4DEC-A6C7-F00211D93951}" srcOrd="0" destOrd="0" presId="urn:microsoft.com/office/officeart/2008/layout/HorizontalMultiLevelHierarchy"/>
    <dgm:cxn modelId="{BEDAD0D4-F3D7-4810-BC8B-52C5C0DF0C42}" srcId="{E7F9FAB3-B4E7-40B4-A56C-FA3F0C293475}" destId="{95826B95-0E1B-4269-95A4-D7B5FAF45499}" srcOrd="1" destOrd="0" parTransId="{707C65DA-7D05-45D1-BDF7-56F701FB713A}" sibTransId="{FA651E67-B73B-437E-B35D-E427C685F1E5}"/>
    <dgm:cxn modelId="{4D95365A-2426-4841-A3CF-B01367842479}" type="presOf" srcId="{E7F9FAB3-B4E7-40B4-A56C-FA3F0C293475}" destId="{614BF545-5847-49F0-BE8B-373A2B15603F}" srcOrd="0" destOrd="0" presId="urn:microsoft.com/office/officeart/2008/layout/HorizontalMultiLevelHierarchy"/>
    <dgm:cxn modelId="{218596C1-FDF5-45DA-8306-37502D049FF9}" type="presOf" srcId="{4BA12037-CC3D-464F-A2D4-295BDFDDE1DD}" destId="{ED8879EB-64E4-4913-8CEB-66D099099F87}" srcOrd="1" destOrd="0" presId="urn:microsoft.com/office/officeart/2008/layout/HorizontalMultiLevelHierarchy"/>
    <dgm:cxn modelId="{C15F1DD4-A6AE-462D-BC63-04C5E177B8D9}" type="presOf" srcId="{F3001CCD-3B88-4896-B360-448B8EFAFDC0}" destId="{C6354DC9-11FF-44B7-9DDF-C83A3492A15A}" srcOrd="0" destOrd="0" presId="urn:microsoft.com/office/officeart/2008/layout/HorizontalMultiLevelHierarchy"/>
    <dgm:cxn modelId="{5DEB1810-1DF2-4A4F-B35E-20C618FD1AA5}" type="presOf" srcId="{2521EE39-5271-41C9-BC3F-E7E04C6F9550}" destId="{BBE59A82-CC43-44DE-9CA8-F9A31CACB5EB}" srcOrd="0" destOrd="0" presId="urn:microsoft.com/office/officeart/2008/layout/HorizontalMultiLevelHierarchy"/>
    <dgm:cxn modelId="{847E1798-E7A6-495E-921A-FA01F472EB6C}" srcId="{A21AE2EE-2B94-4ADA-8402-3B992C650BC4}" destId="{1844AAB1-42BA-4E85-9A20-C97F13C686AE}" srcOrd="0" destOrd="0" parTransId="{2521EE39-5271-41C9-BC3F-E7E04C6F9550}" sibTransId="{A181517F-22CD-4B5B-BE79-A07B55084059}"/>
    <dgm:cxn modelId="{EE040E49-AEEF-4BAF-B24B-A85C9DFCF6A4}" srcId="{4B2C7FE5-1E92-46F4-8EC5-A2EEED56C949}" destId="{E7F9FAB3-B4E7-40B4-A56C-FA3F0C293475}" srcOrd="0" destOrd="0" parTransId="{4DE82E4A-93F1-4DBD-88F0-91A8F6305223}" sibTransId="{A4D17A11-545C-4CF6-B082-3F5BD022BF0A}"/>
    <dgm:cxn modelId="{5EC246C6-9674-4367-95D3-478DFE4869B3}" srcId="{E7F9FAB3-B4E7-40B4-A56C-FA3F0C293475}" destId="{18E9DFC9-24F4-4CDA-8DDD-4357734BE91E}" srcOrd="0" destOrd="0" parTransId="{7035D2FD-A7CF-44EC-8D1D-4B145CDC6183}" sibTransId="{C5179791-674F-4C05-B5FB-749F86BF88C8}"/>
    <dgm:cxn modelId="{DDD38569-6C07-4602-B2D1-0A11C0FBEAAF}" type="presOf" srcId="{E8BBA726-F828-4AD1-AB8A-39B3ED8B7071}" destId="{EB1AD8CD-6A56-4FF1-882B-A49C28293FD8}" srcOrd="1" destOrd="0" presId="urn:microsoft.com/office/officeart/2008/layout/HorizontalMultiLevelHierarchy"/>
    <dgm:cxn modelId="{083DADA8-265B-4F7E-8C97-6BD83D3C1204}" srcId="{4B2C7FE5-1E92-46F4-8EC5-A2EEED56C949}" destId="{15C4254D-CFF8-4768-92CA-FC275E4D8CC9}" srcOrd="3" destOrd="0" parTransId="{64CAE365-0285-4FEB-952F-60F21E9FB006}" sibTransId="{8B893264-5D57-4C03-B6AC-6F4BE1BF7B93}"/>
    <dgm:cxn modelId="{CF312477-173C-4917-BB6C-56539C34F594}" type="presOf" srcId="{05922A1E-F4CD-4BDF-AF1D-1E20E66D6423}" destId="{52624B56-7A44-4C2A-B489-98EE6CE92259}" srcOrd="0" destOrd="0" presId="urn:microsoft.com/office/officeart/2008/layout/HorizontalMultiLevelHierarchy"/>
    <dgm:cxn modelId="{0AF50E46-7FB4-4EC0-BEE4-41270DE3F33C}" type="presOf" srcId="{D0E8FBE6-8334-4429-96CF-75588B94CFBF}" destId="{98EED8C2-A802-410C-8EB7-58200E65CFA6}" srcOrd="1" destOrd="0" presId="urn:microsoft.com/office/officeart/2008/layout/HorizontalMultiLevelHierarchy"/>
    <dgm:cxn modelId="{544A649B-3213-442F-8F09-2E8C5CF31F0C}" srcId="{95826B95-0E1B-4269-95A4-D7B5FAF45499}" destId="{C8CA6221-F621-48D0-A8D2-1A66113F5CC4}" srcOrd="0" destOrd="0" parTransId="{44614448-9E58-4014-BA65-13AB7E4F94B7}" sibTransId="{0F335132-B069-4F86-9745-B3F0BF1FCB72}"/>
    <dgm:cxn modelId="{F6766E1D-B531-455D-9E13-A416B6D0655B}" type="presOf" srcId="{A21AE2EE-2B94-4ADA-8402-3B992C650BC4}" destId="{7623EA2D-4004-4231-AA5D-D1E355D19192}" srcOrd="0" destOrd="0" presId="urn:microsoft.com/office/officeart/2008/layout/HorizontalMultiLevelHierarchy"/>
    <dgm:cxn modelId="{539FB91C-8541-471A-A437-7AB518A78182}" type="presOf" srcId="{E9BAEF2C-21F2-4D81-A9C9-CF42D7371379}" destId="{99F24C42-4791-4048-8895-CD3EBD895BD0}" srcOrd="0" destOrd="0" presId="urn:microsoft.com/office/officeart/2008/layout/HorizontalMultiLevelHierarchy"/>
    <dgm:cxn modelId="{4D9F0E43-B04A-479C-A2BF-C809BBE6E49F}" type="presOf" srcId="{64CAE365-0285-4FEB-952F-60F21E9FB006}" destId="{E5E4D189-1480-487E-9E11-B27AA21DDD09}" srcOrd="1" destOrd="0" presId="urn:microsoft.com/office/officeart/2008/layout/HorizontalMultiLevelHierarchy"/>
    <dgm:cxn modelId="{B7A4F6F9-8CBA-418D-9862-C719CAD3426C}" type="presOf" srcId="{0F76CBFE-85EB-418B-B537-F58ED3208908}" destId="{BC90FF38-7B58-4389-BD96-44EF8F5B4369}" srcOrd="0" destOrd="0" presId="urn:microsoft.com/office/officeart/2008/layout/HorizontalMultiLevelHierarchy"/>
    <dgm:cxn modelId="{47445AAF-B2AC-4D9C-AAB1-E65C7DC0BC74}" type="presOf" srcId="{06E18F15-08F5-478A-BED1-06EE05C3B192}" destId="{EA31A552-86F2-45E6-8ED2-3B26771654F7}" srcOrd="0" destOrd="0" presId="urn:microsoft.com/office/officeart/2008/layout/HorizontalMultiLevelHierarchy"/>
    <dgm:cxn modelId="{6154045A-6738-45FF-863D-0F9A6A1038DB}" srcId="{4B2C7FE5-1E92-46F4-8EC5-A2EEED56C949}" destId="{326BE1EF-CD38-49AD-AB82-C8A3B683DF74}" srcOrd="1" destOrd="0" parTransId="{06E18F15-08F5-478A-BED1-06EE05C3B192}" sibTransId="{B29D375F-34D7-4BF7-9FFF-03AFD9B1D5D2}"/>
    <dgm:cxn modelId="{06158820-514F-445D-B956-CA85DBFE93D0}" type="presOf" srcId="{44614448-9E58-4014-BA65-13AB7E4F94B7}" destId="{654482DD-BC6F-4C27-8C47-ED14914C6091}" srcOrd="0" destOrd="0" presId="urn:microsoft.com/office/officeart/2008/layout/HorizontalMultiLevelHierarchy"/>
    <dgm:cxn modelId="{D1715810-5EDE-4D53-9719-08FFE29EBE6A}" type="presOf" srcId="{05922A1E-F4CD-4BDF-AF1D-1E20E66D6423}" destId="{265D8824-51A8-4EF0-BAC1-E761EED80C82}" srcOrd="1" destOrd="0" presId="urn:microsoft.com/office/officeart/2008/layout/HorizontalMultiLevelHierarchy"/>
    <dgm:cxn modelId="{0FD3333A-B642-4138-82E4-EF1AD73FCD54}" srcId="{95826B95-0E1B-4269-95A4-D7B5FAF45499}" destId="{E9BAEF2C-21F2-4D81-A9C9-CF42D7371379}" srcOrd="1" destOrd="0" parTransId="{E8BBA726-F828-4AD1-AB8A-39B3ED8B7071}" sibTransId="{98FB947F-1C9B-45F2-A5CE-8E4656236983}"/>
    <dgm:cxn modelId="{48E82559-B0B2-49C4-A1FB-9A307D853EE4}" type="presOf" srcId="{707C65DA-7D05-45D1-BDF7-56F701FB713A}" destId="{87FDC4E9-E95A-4354-BEAB-9C0B39C24DFC}" srcOrd="0" destOrd="0" presId="urn:microsoft.com/office/officeart/2008/layout/HorizontalMultiLevelHierarchy"/>
    <dgm:cxn modelId="{2F2DC8E1-8080-422E-A4A2-92509C3A55D6}" type="presOf" srcId="{F76F5FFD-39E5-4DC9-88C3-A03EBCF9D140}" destId="{F7AA5C27-D610-4CEE-B367-2837CF5239DB}" srcOrd="0" destOrd="0" presId="urn:microsoft.com/office/officeart/2008/layout/HorizontalMultiLevelHierarchy"/>
    <dgm:cxn modelId="{0A2C1D8A-E117-40BD-B7DC-0DFB7ADBD3BF}" type="presOf" srcId="{C8CA6221-F621-48D0-A8D2-1A66113F5CC4}" destId="{4191F118-0B2C-43CF-A133-737135C37F2C}" srcOrd="0" destOrd="0" presId="urn:microsoft.com/office/officeart/2008/layout/HorizontalMultiLevelHierarchy"/>
    <dgm:cxn modelId="{C9B71A53-FE1D-4D58-8A27-DEAAD904270E}" type="presOf" srcId="{707C65DA-7D05-45D1-BDF7-56F701FB713A}" destId="{9361B1C0-42E0-4D1D-A6A6-4A57918CFCAF}" srcOrd="1" destOrd="0" presId="urn:microsoft.com/office/officeart/2008/layout/HorizontalMultiLevelHierarchy"/>
    <dgm:cxn modelId="{ADDDDC0E-D28C-4093-901A-D5F0C18E277A}" type="presOf" srcId="{DF0008C4-A99C-4CA0-AFD6-CAD70AEAD768}" destId="{0920206D-8143-4542-8460-3C3C24D775F7}" srcOrd="0" destOrd="0" presId="urn:microsoft.com/office/officeart/2008/layout/HorizontalMultiLevelHierarchy"/>
    <dgm:cxn modelId="{6D26ECD3-25E8-4312-B0C1-C2F91212DBDA}" srcId="{1844AAB1-42BA-4E85-9A20-C97F13C686AE}" destId="{F3001CCD-3B88-4896-B360-448B8EFAFDC0}" srcOrd="0" destOrd="0" parTransId="{A1459B56-0783-4036-B1F1-B884ABF261E1}" sibTransId="{BAC3A94B-E574-453E-9D04-34E8D1743C12}"/>
    <dgm:cxn modelId="{79419D2D-C7D9-4293-B86B-6BBFDE569E19}" type="presOf" srcId="{1BB373AA-7760-4C27-A8AC-04447A2CE856}" destId="{DF33A442-8293-456A-BDE4-3C911CF24994}" srcOrd="0" destOrd="0" presId="urn:microsoft.com/office/officeart/2008/layout/HorizontalMultiLevelHierarchy"/>
    <dgm:cxn modelId="{8F72F454-21E3-49DA-B888-859D2580597B}" type="presOf" srcId="{DF0008C4-A99C-4CA0-AFD6-CAD70AEAD768}" destId="{F4B0A416-2DBC-4364-85B7-479E42A62E26}" srcOrd="1" destOrd="0" presId="urn:microsoft.com/office/officeart/2008/layout/HorizontalMultiLevelHierarchy"/>
    <dgm:cxn modelId="{6C2C066C-49FB-4D06-B0D3-D68323DEA328}" srcId="{4B2C7FE5-1E92-46F4-8EC5-A2EEED56C949}" destId="{1BB373AA-7760-4C27-A8AC-04447A2CE856}" srcOrd="2" destOrd="0" parTransId="{D0E8FBE6-8334-4429-96CF-75588B94CFBF}" sibTransId="{211D2CE0-48A0-4A72-B568-ADF789D39C3B}"/>
    <dgm:cxn modelId="{9C95C027-BD6F-40BA-8D1F-1721F95E17D8}" type="presOf" srcId="{1844AAB1-42BA-4E85-9A20-C97F13C686AE}" destId="{C4D344F2-D831-4933-8BA0-D6353DFDBF43}" srcOrd="0" destOrd="0" presId="urn:microsoft.com/office/officeart/2008/layout/HorizontalMultiLevelHierarchy"/>
    <dgm:cxn modelId="{7B011505-0B15-4186-A6F9-350A189EC2D8}" type="presOf" srcId="{2521EE39-5271-41C9-BC3F-E7E04C6F9550}" destId="{337F12DC-932B-412C-A6BE-189EA6C4CEEE}" srcOrd="1" destOrd="0" presId="urn:microsoft.com/office/officeart/2008/layout/HorizontalMultiLevelHierarchy"/>
    <dgm:cxn modelId="{B3E1F120-0332-4D85-AC4C-8B433256941A}" type="presOf" srcId="{4B2C7FE5-1E92-46F4-8EC5-A2EEED56C949}" destId="{4ACA9925-0CFD-4F58-A674-0E1767E16CBA}" srcOrd="0" destOrd="0" presId="urn:microsoft.com/office/officeart/2008/layout/HorizontalMultiLevelHierarchy"/>
    <dgm:cxn modelId="{B6F19580-BE64-43E6-80EC-CBBAD1EF9EC8}" type="presOf" srcId="{7035D2FD-A7CF-44EC-8D1D-4B145CDC6183}" destId="{1A31792C-EE7C-412B-8B15-97CC0E0E3C39}" srcOrd="0" destOrd="0" presId="urn:microsoft.com/office/officeart/2008/layout/HorizontalMultiLevelHierarchy"/>
    <dgm:cxn modelId="{98A9ABBA-47F5-4416-B49F-C694EC04AEC7}" type="presOf" srcId="{64CAE365-0285-4FEB-952F-60F21E9FB006}" destId="{5D863BEC-3A31-4066-9CEE-1850F6EF4131}" srcOrd="0" destOrd="0" presId="urn:microsoft.com/office/officeart/2008/layout/HorizontalMultiLevelHierarchy"/>
    <dgm:cxn modelId="{904B10D3-9B80-4A40-91A4-4D7BEBB542EC}" type="presOf" srcId="{A1459B56-0783-4036-B1F1-B884ABF261E1}" destId="{23F0DFD1-3F28-426B-9434-D8CDBE595516}" srcOrd="0" destOrd="0" presId="urn:microsoft.com/office/officeart/2008/layout/HorizontalMultiLevelHierarchy"/>
    <dgm:cxn modelId="{FAE52829-3B56-40D0-AD7C-E5225A678250}" type="presOf" srcId="{D0E8FBE6-8334-4429-96CF-75588B94CFBF}" destId="{9E94A8D4-9318-4DE8-AC47-6585F1CD54C0}" srcOrd="0" destOrd="0" presId="urn:microsoft.com/office/officeart/2008/layout/HorizontalMultiLevelHierarchy"/>
    <dgm:cxn modelId="{1552F0F5-8696-4DE8-8E39-FEC8A4399E5A}" srcId="{1844AAB1-42BA-4E85-9A20-C97F13C686AE}" destId="{653AE01A-10D8-447D-857F-F0CDC5AFC7D1}" srcOrd="1" destOrd="0" parTransId="{05922A1E-F4CD-4BDF-AF1D-1E20E66D6423}" sibTransId="{6BF0B30A-9AF2-4945-B008-30CDB0E91709}"/>
    <dgm:cxn modelId="{D9F1C580-4188-474D-A485-C3C824BB8D2E}" type="presOf" srcId="{7035D2FD-A7CF-44EC-8D1D-4B145CDC6183}" destId="{090C6680-8FD3-4F77-AC11-68E6FDC97BD0}" srcOrd="1" destOrd="0" presId="urn:microsoft.com/office/officeart/2008/layout/HorizontalMultiLevelHierarchy"/>
    <dgm:cxn modelId="{CDED120F-52BB-4BC7-838D-B657DB763C27}" type="presOf" srcId="{15C4254D-CFF8-4768-92CA-FC275E4D8CC9}" destId="{D28C9E69-EBBB-4C0A-9B76-1EF17B260D9A}" srcOrd="0" destOrd="0" presId="urn:microsoft.com/office/officeart/2008/layout/HorizontalMultiLevelHierarchy"/>
    <dgm:cxn modelId="{803250EB-1A67-4AE0-A47F-CCA0A142B929}" type="presOf" srcId="{E8BBA726-F828-4AD1-AB8A-39B3ED8B7071}" destId="{98D55A85-5D9A-46BD-8966-CFC2EC6EF683}" srcOrd="0" destOrd="0" presId="urn:microsoft.com/office/officeart/2008/layout/HorizontalMultiLevelHierarchy"/>
    <dgm:cxn modelId="{1DA14541-530E-4219-9036-E2ABBE24E12C}" type="presOf" srcId="{A1459B56-0783-4036-B1F1-B884ABF261E1}" destId="{EBCF32F8-9440-4DF0-892E-0747C003CD69}" srcOrd="1" destOrd="0" presId="urn:microsoft.com/office/officeart/2008/layout/HorizontalMultiLevelHierarchy"/>
    <dgm:cxn modelId="{85871E2A-2853-4C11-BB4B-CA7DC249DC3B}" type="presOf" srcId="{326BE1EF-CD38-49AD-AB82-C8A3B683DF74}" destId="{771A9A2A-75D2-424C-8D80-56325F122D13}" srcOrd="0" destOrd="0" presId="urn:microsoft.com/office/officeart/2008/layout/HorizontalMultiLevelHierarchy"/>
    <dgm:cxn modelId="{9605B793-3E14-4DBC-B23B-4D6968A49704}" srcId="{1844AAB1-42BA-4E85-9A20-C97F13C686AE}" destId="{0F76CBFE-85EB-418B-B537-F58ED3208908}" srcOrd="2" destOrd="0" parTransId="{4BA12037-CC3D-464F-A2D4-295BDFDDE1DD}" sibTransId="{D4AA19A3-C61C-47B8-B3A5-5B6BEA0C9B18}"/>
    <dgm:cxn modelId="{97E3CC9D-2BAA-4679-97E5-21D5026AF8E3}" type="presOf" srcId="{4DE82E4A-93F1-4DBD-88F0-91A8F6305223}" destId="{04705377-758C-443E-BB02-69FF14CB8C5A}" srcOrd="0" destOrd="0" presId="urn:microsoft.com/office/officeart/2008/layout/HorizontalMultiLevelHierarchy"/>
    <dgm:cxn modelId="{30D87DD1-3B42-4D4C-83F6-6F015CF8E2EE}" type="presOf" srcId="{18E9DFC9-24F4-4CDA-8DDD-4357734BE91E}" destId="{5AF42422-4DBE-4EA4-BDFD-A23050E6A98C}" srcOrd="0" destOrd="0" presId="urn:microsoft.com/office/officeart/2008/layout/HorizontalMultiLevelHierarchy"/>
    <dgm:cxn modelId="{8E163076-0FE7-42D0-9E91-2DD0ACA19C76}" type="presOf" srcId="{44614448-9E58-4014-BA65-13AB7E4F94B7}" destId="{245C3134-D05C-4A55-A3B7-97D34CB9E734}" srcOrd="1" destOrd="0" presId="urn:microsoft.com/office/officeart/2008/layout/HorizontalMultiLevelHierarchy"/>
    <dgm:cxn modelId="{D904000E-F1D2-4AAC-9716-EFD706F64220}" type="presOf" srcId="{06E18F15-08F5-478A-BED1-06EE05C3B192}" destId="{EBDFA94F-4588-421A-A827-A35752415526}" srcOrd="1" destOrd="0" presId="urn:microsoft.com/office/officeart/2008/layout/HorizontalMultiLevelHierarchy"/>
    <dgm:cxn modelId="{D0D523E5-3A97-4C53-8588-DED2AE29D612}" type="presOf" srcId="{95826B95-0E1B-4269-95A4-D7B5FAF45499}" destId="{714350B7-A35A-4BBD-B1EB-C0886CD930CA}" srcOrd="0" destOrd="0" presId="urn:microsoft.com/office/officeart/2008/layout/HorizontalMultiLevelHierarchy"/>
    <dgm:cxn modelId="{91EE43EF-1C4C-473D-A2DC-E7F16B9C1F6A}" type="presOf" srcId="{4DE82E4A-93F1-4DBD-88F0-91A8F6305223}" destId="{F8F9D7D7-0790-4355-ACA9-8161B9D1A368}" srcOrd="1" destOrd="0" presId="urn:microsoft.com/office/officeart/2008/layout/HorizontalMultiLevelHierarchy"/>
    <dgm:cxn modelId="{09980F9A-A96E-455B-839C-58D1FB5F10A0}" type="presOf" srcId="{653AE01A-10D8-447D-857F-F0CDC5AFC7D1}" destId="{B4F45A7C-F2A1-41D7-92AB-31C2CA7AA45C}" srcOrd="0" destOrd="0" presId="urn:microsoft.com/office/officeart/2008/layout/HorizontalMultiLevelHierarchy"/>
    <dgm:cxn modelId="{C386F3EC-03A5-4B2B-950F-6B6E93145CBA}" type="presParOf" srcId="{F7AA5C27-D610-4CEE-B367-2837CF5239DB}" destId="{C7A51166-8C2D-4402-94F1-217ED1A6D04B}" srcOrd="0" destOrd="0" presId="urn:microsoft.com/office/officeart/2008/layout/HorizontalMultiLevelHierarchy"/>
    <dgm:cxn modelId="{409DFC88-8444-4F34-B87C-6B33789ABA48}" type="presParOf" srcId="{C7A51166-8C2D-4402-94F1-217ED1A6D04B}" destId="{7623EA2D-4004-4231-AA5D-D1E355D19192}" srcOrd="0" destOrd="0" presId="urn:microsoft.com/office/officeart/2008/layout/HorizontalMultiLevelHierarchy"/>
    <dgm:cxn modelId="{B0710F40-A701-49B1-A9B3-C6B2309F6C61}" type="presParOf" srcId="{C7A51166-8C2D-4402-94F1-217ED1A6D04B}" destId="{3FC1C467-0EA7-493E-B599-2230FAF6A463}" srcOrd="1" destOrd="0" presId="urn:microsoft.com/office/officeart/2008/layout/HorizontalMultiLevelHierarchy"/>
    <dgm:cxn modelId="{9F80F2B1-7E07-436C-9DD6-D024765DD956}" type="presParOf" srcId="{3FC1C467-0EA7-493E-B599-2230FAF6A463}" destId="{BBE59A82-CC43-44DE-9CA8-F9A31CACB5EB}" srcOrd="0" destOrd="0" presId="urn:microsoft.com/office/officeart/2008/layout/HorizontalMultiLevelHierarchy"/>
    <dgm:cxn modelId="{EBF5A27B-F945-4CB0-A48B-CB316AD27735}" type="presParOf" srcId="{BBE59A82-CC43-44DE-9CA8-F9A31CACB5EB}" destId="{337F12DC-932B-412C-A6BE-189EA6C4CEEE}" srcOrd="0" destOrd="0" presId="urn:microsoft.com/office/officeart/2008/layout/HorizontalMultiLevelHierarchy"/>
    <dgm:cxn modelId="{FE3D1504-B7AF-4650-A4D8-AADCFC8600D8}" type="presParOf" srcId="{3FC1C467-0EA7-493E-B599-2230FAF6A463}" destId="{043EE7B4-6CCE-4EEF-B2BA-FB55F3CF5F67}" srcOrd="1" destOrd="0" presId="urn:microsoft.com/office/officeart/2008/layout/HorizontalMultiLevelHierarchy"/>
    <dgm:cxn modelId="{DA520EF2-DE67-4423-9910-097878027A4B}" type="presParOf" srcId="{043EE7B4-6CCE-4EEF-B2BA-FB55F3CF5F67}" destId="{C4D344F2-D831-4933-8BA0-D6353DFDBF43}" srcOrd="0" destOrd="0" presId="urn:microsoft.com/office/officeart/2008/layout/HorizontalMultiLevelHierarchy"/>
    <dgm:cxn modelId="{CCF04846-5E5E-496F-8AF4-00C572E72F33}" type="presParOf" srcId="{043EE7B4-6CCE-4EEF-B2BA-FB55F3CF5F67}" destId="{3F3DBCE4-D6D3-4B55-9586-CC4CEC1A78B3}" srcOrd="1" destOrd="0" presId="urn:microsoft.com/office/officeart/2008/layout/HorizontalMultiLevelHierarchy"/>
    <dgm:cxn modelId="{C99FD4C8-777B-4B7B-A6DD-E5BD2BAB5469}" type="presParOf" srcId="{3F3DBCE4-D6D3-4B55-9586-CC4CEC1A78B3}" destId="{23F0DFD1-3F28-426B-9434-D8CDBE595516}" srcOrd="0" destOrd="0" presId="urn:microsoft.com/office/officeart/2008/layout/HorizontalMultiLevelHierarchy"/>
    <dgm:cxn modelId="{8ECBE4BB-C2C9-4956-8450-23D876B3CF21}" type="presParOf" srcId="{23F0DFD1-3F28-426B-9434-D8CDBE595516}" destId="{EBCF32F8-9440-4DF0-892E-0747C003CD69}" srcOrd="0" destOrd="0" presId="urn:microsoft.com/office/officeart/2008/layout/HorizontalMultiLevelHierarchy"/>
    <dgm:cxn modelId="{51F092E4-E197-4D4B-BB26-17B8377C40B5}" type="presParOf" srcId="{3F3DBCE4-D6D3-4B55-9586-CC4CEC1A78B3}" destId="{9FB82CA0-D21E-45EE-AB83-81DC0D8B2BD6}" srcOrd="1" destOrd="0" presId="urn:microsoft.com/office/officeart/2008/layout/HorizontalMultiLevelHierarchy"/>
    <dgm:cxn modelId="{9EA1184C-7C29-4757-AD66-BE1B0FE02E06}" type="presParOf" srcId="{9FB82CA0-D21E-45EE-AB83-81DC0D8B2BD6}" destId="{C6354DC9-11FF-44B7-9DDF-C83A3492A15A}" srcOrd="0" destOrd="0" presId="urn:microsoft.com/office/officeart/2008/layout/HorizontalMultiLevelHierarchy"/>
    <dgm:cxn modelId="{7EDED05F-853E-4805-A283-5DBE019AB363}" type="presParOf" srcId="{9FB82CA0-D21E-45EE-AB83-81DC0D8B2BD6}" destId="{BD1EE95B-9466-432E-8600-D5721555AEAD}" srcOrd="1" destOrd="0" presId="urn:microsoft.com/office/officeart/2008/layout/HorizontalMultiLevelHierarchy"/>
    <dgm:cxn modelId="{8B3975F1-E576-4B9F-A8F7-2EB36621B0BD}" type="presParOf" srcId="{3F3DBCE4-D6D3-4B55-9586-CC4CEC1A78B3}" destId="{52624B56-7A44-4C2A-B489-98EE6CE92259}" srcOrd="2" destOrd="0" presId="urn:microsoft.com/office/officeart/2008/layout/HorizontalMultiLevelHierarchy"/>
    <dgm:cxn modelId="{27D45C9B-24D1-4629-96CE-92D0F076B267}" type="presParOf" srcId="{52624B56-7A44-4C2A-B489-98EE6CE92259}" destId="{265D8824-51A8-4EF0-BAC1-E761EED80C82}" srcOrd="0" destOrd="0" presId="urn:microsoft.com/office/officeart/2008/layout/HorizontalMultiLevelHierarchy"/>
    <dgm:cxn modelId="{0297695B-BAC0-4744-B3DE-CC3EB594C824}" type="presParOf" srcId="{3F3DBCE4-D6D3-4B55-9586-CC4CEC1A78B3}" destId="{9B955B0B-6D82-4217-9D05-88C358ECCA23}" srcOrd="3" destOrd="0" presId="urn:microsoft.com/office/officeart/2008/layout/HorizontalMultiLevelHierarchy"/>
    <dgm:cxn modelId="{FE4DB6AF-27C3-48DF-AA5A-DA36E4606ABB}" type="presParOf" srcId="{9B955B0B-6D82-4217-9D05-88C358ECCA23}" destId="{B4F45A7C-F2A1-41D7-92AB-31C2CA7AA45C}" srcOrd="0" destOrd="0" presId="urn:microsoft.com/office/officeart/2008/layout/HorizontalMultiLevelHierarchy"/>
    <dgm:cxn modelId="{0A2E6746-8457-41C0-9595-B3F17759996A}" type="presParOf" srcId="{9B955B0B-6D82-4217-9D05-88C358ECCA23}" destId="{9D61F6E5-418F-4B63-84A4-6E2C6A528B5C}" srcOrd="1" destOrd="0" presId="urn:microsoft.com/office/officeart/2008/layout/HorizontalMultiLevelHierarchy"/>
    <dgm:cxn modelId="{AF2C68B5-54B8-4148-A0B1-8CF24667B50E}" type="presParOf" srcId="{3F3DBCE4-D6D3-4B55-9586-CC4CEC1A78B3}" destId="{7C1C83E2-7A37-4DEC-A6C7-F00211D93951}" srcOrd="4" destOrd="0" presId="urn:microsoft.com/office/officeart/2008/layout/HorizontalMultiLevelHierarchy"/>
    <dgm:cxn modelId="{F3A74C65-E2C7-44B1-9BEA-80ED12574F14}" type="presParOf" srcId="{7C1C83E2-7A37-4DEC-A6C7-F00211D93951}" destId="{ED8879EB-64E4-4913-8CEB-66D099099F87}" srcOrd="0" destOrd="0" presId="urn:microsoft.com/office/officeart/2008/layout/HorizontalMultiLevelHierarchy"/>
    <dgm:cxn modelId="{5C2A6886-B92E-420F-A9BB-E0AAD6D85ACF}" type="presParOf" srcId="{3F3DBCE4-D6D3-4B55-9586-CC4CEC1A78B3}" destId="{81306647-C908-4424-9AA4-5FF5A145CEA6}" srcOrd="5" destOrd="0" presId="urn:microsoft.com/office/officeart/2008/layout/HorizontalMultiLevelHierarchy"/>
    <dgm:cxn modelId="{9D5D94F8-39B1-4EFD-AE5D-895C67E30685}" type="presParOf" srcId="{81306647-C908-4424-9AA4-5FF5A145CEA6}" destId="{BC90FF38-7B58-4389-BD96-44EF8F5B4369}" srcOrd="0" destOrd="0" presId="urn:microsoft.com/office/officeart/2008/layout/HorizontalMultiLevelHierarchy"/>
    <dgm:cxn modelId="{347B4EBF-872E-4A18-81E0-0E323156965B}" type="presParOf" srcId="{81306647-C908-4424-9AA4-5FF5A145CEA6}" destId="{499BDB83-FF13-448E-B94C-271366254079}" srcOrd="1" destOrd="0" presId="urn:microsoft.com/office/officeart/2008/layout/HorizontalMultiLevelHierarchy"/>
    <dgm:cxn modelId="{C10679C0-E173-4FEE-B18D-9BD584F57B20}" type="presParOf" srcId="{3FC1C467-0EA7-493E-B599-2230FAF6A463}" destId="{0920206D-8143-4542-8460-3C3C24D775F7}" srcOrd="2" destOrd="0" presId="urn:microsoft.com/office/officeart/2008/layout/HorizontalMultiLevelHierarchy"/>
    <dgm:cxn modelId="{D212DD38-C0B4-4DD2-BCFF-94596F15891C}" type="presParOf" srcId="{0920206D-8143-4542-8460-3C3C24D775F7}" destId="{F4B0A416-2DBC-4364-85B7-479E42A62E26}" srcOrd="0" destOrd="0" presId="urn:microsoft.com/office/officeart/2008/layout/HorizontalMultiLevelHierarchy"/>
    <dgm:cxn modelId="{59B58033-EAF5-4F06-BC0D-D4B12596E7A1}" type="presParOf" srcId="{3FC1C467-0EA7-493E-B599-2230FAF6A463}" destId="{D32327A4-6BC4-4C3B-8F27-9B83605030DD}" srcOrd="3" destOrd="0" presId="urn:microsoft.com/office/officeart/2008/layout/HorizontalMultiLevelHierarchy"/>
    <dgm:cxn modelId="{6E4EE531-83A3-47EE-8E92-07A042CDF88F}" type="presParOf" srcId="{D32327A4-6BC4-4C3B-8F27-9B83605030DD}" destId="{4ACA9925-0CFD-4F58-A674-0E1767E16CBA}" srcOrd="0" destOrd="0" presId="urn:microsoft.com/office/officeart/2008/layout/HorizontalMultiLevelHierarchy"/>
    <dgm:cxn modelId="{A0358710-D481-426A-89D7-B43BB852FD74}" type="presParOf" srcId="{D32327A4-6BC4-4C3B-8F27-9B83605030DD}" destId="{4C03E01E-B651-4653-BD04-1BB16FC03E9E}" srcOrd="1" destOrd="0" presId="urn:microsoft.com/office/officeart/2008/layout/HorizontalMultiLevelHierarchy"/>
    <dgm:cxn modelId="{B008062A-C083-4A62-B12B-E164EE7EF2C3}" type="presParOf" srcId="{4C03E01E-B651-4653-BD04-1BB16FC03E9E}" destId="{04705377-758C-443E-BB02-69FF14CB8C5A}" srcOrd="0" destOrd="0" presId="urn:microsoft.com/office/officeart/2008/layout/HorizontalMultiLevelHierarchy"/>
    <dgm:cxn modelId="{5DC64AE2-2AD4-43FA-8856-ECA3F957F288}" type="presParOf" srcId="{04705377-758C-443E-BB02-69FF14CB8C5A}" destId="{F8F9D7D7-0790-4355-ACA9-8161B9D1A368}" srcOrd="0" destOrd="0" presId="urn:microsoft.com/office/officeart/2008/layout/HorizontalMultiLevelHierarchy"/>
    <dgm:cxn modelId="{45F0F829-E26F-4190-AA55-CF0DAD3822B2}" type="presParOf" srcId="{4C03E01E-B651-4653-BD04-1BB16FC03E9E}" destId="{0668D3B6-388A-4E9B-87C1-A9403E517901}" srcOrd="1" destOrd="0" presId="urn:microsoft.com/office/officeart/2008/layout/HorizontalMultiLevelHierarchy"/>
    <dgm:cxn modelId="{71C22B81-886D-4C84-A2FC-A0C3370DCDF4}" type="presParOf" srcId="{0668D3B6-388A-4E9B-87C1-A9403E517901}" destId="{614BF545-5847-49F0-BE8B-373A2B15603F}" srcOrd="0" destOrd="0" presId="urn:microsoft.com/office/officeart/2008/layout/HorizontalMultiLevelHierarchy"/>
    <dgm:cxn modelId="{51F08740-7312-4AF6-A220-70501345E35A}" type="presParOf" srcId="{0668D3B6-388A-4E9B-87C1-A9403E517901}" destId="{CFF5A9DE-76D4-4074-9E04-35B384172431}" srcOrd="1" destOrd="0" presId="urn:microsoft.com/office/officeart/2008/layout/HorizontalMultiLevelHierarchy"/>
    <dgm:cxn modelId="{0BEFA687-C9ED-4F1A-B60B-2CDC46111837}" type="presParOf" srcId="{CFF5A9DE-76D4-4074-9E04-35B384172431}" destId="{1A31792C-EE7C-412B-8B15-97CC0E0E3C39}" srcOrd="0" destOrd="0" presId="urn:microsoft.com/office/officeart/2008/layout/HorizontalMultiLevelHierarchy"/>
    <dgm:cxn modelId="{3A0D98AA-93B3-4CF6-BE5D-8BA2AE96741F}" type="presParOf" srcId="{1A31792C-EE7C-412B-8B15-97CC0E0E3C39}" destId="{090C6680-8FD3-4F77-AC11-68E6FDC97BD0}" srcOrd="0" destOrd="0" presId="urn:microsoft.com/office/officeart/2008/layout/HorizontalMultiLevelHierarchy"/>
    <dgm:cxn modelId="{C7B8CC23-DAB2-4AF2-A3CC-55E9C30BA29B}" type="presParOf" srcId="{CFF5A9DE-76D4-4074-9E04-35B384172431}" destId="{CDF53649-0115-4A3B-86BB-DB2955B01EEF}" srcOrd="1" destOrd="0" presId="urn:microsoft.com/office/officeart/2008/layout/HorizontalMultiLevelHierarchy"/>
    <dgm:cxn modelId="{EA76BAC2-D7B3-4911-9DAA-3EB2B6A5113D}" type="presParOf" srcId="{CDF53649-0115-4A3B-86BB-DB2955B01EEF}" destId="{5AF42422-4DBE-4EA4-BDFD-A23050E6A98C}" srcOrd="0" destOrd="0" presId="urn:microsoft.com/office/officeart/2008/layout/HorizontalMultiLevelHierarchy"/>
    <dgm:cxn modelId="{52B67B67-409B-4CD8-A888-7787B046D9D0}" type="presParOf" srcId="{CDF53649-0115-4A3B-86BB-DB2955B01EEF}" destId="{92762A7E-7E4B-442B-97BC-BA8554F062BF}" srcOrd="1" destOrd="0" presId="urn:microsoft.com/office/officeart/2008/layout/HorizontalMultiLevelHierarchy"/>
    <dgm:cxn modelId="{AD5F2F9D-FFBB-4797-B2DD-5ED92B8E7015}" type="presParOf" srcId="{CFF5A9DE-76D4-4074-9E04-35B384172431}" destId="{87FDC4E9-E95A-4354-BEAB-9C0B39C24DFC}" srcOrd="2" destOrd="0" presId="urn:microsoft.com/office/officeart/2008/layout/HorizontalMultiLevelHierarchy"/>
    <dgm:cxn modelId="{90D08F1E-F357-4AB8-921E-6E30E4EA8BDC}" type="presParOf" srcId="{87FDC4E9-E95A-4354-BEAB-9C0B39C24DFC}" destId="{9361B1C0-42E0-4D1D-A6A6-4A57918CFCAF}" srcOrd="0" destOrd="0" presId="urn:microsoft.com/office/officeart/2008/layout/HorizontalMultiLevelHierarchy"/>
    <dgm:cxn modelId="{725529E7-8D40-4F91-9C0D-CFD3B729B8EA}" type="presParOf" srcId="{CFF5A9DE-76D4-4074-9E04-35B384172431}" destId="{EE10EAF3-3046-4FE7-9633-58E52A2562C9}" srcOrd="3" destOrd="0" presId="urn:microsoft.com/office/officeart/2008/layout/HorizontalMultiLevelHierarchy"/>
    <dgm:cxn modelId="{3B6868B4-8441-46AB-9396-8CCAAA777B0C}" type="presParOf" srcId="{EE10EAF3-3046-4FE7-9633-58E52A2562C9}" destId="{714350B7-A35A-4BBD-B1EB-C0886CD930CA}" srcOrd="0" destOrd="0" presId="urn:microsoft.com/office/officeart/2008/layout/HorizontalMultiLevelHierarchy"/>
    <dgm:cxn modelId="{FCE26240-2B9A-4118-AC48-A7259E748E70}" type="presParOf" srcId="{EE10EAF3-3046-4FE7-9633-58E52A2562C9}" destId="{4DE4744F-D223-47FA-BF58-9245D2626104}" srcOrd="1" destOrd="0" presId="urn:microsoft.com/office/officeart/2008/layout/HorizontalMultiLevelHierarchy"/>
    <dgm:cxn modelId="{B35FA329-C357-4603-9021-35E28F56C8DC}" type="presParOf" srcId="{4DE4744F-D223-47FA-BF58-9245D2626104}" destId="{654482DD-BC6F-4C27-8C47-ED14914C6091}" srcOrd="0" destOrd="0" presId="urn:microsoft.com/office/officeart/2008/layout/HorizontalMultiLevelHierarchy"/>
    <dgm:cxn modelId="{D12B9A3C-A48B-4D59-A274-FB508F3B0308}" type="presParOf" srcId="{654482DD-BC6F-4C27-8C47-ED14914C6091}" destId="{245C3134-D05C-4A55-A3B7-97D34CB9E734}" srcOrd="0" destOrd="0" presId="urn:microsoft.com/office/officeart/2008/layout/HorizontalMultiLevelHierarchy"/>
    <dgm:cxn modelId="{FB8202F5-C00C-4091-A8E2-73D451A753B1}" type="presParOf" srcId="{4DE4744F-D223-47FA-BF58-9245D2626104}" destId="{7933C69C-C24F-4978-A014-CEDC73A21799}" srcOrd="1" destOrd="0" presId="urn:microsoft.com/office/officeart/2008/layout/HorizontalMultiLevelHierarchy"/>
    <dgm:cxn modelId="{A961F81A-DE27-47DC-8871-1B47DFAEEEE6}" type="presParOf" srcId="{7933C69C-C24F-4978-A014-CEDC73A21799}" destId="{4191F118-0B2C-43CF-A133-737135C37F2C}" srcOrd="0" destOrd="0" presId="urn:microsoft.com/office/officeart/2008/layout/HorizontalMultiLevelHierarchy"/>
    <dgm:cxn modelId="{7E3C857F-D00B-4C41-9C05-E4D1ED0D0865}" type="presParOf" srcId="{7933C69C-C24F-4978-A014-CEDC73A21799}" destId="{B4C658F1-B30F-45FF-A26B-18FEE0F699B9}" srcOrd="1" destOrd="0" presId="urn:microsoft.com/office/officeart/2008/layout/HorizontalMultiLevelHierarchy"/>
    <dgm:cxn modelId="{078FDA91-1CCD-4C5F-9F16-12CFD22C1F80}" type="presParOf" srcId="{4DE4744F-D223-47FA-BF58-9245D2626104}" destId="{98D55A85-5D9A-46BD-8966-CFC2EC6EF683}" srcOrd="2" destOrd="0" presId="urn:microsoft.com/office/officeart/2008/layout/HorizontalMultiLevelHierarchy"/>
    <dgm:cxn modelId="{A18BBAE8-64A8-4CE7-AB4D-88F37D7913CA}" type="presParOf" srcId="{98D55A85-5D9A-46BD-8966-CFC2EC6EF683}" destId="{EB1AD8CD-6A56-4FF1-882B-A49C28293FD8}" srcOrd="0" destOrd="0" presId="urn:microsoft.com/office/officeart/2008/layout/HorizontalMultiLevelHierarchy"/>
    <dgm:cxn modelId="{461F740B-887E-4223-B36F-B9925375D879}" type="presParOf" srcId="{4DE4744F-D223-47FA-BF58-9245D2626104}" destId="{06031BC9-0E99-424E-827F-3FA4BAE15259}" srcOrd="3" destOrd="0" presId="urn:microsoft.com/office/officeart/2008/layout/HorizontalMultiLevelHierarchy"/>
    <dgm:cxn modelId="{0B16E3A4-90C7-408D-A6A1-197CE8A0B51F}" type="presParOf" srcId="{06031BC9-0E99-424E-827F-3FA4BAE15259}" destId="{99F24C42-4791-4048-8895-CD3EBD895BD0}" srcOrd="0" destOrd="0" presId="urn:microsoft.com/office/officeart/2008/layout/HorizontalMultiLevelHierarchy"/>
    <dgm:cxn modelId="{7E57B669-1944-4B69-995B-B01F6C84B526}" type="presParOf" srcId="{06031BC9-0E99-424E-827F-3FA4BAE15259}" destId="{AB7A0D2B-5300-462D-934A-DF9BECBE4F1D}" srcOrd="1" destOrd="0" presId="urn:microsoft.com/office/officeart/2008/layout/HorizontalMultiLevelHierarchy"/>
    <dgm:cxn modelId="{9B55183D-AF39-47E1-994C-CA67A75ACBBD}" type="presParOf" srcId="{4C03E01E-B651-4653-BD04-1BB16FC03E9E}" destId="{EA31A552-86F2-45E6-8ED2-3B26771654F7}" srcOrd="2" destOrd="0" presId="urn:microsoft.com/office/officeart/2008/layout/HorizontalMultiLevelHierarchy"/>
    <dgm:cxn modelId="{69677A49-A903-464A-80F6-9DA87594E417}" type="presParOf" srcId="{EA31A552-86F2-45E6-8ED2-3B26771654F7}" destId="{EBDFA94F-4588-421A-A827-A35752415526}" srcOrd="0" destOrd="0" presId="urn:microsoft.com/office/officeart/2008/layout/HorizontalMultiLevelHierarchy"/>
    <dgm:cxn modelId="{71EACF47-E5D1-4A6F-A7B7-3E1FAE789956}" type="presParOf" srcId="{4C03E01E-B651-4653-BD04-1BB16FC03E9E}" destId="{12C0875C-873E-4B60-B8FA-EED675498B1A}" srcOrd="3" destOrd="0" presId="urn:microsoft.com/office/officeart/2008/layout/HorizontalMultiLevelHierarchy"/>
    <dgm:cxn modelId="{6DA6EF8E-F235-46EC-85F0-1F08B3902F46}" type="presParOf" srcId="{12C0875C-873E-4B60-B8FA-EED675498B1A}" destId="{771A9A2A-75D2-424C-8D80-56325F122D13}" srcOrd="0" destOrd="0" presId="urn:microsoft.com/office/officeart/2008/layout/HorizontalMultiLevelHierarchy"/>
    <dgm:cxn modelId="{FE761845-B9E1-4EB3-BECD-0EB211F4F299}" type="presParOf" srcId="{12C0875C-873E-4B60-B8FA-EED675498B1A}" destId="{BBD7C308-4654-42BD-A284-C70D2698932F}" srcOrd="1" destOrd="0" presId="urn:microsoft.com/office/officeart/2008/layout/HorizontalMultiLevelHierarchy"/>
    <dgm:cxn modelId="{B671F00E-BF9C-4505-A6A7-CF1555CBE275}" type="presParOf" srcId="{4C03E01E-B651-4653-BD04-1BB16FC03E9E}" destId="{9E94A8D4-9318-4DE8-AC47-6585F1CD54C0}" srcOrd="4" destOrd="0" presId="urn:microsoft.com/office/officeart/2008/layout/HorizontalMultiLevelHierarchy"/>
    <dgm:cxn modelId="{7964326D-C76C-4B8A-9F06-1A21985027D1}" type="presParOf" srcId="{9E94A8D4-9318-4DE8-AC47-6585F1CD54C0}" destId="{98EED8C2-A802-410C-8EB7-58200E65CFA6}" srcOrd="0" destOrd="0" presId="urn:microsoft.com/office/officeart/2008/layout/HorizontalMultiLevelHierarchy"/>
    <dgm:cxn modelId="{979D1D03-0306-46BD-987C-94C5C75997C4}" type="presParOf" srcId="{4C03E01E-B651-4653-BD04-1BB16FC03E9E}" destId="{DC172094-5025-4D11-A48B-189A0B26029B}" srcOrd="5" destOrd="0" presId="urn:microsoft.com/office/officeart/2008/layout/HorizontalMultiLevelHierarchy"/>
    <dgm:cxn modelId="{83A7C29B-903C-412E-896D-779E683F50AE}" type="presParOf" srcId="{DC172094-5025-4D11-A48B-189A0B26029B}" destId="{DF33A442-8293-456A-BDE4-3C911CF24994}" srcOrd="0" destOrd="0" presId="urn:microsoft.com/office/officeart/2008/layout/HorizontalMultiLevelHierarchy"/>
    <dgm:cxn modelId="{8B906BCB-D1FF-4B76-8478-C482E9CF5AAF}" type="presParOf" srcId="{DC172094-5025-4D11-A48B-189A0B26029B}" destId="{05AB61B5-9686-4156-BE1B-1CDA3FF49CBD}" srcOrd="1" destOrd="0" presId="urn:microsoft.com/office/officeart/2008/layout/HorizontalMultiLevelHierarchy"/>
    <dgm:cxn modelId="{DFA55B00-D687-4F0F-AC0D-10688D0BB8EA}" type="presParOf" srcId="{4C03E01E-B651-4653-BD04-1BB16FC03E9E}" destId="{5D863BEC-3A31-4066-9CEE-1850F6EF4131}" srcOrd="6" destOrd="0" presId="urn:microsoft.com/office/officeart/2008/layout/HorizontalMultiLevelHierarchy"/>
    <dgm:cxn modelId="{1B2D0908-9A4F-47F5-BEBA-BC47F841F289}" type="presParOf" srcId="{5D863BEC-3A31-4066-9CEE-1850F6EF4131}" destId="{E5E4D189-1480-487E-9E11-B27AA21DDD09}" srcOrd="0" destOrd="0" presId="urn:microsoft.com/office/officeart/2008/layout/HorizontalMultiLevelHierarchy"/>
    <dgm:cxn modelId="{CB20B2DB-2AE0-439F-A148-2323EF0D6602}" type="presParOf" srcId="{4C03E01E-B651-4653-BD04-1BB16FC03E9E}" destId="{1D6803C4-13D1-4726-8165-44B92BD92E06}" srcOrd="7" destOrd="0" presId="urn:microsoft.com/office/officeart/2008/layout/HorizontalMultiLevelHierarchy"/>
    <dgm:cxn modelId="{D8208E2F-2F74-4750-B029-4918F8F153D1}" type="presParOf" srcId="{1D6803C4-13D1-4726-8165-44B92BD92E06}" destId="{D28C9E69-EBBB-4C0A-9B76-1EF17B260D9A}" srcOrd="0" destOrd="0" presId="urn:microsoft.com/office/officeart/2008/layout/HorizontalMultiLevelHierarchy"/>
    <dgm:cxn modelId="{5A3E5846-6FCB-49C1-B09B-A578F59AADA6}" type="presParOf" srcId="{1D6803C4-13D1-4726-8165-44B92BD92E06}" destId="{B6EB8FC2-CE27-4EAD-BE83-CA1E20EA134F}" srcOrd="1" destOrd="0" presId="urn:microsoft.com/office/officeart/2008/layout/HorizontalMultiLevelHierarchy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F76F5FFD-39E5-4DC9-88C3-A03EBCF9D140}" type="doc">
      <dgm:prSet loTypeId="urn:microsoft.com/office/officeart/2008/layout/HorizontalMultiLevelHierarchy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A21AE2EE-2B94-4ADA-8402-3B992C650BC4}">
      <dgm:prSet phldrT="[文本]"/>
      <dgm:spPr/>
      <dgm:t>
        <a:bodyPr/>
        <a:lstStyle/>
        <a:p>
          <a:r>
            <a:rPr lang="zh-CN" altLang="en-US"/>
            <a:t>受击类特效</a:t>
          </a:r>
        </a:p>
      </dgm:t>
    </dgm:pt>
    <dgm:pt modelId="{77AE4298-F60B-44CE-9977-1C877A9D86CA}" type="par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3E048DBF-7DFA-4DC0-B263-F01B7971DC60}" type="sib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1844AAB1-42BA-4E85-9A20-C97F13C686AE}">
      <dgm:prSet phldrT="[文本]"/>
      <dgm:spPr/>
      <dgm:t>
        <a:bodyPr/>
        <a:lstStyle/>
        <a:p>
          <a:r>
            <a:rPr lang="zh-CN" altLang="en-US"/>
            <a:t>触发时机</a:t>
          </a:r>
        </a:p>
      </dgm:t>
    </dgm:pt>
    <dgm:pt modelId="{2521EE39-5271-41C9-BC3F-E7E04C6F9550}" type="parTrans" cxnId="{847E1798-E7A6-495E-921A-FA01F472EB6C}">
      <dgm:prSet/>
      <dgm:spPr/>
      <dgm:t>
        <a:bodyPr/>
        <a:lstStyle/>
        <a:p>
          <a:endParaRPr lang="zh-CN" altLang="en-US"/>
        </a:p>
      </dgm:t>
    </dgm:pt>
    <dgm:pt modelId="{A181517F-22CD-4B5B-BE79-A07B55084059}" type="sibTrans" cxnId="{847E1798-E7A6-495E-921A-FA01F472EB6C}">
      <dgm:prSet/>
      <dgm:spPr/>
      <dgm:t>
        <a:bodyPr/>
        <a:lstStyle/>
        <a:p>
          <a:endParaRPr lang="zh-CN" altLang="en-US"/>
        </a:p>
      </dgm:t>
    </dgm:pt>
    <dgm:pt modelId="{F3001CCD-3B88-4896-B360-448B8EFAFDC0}">
      <dgm:prSet phldrT="[文本]"/>
      <dgm:spPr/>
      <dgm:t>
        <a:bodyPr/>
        <a:lstStyle/>
        <a:p>
          <a:r>
            <a:rPr lang="zh-CN" altLang="en-US"/>
            <a:t>每次受击</a:t>
          </a:r>
        </a:p>
      </dgm:t>
    </dgm:pt>
    <dgm:pt modelId="{A1459B56-0783-4036-B1F1-B884ABF261E1}" type="parTrans" cxnId="{6D26ECD3-25E8-4312-B0C1-C2F91212DBDA}">
      <dgm:prSet/>
      <dgm:spPr/>
      <dgm:t>
        <a:bodyPr/>
        <a:lstStyle/>
        <a:p>
          <a:endParaRPr lang="zh-CN" altLang="en-US"/>
        </a:p>
      </dgm:t>
    </dgm:pt>
    <dgm:pt modelId="{BAC3A94B-E574-453E-9D04-34E8D1743C12}" type="sibTrans" cxnId="{6D26ECD3-25E8-4312-B0C1-C2F91212DBDA}">
      <dgm:prSet/>
      <dgm:spPr/>
      <dgm:t>
        <a:bodyPr/>
        <a:lstStyle/>
        <a:p>
          <a:endParaRPr lang="zh-CN" altLang="en-US"/>
        </a:p>
      </dgm:t>
    </dgm:pt>
    <dgm:pt modelId="{326BE1EF-CD38-49AD-AB82-C8A3B683DF74}">
      <dgm:prSet phldrT="[文本]"/>
      <dgm:spPr/>
      <dgm:t>
        <a:bodyPr/>
        <a:lstStyle/>
        <a:p>
          <a:r>
            <a:rPr lang="zh-CN" altLang="en-US"/>
            <a:t>性质</a:t>
          </a:r>
        </a:p>
      </dgm:t>
    </dgm:pt>
    <dgm:pt modelId="{06E18F15-08F5-478A-BED1-06EE05C3B192}" type="par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B29D375F-34D7-4BF7-9FFF-03AFD9B1D5D2}" type="sib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22931498-1187-4C28-A58C-1B77964BBA89}">
      <dgm:prSet phldrT="[文本]"/>
      <dgm:spPr/>
      <dgm:t>
        <a:bodyPr/>
        <a:lstStyle/>
        <a:p>
          <a:r>
            <a:rPr lang="zh-CN" altLang="en-US"/>
            <a:t>每次被暴击</a:t>
          </a:r>
        </a:p>
      </dgm:t>
    </dgm:pt>
    <dgm:pt modelId="{DD133E19-7363-40C0-987A-933026245C55}" type="parTrans" cxnId="{0A09BEB7-DD0D-448B-AD6C-4494F05770A7}">
      <dgm:prSet/>
      <dgm:spPr/>
      <dgm:t>
        <a:bodyPr/>
        <a:lstStyle/>
        <a:p>
          <a:endParaRPr lang="zh-CN" altLang="en-US"/>
        </a:p>
      </dgm:t>
    </dgm:pt>
    <dgm:pt modelId="{5444AF18-B516-43BB-826E-80AA6893383F}" type="sibTrans" cxnId="{0A09BEB7-DD0D-448B-AD6C-4494F05770A7}">
      <dgm:prSet/>
      <dgm:spPr/>
      <dgm:t>
        <a:bodyPr/>
        <a:lstStyle/>
        <a:p>
          <a:endParaRPr lang="zh-CN" altLang="en-US"/>
        </a:p>
      </dgm:t>
    </dgm:pt>
    <dgm:pt modelId="{47177BE9-49DC-4009-8968-5EBDA3EF69C4}">
      <dgm:prSet phldrT="[文本]"/>
      <dgm:spPr/>
      <dgm:t>
        <a:bodyPr/>
        <a:lstStyle/>
        <a:p>
          <a:r>
            <a:rPr lang="zh-CN" altLang="en-US"/>
            <a:t>无敌</a:t>
          </a:r>
        </a:p>
      </dgm:t>
    </dgm:pt>
    <dgm:pt modelId="{47670F73-3C95-42D9-84F9-0E04C8FD9E44}" type="parTrans" cxnId="{A1E92816-50FF-4E94-92DD-AFDFC9E4A854}">
      <dgm:prSet/>
      <dgm:spPr/>
      <dgm:t>
        <a:bodyPr/>
        <a:lstStyle/>
        <a:p>
          <a:endParaRPr lang="zh-CN" altLang="en-US"/>
        </a:p>
      </dgm:t>
    </dgm:pt>
    <dgm:pt modelId="{AAC073FC-77A3-40FD-948C-30B0D88DCFD8}" type="sibTrans" cxnId="{A1E92816-50FF-4E94-92DD-AFDFC9E4A854}">
      <dgm:prSet/>
      <dgm:spPr/>
      <dgm:t>
        <a:bodyPr/>
        <a:lstStyle/>
        <a:p>
          <a:endParaRPr lang="zh-CN" altLang="en-US"/>
        </a:p>
      </dgm:t>
    </dgm:pt>
    <dgm:pt modelId="{9A2656E5-F7F0-4BF7-BFAE-B50E69534F5D}">
      <dgm:prSet phldrT="[文本]"/>
      <dgm:spPr/>
      <dgm:t>
        <a:bodyPr/>
        <a:lstStyle/>
        <a:p>
          <a:r>
            <a:rPr lang="zh-CN" altLang="en-US"/>
            <a:t>反伤</a:t>
          </a:r>
        </a:p>
      </dgm:t>
    </dgm:pt>
    <dgm:pt modelId="{2D7A935A-BBD2-44CD-B188-A700632EAF54}" type="parTrans" cxnId="{41CB44B1-99A0-4C03-9F37-DA98AC3F31CB}">
      <dgm:prSet/>
      <dgm:spPr/>
      <dgm:t>
        <a:bodyPr/>
        <a:lstStyle/>
        <a:p>
          <a:endParaRPr lang="zh-CN" altLang="en-US"/>
        </a:p>
      </dgm:t>
    </dgm:pt>
    <dgm:pt modelId="{4DBFF6C3-F2B6-4590-BAFE-B0192AEC670A}" type="sibTrans" cxnId="{41CB44B1-99A0-4C03-9F37-DA98AC3F31CB}">
      <dgm:prSet/>
      <dgm:spPr/>
      <dgm:t>
        <a:bodyPr/>
        <a:lstStyle/>
        <a:p>
          <a:endParaRPr lang="zh-CN" altLang="en-US"/>
        </a:p>
      </dgm:t>
    </dgm:pt>
    <dgm:pt modelId="{2C7C8A7C-2A0D-43D3-B6B1-A5293C796927}">
      <dgm:prSet phldrT="[文本]"/>
      <dgm:spPr/>
      <dgm:t>
        <a:bodyPr/>
        <a:lstStyle/>
        <a:p>
          <a:r>
            <a:rPr lang="zh-CN" altLang="en-US"/>
            <a:t>治疗</a:t>
          </a:r>
        </a:p>
      </dgm:t>
    </dgm:pt>
    <dgm:pt modelId="{02F11301-2F04-443C-890E-3AE3E61D69A4}" type="parTrans" cxnId="{6467177B-8673-432C-AF31-045127B28FA5}">
      <dgm:prSet/>
      <dgm:spPr/>
      <dgm:t>
        <a:bodyPr/>
        <a:lstStyle/>
        <a:p>
          <a:endParaRPr lang="zh-CN" altLang="en-US"/>
        </a:p>
      </dgm:t>
    </dgm:pt>
    <dgm:pt modelId="{402D5692-29B4-499F-A980-CF6C3FE27483}" type="sibTrans" cxnId="{6467177B-8673-432C-AF31-045127B28FA5}">
      <dgm:prSet/>
      <dgm:spPr/>
      <dgm:t>
        <a:bodyPr/>
        <a:lstStyle/>
        <a:p>
          <a:endParaRPr lang="zh-CN" altLang="en-US"/>
        </a:p>
      </dgm:t>
    </dgm:pt>
    <dgm:pt modelId="{2642BA9B-A9F3-4E50-BCF1-B77ED9C27F4D}">
      <dgm:prSet phldrT="[文本]"/>
      <dgm:spPr/>
      <dgm:t>
        <a:bodyPr/>
        <a:lstStyle/>
        <a:p>
          <a:r>
            <a:rPr lang="zh-CN" altLang="en-US"/>
            <a:t>减伤</a:t>
          </a:r>
        </a:p>
      </dgm:t>
    </dgm:pt>
    <dgm:pt modelId="{B7B4BF66-9167-4AD0-B80D-52981502BB6F}" type="parTrans" cxnId="{0F4090E3-55F2-4C28-8B78-34839006A270}">
      <dgm:prSet/>
      <dgm:spPr/>
      <dgm:t>
        <a:bodyPr/>
        <a:lstStyle/>
        <a:p>
          <a:endParaRPr lang="zh-CN" altLang="en-US"/>
        </a:p>
      </dgm:t>
    </dgm:pt>
    <dgm:pt modelId="{2381FE63-DF6A-4641-AC44-0A33B7A8AB09}" type="sibTrans" cxnId="{0F4090E3-55F2-4C28-8B78-34839006A270}">
      <dgm:prSet/>
      <dgm:spPr/>
      <dgm:t>
        <a:bodyPr/>
        <a:lstStyle/>
        <a:p>
          <a:endParaRPr lang="zh-CN" altLang="en-US"/>
        </a:p>
      </dgm:t>
    </dgm:pt>
    <dgm:pt modelId="{F7AA5C27-D610-4CEE-B367-2837CF5239DB}" type="pres">
      <dgm:prSet presAssocID="{F76F5FFD-39E5-4DC9-88C3-A03EBCF9D140}" presName="Name0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  <dgm:t>
        <a:bodyPr/>
        <a:lstStyle/>
        <a:p>
          <a:endParaRPr lang="zh-CN" altLang="en-US"/>
        </a:p>
      </dgm:t>
    </dgm:pt>
    <dgm:pt modelId="{C7A51166-8C2D-4402-94F1-217ED1A6D04B}" type="pres">
      <dgm:prSet presAssocID="{A21AE2EE-2B94-4ADA-8402-3B992C650BC4}" presName="root1" presStyleCnt="0"/>
      <dgm:spPr/>
    </dgm:pt>
    <dgm:pt modelId="{7623EA2D-4004-4231-AA5D-D1E355D19192}" type="pres">
      <dgm:prSet presAssocID="{A21AE2EE-2B94-4ADA-8402-3B992C650BC4}" presName="LevelOneTextNode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3FC1C467-0EA7-493E-B599-2230FAF6A463}" type="pres">
      <dgm:prSet presAssocID="{A21AE2EE-2B94-4ADA-8402-3B992C650BC4}" presName="level2hierChild" presStyleCnt="0"/>
      <dgm:spPr/>
    </dgm:pt>
    <dgm:pt modelId="{BBE59A82-CC43-44DE-9CA8-F9A31CACB5EB}" type="pres">
      <dgm:prSet presAssocID="{2521EE39-5271-41C9-BC3F-E7E04C6F9550}" presName="conn2-1" presStyleLbl="parChTrans1D2" presStyleIdx="0" presStyleCnt="2"/>
      <dgm:spPr/>
      <dgm:t>
        <a:bodyPr/>
        <a:lstStyle/>
        <a:p>
          <a:endParaRPr lang="zh-CN" altLang="en-US"/>
        </a:p>
      </dgm:t>
    </dgm:pt>
    <dgm:pt modelId="{337F12DC-932B-412C-A6BE-189EA6C4CEEE}" type="pres">
      <dgm:prSet presAssocID="{2521EE39-5271-41C9-BC3F-E7E04C6F9550}" presName="connTx" presStyleLbl="parChTrans1D2" presStyleIdx="0" presStyleCnt="2"/>
      <dgm:spPr/>
      <dgm:t>
        <a:bodyPr/>
        <a:lstStyle/>
        <a:p>
          <a:endParaRPr lang="zh-CN" altLang="en-US"/>
        </a:p>
      </dgm:t>
    </dgm:pt>
    <dgm:pt modelId="{043EE7B4-6CCE-4EEF-B2BA-FB55F3CF5F67}" type="pres">
      <dgm:prSet presAssocID="{1844AAB1-42BA-4E85-9A20-C97F13C686AE}" presName="root2" presStyleCnt="0"/>
      <dgm:spPr/>
    </dgm:pt>
    <dgm:pt modelId="{C4D344F2-D831-4933-8BA0-D6353DFDBF43}" type="pres">
      <dgm:prSet presAssocID="{1844AAB1-42BA-4E85-9A20-C97F13C686AE}" presName="LevelTwoTextNode" presStyleLbl="node2" presStyleIdx="0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3F3DBCE4-D6D3-4B55-9586-CC4CEC1A78B3}" type="pres">
      <dgm:prSet presAssocID="{1844AAB1-42BA-4E85-9A20-C97F13C686AE}" presName="level3hierChild" presStyleCnt="0"/>
      <dgm:spPr/>
    </dgm:pt>
    <dgm:pt modelId="{23F0DFD1-3F28-426B-9434-D8CDBE595516}" type="pres">
      <dgm:prSet presAssocID="{A1459B56-0783-4036-B1F1-B884ABF261E1}" presName="conn2-1" presStyleLbl="parChTrans1D3" presStyleIdx="0" presStyleCnt="6"/>
      <dgm:spPr/>
      <dgm:t>
        <a:bodyPr/>
        <a:lstStyle/>
        <a:p>
          <a:endParaRPr lang="zh-CN" altLang="en-US"/>
        </a:p>
      </dgm:t>
    </dgm:pt>
    <dgm:pt modelId="{EBCF32F8-9440-4DF0-892E-0747C003CD69}" type="pres">
      <dgm:prSet presAssocID="{A1459B56-0783-4036-B1F1-B884ABF261E1}" presName="connTx" presStyleLbl="parChTrans1D3" presStyleIdx="0" presStyleCnt="6"/>
      <dgm:spPr/>
      <dgm:t>
        <a:bodyPr/>
        <a:lstStyle/>
        <a:p>
          <a:endParaRPr lang="zh-CN" altLang="en-US"/>
        </a:p>
      </dgm:t>
    </dgm:pt>
    <dgm:pt modelId="{9FB82CA0-D21E-45EE-AB83-81DC0D8B2BD6}" type="pres">
      <dgm:prSet presAssocID="{F3001CCD-3B88-4896-B360-448B8EFAFDC0}" presName="root2" presStyleCnt="0"/>
      <dgm:spPr/>
    </dgm:pt>
    <dgm:pt modelId="{C6354DC9-11FF-44B7-9DDF-C83A3492A15A}" type="pres">
      <dgm:prSet presAssocID="{F3001CCD-3B88-4896-B360-448B8EFAFDC0}" presName="LevelTwoTextNode" presStyleLbl="node3" presStyleIdx="0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D1EE95B-9466-432E-8600-D5721555AEAD}" type="pres">
      <dgm:prSet presAssocID="{F3001CCD-3B88-4896-B360-448B8EFAFDC0}" presName="level3hierChild" presStyleCnt="0"/>
      <dgm:spPr/>
    </dgm:pt>
    <dgm:pt modelId="{5C6080E6-3760-4E79-9DBE-0111A0517F27}" type="pres">
      <dgm:prSet presAssocID="{DD133E19-7363-40C0-987A-933026245C55}" presName="conn2-1" presStyleLbl="parChTrans1D3" presStyleIdx="1" presStyleCnt="6"/>
      <dgm:spPr/>
      <dgm:t>
        <a:bodyPr/>
        <a:lstStyle/>
        <a:p>
          <a:endParaRPr lang="zh-CN" altLang="en-US"/>
        </a:p>
      </dgm:t>
    </dgm:pt>
    <dgm:pt modelId="{433A2C7E-A2A1-4D61-810C-743214938CAE}" type="pres">
      <dgm:prSet presAssocID="{DD133E19-7363-40C0-987A-933026245C55}" presName="connTx" presStyleLbl="parChTrans1D3" presStyleIdx="1" presStyleCnt="6"/>
      <dgm:spPr/>
      <dgm:t>
        <a:bodyPr/>
        <a:lstStyle/>
        <a:p>
          <a:endParaRPr lang="zh-CN" altLang="en-US"/>
        </a:p>
      </dgm:t>
    </dgm:pt>
    <dgm:pt modelId="{8C411FEF-1F90-4F82-8EC4-D3819CC34B7C}" type="pres">
      <dgm:prSet presAssocID="{22931498-1187-4C28-A58C-1B77964BBA89}" presName="root2" presStyleCnt="0"/>
      <dgm:spPr/>
    </dgm:pt>
    <dgm:pt modelId="{E4AAC6CD-F775-444A-BB7C-D2B05E04ADD3}" type="pres">
      <dgm:prSet presAssocID="{22931498-1187-4C28-A58C-1B77964BBA89}" presName="LevelTwoTextNode" presStyleLbl="node3" presStyleIdx="1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7AD3D01A-FC31-4C80-944C-25A0A327D37C}" type="pres">
      <dgm:prSet presAssocID="{22931498-1187-4C28-A58C-1B77964BBA89}" presName="level3hierChild" presStyleCnt="0"/>
      <dgm:spPr/>
    </dgm:pt>
    <dgm:pt modelId="{EA31A552-86F2-45E6-8ED2-3B26771654F7}" type="pres">
      <dgm:prSet presAssocID="{06E18F15-08F5-478A-BED1-06EE05C3B192}" presName="conn2-1" presStyleLbl="parChTrans1D2" presStyleIdx="1" presStyleCnt="2"/>
      <dgm:spPr/>
      <dgm:t>
        <a:bodyPr/>
        <a:lstStyle/>
        <a:p>
          <a:endParaRPr lang="zh-CN" altLang="en-US"/>
        </a:p>
      </dgm:t>
    </dgm:pt>
    <dgm:pt modelId="{EBDFA94F-4588-421A-A827-A35752415526}" type="pres">
      <dgm:prSet presAssocID="{06E18F15-08F5-478A-BED1-06EE05C3B192}" presName="connTx" presStyleLbl="parChTrans1D2" presStyleIdx="1" presStyleCnt="2"/>
      <dgm:spPr/>
      <dgm:t>
        <a:bodyPr/>
        <a:lstStyle/>
        <a:p>
          <a:endParaRPr lang="zh-CN" altLang="en-US"/>
        </a:p>
      </dgm:t>
    </dgm:pt>
    <dgm:pt modelId="{12C0875C-873E-4B60-B8FA-EED675498B1A}" type="pres">
      <dgm:prSet presAssocID="{326BE1EF-CD38-49AD-AB82-C8A3B683DF74}" presName="root2" presStyleCnt="0"/>
      <dgm:spPr/>
    </dgm:pt>
    <dgm:pt modelId="{771A9A2A-75D2-424C-8D80-56325F122D13}" type="pres">
      <dgm:prSet presAssocID="{326BE1EF-CD38-49AD-AB82-C8A3B683DF74}" presName="LevelTwoTextNode" presStyleLbl="node2" presStyleIdx="1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BD7C308-4654-42BD-A284-C70D2698932F}" type="pres">
      <dgm:prSet presAssocID="{326BE1EF-CD38-49AD-AB82-C8A3B683DF74}" presName="level3hierChild" presStyleCnt="0"/>
      <dgm:spPr/>
    </dgm:pt>
    <dgm:pt modelId="{01602DE9-5B40-46F4-AF0A-FFEF8CFBEF52}" type="pres">
      <dgm:prSet presAssocID="{47670F73-3C95-42D9-84F9-0E04C8FD9E44}" presName="conn2-1" presStyleLbl="parChTrans1D3" presStyleIdx="2" presStyleCnt="6"/>
      <dgm:spPr/>
      <dgm:t>
        <a:bodyPr/>
        <a:lstStyle/>
        <a:p>
          <a:endParaRPr lang="zh-CN" altLang="en-US"/>
        </a:p>
      </dgm:t>
    </dgm:pt>
    <dgm:pt modelId="{55047EAB-5CAC-4A6D-8CF7-EEF374066BEA}" type="pres">
      <dgm:prSet presAssocID="{47670F73-3C95-42D9-84F9-0E04C8FD9E44}" presName="connTx" presStyleLbl="parChTrans1D3" presStyleIdx="2" presStyleCnt="6"/>
      <dgm:spPr/>
      <dgm:t>
        <a:bodyPr/>
        <a:lstStyle/>
        <a:p>
          <a:endParaRPr lang="zh-CN" altLang="en-US"/>
        </a:p>
      </dgm:t>
    </dgm:pt>
    <dgm:pt modelId="{D5A5A764-510F-4962-8F53-AD6A9E5BC232}" type="pres">
      <dgm:prSet presAssocID="{47177BE9-49DC-4009-8968-5EBDA3EF69C4}" presName="root2" presStyleCnt="0"/>
      <dgm:spPr/>
    </dgm:pt>
    <dgm:pt modelId="{9808B688-42F7-4D20-84C1-A028B249851E}" type="pres">
      <dgm:prSet presAssocID="{47177BE9-49DC-4009-8968-5EBDA3EF69C4}" presName="LevelTwoTextNode" presStyleLbl="node3" presStyleIdx="2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4493849-5259-4ADB-866D-6E00F091E07A}" type="pres">
      <dgm:prSet presAssocID="{47177BE9-49DC-4009-8968-5EBDA3EF69C4}" presName="level3hierChild" presStyleCnt="0"/>
      <dgm:spPr/>
    </dgm:pt>
    <dgm:pt modelId="{84EA2169-927E-42D4-9E5F-3250C6C3AD09}" type="pres">
      <dgm:prSet presAssocID="{2D7A935A-BBD2-44CD-B188-A700632EAF54}" presName="conn2-1" presStyleLbl="parChTrans1D3" presStyleIdx="3" presStyleCnt="6"/>
      <dgm:spPr/>
      <dgm:t>
        <a:bodyPr/>
        <a:lstStyle/>
        <a:p>
          <a:endParaRPr lang="zh-CN" altLang="en-US"/>
        </a:p>
      </dgm:t>
    </dgm:pt>
    <dgm:pt modelId="{E6115E0F-1FF9-44FC-8830-4A6A74BAB065}" type="pres">
      <dgm:prSet presAssocID="{2D7A935A-BBD2-44CD-B188-A700632EAF54}" presName="connTx" presStyleLbl="parChTrans1D3" presStyleIdx="3" presStyleCnt="6"/>
      <dgm:spPr/>
      <dgm:t>
        <a:bodyPr/>
        <a:lstStyle/>
        <a:p>
          <a:endParaRPr lang="zh-CN" altLang="en-US"/>
        </a:p>
      </dgm:t>
    </dgm:pt>
    <dgm:pt modelId="{053280CA-659E-4AEF-BCBA-AB016F262CCD}" type="pres">
      <dgm:prSet presAssocID="{9A2656E5-F7F0-4BF7-BFAE-B50E69534F5D}" presName="root2" presStyleCnt="0"/>
      <dgm:spPr/>
    </dgm:pt>
    <dgm:pt modelId="{ED81BEA2-0D03-4011-AA6F-4EC8056D43E8}" type="pres">
      <dgm:prSet presAssocID="{9A2656E5-F7F0-4BF7-BFAE-B50E69534F5D}" presName="LevelTwoTextNode" presStyleLbl="node3" presStyleIdx="3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70DDE835-8818-445A-A90B-35309984822A}" type="pres">
      <dgm:prSet presAssocID="{9A2656E5-F7F0-4BF7-BFAE-B50E69534F5D}" presName="level3hierChild" presStyleCnt="0"/>
      <dgm:spPr/>
    </dgm:pt>
    <dgm:pt modelId="{85A52D94-2D47-45BA-996D-68E9E86DF5C5}" type="pres">
      <dgm:prSet presAssocID="{02F11301-2F04-443C-890E-3AE3E61D69A4}" presName="conn2-1" presStyleLbl="parChTrans1D3" presStyleIdx="4" presStyleCnt="6"/>
      <dgm:spPr/>
      <dgm:t>
        <a:bodyPr/>
        <a:lstStyle/>
        <a:p>
          <a:endParaRPr lang="zh-CN" altLang="en-US"/>
        </a:p>
      </dgm:t>
    </dgm:pt>
    <dgm:pt modelId="{7918CAAB-88F4-4886-BB0C-017D995ABB80}" type="pres">
      <dgm:prSet presAssocID="{02F11301-2F04-443C-890E-3AE3E61D69A4}" presName="connTx" presStyleLbl="parChTrans1D3" presStyleIdx="4" presStyleCnt="6"/>
      <dgm:spPr/>
      <dgm:t>
        <a:bodyPr/>
        <a:lstStyle/>
        <a:p>
          <a:endParaRPr lang="zh-CN" altLang="en-US"/>
        </a:p>
      </dgm:t>
    </dgm:pt>
    <dgm:pt modelId="{C9BE9751-D034-488E-986A-D686B872DDFF}" type="pres">
      <dgm:prSet presAssocID="{2C7C8A7C-2A0D-43D3-B6B1-A5293C796927}" presName="root2" presStyleCnt="0"/>
      <dgm:spPr/>
    </dgm:pt>
    <dgm:pt modelId="{6D273CAC-55C0-4E5C-9E71-93C7C89A93FD}" type="pres">
      <dgm:prSet presAssocID="{2C7C8A7C-2A0D-43D3-B6B1-A5293C796927}" presName="LevelTwoTextNode" presStyleLbl="node3" presStyleIdx="4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D6F80ACB-6E0A-4C0E-A1C2-518F0A135C9F}" type="pres">
      <dgm:prSet presAssocID="{2C7C8A7C-2A0D-43D3-B6B1-A5293C796927}" presName="level3hierChild" presStyleCnt="0"/>
      <dgm:spPr/>
    </dgm:pt>
    <dgm:pt modelId="{B5B4AAE3-35B8-4638-874B-BB880624029B}" type="pres">
      <dgm:prSet presAssocID="{B7B4BF66-9167-4AD0-B80D-52981502BB6F}" presName="conn2-1" presStyleLbl="parChTrans1D3" presStyleIdx="5" presStyleCnt="6"/>
      <dgm:spPr/>
      <dgm:t>
        <a:bodyPr/>
        <a:lstStyle/>
        <a:p>
          <a:endParaRPr lang="zh-CN" altLang="en-US"/>
        </a:p>
      </dgm:t>
    </dgm:pt>
    <dgm:pt modelId="{2AE44DE1-6F5E-4827-BACA-DB4C9999032B}" type="pres">
      <dgm:prSet presAssocID="{B7B4BF66-9167-4AD0-B80D-52981502BB6F}" presName="connTx" presStyleLbl="parChTrans1D3" presStyleIdx="5" presStyleCnt="6"/>
      <dgm:spPr/>
      <dgm:t>
        <a:bodyPr/>
        <a:lstStyle/>
        <a:p>
          <a:endParaRPr lang="zh-CN" altLang="en-US"/>
        </a:p>
      </dgm:t>
    </dgm:pt>
    <dgm:pt modelId="{A267F2CE-EB16-4D7C-9F72-E6F23282CEFE}" type="pres">
      <dgm:prSet presAssocID="{2642BA9B-A9F3-4E50-BCF1-B77ED9C27F4D}" presName="root2" presStyleCnt="0"/>
      <dgm:spPr/>
    </dgm:pt>
    <dgm:pt modelId="{A76C9CC6-C91B-436E-8AB2-DF876B0208CF}" type="pres">
      <dgm:prSet presAssocID="{2642BA9B-A9F3-4E50-BCF1-B77ED9C27F4D}" presName="LevelTwoTextNode" presStyleLbl="node3" presStyleIdx="5" presStyleCnt="6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E8485AD7-9E1A-4185-BC42-3D8E654DB6D3}" type="pres">
      <dgm:prSet presAssocID="{2642BA9B-A9F3-4E50-BCF1-B77ED9C27F4D}" presName="level3hierChild" presStyleCnt="0"/>
      <dgm:spPr/>
    </dgm:pt>
  </dgm:ptLst>
  <dgm:cxnLst>
    <dgm:cxn modelId="{01E54D77-515C-4CB7-8D4D-59CD0F676FE1}" type="presOf" srcId="{22931498-1187-4C28-A58C-1B77964BBA89}" destId="{E4AAC6CD-F775-444A-BB7C-D2B05E04ADD3}" srcOrd="0" destOrd="0" presId="urn:microsoft.com/office/officeart/2008/layout/HorizontalMultiLevelHierarchy"/>
    <dgm:cxn modelId="{64F58330-3AC6-41D3-B0EA-BE682404B2F2}" type="presOf" srcId="{B7B4BF66-9167-4AD0-B80D-52981502BB6F}" destId="{2AE44DE1-6F5E-4827-BACA-DB4C9999032B}" srcOrd="1" destOrd="0" presId="urn:microsoft.com/office/officeart/2008/layout/HorizontalMultiLevelHierarchy"/>
    <dgm:cxn modelId="{6154045A-6738-45FF-863D-0F9A6A1038DB}" srcId="{A21AE2EE-2B94-4ADA-8402-3B992C650BC4}" destId="{326BE1EF-CD38-49AD-AB82-C8A3B683DF74}" srcOrd="1" destOrd="0" parTransId="{06E18F15-08F5-478A-BED1-06EE05C3B192}" sibTransId="{B29D375F-34D7-4BF7-9FFF-03AFD9B1D5D2}"/>
    <dgm:cxn modelId="{F5403FB0-A8D1-45F5-A439-D498A120C1F4}" type="presOf" srcId="{F76F5FFD-39E5-4DC9-88C3-A03EBCF9D140}" destId="{F7AA5C27-D610-4CEE-B367-2837CF5239DB}" srcOrd="0" destOrd="0" presId="urn:microsoft.com/office/officeart/2008/layout/HorizontalMultiLevelHierarchy"/>
    <dgm:cxn modelId="{179C43B7-9CE9-4879-81D8-398AECE14443}" type="presOf" srcId="{47177BE9-49DC-4009-8968-5EBDA3EF69C4}" destId="{9808B688-42F7-4D20-84C1-A028B249851E}" srcOrd="0" destOrd="0" presId="urn:microsoft.com/office/officeart/2008/layout/HorizontalMultiLevelHierarchy"/>
    <dgm:cxn modelId="{A2CA3914-9BE5-4F8D-AB37-E5DAAF2FDC49}" type="presOf" srcId="{DD133E19-7363-40C0-987A-933026245C55}" destId="{5C6080E6-3760-4E79-9DBE-0111A0517F27}" srcOrd="0" destOrd="0" presId="urn:microsoft.com/office/officeart/2008/layout/HorizontalMultiLevelHierarchy"/>
    <dgm:cxn modelId="{A1E92816-50FF-4E94-92DD-AFDFC9E4A854}" srcId="{326BE1EF-CD38-49AD-AB82-C8A3B683DF74}" destId="{47177BE9-49DC-4009-8968-5EBDA3EF69C4}" srcOrd="0" destOrd="0" parTransId="{47670F73-3C95-42D9-84F9-0E04C8FD9E44}" sibTransId="{AAC073FC-77A3-40FD-948C-30B0D88DCFD8}"/>
    <dgm:cxn modelId="{6467177B-8673-432C-AF31-045127B28FA5}" srcId="{326BE1EF-CD38-49AD-AB82-C8A3B683DF74}" destId="{2C7C8A7C-2A0D-43D3-B6B1-A5293C796927}" srcOrd="2" destOrd="0" parTransId="{02F11301-2F04-443C-890E-3AE3E61D69A4}" sibTransId="{402D5692-29B4-499F-A980-CF6C3FE27483}"/>
    <dgm:cxn modelId="{7B2B1CD2-51D4-403A-B146-22258CEDB146}" type="presOf" srcId="{DD133E19-7363-40C0-987A-933026245C55}" destId="{433A2C7E-A2A1-4D61-810C-743214938CAE}" srcOrd="1" destOrd="0" presId="urn:microsoft.com/office/officeart/2008/layout/HorizontalMultiLevelHierarchy"/>
    <dgm:cxn modelId="{F0A001AE-3C68-4700-973B-6D28F720537F}" type="presOf" srcId="{2521EE39-5271-41C9-BC3F-E7E04C6F9550}" destId="{BBE59A82-CC43-44DE-9CA8-F9A31CACB5EB}" srcOrd="0" destOrd="0" presId="urn:microsoft.com/office/officeart/2008/layout/HorizontalMultiLevelHierarchy"/>
    <dgm:cxn modelId="{76D363A6-3F51-4FAD-9258-DD347529EDDD}" type="presOf" srcId="{06E18F15-08F5-478A-BED1-06EE05C3B192}" destId="{EA31A552-86F2-45E6-8ED2-3B26771654F7}" srcOrd="0" destOrd="0" presId="urn:microsoft.com/office/officeart/2008/layout/HorizontalMultiLevelHierarchy"/>
    <dgm:cxn modelId="{CDF42D69-D276-410E-8D72-CBC8477A66CF}" type="presOf" srcId="{2D7A935A-BBD2-44CD-B188-A700632EAF54}" destId="{E6115E0F-1FF9-44FC-8830-4A6A74BAB065}" srcOrd="1" destOrd="0" presId="urn:microsoft.com/office/officeart/2008/layout/HorizontalMultiLevelHierarchy"/>
    <dgm:cxn modelId="{95FCB264-313D-49A8-9C17-92783C599A3B}" type="presOf" srcId="{326BE1EF-CD38-49AD-AB82-C8A3B683DF74}" destId="{771A9A2A-75D2-424C-8D80-56325F122D13}" srcOrd="0" destOrd="0" presId="urn:microsoft.com/office/officeart/2008/layout/HorizontalMultiLevelHierarchy"/>
    <dgm:cxn modelId="{F55A394A-3290-4C24-B334-F1B9C17A1100}" type="presOf" srcId="{1844AAB1-42BA-4E85-9A20-C97F13C686AE}" destId="{C4D344F2-D831-4933-8BA0-D6353DFDBF43}" srcOrd="0" destOrd="0" presId="urn:microsoft.com/office/officeart/2008/layout/HorizontalMultiLevelHierarchy"/>
    <dgm:cxn modelId="{F4FF43D6-6382-4126-8E02-8087FFDD912B}" type="presOf" srcId="{2521EE39-5271-41C9-BC3F-E7E04C6F9550}" destId="{337F12DC-932B-412C-A6BE-189EA6C4CEEE}" srcOrd="1" destOrd="0" presId="urn:microsoft.com/office/officeart/2008/layout/HorizontalMultiLevelHierarchy"/>
    <dgm:cxn modelId="{6A5A53B9-844A-467E-A58C-F2807BA037A7}" type="presOf" srcId="{9A2656E5-F7F0-4BF7-BFAE-B50E69534F5D}" destId="{ED81BEA2-0D03-4011-AA6F-4EC8056D43E8}" srcOrd="0" destOrd="0" presId="urn:microsoft.com/office/officeart/2008/layout/HorizontalMultiLevelHierarchy"/>
    <dgm:cxn modelId="{B0D1E703-923F-41FB-A84D-E3C1FBEF7BB3}" type="presOf" srcId="{47670F73-3C95-42D9-84F9-0E04C8FD9E44}" destId="{55047EAB-5CAC-4A6D-8CF7-EEF374066BEA}" srcOrd="1" destOrd="0" presId="urn:microsoft.com/office/officeart/2008/layout/HorizontalMultiLevelHierarchy"/>
    <dgm:cxn modelId="{DCA30B47-853E-4D72-B50F-72CF9D4342BC}" type="presOf" srcId="{02F11301-2F04-443C-890E-3AE3E61D69A4}" destId="{7918CAAB-88F4-4886-BB0C-017D995ABB80}" srcOrd="1" destOrd="0" presId="urn:microsoft.com/office/officeart/2008/layout/HorizontalMultiLevelHierarchy"/>
    <dgm:cxn modelId="{735A5FFC-C5D6-4AE0-B8B7-8E862B7F91DB}" type="presOf" srcId="{47670F73-3C95-42D9-84F9-0E04C8FD9E44}" destId="{01602DE9-5B40-46F4-AF0A-FFEF8CFBEF52}" srcOrd="0" destOrd="0" presId="urn:microsoft.com/office/officeart/2008/layout/HorizontalMultiLevelHierarchy"/>
    <dgm:cxn modelId="{CDB3C7F4-4CDF-4627-A256-9201A904B59D}" type="presOf" srcId="{2D7A935A-BBD2-44CD-B188-A700632EAF54}" destId="{84EA2169-927E-42D4-9E5F-3250C6C3AD09}" srcOrd="0" destOrd="0" presId="urn:microsoft.com/office/officeart/2008/layout/HorizontalMultiLevelHierarchy"/>
    <dgm:cxn modelId="{8CF6F4C1-72A5-4AFD-98E8-E5F098CB73C8}" type="presOf" srcId="{2C7C8A7C-2A0D-43D3-B6B1-A5293C796927}" destId="{6D273CAC-55C0-4E5C-9E71-93C7C89A93FD}" srcOrd="0" destOrd="0" presId="urn:microsoft.com/office/officeart/2008/layout/HorizontalMultiLevelHierarchy"/>
    <dgm:cxn modelId="{41CB44B1-99A0-4C03-9F37-DA98AC3F31CB}" srcId="{326BE1EF-CD38-49AD-AB82-C8A3B683DF74}" destId="{9A2656E5-F7F0-4BF7-BFAE-B50E69534F5D}" srcOrd="1" destOrd="0" parTransId="{2D7A935A-BBD2-44CD-B188-A700632EAF54}" sibTransId="{4DBFF6C3-F2B6-4590-BAFE-B0192AEC670A}"/>
    <dgm:cxn modelId="{0A09BEB7-DD0D-448B-AD6C-4494F05770A7}" srcId="{1844AAB1-42BA-4E85-9A20-C97F13C686AE}" destId="{22931498-1187-4C28-A58C-1B77964BBA89}" srcOrd="1" destOrd="0" parTransId="{DD133E19-7363-40C0-987A-933026245C55}" sibTransId="{5444AF18-B516-43BB-826E-80AA6893383F}"/>
    <dgm:cxn modelId="{1211499C-D45B-4C3E-A5B8-47D9263531B4}" srcId="{F76F5FFD-39E5-4DC9-88C3-A03EBCF9D140}" destId="{A21AE2EE-2B94-4ADA-8402-3B992C650BC4}" srcOrd="0" destOrd="0" parTransId="{77AE4298-F60B-44CE-9977-1C877A9D86CA}" sibTransId="{3E048DBF-7DFA-4DC0-B263-F01B7971DC60}"/>
    <dgm:cxn modelId="{13050684-43FA-43EB-A4BA-7E36574B3B62}" type="presOf" srcId="{A1459B56-0783-4036-B1F1-B884ABF261E1}" destId="{23F0DFD1-3F28-426B-9434-D8CDBE595516}" srcOrd="0" destOrd="0" presId="urn:microsoft.com/office/officeart/2008/layout/HorizontalMultiLevelHierarchy"/>
    <dgm:cxn modelId="{57DA4F79-7590-4ACA-9524-6AAA598D450A}" type="presOf" srcId="{B7B4BF66-9167-4AD0-B80D-52981502BB6F}" destId="{B5B4AAE3-35B8-4638-874B-BB880624029B}" srcOrd="0" destOrd="0" presId="urn:microsoft.com/office/officeart/2008/layout/HorizontalMultiLevelHierarchy"/>
    <dgm:cxn modelId="{6C2C0C27-E558-49AE-A139-A5A3191DF487}" type="presOf" srcId="{2642BA9B-A9F3-4E50-BCF1-B77ED9C27F4D}" destId="{A76C9CC6-C91B-436E-8AB2-DF876B0208CF}" srcOrd="0" destOrd="0" presId="urn:microsoft.com/office/officeart/2008/layout/HorizontalMultiLevelHierarchy"/>
    <dgm:cxn modelId="{6D26ECD3-25E8-4312-B0C1-C2F91212DBDA}" srcId="{1844AAB1-42BA-4E85-9A20-C97F13C686AE}" destId="{F3001CCD-3B88-4896-B360-448B8EFAFDC0}" srcOrd="0" destOrd="0" parTransId="{A1459B56-0783-4036-B1F1-B884ABF261E1}" sibTransId="{BAC3A94B-E574-453E-9D04-34E8D1743C12}"/>
    <dgm:cxn modelId="{0F4090E3-55F2-4C28-8B78-34839006A270}" srcId="{326BE1EF-CD38-49AD-AB82-C8A3B683DF74}" destId="{2642BA9B-A9F3-4E50-BCF1-B77ED9C27F4D}" srcOrd="3" destOrd="0" parTransId="{B7B4BF66-9167-4AD0-B80D-52981502BB6F}" sibTransId="{2381FE63-DF6A-4641-AC44-0A33B7A8AB09}"/>
    <dgm:cxn modelId="{6D174847-FCA0-451E-B76E-5692273E8381}" type="presOf" srcId="{A21AE2EE-2B94-4ADA-8402-3B992C650BC4}" destId="{7623EA2D-4004-4231-AA5D-D1E355D19192}" srcOrd="0" destOrd="0" presId="urn:microsoft.com/office/officeart/2008/layout/HorizontalMultiLevelHierarchy"/>
    <dgm:cxn modelId="{9F546AE3-429C-48E2-8A24-FA62634B8D69}" type="presOf" srcId="{A1459B56-0783-4036-B1F1-B884ABF261E1}" destId="{EBCF32F8-9440-4DF0-892E-0747C003CD69}" srcOrd="1" destOrd="0" presId="urn:microsoft.com/office/officeart/2008/layout/HorizontalMultiLevelHierarchy"/>
    <dgm:cxn modelId="{45029149-A07A-4596-B03F-6BE14E873A51}" type="presOf" srcId="{F3001CCD-3B88-4896-B360-448B8EFAFDC0}" destId="{C6354DC9-11FF-44B7-9DDF-C83A3492A15A}" srcOrd="0" destOrd="0" presId="urn:microsoft.com/office/officeart/2008/layout/HorizontalMultiLevelHierarchy"/>
    <dgm:cxn modelId="{847E1798-E7A6-495E-921A-FA01F472EB6C}" srcId="{A21AE2EE-2B94-4ADA-8402-3B992C650BC4}" destId="{1844AAB1-42BA-4E85-9A20-C97F13C686AE}" srcOrd="0" destOrd="0" parTransId="{2521EE39-5271-41C9-BC3F-E7E04C6F9550}" sibTransId="{A181517F-22CD-4B5B-BE79-A07B55084059}"/>
    <dgm:cxn modelId="{66F10A6A-9F8B-40B1-A4B9-CAE0F8874518}" type="presOf" srcId="{06E18F15-08F5-478A-BED1-06EE05C3B192}" destId="{EBDFA94F-4588-421A-A827-A35752415526}" srcOrd="1" destOrd="0" presId="urn:microsoft.com/office/officeart/2008/layout/HorizontalMultiLevelHierarchy"/>
    <dgm:cxn modelId="{F3C5E459-A00B-4838-9DF5-7CAF607840BE}" type="presOf" srcId="{02F11301-2F04-443C-890E-3AE3E61D69A4}" destId="{85A52D94-2D47-45BA-996D-68E9E86DF5C5}" srcOrd="0" destOrd="0" presId="urn:microsoft.com/office/officeart/2008/layout/HorizontalMultiLevelHierarchy"/>
    <dgm:cxn modelId="{1BCF7D0D-4661-431D-9F12-C798C29DC743}" type="presParOf" srcId="{F7AA5C27-D610-4CEE-B367-2837CF5239DB}" destId="{C7A51166-8C2D-4402-94F1-217ED1A6D04B}" srcOrd="0" destOrd="0" presId="urn:microsoft.com/office/officeart/2008/layout/HorizontalMultiLevelHierarchy"/>
    <dgm:cxn modelId="{57B747DE-3739-45AA-B45F-079E501252D1}" type="presParOf" srcId="{C7A51166-8C2D-4402-94F1-217ED1A6D04B}" destId="{7623EA2D-4004-4231-AA5D-D1E355D19192}" srcOrd="0" destOrd="0" presId="urn:microsoft.com/office/officeart/2008/layout/HorizontalMultiLevelHierarchy"/>
    <dgm:cxn modelId="{B92D19BF-A721-44DE-8D7A-12F30821B030}" type="presParOf" srcId="{C7A51166-8C2D-4402-94F1-217ED1A6D04B}" destId="{3FC1C467-0EA7-493E-B599-2230FAF6A463}" srcOrd="1" destOrd="0" presId="urn:microsoft.com/office/officeart/2008/layout/HorizontalMultiLevelHierarchy"/>
    <dgm:cxn modelId="{5EA3FEDC-8856-457C-AAC2-2885B099101E}" type="presParOf" srcId="{3FC1C467-0EA7-493E-B599-2230FAF6A463}" destId="{BBE59A82-CC43-44DE-9CA8-F9A31CACB5EB}" srcOrd="0" destOrd="0" presId="urn:microsoft.com/office/officeart/2008/layout/HorizontalMultiLevelHierarchy"/>
    <dgm:cxn modelId="{D37C6F39-A022-4B10-853C-920128D72CCF}" type="presParOf" srcId="{BBE59A82-CC43-44DE-9CA8-F9A31CACB5EB}" destId="{337F12DC-932B-412C-A6BE-189EA6C4CEEE}" srcOrd="0" destOrd="0" presId="urn:microsoft.com/office/officeart/2008/layout/HorizontalMultiLevelHierarchy"/>
    <dgm:cxn modelId="{7AAC2081-75C2-4112-8BB5-8B39F123557F}" type="presParOf" srcId="{3FC1C467-0EA7-493E-B599-2230FAF6A463}" destId="{043EE7B4-6CCE-4EEF-B2BA-FB55F3CF5F67}" srcOrd="1" destOrd="0" presId="urn:microsoft.com/office/officeart/2008/layout/HorizontalMultiLevelHierarchy"/>
    <dgm:cxn modelId="{B5FA3351-D61A-4655-837C-B59A2FE62255}" type="presParOf" srcId="{043EE7B4-6CCE-4EEF-B2BA-FB55F3CF5F67}" destId="{C4D344F2-D831-4933-8BA0-D6353DFDBF43}" srcOrd="0" destOrd="0" presId="urn:microsoft.com/office/officeart/2008/layout/HorizontalMultiLevelHierarchy"/>
    <dgm:cxn modelId="{7DDBF848-C48D-40EC-869F-370C27BF8B5B}" type="presParOf" srcId="{043EE7B4-6CCE-4EEF-B2BA-FB55F3CF5F67}" destId="{3F3DBCE4-D6D3-4B55-9586-CC4CEC1A78B3}" srcOrd="1" destOrd="0" presId="urn:microsoft.com/office/officeart/2008/layout/HorizontalMultiLevelHierarchy"/>
    <dgm:cxn modelId="{6CF5C14E-DEDF-4889-9814-D6E7EDB5CAA0}" type="presParOf" srcId="{3F3DBCE4-D6D3-4B55-9586-CC4CEC1A78B3}" destId="{23F0DFD1-3F28-426B-9434-D8CDBE595516}" srcOrd="0" destOrd="0" presId="urn:microsoft.com/office/officeart/2008/layout/HorizontalMultiLevelHierarchy"/>
    <dgm:cxn modelId="{3E54D574-8378-4F71-84BD-5BDF93756267}" type="presParOf" srcId="{23F0DFD1-3F28-426B-9434-D8CDBE595516}" destId="{EBCF32F8-9440-4DF0-892E-0747C003CD69}" srcOrd="0" destOrd="0" presId="urn:microsoft.com/office/officeart/2008/layout/HorizontalMultiLevelHierarchy"/>
    <dgm:cxn modelId="{EFE801E5-B65E-4F41-B0B4-3617DF3CED76}" type="presParOf" srcId="{3F3DBCE4-D6D3-4B55-9586-CC4CEC1A78B3}" destId="{9FB82CA0-D21E-45EE-AB83-81DC0D8B2BD6}" srcOrd="1" destOrd="0" presId="urn:microsoft.com/office/officeart/2008/layout/HorizontalMultiLevelHierarchy"/>
    <dgm:cxn modelId="{C04489BF-B47B-4CE6-8C08-AD6B59DD63F6}" type="presParOf" srcId="{9FB82CA0-D21E-45EE-AB83-81DC0D8B2BD6}" destId="{C6354DC9-11FF-44B7-9DDF-C83A3492A15A}" srcOrd="0" destOrd="0" presId="urn:microsoft.com/office/officeart/2008/layout/HorizontalMultiLevelHierarchy"/>
    <dgm:cxn modelId="{D931A31C-2A74-490C-B34F-4C4D3FE6DDF6}" type="presParOf" srcId="{9FB82CA0-D21E-45EE-AB83-81DC0D8B2BD6}" destId="{BD1EE95B-9466-432E-8600-D5721555AEAD}" srcOrd="1" destOrd="0" presId="urn:microsoft.com/office/officeart/2008/layout/HorizontalMultiLevelHierarchy"/>
    <dgm:cxn modelId="{DD759521-3F18-40F9-97D9-DFE59BFC67F8}" type="presParOf" srcId="{3F3DBCE4-D6D3-4B55-9586-CC4CEC1A78B3}" destId="{5C6080E6-3760-4E79-9DBE-0111A0517F27}" srcOrd="2" destOrd="0" presId="urn:microsoft.com/office/officeart/2008/layout/HorizontalMultiLevelHierarchy"/>
    <dgm:cxn modelId="{9A58D141-1914-410E-A2E3-14F99FEFF5B3}" type="presParOf" srcId="{5C6080E6-3760-4E79-9DBE-0111A0517F27}" destId="{433A2C7E-A2A1-4D61-810C-743214938CAE}" srcOrd="0" destOrd="0" presId="urn:microsoft.com/office/officeart/2008/layout/HorizontalMultiLevelHierarchy"/>
    <dgm:cxn modelId="{383F3D80-F0A1-4B80-875F-D0A6EEBEC641}" type="presParOf" srcId="{3F3DBCE4-D6D3-4B55-9586-CC4CEC1A78B3}" destId="{8C411FEF-1F90-4F82-8EC4-D3819CC34B7C}" srcOrd="3" destOrd="0" presId="urn:microsoft.com/office/officeart/2008/layout/HorizontalMultiLevelHierarchy"/>
    <dgm:cxn modelId="{5F81A480-76FE-4077-9DD3-A2B470933A14}" type="presParOf" srcId="{8C411FEF-1F90-4F82-8EC4-D3819CC34B7C}" destId="{E4AAC6CD-F775-444A-BB7C-D2B05E04ADD3}" srcOrd="0" destOrd="0" presId="urn:microsoft.com/office/officeart/2008/layout/HorizontalMultiLevelHierarchy"/>
    <dgm:cxn modelId="{880480F1-1F92-432E-B699-B9DF11A4A52A}" type="presParOf" srcId="{8C411FEF-1F90-4F82-8EC4-D3819CC34B7C}" destId="{7AD3D01A-FC31-4C80-944C-25A0A327D37C}" srcOrd="1" destOrd="0" presId="urn:microsoft.com/office/officeart/2008/layout/HorizontalMultiLevelHierarchy"/>
    <dgm:cxn modelId="{1C1DD26D-D6D7-4F37-A800-37717E3F3986}" type="presParOf" srcId="{3FC1C467-0EA7-493E-B599-2230FAF6A463}" destId="{EA31A552-86F2-45E6-8ED2-3B26771654F7}" srcOrd="2" destOrd="0" presId="urn:microsoft.com/office/officeart/2008/layout/HorizontalMultiLevelHierarchy"/>
    <dgm:cxn modelId="{496B87E0-009A-40CB-A25B-08E77D8FD64E}" type="presParOf" srcId="{EA31A552-86F2-45E6-8ED2-3B26771654F7}" destId="{EBDFA94F-4588-421A-A827-A35752415526}" srcOrd="0" destOrd="0" presId="urn:microsoft.com/office/officeart/2008/layout/HorizontalMultiLevelHierarchy"/>
    <dgm:cxn modelId="{40CD6C37-2BE0-45EC-8E6C-458AB77BB0FE}" type="presParOf" srcId="{3FC1C467-0EA7-493E-B599-2230FAF6A463}" destId="{12C0875C-873E-4B60-B8FA-EED675498B1A}" srcOrd="3" destOrd="0" presId="urn:microsoft.com/office/officeart/2008/layout/HorizontalMultiLevelHierarchy"/>
    <dgm:cxn modelId="{C42477E4-3F67-4307-A1A9-ADA80EE17C86}" type="presParOf" srcId="{12C0875C-873E-4B60-B8FA-EED675498B1A}" destId="{771A9A2A-75D2-424C-8D80-56325F122D13}" srcOrd="0" destOrd="0" presId="urn:microsoft.com/office/officeart/2008/layout/HorizontalMultiLevelHierarchy"/>
    <dgm:cxn modelId="{FFEA6503-E29F-4A1D-8DE3-3D6688359686}" type="presParOf" srcId="{12C0875C-873E-4B60-B8FA-EED675498B1A}" destId="{BBD7C308-4654-42BD-A284-C70D2698932F}" srcOrd="1" destOrd="0" presId="urn:microsoft.com/office/officeart/2008/layout/HorizontalMultiLevelHierarchy"/>
    <dgm:cxn modelId="{7F2F9B49-EF72-437B-A43A-097BD6EE2822}" type="presParOf" srcId="{BBD7C308-4654-42BD-A284-C70D2698932F}" destId="{01602DE9-5B40-46F4-AF0A-FFEF8CFBEF52}" srcOrd="0" destOrd="0" presId="urn:microsoft.com/office/officeart/2008/layout/HorizontalMultiLevelHierarchy"/>
    <dgm:cxn modelId="{D489EF55-F023-4D6A-B0D3-DAAB61466CBE}" type="presParOf" srcId="{01602DE9-5B40-46F4-AF0A-FFEF8CFBEF52}" destId="{55047EAB-5CAC-4A6D-8CF7-EEF374066BEA}" srcOrd="0" destOrd="0" presId="urn:microsoft.com/office/officeart/2008/layout/HorizontalMultiLevelHierarchy"/>
    <dgm:cxn modelId="{27702190-70D2-4C4D-BEF3-E3B62E9CC6FE}" type="presParOf" srcId="{BBD7C308-4654-42BD-A284-C70D2698932F}" destId="{D5A5A764-510F-4962-8F53-AD6A9E5BC232}" srcOrd="1" destOrd="0" presId="urn:microsoft.com/office/officeart/2008/layout/HorizontalMultiLevelHierarchy"/>
    <dgm:cxn modelId="{D96177D6-27E4-4D29-9008-10E1B5D6D1FF}" type="presParOf" srcId="{D5A5A764-510F-4962-8F53-AD6A9E5BC232}" destId="{9808B688-42F7-4D20-84C1-A028B249851E}" srcOrd="0" destOrd="0" presId="urn:microsoft.com/office/officeart/2008/layout/HorizontalMultiLevelHierarchy"/>
    <dgm:cxn modelId="{37F5101C-B4AA-4720-A2DE-048A2A96A689}" type="presParOf" srcId="{D5A5A764-510F-4962-8F53-AD6A9E5BC232}" destId="{B4493849-5259-4ADB-866D-6E00F091E07A}" srcOrd="1" destOrd="0" presId="urn:microsoft.com/office/officeart/2008/layout/HorizontalMultiLevelHierarchy"/>
    <dgm:cxn modelId="{E1E50C1F-4F3E-45B2-921F-E1ED582457B2}" type="presParOf" srcId="{BBD7C308-4654-42BD-A284-C70D2698932F}" destId="{84EA2169-927E-42D4-9E5F-3250C6C3AD09}" srcOrd="2" destOrd="0" presId="urn:microsoft.com/office/officeart/2008/layout/HorizontalMultiLevelHierarchy"/>
    <dgm:cxn modelId="{D9E585A4-EFFF-4A93-B542-6CBDDF354F48}" type="presParOf" srcId="{84EA2169-927E-42D4-9E5F-3250C6C3AD09}" destId="{E6115E0F-1FF9-44FC-8830-4A6A74BAB065}" srcOrd="0" destOrd="0" presId="urn:microsoft.com/office/officeart/2008/layout/HorizontalMultiLevelHierarchy"/>
    <dgm:cxn modelId="{38D65F44-B8D9-4E46-96FE-E8D282B93E2A}" type="presParOf" srcId="{BBD7C308-4654-42BD-A284-C70D2698932F}" destId="{053280CA-659E-4AEF-BCBA-AB016F262CCD}" srcOrd="3" destOrd="0" presId="urn:microsoft.com/office/officeart/2008/layout/HorizontalMultiLevelHierarchy"/>
    <dgm:cxn modelId="{0C1C015F-AAB6-45F0-9EA4-5640ADBCED43}" type="presParOf" srcId="{053280CA-659E-4AEF-BCBA-AB016F262CCD}" destId="{ED81BEA2-0D03-4011-AA6F-4EC8056D43E8}" srcOrd="0" destOrd="0" presId="urn:microsoft.com/office/officeart/2008/layout/HorizontalMultiLevelHierarchy"/>
    <dgm:cxn modelId="{E8301A67-578C-4DC3-AB8B-6E8AC8818FC0}" type="presParOf" srcId="{053280CA-659E-4AEF-BCBA-AB016F262CCD}" destId="{70DDE835-8818-445A-A90B-35309984822A}" srcOrd="1" destOrd="0" presId="urn:microsoft.com/office/officeart/2008/layout/HorizontalMultiLevelHierarchy"/>
    <dgm:cxn modelId="{A41CE8A3-17D1-477F-8535-A884744119C7}" type="presParOf" srcId="{BBD7C308-4654-42BD-A284-C70D2698932F}" destId="{85A52D94-2D47-45BA-996D-68E9E86DF5C5}" srcOrd="4" destOrd="0" presId="urn:microsoft.com/office/officeart/2008/layout/HorizontalMultiLevelHierarchy"/>
    <dgm:cxn modelId="{FD5830CD-C5BF-4DB7-BC68-6DB96333BC0B}" type="presParOf" srcId="{85A52D94-2D47-45BA-996D-68E9E86DF5C5}" destId="{7918CAAB-88F4-4886-BB0C-017D995ABB80}" srcOrd="0" destOrd="0" presId="urn:microsoft.com/office/officeart/2008/layout/HorizontalMultiLevelHierarchy"/>
    <dgm:cxn modelId="{F65E6BF1-4C5D-4049-98B3-DE2F63CF75A4}" type="presParOf" srcId="{BBD7C308-4654-42BD-A284-C70D2698932F}" destId="{C9BE9751-D034-488E-986A-D686B872DDFF}" srcOrd="5" destOrd="0" presId="urn:microsoft.com/office/officeart/2008/layout/HorizontalMultiLevelHierarchy"/>
    <dgm:cxn modelId="{E34761CC-AA87-4137-9566-114B7B9BA151}" type="presParOf" srcId="{C9BE9751-D034-488E-986A-D686B872DDFF}" destId="{6D273CAC-55C0-4E5C-9E71-93C7C89A93FD}" srcOrd="0" destOrd="0" presId="urn:microsoft.com/office/officeart/2008/layout/HorizontalMultiLevelHierarchy"/>
    <dgm:cxn modelId="{C76C1865-02A9-4159-A5A7-7E9FAF29AE6A}" type="presParOf" srcId="{C9BE9751-D034-488E-986A-D686B872DDFF}" destId="{D6F80ACB-6E0A-4C0E-A1C2-518F0A135C9F}" srcOrd="1" destOrd="0" presId="urn:microsoft.com/office/officeart/2008/layout/HorizontalMultiLevelHierarchy"/>
    <dgm:cxn modelId="{09BD0435-0E89-4534-8EFE-474C64E2D64E}" type="presParOf" srcId="{BBD7C308-4654-42BD-A284-C70D2698932F}" destId="{B5B4AAE3-35B8-4638-874B-BB880624029B}" srcOrd="6" destOrd="0" presId="urn:microsoft.com/office/officeart/2008/layout/HorizontalMultiLevelHierarchy"/>
    <dgm:cxn modelId="{80D910DC-0F28-4911-AB16-5660A2E54BDA}" type="presParOf" srcId="{B5B4AAE3-35B8-4638-874B-BB880624029B}" destId="{2AE44DE1-6F5E-4827-BACA-DB4C9999032B}" srcOrd="0" destOrd="0" presId="urn:microsoft.com/office/officeart/2008/layout/HorizontalMultiLevelHierarchy"/>
    <dgm:cxn modelId="{0318F198-36EA-4D64-A159-58F3037BFA93}" type="presParOf" srcId="{BBD7C308-4654-42BD-A284-C70D2698932F}" destId="{A267F2CE-EB16-4D7C-9F72-E6F23282CEFE}" srcOrd="7" destOrd="0" presId="urn:microsoft.com/office/officeart/2008/layout/HorizontalMultiLevelHierarchy"/>
    <dgm:cxn modelId="{5D5FF51E-A5DF-4385-8ED5-65F77A3A597F}" type="presParOf" srcId="{A267F2CE-EB16-4D7C-9F72-E6F23282CEFE}" destId="{A76C9CC6-C91B-436E-8AB2-DF876B0208CF}" srcOrd="0" destOrd="0" presId="urn:microsoft.com/office/officeart/2008/layout/HorizontalMultiLevelHierarchy"/>
    <dgm:cxn modelId="{8B5682C2-7A2D-4B67-ACB9-CE004EEEE7D5}" type="presParOf" srcId="{A267F2CE-EB16-4D7C-9F72-E6F23282CEFE}" destId="{E8485AD7-9E1A-4185-BC42-3D8E654DB6D3}" srcOrd="1" destOrd="0" presId="urn:microsoft.com/office/officeart/2008/layout/HorizontalMultiLevelHierarchy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F76F5FFD-39E5-4DC9-88C3-A03EBCF9D140}" type="doc">
      <dgm:prSet loTypeId="urn:microsoft.com/office/officeart/2008/layout/HorizontalMultiLevelHierarchy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zh-CN" altLang="en-US"/>
        </a:p>
      </dgm:t>
    </dgm:pt>
    <dgm:pt modelId="{A21AE2EE-2B94-4ADA-8402-3B992C650BC4}">
      <dgm:prSet phldrT="[文本]"/>
      <dgm:spPr/>
      <dgm:t>
        <a:bodyPr/>
        <a:lstStyle/>
        <a:p>
          <a:r>
            <a:rPr lang="zh-CN" altLang="en-US"/>
            <a:t>技能特效</a:t>
          </a:r>
        </a:p>
      </dgm:t>
    </dgm:pt>
    <dgm:pt modelId="{77AE4298-F60B-44CE-9977-1C877A9D86CA}" type="par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3E048DBF-7DFA-4DC0-B263-F01B7971DC60}" type="sibTrans" cxnId="{1211499C-D45B-4C3E-A5B8-47D9263531B4}">
      <dgm:prSet/>
      <dgm:spPr/>
      <dgm:t>
        <a:bodyPr/>
        <a:lstStyle/>
        <a:p>
          <a:endParaRPr lang="zh-CN" altLang="en-US"/>
        </a:p>
      </dgm:t>
    </dgm:pt>
    <dgm:pt modelId="{326BE1EF-CD38-49AD-AB82-C8A3B683DF74}">
      <dgm:prSet phldrT="[文本]"/>
      <dgm:spPr/>
      <dgm:t>
        <a:bodyPr/>
        <a:lstStyle/>
        <a:p>
          <a:r>
            <a:rPr lang="zh-CN" altLang="en-US"/>
            <a:t>性质</a:t>
          </a:r>
        </a:p>
      </dgm:t>
    </dgm:pt>
    <dgm:pt modelId="{06E18F15-08F5-478A-BED1-06EE05C3B192}" type="par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B29D375F-34D7-4BF7-9FFF-03AFD9B1D5D2}" type="sibTrans" cxnId="{6154045A-6738-45FF-863D-0F9A6A1038DB}">
      <dgm:prSet/>
      <dgm:spPr/>
      <dgm:t>
        <a:bodyPr/>
        <a:lstStyle/>
        <a:p>
          <a:endParaRPr lang="zh-CN" altLang="en-US"/>
        </a:p>
      </dgm:t>
    </dgm:pt>
    <dgm:pt modelId="{0FD2A8E9-BED9-4E4C-B373-B703AE5B39F5}">
      <dgm:prSet phldrT="[文本]"/>
      <dgm:spPr/>
      <dgm:t>
        <a:bodyPr/>
        <a:lstStyle/>
        <a:p>
          <a:r>
            <a:rPr lang="zh-CN" altLang="en-US"/>
            <a:t>伤害</a:t>
          </a:r>
        </a:p>
      </dgm:t>
    </dgm:pt>
    <dgm:pt modelId="{845DA9F2-AE93-4CC7-A63E-E62EC1DC118C}" type="parTrans" cxnId="{4849E3D1-3C4B-40E9-BDD5-E3C2C9A626DB}">
      <dgm:prSet/>
      <dgm:spPr/>
      <dgm:t>
        <a:bodyPr/>
        <a:lstStyle/>
        <a:p>
          <a:endParaRPr lang="zh-CN" altLang="en-US"/>
        </a:p>
      </dgm:t>
    </dgm:pt>
    <dgm:pt modelId="{993E8CA4-EFF1-464A-8D4A-7455CFF1A271}" type="sibTrans" cxnId="{4849E3D1-3C4B-40E9-BDD5-E3C2C9A626DB}">
      <dgm:prSet/>
      <dgm:spPr/>
      <dgm:t>
        <a:bodyPr/>
        <a:lstStyle/>
        <a:p>
          <a:endParaRPr lang="zh-CN" altLang="en-US"/>
        </a:p>
      </dgm:t>
    </dgm:pt>
    <dgm:pt modelId="{45685492-FAA1-4ADC-9F6B-9DE2558C3728}">
      <dgm:prSet phldrT="[文本]"/>
      <dgm:spPr/>
      <dgm:t>
        <a:bodyPr/>
        <a:lstStyle/>
        <a:p>
          <a:r>
            <a:rPr lang="zh-CN" altLang="en-US"/>
            <a:t>控制</a:t>
          </a:r>
        </a:p>
      </dgm:t>
    </dgm:pt>
    <dgm:pt modelId="{C9E6190C-250B-44FD-89D8-7C4C17FE8F24}" type="parTrans" cxnId="{0BEEC0BC-8F26-4C2A-BC07-68778030179F}">
      <dgm:prSet/>
      <dgm:spPr/>
      <dgm:t>
        <a:bodyPr/>
        <a:lstStyle/>
        <a:p>
          <a:endParaRPr lang="zh-CN" altLang="en-US"/>
        </a:p>
      </dgm:t>
    </dgm:pt>
    <dgm:pt modelId="{2ACBB15C-B721-44D2-8187-3BC433AA3551}" type="sibTrans" cxnId="{0BEEC0BC-8F26-4C2A-BC07-68778030179F}">
      <dgm:prSet/>
      <dgm:spPr/>
      <dgm:t>
        <a:bodyPr/>
        <a:lstStyle/>
        <a:p>
          <a:endParaRPr lang="zh-CN" altLang="en-US"/>
        </a:p>
      </dgm:t>
    </dgm:pt>
    <dgm:pt modelId="{5B596A4D-C849-4E86-9894-5D58056B1565}">
      <dgm:prSet phldrT="[文本]"/>
      <dgm:spPr/>
      <dgm:t>
        <a:bodyPr/>
        <a:lstStyle/>
        <a:p>
          <a:r>
            <a:rPr lang="en-US" altLang="zh-CN"/>
            <a:t>buff</a:t>
          </a:r>
          <a:endParaRPr lang="zh-CN" altLang="en-US"/>
        </a:p>
      </dgm:t>
    </dgm:pt>
    <dgm:pt modelId="{8AB46342-DD2E-4E77-827B-6D454C18DBDB}" type="parTrans" cxnId="{F430C8C0-E6E8-4219-8988-DCD3A4741DC1}">
      <dgm:prSet/>
      <dgm:spPr/>
      <dgm:t>
        <a:bodyPr/>
        <a:lstStyle/>
        <a:p>
          <a:endParaRPr lang="zh-CN" altLang="en-US"/>
        </a:p>
      </dgm:t>
    </dgm:pt>
    <dgm:pt modelId="{E63DB486-6167-4F57-A30E-9CA6C53660FC}" type="sibTrans" cxnId="{F430C8C0-E6E8-4219-8988-DCD3A4741DC1}">
      <dgm:prSet/>
      <dgm:spPr/>
      <dgm:t>
        <a:bodyPr/>
        <a:lstStyle/>
        <a:p>
          <a:endParaRPr lang="zh-CN" altLang="en-US"/>
        </a:p>
      </dgm:t>
    </dgm:pt>
    <dgm:pt modelId="{C7EAD322-8D33-4409-AF47-2F1CC5224216}">
      <dgm:prSet phldrT="[文本]"/>
      <dgm:spPr/>
      <dgm:t>
        <a:bodyPr/>
        <a:lstStyle/>
        <a:p>
          <a:r>
            <a:rPr lang="en-US" altLang="zh-CN"/>
            <a:t>debuff</a:t>
          </a:r>
          <a:endParaRPr lang="zh-CN" altLang="en-US"/>
        </a:p>
      </dgm:t>
    </dgm:pt>
    <dgm:pt modelId="{0A41F5D7-1266-41B6-82F0-5C5DCC74D134}" type="parTrans" cxnId="{1BC7E04B-BB3D-466F-AC14-4629219DFD4F}">
      <dgm:prSet/>
      <dgm:spPr/>
      <dgm:t>
        <a:bodyPr/>
        <a:lstStyle/>
        <a:p>
          <a:endParaRPr lang="zh-CN" altLang="en-US"/>
        </a:p>
      </dgm:t>
    </dgm:pt>
    <dgm:pt modelId="{FB502EE2-548A-4937-8E7F-770C64EF7895}" type="sibTrans" cxnId="{1BC7E04B-BB3D-466F-AC14-4629219DFD4F}">
      <dgm:prSet/>
      <dgm:spPr/>
      <dgm:t>
        <a:bodyPr/>
        <a:lstStyle/>
        <a:p>
          <a:endParaRPr lang="zh-CN" altLang="en-US"/>
        </a:p>
      </dgm:t>
    </dgm:pt>
    <dgm:pt modelId="{EAE3D2B6-04F9-4CEF-969A-E1BC842815DF}">
      <dgm:prSet phldrT="[文本]"/>
      <dgm:spPr/>
      <dgm:t>
        <a:bodyPr/>
        <a:lstStyle/>
        <a:p>
          <a:r>
            <a:rPr lang="zh-CN" altLang="en-US"/>
            <a:t>单次</a:t>
          </a:r>
        </a:p>
      </dgm:t>
    </dgm:pt>
    <dgm:pt modelId="{7059AAB4-C694-4C3C-B350-28385867DA71}" type="parTrans" cxnId="{AEAD0903-C67A-4B67-9315-195902F2542B}">
      <dgm:prSet/>
      <dgm:spPr/>
      <dgm:t>
        <a:bodyPr/>
        <a:lstStyle/>
        <a:p>
          <a:endParaRPr lang="zh-CN" altLang="en-US"/>
        </a:p>
      </dgm:t>
    </dgm:pt>
    <dgm:pt modelId="{82425B42-C7BF-4588-B260-D24A31DF93AE}" type="sibTrans" cxnId="{AEAD0903-C67A-4B67-9315-195902F2542B}">
      <dgm:prSet/>
      <dgm:spPr/>
      <dgm:t>
        <a:bodyPr/>
        <a:lstStyle/>
        <a:p>
          <a:endParaRPr lang="zh-CN" altLang="en-US"/>
        </a:p>
      </dgm:t>
    </dgm:pt>
    <dgm:pt modelId="{B06978C7-C121-4CAA-B317-FF05D239B7C1}">
      <dgm:prSet phldrT="[文本]"/>
      <dgm:spPr/>
      <dgm:t>
        <a:bodyPr/>
        <a:lstStyle/>
        <a:p>
          <a:r>
            <a:rPr lang="zh-CN" altLang="en-US"/>
            <a:t>持续</a:t>
          </a:r>
        </a:p>
      </dgm:t>
    </dgm:pt>
    <dgm:pt modelId="{FD907807-9B48-4429-B324-76B1E4A061C1}" type="parTrans" cxnId="{BEC3F38A-FBBD-48FD-B2B4-33F010B31DD5}">
      <dgm:prSet/>
      <dgm:spPr/>
      <dgm:t>
        <a:bodyPr/>
        <a:lstStyle/>
        <a:p>
          <a:endParaRPr lang="zh-CN" altLang="en-US"/>
        </a:p>
      </dgm:t>
    </dgm:pt>
    <dgm:pt modelId="{CFE6022C-B59B-4759-BFAB-9C85D942423F}" type="sibTrans" cxnId="{BEC3F38A-FBBD-48FD-B2B4-33F010B31DD5}">
      <dgm:prSet/>
      <dgm:spPr/>
      <dgm:t>
        <a:bodyPr/>
        <a:lstStyle/>
        <a:p>
          <a:endParaRPr lang="zh-CN" altLang="en-US"/>
        </a:p>
      </dgm:t>
    </dgm:pt>
    <dgm:pt modelId="{9CE95D2A-F640-43DF-A033-A73F48AD650D}" type="pres">
      <dgm:prSet presAssocID="{F76F5FFD-39E5-4DC9-88C3-A03EBCF9D140}" presName="Name0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  <dgm:t>
        <a:bodyPr/>
        <a:lstStyle/>
        <a:p>
          <a:endParaRPr lang="zh-CN" altLang="en-US"/>
        </a:p>
      </dgm:t>
    </dgm:pt>
    <dgm:pt modelId="{11242195-EA32-45FD-840F-CD39F26EAFE9}" type="pres">
      <dgm:prSet presAssocID="{A21AE2EE-2B94-4ADA-8402-3B992C650BC4}" presName="root1" presStyleCnt="0"/>
      <dgm:spPr/>
    </dgm:pt>
    <dgm:pt modelId="{AC3703F6-F7E4-48F2-92DE-B1A6EEC6FA70}" type="pres">
      <dgm:prSet presAssocID="{A21AE2EE-2B94-4ADA-8402-3B992C650BC4}" presName="LevelOneTextNode" presStyleLbl="node0" presStyleIdx="0" presStyleCnt="1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4D29BD8F-3601-4E1C-B8D2-61538C35D777}" type="pres">
      <dgm:prSet presAssocID="{A21AE2EE-2B94-4ADA-8402-3B992C650BC4}" presName="level2hierChild" presStyleCnt="0"/>
      <dgm:spPr/>
    </dgm:pt>
    <dgm:pt modelId="{30335224-153D-4474-B8B7-65E255B8B08B}" type="pres">
      <dgm:prSet presAssocID="{06E18F15-08F5-478A-BED1-06EE05C3B192}" presName="conn2-1" presStyleLbl="parChTrans1D2" presStyleIdx="0" presStyleCnt="1"/>
      <dgm:spPr/>
      <dgm:t>
        <a:bodyPr/>
        <a:lstStyle/>
        <a:p>
          <a:endParaRPr lang="zh-CN" altLang="en-US"/>
        </a:p>
      </dgm:t>
    </dgm:pt>
    <dgm:pt modelId="{EBC7B69F-E9C3-4E9C-8A6D-7AB8C3C4F579}" type="pres">
      <dgm:prSet presAssocID="{06E18F15-08F5-478A-BED1-06EE05C3B192}" presName="connTx" presStyleLbl="parChTrans1D2" presStyleIdx="0" presStyleCnt="1"/>
      <dgm:spPr/>
      <dgm:t>
        <a:bodyPr/>
        <a:lstStyle/>
        <a:p>
          <a:endParaRPr lang="zh-CN" altLang="en-US"/>
        </a:p>
      </dgm:t>
    </dgm:pt>
    <dgm:pt modelId="{6106E0DF-5F32-4C0D-ABFC-82DDA6DF8C63}" type="pres">
      <dgm:prSet presAssocID="{326BE1EF-CD38-49AD-AB82-C8A3B683DF74}" presName="root2" presStyleCnt="0"/>
      <dgm:spPr/>
    </dgm:pt>
    <dgm:pt modelId="{50CA8AE9-071A-4598-9085-99007A09C5F4}" type="pres">
      <dgm:prSet presAssocID="{326BE1EF-CD38-49AD-AB82-C8A3B683DF74}" presName="LevelTwoTextNode" presStyleLbl="node2" presStyleIdx="0" presStyleCnt="1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91C91D86-4675-408E-9102-C8C697DBCA23}" type="pres">
      <dgm:prSet presAssocID="{326BE1EF-CD38-49AD-AB82-C8A3B683DF74}" presName="level3hierChild" presStyleCnt="0"/>
      <dgm:spPr/>
    </dgm:pt>
    <dgm:pt modelId="{18862F1C-4BAF-4C50-990D-6CACED0F7E7A}" type="pres">
      <dgm:prSet presAssocID="{845DA9F2-AE93-4CC7-A63E-E62EC1DC118C}" presName="conn2-1" presStyleLbl="parChTrans1D3" presStyleIdx="0" presStyleCnt="4"/>
      <dgm:spPr/>
      <dgm:t>
        <a:bodyPr/>
        <a:lstStyle/>
        <a:p>
          <a:endParaRPr lang="zh-CN" altLang="en-US"/>
        </a:p>
      </dgm:t>
    </dgm:pt>
    <dgm:pt modelId="{20A565E3-FFDF-437D-B87A-66ECB1BC8B00}" type="pres">
      <dgm:prSet presAssocID="{845DA9F2-AE93-4CC7-A63E-E62EC1DC118C}" presName="connTx" presStyleLbl="parChTrans1D3" presStyleIdx="0" presStyleCnt="4"/>
      <dgm:spPr/>
      <dgm:t>
        <a:bodyPr/>
        <a:lstStyle/>
        <a:p>
          <a:endParaRPr lang="zh-CN" altLang="en-US"/>
        </a:p>
      </dgm:t>
    </dgm:pt>
    <dgm:pt modelId="{9FAFA8FA-521D-48FD-A4E3-2FB027B02B89}" type="pres">
      <dgm:prSet presAssocID="{0FD2A8E9-BED9-4E4C-B373-B703AE5B39F5}" presName="root2" presStyleCnt="0"/>
      <dgm:spPr/>
    </dgm:pt>
    <dgm:pt modelId="{AAB7C20D-0501-4DE7-B941-3688F133D71F}" type="pres">
      <dgm:prSet presAssocID="{0FD2A8E9-BED9-4E4C-B373-B703AE5B39F5}" presName="LevelTwoTextNode" presStyleLbl="node3" presStyleIdx="0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A6A2FE4E-CD45-42DF-8047-30F7E4A8B087}" type="pres">
      <dgm:prSet presAssocID="{0FD2A8E9-BED9-4E4C-B373-B703AE5B39F5}" presName="level3hierChild" presStyleCnt="0"/>
      <dgm:spPr/>
    </dgm:pt>
    <dgm:pt modelId="{DDBDF8D9-6DA2-40AD-932F-89D0B0073B95}" type="pres">
      <dgm:prSet presAssocID="{7059AAB4-C694-4C3C-B350-28385867DA71}" presName="conn2-1" presStyleLbl="parChTrans1D4" presStyleIdx="0" presStyleCnt="2"/>
      <dgm:spPr/>
      <dgm:t>
        <a:bodyPr/>
        <a:lstStyle/>
        <a:p>
          <a:endParaRPr lang="zh-CN" altLang="en-US"/>
        </a:p>
      </dgm:t>
    </dgm:pt>
    <dgm:pt modelId="{E8FB0C81-8471-447A-AA6E-AAFFA030E68A}" type="pres">
      <dgm:prSet presAssocID="{7059AAB4-C694-4C3C-B350-28385867DA71}" presName="connTx" presStyleLbl="parChTrans1D4" presStyleIdx="0" presStyleCnt="2"/>
      <dgm:spPr/>
      <dgm:t>
        <a:bodyPr/>
        <a:lstStyle/>
        <a:p>
          <a:endParaRPr lang="zh-CN" altLang="en-US"/>
        </a:p>
      </dgm:t>
    </dgm:pt>
    <dgm:pt modelId="{AF8445A6-FDDC-4E35-9378-5220F5BA9646}" type="pres">
      <dgm:prSet presAssocID="{EAE3D2B6-04F9-4CEF-969A-E1BC842815DF}" presName="root2" presStyleCnt="0"/>
      <dgm:spPr/>
    </dgm:pt>
    <dgm:pt modelId="{721A4258-479B-47AE-B398-101DA019F374}" type="pres">
      <dgm:prSet presAssocID="{EAE3D2B6-04F9-4CEF-969A-E1BC842815DF}" presName="LevelTwoTextNode" presStyleLbl="node4" presStyleIdx="0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EE73D13C-C7B8-4D89-ABA5-00E1DF61F8C9}" type="pres">
      <dgm:prSet presAssocID="{EAE3D2B6-04F9-4CEF-969A-E1BC842815DF}" presName="level3hierChild" presStyleCnt="0"/>
      <dgm:spPr/>
    </dgm:pt>
    <dgm:pt modelId="{F74FF935-34E9-4898-A3A3-9B77336BDA6A}" type="pres">
      <dgm:prSet presAssocID="{FD907807-9B48-4429-B324-76B1E4A061C1}" presName="conn2-1" presStyleLbl="parChTrans1D4" presStyleIdx="1" presStyleCnt="2"/>
      <dgm:spPr/>
      <dgm:t>
        <a:bodyPr/>
        <a:lstStyle/>
        <a:p>
          <a:endParaRPr lang="zh-CN" altLang="en-US"/>
        </a:p>
      </dgm:t>
    </dgm:pt>
    <dgm:pt modelId="{189128E5-27BE-44B8-BE72-DA681D16DE79}" type="pres">
      <dgm:prSet presAssocID="{FD907807-9B48-4429-B324-76B1E4A061C1}" presName="connTx" presStyleLbl="parChTrans1D4" presStyleIdx="1" presStyleCnt="2"/>
      <dgm:spPr/>
      <dgm:t>
        <a:bodyPr/>
        <a:lstStyle/>
        <a:p>
          <a:endParaRPr lang="zh-CN" altLang="en-US"/>
        </a:p>
      </dgm:t>
    </dgm:pt>
    <dgm:pt modelId="{2137A022-0DBA-4FA7-8616-F83D89063762}" type="pres">
      <dgm:prSet presAssocID="{B06978C7-C121-4CAA-B317-FF05D239B7C1}" presName="root2" presStyleCnt="0"/>
      <dgm:spPr/>
    </dgm:pt>
    <dgm:pt modelId="{8805B5B4-CA31-4D06-8C5C-1140A6B13FDB}" type="pres">
      <dgm:prSet presAssocID="{B06978C7-C121-4CAA-B317-FF05D239B7C1}" presName="LevelTwoTextNode" presStyleLbl="node4" presStyleIdx="1" presStyleCnt="2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07D3143-A8EB-412A-AA43-B3B47F27BDC7}" type="pres">
      <dgm:prSet presAssocID="{B06978C7-C121-4CAA-B317-FF05D239B7C1}" presName="level3hierChild" presStyleCnt="0"/>
      <dgm:spPr/>
    </dgm:pt>
    <dgm:pt modelId="{84C56FE7-FBE5-4F3E-AC2C-43BEDC736F03}" type="pres">
      <dgm:prSet presAssocID="{C9E6190C-250B-44FD-89D8-7C4C17FE8F24}" presName="conn2-1" presStyleLbl="parChTrans1D3" presStyleIdx="1" presStyleCnt="4"/>
      <dgm:spPr/>
      <dgm:t>
        <a:bodyPr/>
        <a:lstStyle/>
        <a:p>
          <a:endParaRPr lang="zh-CN" altLang="en-US"/>
        </a:p>
      </dgm:t>
    </dgm:pt>
    <dgm:pt modelId="{E50CB564-3E76-4951-91A7-3DE785F7375C}" type="pres">
      <dgm:prSet presAssocID="{C9E6190C-250B-44FD-89D8-7C4C17FE8F24}" presName="connTx" presStyleLbl="parChTrans1D3" presStyleIdx="1" presStyleCnt="4"/>
      <dgm:spPr/>
      <dgm:t>
        <a:bodyPr/>
        <a:lstStyle/>
        <a:p>
          <a:endParaRPr lang="zh-CN" altLang="en-US"/>
        </a:p>
      </dgm:t>
    </dgm:pt>
    <dgm:pt modelId="{1F099D5D-BCDD-458F-BB88-BDB7796D58D1}" type="pres">
      <dgm:prSet presAssocID="{45685492-FAA1-4ADC-9F6B-9DE2558C3728}" presName="root2" presStyleCnt="0"/>
      <dgm:spPr/>
    </dgm:pt>
    <dgm:pt modelId="{A6453C38-148B-4823-98AF-791A2A20D6FC}" type="pres">
      <dgm:prSet presAssocID="{45685492-FAA1-4ADC-9F6B-9DE2558C3728}" presName="LevelTwoTextNode" presStyleLbl="node3" presStyleIdx="1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2834F934-DEA9-4C24-B858-93B521921356}" type="pres">
      <dgm:prSet presAssocID="{45685492-FAA1-4ADC-9F6B-9DE2558C3728}" presName="level3hierChild" presStyleCnt="0"/>
      <dgm:spPr/>
    </dgm:pt>
    <dgm:pt modelId="{3257853B-723C-4544-B90A-15331D9EDE60}" type="pres">
      <dgm:prSet presAssocID="{8AB46342-DD2E-4E77-827B-6D454C18DBDB}" presName="conn2-1" presStyleLbl="parChTrans1D3" presStyleIdx="2" presStyleCnt="4"/>
      <dgm:spPr/>
      <dgm:t>
        <a:bodyPr/>
        <a:lstStyle/>
        <a:p>
          <a:endParaRPr lang="zh-CN" altLang="en-US"/>
        </a:p>
      </dgm:t>
    </dgm:pt>
    <dgm:pt modelId="{F8B17388-6198-4104-AEE8-4B6DFC9570F4}" type="pres">
      <dgm:prSet presAssocID="{8AB46342-DD2E-4E77-827B-6D454C18DBDB}" presName="connTx" presStyleLbl="parChTrans1D3" presStyleIdx="2" presStyleCnt="4"/>
      <dgm:spPr/>
      <dgm:t>
        <a:bodyPr/>
        <a:lstStyle/>
        <a:p>
          <a:endParaRPr lang="zh-CN" altLang="en-US"/>
        </a:p>
      </dgm:t>
    </dgm:pt>
    <dgm:pt modelId="{191D8C81-E780-4B02-B395-15F1EDC68B27}" type="pres">
      <dgm:prSet presAssocID="{5B596A4D-C849-4E86-9894-5D58056B1565}" presName="root2" presStyleCnt="0"/>
      <dgm:spPr/>
    </dgm:pt>
    <dgm:pt modelId="{ED3D9E9B-8141-435A-A320-32CDDE09FEAC}" type="pres">
      <dgm:prSet presAssocID="{5B596A4D-C849-4E86-9894-5D58056B1565}" presName="LevelTwoTextNode" presStyleLbl="node3" presStyleIdx="2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AB39C1D0-C1C1-4624-AE84-CAB730BDDE16}" type="pres">
      <dgm:prSet presAssocID="{5B596A4D-C849-4E86-9894-5D58056B1565}" presName="level3hierChild" presStyleCnt="0"/>
      <dgm:spPr/>
    </dgm:pt>
    <dgm:pt modelId="{2CAA3D3A-C430-4702-B565-47B548ABBE8C}" type="pres">
      <dgm:prSet presAssocID="{0A41F5D7-1266-41B6-82F0-5C5DCC74D134}" presName="conn2-1" presStyleLbl="parChTrans1D3" presStyleIdx="3" presStyleCnt="4"/>
      <dgm:spPr/>
      <dgm:t>
        <a:bodyPr/>
        <a:lstStyle/>
        <a:p>
          <a:endParaRPr lang="zh-CN" altLang="en-US"/>
        </a:p>
      </dgm:t>
    </dgm:pt>
    <dgm:pt modelId="{3D4A6D3E-3885-498B-9DC0-84ADEE2667DE}" type="pres">
      <dgm:prSet presAssocID="{0A41F5D7-1266-41B6-82F0-5C5DCC74D134}" presName="connTx" presStyleLbl="parChTrans1D3" presStyleIdx="3" presStyleCnt="4"/>
      <dgm:spPr/>
      <dgm:t>
        <a:bodyPr/>
        <a:lstStyle/>
        <a:p>
          <a:endParaRPr lang="zh-CN" altLang="en-US"/>
        </a:p>
      </dgm:t>
    </dgm:pt>
    <dgm:pt modelId="{477C2678-8D88-48CD-ABFD-B8F7002AD502}" type="pres">
      <dgm:prSet presAssocID="{C7EAD322-8D33-4409-AF47-2F1CC5224216}" presName="root2" presStyleCnt="0"/>
      <dgm:spPr/>
    </dgm:pt>
    <dgm:pt modelId="{29A06E6E-22D3-4B5C-8ABA-4BC77578D947}" type="pres">
      <dgm:prSet presAssocID="{C7EAD322-8D33-4409-AF47-2F1CC5224216}" presName="LevelTwoTextNode" presStyleLbl="node3" presStyleIdx="3" presStyleCnt="4">
        <dgm:presLayoutVars>
          <dgm:chPref val="3"/>
        </dgm:presLayoutVars>
      </dgm:prSet>
      <dgm:spPr/>
      <dgm:t>
        <a:bodyPr/>
        <a:lstStyle/>
        <a:p>
          <a:endParaRPr lang="zh-CN" altLang="en-US"/>
        </a:p>
      </dgm:t>
    </dgm:pt>
    <dgm:pt modelId="{B01708E7-0A44-4D71-AC08-F63640886D2A}" type="pres">
      <dgm:prSet presAssocID="{C7EAD322-8D33-4409-AF47-2F1CC5224216}" presName="level3hierChild" presStyleCnt="0"/>
      <dgm:spPr/>
    </dgm:pt>
  </dgm:ptLst>
  <dgm:cxnLst>
    <dgm:cxn modelId="{2B0385B6-0A57-4617-A877-7B55814131C6}" type="presOf" srcId="{7059AAB4-C694-4C3C-B350-28385867DA71}" destId="{E8FB0C81-8471-447A-AA6E-AAFFA030E68A}" srcOrd="1" destOrd="0" presId="urn:microsoft.com/office/officeart/2008/layout/HorizontalMultiLevelHierarchy"/>
    <dgm:cxn modelId="{6154045A-6738-45FF-863D-0F9A6A1038DB}" srcId="{A21AE2EE-2B94-4ADA-8402-3B992C650BC4}" destId="{326BE1EF-CD38-49AD-AB82-C8A3B683DF74}" srcOrd="0" destOrd="0" parTransId="{06E18F15-08F5-478A-BED1-06EE05C3B192}" sibTransId="{B29D375F-34D7-4BF7-9FFF-03AFD9B1D5D2}"/>
    <dgm:cxn modelId="{649132CE-5FD5-4481-95D1-A776B8677B0C}" type="presOf" srcId="{A21AE2EE-2B94-4ADA-8402-3B992C650BC4}" destId="{AC3703F6-F7E4-48F2-92DE-B1A6EEC6FA70}" srcOrd="0" destOrd="0" presId="urn:microsoft.com/office/officeart/2008/layout/HorizontalMultiLevelHierarchy"/>
    <dgm:cxn modelId="{4849E3D1-3C4B-40E9-BDD5-E3C2C9A626DB}" srcId="{326BE1EF-CD38-49AD-AB82-C8A3B683DF74}" destId="{0FD2A8E9-BED9-4E4C-B373-B703AE5B39F5}" srcOrd="0" destOrd="0" parTransId="{845DA9F2-AE93-4CC7-A63E-E62EC1DC118C}" sibTransId="{993E8CA4-EFF1-464A-8D4A-7455CFF1A271}"/>
    <dgm:cxn modelId="{998E07A0-FA29-41E0-A145-1753F7B4DC4A}" type="presOf" srcId="{C9E6190C-250B-44FD-89D8-7C4C17FE8F24}" destId="{84C56FE7-FBE5-4F3E-AC2C-43BEDC736F03}" srcOrd="0" destOrd="0" presId="urn:microsoft.com/office/officeart/2008/layout/HorizontalMultiLevelHierarchy"/>
    <dgm:cxn modelId="{AEAD0903-C67A-4B67-9315-195902F2542B}" srcId="{0FD2A8E9-BED9-4E4C-B373-B703AE5B39F5}" destId="{EAE3D2B6-04F9-4CEF-969A-E1BC842815DF}" srcOrd="0" destOrd="0" parTransId="{7059AAB4-C694-4C3C-B350-28385867DA71}" sibTransId="{82425B42-C7BF-4588-B260-D24A31DF93AE}"/>
    <dgm:cxn modelId="{0AD95AFE-13AB-4C55-B0B8-AC46FB24CAC1}" type="presOf" srcId="{06E18F15-08F5-478A-BED1-06EE05C3B192}" destId="{EBC7B69F-E9C3-4E9C-8A6D-7AB8C3C4F579}" srcOrd="1" destOrd="0" presId="urn:microsoft.com/office/officeart/2008/layout/HorizontalMultiLevelHierarchy"/>
    <dgm:cxn modelId="{43662544-FD81-4649-BA9B-C031B33A9940}" type="presOf" srcId="{EAE3D2B6-04F9-4CEF-969A-E1BC842815DF}" destId="{721A4258-479B-47AE-B398-101DA019F374}" srcOrd="0" destOrd="0" presId="urn:microsoft.com/office/officeart/2008/layout/HorizontalMultiLevelHierarchy"/>
    <dgm:cxn modelId="{0BEEC0BC-8F26-4C2A-BC07-68778030179F}" srcId="{326BE1EF-CD38-49AD-AB82-C8A3B683DF74}" destId="{45685492-FAA1-4ADC-9F6B-9DE2558C3728}" srcOrd="1" destOrd="0" parTransId="{C9E6190C-250B-44FD-89D8-7C4C17FE8F24}" sibTransId="{2ACBB15C-B721-44D2-8187-3BC433AA3551}"/>
    <dgm:cxn modelId="{1BC7E04B-BB3D-466F-AC14-4629219DFD4F}" srcId="{326BE1EF-CD38-49AD-AB82-C8A3B683DF74}" destId="{C7EAD322-8D33-4409-AF47-2F1CC5224216}" srcOrd="3" destOrd="0" parTransId="{0A41F5D7-1266-41B6-82F0-5C5DCC74D134}" sibTransId="{FB502EE2-548A-4937-8E7F-770C64EF7895}"/>
    <dgm:cxn modelId="{FFD188AF-B365-4FA8-BB9C-AEF8BACBBEA8}" type="presOf" srcId="{0A41F5D7-1266-41B6-82F0-5C5DCC74D134}" destId="{3D4A6D3E-3885-498B-9DC0-84ADEE2667DE}" srcOrd="1" destOrd="0" presId="urn:microsoft.com/office/officeart/2008/layout/HorizontalMultiLevelHierarchy"/>
    <dgm:cxn modelId="{396E7DA1-6DEA-4551-B717-452203BC38A2}" type="presOf" srcId="{0FD2A8E9-BED9-4E4C-B373-B703AE5B39F5}" destId="{AAB7C20D-0501-4DE7-B941-3688F133D71F}" srcOrd="0" destOrd="0" presId="urn:microsoft.com/office/officeart/2008/layout/HorizontalMultiLevelHierarchy"/>
    <dgm:cxn modelId="{B71978D4-AFDD-4950-894A-4C5D2C2E446A}" type="presOf" srcId="{5B596A4D-C849-4E86-9894-5D58056B1565}" destId="{ED3D9E9B-8141-435A-A320-32CDDE09FEAC}" srcOrd="0" destOrd="0" presId="urn:microsoft.com/office/officeart/2008/layout/HorizontalMultiLevelHierarchy"/>
    <dgm:cxn modelId="{7255FEB4-B4FA-4B94-909B-693D87EC39A7}" type="presOf" srcId="{326BE1EF-CD38-49AD-AB82-C8A3B683DF74}" destId="{50CA8AE9-071A-4598-9085-99007A09C5F4}" srcOrd="0" destOrd="0" presId="urn:microsoft.com/office/officeart/2008/layout/HorizontalMultiLevelHierarchy"/>
    <dgm:cxn modelId="{BEC3F38A-FBBD-48FD-B2B4-33F010B31DD5}" srcId="{0FD2A8E9-BED9-4E4C-B373-B703AE5B39F5}" destId="{B06978C7-C121-4CAA-B317-FF05D239B7C1}" srcOrd="1" destOrd="0" parTransId="{FD907807-9B48-4429-B324-76B1E4A061C1}" sibTransId="{CFE6022C-B59B-4759-BFAB-9C85D942423F}"/>
    <dgm:cxn modelId="{AA869E3C-7484-4E24-A196-7552E0400429}" type="presOf" srcId="{845DA9F2-AE93-4CC7-A63E-E62EC1DC118C}" destId="{20A565E3-FFDF-437D-B87A-66ECB1BC8B00}" srcOrd="1" destOrd="0" presId="urn:microsoft.com/office/officeart/2008/layout/HorizontalMultiLevelHierarchy"/>
    <dgm:cxn modelId="{9DDFCBD6-79D1-4D93-A9F2-B5ADC7FC7D15}" type="presOf" srcId="{F76F5FFD-39E5-4DC9-88C3-A03EBCF9D140}" destId="{9CE95D2A-F640-43DF-A033-A73F48AD650D}" srcOrd="0" destOrd="0" presId="urn:microsoft.com/office/officeart/2008/layout/HorizontalMultiLevelHierarchy"/>
    <dgm:cxn modelId="{68390D72-CF8B-4F54-A013-84A39A096397}" type="presOf" srcId="{B06978C7-C121-4CAA-B317-FF05D239B7C1}" destId="{8805B5B4-CA31-4D06-8C5C-1140A6B13FDB}" srcOrd="0" destOrd="0" presId="urn:microsoft.com/office/officeart/2008/layout/HorizontalMultiLevelHierarchy"/>
    <dgm:cxn modelId="{E578FC1A-8031-4021-BD27-6B6824C998F5}" type="presOf" srcId="{06E18F15-08F5-478A-BED1-06EE05C3B192}" destId="{30335224-153D-4474-B8B7-65E255B8B08B}" srcOrd="0" destOrd="0" presId="urn:microsoft.com/office/officeart/2008/layout/HorizontalMultiLevelHierarchy"/>
    <dgm:cxn modelId="{1D10DB69-5017-45AF-967A-81BC2123FF86}" type="presOf" srcId="{8AB46342-DD2E-4E77-827B-6D454C18DBDB}" destId="{3257853B-723C-4544-B90A-15331D9EDE60}" srcOrd="0" destOrd="0" presId="urn:microsoft.com/office/officeart/2008/layout/HorizontalMultiLevelHierarchy"/>
    <dgm:cxn modelId="{A74A64C0-A1B1-494E-B746-B5789EA8D58B}" type="presOf" srcId="{8AB46342-DD2E-4E77-827B-6D454C18DBDB}" destId="{F8B17388-6198-4104-AEE8-4B6DFC9570F4}" srcOrd="1" destOrd="0" presId="urn:microsoft.com/office/officeart/2008/layout/HorizontalMultiLevelHierarchy"/>
    <dgm:cxn modelId="{264A01B8-6A7E-44D4-B5D0-DA9A8A4450AB}" type="presOf" srcId="{845DA9F2-AE93-4CC7-A63E-E62EC1DC118C}" destId="{18862F1C-4BAF-4C50-990D-6CACED0F7E7A}" srcOrd="0" destOrd="0" presId="urn:microsoft.com/office/officeart/2008/layout/HorizontalMultiLevelHierarchy"/>
    <dgm:cxn modelId="{1211499C-D45B-4C3E-A5B8-47D9263531B4}" srcId="{F76F5FFD-39E5-4DC9-88C3-A03EBCF9D140}" destId="{A21AE2EE-2B94-4ADA-8402-3B992C650BC4}" srcOrd="0" destOrd="0" parTransId="{77AE4298-F60B-44CE-9977-1C877A9D86CA}" sibTransId="{3E048DBF-7DFA-4DC0-B263-F01B7971DC60}"/>
    <dgm:cxn modelId="{3F37086E-C8AA-456C-BF4F-D7D420574EF3}" type="presOf" srcId="{45685492-FAA1-4ADC-9F6B-9DE2558C3728}" destId="{A6453C38-148B-4823-98AF-791A2A20D6FC}" srcOrd="0" destOrd="0" presId="urn:microsoft.com/office/officeart/2008/layout/HorizontalMultiLevelHierarchy"/>
    <dgm:cxn modelId="{FBA40850-8019-48E9-BD40-256AE60EAC5B}" type="presOf" srcId="{0A41F5D7-1266-41B6-82F0-5C5DCC74D134}" destId="{2CAA3D3A-C430-4702-B565-47B548ABBE8C}" srcOrd="0" destOrd="0" presId="urn:microsoft.com/office/officeart/2008/layout/HorizontalMultiLevelHierarchy"/>
    <dgm:cxn modelId="{85E7756A-1323-4A84-845C-98B01A5F1ABD}" type="presOf" srcId="{C7EAD322-8D33-4409-AF47-2F1CC5224216}" destId="{29A06E6E-22D3-4B5C-8ABA-4BC77578D947}" srcOrd="0" destOrd="0" presId="urn:microsoft.com/office/officeart/2008/layout/HorizontalMultiLevelHierarchy"/>
    <dgm:cxn modelId="{636EF323-A4DC-44D4-B0E4-A8EBE8401D16}" type="presOf" srcId="{FD907807-9B48-4429-B324-76B1E4A061C1}" destId="{F74FF935-34E9-4898-A3A3-9B77336BDA6A}" srcOrd="0" destOrd="0" presId="urn:microsoft.com/office/officeart/2008/layout/HorizontalMultiLevelHierarchy"/>
    <dgm:cxn modelId="{52D96C29-2C65-4CE6-BF38-B4F711DCC3A2}" type="presOf" srcId="{7059AAB4-C694-4C3C-B350-28385867DA71}" destId="{DDBDF8D9-6DA2-40AD-932F-89D0B0073B95}" srcOrd="0" destOrd="0" presId="urn:microsoft.com/office/officeart/2008/layout/HorizontalMultiLevelHierarchy"/>
    <dgm:cxn modelId="{F430C8C0-E6E8-4219-8988-DCD3A4741DC1}" srcId="{326BE1EF-CD38-49AD-AB82-C8A3B683DF74}" destId="{5B596A4D-C849-4E86-9894-5D58056B1565}" srcOrd="2" destOrd="0" parTransId="{8AB46342-DD2E-4E77-827B-6D454C18DBDB}" sibTransId="{E63DB486-6167-4F57-A30E-9CA6C53660FC}"/>
    <dgm:cxn modelId="{A13FFF71-21D9-401C-B105-D38B2F4C7232}" type="presOf" srcId="{C9E6190C-250B-44FD-89D8-7C4C17FE8F24}" destId="{E50CB564-3E76-4951-91A7-3DE785F7375C}" srcOrd="1" destOrd="0" presId="urn:microsoft.com/office/officeart/2008/layout/HorizontalMultiLevelHierarchy"/>
    <dgm:cxn modelId="{5C4A84FF-01B6-495E-8B6E-E3467F614C9E}" type="presOf" srcId="{FD907807-9B48-4429-B324-76B1E4A061C1}" destId="{189128E5-27BE-44B8-BE72-DA681D16DE79}" srcOrd="1" destOrd="0" presId="urn:microsoft.com/office/officeart/2008/layout/HorizontalMultiLevelHierarchy"/>
    <dgm:cxn modelId="{8B1F7CC2-46F8-4EF6-BED3-0BFFF6BEE2FE}" type="presParOf" srcId="{9CE95D2A-F640-43DF-A033-A73F48AD650D}" destId="{11242195-EA32-45FD-840F-CD39F26EAFE9}" srcOrd="0" destOrd="0" presId="urn:microsoft.com/office/officeart/2008/layout/HorizontalMultiLevelHierarchy"/>
    <dgm:cxn modelId="{1583C30F-578F-42AC-B346-C94A3F1CF6A4}" type="presParOf" srcId="{11242195-EA32-45FD-840F-CD39F26EAFE9}" destId="{AC3703F6-F7E4-48F2-92DE-B1A6EEC6FA70}" srcOrd="0" destOrd="0" presId="urn:microsoft.com/office/officeart/2008/layout/HorizontalMultiLevelHierarchy"/>
    <dgm:cxn modelId="{531446EF-9956-4E8B-87DC-566B00B33EA7}" type="presParOf" srcId="{11242195-EA32-45FD-840F-CD39F26EAFE9}" destId="{4D29BD8F-3601-4E1C-B8D2-61538C35D777}" srcOrd="1" destOrd="0" presId="urn:microsoft.com/office/officeart/2008/layout/HorizontalMultiLevelHierarchy"/>
    <dgm:cxn modelId="{162A657A-C18A-4126-A757-4AC6E50DDB79}" type="presParOf" srcId="{4D29BD8F-3601-4E1C-B8D2-61538C35D777}" destId="{30335224-153D-4474-B8B7-65E255B8B08B}" srcOrd="0" destOrd="0" presId="urn:microsoft.com/office/officeart/2008/layout/HorizontalMultiLevelHierarchy"/>
    <dgm:cxn modelId="{97C7315B-7CE9-46B9-B638-4D6343D3DCD8}" type="presParOf" srcId="{30335224-153D-4474-B8B7-65E255B8B08B}" destId="{EBC7B69F-E9C3-4E9C-8A6D-7AB8C3C4F579}" srcOrd="0" destOrd="0" presId="urn:microsoft.com/office/officeart/2008/layout/HorizontalMultiLevelHierarchy"/>
    <dgm:cxn modelId="{0CF3F8FB-B314-4440-A29D-4949F74B3314}" type="presParOf" srcId="{4D29BD8F-3601-4E1C-B8D2-61538C35D777}" destId="{6106E0DF-5F32-4C0D-ABFC-82DDA6DF8C63}" srcOrd="1" destOrd="0" presId="urn:microsoft.com/office/officeart/2008/layout/HorizontalMultiLevelHierarchy"/>
    <dgm:cxn modelId="{933907FD-4C84-4B4E-A19E-C0BE775CAAAB}" type="presParOf" srcId="{6106E0DF-5F32-4C0D-ABFC-82DDA6DF8C63}" destId="{50CA8AE9-071A-4598-9085-99007A09C5F4}" srcOrd="0" destOrd="0" presId="urn:microsoft.com/office/officeart/2008/layout/HorizontalMultiLevelHierarchy"/>
    <dgm:cxn modelId="{2946DF4D-6110-4E65-A353-8E804CC7A173}" type="presParOf" srcId="{6106E0DF-5F32-4C0D-ABFC-82DDA6DF8C63}" destId="{91C91D86-4675-408E-9102-C8C697DBCA23}" srcOrd="1" destOrd="0" presId="urn:microsoft.com/office/officeart/2008/layout/HorizontalMultiLevelHierarchy"/>
    <dgm:cxn modelId="{ADA9ABE0-4BD3-4F83-943B-605760F32851}" type="presParOf" srcId="{91C91D86-4675-408E-9102-C8C697DBCA23}" destId="{18862F1C-4BAF-4C50-990D-6CACED0F7E7A}" srcOrd="0" destOrd="0" presId="urn:microsoft.com/office/officeart/2008/layout/HorizontalMultiLevelHierarchy"/>
    <dgm:cxn modelId="{FE2335B8-44BF-4E3B-963B-032133F6B484}" type="presParOf" srcId="{18862F1C-4BAF-4C50-990D-6CACED0F7E7A}" destId="{20A565E3-FFDF-437D-B87A-66ECB1BC8B00}" srcOrd="0" destOrd="0" presId="urn:microsoft.com/office/officeart/2008/layout/HorizontalMultiLevelHierarchy"/>
    <dgm:cxn modelId="{80E68DFE-7E6E-49EE-9559-18F4807BD973}" type="presParOf" srcId="{91C91D86-4675-408E-9102-C8C697DBCA23}" destId="{9FAFA8FA-521D-48FD-A4E3-2FB027B02B89}" srcOrd="1" destOrd="0" presId="urn:microsoft.com/office/officeart/2008/layout/HorizontalMultiLevelHierarchy"/>
    <dgm:cxn modelId="{2EAA70B7-1F0C-40AB-90A3-3100AAA7C240}" type="presParOf" srcId="{9FAFA8FA-521D-48FD-A4E3-2FB027B02B89}" destId="{AAB7C20D-0501-4DE7-B941-3688F133D71F}" srcOrd="0" destOrd="0" presId="urn:microsoft.com/office/officeart/2008/layout/HorizontalMultiLevelHierarchy"/>
    <dgm:cxn modelId="{9DC55863-E4AA-48AB-A7F0-8C6522C42C9A}" type="presParOf" srcId="{9FAFA8FA-521D-48FD-A4E3-2FB027B02B89}" destId="{A6A2FE4E-CD45-42DF-8047-30F7E4A8B087}" srcOrd="1" destOrd="0" presId="urn:microsoft.com/office/officeart/2008/layout/HorizontalMultiLevelHierarchy"/>
    <dgm:cxn modelId="{BBEF7C9F-0DAB-4183-9694-80E8A3640B48}" type="presParOf" srcId="{A6A2FE4E-CD45-42DF-8047-30F7E4A8B087}" destId="{DDBDF8D9-6DA2-40AD-932F-89D0B0073B95}" srcOrd="0" destOrd="0" presId="urn:microsoft.com/office/officeart/2008/layout/HorizontalMultiLevelHierarchy"/>
    <dgm:cxn modelId="{56382F6B-8C6B-455A-9742-C0A79EC57AF9}" type="presParOf" srcId="{DDBDF8D9-6DA2-40AD-932F-89D0B0073B95}" destId="{E8FB0C81-8471-447A-AA6E-AAFFA030E68A}" srcOrd="0" destOrd="0" presId="urn:microsoft.com/office/officeart/2008/layout/HorizontalMultiLevelHierarchy"/>
    <dgm:cxn modelId="{2988016D-ACDA-41BF-BA64-8174CCB7A808}" type="presParOf" srcId="{A6A2FE4E-CD45-42DF-8047-30F7E4A8B087}" destId="{AF8445A6-FDDC-4E35-9378-5220F5BA9646}" srcOrd="1" destOrd="0" presId="urn:microsoft.com/office/officeart/2008/layout/HorizontalMultiLevelHierarchy"/>
    <dgm:cxn modelId="{F480A03B-D5B6-48B2-BB8F-EB0C9E9A8D2E}" type="presParOf" srcId="{AF8445A6-FDDC-4E35-9378-5220F5BA9646}" destId="{721A4258-479B-47AE-B398-101DA019F374}" srcOrd="0" destOrd="0" presId="urn:microsoft.com/office/officeart/2008/layout/HorizontalMultiLevelHierarchy"/>
    <dgm:cxn modelId="{BF10F52B-AC73-4266-802E-15C6D88BF0D8}" type="presParOf" srcId="{AF8445A6-FDDC-4E35-9378-5220F5BA9646}" destId="{EE73D13C-C7B8-4D89-ABA5-00E1DF61F8C9}" srcOrd="1" destOrd="0" presId="urn:microsoft.com/office/officeart/2008/layout/HorizontalMultiLevelHierarchy"/>
    <dgm:cxn modelId="{05C88161-5F22-49EC-B746-32FA1682A4F7}" type="presParOf" srcId="{A6A2FE4E-CD45-42DF-8047-30F7E4A8B087}" destId="{F74FF935-34E9-4898-A3A3-9B77336BDA6A}" srcOrd="2" destOrd="0" presId="urn:microsoft.com/office/officeart/2008/layout/HorizontalMultiLevelHierarchy"/>
    <dgm:cxn modelId="{57CBBB35-18EC-4BA1-B573-75B8C976974D}" type="presParOf" srcId="{F74FF935-34E9-4898-A3A3-9B77336BDA6A}" destId="{189128E5-27BE-44B8-BE72-DA681D16DE79}" srcOrd="0" destOrd="0" presId="urn:microsoft.com/office/officeart/2008/layout/HorizontalMultiLevelHierarchy"/>
    <dgm:cxn modelId="{5B4641DC-927B-4C5D-8A8C-021C66978BEE}" type="presParOf" srcId="{A6A2FE4E-CD45-42DF-8047-30F7E4A8B087}" destId="{2137A022-0DBA-4FA7-8616-F83D89063762}" srcOrd="3" destOrd="0" presId="urn:microsoft.com/office/officeart/2008/layout/HorizontalMultiLevelHierarchy"/>
    <dgm:cxn modelId="{28D7ECCF-ECB5-4A8F-A9F9-80B0FA02CE7D}" type="presParOf" srcId="{2137A022-0DBA-4FA7-8616-F83D89063762}" destId="{8805B5B4-CA31-4D06-8C5C-1140A6B13FDB}" srcOrd="0" destOrd="0" presId="urn:microsoft.com/office/officeart/2008/layout/HorizontalMultiLevelHierarchy"/>
    <dgm:cxn modelId="{56BDB881-BA4D-45E3-AAD5-5A676EBA95DA}" type="presParOf" srcId="{2137A022-0DBA-4FA7-8616-F83D89063762}" destId="{B07D3143-A8EB-412A-AA43-B3B47F27BDC7}" srcOrd="1" destOrd="0" presId="urn:microsoft.com/office/officeart/2008/layout/HorizontalMultiLevelHierarchy"/>
    <dgm:cxn modelId="{64AB4CA8-6D53-4E69-A9BB-4568C1486C30}" type="presParOf" srcId="{91C91D86-4675-408E-9102-C8C697DBCA23}" destId="{84C56FE7-FBE5-4F3E-AC2C-43BEDC736F03}" srcOrd="2" destOrd="0" presId="urn:microsoft.com/office/officeart/2008/layout/HorizontalMultiLevelHierarchy"/>
    <dgm:cxn modelId="{F874F0EF-823E-4622-8A80-54534FFF3C91}" type="presParOf" srcId="{84C56FE7-FBE5-4F3E-AC2C-43BEDC736F03}" destId="{E50CB564-3E76-4951-91A7-3DE785F7375C}" srcOrd="0" destOrd="0" presId="urn:microsoft.com/office/officeart/2008/layout/HorizontalMultiLevelHierarchy"/>
    <dgm:cxn modelId="{4E130206-CD4D-44A3-80CA-E5E3F3B2367B}" type="presParOf" srcId="{91C91D86-4675-408E-9102-C8C697DBCA23}" destId="{1F099D5D-BCDD-458F-BB88-BDB7796D58D1}" srcOrd="3" destOrd="0" presId="urn:microsoft.com/office/officeart/2008/layout/HorizontalMultiLevelHierarchy"/>
    <dgm:cxn modelId="{5C95E55B-D27E-4A51-8294-AD749D36B653}" type="presParOf" srcId="{1F099D5D-BCDD-458F-BB88-BDB7796D58D1}" destId="{A6453C38-148B-4823-98AF-791A2A20D6FC}" srcOrd="0" destOrd="0" presId="urn:microsoft.com/office/officeart/2008/layout/HorizontalMultiLevelHierarchy"/>
    <dgm:cxn modelId="{F55A6280-FC67-40CB-A49B-D50337934F12}" type="presParOf" srcId="{1F099D5D-BCDD-458F-BB88-BDB7796D58D1}" destId="{2834F934-DEA9-4C24-B858-93B521921356}" srcOrd="1" destOrd="0" presId="urn:microsoft.com/office/officeart/2008/layout/HorizontalMultiLevelHierarchy"/>
    <dgm:cxn modelId="{CAD28591-0826-47D6-BDDF-5EC51BC239B6}" type="presParOf" srcId="{91C91D86-4675-408E-9102-C8C697DBCA23}" destId="{3257853B-723C-4544-B90A-15331D9EDE60}" srcOrd="4" destOrd="0" presId="urn:microsoft.com/office/officeart/2008/layout/HorizontalMultiLevelHierarchy"/>
    <dgm:cxn modelId="{6CD91623-13F2-4954-9201-FB55B7211EF1}" type="presParOf" srcId="{3257853B-723C-4544-B90A-15331D9EDE60}" destId="{F8B17388-6198-4104-AEE8-4B6DFC9570F4}" srcOrd="0" destOrd="0" presId="urn:microsoft.com/office/officeart/2008/layout/HorizontalMultiLevelHierarchy"/>
    <dgm:cxn modelId="{244EDDDA-0B53-482E-A1CC-254C3A963874}" type="presParOf" srcId="{91C91D86-4675-408E-9102-C8C697DBCA23}" destId="{191D8C81-E780-4B02-B395-15F1EDC68B27}" srcOrd="5" destOrd="0" presId="urn:microsoft.com/office/officeart/2008/layout/HorizontalMultiLevelHierarchy"/>
    <dgm:cxn modelId="{09CD9D44-5B76-46DC-B81A-8D6E281FC03B}" type="presParOf" srcId="{191D8C81-E780-4B02-B395-15F1EDC68B27}" destId="{ED3D9E9B-8141-435A-A320-32CDDE09FEAC}" srcOrd="0" destOrd="0" presId="urn:microsoft.com/office/officeart/2008/layout/HorizontalMultiLevelHierarchy"/>
    <dgm:cxn modelId="{E27B7BEB-B383-4860-B8F8-BE7DFC9FC086}" type="presParOf" srcId="{191D8C81-E780-4B02-B395-15F1EDC68B27}" destId="{AB39C1D0-C1C1-4624-AE84-CAB730BDDE16}" srcOrd="1" destOrd="0" presId="urn:microsoft.com/office/officeart/2008/layout/HorizontalMultiLevelHierarchy"/>
    <dgm:cxn modelId="{35480A23-4106-4D75-A8BB-3A05C7BB795D}" type="presParOf" srcId="{91C91D86-4675-408E-9102-C8C697DBCA23}" destId="{2CAA3D3A-C430-4702-B565-47B548ABBE8C}" srcOrd="6" destOrd="0" presId="urn:microsoft.com/office/officeart/2008/layout/HorizontalMultiLevelHierarchy"/>
    <dgm:cxn modelId="{079857FA-A51D-4B7B-B02B-91F00103F60B}" type="presParOf" srcId="{2CAA3D3A-C430-4702-B565-47B548ABBE8C}" destId="{3D4A6D3E-3885-498B-9DC0-84ADEE2667DE}" srcOrd="0" destOrd="0" presId="urn:microsoft.com/office/officeart/2008/layout/HorizontalMultiLevelHierarchy"/>
    <dgm:cxn modelId="{18EE38CF-E17A-473B-8A65-771E887EC199}" type="presParOf" srcId="{91C91D86-4675-408E-9102-C8C697DBCA23}" destId="{477C2678-8D88-48CD-ABFD-B8F7002AD502}" srcOrd="7" destOrd="0" presId="urn:microsoft.com/office/officeart/2008/layout/HorizontalMultiLevelHierarchy"/>
    <dgm:cxn modelId="{7174EF89-DF53-4FA3-A109-9416A5BD3D23}" type="presParOf" srcId="{477C2678-8D88-48CD-ABFD-B8F7002AD502}" destId="{29A06E6E-22D3-4B5C-8ABA-4BC77578D947}" srcOrd="0" destOrd="0" presId="urn:microsoft.com/office/officeart/2008/layout/HorizontalMultiLevelHierarchy"/>
    <dgm:cxn modelId="{74ABB141-90A2-41DA-A5B8-EAB523ED8635}" type="presParOf" srcId="{477C2678-8D88-48CD-ABFD-B8F7002AD502}" destId="{B01708E7-0A44-4D71-AC08-F63640886D2A}" srcOrd="1" destOrd="0" presId="urn:microsoft.com/office/officeart/2008/layout/HorizontalMultiLevelHierarchy"/>
  </dgm:cxnLst>
  <dgm:bg/>
  <dgm:whole/>
  <dgm:extLst>
    <a:ext uri="http://schemas.microsoft.com/office/drawing/2008/diagram">
      <dsp:dataModelExt xmlns:dsp="http://schemas.microsoft.com/office/drawing/2008/diagram" relId="rId1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HorizontalMultiLevelHierarchy">
  <dgm:title val=""/>
  <dgm:desc val=""/>
  <dgm:catLst>
    <dgm:cat type="hierarchy" pri="46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 val="exact"/>
    </dgm:varLst>
    <dgm:choose name="Name1">
      <dgm:if name="Name2" func="var" arg="dir" op="equ" val="norm">
        <dgm:alg type="hierChild">
          <dgm:param type="linDir" val="fromT"/>
          <dgm:param type="chAlign" val="l"/>
        </dgm:alg>
      </dgm:if>
      <dgm:else name="Name3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forName="LevelOneTextNode" refType="h"/>
      <dgm:constr type="w" for="des" forName="LevelOneTextNode" refType="h" refFor="des" refForName="LevelOneTextNode" fact="0.19"/>
      <dgm:constr type="h" for="des" forName="LevelTwoTextNode" refType="w" refFor="des" refForName="LevelOneTextNode"/>
      <dgm:constr type="w" for="des" forName="LevelTwoTextNode" refType="h" refFor="des" refForName="LevelTwoTextNode" fact="3.28"/>
      <dgm:constr type="sibSp" refType="h" refFor="des" refForName="LevelTwoTextNode" op="equ" fact="0.25"/>
      <dgm:constr type="sibSp" for="des" forName="level2hierChild" refType="h" refFor="des" refForName="LevelTwoTextNode" op="equ" fact="0.25"/>
      <dgm:constr type="sibSp" for="des" forName="level3hierChild" refType="h" refFor="des" refForName="LevelTwoTextNode" op="equ" fact="0.25"/>
      <dgm:constr type="sp" for="des" forName="root1" refType="w" refFor="des" refForName="LevelTwoTextNode" fact="0.2"/>
      <dgm:constr type="sp" for="des" forName="root2" refType="sp" refFor="des" refForName="root1" op="equ"/>
      <dgm:constr type="primFontSz" for="des" forName="LevelOneTextNode" op="equ" val="65"/>
      <dgm:constr type="primFontSz" for="des" forName="LevelTwoTextNode" op="equ" val="65"/>
      <dgm:constr type="primFontSz" for="des" forName="LevelTwoTextNode" refType="primFontSz" refFor="des" refForName="LevelOneTextNode" op="lte"/>
      <dgm:constr type="primFontSz" for="des" forName="connTx" op="equ" val="50"/>
      <dgm:constr type="primFontSz" for="des" forName="connTx" refType="primFontSz" refFor="des" refForName="LevelOneTextNode" op="lte" fact="0.78"/>
    </dgm:constrLst>
    <dgm:forEach name="Name4" axis="ch">
      <dgm:forEach name="Name5" axis="self" ptType="node">
        <dgm:layoutNode name="root1">
          <dgm:choose name="Name6">
            <dgm:if name="Name7" func="var" arg="dir" op="equ" val="norm">
              <dgm:alg type="hierRoot">
                <dgm:param type="hierAlign" val="lCtrCh"/>
              </dgm:alg>
            </dgm:if>
            <dgm:else name="Name8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layoutNode name="LevelOneTextNode" styleLbl="node0">
            <dgm:varLst>
              <dgm:chPref val="3"/>
            </dgm:varLst>
            <dgm:alg type="tx">
              <dgm:param type="autoTxRot" val="grav"/>
            </dgm:alg>
            <dgm:choose name="Name9">
              <dgm:if name="Name10" func="var" arg="dir" op="equ" val="norm">
                <dgm:shape xmlns:r="http://schemas.openxmlformats.org/officeDocument/2006/relationships" rot="270" type="rect" r:blip="">
                  <dgm:adjLst/>
                </dgm:shape>
              </dgm:if>
              <dgm:else name="Name11">
                <dgm:shape xmlns:r="http://schemas.openxmlformats.org/officeDocument/2006/relationships" rot="90" type="rect" r:blip="">
                  <dgm:adjLst/>
                </dgm:shape>
              </dgm:else>
            </dgm:choos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2" fact="NaN" max="NaN"/>
            </dgm:ruleLst>
          </dgm:layoutNode>
          <dgm:layoutNode name="level2hierChild">
            <dgm:choose name="Name12">
              <dgm:if name="Name13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4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eat" axis="ch">
              <dgm:forEach name="Name15" axis="self" ptType="parTrans" cnt="1">
                <dgm:layoutNode name="conn2-1">
                  <dgm:choose name="Name16">
                    <dgm:if name="Name17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  <dgm:param type="connRout" val="bend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9" axis="self" ptType="node">
                <dgm:layoutNode name="root2">
                  <dgm:choose name="Name20">
                    <dgm:if name="Name21" func="var" arg="dir" op="equ" val="norm">
                      <dgm:alg type="hierRoot">
                        <dgm:param type="hierAlign" val="lCtrCh"/>
                      </dgm:alg>
                    </dgm:if>
                    <dgm:else name="Name22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2" fact="NaN" max="NaN"/>
                    </dgm:ruleLst>
                  </dgm:layoutNode>
                  <dgm:layoutNode name="level3hierChild">
                    <dgm:choose name="Name23">
                      <dgm:if name="Name24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5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forEach name="Name26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8/layout/HorizontalMultiLevelHierarchy">
  <dgm:title val=""/>
  <dgm:desc val=""/>
  <dgm:catLst>
    <dgm:cat type="hierarchy" pri="46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 val="exact"/>
    </dgm:varLst>
    <dgm:choose name="Name1">
      <dgm:if name="Name2" func="var" arg="dir" op="equ" val="norm">
        <dgm:alg type="hierChild">
          <dgm:param type="linDir" val="fromT"/>
          <dgm:param type="chAlign" val="l"/>
        </dgm:alg>
      </dgm:if>
      <dgm:else name="Name3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forName="LevelOneTextNode" refType="h"/>
      <dgm:constr type="w" for="des" forName="LevelOneTextNode" refType="h" refFor="des" refForName="LevelOneTextNode" fact="0.19"/>
      <dgm:constr type="h" for="des" forName="LevelTwoTextNode" refType="w" refFor="des" refForName="LevelOneTextNode"/>
      <dgm:constr type="w" for="des" forName="LevelTwoTextNode" refType="h" refFor="des" refForName="LevelTwoTextNode" fact="3.28"/>
      <dgm:constr type="sibSp" refType="h" refFor="des" refForName="LevelTwoTextNode" op="equ" fact="0.25"/>
      <dgm:constr type="sibSp" for="des" forName="level2hierChild" refType="h" refFor="des" refForName="LevelTwoTextNode" op="equ" fact="0.25"/>
      <dgm:constr type="sibSp" for="des" forName="level3hierChild" refType="h" refFor="des" refForName="LevelTwoTextNode" op="equ" fact="0.25"/>
      <dgm:constr type="sp" for="des" forName="root1" refType="w" refFor="des" refForName="LevelTwoTextNode" fact="0.2"/>
      <dgm:constr type="sp" for="des" forName="root2" refType="sp" refFor="des" refForName="root1" op="equ"/>
      <dgm:constr type="primFontSz" for="des" forName="LevelOneTextNode" op="equ" val="65"/>
      <dgm:constr type="primFontSz" for="des" forName="LevelTwoTextNode" op="equ" val="65"/>
      <dgm:constr type="primFontSz" for="des" forName="LevelTwoTextNode" refType="primFontSz" refFor="des" refForName="LevelOneTextNode" op="lte"/>
      <dgm:constr type="primFontSz" for="des" forName="connTx" op="equ" val="50"/>
      <dgm:constr type="primFontSz" for="des" forName="connTx" refType="primFontSz" refFor="des" refForName="LevelOneTextNode" op="lte" fact="0.78"/>
    </dgm:constrLst>
    <dgm:forEach name="Name4" axis="ch">
      <dgm:forEach name="Name5" axis="self" ptType="node">
        <dgm:layoutNode name="root1">
          <dgm:choose name="Name6">
            <dgm:if name="Name7" func="var" arg="dir" op="equ" val="norm">
              <dgm:alg type="hierRoot">
                <dgm:param type="hierAlign" val="lCtrCh"/>
              </dgm:alg>
            </dgm:if>
            <dgm:else name="Name8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layoutNode name="LevelOneTextNode" styleLbl="node0">
            <dgm:varLst>
              <dgm:chPref val="3"/>
            </dgm:varLst>
            <dgm:alg type="tx">
              <dgm:param type="autoTxRot" val="grav"/>
            </dgm:alg>
            <dgm:choose name="Name9">
              <dgm:if name="Name10" func="var" arg="dir" op="equ" val="norm">
                <dgm:shape xmlns:r="http://schemas.openxmlformats.org/officeDocument/2006/relationships" rot="270" type="rect" r:blip="">
                  <dgm:adjLst/>
                </dgm:shape>
              </dgm:if>
              <dgm:else name="Name11">
                <dgm:shape xmlns:r="http://schemas.openxmlformats.org/officeDocument/2006/relationships" rot="90" type="rect" r:blip="">
                  <dgm:adjLst/>
                </dgm:shape>
              </dgm:else>
            </dgm:choos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2" fact="NaN" max="NaN"/>
            </dgm:ruleLst>
          </dgm:layoutNode>
          <dgm:layoutNode name="level2hierChild">
            <dgm:choose name="Name12">
              <dgm:if name="Name13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4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eat" axis="ch">
              <dgm:forEach name="Name15" axis="self" ptType="parTrans" cnt="1">
                <dgm:layoutNode name="conn2-1">
                  <dgm:choose name="Name16">
                    <dgm:if name="Name17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  <dgm:param type="connRout" val="bend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9" axis="self" ptType="node">
                <dgm:layoutNode name="root2">
                  <dgm:choose name="Name20">
                    <dgm:if name="Name21" func="var" arg="dir" op="equ" val="norm">
                      <dgm:alg type="hierRoot">
                        <dgm:param type="hierAlign" val="lCtrCh"/>
                      </dgm:alg>
                    </dgm:if>
                    <dgm:else name="Name22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2" fact="NaN" max="NaN"/>
                    </dgm:ruleLst>
                  </dgm:layoutNode>
                  <dgm:layoutNode name="level3hierChild">
                    <dgm:choose name="Name23">
                      <dgm:if name="Name24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5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forEach name="Name26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8/layout/HorizontalMultiLevelHierarchy">
  <dgm:title val=""/>
  <dgm:desc val=""/>
  <dgm:catLst>
    <dgm:cat type="hierarchy" pri="46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 val="exact"/>
    </dgm:varLst>
    <dgm:choose name="Name1">
      <dgm:if name="Name2" func="var" arg="dir" op="equ" val="norm">
        <dgm:alg type="hierChild">
          <dgm:param type="linDir" val="fromT"/>
          <dgm:param type="chAlign" val="l"/>
        </dgm:alg>
      </dgm:if>
      <dgm:else name="Name3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forName="LevelOneTextNode" refType="h"/>
      <dgm:constr type="w" for="des" forName="LevelOneTextNode" refType="h" refFor="des" refForName="LevelOneTextNode" fact="0.19"/>
      <dgm:constr type="h" for="des" forName="LevelTwoTextNode" refType="w" refFor="des" refForName="LevelOneTextNode"/>
      <dgm:constr type="w" for="des" forName="LevelTwoTextNode" refType="h" refFor="des" refForName="LevelTwoTextNode" fact="3.28"/>
      <dgm:constr type="sibSp" refType="h" refFor="des" refForName="LevelTwoTextNode" op="equ" fact="0.25"/>
      <dgm:constr type="sibSp" for="des" forName="level2hierChild" refType="h" refFor="des" refForName="LevelTwoTextNode" op="equ" fact="0.25"/>
      <dgm:constr type="sibSp" for="des" forName="level3hierChild" refType="h" refFor="des" refForName="LevelTwoTextNode" op="equ" fact="0.25"/>
      <dgm:constr type="sp" for="des" forName="root1" refType="w" refFor="des" refForName="LevelTwoTextNode" fact="0.2"/>
      <dgm:constr type="sp" for="des" forName="root2" refType="sp" refFor="des" refForName="root1" op="equ"/>
      <dgm:constr type="primFontSz" for="des" forName="LevelOneTextNode" op="equ" val="65"/>
      <dgm:constr type="primFontSz" for="des" forName="LevelTwoTextNode" op="equ" val="65"/>
      <dgm:constr type="primFontSz" for="des" forName="LevelTwoTextNode" refType="primFontSz" refFor="des" refForName="LevelOneTextNode" op="lte"/>
      <dgm:constr type="primFontSz" for="des" forName="connTx" op="equ" val="50"/>
      <dgm:constr type="primFontSz" for="des" forName="connTx" refType="primFontSz" refFor="des" refForName="LevelOneTextNode" op="lte" fact="0.78"/>
    </dgm:constrLst>
    <dgm:forEach name="Name4" axis="ch">
      <dgm:forEach name="Name5" axis="self" ptType="node">
        <dgm:layoutNode name="root1">
          <dgm:choose name="Name6">
            <dgm:if name="Name7" func="var" arg="dir" op="equ" val="norm">
              <dgm:alg type="hierRoot">
                <dgm:param type="hierAlign" val="lCtrCh"/>
              </dgm:alg>
            </dgm:if>
            <dgm:else name="Name8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layoutNode name="LevelOneTextNode" styleLbl="node0">
            <dgm:varLst>
              <dgm:chPref val="3"/>
            </dgm:varLst>
            <dgm:alg type="tx">
              <dgm:param type="autoTxRot" val="grav"/>
            </dgm:alg>
            <dgm:choose name="Name9">
              <dgm:if name="Name10" func="var" arg="dir" op="equ" val="norm">
                <dgm:shape xmlns:r="http://schemas.openxmlformats.org/officeDocument/2006/relationships" rot="270" type="rect" r:blip="">
                  <dgm:adjLst/>
                </dgm:shape>
              </dgm:if>
              <dgm:else name="Name11">
                <dgm:shape xmlns:r="http://schemas.openxmlformats.org/officeDocument/2006/relationships" rot="90" type="rect" r:blip="">
                  <dgm:adjLst/>
                </dgm:shape>
              </dgm:else>
            </dgm:choos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2" fact="NaN" max="NaN"/>
            </dgm:ruleLst>
          </dgm:layoutNode>
          <dgm:layoutNode name="level2hierChild">
            <dgm:choose name="Name12">
              <dgm:if name="Name13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4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eat" axis="ch">
              <dgm:forEach name="Name15" axis="self" ptType="parTrans" cnt="1">
                <dgm:layoutNode name="conn2-1">
                  <dgm:choose name="Name16">
                    <dgm:if name="Name17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  <dgm:param type="connRout" val="bend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9" axis="self" ptType="node">
                <dgm:layoutNode name="root2">
                  <dgm:choose name="Name20">
                    <dgm:if name="Name21" func="var" arg="dir" op="equ" val="norm">
                      <dgm:alg type="hierRoot">
                        <dgm:param type="hierAlign" val="lCtrCh"/>
                      </dgm:alg>
                    </dgm:if>
                    <dgm:else name="Name22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2" fact="NaN" max="NaN"/>
                    </dgm:ruleLst>
                  </dgm:layoutNode>
                  <dgm:layoutNode name="level3hierChild">
                    <dgm:choose name="Name23">
                      <dgm:if name="Name24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5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forEach name="Name26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2.xml"/><Relationship Id="rId13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1.xml"/><Relationship Id="rId7" Type="http://schemas.openxmlformats.org/officeDocument/2006/relationships/diagramLayout" Target="../diagrams/layout2.xml"/><Relationship Id="rId12" Type="http://schemas.openxmlformats.org/officeDocument/2006/relationships/diagramLayout" Target="../diagrams/layout3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diagramData" Target="../diagrams/data2.xml"/><Relationship Id="rId11" Type="http://schemas.openxmlformats.org/officeDocument/2006/relationships/diagramData" Target="../diagrams/data3.xml"/><Relationship Id="rId5" Type="http://schemas.microsoft.com/office/2007/relationships/diagramDrawing" Target="../diagrams/drawing1.xml"/><Relationship Id="rId15" Type="http://schemas.microsoft.com/office/2007/relationships/diagramDrawing" Target="../diagrams/drawing3.xml"/><Relationship Id="rId10" Type="http://schemas.microsoft.com/office/2007/relationships/diagramDrawing" Target="../diagrams/drawing2.xml"/><Relationship Id="rId4" Type="http://schemas.openxmlformats.org/officeDocument/2006/relationships/diagramColors" Target="../diagrams/colors1.xml"/><Relationship Id="rId9" Type="http://schemas.openxmlformats.org/officeDocument/2006/relationships/diagramColors" Target="../diagrams/colors2.xml"/><Relationship Id="rId14" Type="http://schemas.openxmlformats.org/officeDocument/2006/relationships/diagramColors" Target="../diagrams/colors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2.emf"/><Relationship Id="rId1" Type="http://schemas.openxmlformats.org/officeDocument/2006/relationships/image" Target="../media/image3.emf"/><Relationship Id="rId4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123825</xdr:rowOff>
        </xdr:from>
        <xdr:to>
          <xdr:col>6</xdr:col>
          <xdr:colOff>647700</xdr:colOff>
          <xdr:row>122</xdr:row>
          <xdr:rowOff>47625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23812</xdr:colOff>
      <xdr:row>191</xdr:row>
      <xdr:rowOff>134541</xdr:rowOff>
    </xdr:from>
    <xdr:to>
      <xdr:col>6</xdr:col>
      <xdr:colOff>452437</xdr:colOff>
      <xdr:row>208</xdr:row>
      <xdr:rowOff>44054</xdr:rowOff>
    </xdr:to>
    <xdr:graphicFrame macro="">
      <xdr:nvGraphicFramePr>
        <xdr:cNvPr id="4" name="图示 3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6</xdr:col>
      <xdr:colOff>381001</xdr:colOff>
      <xdr:row>192</xdr:row>
      <xdr:rowOff>23813</xdr:rowOff>
    </xdr:from>
    <xdr:to>
      <xdr:col>13</xdr:col>
      <xdr:colOff>119063</xdr:colOff>
      <xdr:row>208</xdr:row>
      <xdr:rowOff>100013</xdr:rowOff>
    </xdr:to>
    <xdr:graphicFrame macro="">
      <xdr:nvGraphicFramePr>
        <xdr:cNvPr id="5" name="图示 4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  <xdr:twoCellAnchor>
    <xdr:from>
      <xdr:col>14</xdr:col>
      <xdr:colOff>59531</xdr:colOff>
      <xdr:row>190</xdr:row>
      <xdr:rowOff>130968</xdr:rowOff>
    </xdr:from>
    <xdr:to>
      <xdr:col>20</xdr:col>
      <xdr:colOff>488156</xdr:colOff>
      <xdr:row>207</xdr:row>
      <xdr:rowOff>40480</xdr:rowOff>
    </xdr:to>
    <xdr:graphicFrame macro="">
      <xdr:nvGraphicFramePr>
        <xdr:cNvPr id="6" name="图示 5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1" r:lo="rId12" r:qs="rId13" r:cs="rId1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142875</xdr:rowOff>
        </xdr:from>
        <xdr:to>
          <xdr:col>10</xdr:col>
          <xdr:colOff>381000</xdr:colOff>
          <xdr:row>109</xdr:row>
          <xdr:rowOff>19050</xdr:rowOff>
        </xdr:to>
        <xdr:sp macro="" textlink="">
          <xdr:nvSpPr>
            <xdr:cNvPr id="9224" name="Object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57150</xdr:rowOff>
        </xdr:from>
        <xdr:to>
          <xdr:col>16</xdr:col>
          <xdr:colOff>114300</xdr:colOff>
          <xdr:row>43</xdr:row>
          <xdr:rowOff>57150</xdr:rowOff>
        </xdr:to>
        <xdr:sp macro="" textlink="">
          <xdr:nvSpPr>
            <xdr:cNvPr id="9227" name="Object 11" hidden="1">
              <a:extLst>
                <a:ext uri="{63B3BB69-23CF-44E3-9099-C40C66FF867C}">
                  <a14:compatExt spid="_x0000_s92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38100</xdr:rowOff>
        </xdr:from>
        <xdr:to>
          <xdr:col>11</xdr:col>
          <xdr:colOff>361950</xdr:colOff>
          <xdr:row>58</xdr:row>
          <xdr:rowOff>28575</xdr:rowOff>
        </xdr:to>
        <xdr:sp macro="" textlink="">
          <xdr:nvSpPr>
            <xdr:cNvPr id="9230" name="Object 14" hidden="1">
              <a:extLst>
                <a:ext uri="{63B3BB69-23CF-44E3-9099-C40C66FF867C}">
                  <a14:compatExt spid="_x0000_s92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60</xdr:row>
          <xdr:rowOff>9525</xdr:rowOff>
        </xdr:from>
        <xdr:to>
          <xdr:col>36</xdr:col>
          <xdr:colOff>542925</xdr:colOff>
          <xdr:row>73</xdr:row>
          <xdr:rowOff>9525</xdr:rowOff>
        </xdr:to>
        <xdr:sp macro="" textlink="">
          <xdr:nvSpPr>
            <xdr:cNvPr id="9234" name="Object 18" hidden="1">
              <a:extLst>
                <a:ext uri="{63B3BB69-23CF-44E3-9099-C40C66FF867C}">
                  <a14:compatExt spid="_x0000_s92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9525</xdr:rowOff>
        </xdr:from>
        <xdr:to>
          <xdr:col>16</xdr:col>
          <xdr:colOff>276225</xdr:colOff>
          <xdr:row>73</xdr:row>
          <xdr:rowOff>9525</xdr:rowOff>
        </xdr:to>
        <xdr:sp macro="" textlink="">
          <xdr:nvSpPr>
            <xdr:cNvPr id="9235" name="Object 19" hidden="1">
              <a:extLst>
                <a:ext uri="{63B3BB69-23CF-44E3-9099-C40C66FF867C}">
                  <a14:compatExt spid="_x0000_s92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209550</xdr:colOff>
          <xdr:row>43</xdr:row>
          <xdr:rowOff>95250</xdr:rowOff>
        </xdr:from>
        <xdr:to>
          <xdr:col>17</xdr:col>
          <xdr:colOff>9525</xdr:colOff>
          <xdr:row>56</xdr:row>
          <xdr:rowOff>95250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152400</xdr:colOff>
          <xdr:row>0</xdr:row>
          <xdr:rowOff>95250</xdr:rowOff>
        </xdr:from>
        <xdr:to>
          <xdr:col>22</xdr:col>
          <xdr:colOff>219075</xdr:colOff>
          <xdr:row>35</xdr:row>
          <xdr:rowOff>133350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30</xdr:row>
          <xdr:rowOff>133350</xdr:rowOff>
        </xdr:from>
        <xdr:to>
          <xdr:col>12</xdr:col>
          <xdr:colOff>247650</xdr:colOff>
          <xdr:row>43</xdr:row>
          <xdr:rowOff>123825</xdr:rowOff>
        </xdr:to>
        <xdr:sp macro="" textlink="">
          <xdr:nvSpPr>
            <xdr:cNvPr id="21507" name="Object 3" hidden="1">
              <a:extLst>
                <a:ext uri="{63B3BB69-23CF-44E3-9099-C40C66FF867C}">
                  <a14:compatExt spid="_x0000_s215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352425</xdr:colOff>
          <xdr:row>61</xdr:row>
          <xdr:rowOff>47625</xdr:rowOff>
        </xdr:from>
        <xdr:to>
          <xdr:col>31</xdr:col>
          <xdr:colOff>285750</xdr:colOff>
          <xdr:row>73</xdr:row>
          <xdr:rowOff>85725</xdr:rowOff>
        </xdr:to>
        <xdr:sp macro="" textlink="">
          <xdr:nvSpPr>
            <xdr:cNvPr id="21508" name="Object 4" hidden="1">
              <a:extLst>
                <a:ext uri="{63B3BB69-23CF-44E3-9099-C40C66FF867C}">
                  <a14:compatExt spid="_x0000_s215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266700</xdr:colOff>
          <xdr:row>107</xdr:row>
          <xdr:rowOff>19050</xdr:rowOff>
        </xdr:from>
        <xdr:to>
          <xdr:col>31</xdr:col>
          <xdr:colOff>200025</xdr:colOff>
          <xdr:row>119</xdr:row>
          <xdr:rowOff>57150</xdr:rowOff>
        </xdr:to>
        <xdr:sp macro="" textlink="">
          <xdr:nvSpPr>
            <xdr:cNvPr id="21509" name="Object 5" hidden="1">
              <a:extLst>
                <a:ext uri="{63B3BB69-23CF-44E3-9099-C40C66FF867C}">
                  <a14:compatExt spid="_x0000_s215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5</xdr:col>
          <xdr:colOff>123825</xdr:colOff>
          <xdr:row>15</xdr:row>
          <xdr:rowOff>66675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47625</xdr:colOff>
          <xdr:row>70</xdr:row>
          <xdr:rowOff>47625</xdr:rowOff>
        </xdr:from>
        <xdr:to>
          <xdr:col>12</xdr:col>
          <xdr:colOff>504825</xdr:colOff>
          <xdr:row>82</xdr:row>
          <xdr:rowOff>114300</xdr:rowOff>
        </xdr:to>
        <xdr:sp macro="" textlink="">
          <xdr:nvSpPr>
            <xdr:cNvPr id="25602" name="Object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361950</xdr:colOff>
          <xdr:row>61</xdr:row>
          <xdr:rowOff>133350</xdr:rowOff>
        </xdr:from>
        <xdr:to>
          <xdr:col>21</xdr:col>
          <xdr:colOff>104775</xdr:colOff>
          <xdr:row>67</xdr:row>
          <xdr:rowOff>114300</xdr:rowOff>
        </xdr:to>
        <xdr:sp macro="" textlink="">
          <xdr:nvSpPr>
            <xdr:cNvPr id="25603" name="Object 3" hidden="1">
              <a:extLst>
                <a:ext uri="{63B3BB69-23CF-44E3-9099-C40C66FF867C}">
                  <a14:compatExt spid="_x0000_s256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8</xdr:col>
      <xdr:colOff>40482</xdr:colOff>
      <xdr:row>169</xdr:row>
      <xdr:rowOff>3571</xdr:rowOff>
    </xdr:from>
    <xdr:to>
      <xdr:col>14</xdr:col>
      <xdr:colOff>433387</xdr:colOff>
      <xdr:row>185</xdr:row>
      <xdr:rowOff>79770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590550</xdr:colOff>
          <xdr:row>13</xdr:row>
          <xdr:rowOff>152400</xdr:rowOff>
        </xdr:from>
        <xdr:to>
          <xdr:col>30</xdr:col>
          <xdr:colOff>523875</xdr:colOff>
          <xdr:row>26</xdr:row>
          <xdr:rowOff>28575</xdr:rowOff>
        </xdr:to>
        <xdr:sp macro="" textlink="">
          <xdr:nvSpPr>
            <xdr:cNvPr id="29698" name="Object 2" hidden="1">
              <a:extLst>
                <a:ext uri="{63B3BB69-23CF-44E3-9099-C40C66FF867C}">
                  <a14:compatExt spid="_x0000_s296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.bin"/><Relationship Id="rId3" Type="http://schemas.openxmlformats.org/officeDocument/2006/relationships/vmlDrawing" Target="../drawings/vmlDrawing3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11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8.bin"/><Relationship Id="rId11" Type="http://schemas.openxmlformats.org/officeDocument/2006/relationships/image" Target="../media/image7.emf"/><Relationship Id="rId5" Type="http://schemas.openxmlformats.org/officeDocument/2006/relationships/image" Target="../media/image3.emf"/><Relationship Id="rId10" Type="http://schemas.openxmlformats.org/officeDocument/2006/relationships/oleObject" Target="../embeddings/oleObject10.bin"/><Relationship Id="rId4" Type="http://schemas.openxmlformats.org/officeDocument/2006/relationships/oleObject" Target="../embeddings/oleObject7.bin"/><Relationship Id="rId9" Type="http://schemas.openxmlformats.org/officeDocument/2006/relationships/image" Target="../media/image4.emf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vmlDrawing" Target="../drawings/vmlDrawing4.vml"/><Relationship Id="rId7" Type="http://schemas.openxmlformats.org/officeDocument/2006/relationships/oleObject" Target="../embeddings/oleObject14.bin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3.bin"/><Relationship Id="rId5" Type="http://schemas.openxmlformats.org/officeDocument/2006/relationships/image" Target="../media/image8.emf"/><Relationship Id="rId4" Type="http://schemas.openxmlformats.org/officeDocument/2006/relationships/oleObject" Target="../embeddings/oleObject1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Relationship Id="rId4" Type="http://schemas.openxmlformats.org/officeDocument/2006/relationships/image" Target="../media/image7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T249"/>
  <sheetViews>
    <sheetView topLeftCell="A22" zoomScale="80" zoomScaleNormal="80" workbookViewId="0">
      <selection activeCell="S46" sqref="S46"/>
    </sheetView>
  </sheetViews>
  <sheetFormatPr defaultRowHeight="13.5" x14ac:dyDescent="0.15"/>
  <cols>
    <col min="1" max="1" width="9" style="1"/>
    <col min="2" max="2" width="12.125" style="1" customWidth="1"/>
    <col min="3" max="3" width="10.75" style="1" customWidth="1"/>
    <col min="4" max="16384" width="9" style="1"/>
  </cols>
  <sheetData>
    <row r="1" spans="1:6" s="17" customFormat="1" x14ac:dyDescent="0.15">
      <c r="A1" s="17" t="s">
        <v>66</v>
      </c>
    </row>
    <row r="3" spans="1:6" x14ac:dyDescent="0.15">
      <c r="B3" s="14" t="s">
        <v>48</v>
      </c>
      <c r="C3" s="15"/>
      <c r="D3" s="14" t="s">
        <v>67</v>
      </c>
      <c r="E3" s="15"/>
      <c r="F3" s="16" t="s">
        <v>32</v>
      </c>
    </row>
    <row r="4" spans="1:6" x14ac:dyDescent="0.15">
      <c r="B4" s="8" t="s">
        <v>47</v>
      </c>
      <c r="C4" s="9"/>
      <c r="D4" s="6" t="s">
        <v>31</v>
      </c>
      <c r="E4" s="7"/>
      <c r="F4" s="5" t="s">
        <v>68</v>
      </c>
    </row>
    <row r="5" spans="1:6" x14ac:dyDescent="0.15">
      <c r="B5" s="12"/>
      <c r="C5" s="13"/>
      <c r="D5" s="6" t="s">
        <v>69</v>
      </c>
      <c r="E5" s="7"/>
      <c r="F5" s="5" t="s">
        <v>70</v>
      </c>
    </row>
    <row r="6" spans="1:6" x14ac:dyDescent="0.15">
      <c r="B6" s="10"/>
      <c r="C6" s="11"/>
      <c r="D6" s="6" t="s">
        <v>71</v>
      </c>
      <c r="E6" s="7"/>
      <c r="F6" s="5" t="s">
        <v>70</v>
      </c>
    </row>
    <row r="7" spans="1:6" x14ac:dyDescent="0.15">
      <c r="B7" s="8" t="s">
        <v>4</v>
      </c>
      <c r="C7" s="9"/>
      <c r="D7" s="6" t="s">
        <v>4</v>
      </c>
      <c r="E7" s="7"/>
      <c r="F7" s="5" t="s">
        <v>68</v>
      </c>
    </row>
    <row r="8" spans="1:6" x14ac:dyDescent="0.15">
      <c r="B8" s="12"/>
      <c r="C8" s="13"/>
      <c r="D8" s="6" t="s">
        <v>72</v>
      </c>
      <c r="E8" s="7"/>
      <c r="F8" s="5" t="s">
        <v>68</v>
      </c>
    </row>
    <row r="9" spans="1:6" x14ac:dyDescent="0.15">
      <c r="B9" s="12"/>
      <c r="C9" s="13"/>
      <c r="D9" s="6" t="s">
        <v>73</v>
      </c>
      <c r="E9" s="7"/>
      <c r="F9" s="5" t="s">
        <v>75</v>
      </c>
    </row>
    <row r="10" spans="1:6" x14ac:dyDescent="0.15">
      <c r="B10" s="10"/>
      <c r="C10" s="11"/>
      <c r="D10" s="6" t="s">
        <v>76</v>
      </c>
      <c r="E10" s="7"/>
      <c r="F10" s="5" t="s">
        <v>77</v>
      </c>
    </row>
    <row r="11" spans="1:6" x14ac:dyDescent="0.15">
      <c r="B11" s="8" t="s">
        <v>10</v>
      </c>
      <c r="C11" s="9"/>
      <c r="D11" s="6" t="s">
        <v>10</v>
      </c>
      <c r="E11" s="7"/>
      <c r="F11" s="5" t="s">
        <v>78</v>
      </c>
    </row>
    <row r="12" spans="1:6" x14ac:dyDescent="0.15">
      <c r="B12" s="12"/>
      <c r="C12" s="13"/>
      <c r="D12" s="6" t="s">
        <v>11</v>
      </c>
      <c r="E12" s="7"/>
      <c r="F12" s="5" t="s">
        <v>68</v>
      </c>
    </row>
    <row r="13" spans="1:6" x14ac:dyDescent="0.15">
      <c r="B13" s="12"/>
      <c r="C13" s="13"/>
      <c r="D13" s="6" t="s">
        <v>28</v>
      </c>
      <c r="E13" s="7"/>
      <c r="F13" s="5" t="s">
        <v>74</v>
      </c>
    </row>
    <row r="14" spans="1:6" x14ac:dyDescent="0.15">
      <c r="B14" s="12"/>
      <c r="C14" s="13"/>
      <c r="D14" s="6" t="s">
        <v>79</v>
      </c>
      <c r="E14" s="7"/>
      <c r="F14" s="5" t="s">
        <v>75</v>
      </c>
    </row>
    <row r="15" spans="1:6" x14ac:dyDescent="0.15">
      <c r="B15" s="12"/>
      <c r="C15" s="13"/>
      <c r="D15" s="6" t="s">
        <v>80</v>
      </c>
      <c r="E15" s="7"/>
      <c r="F15" s="5" t="s">
        <v>74</v>
      </c>
    </row>
    <row r="16" spans="1:6" x14ac:dyDescent="0.15">
      <c r="B16" s="10"/>
      <c r="C16" s="11"/>
      <c r="D16" s="6" t="s">
        <v>81</v>
      </c>
      <c r="E16" s="7"/>
      <c r="F16" s="5" t="s">
        <v>82</v>
      </c>
    </row>
    <row r="17" spans="1:7" x14ac:dyDescent="0.15">
      <c r="B17" s="8" t="s">
        <v>36</v>
      </c>
      <c r="C17" s="9"/>
      <c r="D17" s="6" t="s">
        <v>37</v>
      </c>
      <c r="E17" s="7"/>
      <c r="F17" s="5" t="s">
        <v>68</v>
      </c>
    </row>
    <row r="18" spans="1:7" x14ac:dyDescent="0.15">
      <c r="B18" s="12"/>
      <c r="C18" s="13"/>
      <c r="D18" s="6" t="s">
        <v>36</v>
      </c>
      <c r="E18" s="7"/>
      <c r="F18" s="5" t="s">
        <v>68</v>
      </c>
    </row>
    <row r="19" spans="1:7" x14ac:dyDescent="0.15">
      <c r="B19" s="12"/>
      <c r="C19" s="13"/>
      <c r="D19" s="6" t="s">
        <v>83</v>
      </c>
      <c r="E19" s="7"/>
      <c r="F19" s="5" t="s">
        <v>82</v>
      </c>
    </row>
    <row r="20" spans="1:7" x14ac:dyDescent="0.15">
      <c r="B20" s="10"/>
      <c r="C20" s="11"/>
      <c r="D20" s="6" t="s">
        <v>38</v>
      </c>
      <c r="E20" s="7"/>
      <c r="F20" s="5" t="s">
        <v>74</v>
      </c>
    </row>
    <row r="21" spans="1:7" x14ac:dyDescent="0.15">
      <c r="B21" s="12" t="s">
        <v>84</v>
      </c>
      <c r="C21" s="13"/>
      <c r="D21" s="6" t="s">
        <v>85</v>
      </c>
      <c r="E21" s="7"/>
      <c r="F21" s="5" t="s">
        <v>82</v>
      </c>
    </row>
    <row r="22" spans="1:7" x14ac:dyDescent="0.15">
      <c r="B22" s="12"/>
      <c r="C22" s="13"/>
      <c r="D22" s="6" t="s">
        <v>86</v>
      </c>
      <c r="E22" s="7"/>
      <c r="F22" s="5" t="s">
        <v>74</v>
      </c>
      <c r="G22" s="23"/>
    </row>
    <row r="23" spans="1:7" x14ac:dyDescent="0.15">
      <c r="B23" s="12"/>
      <c r="C23" s="13"/>
      <c r="D23" s="6" t="s">
        <v>50</v>
      </c>
      <c r="E23" s="7"/>
      <c r="F23" s="5" t="s">
        <v>82</v>
      </c>
    </row>
    <row r="24" spans="1:7" x14ac:dyDescent="0.15">
      <c r="B24" s="12"/>
      <c r="C24" s="13"/>
      <c r="D24" s="6" t="s">
        <v>87</v>
      </c>
      <c r="E24" s="7"/>
      <c r="F24" s="5" t="s">
        <v>82</v>
      </c>
      <c r="G24" s="23"/>
    </row>
    <row r="25" spans="1:7" x14ac:dyDescent="0.15">
      <c r="B25" s="8" t="s">
        <v>88</v>
      </c>
      <c r="C25" s="9"/>
      <c r="D25" s="6" t="s">
        <v>89</v>
      </c>
      <c r="E25" s="7"/>
      <c r="F25" s="5" t="s">
        <v>74</v>
      </c>
    </row>
    <row r="26" spans="1:7" x14ac:dyDescent="0.15">
      <c r="B26" s="10"/>
      <c r="C26" s="11"/>
      <c r="D26" s="6" t="s">
        <v>90</v>
      </c>
      <c r="E26" s="7"/>
      <c r="F26" s="5" t="s">
        <v>74</v>
      </c>
    </row>
    <row r="27" spans="1:7" x14ac:dyDescent="0.15">
      <c r="B27" s="8" t="s">
        <v>65</v>
      </c>
      <c r="C27" s="9"/>
      <c r="D27" s="6" t="s">
        <v>30</v>
      </c>
      <c r="E27" s="7"/>
      <c r="F27" s="5" t="s">
        <v>74</v>
      </c>
    </row>
    <row r="28" spans="1:7" x14ac:dyDescent="0.15">
      <c r="B28" s="10"/>
      <c r="C28" s="11"/>
      <c r="D28" s="6" t="s">
        <v>91</v>
      </c>
      <c r="E28" s="7"/>
      <c r="F28" s="5" t="s">
        <v>82</v>
      </c>
    </row>
    <row r="30" spans="1:7" s="17" customFormat="1" x14ac:dyDescent="0.15">
      <c r="A30" s="17" t="s">
        <v>372</v>
      </c>
    </row>
    <row r="45" spans="1:1" s="17" customFormat="1" x14ac:dyDescent="0.15">
      <c r="A45" s="17" t="s">
        <v>373</v>
      </c>
    </row>
    <row r="60" spans="1:20" s="17" customFormat="1" x14ac:dyDescent="0.15">
      <c r="A60" s="17" t="s">
        <v>374</v>
      </c>
    </row>
    <row r="61" spans="1:20" x14ac:dyDescent="0.15">
      <c r="T61" s="1" t="s">
        <v>487</v>
      </c>
    </row>
    <row r="111" spans="2:2" x14ac:dyDescent="0.15">
      <c r="B111" s="24" t="s">
        <v>49</v>
      </c>
    </row>
    <row r="126" spans="3:16" x14ac:dyDescent="0.15">
      <c r="G126" s="1" t="s">
        <v>92</v>
      </c>
      <c r="P126" s="1" t="s">
        <v>93</v>
      </c>
    </row>
    <row r="127" spans="3:16" x14ac:dyDescent="0.15">
      <c r="C127" s="1" t="s">
        <v>62</v>
      </c>
      <c r="G127" s="1" t="s">
        <v>44</v>
      </c>
      <c r="I127" s="1" t="s">
        <v>94</v>
      </c>
      <c r="K127" s="1" t="s">
        <v>95</v>
      </c>
      <c r="P127" s="35" t="s">
        <v>64</v>
      </c>
    </row>
    <row r="128" spans="3:16" ht="14.25" x14ac:dyDescent="0.2">
      <c r="C128" s="25" t="s">
        <v>51</v>
      </c>
      <c r="G128" s="25" t="s">
        <v>51</v>
      </c>
      <c r="I128" s="25" t="s">
        <v>51</v>
      </c>
      <c r="K128" s="25" t="s">
        <v>96</v>
      </c>
    </row>
    <row r="129" spans="2:13" ht="14.25" x14ac:dyDescent="0.2">
      <c r="B129" s="1" t="s">
        <v>97</v>
      </c>
      <c r="C129" s="1" t="s">
        <v>59</v>
      </c>
      <c r="G129" s="1" t="s">
        <v>98</v>
      </c>
      <c r="I129" s="25" t="s">
        <v>51</v>
      </c>
      <c r="K129" s="25" t="s">
        <v>99</v>
      </c>
    </row>
    <row r="130" spans="2:13" ht="14.25" x14ac:dyDescent="0.2">
      <c r="C130" s="25" t="s">
        <v>51</v>
      </c>
      <c r="G130" s="25" t="s">
        <v>99</v>
      </c>
      <c r="I130" s="25" t="s">
        <v>51</v>
      </c>
      <c r="K130" s="25" t="s">
        <v>100</v>
      </c>
    </row>
    <row r="131" spans="2:13" ht="14.25" x14ac:dyDescent="0.2">
      <c r="B131" s="1" t="s">
        <v>58</v>
      </c>
      <c r="C131" s="17" t="s">
        <v>52</v>
      </c>
      <c r="D131" s="17"/>
      <c r="E131" s="17"/>
      <c r="F131" s="17"/>
      <c r="G131" s="29" t="s">
        <v>96</v>
      </c>
      <c r="H131" s="17"/>
      <c r="I131" s="29" t="s">
        <v>51</v>
      </c>
      <c r="J131" s="17"/>
      <c r="K131" s="29" t="s">
        <v>51</v>
      </c>
      <c r="L131" s="17"/>
      <c r="M131" s="17"/>
    </row>
    <row r="132" spans="2:13" ht="14.25" x14ac:dyDescent="0.2">
      <c r="C132" s="25" t="s">
        <v>51</v>
      </c>
      <c r="G132" s="25" t="s">
        <v>51</v>
      </c>
      <c r="I132" s="25" t="s">
        <v>96</v>
      </c>
      <c r="K132" s="25" t="s">
        <v>100</v>
      </c>
    </row>
    <row r="133" spans="2:13" ht="14.25" x14ac:dyDescent="0.2">
      <c r="B133" s="1" t="s">
        <v>101</v>
      </c>
      <c r="C133" s="27" t="s">
        <v>60</v>
      </c>
      <c r="D133" s="27"/>
      <c r="E133" s="28"/>
      <c r="F133" s="27"/>
      <c r="G133" s="28" t="s">
        <v>96</v>
      </c>
      <c r="H133" s="27"/>
      <c r="I133" s="34" t="s">
        <v>61</v>
      </c>
      <c r="J133" s="27"/>
      <c r="K133" s="28" t="s">
        <v>96</v>
      </c>
      <c r="L133" s="27"/>
      <c r="M133" s="27"/>
    </row>
    <row r="134" spans="2:13" ht="14.25" x14ac:dyDescent="0.2">
      <c r="C134" s="25" t="s">
        <v>51</v>
      </c>
      <c r="F134" s="25"/>
      <c r="G134" s="25" t="s">
        <v>96</v>
      </c>
      <c r="I134" s="25" t="s">
        <v>51</v>
      </c>
      <c r="K134" s="25" t="s">
        <v>96</v>
      </c>
    </row>
    <row r="135" spans="2:13" ht="14.25" x14ac:dyDescent="0.2">
      <c r="C135" s="1" t="s">
        <v>54</v>
      </c>
      <c r="G135" s="25" t="s">
        <v>96</v>
      </c>
      <c r="I135" s="25" t="s">
        <v>96</v>
      </c>
      <c r="K135" s="25" t="s">
        <v>100</v>
      </c>
    </row>
    <row r="136" spans="2:13" ht="14.25" x14ac:dyDescent="0.2">
      <c r="C136" s="25" t="s">
        <v>96</v>
      </c>
      <c r="F136" s="25"/>
      <c r="G136" s="25" t="s">
        <v>51</v>
      </c>
      <c r="I136" s="25" t="s">
        <v>96</v>
      </c>
      <c r="K136" s="25" t="s">
        <v>96</v>
      </c>
    </row>
    <row r="137" spans="2:13" ht="14.25" x14ac:dyDescent="0.2">
      <c r="C137" s="26" t="s">
        <v>379</v>
      </c>
      <c r="F137" s="25"/>
      <c r="G137" s="25" t="s">
        <v>96</v>
      </c>
      <c r="I137" s="25" t="s">
        <v>96</v>
      </c>
      <c r="K137" s="25" t="s">
        <v>96</v>
      </c>
    </row>
    <row r="138" spans="2:13" ht="14.25" x14ac:dyDescent="0.2">
      <c r="C138" s="25" t="s">
        <v>96</v>
      </c>
      <c r="F138" s="25"/>
      <c r="G138" s="25" t="s">
        <v>96</v>
      </c>
      <c r="I138" s="25" t="s">
        <v>96</v>
      </c>
      <c r="K138" s="25" t="s">
        <v>96</v>
      </c>
    </row>
    <row r="139" spans="2:13" ht="14.25" x14ac:dyDescent="0.2">
      <c r="B139" s="1" t="s">
        <v>102</v>
      </c>
      <c r="C139" s="17" t="s">
        <v>53</v>
      </c>
      <c r="D139" s="17"/>
      <c r="E139" s="17"/>
      <c r="F139" s="17"/>
      <c r="G139" s="29" t="s">
        <v>96</v>
      </c>
      <c r="H139" s="17"/>
      <c r="I139" s="29" t="s">
        <v>96</v>
      </c>
      <c r="J139" s="17"/>
      <c r="K139" s="29" t="s">
        <v>96</v>
      </c>
      <c r="L139" s="17"/>
      <c r="M139" s="17"/>
    </row>
    <row r="140" spans="2:13" ht="14.25" x14ac:dyDescent="0.2">
      <c r="C140" s="25" t="s">
        <v>51</v>
      </c>
      <c r="F140" s="25"/>
      <c r="G140" s="25" t="s">
        <v>96</v>
      </c>
      <c r="I140" s="25" t="s">
        <v>51</v>
      </c>
      <c r="K140" s="25" t="s">
        <v>96</v>
      </c>
    </row>
    <row r="141" spans="2:13" ht="14.25" x14ac:dyDescent="0.2">
      <c r="B141" s="1" t="s">
        <v>103</v>
      </c>
      <c r="C141" s="17" t="s">
        <v>55</v>
      </c>
      <c r="D141" s="17"/>
      <c r="E141" s="17"/>
      <c r="F141" s="17"/>
      <c r="G141" s="29" t="s">
        <v>51</v>
      </c>
      <c r="H141" s="17"/>
      <c r="I141" s="29" t="s">
        <v>51</v>
      </c>
      <c r="J141" s="17"/>
      <c r="K141" s="17" t="s">
        <v>104</v>
      </c>
      <c r="L141" s="17"/>
      <c r="M141" s="17"/>
    </row>
    <row r="142" spans="2:13" ht="14.25" x14ac:dyDescent="0.2">
      <c r="C142" s="25" t="s">
        <v>96</v>
      </c>
      <c r="F142" s="25"/>
      <c r="G142" s="25" t="s">
        <v>96</v>
      </c>
      <c r="I142" s="25" t="s">
        <v>99</v>
      </c>
      <c r="K142" s="25" t="s">
        <v>96</v>
      </c>
    </row>
    <row r="143" spans="2:13" ht="14.25" x14ac:dyDescent="0.2">
      <c r="B143" s="1" t="s">
        <v>105</v>
      </c>
      <c r="C143" s="30" t="s">
        <v>106</v>
      </c>
      <c r="D143" s="30"/>
      <c r="E143" s="30"/>
      <c r="F143" s="30"/>
      <c r="G143" s="31" t="s">
        <v>96</v>
      </c>
      <c r="H143" s="30"/>
      <c r="I143" s="31" t="s">
        <v>96</v>
      </c>
      <c r="J143" s="30"/>
      <c r="K143" s="31" t="s">
        <v>96</v>
      </c>
      <c r="L143" s="30"/>
      <c r="M143" s="30"/>
    </row>
    <row r="144" spans="2:13" ht="14.25" x14ac:dyDescent="0.2">
      <c r="C144" s="25" t="s">
        <v>96</v>
      </c>
      <c r="F144" s="25"/>
      <c r="G144" s="25" t="s">
        <v>99</v>
      </c>
      <c r="I144" s="25" t="s">
        <v>51</v>
      </c>
      <c r="K144" s="25" t="s">
        <v>100</v>
      </c>
    </row>
    <row r="145" spans="2:13" ht="14.25" x14ac:dyDescent="0.2">
      <c r="C145" s="1" t="s">
        <v>56</v>
      </c>
      <c r="G145" s="25" t="s">
        <v>96</v>
      </c>
      <c r="I145" s="25" t="s">
        <v>96</v>
      </c>
      <c r="K145" s="25" t="s">
        <v>96</v>
      </c>
    </row>
    <row r="146" spans="2:13" ht="14.25" x14ac:dyDescent="0.2">
      <c r="C146" s="25" t="s">
        <v>96</v>
      </c>
      <c r="F146" s="25"/>
      <c r="G146" s="25" t="s">
        <v>96</v>
      </c>
      <c r="I146" s="25" t="s">
        <v>96</v>
      </c>
      <c r="K146" s="25" t="s">
        <v>51</v>
      </c>
    </row>
    <row r="147" spans="2:13" ht="14.25" x14ac:dyDescent="0.2">
      <c r="C147" s="1" t="s">
        <v>57</v>
      </c>
      <c r="G147" s="25" t="s">
        <v>96</v>
      </c>
      <c r="I147" s="25" t="s">
        <v>96</v>
      </c>
      <c r="K147" s="25" t="s">
        <v>96</v>
      </c>
    </row>
    <row r="148" spans="2:13" ht="14.25" x14ac:dyDescent="0.2">
      <c r="C148" s="25" t="s">
        <v>96</v>
      </c>
      <c r="F148" s="25"/>
      <c r="G148" s="25" t="s">
        <v>100</v>
      </c>
      <c r="I148" s="25" t="s">
        <v>96</v>
      </c>
      <c r="K148" s="25" t="s">
        <v>96</v>
      </c>
    </row>
    <row r="149" spans="2:13" ht="14.25" x14ac:dyDescent="0.2">
      <c r="B149" s="1" t="s">
        <v>107</v>
      </c>
      <c r="C149" s="1" t="s">
        <v>108</v>
      </c>
      <c r="G149" s="25" t="s">
        <v>96</v>
      </c>
      <c r="I149" s="25" t="s">
        <v>96</v>
      </c>
      <c r="K149" s="25" t="s">
        <v>96</v>
      </c>
    </row>
    <row r="150" spans="2:13" ht="14.25" x14ac:dyDescent="0.2">
      <c r="C150" s="25" t="s">
        <v>96</v>
      </c>
      <c r="G150" s="25" t="s">
        <v>96</v>
      </c>
      <c r="I150" s="25" t="s">
        <v>96</v>
      </c>
      <c r="K150" s="25" t="s">
        <v>96</v>
      </c>
    </row>
    <row r="151" spans="2:13" ht="14.25" x14ac:dyDescent="0.2">
      <c r="C151" s="1" t="s">
        <v>109</v>
      </c>
      <c r="G151" s="25" t="s">
        <v>96</v>
      </c>
      <c r="I151" s="25" t="s">
        <v>96</v>
      </c>
      <c r="K151" s="25" t="s">
        <v>96</v>
      </c>
    </row>
    <row r="152" spans="2:13" ht="14.25" x14ac:dyDescent="0.2">
      <c r="C152" s="25" t="s">
        <v>96</v>
      </c>
      <c r="G152" s="25" t="s">
        <v>96</v>
      </c>
      <c r="I152" s="25" t="s">
        <v>96</v>
      </c>
      <c r="K152" s="25" t="s">
        <v>96</v>
      </c>
    </row>
    <row r="153" spans="2:13" ht="14.25" x14ac:dyDescent="0.2">
      <c r="C153" s="1" t="s">
        <v>110</v>
      </c>
      <c r="D153" s="25" t="s">
        <v>111</v>
      </c>
      <c r="E153" s="25" t="s">
        <v>111</v>
      </c>
      <c r="F153" s="17"/>
      <c r="G153" s="17"/>
      <c r="H153" s="17"/>
      <c r="I153" s="17" t="s">
        <v>112</v>
      </c>
      <c r="J153" s="17"/>
      <c r="K153" s="17"/>
      <c r="L153" s="17"/>
      <c r="M153" s="17"/>
    </row>
    <row r="154" spans="2:13" ht="14.25" x14ac:dyDescent="0.2">
      <c r="C154" s="25" t="s">
        <v>96</v>
      </c>
      <c r="G154" s="25" t="s">
        <v>63</v>
      </c>
      <c r="I154" s="25"/>
      <c r="J154" s="25" t="s">
        <v>63</v>
      </c>
    </row>
    <row r="155" spans="2:13" ht="14.25" x14ac:dyDescent="0.2">
      <c r="C155" s="1" t="s">
        <v>113</v>
      </c>
      <c r="D155" s="25" t="s">
        <v>114</v>
      </c>
      <c r="E155" s="26" t="s">
        <v>115</v>
      </c>
      <c r="F155" s="25" t="s">
        <v>114</v>
      </c>
      <c r="G155" s="1" t="s">
        <v>116</v>
      </c>
      <c r="J155" s="1" t="s">
        <v>117</v>
      </c>
    </row>
    <row r="156" spans="2:13" ht="14.25" x14ac:dyDescent="0.2">
      <c r="C156" s="25" t="s">
        <v>96</v>
      </c>
      <c r="J156" s="25" t="s">
        <v>63</v>
      </c>
    </row>
    <row r="157" spans="2:13" x14ac:dyDescent="0.15">
      <c r="C157" s="1" t="s">
        <v>118</v>
      </c>
      <c r="J157" s="1" t="s">
        <v>119</v>
      </c>
    </row>
    <row r="158" spans="2:13" ht="14.25" x14ac:dyDescent="0.2">
      <c r="C158" s="25" t="s">
        <v>96</v>
      </c>
      <c r="J158" s="25" t="s">
        <v>63</v>
      </c>
    </row>
    <row r="159" spans="2:13" x14ac:dyDescent="0.15">
      <c r="C159" s="1" t="s">
        <v>120</v>
      </c>
      <c r="J159" s="1" t="s">
        <v>410</v>
      </c>
    </row>
    <row r="160" spans="2:13" ht="14.25" x14ac:dyDescent="0.2">
      <c r="C160" s="25" t="s">
        <v>96</v>
      </c>
    </row>
    <row r="161" spans="1:6" x14ac:dyDescent="0.15">
      <c r="C161" s="1" t="s">
        <v>121</v>
      </c>
    </row>
    <row r="162" spans="1:6" ht="14.25" x14ac:dyDescent="0.2">
      <c r="C162" s="25" t="s">
        <v>51</v>
      </c>
    </row>
    <row r="163" spans="1:6" x14ac:dyDescent="0.15">
      <c r="C163" s="1" t="s">
        <v>410</v>
      </c>
    </row>
    <row r="166" spans="1:6" s="17" customFormat="1" x14ac:dyDescent="0.15">
      <c r="A166" s="17" t="s">
        <v>122</v>
      </c>
    </row>
    <row r="169" spans="1:6" x14ac:dyDescent="0.15">
      <c r="B169" s="14" t="s">
        <v>123</v>
      </c>
      <c r="C169" s="15"/>
      <c r="D169" s="14" t="s">
        <v>124</v>
      </c>
      <c r="E169" s="19"/>
      <c r="F169" s="15"/>
    </row>
    <row r="170" spans="1:6" x14ac:dyDescent="0.15">
      <c r="B170" s="6" t="s">
        <v>101</v>
      </c>
      <c r="C170" s="7"/>
      <c r="D170" s="6" t="s">
        <v>125</v>
      </c>
      <c r="E170" s="18"/>
      <c r="F170" s="7"/>
    </row>
    <row r="171" spans="1:6" x14ac:dyDescent="0.15">
      <c r="B171" s="6" t="s">
        <v>126</v>
      </c>
      <c r="C171" s="7"/>
      <c r="D171" s="6" t="s">
        <v>127</v>
      </c>
      <c r="E171" s="18"/>
      <c r="F171" s="7"/>
    </row>
    <row r="172" spans="1:6" x14ac:dyDescent="0.15">
      <c r="B172" s="6" t="s">
        <v>105</v>
      </c>
      <c r="C172" s="7"/>
      <c r="D172" s="6" t="s">
        <v>128</v>
      </c>
      <c r="E172" s="18"/>
      <c r="F172" s="7"/>
    </row>
    <row r="173" spans="1:6" x14ac:dyDescent="0.15">
      <c r="B173" s="6" t="s">
        <v>129</v>
      </c>
      <c r="C173" s="7"/>
      <c r="D173" s="6" t="s">
        <v>130</v>
      </c>
      <c r="E173" s="18"/>
      <c r="F173" s="7"/>
    </row>
    <row r="174" spans="1:6" x14ac:dyDescent="0.15">
      <c r="B174" s="1" t="s">
        <v>131</v>
      </c>
    </row>
    <row r="177" spans="2:12" x14ac:dyDescent="0.15">
      <c r="B177" s="1" t="s">
        <v>101</v>
      </c>
    </row>
    <row r="178" spans="2:12" x14ac:dyDescent="0.15">
      <c r="B178" s="16" t="s">
        <v>132</v>
      </c>
      <c r="C178" s="14" t="s">
        <v>101</v>
      </c>
      <c r="D178" s="19"/>
      <c r="E178" s="15"/>
      <c r="F178" s="14" t="s">
        <v>124</v>
      </c>
      <c r="G178" s="19"/>
      <c r="H178" s="19"/>
      <c r="I178" s="19"/>
      <c r="J178" s="19"/>
      <c r="K178" s="19"/>
      <c r="L178" s="15"/>
    </row>
    <row r="179" spans="2:12" x14ac:dyDescent="0.15">
      <c r="B179" s="5" t="s">
        <v>133</v>
      </c>
      <c r="C179" s="20" t="s">
        <v>134</v>
      </c>
      <c r="D179" s="18"/>
      <c r="E179" s="7"/>
      <c r="F179" s="6" t="s">
        <v>260</v>
      </c>
      <c r="G179" s="18"/>
      <c r="H179" s="18"/>
      <c r="I179" s="18"/>
      <c r="J179" s="18"/>
      <c r="K179" s="18"/>
      <c r="L179" s="7"/>
    </row>
    <row r="180" spans="2:12" x14ac:dyDescent="0.15">
      <c r="B180" s="5" t="s">
        <v>135</v>
      </c>
      <c r="C180" s="20" t="s">
        <v>136</v>
      </c>
      <c r="D180" s="32"/>
      <c r="E180" s="33"/>
      <c r="F180" s="20" t="s">
        <v>137</v>
      </c>
      <c r="G180" s="32"/>
      <c r="H180" s="32"/>
      <c r="I180" s="32"/>
      <c r="J180" s="32"/>
      <c r="K180" s="32"/>
      <c r="L180" s="33"/>
    </row>
    <row r="181" spans="2:12" x14ac:dyDescent="0.15">
      <c r="B181" s="5" t="s">
        <v>138</v>
      </c>
      <c r="C181" s="20" t="s">
        <v>139</v>
      </c>
      <c r="D181" s="32"/>
      <c r="E181" s="33"/>
      <c r="F181" s="20" t="s">
        <v>454</v>
      </c>
      <c r="G181" s="32"/>
      <c r="H181" s="32"/>
      <c r="I181" s="32"/>
      <c r="J181" s="32"/>
      <c r="K181" s="32"/>
      <c r="L181" s="33"/>
    </row>
    <row r="182" spans="2:12" x14ac:dyDescent="0.15">
      <c r="B182" s="5" t="s">
        <v>140</v>
      </c>
      <c r="C182" s="20" t="s">
        <v>141</v>
      </c>
      <c r="D182" s="32"/>
      <c r="E182" s="33"/>
      <c r="F182" s="20" t="s">
        <v>142</v>
      </c>
      <c r="G182" s="32"/>
      <c r="H182" s="32"/>
      <c r="I182" s="32"/>
      <c r="J182" s="32"/>
      <c r="K182" s="32"/>
      <c r="L182" s="33"/>
    </row>
    <row r="183" spans="2:12" x14ac:dyDescent="0.15">
      <c r="B183" s="21" t="s">
        <v>143</v>
      </c>
    </row>
    <row r="185" spans="2:12" x14ac:dyDescent="0.15">
      <c r="B185" s="1" t="s">
        <v>144</v>
      </c>
    </row>
    <row r="186" spans="2:12" x14ac:dyDescent="0.15">
      <c r="B186" s="16" t="s">
        <v>145</v>
      </c>
      <c r="C186" s="14" t="s">
        <v>124</v>
      </c>
      <c r="D186" s="19"/>
      <c r="E186" s="15"/>
    </row>
    <row r="187" spans="2:12" x14ac:dyDescent="0.15">
      <c r="B187" s="5" t="s">
        <v>146</v>
      </c>
      <c r="C187" s="6" t="s">
        <v>147</v>
      </c>
      <c r="D187" s="18"/>
      <c r="E187" s="7"/>
    </row>
    <row r="188" spans="2:12" x14ac:dyDescent="0.15">
      <c r="B188" s="5" t="s">
        <v>148</v>
      </c>
      <c r="C188" s="6" t="s">
        <v>149</v>
      </c>
      <c r="D188" s="18"/>
      <c r="E188" s="7"/>
    </row>
    <row r="189" spans="2:12" x14ac:dyDescent="0.15">
      <c r="B189" s="5" t="s">
        <v>150</v>
      </c>
      <c r="C189" s="6" t="s">
        <v>151</v>
      </c>
      <c r="D189" s="18"/>
      <c r="E189" s="7"/>
    </row>
    <row r="213" spans="2:6" x14ac:dyDescent="0.15">
      <c r="B213" s="1" t="s">
        <v>152</v>
      </c>
    </row>
    <row r="215" spans="2:6" x14ac:dyDescent="0.15">
      <c r="B215" s="1" t="s">
        <v>153</v>
      </c>
    </row>
    <row r="216" spans="2:6" x14ac:dyDescent="0.15">
      <c r="B216" s="16" t="s">
        <v>154</v>
      </c>
      <c r="C216" s="16" t="s">
        <v>155</v>
      </c>
      <c r="D216" s="16" t="s">
        <v>156</v>
      </c>
      <c r="E216" s="14" t="s">
        <v>157</v>
      </c>
      <c r="F216" s="15"/>
    </row>
    <row r="217" spans="2:6" x14ac:dyDescent="0.15">
      <c r="B217" s="2" t="s">
        <v>158</v>
      </c>
      <c r="C217" s="7" t="s">
        <v>159</v>
      </c>
      <c r="D217" s="5" t="str">
        <f t="shared" ref="D217:D232" si="0">CONCATENATE("抗",C217)</f>
        <v>抗嘲讽</v>
      </c>
      <c r="E217" s="6" t="s">
        <v>160</v>
      </c>
      <c r="F217" s="7"/>
    </row>
    <row r="218" spans="2:6" x14ac:dyDescent="0.15">
      <c r="B218" s="3"/>
      <c r="C218" s="7" t="s">
        <v>161</v>
      </c>
      <c r="D218" s="5" t="str">
        <f t="shared" si="0"/>
        <v>抗减速</v>
      </c>
      <c r="E218" s="6" t="s">
        <v>161</v>
      </c>
      <c r="F218" s="7"/>
    </row>
    <row r="219" spans="2:6" x14ac:dyDescent="0.15">
      <c r="B219" s="3"/>
      <c r="C219" s="7" t="s">
        <v>162</v>
      </c>
      <c r="D219" s="5" t="str">
        <f t="shared" si="0"/>
        <v>抗击退</v>
      </c>
      <c r="E219" s="6" t="s">
        <v>163</v>
      </c>
      <c r="F219" s="7"/>
    </row>
    <row r="220" spans="2:6" x14ac:dyDescent="0.15">
      <c r="B220" s="3"/>
      <c r="C220" s="7" t="s">
        <v>164</v>
      </c>
      <c r="D220" s="5" t="str">
        <f t="shared" si="0"/>
        <v>抗击倒</v>
      </c>
      <c r="E220" s="6"/>
      <c r="F220" s="7"/>
    </row>
    <row r="221" spans="2:6" x14ac:dyDescent="0.15">
      <c r="B221" s="3"/>
      <c r="C221" s="7" t="s">
        <v>165</v>
      </c>
      <c r="D221" s="5" t="str">
        <f t="shared" si="0"/>
        <v>抗冰冻</v>
      </c>
      <c r="E221" s="6" t="s">
        <v>166</v>
      </c>
      <c r="F221" s="7"/>
    </row>
    <row r="222" spans="2:6" x14ac:dyDescent="0.15">
      <c r="B222" s="3"/>
      <c r="C222" s="7" t="s">
        <v>167</v>
      </c>
      <c r="D222" s="5" t="str">
        <f t="shared" si="0"/>
        <v>抗晕眩</v>
      </c>
      <c r="E222" s="6"/>
      <c r="F222" s="7"/>
    </row>
    <row r="223" spans="2:6" x14ac:dyDescent="0.15">
      <c r="B223" s="3"/>
      <c r="C223" s="7" t="s">
        <v>168</v>
      </c>
      <c r="D223" s="5" t="str">
        <f t="shared" si="0"/>
        <v>抗沉默</v>
      </c>
      <c r="E223" s="6" t="s">
        <v>169</v>
      </c>
      <c r="F223" s="7"/>
    </row>
    <row r="224" spans="2:6" x14ac:dyDescent="0.15">
      <c r="B224" s="3"/>
      <c r="C224" s="7" t="s">
        <v>170</v>
      </c>
      <c r="D224" s="5" t="str">
        <f t="shared" si="0"/>
        <v>抗魅惑</v>
      </c>
      <c r="E224" s="6" t="s">
        <v>171</v>
      </c>
      <c r="F224" s="7"/>
    </row>
    <row r="225" spans="2:6" x14ac:dyDescent="0.15">
      <c r="B225" s="4"/>
      <c r="C225" s="6" t="s">
        <v>172</v>
      </c>
      <c r="D225" s="5" t="str">
        <f t="shared" si="0"/>
        <v>抗巫术</v>
      </c>
      <c r="E225" s="6" t="s">
        <v>173</v>
      </c>
      <c r="F225" s="7"/>
    </row>
    <row r="226" spans="2:6" x14ac:dyDescent="0.15">
      <c r="B226" s="2" t="s">
        <v>174</v>
      </c>
      <c r="C226" s="7" t="s">
        <v>175</v>
      </c>
      <c r="D226" s="5" t="str">
        <f t="shared" si="0"/>
        <v>抗破甲</v>
      </c>
      <c r="E226" s="6" t="s">
        <v>176</v>
      </c>
      <c r="F226" s="7"/>
    </row>
    <row r="227" spans="2:6" x14ac:dyDescent="0.15">
      <c r="B227" s="3"/>
      <c r="C227" s="7" t="s">
        <v>177</v>
      </c>
      <c r="D227" s="5" t="str">
        <f t="shared" si="0"/>
        <v>抗中毒</v>
      </c>
      <c r="E227" s="6" t="s">
        <v>178</v>
      </c>
      <c r="F227" s="7"/>
    </row>
    <row r="228" spans="2:6" x14ac:dyDescent="0.15">
      <c r="B228" s="3"/>
      <c r="C228" s="7" t="s">
        <v>179</v>
      </c>
      <c r="D228" s="5" t="str">
        <f t="shared" si="0"/>
        <v>抗烈焰</v>
      </c>
      <c r="E228" s="8" t="s">
        <v>180</v>
      </c>
      <c r="F228" s="9"/>
    </row>
    <row r="229" spans="2:6" x14ac:dyDescent="0.15">
      <c r="B229" s="3"/>
      <c r="C229" s="5" t="s">
        <v>181</v>
      </c>
      <c r="D229" s="5" t="str">
        <f t="shared" si="0"/>
        <v>抗闪电</v>
      </c>
      <c r="E229" s="6" t="s">
        <v>182</v>
      </c>
      <c r="F229" s="7"/>
    </row>
    <row r="230" spans="2:6" x14ac:dyDescent="0.15">
      <c r="B230" s="4"/>
      <c r="C230" s="5" t="s">
        <v>183</v>
      </c>
      <c r="D230" s="5" t="str">
        <f t="shared" si="0"/>
        <v>抗震荡</v>
      </c>
      <c r="E230" s="6" t="s">
        <v>182</v>
      </c>
      <c r="F230" s="7"/>
    </row>
    <row r="231" spans="2:6" x14ac:dyDescent="0.15">
      <c r="B231" s="2" t="s">
        <v>184</v>
      </c>
      <c r="C231" s="7" t="s">
        <v>185</v>
      </c>
      <c r="D231" s="5" t="str">
        <f t="shared" si="0"/>
        <v>抗虚弱</v>
      </c>
      <c r="E231" s="10" t="s">
        <v>186</v>
      </c>
      <c r="F231" s="11"/>
    </row>
    <row r="232" spans="2:6" x14ac:dyDescent="0.15">
      <c r="B232" s="4"/>
      <c r="C232" s="5" t="s">
        <v>187</v>
      </c>
      <c r="D232" s="5" t="str">
        <f t="shared" si="0"/>
        <v>抗诅咒</v>
      </c>
      <c r="E232" s="6" t="s">
        <v>186</v>
      </c>
      <c r="F232" s="7"/>
    </row>
    <row r="235" spans="2:6" x14ac:dyDescent="0.15">
      <c r="B235" s="1" t="s">
        <v>188</v>
      </c>
    </row>
    <row r="236" spans="2:6" x14ac:dyDescent="0.15">
      <c r="B236" s="1" t="s">
        <v>189</v>
      </c>
    </row>
    <row r="237" spans="2:6" x14ac:dyDescent="0.15">
      <c r="B237" s="1" t="s">
        <v>190</v>
      </c>
    </row>
    <row r="238" spans="2:6" x14ac:dyDescent="0.15">
      <c r="B238" s="1" t="s">
        <v>191</v>
      </c>
    </row>
    <row r="241" spans="2:4" x14ac:dyDescent="0.15">
      <c r="B241" s="1" t="s">
        <v>192</v>
      </c>
    </row>
    <row r="242" spans="2:4" x14ac:dyDescent="0.15">
      <c r="B242" s="1">
        <v>1</v>
      </c>
      <c r="C242" s="1" t="s">
        <v>193</v>
      </c>
    </row>
    <row r="243" spans="2:4" ht="14.25" x14ac:dyDescent="0.2">
      <c r="C243" s="22" t="s">
        <v>194</v>
      </c>
      <c r="D243" s="1" t="s">
        <v>195</v>
      </c>
    </row>
    <row r="244" spans="2:4" ht="14.25" x14ac:dyDescent="0.2">
      <c r="C244" s="22" t="s">
        <v>194</v>
      </c>
      <c r="D244" s="23" t="s">
        <v>196</v>
      </c>
    </row>
    <row r="245" spans="2:4" x14ac:dyDescent="0.15">
      <c r="B245" s="1">
        <v>2</v>
      </c>
      <c r="C245" s="1" t="s">
        <v>197</v>
      </c>
    </row>
    <row r="246" spans="2:4" ht="14.25" x14ac:dyDescent="0.2">
      <c r="C246" s="22" t="s">
        <v>194</v>
      </c>
      <c r="D246" s="1" t="s">
        <v>198</v>
      </c>
    </row>
    <row r="247" spans="2:4" x14ac:dyDescent="0.15">
      <c r="B247" s="1">
        <v>3</v>
      </c>
      <c r="C247" s="1" t="s">
        <v>199</v>
      </c>
    </row>
    <row r="248" spans="2:4" ht="14.25" x14ac:dyDescent="0.2">
      <c r="C248" s="22" t="s">
        <v>194</v>
      </c>
      <c r="D248" s="1" t="s">
        <v>200</v>
      </c>
    </row>
    <row r="249" spans="2:4" ht="14.25" x14ac:dyDescent="0.2">
      <c r="C249" s="22" t="s">
        <v>194</v>
      </c>
      <c r="D249" s="1" t="s">
        <v>201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9218" r:id="rId4">
          <objectPr defaultSize="0" autoPict="0" r:id="rId5">
            <anchor moveWithCells="1">
              <from>
                <xdr:col>0</xdr:col>
                <xdr:colOff>0</xdr:colOff>
                <xdr:row>111</xdr:row>
                <xdr:rowOff>123825</xdr:rowOff>
              </from>
              <to>
                <xdr:col>6</xdr:col>
                <xdr:colOff>647700</xdr:colOff>
                <xdr:row>122</xdr:row>
                <xdr:rowOff>47625</xdr:rowOff>
              </to>
            </anchor>
          </objectPr>
        </oleObject>
      </mc:Choice>
      <mc:Fallback>
        <oleObject progId="Equation.DSMT4" shapeId="9218" r:id="rId4"/>
      </mc:Fallback>
    </mc:AlternateContent>
    <mc:AlternateContent xmlns:mc="http://schemas.openxmlformats.org/markup-compatibility/2006">
      <mc:Choice Requires="x14">
        <oleObject progId="Equation.DSMT4" shapeId="9224" r:id="rId6">
          <objectPr defaultSize="0" autoPict="0" r:id="rId7">
            <anchor moveWithCells="1">
              <from>
                <xdr:col>0</xdr:col>
                <xdr:colOff>0</xdr:colOff>
                <xdr:row>73</xdr:row>
                <xdr:rowOff>142875</xdr:rowOff>
              </from>
              <to>
                <xdr:col>10</xdr:col>
                <xdr:colOff>381000</xdr:colOff>
                <xdr:row>109</xdr:row>
                <xdr:rowOff>19050</xdr:rowOff>
              </to>
            </anchor>
          </objectPr>
        </oleObject>
      </mc:Choice>
      <mc:Fallback>
        <oleObject progId="Equation.DSMT4" shapeId="9224" r:id="rId6"/>
      </mc:Fallback>
    </mc:AlternateContent>
    <mc:AlternateContent xmlns:mc="http://schemas.openxmlformats.org/markup-compatibility/2006">
      <mc:Choice Requires="x14">
        <oleObject progId="Equation.DSMT4" shapeId="9227" r:id="rId8">
          <objectPr defaultSize="0" r:id="rId9">
            <anchor moveWithCells="1">
              <from>
                <xdr:col>0</xdr:col>
                <xdr:colOff>0</xdr:colOff>
                <xdr:row>30</xdr:row>
                <xdr:rowOff>57150</xdr:rowOff>
              </from>
              <to>
                <xdr:col>16</xdr:col>
                <xdr:colOff>114300</xdr:colOff>
                <xdr:row>43</xdr:row>
                <xdr:rowOff>57150</xdr:rowOff>
              </to>
            </anchor>
          </objectPr>
        </oleObject>
      </mc:Choice>
      <mc:Fallback>
        <oleObject progId="Equation.DSMT4" shapeId="9227" r:id="rId8"/>
      </mc:Fallback>
    </mc:AlternateContent>
    <mc:AlternateContent xmlns:mc="http://schemas.openxmlformats.org/markup-compatibility/2006">
      <mc:Choice Requires="x14">
        <oleObject progId="Equation.DSMT4" shapeId="9230" r:id="rId10">
          <objectPr defaultSize="0" r:id="rId11">
            <anchor moveWithCells="1">
              <from>
                <xdr:col>0</xdr:col>
                <xdr:colOff>0</xdr:colOff>
                <xdr:row>45</xdr:row>
                <xdr:rowOff>38100</xdr:rowOff>
              </from>
              <to>
                <xdr:col>11</xdr:col>
                <xdr:colOff>361950</xdr:colOff>
                <xdr:row>58</xdr:row>
                <xdr:rowOff>28575</xdr:rowOff>
              </to>
            </anchor>
          </objectPr>
        </oleObject>
      </mc:Choice>
      <mc:Fallback>
        <oleObject progId="Equation.DSMT4" shapeId="9230" r:id="rId10"/>
      </mc:Fallback>
    </mc:AlternateContent>
    <mc:AlternateContent xmlns:mc="http://schemas.openxmlformats.org/markup-compatibility/2006">
      <mc:Choice Requires="x14">
        <oleObject progId="Equation.DSMT4" shapeId="9234" r:id="rId12">
          <objectPr defaultSize="0" r:id="rId13">
            <anchor moveWithCells="1">
              <from>
                <xdr:col>20</xdr:col>
                <xdr:colOff>0</xdr:colOff>
                <xdr:row>60</xdr:row>
                <xdr:rowOff>9525</xdr:rowOff>
              </from>
              <to>
                <xdr:col>36</xdr:col>
                <xdr:colOff>542925</xdr:colOff>
                <xdr:row>73</xdr:row>
                <xdr:rowOff>9525</xdr:rowOff>
              </to>
            </anchor>
          </objectPr>
        </oleObject>
      </mc:Choice>
      <mc:Fallback>
        <oleObject progId="Equation.DSMT4" shapeId="9234" r:id="rId12"/>
      </mc:Fallback>
    </mc:AlternateContent>
    <mc:AlternateContent xmlns:mc="http://schemas.openxmlformats.org/markup-compatibility/2006">
      <mc:Choice Requires="x14">
        <oleObject progId="Equation.DSMT4" shapeId="9235" r:id="rId14">
          <objectPr defaultSize="0" r:id="rId15">
            <anchor moveWithCells="1">
              <from>
                <xdr:col>0</xdr:col>
                <xdr:colOff>0</xdr:colOff>
                <xdr:row>60</xdr:row>
                <xdr:rowOff>9525</xdr:rowOff>
              </from>
              <to>
                <xdr:col>16</xdr:col>
                <xdr:colOff>276225</xdr:colOff>
                <xdr:row>73</xdr:row>
                <xdr:rowOff>9525</xdr:rowOff>
              </to>
            </anchor>
          </objectPr>
        </oleObject>
      </mc:Choice>
      <mc:Fallback>
        <oleObject progId="Equation.DSMT4" shapeId="9235" r:id="rId1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3:M68"/>
  <sheetViews>
    <sheetView zoomScale="80" zoomScaleNormal="80" workbookViewId="0">
      <selection activeCell="L31" sqref="L31"/>
    </sheetView>
  </sheetViews>
  <sheetFormatPr defaultRowHeight="13.5" x14ac:dyDescent="0.15"/>
  <cols>
    <col min="1" max="1" width="9" style="1"/>
    <col min="2" max="2" width="11.25" style="1" customWidth="1"/>
    <col min="3" max="5" width="9" style="1"/>
    <col min="6" max="6" width="11" style="1" customWidth="1"/>
    <col min="7" max="16384" width="9" style="1"/>
  </cols>
  <sheetData>
    <row r="3" spans="2:9" x14ac:dyDescent="0.15">
      <c r="B3" s="1" t="s">
        <v>214</v>
      </c>
    </row>
    <row r="4" spans="2:9" x14ac:dyDescent="0.15">
      <c r="B4" s="1" t="s">
        <v>202</v>
      </c>
      <c r="C4" s="1" t="s">
        <v>203</v>
      </c>
      <c r="D4" s="1" t="s">
        <v>204</v>
      </c>
      <c r="E4" s="1" t="s">
        <v>205</v>
      </c>
      <c r="F4" s="1" t="s">
        <v>206</v>
      </c>
    </row>
    <row r="5" spans="2:9" x14ac:dyDescent="0.15">
      <c r="B5" s="1">
        <v>10</v>
      </c>
      <c r="C5" s="1">
        <f>B5/2</f>
        <v>5</v>
      </c>
      <c r="D5" s="1">
        <f>0.5*(B5-C5)</f>
        <v>2.5</v>
      </c>
      <c r="E5" s="1">
        <v>20</v>
      </c>
      <c r="F5" s="1">
        <f>D5*E5</f>
        <v>50</v>
      </c>
    </row>
    <row r="6" spans="2:9" x14ac:dyDescent="0.15">
      <c r="B6" s="1">
        <f>B5*10000</f>
        <v>100000</v>
      </c>
      <c r="C6" s="1">
        <f>C5*10000</f>
        <v>50000</v>
      </c>
      <c r="F6" s="1">
        <f>F5*10000</f>
        <v>500000</v>
      </c>
    </row>
    <row r="8" spans="2:9" x14ac:dyDescent="0.15">
      <c r="B8" s="1" t="s">
        <v>207</v>
      </c>
      <c r="C8" s="1" t="s">
        <v>212</v>
      </c>
      <c r="D8" s="1" t="s">
        <v>213</v>
      </c>
      <c r="E8" s="1" t="s">
        <v>215</v>
      </c>
      <c r="F8" s="1" t="s">
        <v>216</v>
      </c>
      <c r="G8" s="1" t="s">
        <v>217</v>
      </c>
      <c r="H8" s="1" t="s">
        <v>218</v>
      </c>
    </row>
    <row r="9" spans="2:9" x14ac:dyDescent="0.15">
      <c r="B9" s="1" t="s">
        <v>209</v>
      </c>
      <c r="C9" s="1">
        <v>1</v>
      </c>
      <c r="D9" s="1">
        <f>0.5*C9/C9</f>
        <v>0.5</v>
      </c>
      <c r="E9" s="1">
        <v>100000</v>
      </c>
      <c r="F9" s="1">
        <v>2</v>
      </c>
      <c r="G9" s="1">
        <v>2</v>
      </c>
      <c r="H9" s="1">
        <f>G9*E9</f>
        <v>200000</v>
      </c>
    </row>
    <row r="11" spans="2:9" x14ac:dyDescent="0.15">
      <c r="B11" s="1" t="s">
        <v>208</v>
      </c>
      <c r="C11" s="1" t="s">
        <v>212</v>
      </c>
      <c r="D11" s="1" t="s">
        <v>213</v>
      </c>
      <c r="E11" s="1" t="s">
        <v>215</v>
      </c>
      <c r="F11" s="1" t="s">
        <v>216</v>
      </c>
      <c r="G11" s="1" t="s">
        <v>217</v>
      </c>
      <c r="H11" s="1" t="s">
        <v>218</v>
      </c>
    </row>
    <row r="12" spans="2:9" x14ac:dyDescent="0.15">
      <c r="B12" s="1" t="s">
        <v>210</v>
      </c>
      <c r="C12" s="1">
        <v>0.5</v>
      </c>
      <c r="D12" s="1">
        <f>0.5*C12/SUM($C$12:$C$13)</f>
        <v>0.16666666666666666</v>
      </c>
      <c r="E12" s="1">
        <v>50000</v>
      </c>
      <c r="F12" s="1">
        <f>$F$9*$E$9/$D$9*D12/E12</f>
        <v>1.333333333333333</v>
      </c>
      <c r="G12" s="1">
        <v>1.3</v>
      </c>
      <c r="H12" s="1">
        <f>G12*E12</f>
        <v>65000</v>
      </c>
    </row>
    <row r="13" spans="2:9" x14ac:dyDescent="0.15">
      <c r="B13" s="1" t="s">
        <v>211</v>
      </c>
      <c r="C13" s="1">
        <v>1</v>
      </c>
      <c r="D13" s="1">
        <f>0.5*C13/SUM($C$12:$C$13)</f>
        <v>0.33333333333333331</v>
      </c>
      <c r="E13" s="1">
        <v>500000</v>
      </c>
      <c r="F13" s="1">
        <f>$F$9*$E$9/$D$9*D13/E13</f>
        <v>0.26666666666666661</v>
      </c>
      <c r="G13" s="1">
        <v>0.27</v>
      </c>
      <c r="H13" s="1">
        <f>G13*E13</f>
        <v>135000</v>
      </c>
    </row>
    <row r="15" spans="2:9" x14ac:dyDescent="0.15">
      <c r="B15" s="1" t="s">
        <v>237</v>
      </c>
      <c r="C15" s="1" t="s">
        <v>226</v>
      </c>
      <c r="D15" s="1" t="s">
        <v>234</v>
      </c>
      <c r="E15" s="1" t="s">
        <v>224</v>
      </c>
      <c r="F15" s="1" t="s">
        <v>222</v>
      </c>
      <c r="G15" s="1" t="s">
        <v>245</v>
      </c>
      <c r="H15" s="1" t="s">
        <v>238</v>
      </c>
      <c r="I15" s="1" t="s">
        <v>216</v>
      </c>
    </row>
    <row r="16" spans="2:9" x14ac:dyDescent="0.15">
      <c r="B16" s="1" t="s">
        <v>209</v>
      </c>
      <c r="C16" s="1" t="s">
        <v>219</v>
      </c>
      <c r="D16" s="1">
        <v>0.85</v>
      </c>
      <c r="E16" s="1" t="s">
        <v>225</v>
      </c>
      <c r="F16" s="1">
        <f>0.01/D16*$H$9</f>
        <v>2352.9411764705883</v>
      </c>
      <c r="G16" s="1">
        <f>F16/20</f>
        <v>117.64705882352942</v>
      </c>
      <c r="H16" s="1" t="s">
        <v>239</v>
      </c>
      <c r="I16" s="1">
        <f>G16/20</f>
        <v>5.882352941176471</v>
      </c>
    </row>
    <row r="17" spans="2:9" x14ac:dyDescent="0.15">
      <c r="B17" s="1" t="s">
        <v>223</v>
      </c>
      <c r="C17" s="1" t="s">
        <v>220</v>
      </c>
      <c r="D17" s="1">
        <v>0.1</v>
      </c>
      <c r="E17" s="1">
        <v>2</v>
      </c>
      <c r="F17" s="1">
        <f>(((D17+0.01)*E17+1-(D17+0.01))-(D17*E17+1-D17))/(D17*E17+1-D17)*H9</f>
        <v>1818.1818181818201</v>
      </c>
      <c r="G17" s="1">
        <f>F17/20</f>
        <v>90.909090909091006</v>
      </c>
      <c r="H17" s="1" t="s">
        <v>240</v>
      </c>
      <c r="I17" s="1">
        <f>G17/20</f>
        <v>4.5454545454545503</v>
      </c>
    </row>
    <row r="18" spans="2:9" x14ac:dyDescent="0.15">
      <c r="B18" s="1" t="s">
        <v>236</v>
      </c>
      <c r="C18" s="1" t="s">
        <v>221</v>
      </c>
      <c r="D18" s="1">
        <v>0</v>
      </c>
      <c r="E18" s="1">
        <v>0.4</v>
      </c>
      <c r="F18" s="1">
        <f>(1/(0.01*E18+0.99*1)-1)*H13</f>
        <v>814.88933601608687</v>
      </c>
      <c r="G18" s="1">
        <f>F18/20</f>
        <v>40.744466800804346</v>
      </c>
      <c r="H18" s="1" t="s">
        <v>241</v>
      </c>
      <c r="I18" s="1">
        <f>G18/20</f>
        <v>2.0372233400402173</v>
      </c>
    </row>
    <row r="20" spans="2:9" x14ac:dyDescent="0.15">
      <c r="B20" s="1" t="s">
        <v>237</v>
      </c>
      <c r="D20" s="1" t="s">
        <v>233</v>
      </c>
      <c r="E20" s="1" t="s">
        <v>235</v>
      </c>
      <c r="F20" s="1" t="s">
        <v>222</v>
      </c>
      <c r="G20" s="1" t="s">
        <v>262</v>
      </c>
    </row>
    <row r="21" spans="2:9" x14ac:dyDescent="0.15">
      <c r="B21" s="1" t="s">
        <v>232</v>
      </c>
      <c r="C21" s="1" t="s">
        <v>227</v>
      </c>
      <c r="D21" s="1">
        <v>2</v>
      </c>
      <c r="E21" s="1">
        <f>D17</f>
        <v>0.1</v>
      </c>
      <c r="F21" s="1">
        <f>(((D21+0.01)*E21+1-E21)/(D21*E21+1-E21)-1)*H9</f>
        <v>181.81818181819409</v>
      </c>
      <c r="G21" s="1">
        <f>F21/20</f>
        <v>9.0909090909097046</v>
      </c>
    </row>
    <row r="22" spans="2:9" x14ac:dyDescent="0.15">
      <c r="B22" s="1" t="s">
        <v>236</v>
      </c>
      <c r="C22" s="1" t="s">
        <v>228</v>
      </c>
      <c r="D22" s="1">
        <v>0.4</v>
      </c>
      <c r="E22" s="1">
        <v>0.4</v>
      </c>
      <c r="F22" s="1">
        <f>((1-D22*E22)/(1-(D22+0.01)*E22)-1)*H13</f>
        <v>645.93301435405533</v>
      </c>
      <c r="G22" s="1">
        <f>F22/20</f>
        <v>32.296650717702768</v>
      </c>
    </row>
    <row r="23" spans="2:9" x14ac:dyDescent="0.15">
      <c r="B23" s="1" t="s">
        <v>211</v>
      </c>
      <c r="C23" s="1" t="s">
        <v>229</v>
      </c>
      <c r="D23" s="1">
        <v>0.4</v>
      </c>
      <c r="E23" s="1">
        <v>0.4</v>
      </c>
      <c r="F23" s="1">
        <f>((1-D23*E23)/(1-(D23+0.01)*E23)-1)*H13</f>
        <v>645.93301435405533</v>
      </c>
      <c r="G23" s="1">
        <f>F23/20</f>
        <v>32.296650717702768</v>
      </c>
    </row>
    <row r="24" spans="2:9" x14ac:dyDescent="0.15">
      <c r="B24" s="1" t="s">
        <v>209</v>
      </c>
      <c r="C24" s="1" t="s">
        <v>230</v>
      </c>
      <c r="D24" s="1">
        <v>0.4</v>
      </c>
      <c r="E24" s="1">
        <v>0.4</v>
      </c>
      <c r="F24" s="1">
        <f>((D24+0.01)*E24-D24*E24)*H9</f>
        <v>800.00000000000068</v>
      </c>
      <c r="G24" s="1">
        <f>F24/20</f>
        <v>40.000000000000036</v>
      </c>
    </row>
    <row r="25" spans="2:9" x14ac:dyDescent="0.15">
      <c r="B25" s="1" t="s">
        <v>232</v>
      </c>
      <c r="C25" s="1" t="s">
        <v>231</v>
      </c>
      <c r="D25" s="1">
        <v>0.4</v>
      </c>
      <c r="E25" s="1">
        <v>0.4</v>
      </c>
      <c r="F25" s="1">
        <f>((D25+0.01)*E25-D25*E25)*H9</f>
        <v>800.00000000000068</v>
      </c>
      <c r="G25" s="1">
        <f>F25/20</f>
        <v>40.000000000000036</v>
      </c>
    </row>
    <row r="27" spans="2:9" x14ac:dyDescent="0.15">
      <c r="B27" s="1" t="s">
        <v>249</v>
      </c>
      <c r="C27" s="1" t="s">
        <v>254</v>
      </c>
      <c r="D27" s="1" t="s">
        <v>255</v>
      </c>
      <c r="E27" s="1" t="s">
        <v>259</v>
      </c>
      <c r="F27" s="1" t="s">
        <v>261</v>
      </c>
    </row>
    <row r="28" spans="2:9" x14ac:dyDescent="0.15">
      <c r="B28" s="1" t="s">
        <v>250</v>
      </c>
      <c r="C28" s="1">
        <v>0.01</v>
      </c>
      <c r="D28" s="1" t="s">
        <v>256</v>
      </c>
      <c r="E28" s="1">
        <f>0.01*1*H9</f>
        <v>2000</v>
      </c>
      <c r="F28" s="1">
        <f>E28/20</f>
        <v>100</v>
      </c>
    </row>
    <row r="29" spans="2:9" x14ac:dyDescent="0.15">
      <c r="B29" s="1" t="s">
        <v>253</v>
      </c>
      <c r="C29" s="1">
        <v>0.01</v>
      </c>
      <c r="D29" s="1" t="s">
        <v>257</v>
      </c>
    </row>
    <row r="30" spans="2:9" x14ac:dyDescent="0.15">
      <c r="B30" s="1" t="s">
        <v>251</v>
      </c>
      <c r="C30" s="1">
        <v>0.01</v>
      </c>
      <c r="D30" s="1" t="s">
        <v>258</v>
      </c>
    </row>
    <row r="31" spans="2:9" x14ac:dyDescent="0.15">
      <c r="B31" s="1" t="s">
        <v>252</v>
      </c>
      <c r="C31" s="1">
        <v>0.01</v>
      </c>
      <c r="D31" s="1">
        <v>0.06</v>
      </c>
      <c r="E31" s="1">
        <f>C31*D31*20*H9</f>
        <v>2399.9999999999995</v>
      </c>
    </row>
    <row r="33" spans="2:13" x14ac:dyDescent="0.15">
      <c r="B33" s="1" t="s">
        <v>309</v>
      </c>
    </row>
    <row r="34" spans="2:13" x14ac:dyDescent="0.15">
      <c r="B34" s="1" t="s">
        <v>237</v>
      </c>
      <c r="C34" s="1">
        <v>1</v>
      </c>
      <c r="D34" s="1">
        <v>2</v>
      </c>
      <c r="E34" s="1">
        <v>3</v>
      </c>
      <c r="F34" s="1">
        <v>4</v>
      </c>
    </row>
    <row r="35" spans="2:13" x14ac:dyDescent="0.15">
      <c r="B35" s="1" t="s">
        <v>313</v>
      </c>
      <c r="C35" s="1">
        <v>0.25</v>
      </c>
      <c r="D35" s="1">
        <v>0.45</v>
      </c>
      <c r="E35" s="1">
        <v>0.65</v>
      </c>
      <c r="F35" s="1">
        <v>0.8</v>
      </c>
    </row>
    <row r="36" spans="2:13" x14ac:dyDescent="0.15">
      <c r="B36" s="1" t="s">
        <v>310</v>
      </c>
      <c r="C36" s="1">
        <f>C35*$H$9</f>
        <v>50000</v>
      </c>
      <c r="D36" s="1">
        <f>D35*$H$9</f>
        <v>90000</v>
      </c>
      <c r="E36" s="1">
        <f>E35*$H$9</f>
        <v>130000</v>
      </c>
      <c r="F36" s="1">
        <f>F35*$H$9</f>
        <v>160000</v>
      </c>
    </row>
    <row r="37" spans="2:13" x14ac:dyDescent="0.15">
      <c r="B37" s="1" t="s">
        <v>540</v>
      </c>
      <c r="C37" s="1">
        <f>C36/4</f>
        <v>12500</v>
      </c>
      <c r="D37" s="1">
        <f>D36/4</f>
        <v>22500</v>
      </c>
      <c r="E37" s="1">
        <f>E36/4</f>
        <v>32500</v>
      </c>
      <c r="F37" s="1">
        <f>F36/4</f>
        <v>40000</v>
      </c>
      <c r="H37" s="1" t="s">
        <v>541</v>
      </c>
    </row>
    <row r="38" spans="2:13" x14ac:dyDescent="0.15">
      <c r="C38" s="1">
        <f>C37</f>
        <v>12500</v>
      </c>
      <c r="D38" s="1">
        <f>D37-C37</f>
        <v>10000</v>
      </c>
      <c r="E38" s="1">
        <f t="shared" ref="E38:F38" si="0">E37-D37</f>
        <v>10000</v>
      </c>
      <c r="F38" s="1">
        <f t="shared" si="0"/>
        <v>7500</v>
      </c>
    </row>
    <row r="40" spans="2:13" x14ac:dyDescent="0.15">
      <c r="B40" s="1" t="s">
        <v>311</v>
      </c>
    </row>
    <row r="41" spans="2:13" x14ac:dyDescent="0.15">
      <c r="B41" s="1" t="s">
        <v>237</v>
      </c>
      <c r="C41" s="1" t="s">
        <v>224</v>
      </c>
      <c r="D41" s="1" t="s">
        <v>314</v>
      </c>
      <c r="E41" s="1" t="s">
        <v>315</v>
      </c>
    </row>
    <row r="42" spans="2:13" x14ac:dyDescent="0.15">
      <c r="B42" s="1" t="s">
        <v>312</v>
      </c>
      <c r="C42" s="1">
        <f>0.6/3</f>
        <v>0.19999999999999998</v>
      </c>
      <c r="D42" s="1">
        <f>C42*4*2000*4</f>
        <v>6399.9999999999991</v>
      </c>
      <c r="E42" s="1">
        <v>4000</v>
      </c>
      <c r="F42" s="1">
        <f>E42/100</f>
        <v>40</v>
      </c>
    </row>
    <row r="44" spans="2:13" x14ac:dyDescent="0.15">
      <c r="B44" s="14" t="s">
        <v>48</v>
      </c>
      <c r="C44" s="15"/>
      <c r="D44" s="14" t="s">
        <v>33</v>
      </c>
      <c r="E44" s="15"/>
      <c r="F44" s="16" t="s">
        <v>243</v>
      </c>
      <c r="G44" s="16" t="s">
        <v>242</v>
      </c>
      <c r="H44" s="16" t="s">
        <v>244</v>
      </c>
      <c r="I44" s="16" t="s">
        <v>246</v>
      </c>
      <c r="J44" s="16" t="s">
        <v>247</v>
      </c>
    </row>
    <row r="45" spans="2:13" x14ac:dyDescent="0.15">
      <c r="B45" s="8" t="s">
        <v>47</v>
      </c>
      <c r="C45" s="9"/>
      <c r="D45" s="6" t="s">
        <v>8</v>
      </c>
      <c r="E45" s="7"/>
      <c r="F45" s="5">
        <v>1</v>
      </c>
      <c r="G45" s="5">
        <v>864000</v>
      </c>
      <c r="H45" s="5">
        <v>0.27</v>
      </c>
      <c r="I45" s="5">
        <f t="shared" ref="I45:I67" si="1">G45/F45*H45</f>
        <v>233280.00000000003</v>
      </c>
      <c r="J45" s="36">
        <f>I45/SUM($I$45:$I$67)</f>
        <v>0.21536189069423931</v>
      </c>
    </row>
    <row r="46" spans="2:13" x14ac:dyDescent="0.15">
      <c r="B46" s="12"/>
      <c r="C46" s="13"/>
      <c r="D46" s="6" t="s">
        <v>6</v>
      </c>
      <c r="E46" s="7"/>
      <c r="F46" s="5">
        <v>1</v>
      </c>
      <c r="G46" s="5">
        <v>172800</v>
      </c>
      <c r="H46" s="5">
        <v>2</v>
      </c>
      <c r="I46" s="5">
        <f t="shared" si="1"/>
        <v>345600</v>
      </c>
      <c r="J46" s="36">
        <f t="shared" ref="J46:J68" si="2">I46/SUM($I$45:$I$67)</f>
        <v>0.31905465288035451</v>
      </c>
    </row>
    <row r="47" spans="2:13" x14ac:dyDescent="0.15">
      <c r="B47" s="10"/>
      <c r="C47" s="11"/>
      <c r="D47" s="6" t="s">
        <v>7</v>
      </c>
      <c r="E47" s="7"/>
      <c r="F47" s="5">
        <v>1</v>
      </c>
      <c r="G47" s="5">
        <v>86400</v>
      </c>
      <c r="H47" s="5">
        <v>1.3</v>
      </c>
      <c r="I47" s="5">
        <f t="shared" si="1"/>
        <v>112320</v>
      </c>
      <c r="J47" s="36">
        <f t="shared" si="2"/>
        <v>0.10369276218611521</v>
      </c>
    </row>
    <row r="48" spans="2:13" x14ac:dyDescent="0.15">
      <c r="B48" s="8" t="s">
        <v>4</v>
      </c>
      <c r="C48" s="9"/>
      <c r="D48" s="6" t="s">
        <v>4</v>
      </c>
      <c r="E48" s="7"/>
      <c r="F48" s="5">
        <v>1</v>
      </c>
      <c r="G48" s="5">
        <v>8000</v>
      </c>
      <c r="H48" s="5">
        <v>5</v>
      </c>
      <c r="I48" s="5">
        <f t="shared" si="1"/>
        <v>40000</v>
      </c>
      <c r="J48" s="36">
        <f t="shared" si="2"/>
        <v>3.6927621861152143E-2</v>
      </c>
      <c r="M48" s="1" t="s">
        <v>248</v>
      </c>
    </row>
    <row r="49" spans="2:12" x14ac:dyDescent="0.15">
      <c r="B49" s="12"/>
      <c r="C49" s="13"/>
      <c r="D49" s="6" t="s">
        <v>9</v>
      </c>
      <c r="E49" s="7"/>
      <c r="F49" s="5">
        <v>1</v>
      </c>
      <c r="G49" s="5">
        <v>8000</v>
      </c>
      <c r="H49" s="5">
        <v>5</v>
      </c>
      <c r="I49" s="5">
        <f t="shared" si="1"/>
        <v>40000</v>
      </c>
      <c r="J49" s="36">
        <f t="shared" si="2"/>
        <v>3.6927621861152143E-2</v>
      </c>
    </row>
    <row r="50" spans="2:12" x14ac:dyDescent="0.15">
      <c r="B50" s="12"/>
      <c r="C50" s="13"/>
      <c r="D50" s="6" t="s">
        <v>29</v>
      </c>
      <c r="E50" s="7"/>
      <c r="F50" s="5">
        <v>1E-4</v>
      </c>
      <c r="G50" s="5">
        <v>4</v>
      </c>
      <c r="H50" s="5">
        <v>0.4</v>
      </c>
      <c r="I50" s="5">
        <f t="shared" si="1"/>
        <v>16000</v>
      </c>
      <c r="J50" s="36">
        <f t="shared" si="2"/>
        <v>1.4771048744460856E-2</v>
      </c>
      <c r="L50" s="23"/>
    </row>
    <row r="51" spans="2:12" x14ac:dyDescent="0.15">
      <c r="B51" s="10"/>
      <c r="C51" s="11"/>
      <c r="D51" s="6" t="s">
        <v>76</v>
      </c>
      <c r="E51" s="7"/>
      <c r="F51" s="5">
        <v>1E-4</v>
      </c>
      <c r="G51" s="5">
        <v>4</v>
      </c>
      <c r="H51" s="5">
        <v>0.4</v>
      </c>
      <c r="I51" s="5">
        <f t="shared" si="1"/>
        <v>16000</v>
      </c>
      <c r="J51" s="36">
        <f t="shared" si="2"/>
        <v>1.4771048744460856E-2</v>
      </c>
    </row>
    <row r="52" spans="2:12" x14ac:dyDescent="0.15">
      <c r="B52" s="8" t="s">
        <v>5</v>
      </c>
      <c r="C52" s="9"/>
      <c r="D52" s="6" t="s">
        <v>5</v>
      </c>
      <c r="E52" s="7"/>
      <c r="F52" s="5">
        <v>1</v>
      </c>
      <c r="G52" s="5">
        <v>8000</v>
      </c>
      <c r="H52" s="5">
        <v>5</v>
      </c>
      <c r="I52" s="5">
        <f t="shared" si="1"/>
        <v>40000</v>
      </c>
      <c r="J52" s="36">
        <f t="shared" si="2"/>
        <v>3.6927621861152143E-2</v>
      </c>
    </row>
    <row r="53" spans="2:12" x14ac:dyDescent="0.15">
      <c r="B53" s="12"/>
      <c r="C53" s="13"/>
      <c r="D53" s="6" t="s">
        <v>11</v>
      </c>
      <c r="E53" s="7"/>
      <c r="F53" s="5">
        <v>1</v>
      </c>
      <c r="G53" s="5">
        <v>8000</v>
      </c>
      <c r="H53" s="5">
        <v>5</v>
      </c>
      <c r="I53" s="5">
        <f t="shared" si="1"/>
        <v>40000</v>
      </c>
      <c r="J53" s="36">
        <f t="shared" si="2"/>
        <v>3.6927621861152143E-2</v>
      </c>
    </row>
    <row r="54" spans="2:12" x14ac:dyDescent="0.15">
      <c r="B54" s="12"/>
      <c r="C54" s="13"/>
      <c r="D54" s="6" t="s">
        <v>28</v>
      </c>
      <c r="E54" s="7"/>
      <c r="F54" s="5">
        <v>1E-4</v>
      </c>
      <c r="G54" s="5">
        <v>4</v>
      </c>
      <c r="H54" s="5">
        <v>0.4</v>
      </c>
      <c r="I54" s="5">
        <f t="shared" si="1"/>
        <v>16000</v>
      </c>
      <c r="J54" s="36">
        <f t="shared" si="2"/>
        <v>1.4771048744460856E-2</v>
      </c>
    </row>
    <row r="55" spans="2:12" x14ac:dyDescent="0.15">
      <c r="B55" s="12"/>
      <c r="C55" s="13"/>
      <c r="D55" s="6" t="s">
        <v>79</v>
      </c>
      <c r="E55" s="7"/>
      <c r="F55" s="5">
        <v>1E-4</v>
      </c>
      <c r="G55" s="5">
        <v>4</v>
      </c>
      <c r="H55" s="5">
        <v>0.4</v>
      </c>
      <c r="I55" s="5">
        <f t="shared" si="1"/>
        <v>16000</v>
      </c>
      <c r="J55" s="36">
        <f t="shared" si="2"/>
        <v>1.4771048744460856E-2</v>
      </c>
    </row>
    <row r="56" spans="2:12" x14ac:dyDescent="0.15">
      <c r="B56" s="12"/>
      <c r="C56" s="13"/>
      <c r="D56" s="6" t="s">
        <v>27</v>
      </c>
      <c r="E56" s="7"/>
      <c r="F56" s="5">
        <v>1E-4</v>
      </c>
      <c r="G56" s="5">
        <v>1</v>
      </c>
      <c r="H56" s="5">
        <v>0.4</v>
      </c>
      <c r="I56" s="5">
        <f t="shared" si="1"/>
        <v>4000</v>
      </c>
      <c r="J56" s="36">
        <f t="shared" si="2"/>
        <v>3.692762186115214E-3</v>
      </c>
    </row>
    <row r="57" spans="2:12" x14ac:dyDescent="0.15">
      <c r="B57" s="10"/>
      <c r="C57" s="11"/>
      <c r="D57" s="6" t="s">
        <v>34</v>
      </c>
      <c r="E57" s="7"/>
      <c r="F57" s="5">
        <v>1E-4</v>
      </c>
      <c r="G57" s="5">
        <v>1</v>
      </c>
      <c r="H57" s="5">
        <v>0.4</v>
      </c>
      <c r="I57" s="5">
        <f t="shared" si="1"/>
        <v>4000</v>
      </c>
      <c r="J57" s="36">
        <f t="shared" si="2"/>
        <v>3.692762186115214E-3</v>
      </c>
    </row>
    <row r="58" spans="2:12" x14ac:dyDescent="0.15">
      <c r="B58" s="8" t="s">
        <v>36</v>
      </c>
      <c r="C58" s="9"/>
      <c r="D58" s="6" t="s">
        <v>37</v>
      </c>
      <c r="E58" s="7"/>
      <c r="F58" s="5">
        <v>1</v>
      </c>
      <c r="G58" s="5">
        <v>8000</v>
      </c>
      <c r="H58" s="5">
        <v>5</v>
      </c>
      <c r="I58" s="5">
        <f t="shared" si="1"/>
        <v>40000</v>
      </c>
      <c r="J58" s="36">
        <f t="shared" si="2"/>
        <v>3.6927621861152143E-2</v>
      </c>
    </row>
    <row r="59" spans="2:12" x14ac:dyDescent="0.15">
      <c r="B59" s="12"/>
      <c r="C59" s="13"/>
      <c r="D59" s="6" t="s">
        <v>36</v>
      </c>
      <c r="E59" s="7"/>
      <c r="F59" s="5">
        <v>1</v>
      </c>
      <c r="G59" s="5">
        <v>8000</v>
      </c>
      <c r="H59" s="5">
        <v>5</v>
      </c>
      <c r="I59" s="5">
        <f t="shared" si="1"/>
        <v>40000</v>
      </c>
      <c r="J59" s="36">
        <f t="shared" si="2"/>
        <v>3.6927621861152143E-2</v>
      </c>
    </row>
    <row r="60" spans="2:12" x14ac:dyDescent="0.15">
      <c r="B60" s="12"/>
      <c r="C60" s="13"/>
      <c r="D60" s="6" t="s">
        <v>83</v>
      </c>
      <c r="E60" s="7"/>
      <c r="F60" s="5">
        <v>1E-4</v>
      </c>
      <c r="G60" s="5">
        <v>4</v>
      </c>
      <c r="H60" s="5">
        <v>0.4</v>
      </c>
      <c r="I60" s="5">
        <f t="shared" si="1"/>
        <v>16000</v>
      </c>
      <c r="J60" s="36">
        <f t="shared" si="2"/>
        <v>1.4771048744460856E-2</v>
      </c>
    </row>
    <row r="61" spans="2:12" x14ac:dyDescent="0.15">
      <c r="B61" s="10"/>
      <c r="C61" s="11"/>
      <c r="D61" s="6" t="s">
        <v>38</v>
      </c>
      <c r="E61" s="7"/>
      <c r="F61" s="5">
        <v>1E-4</v>
      </c>
      <c r="G61" s="5">
        <v>4</v>
      </c>
      <c r="H61" s="5">
        <v>0.4</v>
      </c>
      <c r="I61" s="5">
        <f t="shared" si="1"/>
        <v>16000</v>
      </c>
      <c r="J61" s="36">
        <f t="shared" si="2"/>
        <v>1.4771048744460856E-2</v>
      </c>
    </row>
    <row r="62" spans="2:12" x14ac:dyDescent="0.15">
      <c r="B62" s="12" t="s">
        <v>84</v>
      </c>
      <c r="C62" s="13"/>
      <c r="D62" s="6" t="s">
        <v>85</v>
      </c>
      <c r="E62" s="7"/>
      <c r="F62" s="5">
        <v>1E-4</v>
      </c>
      <c r="G62" s="5">
        <v>1</v>
      </c>
      <c r="H62" s="5">
        <v>0.8</v>
      </c>
      <c r="I62" s="5">
        <f t="shared" si="1"/>
        <v>8000</v>
      </c>
      <c r="J62" s="36">
        <f t="shared" si="2"/>
        <v>7.385524372230428E-3</v>
      </c>
    </row>
    <row r="63" spans="2:12" x14ac:dyDescent="0.15">
      <c r="B63" s="12"/>
      <c r="C63" s="13"/>
      <c r="D63" s="6" t="s">
        <v>86</v>
      </c>
      <c r="E63" s="7"/>
      <c r="F63" s="5">
        <v>1E-4</v>
      </c>
      <c r="G63" s="5">
        <v>1</v>
      </c>
      <c r="H63" s="5">
        <v>0.8</v>
      </c>
      <c r="I63" s="5">
        <f t="shared" si="1"/>
        <v>8000</v>
      </c>
      <c r="J63" s="36">
        <f t="shared" si="2"/>
        <v>7.385524372230428E-3</v>
      </c>
    </row>
    <row r="64" spans="2:12" x14ac:dyDescent="0.15">
      <c r="B64" s="12"/>
      <c r="C64" s="13"/>
      <c r="D64" s="6" t="s">
        <v>50</v>
      </c>
      <c r="E64" s="7"/>
      <c r="F64" s="5">
        <v>1E-4</v>
      </c>
      <c r="G64" s="5">
        <v>1</v>
      </c>
      <c r="H64" s="5">
        <v>0.8</v>
      </c>
      <c r="I64" s="5">
        <f t="shared" si="1"/>
        <v>8000</v>
      </c>
      <c r="J64" s="36">
        <f t="shared" si="2"/>
        <v>7.385524372230428E-3</v>
      </c>
    </row>
    <row r="65" spans="2:10" x14ac:dyDescent="0.15">
      <c r="B65" s="12"/>
      <c r="C65" s="13"/>
      <c r="D65" s="6" t="s">
        <v>87</v>
      </c>
      <c r="E65" s="7"/>
      <c r="F65" s="5">
        <v>1E-4</v>
      </c>
      <c r="G65" s="5">
        <v>1</v>
      </c>
      <c r="H65" s="5">
        <v>0.8</v>
      </c>
      <c r="I65" s="5">
        <f t="shared" si="1"/>
        <v>8000</v>
      </c>
      <c r="J65" s="36">
        <f t="shared" si="2"/>
        <v>7.385524372230428E-3</v>
      </c>
    </row>
    <row r="66" spans="2:10" x14ac:dyDescent="0.15">
      <c r="B66" s="8" t="s">
        <v>88</v>
      </c>
      <c r="C66" s="9"/>
      <c r="D66" s="6" t="s">
        <v>14</v>
      </c>
      <c r="E66" s="7"/>
      <c r="F66" s="5">
        <v>1E-4</v>
      </c>
      <c r="G66" s="5">
        <v>2</v>
      </c>
      <c r="H66" s="5">
        <v>0.4</v>
      </c>
      <c r="I66" s="5">
        <f t="shared" si="1"/>
        <v>8000</v>
      </c>
      <c r="J66" s="36">
        <f t="shared" si="2"/>
        <v>7.385524372230428E-3</v>
      </c>
    </row>
    <row r="67" spans="2:10" x14ac:dyDescent="0.15">
      <c r="B67" s="10"/>
      <c r="C67" s="11"/>
      <c r="D67" s="6" t="s">
        <v>15</v>
      </c>
      <c r="E67" s="7"/>
      <c r="F67" s="5">
        <v>1E-4</v>
      </c>
      <c r="G67" s="5">
        <v>2</v>
      </c>
      <c r="H67" s="5">
        <v>0.4</v>
      </c>
      <c r="I67" s="5">
        <f t="shared" si="1"/>
        <v>8000</v>
      </c>
      <c r="J67" s="36">
        <f t="shared" si="2"/>
        <v>7.385524372230428E-3</v>
      </c>
    </row>
    <row r="68" spans="2:10" x14ac:dyDescent="0.15">
      <c r="I68" s="1">
        <f>SUM(I45:I67)</f>
        <v>1083200</v>
      </c>
      <c r="J68" s="1">
        <f t="shared" si="2"/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7"/>
  <sheetViews>
    <sheetView topLeftCell="A13" zoomScale="80" zoomScaleNormal="80" workbookViewId="0">
      <selection activeCell="N12" sqref="N12"/>
    </sheetView>
  </sheetViews>
  <sheetFormatPr defaultRowHeight="13.5" x14ac:dyDescent="0.15"/>
  <cols>
    <col min="1" max="1" width="9" style="1"/>
    <col min="2" max="2" width="11" style="1" customWidth="1"/>
    <col min="3" max="3" width="9" style="1"/>
    <col min="4" max="4" width="12.75" style="1" customWidth="1"/>
    <col min="5" max="13" width="9" style="1"/>
    <col min="14" max="14" width="19.375" style="1" customWidth="1"/>
    <col min="15" max="16384" width="9" style="1"/>
  </cols>
  <sheetData>
    <row r="1" spans="1:19" s="17" customFormat="1" x14ac:dyDescent="0.15">
      <c r="A1" s="17" t="s">
        <v>346</v>
      </c>
    </row>
    <row r="2" spans="1:19" ht="10.5" customHeight="1" x14ac:dyDescent="0.15"/>
    <row r="3" spans="1:19" ht="10.5" customHeight="1" x14ac:dyDescent="0.15">
      <c r="B3" s="16" t="s">
        <v>355</v>
      </c>
      <c r="C3" s="5">
        <v>200</v>
      </c>
    </row>
    <row r="4" spans="1:19" ht="10.5" customHeight="1" x14ac:dyDescent="0.15">
      <c r="B4" s="16" t="s">
        <v>538</v>
      </c>
      <c r="C4" s="5">
        <v>30</v>
      </c>
    </row>
    <row r="5" spans="1:19" ht="10.5" customHeight="1" x14ac:dyDescent="0.15"/>
    <row r="6" spans="1:19" x14ac:dyDescent="0.15">
      <c r="B6" s="16" t="s">
        <v>347</v>
      </c>
      <c r="C6" s="16" t="s">
        <v>348</v>
      </c>
      <c r="D6" s="16" t="s">
        <v>279</v>
      </c>
      <c r="E6" s="14" t="s">
        <v>537</v>
      </c>
      <c r="F6" s="19"/>
      <c r="G6" s="19"/>
      <c r="H6" s="19"/>
      <c r="I6" s="19"/>
      <c r="J6" s="15"/>
      <c r="K6" s="1" t="s">
        <v>368</v>
      </c>
      <c r="L6" s="1" t="s">
        <v>369</v>
      </c>
    </row>
    <row r="7" spans="1:19" x14ac:dyDescent="0.15">
      <c r="B7" s="5" t="s">
        <v>362</v>
      </c>
      <c r="C7" s="5" t="s">
        <v>349</v>
      </c>
      <c r="D7" s="5" t="s">
        <v>165</v>
      </c>
      <c r="E7" s="6" t="s">
        <v>426</v>
      </c>
      <c r="F7" s="18"/>
      <c r="G7" s="18"/>
      <c r="H7" s="18"/>
      <c r="I7" s="18"/>
      <c r="J7" s="7"/>
      <c r="L7" s="1">
        <v>2</v>
      </c>
    </row>
    <row r="8" spans="1:19" x14ac:dyDescent="0.15">
      <c r="B8" s="5" t="s">
        <v>363</v>
      </c>
      <c r="C8" s="5" t="s">
        <v>349</v>
      </c>
      <c r="D8" s="5" t="s">
        <v>539</v>
      </c>
      <c r="E8" s="6" t="s">
        <v>427</v>
      </c>
      <c r="F8" s="18"/>
      <c r="G8" s="18"/>
      <c r="H8" s="18"/>
      <c r="I8" s="18"/>
      <c r="J8" s="7"/>
      <c r="K8" s="1">
        <v>0.1</v>
      </c>
      <c r="L8" s="1">
        <v>8</v>
      </c>
    </row>
    <row r="9" spans="1:19" x14ac:dyDescent="0.15">
      <c r="B9" s="5" t="s">
        <v>364</v>
      </c>
      <c r="C9" s="5" t="s">
        <v>349</v>
      </c>
      <c r="D9" s="5" t="s">
        <v>166</v>
      </c>
      <c r="E9" s="6" t="s">
        <v>428</v>
      </c>
      <c r="F9" s="18"/>
      <c r="G9" s="18"/>
      <c r="H9" s="18"/>
      <c r="I9" s="18"/>
      <c r="J9" s="7"/>
      <c r="L9" s="1">
        <v>8</v>
      </c>
    </row>
    <row r="10" spans="1:19" x14ac:dyDescent="0.15">
      <c r="B10" s="5" t="s">
        <v>350</v>
      </c>
      <c r="C10" s="5" t="s">
        <v>349</v>
      </c>
      <c r="D10" s="5" t="s">
        <v>352</v>
      </c>
      <c r="E10" s="6"/>
      <c r="F10" s="18"/>
      <c r="G10" s="18"/>
      <c r="H10" s="18"/>
      <c r="I10" s="18"/>
      <c r="J10" s="7"/>
      <c r="K10" s="1">
        <v>0.6</v>
      </c>
    </row>
    <row r="11" spans="1:19" x14ac:dyDescent="0.15">
      <c r="B11" s="5" t="s">
        <v>365</v>
      </c>
      <c r="C11" s="5" t="s">
        <v>349</v>
      </c>
      <c r="D11" s="5" t="s">
        <v>353</v>
      </c>
      <c r="E11" s="6"/>
      <c r="F11" s="18"/>
      <c r="G11" s="18"/>
      <c r="H11" s="18"/>
      <c r="I11" s="18"/>
      <c r="J11" s="7"/>
      <c r="K11" s="1">
        <v>0</v>
      </c>
    </row>
    <row r="12" spans="1:19" x14ac:dyDescent="0.15">
      <c r="B12" s="5" t="s">
        <v>366</v>
      </c>
      <c r="C12" s="5" t="s">
        <v>351</v>
      </c>
      <c r="D12" s="5" t="s">
        <v>430</v>
      </c>
      <c r="E12" s="6" t="s">
        <v>431</v>
      </c>
      <c r="F12" s="18"/>
      <c r="G12" s="18"/>
      <c r="H12" s="18"/>
      <c r="I12" s="18"/>
      <c r="J12" s="7"/>
      <c r="L12" s="1">
        <v>3</v>
      </c>
    </row>
    <row r="13" spans="1:19" x14ac:dyDescent="0.15">
      <c r="B13" s="5" t="s">
        <v>367</v>
      </c>
      <c r="C13" s="5" t="s">
        <v>351</v>
      </c>
      <c r="D13" s="5" t="s">
        <v>354</v>
      </c>
      <c r="E13" s="6" t="s">
        <v>429</v>
      </c>
      <c r="F13" s="18"/>
      <c r="G13" s="18"/>
      <c r="H13" s="18"/>
      <c r="I13" s="18"/>
      <c r="J13" s="7"/>
      <c r="L13" s="1">
        <v>2</v>
      </c>
    </row>
    <row r="15" spans="1:19" x14ac:dyDescent="0.15">
      <c r="B15" s="16" t="s">
        <v>482</v>
      </c>
      <c r="C15" s="14" t="s">
        <v>362</v>
      </c>
      <c r="D15" s="19"/>
      <c r="E15" s="14" t="s">
        <v>363</v>
      </c>
      <c r="F15" s="15"/>
      <c r="G15" s="14" t="s">
        <v>364</v>
      </c>
      <c r="H15" s="15"/>
      <c r="I15" s="14" t="s">
        <v>350</v>
      </c>
      <c r="J15" s="19"/>
      <c r="K15" s="19"/>
      <c r="L15" s="19"/>
      <c r="M15" s="15"/>
      <c r="N15" s="14" t="s">
        <v>365</v>
      </c>
      <c r="O15" s="15"/>
      <c r="P15" s="14" t="s">
        <v>366</v>
      </c>
      <c r="Q15" s="15"/>
      <c r="R15" s="14" t="s">
        <v>367</v>
      </c>
      <c r="S15" s="15"/>
    </row>
    <row r="16" spans="1:19" x14ac:dyDescent="0.15">
      <c r="B16" s="16" t="s">
        <v>481</v>
      </c>
      <c r="C16" s="14">
        <v>1</v>
      </c>
      <c r="D16" s="19"/>
      <c r="E16" s="14">
        <v>1</v>
      </c>
      <c r="F16" s="19"/>
      <c r="G16" s="91">
        <v>4</v>
      </c>
      <c r="H16" s="92"/>
      <c r="I16" s="14" t="s">
        <v>543</v>
      </c>
      <c r="J16" s="19"/>
      <c r="K16" s="15"/>
      <c r="L16" s="14" t="s">
        <v>484</v>
      </c>
      <c r="M16" s="15"/>
      <c r="N16" s="91">
        <v>6</v>
      </c>
      <c r="O16" s="92"/>
      <c r="P16" s="91" t="s">
        <v>483</v>
      </c>
      <c r="Q16" s="92"/>
      <c r="R16" s="14">
        <v>1</v>
      </c>
      <c r="S16" s="15"/>
    </row>
    <row r="17" spans="2:19" x14ac:dyDescent="0.15">
      <c r="B17" s="16" t="s">
        <v>480</v>
      </c>
      <c r="C17" s="16" t="s">
        <v>478</v>
      </c>
      <c r="D17" s="16" t="s">
        <v>479</v>
      </c>
      <c r="E17" s="16" t="s">
        <v>478</v>
      </c>
      <c r="F17" s="16" t="s">
        <v>479</v>
      </c>
      <c r="G17" s="16" t="s">
        <v>478</v>
      </c>
      <c r="H17" s="16" t="s">
        <v>479</v>
      </c>
      <c r="I17" s="16" t="s">
        <v>542</v>
      </c>
      <c r="J17" s="16" t="s">
        <v>478</v>
      </c>
      <c r="K17" s="16" t="s">
        <v>479</v>
      </c>
      <c r="L17" s="16" t="s">
        <v>473</v>
      </c>
      <c r="M17" s="16" t="s">
        <v>479</v>
      </c>
      <c r="N17" s="16" t="s">
        <v>478</v>
      </c>
      <c r="O17" s="16" t="s">
        <v>479</v>
      </c>
      <c r="P17" s="16" t="s">
        <v>478</v>
      </c>
      <c r="Q17" s="16" t="s">
        <v>479</v>
      </c>
      <c r="R17" s="16" t="s">
        <v>478</v>
      </c>
      <c r="S17" s="16" t="s">
        <v>479</v>
      </c>
    </row>
    <row r="18" spans="2:19" x14ac:dyDescent="0.15">
      <c r="B18" s="5">
        <v>1</v>
      </c>
      <c r="C18" s="5">
        <v>4.28</v>
      </c>
      <c r="D18" s="5">
        <v>50</v>
      </c>
      <c r="E18" s="5">
        <v>4.28</v>
      </c>
      <c r="F18" s="5">
        <v>50</v>
      </c>
      <c r="G18" s="5">
        <v>1.2</v>
      </c>
      <c r="H18" s="5">
        <v>50</v>
      </c>
      <c r="I18" s="5">
        <v>3</v>
      </c>
      <c r="J18" s="5">
        <v>0.1</v>
      </c>
      <c r="K18" s="5">
        <v>0</v>
      </c>
      <c r="L18" s="5">
        <f>ROUND(C18/3,2)</f>
        <v>1.43</v>
      </c>
      <c r="M18" s="5">
        <v>50</v>
      </c>
      <c r="N18" s="5">
        <v>0.84</v>
      </c>
      <c r="O18" s="5">
        <v>50</v>
      </c>
      <c r="P18" s="5">
        <v>0.84</v>
      </c>
      <c r="Q18" s="93">
        <v>0</v>
      </c>
      <c r="R18" s="5">
        <v>4.28</v>
      </c>
      <c r="S18" s="5">
        <v>50</v>
      </c>
    </row>
    <row r="19" spans="2:19" x14ac:dyDescent="0.15">
      <c r="B19" s="5">
        <v>2</v>
      </c>
      <c r="C19" s="5">
        <v>4.5</v>
      </c>
      <c r="D19" s="5">
        <v>100</v>
      </c>
      <c r="E19" s="5">
        <v>4.5</v>
      </c>
      <c r="F19" s="5">
        <v>100</v>
      </c>
      <c r="G19" s="5">
        <v>1.25</v>
      </c>
      <c r="H19" s="5">
        <v>100</v>
      </c>
      <c r="I19" s="5">
        <v>3</v>
      </c>
      <c r="J19" s="5">
        <v>0.1</v>
      </c>
      <c r="K19" s="5">
        <v>0</v>
      </c>
      <c r="L19" s="5">
        <f t="shared" ref="L19:L32" si="0">ROUND(C19/3,2)</f>
        <v>1.5</v>
      </c>
      <c r="M19" s="5">
        <v>100</v>
      </c>
      <c r="N19" s="5">
        <v>0.88</v>
      </c>
      <c r="O19" s="5">
        <v>100</v>
      </c>
      <c r="P19" s="5">
        <v>0.88</v>
      </c>
      <c r="Q19" s="93">
        <v>0</v>
      </c>
      <c r="R19" s="5">
        <v>4.5</v>
      </c>
      <c r="S19" s="5">
        <v>100</v>
      </c>
    </row>
    <row r="20" spans="2:19" x14ac:dyDescent="0.15">
      <c r="B20" s="5">
        <v>3</v>
      </c>
      <c r="C20" s="5">
        <v>4.8899999999999997</v>
      </c>
      <c r="D20" s="5">
        <v>150</v>
      </c>
      <c r="E20" s="5">
        <v>4.8899999999999997</v>
      </c>
      <c r="F20" s="5">
        <v>150</v>
      </c>
      <c r="G20" s="5">
        <v>1.37</v>
      </c>
      <c r="H20" s="5">
        <v>150</v>
      </c>
      <c r="I20" s="5">
        <v>3</v>
      </c>
      <c r="J20" s="5">
        <v>0.1</v>
      </c>
      <c r="K20" s="5">
        <v>0</v>
      </c>
      <c r="L20" s="5">
        <f t="shared" si="0"/>
        <v>1.63</v>
      </c>
      <c r="M20" s="5">
        <v>150</v>
      </c>
      <c r="N20" s="5">
        <v>0.96</v>
      </c>
      <c r="O20" s="5">
        <v>150</v>
      </c>
      <c r="P20" s="5">
        <v>0.96</v>
      </c>
      <c r="Q20" s="93">
        <v>0</v>
      </c>
      <c r="R20" s="5">
        <v>4.8899999999999997</v>
      </c>
      <c r="S20" s="5">
        <v>150</v>
      </c>
    </row>
    <row r="21" spans="2:19" x14ac:dyDescent="0.15">
      <c r="B21" s="5">
        <v>4</v>
      </c>
      <c r="C21" s="5">
        <v>5.3</v>
      </c>
      <c r="D21" s="5">
        <v>200</v>
      </c>
      <c r="E21" s="5">
        <v>5.3</v>
      </c>
      <c r="F21" s="5">
        <v>200</v>
      </c>
      <c r="G21" s="5">
        <v>1.48</v>
      </c>
      <c r="H21" s="5">
        <v>200</v>
      </c>
      <c r="I21" s="5">
        <v>3</v>
      </c>
      <c r="J21" s="5">
        <v>0.1</v>
      </c>
      <c r="K21" s="5">
        <v>0</v>
      </c>
      <c r="L21" s="5">
        <f t="shared" si="0"/>
        <v>1.77</v>
      </c>
      <c r="M21" s="5">
        <v>200</v>
      </c>
      <c r="N21" s="5">
        <v>1.04</v>
      </c>
      <c r="O21" s="5">
        <v>200</v>
      </c>
      <c r="P21" s="5">
        <v>1.04</v>
      </c>
      <c r="Q21" s="93">
        <v>0</v>
      </c>
      <c r="R21" s="5">
        <v>5.3</v>
      </c>
      <c r="S21" s="5">
        <v>200</v>
      </c>
    </row>
    <row r="22" spans="2:19" x14ac:dyDescent="0.15">
      <c r="B22" s="5">
        <v>5</v>
      </c>
      <c r="C22" s="5">
        <v>5.72</v>
      </c>
      <c r="D22" s="5">
        <v>250</v>
      </c>
      <c r="E22" s="5">
        <v>5.72</v>
      </c>
      <c r="F22" s="5">
        <v>250</v>
      </c>
      <c r="G22" s="5">
        <v>1.6</v>
      </c>
      <c r="H22" s="5">
        <v>250</v>
      </c>
      <c r="I22" s="5">
        <v>3</v>
      </c>
      <c r="J22" s="5">
        <v>0.1</v>
      </c>
      <c r="K22" s="5">
        <v>0</v>
      </c>
      <c r="L22" s="5">
        <f t="shared" si="0"/>
        <v>1.91</v>
      </c>
      <c r="M22" s="5">
        <v>250</v>
      </c>
      <c r="N22" s="5">
        <v>1.1200000000000001</v>
      </c>
      <c r="O22" s="5">
        <v>250</v>
      </c>
      <c r="P22" s="5">
        <v>1.1200000000000001</v>
      </c>
      <c r="Q22" s="93">
        <v>0</v>
      </c>
      <c r="R22" s="5">
        <v>5.72</v>
      </c>
      <c r="S22" s="5">
        <v>250</v>
      </c>
    </row>
    <row r="23" spans="2:19" x14ac:dyDescent="0.15">
      <c r="B23" s="5">
        <v>6</v>
      </c>
      <c r="C23" s="5">
        <v>6.16</v>
      </c>
      <c r="D23" s="5">
        <v>300</v>
      </c>
      <c r="E23" s="5">
        <v>6.16</v>
      </c>
      <c r="F23" s="5">
        <v>300</v>
      </c>
      <c r="G23" s="5">
        <v>1.72</v>
      </c>
      <c r="H23" s="5">
        <v>300</v>
      </c>
      <c r="I23" s="5">
        <v>3</v>
      </c>
      <c r="J23" s="5">
        <v>0.1</v>
      </c>
      <c r="K23" s="5">
        <v>0</v>
      </c>
      <c r="L23" s="5">
        <f t="shared" si="0"/>
        <v>2.0499999999999998</v>
      </c>
      <c r="M23" s="5">
        <v>300</v>
      </c>
      <c r="N23" s="5">
        <v>1.21</v>
      </c>
      <c r="O23" s="5">
        <v>300</v>
      </c>
      <c r="P23" s="5">
        <v>1.21</v>
      </c>
      <c r="Q23" s="93">
        <v>0</v>
      </c>
      <c r="R23" s="5">
        <v>6.16</v>
      </c>
      <c r="S23" s="5">
        <v>300</v>
      </c>
    </row>
    <row r="24" spans="2:19" x14ac:dyDescent="0.15">
      <c r="B24" s="5">
        <v>7</v>
      </c>
      <c r="C24" s="5">
        <v>6.63</v>
      </c>
      <c r="D24" s="5">
        <v>350</v>
      </c>
      <c r="E24" s="5">
        <v>6.63</v>
      </c>
      <c r="F24" s="5">
        <v>350</v>
      </c>
      <c r="G24" s="5">
        <v>1.85</v>
      </c>
      <c r="H24" s="5">
        <v>350</v>
      </c>
      <c r="I24" s="5">
        <v>3</v>
      </c>
      <c r="J24" s="5">
        <v>0.1</v>
      </c>
      <c r="K24" s="5">
        <v>0</v>
      </c>
      <c r="L24" s="5">
        <f t="shared" si="0"/>
        <v>2.21</v>
      </c>
      <c r="M24" s="5">
        <v>350</v>
      </c>
      <c r="N24" s="5">
        <v>1.3</v>
      </c>
      <c r="O24" s="5">
        <v>350</v>
      </c>
      <c r="P24" s="5">
        <v>1.3</v>
      </c>
      <c r="Q24" s="93">
        <v>0</v>
      </c>
      <c r="R24" s="5">
        <v>6.63</v>
      </c>
      <c r="S24" s="5">
        <v>350</v>
      </c>
    </row>
    <row r="25" spans="2:19" x14ac:dyDescent="0.15">
      <c r="B25" s="5">
        <v>8</v>
      </c>
      <c r="C25" s="5">
        <v>7.11</v>
      </c>
      <c r="D25" s="5">
        <v>400</v>
      </c>
      <c r="E25" s="5">
        <v>7.11</v>
      </c>
      <c r="F25" s="5">
        <v>400</v>
      </c>
      <c r="G25" s="5">
        <v>1.99</v>
      </c>
      <c r="H25" s="5">
        <v>400</v>
      </c>
      <c r="I25" s="5">
        <v>3</v>
      </c>
      <c r="J25" s="5">
        <v>0.1</v>
      </c>
      <c r="K25" s="5">
        <v>0</v>
      </c>
      <c r="L25" s="5">
        <f t="shared" si="0"/>
        <v>2.37</v>
      </c>
      <c r="M25" s="5">
        <v>400</v>
      </c>
      <c r="N25" s="5">
        <v>1.39</v>
      </c>
      <c r="O25" s="5">
        <v>400</v>
      </c>
      <c r="P25" s="5">
        <v>1.39</v>
      </c>
      <c r="Q25" s="93">
        <v>0</v>
      </c>
      <c r="R25" s="5">
        <v>7.11</v>
      </c>
      <c r="S25" s="5">
        <v>400</v>
      </c>
    </row>
    <row r="26" spans="2:19" x14ac:dyDescent="0.15">
      <c r="B26" s="5">
        <v>9</v>
      </c>
      <c r="C26" s="5">
        <v>7.62</v>
      </c>
      <c r="D26" s="5">
        <v>450</v>
      </c>
      <c r="E26" s="5">
        <v>7.62</v>
      </c>
      <c r="F26" s="5">
        <v>450</v>
      </c>
      <c r="G26" s="5">
        <v>2.13</v>
      </c>
      <c r="H26" s="5">
        <v>450</v>
      </c>
      <c r="I26" s="5">
        <v>3</v>
      </c>
      <c r="J26" s="5">
        <v>0.1</v>
      </c>
      <c r="K26" s="5">
        <v>0</v>
      </c>
      <c r="L26" s="5">
        <f t="shared" si="0"/>
        <v>2.54</v>
      </c>
      <c r="M26" s="5">
        <v>450</v>
      </c>
      <c r="N26" s="5">
        <v>1.49</v>
      </c>
      <c r="O26" s="5">
        <v>450</v>
      </c>
      <c r="P26" s="5">
        <v>1.49</v>
      </c>
      <c r="Q26" s="93">
        <v>0</v>
      </c>
      <c r="R26" s="5">
        <v>7.62</v>
      </c>
      <c r="S26" s="5">
        <v>450</v>
      </c>
    </row>
    <row r="27" spans="2:19" x14ac:dyDescent="0.15">
      <c r="B27" s="5">
        <v>10</v>
      </c>
      <c r="C27" s="5">
        <v>8.1300000000000008</v>
      </c>
      <c r="D27" s="5">
        <v>500</v>
      </c>
      <c r="E27" s="5">
        <v>8.1300000000000008</v>
      </c>
      <c r="F27" s="5">
        <v>500</v>
      </c>
      <c r="G27" s="5">
        <v>2.27</v>
      </c>
      <c r="H27" s="5">
        <v>500</v>
      </c>
      <c r="I27" s="5">
        <v>3</v>
      </c>
      <c r="J27" s="5">
        <v>0.1</v>
      </c>
      <c r="K27" s="5">
        <v>0</v>
      </c>
      <c r="L27" s="5">
        <f t="shared" si="0"/>
        <v>2.71</v>
      </c>
      <c r="M27" s="5">
        <v>500</v>
      </c>
      <c r="N27" s="5">
        <v>1.59</v>
      </c>
      <c r="O27" s="5">
        <v>500</v>
      </c>
      <c r="P27" s="5">
        <v>1.59</v>
      </c>
      <c r="Q27" s="93">
        <v>0</v>
      </c>
      <c r="R27" s="5">
        <v>8.1300000000000008</v>
      </c>
      <c r="S27" s="5">
        <v>500</v>
      </c>
    </row>
    <row r="28" spans="2:19" x14ac:dyDescent="0.15">
      <c r="B28" s="5">
        <v>11</v>
      </c>
      <c r="C28" s="5">
        <v>8.64</v>
      </c>
      <c r="D28" s="5">
        <v>550</v>
      </c>
      <c r="E28" s="5">
        <v>8.64</v>
      </c>
      <c r="F28" s="5">
        <v>550</v>
      </c>
      <c r="G28" s="5">
        <v>2.41</v>
      </c>
      <c r="H28" s="5">
        <v>550</v>
      </c>
      <c r="I28" s="5">
        <v>3</v>
      </c>
      <c r="J28" s="5">
        <v>0.1</v>
      </c>
      <c r="K28" s="5">
        <v>0</v>
      </c>
      <c r="L28" s="5">
        <f t="shared" si="0"/>
        <v>2.88</v>
      </c>
      <c r="M28" s="5">
        <v>550</v>
      </c>
      <c r="N28" s="5">
        <v>1.69</v>
      </c>
      <c r="O28" s="5">
        <v>550</v>
      </c>
      <c r="P28" s="5">
        <v>1.69</v>
      </c>
      <c r="Q28" s="93">
        <v>0</v>
      </c>
      <c r="R28" s="5">
        <v>8.64</v>
      </c>
      <c r="S28" s="5">
        <v>550</v>
      </c>
    </row>
    <row r="29" spans="2:19" x14ac:dyDescent="0.15">
      <c r="B29" s="5">
        <v>12</v>
      </c>
      <c r="C29" s="5">
        <v>9.17</v>
      </c>
      <c r="D29" s="5">
        <v>600</v>
      </c>
      <c r="E29" s="5">
        <v>9.17</v>
      </c>
      <c r="F29" s="5">
        <v>600</v>
      </c>
      <c r="G29" s="5">
        <v>2.57</v>
      </c>
      <c r="H29" s="5">
        <v>600</v>
      </c>
      <c r="I29" s="5">
        <v>3</v>
      </c>
      <c r="J29" s="5">
        <v>0.1</v>
      </c>
      <c r="K29" s="5">
        <v>0</v>
      </c>
      <c r="L29" s="5">
        <f t="shared" si="0"/>
        <v>3.06</v>
      </c>
      <c r="M29" s="5">
        <v>600</v>
      </c>
      <c r="N29" s="5">
        <v>1.8</v>
      </c>
      <c r="O29" s="5">
        <v>600</v>
      </c>
      <c r="P29" s="5">
        <v>1.8</v>
      </c>
      <c r="Q29" s="93">
        <v>0</v>
      </c>
      <c r="R29" s="5">
        <v>9.17</v>
      </c>
      <c r="S29" s="5">
        <v>600</v>
      </c>
    </row>
    <row r="30" spans="2:19" x14ac:dyDescent="0.15">
      <c r="B30" s="5">
        <v>13</v>
      </c>
      <c r="C30" s="5">
        <v>9.7100000000000009</v>
      </c>
      <c r="D30" s="5">
        <v>650</v>
      </c>
      <c r="E30" s="5">
        <v>9.7100000000000009</v>
      </c>
      <c r="F30" s="5">
        <v>650</v>
      </c>
      <c r="G30" s="5">
        <v>2.72</v>
      </c>
      <c r="H30" s="5">
        <v>650</v>
      </c>
      <c r="I30" s="5">
        <v>3</v>
      </c>
      <c r="J30" s="5">
        <v>0.1</v>
      </c>
      <c r="K30" s="5">
        <v>0</v>
      </c>
      <c r="L30" s="5">
        <f t="shared" si="0"/>
        <v>3.24</v>
      </c>
      <c r="M30" s="5">
        <v>650</v>
      </c>
      <c r="N30" s="5">
        <v>1.9</v>
      </c>
      <c r="O30" s="5">
        <v>650</v>
      </c>
      <c r="P30" s="5">
        <v>1.9</v>
      </c>
      <c r="Q30" s="93">
        <v>0</v>
      </c>
      <c r="R30" s="5">
        <v>9.7100000000000009</v>
      </c>
      <c r="S30" s="5">
        <v>650</v>
      </c>
    </row>
    <row r="31" spans="2:19" x14ac:dyDescent="0.15">
      <c r="B31" s="5">
        <v>14</v>
      </c>
      <c r="C31" s="5">
        <v>10.27</v>
      </c>
      <c r="D31" s="5">
        <v>700</v>
      </c>
      <c r="E31" s="5">
        <v>10.27</v>
      </c>
      <c r="F31" s="5">
        <v>700</v>
      </c>
      <c r="G31" s="5">
        <v>2.87</v>
      </c>
      <c r="H31" s="5">
        <v>700</v>
      </c>
      <c r="I31" s="5">
        <v>3</v>
      </c>
      <c r="J31" s="5">
        <v>0.1</v>
      </c>
      <c r="K31" s="5">
        <v>0</v>
      </c>
      <c r="L31" s="5">
        <f t="shared" si="0"/>
        <v>3.42</v>
      </c>
      <c r="M31" s="5">
        <v>700</v>
      </c>
      <c r="N31" s="5">
        <v>2.0099999999999998</v>
      </c>
      <c r="O31" s="5">
        <v>700</v>
      </c>
      <c r="P31" s="5">
        <v>2.0099999999999998</v>
      </c>
      <c r="Q31" s="93">
        <v>0</v>
      </c>
      <c r="R31" s="5">
        <v>10.27</v>
      </c>
      <c r="S31" s="5">
        <v>700</v>
      </c>
    </row>
    <row r="32" spans="2:19" x14ac:dyDescent="0.15">
      <c r="B32" s="5">
        <v>15</v>
      </c>
      <c r="C32" s="5">
        <v>10.57</v>
      </c>
      <c r="D32" s="5">
        <v>750</v>
      </c>
      <c r="E32" s="5">
        <v>10.57</v>
      </c>
      <c r="F32" s="5">
        <v>750</v>
      </c>
      <c r="G32" s="5">
        <v>2.95</v>
      </c>
      <c r="H32" s="5">
        <v>750</v>
      </c>
      <c r="I32" s="5">
        <v>3</v>
      </c>
      <c r="J32" s="5">
        <v>0.1</v>
      </c>
      <c r="K32" s="5">
        <v>0</v>
      </c>
      <c r="L32" s="5">
        <f t="shared" si="0"/>
        <v>3.52</v>
      </c>
      <c r="M32" s="5">
        <v>750</v>
      </c>
      <c r="N32" s="5">
        <v>2.0699999999999998</v>
      </c>
      <c r="O32" s="5">
        <v>750</v>
      </c>
      <c r="P32" s="5">
        <v>2.0699999999999998</v>
      </c>
      <c r="Q32" s="93">
        <v>0</v>
      </c>
      <c r="R32" s="5">
        <v>10.57</v>
      </c>
      <c r="S32" s="5">
        <v>750</v>
      </c>
    </row>
    <row r="33" spans="1:19" x14ac:dyDescent="0.15">
      <c r="B33" s="5">
        <v>16</v>
      </c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5">
        <v>2.13</v>
      </c>
      <c r="Q33" s="93">
        <v>0</v>
      </c>
      <c r="R33" s="5">
        <v>10.89</v>
      </c>
      <c r="S33" s="5">
        <v>800</v>
      </c>
    </row>
    <row r="34" spans="1:19" x14ac:dyDescent="0.15">
      <c r="B34" s="5">
        <v>17</v>
      </c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5">
        <v>2.2000000000000002</v>
      </c>
      <c r="Q34" s="93">
        <v>0</v>
      </c>
      <c r="R34" s="5">
        <v>11.19</v>
      </c>
      <c r="S34" s="5">
        <v>850</v>
      </c>
    </row>
    <row r="35" spans="1:19" x14ac:dyDescent="0.15">
      <c r="B35" s="5">
        <v>18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5">
        <v>2.2599999999999998</v>
      </c>
      <c r="Q35" s="93">
        <v>0</v>
      </c>
      <c r="R35" s="5">
        <v>11.51</v>
      </c>
      <c r="S35" s="5">
        <v>900</v>
      </c>
    </row>
    <row r="36" spans="1:19" x14ac:dyDescent="0.15">
      <c r="B36" s="5">
        <v>19</v>
      </c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5">
        <v>2.3199999999999998</v>
      </c>
      <c r="Q36" s="93">
        <v>0</v>
      </c>
      <c r="R36" s="5">
        <v>11.82</v>
      </c>
      <c r="S36" s="5">
        <v>950</v>
      </c>
    </row>
    <row r="43" spans="1:19" s="17" customFormat="1" x14ac:dyDescent="0.15">
      <c r="A43" s="17" t="s">
        <v>356</v>
      </c>
    </row>
    <row r="45" spans="1:19" x14ac:dyDescent="0.15">
      <c r="B45" s="1" t="s">
        <v>360</v>
      </c>
      <c r="H45" s="16" t="s">
        <v>411</v>
      </c>
      <c r="I45" s="16" t="s">
        <v>412</v>
      </c>
      <c r="M45" s="1">
        <f>100/5</f>
        <v>20</v>
      </c>
    </row>
    <row r="46" spans="1:19" x14ac:dyDescent="0.15">
      <c r="H46" s="36">
        <v>0.1</v>
      </c>
      <c r="I46" s="5">
        <f>C47</f>
        <v>2000</v>
      </c>
    </row>
    <row r="47" spans="1:19" x14ac:dyDescent="0.15">
      <c r="B47" s="16" t="s">
        <v>357</v>
      </c>
      <c r="C47" s="5">
        <v>2000</v>
      </c>
      <c r="H47" s="36">
        <v>0.01</v>
      </c>
      <c r="I47" s="5">
        <f>H47/H46*I46</f>
        <v>199.99999999999997</v>
      </c>
    </row>
    <row r="49" spans="1:9" x14ac:dyDescent="0.15">
      <c r="B49" s="16" t="s">
        <v>370</v>
      </c>
      <c r="C49" s="16" t="s">
        <v>371</v>
      </c>
      <c r="D49" s="16" t="s">
        <v>369</v>
      </c>
    </row>
    <row r="50" spans="1:9" x14ac:dyDescent="0.15">
      <c r="B50" s="5">
        <v>1</v>
      </c>
      <c r="C50" s="5">
        <v>0.1</v>
      </c>
      <c r="D50" s="5">
        <v>2</v>
      </c>
      <c r="E50" s="1">
        <f>C50*3*200000*D50</f>
        <v>120000.00000000001</v>
      </c>
    </row>
    <row r="51" spans="1:9" x14ac:dyDescent="0.15">
      <c r="B51" s="5">
        <v>2</v>
      </c>
      <c r="C51" s="5">
        <v>0.2</v>
      </c>
      <c r="D51" s="5">
        <v>2</v>
      </c>
      <c r="E51" s="1">
        <f t="shared" ref="E51:E54" si="1">C51*3*200000*D51</f>
        <v>240000.00000000003</v>
      </c>
    </row>
    <row r="52" spans="1:9" x14ac:dyDescent="0.15">
      <c r="B52" s="5">
        <v>3</v>
      </c>
      <c r="C52" s="5">
        <v>0.3</v>
      </c>
      <c r="D52" s="5">
        <v>2</v>
      </c>
      <c r="E52" s="1">
        <f t="shared" si="1"/>
        <v>359999.99999999994</v>
      </c>
    </row>
    <row r="53" spans="1:9" x14ac:dyDescent="0.15">
      <c r="B53" s="5">
        <v>4</v>
      </c>
      <c r="C53" s="5">
        <v>0.4</v>
      </c>
      <c r="D53" s="5">
        <v>2</v>
      </c>
      <c r="E53" s="1">
        <f t="shared" si="1"/>
        <v>480000.00000000006</v>
      </c>
    </row>
    <row r="54" spans="1:9" x14ac:dyDescent="0.15">
      <c r="B54" s="5">
        <v>5</v>
      </c>
      <c r="C54" s="5">
        <v>0.5</v>
      </c>
      <c r="D54" s="5">
        <v>2</v>
      </c>
      <c r="E54" s="1">
        <f t="shared" si="1"/>
        <v>600000</v>
      </c>
    </row>
    <row r="56" spans="1:9" s="17" customFormat="1" x14ac:dyDescent="0.15">
      <c r="A56" s="17" t="s">
        <v>358</v>
      </c>
    </row>
    <row r="58" spans="1:9" x14ac:dyDescent="0.15">
      <c r="B58" s="1" t="s">
        <v>361</v>
      </c>
      <c r="H58" s="16" t="s">
        <v>411</v>
      </c>
      <c r="I58" s="16" t="s">
        <v>412</v>
      </c>
    </row>
    <row r="59" spans="1:9" x14ac:dyDescent="0.15">
      <c r="H59" s="36">
        <v>0.02</v>
      </c>
      <c r="I59" s="5">
        <v>2000</v>
      </c>
    </row>
    <row r="60" spans="1:9" x14ac:dyDescent="0.15">
      <c r="B60" s="16" t="s">
        <v>359</v>
      </c>
      <c r="C60" s="5">
        <v>2000</v>
      </c>
      <c r="H60" s="36">
        <v>0.01</v>
      </c>
      <c r="I60" s="5">
        <f>H60/H59*I59</f>
        <v>1000</v>
      </c>
    </row>
    <row r="62" spans="1:9" x14ac:dyDescent="0.15">
      <c r="B62" s="16" t="s">
        <v>370</v>
      </c>
      <c r="C62" s="16" t="s">
        <v>371</v>
      </c>
      <c r="D62" s="16" t="s">
        <v>369</v>
      </c>
    </row>
    <row r="63" spans="1:9" x14ac:dyDescent="0.15">
      <c r="B63" s="5">
        <v>1</v>
      </c>
      <c r="C63" s="5">
        <v>0.02</v>
      </c>
      <c r="D63" s="5">
        <v>2</v>
      </c>
      <c r="E63" s="1">
        <f>3*C63*200000*D63</f>
        <v>24000</v>
      </c>
    </row>
    <row r="64" spans="1:9" x14ac:dyDescent="0.15">
      <c r="B64" s="5">
        <v>2</v>
      </c>
      <c r="C64" s="5">
        <v>0.04</v>
      </c>
      <c r="D64" s="5">
        <v>2</v>
      </c>
      <c r="E64" s="1">
        <f t="shared" ref="E64:E67" si="2">3*C64*200000*D64</f>
        <v>48000</v>
      </c>
    </row>
    <row r="65" spans="2:5" x14ac:dyDescent="0.15">
      <c r="B65" s="5">
        <v>3</v>
      </c>
      <c r="C65" s="5">
        <v>0.06</v>
      </c>
      <c r="D65" s="5">
        <v>2</v>
      </c>
      <c r="E65" s="1">
        <f t="shared" si="2"/>
        <v>72000</v>
      </c>
    </row>
    <row r="66" spans="2:5" x14ac:dyDescent="0.15">
      <c r="B66" s="5">
        <v>4</v>
      </c>
      <c r="C66" s="5">
        <v>0.08</v>
      </c>
      <c r="D66" s="5">
        <v>2</v>
      </c>
      <c r="E66" s="1">
        <f t="shared" si="2"/>
        <v>96000</v>
      </c>
    </row>
    <row r="67" spans="2:5" x14ac:dyDescent="0.15">
      <c r="B67" s="5">
        <v>5</v>
      </c>
      <c r="C67" s="5">
        <v>0.1</v>
      </c>
      <c r="D67" s="5">
        <v>2</v>
      </c>
      <c r="E67" s="1">
        <f t="shared" si="2"/>
        <v>120000.00000000001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zoomScale="90" zoomScaleNormal="90" workbookViewId="0">
      <selection activeCell="E14" sqref="E14"/>
    </sheetView>
  </sheetViews>
  <sheetFormatPr defaultRowHeight="13.5" x14ac:dyDescent="0.15"/>
  <cols>
    <col min="1" max="16384" width="9" style="1"/>
  </cols>
  <sheetData>
    <row r="2" spans="2:6" x14ac:dyDescent="0.15">
      <c r="B2" s="1" t="s">
        <v>404</v>
      </c>
    </row>
    <row r="3" spans="2:6" x14ac:dyDescent="0.15">
      <c r="C3" s="1" t="s">
        <v>405</v>
      </c>
    </row>
    <row r="5" spans="2:6" x14ac:dyDescent="0.15">
      <c r="B5" s="1" t="s">
        <v>414</v>
      </c>
    </row>
    <row r="7" spans="2:6" x14ac:dyDescent="0.15">
      <c r="B7" s="16" t="s">
        <v>419</v>
      </c>
      <c r="C7" s="16" t="s">
        <v>415</v>
      </c>
      <c r="D7" s="16" t="s">
        <v>416</v>
      </c>
      <c r="E7" s="16" t="s">
        <v>417</v>
      </c>
      <c r="F7" s="16" t="s">
        <v>418</v>
      </c>
    </row>
    <row r="8" spans="2:6" x14ac:dyDescent="0.15">
      <c r="B8" s="5">
        <v>1</v>
      </c>
      <c r="C8" s="5">
        <v>0</v>
      </c>
      <c r="D8" s="5">
        <v>1</v>
      </c>
      <c r="E8" s="5">
        <v>2</v>
      </c>
      <c r="F8" s="5">
        <v>10</v>
      </c>
    </row>
    <row r="9" spans="2:6" x14ac:dyDescent="0.15">
      <c r="B9" s="5">
        <v>2</v>
      </c>
      <c r="C9" s="5">
        <v>30</v>
      </c>
      <c r="D9" s="5">
        <v>15</v>
      </c>
      <c r="E9" s="5">
        <v>20</v>
      </c>
      <c r="F9" s="5">
        <v>25</v>
      </c>
    </row>
    <row r="10" spans="2:6" x14ac:dyDescent="0.15">
      <c r="B10" s="5">
        <v>3</v>
      </c>
      <c r="C10" s="5">
        <v>50</v>
      </c>
      <c r="D10" s="5">
        <v>35</v>
      </c>
      <c r="E10" s="5">
        <v>40</v>
      </c>
      <c r="F10" s="5">
        <v>45</v>
      </c>
    </row>
    <row r="11" spans="2:6" x14ac:dyDescent="0.15">
      <c r="B11" s="5">
        <v>4</v>
      </c>
      <c r="C11" s="5">
        <v>70</v>
      </c>
      <c r="D11" s="5">
        <v>55</v>
      </c>
      <c r="E11" s="5">
        <v>60</v>
      </c>
      <c r="F11" s="5">
        <v>65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M144"/>
  <sheetViews>
    <sheetView topLeftCell="A58" zoomScale="80" zoomScaleNormal="80" workbookViewId="0">
      <selection activeCell="N82" sqref="N82"/>
    </sheetView>
  </sheetViews>
  <sheetFormatPr defaultRowHeight="13.5" x14ac:dyDescent="0.15"/>
  <cols>
    <col min="1" max="16384" width="9" style="1"/>
  </cols>
  <sheetData>
    <row r="3" spans="2:11" x14ac:dyDescent="0.15">
      <c r="F3" s="1">
        <f>J6/F8</f>
        <v>449.05236759653519</v>
      </c>
    </row>
    <row r="5" spans="2:11" x14ac:dyDescent="0.15">
      <c r="B5" s="1" t="s">
        <v>406</v>
      </c>
      <c r="I5" s="1" t="s">
        <v>407</v>
      </c>
    </row>
    <row r="6" spans="2:11" x14ac:dyDescent="0.15">
      <c r="B6" s="1" t="s">
        <v>8</v>
      </c>
      <c r="C6" s="1">
        <v>9677</v>
      </c>
      <c r="E6" s="1" t="s">
        <v>399</v>
      </c>
      <c r="I6" s="1" t="s">
        <v>8</v>
      </c>
      <c r="J6" s="1">
        <v>139800</v>
      </c>
      <c r="K6" s="1">
        <f>J6/1596</f>
        <v>87.593984962406012</v>
      </c>
    </row>
    <row r="7" spans="2:11" x14ac:dyDescent="0.15">
      <c r="B7" s="1" t="s">
        <v>380</v>
      </c>
      <c r="C7" s="1">
        <v>1582</v>
      </c>
      <c r="E7" s="1" t="s">
        <v>434</v>
      </c>
      <c r="F7" s="1">
        <f>IF(C7/J8&gt;5/3,1,0)</f>
        <v>0</v>
      </c>
      <c r="I7" s="1" t="s">
        <v>380</v>
      </c>
      <c r="J7" s="1">
        <v>2203</v>
      </c>
      <c r="K7" s="1" t="s">
        <v>435</v>
      </c>
    </row>
    <row r="8" spans="2:11" x14ac:dyDescent="0.15">
      <c r="B8" s="1" t="s">
        <v>7</v>
      </c>
      <c r="C8" s="1">
        <v>1015</v>
      </c>
      <c r="E8" s="1" t="s">
        <v>401</v>
      </c>
      <c r="F8" s="1">
        <f>IF(C7&gt;=5/3*J8,0.5*(C7-J8),0.5*MAX(0.4*C7+1.5-(2.25+2*(J8-C7*0.6))^0.5,0.1*C7))*(1+C21-J22)</f>
        <v>311.32226459076946</v>
      </c>
      <c r="G8" s="1">
        <f>ROUND(F8*0.98,0)</f>
        <v>305</v>
      </c>
      <c r="H8" s="1">
        <f>ROUND(F8*1.02,0)</f>
        <v>318</v>
      </c>
      <c r="I8" s="1" t="s">
        <v>7</v>
      </c>
      <c r="J8" s="1">
        <v>1016</v>
      </c>
    </row>
    <row r="9" spans="2:11" x14ac:dyDescent="0.15">
      <c r="B9" s="1" t="s">
        <v>381</v>
      </c>
      <c r="C9" s="1">
        <v>0</v>
      </c>
      <c r="E9" s="1" t="s">
        <v>408</v>
      </c>
      <c r="F9" s="1">
        <f>F8/J6</f>
        <v>2.226911763882471E-3</v>
      </c>
      <c r="I9" s="1" t="s">
        <v>381</v>
      </c>
      <c r="J9" s="1">
        <v>0</v>
      </c>
    </row>
    <row r="10" spans="2:11" x14ac:dyDescent="0.15">
      <c r="B10" s="1" t="s">
        <v>382</v>
      </c>
      <c r="C10" s="1">
        <v>0</v>
      </c>
      <c r="E10" s="1" t="s">
        <v>402</v>
      </c>
      <c r="F10" s="1">
        <v>50</v>
      </c>
      <c r="G10" s="1">
        <f>ROUND(F10*0.98,0)</f>
        <v>49</v>
      </c>
      <c r="H10" s="1">
        <f>ROUND(F10*1.02,0)</f>
        <v>51</v>
      </c>
      <c r="I10" s="1" t="s">
        <v>382</v>
      </c>
      <c r="J10" s="1">
        <v>0</v>
      </c>
    </row>
    <row r="11" spans="2:11" x14ac:dyDescent="0.15">
      <c r="B11" s="1" t="s">
        <v>13</v>
      </c>
      <c r="C11" s="1">
        <v>0</v>
      </c>
      <c r="E11" s="1" t="s">
        <v>403</v>
      </c>
      <c r="F11" s="1">
        <v>4</v>
      </c>
      <c r="I11" s="1" t="s">
        <v>13</v>
      </c>
      <c r="J11" s="1">
        <v>0</v>
      </c>
    </row>
    <row r="12" spans="2:11" x14ac:dyDescent="0.15">
      <c r="B12" s="1" t="s">
        <v>383</v>
      </c>
      <c r="C12" s="1">
        <v>0</v>
      </c>
      <c r="E12" s="1" t="s">
        <v>396</v>
      </c>
      <c r="F12" s="1">
        <f>C9-J10</f>
        <v>0</v>
      </c>
      <c r="I12" s="1" t="s">
        <v>383</v>
      </c>
      <c r="J12" s="1">
        <v>0</v>
      </c>
    </row>
    <row r="13" spans="2:11" x14ac:dyDescent="0.15">
      <c r="B13" s="1" t="s">
        <v>384</v>
      </c>
      <c r="C13" s="1">
        <v>0</v>
      </c>
      <c r="E13" s="1" t="s">
        <v>397</v>
      </c>
      <c r="F13" s="1">
        <f>C11-J12</f>
        <v>0</v>
      </c>
      <c r="I13" s="1" t="s">
        <v>384</v>
      </c>
      <c r="J13" s="1">
        <v>0</v>
      </c>
    </row>
    <row r="14" spans="2:11" x14ac:dyDescent="0.15">
      <c r="B14" s="1" t="s">
        <v>385</v>
      </c>
      <c r="C14" s="1">
        <v>0</v>
      </c>
      <c r="E14" s="1" t="s">
        <v>398</v>
      </c>
      <c r="F14" s="1">
        <f>J14-C13</f>
        <v>0</v>
      </c>
      <c r="I14" s="1" t="s">
        <v>385</v>
      </c>
      <c r="J14" s="1">
        <v>0</v>
      </c>
    </row>
    <row r="15" spans="2:11" x14ac:dyDescent="0.15">
      <c r="B15" s="1" t="s">
        <v>386</v>
      </c>
      <c r="C15" s="1">
        <v>0</v>
      </c>
      <c r="E15" s="1" t="s">
        <v>395</v>
      </c>
      <c r="F15" s="1">
        <f>MIN(MAX(MIN(MAX(IF(F12&gt;=-300,1+F12/2000,0.85+(-18.5+(342.25-6*(300+F12))^0.5)/300),0.5),1)+C15-J16,0.3),1)</f>
        <v>1</v>
      </c>
      <c r="I15" s="1" t="s">
        <v>386</v>
      </c>
      <c r="J15" s="1">
        <v>0</v>
      </c>
    </row>
    <row r="16" spans="2:11" x14ac:dyDescent="0.15">
      <c r="B16" s="1" t="s">
        <v>387</v>
      </c>
      <c r="C16" s="1">
        <v>0</v>
      </c>
      <c r="E16" s="1" t="s">
        <v>388</v>
      </c>
      <c r="F16" s="1">
        <f>MAX(MIN(MAX(MIN(IF(F13&lt;=400,F13/2000,0.2+(-18.5+(342.25+6*(F13-400))^0.5)/300),0.5),0)+C17-J18,1),0)</f>
        <v>0.03</v>
      </c>
      <c r="I16" s="1" t="s">
        <v>387</v>
      </c>
      <c r="J16" s="1">
        <v>0</v>
      </c>
    </row>
    <row r="17" spans="2:10" x14ac:dyDescent="0.15">
      <c r="B17" s="1" t="s">
        <v>388</v>
      </c>
      <c r="C17" s="1">
        <v>0.03</v>
      </c>
      <c r="E17" s="1" t="s">
        <v>390</v>
      </c>
      <c r="F17" s="1">
        <f>MAX(MIN(MAX(MIN(F14/2000,1),0)+J20-C19,1),0)</f>
        <v>0</v>
      </c>
      <c r="I17" s="1" t="s">
        <v>388</v>
      </c>
      <c r="J17" s="1">
        <v>0</v>
      </c>
    </row>
    <row r="18" spans="2:10" x14ac:dyDescent="0.15">
      <c r="B18" s="1" t="s">
        <v>389</v>
      </c>
      <c r="C18" s="1">
        <v>0</v>
      </c>
      <c r="I18" s="1" t="s">
        <v>389</v>
      </c>
      <c r="J18" s="1">
        <v>0</v>
      </c>
    </row>
    <row r="19" spans="2:10" x14ac:dyDescent="0.15">
      <c r="B19" s="1" t="s">
        <v>391</v>
      </c>
      <c r="C19" s="1">
        <v>0</v>
      </c>
      <c r="E19" s="1" t="s">
        <v>400</v>
      </c>
      <c r="I19" s="1" t="s">
        <v>391</v>
      </c>
      <c r="J19" s="1">
        <v>0</v>
      </c>
    </row>
    <row r="20" spans="2:10" x14ac:dyDescent="0.15">
      <c r="B20" s="1" t="s">
        <v>392</v>
      </c>
      <c r="C20" s="1">
        <v>0</v>
      </c>
      <c r="E20" s="1" t="s">
        <v>413</v>
      </c>
      <c r="F20" s="1">
        <v>5018</v>
      </c>
      <c r="I20" s="1" t="s">
        <v>392</v>
      </c>
      <c r="J20" s="1">
        <v>0</v>
      </c>
    </row>
    <row r="21" spans="2:10" x14ac:dyDescent="0.15">
      <c r="B21" s="1" t="s">
        <v>393</v>
      </c>
      <c r="C21" s="1">
        <v>0</v>
      </c>
      <c r="E21" s="1" t="s">
        <v>409</v>
      </c>
      <c r="F21" s="1">
        <v>0.5</v>
      </c>
      <c r="I21" s="1" t="s">
        <v>393</v>
      </c>
      <c r="J21" s="1">
        <v>0</v>
      </c>
    </row>
    <row r="22" spans="2:10" x14ac:dyDescent="0.15">
      <c r="B22" s="1" t="s">
        <v>394</v>
      </c>
      <c r="C22" s="1">
        <v>0</v>
      </c>
      <c r="E22" s="1" t="s">
        <v>401</v>
      </c>
      <c r="F22" s="1">
        <f>0.5*MAX(J7-C8,0.1*J7)*F20/10000*(1+J21-C22)*F21</f>
        <v>149.03460000000001</v>
      </c>
      <c r="G22" s="1">
        <f>ROUND(F22*0.98,0)</f>
        <v>146</v>
      </c>
      <c r="H22" s="1">
        <f>ROUND(F22*1.02,0)</f>
        <v>152</v>
      </c>
      <c r="I22" s="1" t="s">
        <v>394</v>
      </c>
      <c r="J22" s="1">
        <v>0</v>
      </c>
    </row>
    <row r="23" spans="2:10" x14ac:dyDescent="0.15">
      <c r="E23" s="1" t="s">
        <v>408</v>
      </c>
      <c r="F23" s="1">
        <f>F22/C6</f>
        <v>1.5400909372739486E-2</v>
      </c>
    </row>
    <row r="24" spans="2:10" x14ac:dyDescent="0.15">
      <c r="E24" s="1" t="s">
        <v>396</v>
      </c>
      <c r="F24" s="1">
        <f>J9-C10</f>
        <v>0</v>
      </c>
    </row>
    <row r="25" spans="2:10" x14ac:dyDescent="0.15">
      <c r="E25" s="1" t="s">
        <v>397</v>
      </c>
      <c r="F25" s="1">
        <f>J11-C12</f>
        <v>0</v>
      </c>
    </row>
    <row r="26" spans="2:10" x14ac:dyDescent="0.15">
      <c r="E26" s="1" t="s">
        <v>398</v>
      </c>
      <c r="F26" s="1">
        <f>J13-C14</f>
        <v>0</v>
      </c>
      <c r="I26" s="1">
        <v>404</v>
      </c>
    </row>
    <row r="27" spans="2:10" x14ac:dyDescent="0.15">
      <c r="E27" s="1" t="s">
        <v>395</v>
      </c>
      <c r="F27" s="1">
        <f>MIN(MAX(MIN(MAX(IF(F24&gt;=-300,1+F24/2000,0.85+(-18.5+(342.25-6*(300+F24))^0.5)/300),0.5),1)+J15-C16,0.3),1)</f>
        <v>1</v>
      </c>
    </row>
    <row r="28" spans="2:10" x14ac:dyDescent="0.15">
      <c r="E28" s="1" t="s">
        <v>388</v>
      </c>
      <c r="F28" s="1">
        <f>MAX(MIN(MAX(MIN(IF(F25&lt;=400,F25/2000,0.2+(-18.5+(342.25+6*(F25-400))^0.5)/300),0.5),0)+J17-C18,1),0)</f>
        <v>0</v>
      </c>
    </row>
    <row r="29" spans="2:10" x14ac:dyDescent="0.15">
      <c r="E29" s="1" t="s">
        <v>390</v>
      </c>
      <c r="F29" s="1">
        <f>MAX(MIN(MAX(MIN(F26/2000,1),0)+C20-J19,1),0)</f>
        <v>0</v>
      </c>
    </row>
    <row r="30" spans="2:10" x14ac:dyDescent="0.15">
      <c r="D30" s="1">
        <v>69</v>
      </c>
    </row>
    <row r="31" spans="2:10" x14ac:dyDescent="0.15">
      <c r="D31" s="1">
        <v>74</v>
      </c>
    </row>
    <row r="58" spans="1:6" s="17" customFormat="1" x14ac:dyDescent="0.15">
      <c r="A58" s="17" t="s">
        <v>436</v>
      </c>
    </row>
    <row r="60" spans="1:6" x14ac:dyDescent="0.15">
      <c r="E60" s="1" t="s">
        <v>440</v>
      </c>
      <c r="F60" s="53">
        <v>0.16</v>
      </c>
    </row>
    <row r="64" spans="1:6" x14ac:dyDescent="0.15">
      <c r="B64" s="1" t="s">
        <v>437</v>
      </c>
    </row>
    <row r="65" spans="2:13" x14ac:dyDescent="0.15">
      <c r="B65" s="1" t="s">
        <v>8</v>
      </c>
      <c r="C65" s="53">
        <v>15965</v>
      </c>
      <c r="E65" s="1" t="s">
        <v>438</v>
      </c>
    </row>
    <row r="66" spans="2:13" x14ac:dyDescent="0.15">
      <c r="B66" s="1" t="s">
        <v>380</v>
      </c>
      <c r="C66" s="53">
        <v>370</v>
      </c>
      <c r="E66" s="1" t="s">
        <v>434</v>
      </c>
      <c r="F66" s="1">
        <f>IF(C66/C86&gt;=5/3,1,0)</f>
        <v>0</v>
      </c>
      <c r="G66" s="1" t="s">
        <v>448</v>
      </c>
      <c r="H66" s="1" t="s">
        <v>449</v>
      </c>
    </row>
    <row r="67" spans="2:13" x14ac:dyDescent="0.15">
      <c r="B67" s="1" t="s">
        <v>7</v>
      </c>
      <c r="C67" s="53">
        <v>1827</v>
      </c>
      <c r="E67" s="1" t="s">
        <v>401</v>
      </c>
      <c r="F67" s="87">
        <f>IF(C66&gt;=(5/3*C86),$F$60*(C66-C86),$F$60*MAX(0.4*C66+1.5-(2.25+2*(C86-C66*0.6))^0.5,0.1*C66))*(1+C80-C100)</f>
        <v>22.522860064274166</v>
      </c>
      <c r="G67" s="1">
        <f>ROUND(F67*0.98,0)</f>
        <v>22</v>
      </c>
      <c r="H67" s="1">
        <f>ROUND(F67*1.02,0)</f>
        <v>23</v>
      </c>
    </row>
    <row r="68" spans="2:13" x14ac:dyDescent="0.15">
      <c r="B68" s="1" t="s">
        <v>381</v>
      </c>
      <c r="C68" s="53">
        <v>0</v>
      </c>
      <c r="E68" s="1" t="s">
        <v>441</v>
      </c>
      <c r="F68" s="1">
        <f>F67/C84</f>
        <v>9.7989384660753377E-4</v>
      </c>
    </row>
    <row r="69" spans="2:13" x14ac:dyDescent="0.15">
      <c r="B69" s="1" t="s">
        <v>382</v>
      </c>
      <c r="C69" s="53">
        <v>0</v>
      </c>
      <c r="E69" s="1" t="s">
        <v>452</v>
      </c>
      <c r="F69" s="87">
        <f>1/F68</f>
        <v>1020.5187056353861</v>
      </c>
      <c r="H69" s="1" t="s">
        <v>448</v>
      </c>
      <c r="I69" s="1" t="s">
        <v>449</v>
      </c>
    </row>
    <row r="70" spans="2:13" x14ac:dyDescent="0.15">
      <c r="B70" s="1" t="s">
        <v>13</v>
      </c>
      <c r="C70" s="53">
        <v>0</v>
      </c>
      <c r="E70" s="1" t="s">
        <v>442</v>
      </c>
      <c r="F70" s="1" t="s">
        <v>446</v>
      </c>
      <c r="G70" s="87">
        <f>IF(M70&gt;=(5/3*C86),$F$60*(M70-C86),$F$60*MAX(0.4*M70+1.5-(2.25+2*(C86-M70*0.6))^0.5,0.1*M70))*K71*(1+C80-C100)</f>
        <v>90.091440257096664</v>
      </c>
      <c r="H70" s="1">
        <f>ROUND(G70*0.98,0)</f>
        <v>88</v>
      </c>
      <c r="I70" s="1">
        <f>ROUND(G70*1.02,0)</f>
        <v>92</v>
      </c>
      <c r="J70" s="1" t="s">
        <v>402</v>
      </c>
      <c r="K70" s="53">
        <v>0</v>
      </c>
      <c r="L70" s="1" t="s">
        <v>450</v>
      </c>
      <c r="M70" s="1">
        <f>C66+K70</f>
        <v>370</v>
      </c>
    </row>
    <row r="71" spans="2:13" x14ac:dyDescent="0.15">
      <c r="B71" s="1" t="s">
        <v>383</v>
      </c>
      <c r="C71" s="53">
        <v>0</v>
      </c>
      <c r="F71" s="1" t="s">
        <v>447</v>
      </c>
      <c r="G71" s="1">
        <f>G70/C84</f>
        <v>3.9195753864301351E-3</v>
      </c>
      <c r="H71" s="1" t="s">
        <v>448</v>
      </c>
      <c r="I71" s="1" t="s">
        <v>449</v>
      </c>
      <c r="J71" s="1" t="s">
        <v>403</v>
      </c>
      <c r="K71" s="53">
        <v>4</v>
      </c>
    </row>
    <row r="72" spans="2:13" x14ac:dyDescent="0.15">
      <c r="B72" s="1" t="s">
        <v>384</v>
      </c>
      <c r="C72" s="53">
        <v>0</v>
      </c>
      <c r="E72" s="1" t="s">
        <v>443</v>
      </c>
      <c r="F72" s="1" t="s">
        <v>446</v>
      </c>
      <c r="G72" s="87">
        <f>IF(M72&gt;=(5/3*C86),$F$60*(M72-C86),$F$60*MAX(0.4*M72+1.5-(2.25+2*(C86-M72*0.6))^0.5,0.1*M72))*K73*(1+C80-C100)</f>
        <v>90.091440257096664</v>
      </c>
      <c r="H72" s="1">
        <f>ROUND(G72*0.98,0)</f>
        <v>88</v>
      </c>
      <c r="I72" s="1">
        <f>ROUND(G72*1.02,0)</f>
        <v>92</v>
      </c>
      <c r="J72" s="1" t="s">
        <v>402</v>
      </c>
      <c r="K72" s="53">
        <v>0</v>
      </c>
      <c r="L72" s="1" t="s">
        <v>450</v>
      </c>
      <c r="M72" s="1">
        <f>C66+K72</f>
        <v>370</v>
      </c>
    </row>
    <row r="73" spans="2:13" x14ac:dyDescent="0.15">
      <c r="B73" s="1" t="s">
        <v>385</v>
      </c>
      <c r="C73" s="53">
        <v>0</v>
      </c>
      <c r="F73" s="1" t="s">
        <v>447</v>
      </c>
      <c r="G73" s="1">
        <f>G72/C84</f>
        <v>3.9195753864301351E-3</v>
      </c>
      <c r="H73" s="1" t="s">
        <v>448</v>
      </c>
      <c r="I73" s="1" t="s">
        <v>449</v>
      </c>
      <c r="J73" s="1" t="s">
        <v>403</v>
      </c>
      <c r="K73" s="53">
        <v>4</v>
      </c>
    </row>
    <row r="74" spans="2:13" x14ac:dyDescent="0.15">
      <c r="B74" s="1" t="s">
        <v>386</v>
      </c>
      <c r="C74" s="53">
        <v>0</v>
      </c>
      <c r="E74" s="1" t="s">
        <v>444</v>
      </c>
      <c r="F74" s="1" t="s">
        <v>446</v>
      </c>
      <c r="G74" s="87">
        <f>IF(M74&gt;=(5/3*C86),$F$60*(M74-C86),$F$60*MAX(0.4*M74+1.5-(2.25+2*(C86-M74*0.6))^0.5,0.1*M74))*K75*(1+C80-C100)</f>
        <v>90.091440257096664</v>
      </c>
      <c r="H74" s="1">
        <f>ROUND(G74*0.98,0)</f>
        <v>88</v>
      </c>
      <c r="I74" s="1">
        <f>ROUND(G74*1.02,0)</f>
        <v>92</v>
      </c>
      <c r="J74" s="1" t="s">
        <v>402</v>
      </c>
      <c r="K74" s="53">
        <v>0</v>
      </c>
      <c r="L74" s="1" t="s">
        <v>450</v>
      </c>
      <c r="M74" s="1">
        <f>C66+K74</f>
        <v>370</v>
      </c>
    </row>
    <row r="75" spans="2:13" x14ac:dyDescent="0.15">
      <c r="B75" s="1" t="s">
        <v>387</v>
      </c>
      <c r="C75" s="53">
        <v>0</v>
      </c>
      <c r="F75" s="1" t="s">
        <v>447</v>
      </c>
      <c r="G75" s="1">
        <f>G74/C84</f>
        <v>3.9195753864301351E-3</v>
      </c>
      <c r="H75" s="1" t="s">
        <v>448</v>
      </c>
      <c r="I75" s="1" t="s">
        <v>449</v>
      </c>
      <c r="J75" s="1" t="s">
        <v>403</v>
      </c>
      <c r="K75" s="53">
        <v>4</v>
      </c>
    </row>
    <row r="76" spans="2:13" x14ac:dyDescent="0.15">
      <c r="B76" s="1" t="s">
        <v>388</v>
      </c>
      <c r="C76" s="53">
        <v>0</v>
      </c>
      <c r="E76" s="1" t="s">
        <v>445</v>
      </c>
      <c r="F76" s="1" t="s">
        <v>446</v>
      </c>
      <c r="G76" s="87">
        <f>IF(M76&gt;=(5/3*C86),$F$60*(M76-C86),$F$60*MAX(0.4*M76+1.5-(2.25+2*(C86-M76*0.6))^0.5,0.1*M76))*K77*(1+C80-C100)</f>
        <v>90.091440257096664</v>
      </c>
      <c r="H76" s="1">
        <f>ROUND(G76*0.98,0)</f>
        <v>88</v>
      </c>
      <c r="I76" s="1">
        <f>ROUND(G76*1.02,0)</f>
        <v>92</v>
      </c>
      <c r="J76" s="1" t="s">
        <v>402</v>
      </c>
      <c r="K76" s="53">
        <v>0</v>
      </c>
      <c r="L76" s="1" t="s">
        <v>450</v>
      </c>
      <c r="M76" s="1">
        <f>C66+K76</f>
        <v>370</v>
      </c>
    </row>
    <row r="77" spans="2:13" x14ac:dyDescent="0.15">
      <c r="B77" s="1" t="s">
        <v>389</v>
      </c>
      <c r="C77" s="53">
        <v>0</v>
      </c>
      <c r="F77" s="1" t="s">
        <v>447</v>
      </c>
      <c r="G77" s="1">
        <f>G76/C84</f>
        <v>3.9195753864301351E-3</v>
      </c>
      <c r="J77" s="1" t="s">
        <v>403</v>
      </c>
      <c r="K77" s="53">
        <v>4</v>
      </c>
    </row>
    <row r="78" spans="2:13" x14ac:dyDescent="0.15">
      <c r="B78" s="1" t="s">
        <v>391</v>
      </c>
      <c r="C78" s="53">
        <v>0</v>
      </c>
      <c r="E78" s="1" t="s">
        <v>395</v>
      </c>
      <c r="F78" s="1">
        <f>MIN(MAX(MIN(MAX(IF(H78&gt;=-300,1+H78/2000,0.85+(-18.5+(342.25-6*(300+H78))^0.5)/300),0.5),1)+C74-C94,0.3),1)</f>
        <v>1</v>
      </c>
      <c r="G78" s="1" t="s">
        <v>396</v>
      </c>
      <c r="H78" s="1">
        <f>C68-C88</f>
        <v>0</v>
      </c>
    </row>
    <row r="79" spans="2:13" x14ac:dyDescent="0.15">
      <c r="B79" s="1" t="s">
        <v>392</v>
      </c>
      <c r="C79" s="53">
        <v>0</v>
      </c>
      <c r="E79" s="1" t="s">
        <v>388</v>
      </c>
      <c r="F79" s="1">
        <f>MAX(MIN(MAX(MIN(IF(H79&lt;=400,H79/2000,0.2+(-18.5+(342.25+6*(H79-400))^0.5)/300),0.5),0)+C76-C95,1),0)</f>
        <v>0</v>
      </c>
      <c r="G79" s="1" t="s">
        <v>397</v>
      </c>
      <c r="H79" s="1">
        <f>C70-C90</f>
        <v>0</v>
      </c>
    </row>
    <row r="80" spans="2:13" x14ac:dyDescent="0.15">
      <c r="B80" s="1" t="s">
        <v>393</v>
      </c>
      <c r="C80" s="53">
        <v>0</v>
      </c>
      <c r="E80" s="1" t="s">
        <v>390</v>
      </c>
      <c r="F80" s="1">
        <f>MAX(MIN(MAX(MIN(H80/2000,1),0)+C98-C78,1),0)</f>
        <v>0</v>
      </c>
      <c r="G80" s="1" t="s">
        <v>398</v>
      </c>
      <c r="H80" s="1">
        <f>C92-C72</f>
        <v>0</v>
      </c>
    </row>
    <row r="81" spans="2:13" x14ac:dyDescent="0.15">
      <c r="B81" s="1" t="s">
        <v>394</v>
      </c>
      <c r="C81" s="53">
        <v>0</v>
      </c>
    </row>
    <row r="83" spans="2:13" x14ac:dyDescent="0.15">
      <c r="B83" s="1" t="s">
        <v>439</v>
      </c>
    </row>
    <row r="84" spans="2:13" x14ac:dyDescent="0.15">
      <c r="B84" s="1" t="s">
        <v>8</v>
      </c>
      <c r="C84" s="53">
        <v>22985</v>
      </c>
      <c r="E84" s="1" t="s">
        <v>451</v>
      </c>
    </row>
    <row r="85" spans="2:13" x14ac:dyDescent="0.15">
      <c r="B85" s="1" t="s">
        <v>380</v>
      </c>
      <c r="C85" s="53">
        <v>4017</v>
      </c>
      <c r="E85" s="1" t="s">
        <v>434</v>
      </c>
      <c r="F85" s="1">
        <f>IF(C85/C67&gt;=5/3,1,0)</f>
        <v>1</v>
      </c>
      <c r="G85" s="1" t="s">
        <v>448</v>
      </c>
      <c r="H85" s="1" t="s">
        <v>449</v>
      </c>
    </row>
    <row r="86" spans="2:13" x14ac:dyDescent="0.15">
      <c r="B86" s="1" t="s">
        <v>7</v>
      </c>
      <c r="C86" s="53">
        <v>259</v>
      </c>
      <c r="E86" s="1" t="s">
        <v>401</v>
      </c>
      <c r="F86" s="87">
        <f>IF(C85&gt;=(5/3*C67),$F$60*(C85-C67),$F$60*MAX(0.4*C85+1.5-(2.25+2*(C67-C85*0.6))^0.5,0.1*C85))*(1+C99-C81)</f>
        <v>350.40000000000003</v>
      </c>
      <c r="G86" s="1">
        <f>ROUND(F86*0.98,0)</f>
        <v>343</v>
      </c>
      <c r="H86" s="1">
        <f>ROUND(F86*1.02,0)</f>
        <v>357</v>
      </c>
    </row>
    <row r="87" spans="2:13" x14ac:dyDescent="0.15">
      <c r="B87" s="1" t="s">
        <v>381</v>
      </c>
      <c r="C87" s="53">
        <v>0</v>
      </c>
      <c r="E87" s="1" t="s">
        <v>441</v>
      </c>
      <c r="F87" s="1">
        <f>F86/C65</f>
        <v>2.1948011274663327E-2</v>
      </c>
    </row>
    <row r="88" spans="2:13" x14ac:dyDescent="0.15">
      <c r="B88" s="1" t="s">
        <v>382</v>
      </c>
      <c r="C88" s="53">
        <v>0</v>
      </c>
      <c r="E88" s="1" t="s">
        <v>453</v>
      </c>
      <c r="F88" s="87">
        <f>1/F87</f>
        <v>45.562214611872143</v>
      </c>
      <c r="H88" s="1" t="s">
        <v>448</v>
      </c>
      <c r="I88" s="1" t="s">
        <v>449</v>
      </c>
    </row>
    <row r="89" spans="2:13" x14ac:dyDescent="0.15">
      <c r="B89" s="1" t="s">
        <v>13</v>
      </c>
      <c r="C89" s="53">
        <v>0</v>
      </c>
      <c r="E89" s="1" t="s">
        <v>442</v>
      </c>
      <c r="F89" s="1" t="s">
        <v>446</v>
      </c>
      <c r="G89" s="87">
        <f>IF(M89&gt;=(5/3*C67),$F$60*(M89-C67),$F$60*MAX(0.4*M89+1.5-(2.25+2*(C67-M89*0.6))^0.5,0.1*M89))*K90*(1+C99-C81)</f>
        <v>1401.6000000000001</v>
      </c>
      <c r="H89" s="1">
        <f>ROUND(G89*0.98,0)</f>
        <v>1374</v>
      </c>
      <c r="I89" s="1">
        <f>ROUND(G89*1.02,0)</f>
        <v>1430</v>
      </c>
      <c r="J89" s="1" t="s">
        <v>402</v>
      </c>
      <c r="K89" s="53">
        <v>0</v>
      </c>
      <c r="L89" s="1" t="s">
        <v>450</v>
      </c>
      <c r="M89" s="1">
        <f>C85+K89</f>
        <v>4017</v>
      </c>
    </row>
    <row r="90" spans="2:13" x14ac:dyDescent="0.15">
      <c r="B90" s="1" t="s">
        <v>383</v>
      </c>
      <c r="C90" s="53">
        <v>0</v>
      </c>
      <c r="F90" s="1" t="s">
        <v>447</v>
      </c>
      <c r="G90" s="1">
        <f>G89/C65</f>
        <v>8.7792045098653307E-2</v>
      </c>
      <c r="H90" s="1" t="s">
        <v>448</v>
      </c>
      <c r="I90" s="1" t="s">
        <v>449</v>
      </c>
      <c r="J90" s="1" t="s">
        <v>403</v>
      </c>
      <c r="K90" s="53">
        <v>4</v>
      </c>
    </row>
    <row r="91" spans="2:13" x14ac:dyDescent="0.15">
      <c r="B91" s="1" t="s">
        <v>384</v>
      </c>
      <c r="C91" s="53">
        <v>0</v>
      </c>
      <c r="E91" s="1" t="s">
        <v>443</v>
      </c>
      <c r="F91" s="1" t="s">
        <v>446</v>
      </c>
      <c r="G91" s="87">
        <f>IF(M91&gt;=(5/3*C67),$F$60*(M91-C67),$F$60*MAX(0.4*M91+1.5-(2.25+2*(C67-M91*0.6))^0.5,0.1*M91))*K92*(1+C99-C81)</f>
        <v>1401.6000000000001</v>
      </c>
      <c r="H91" s="1">
        <f>ROUND(G91*0.98,0)</f>
        <v>1374</v>
      </c>
      <c r="I91" s="1">
        <f>ROUND(G91*1.02,0)</f>
        <v>1430</v>
      </c>
      <c r="J91" s="1" t="s">
        <v>402</v>
      </c>
      <c r="K91" s="53">
        <v>0</v>
      </c>
      <c r="L91" s="1" t="s">
        <v>450</v>
      </c>
      <c r="M91" s="1">
        <f>C85+K91</f>
        <v>4017</v>
      </c>
    </row>
    <row r="92" spans="2:13" x14ac:dyDescent="0.15">
      <c r="B92" s="1" t="s">
        <v>385</v>
      </c>
      <c r="C92" s="53">
        <v>0</v>
      </c>
      <c r="F92" s="1" t="s">
        <v>447</v>
      </c>
      <c r="G92" s="1">
        <f>G91/C65</f>
        <v>8.7792045098653307E-2</v>
      </c>
      <c r="H92" s="1" t="s">
        <v>448</v>
      </c>
      <c r="I92" s="1" t="s">
        <v>449</v>
      </c>
      <c r="J92" s="1" t="s">
        <v>403</v>
      </c>
      <c r="K92" s="53">
        <v>4</v>
      </c>
    </row>
    <row r="93" spans="2:13" x14ac:dyDescent="0.15">
      <c r="B93" s="1" t="s">
        <v>386</v>
      </c>
      <c r="C93" s="53">
        <v>0</v>
      </c>
      <c r="E93" s="1" t="s">
        <v>444</v>
      </c>
      <c r="F93" s="1" t="s">
        <v>446</v>
      </c>
      <c r="G93" s="87">
        <f>IF(M93&gt;=(5/3*C67),$F$60*(M93-C67),$F$60*MAX(0.4*M93+1.5-(2.25+2*(C67-M93*0.6))^0.5,0.1*M93))*K94*(1+C99-C81)</f>
        <v>1401.6000000000001</v>
      </c>
      <c r="H93" s="1">
        <f>ROUND(G93*0.98,0)</f>
        <v>1374</v>
      </c>
      <c r="I93" s="1">
        <f>ROUND(G93*1.02,0)</f>
        <v>1430</v>
      </c>
      <c r="J93" s="1" t="s">
        <v>402</v>
      </c>
      <c r="K93" s="53">
        <v>0</v>
      </c>
      <c r="L93" s="1" t="s">
        <v>450</v>
      </c>
      <c r="M93" s="1">
        <f>C85+K93</f>
        <v>4017</v>
      </c>
    </row>
    <row r="94" spans="2:13" x14ac:dyDescent="0.15">
      <c r="B94" s="1" t="s">
        <v>387</v>
      </c>
      <c r="C94" s="53">
        <v>0</v>
      </c>
      <c r="F94" s="1" t="s">
        <v>447</v>
      </c>
      <c r="G94" s="1">
        <f>G93/C65</f>
        <v>8.7792045098653307E-2</v>
      </c>
      <c r="H94" s="1" t="s">
        <v>448</v>
      </c>
      <c r="I94" s="1" t="s">
        <v>449</v>
      </c>
      <c r="J94" s="1" t="s">
        <v>403</v>
      </c>
      <c r="K94" s="53">
        <v>4</v>
      </c>
    </row>
    <row r="95" spans="2:13" x14ac:dyDescent="0.15">
      <c r="B95" s="1" t="s">
        <v>388</v>
      </c>
      <c r="C95" s="53">
        <v>0</v>
      </c>
      <c r="E95" s="1" t="s">
        <v>445</v>
      </c>
      <c r="F95" s="1" t="s">
        <v>446</v>
      </c>
      <c r="G95" s="87">
        <f>IF(M95&gt;=(5/3*C67),$F$60*(M95-C67),$F$60*MAX(0.4*M95+1.5-(2.25+2*(C67-M95*0.6))^0.5,0.1*M95))*K96*(1+C99-C81)</f>
        <v>1401.6000000000001</v>
      </c>
      <c r="H95" s="1">
        <f>ROUND(G95*0.98,0)</f>
        <v>1374</v>
      </c>
      <c r="I95" s="1">
        <f>ROUND(G95*1.02,0)</f>
        <v>1430</v>
      </c>
      <c r="J95" s="1" t="s">
        <v>402</v>
      </c>
      <c r="K95" s="53">
        <v>0</v>
      </c>
      <c r="L95" s="1" t="s">
        <v>450</v>
      </c>
      <c r="M95" s="1">
        <f>C85+K95</f>
        <v>4017</v>
      </c>
    </row>
    <row r="96" spans="2:13" x14ac:dyDescent="0.15">
      <c r="B96" s="1" t="s">
        <v>389</v>
      </c>
      <c r="C96" s="53">
        <v>0</v>
      </c>
      <c r="F96" s="1" t="s">
        <v>447</v>
      </c>
      <c r="G96" s="1">
        <f>G95/C65</f>
        <v>8.7792045098653307E-2</v>
      </c>
      <c r="J96" s="1" t="s">
        <v>403</v>
      </c>
      <c r="K96" s="53">
        <v>4</v>
      </c>
    </row>
    <row r="97" spans="1:8" x14ac:dyDescent="0.15">
      <c r="B97" s="1" t="s">
        <v>391</v>
      </c>
      <c r="C97" s="53">
        <v>0</v>
      </c>
      <c r="E97" s="1" t="s">
        <v>395</v>
      </c>
      <c r="F97" s="1">
        <f>MIN(MAX(MIN(MAX(IF(H97&gt;=-300,1+H97/2000,0.85+(-18.5+(342.25-6*(300+H97))^0.5)/300),0.5),1)+C93-C75,0.3),1)</f>
        <v>1</v>
      </c>
      <c r="G97" s="1" t="s">
        <v>396</v>
      </c>
      <c r="H97" s="1">
        <f>C87-C69</f>
        <v>0</v>
      </c>
    </row>
    <row r="98" spans="1:8" x14ac:dyDescent="0.15">
      <c r="B98" s="1" t="s">
        <v>392</v>
      </c>
      <c r="C98" s="53">
        <v>0</v>
      </c>
      <c r="E98" s="1" t="s">
        <v>388</v>
      </c>
      <c r="F98" s="1">
        <f>MAX(MIN(MAX(MIN(IF(H98&lt;=400,H98/2000,0.2+(-18.5+(342.25+6*(H98-400))^0.5)/300),0.5),0)+C95-C77,1),0)</f>
        <v>0</v>
      </c>
      <c r="G98" s="1" t="s">
        <v>397</v>
      </c>
      <c r="H98" s="1">
        <f>C89-C71</f>
        <v>0</v>
      </c>
    </row>
    <row r="99" spans="1:8" x14ac:dyDescent="0.15">
      <c r="B99" s="1" t="s">
        <v>393</v>
      </c>
      <c r="C99" s="53">
        <v>0</v>
      </c>
      <c r="E99" s="1" t="s">
        <v>390</v>
      </c>
      <c r="F99" s="1">
        <f>MAX(MIN(MAX(MIN(H99/2000,1),0)+C79-C97,1),0)</f>
        <v>0</v>
      </c>
      <c r="G99" s="1" t="s">
        <v>398</v>
      </c>
      <c r="H99" s="1">
        <f>C73-C91</f>
        <v>0</v>
      </c>
    </row>
    <row r="100" spans="1:8" x14ac:dyDescent="0.15">
      <c r="B100" s="1" t="s">
        <v>394</v>
      </c>
      <c r="C100" s="53">
        <v>0</v>
      </c>
    </row>
    <row r="102" spans="1:8" s="17" customFormat="1" x14ac:dyDescent="0.15">
      <c r="A102" s="17" t="s">
        <v>507</v>
      </c>
    </row>
    <row r="104" spans="1:8" x14ac:dyDescent="0.15">
      <c r="E104" s="1" t="s">
        <v>440</v>
      </c>
      <c r="F104" s="53">
        <v>0.5</v>
      </c>
    </row>
    <row r="108" spans="1:8" x14ac:dyDescent="0.15">
      <c r="B108" s="1" t="s">
        <v>508</v>
      </c>
    </row>
    <row r="109" spans="1:8" x14ac:dyDescent="0.15">
      <c r="B109" s="1" t="s">
        <v>8</v>
      </c>
      <c r="C109" s="53">
        <v>15965</v>
      </c>
      <c r="E109" s="1" t="s">
        <v>510</v>
      </c>
    </row>
    <row r="110" spans="1:8" x14ac:dyDescent="0.15">
      <c r="B110" s="1" t="s">
        <v>6</v>
      </c>
      <c r="C110" s="53">
        <v>2487</v>
      </c>
      <c r="E110" s="1" t="s">
        <v>434</v>
      </c>
      <c r="F110" s="1">
        <f>IF(C110/C130&gt;=5/3,1,0)</f>
        <v>0</v>
      </c>
      <c r="G110" s="1" t="s">
        <v>448</v>
      </c>
      <c r="H110" s="1" t="s">
        <v>449</v>
      </c>
    </row>
    <row r="111" spans="1:8" x14ac:dyDescent="0.15">
      <c r="B111" s="1" t="s">
        <v>7</v>
      </c>
      <c r="C111" s="53">
        <v>1827</v>
      </c>
      <c r="E111" s="1" t="s">
        <v>401</v>
      </c>
      <c r="F111" s="87">
        <f>IF(C110&gt;=(5/3*C130),$F$60*(C110-C130),$F$60*MAX(0.4*C110+1.5-(2.25+2*(C130-C110*0.6))^0.5,0.1*C110))*(1+C124-C144)</f>
        <v>151.72825000406917</v>
      </c>
      <c r="G111" s="1">
        <f>ROUND(F111*0.98,0)</f>
        <v>149</v>
      </c>
      <c r="H111" s="1">
        <f>ROUND(F111*1.02,0)</f>
        <v>155</v>
      </c>
    </row>
    <row r="112" spans="1:8" x14ac:dyDescent="0.15">
      <c r="B112" s="1" t="s">
        <v>4</v>
      </c>
      <c r="C112" s="53">
        <v>0</v>
      </c>
      <c r="E112" s="1" t="s">
        <v>441</v>
      </c>
      <c r="F112" s="1">
        <f>F111/C128</f>
        <v>6.6011855559742951E-3</v>
      </c>
    </row>
    <row r="113" spans="2:13" x14ac:dyDescent="0.15">
      <c r="B113" s="1" t="s">
        <v>9</v>
      </c>
      <c r="C113" s="53">
        <v>0</v>
      </c>
      <c r="E113" s="1" t="s">
        <v>452</v>
      </c>
      <c r="F113" s="87">
        <f>1/F112</f>
        <v>151.48793978302373</v>
      </c>
      <c r="H113" s="1" t="s">
        <v>448</v>
      </c>
      <c r="I113" s="1" t="s">
        <v>449</v>
      </c>
    </row>
    <row r="114" spans="2:13" x14ac:dyDescent="0.15">
      <c r="B114" s="1" t="s">
        <v>5</v>
      </c>
      <c r="C114" s="53">
        <v>0</v>
      </c>
      <c r="E114" s="1" t="s">
        <v>415</v>
      </c>
      <c r="F114" s="1" t="s">
        <v>16</v>
      </c>
      <c r="G114" s="87">
        <f>IF(M114&gt;=(5/3*C130),$F$60*(M114-C130),$F$60*MAX(0.4*M114+1.5-(2.25+2*(C130-M114*0.6))^0.5,0.1*M114))*K115*(1+C124-C144)</f>
        <v>606.91300001627667</v>
      </c>
      <c r="H114" s="1">
        <f>ROUND(G114*0.98,0)</f>
        <v>595</v>
      </c>
      <c r="I114" s="1">
        <f>ROUND(G114*1.02,0)</f>
        <v>619</v>
      </c>
      <c r="J114" s="1" t="s">
        <v>402</v>
      </c>
      <c r="K114" s="53">
        <v>0</v>
      </c>
      <c r="L114" s="1" t="s">
        <v>450</v>
      </c>
      <c r="M114" s="1">
        <f>C110+K114</f>
        <v>2487</v>
      </c>
    </row>
    <row r="115" spans="2:13" x14ac:dyDescent="0.15">
      <c r="B115" s="1" t="s">
        <v>11</v>
      </c>
      <c r="C115" s="53">
        <v>0</v>
      </c>
      <c r="F115" s="1" t="s">
        <v>447</v>
      </c>
      <c r="G115" s="1">
        <f>G114/C128</f>
        <v>2.640474222389718E-2</v>
      </c>
      <c r="H115" s="1" t="s">
        <v>448</v>
      </c>
      <c r="I115" s="1" t="s">
        <v>449</v>
      </c>
      <c r="J115" s="1" t="s">
        <v>403</v>
      </c>
      <c r="K115" s="53">
        <v>4</v>
      </c>
    </row>
    <row r="116" spans="2:13" x14ac:dyDescent="0.15">
      <c r="B116" s="1" t="s">
        <v>37</v>
      </c>
      <c r="C116" s="53">
        <v>0</v>
      </c>
      <c r="E116" s="1" t="s">
        <v>416</v>
      </c>
      <c r="F116" s="1" t="s">
        <v>16</v>
      </c>
      <c r="G116" s="87">
        <f>IF(M116&gt;=(5/3*C130),$F$60*(M116-C130),$F$60*MAX(0.4*M116+1.5-(2.25+2*(C130-M116*0.6))^0.5,0.1*M116))*K117*(1+C124-C144)</f>
        <v>606.91300001627667</v>
      </c>
      <c r="H116" s="1">
        <f>ROUND(G116*0.98,0)</f>
        <v>595</v>
      </c>
      <c r="I116" s="1">
        <f>ROUND(G116*1.02,0)</f>
        <v>619</v>
      </c>
      <c r="J116" s="1" t="s">
        <v>402</v>
      </c>
      <c r="K116" s="53">
        <v>0</v>
      </c>
      <c r="L116" s="1" t="s">
        <v>450</v>
      </c>
      <c r="M116" s="1">
        <f>C110+K116</f>
        <v>2487</v>
      </c>
    </row>
    <row r="117" spans="2:13" x14ac:dyDescent="0.15">
      <c r="B117" s="1" t="s">
        <v>36</v>
      </c>
      <c r="C117" s="53">
        <v>0</v>
      </c>
      <c r="F117" s="1" t="s">
        <v>447</v>
      </c>
      <c r="G117" s="1">
        <f>G116/C128</f>
        <v>2.640474222389718E-2</v>
      </c>
      <c r="H117" s="1" t="s">
        <v>448</v>
      </c>
      <c r="I117" s="1" t="s">
        <v>449</v>
      </c>
      <c r="J117" s="1" t="s">
        <v>403</v>
      </c>
      <c r="K117" s="53">
        <v>4</v>
      </c>
    </row>
    <row r="118" spans="2:13" x14ac:dyDescent="0.15">
      <c r="B118" s="1" t="s">
        <v>219</v>
      </c>
      <c r="C118" s="53">
        <v>0</v>
      </c>
      <c r="E118" s="1" t="s">
        <v>417</v>
      </c>
      <c r="F118" s="1" t="s">
        <v>16</v>
      </c>
      <c r="G118" s="87">
        <f>IF(M118&gt;=(5/3*C130),$F$60*(M118-C130),$F$60*MAX(0.4*M118+1.5-(2.25+2*(C130-M118*0.6))^0.5,0.1*M118))*K119*(1+C124-C144)</f>
        <v>606.91300001627667</v>
      </c>
      <c r="H118" s="1">
        <f>ROUND(G118*0.98,0)</f>
        <v>595</v>
      </c>
      <c r="I118" s="1">
        <f>ROUND(G118*1.02,0)</f>
        <v>619</v>
      </c>
      <c r="J118" s="1" t="s">
        <v>402</v>
      </c>
      <c r="K118" s="53">
        <v>0</v>
      </c>
      <c r="L118" s="1" t="s">
        <v>450</v>
      </c>
      <c r="M118" s="1">
        <f>C110+K118</f>
        <v>2487</v>
      </c>
    </row>
    <row r="119" spans="2:13" x14ac:dyDescent="0.15">
      <c r="B119" s="1" t="s">
        <v>387</v>
      </c>
      <c r="C119" s="53">
        <v>0</v>
      </c>
      <c r="F119" s="1" t="s">
        <v>447</v>
      </c>
      <c r="G119" s="1">
        <f>G118/C128</f>
        <v>2.640474222389718E-2</v>
      </c>
      <c r="H119" s="1" t="s">
        <v>448</v>
      </c>
      <c r="I119" s="1" t="s">
        <v>449</v>
      </c>
      <c r="J119" s="1" t="s">
        <v>403</v>
      </c>
      <c r="K119" s="53">
        <v>4</v>
      </c>
    </row>
    <row r="120" spans="2:13" x14ac:dyDescent="0.15">
      <c r="B120" s="1" t="s">
        <v>220</v>
      </c>
      <c r="C120" s="53">
        <v>0</v>
      </c>
      <c r="E120" s="1" t="s">
        <v>418</v>
      </c>
      <c r="F120" s="1" t="s">
        <v>16</v>
      </c>
      <c r="G120" s="87">
        <f>IF(M120&gt;=(5/3*C130),$F$60*(M120-C130),$F$60*MAX(0.4*M120+1.5-(2.25+2*(C130-M120*0.6))^0.5,0.1*M120))*K121*(1+C124-C144)</f>
        <v>606.91300001627667</v>
      </c>
      <c r="H120" s="1">
        <f>ROUND(G120*0.98,0)</f>
        <v>595</v>
      </c>
      <c r="I120" s="1">
        <f>ROUND(G120*1.02,0)</f>
        <v>619</v>
      </c>
      <c r="J120" s="1" t="s">
        <v>402</v>
      </c>
      <c r="K120" s="53">
        <v>0</v>
      </c>
      <c r="L120" s="1" t="s">
        <v>450</v>
      </c>
      <c r="M120" s="1">
        <f>C110+K120</f>
        <v>2487</v>
      </c>
    </row>
    <row r="121" spans="2:13" x14ac:dyDescent="0.15">
      <c r="B121" s="1" t="s">
        <v>389</v>
      </c>
      <c r="C121" s="53">
        <v>0</v>
      </c>
      <c r="F121" s="1" t="s">
        <v>447</v>
      </c>
      <c r="G121" s="1">
        <f>G120/C128</f>
        <v>2.640474222389718E-2</v>
      </c>
      <c r="J121" s="1" t="s">
        <v>403</v>
      </c>
      <c r="K121" s="53">
        <v>4</v>
      </c>
    </row>
    <row r="122" spans="2:13" x14ac:dyDescent="0.15">
      <c r="B122" s="1" t="s">
        <v>391</v>
      </c>
      <c r="C122" s="53">
        <v>0</v>
      </c>
      <c r="E122" s="1" t="s">
        <v>219</v>
      </c>
      <c r="F122" s="1">
        <f>MIN(MAX(MIN(MAX(IF(H122&gt;=-300,1+H122/2000,0.85+(-18.5+(342.25-6*(300+H122))^0.5)/300),0.5),1)+C118-C138,0.3),1)</f>
        <v>1</v>
      </c>
      <c r="G122" s="1" t="s">
        <v>396</v>
      </c>
      <c r="H122" s="1">
        <f>C112-C132</f>
        <v>0</v>
      </c>
    </row>
    <row r="123" spans="2:13" x14ac:dyDescent="0.15">
      <c r="B123" s="1" t="s">
        <v>221</v>
      </c>
      <c r="C123" s="53">
        <v>0</v>
      </c>
      <c r="E123" s="1" t="s">
        <v>220</v>
      </c>
      <c r="F123" s="1">
        <f>MAX(MIN(MAX(MIN(IF(H123&lt;=400,H123/2000,0.2+(-18.5+(342.25+6*(H123-400))^0.5)/300),0.5),0)+C120-C139,1),0)</f>
        <v>0</v>
      </c>
      <c r="G123" s="1" t="s">
        <v>397</v>
      </c>
      <c r="H123" s="1">
        <f>C114-C134</f>
        <v>0</v>
      </c>
    </row>
    <row r="124" spans="2:13" x14ac:dyDescent="0.15">
      <c r="B124" s="1" t="s">
        <v>393</v>
      </c>
      <c r="C124" s="53">
        <v>0</v>
      </c>
      <c r="E124" s="1" t="s">
        <v>221</v>
      </c>
      <c r="F124" s="1">
        <f>MAX(MIN(MAX(MIN(H124/2000,1),0)+C142-C122,1),0)</f>
        <v>0</v>
      </c>
      <c r="G124" s="1" t="s">
        <v>398</v>
      </c>
      <c r="H124" s="1">
        <f>C136-C116</f>
        <v>0</v>
      </c>
    </row>
    <row r="125" spans="2:13" x14ac:dyDescent="0.15">
      <c r="B125" s="1" t="s">
        <v>394</v>
      </c>
      <c r="C125" s="53">
        <v>0</v>
      </c>
    </row>
    <row r="127" spans="2:13" x14ac:dyDescent="0.15">
      <c r="B127" s="1" t="s">
        <v>509</v>
      </c>
    </row>
    <row r="128" spans="2:13" x14ac:dyDescent="0.15">
      <c r="B128" s="1" t="s">
        <v>8</v>
      </c>
      <c r="C128" s="53">
        <v>22985</v>
      </c>
      <c r="E128" s="1" t="s">
        <v>511</v>
      </c>
    </row>
    <row r="129" spans="2:13" x14ac:dyDescent="0.15">
      <c r="B129" s="1" t="s">
        <v>6</v>
      </c>
      <c r="C129" s="53">
        <v>4017</v>
      </c>
      <c r="E129" s="1" t="s">
        <v>434</v>
      </c>
      <c r="F129" s="1">
        <f>IF(C129/C111&gt;=5/3,1,0)</f>
        <v>1</v>
      </c>
      <c r="G129" s="1" t="s">
        <v>448</v>
      </c>
      <c r="H129" s="1" t="s">
        <v>449</v>
      </c>
    </row>
    <row r="130" spans="2:13" x14ac:dyDescent="0.15">
      <c r="B130" s="1" t="s">
        <v>7</v>
      </c>
      <c r="C130" s="53">
        <v>2643</v>
      </c>
      <c r="E130" s="1" t="s">
        <v>401</v>
      </c>
      <c r="F130" s="87">
        <f>MAX(C129-C111,0.1*C129)*(1+C143-C125)</f>
        <v>2190</v>
      </c>
      <c r="G130" s="1">
        <f>ROUND(F130*0.98,0)</f>
        <v>2146</v>
      </c>
      <c r="H130" s="1">
        <f>ROUND(F130*1.02,0)</f>
        <v>2234</v>
      </c>
    </row>
    <row r="131" spans="2:13" x14ac:dyDescent="0.15">
      <c r="B131" s="1" t="s">
        <v>4</v>
      </c>
      <c r="C131" s="53">
        <v>0</v>
      </c>
      <c r="E131" s="1" t="s">
        <v>441</v>
      </c>
      <c r="F131" s="1">
        <f>F130/C109</f>
        <v>0.13717507046664579</v>
      </c>
    </row>
    <row r="132" spans="2:13" x14ac:dyDescent="0.15">
      <c r="B132" s="1" t="s">
        <v>9</v>
      </c>
      <c r="C132" s="53">
        <v>0</v>
      </c>
      <c r="E132" s="1" t="s">
        <v>452</v>
      </c>
      <c r="F132" s="87">
        <f>1/F131</f>
        <v>7.2899543378995437</v>
      </c>
      <c r="H132" s="1" t="s">
        <v>448</v>
      </c>
      <c r="I132" s="1" t="s">
        <v>449</v>
      </c>
    </row>
    <row r="133" spans="2:13" x14ac:dyDescent="0.15">
      <c r="B133" s="1" t="s">
        <v>5</v>
      </c>
      <c r="C133" s="53">
        <v>0</v>
      </c>
      <c r="E133" s="1" t="s">
        <v>415</v>
      </c>
      <c r="F133" s="1" t="s">
        <v>16</v>
      </c>
      <c r="G133" s="87">
        <f>IF(M133&gt;=(5/3*C111),$F$60*(M133-C111),$F$60*MAX(0.4*M133+1.5-(2.25+2*(C111-M133*0.6))^0.5,0.1*M133))*K134*(1+C143-C125)</f>
        <v>210.24</v>
      </c>
      <c r="H133" s="1">
        <f>ROUND(G133*0.98,0)</f>
        <v>206</v>
      </c>
      <c r="I133" s="1">
        <f>ROUND(G133*1.02,0)</f>
        <v>214</v>
      </c>
      <c r="J133" s="1" t="s">
        <v>402</v>
      </c>
      <c r="K133" s="53">
        <v>0</v>
      </c>
      <c r="L133" s="1" t="s">
        <v>450</v>
      </c>
      <c r="M133" s="1">
        <f>C129+K133</f>
        <v>4017</v>
      </c>
    </row>
    <row r="134" spans="2:13" x14ac:dyDescent="0.15">
      <c r="B134" s="1" t="s">
        <v>11</v>
      </c>
      <c r="C134" s="53">
        <v>0</v>
      </c>
      <c r="F134" s="1" t="s">
        <v>447</v>
      </c>
      <c r="G134" s="1">
        <f>G133/C109</f>
        <v>1.3168806764797996E-2</v>
      </c>
      <c r="H134" s="1" t="s">
        <v>448</v>
      </c>
      <c r="I134" s="1" t="s">
        <v>449</v>
      </c>
      <c r="J134" s="1" t="s">
        <v>403</v>
      </c>
      <c r="K134" s="53">
        <v>0.6</v>
      </c>
    </row>
    <row r="135" spans="2:13" x14ac:dyDescent="0.15">
      <c r="B135" s="1" t="s">
        <v>37</v>
      </c>
      <c r="C135" s="53">
        <v>0</v>
      </c>
      <c r="E135" s="1" t="s">
        <v>416</v>
      </c>
      <c r="F135" s="1" t="s">
        <v>16</v>
      </c>
      <c r="G135" s="87">
        <f>IF(M135&gt;=(5/3*C111),$F$60*(M135-C111),$F$60*MAX(0.4*M135+1.5-(2.25+2*(C111-M135*0.6))^0.5,0.1*M135))*K136*(1+C143-C125)</f>
        <v>1401.6000000000001</v>
      </c>
      <c r="H135" s="1">
        <f>ROUND(G135*0.98,0)</f>
        <v>1374</v>
      </c>
      <c r="I135" s="1">
        <f>ROUND(G135*1.02,0)</f>
        <v>1430</v>
      </c>
      <c r="J135" s="1" t="s">
        <v>402</v>
      </c>
      <c r="K135" s="53">
        <v>0</v>
      </c>
      <c r="L135" s="1" t="s">
        <v>450</v>
      </c>
      <c r="M135" s="1">
        <f>C129+K135</f>
        <v>4017</v>
      </c>
    </row>
    <row r="136" spans="2:13" x14ac:dyDescent="0.15">
      <c r="B136" s="1" t="s">
        <v>36</v>
      </c>
      <c r="C136" s="53">
        <v>0</v>
      </c>
      <c r="F136" s="1" t="s">
        <v>447</v>
      </c>
      <c r="G136" s="1">
        <f>G135/C109</f>
        <v>8.7792045098653307E-2</v>
      </c>
      <c r="H136" s="1" t="s">
        <v>448</v>
      </c>
      <c r="I136" s="1" t="s">
        <v>449</v>
      </c>
      <c r="J136" s="1" t="s">
        <v>403</v>
      </c>
      <c r="K136" s="53">
        <v>4</v>
      </c>
    </row>
    <row r="137" spans="2:13" x14ac:dyDescent="0.15">
      <c r="B137" s="1" t="s">
        <v>219</v>
      </c>
      <c r="C137" s="53">
        <v>0</v>
      </c>
      <c r="E137" s="1" t="s">
        <v>417</v>
      </c>
      <c r="F137" s="1" t="s">
        <v>16</v>
      </c>
      <c r="G137" s="87">
        <f>IF(M137&gt;=(5/3*C111),$F$60*(M137-C111),$F$60*MAX(0.4*M137+1.5-(2.25+2*(C111-M137*0.6))^0.5,0.1*M137))*K138*(1+C143-C125)</f>
        <v>1401.6000000000001</v>
      </c>
      <c r="H137" s="1">
        <f>ROUND(G137*0.98,0)</f>
        <v>1374</v>
      </c>
      <c r="I137" s="1">
        <f>ROUND(G137*1.02,0)</f>
        <v>1430</v>
      </c>
      <c r="J137" s="1" t="s">
        <v>402</v>
      </c>
      <c r="K137" s="53">
        <v>0</v>
      </c>
      <c r="L137" s="1" t="s">
        <v>450</v>
      </c>
      <c r="M137" s="1">
        <f>C129+K137</f>
        <v>4017</v>
      </c>
    </row>
    <row r="138" spans="2:13" x14ac:dyDescent="0.15">
      <c r="B138" s="1" t="s">
        <v>387</v>
      </c>
      <c r="C138" s="53">
        <v>0</v>
      </c>
      <c r="F138" s="1" t="s">
        <v>447</v>
      </c>
      <c r="G138" s="1">
        <f>G137/C109</f>
        <v>8.7792045098653307E-2</v>
      </c>
      <c r="H138" s="1" t="s">
        <v>448</v>
      </c>
      <c r="I138" s="1" t="s">
        <v>449</v>
      </c>
      <c r="J138" s="1" t="s">
        <v>403</v>
      </c>
      <c r="K138" s="53">
        <v>4</v>
      </c>
    </row>
    <row r="139" spans="2:13" x14ac:dyDescent="0.15">
      <c r="B139" s="1" t="s">
        <v>220</v>
      </c>
      <c r="C139" s="53">
        <v>0</v>
      </c>
      <c r="E139" s="1" t="s">
        <v>418</v>
      </c>
      <c r="F139" s="1" t="s">
        <v>16</v>
      </c>
      <c r="G139" s="87">
        <f>IF(M139&gt;=(5/3*C111),$F$60*(M139-C111),$F$60*MAX(0.4*M139+1.5-(2.25+2*(C111-M139*0.6))^0.5,0.1*M139))*K140*(1+C143-C125)</f>
        <v>1401.6000000000001</v>
      </c>
      <c r="H139" s="1">
        <f>ROUND(G139*0.98,0)</f>
        <v>1374</v>
      </c>
      <c r="I139" s="1">
        <f>ROUND(G139*1.02,0)</f>
        <v>1430</v>
      </c>
      <c r="J139" s="1" t="s">
        <v>402</v>
      </c>
      <c r="K139" s="53">
        <v>0</v>
      </c>
      <c r="L139" s="1" t="s">
        <v>450</v>
      </c>
      <c r="M139" s="1">
        <f>C129+K139</f>
        <v>4017</v>
      </c>
    </row>
    <row r="140" spans="2:13" x14ac:dyDescent="0.15">
      <c r="B140" s="1" t="s">
        <v>389</v>
      </c>
      <c r="C140" s="53">
        <v>0</v>
      </c>
      <c r="F140" s="1" t="s">
        <v>447</v>
      </c>
      <c r="G140" s="1">
        <f>G139/C109</f>
        <v>8.7792045098653307E-2</v>
      </c>
      <c r="J140" s="1" t="s">
        <v>403</v>
      </c>
      <c r="K140" s="53">
        <v>4</v>
      </c>
    </row>
    <row r="141" spans="2:13" x14ac:dyDescent="0.15">
      <c r="B141" s="1" t="s">
        <v>391</v>
      </c>
      <c r="C141" s="53">
        <v>0</v>
      </c>
      <c r="E141" s="1" t="s">
        <v>219</v>
      </c>
      <c r="F141" s="1">
        <f>MIN(MAX(MIN(MAX(IF(H141&gt;=-300,1+H141/2000,0.85+(-18.5+(342.25-6*(300+H141))^0.5)/300),0.5),1)+C137-C119,0.3),1)</f>
        <v>1</v>
      </c>
      <c r="G141" s="1" t="s">
        <v>396</v>
      </c>
      <c r="H141" s="1">
        <f>C131-C113</f>
        <v>0</v>
      </c>
    </row>
    <row r="142" spans="2:13" x14ac:dyDescent="0.15">
      <c r="B142" s="1" t="s">
        <v>221</v>
      </c>
      <c r="C142" s="53">
        <v>0</v>
      </c>
      <c r="E142" s="1" t="s">
        <v>220</v>
      </c>
      <c r="F142" s="1">
        <f>MAX(MIN(MAX(MIN(IF(H142&lt;=400,H142/2000,0.2+(-18.5+(342.25+6*(H142-400))^0.5)/300),0.5),0)+C139-C121,1),0)</f>
        <v>0</v>
      </c>
      <c r="G142" s="1" t="s">
        <v>397</v>
      </c>
      <c r="H142" s="1">
        <f>C133-C115</f>
        <v>0</v>
      </c>
    </row>
    <row r="143" spans="2:13" x14ac:dyDescent="0.15">
      <c r="B143" s="1" t="s">
        <v>393</v>
      </c>
      <c r="C143" s="53">
        <v>0</v>
      </c>
      <c r="E143" s="1" t="s">
        <v>221</v>
      </c>
      <c r="F143" s="1">
        <f>MAX(MIN(MAX(MIN(H143/2000,1),0)+C123-C141,1),0)</f>
        <v>0</v>
      </c>
      <c r="G143" s="1" t="s">
        <v>398</v>
      </c>
      <c r="H143" s="1">
        <f>C117-C135</f>
        <v>0</v>
      </c>
    </row>
    <row r="144" spans="2:13" x14ac:dyDescent="0.15">
      <c r="B144" s="1" t="s">
        <v>394</v>
      </c>
      <c r="C144" s="53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1505" r:id="rId4">
          <objectPr defaultSize="0" r:id="rId5">
            <anchor moveWithCells="1">
              <from>
                <xdr:col>0</xdr:col>
                <xdr:colOff>209550</xdr:colOff>
                <xdr:row>43</xdr:row>
                <xdr:rowOff>95250</xdr:rowOff>
              </from>
              <to>
                <xdr:col>17</xdr:col>
                <xdr:colOff>9525</xdr:colOff>
                <xdr:row>56</xdr:row>
                <xdr:rowOff>95250</xdr:rowOff>
              </to>
            </anchor>
          </objectPr>
        </oleObject>
      </mc:Choice>
      <mc:Fallback>
        <oleObject progId="Equation.DSMT4" shapeId="21505" r:id="rId4"/>
      </mc:Fallback>
    </mc:AlternateContent>
    <mc:AlternateContent xmlns:mc="http://schemas.openxmlformats.org/markup-compatibility/2006">
      <mc:Choice Requires="x14">
        <oleObject progId="Equation.DSMT4" shapeId="21506" r:id="rId6">
          <objectPr defaultSize="0" autoPict="0" r:id="rId7">
            <anchor moveWithCells="1">
              <from>
                <xdr:col>11</xdr:col>
                <xdr:colOff>152400</xdr:colOff>
                <xdr:row>0</xdr:row>
                <xdr:rowOff>95250</xdr:rowOff>
              </from>
              <to>
                <xdr:col>22</xdr:col>
                <xdr:colOff>219075</xdr:colOff>
                <xdr:row>35</xdr:row>
                <xdr:rowOff>133350</xdr:rowOff>
              </to>
            </anchor>
          </objectPr>
        </oleObject>
      </mc:Choice>
      <mc:Fallback>
        <oleObject progId="Equation.DSMT4" shapeId="21506" r:id="rId6"/>
      </mc:Fallback>
    </mc:AlternateContent>
    <mc:AlternateContent xmlns:mc="http://schemas.openxmlformats.org/markup-compatibility/2006">
      <mc:Choice Requires="x14">
        <oleObject progId="Equation.DSMT4" shapeId="21507" r:id="rId8">
          <objectPr defaultSize="0" r:id="rId9">
            <anchor moveWithCells="1">
              <from>
                <xdr:col>0</xdr:col>
                <xdr:colOff>200025</xdr:colOff>
                <xdr:row>30</xdr:row>
                <xdr:rowOff>133350</xdr:rowOff>
              </from>
              <to>
                <xdr:col>12</xdr:col>
                <xdr:colOff>247650</xdr:colOff>
                <xdr:row>43</xdr:row>
                <xdr:rowOff>123825</xdr:rowOff>
              </to>
            </anchor>
          </objectPr>
        </oleObject>
      </mc:Choice>
      <mc:Fallback>
        <oleObject progId="Equation.DSMT4" shapeId="21507" r:id="rId8"/>
      </mc:Fallback>
    </mc:AlternateContent>
    <mc:AlternateContent xmlns:mc="http://schemas.openxmlformats.org/markup-compatibility/2006">
      <mc:Choice Requires="x14">
        <oleObject progId="Equation.DSMT4" shapeId="21508" r:id="rId10">
          <objectPr defaultSize="0" autoPict="0" r:id="rId11">
            <anchor moveWithCells="1">
              <from>
                <xdr:col>14</xdr:col>
                <xdr:colOff>352425</xdr:colOff>
                <xdr:row>61</xdr:row>
                <xdr:rowOff>47625</xdr:rowOff>
              </from>
              <to>
                <xdr:col>31</xdr:col>
                <xdr:colOff>285750</xdr:colOff>
                <xdr:row>73</xdr:row>
                <xdr:rowOff>85725</xdr:rowOff>
              </to>
            </anchor>
          </objectPr>
        </oleObject>
      </mc:Choice>
      <mc:Fallback>
        <oleObject progId="Equation.DSMT4" shapeId="21508" r:id="rId10"/>
      </mc:Fallback>
    </mc:AlternateContent>
    <mc:AlternateContent xmlns:mc="http://schemas.openxmlformats.org/markup-compatibility/2006">
      <mc:Choice Requires="x14">
        <oleObject progId="Equation.DSMT4" shapeId="21509" r:id="rId12">
          <objectPr defaultSize="0" autoPict="0" r:id="rId11">
            <anchor moveWithCells="1">
              <from>
                <xdr:col>14</xdr:col>
                <xdr:colOff>266700</xdr:colOff>
                <xdr:row>107</xdr:row>
                <xdr:rowOff>19050</xdr:rowOff>
              </from>
              <to>
                <xdr:col>31</xdr:col>
                <xdr:colOff>200025</xdr:colOff>
                <xdr:row>119</xdr:row>
                <xdr:rowOff>57150</xdr:rowOff>
              </to>
            </anchor>
          </objectPr>
        </oleObject>
      </mc:Choice>
      <mc:Fallback>
        <oleObject progId="Equation.DSMT4" shapeId="21509" r:id="rId12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0"/>
  <sheetViews>
    <sheetView tabSelected="1" zoomScale="85" zoomScaleNormal="85" workbookViewId="0">
      <selection activeCell="H21" sqref="H21"/>
    </sheetView>
  </sheetViews>
  <sheetFormatPr defaultRowHeight="13.5" x14ac:dyDescent="0.15"/>
  <cols>
    <col min="1" max="2" width="9" style="1"/>
    <col min="3" max="3" width="10.75" style="1" customWidth="1"/>
    <col min="4" max="5" width="9.5" style="1" bestFit="1" customWidth="1"/>
    <col min="6" max="7" width="10.5" style="1" bestFit="1" customWidth="1"/>
    <col min="8" max="12" width="9" style="1"/>
    <col min="13" max="13" width="13.75" style="1" customWidth="1"/>
    <col min="14" max="14" width="12.125" style="1" customWidth="1"/>
    <col min="15" max="16" width="10.75" style="1" customWidth="1"/>
    <col min="17" max="17" width="11" style="1" customWidth="1"/>
    <col min="18" max="16384" width="9" style="1"/>
  </cols>
  <sheetData>
    <row r="1" spans="1:26" s="17" customFormat="1" x14ac:dyDescent="0.15">
      <c r="A1" s="17" t="s">
        <v>342</v>
      </c>
    </row>
    <row r="2" spans="1:26" ht="12.75" customHeight="1" x14ac:dyDescent="0.15"/>
    <row r="3" spans="1:26" x14ac:dyDescent="0.15">
      <c r="B3" s="1" t="s">
        <v>283</v>
      </c>
      <c r="L3" s="1" t="s">
        <v>284</v>
      </c>
    </row>
    <row r="4" spans="1:26" x14ac:dyDescent="0.15">
      <c r="B4" s="16" t="s">
        <v>69</v>
      </c>
      <c r="C4" s="16">
        <v>1</v>
      </c>
      <c r="D4" s="16">
        <v>2</v>
      </c>
      <c r="E4" s="16">
        <v>3</v>
      </c>
      <c r="F4" s="16">
        <v>4</v>
      </c>
      <c r="G4" s="16">
        <v>5</v>
      </c>
      <c r="H4" s="16">
        <v>6</v>
      </c>
      <c r="I4" s="16" t="s">
        <v>286</v>
      </c>
      <c r="J4" s="16" t="s">
        <v>345</v>
      </c>
      <c r="L4" s="16" t="s">
        <v>279</v>
      </c>
      <c r="M4" s="16" t="s">
        <v>46</v>
      </c>
      <c r="N4" s="16" t="s">
        <v>278</v>
      </c>
      <c r="O4" s="16" t="s">
        <v>18</v>
      </c>
      <c r="P4" s="16">
        <v>1</v>
      </c>
      <c r="Q4" s="16">
        <v>2</v>
      </c>
      <c r="R4" s="16">
        <v>3</v>
      </c>
      <c r="S4" s="16">
        <v>4</v>
      </c>
      <c r="U4" s="1" t="s">
        <v>420</v>
      </c>
    </row>
    <row r="5" spans="1:26" x14ac:dyDescent="0.15">
      <c r="B5" s="5" t="s">
        <v>278</v>
      </c>
      <c r="C5" s="5">
        <v>1</v>
      </c>
      <c r="D5" s="5">
        <v>1</v>
      </c>
      <c r="E5" s="5">
        <v>1.2</v>
      </c>
      <c r="F5" s="5">
        <v>1.5</v>
      </c>
      <c r="G5" s="5"/>
      <c r="H5" s="5"/>
      <c r="I5" s="5">
        <f>SUM(C5:H5)</f>
        <v>4.7</v>
      </c>
      <c r="J5" s="5">
        <f>I5/I6*I8</f>
        <v>2.1266968325791855</v>
      </c>
      <c r="L5" s="60" t="s">
        <v>263</v>
      </c>
      <c r="M5" s="60"/>
      <c r="N5" s="53"/>
      <c r="O5" s="53" t="s">
        <v>280</v>
      </c>
      <c r="P5" s="53">
        <v>8</v>
      </c>
      <c r="Q5" s="53">
        <v>8</v>
      </c>
      <c r="R5" s="53">
        <v>8</v>
      </c>
      <c r="S5" s="53">
        <v>8</v>
      </c>
      <c r="U5" s="16" t="s">
        <v>421</v>
      </c>
      <c r="V5" s="16" t="s">
        <v>344</v>
      </c>
      <c r="W5" s="57">
        <v>1</v>
      </c>
      <c r="X5" s="57">
        <v>2</v>
      </c>
      <c r="Y5" s="57">
        <v>3</v>
      </c>
      <c r="Z5" s="57">
        <v>4</v>
      </c>
    </row>
    <row r="6" spans="1:26" x14ac:dyDescent="0.15">
      <c r="B6" s="5" t="s">
        <v>285</v>
      </c>
      <c r="C6" s="5">
        <v>0.37</v>
      </c>
      <c r="D6" s="5">
        <v>0.37</v>
      </c>
      <c r="E6" s="5">
        <v>0.47</v>
      </c>
      <c r="F6" s="5">
        <v>1</v>
      </c>
      <c r="G6" s="5"/>
      <c r="H6" s="5"/>
      <c r="I6" s="5">
        <f>SUM(C6:H6)</f>
        <v>2.21</v>
      </c>
      <c r="J6" s="37"/>
      <c r="L6" s="2"/>
      <c r="M6" s="53"/>
      <c r="N6" s="53"/>
      <c r="O6" s="53" t="s">
        <v>288</v>
      </c>
      <c r="P6" s="53">
        <v>1.7</v>
      </c>
      <c r="Q6" s="53">
        <v>1.7</v>
      </c>
      <c r="R6" s="53">
        <v>2</v>
      </c>
      <c r="S6" s="53">
        <v>2</v>
      </c>
      <c r="U6" s="85" t="s">
        <v>263</v>
      </c>
      <c r="V6" s="5" t="s">
        <v>289</v>
      </c>
      <c r="W6" s="5">
        <f>$N$7*P8*P7</f>
        <v>5.52</v>
      </c>
      <c r="X6" s="5">
        <f t="shared" ref="X6:Z6" si="0">$N$7*Q8*Q7</f>
        <v>6.88</v>
      </c>
      <c r="Y6" s="5">
        <f t="shared" si="0"/>
        <v>8.6</v>
      </c>
      <c r="Z6" s="5">
        <f t="shared" si="0"/>
        <v>10.75</v>
      </c>
    </row>
    <row r="7" spans="1:26" x14ac:dyDescent="0.15">
      <c r="L7" s="3"/>
      <c r="M7" s="3" t="s">
        <v>281</v>
      </c>
      <c r="N7" s="13">
        <v>1</v>
      </c>
      <c r="O7" s="7" t="s">
        <v>275</v>
      </c>
      <c r="P7" s="5">
        <v>4</v>
      </c>
      <c r="Q7" s="5">
        <v>4</v>
      </c>
      <c r="R7" s="5">
        <v>5</v>
      </c>
      <c r="S7" s="5">
        <v>5</v>
      </c>
      <c r="U7" s="86"/>
      <c r="V7" s="5" t="s">
        <v>422</v>
      </c>
      <c r="W7" s="5">
        <f>$N$7*P9*P8*P7</f>
        <v>276</v>
      </c>
      <c r="X7" s="5">
        <f t="shared" ref="X7:Z7" si="1">$N$7*Q9*Q8*Q7</f>
        <v>688</v>
      </c>
      <c r="Y7" s="5">
        <f t="shared" si="1"/>
        <v>1720</v>
      </c>
      <c r="Z7" s="5">
        <f t="shared" si="1"/>
        <v>3225</v>
      </c>
    </row>
    <row r="8" spans="1:26" x14ac:dyDescent="0.15">
      <c r="B8" s="16" t="s">
        <v>287</v>
      </c>
      <c r="C8" s="5">
        <v>20</v>
      </c>
      <c r="H8" s="16" t="s">
        <v>462</v>
      </c>
      <c r="I8" s="5">
        <v>1</v>
      </c>
      <c r="L8" s="3"/>
      <c r="M8" s="3"/>
      <c r="N8" s="13"/>
      <c r="O8" s="7" t="s">
        <v>274</v>
      </c>
      <c r="P8" s="5">
        <f>ROUND(R255/$N$7/P7,2)</f>
        <v>1.38</v>
      </c>
      <c r="Q8" s="5">
        <f t="shared" ref="Q8:S8" si="2">ROUND(S255/$N$7/Q7,2)</f>
        <v>1.72</v>
      </c>
      <c r="R8" s="5">
        <f t="shared" si="2"/>
        <v>1.72</v>
      </c>
      <c r="S8" s="5">
        <f t="shared" si="2"/>
        <v>2.15</v>
      </c>
      <c r="U8" s="85" t="s">
        <v>264</v>
      </c>
      <c r="V8" s="5" t="s">
        <v>289</v>
      </c>
      <c r="W8" s="5">
        <f>$N$14*P15*P14</f>
        <v>3</v>
      </c>
      <c r="X8" s="5">
        <f t="shared" ref="X8:Z8" si="3">$N$14*Q15*Q14</f>
        <v>3.75</v>
      </c>
      <c r="Y8" s="5">
        <f t="shared" si="3"/>
        <v>4.6900000000000004</v>
      </c>
      <c r="Z8" s="5">
        <f t="shared" si="3"/>
        <v>5.86</v>
      </c>
    </row>
    <row r="9" spans="1:26" x14ac:dyDescent="0.15">
      <c r="L9" s="3"/>
      <c r="M9" s="4"/>
      <c r="N9" s="11"/>
      <c r="O9" s="7" t="s">
        <v>251</v>
      </c>
      <c r="P9" s="5">
        <v>50</v>
      </c>
      <c r="Q9" s="5">
        <v>100</v>
      </c>
      <c r="R9" s="5">
        <v>200</v>
      </c>
      <c r="S9" s="5">
        <v>300</v>
      </c>
      <c r="U9" s="86"/>
      <c r="V9" s="5" t="s">
        <v>422</v>
      </c>
      <c r="W9" s="5">
        <f>$N$14*P16*P15*P14</f>
        <v>150</v>
      </c>
      <c r="X9" s="5">
        <f t="shared" ref="X9:Z9" si="4">$N$14*Q16*Q15*Q14</f>
        <v>375</v>
      </c>
      <c r="Y9" s="5">
        <f t="shared" si="4"/>
        <v>938.00000000000011</v>
      </c>
      <c r="Z9" s="5">
        <f t="shared" si="4"/>
        <v>1758</v>
      </c>
    </row>
    <row r="10" spans="1:26" x14ac:dyDescent="0.15">
      <c r="B10" s="1" t="s">
        <v>278</v>
      </c>
      <c r="L10" s="3"/>
      <c r="M10" s="50" t="s">
        <v>164</v>
      </c>
      <c r="N10" s="27">
        <v>1</v>
      </c>
      <c r="O10" s="39" t="s">
        <v>226</v>
      </c>
      <c r="P10" s="39">
        <v>1</v>
      </c>
      <c r="Q10" s="39">
        <v>1</v>
      </c>
      <c r="R10" s="39">
        <v>1</v>
      </c>
      <c r="S10" s="39">
        <v>1</v>
      </c>
      <c r="U10" s="85" t="s">
        <v>265</v>
      </c>
      <c r="V10" s="5" t="s">
        <v>289</v>
      </c>
      <c r="W10" s="5">
        <f>$N$21*P22*P21</f>
        <v>2</v>
      </c>
      <c r="X10" s="5">
        <f t="shared" ref="X10:Z10" si="5">$N$21*Q22*Q21</f>
        <v>2.5</v>
      </c>
      <c r="Y10" s="5">
        <f t="shared" si="5"/>
        <v>3.13</v>
      </c>
      <c r="Z10" s="5">
        <f t="shared" si="5"/>
        <v>3.91</v>
      </c>
    </row>
    <row r="11" spans="1:26" x14ac:dyDescent="0.15">
      <c r="B11" s="16" t="s">
        <v>69</v>
      </c>
      <c r="C11" s="16">
        <v>1</v>
      </c>
      <c r="D11" s="16">
        <v>2</v>
      </c>
      <c r="E11" s="16">
        <v>3</v>
      </c>
      <c r="F11" s="16">
        <v>4</v>
      </c>
      <c r="L11" s="4"/>
      <c r="M11" s="47"/>
      <c r="N11" s="27"/>
      <c r="O11" s="39" t="s">
        <v>276</v>
      </c>
      <c r="P11" s="39">
        <v>1</v>
      </c>
      <c r="Q11" s="39">
        <v>1</v>
      </c>
      <c r="R11" s="39">
        <v>1</v>
      </c>
      <c r="S11" s="39">
        <v>1</v>
      </c>
      <c r="U11" s="86"/>
      <c r="V11" s="5" t="s">
        <v>422</v>
      </c>
      <c r="W11" s="5">
        <f>$N$21*P23*P22*P21</f>
        <v>100</v>
      </c>
      <c r="X11" s="5">
        <f t="shared" ref="X11:Z11" si="6">$N$21*Q23*Q22*Q21</f>
        <v>250</v>
      </c>
      <c r="Y11" s="5">
        <f t="shared" si="6"/>
        <v>626</v>
      </c>
      <c r="Z11" s="5">
        <f t="shared" si="6"/>
        <v>1173</v>
      </c>
    </row>
    <row r="12" spans="1:26" x14ac:dyDescent="0.15">
      <c r="B12" s="5" t="s">
        <v>497</v>
      </c>
      <c r="C12" s="5">
        <f>$C$8-(C14*P6+C15*P13+C16*P20+C17*P31)</f>
        <v>10.5</v>
      </c>
      <c r="D12" s="5">
        <f t="shared" ref="D12:F12" si="7">$C$8-(D14*Q6+D15*Q13+D16*Q20+D17*Q31)</f>
        <v>10.5</v>
      </c>
      <c r="E12" s="5">
        <f t="shared" si="7"/>
        <v>9.75</v>
      </c>
      <c r="F12" s="5">
        <f t="shared" si="7"/>
        <v>9.25</v>
      </c>
      <c r="L12" s="63" t="s">
        <v>264</v>
      </c>
      <c r="M12" s="84"/>
      <c r="N12" s="53"/>
      <c r="O12" s="53" t="s">
        <v>280</v>
      </c>
      <c r="P12" s="53">
        <v>8</v>
      </c>
      <c r="Q12" s="53">
        <v>8</v>
      </c>
      <c r="R12" s="53">
        <v>8</v>
      </c>
      <c r="S12" s="53">
        <v>8</v>
      </c>
      <c r="U12" s="85" t="s">
        <v>266</v>
      </c>
      <c r="V12" s="5" t="s">
        <v>289</v>
      </c>
      <c r="W12" s="5">
        <f>$N$32*P33*P32</f>
        <v>0</v>
      </c>
      <c r="X12" s="5">
        <f t="shared" ref="X12:Z12" si="8">$N$32*Q33*Q32</f>
        <v>1.25</v>
      </c>
      <c r="Y12" s="5">
        <f t="shared" si="8"/>
        <v>1.56</v>
      </c>
      <c r="Z12" s="5">
        <f t="shared" si="8"/>
        <v>1.95</v>
      </c>
    </row>
    <row r="13" spans="1:26" x14ac:dyDescent="0.15">
      <c r="B13" s="5" t="s">
        <v>283</v>
      </c>
      <c r="C13" s="5">
        <f>MAX(($C$8-(C14*P6+C15*P13+C16*P20+C17*P31))/$I$6*$I$5,0)</f>
        <v>22.33031674208145</v>
      </c>
      <c r="D13" s="5">
        <f>MAX(($C$8-(D14*Q6+D15*Q13+D16*Q20+D17*Q31))/$I$6*$I$5,0)</f>
        <v>22.33031674208145</v>
      </c>
      <c r="E13" s="5">
        <f>MAX(($C$8-(E14*R6+E15*R13+E16*R20+E17*R31))/$I$6*$I$5,0)</f>
        <v>20.735294117647062</v>
      </c>
      <c r="F13" s="5">
        <f>MAX(($C$8-(F14*S6+F15*S13+F16*S20+F17*S31))/$I$6*$I$5,0)</f>
        <v>19.671945701357469</v>
      </c>
      <c r="L13" s="2"/>
      <c r="M13" s="75"/>
      <c r="N13" s="53"/>
      <c r="O13" s="59" t="s">
        <v>288</v>
      </c>
      <c r="P13" s="59">
        <v>1</v>
      </c>
      <c r="Q13" s="59">
        <v>1</v>
      </c>
      <c r="R13" s="59">
        <v>1</v>
      </c>
      <c r="S13" s="59">
        <v>1</v>
      </c>
      <c r="U13" s="86"/>
      <c r="V13" s="5" t="s">
        <v>422</v>
      </c>
      <c r="W13" s="5">
        <f>$N$32*P34*P33*P32</f>
        <v>0</v>
      </c>
      <c r="X13" s="5">
        <f t="shared" ref="X13:Z13" si="9">$N$32*Q34*Q33*Q32</f>
        <v>125</v>
      </c>
      <c r="Y13" s="5">
        <f t="shared" si="9"/>
        <v>234</v>
      </c>
      <c r="Z13" s="5">
        <f t="shared" si="9"/>
        <v>585</v>
      </c>
    </row>
    <row r="14" spans="1:26" x14ac:dyDescent="0.15">
      <c r="B14" s="5" t="s">
        <v>263</v>
      </c>
      <c r="C14" s="5">
        <f>$C$8/P5</f>
        <v>2.5</v>
      </c>
      <c r="D14" s="5">
        <f>$C$8/Q5</f>
        <v>2.5</v>
      </c>
      <c r="E14" s="5">
        <f>$C$8/R5</f>
        <v>2.5</v>
      </c>
      <c r="F14" s="5">
        <f>$C$8/S5</f>
        <v>2.5</v>
      </c>
      <c r="L14" s="3"/>
      <c r="M14" s="13" t="s">
        <v>281</v>
      </c>
      <c r="N14" s="13">
        <v>1</v>
      </c>
      <c r="O14" s="5" t="s">
        <v>275</v>
      </c>
      <c r="P14" s="5">
        <v>1</v>
      </c>
      <c r="Q14" s="5">
        <v>1</v>
      </c>
      <c r="R14" s="5">
        <v>1</v>
      </c>
      <c r="S14" s="5">
        <v>1</v>
      </c>
      <c r="U14" s="85" t="s">
        <v>485</v>
      </c>
      <c r="V14" s="5" t="s">
        <v>289</v>
      </c>
      <c r="W14" s="5">
        <f>W6+W8+W10+W12</f>
        <v>10.52</v>
      </c>
      <c r="X14" s="5">
        <f t="shared" ref="X14:Z15" si="10">X6+X8+X10+X12</f>
        <v>14.379999999999999</v>
      </c>
      <c r="Y14" s="5">
        <f t="shared" si="10"/>
        <v>17.979999999999997</v>
      </c>
      <c r="Z14" s="5">
        <f t="shared" si="10"/>
        <v>22.47</v>
      </c>
    </row>
    <row r="15" spans="1:26" x14ac:dyDescent="0.15">
      <c r="B15" s="5" t="s">
        <v>264</v>
      </c>
      <c r="C15" s="5">
        <f>$C$8/P12</f>
        <v>2.5</v>
      </c>
      <c r="D15" s="5">
        <f>$C$8/Q12</f>
        <v>2.5</v>
      </c>
      <c r="E15" s="5">
        <f>$C$8/R12</f>
        <v>2.5</v>
      </c>
      <c r="F15" s="5">
        <f>$C$8/S12</f>
        <v>2.5</v>
      </c>
      <c r="L15" s="3"/>
      <c r="M15" s="13"/>
      <c r="N15" s="13"/>
      <c r="O15" s="5" t="s">
        <v>274</v>
      </c>
      <c r="P15" s="5">
        <f>ROUND(R256/$N$14/P14,2)</f>
        <v>3</v>
      </c>
      <c r="Q15" s="5">
        <f t="shared" ref="Q15:S15" si="11">ROUND(S256/$N$14/Q14,2)</f>
        <v>3.75</v>
      </c>
      <c r="R15" s="5">
        <f t="shared" si="11"/>
        <v>4.6900000000000004</v>
      </c>
      <c r="S15" s="5">
        <f t="shared" si="11"/>
        <v>5.86</v>
      </c>
      <c r="U15" s="86"/>
      <c r="V15" s="5" t="s">
        <v>422</v>
      </c>
      <c r="W15" s="5">
        <f>W7+W9+W11+W13</f>
        <v>526</v>
      </c>
      <c r="X15" s="5">
        <f t="shared" si="10"/>
        <v>1438</v>
      </c>
      <c r="Y15" s="5">
        <f t="shared" si="10"/>
        <v>3518</v>
      </c>
      <c r="Z15" s="5">
        <f t="shared" si="10"/>
        <v>6741</v>
      </c>
    </row>
    <row r="16" spans="1:26" x14ac:dyDescent="0.15">
      <c r="B16" s="5" t="s">
        <v>265</v>
      </c>
      <c r="C16" s="5">
        <f>$C$8/P19</f>
        <v>2.5</v>
      </c>
      <c r="D16" s="5">
        <f>$C$8/Q19</f>
        <v>2.5</v>
      </c>
      <c r="E16" s="5">
        <f>$C$8/R19</f>
        <v>2.5</v>
      </c>
      <c r="F16" s="5">
        <f>$C$8/S19</f>
        <v>2.5</v>
      </c>
      <c r="L16" s="3"/>
      <c r="M16" s="11"/>
      <c r="N16" s="11"/>
      <c r="O16" s="5" t="s">
        <v>251</v>
      </c>
      <c r="P16" s="5">
        <v>50</v>
      </c>
      <c r="Q16" s="5">
        <v>100</v>
      </c>
      <c r="R16" s="5">
        <v>200</v>
      </c>
      <c r="S16" s="5">
        <v>300</v>
      </c>
    </row>
    <row r="17" spans="2:26" x14ac:dyDescent="0.15">
      <c r="B17" s="5" t="s">
        <v>266</v>
      </c>
      <c r="C17" s="5">
        <f>$C$8/P30</f>
        <v>2.5</v>
      </c>
      <c r="D17" s="5">
        <f>$C$8/Q30</f>
        <v>2.5</v>
      </c>
      <c r="E17" s="5">
        <f>$C$8/R30</f>
        <v>2.5</v>
      </c>
      <c r="F17" s="5">
        <f>$C$8/S30</f>
        <v>3.3333333333333335</v>
      </c>
      <c r="L17" s="3"/>
      <c r="M17" s="50" t="s">
        <v>2</v>
      </c>
      <c r="N17" s="38">
        <v>1</v>
      </c>
      <c r="O17" s="39" t="s">
        <v>226</v>
      </c>
      <c r="P17" s="39">
        <v>1</v>
      </c>
      <c r="Q17" s="39">
        <v>1</v>
      </c>
      <c r="R17" s="39">
        <v>1</v>
      </c>
      <c r="S17" s="39">
        <v>1</v>
      </c>
      <c r="U17" s="1" t="s">
        <v>423</v>
      </c>
    </row>
    <row r="18" spans="2:26" x14ac:dyDescent="0.15">
      <c r="B18" s="5" t="s">
        <v>308</v>
      </c>
      <c r="C18" s="5">
        <f>C13*$I$6/$I$5+C14*P6+C15*P13+C16*P20+C17*P31</f>
        <v>20</v>
      </c>
      <c r="D18" s="5">
        <f>D13*$I$6/$I$5+D14*Q6+D15*Q13+D16*Q20+D17*Q31</f>
        <v>20</v>
      </c>
      <c r="E18" s="5">
        <f>E13*$I$6/$I$5+E14*R6+E15*R13+E16*R20+E17*R31</f>
        <v>20</v>
      </c>
      <c r="F18" s="5">
        <f>F13*$I$6/$I$5+F14*S6+F15*S13+F16*S20+F17*S31</f>
        <v>20</v>
      </c>
      <c r="L18" s="4"/>
      <c r="M18" s="47"/>
      <c r="N18" s="42"/>
      <c r="O18" s="39" t="s">
        <v>276</v>
      </c>
      <c r="P18" s="39">
        <v>1</v>
      </c>
      <c r="Q18" s="39">
        <v>1</v>
      </c>
      <c r="R18" s="39">
        <v>1</v>
      </c>
      <c r="S18" s="39">
        <v>1</v>
      </c>
      <c r="U18" s="16" t="s">
        <v>421</v>
      </c>
      <c r="V18" s="16" t="s">
        <v>344</v>
      </c>
      <c r="W18" s="57">
        <v>1</v>
      </c>
      <c r="X18" s="57">
        <v>2</v>
      </c>
      <c r="Y18" s="57">
        <v>3</v>
      </c>
      <c r="Z18" s="57">
        <v>4</v>
      </c>
    </row>
    <row r="19" spans="2:26" x14ac:dyDescent="0.15">
      <c r="L19" s="78" t="s">
        <v>265</v>
      </c>
      <c r="M19" s="78"/>
      <c r="N19" s="53"/>
      <c r="O19" s="53" t="s">
        <v>280</v>
      </c>
      <c r="P19" s="53">
        <v>8</v>
      </c>
      <c r="Q19" s="53">
        <v>8</v>
      </c>
      <c r="R19" s="53">
        <v>8</v>
      </c>
      <c r="S19" s="53">
        <v>8</v>
      </c>
      <c r="U19" s="85" t="s">
        <v>263</v>
      </c>
      <c r="V19" s="5" t="s">
        <v>289</v>
      </c>
      <c r="W19" s="5">
        <f>W6/P6</f>
        <v>3.2470588235294118</v>
      </c>
      <c r="X19" s="5">
        <f>X6/Q6</f>
        <v>4.0470588235294116</v>
      </c>
      <c r="Y19" s="5">
        <f>Y6/R6</f>
        <v>4.3</v>
      </c>
      <c r="Z19" s="5">
        <f>Z6/S6</f>
        <v>5.375</v>
      </c>
    </row>
    <row r="20" spans="2:26" x14ac:dyDescent="0.15">
      <c r="B20" s="1" t="s">
        <v>512</v>
      </c>
      <c r="L20" s="2"/>
      <c r="M20" s="53"/>
      <c r="N20" s="53"/>
      <c r="O20" s="53" t="s">
        <v>288</v>
      </c>
      <c r="P20" s="53">
        <v>0.5</v>
      </c>
      <c r="Q20" s="53">
        <v>0.5</v>
      </c>
      <c r="R20" s="53">
        <v>0.5</v>
      </c>
      <c r="S20" s="53">
        <v>0.5</v>
      </c>
      <c r="U20" s="86"/>
      <c r="V20" s="5" t="s">
        <v>422</v>
      </c>
      <c r="W20" s="5">
        <f>W7/P6</f>
        <v>162.35294117647058</v>
      </c>
      <c r="X20" s="5">
        <f>X7/Q6</f>
        <v>404.70588235294116</v>
      </c>
      <c r="Y20" s="5">
        <f>Y7/R6</f>
        <v>860</v>
      </c>
      <c r="Z20" s="5">
        <f>Z7/S6</f>
        <v>1612.5</v>
      </c>
    </row>
    <row r="21" spans="2:26" x14ac:dyDescent="0.15">
      <c r="B21" s="16" t="s">
        <v>32</v>
      </c>
      <c r="C21" s="15">
        <v>1</v>
      </c>
      <c r="D21" s="16">
        <v>2</v>
      </c>
      <c r="E21" s="16">
        <v>3</v>
      </c>
      <c r="F21" s="16">
        <v>4</v>
      </c>
      <c r="L21" s="3"/>
      <c r="M21" s="3" t="s">
        <v>281</v>
      </c>
      <c r="N21" s="13">
        <v>1</v>
      </c>
      <c r="O21" s="7" t="s">
        <v>275</v>
      </c>
      <c r="P21" s="5">
        <v>1</v>
      </c>
      <c r="Q21" s="5">
        <v>1</v>
      </c>
      <c r="R21" s="5">
        <v>1</v>
      </c>
      <c r="S21" s="5">
        <v>1</v>
      </c>
      <c r="U21" s="85" t="s">
        <v>264</v>
      </c>
      <c r="V21" s="5" t="s">
        <v>289</v>
      </c>
      <c r="W21" s="5">
        <f>W8/P13</f>
        <v>3</v>
      </c>
      <c r="X21" s="5">
        <f>X8/Q13</f>
        <v>3.75</v>
      </c>
      <c r="Y21" s="5">
        <f>Y8/R13</f>
        <v>4.6900000000000004</v>
      </c>
      <c r="Z21" s="5">
        <f>Z8/S13</f>
        <v>5.86</v>
      </c>
    </row>
    <row r="22" spans="2:26" x14ac:dyDescent="0.15">
      <c r="B22" s="5" t="s">
        <v>289</v>
      </c>
      <c r="C22" s="58">
        <f>D49*(1+D55+D63)</f>
        <v>68.082443438914027</v>
      </c>
      <c r="D22" s="58">
        <f>E49*(1+E55+E63)</f>
        <v>81.592443438914032</v>
      </c>
      <c r="E22" s="58">
        <f>F49*(1+F55+F63)</f>
        <v>108.38073529411764</v>
      </c>
      <c r="F22" s="58">
        <f>G49*(1+G55+G63)</f>
        <v>143.96869909502263</v>
      </c>
      <c r="L22" s="3"/>
      <c r="M22" s="3"/>
      <c r="N22" s="13"/>
      <c r="O22" s="7" t="s">
        <v>274</v>
      </c>
      <c r="P22" s="5">
        <f>ROUND(R257/$N$21/P21,2)</f>
        <v>2</v>
      </c>
      <c r="Q22" s="5">
        <f t="shared" ref="Q22:S22" si="12">ROUND(S257/$N$21/Q21,2)</f>
        <v>2.5</v>
      </c>
      <c r="R22" s="5">
        <f t="shared" si="12"/>
        <v>3.13</v>
      </c>
      <c r="S22" s="5">
        <f t="shared" si="12"/>
        <v>3.91</v>
      </c>
      <c r="U22" s="86"/>
      <c r="V22" s="5" t="s">
        <v>422</v>
      </c>
      <c r="W22" s="5">
        <f>W9/P13</f>
        <v>150</v>
      </c>
      <c r="X22" s="5">
        <f>X9/Q13</f>
        <v>375</v>
      </c>
      <c r="Y22" s="5">
        <f>Y9/R13</f>
        <v>938.00000000000011</v>
      </c>
      <c r="Z22" s="5">
        <f>Z9/S13</f>
        <v>1758</v>
      </c>
    </row>
    <row r="23" spans="2:26" x14ac:dyDescent="0.15">
      <c r="B23" s="5" t="s">
        <v>290</v>
      </c>
      <c r="C23" s="58">
        <f>D50*(1+D55+D63)</f>
        <v>920.49999999999989</v>
      </c>
      <c r="D23" s="58">
        <f>E50*(1+E55+E63)</f>
        <v>2516.5</v>
      </c>
      <c r="E23" s="58">
        <f>F50*(1+F55+F63)</f>
        <v>7255.875</v>
      </c>
      <c r="F23" s="58">
        <f>G50*(1+G55+G63)</f>
        <v>16111.75</v>
      </c>
      <c r="L23" s="3"/>
      <c r="M23" s="4"/>
      <c r="N23" s="11"/>
      <c r="O23" s="7" t="s">
        <v>251</v>
      </c>
      <c r="P23" s="5">
        <v>50</v>
      </c>
      <c r="Q23" s="5">
        <v>100</v>
      </c>
      <c r="R23" s="5">
        <v>200</v>
      </c>
      <c r="S23" s="5">
        <v>300</v>
      </c>
      <c r="U23" s="85" t="s">
        <v>265</v>
      </c>
      <c r="V23" s="5" t="s">
        <v>289</v>
      </c>
      <c r="W23" s="5">
        <f>W10/P20</f>
        <v>4</v>
      </c>
      <c r="X23" s="5">
        <f>X10/Q20</f>
        <v>5</v>
      </c>
      <c r="Y23" s="5">
        <f>Y10/R20</f>
        <v>6.26</v>
      </c>
      <c r="Z23" s="5">
        <f>Z10/S20</f>
        <v>7.82</v>
      </c>
    </row>
    <row r="24" spans="2:26" x14ac:dyDescent="0.15">
      <c r="L24" s="3"/>
      <c r="M24" s="49" t="s">
        <v>504</v>
      </c>
      <c r="N24" s="43">
        <v>1</v>
      </c>
      <c r="O24" s="44" t="s">
        <v>277</v>
      </c>
      <c r="P24" s="44">
        <v>1</v>
      </c>
      <c r="Q24" s="44">
        <v>1</v>
      </c>
      <c r="R24" s="44">
        <v>1</v>
      </c>
      <c r="S24" s="44">
        <v>1</v>
      </c>
      <c r="U24" s="86"/>
      <c r="V24" s="5" t="s">
        <v>422</v>
      </c>
      <c r="W24" s="5">
        <f>W11/P20</f>
        <v>200</v>
      </c>
      <c r="X24" s="5">
        <f>X11/Q20</f>
        <v>500</v>
      </c>
      <c r="Y24" s="5">
        <f>Y11/R20</f>
        <v>1252</v>
      </c>
      <c r="Z24" s="5">
        <f>Z11/S20</f>
        <v>2346</v>
      </c>
    </row>
    <row r="25" spans="2:26" x14ac:dyDescent="0.15">
      <c r="L25" s="3"/>
      <c r="M25" s="49"/>
      <c r="N25" s="45"/>
      <c r="O25" s="44" t="s">
        <v>276</v>
      </c>
      <c r="P25" s="44">
        <v>3</v>
      </c>
      <c r="Q25" s="44">
        <v>3</v>
      </c>
      <c r="R25" s="44">
        <v>3</v>
      </c>
      <c r="S25" s="44">
        <v>3</v>
      </c>
      <c r="U25" s="85" t="s">
        <v>266</v>
      </c>
      <c r="V25" s="5" t="s">
        <v>289</v>
      </c>
      <c r="W25" s="5">
        <f>W12/P31</f>
        <v>0</v>
      </c>
      <c r="X25" s="5">
        <f>X12/Q31</f>
        <v>2.0833333333333335</v>
      </c>
      <c r="Y25" s="5">
        <f>Y12/R31</f>
        <v>2.6</v>
      </c>
      <c r="Z25" s="5">
        <f>Z12/S31</f>
        <v>3.25</v>
      </c>
    </row>
    <row r="26" spans="2:26" x14ac:dyDescent="0.15">
      <c r="B26" s="1" t="s">
        <v>247</v>
      </c>
      <c r="L26" s="3"/>
      <c r="M26" s="9" t="s">
        <v>42</v>
      </c>
      <c r="N26" s="2">
        <v>1</v>
      </c>
      <c r="O26" s="5" t="s">
        <v>226</v>
      </c>
      <c r="P26" s="5">
        <v>1</v>
      </c>
      <c r="Q26" s="5">
        <v>1</v>
      </c>
      <c r="R26" s="5">
        <v>1</v>
      </c>
      <c r="S26" s="5">
        <v>1</v>
      </c>
      <c r="U26" s="86"/>
      <c r="V26" s="5" t="s">
        <v>422</v>
      </c>
      <c r="W26" s="5">
        <f>W13/P31</f>
        <v>0</v>
      </c>
      <c r="X26" s="5">
        <f>X13/Q31</f>
        <v>208.33333333333334</v>
      </c>
      <c r="Y26" s="5">
        <f>Y13/R31</f>
        <v>390</v>
      </c>
      <c r="Z26" s="5">
        <f>Z13/S31</f>
        <v>975</v>
      </c>
    </row>
    <row r="27" spans="2:26" x14ac:dyDescent="0.15">
      <c r="B27" s="16" t="s">
        <v>69</v>
      </c>
      <c r="C27" s="16" t="s">
        <v>32</v>
      </c>
      <c r="D27" s="15">
        <v>1</v>
      </c>
      <c r="E27" s="16">
        <v>2</v>
      </c>
      <c r="F27" s="16">
        <v>3</v>
      </c>
      <c r="G27" s="16">
        <v>4</v>
      </c>
      <c r="L27" s="3"/>
      <c r="M27" s="13"/>
      <c r="N27" s="4"/>
      <c r="O27" s="5" t="s">
        <v>276</v>
      </c>
      <c r="P27" s="5">
        <v>1</v>
      </c>
      <c r="Q27" s="5">
        <v>1</v>
      </c>
      <c r="R27" s="5">
        <v>1</v>
      </c>
      <c r="S27" s="5">
        <v>1</v>
      </c>
    </row>
    <row r="28" spans="2:26" x14ac:dyDescent="0.15">
      <c r="B28" s="5" t="s">
        <v>283</v>
      </c>
      <c r="C28" s="5" t="s">
        <v>289</v>
      </c>
      <c r="D28" s="83">
        <f>D40/D49</f>
        <v>0.4591850976524337</v>
      </c>
      <c r="E28" s="83">
        <f>E40/E49</f>
        <v>0.38315366131079703</v>
      </c>
      <c r="F28" s="83">
        <f>F40/F49</f>
        <v>0.31567635337840866</v>
      </c>
      <c r="G28" s="83">
        <f>G40/G49</f>
        <v>0.25392347543702876</v>
      </c>
      <c r="L28" s="3"/>
      <c r="M28" s="46" t="s">
        <v>1</v>
      </c>
      <c r="N28" s="38">
        <v>1</v>
      </c>
      <c r="O28" s="39" t="s">
        <v>226</v>
      </c>
      <c r="P28" s="69">
        <v>0</v>
      </c>
      <c r="Q28" s="69">
        <v>0</v>
      </c>
      <c r="R28" s="69">
        <v>0</v>
      </c>
      <c r="S28" s="39">
        <v>1</v>
      </c>
    </row>
    <row r="29" spans="2:26" x14ac:dyDescent="0.15">
      <c r="B29" s="2" t="s">
        <v>263</v>
      </c>
      <c r="C29" s="5" t="s">
        <v>289</v>
      </c>
      <c r="D29" s="83">
        <f t="shared" ref="D29:G30" si="13">D41/D49</f>
        <v>0.28377359895043403</v>
      </c>
      <c r="E29" s="83">
        <f t="shared" si="13"/>
        <v>0.29512536927550181</v>
      </c>
      <c r="F29" s="83">
        <f t="shared" si="13"/>
        <v>0.32731831818385348</v>
      </c>
      <c r="G29" s="83">
        <f t="shared" si="13"/>
        <v>0.34689976812508394</v>
      </c>
      <c r="L29" s="4"/>
      <c r="M29" s="50"/>
      <c r="N29" s="40"/>
      <c r="O29" s="38" t="s">
        <v>276</v>
      </c>
      <c r="P29" s="70">
        <v>0</v>
      </c>
      <c r="Q29" s="70">
        <v>0</v>
      </c>
      <c r="R29" s="70">
        <v>0</v>
      </c>
      <c r="S29" s="38">
        <v>1</v>
      </c>
    </row>
    <row r="30" spans="2:26" x14ac:dyDescent="0.15">
      <c r="B30" s="4"/>
      <c r="C30" s="5" t="s">
        <v>290</v>
      </c>
      <c r="D30" s="36">
        <f t="shared" si="13"/>
        <v>0.52471482889733845</v>
      </c>
      <c r="E30" s="36">
        <f t="shared" si="13"/>
        <v>0.47844228094575797</v>
      </c>
      <c r="F30" s="36">
        <f t="shared" si="13"/>
        <v>0.48891415577032404</v>
      </c>
      <c r="G30" s="36">
        <f t="shared" si="13"/>
        <v>0.46496539792387542</v>
      </c>
      <c r="L30" s="79" t="s">
        <v>266</v>
      </c>
      <c r="M30" s="77"/>
      <c r="N30" s="63"/>
      <c r="O30" s="63" t="s">
        <v>280</v>
      </c>
      <c r="P30" s="63">
        <v>8</v>
      </c>
      <c r="Q30" s="63">
        <v>8</v>
      </c>
      <c r="R30" s="63">
        <v>8</v>
      </c>
      <c r="S30" s="63">
        <v>6</v>
      </c>
    </row>
    <row r="31" spans="2:26" x14ac:dyDescent="0.15">
      <c r="B31" s="2" t="s">
        <v>264</v>
      </c>
      <c r="C31" s="5" t="s">
        <v>289</v>
      </c>
      <c r="D31" s="83">
        <f t="shared" ref="D31:G32" si="14">D43/D49</f>
        <v>0.15422478203827938</v>
      </c>
      <c r="E31" s="83">
        <f t="shared" si="14"/>
        <v>0.16086048470685055</v>
      </c>
      <c r="F31" s="83">
        <f t="shared" si="14"/>
        <v>0.17850266421886896</v>
      </c>
      <c r="G31" s="83">
        <f t="shared" si="14"/>
        <v>0.18910071081051089</v>
      </c>
      <c r="L31" s="2"/>
      <c r="M31" s="63"/>
      <c r="N31" s="75"/>
      <c r="O31" s="63" t="s">
        <v>288</v>
      </c>
      <c r="P31" s="63">
        <v>0.6</v>
      </c>
      <c r="Q31" s="63">
        <v>0.6</v>
      </c>
      <c r="R31" s="63">
        <v>0.6</v>
      </c>
      <c r="S31" s="63">
        <v>0.6</v>
      </c>
    </row>
    <row r="32" spans="2:26" x14ac:dyDescent="0.15">
      <c r="B32" s="4"/>
      <c r="C32" s="5" t="s">
        <v>290</v>
      </c>
      <c r="D32" s="36">
        <f t="shared" si="14"/>
        <v>0.28517110266159695</v>
      </c>
      <c r="E32" s="36">
        <f t="shared" si="14"/>
        <v>0.26077885952712099</v>
      </c>
      <c r="F32" s="36">
        <f t="shared" si="14"/>
        <v>0.26662876634451393</v>
      </c>
      <c r="G32" s="36">
        <f t="shared" si="14"/>
        <v>0.25346020761245674</v>
      </c>
      <c r="L32" s="3"/>
      <c r="M32" s="3" t="s">
        <v>281</v>
      </c>
      <c r="N32" s="13">
        <v>1</v>
      </c>
      <c r="O32" s="11" t="s">
        <v>275</v>
      </c>
      <c r="P32" s="72">
        <v>0</v>
      </c>
      <c r="Q32" s="4">
        <v>1</v>
      </c>
      <c r="R32" s="4">
        <v>1</v>
      </c>
      <c r="S32" s="4">
        <v>1</v>
      </c>
    </row>
    <row r="33" spans="2:19" x14ac:dyDescent="0.15">
      <c r="B33" s="2" t="s">
        <v>265</v>
      </c>
      <c r="C33" s="5" t="s">
        <v>289</v>
      </c>
      <c r="D33" s="83">
        <f t="shared" ref="D33:G34" si="15">D45/D49</f>
        <v>0.10281652135885293</v>
      </c>
      <c r="E33" s="83">
        <f t="shared" si="15"/>
        <v>0.10724032313790037</v>
      </c>
      <c r="F33" s="83">
        <f t="shared" si="15"/>
        <v>0.11912864371110016</v>
      </c>
      <c r="G33" s="83">
        <f t="shared" si="15"/>
        <v>0.12617470635991426</v>
      </c>
      <c r="L33" s="3"/>
      <c r="M33" s="3"/>
      <c r="N33" s="13"/>
      <c r="O33" s="7" t="s">
        <v>274</v>
      </c>
      <c r="P33" s="72">
        <v>0</v>
      </c>
      <c r="Q33" s="5">
        <f t="shared" ref="Q33:S33" si="16">ROUND(S258/$N$32/Q32,2)</f>
        <v>1.25</v>
      </c>
      <c r="R33" s="5">
        <f t="shared" si="16"/>
        <v>1.56</v>
      </c>
      <c r="S33" s="5">
        <f t="shared" si="16"/>
        <v>1.95</v>
      </c>
    </row>
    <row r="34" spans="2:19" x14ac:dyDescent="0.15">
      <c r="B34" s="4"/>
      <c r="C34" s="5" t="s">
        <v>290</v>
      </c>
      <c r="D34" s="36">
        <f t="shared" si="15"/>
        <v>0.19011406844106463</v>
      </c>
      <c r="E34" s="36">
        <f t="shared" si="15"/>
        <v>0.17385257301808066</v>
      </c>
      <c r="F34" s="36">
        <f t="shared" si="15"/>
        <v>0.17794201250710631</v>
      </c>
      <c r="G34" s="36">
        <f t="shared" si="15"/>
        <v>0.16911764705882354</v>
      </c>
      <c r="L34" s="3"/>
      <c r="M34" s="4"/>
      <c r="N34" s="11"/>
      <c r="O34" s="7" t="s">
        <v>251</v>
      </c>
      <c r="P34" s="72">
        <v>0</v>
      </c>
      <c r="Q34" s="5">
        <v>100</v>
      </c>
      <c r="R34" s="5">
        <v>150</v>
      </c>
      <c r="S34" s="5">
        <v>300</v>
      </c>
    </row>
    <row r="35" spans="2:19" x14ac:dyDescent="0.15">
      <c r="B35" s="2" t="s">
        <v>266</v>
      </c>
      <c r="C35" s="5" t="s">
        <v>289</v>
      </c>
      <c r="D35" s="83">
        <f t="shared" ref="D35:G36" si="17">D47/D49</f>
        <v>0</v>
      </c>
      <c r="E35" s="83">
        <f t="shared" si="17"/>
        <v>5.3620161568950185E-2</v>
      </c>
      <c r="F35" s="83">
        <f t="shared" si="17"/>
        <v>5.9374020507768778E-2</v>
      </c>
      <c r="G35" s="83">
        <f t="shared" si="17"/>
        <v>8.3901339267462169E-2</v>
      </c>
      <c r="L35" s="3"/>
      <c r="M35" s="50" t="s">
        <v>1</v>
      </c>
      <c r="N35" s="38">
        <v>1</v>
      </c>
      <c r="O35" s="41" t="s">
        <v>226</v>
      </c>
      <c r="P35" s="69">
        <v>0</v>
      </c>
      <c r="Q35" s="69">
        <v>0</v>
      </c>
      <c r="R35" s="39">
        <v>1</v>
      </c>
      <c r="S35" s="39">
        <v>1</v>
      </c>
    </row>
    <row r="36" spans="2:19" x14ac:dyDescent="0.15">
      <c r="B36" s="4"/>
      <c r="C36" s="5" t="s">
        <v>290</v>
      </c>
      <c r="D36" s="36">
        <f t="shared" si="17"/>
        <v>0</v>
      </c>
      <c r="E36" s="36">
        <f t="shared" si="17"/>
        <v>8.6926286509040329E-2</v>
      </c>
      <c r="F36" s="36">
        <f t="shared" si="17"/>
        <v>6.651506537805571E-2</v>
      </c>
      <c r="G36" s="36">
        <f t="shared" si="17"/>
        <v>0.11245674740484429</v>
      </c>
      <c r="L36" s="4"/>
      <c r="M36" s="47"/>
      <c r="N36" s="42"/>
      <c r="O36" s="41" t="s">
        <v>276</v>
      </c>
      <c r="P36" s="69">
        <v>0</v>
      </c>
      <c r="Q36" s="69">
        <v>0</v>
      </c>
      <c r="R36" s="39">
        <v>2</v>
      </c>
      <c r="S36" s="39">
        <v>2</v>
      </c>
    </row>
    <row r="38" spans="2:19" x14ac:dyDescent="0.15">
      <c r="B38" s="1" t="s">
        <v>432</v>
      </c>
    </row>
    <row r="39" spans="2:19" x14ac:dyDescent="0.15">
      <c r="B39" s="16" t="s">
        <v>69</v>
      </c>
      <c r="C39" s="16" t="s">
        <v>32</v>
      </c>
      <c r="D39" s="15">
        <v>1</v>
      </c>
      <c r="E39" s="16">
        <v>2</v>
      </c>
      <c r="F39" s="16">
        <v>3</v>
      </c>
      <c r="G39" s="16">
        <v>4</v>
      </c>
    </row>
    <row r="40" spans="2:19" x14ac:dyDescent="0.15">
      <c r="B40" s="5" t="s">
        <v>283</v>
      </c>
      <c r="C40" s="5" t="s">
        <v>289</v>
      </c>
      <c r="D40" s="56">
        <f>C13*$I$8</f>
        <v>22.33031674208145</v>
      </c>
      <c r="E40" s="56">
        <f t="shared" ref="E40:G40" si="18">D13*$I$8</f>
        <v>22.33031674208145</v>
      </c>
      <c r="F40" s="56">
        <f t="shared" si="18"/>
        <v>20.735294117647062</v>
      </c>
      <c r="G40" s="56">
        <f t="shared" si="18"/>
        <v>19.671945701357469</v>
      </c>
    </row>
    <row r="41" spans="2:19" x14ac:dyDescent="0.15">
      <c r="B41" s="2" t="s">
        <v>263</v>
      </c>
      <c r="C41" s="5" t="s">
        <v>289</v>
      </c>
      <c r="D41" s="56">
        <f>C14*$N$7*P7*P8</f>
        <v>13.799999999999999</v>
      </c>
      <c r="E41" s="56">
        <f>D14*$N$7*Q7*Q8</f>
        <v>17.2</v>
      </c>
      <c r="F41" s="56">
        <f>E14*$N$7*R7*R8</f>
        <v>21.5</v>
      </c>
      <c r="G41" s="56">
        <f>F14*$N$7*S7*S8</f>
        <v>26.875</v>
      </c>
    </row>
    <row r="42" spans="2:19" x14ac:dyDescent="0.15">
      <c r="B42" s="4"/>
      <c r="C42" s="5" t="s">
        <v>290</v>
      </c>
      <c r="D42" s="58">
        <f>C14*$N$7*P7*P9*P8*0.5</f>
        <v>345</v>
      </c>
      <c r="E42" s="58">
        <f>D14*$N$7*Q7*Q9*Q8*0.5</f>
        <v>860</v>
      </c>
      <c r="F42" s="58">
        <f>E14*$N$7*R7*R9*R8*0.5</f>
        <v>2150</v>
      </c>
      <c r="G42" s="58">
        <f>F14*$N$7*S7*S9*S8*0.5</f>
        <v>4031.25</v>
      </c>
    </row>
    <row r="43" spans="2:19" x14ac:dyDescent="0.15">
      <c r="B43" s="2" t="s">
        <v>264</v>
      </c>
      <c r="C43" s="5" t="s">
        <v>289</v>
      </c>
      <c r="D43" s="56">
        <f>C15*$N$14*P14*P15</f>
        <v>7.5</v>
      </c>
      <c r="E43" s="56">
        <f>D15*$N$14*Q14*Q15</f>
        <v>9.375</v>
      </c>
      <c r="F43" s="56">
        <f>E15*$N$14*R14*R15</f>
        <v>11.725000000000001</v>
      </c>
      <c r="G43" s="56">
        <f>F15*$N$14*S14*S15</f>
        <v>14.65</v>
      </c>
    </row>
    <row r="44" spans="2:19" x14ac:dyDescent="0.15">
      <c r="B44" s="4"/>
      <c r="C44" s="5" t="s">
        <v>290</v>
      </c>
      <c r="D44" s="58">
        <f>C15*$N$14*P14*P16*P15*0.5</f>
        <v>187.5</v>
      </c>
      <c r="E44" s="58">
        <f>D15*$N$14*Q14*Q16*Q15*0.5</f>
        <v>468.75</v>
      </c>
      <c r="F44" s="58">
        <f>E15*$N$14*R14*R16*R15*0.5</f>
        <v>1172.5</v>
      </c>
      <c r="G44" s="58">
        <f>F15*$N$14*S14*S16*S15*0.5</f>
        <v>2197.5</v>
      </c>
    </row>
    <row r="45" spans="2:19" x14ac:dyDescent="0.15">
      <c r="B45" s="2" t="s">
        <v>265</v>
      </c>
      <c r="C45" s="5" t="s">
        <v>289</v>
      </c>
      <c r="D45" s="56">
        <f>C16*$N$21*P21*P22</f>
        <v>5</v>
      </c>
      <c r="E45" s="56">
        <f>D16*$N$21*Q21*Q22</f>
        <v>6.25</v>
      </c>
      <c r="F45" s="56">
        <f>E16*$N$21*R21*R22</f>
        <v>7.8249999999999993</v>
      </c>
      <c r="G45" s="56">
        <f>F16*$N$21*S21*S22</f>
        <v>9.7750000000000004</v>
      </c>
    </row>
    <row r="46" spans="2:19" x14ac:dyDescent="0.15">
      <c r="B46" s="4"/>
      <c r="C46" s="5" t="s">
        <v>290</v>
      </c>
      <c r="D46" s="58">
        <f>C16*$N$21*P21*P23*P22*0.5</f>
        <v>125</v>
      </c>
      <c r="E46" s="58">
        <f>D16*$N$21*Q21*Q23*Q22*0.5</f>
        <v>312.5</v>
      </c>
      <c r="F46" s="58">
        <f>E16*$N$21*R21*R23*R22*0.5</f>
        <v>782.5</v>
      </c>
      <c r="G46" s="58">
        <f>F16*$N$21*S21*S23*S22*0.5</f>
        <v>1466.25</v>
      </c>
    </row>
    <row r="47" spans="2:19" x14ac:dyDescent="0.15">
      <c r="B47" s="2" t="s">
        <v>266</v>
      </c>
      <c r="C47" s="5" t="s">
        <v>289</v>
      </c>
      <c r="D47" s="56">
        <f>C17*$N$32*P32*P33</f>
        <v>0</v>
      </c>
      <c r="E47" s="56">
        <f>D17*$N$32*Q32*Q33</f>
        <v>3.125</v>
      </c>
      <c r="F47" s="56">
        <f>E17*$N$32*R32*R33</f>
        <v>3.9000000000000004</v>
      </c>
      <c r="G47" s="56">
        <f>F17*$N$32*S32*S33</f>
        <v>6.5</v>
      </c>
    </row>
    <row r="48" spans="2:19" x14ac:dyDescent="0.15">
      <c r="B48" s="4"/>
      <c r="C48" s="5" t="s">
        <v>290</v>
      </c>
      <c r="D48" s="58">
        <f>C17*$N$32*P32*P34*P33*0.5</f>
        <v>0</v>
      </c>
      <c r="E48" s="58">
        <f>D17*$N$32*Q32*Q34*Q33*0.5</f>
        <v>156.25</v>
      </c>
      <c r="F48" s="58">
        <f>E17*$N$32*R32*R34*R33*0.5</f>
        <v>292.5</v>
      </c>
      <c r="G48" s="58">
        <f>F17*$N$32*S32*S34*S33*0.5</f>
        <v>975</v>
      </c>
    </row>
    <row r="49" spans="2:7" x14ac:dyDescent="0.15">
      <c r="B49" s="2" t="s">
        <v>292</v>
      </c>
      <c r="C49" s="5" t="s">
        <v>289</v>
      </c>
      <c r="D49" s="56">
        <f>D40+D41+D43+D45+D47</f>
        <v>48.630316742081448</v>
      </c>
      <c r="E49" s="56">
        <f>E40+E41+E43+E45+E47</f>
        <v>58.280316742081453</v>
      </c>
      <c r="F49" s="56">
        <f>F40+F41+F43+F45+F47</f>
        <v>65.685294117647061</v>
      </c>
      <c r="G49" s="56">
        <f>G40+G41+G43+G45+G47</f>
        <v>77.47194570135747</v>
      </c>
    </row>
    <row r="50" spans="2:7" x14ac:dyDescent="0.15">
      <c r="B50" s="4"/>
      <c r="C50" s="5" t="s">
        <v>290</v>
      </c>
      <c r="D50" s="58">
        <f>D42+D44+D46+D48</f>
        <v>657.5</v>
      </c>
      <c r="E50" s="58">
        <f>E42+E44+E46+E48</f>
        <v>1797.5</v>
      </c>
      <c r="F50" s="58">
        <f>F42+F44+F46+F48</f>
        <v>4397.5</v>
      </c>
      <c r="G50" s="58">
        <f>G42+G44+G46+G48</f>
        <v>8670</v>
      </c>
    </row>
    <row r="52" spans="2:7" x14ac:dyDescent="0.15">
      <c r="B52" s="1" t="s">
        <v>45</v>
      </c>
    </row>
    <row r="53" spans="2:7" x14ac:dyDescent="0.15">
      <c r="B53" s="16" t="s">
        <v>69</v>
      </c>
      <c r="C53" s="14" t="s">
        <v>32</v>
      </c>
      <c r="D53" s="16">
        <v>1</v>
      </c>
      <c r="E53" s="16">
        <v>2</v>
      </c>
      <c r="F53" s="16">
        <v>3</v>
      </c>
      <c r="G53" s="16">
        <v>4</v>
      </c>
    </row>
    <row r="54" spans="2:7" x14ac:dyDescent="0.15">
      <c r="B54" s="5" t="s">
        <v>265</v>
      </c>
      <c r="C54" s="5" t="s">
        <v>504</v>
      </c>
      <c r="D54" s="99">
        <f>C16*$N$24*P24*0.4*P25/$C$8</f>
        <v>0.15</v>
      </c>
      <c r="E54" s="99">
        <f t="shared" ref="E54:G54" si="19">D16*$N$24*Q24*0.4*Q25/$C$8</f>
        <v>0.15</v>
      </c>
      <c r="F54" s="99">
        <f t="shared" si="19"/>
        <v>0.15</v>
      </c>
      <c r="G54" s="99">
        <f t="shared" si="19"/>
        <v>0.15</v>
      </c>
    </row>
    <row r="55" spans="2:7" x14ac:dyDescent="0.15">
      <c r="B55" s="6"/>
      <c r="C55" s="7" t="s">
        <v>291</v>
      </c>
      <c r="D55" s="56">
        <f>D54</f>
        <v>0.15</v>
      </c>
      <c r="E55" s="56">
        <f>E54</f>
        <v>0.15</v>
      </c>
      <c r="F55" s="56">
        <f>F54</f>
        <v>0.15</v>
      </c>
      <c r="G55" s="56">
        <f>G54</f>
        <v>0.15</v>
      </c>
    </row>
    <row r="57" spans="2:7" x14ac:dyDescent="0.15">
      <c r="B57" s="1" t="s">
        <v>17</v>
      </c>
    </row>
    <row r="58" spans="2:7" x14ac:dyDescent="0.15">
      <c r="B58" s="16" t="s">
        <v>69</v>
      </c>
      <c r="C58" s="14" t="s">
        <v>32</v>
      </c>
      <c r="D58" s="16">
        <v>1</v>
      </c>
      <c r="E58" s="16">
        <v>2</v>
      </c>
      <c r="F58" s="16">
        <v>3</v>
      </c>
      <c r="G58" s="16">
        <v>4</v>
      </c>
    </row>
    <row r="59" spans="2:7" x14ac:dyDescent="0.15">
      <c r="B59" s="2" t="s">
        <v>263</v>
      </c>
      <c r="C59" s="2" t="s">
        <v>2</v>
      </c>
      <c r="D59" s="2">
        <f>C14*$N$10*P10*P11/$C$8</f>
        <v>0.125</v>
      </c>
      <c r="E59" s="2">
        <f>D14*$N$10*Q10*Q11/$C$8</f>
        <v>0.125</v>
      </c>
      <c r="F59" s="2">
        <f>E14*$N$10*R10*R11/$C$8</f>
        <v>0.125</v>
      </c>
      <c r="G59" s="2">
        <f>F14*$N$10*S10*S11/$C$8</f>
        <v>0.125</v>
      </c>
    </row>
    <row r="60" spans="2:7" x14ac:dyDescent="0.15">
      <c r="B60" s="2" t="s">
        <v>264</v>
      </c>
      <c r="C60" s="2" t="s">
        <v>164</v>
      </c>
      <c r="D60" s="9">
        <f>C14*$N$17*P17*P18/$C$8</f>
        <v>0.125</v>
      </c>
      <c r="E60" s="9">
        <f>D14*$N$17*Q17*Q18/$C$8</f>
        <v>0.125</v>
      </c>
      <c r="F60" s="9">
        <f>E14*$N$17*R17*R18/$C$8</f>
        <v>0.125</v>
      </c>
      <c r="G60" s="9">
        <f>F14*$N$17*S17*S18/$C$8</f>
        <v>0.125</v>
      </c>
    </row>
    <row r="61" spans="2:7" x14ac:dyDescent="0.15">
      <c r="B61" s="2" t="s">
        <v>265</v>
      </c>
      <c r="C61" s="2" t="s">
        <v>1</v>
      </c>
      <c r="D61" s="55">
        <f>C16*$N$28*P28*P29/$C$8</f>
        <v>0</v>
      </c>
      <c r="E61" s="55">
        <f>D16*$N$28*Q28*Q29/$C$8</f>
        <v>0</v>
      </c>
      <c r="F61" s="55">
        <f>E16*$N$28*R28*R29/$C$8</f>
        <v>0</v>
      </c>
      <c r="G61" s="55">
        <f>F16*$N$28*S28*S29/$C$8</f>
        <v>0.125</v>
      </c>
    </row>
    <row r="62" spans="2:7" x14ac:dyDescent="0.15">
      <c r="B62" s="5" t="s">
        <v>266</v>
      </c>
      <c r="C62" s="5" t="s">
        <v>1</v>
      </c>
      <c r="D62" s="55">
        <f>C17*$N$35*P35*P36/$C$8</f>
        <v>0</v>
      </c>
      <c r="E62" s="55">
        <f>D17*$N$35*Q35*Q36/$C$8</f>
        <v>0</v>
      </c>
      <c r="F62" s="55">
        <f>E17*$N$35*R35*R36/$C$8</f>
        <v>0.25</v>
      </c>
      <c r="G62" s="55">
        <f>F17*$N$35*S35*S36/$C$8</f>
        <v>0.33333333333333337</v>
      </c>
    </row>
    <row r="63" spans="2:7" x14ac:dyDescent="0.15">
      <c r="B63" s="6"/>
      <c r="C63" s="7" t="s">
        <v>291</v>
      </c>
      <c r="D63" s="56">
        <f>SUM(D59:D62)</f>
        <v>0.25</v>
      </c>
      <c r="E63" s="56">
        <f t="shared" ref="E63:G63" si="20">SUM(E59:E62)</f>
        <v>0.25</v>
      </c>
      <c r="F63" s="56">
        <f t="shared" si="20"/>
        <v>0.5</v>
      </c>
      <c r="G63" s="56">
        <f t="shared" si="20"/>
        <v>0.70833333333333337</v>
      </c>
    </row>
    <row r="65" spans="1:26" s="17" customFormat="1" x14ac:dyDescent="0.15">
      <c r="A65" s="17" t="s">
        <v>39</v>
      </c>
    </row>
    <row r="67" spans="1:26" x14ac:dyDescent="0.15">
      <c r="B67" s="1" t="s">
        <v>283</v>
      </c>
      <c r="L67" s="1" t="s">
        <v>39</v>
      </c>
    </row>
    <row r="68" spans="1:26" x14ac:dyDescent="0.15">
      <c r="B68" s="16" t="s">
        <v>69</v>
      </c>
      <c r="C68" s="16">
        <v>1</v>
      </c>
      <c r="D68" s="16">
        <v>2</v>
      </c>
      <c r="E68" s="16">
        <v>3</v>
      </c>
      <c r="F68" s="16">
        <v>4</v>
      </c>
      <c r="G68" s="16">
        <v>5</v>
      </c>
      <c r="H68" s="16">
        <v>6</v>
      </c>
      <c r="I68" s="16" t="s">
        <v>286</v>
      </c>
      <c r="J68" s="16" t="s">
        <v>345</v>
      </c>
      <c r="L68" s="16" t="s">
        <v>279</v>
      </c>
      <c r="M68" s="16" t="s">
        <v>46</v>
      </c>
      <c r="N68" s="16" t="s">
        <v>278</v>
      </c>
      <c r="O68" s="16" t="s">
        <v>18</v>
      </c>
      <c r="P68" s="16">
        <v>1</v>
      </c>
      <c r="Q68" s="16">
        <v>2</v>
      </c>
      <c r="R68" s="16">
        <v>3</v>
      </c>
      <c r="S68" s="16">
        <v>4</v>
      </c>
      <c r="U68" s="1" t="s">
        <v>420</v>
      </c>
    </row>
    <row r="69" spans="1:26" x14ac:dyDescent="0.15">
      <c r="B69" s="5" t="s">
        <v>278</v>
      </c>
      <c r="C69" s="5">
        <v>0.85</v>
      </c>
      <c r="D69" s="5">
        <v>0.85</v>
      </c>
      <c r="E69" s="5">
        <v>1.2</v>
      </c>
      <c r="F69" s="5"/>
      <c r="G69" s="5"/>
      <c r="H69" s="5"/>
      <c r="I69" s="5">
        <f>SUM(C69:H69)</f>
        <v>2.9</v>
      </c>
      <c r="J69" s="5">
        <f>I69/I70*I72</f>
        <v>1.7058823529411764</v>
      </c>
      <c r="L69" s="60" t="s">
        <v>267</v>
      </c>
      <c r="M69" s="53"/>
      <c r="N69" s="53"/>
      <c r="O69" s="53" t="s">
        <v>280</v>
      </c>
      <c r="P69" s="60">
        <v>8</v>
      </c>
      <c r="Q69" s="60">
        <v>8</v>
      </c>
      <c r="R69" s="60">
        <v>8</v>
      </c>
      <c r="S69" s="60">
        <v>8</v>
      </c>
      <c r="U69" s="16" t="s">
        <v>421</v>
      </c>
      <c r="V69" s="16" t="s">
        <v>344</v>
      </c>
      <c r="W69" s="57">
        <v>1</v>
      </c>
      <c r="X69" s="57">
        <v>2</v>
      </c>
      <c r="Y69" s="57">
        <v>3</v>
      </c>
      <c r="Z69" s="57">
        <v>4</v>
      </c>
    </row>
    <row r="70" spans="1:26" x14ac:dyDescent="0.15">
      <c r="B70" s="5" t="s">
        <v>285</v>
      </c>
      <c r="C70" s="5">
        <v>0.35</v>
      </c>
      <c r="D70" s="5">
        <v>0.35</v>
      </c>
      <c r="E70" s="5">
        <v>1</v>
      </c>
      <c r="F70" s="5"/>
      <c r="G70" s="5"/>
      <c r="H70" s="5"/>
      <c r="I70" s="5">
        <f>SUM(C70:H70)</f>
        <v>1.7</v>
      </c>
      <c r="L70" s="2"/>
      <c r="M70" s="75"/>
      <c r="N70" s="53"/>
      <c r="O70" s="53" t="s">
        <v>288</v>
      </c>
      <c r="P70" s="53">
        <v>1.6</v>
      </c>
      <c r="Q70" s="53">
        <v>1.6</v>
      </c>
      <c r="R70" s="53">
        <v>2</v>
      </c>
      <c r="S70" s="53">
        <v>2.4</v>
      </c>
      <c r="U70" s="85" t="s">
        <v>293</v>
      </c>
      <c r="V70" s="5" t="s">
        <v>289</v>
      </c>
      <c r="W70" s="5">
        <f>$N$71*P72*P71</f>
        <v>4.4000000000000004</v>
      </c>
      <c r="X70" s="5">
        <f t="shared" ref="X70:Z70" si="21">$N$71*Q72*Q71</f>
        <v>5.5</v>
      </c>
      <c r="Y70" s="5">
        <f t="shared" si="21"/>
        <v>6.87</v>
      </c>
      <c r="Z70" s="5">
        <f t="shared" si="21"/>
        <v>8.6</v>
      </c>
    </row>
    <row r="71" spans="1:26" x14ac:dyDescent="0.15">
      <c r="L71" s="3"/>
      <c r="M71" s="13" t="s">
        <v>281</v>
      </c>
      <c r="N71" s="3">
        <v>1</v>
      </c>
      <c r="O71" s="7" t="s">
        <v>275</v>
      </c>
      <c r="P71" s="5">
        <v>2</v>
      </c>
      <c r="Q71" s="5">
        <v>2</v>
      </c>
      <c r="R71" s="5">
        <v>3</v>
      </c>
      <c r="S71" s="5">
        <v>4</v>
      </c>
      <c r="U71" s="86"/>
      <c r="V71" s="5" t="s">
        <v>422</v>
      </c>
      <c r="W71" s="5">
        <f>$N$71*P73*P72*P71</f>
        <v>440.00000000000006</v>
      </c>
      <c r="X71" s="5">
        <f t="shared" ref="X71:Z71" si="22">$N$71*Q73*Q72*Q71</f>
        <v>825</v>
      </c>
      <c r="Y71" s="5">
        <f t="shared" si="22"/>
        <v>1717.5</v>
      </c>
      <c r="Z71" s="5">
        <f t="shared" si="22"/>
        <v>3440</v>
      </c>
    </row>
    <row r="72" spans="1:26" x14ac:dyDescent="0.15">
      <c r="B72" s="16" t="s">
        <v>287</v>
      </c>
      <c r="C72" s="5">
        <f>$C$8</f>
        <v>20</v>
      </c>
      <c r="H72" s="16" t="s">
        <v>462</v>
      </c>
      <c r="I72" s="5">
        <v>1</v>
      </c>
      <c r="L72" s="3"/>
      <c r="M72" s="13"/>
      <c r="N72" s="3"/>
      <c r="O72" s="7" t="s">
        <v>274</v>
      </c>
      <c r="P72" s="5">
        <f>ROUND(R259/$N$71/P71,2)</f>
        <v>2.2000000000000002</v>
      </c>
      <c r="Q72" s="5">
        <f t="shared" ref="Q72:S72" si="23">ROUND(S259/$N$71/Q71,2)</f>
        <v>2.75</v>
      </c>
      <c r="R72" s="5">
        <f t="shared" si="23"/>
        <v>2.29</v>
      </c>
      <c r="S72" s="5">
        <f t="shared" si="23"/>
        <v>2.15</v>
      </c>
      <c r="U72" s="85" t="s">
        <v>294</v>
      </c>
      <c r="V72" s="5" t="s">
        <v>289</v>
      </c>
      <c r="W72" s="5">
        <f>$N$76*P77*P76</f>
        <v>4.4399999999999995</v>
      </c>
      <c r="X72" s="5">
        <f>$N$76*Q77*Q76</f>
        <v>5.5200000000000005</v>
      </c>
      <c r="Y72" s="5">
        <f>$N$76*R77*R76</f>
        <v>6.84</v>
      </c>
      <c r="Z72" s="5">
        <f>$N$76*S77*S76</f>
        <v>8.64</v>
      </c>
    </row>
    <row r="73" spans="1:26" x14ac:dyDescent="0.15">
      <c r="L73" s="4"/>
      <c r="M73" s="11"/>
      <c r="N73" s="4"/>
      <c r="O73" s="7" t="s">
        <v>251</v>
      </c>
      <c r="P73" s="5">
        <v>100</v>
      </c>
      <c r="Q73" s="5">
        <v>150</v>
      </c>
      <c r="R73" s="5">
        <v>250</v>
      </c>
      <c r="S73" s="5">
        <v>400</v>
      </c>
      <c r="U73" s="86"/>
      <c r="V73" s="5" t="s">
        <v>422</v>
      </c>
      <c r="W73" s="5"/>
      <c r="X73" s="5"/>
      <c r="Y73" s="5"/>
      <c r="Z73" s="5"/>
    </row>
    <row r="74" spans="1:26" x14ac:dyDescent="0.15">
      <c r="B74" s="1" t="s">
        <v>278</v>
      </c>
      <c r="L74" s="78" t="s">
        <v>268</v>
      </c>
      <c r="M74" s="53"/>
      <c r="N74" s="53"/>
      <c r="O74" s="53" t="s">
        <v>280</v>
      </c>
      <c r="P74" s="78">
        <v>10</v>
      </c>
      <c r="Q74" s="78">
        <v>10</v>
      </c>
      <c r="R74" s="78">
        <v>10</v>
      </c>
      <c r="S74" s="78">
        <v>10</v>
      </c>
      <c r="U74" s="85" t="s">
        <v>295</v>
      </c>
      <c r="V74" s="5" t="s">
        <v>289</v>
      </c>
      <c r="W74" s="5">
        <f>$N$86*P86*P87</f>
        <v>4.9799999999999995</v>
      </c>
      <c r="X74" s="5">
        <f>$N$86*Q86*Q87</f>
        <v>6.24</v>
      </c>
      <c r="Y74" s="5">
        <f>$N$86*R86*R87</f>
        <v>7.8000000000000007</v>
      </c>
      <c r="Z74" s="5">
        <f>$N$86*S86*S87</f>
        <v>9.7799999999999994</v>
      </c>
    </row>
    <row r="75" spans="1:26" x14ac:dyDescent="0.15">
      <c r="B75" s="16" t="s">
        <v>69</v>
      </c>
      <c r="C75" s="16">
        <v>1</v>
      </c>
      <c r="D75" s="16">
        <v>2</v>
      </c>
      <c r="E75" s="16">
        <v>3</v>
      </c>
      <c r="F75" s="16">
        <v>4</v>
      </c>
      <c r="L75" s="2"/>
      <c r="M75" s="64"/>
      <c r="N75" s="60"/>
      <c r="O75" s="60" t="s">
        <v>288</v>
      </c>
      <c r="P75" s="60">
        <v>1</v>
      </c>
      <c r="Q75" s="60">
        <v>1</v>
      </c>
      <c r="R75" s="60">
        <v>1</v>
      </c>
      <c r="S75" s="60">
        <v>1</v>
      </c>
      <c r="U75" s="86"/>
      <c r="V75" s="5" t="s">
        <v>422</v>
      </c>
      <c r="W75" s="5">
        <f>$N$86*P86*P87*P88</f>
        <v>248.99999999999997</v>
      </c>
      <c r="X75" s="5">
        <f t="shared" ref="X75:Z75" si="24">$N$86*Q86*Q87*Q88</f>
        <v>624</v>
      </c>
      <c r="Y75" s="5">
        <f t="shared" si="24"/>
        <v>1560.0000000000002</v>
      </c>
      <c r="Z75" s="5">
        <f t="shared" si="24"/>
        <v>3911.9999999999995</v>
      </c>
    </row>
    <row r="76" spans="1:26" x14ac:dyDescent="0.15">
      <c r="B76" s="5" t="s">
        <v>497</v>
      </c>
      <c r="C76" s="5">
        <f>$C$72-(C78*P70+C79*P75+C80*P85+C81*P94)</f>
        <v>9.0250000000000004</v>
      </c>
      <c r="D76" s="5">
        <f t="shared" ref="D76:F76" si="25">$C$72-(D78*Q70+D79*Q75+D80*Q85+D81*Q94)</f>
        <v>9.0250000000000004</v>
      </c>
      <c r="E76" s="5">
        <f t="shared" si="25"/>
        <v>8.0250000000000004</v>
      </c>
      <c r="F76" s="5">
        <f t="shared" si="25"/>
        <v>6.8285714285714292</v>
      </c>
      <c r="L76" s="3"/>
      <c r="M76" s="9" t="s">
        <v>177</v>
      </c>
      <c r="N76" s="2">
        <v>6</v>
      </c>
      <c r="O76" s="11" t="s">
        <v>275</v>
      </c>
      <c r="P76" s="4">
        <v>2</v>
      </c>
      <c r="Q76" s="4">
        <v>2</v>
      </c>
      <c r="R76" s="4">
        <v>2</v>
      </c>
      <c r="S76" s="4">
        <v>2</v>
      </c>
      <c r="U76" s="85" t="s">
        <v>424</v>
      </c>
      <c r="V76" s="5" t="s">
        <v>289</v>
      </c>
      <c r="W76" s="5"/>
      <c r="X76" s="5"/>
      <c r="Y76" s="5"/>
      <c r="Z76" s="5"/>
    </row>
    <row r="77" spans="1:26" x14ac:dyDescent="0.15">
      <c r="B77" s="5" t="s">
        <v>283</v>
      </c>
      <c r="C77" s="5">
        <f>MAX(($C$72-(C78*P70+C79*P75+C80*P85+C81*P94))/$I$70*$I$69,0)</f>
        <v>15.395588235294118</v>
      </c>
      <c r="D77" s="5">
        <f>MAX(($C$72-(D78*Q70+D79*Q75+D80*Q85+D81*Q94))/$I$70*$I$69,0)</f>
        <v>15.395588235294118</v>
      </c>
      <c r="E77" s="5">
        <f>MAX(($C$72-(E78*R70+E79*R75+E80*R85+E81*R94))/$I$70*$I$69,0)</f>
        <v>13.689705882352941</v>
      </c>
      <c r="F77" s="5">
        <f>MAX(($C$72-(F78*S70+F79*S75+F80*S85+F81*S94))/$I$70*$I$69,0)</f>
        <v>11.648739495798321</v>
      </c>
      <c r="L77" s="3"/>
      <c r="M77" s="13"/>
      <c r="N77" s="3"/>
      <c r="O77" s="7" t="s">
        <v>274</v>
      </c>
      <c r="P77" s="5">
        <f>ROUND(R259/$N$76/P76,2)</f>
        <v>0.37</v>
      </c>
      <c r="Q77" s="5">
        <f t="shared" ref="Q77:S77" si="26">ROUND(S259/$N$76/Q76,2)</f>
        <v>0.46</v>
      </c>
      <c r="R77" s="5">
        <f t="shared" si="26"/>
        <v>0.56999999999999995</v>
      </c>
      <c r="S77" s="5">
        <f t="shared" si="26"/>
        <v>0.72</v>
      </c>
      <c r="U77" s="86"/>
      <c r="V77" s="5" t="s">
        <v>422</v>
      </c>
      <c r="W77" s="5"/>
      <c r="X77" s="5"/>
      <c r="Y77" s="5"/>
      <c r="Z77" s="5"/>
    </row>
    <row r="78" spans="1:26" x14ac:dyDescent="0.15">
      <c r="B78" s="5" t="s">
        <v>267</v>
      </c>
      <c r="C78" s="5">
        <f>$C$72/P69</f>
        <v>2.5</v>
      </c>
      <c r="D78" s="5">
        <f>$C$72/Q69</f>
        <v>2.5</v>
      </c>
      <c r="E78" s="5">
        <f>$C$72/R69</f>
        <v>2.5</v>
      </c>
      <c r="F78" s="5">
        <f>$C$72/S69</f>
        <v>2.5</v>
      </c>
      <c r="L78" s="3"/>
      <c r="M78" s="11"/>
      <c r="N78" s="4"/>
      <c r="O78" s="7" t="s">
        <v>433</v>
      </c>
      <c r="P78" s="5">
        <v>0</v>
      </c>
      <c r="Q78" s="5">
        <v>0</v>
      </c>
      <c r="R78" s="5">
        <v>0</v>
      </c>
      <c r="S78" s="5">
        <v>0</v>
      </c>
      <c r="U78" s="85" t="s">
        <v>485</v>
      </c>
      <c r="V78" s="5" t="s">
        <v>289</v>
      </c>
      <c r="W78" s="5">
        <f>W70+W72+W74+W76</f>
        <v>13.82</v>
      </c>
      <c r="X78" s="5">
        <f t="shared" ref="X78:Z79" si="27">X70+X72+X74+X76</f>
        <v>17.259999999999998</v>
      </c>
      <c r="Y78" s="5">
        <f t="shared" si="27"/>
        <v>21.51</v>
      </c>
      <c r="Z78" s="5">
        <f t="shared" si="27"/>
        <v>27.020000000000003</v>
      </c>
    </row>
    <row r="79" spans="1:26" x14ac:dyDescent="0.15">
      <c r="B79" s="5" t="s">
        <v>268</v>
      </c>
      <c r="C79" s="5">
        <f>$C$72/P74</f>
        <v>2</v>
      </c>
      <c r="D79" s="5">
        <f>$C$72/Q74</f>
        <v>2</v>
      </c>
      <c r="E79" s="5">
        <f>$C$72/R74</f>
        <v>2</v>
      </c>
      <c r="F79" s="5">
        <f>$C$72/S74</f>
        <v>2</v>
      </c>
      <c r="L79" s="3"/>
      <c r="M79" s="46" t="s">
        <v>535</v>
      </c>
      <c r="N79" s="38">
        <v>6</v>
      </c>
      <c r="O79" s="41" t="s">
        <v>226</v>
      </c>
      <c r="P79" s="69">
        <v>0</v>
      </c>
      <c r="Q79" s="69">
        <v>0</v>
      </c>
      <c r="R79" s="39">
        <v>1</v>
      </c>
      <c r="S79" s="39">
        <v>1</v>
      </c>
      <c r="U79" s="86"/>
      <c r="V79" s="5" t="s">
        <v>422</v>
      </c>
      <c r="W79" s="5">
        <f>W71+W73+W75+W77</f>
        <v>689</v>
      </c>
      <c r="X79" s="5">
        <f t="shared" si="27"/>
        <v>1449</v>
      </c>
      <c r="Y79" s="5">
        <f t="shared" si="27"/>
        <v>3277.5</v>
      </c>
      <c r="Z79" s="5">
        <f t="shared" si="27"/>
        <v>7352</v>
      </c>
    </row>
    <row r="80" spans="1:26" x14ac:dyDescent="0.15">
      <c r="B80" s="5" t="s">
        <v>269</v>
      </c>
      <c r="C80" s="5">
        <f>$C$72/P84</f>
        <v>2</v>
      </c>
      <c r="D80" s="5">
        <f>$C$72/Q84</f>
        <v>2</v>
      </c>
      <c r="E80" s="5">
        <f>$C$72/R84</f>
        <v>2</v>
      </c>
      <c r="F80" s="5">
        <f>$C$72/S84</f>
        <v>2</v>
      </c>
      <c r="L80" s="3"/>
      <c r="M80" s="50"/>
      <c r="N80" s="40"/>
      <c r="O80" s="41" t="s">
        <v>276</v>
      </c>
      <c r="P80" s="69">
        <v>0</v>
      </c>
      <c r="Q80" s="69">
        <v>0</v>
      </c>
      <c r="R80" s="39">
        <v>1</v>
      </c>
      <c r="S80" s="39">
        <v>1</v>
      </c>
      <c r="W80" s="1">
        <f>W74/W10</f>
        <v>2.4899999999999998</v>
      </c>
      <c r="X80" s="1">
        <f t="shared" ref="X80:Z80" si="28">X74/X10</f>
        <v>2.496</v>
      </c>
      <c r="Y80" s="1">
        <f t="shared" si="28"/>
        <v>2.4920127795527161</v>
      </c>
      <c r="Z80" s="1">
        <f t="shared" si="28"/>
        <v>2.5012787723785164</v>
      </c>
    </row>
    <row r="81" spans="2:26" x14ac:dyDescent="0.15">
      <c r="B81" s="5" t="s">
        <v>72</v>
      </c>
      <c r="C81" s="5">
        <f>$C$72/P93</f>
        <v>2.5</v>
      </c>
      <c r="D81" s="5">
        <f>$C$72/Q93</f>
        <v>2.5</v>
      </c>
      <c r="E81" s="5">
        <f>$C$72/R93</f>
        <v>2.5</v>
      </c>
      <c r="F81" s="5">
        <f>$C$72/S93</f>
        <v>2.8571428571428572</v>
      </c>
      <c r="L81" s="3"/>
      <c r="M81" s="54" t="s">
        <v>296</v>
      </c>
      <c r="N81" s="61">
        <v>6</v>
      </c>
      <c r="O81" s="62" t="s">
        <v>226</v>
      </c>
      <c r="P81" s="73">
        <v>0</v>
      </c>
      <c r="Q81" s="73">
        <v>0</v>
      </c>
      <c r="R81" s="73">
        <v>0</v>
      </c>
      <c r="S81" s="52">
        <v>1</v>
      </c>
      <c r="U81" s="1" t="s">
        <v>423</v>
      </c>
    </row>
    <row r="82" spans="2:26" x14ac:dyDescent="0.15">
      <c r="B82" s="5" t="s">
        <v>308</v>
      </c>
      <c r="C82" s="5">
        <f>C77*$I$70/$I$69+C78*P70+C79*P75+C80*P85+C81*P94</f>
        <v>20</v>
      </c>
      <c r="D82" s="5">
        <f>D77*$I$70/$I$69+D78*Q70+D79*Q75+D80*Q85+D81*Q94</f>
        <v>20</v>
      </c>
      <c r="E82" s="5">
        <f>E77*$I$70/$I$69+E78*R70+E79*R75+E80*R85+E81*R94</f>
        <v>20</v>
      </c>
      <c r="F82" s="5">
        <f>F77*$I$70/$I$69+F78*S70+F79*S75+F80*S85+F81*S94</f>
        <v>20.000000000000004</v>
      </c>
      <c r="L82" s="3"/>
      <c r="M82" s="81"/>
      <c r="N82" s="51"/>
      <c r="O82" s="62" t="s">
        <v>277</v>
      </c>
      <c r="P82" s="73">
        <v>0</v>
      </c>
      <c r="Q82" s="73">
        <v>0</v>
      </c>
      <c r="R82" s="73">
        <v>0</v>
      </c>
      <c r="S82" s="52">
        <v>0.15</v>
      </c>
      <c r="U82" s="16" t="s">
        <v>421</v>
      </c>
      <c r="V82" s="16" t="s">
        <v>344</v>
      </c>
      <c r="W82" s="57">
        <v>1</v>
      </c>
      <c r="X82" s="57">
        <v>2</v>
      </c>
      <c r="Y82" s="57">
        <v>3</v>
      </c>
      <c r="Z82" s="57">
        <v>4</v>
      </c>
    </row>
    <row r="83" spans="2:26" x14ac:dyDescent="0.15">
      <c r="L83" s="4"/>
      <c r="M83" s="81"/>
      <c r="N83" s="51"/>
      <c r="O83" s="54" t="s">
        <v>276</v>
      </c>
      <c r="P83" s="74">
        <v>0</v>
      </c>
      <c r="Q83" s="74">
        <v>0</v>
      </c>
      <c r="R83" s="74">
        <v>0</v>
      </c>
      <c r="S83" s="61">
        <v>1</v>
      </c>
      <c r="U83" s="85" t="s">
        <v>293</v>
      </c>
      <c r="V83" s="5" t="s">
        <v>289</v>
      </c>
      <c r="W83" s="5">
        <f>W70/P70</f>
        <v>2.75</v>
      </c>
      <c r="X83" s="5">
        <f>X70/Q70</f>
        <v>3.4375</v>
      </c>
      <c r="Y83" s="5">
        <f>Y70/R70</f>
        <v>3.4350000000000001</v>
      </c>
      <c r="Z83" s="5">
        <f>Z70/S70</f>
        <v>3.5833333333333335</v>
      </c>
    </row>
    <row r="84" spans="2:26" x14ac:dyDescent="0.15">
      <c r="B84" s="1" t="s">
        <v>512</v>
      </c>
      <c r="L84" s="79" t="s">
        <v>269</v>
      </c>
      <c r="M84" s="53"/>
      <c r="N84" s="53"/>
      <c r="O84" s="53" t="s">
        <v>280</v>
      </c>
      <c r="P84" s="79">
        <v>10</v>
      </c>
      <c r="Q84" s="79">
        <v>10</v>
      </c>
      <c r="R84" s="79">
        <v>10</v>
      </c>
      <c r="S84" s="79">
        <v>10</v>
      </c>
      <c r="U84" s="86"/>
      <c r="V84" s="5" t="s">
        <v>422</v>
      </c>
      <c r="W84" s="5">
        <f>W71/P70</f>
        <v>275</v>
      </c>
      <c r="X84" s="5">
        <f>X71/Q70</f>
        <v>515.625</v>
      </c>
      <c r="Y84" s="5">
        <f>Y71/R70</f>
        <v>858.75</v>
      </c>
      <c r="Z84" s="5">
        <f>Z71/S70</f>
        <v>1433.3333333333335</v>
      </c>
    </row>
    <row r="85" spans="2:26" x14ac:dyDescent="0.15">
      <c r="B85" s="16" t="s">
        <v>32</v>
      </c>
      <c r="C85" s="15">
        <v>1</v>
      </c>
      <c r="D85" s="16">
        <v>2</v>
      </c>
      <c r="E85" s="16">
        <v>3</v>
      </c>
      <c r="F85" s="16">
        <v>4</v>
      </c>
      <c r="L85" s="2"/>
      <c r="M85" s="80"/>
      <c r="N85" s="63"/>
      <c r="O85" s="63" t="s">
        <v>288</v>
      </c>
      <c r="P85" s="63">
        <v>1.8</v>
      </c>
      <c r="Q85" s="63">
        <v>1.8</v>
      </c>
      <c r="R85" s="63">
        <v>1.8</v>
      </c>
      <c r="S85" s="63">
        <v>1.8</v>
      </c>
      <c r="U85" s="85" t="s">
        <v>294</v>
      </c>
      <c r="V85" s="5" t="s">
        <v>289</v>
      </c>
      <c r="W85" s="5">
        <f>W72/P75</f>
        <v>4.4399999999999995</v>
      </c>
      <c r="X85" s="5">
        <f>X72/Q75</f>
        <v>5.5200000000000005</v>
      </c>
      <c r="Y85" s="5">
        <f>Y72/R75</f>
        <v>6.84</v>
      </c>
      <c r="Z85" s="5">
        <f>Z72/S75</f>
        <v>8.64</v>
      </c>
    </row>
    <row r="86" spans="2:26" x14ac:dyDescent="0.15">
      <c r="B86" s="5" t="s">
        <v>289</v>
      </c>
      <c r="C86" s="58">
        <f>D109*(1+D117+D122)*(1+D128)</f>
        <v>45.235588235294124</v>
      </c>
      <c r="D86" s="58">
        <f>E109*(1+E117+E122)*(1+E128)</f>
        <v>52.665588235294123</v>
      </c>
      <c r="E86" s="58">
        <f>F109*(1+F117+F122)*(1+F128)</f>
        <v>113.37277058823531</v>
      </c>
      <c r="F86" s="58">
        <f>G109*(1+G117+G122)*(1+G128)</f>
        <v>184.45032374549825</v>
      </c>
      <c r="L86" s="3"/>
      <c r="M86" s="13" t="s">
        <v>281</v>
      </c>
      <c r="N86" s="3">
        <v>6</v>
      </c>
      <c r="O86" s="11" t="s">
        <v>275</v>
      </c>
      <c r="P86" s="4">
        <v>1</v>
      </c>
      <c r="Q86" s="4">
        <v>1</v>
      </c>
      <c r="R86" s="4">
        <v>1</v>
      </c>
      <c r="S86" s="4">
        <v>1</v>
      </c>
      <c r="U86" s="86"/>
      <c r="V86" s="5" t="s">
        <v>422</v>
      </c>
      <c r="W86" s="5">
        <f>W73/P75</f>
        <v>0</v>
      </c>
      <c r="X86" s="5">
        <f>X73/Q75</f>
        <v>0</v>
      </c>
      <c r="Y86" s="5">
        <f>Y73/R75</f>
        <v>0</v>
      </c>
      <c r="Z86" s="5">
        <f>Z73/S75</f>
        <v>0</v>
      </c>
    </row>
    <row r="87" spans="2:26" x14ac:dyDescent="0.15">
      <c r="B87" s="5" t="s">
        <v>290</v>
      </c>
      <c r="C87" s="58">
        <f>D110*(1+D117+D122)*(1+D128)</f>
        <v>799</v>
      </c>
      <c r="D87" s="58">
        <f>E110*(1+E117+E122)*(1+E128)</f>
        <v>1655.25</v>
      </c>
      <c r="E87" s="58">
        <f>F110*(1+F117+F122)*(1+F128)</f>
        <v>6987.4593750000013</v>
      </c>
      <c r="F87" s="58">
        <f>G110*(1+G117+G122)*(1+G128)</f>
        <v>21642.139428571434</v>
      </c>
      <c r="L87" s="3"/>
      <c r="M87" s="13"/>
      <c r="N87" s="3"/>
      <c r="O87" s="7" t="s">
        <v>274</v>
      </c>
      <c r="P87" s="5">
        <f>ROUND(R261/$N$86/P86,2)</f>
        <v>0.83</v>
      </c>
      <c r="Q87" s="5">
        <f t="shared" ref="Q87:S87" si="29">ROUND(S261/$N$86/Q86,2)</f>
        <v>1.04</v>
      </c>
      <c r="R87" s="5">
        <f t="shared" si="29"/>
        <v>1.3</v>
      </c>
      <c r="S87" s="5">
        <f t="shared" si="29"/>
        <v>1.63</v>
      </c>
      <c r="U87" s="85" t="s">
        <v>295</v>
      </c>
      <c r="V87" s="5" t="s">
        <v>289</v>
      </c>
      <c r="W87" s="5">
        <f>W74/P85</f>
        <v>2.7666666666666662</v>
      </c>
      <c r="X87" s="5">
        <f>X74/Q85</f>
        <v>3.4666666666666668</v>
      </c>
      <c r="Y87" s="5">
        <f>Y74/R85</f>
        <v>4.3333333333333339</v>
      </c>
      <c r="Z87" s="5">
        <f>Z74/S85</f>
        <v>5.4333333333333327</v>
      </c>
    </row>
    <row r="88" spans="2:26" x14ac:dyDescent="0.15">
      <c r="L88" s="3"/>
      <c r="M88" s="13"/>
      <c r="N88" s="3"/>
      <c r="O88" s="7" t="s">
        <v>251</v>
      </c>
      <c r="P88" s="5">
        <v>50</v>
      </c>
      <c r="Q88" s="5">
        <v>100</v>
      </c>
      <c r="R88" s="5">
        <v>200</v>
      </c>
      <c r="S88" s="5">
        <v>400</v>
      </c>
      <c r="U88" s="86"/>
      <c r="V88" s="5" t="s">
        <v>422</v>
      </c>
      <c r="W88" s="5">
        <f>W75/P85</f>
        <v>138.33333333333331</v>
      </c>
      <c r="X88" s="5">
        <f>X75/Q85</f>
        <v>346.66666666666669</v>
      </c>
      <c r="Y88" s="5">
        <f>Y75/R85</f>
        <v>866.66666666666674</v>
      </c>
      <c r="Z88" s="5">
        <f>Z75/S85</f>
        <v>2173.333333333333</v>
      </c>
    </row>
    <row r="89" spans="2:26" x14ac:dyDescent="0.15">
      <c r="L89" s="3"/>
      <c r="M89" s="104" t="s">
        <v>282</v>
      </c>
      <c r="N89" s="105">
        <v>0</v>
      </c>
      <c r="O89" s="68" t="s">
        <v>277</v>
      </c>
      <c r="P89" s="68">
        <v>0</v>
      </c>
      <c r="Q89" s="68">
        <v>0</v>
      </c>
      <c r="R89" s="68">
        <v>0</v>
      </c>
      <c r="S89" s="68">
        <v>0</v>
      </c>
      <c r="U89" s="85" t="s">
        <v>424</v>
      </c>
      <c r="V89" s="5" t="s">
        <v>289</v>
      </c>
      <c r="W89" s="5"/>
      <c r="X89" s="5"/>
      <c r="Y89" s="5"/>
      <c r="Z89" s="5"/>
    </row>
    <row r="90" spans="2:26" x14ac:dyDescent="0.15">
      <c r="B90" s="1" t="s">
        <v>247</v>
      </c>
      <c r="L90" s="3"/>
      <c r="M90" s="106"/>
      <c r="N90" s="107"/>
      <c r="O90" s="68" t="s">
        <v>276</v>
      </c>
      <c r="P90" s="68">
        <v>0</v>
      </c>
      <c r="Q90" s="68">
        <v>0</v>
      </c>
      <c r="R90" s="68">
        <v>0</v>
      </c>
      <c r="S90" s="68">
        <v>0</v>
      </c>
      <c r="U90" s="86"/>
      <c r="V90" s="5" t="s">
        <v>422</v>
      </c>
      <c r="W90" s="5"/>
      <c r="X90" s="5"/>
      <c r="Y90" s="5"/>
      <c r="Z90" s="5"/>
    </row>
    <row r="91" spans="2:26" x14ac:dyDescent="0.15">
      <c r="B91" s="16" t="s">
        <v>69</v>
      </c>
      <c r="C91" s="16" t="s">
        <v>32</v>
      </c>
      <c r="D91" s="15">
        <v>1</v>
      </c>
      <c r="E91" s="16">
        <v>2</v>
      </c>
      <c r="F91" s="16">
        <v>3</v>
      </c>
      <c r="G91" s="16">
        <v>4</v>
      </c>
      <c r="L91" s="3"/>
      <c r="M91" s="46" t="s">
        <v>1</v>
      </c>
      <c r="N91" s="38">
        <v>6</v>
      </c>
      <c r="O91" s="41" t="s">
        <v>226</v>
      </c>
      <c r="P91" s="69">
        <v>0</v>
      </c>
      <c r="Q91" s="69">
        <v>0</v>
      </c>
      <c r="R91" s="39">
        <v>0.5</v>
      </c>
      <c r="S91" s="39">
        <v>1</v>
      </c>
    </row>
    <row r="92" spans="2:26" x14ac:dyDescent="0.15">
      <c r="B92" s="5" t="s">
        <v>283</v>
      </c>
      <c r="C92" s="5" t="s">
        <v>289</v>
      </c>
      <c r="D92" s="83">
        <f>D102/D109</f>
        <v>0.34034239049160925</v>
      </c>
      <c r="E92" s="83">
        <f>E102/E109</f>
        <v>0.29232728145959802</v>
      </c>
      <c r="F92" s="83">
        <f>F102/F109</f>
        <v>0.227612816149287</v>
      </c>
      <c r="G92" s="83">
        <f>G102/G109</f>
        <v>0.16643733805918359</v>
      </c>
      <c r="L92" s="3"/>
      <c r="M92" s="50"/>
      <c r="N92" s="40"/>
      <c r="O92" s="41" t="s">
        <v>276</v>
      </c>
      <c r="P92" s="69">
        <v>0</v>
      </c>
      <c r="Q92" s="69">
        <v>0</v>
      </c>
      <c r="R92" s="39">
        <v>1</v>
      </c>
      <c r="S92" s="39">
        <v>1</v>
      </c>
    </row>
    <row r="93" spans="2:26" x14ac:dyDescent="0.15">
      <c r="B93" s="2" t="s">
        <v>293</v>
      </c>
      <c r="C93" s="5" t="s">
        <v>289</v>
      </c>
      <c r="D93" s="83">
        <f t="shared" ref="D93:G94" si="30">D103/D109</f>
        <v>0.24317137079732898</v>
      </c>
      <c r="E93" s="83">
        <f t="shared" si="30"/>
        <v>0.26108129540999536</v>
      </c>
      <c r="F93" s="83">
        <f t="shared" si="30"/>
        <v>0.28556129335132913</v>
      </c>
      <c r="G93" s="83">
        <f t="shared" si="30"/>
        <v>0.30719227342693778</v>
      </c>
      <c r="L93" s="63" t="s">
        <v>9</v>
      </c>
      <c r="M93" s="53"/>
      <c r="N93" s="53"/>
      <c r="O93" s="53" t="s">
        <v>280</v>
      </c>
      <c r="P93" s="79">
        <v>8</v>
      </c>
      <c r="Q93" s="79">
        <v>8</v>
      </c>
      <c r="R93" s="79">
        <v>8</v>
      </c>
      <c r="S93" s="79">
        <v>7</v>
      </c>
    </row>
    <row r="94" spans="2:26" x14ac:dyDescent="0.15">
      <c r="B94" s="4"/>
      <c r="C94" s="5" t="s">
        <v>290</v>
      </c>
      <c r="D94" s="36">
        <f t="shared" si="30"/>
        <v>0.68836045056320405</v>
      </c>
      <c r="E94" s="36">
        <f t="shared" si="30"/>
        <v>0.62301767104666972</v>
      </c>
      <c r="F94" s="36">
        <f t="shared" si="30"/>
        <v>0.5791603439554881</v>
      </c>
      <c r="G94" s="36">
        <f t="shared" si="30"/>
        <v>0.52362396492937169</v>
      </c>
      <c r="L94" s="2"/>
      <c r="M94" s="64"/>
      <c r="N94" s="60"/>
      <c r="O94" s="63" t="s">
        <v>288</v>
      </c>
      <c r="P94" s="63">
        <v>0.55000000000000004</v>
      </c>
      <c r="Q94" s="63">
        <v>0.55000000000000004</v>
      </c>
      <c r="R94" s="63">
        <v>0.55000000000000004</v>
      </c>
      <c r="S94" s="63">
        <v>0.55000000000000004</v>
      </c>
    </row>
    <row r="95" spans="2:26" x14ac:dyDescent="0.15">
      <c r="B95" s="2" t="s">
        <v>294</v>
      </c>
      <c r="C95" s="5" t="s">
        <v>289</v>
      </c>
      <c r="D95" s="83">
        <f t="shared" ref="D95:G96" si="31">D105/D109</f>
        <v>0.19630561569820737</v>
      </c>
      <c r="E95" s="83">
        <f t="shared" si="31"/>
        <v>0.20962454555100718</v>
      </c>
      <c r="F95" s="83">
        <f t="shared" si="31"/>
        <v>0.22745144064315473</v>
      </c>
      <c r="G95" s="83">
        <f t="shared" si="31"/>
        <v>0.24689685975895281</v>
      </c>
      <c r="L95" s="3"/>
      <c r="M95" s="43" t="s">
        <v>282</v>
      </c>
      <c r="N95" s="43">
        <v>1</v>
      </c>
      <c r="O95" s="67" t="s">
        <v>277</v>
      </c>
      <c r="P95" s="68">
        <v>0</v>
      </c>
      <c r="Q95" s="68">
        <v>0</v>
      </c>
      <c r="R95" s="44">
        <v>0.2</v>
      </c>
      <c r="S95" s="44">
        <v>0.3</v>
      </c>
    </row>
    <row r="96" spans="2:26" x14ac:dyDescent="0.15">
      <c r="B96" s="4"/>
      <c r="C96" s="5" t="s">
        <v>290</v>
      </c>
      <c r="D96" s="36">
        <f t="shared" si="31"/>
        <v>0</v>
      </c>
      <c r="E96" s="36">
        <f t="shared" si="31"/>
        <v>0</v>
      </c>
      <c r="F96" s="36">
        <f t="shared" si="31"/>
        <v>0</v>
      </c>
      <c r="G96" s="36">
        <f t="shared" si="31"/>
        <v>0</v>
      </c>
      <c r="L96" s="4"/>
      <c r="M96" s="66"/>
      <c r="N96" s="66"/>
      <c r="O96" s="67" t="s">
        <v>276</v>
      </c>
      <c r="P96" s="68">
        <v>0</v>
      </c>
      <c r="Q96" s="68">
        <v>0</v>
      </c>
      <c r="R96" s="44">
        <v>3</v>
      </c>
      <c r="S96" s="44">
        <v>3</v>
      </c>
    </row>
    <row r="97" spans="2:14" x14ac:dyDescent="0.15">
      <c r="B97" s="2" t="s">
        <v>295</v>
      </c>
      <c r="C97" s="5" t="s">
        <v>289</v>
      </c>
      <c r="D97" s="83">
        <f t="shared" ref="D97:G98" si="32">D107/D109</f>
        <v>0.22018062301285421</v>
      </c>
      <c r="E97" s="83">
        <f t="shared" si="32"/>
        <v>0.23696687757939941</v>
      </c>
      <c r="F97" s="83">
        <f t="shared" si="32"/>
        <v>0.25937444985622909</v>
      </c>
      <c r="G97" s="83">
        <f t="shared" si="32"/>
        <v>0.2794735287549257</v>
      </c>
    </row>
    <row r="98" spans="2:14" x14ac:dyDescent="0.15">
      <c r="B98" s="4"/>
      <c r="C98" s="5" t="s">
        <v>290</v>
      </c>
      <c r="D98" s="36">
        <f t="shared" si="32"/>
        <v>0.311639549436796</v>
      </c>
      <c r="E98" s="36">
        <f t="shared" si="32"/>
        <v>0.37698232895333034</v>
      </c>
      <c r="F98" s="36">
        <f t="shared" si="32"/>
        <v>0.4208396560445119</v>
      </c>
      <c r="G98" s="36">
        <f t="shared" si="32"/>
        <v>0.47637603507062831</v>
      </c>
    </row>
    <row r="99" spans="2:14" x14ac:dyDescent="0.15">
      <c r="N99" s="1" t="s">
        <v>536</v>
      </c>
    </row>
    <row r="100" spans="2:14" x14ac:dyDescent="0.15">
      <c r="B100" s="1" t="s">
        <v>432</v>
      </c>
    </row>
    <row r="101" spans="2:14" x14ac:dyDescent="0.15">
      <c r="B101" s="16" t="s">
        <v>69</v>
      </c>
      <c r="C101" s="16" t="s">
        <v>32</v>
      </c>
      <c r="D101" s="15">
        <v>1</v>
      </c>
      <c r="E101" s="16">
        <v>2</v>
      </c>
      <c r="F101" s="16">
        <v>3</v>
      </c>
      <c r="G101" s="16">
        <v>4</v>
      </c>
    </row>
    <row r="102" spans="2:14" x14ac:dyDescent="0.15">
      <c r="B102" s="5" t="s">
        <v>283</v>
      </c>
      <c r="C102" s="5" t="s">
        <v>289</v>
      </c>
      <c r="D102" s="56">
        <f>C77*$I$72</f>
        <v>15.395588235294118</v>
      </c>
      <c r="E102" s="56">
        <f t="shared" ref="E102:G102" si="33">D77*$I$72</f>
        <v>15.395588235294118</v>
      </c>
      <c r="F102" s="56">
        <f t="shared" si="33"/>
        <v>13.689705882352941</v>
      </c>
      <c r="G102" s="56">
        <f t="shared" si="33"/>
        <v>11.648739495798321</v>
      </c>
    </row>
    <row r="103" spans="2:14" x14ac:dyDescent="0.15">
      <c r="B103" s="2" t="s">
        <v>293</v>
      </c>
      <c r="C103" s="5" t="s">
        <v>289</v>
      </c>
      <c r="D103" s="56">
        <f>C78*$N$71*P71*P72</f>
        <v>11</v>
      </c>
      <c r="E103" s="56">
        <f>D78*$N$71*Q71*Q72</f>
        <v>13.75</v>
      </c>
      <c r="F103" s="56">
        <f>E78*$N$71*R71*R72</f>
        <v>17.175000000000001</v>
      </c>
      <c r="G103" s="56">
        <f>F78*$N$71*S71*S72</f>
        <v>21.5</v>
      </c>
    </row>
    <row r="104" spans="2:14" x14ac:dyDescent="0.15">
      <c r="B104" s="4"/>
      <c r="C104" s="5" t="s">
        <v>290</v>
      </c>
      <c r="D104" s="58">
        <f>C78*$N$71*P71*P73*P72*0.5</f>
        <v>550</v>
      </c>
      <c r="E104" s="58">
        <f>D78*$N$71*Q71*Q73*Q72*0.5</f>
        <v>1031.25</v>
      </c>
      <c r="F104" s="58">
        <f>E78*$N$71*R71*R73*R72*0.5</f>
        <v>2146.875</v>
      </c>
      <c r="G104" s="58">
        <f>F78*$N$71*S71*S73*S72*0.5</f>
        <v>4300</v>
      </c>
    </row>
    <row r="105" spans="2:14" x14ac:dyDescent="0.15">
      <c r="B105" s="2" t="s">
        <v>294</v>
      </c>
      <c r="C105" s="5" t="s">
        <v>289</v>
      </c>
      <c r="D105" s="56">
        <f>C79*$N$76*P76*P77</f>
        <v>8.879999999999999</v>
      </c>
      <c r="E105" s="56">
        <f>D79*$N$76*Q76*Q77</f>
        <v>11.040000000000001</v>
      </c>
      <c r="F105" s="56">
        <f>E79*$N$76*R76*R77</f>
        <v>13.68</v>
      </c>
      <c r="G105" s="56">
        <f>F79*$N$76*S76*S77</f>
        <v>17.28</v>
      </c>
    </row>
    <row r="106" spans="2:14" x14ac:dyDescent="0.15">
      <c r="B106" s="4"/>
      <c r="C106" s="5" t="s">
        <v>290</v>
      </c>
      <c r="D106" s="58">
        <f>C79*$N$76*P76*P77*P78*0.5</f>
        <v>0</v>
      </c>
      <c r="E106" s="58">
        <f>D79*$N$76*Q76*Q77*Q78*0.5</f>
        <v>0</v>
      </c>
      <c r="F106" s="58">
        <f>E79*$N$76*R76*R77*R78*0.5</f>
        <v>0</v>
      </c>
      <c r="G106" s="58">
        <f>F79*$N$76*S76*S77*S78*0.5</f>
        <v>0</v>
      </c>
    </row>
    <row r="107" spans="2:14" x14ac:dyDescent="0.15">
      <c r="B107" s="2" t="s">
        <v>295</v>
      </c>
      <c r="C107" s="5" t="s">
        <v>289</v>
      </c>
      <c r="D107" s="56">
        <f>C80*$N$86*P86*P87</f>
        <v>9.9599999999999991</v>
      </c>
      <c r="E107" s="56">
        <f>D80*$N$86*Q86*Q87</f>
        <v>12.48</v>
      </c>
      <c r="F107" s="56">
        <f>E80*$N$86*R86*R87</f>
        <v>15.600000000000001</v>
      </c>
      <c r="G107" s="56">
        <f>F80*$N$86*S86*S87</f>
        <v>19.559999999999999</v>
      </c>
    </row>
    <row r="108" spans="2:14" x14ac:dyDescent="0.15">
      <c r="B108" s="4"/>
      <c r="C108" s="5" t="s">
        <v>290</v>
      </c>
      <c r="D108" s="56">
        <f>C80*$N$86*P86*P88*P87*0.5</f>
        <v>249</v>
      </c>
      <c r="E108" s="56">
        <f>D80*$N$86*Q86*Q88*Q87*0.5</f>
        <v>624</v>
      </c>
      <c r="F108" s="56">
        <f>E80*$N$86*R86*R88*R87*0.5</f>
        <v>1560</v>
      </c>
      <c r="G108" s="56">
        <f>F80*$N$86*S86*S88*S87*0.5</f>
        <v>3911.9999999999995</v>
      </c>
    </row>
    <row r="109" spans="2:14" x14ac:dyDescent="0.15">
      <c r="B109" s="2" t="s">
        <v>292</v>
      </c>
      <c r="C109" s="5" t="s">
        <v>289</v>
      </c>
      <c r="D109" s="56">
        <f>D102+D103+D105+D107</f>
        <v>45.235588235294124</v>
      </c>
      <c r="E109" s="56">
        <f>E102+E103+E105+E107</f>
        <v>52.665588235294123</v>
      </c>
      <c r="F109" s="56">
        <f>F102+F103+F105+F107</f>
        <v>60.144705882352945</v>
      </c>
      <c r="G109" s="56">
        <f>G102+G103+G105+G107</f>
        <v>69.988739495798328</v>
      </c>
    </row>
    <row r="110" spans="2:14" x14ac:dyDescent="0.15">
      <c r="B110" s="4"/>
      <c r="C110" s="5" t="s">
        <v>290</v>
      </c>
      <c r="D110" s="58">
        <f>D104+D106+D108</f>
        <v>799</v>
      </c>
      <c r="E110" s="58">
        <f>E104+E106+E108</f>
        <v>1655.25</v>
      </c>
      <c r="F110" s="58">
        <f>F104+F106+F108</f>
        <v>3706.875</v>
      </c>
      <c r="G110" s="58">
        <f>G104+G106+G108</f>
        <v>8212</v>
      </c>
    </row>
    <row r="113" spans="2:7" x14ac:dyDescent="0.15">
      <c r="B113" s="1" t="s">
        <v>45</v>
      </c>
    </row>
    <row r="114" spans="2:7" x14ac:dyDescent="0.15">
      <c r="B114" s="16" t="s">
        <v>69</v>
      </c>
      <c r="C114" s="14" t="s">
        <v>32</v>
      </c>
      <c r="D114" s="16">
        <v>1</v>
      </c>
      <c r="E114" s="16">
        <v>2</v>
      </c>
      <c r="F114" s="16">
        <v>3</v>
      </c>
      <c r="G114" s="16">
        <v>4</v>
      </c>
    </row>
    <row r="115" spans="2:7" x14ac:dyDescent="0.15">
      <c r="B115" s="102" t="s">
        <v>269</v>
      </c>
      <c r="C115" s="71" t="s">
        <v>282</v>
      </c>
      <c r="D115" s="103">
        <f>(P89*2+(1-P89))/1*C80*$N$89*P90/$C$72</f>
        <v>0</v>
      </c>
      <c r="E115" s="103">
        <f t="shared" ref="E115:F115" si="34">(Q89*2+(1-Q89))/1*D80*$N$89*Q90/$C$72</f>
        <v>0</v>
      </c>
      <c r="F115" s="103">
        <f t="shared" si="34"/>
        <v>0</v>
      </c>
      <c r="G115" s="103">
        <f>(S89*2+(1-S89))/1*F80*$N$89*S90/$C$72</f>
        <v>0</v>
      </c>
    </row>
    <row r="116" spans="2:7" x14ac:dyDescent="0.15">
      <c r="B116" s="6" t="s">
        <v>72</v>
      </c>
      <c r="C116" s="5" t="s">
        <v>282</v>
      </c>
      <c r="D116" s="55">
        <f>(P95*2+(1-P95))/1*C81*$N$95*P96/$C$72</f>
        <v>0</v>
      </c>
      <c r="E116" s="55">
        <f t="shared" ref="E116:G116" si="35">(Q95*2+(1-Q95))/1*D81*$N$95*Q96/$C$72</f>
        <v>0</v>
      </c>
      <c r="F116" s="55">
        <f t="shared" si="35"/>
        <v>0.45000000000000007</v>
      </c>
      <c r="G116" s="55">
        <f t="shared" si="35"/>
        <v>0.55714285714285716</v>
      </c>
    </row>
    <row r="117" spans="2:7" x14ac:dyDescent="0.15">
      <c r="B117" s="6"/>
      <c r="C117" s="7" t="s">
        <v>291</v>
      </c>
      <c r="D117" s="56">
        <f>D115+D116</f>
        <v>0</v>
      </c>
      <c r="E117" s="56">
        <f>E115+E116</f>
        <v>0</v>
      </c>
      <c r="F117" s="56">
        <f>F115+F116</f>
        <v>0.45000000000000007</v>
      </c>
      <c r="G117" s="56">
        <f>G115+G116</f>
        <v>0.55714285714285716</v>
      </c>
    </row>
    <row r="119" spans="2:7" x14ac:dyDescent="0.15">
      <c r="B119" s="1" t="s">
        <v>3</v>
      </c>
    </row>
    <row r="120" spans="2:7" x14ac:dyDescent="0.15">
      <c r="B120" s="16" t="s">
        <v>69</v>
      </c>
      <c r="C120" s="14" t="s">
        <v>32</v>
      </c>
      <c r="D120" s="16">
        <v>1</v>
      </c>
      <c r="E120" s="16">
        <v>2</v>
      </c>
      <c r="F120" s="16">
        <v>3</v>
      </c>
      <c r="G120" s="16">
        <v>4</v>
      </c>
    </row>
    <row r="121" spans="2:7" x14ac:dyDescent="0.15">
      <c r="B121" s="5" t="s">
        <v>268</v>
      </c>
      <c r="C121" s="5" t="s">
        <v>296</v>
      </c>
      <c r="D121" s="55">
        <f>C80*$N$81*P81*P82*P83/$C$72</f>
        <v>0</v>
      </c>
      <c r="E121" s="55">
        <f>D80*$N$81*Q81*Q82*Q83/$C$72</f>
        <v>0</v>
      </c>
      <c r="F121" s="55">
        <f>E80*$N$81*R81*R82*R83/$C$72</f>
        <v>0</v>
      </c>
      <c r="G121" s="55">
        <f>F80*$N$81*S81*S82*S83/$C$72</f>
        <v>0.09</v>
      </c>
    </row>
    <row r="122" spans="2:7" x14ac:dyDescent="0.15">
      <c r="B122" s="6"/>
      <c r="C122" s="7" t="s">
        <v>291</v>
      </c>
      <c r="D122" s="56">
        <f>D121</f>
        <v>0</v>
      </c>
      <c r="E122" s="56">
        <f>E121</f>
        <v>0</v>
      </c>
      <c r="F122" s="56">
        <f>F121</f>
        <v>0</v>
      </c>
      <c r="G122" s="56">
        <f>G121</f>
        <v>0.09</v>
      </c>
    </row>
    <row r="124" spans="2:7" x14ac:dyDescent="0.15">
      <c r="B124" s="1" t="s">
        <v>17</v>
      </c>
    </row>
    <row r="125" spans="2:7" x14ac:dyDescent="0.15">
      <c r="B125" s="16" t="s">
        <v>69</v>
      </c>
      <c r="C125" s="14" t="s">
        <v>32</v>
      </c>
      <c r="D125" s="16">
        <v>1</v>
      </c>
      <c r="E125" s="16">
        <v>2</v>
      </c>
      <c r="F125" s="16">
        <v>3</v>
      </c>
      <c r="G125" s="16">
        <v>4</v>
      </c>
    </row>
    <row r="126" spans="2:7" x14ac:dyDescent="0.15">
      <c r="B126" s="2" t="s">
        <v>268</v>
      </c>
      <c r="C126" s="2" t="s">
        <v>166</v>
      </c>
      <c r="D126" s="55">
        <v>0</v>
      </c>
      <c r="E126" s="55">
        <v>0</v>
      </c>
      <c r="F126" s="55">
        <v>0</v>
      </c>
      <c r="G126" s="55">
        <v>0</v>
      </c>
    </row>
    <row r="127" spans="2:7" x14ac:dyDescent="0.15">
      <c r="B127" s="5" t="s">
        <v>269</v>
      </c>
      <c r="C127" s="5" t="s">
        <v>1</v>
      </c>
      <c r="D127" s="55">
        <f>C80*$N$91*P91*P92/$C$72</f>
        <v>0</v>
      </c>
      <c r="E127" s="55">
        <f>D80*$N$91*Q91*Q92/$C$72</f>
        <v>0</v>
      </c>
      <c r="F127" s="55">
        <f>E80*$N$91*R91*R92/$C$72</f>
        <v>0.3</v>
      </c>
      <c r="G127" s="55">
        <f>F80*$N$91*S91*S92/$C$72</f>
        <v>0.6</v>
      </c>
    </row>
    <row r="128" spans="2:7" x14ac:dyDescent="0.15">
      <c r="B128" s="6"/>
      <c r="C128" s="7" t="s">
        <v>291</v>
      </c>
      <c r="D128" s="56">
        <f>D126+D127</f>
        <v>0</v>
      </c>
      <c r="E128" s="56">
        <f>E126+E127</f>
        <v>0</v>
      </c>
      <c r="F128" s="56">
        <f>F126+F127</f>
        <v>0.3</v>
      </c>
      <c r="G128" s="56">
        <f>G126+G127</f>
        <v>0.6</v>
      </c>
    </row>
    <row r="130" spans="1:26" s="17" customFormat="1" x14ac:dyDescent="0.15">
      <c r="A130" s="17" t="s">
        <v>35</v>
      </c>
    </row>
    <row r="132" spans="1:26" x14ac:dyDescent="0.15">
      <c r="B132" s="1" t="s">
        <v>283</v>
      </c>
      <c r="L132" s="1" t="s">
        <v>40</v>
      </c>
    </row>
    <row r="133" spans="1:26" x14ac:dyDescent="0.15">
      <c r="B133" s="16" t="s">
        <v>69</v>
      </c>
      <c r="C133" s="16">
        <v>1</v>
      </c>
      <c r="D133" s="16">
        <v>2</v>
      </c>
      <c r="E133" s="16">
        <v>3</v>
      </c>
      <c r="F133" s="16">
        <v>4</v>
      </c>
      <c r="G133" s="16">
        <v>5</v>
      </c>
      <c r="H133" s="16">
        <v>6</v>
      </c>
      <c r="I133" s="16" t="s">
        <v>286</v>
      </c>
      <c r="J133" s="16" t="s">
        <v>345</v>
      </c>
      <c r="L133" s="16" t="s">
        <v>0</v>
      </c>
      <c r="M133" s="16" t="s">
        <v>43</v>
      </c>
      <c r="N133" s="16" t="s">
        <v>278</v>
      </c>
      <c r="O133" s="16" t="s">
        <v>18</v>
      </c>
      <c r="P133" s="16">
        <v>1</v>
      </c>
      <c r="Q133" s="16">
        <v>2</v>
      </c>
      <c r="R133" s="16">
        <v>3</v>
      </c>
      <c r="S133" s="16">
        <v>4</v>
      </c>
      <c r="U133" s="1" t="s">
        <v>420</v>
      </c>
    </row>
    <row r="134" spans="1:26" x14ac:dyDescent="0.15">
      <c r="B134" s="5" t="s">
        <v>278</v>
      </c>
      <c r="C134" s="5">
        <v>0.9</v>
      </c>
      <c r="D134" s="5">
        <v>0.9</v>
      </c>
      <c r="E134" s="5">
        <v>1.3</v>
      </c>
      <c r="F134" s="5"/>
      <c r="G134" s="5"/>
      <c r="H134" s="5"/>
      <c r="I134" s="5">
        <f>SUM(C134:H134)</f>
        <v>3.1</v>
      </c>
      <c r="J134" s="5">
        <f>I134/I135*I137</f>
        <v>1.6315789473684212</v>
      </c>
      <c r="L134" s="77" t="s">
        <v>270</v>
      </c>
      <c r="M134" s="53"/>
      <c r="N134" s="53"/>
      <c r="O134" s="53" t="s">
        <v>280</v>
      </c>
      <c r="P134" s="79">
        <v>10</v>
      </c>
      <c r="Q134" s="79">
        <v>10</v>
      </c>
      <c r="R134" s="79">
        <v>10</v>
      </c>
      <c r="S134" s="79">
        <v>10</v>
      </c>
      <c r="U134" s="16" t="s">
        <v>421</v>
      </c>
      <c r="V134" s="16" t="s">
        <v>344</v>
      </c>
      <c r="W134" s="57">
        <v>1</v>
      </c>
      <c r="X134" s="57">
        <v>2</v>
      </c>
      <c r="Y134" s="57">
        <v>3</v>
      </c>
      <c r="Z134" s="57">
        <v>4</v>
      </c>
    </row>
    <row r="135" spans="1:26" x14ac:dyDescent="0.15">
      <c r="B135" s="5" t="s">
        <v>285</v>
      </c>
      <c r="C135" s="5">
        <v>0.5</v>
      </c>
      <c r="D135" s="5">
        <v>0.5</v>
      </c>
      <c r="E135" s="5">
        <v>0.9</v>
      </c>
      <c r="F135" s="5"/>
      <c r="G135" s="5"/>
      <c r="H135" s="5"/>
      <c r="I135" s="5">
        <f>SUM(C135:H135)</f>
        <v>1.9</v>
      </c>
      <c r="L135" s="2"/>
      <c r="M135" s="80"/>
      <c r="N135" s="63"/>
      <c r="O135" s="75" t="s">
        <v>288</v>
      </c>
      <c r="P135" s="53">
        <v>2.5</v>
      </c>
      <c r="Q135" s="53">
        <v>2.5</v>
      </c>
      <c r="R135" s="53">
        <v>2.5</v>
      </c>
      <c r="S135" s="53">
        <v>2.5</v>
      </c>
      <c r="U135" s="85" t="s">
        <v>297</v>
      </c>
      <c r="V135" s="5" t="s">
        <v>289</v>
      </c>
      <c r="W135" s="5">
        <f>$N$136*P136*P137</f>
        <v>6</v>
      </c>
      <c r="X135" s="5">
        <f>$N$136*Q136*Q137</f>
        <v>7.52</v>
      </c>
      <c r="Y135" s="5">
        <f>$N$136*R136*R137</f>
        <v>9.36</v>
      </c>
      <c r="Z135" s="5">
        <f>$N$136*S136*S137</f>
        <v>11.7</v>
      </c>
    </row>
    <row r="136" spans="1:26" x14ac:dyDescent="0.15">
      <c r="L136" s="3"/>
      <c r="M136" s="13" t="s">
        <v>281</v>
      </c>
      <c r="N136" s="3">
        <v>1</v>
      </c>
      <c r="O136" s="7" t="s">
        <v>275</v>
      </c>
      <c r="P136" s="5">
        <v>4</v>
      </c>
      <c r="Q136" s="5">
        <v>4</v>
      </c>
      <c r="R136" s="5">
        <v>6</v>
      </c>
      <c r="S136" s="5">
        <v>6</v>
      </c>
      <c r="U136" s="86"/>
      <c r="V136" s="5" t="s">
        <v>422</v>
      </c>
      <c r="W136" s="5">
        <f>$N$136*P136*P137*P138</f>
        <v>300</v>
      </c>
      <c r="X136" s="5">
        <f t="shared" ref="X136:Z136" si="36">$N$136*Q136*Q137*Q138</f>
        <v>752</v>
      </c>
      <c r="Y136" s="5">
        <f t="shared" si="36"/>
        <v>1404</v>
      </c>
      <c r="Z136" s="5">
        <f t="shared" si="36"/>
        <v>3510</v>
      </c>
    </row>
    <row r="137" spans="1:26" x14ac:dyDescent="0.15">
      <c r="B137" s="16" t="s">
        <v>287</v>
      </c>
      <c r="C137" s="5">
        <f>$C$8</f>
        <v>20</v>
      </c>
      <c r="H137" s="16" t="s">
        <v>462</v>
      </c>
      <c r="I137" s="5">
        <v>1</v>
      </c>
      <c r="L137" s="3"/>
      <c r="M137" s="13"/>
      <c r="N137" s="3"/>
      <c r="O137" s="7" t="s">
        <v>274</v>
      </c>
      <c r="P137" s="5">
        <f>ROUND(R263/$N$136/P136,2)</f>
        <v>1.5</v>
      </c>
      <c r="Q137" s="5">
        <f t="shared" ref="Q137:S137" si="37">ROUND(S263/$N$136/Q136,2)</f>
        <v>1.88</v>
      </c>
      <c r="R137" s="5">
        <f t="shared" si="37"/>
        <v>1.56</v>
      </c>
      <c r="S137" s="5">
        <f t="shared" si="37"/>
        <v>1.95</v>
      </c>
      <c r="U137" s="85" t="s">
        <v>298</v>
      </c>
      <c r="V137" s="5" t="s">
        <v>289</v>
      </c>
      <c r="W137" s="5">
        <f>$N$141*P141*P142</f>
        <v>2.0100000000000002</v>
      </c>
      <c r="X137" s="5">
        <f>$N$141*Q141*Q142</f>
        <v>2.4899999999999998</v>
      </c>
      <c r="Y137" s="5">
        <f>$N$141*R141*R142</f>
        <v>3.12</v>
      </c>
      <c r="Z137" s="5">
        <f>$N$141*S141*S142</f>
        <v>3.9000000000000004</v>
      </c>
    </row>
    <row r="138" spans="1:26" x14ac:dyDescent="0.15">
      <c r="L138" s="4"/>
      <c r="M138" s="11"/>
      <c r="N138" s="4"/>
      <c r="O138" s="7" t="s">
        <v>251</v>
      </c>
      <c r="P138" s="5">
        <v>50</v>
      </c>
      <c r="Q138" s="5">
        <v>100</v>
      </c>
      <c r="R138" s="5">
        <v>150</v>
      </c>
      <c r="S138" s="5">
        <v>300</v>
      </c>
      <c r="U138" s="86"/>
      <c r="V138" s="5" t="s">
        <v>422</v>
      </c>
      <c r="W138" s="5">
        <f>$N$141*P141*P142*P143</f>
        <v>100.50000000000001</v>
      </c>
      <c r="X138" s="5">
        <f t="shared" ref="X138:Z138" si="38">$N$141*Q141*Q142*Q143</f>
        <v>248.99999999999997</v>
      </c>
      <c r="Y138" s="5">
        <f t="shared" si="38"/>
        <v>468</v>
      </c>
      <c r="Z138" s="5">
        <f t="shared" si="38"/>
        <v>1170</v>
      </c>
    </row>
    <row r="139" spans="1:26" x14ac:dyDescent="0.15">
      <c r="B139" s="1" t="s">
        <v>278</v>
      </c>
      <c r="L139" s="77" t="s">
        <v>301</v>
      </c>
      <c r="M139" s="53"/>
      <c r="N139" s="53"/>
      <c r="O139" s="53" t="s">
        <v>280</v>
      </c>
      <c r="P139" s="79">
        <v>8</v>
      </c>
      <c r="Q139" s="79">
        <v>8</v>
      </c>
      <c r="R139" s="79">
        <v>8</v>
      </c>
      <c r="S139" s="79">
        <v>8</v>
      </c>
      <c r="U139" s="85" t="s">
        <v>299</v>
      </c>
      <c r="V139" s="5" t="s">
        <v>289</v>
      </c>
      <c r="W139" s="5">
        <f>$N$146*P146*P147+$N$153*P153*P154</f>
        <v>4</v>
      </c>
      <c r="X139" s="5">
        <f>$N$146*Q146*Q147+$N$153*Q153*Q154</f>
        <v>5</v>
      </c>
      <c r="Y139" s="5">
        <f>$N$146*R146*R147+$N$153*R153*R154</f>
        <v>6.25</v>
      </c>
      <c r="Z139" s="5">
        <f>$N$146*S146*S147+$N$153*S153*S154</f>
        <v>7.82</v>
      </c>
    </row>
    <row r="140" spans="1:26" x14ac:dyDescent="0.15">
      <c r="B140" s="16" t="s">
        <v>69</v>
      </c>
      <c r="C140" s="16">
        <v>1</v>
      </c>
      <c r="D140" s="16">
        <v>2</v>
      </c>
      <c r="E140" s="16">
        <v>3</v>
      </c>
      <c r="F140" s="16">
        <v>4</v>
      </c>
      <c r="L140" s="2"/>
      <c r="M140" s="80"/>
      <c r="N140" s="63"/>
      <c r="O140" s="64" t="s">
        <v>288</v>
      </c>
      <c r="P140" s="60">
        <v>1</v>
      </c>
      <c r="Q140" s="60">
        <v>1</v>
      </c>
      <c r="R140" s="60">
        <v>1</v>
      </c>
      <c r="S140" s="60">
        <v>1</v>
      </c>
      <c r="U140" s="86"/>
      <c r="V140" s="5" t="s">
        <v>422</v>
      </c>
      <c r="W140" s="5">
        <f>$N$146*P146*P147*P148+$N$153*P153*P154*P155</f>
        <v>200</v>
      </c>
      <c r="X140" s="5">
        <f t="shared" ref="X140:Z140" si="39">$N$146*Q146*Q147*Q148+$N$153*Q153*Q154*Q155</f>
        <v>500</v>
      </c>
      <c r="Y140" s="5">
        <f t="shared" si="39"/>
        <v>1250</v>
      </c>
      <c r="Z140" s="5">
        <f t="shared" si="39"/>
        <v>1955</v>
      </c>
    </row>
    <row r="141" spans="1:26" x14ac:dyDescent="0.15">
      <c r="B141" s="5" t="s">
        <v>498</v>
      </c>
      <c r="C141" s="5">
        <f>$C$137-(C143*P135+C144*P140+C145*P145+C146*P157)</f>
        <v>9.4</v>
      </c>
      <c r="D141" s="5">
        <f t="shared" ref="D141:F141" si="40">$C$137-(D143*Q135+D144*Q140+D145*Q145+D146*Q157)</f>
        <v>9.4</v>
      </c>
      <c r="E141" s="5">
        <f t="shared" si="40"/>
        <v>9.4</v>
      </c>
      <c r="F141" s="5">
        <f t="shared" si="40"/>
        <v>9.2333333333333343</v>
      </c>
      <c r="L141" s="3"/>
      <c r="M141" s="13" t="s">
        <v>281</v>
      </c>
      <c r="N141" s="3">
        <v>1</v>
      </c>
      <c r="O141" s="7" t="s">
        <v>275</v>
      </c>
      <c r="P141" s="5">
        <v>3</v>
      </c>
      <c r="Q141" s="5">
        <v>3</v>
      </c>
      <c r="R141" s="5">
        <v>6</v>
      </c>
      <c r="S141" s="5">
        <v>6</v>
      </c>
      <c r="U141" s="85" t="s">
        <v>425</v>
      </c>
      <c r="V141" s="5" t="s">
        <v>289</v>
      </c>
      <c r="W141" s="5"/>
      <c r="X141" s="5"/>
      <c r="Y141" s="5"/>
      <c r="Z141" s="5"/>
    </row>
    <row r="142" spans="1:26" x14ac:dyDescent="0.15">
      <c r="B142" s="5" t="s">
        <v>283</v>
      </c>
      <c r="C142" s="5">
        <f>MAX(($C$137-(C143*P135+C144*P140+C145*P145+C146*P157))/$I$135*$I$134,0)</f>
        <v>15.336842105263159</v>
      </c>
      <c r="D142" s="5">
        <f>MAX(($C$137-(D143*Q135+D144*Q140+D145*Q145+D146*Q157))/$I$135*$I$134,0)</f>
        <v>15.336842105263159</v>
      </c>
      <c r="E142" s="5">
        <f>MAX(($C$137-(E143*R135+E144*R140+E145*R145+E146*R157))/$I$135*$I$134,0)</f>
        <v>15.336842105263159</v>
      </c>
      <c r="F142" s="5">
        <f>MAX(($C$137-(F143*S135+F144*S140+F145*S145+F146*S157))/$I$135*$I$134,0)</f>
        <v>15.064912280701757</v>
      </c>
      <c r="L142" s="3"/>
      <c r="M142" s="13"/>
      <c r="N142" s="3"/>
      <c r="O142" s="7" t="s">
        <v>274</v>
      </c>
      <c r="P142" s="5">
        <f>ROUND(R264/$N$141/P141,2)</f>
        <v>0.67</v>
      </c>
      <c r="Q142" s="5">
        <f t="shared" ref="Q142:S142" si="41">ROUND(S264/$N$141/Q141,2)</f>
        <v>0.83</v>
      </c>
      <c r="R142" s="5">
        <f t="shared" si="41"/>
        <v>0.52</v>
      </c>
      <c r="S142" s="5">
        <f t="shared" si="41"/>
        <v>0.65</v>
      </c>
      <c r="U142" s="86"/>
      <c r="V142" s="5" t="s">
        <v>422</v>
      </c>
      <c r="W142" s="5"/>
      <c r="X142" s="5"/>
      <c r="Y142" s="5"/>
      <c r="Z142" s="5"/>
    </row>
    <row r="143" spans="1:26" x14ac:dyDescent="0.15">
      <c r="B143" s="5" t="s">
        <v>270</v>
      </c>
      <c r="C143" s="5">
        <f>$C$137/P134</f>
        <v>2</v>
      </c>
      <c r="D143" s="5">
        <f>$C$137/Q134</f>
        <v>2</v>
      </c>
      <c r="E143" s="5">
        <f>$C$137/R134</f>
        <v>2</v>
      </c>
      <c r="F143" s="5">
        <f>$C$137/S134</f>
        <v>2</v>
      </c>
      <c r="L143" s="4"/>
      <c r="M143" s="11"/>
      <c r="N143" s="4"/>
      <c r="O143" s="7" t="s">
        <v>251</v>
      </c>
      <c r="P143" s="5">
        <v>50</v>
      </c>
      <c r="Q143" s="5">
        <v>100</v>
      </c>
      <c r="R143" s="5">
        <v>150</v>
      </c>
      <c r="S143" s="5">
        <v>300</v>
      </c>
      <c r="U143" s="85" t="s">
        <v>485</v>
      </c>
      <c r="V143" s="5" t="s">
        <v>289</v>
      </c>
      <c r="W143" s="5">
        <f>W135+W137+W139+W141</f>
        <v>12.01</v>
      </c>
      <c r="X143" s="5">
        <f t="shared" ref="X143:Z144" si="42">X135+X137+X139+X141</f>
        <v>15.01</v>
      </c>
      <c r="Y143" s="5">
        <f t="shared" si="42"/>
        <v>18.73</v>
      </c>
      <c r="Z143" s="5">
        <f t="shared" si="42"/>
        <v>23.42</v>
      </c>
    </row>
    <row r="144" spans="1:26" x14ac:dyDescent="0.15">
      <c r="B144" s="5" t="s">
        <v>301</v>
      </c>
      <c r="C144" s="5">
        <f>$C$137/P139</f>
        <v>2.5</v>
      </c>
      <c r="D144" s="5">
        <f>$C$137/Q139</f>
        <v>2.5</v>
      </c>
      <c r="E144" s="5">
        <f>$C$137/R139</f>
        <v>2.5</v>
      </c>
      <c r="F144" s="5">
        <f>$C$137/S139</f>
        <v>2.5</v>
      </c>
      <c r="L144" s="77" t="s">
        <v>271</v>
      </c>
      <c r="M144" s="53"/>
      <c r="N144" s="53"/>
      <c r="O144" s="53" t="s">
        <v>280</v>
      </c>
      <c r="P144" s="79">
        <v>10</v>
      </c>
      <c r="Q144" s="79">
        <v>10</v>
      </c>
      <c r="R144" s="79">
        <v>10</v>
      </c>
      <c r="S144" s="79">
        <v>10</v>
      </c>
      <c r="U144" s="86"/>
      <c r="V144" s="5" t="s">
        <v>422</v>
      </c>
      <c r="W144" s="5">
        <f>W136+W138+W140+W142</f>
        <v>600.5</v>
      </c>
      <c r="X144" s="5">
        <f t="shared" si="42"/>
        <v>1501</v>
      </c>
      <c r="Y144" s="5">
        <f t="shared" si="42"/>
        <v>3122</v>
      </c>
      <c r="Z144" s="5">
        <f t="shared" si="42"/>
        <v>6635</v>
      </c>
    </row>
    <row r="145" spans="2:26" x14ac:dyDescent="0.15">
      <c r="B145" s="5" t="s">
        <v>271</v>
      </c>
      <c r="C145" s="5">
        <f>$C$137/P144</f>
        <v>2</v>
      </c>
      <c r="D145" s="5">
        <f>$C$137/Q144</f>
        <v>2</v>
      </c>
      <c r="E145" s="5">
        <f>$C$137/R144</f>
        <v>2</v>
      </c>
      <c r="F145" s="5">
        <f>$C$137/S144</f>
        <v>2</v>
      </c>
      <c r="L145" s="2"/>
      <c r="M145" s="80"/>
      <c r="N145" s="63"/>
      <c r="O145" s="64" t="s">
        <v>288</v>
      </c>
      <c r="P145" s="60">
        <v>1.3</v>
      </c>
      <c r="Q145" s="60">
        <v>1.3</v>
      </c>
      <c r="R145" s="60">
        <v>1.3</v>
      </c>
      <c r="S145" s="60">
        <v>1.3</v>
      </c>
      <c r="W145" s="1">
        <f>W139/W10</f>
        <v>2</v>
      </c>
      <c r="X145" s="1">
        <f t="shared" ref="X145:Z145" si="43">X139/X10</f>
        <v>2</v>
      </c>
      <c r="Y145" s="1">
        <f t="shared" si="43"/>
        <v>1.9968051118210863</v>
      </c>
      <c r="Z145" s="1">
        <f t="shared" si="43"/>
        <v>2</v>
      </c>
    </row>
    <row r="146" spans="2:26" x14ac:dyDescent="0.15">
      <c r="B146" s="5" t="s">
        <v>300</v>
      </c>
      <c r="C146" s="5">
        <f>$C$137/P156</f>
        <v>2.5</v>
      </c>
      <c r="D146" s="5">
        <f>$C$137/Q156</f>
        <v>2.5</v>
      </c>
      <c r="E146" s="5">
        <f>$C$137/R156</f>
        <v>2.5</v>
      </c>
      <c r="F146" s="5">
        <f>$C$137/S156</f>
        <v>3.3333333333333335</v>
      </c>
      <c r="L146" s="3"/>
      <c r="M146" s="1" t="s">
        <v>16</v>
      </c>
      <c r="N146" s="3">
        <v>1</v>
      </c>
      <c r="O146" s="7" t="s">
        <v>275</v>
      </c>
      <c r="P146" s="5">
        <v>1</v>
      </c>
      <c r="Q146" s="5">
        <v>1</v>
      </c>
      <c r="R146" s="5">
        <v>1</v>
      </c>
      <c r="S146" s="5">
        <v>1</v>
      </c>
      <c r="U146" s="1" t="s">
        <v>423</v>
      </c>
    </row>
    <row r="147" spans="2:26" x14ac:dyDescent="0.15">
      <c r="B147" s="5" t="s">
        <v>308</v>
      </c>
      <c r="C147" s="5">
        <f>C142*$I$135/$I$134+C143*P135+C144*P140+C145*P145+C146*P157</f>
        <v>20</v>
      </c>
      <c r="D147" s="5">
        <f>D142*$I$135/$I$134+D143*Q135+D144*Q140+D145*Q145+D146*Q157</f>
        <v>20</v>
      </c>
      <c r="E147" s="5">
        <f>E142*$I$135/$I$134+E143*R135+E144*R140+E145*R145+E146*R157</f>
        <v>20</v>
      </c>
      <c r="F147" s="5">
        <f>F142*$I$135/$I$134+F143*S135+F144*S140+F145*S145+F146*S157</f>
        <v>20.000000000000004</v>
      </c>
      <c r="L147" s="3"/>
      <c r="N147" s="3"/>
      <c r="O147" s="7" t="s">
        <v>274</v>
      </c>
      <c r="P147" s="5">
        <f>ROUND(R265/$N$146/P146,2)</f>
        <v>4</v>
      </c>
      <c r="Q147" s="5">
        <f t="shared" ref="Q147:R147" si="44">ROUND(S265/$N$146/Q146,2)</f>
        <v>5</v>
      </c>
      <c r="R147" s="5">
        <f t="shared" si="44"/>
        <v>6.25</v>
      </c>
      <c r="S147" s="5">
        <f>ROUND(U265/$N$146/S146/2,2)</f>
        <v>3.91</v>
      </c>
      <c r="U147" s="16" t="s">
        <v>421</v>
      </c>
      <c r="V147" s="16" t="s">
        <v>344</v>
      </c>
      <c r="W147" s="57">
        <v>1</v>
      </c>
      <c r="X147" s="57">
        <v>2</v>
      </c>
      <c r="Y147" s="57">
        <v>3</v>
      </c>
      <c r="Z147" s="57">
        <v>4</v>
      </c>
    </row>
    <row r="148" spans="2:26" x14ac:dyDescent="0.15">
      <c r="L148" s="3"/>
      <c r="N148" s="4"/>
      <c r="O148" s="7" t="s">
        <v>251</v>
      </c>
      <c r="P148" s="5">
        <v>50</v>
      </c>
      <c r="Q148" s="5">
        <v>100</v>
      </c>
      <c r="R148" s="5">
        <v>200</v>
      </c>
      <c r="S148" s="5">
        <v>250</v>
      </c>
      <c r="U148" s="85" t="s">
        <v>297</v>
      </c>
      <c r="V148" s="5" t="s">
        <v>289</v>
      </c>
      <c r="W148" s="5">
        <f>W135/P135</f>
        <v>2.4</v>
      </c>
      <c r="X148" s="5">
        <f>X135/Q135</f>
        <v>3.008</v>
      </c>
      <c r="Y148" s="5">
        <f>Y135/R135</f>
        <v>3.7439999999999998</v>
      </c>
      <c r="Z148" s="5">
        <f>Z135/S135</f>
        <v>4.68</v>
      </c>
    </row>
    <row r="149" spans="2:26" x14ac:dyDescent="0.15">
      <c r="B149" s="1" t="s">
        <v>512</v>
      </c>
      <c r="L149" s="3"/>
      <c r="M149" s="46" t="s">
        <v>164</v>
      </c>
      <c r="N149" s="38">
        <v>1</v>
      </c>
      <c r="O149" s="41" t="s">
        <v>226</v>
      </c>
      <c r="P149" s="69">
        <v>0</v>
      </c>
      <c r="Q149" s="69">
        <v>0</v>
      </c>
      <c r="R149" s="39">
        <v>1</v>
      </c>
      <c r="S149" s="39">
        <v>1</v>
      </c>
      <c r="U149" s="86"/>
      <c r="V149" s="5" t="s">
        <v>422</v>
      </c>
      <c r="W149" s="5">
        <f>W136/P135</f>
        <v>120</v>
      </c>
      <c r="X149" s="5">
        <f>X136/Q135</f>
        <v>300.8</v>
      </c>
      <c r="Y149" s="5">
        <f>Y136/R135</f>
        <v>561.6</v>
      </c>
      <c r="Z149" s="5">
        <f>Z136/S135</f>
        <v>1404</v>
      </c>
    </row>
    <row r="150" spans="2:26" x14ac:dyDescent="0.15">
      <c r="B150" s="16" t="s">
        <v>32</v>
      </c>
      <c r="C150" s="15">
        <v>1</v>
      </c>
      <c r="D150" s="16">
        <v>2</v>
      </c>
      <c r="E150" s="16">
        <v>3</v>
      </c>
      <c r="F150" s="16">
        <v>4</v>
      </c>
      <c r="L150" s="3"/>
      <c r="M150" s="50"/>
      <c r="N150" s="40"/>
      <c r="O150" s="41" t="s">
        <v>276</v>
      </c>
      <c r="P150" s="69">
        <v>0</v>
      </c>
      <c r="Q150" s="69">
        <v>0</v>
      </c>
      <c r="R150" s="39">
        <v>1</v>
      </c>
      <c r="S150" s="39">
        <v>1</v>
      </c>
      <c r="U150" s="85" t="s">
        <v>298</v>
      </c>
      <c r="V150" s="5" t="s">
        <v>289</v>
      </c>
      <c r="W150" s="5">
        <f>W137/P140</f>
        <v>2.0100000000000002</v>
      </c>
      <c r="X150" s="5">
        <f>X137/Q140</f>
        <v>2.4899999999999998</v>
      </c>
      <c r="Y150" s="5">
        <f>Y137/R140</f>
        <v>3.12</v>
      </c>
      <c r="Z150" s="5">
        <f>Z137/S140</f>
        <v>3.9000000000000004</v>
      </c>
    </row>
    <row r="151" spans="2:26" x14ac:dyDescent="0.15">
      <c r="B151" s="5" t="s">
        <v>289</v>
      </c>
      <c r="C151" s="58">
        <f>D174*(1+D181+D186)</f>
        <v>48.361842105263158</v>
      </c>
      <c r="D151" s="58">
        <f>E174*(1+E181+E186)</f>
        <v>61.129989473684219</v>
      </c>
      <c r="E151" s="58">
        <f>F174*(1+F181+F186)</f>
        <v>91.593873684210536</v>
      </c>
      <c r="F151" s="58">
        <f>G174*(1+G181+G186)</f>
        <v>97.485166081871355</v>
      </c>
      <c r="L151" s="3"/>
      <c r="M151" s="48" t="s">
        <v>533</v>
      </c>
      <c r="N151" s="43">
        <v>1</v>
      </c>
      <c r="O151" s="44" t="s">
        <v>277</v>
      </c>
      <c r="P151" s="68">
        <v>0</v>
      </c>
      <c r="Q151" s="44">
        <v>0.2</v>
      </c>
      <c r="R151" s="44">
        <v>0.3</v>
      </c>
      <c r="S151" s="44">
        <v>0.4</v>
      </c>
      <c r="U151" s="86"/>
      <c r="V151" s="5" t="s">
        <v>422</v>
      </c>
      <c r="W151" s="5">
        <f>W138/P140</f>
        <v>100.50000000000001</v>
      </c>
      <c r="X151" s="5">
        <f>X138/Q140</f>
        <v>248.99999999999997</v>
      </c>
      <c r="Y151" s="5">
        <f>Y138/R140</f>
        <v>468</v>
      </c>
      <c r="Z151" s="5">
        <f>Z138/S140</f>
        <v>1170</v>
      </c>
    </row>
    <row r="152" spans="2:26" x14ac:dyDescent="0.15">
      <c r="B152" s="5" t="s">
        <v>290</v>
      </c>
      <c r="C152" s="58">
        <f>D175*(1+D181+D186)</f>
        <v>825.625</v>
      </c>
      <c r="D152" s="58">
        <f>E175*(1+E181+E186)</f>
        <v>2228.31</v>
      </c>
      <c r="E152" s="58">
        <f>F175*(1+F181+F186)</f>
        <v>6149.93</v>
      </c>
      <c r="F152" s="58">
        <f>G175*(1+G181+G186)</f>
        <v>10575.983333333335</v>
      </c>
      <c r="L152" s="3"/>
      <c r="M152" s="49"/>
      <c r="N152" s="45"/>
      <c r="O152" s="44" t="s">
        <v>276</v>
      </c>
      <c r="P152" s="68">
        <v>0</v>
      </c>
      <c r="Q152" s="44">
        <v>4</v>
      </c>
      <c r="R152" s="44">
        <v>4</v>
      </c>
      <c r="S152" s="44">
        <v>4</v>
      </c>
      <c r="U152" s="85" t="s">
        <v>299</v>
      </c>
      <c r="V152" s="5" t="s">
        <v>289</v>
      </c>
      <c r="W152" s="5">
        <f>W139/P145</f>
        <v>3.0769230769230766</v>
      </c>
      <c r="X152" s="5">
        <f>X139/Q145</f>
        <v>3.8461538461538458</v>
      </c>
      <c r="Y152" s="5">
        <f>Y139/R145</f>
        <v>4.8076923076923075</v>
      </c>
      <c r="Z152" s="5">
        <f>Z139/S145</f>
        <v>6.0153846153846153</v>
      </c>
    </row>
    <row r="153" spans="2:26" x14ac:dyDescent="0.15">
      <c r="L153" s="3"/>
      <c r="M153" s="9" t="s">
        <v>174</v>
      </c>
      <c r="N153" s="2">
        <v>1</v>
      </c>
      <c r="O153" s="7" t="s">
        <v>275</v>
      </c>
      <c r="P153" s="71">
        <v>0</v>
      </c>
      <c r="Q153" s="71">
        <v>0</v>
      </c>
      <c r="R153" s="71">
        <v>0</v>
      </c>
      <c r="S153" s="5">
        <v>1</v>
      </c>
      <c r="U153" s="86"/>
      <c r="V153" s="5" t="s">
        <v>422</v>
      </c>
      <c r="W153" s="5">
        <f>W140/P145</f>
        <v>153.84615384615384</v>
      </c>
      <c r="X153" s="5">
        <f>X140/Q145</f>
        <v>384.61538461538458</v>
      </c>
      <c r="Y153" s="5">
        <f>Y140/R145</f>
        <v>961.53846153846155</v>
      </c>
      <c r="Z153" s="5">
        <f>Z140/S145</f>
        <v>1503.8461538461538</v>
      </c>
    </row>
    <row r="154" spans="2:26" x14ac:dyDescent="0.15">
      <c r="L154" s="3"/>
      <c r="M154" s="13"/>
      <c r="N154" s="3"/>
      <c r="O154" s="7" t="s">
        <v>274</v>
      </c>
      <c r="P154" s="71">
        <v>0</v>
      </c>
      <c r="Q154" s="71">
        <v>0</v>
      </c>
      <c r="R154" s="71">
        <v>0</v>
      </c>
      <c r="S154" s="5">
        <f t="shared" ref="S154:S155" si="45">S147</f>
        <v>3.91</v>
      </c>
      <c r="U154" s="85" t="s">
        <v>425</v>
      </c>
      <c r="V154" s="5" t="s">
        <v>289</v>
      </c>
      <c r="W154" s="5"/>
      <c r="X154" s="5"/>
      <c r="Y154" s="5"/>
      <c r="Z154" s="5"/>
    </row>
    <row r="155" spans="2:26" x14ac:dyDescent="0.15">
      <c r="B155" s="1" t="s">
        <v>247</v>
      </c>
      <c r="L155" s="4"/>
      <c r="M155" s="11"/>
      <c r="N155" s="4"/>
      <c r="O155" s="7" t="s">
        <v>251</v>
      </c>
      <c r="P155" s="71">
        <v>0</v>
      </c>
      <c r="Q155" s="71">
        <v>0</v>
      </c>
      <c r="R155" s="71">
        <v>0</v>
      </c>
      <c r="S155" s="5">
        <f t="shared" si="45"/>
        <v>250</v>
      </c>
      <c r="U155" s="86"/>
      <c r="V155" s="5" t="s">
        <v>422</v>
      </c>
      <c r="W155" s="5"/>
      <c r="X155" s="5"/>
      <c r="Y155" s="5"/>
      <c r="Z155" s="5"/>
    </row>
    <row r="156" spans="2:26" x14ac:dyDescent="0.15">
      <c r="B156" s="16" t="s">
        <v>69</v>
      </c>
      <c r="C156" s="16" t="s">
        <v>32</v>
      </c>
      <c r="D156" s="15">
        <v>1</v>
      </c>
      <c r="E156" s="16">
        <v>2</v>
      </c>
      <c r="F156" s="16">
        <v>3</v>
      </c>
      <c r="G156" s="16">
        <v>4</v>
      </c>
      <c r="L156" s="77" t="s">
        <v>300</v>
      </c>
      <c r="M156" s="53"/>
      <c r="N156" s="53"/>
      <c r="O156" s="53" t="s">
        <v>280</v>
      </c>
      <c r="P156" s="79">
        <v>8</v>
      </c>
      <c r="Q156" s="79">
        <v>8</v>
      </c>
      <c r="R156" s="79">
        <v>8</v>
      </c>
      <c r="S156" s="79">
        <v>6</v>
      </c>
    </row>
    <row r="157" spans="2:26" x14ac:dyDescent="0.15">
      <c r="B157" s="5" t="s">
        <v>283</v>
      </c>
      <c r="C157" s="5" t="s">
        <v>289</v>
      </c>
      <c r="D157" s="83">
        <f>D167/D174</f>
        <v>0.31712692150727795</v>
      </c>
      <c r="E157" s="83">
        <f>E167/E174</f>
        <v>0.27096012311297291</v>
      </c>
      <c r="F157" s="83">
        <f>F167/F174</f>
        <v>0.22939824290707564</v>
      </c>
      <c r="G157" s="83">
        <f>G167/G174</f>
        <v>0.23592409327065472</v>
      </c>
      <c r="L157" s="2"/>
      <c r="M157" s="80"/>
      <c r="N157" s="63"/>
      <c r="O157" s="63" t="s">
        <v>288</v>
      </c>
      <c r="P157" s="63">
        <v>0.2</v>
      </c>
      <c r="Q157" s="63">
        <v>0.2</v>
      </c>
      <c r="R157" s="63">
        <v>0.2</v>
      </c>
      <c r="S157" s="63">
        <v>0.2</v>
      </c>
    </row>
    <row r="158" spans="2:26" x14ac:dyDescent="0.15">
      <c r="B158" s="2" t="s">
        <v>297</v>
      </c>
      <c r="C158" s="5" t="s">
        <v>289</v>
      </c>
      <c r="D158" s="83">
        <f t="shared" ref="D158:G159" si="46">D168/D174</f>
        <v>0.24812950618963406</v>
      </c>
      <c r="E158" s="83">
        <f t="shared" si="46"/>
        <v>0.26571573363336692</v>
      </c>
      <c r="F158" s="83">
        <f t="shared" si="46"/>
        <v>0.28000125956482036</v>
      </c>
      <c r="G158" s="83">
        <f t="shared" si="46"/>
        <v>0.36645575358611765</v>
      </c>
      <c r="L158" s="3"/>
      <c r="M158" s="48" t="s">
        <v>533</v>
      </c>
      <c r="N158" s="43">
        <v>1</v>
      </c>
      <c r="O158" s="44" t="s">
        <v>277</v>
      </c>
      <c r="P158" s="68">
        <v>0</v>
      </c>
      <c r="Q158" s="68">
        <v>0</v>
      </c>
      <c r="R158" s="44">
        <v>0.3</v>
      </c>
      <c r="S158" s="44">
        <v>0.4</v>
      </c>
    </row>
    <row r="159" spans="2:26" x14ac:dyDescent="0.15">
      <c r="B159" s="4"/>
      <c r="C159" s="5" t="s">
        <v>290</v>
      </c>
      <c r="D159" s="36">
        <f t="shared" si="46"/>
        <v>0.36336109008327028</v>
      </c>
      <c r="E159" s="36">
        <f t="shared" si="46"/>
        <v>0.3644735247788683</v>
      </c>
      <c r="F159" s="36">
        <f t="shared" si="46"/>
        <v>0.31276453553129874</v>
      </c>
      <c r="G159" s="36">
        <f t="shared" si="46"/>
        <v>0.50667629014796101</v>
      </c>
      <c r="L159" s="4"/>
      <c r="M159" s="82"/>
      <c r="N159" s="66"/>
      <c r="O159" s="44" t="s">
        <v>276</v>
      </c>
      <c r="P159" s="68">
        <v>0</v>
      </c>
      <c r="Q159" s="68">
        <v>0</v>
      </c>
      <c r="R159" s="44">
        <v>4</v>
      </c>
      <c r="S159" s="44">
        <v>4</v>
      </c>
    </row>
    <row r="160" spans="2:26" x14ac:dyDescent="0.15">
      <c r="B160" s="2" t="s">
        <v>298</v>
      </c>
      <c r="C160" s="5" t="s">
        <v>289</v>
      </c>
      <c r="D160" s="83">
        <f t="shared" ref="D160:G161" si="47">D170/D174</f>
        <v>0.10390423071690927</v>
      </c>
      <c r="E160" s="83">
        <f t="shared" si="47"/>
        <v>0.10997875278375727</v>
      </c>
      <c r="F160" s="83">
        <f t="shared" si="47"/>
        <v>0.11666719148534183</v>
      </c>
      <c r="G160" s="83">
        <f t="shared" si="47"/>
        <v>0.15268989732754903</v>
      </c>
    </row>
    <row r="161" spans="2:11" x14ac:dyDescent="0.15">
      <c r="B161" s="4"/>
      <c r="C161" s="5" t="s">
        <v>290</v>
      </c>
      <c r="D161" s="36">
        <f t="shared" si="47"/>
        <v>0.15215745647236945</v>
      </c>
      <c r="E161" s="36">
        <f t="shared" si="47"/>
        <v>0.15085423482370047</v>
      </c>
      <c r="F161" s="36">
        <f t="shared" si="47"/>
        <v>0.13031855647137447</v>
      </c>
      <c r="G161" s="36">
        <f t="shared" si="47"/>
        <v>0.21111512089498377</v>
      </c>
    </row>
    <row r="162" spans="2:11" x14ac:dyDescent="0.15">
      <c r="B162" s="2" t="s">
        <v>299</v>
      </c>
      <c r="C162" s="5" t="s">
        <v>289</v>
      </c>
      <c r="D162" s="83">
        <f t="shared" ref="D162:G163" si="48">D172/D174</f>
        <v>0.33083934158617878</v>
      </c>
      <c r="E162" s="83">
        <f t="shared" si="48"/>
        <v>0.35334539046990288</v>
      </c>
      <c r="F162" s="83">
        <f t="shared" si="48"/>
        <v>0.37393330604276226</v>
      </c>
      <c r="G162" s="83">
        <f t="shared" si="48"/>
        <v>0.24493025581567865</v>
      </c>
    </row>
    <row r="163" spans="2:11" x14ac:dyDescent="0.15">
      <c r="B163" s="4"/>
      <c r="C163" s="5" t="s">
        <v>290</v>
      </c>
      <c r="D163" s="36">
        <f t="shared" si="48"/>
        <v>0.48448145344436033</v>
      </c>
      <c r="E163" s="36">
        <f t="shared" si="48"/>
        <v>0.48467224039743123</v>
      </c>
      <c r="F163" s="36">
        <f t="shared" si="48"/>
        <v>0.55691690799732685</v>
      </c>
      <c r="G163" s="36">
        <f t="shared" si="48"/>
        <v>0.2822085889570552</v>
      </c>
    </row>
    <row r="165" spans="2:11" x14ac:dyDescent="0.15">
      <c r="B165" s="1" t="s">
        <v>432</v>
      </c>
    </row>
    <row r="166" spans="2:11" x14ac:dyDescent="0.15">
      <c r="B166" s="16" t="s">
        <v>69</v>
      </c>
      <c r="C166" s="16" t="s">
        <v>32</v>
      </c>
      <c r="D166" s="15">
        <v>1</v>
      </c>
      <c r="E166" s="16">
        <v>2</v>
      </c>
      <c r="F166" s="16">
        <v>3</v>
      </c>
      <c r="G166" s="16">
        <v>4</v>
      </c>
    </row>
    <row r="167" spans="2:11" x14ac:dyDescent="0.15">
      <c r="B167" s="5" t="s">
        <v>283</v>
      </c>
      <c r="C167" s="5" t="s">
        <v>289</v>
      </c>
      <c r="D167" s="56">
        <f>C142*$I$137</f>
        <v>15.336842105263159</v>
      </c>
      <c r="E167" s="56">
        <f t="shared" ref="E167:G167" si="49">D142*$I$137</f>
        <v>15.336842105263159</v>
      </c>
      <c r="F167" s="56">
        <f t="shared" si="49"/>
        <v>15.336842105263159</v>
      </c>
      <c r="G167" s="56">
        <f t="shared" si="49"/>
        <v>15.064912280701757</v>
      </c>
    </row>
    <row r="168" spans="2:11" x14ac:dyDescent="0.15">
      <c r="B168" s="2" t="s">
        <v>297</v>
      </c>
      <c r="C168" s="5" t="s">
        <v>289</v>
      </c>
      <c r="D168" s="56">
        <f>C143*$N$136*P136*P137</f>
        <v>12</v>
      </c>
      <c r="E168" s="56">
        <f>D143*$N$136*Q136*Q137</f>
        <v>15.04</v>
      </c>
      <c r="F168" s="56">
        <f>E143*$N$136*R136*R137</f>
        <v>18.72</v>
      </c>
      <c r="G168" s="56">
        <f>F143*$N$136*S136*S137</f>
        <v>23.4</v>
      </c>
    </row>
    <row r="169" spans="2:11" x14ac:dyDescent="0.15">
      <c r="B169" s="4"/>
      <c r="C169" s="5" t="s">
        <v>290</v>
      </c>
      <c r="D169" s="58">
        <f>C143*$N$136*P136*P138*P137*0.5</f>
        <v>300</v>
      </c>
      <c r="E169" s="58">
        <f>D143*$N$136*Q136*Q138*Q137*0.5</f>
        <v>752</v>
      </c>
      <c r="F169" s="58">
        <f>E143*$N$136*R136*R138*R137*0.5</f>
        <v>1404</v>
      </c>
      <c r="G169" s="58">
        <f>F143*$N$136*S136*S138*S137*0.5</f>
        <v>3510</v>
      </c>
    </row>
    <row r="170" spans="2:11" x14ac:dyDescent="0.15">
      <c r="B170" s="2" t="s">
        <v>298</v>
      </c>
      <c r="C170" s="5" t="s">
        <v>289</v>
      </c>
      <c r="D170" s="56">
        <f>C144*$N$141*P141*P142</f>
        <v>5.0250000000000004</v>
      </c>
      <c r="E170" s="56">
        <f>D144*$N$141*Q141*Q142</f>
        <v>6.2249999999999996</v>
      </c>
      <c r="F170" s="56">
        <f>E144*$N$141*R141*R142</f>
        <v>7.8000000000000007</v>
      </c>
      <c r="G170" s="56">
        <f>F144*$N$141*S141*S142</f>
        <v>9.75</v>
      </c>
    </row>
    <row r="171" spans="2:11" x14ac:dyDescent="0.15">
      <c r="B171" s="4"/>
      <c r="C171" s="5" t="s">
        <v>290</v>
      </c>
      <c r="D171" s="58">
        <f>C144*$N$141*P141*P143*P142*0.5</f>
        <v>125.62500000000001</v>
      </c>
      <c r="E171" s="58">
        <f>D144*$N$141*Q141*Q143*Q142*0.5</f>
        <v>311.25</v>
      </c>
      <c r="F171" s="58">
        <f>E144*$N$141*R141*R143*R142*0.5</f>
        <v>585</v>
      </c>
      <c r="G171" s="58">
        <f>F144*$N$141*S141*S143*S142*0.5</f>
        <v>1462.5</v>
      </c>
    </row>
    <row r="172" spans="2:11" x14ac:dyDescent="0.15">
      <c r="B172" s="2" t="s">
        <v>299</v>
      </c>
      <c r="C172" s="5" t="s">
        <v>289</v>
      </c>
      <c r="D172" s="56">
        <f>C145*$N$146*P146*P147*2</f>
        <v>16</v>
      </c>
      <c r="E172" s="56">
        <f>D145*$N$146*Q146*Q147*2</f>
        <v>20</v>
      </c>
      <c r="F172" s="56">
        <f>E145*$N$146*R146*R147*2</f>
        <v>25</v>
      </c>
      <c r="G172" s="56">
        <f>F145*$N$146*S146*S147*2</f>
        <v>15.64</v>
      </c>
    </row>
    <row r="173" spans="2:11" x14ac:dyDescent="0.15">
      <c r="B173" s="4"/>
      <c r="C173" s="5" t="s">
        <v>290</v>
      </c>
      <c r="D173" s="56">
        <f>C145*$N$146*P146*P148*P147*2*0.5</f>
        <v>400</v>
      </c>
      <c r="E173" s="56">
        <f>D145*$N$146*Q146*Q148*Q147*2*0.5</f>
        <v>1000</v>
      </c>
      <c r="F173" s="56">
        <f>E145*$N$146*R146*R148*R147*2*0.5</f>
        <v>2500</v>
      </c>
      <c r="G173" s="56">
        <f>F145*$N$146*S146*S148*S147*2*0.5</f>
        <v>1955</v>
      </c>
      <c r="K173" s="76"/>
    </row>
    <row r="174" spans="2:11" x14ac:dyDescent="0.15">
      <c r="B174" s="2" t="s">
        <v>292</v>
      </c>
      <c r="C174" s="5" t="s">
        <v>289</v>
      </c>
      <c r="D174" s="56">
        <f>D167+D168+D170+D172</f>
        <v>48.361842105263158</v>
      </c>
      <c r="E174" s="56">
        <f>E167+E168+E170+E172</f>
        <v>56.60184210526316</v>
      </c>
      <c r="F174" s="56">
        <f>F167+F168+F170+F172</f>
        <v>66.856842105263155</v>
      </c>
      <c r="G174" s="56">
        <f>G167+G168+G170+G172</f>
        <v>63.854912280701754</v>
      </c>
    </row>
    <row r="175" spans="2:11" x14ac:dyDescent="0.15">
      <c r="B175" s="4"/>
      <c r="C175" s="5" t="s">
        <v>290</v>
      </c>
      <c r="D175" s="58">
        <f>D169+D171+D173</f>
        <v>825.625</v>
      </c>
      <c r="E175" s="58">
        <f>E169+E171+E173</f>
        <v>2063.25</v>
      </c>
      <c r="F175" s="58">
        <f>F169+F171+F173</f>
        <v>4489</v>
      </c>
      <c r="G175" s="58">
        <f>G169+G171+G173</f>
        <v>6927.5</v>
      </c>
    </row>
    <row r="177" spans="1:26" x14ac:dyDescent="0.15">
      <c r="B177" s="1" t="s">
        <v>45</v>
      </c>
    </row>
    <row r="178" spans="1:26" x14ac:dyDescent="0.15">
      <c r="B178" s="16" t="s">
        <v>69</v>
      </c>
      <c r="C178" s="14" t="s">
        <v>32</v>
      </c>
      <c r="D178" s="16">
        <v>1</v>
      </c>
      <c r="E178" s="16">
        <v>2</v>
      </c>
      <c r="F178" s="16">
        <v>3</v>
      </c>
      <c r="G178" s="16">
        <v>4</v>
      </c>
      <c r="J178" s="23"/>
    </row>
    <row r="179" spans="1:26" x14ac:dyDescent="0.15">
      <c r="B179" s="6" t="s">
        <v>271</v>
      </c>
      <c r="C179" s="5" t="s">
        <v>534</v>
      </c>
      <c r="D179" s="55">
        <f>C145*$N$151*P151*P152/$C$137</f>
        <v>0</v>
      </c>
      <c r="E179" s="55">
        <f t="shared" ref="E179:G179" si="50">D145*$N$151*Q151*Q152/$C$137</f>
        <v>0.08</v>
      </c>
      <c r="F179" s="55">
        <f t="shared" si="50"/>
        <v>0.12</v>
      </c>
      <c r="G179" s="55">
        <f t="shared" si="50"/>
        <v>0.16</v>
      </c>
    </row>
    <row r="180" spans="1:26" x14ac:dyDescent="0.15">
      <c r="B180" s="6" t="s">
        <v>300</v>
      </c>
      <c r="C180" s="5" t="s">
        <v>533</v>
      </c>
      <c r="D180" s="55">
        <f>C146*$N$158*P158*P159/$C$137</f>
        <v>0</v>
      </c>
      <c r="E180" s="55">
        <f t="shared" ref="E180:G180" si="51">D146*$N$158*Q158*Q159/$C$137</f>
        <v>0</v>
      </c>
      <c r="F180" s="55">
        <f t="shared" si="51"/>
        <v>0.15</v>
      </c>
      <c r="G180" s="55">
        <f t="shared" si="51"/>
        <v>0.26666666666666672</v>
      </c>
    </row>
    <row r="181" spans="1:26" x14ac:dyDescent="0.15">
      <c r="B181" s="6"/>
      <c r="C181" s="7" t="s">
        <v>291</v>
      </c>
      <c r="D181" s="56">
        <f>D179+D180</f>
        <v>0</v>
      </c>
      <c r="E181" s="56">
        <f>E179+E180</f>
        <v>0.08</v>
      </c>
      <c r="F181" s="56">
        <f>F179+F180</f>
        <v>0.27</v>
      </c>
      <c r="G181" s="56">
        <f>G179+G180</f>
        <v>0.42666666666666675</v>
      </c>
    </row>
    <row r="183" spans="1:26" x14ac:dyDescent="0.15">
      <c r="B183" s="1" t="s">
        <v>17</v>
      </c>
    </row>
    <row r="184" spans="1:26" x14ac:dyDescent="0.15">
      <c r="B184" s="16" t="s">
        <v>69</v>
      </c>
      <c r="C184" s="14" t="s">
        <v>32</v>
      </c>
      <c r="D184" s="16">
        <v>1</v>
      </c>
      <c r="E184" s="16">
        <v>2</v>
      </c>
      <c r="F184" s="16">
        <v>3</v>
      </c>
      <c r="G184" s="16">
        <v>4</v>
      </c>
    </row>
    <row r="185" spans="1:26" x14ac:dyDescent="0.15">
      <c r="B185" s="2" t="s">
        <v>271</v>
      </c>
      <c r="C185" s="2" t="s">
        <v>164</v>
      </c>
      <c r="D185" s="55">
        <f>C145*$N$149*P149*P150/$C$137</f>
        <v>0</v>
      </c>
      <c r="E185" s="55">
        <f>D145*$N$149*Q149*Q150/$C$137</f>
        <v>0</v>
      </c>
      <c r="F185" s="55">
        <f>E145*$N$149*R149*R150/$C$137</f>
        <v>0.1</v>
      </c>
      <c r="G185" s="55">
        <f>F145*$N$149*S149*S150/$C$137</f>
        <v>0.1</v>
      </c>
    </row>
    <row r="186" spans="1:26" x14ac:dyDescent="0.15">
      <c r="B186" s="6"/>
      <c r="C186" s="7" t="s">
        <v>291</v>
      </c>
      <c r="D186" s="56">
        <f>D185</f>
        <v>0</v>
      </c>
      <c r="E186" s="56">
        <f>E185</f>
        <v>0</v>
      </c>
      <c r="F186" s="56">
        <f>F185</f>
        <v>0.1</v>
      </c>
      <c r="G186" s="56">
        <f>G185</f>
        <v>0.1</v>
      </c>
    </row>
    <row r="188" spans="1:26" s="17" customFormat="1" x14ac:dyDescent="0.15">
      <c r="A188" s="17" t="s">
        <v>41</v>
      </c>
    </row>
    <row r="190" spans="1:26" x14ac:dyDescent="0.15">
      <c r="B190" s="1" t="s">
        <v>283</v>
      </c>
      <c r="G190" s="1" t="s">
        <v>503</v>
      </c>
      <c r="L190" s="1" t="s">
        <v>41</v>
      </c>
    </row>
    <row r="191" spans="1:26" x14ac:dyDescent="0.15">
      <c r="B191" s="16" t="s">
        <v>69</v>
      </c>
      <c r="C191" s="16">
        <v>1</v>
      </c>
      <c r="D191" s="16">
        <v>2</v>
      </c>
      <c r="E191" s="16">
        <v>3</v>
      </c>
      <c r="F191" s="16">
        <v>4</v>
      </c>
      <c r="G191" s="16">
        <v>5</v>
      </c>
      <c r="H191" s="16">
        <v>6</v>
      </c>
      <c r="I191" s="16" t="s">
        <v>286</v>
      </c>
      <c r="J191" s="16" t="s">
        <v>345</v>
      </c>
      <c r="L191" s="16" t="s">
        <v>0</v>
      </c>
      <c r="M191" s="57" t="s">
        <v>43</v>
      </c>
      <c r="N191" s="57" t="s">
        <v>278</v>
      </c>
      <c r="O191" s="57" t="s">
        <v>18</v>
      </c>
      <c r="P191" s="57">
        <v>1</v>
      </c>
      <c r="Q191" s="57">
        <v>2</v>
      </c>
      <c r="R191" s="57">
        <v>3</v>
      </c>
      <c r="S191" s="57">
        <v>4</v>
      </c>
      <c r="U191" s="1" t="s">
        <v>420</v>
      </c>
    </row>
    <row r="192" spans="1:26" x14ac:dyDescent="0.15">
      <c r="B192" s="5" t="s">
        <v>278</v>
      </c>
      <c r="C192" s="5">
        <v>1</v>
      </c>
      <c r="D192" s="5">
        <v>1</v>
      </c>
      <c r="E192" s="5">
        <v>1</v>
      </c>
      <c r="F192" s="5">
        <v>1</v>
      </c>
      <c r="G192" s="5">
        <v>1</v>
      </c>
      <c r="H192" s="5">
        <v>1.5</v>
      </c>
      <c r="I192" s="5">
        <f>SUM(C192:H192)</f>
        <v>6.5</v>
      </c>
      <c r="J192" s="5">
        <f>I192/I193*I195</f>
        <v>2.4074074074074074</v>
      </c>
      <c r="L192" s="77" t="s">
        <v>272</v>
      </c>
      <c r="M192" s="77"/>
      <c r="N192" s="63"/>
      <c r="O192" s="53" t="s">
        <v>280</v>
      </c>
      <c r="P192" s="79">
        <v>8</v>
      </c>
      <c r="Q192" s="79">
        <v>8</v>
      </c>
      <c r="R192" s="79">
        <v>8</v>
      </c>
      <c r="S192" s="79">
        <v>8</v>
      </c>
      <c r="U192" s="16" t="s">
        <v>421</v>
      </c>
      <c r="V192" s="16" t="s">
        <v>344</v>
      </c>
      <c r="W192" s="57">
        <v>1</v>
      </c>
      <c r="X192" s="57">
        <v>2</v>
      </c>
      <c r="Y192" s="57">
        <v>3</v>
      </c>
      <c r="Z192" s="57">
        <v>4</v>
      </c>
    </row>
    <row r="193" spans="2:26" x14ac:dyDescent="0.15">
      <c r="B193" s="5" t="s">
        <v>285</v>
      </c>
      <c r="C193" s="5">
        <v>0.3</v>
      </c>
      <c r="D193" s="5">
        <v>0.3</v>
      </c>
      <c r="E193" s="5">
        <v>0.3</v>
      </c>
      <c r="F193" s="5">
        <v>0.4</v>
      </c>
      <c r="G193" s="5">
        <v>0.6</v>
      </c>
      <c r="H193" s="5">
        <v>0.8</v>
      </c>
      <c r="I193" s="5">
        <f>SUM(C193:H193)</f>
        <v>2.7</v>
      </c>
      <c r="L193" s="2"/>
      <c r="M193" s="53"/>
      <c r="N193" s="53"/>
      <c r="O193" s="63" t="s">
        <v>288</v>
      </c>
      <c r="P193" s="63">
        <v>0.9</v>
      </c>
      <c r="Q193" s="63">
        <v>0.9</v>
      </c>
      <c r="R193" s="63">
        <v>0.9</v>
      </c>
      <c r="S193" s="63">
        <v>0.9</v>
      </c>
      <c r="U193" s="85" t="s">
        <v>302</v>
      </c>
      <c r="V193" s="5" t="s">
        <v>289</v>
      </c>
      <c r="W193" s="5">
        <f>$N$194*P194*P195</f>
        <v>5</v>
      </c>
      <c r="X193" s="5">
        <f t="shared" ref="X193:Z193" si="52">$N$194*Q194*Q195</f>
        <v>6.26</v>
      </c>
      <c r="Y193" s="5">
        <f t="shared" si="52"/>
        <v>7.82</v>
      </c>
      <c r="Z193" s="5">
        <f t="shared" si="52"/>
        <v>9.76</v>
      </c>
    </row>
    <row r="194" spans="2:26" x14ac:dyDescent="0.15">
      <c r="L194" s="3"/>
      <c r="M194" s="3" t="s">
        <v>281</v>
      </c>
      <c r="N194" s="13">
        <v>1</v>
      </c>
      <c r="O194" s="11" t="s">
        <v>275</v>
      </c>
      <c r="P194" s="4">
        <v>2</v>
      </c>
      <c r="Q194" s="4">
        <v>2</v>
      </c>
      <c r="R194" s="4">
        <v>2</v>
      </c>
      <c r="S194" s="4">
        <v>2</v>
      </c>
      <c r="U194" s="86"/>
      <c r="V194" s="5" t="s">
        <v>422</v>
      </c>
      <c r="W194" s="5">
        <f>$N$194*P194*P195*P196</f>
        <v>250</v>
      </c>
      <c r="X194" s="5">
        <f t="shared" ref="X194:Z194" si="53">$N$194*Q194*Q195*Q196</f>
        <v>626</v>
      </c>
      <c r="Y194" s="5">
        <f t="shared" si="53"/>
        <v>1564</v>
      </c>
      <c r="Z194" s="5">
        <f t="shared" si="53"/>
        <v>2928</v>
      </c>
    </row>
    <row r="195" spans="2:26" x14ac:dyDescent="0.15">
      <c r="B195" s="16" t="s">
        <v>287</v>
      </c>
      <c r="C195" s="5">
        <f>$C$8</f>
        <v>20</v>
      </c>
      <c r="H195" s="16" t="s">
        <v>462</v>
      </c>
      <c r="I195" s="5">
        <v>1</v>
      </c>
      <c r="L195" s="3"/>
      <c r="M195" s="3"/>
      <c r="N195" s="13"/>
      <c r="O195" s="7" t="s">
        <v>274</v>
      </c>
      <c r="P195" s="5">
        <f>ROUND(R267/$N$194/P194,2)</f>
        <v>2.5</v>
      </c>
      <c r="Q195" s="5">
        <f t="shared" ref="Q195:S195" si="54">ROUND(S267/$N$194/Q194,2)</f>
        <v>3.13</v>
      </c>
      <c r="R195" s="5">
        <f t="shared" si="54"/>
        <v>3.91</v>
      </c>
      <c r="S195" s="5">
        <f t="shared" si="54"/>
        <v>4.88</v>
      </c>
      <c r="U195" s="85" t="s">
        <v>303</v>
      </c>
      <c r="V195" s="5" t="s">
        <v>289</v>
      </c>
      <c r="W195" s="5">
        <f>$N$201*P201*P202</f>
        <v>3</v>
      </c>
      <c r="X195" s="5">
        <f>$N$201*Q201*Q202</f>
        <v>3.75</v>
      </c>
      <c r="Y195" s="5">
        <f>$N$201*R201*R202</f>
        <v>4.68</v>
      </c>
      <c r="Z195" s="5">
        <f>$N$201*S201*S202</f>
        <v>5.85</v>
      </c>
    </row>
    <row r="196" spans="2:26" x14ac:dyDescent="0.15">
      <c r="L196" s="3"/>
      <c r="M196" s="4"/>
      <c r="N196" s="11"/>
      <c r="O196" s="7" t="s">
        <v>251</v>
      </c>
      <c r="P196" s="5">
        <v>50</v>
      </c>
      <c r="Q196" s="5">
        <v>100</v>
      </c>
      <c r="R196" s="5">
        <v>200</v>
      </c>
      <c r="S196" s="5">
        <v>300</v>
      </c>
      <c r="U196" s="86"/>
      <c r="V196" s="5" t="s">
        <v>422</v>
      </c>
      <c r="W196" s="5">
        <f>$N$201*P201*P202*P203</f>
        <v>150</v>
      </c>
      <c r="X196" s="5">
        <f t="shared" ref="X196:Z196" si="55">$N$201*Q201*Q202*Q203</f>
        <v>375</v>
      </c>
      <c r="Y196" s="5">
        <f t="shared" si="55"/>
        <v>936</v>
      </c>
      <c r="Z196" s="5">
        <f t="shared" si="55"/>
        <v>1755</v>
      </c>
    </row>
    <row r="197" spans="2:26" x14ac:dyDescent="0.15">
      <c r="B197" s="1" t="s">
        <v>278</v>
      </c>
      <c r="L197" s="3"/>
      <c r="M197" s="46" t="s">
        <v>164</v>
      </c>
      <c r="N197" s="38">
        <v>1</v>
      </c>
      <c r="O197" s="41" t="s">
        <v>226</v>
      </c>
      <c r="P197" s="69">
        <v>0</v>
      </c>
      <c r="Q197" s="69">
        <v>0</v>
      </c>
      <c r="R197" s="39">
        <v>1</v>
      </c>
      <c r="S197" s="39">
        <v>1</v>
      </c>
      <c r="U197" s="85" t="s">
        <v>305</v>
      </c>
      <c r="V197" s="5" t="s">
        <v>289</v>
      </c>
      <c r="W197" s="5">
        <f>$N$208*P208*P209</f>
        <v>4</v>
      </c>
      <c r="X197" s="5">
        <f t="shared" ref="X197:Z197" si="56">$N$208*Q208*Q209</f>
        <v>5.01</v>
      </c>
      <c r="Y197" s="5">
        <f t="shared" si="56"/>
        <v>6.24</v>
      </c>
      <c r="Z197" s="5">
        <f t="shared" si="56"/>
        <v>7.8</v>
      </c>
    </row>
    <row r="198" spans="2:26" x14ac:dyDescent="0.15">
      <c r="B198" s="16" t="s">
        <v>69</v>
      </c>
      <c r="C198" s="16">
        <v>1</v>
      </c>
      <c r="D198" s="16">
        <v>2</v>
      </c>
      <c r="E198" s="16">
        <v>3</v>
      </c>
      <c r="F198" s="16">
        <v>4</v>
      </c>
      <c r="L198" s="4"/>
      <c r="M198" s="50"/>
      <c r="N198" s="40"/>
      <c r="O198" s="46" t="s">
        <v>276</v>
      </c>
      <c r="P198" s="70">
        <v>0</v>
      </c>
      <c r="Q198" s="70">
        <v>0</v>
      </c>
      <c r="R198" s="38">
        <v>1</v>
      </c>
      <c r="S198" s="38">
        <v>1</v>
      </c>
      <c r="U198" s="86"/>
      <c r="V198" s="5" t="s">
        <v>422</v>
      </c>
      <c r="W198" s="5">
        <f>$N$208*P208*P209*P210</f>
        <v>200</v>
      </c>
      <c r="X198" s="5">
        <f t="shared" ref="X198:Z198" si="57">$N$208*Q208*Q209*Q210</f>
        <v>501</v>
      </c>
      <c r="Y198" s="5">
        <f t="shared" si="57"/>
        <v>1248</v>
      </c>
      <c r="Z198" s="5">
        <f t="shared" si="57"/>
        <v>2340</v>
      </c>
    </row>
    <row r="199" spans="2:26" x14ac:dyDescent="0.15">
      <c r="B199" s="5" t="s">
        <v>497</v>
      </c>
      <c r="C199" s="5">
        <f>$C$195-(C201*P193+C202*P200+C203*P207+C204*P214)</f>
        <v>13.025</v>
      </c>
      <c r="D199" s="5">
        <f t="shared" ref="D199:F199" si="58">$C$195-(D201*Q193+D202*Q200+D203*Q207+D204*Q214)</f>
        <v>12.225</v>
      </c>
      <c r="E199" s="5">
        <f t="shared" si="58"/>
        <v>11.425000000000001</v>
      </c>
      <c r="F199" s="5">
        <f t="shared" si="58"/>
        <v>11.133333333333333</v>
      </c>
      <c r="L199" s="77" t="s">
        <v>304</v>
      </c>
      <c r="M199" s="77"/>
      <c r="N199" s="63"/>
      <c r="O199" s="53" t="s">
        <v>280</v>
      </c>
      <c r="P199" s="79">
        <v>8</v>
      </c>
      <c r="Q199" s="79">
        <v>8</v>
      </c>
      <c r="R199" s="79">
        <v>8</v>
      </c>
      <c r="S199" s="79">
        <v>8</v>
      </c>
      <c r="U199" s="85" t="s">
        <v>424</v>
      </c>
      <c r="V199" s="5" t="s">
        <v>289</v>
      </c>
      <c r="W199" s="5"/>
      <c r="X199" s="5"/>
      <c r="Y199" s="5"/>
      <c r="Z199" s="5"/>
    </row>
    <row r="200" spans="2:26" x14ac:dyDescent="0.15">
      <c r="B200" s="5" t="s">
        <v>283</v>
      </c>
      <c r="C200" s="5">
        <f>MAX(($C$195-(C201*P193+C202*P200+C203*P207+C204*P214))/$I$193*$I$192,0)</f>
        <v>31.356481481481477</v>
      </c>
      <c r="D200" s="5">
        <f>MAX(($C$195-(D201*Q193+D202*Q200+D203*Q207+D204*Q214))/$I$193*$I$192,0)</f>
        <v>29.430555555555554</v>
      </c>
      <c r="E200" s="5">
        <f>MAX(($C$195-(E201*R193+E202*R200+E203*R207+E204*R214))/$I$193*$I$192,0)</f>
        <v>27.504629629629633</v>
      </c>
      <c r="F200" s="5">
        <f>MAX(($C$195-(F201*S193+F202*S200+F203*S207+F204*S214))/$I$193*$I$192,0)</f>
        <v>26.802469135802468</v>
      </c>
      <c r="L200" s="2"/>
      <c r="M200" s="53"/>
      <c r="N200" s="53"/>
      <c r="O200" s="63" t="s">
        <v>288</v>
      </c>
      <c r="P200" s="63">
        <v>0.9</v>
      </c>
      <c r="Q200" s="63">
        <v>0.9</v>
      </c>
      <c r="R200" s="63">
        <v>0.9</v>
      </c>
      <c r="S200" s="63">
        <v>0.9</v>
      </c>
      <c r="U200" s="86"/>
      <c r="V200" s="5" t="s">
        <v>422</v>
      </c>
      <c r="W200" s="5"/>
      <c r="X200" s="5"/>
      <c r="Y200" s="5"/>
      <c r="Z200" s="5"/>
    </row>
    <row r="201" spans="2:26" x14ac:dyDescent="0.15">
      <c r="B201" s="5" t="s">
        <v>272</v>
      </c>
      <c r="C201" s="5">
        <f>$C$195/P192</f>
        <v>2.5</v>
      </c>
      <c r="D201" s="5">
        <f>$C$195/Q192</f>
        <v>2.5</v>
      </c>
      <c r="E201" s="5">
        <f>$C$195/R192</f>
        <v>2.5</v>
      </c>
      <c r="F201" s="5">
        <f>$C$195/S192</f>
        <v>2.5</v>
      </c>
      <c r="L201" s="3"/>
      <c r="M201" s="3" t="s">
        <v>281</v>
      </c>
      <c r="N201" s="13">
        <v>1</v>
      </c>
      <c r="O201" s="11" t="s">
        <v>275</v>
      </c>
      <c r="P201" s="4">
        <v>3</v>
      </c>
      <c r="Q201" s="4">
        <v>3</v>
      </c>
      <c r="R201" s="4">
        <v>3</v>
      </c>
      <c r="S201" s="4">
        <v>3</v>
      </c>
      <c r="U201" s="85" t="s">
        <v>485</v>
      </c>
      <c r="V201" s="5" t="s">
        <v>289</v>
      </c>
      <c r="W201" s="5">
        <f>W193+W195+W197+W199</f>
        <v>12</v>
      </c>
      <c r="X201" s="5">
        <f t="shared" ref="X201:Z202" si="59">X193+X195+X197+X199</f>
        <v>15.02</v>
      </c>
      <c r="Y201" s="5">
        <f t="shared" si="59"/>
        <v>18.740000000000002</v>
      </c>
      <c r="Z201" s="5">
        <f t="shared" si="59"/>
        <v>23.41</v>
      </c>
    </row>
    <row r="202" spans="2:26" x14ac:dyDescent="0.15">
      <c r="B202" s="5" t="s">
        <v>304</v>
      </c>
      <c r="C202" s="5">
        <f>$C$195/P199</f>
        <v>2.5</v>
      </c>
      <c r="D202" s="5">
        <f>$C$195/Q199</f>
        <v>2.5</v>
      </c>
      <c r="E202" s="5">
        <f>$C$195/R199</f>
        <v>2.5</v>
      </c>
      <c r="F202" s="5">
        <f>$C$195/S199</f>
        <v>2.5</v>
      </c>
      <c r="L202" s="3"/>
      <c r="M202" s="3"/>
      <c r="N202" s="13"/>
      <c r="O202" s="7" t="s">
        <v>274</v>
      </c>
      <c r="P202" s="5">
        <f>ROUND(R268/$N$201/P201,2)</f>
        <v>1</v>
      </c>
      <c r="Q202" s="5">
        <f t="shared" ref="Q202:S202" si="60">ROUND(S268/$N$201/Q201,2)</f>
        <v>1.25</v>
      </c>
      <c r="R202" s="5">
        <f t="shared" si="60"/>
        <v>1.56</v>
      </c>
      <c r="S202" s="5">
        <f t="shared" si="60"/>
        <v>1.95</v>
      </c>
      <c r="U202" s="86"/>
      <c r="V202" s="5" t="s">
        <v>422</v>
      </c>
      <c r="W202" s="5">
        <f>W194+W196+W198+W200</f>
        <v>600</v>
      </c>
      <c r="X202" s="5">
        <f t="shared" si="59"/>
        <v>1502</v>
      </c>
      <c r="Y202" s="5">
        <f t="shared" si="59"/>
        <v>3748</v>
      </c>
      <c r="Z202" s="5">
        <f t="shared" si="59"/>
        <v>7023</v>
      </c>
    </row>
    <row r="203" spans="2:26" x14ac:dyDescent="0.15">
      <c r="B203" s="5" t="s">
        <v>273</v>
      </c>
      <c r="C203" s="5">
        <f>$C$195/P206</f>
        <v>2</v>
      </c>
      <c r="D203" s="5">
        <f>$C$195/Q206</f>
        <v>2</v>
      </c>
      <c r="E203" s="5">
        <f>$C$195/R206</f>
        <v>2</v>
      </c>
      <c r="F203" s="5">
        <f>$C$195/S206</f>
        <v>2</v>
      </c>
      <c r="L203" s="3"/>
      <c r="M203" s="4"/>
      <c r="N203" s="11"/>
      <c r="O203" s="7" t="s">
        <v>251</v>
      </c>
      <c r="P203" s="5">
        <v>50</v>
      </c>
      <c r="Q203" s="5">
        <v>100</v>
      </c>
      <c r="R203" s="5">
        <v>200</v>
      </c>
      <c r="S203" s="5">
        <v>300</v>
      </c>
    </row>
    <row r="204" spans="2:26" x14ac:dyDescent="0.15">
      <c r="B204" s="5" t="s">
        <v>72</v>
      </c>
      <c r="C204" s="5">
        <f>$C$195/P213</f>
        <v>2.5</v>
      </c>
      <c r="D204" s="5">
        <f>$C$195/Q213</f>
        <v>2.5</v>
      </c>
      <c r="E204" s="5">
        <f>$C$195/R213</f>
        <v>2.5</v>
      </c>
      <c r="F204" s="5">
        <f>$C$195/S213</f>
        <v>3.3333333333333335</v>
      </c>
      <c r="L204" s="3"/>
      <c r="M204" s="46" t="s">
        <v>1</v>
      </c>
      <c r="N204" s="38">
        <v>1</v>
      </c>
      <c r="O204" s="41" t="s">
        <v>226</v>
      </c>
      <c r="P204" s="69">
        <v>0</v>
      </c>
      <c r="Q204" s="69">
        <v>0</v>
      </c>
      <c r="R204" s="39">
        <v>0.5</v>
      </c>
      <c r="S204" s="39">
        <v>1</v>
      </c>
      <c r="U204" s="1" t="s">
        <v>423</v>
      </c>
    </row>
    <row r="205" spans="2:26" x14ac:dyDescent="0.15">
      <c r="B205" s="5" t="s">
        <v>308</v>
      </c>
      <c r="C205" s="5">
        <f>C200*$I$193/$I$192+C201*P193+C202*P200+C203*P207+C204*P214</f>
        <v>20</v>
      </c>
      <c r="D205" s="5">
        <f>D200*$I$193/$I$192+D201*Q193+D202*Q200+D203*Q207+D204*Q214</f>
        <v>20</v>
      </c>
      <c r="E205" s="5">
        <f>E200*$I$193/$I$192+E201*R193+E202*R200+E203*R207+E204*R214</f>
        <v>20.000000000000004</v>
      </c>
      <c r="F205" s="5">
        <f>F200*$I$193/$I$192+F201*S193+F202*S200+F203*S207+F204*S214</f>
        <v>20.000000000000004</v>
      </c>
      <c r="L205" s="4"/>
      <c r="M205" s="47"/>
      <c r="N205" s="42"/>
      <c r="O205" s="41" t="s">
        <v>276</v>
      </c>
      <c r="P205" s="69">
        <v>0</v>
      </c>
      <c r="Q205" s="69">
        <v>0</v>
      </c>
      <c r="R205" s="39">
        <v>1</v>
      </c>
      <c r="S205" s="39">
        <v>1</v>
      </c>
      <c r="U205" s="16" t="s">
        <v>421</v>
      </c>
      <c r="V205" s="16" t="s">
        <v>344</v>
      </c>
      <c r="W205" s="57">
        <v>1</v>
      </c>
      <c r="X205" s="57">
        <v>2</v>
      </c>
      <c r="Y205" s="57">
        <v>3</v>
      </c>
      <c r="Z205" s="57">
        <v>4</v>
      </c>
    </row>
    <row r="206" spans="2:26" x14ac:dyDescent="0.15">
      <c r="L206" s="65" t="s">
        <v>273</v>
      </c>
      <c r="M206" s="64"/>
      <c r="N206" s="60"/>
      <c r="O206" s="53" t="s">
        <v>280</v>
      </c>
      <c r="P206" s="79">
        <v>10</v>
      </c>
      <c r="Q206" s="79">
        <v>10</v>
      </c>
      <c r="R206" s="79">
        <v>10</v>
      </c>
      <c r="S206" s="79">
        <v>10</v>
      </c>
      <c r="U206" s="85" t="s">
        <v>302</v>
      </c>
      <c r="V206" s="5" t="s">
        <v>289</v>
      </c>
      <c r="W206" s="5">
        <f>W193/P193</f>
        <v>5.5555555555555554</v>
      </c>
      <c r="X206" s="5">
        <f>X193/Q193</f>
        <v>6.9555555555555548</v>
      </c>
      <c r="Y206" s="5">
        <f>Y193/R193</f>
        <v>8.6888888888888882</v>
      </c>
      <c r="Z206" s="5">
        <f>Z193/S193</f>
        <v>10.844444444444443</v>
      </c>
    </row>
    <row r="207" spans="2:26" x14ac:dyDescent="0.15">
      <c r="B207" s="1" t="s">
        <v>512</v>
      </c>
      <c r="L207" s="2"/>
      <c r="M207" s="53"/>
      <c r="N207" s="53"/>
      <c r="O207" s="75" t="s">
        <v>288</v>
      </c>
      <c r="P207" s="53">
        <v>0.8</v>
      </c>
      <c r="Q207" s="53">
        <v>1.2</v>
      </c>
      <c r="R207" s="53">
        <v>1.6</v>
      </c>
      <c r="S207" s="53">
        <v>1.6</v>
      </c>
      <c r="U207" s="86"/>
      <c r="V207" s="5" t="s">
        <v>422</v>
      </c>
      <c r="W207" s="5">
        <f>W194/P193</f>
        <v>277.77777777777777</v>
      </c>
      <c r="X207" s="5">
        <f>X194/Q193</f>
        <v>695.55555555555554</v>
      </c>
      <c r="Y207" s="5">
        <f>Y194/R193</f>
        <v>1737.7777777777778</v>
      </c>
      <c r="Z207" s="5">
        <f>Z194/S193</f>
        <v>3253.333333333333</v>
      </c>
    </row>
    <row r="208" spans="2:26" x14ac:dyDescent="0.15">
      <c r="B208" s="16" t="s">
        <v>32</v>
      </c>
      <c r="C208" s="15">
        <v>1</v>
      </c>
      <c r="D208" s="16">
        <v>2</v>
      </c>
      <c r="E208" s="16">
        <v>3</v>
      </c>
      <c r="F208" s="16">
        <v>4</v>
      </c>
      <c r="L208" s="3"/>
      <c r="M208" s="9" t="s">
        <v>281</v>
      </c>
      <c r="N208" s="2">
        <v>1</v>
      </c>
      <c r="O208" s="7" t="s">
        <v>275</v>
      </c>
      <c r="P208" s="5">
        <v>2</v>
      </c>
      <c r="Q208" s="5">
        <v>3</v>
      </c>
      <c r="R208" s="5">
        <v>4</v>
      </c>
      <c r="S208" s="5">
        <v>4</v>
      </c>
      <c r="U208" s="85" t="s">
        <v>303</v>
      </c>
      <c r="V208" s="5" t="s">
        <v>289</v>
      </c>
      <c r="W208" s="5">
        <f>W195/P200</f>
        <v>3.333333333333333</v>
      </c>
      <c r="X208" s="5">
        <f>X195/Q200</f>
        <v>4.166666666666667</v>
      </c>
      <c r="Y208" s="5">
        <f>Y195/R200</f>
        <v>5.1999999999999993</v>
      </c>
      <c r="Z208" s="5">
        <f>Z195/S200</f>
        <v>6.4999999999999991</v>
      </c>
    </row>
    <row r="209" spans="2:26" x14ac:dyDescent="0.15">
      <c r="B209" s="5" t="s">
        <v>289</v>
      </c>
      <c r="C209" s="58">
        <f>D232*(1+D240+D247)</f>
        <v>59.356481481481481</v>
      </c>
      <c r="D209" s="58">
        <f t="shared" ref="D209:F209" si="61">E232*(1+E240+E247)</f>
        <v>70.923111111111112</v>
      </c>
      <c r="E209" s="58">
        <f t="shared" si="61"/>
        <v>93.693325360082312</v>
      </c>
      <c r="F209" s="58">
        <f t="shared" si="61"/>
        <v>118.97457990397804</v>
      </c>
      <c r="L209" s="3"/>
      <c r="M209" s="13"/>
      <c r="N209" s="3"/>
      <c r="O209" s="7" t="s">
        <v>274</v>
      </c>
      <c r="P209" s="5">
        <f>ROUND(R269/$N$208/P208,2)</f>
        <v>2</v>
      </c>
      <c r="Q209" s="5">
        <f t="shared" ref="Q209:S209" si="62">ROUND(S269/$N$208/Q208,2)</f>
        <v>1.67</v>
      </c>
      <c r="R209" s="5">
        <f t="shared" si="62"/>
        <v>1.56</v>
      </c>
      <c r="S209" s="5">
        <f t="shared" si="62"/>
        <v>1.95</v>
      </c>
      <c r="U209" s="86"/>
      <c r="V209" s="5" t="s">
        <v>422</v>
      </c>
      <c r="W209" s="5">
        <f>W196/P200</f>
        <v>166.66666666666666</v>
      </c>
      <c r="X209" s="5">
        <f>X196/Q200</f>
        <v>416.66666666666663</v>
      </c>
      <c r="Y209" s="5">
        <f>Y196/R200</f>
        <v>1040</v>
      </c>
      <c r="Z209" s="5">
        <f>Z196/S200</f>
        <v>1950</v>
      </c>
    </row>
    <row r="210" spans="2:26" x14ac:dyDescent="0.15">
      <c r="B210" s="5" t="s">
        <v>290</v>
      </c>
      <c r="C210" s="58">
        <f>D233*(1+D240+D247)</f>
        <v>700</v>
      </c>
      <c r="D210" s="58">
        <f>E233*(1+E240+E247)</f>
        <v>1927.4750000000001</v>
      </c>
      <c r="E210" s="58">
        <f>F233*(1+F240+F247)</f>
        <v>5751.7097222222219</v>
      </c>
      <c r="F210" s="58">
        <f>G233*(1+G240+G247)</f>
        <v>11971.979166666668</v>
      </c>
      <c r="L210" s="3"/>
      <c r="M210" s="11"/>
      <c r="N210" s="4"/>
      <c r="O210" s="7" t="s">
        <v>251</v>
      </c>
      <c r="P210" s="5">
        <v>50</v>
      </c>
      <c r="Q210" s="5">
        <v>100</v>
      </c>
      <c r="R210" s="5">
        <v>200</v>
      </c>
      <c r="S210" s="5">
        <v>300</v>
      </c>
      <c r="U210" s="85" t="s">
        <v>305</v>
      </c>
      <c r="V210" s="5" t="s">
        <v>289</v>
      </c>
      <c r="W210" s="5">
        <f>W197/P207</f>
        <v>5</v>
      </c>
      <c r="X210" s="5">
        <f>X197/Q207</f>
        <v>4.1749999999999998</v>
      </c>
      <c r="Y210" s="5">
        <f>Y197/R207</f>
        <v>3.9</v>
      </c>
      <c r="Z210" s="5">
        <f>Z197/S207</f>
        <v>4.875</v>
      </c>
    </row>
    <row r="211" spans="2:26" x14ac:dyDescent="0.15">
      <c r="C211" s="1">
        <f t="shared" ref="C211:F212" si="63">C209/20</f>
        <v>2.9678240740740742</v>
      </c>
      <c r="D211" s="1">
        <f t="shared" si="63"/>
        <v>3.5461555555555555</v>
      </c>
      <c r="E211" s="1">
        <f t="shared" si="63"/>
        <v>4.6846662680041158</v>
      </c>
      <c r="F211" s="1">
        <f t="shared" si="63"/>
        <v>5.948728995198902</v>
      </c>
      <c r="L211" s="3"/>
      <c r="M211" s="46" t="s">
        <v>164</v>
      </c>
      <c r="N211" s="38">
        <v>1</v>
      </c>
      <c r="O211" s="41" t="s">
        <v>226</v>
      </c>
      <c r="P211" s="69">
        <v>0</v>
      </c>
      <c r="Q211" s="39">
        <v>1</v>
      </c>
      <c r="R211" s="39">
        <v>1</v>
      </c>
      <c r="S211" s="39">
        <v>1</v>
      </c>
      <c r="U211" s="86"/>
      <c r="V211" s="5" t="s">
        <v>422</v>
      </c>
      <c r="W211" s="5">
        <f>W198/P207</f>
        <v>250</v>
      </c>
      <c r="X211" s="5">
        <f>X198/Q207</f>
        <v>417.5</v>
      </c>
      <c r="Y211" s="5">
        <f>Y198/R207</f>
        <v>780</v>
      </c>
      <c r="Z211" s="5">
        <f>Z198/S207</f>
        <v>1462.5</v>
      </c>
    </row>
    <row r="212" spans="2:26" x14ac:dyDescent="0.15">
      <c r="C212" s="1">
        <f t="shared" si="63"/>
        <v>35</v>
      </c>
      <c r="D212" s="1">
        <f t="shared" si="63"/>
        <v>96.373750000000001</v>
      </c>
      <c r="E212" s="1">
        <f t="shared" si="63"/>
        <v>287.58548611111109</v>
      </c>
      <c r="F212" s="1">
        <f t="shared" si="63"/>
        <v>598.59895833333337</v>
      </c>
      <c r="L212" s="4"/>
      <c r="M212" s="50"/>
      <c r="N212" s="40"/>
      <c r="O212" s="46" t="s">
        <v>276</v>
      </c>
      <c r="P212" s="70">
        <v>0</v>
      </c>
      <c r="Q212" s="38">
        <v>1</v>
      </c>
      <c r="R212" s="38">
        <v>1</v>
      </c>
      <c r="S212" s="38">
        <v>1</v>
      </c>
      <c r="U212" s="85" t="s">
        <v>424</v>
      </c>
      <c r="V212" s="5" t="s">
        <v>289</v>
      </c>
      <c r="W212" s="5"/>
      <c r="X212" s="5"/>
      <c r="Y212" s="5"/>
      <c r="Z212" s="5"/>
    </row>
    <row r="213" spans="2:26" x14ac:dyDescent="0.15">
      <c r="B213" s="1" t="s">
        <v>247</v>
      </c>
      <c r="L213" s="77" t="s">
        <v>9</v>
      </c>
      <c r="M213" s="77"/>
      <c r="N213" s="63"/>
      <c r="O213" s="53" t="s">
        <v>280</v>
      </c>
      <c r="P213" s="79">
        <v>8</v>
      </c>
      <c r="Q213" s="79">
        <v>8</v>
      </c>
      <c r="R213" s="79">
        <v>8</v>
      </c>
      <c r="S213" s="79">
        <v>6</v>
      </c>
      <c r="U213" s="86"/>
      <c r="V213" s="5" t="s">
        <v>422</v>
      </c>
      <c r="W213" s="5"/>
      <c r="X213" s="5"/>
      <c r="Y213" s="5"/>
      <c r="Z213" s="5"/>
    </row>
    <row r="214" spans="2:26" x14ac:dyDescent="0.15">
      <c r="B214" s="16" t="s">
        <v>69</v>
      </c>
      <c r="C214" s="16" t="s">
        <v>32</v>
      </c>
      <c r="D214" s="15">
        <v>1</v>
      </c>
      <c r="E214" s="16">
        <v>2</v>
      </c>
      <c r="F214" s="16">
        <v>3</v>
      </c>
      <c r="G214" s="16">
        <v>4</v>
      </c>
      <c r="L214" s="2"/>
      <c r="M214" s="53"/>
      <c r="N214" s="53"/>
      <c r="O214" s="63" t="s">
        <v>288</v>
      </c>
      <c r="P214" s="63">
        <v>0.35</v>
      </c>
      <c r="Q214" s="63">
        <v>0.35</v>
      </c>
      <c r="R214" s="63">
        <v>0.35</v>
      </c>
      <c r="S214" s="63">
        <v>0.35</v>
      </c>
    </row>
    <row r="215" spans="2:26" x14ac:dyDescent="0.15">
      <c r="B215" s="5" t="s">
        <v>283</v>
      </c>
      <c r="C215" s="5" t="s">
        <v>289</v>
      </c>
      <c r="D215" s="83">
        <f>D225/D232</f>
        <v>0.52827392559082753</v>
      </c>
      <c r="E215" s="83">
        <f>E225/E232</f>
        <v>0.4564606741573034</v>
      </c>
      <c r="F215" s="83">
        <f>F225/F232</f>
        <v>0.38611318361075947</v>
      </c>
      <c r="G215" s="83">
        <f>G225/G232</f>
        <v>0.32915758552070506</v>
      </c>
      <c r="L215" s="3"/>
      <c r="M215" s="43" t="s">
        <v>306</v>
      </c>
      <c r="N215" s="43">
        <v>1</v>
      </c>
      <c r="O215" s="67" t="s">
        <v>277</v>
      </c>
      <c r="P215" s="68">
        <v>0</v>
      </c>
      <c r="Q215" s="68">
        <v>0</v>
      </c>
      <c r="R215" s="44">
        <v>0.1</v>
      </c>
      <c r="S215" s="44">
        <v>0.25</v>
      </c>
    </row>
    <row r="216" spans="2:26" x14ac:dyDescent="0.15">
      <c r="B216" s="2" t="s">
        <v>302</v>
      </c>
      <c r="C216" s="5" t="s">
        <v>289</v>
      </c>
      <c r="D216" s="83">
        <f t="shared" ref="D216:G217" si="64">D226/D232</f>
        <v>0.21059199750409485</v>
      </c>
      <c r="E216" s="83">
        <f t="shared" si="64"/>
        <v>0.24272764872130698</v>
      </c>
      <c r="F216" s="83">
        <f t="shared" si="64"/>
        <v>0.2744451694582587</v>
      </c>
      <c r="G216" s="83">
        <f t="shared" si="64"/>
        <v>0.29965317919075146</v>
      </c>
      <c r="L216" s="4"/>
      <c r="M216" s="66"/>
      <c r="N216" s="66"/>
      <c r="O216" s="67" t="s">
        <v>276</v>
      </c>
      <c r="P216" s="68">
        <v>0</v>
      </c>
      <c r="Q216" s="68">
        <v>0</v>
      </c>
      <c r="R216" s="44">
        <v>2</v>
      </c>
      <c r="S216" s="44">
        <v>2</v>
      </c>
    </row>
    <row r="217" spans="2:26" x14ac:dyDescent="0.15">
      <c r="B217" s="4"/>
      <c r="C217" s="5" t="s">
        <v>290</v>
      </c>
      <c r="D217" s="36">
        <f t="shared" si="64"/>
        <v>0.44642857142857145</v>
      </c>
      <c r="E217" s="36">
        <f t="shared" si="64"/>
        <v>0.44656869738907118</v>
      </c>
      <c r="F217" s="36">
        <f t="shared" si="64"/>
        <v>0.44706151383489595</v>
      </c>
      <c r="G217" s="36">
        <f t="shared" si="64"/>
        <v>0.44668192219679637</v>
      </c>
    </row>
    <row r="218" spans="2:26" x14ac:dyDescent="0.15">
      <c r="B218" s="2" t="s">
        <v>303</v>
      </c>
      <c r="C218" s="5" t="s">
        <v>289</v>
      </c>
      <c r="D218" s="83">
        <f t="shared" ref="D218:G219" si="65">D228/D232</f>
        <v>0.12635519850245691</v>
      </c>
      <c r="E218" s="83">
        <f t="shared" si="65"/>
        <v>0.14540394292410563</v>
      </c>
      <c r="F218" s="83">
        <f t="shared" si="65"/>
        <v>0.16424595819241058</v>
      </c>
      <c r="G218" s="83">
        <f t="shared" si="65"/>
        <v>0.1796076944944566</v>
      </c>
    </row>
    <row r="219" spans="2:26" x14ac:dyDescent="0.15">
      <c r="B219" s="4"/>
      <c r="C219" s="5" t="s">
        <v>290</v>
      </c>
      <c r="D219" s="36">
        <f t="shared" si="65"/>
        <v>0.26785714285714285</v>
      </c>
      <c r="E219" s="36">
        <f t="shared" si="65"/>
        <v>0.26751319731773432</v>
      </c>
      <c r="F219" s="36">
        <f t="shared" si="65"/>
        <v>0.26755088040246972</v>
      </c>
      <c r="G219" s="36">
        <f t="shared" si="65"/>
        <v>0.26773455377574373</v>
      </c>
    </row>
    <row r="220" spans="2:26" x14ac:dyDescent="0.15">
      <c r="B220" s="2" t="s">
        <v>305</v>
      </c>
      <c r="C220" s="5" t="s">
        <v>289</v>
      </c>
      <c r="D220" s="83">
        <f t="shared" ref="D220:G221" si="66">D230/D232</f>
        <v>0.13477887840262071</v>
      </c>
      <c r="E220" s="83">
        <f t="shared" si="66"/>
        <v>0.1554077341972841</v>
      </c>
      <c r="F220" s="83">
        <f t="shared" si="66"/>
        <v>0.17519568873857128</v>
      </c>
      <c r="G220" s="83">
        <f t="shared" si="66"/>
        <v>0.19158154079408701</v>
      </c>
    </row>
    <row r="221" spans="2:26" x14ac:dyDescent="0.15">
      <c r="B221" s="4"/>
      <c r="C221" s="5" t="s">
        <v>290</v>
      </c>
      <c r="D221" s="36">
        <f t="shared" si="66"/>
        <v>0.2857142857142857</v>
      </c>
      <c r="E221" s="36">
        <f t="shared" si="66"/>
        <v>0.28591810529319445</v>
      </c>
      <c r="F221" s="36">
        <f t="shared" si="66"/>
        <v>0.28538760576263433</v>
      </c>
      <c r="G221" s="36">
        <f t="shared" si="66"/>
        <v>0.28558352402745996</v>
      </c>
    </row>
    <row r="222" spans="2:26" x14ac:dyDescent="0.15">
      <c r="P222" s="1">
        <f>(1-S215)/S215</f>
        <v>3</v>
      </c>
    </row>
    <row r="223" spans="2:26" x14ac:dyDescent="0.15">
      <c r="B223" s="1" t="s">
        <v>432</v>
      </c>
    </row>
    <row r="224" spans="2:26" x14ac:dyDescent="0.15">
      <c r="B224" s="16" t="s">
        <v>69</v>
      </c>
      <c r="C224" s="16" t="s">
        <v>32</v>
      </c>
      <c r="D224" s="15">
        <v>1</v>
      </c>
      <c r="E224" s="16">
        <v>2</v>
      </c>
      <c r="F224" s="16">
        <v>3</v>
      </c>
      <c r="G224" s="16">
        <v>4</v>
      </c>
    </row>
    <row r="225" spans="2:7" x14ac:dyDescent="0.15">
      <c r="B225" s="5" t="s">
        <v>283</v>
      </c>
      <c r="C225" s="5" t="s">
        <v>289</v>
      </c>
      <c r="D225" s="56">
        <f>C200*$I$195</f>
        <v>31.356481481481477</v>
      </c>
      <c r="E225" s="56">
        <f t="shared" ref="E225:G225" si="67">D200*$I$195</f>
        <v>29.430555555555554</v>
      </c>
      <c r="F225" s="56">
        <f t="shared" si="67"/>
        <v>27.504629629629633</v>
      </c>
      <c r="G225" s="56">
        <f t="shared" si="67"/>
        <v>26.802469135802468</v>
      </c>
    </row>
    <row r="226" spans="2:7" x14ac:dyDescent="0.15">
      <c r="B226" s="2" t="s">
        <v>302</v>
      </c>
      <c r="C226" s="5" t="s">
        <v>289</v>
      </c>
      <c r="D226" s="56">
        <f>C201*$N$194*P194*P195</f>
        <v>12.5</v>
      </c>
      <c r="E226" s="56">
        <f>D201*$N$194*Q194*Q195</f>
        <v>15.649999999999999</v>
      </c>
      <c r="F226" s="56">
        <f>E201*$N$194*R194*R195</f>
        <v>19.55</v>
      </c>
      <c r="G226" s="56">
        <f>F201*$N$194*S194*S195</f>
        <v>24.4</v>
      </c>
    </row>
    <row r="227" spans="2:7" x14ac:dyDescent="0.15">
      <c r="B227" s="4"/>
      <c r="C227" s="5" t="s">
        <v>290</v>
      </c>
      <c r="D227" s="58">
        <f>C201*$N$194*P194*P196*P195*0.5</f>
        <v>312.5</v>
      </c>
      <c r="E227" s="58">
        <f>D201*$N$194*Q194*Q196*Q195*0.5</f>
        <v>782.5</v>
      </c>
      <c r="F227" s="58">
        <f>E201*$N$194*R194*R196*R195*0.5</f>
        <v>1955</v>
      </c>
      <c r="G227" s="58">
        <f>F201*$N$194*S194*S196*S195*0.5</f>
        <v>3660</v>
      </c>
    </row>
    <row r="228" spans="2:7" x14ac:dyDescent="0.15">
      <c r="B228" s="2" t="s">
        <v>303</v>
      </c>
      <c r="C228" s="5" t="s">
        <v>289</v>
      </c>
      <c r="D228" s="56">
        <f>C202*$N$201*P201*P202</f>
        <v>7.5</v>
      </c>
      <c r="E228" s="56">
        <f>D202*$N$201*Q201*Q202</f>
        <v>9.375</v>
      </c>
      <c r="F228" s="56">
        <f>E202*$N$201*R201*R202</f>
        <v>11.700000000000001</v>
      </c>
      <c r="G228" s="56">
        <f>F202*$N$201*S201*S202</f>
        <v>14.625</v>
      </c>
    </row>
    <row r="229" spans="2:7" x14ac:dyDescent="0.15">
      <c r="B229" s="4"/>
      <c r="C229" s="5" t="s">
        <v>290</v>
      </c>
      <c r="D229" s="58">
        <f>C202*$N$201*P201*P203*P202*0.5</f>
        <v>187.5</v>
      </c>
      <c r="E229" s="58">
        <f>D202*$N$201*Q201*Q203*Q202*0.5</f>
        <v>468.75</v>
      </c>
      <c r="F229" s="58">
        <f>E202*$N$201*R201*R203*R202*0.5</f>
        <v>1170</v>
      </c>
      <c r="G229" s="58">
        <f>F202*$N$201*S201*S203*S202*0.5</f>
        <v>2193.75</v>
      </c>
    </row>
    <row r="230" spans="2:7" x14ac:dyDescent="0.15">
      <c r="B230" s="2" t="s">
        <v>305</v>
      </c>
      <c r="C230" s="5" t="s">
        <v>289</v>
      </c>
      <c r="D230" s="56">
        <f>C203*$N$208*P208*P209</f>
        <v>8</v>
      </c>
      <c r="E230" s="56">
        <f>D203*$N$208*Q208*Q209</f>
        <v>10.02</v>
      </c>
      <c r="F230" s="56">
        <f>E203*$N$208*R208*R209</f>
        <v>12.48</v>
      </c>
      <c r="G230" s="56">
        <f>F203*$N$208*S208*S209</f>
        <v>15.6</v>
      </c>
    </row>
    <row r="231" spans="2:7" x14ac:dyDescent="0.15">
      <c r="B231" s="4"/>
      <c r="C231" s="5" t="s">
        <v>290</v>
      </c>
      <c r="D231" s="56">
        <f>C203*$N$208*P208*P210*P209*0.5</f>
        <v>200</v>
      </c>
      <c r="E231" s="56">
        <f>D203*$N$208*Q208*Q210*Q209*0.5</f>
        <v>501</v>
      </c>
      <c r="F231" s="56">
        <f>E203*$N$208*R208*R210*R209*0.5</f>
        <v>1248</v>
      </c>
      <c r="G231" s="56">
        <f>F203*$N$208*S208*S210*S209*0.5</f>
        <v>2340</v>
      </c>
    </row>
    <row r="232" spans="2:7" x14ac:dyDescent="0.15">
      <c r="B232" s="2" t="s">
        <v>292</v>
      </c>
      <c r="C232" s="5" t="s">
        <v>289</v>
      </c>
      <c r="D232" s="56">
        <f>D225+D226+D228+D230</f>
        <v>59.356481481481481</v>
      </c>
      <c r="E232" s="56">
        <f>E225+E226+E228+E230</f>
        <v>64.475555555555545</v>
      </c>
      <c r="F232" s="56">
        <f>F225+F226+F228+F230</f>
        <v>71.234629629629637</v>
      </c>
      <c r="G232" s="56">
        <f>G225+G226+G228+G230</f>
        <v>81.427469135802454</v>
      </c>
    </row>
    <row r="233" spans="2:7" x14ac:dyDescent="0.15">
      <c r="B233" s="4"/>
      <c r="C233" s="5" t="s">
        <v>290</v>
      </c>
      <c r="D233" s="58">
        <f>D227+D229+D231</f>
        <v>700</v>
      </c>
      <c r="E233" s="58">
        <f>E227+E229+E231</f>
        <v>1752.25</v>
      </c>
      <c r="F233" s="58">
        <f>F227+F229+F231</f>
        <v>4373</v>
      </c>
      <c r="G233" s="58">
        <f>G227+G229+G231</f>
        <v>8193.75</v>
      </c>
    </row>
    <row r="237" spans="2:7" x14ac:dyDescent="0.15">
      <c r="B237" s="1" t="s">
        <v>45</v>
      </c>
    </row>
    <row r="238" spans="2:7" x14ac:dyDescent="0.15">
      <c r="B238" s="16" t="s">
        <v>69</v>
      </c>
      <c r="C238" s="14" t="s">
        <v>32</v>
      </c>
      <c r="D238" s="16">
        <v>1</v>
      </c>
      <c r="E238" s="16">
        <v>2</v>
      </c>
      <c r="F238" s="16">
        <v>3</v>
      </c>
      <c r="G238" s="16">
        <v>4</v>
      </c>
    </row>
    <row r="239" spans="2:7" x14ac:dyDescent="0.15">
      <c r="B239" s="6" t="s">
        <v>9</v>
      </c>
      <c r="C239" s="5" t="s">
        <v>307</v>
      </c>
      <c r="D239" s="55">
        <f>IFERROR(C204*$N$215*P215/(1-P215)*P216/$C$195,0)</f>
        <v>0</v>
      </c>
      <c r="E239" s="55">
        <f t="shared" ref="E239:G239" si="68">IFERROR(D204*$N$215*Q215/(1-Q215)*Q216/$C$195,0)</f>
        <v>0</v>
      </c>
      <c r="F239" s="55">
        <f t="shared" si="68"/>
        <v>2.777777777777778E-2</v>
      </c>
      <c r="G239" s="55">
        <f t="shared" si="68"/>
        <v>0.11111111111111112</v>
      </c>
    </row>
    <row r="240" spans="2:7" x14ac:dyDescent="0.15">
      <c r="B240" s="6"/>
      <c r="C240" s="7" t="s">
        <v>291</v>
      </c>
      <c r="D240" s="56">
        <f>D239</f>
        <v>0</v>
      </c>
      <c r="E240" s="56">
        <f>E239</f>
        <v>0</v>
      </c>
      <c r="F240" s="56">
        <f>F239</f>
        <v>2.777777777777778E-2</v>
      </c>
      <c r="G240" s="56">
        <f>G239</f>
        <v>0.11111111111111112</v>
      </c>
    </row>
    <row r="242" spans="1:28" x14ac:dyDescent="0.15">
      <c r="B242" s="1" t="s">
        <v>17</v>
      </c>
    </row>
    <row r="243" spans="1:28" x14ac:dyDescent="0.15">
      <c r="B243" s="16" t="s">
        <v>69</v>
      </c>
      <c r="C243" s="14" t="s">
        <v>32</v>
      </c>
      <c r="D243" s="16">
        <v>1</v>
      </c>
      <c r="E243" s="16">
        <v>2</v>
      </c>
      <c r="F243" s="16">
        <v>3</v>
      </c>
      <c r="G243" s="16">
        <v>4</v>
      </c>
    </row>
    <row r="244" spans="1:28" x14ac:dyDescent="0.15">
      <c r="B244" s="8" t="s">
        <v>272</v>
      </c>
      <c r="C244" s="5" t="s">
        <v>164</v>
      </c>
      <c r="D244" s="55">
        <f>C201*$N$197*P197*P198/$C$195</f>
        <v>0</v>
      </c>
      <c r="E244" s="55">
        <f>D201*$N$197*Q197*Q198/$C$195</f>
        <v>0</v>
      </c>
      <c r="F244" s="55">
        <f>E201*$N$197*R197*R198/$C$195</f>
        <v>0.125</v>
      </c>
      <c r="G244" s="55">
        <f>F201*$N$197*S197*S198/$C$195</f>
        <v>0.125</v>
      </c>
    </row>
    <row r="245" spans="1:28" x14ac:dyDescent="0.15">
      <c r="B245" s="8" t="s">
        <v>304</v>
      </c>
      <c r="C245" s="5" t="s">
        <v>1</v>
      </c>
      <c r="D245" s="55">
        <f>C202*$N$204*P204*P205/$C$195</f>
        <v>0</v>
      </c>
      <c r="E245" s="55">
        <f>D202*$N$204*Q204*Q205/$C$195</f>
        <v>0</v>
      </c>
      <c r="F245" s="55">
        <f>E202*$N$204*R204*R205/$C$195</f>
        <v>6.25E-2</v>
      </c>
      <c r="G245" s="55">
        <f>F202*$N$204*S204*S205/$C$195</f>
        <v>0.125</v>
      </c>
    </row>
    <row r="246" spans="1:28" x14ac:dyDescent="0.15">
      <c r="B246" s="8" t="s">
        <v>273</v>
      </c>
      <c r="C246" s="5" t="s">
        <v>164</v>
      </c>
      <c r="D246" s="55">
        <f>C203*$N$211*P211*P212/$C$195</f>
        <v>0</v>
      </c>
      <c r="E246" s="55">
        <f>D203*$N$211*Q211*Q212/$C$195</f>
        <v>0.1</v>
      </c>
      <c r="F246" s="55">
        <f>E203*$N$211*R211*R212/$C$195</f>
        <v>0.1</v>
      </c>
      <c r="G246" s="55">
        <f>F203*$N$211*S211*S212/$C$195</f>
        <v>0.1</v>
      </c>
    </row>
    <row r="247" spans="1:28" x14ac:dyDescent="0.15">
      <c r="B247" s="6"/>
      <c r="C247" s="7" t="s">
        <v>291</v>
      </c>
      <c r="D247" s="56">
        <f>D244+D245+D246</f>
        <v>0</v>
      </c>
      <c r="E247" s="56">
        <f>E244+E245+E246</f>
        <v>0.1</v>
      </c>
      <c r="F247" s="56">
        <f>F244+F245+F246</f>
        <v>0.28749999999999998</v>
      </c>
      <c r="G247" s="56">
        <f>G244+G245+G246</f>
        <v>0.35</v>
      </c>
    </row>
    <row r="251" spans="1:28" s="17" customFormat="1" x14ac:dyDescent="0.15">
      <c r="A251" s="17" t="s">
        <v>343</v>
      </c>
    </row>
    <row r="253" spans="1:28" x14ac:dyDescent="0.15">
      <c r="B253" s="1" t="s">
        <v>375</v>
      </c>
      <c r="I253" s="1" t="s">
        <v>488</v>
      </c>
      <c r="P253" s="1" t="s">
        <v>502</v>
      </c>
    </row>
    <row r="254" spans="1:28" x14ac:dyDescent="0.15">
      <c r="B254" s="16" t="s">
        <v>132</v>
      </c>
      <c r="C254" s="16" t="s">
        <v>344</v>
      </c>
      <c r="D254" s="16">
        <v>1</v>
      </c>
      <c r="E254" s="16">
        <v>2</v>
      </c>
      <c r="F254" s="16">
        <v>3</v>
      </c>
      <c r="G254" s="16">
        <v>4</v>
      </c>
      <c r="I254" s="16" t="s">
        <v>490</v>
      </c>
      <c r="J254" s="16">
        <v>1</v>
      </c>
      <c r="K254" s="16">
        <v>2</v>
      </c>
      <c r="L254" s="16">
        <v>3</v>
      </c>
      <c r="M254" s="16">
        <v>4</v>
      </c>
      <c r="P254" s="16" t="s">
        <v>490</v>
      </c>
      <c r="Q254" s="16" t="s">
        <v>491</v>
      </c>
      <c r="R254" s="16" t="s">
        <v>492</v>
      </c>
      <c r="S254" s="16" t="s">
        <v>493</v>
      </c>
      <c r="T254" s="16" t="s">
        <v>494</v>
      </c>
      <c r="U254" s="16" t="s">
        <v>495</v>
      </c>
      <c r="X254" s="16" t="s">
        <v>132</v>
      </c>
      <c r="Y254" s="16" t="s">
        <v>492</v>
      </c>
      <c r="Z254" s="16" t="s">
        <v>493</v>
      </c>
      <c r="AA254" s="16" t="s">
        <v>494</v>
      </c>
      <c r="AB254" s="16" t="s">
        <v>495</v>
      </c>
    </row>
    <row r="255" spans="1:28" x14ac:dyDescent="0.15">
      <c r="B255" s="2" t="s">
        <v>133</v>
      </c>
      <c r="C255" s="5" t="s">
        <v>289</v>
      </c>
      <c r="D255" s="58">
        <f t="shared" ref="D255:G256" si="69">C22</f>
        <v>68.082443438914027</v>
      </c>
      <c r="E255" s="58">
        <f t="shared" si="69"/>
        <v>81.592443438914032</v>
      </c>
      <c r="F255" s="58">
        <f t="shared" si="69"/>
        <v>108.38073529411764</v>
      </c>
      <c r="G255" s="58">
        <f t="shared" si="69"/>
        <v>143.96869909502263</v>
      </c>
      <c r="I255" s="5" t="s">
        <v>133</v>
      </c>
      <c r="J255" s="5">
        <f>C13</f>
        <v>22.33031674208145</v>
      </c>
      <c r="K255" s="5">
        <f>D13</f>
        <v>22.33031674208145</v>
      </c>
      <c r="L255" s="5">
        <f>E13</f>
        <v>20.735294117647062</v>
      </c>
      <c r="M255" s="5">
        <f>F13</f>
        <v>19.671945701357469</v>
      </c>
      <c r="P255" s="2" t="s">
        <v>133</v>
      </c>
      <c r="Q255" s="16">
        <v>1</v>
      </c>
      <c r="R255" s="94">
        <v>5.5</v>
      </c>
      <c r="S255" s="94">
        <f>R255*1.25</f>
        <v>6.875</v>
      </c>
      <c r="T255" s="94">
        <f t="shared" ref="T255:U255" si="70">S255*1.25</f>
        <v>8.59375</v>
      </c>
      <c r="U255" s="94">
        <f t="shared" si="70"/>
        <v>10.7421875</v>
      </c>
      <c r="X255" s="5" t="s">
        <v>501</v>
      </c>
      <c r="Y255" s="56">
        <f>SUM(R255:R258)</f>
        <v>10.5</v>
      </c>
      <c r="Z255" s="56">
        <f t="shared" ref="Z255:AB255" si="71">SUM(S255:S258)</f>
        <v>14.375</v>
      </c>
      <c r="AA255" s="56">
        <f t="shared" si="71"/>
        <v>17.96875</v>
      </c>
      <c r="AB255" s="56">
        <f t="shared" si="71"/>
        <v>22.4609375</v>
      </c>
    </row>
    <row r="256" spans="1:28" x14ac:dyDescent="0.15">
      <c r="B256" s="4"/>
      <c r="C256" s="5" t="s">
        <v>290</v>
      </c>
      <c r="D256" s="58">
        <f t="shared" si="69"/>
        <v>920.49999999999989</v>
      </c>
      <c r="E256" s="58">
        <f t="shared" si="69"/>
        <v>2516.5</v>
      </c>
      <c r="F256" s="58">
        <f t="shared" si="69"/>
        <v>7255.875</v>
      </c>
      <c r="G256" s="58">
        <f t="shared" si="69"/>
        <v>16111.75</v>
      </c>
      <c r="I256" s="5" t="s">
        <v>39</v>
      </c>
      <c r="J256" s="56">
        <f>D102</f>
        <v>15.395588235294118</v>
      </c>
      <c r="K256" s="56">
        <f>E102</f>
        <v>15.395588235294118</v>
      </c>
      <c r="L256" s="56">
        <f>F102</f>
        <v>13.689705882352941</v>
      </c>
      <c r="M256" s="56">
        <f>G102</f>
        <v>11.648739495798321</v>
      </c>
      <c r="P256" s="3"/>
      <c r="Q256" s="16">
        <v>2</v>
      </c>
      <c r="R256" s="94">
        <v>3</v>
      </c>
      <c r="S256" s="94">
        <f t="shared" ref="S256:U256" si="72">R256*1.25</f>
        <v>3.75</v>
      </c>
      <c r="T256" s="94">
        <f t="shared" si="72"/>
        <v>4.6875</v>
      </c>
      <c r="U256" s="94">
        <f t="shared" si="72"/>
        <v>5.859375</v>
      </c>
      <c r="X256" s="5" t="s">
        <v>135</v>
      </c>
      <c r="Y256" s="56">
        <f>SUM(R259:R262)</f>
        <v>15.4</v>
      </c>
      <c r="Z256" s="56">
        <f t="shared" ref="Z256:AB256" si="73">SUM(S259:S262)</f>
        <v>19.25</v>
      </c>
      <c r="AA256" s="56">
        <f t="shared" si="73"/>
        <v>24.0625</v>
      </c>
      <c r="AB256" s="56">
        <f t="shared" si="73"/>
        <v>30.078125</v>
      </c>
    </row>
    <row r="257" spans="2:28" x14ac:dyDescent="0.15">
      <c r="B257" s="2" t="s">
        <v>39</v>
      </c>
      <c r="C257" s="5" t="s">
        <v>289</v>
      </c>
      <c r="D257" s="58">
        <f t="shared" ref="D257:G258" si="74">C86</f>
        <v>45.235588235294124</v>
      </c>
      <c r="E257" s="58">
        <f t="shared" si="74"/>
        <v>52.665588235294123</v>
      </c>
      <c r="F257" s="58">
        <f t="shared" si="74"/>
        <v>113.37277058823531</v>
      </c>
      <c r="G257" s="58">
        <f t="shared" si="74"/>
        <v>184.45032374549825</v>
      </c>
      <c r="I257" s="5" t="s">
        <v>40</v>
      </c>
      <c r="J257" s="56">
        <f>D167</f>
        <v>15.336842105263159</v>
      </c>
      <c r="K257" s="56">
        <f>E167</f>
        <v>15.336842105263159</v>
      </c>
      <c r="L257" s="56">
        <f>F167</f>
        <v>15.336842105263159</v>
      </c>
      <c r="M257" s="56">
        <f>G167</f>
        <v>15.064912280701757</v>
      </c>
      <c r="P257" s="3"/>
      <c r="Q257" s="16">
        <v>3</v>
      </c>
      <c r="R257" s="94">
        <v>2</v>
      </c>
      <c r="S257" s="94">
        <f t="shared" ref="S257:U257" si="75">R257*1.25</f>
        <v>2.5</v>
      </c>
      <c r="T257" s="94">
        <f t="shared" si="75"/>
        <v>3.125</v>
      </c>
      <c r="U257" s="94">
        <f t="shared" si="75"/>
        <v>3.90625</v>
      </c>
      <c r="X257" s="5" t="s">
        <v>40</v>
      </c>
      <c r="Y257" s="56">
        <f>SUM(R263:R266)</f>
        <v>12</v>
      </c>
      <c r="Z257" s="56">
        <f t="shared" ref="Z257:AB257" si="76">SUM(S263:S266)</f>
        <v>15</v>
      </c>
      <c r="AA257" s="56">
        <f t="shared" si="76"/>
        <v>18.75</v>
      </c>
      <c r="AB257" s="56">
        <f t="shared" si="76"/>
        <v>23.4375</v>
      </c>
    </row>
    <row r="258" spans="2:28" x14ac:dyDescent="0.15">
      <c r="B258" s="4"/>
      <c r="C258" s="5" t="s">
        <v>290</v>
      </c>
      <c r="D258" s="58">
        <f t="shared" si="74"/>
        <v>799</v>
      </c>
      <c r="E258" s="58">
        <f t="shared" si="74"/>
        <v>1655.25</v>
      </c>
      <c r="F258" s="58">
        <f t="shared" si="74"/>
        <v>6987.4593750000013</v>
      </c>
      <c r="G258" s="58">
        <f t="shared" si="74"/>
        <v>21642.139428571434</v>
      </c>
      <c r="I258" s="5" t="s">
        <v>41</v>
      </c>
      <c r="J258" s="56">
        <f>D225</f>
        <v>31.356481481481477</v>
      </c>
      <c r="K258" s="56">
        <f>E225</f>
        <v>29.430555555555554</v>
      </c>
      <c r="L258" s="56">
        <f>F225</f>
        <v>27.504629629629633</v>
      </c>
      <c r="M258" s="56">
        <f>G225</f>
        <v>26.802469135802468</v>
      </c>
      <c r="P258" s="4"/>
      <c r="Q258" s="16">
        <v>4</v>
      </c>
      <c r="R258" s="96"/>
      <c r="S258" s="94">
        <v>1.25</v>
      </c>
      <c r="T258" s="94">
        <f t="shared" ref="T258:U258" si="77">S258*1.25</f>
        <v>1.5625</v>
      </c>
      <c r="U258" s="94">
        <f t="shared" si="77"/>
        <v>1.953125</v>
      </c>
      <c r="X258" s="5" t="s">
        <v>41</v>
      </c>
      <c r="Y258" s="56">
        <f>SUM(R267:R270)</f>
        <v>12</v>
      </c>
      <c r="Z258" s="56">
        <f t="shared" ref="Z258:AB258" si="78">SUM(S267:S270)</f>
        <v>15</v>
      </c>
      <c r="AA258" s="56">
        <f t="shared" si="78"/>
        <v>18.75</v>
      </c>
      <c r="AB258" s="56">
        <f t="shared" si="78"/>
        <v>23.4375</v>
      </c>
    </row>
    <row r="259" spans="2:28" x14ac:dyDescent="0.15">
      <c r="B259" s="2" t="s">
        <v>40</v>
      </c>
      <c r="C259" s="5" t="s">
        <v>289</v>
      </c>
      <c r="D259" s="58">
        <f t="shared" ref="D259:G260" si="79">C151</f>
        <v>48.361842105263158</v>
      </c>
      <c r="E259" s="58">
        <f t="shared" si="79"/>
        <v>61.129989473684219</v>
      </c>
      <c r="F259" s="58">
        <f t="shared" si="79"/>
        <v>91.593873684210536</v>
      </c>
      <c r="G259" s="58">
        <f t="shared" si="79"/>
        <v>97.485166081871355</v>
      </c>
      <c r="I259" s="5" t="s">
        <v>489</v>
      </c>
      <c r="J259" s="5">
        <f>AVERAGE(J255:J258)</f>
        <v>21.104807141030051</v>
      </c>
      <c r="K259" s="5">
        <f t="shared" ref="K259:M259" si="80">AVERAGE(K255:K258)</f>
        <v>20.62332565954857</v>
      </c>
      <c r="L259" s="5">
        <f t="shared" si="80"/>
        <v>19.316617933723201</v>
      </c>
      <c r="M259" s="5">
        <f t="shared" si="80"/>
        <v>18.297016653415003</v>
      </c>
      <c r="P259" s="2" t="s">
        <v>39</v>
      </c>
      <c r="Q259" s="16">
        <v>1</v>
      </c>
      <c r="R259" s="94">
        <f>R255*0.8</f>
        <v>4.4000000000000004</v>
      </c>
      <c r="S259" s="94">
        <f t="shared" ref="S259:U259" si="81">R259*1.25</f>
        <v>5.5</v>
      </c>
      <c r="T259" s="94">
        <f t="shared" si="81"/>
        <v>6.875</v>
      </c>
      <c r="U259" s="94">
        <f t="shared" si="81"/>
        <v>8.59375</v>
      </c>
      <c r="X259" s="5" t="s">
        <v>376</v>
      </c>
      <c r="Y259" s="56">
        <f>AVERAGE(Y255:Y258)</f>
        <v>12.475</v>
      </c>
      <c r="Z259" s="56">
        <f t="shared" ref="Z259:AB259" si="82">AVERAGE(Z255:Z258)</f>
        <v>15.90625</v>
      </c>
      <c r="AA259" s="56">
        <f t="shared" si="82"/>
        <v>19.8828125</v>
      </c>
      <c r="AB259" s="56">
        <f t="shared" si="82"/>
        <v>24.853515625</v>
      </c>
    </row>
    <row r="260" spans="2:28" x14ac:dyDescent="0.15">
      <c r="B260" s="4"/>
      <c r="C260" s="5" t="s">
        <v>290</v>
      </c>
      <c r="D260" s="58">
        <f t="shared" si="79"/>
        <v>825.625</v>
      </c>
      <c r="E260" s="58">
        <f t="shared" si="79"/>
        <v>2228.31</v>
      </c>
      <c r="F260" s="58">
        <f t="shared" si="79"/>
        <v>6149.93</v>
      </c>
      <c r="G260" s="58">
        <f t="shared" si="79"/>
        <v>10575.983333333335</v>
      </c>
      <c r="P260" s="3"/>
      <c r="Q260" s="16">
        <v>2</v>
      </c>
      <c r="R260" s="95">
        <v>6</v>
      </c>
      <c r="S260" s="95">
        <f t="shared" ref="S260:U260" si="83">R260*1.25</f>
        <v>7.5</v>
      </c>
      <c r="T260" s="95">
        <f t="shared" si="83"/>
        <v>9.375</v>
      </c>
      <c r="U260" s="95">
        <f t="shared" si="83"/>
        <v>11.71875</v>
      </c>
      <c r="V260" s="1" t="s">
        <v>499</v>
      </c>
    </row>
    <row r="261" spans="2:28" x14ac:dyDescent="0.15">
      <c r="B261" s="2" t="s">
        <v>41</v>
      </c>
      <c r="C261" s="5" t="s">
        <v>289</v>
      </c>
      <c r="D261" s="58">
        <f t="shared" ref="D261:G262" si="84">C209</f>
        <v>59.356481481481481</v>
      </c>
      <c r="E261" s="58">
        <f t="shared" si="84"/>
        <v>70.923111111111112</v>
      </c>
      <c r="F261" s="58">
        <f t="shared" si="84"/>
        <v>93.693325360082312</v>
      </c>
      <c r="G261" s="58">
        <f t="shared" si="84"/>
        <v>118.97457990397804</v>
      </c>
      <c r="I261" s="1" t="s">
        <v>496</v>
      </c>
      <c r="P261" s="3"/>
      <c r="Q261" s="16">
        <v>3</v>
      </c>
      <c r="R261" s="94">
        <v>5</v>
      </c>
      <c r="S261" s="94">
        <f t="shared" ref="S261:U261" si="85">R261*1.25</f>
        <v>6.25</v>
      </c>
      <c r="T261" s="94">
        <f t="shared" si="85"/>
        <v>7.8125</v>
      </c>
      <c r="U261" s="94">
        <f t="shared" si="85"/>
        <v>9.765625</v>
      </c>
    </row>
    <row r="262" spans="2:28" x14ac:dyDescent="0.15">
      <c r="B262" s="4"/>
      <c r="C262" s="5" t="s">
        <v>290</v>
      </c>
      <c r="D262" s="58">
        <f t="shared" si="84"/>
        <v>700</v>
      </c>
      <c r="E262" s="58">
        <f t="shared" si="84"/>
        <v>1927.4750000000001</v>
      </c>
      <c r="F262" s="58">
        <f t="shared" si="84"/>
        <v>5751.7097222222219</v>
      </c>
      <c r="G262" s="58">
        <f t="shared" si="84"/>
        <v>11971.979166666668</v>
      </c>
      <c r="I262" s="16" t="s">
        <v>490</v>
      </c>
      <c r="J262" s="16">
        <v>1</v>
      </c>
      <c r="K262" s="16">
        <v>2</v>
      </c>
      <c r="L262" s="16">
        <v>3</v>
      </c>
      <c r="M262" s="16">
        <v>4</v>
      </c>
      <c r="P262" s="4"/>
      <c r="Q262" s="16">
        <v>4</v>
      </c>
      <c r="R262" s="96"/>
      <c r="S262" s="96"/>
      <c r="T262" s="96"/>
      <c r="U262" s="96"/>
      <c r="V262" s="1" t="s">
        <v>500</v>
      </c>
    </row>
    <row r="263" spans="2:28" x14ac:dyDescent="0.15">
      <c r="I263" s="5" t="s">
        <v>133</v>
      </c>
      <c r="J263" s="5">
        <f>C12/$C$8</f>
        <v>0.52500000000000002</v>
      </c>
      <c r="K263" s="5">
        <f t="shared" ref="K263:M263" si="86">D12/$C$8</f>
        <v>0.52500000000000002</v>
      </c>
      <c r="L263" s="5">
        <f t="shared" si="86"/>
        <v>0.48749999999999999</v>
      </c>
      <c r="M263" s="5">
        <f t="shared" si="86"/>
        <v>0.46250000000000002</v>
      </c>
      <c r="P263" s="2" t="s">
        <v>40</v>
      </c>
      <c r="Q263" s="16">
        <v>1</v>
      </c>
      <c r="R263" s="94">
        <v>6</v>
      </c>
      <c r="S263" s="94">
        <f t="shared" ref="S263:U263" si="87">R263*1.25</f>
        <v>7.5</v>
      </c>
      <c r="T263" s="94">
        <f t="shared" si="87"/>
        <v>9.375</v>
      </c>
      <c r="U263" s="94">
        <f t="shared" si="87"/>
        <v>11.71875</v>
      </c>
    </row>
    <row r="264" spans="2:28" x14ac:dyDescent="0.15">
      <c r="B264" s="1" t="s">
        <v>377</v>
      </c>
      <c r="I264" s="5" t="s">
        <v>39</v>
      </c>
      <c r="J264" s="56">
        <f>C76/$C$72</f>
        <v>0.45125000000000004</v>
      </c>
      <c r="K264" s="56">
        <f t="shared" ref="K264:M264" si="88">D76/$C$72</f>
        <v>0.45125000000000004</v>
      </c>
      <c r="L264" s="56">
        <f t="shared" si="88"/>
        <v>0.40125</v>
      </c>
      <c r="M264" s="56">
        <f t="shared" si="88"/>
        <v>0.34142857142857147</v>
      </c>
      <c r="P264" s="3"/>
      <c r="Q264" s="16">
        <v>2</v>
      </c>
      <c r="R264" s="94">
        <v>2</v>
      </c>
      <c r="S264" s="94">
        <f t="shared" ref="S264:U264" si="89">R264*1.25</f>
        <v>2.5</v>
      </c>
      <c r="T264" s="94">
        <f t="shared" si="89"/>
        <v>3.125</v>
      </c>
      <c r="U264" s="94">
        <f t="shared" si="89"/>
        <v>3.90625</v>
      </c>
    </row>
    <row r="265" spans="2:28" x14ac:dyDescent="0.15">
      <c r="B265" s="16" t="s">
        <v>132</v>
      </c>
      <c r="C265" s="16" t="s">
        <v>344</v>
      </c>
      <c r="D265" s="16">
        <v>1</v>
      </c>
      <c r="E265" s="16">
        <v>2</v>
      </c>
      <c r="F265" s="16">
        <v>3</v>
      </c>
      <c r="G265" s="16">
        <v>4</v>
      </c>
      <c r="I265" s="5" t="s">
        <v>40</v>
      </c>
      <c r="J265" s="56">
        <f>C141/$C$137</f>
        <v>0.47000000000000003</v>
      </c>
      <c r="K265" s="56">
        <f t="shared" ref="K265:M265" si="90">D141/$C$137</f>
        <v>0.47000000000000003</v>
      </c>
      <c r="L265" s="56">
        <f t="shared" si="90"/>
        <v>0.47000000000000003</v>
      </c>
      <c r="M265" s="56">
        <f t="shared" si="90"/>
        <v>0.46166666666666673</v>
      </c>
      <c r="P265" s="3"/>
      <c r="Q265" s="16">
        <v>3</v>
      </c>
      <c r="R265" s="94">
        <v>4</v>
      </c>
      <c r="S265" s="94">
        <f t="shared" ref="S265:U265" si="91">R265*1.25</f>
        <v>5</v>
      </c>
      <c r="T265" s="94">
        <f t="shared" si="91"/>
        <v>6.25</v>
      </c>
      <c r="U265" s="94">
        <f t="shared" si="91"/>
        <v>7.8125</v>
      </c>
    </row>
    <row r="266" spans="2:28" x14ac:dyDescent="0.15">
      <c r="B266" s="2" t="s">
        <v>133</v>
      </c>
      <c r="C266" s="5" t="s">
        <v>289</v>
      </c>
      <c r="D266" s="58">
        <f t="shared" ref="D266:G267" si="92">D49</f>
        <v>48.630316742081448</v>
      </c>
      <c r="E266" s="58">
        <f t="shared" si="92"/>
        <v>58.280316742081453</v>
      </c>
      <c r="F266" s="58">
        <f t="shared" si="92"/>
        <v>65.685294117647061</v>
      </c>
      <c r="G266" s="58">
        <f t="shared" si="92"/>
        <v>77.47194570135747</v>
      </c>
      <c r="I266" s="5" t="s">
        <v>41</v>
      </c>
      <c r="J266" s="56">
        <f>C199/$C$195</f>
        <v>0.65125</v>
      </c>
      <c r="K266" s="56">
        <f t="shared" ref="K266:M266" si="93">D199/$C$195</f>
        <v>0.61124999999999996</v>
      </c>
      <c r="L266" s="56">
        <f t="shared" si="93"/>
        <v>0.57125000000000004</v>
      </c>
      <c r="M266" s="56">
        <f t="shared" si="93"/>
        <v>0.55666666666666664</v>
      </c>
      <c r="P266" s="4"/>
      <c r="Q266" s="16">
        <v>4</v>
      </c>
      <c r="R266" s="93"/>
      <c r="S266" s="93"/>
      <c r="T266" s="93"/>
      <c r="U266" s="93"/>
      <c r="V266" s="1" t="s">
        <v>500</v>
      </c>
    </row>
    <row r="267" spans="2:28" x14ac:dyDescent="0.15">
      <c r="B267" s="4"/>
      <c r="C267" s="5" t="s">
        <v>290</v>
      </c>
      <c r="D267" s="58">
        <f t="shared" si="92"/>
        <v>657.5</v>
      </c>
      <c r="E267" s="58">
        <f t="shared" si="92"/>
        <v>1797.5</v>
      </c>
      <c r="F267" s="58">
        <f t="shared" si="92"/>
        <v>4397.5</v>
      </c>
      <c r="G267" s="58">
        <f t="shared" si="92"/>
        <v>8670</v>
      </c>
      <c r="I267" s="5" t="s">
        <v>489</v>
      </c>
      <c r="J267" s="5">
        <f>AVERAGE(J263:J266)</f>
        <v>0.52437500000000004</v>
      </c>
      <c r="K267" s="5">
        <f t="shared" ref="K267" si="94">AVERAGE(K263:K266)</f>
        <v>0.51437500000000003</v>
      </c>
      <c r="L267" s="5">
        <f t="shared" ref="L267" si="95">AVERAGE(L263:L266)</f>
        <v>0.48249999999999998</v>
      </c>
      <c r="M267" s="5">
        <f t="shared" ref="M267" si="96">AVERAGE(M263:M266)</f>
        <v>0.45556547619047622</v>
      </c>
      <c r="P267" s="2" t="s">
        <v>41</v>
      </c>
      <c r="Q267" s="16">
        <v>1</v>
      </c>
      <c r="R267" s="94">
        <v>5</v>
      </c>
      <c r="S267" s="94">
        <f t="shared" ref="S267:U267" si="97">R267*1.25</f>
        <v>6.25</v>
      </c>
      <c r="T267" s="94">
        <f t="shared" si="97"/>
        <v>7.8125</v>
      </c>
      <c r="U267" s="94">
        <f t="shared" si="97"/>
        <v>9.765625</v>
      </c>
    </row>
    <row r="268" spans="2:28" x14ac:dyDescent="0.15">
      <c r="B268" s="2" t="s">
        <v>39</v>
      </c>
      <c r="C268" s="5" t="s">
        <v>289</v>
      </c>
      <c r="D268" s="58">
        <f t="shared" ref="D268:G269" si="98">D109</f>
        <v>45.235588235294124</v>
      </c>
      <c r="E268" s="58">
        <f t="shared" si="98"/>
        <v>52.665588235294123</v>
      </c>
      <c r="F268" s="58">
        <f t="shared" si="98"/>
        <v>60.144705882352945</v>
      </c>
      <c r="G268" s="58">
        <f t="shared" si="98"/>
        <v>69.988739495798328</v>
      </c>
      <c r="P268" s="3"/>
      <c r="Q268" s="16">
        <v>2</v>
      </c>
      <c r="R268" s="94">
        <v>3</v>
      </c>
      <c r="S268" s="94">
        <f t="shared" ref="S268:U268" si="99">R268*1.25</f>
        <v>3.75</v>
      </c>
      <c r="T268" s="94">
        <f t="shared" si="99"/>
        <v>4.6875</v>
      </c>
      <c r="U268" s="94">
        <f t="shared" si="99"/>
        <v>5.859375</v>
      </c>
    </row>
    <row r="269" spans="2:28" x14ac:dyDescent="0.15">
      <c r="B269" s="4"/>
      <c r="C269" s="5" t="s">
        <v>290</v>
      </c>
      <c r="D269" s="58">
        <f t="shared" si="98"/>
        <v>799</v>
      </c>
      <c r="E269" s="58">
        <f t="shared" si="98"/>
        <v>1655.25</v>
      </c>
      <c r="F269" s="58">
        <f t="shared" si="98"/>
        <v>3706.875</v>
      </c>
      <c r="G269" s="58">
        <f t="shared" si="98"/>
        <v>8212</v>
      </c>
      <c r="P269" s="3"/>
      <c r="Q269" s="16">
        <v>3</v>
      </c>
      <c r="R269" s="94">
        <v>4</v>
      </c>
      <c r="S269" s="94">
        <f t="shared" ref="S269:U269" si="100">R269*1.25</f>
        <v>5</v>
      </c>
      <c r="T269" s="94">
        <f t="shared" si="100"/>
        <v>6.25</v>
      </c>
      <c r="U269" s="94">
        <f t="shared" si="100"/>
        <v>7.8125</v>
      </c>
    </row>
    <row r="270" spans="2:28" x14ac:dyDescent="0.15">
      <c r="B270" s="2" t="s">
        <v>40</v>
      </c>
      <c r="C270" s="5" t="s">
        <v>289</v>
      </c>
      <c r="D270" s="58">
        <f t="shared" ref="D270:G271" si="101">D174</f>
        <v>48.361842105263158</v>
      </c>
      <c r="E270" s="58">
        <f t="shared" si="101"/>
        <v>56.60184210526316</v>
      </c>
      <c r="F270" s="58">
        <f t="shared" si="101"/>
        <v>66.856842105263155</v>
      </c>
      <c r="G270" s="58">
        <f t="shared" si="101"/>
        <v>63.854912280701754</v>
      </c>
      <c r="P270" s="4"/>
      <c r="Q270" s="16">
        <v>4</v>
      </c>
      <c r="R270" s="93"/>
      <c r="S270" s="93"/>
      <c r="T270" s="93"/>
      <c r="U270" s="93"/>
    </row>
    <row r="271" spans="2:28" x14ac:dyDescent="0.15">
      <c r="B271" s="4"/>
      <c r="C271" s="5" t="s">
        <v>290</v>
      </c>
      <c r="D271" s="58">
        <f t="shared" si="101"/>
        <v>825.625</v>
      </c>
      <c r="E271" s="58">
        <f t="shared" si="101"/>
        <v>2063.25</v>
      </c>
      <c r="F271" s="58">
        <f t="shared" si="101"/>
        <v>4489</v>
      </c>
      <c r="G271" s="58">
        <f t="shared" si="101"/>
        <v>6927.5</v>
      </c>
    </row>
    <row r="272" spans="2:28" x14ac:dyDescent="0.15">
      <c r="B272" s="2" t="s">
        <v>41</v>
      </c>
      <c r="C272" s="5" t="s">
        <v>289</v>
      </c>
      <c r="D272" s="58">
        <f t="shared" ref="D272:G273" si="102">D232</f>
        <v>59.356481481481481</v>
      </c>
      <c r="E272" s="58">
        <f t="shared" si="102"/>
        <v>64.475555555555545</v>
      </c>
      <c r="F272" s="58">
        <f t="shared" si="102"/>
        <v>71.234629629629637</v>
      </c>
      <c r="G272" s="58">
        <f t="shared" si="102"/>
        <v>81.427469135802454</v>
      </c>
      <c r="P272" s="1" t="s">
        <v>345</v>
      </c>
    </row>
    <row r="273" spans="2:21" x14ac:dyDescent="0.15">
      <c r="B273" s="4"/>
      <c r="C273" s="5" t="s">
        <v>290</v>
      </c>
      <c r="D273" s="58">
        <f t="shared" si="102"/>
        <v>700</v>
      </c>
      <c r="E273" s="58">
        <f t="shared" si="102"/>
        <v>1752.25</v>
      </c>
      <c r="F273" s="58">
        <f t="shared" si="102"/>
        <v>4373</v>
      </c>
      <c r="G273" s="58">
        <f t="shared" si="102"/>
        <v>8193.75</v>
      </c>
      <c r="P273" s="16" t="s">
        <v>132</v>
      </c>
      <c r="Q273" s="16" t="s">
        <v>0</v>
      </c>
      <c r="R273" s="16" t="s">
        <v>492</v>
      </c>
      <c r="S273" s="16" t="s">
        <v>493</v>
      </c>
      <c r="T273" s="16" t="s">
        <v>494</v>
      </c>
      <c r="U273" s="16" t="s">
        <v>495</v>
      </c>
    </row>
    <row r="274" spans="2:21" x14ac:dyDescent="0.15">
      <c r="B274" s="2" t="s">
        <v>376</v>
      </c>
      <c r="C274" s="5" t="s">
        <v>289</v>
      </c>
      <c r="D274" s="58">
        <f>AVERAGE(D266,D268,D270,D272)</f>
        <v>50.396057141030056</v>
      </c>
      <c r="E274" s="58">
        <f t="shared" ref="E274:G275" si="103">AVERAGE(E266,E268,E270,E272)</f>
        <v>58.005825659548577</v>
      </c>
      <c r="F274" s="58">
        <f t="shared" si="103"/>
        <v>65.980367933723201</v>
      </c>
      <c r="G274" s="58">
        <f t="shared" si="103"/>
        <v>73.185766653414987</v>
      </c>
      <c r="P274" s="2" t="s">
        <v>133</v>
      </c>
      <c r="Q274" s="16">
        <v>1</v>
      </c>
      <c r="R274" s="97">
        <f>R255/P6</f>
        <v>3.2352941176470589</v>
      </c>
      <c r="S274" s="97">
        <f t="shared" ref="S274:U274" si="104">S255/Q6</f>
        <v>4.0441176470588234</v>
      </c>
      <c r="T274" s="97">
        <f t="shared" si="104"/>
        <v>4.296875</v>
      </c>
      <c r="U274" s="97">
        <f t="shared" si="104"/>
        <v>5.37109375</v>
      </c>
    </row>
    <row r="275" spans="2:21" x14ac:dyDescent="0.15">
      <c r="B275" s="4"/>
      <c r="C275" s="5" t="s">
        <v>290</v>
      </c>
      <c r="D275" s="58">
        <f>AVERAGE(D267,D269,D271,D273)</f>
        <v>745.53125</v>
      </c>
      <c r="E275" s="58">
        <f t="shared" si="103"/>
        <v>1817.0625</v>
      </c>
      <c r="F275" s="58">
        <f t="shared" si="103"/>
        <v>4241.59375</v>
      </c>
      <c r="G275" s="58">
        <f t="shared" si="103"/>
        <v>8000.8125</v>
      </c>
      <c r="P275" s="3"/>
      <c r="Q275" s="16">
        <v>2</v>
      </c>
      <c r="R275" s="97">
        <f>R256/P13</f>
        <v>3</v>
      </c>
      <c r="S275" s="97">
        <f t="shared" ref="S275:U275" si="105">S256/Q13</f>
        <v>3.75</v>
      </c>
      <c r="T275" s="97">
        <f t="shared" si="105"/>
        <v>4.6875</v>
      </c>
      <c r="U275" s="97">
        <f t="shared" si="105"/>
        <v>5.859375</v>
      </c>
    </row>
    <row r="276" spans="2:21" x14ac:dyDescent="0.15">
      <c r="I276" s="1" t="s">
        <v>486</v>
      </c>
      <c r="P276" s="3"/>
      <c r="Q276" s="16">
        <v>3</v>
      </c>
      <c r="R276" s="97">
        <f>R257/P20</f>
        <v>4</v>
      </c>
      <c r="S276" s="97">
        <f t="shared" ref="S276:U276" si="106">S257/Q20</f>
        <v>5</v>
      </c>
      <c r="T276" s="97">
        <f t="shared" si="106"/>
        <v>6.25</v>
      </c>
      <c r="U276" s="97">
        <f t="shared" si="106"/>
        <v>7.8125</v>
      </c>
    </row>
    <row r="277" spans="2:21" x14ac:dyDescent="0.15">
      <c r="B277" s="1" t="s">
        <v>378</v>
      </c>
      <c r="I277" s="16" t="s">
        <v>132</v>
      </c>
      <c r="J277" s="16" t="s">
        <v>344</v>
      </c>
      <c r="K277" s="16">
        <v>1</v>
      </c>
      <c r="L277" s="16">
        <v>2</v>
      </c>
      <c r="M277" s="16">
        <v>3</v>
      </c>
      <c r="N277" s="16">
        <v>4</v>
      </c>
      <c r="P277" s="4"/>
      <c r="Q277" s="16">
        <v>4</v>
      </c>
      <c r="R277" s="98"/>
      <c r="S277" s="97">
        <f t="shared" ref="S277:U277" si="107">S258/Q31</f>
        <v>2.0833333333333335</v>
      </c>
      <c r="T277" s="97">
        <f t="shared" si="107"/>
        <v>2.604166666666667</v>
      </c>
      <c r="U277" s="97">
        <f t="shared" si="107"/>
        <v>3.2552083333333335</v>
      </c>
    </row>
    <row r="278" spans="2:21" x14ac:dyDescent="0.15">
      <c r="B278" s="16" t="s">
        <v>132</v>
      </c>
      <c r="C278" s="16" t="s">
        <v>344</v>
      </c>
      <c r="D278" s="16">
        <v>1</v>
      </c>
      <c r="E278" s="16">
        <v>2</v>
      </c>
      <c r="F278" s="16">
        <v>3</v>
      </c>
      <c r="G278" s="16">
        <v>4</v>
      </c>
      <c r="I278" s="2" t="s">
        <v>133</v>
      </c>
      <c r="J278" s="5" t="s">
        <v>289</v>
      </c>
      <c r="K278" s="58">
        <f t="shared" ref="K278:N279" si="108">W14</f>
        <v>10.52</v>
      </c>
      <c r="L278" s="58">
        <f t="shared" si="108"/>
        <v>14.379999999999999</v>
      </c>
      <c r="M278" s="58">
        <f t="shared" si="108"/>
        <v>17.979999999999997</v>
      </c>
      <c r="N278" s="58">
        <f t="shared" si="108"/>
        <v>22.47</v>
      </c>
      <c r="P278" s="2" t="s">
        <v>39</v>
      </c>
      <c r="Q278" s="16">
        <v>1</v>
      </c>
      <c r="R278" s="97">
        <f>R259/P70</f>
        <v>2.75</v>
      </c>
      <c r="S278" s="97">
        <f t="shared" ref="S278:U278" si="109">S259/Q70</f>
        <v>3.4375</v>
      </c>
      <c r="T278" s="97">
        <f t="shared" si="109"/>
        <v>3.4375</v>
      </c>
      <c r="U278" s="97">
        <f t="shared" si="109"/>
        <v>3.580729166666667</v>
      </c>
    </row>
    <row r="279" spans="2:21" x14ac:dyDescent="0.15">
      <c r="B279" s="2" t="s">
        <v>133</v>
      </c>
      <c r="C279" s="5" t="s">
        <v>289</v>
      </c>
      <c r="D279" s="56">
        <f>D266/D$274</f>
        <v>0.96496272726242649</v>
      </c>
      <c r="E279" s="56">
        <f t="shared" ref="E279:G279" si="110">E266/E$274</f>
        <v>1.0047321295647775</v>
      </c>
      <c r="F279" s="56">
        <f t="shared" si="110"/>
        <v>0.99552785434036162</v>
      </c>
      <c r="G279" s="56">
        <f t="shared" si="110"/>
        <v>1.0585657463730687</v>
      </c>
      <c r="I279" s="4"/>
      <c r="J279" s="5" t="s">
        <v>290</v>
      </c>
      <c r="K279" s="58">
        <f t="shared" si="108"/>
        <v>526</v>
      </c>
      <c r="L279" s="58">
        <f t="shared" si="108"/>
        <v>1438</v>
      </c>
      <c r="M279" s="58">
        <f t="shared" si="108"/>
        <v>3518</v>
      </c>
      <c r="N279" s="58">
        <f t="shared" si="108"/>
        <v>6741</v>
      </c>
      <c r="P279" s="3"/>
      <c r="Q279" s="16">
        <v>2</v>
      </c>
      <c r="R279" s="97">
        <f>R260/P75</f>
        <v>6</v>
      </c>
      <c r="S279" s="97">
        <f t="shared" ref="S279:U279" si="111">S260/Q75</f>
        <v>7.5</v>
      </c>
      <c r="T279" s="97">
        <f t="shared" si="111"/>
        <v>9.375</v>
      </c>
      <c r="U279" s="97">
        <f t="shared" si="111"/>
        <v>11.71875</v>
      </c>
    </row>
    <row r="280" spans="2:21" x14ac:dyDescent="0.15">
      <c r="B280" s="4"/>
      <c r="C280" s="5" t="s">
        <v>290</v>
      </c>
      <c r="D280" s="56">
        <f>D267/D$275</f>
        <v>0.88192144863142896</v>
      </c>
      <c r="E280" s="56">
        <f t="shared" ref="E280:G280" si="112">E267/E$275</f>
        <v>0.98923399717951366</v>
      </c>
      <c r="F280" s="56">
        <f t="shared" si="112"/>
        <v>1.0367565257752467</v>
      </c>
      <c r="G280" s="56">
        <f t="shared" si="112"/>
        <v>1.0836399428183074</v>
      </c>
      <c r="I280" s="2" t="s">
        <v>39</v>
      </c>
      <c r="J280" s="5" t="s">
        <v>289</v>
      </c>
      <c r="K280" s="58">
        <f t="shared" ref="K280:N281" si="113">W78</f>
        <v>13.82</v>
      </c>
      <c r="L280" s="58">
        <f t="shared" si="113"/>
        <v>17.259999999999998</v>
      </c>
      <c r="M280" s="58">
        <f t="shared" si="113"/>
        <v>21.51</v>
      </c>
      <c r="N280" s="58">
        <f t="shared" si="113"/>
        <v>27.020000000000003</v>
      </c>
      <c r="P280" s="3"/>
      <c r="Q280" s="16">
        <v>3</v>
      </c>
      <c r="R280" s="97">
        <f>R261/P85</f>
        <v>2.7777777777777777</v>
      </c>
      <c r="S280" s="97">
        <f t="shared" ref="S280:U280" si="114">S261/Q85</f>
        <v>3.4722222222222223</v>
      </c>
      <c r="T280" s="97">
        <f t="shared" si="114"/>
        <v>4.3402777777777777</v>
      </c>
      <c r="U280" s="97">
        <f t="shared" si="114"/>
        <v>5.4253472222222223</v>
      </c>
    </row>
    <row r="281" spans="2:21" x14ac:dyDescent="0.15">
      <c r="B281" s="2" t="s">
        <v>39</v>
      </c>
      <c r="C281" s="5" t="s">
        <v>289</v>
      </c>
      <c r="D281" s="56">
        <f t="shared" ref="D281:G281" si="115">D268/D$274</f>
        <v>0.89760173318133407</v>
      </c>
      <c r="E281" s="56">
        <f t="shared" si="115"/>
        <v>0.90793618807190657</v>
      </c>
      <c r="F281" s="56">
        <f t="shared" si="115"/>
        <v>0.91155456942537605</v>
      </c>
      <c r="G281" s="56">
        <f t="shared" si="115"/>
        <v>0.9563162715401099</v>
      </c>
      <c r="I281" s="4"/>
      <c r="J281" s="5" t="s">
        <v>290</v>
      </c>
      <c r="K281" s="58">
        <f t="shared" si="113"/>
        <v>689</v>
      </c>
      <c r="L281" s="58">
        <f t="shared" si="113"/>
        <v>1449</v>
      </c>
      <c r="M281" s="58">
        <f t="shared" si="113"/>
        <v>3277.5</v>
      </c>
      <c r="N281" s="58">
        <f t="shared" si="113"/>
        <v>7352</v>
      </c>
      <c r="P281" s="4"/>
      <c r="Q281" s="16">
        <v>4</v>
      </c>
      <c r="R281" s="98"/>
      <c r="S281" s="98"/>
      <c r="T281" s="98"/>
      <c r="U281" s="98"/>
    </row>
    <row r="282" spans="2:21" x14ac:dyDescent="0.15">
      <c r="B282" s="4"/>
      <c r="C282" s="5" t="s">
        <v>290</v>
      </c>
      <c r="D282" s="56">
        <f t="shared" ref="D282:G282" si="116">D269/D$275</f>
        <v>1.0717189923292954</v>
      </c>
      <c r="E282" s="56">
        <f t="shared" si="116"/>
        <v>0.91094830254875658</v>
      </c>
      <c r="F282" s="56">
        <f t="shared" si="116"/>
        <v>0.87393447333328422</v>
      </c>
      <c r="G282" s="56">
        <f t="shared" si="116"/>
        <v>1.0263957566809621</v>
      </c>
      <c r="I282" s="2" t="s">
        <v>40</v>
      </c>
      <c r="J282" s="5" t="s">
        <v>289</v>
      </c>
      <c r="K282" s="58">
        <f t="shared" ref="K282:N283" si="117">W143</f>
        <v>12.01</v>
      </c>
      <c r="L282" s="58">
        <f t="shared" si="117"/>
        <v>15.01</v>
      </c>
      <c r="M282" s="58">
        <f t="shared" si="117"/>
        <v>18.73</v>
      </c>
      <c r="N282" s="58">
        <f t="shared" si="117"/>
        <v>23.42</v>
      </c>
      <c r="P282" s="2" t="s">
        <v>40</v>
      </c>
      <c r="Q282" s="16">
        <v>1</v>
      </c>
      <c r="R282" s="97">
        <f>R263/P135</f>
        <v>2.4</v>
      </c>
      <c r="S282" s="97">
        <f t="shared" ref="S282:U282" si="118">S263/Q135</f>
        <v>3</v>
      </c>
      <c r="T282" s="97">
        <f t="shared" si="118"/>
        <v>3.75</v>
      </c>
      <c r="U282" s="97">
        <f t="shared" si="118"/>
        <v>4.6875</v>
      </c>
    </row>
    <row r="283" spans="2:21" x14ac:dyDescent="0.15">
      <c r="B283" s="2" t="s">
        <v>40</v>
      </c>
      <c r="C283" s="5" t="s">
        <v>289</v>
      </c>
      <c r="D283" s="56">
        <f t="shared" ref="D283:G283" si="119">D270/D$274</f>
        <v>0.95963543278645225</v>
      </c>
      <c r="E283" s="56">
        <f t="shared" si="119"/>
        <v>0.97579581812134242</v>
      </c>
      <c r="F283" s="56">
        <f t="shared" si="119"/>
        <v>1.0132838630487839</v>
      </c>
      <c r="G283" s="56">
        <f t="shared" si="119"/>
        <v>0.87250452103752285</v>
      </c>
      <c r="I283" s="4"/>
      <c r="J283" s="5" t="s">
        <v>290</v>
      </c>
      <c r="K283" s="58">
        <f t="shared" si="117"/>
        <v>600.5</v>
      </c>
      <c r="L283" s="58">
        <f t="shared" si="117"/>
        <v>1501</v>
      </c>
      <c r="M283" s="58">
        <f t="shared" si="117"/>
        <v>3122</v>
      </c>
      <c r="N283" s="58">
        <f t="shared" si="117"/>
        <v>6635</v>
      </c>
      <c r="P283" s="3"/>
      <c r="Q283" s="16">
        <v>2</v>
      </c>
      <c r="R283" s="97">
        <f>R264/P140</f>
        <v>2</v>
      </c>
      <c r="S283" s="97">
        <f t="shared" ref="S283:U283" si="120">S264/Q140</f>
        <v>2.5</v>
      </c>
      <c r="T283" s="97">
        <f t="shared" si="120"/>
        <v>3.125</v>
      </c>
      <c r="U283" s="97">
        <f t="shared" si="120"/>
        <v>3.90625</v>
      </c>
    </row>
    <row r="284" spans="2:21" x14ac:dyDescent="0.15">
      <c r="B284" s="4"/>
      <c r="C284" s="5" t="s">
        <v>290</v>
      </c>
      <c r="D284" s="56">
        <f t="shared" ref="D284:G284" si="121">D271/D$275</f>
        <v>1.1074317810286289</v>
      </c>
      <c r="E284" s="56">
        <f t="shared" si="121"/>
        <v>1.1354865338974307</v>
      </c>
      <c r="F284" s="56">
        <f t="shared" si="121"/>
        <v>1.0583286058453854</v>
      </c>
      <c r="G284" s="56">
        <f t="shared" si="121"/>
        <v>0.86584956215384379</v>
      </c>
      <c r="I284" s="2" t="s">
        <v>41</v>
      </c>
      <c r="J284" s="5" t="s">
        <v>289</v>
      </c>
      <c r="K284" s="58">
        <f t="shared" ref="K284:N285" si="122">W201</f>
        <v>12</v>
      </c>
      <c r="L284" s="58">
        <f t="shared" si="122"/>
        <v>15.02</v>
      </c>
      <c r="M284" s="58">
        <f t="shared" si="122"/>
        <v>18.740000000000002</v>
      </c>
      <c r="N284" s="58">
        <f t="shared" si="122"/>
        <v>23.41</v>
      </c>
      <c r="P284" s="3"/>
      <c r="Q284" s="16">
        <v>3</v>
      </c>
      <c r="R284" s="97">
        <f>R265/P145</f>
        <v>3.0769230769230766</v>
      </c>
      <c r="S284" s="97">
        <f t="shared" ref="S284:U284" si="123">S265/Q145</f>
        <v>3.8461538461538458</v>
      </c>
      <c r="T284" s="97">
        <f t="shared" si="123"/>
        <v>4.8076923076923075</v>
      </c>
      <c r="U284" s="97">
        <f t="shared" si="123"/>
        <v>6.0096153846153841</v>
      </c>
    </row>
    <row r="285" spans="2:21" x14ac:dyDescent="0.15">
      <c r="B285" s="2" t="s">
        <v>41</v>
      </c>
      <c r="C285" s="5" t="s">
        <v>289</v>
      </c>
      <c r="D285" s="56">
        <f t="shared" ref="D285:G285" si="124">D272/D$274</f>
        <v>1.177800106769787</v>
      </c>
      <c r="E285" s="56">
        <f t="shared" si="124"/>
        <v>1.111535864241973</v>
      </c>
      <c r="F285" s="56">
        <f t="shared" si="124"/>
        <v>1.0796337131854783</v>
      </c>
      <c r="G285" s="56">
        <f t="shared" si="124"/>
        <v>1.1126134610492995</v>
      </c>
      <c r="I285" s="4"/>
      <c r="J285" s="5" t="s">
        <v>290</v>
      </c>
      <c r="K285" s="58">
        <f t="shared" si="122"/>
        <v>600</v>
      </c>
      <c r="L285" s="58">
        <f t="shared" si="122"/>
        <v>1502</v>
      </c>
      <c r="M285" s="58">
        <f t="shared" si="122"/>
        <v>3748</v>
      </c>
      <c r="N285" s="58">
        <f t="shared" si="122"/>
        <v>7023</v>
      </c>
      <c r="P285" s="4"/>
      <c r="Q285" s="16">
        <v>4</v>
      </c>
      <c r="R285" s="98"/>
      <c r="S285" s="98"/>
      <c r="T285" s="98"/>
      <c r="U285" s="98"/>
    </row>
    <row r="286" spans="2:21" x14ac:dyDescent="0.15">
      <c r="B286" s="4"/>
      <c r="C286" s="5" t="s">
        <v>290</v>
      </c>
      <c r="D286" s="56">
        <f t="shared" ref="D286:G286" si="125">D273/D$275</f>
        <v>0.93892777801064675</v>
      </c>
      <c r="E286" s="56">
        <f t="shared" si="125"/>
        <v>0.96433116637429916</v>
      </c>
      <c r="F286" s="56">
        <f t="shared" si="125"/>
        <v>1.0309803950460839</v>
      </c>
      <c r="G286" s="56">
        <f t="shared" si="125"/>
        <v>1.0241147383468867</v>
      </c>
      <c r="I286" s="2" t="s">
        <v>376</v>
      </c>
      <c r="J286" s="5" t="s">
        <v>289</v>
      </c>
      <c r="K286" s="58">
        <f>AVERAGE(K278,K280,K282,K284)</f>
        <v>12.0875</v>
      </c>
      <c r="L286" s="58">
        <f t="shared" ref="L286:N287" si="126">AVERAGE(L278,L280,L282,L284)</f>
        <v>15.4175</v>
      </c>
      <c r="M286" s="58">
        <f t="shared" si="126"/>
        <v>19.240000000000002</v>
      </c>
      <c r="N286" s="58">
        <f t="shared" si="126"/>
        <v>24.08</v>
      </c>
      <c r="P286" s="2" t="s">
        <v>41</v>
      </c>
      <c r="Q286" s="16">
        <v>1</v>
      </c>
      <c r="R286" s="97">
        <f>R267/P193</f>
        <v>5.5555555555555554</v>
      </c>
      <c r="S286" s="97">
        <f t="shared" ref="S286:U286" si="127">S267/Q193</f>
        <v>6.9444444444444446</v>
      </c>
      <c r="T286" s="97">
        <f t="shared" si="127"/>
        <v>8.6805555555555554</v>
      </c>
      <c r="U286" s="97">
        <f t="shared" si="127"/>
        <v>10.850694444444445</v>
      </c>
    </row>
    <row r="287" spans="2:21" x14ac:dyDescent="0.15">
      <c r="I287" s="4"/>
      <c r="J287" s="5" t="s">
        <v>290</v>
      </c>
      <c r="K287" s="58">
        <f>AVERAGE(K279,K281,K283,K285)</f>
        <v>603.875</v>
      </c>
      <c r="L287" s="58">
        <f t="shared" si="126"/>
        <v>1472.5</v>
      </c>
      <c r="M287" s="58">
        <f t="shared" si="126"/>
        <v>3416.375</v>
      </c>
      <c r="N287" s="58">
        <f t="shared" si="126"/>
        <v>6937.75</v>
      </c>
      <c r="P287" s="3"/>
      <c r="Q287" s="16">
        <v>2</v>
      </c>
      <c r="R287" s="97">
        <f>R268/P200</f>
        <v>3.333333333333333</v>
      </c>
      <c r="S287" s="97">
        <f t="shared" ref="S287:U287" si="128">S268/Q200</f>
        <v>4.166666666666667</v>
      </c>
      <c r="T287" s="97">
        <f t="shared" si="128"/>
        <v>5.208333333333333</v>
      </c>
      <c r="U287" s="97">
        <f t="shared" si="128"/>
        <v>6.5104166666666661</v>
      </c>
    </row>
    <row r="288" spans="2:21" x14ac:dyDescent="0.15">
      <c r="C288" s="1">
        <f>(C290-2)/2</f>
        <v>0.25990142852575149</v>
      </c>
      <c r="D288" s="1">
        <f t="shared" ref="D288:F288" si="129">(D290-2)/2</f>
        <v>0.45014564148871439</v>
      </c>
      <c r="E288" s="1">
        <f t="shared" si="129"/>
        <v>0.64950919834308007</v>
      </c>
      <c r="F288" s="1">
        <f t="shared" si="129"/>
        <v>0.82964416633537463</v>
      </c>
      <c r="P288" s="3"/>
      <c r="Q288" s="16">
        <v>3</v>
      </c>
      <c r="R288" s="97">
        <f>R269/P207</f>
        <v>5</v>
      </c>
      <c r="S288" s="97">
        <f t="shared" ref="S288:U288" si="130">S269/Q207</f>
        <v>4.166666666666667</v>
      </c>
      <c r="T288" s="97">
        <f t="shared" si="130"/>
        <v>3.90625</v>
      </c>
      <c r="U288" s="97">
        <f t="shared" si="130"/>
        <v>4.8828125</v>
      </c>
    </row>
    <row r="289" spans="2:21" x14ac:dyDescent="0.15">
      <c r="B289" s="16" t="s">
        <v>463</v>
      </c>
      <c r="C289" s="16">
        <v>1</v>
      </c>
      <c r="D289" s="16">
        <v>2</v>
      </c>
      <c r="E289" s="16">
        <v>3</v>
      </c>
      <c r="F289" s="16">
        <v>4</v>
      </c>
      <c r="P289" s="4"/>
      <c r="Q289" s="16">
        <v>4</v>
      </c>
      <c r="R289" s="98"/>
      <c r="S289" s="98"/>
      <c r="T289" s="98"/>
      <c r="U289" s="98"/>
    </row>
    <row r="290" spans="2:21" x14ac:dyDescent="0.15">
      <c r="B290" s="5" t="s">
        <v>289</v>
      </c>
      <c r="C290" s="5">
        <f>D274/20</f>
        <v>2.519802857051503</v>
      </c>
      <c r="D290" s="5">
        <f t="shared" ref="D290:F291" si="131">E274/20</f>
        <v>2.9002912829774288</v>
      </c>
      <c r="E290" s="5">
        <f t="shared" si="131"/>
        <v>3.2990183966861601</v>
      </c>
      <c r="F290" s="5">
        <f t="shared" si="131"/>
        <v>3.6592883326707493</v>
      </c>
    </row>
    <row r="291" spans="2:21" x14ac:dyDescent="0.15">
      <c r="B291" s="5" t="s">
        <v>290</v>
      </c>
      <c r="C291" s="5">
        <f>D275/20</f>
        <v>37.276562499999997</v>
      </c>
      <c r="D291" s="5">
        <f t="shared" si="131"/>
        <v>90.853125000000006</v>
      </c>
      <c r="E291" s="5">
        <f t="shared" si="131"/>
        <v>212.07968750000001</v>
      </c>
      <c r="F291" s="5">
        <f t="shared" si="131"/>
        <v>400.04062499999998</v>
      </c>
    </row>
    <row r="292" spans="2:21" x14ac:dyDescent="0.15">
      <c r="C292" s="1">
        <f>60/C290</f>
        <v>23.811386605937816</v>
      </c>
      <c r="D292" s="1">
        <f t="shared" ref="D292:F292" si="132">60/D290</f>
        <v>20.687577262379044</v>
      </c>
      <c r="E292" s="1">
        <f t="shared" si="132"/>
        <v>18.187228073741437</v>
      </c>
      <c r="F292" s="1">
        <f t="shared" si="132"/>
        <v>16.396630859697439</v>
      </c>
    </row>
    <row r="293" spans="2:21" x14ac:dyDescent="0.15">
      <c r="B293" s="1" t="s">
        <v>464</v>
      </c>
    </row>
    <row r="294" spans="2:21" x14ac:dyDescent="0.15">
      <c r="B294" s="57"/>
      <c r="C294" s="57"/>
      <c r="D294" s="89" t="s">
        <v>506</v>
      </c>
      <c r="E294" s="100"/>
      <c r="F294" s="57"/>
      <c r="G294" s="57"/>
      <c r="H294" s="14" t="s">
        <v>275</v>
      </c>
      <c r="I294" s="19"/>
      <c r="J294" s="19"/>
      <c r="K294" s="19"/>
      <c r="L294" s="19"/>
      <c r="M294" s="19"/>
      <c r="N294" s="19"/>
      <c r="O294" s="19"/>
      <c r="P294" s="19"/>
      <c r="Q294" s="15"/>
    </row>
    <row r="295" spans="2:21" x14ac:dyDescent="0.15">
      <c r="B295" s="90"/>
      <c r="C295" s="90"/>
      <c r="D295" s="91"/>
      <c r="E295" s="101"/>
      <c r="F295" s="90"/>
      <c r="G295" s="90"/>
      <c r="H295" s="14">
        <v>1</v>
      </c>
      <c r="I295" s="19"/>
      <c r="J295" s="19"/>
      <c r="K295" s="14">
        <v>4</v>
      </c>
      <c r="L295" s="19"/>
      <c r="M295" s="19"/>
      <c r="N295" s="14">
        <v>6</v>
      </c>
      <c r="O295" s="19"/>
      <c r="P295" s="19"/>
      <c r="Q295" s="15"/>
    </row>
    <row r="296" spans="2:21" x14ac:dyDescent="0.15">
      <c r="B296" s="88" t="s">
        <v>465</v>
      </c>
      <c r="C296" s="88" t="s">
        <v>505</v>
      </c>
      <c r="D296" s="88" t="s">
        <v>467</v>
      </c>
      <c r="E296" s="88" t="s">
        <v>468</v>
      </c>
      <c r="F296" s="88" t="s">
        <v>476</v>
      </c>
      <c r="G296" s="88" t="s">
        <v>466</v>
      </c>
      <c r="H296" s="88" t="s">
        <v>473</v>
      </c>
      <c r="I296" s="88" t="s">
        <v>474</v>
      </c>
      <c r="J296" s="88" t="s">
        <v>475</v>
      </c>
      <c r="K296" s="16" t="s">
        <v>473</v>
      </c>
      <c r="L296" s="16" t="s">
        <v>474</v>
      </c>
      <c r="M296" s="16" t="s">
        <v>475</v>
      </c>
      <c r="N296" s="16" t="s">
        <v>473</v>
      </c>
      <c r="O296" s="16" t="s">
        <v>474</v>
      </c>
      <c r="P296" s="16" t="s">
        <v>475</v>
      </c>
      <c r="Q296" s="16" t="s">
        <v>477</v>
      </c>
    </row>
    <row r="297" spans="2:21" x14ac:dyDescent="0.15">
      <c r="B297" s="4">
        <v>0</v>
      </c>
      <c r="C297" s="5">
        <v>0</v>
      </c>
      <c r="D297" s="5">
        <f>D298</f>
        <v>2.519802857051503</v>
      </c>
      <c r="E297" s="5">
        <f>E298</f>
        <v>37.276562499999997</v>
      </c>
      <c r="F297" s="4">
        <v>0.1</v>
      </c>
      <c r="G297" s="4">
        <v>2</v>
      </c>
      <c r="H297" s="5">
        <f>ROUND(D297*G297/$H$295,2)</f>
        <v>5.04</v>
      </c>
      <c r="I297" s="5">
        <v>0.85</v>
      </c>
      <c r="J297" s="5">
        <f>ROUND(H297*I297,2)</f>
        <v>4.28</v>
      </c>
      <c r="K297" s="5">
        <f>ROUND(D297*G297/$K$295,2)</f>
        <v>1.26</v>
      </c>
      <c r="L297" s="5">
        <v>0.95</v>
      </c>
      <c r="M297" s="5">
        <f>ROUND(K297*L297,2)</f>
        <v>1.2</v>
      </c>
      <c r="N297" s="5">
        <f>ROUND(D297*G297/$N$295,2)</f>
        <v>0.84</v>
      </c>
      <c r="O297" s="5">
        <v>1</v>
      </c>
      <c r="P297" s="5">
        <f>ROUND(N297*O297,2)</f>
        <v>0.84</v>
      </c>
      <c r="Q297" s="5">
        <v>50</v>
      </c>
    </row>
    <row r="298" spans="2:21" x14ac:dyDescent="0.15">
      <c r="B298" s="95">
        <v>1</v>
      </c>
      <c r="C298" s="95">
        <v>11</v>
      </c>
      <c r="D298" s="95">
        <f>C290</f>
        <v>2.519802857051503</v>
      </c>
      <c r="E298" s="95">
        <f>C291</f>
        <v>37.276562499999997</v>
      </c>
      <c r="F298" s="95">
        <v>0.1</v>
      </c>
      <c r="G298" s="95">
        <f>G297+F298</f>
        <v>2.1</v>
      </c>
      <c r="H298" s="5">
        <f t="shared" ref="H298:H315" si="133">ROUND(D298*G298/$H$295,2)</f>
        <v>5.29</v>
      </c>
      <c r="I298" s="5">
        <v>0.85</v>
      </c>
      <c r="J298" s="5">
        <f t="shared" ref="J298:J315" si="134">ROUND(H298*I298,2)</f>
        <v>4.5</v>
      </c>
      <c r="K298" s="5">
        <f t="shared" ref="K298:K315" si="135">ROUND(D298*G298/$K$295,2)</f>
        <v>1.32</v>
      </c>
      <c r="L298" s="5">
        <v>0.95</v>
      </c>
      <c r="M298" s="5">
        <f t="shared" ref="M298:M315" si="136">ROUND(K298*L298,2)</f>
        <v>1.25</v>
      </c>
      <c r="N298" s="5">
        <f t="shared" ref="N298:N315" si="137">ROUND(D298*G298/$N$295,2)</f>
        <v>0.88</v>
      </c>
      <c r="O298" s="5">
        <v>1</v>
      </c>
      <c r="P298" s="5">
        <f t="shared" ref="P298:P315" si="138">ROUND(N298*O298,2)</f>
        <v>0.88</v>
      </c>
      <c r="Q298" s="5">
        <v>100</v>
      </c>
    </row>
    <row r="299" spans="2:21" x14ac:dyDescent="0.15">
      <c r="B299" s="5">
        <v>2</v>
      </c>
      <c r="C299" s="5">
        <v>16</v>
      </c>
      <c r="D299" s="5">
        <f t="shared" ref="D299:E301" si="139">(D$302-D$298)/4+D298</f>
        <v>2.6149249635329843</v>
      </c>
      <c r="E299" s="5">
        <f t="shared" si="139"/>
        <v>50.670703125000003</v>
      </c>
      <c r="F299" s="5">
        <v>0.1</v>
      </c>
      <c r="G299" s="5">
        <f t="shared" ref="G299:G315" si="140">G298+F299</f>
        <v>2.2000000000000002</v>
      </c>
      <c r="H299" s="5">
        <f t="shared" si="133"/>
        <v>5.75</v>
      </c>
      <c r="I299" s="5">
        <v>0.85</v>
      </c>
      <c r="J299" s="5">
        <f t="shared" si="134"/>
        <v>4.8899999999999997</v>
      </c>
      <c r="K299" s="5">
        <f t="shared" si="135"/>
        <v>1.44</v>
      </c>
      <c r="L299" s="5">
        <v>0.95</v>
      </c>
      <c r="M299" s="5">
        <f t="shared" si="136"/>
        <v>1.37</v>
      </c>
      <c r="N299" s="5">
        <f t="shared" si="137"/>
        <v>0.96</v>
      </c>
      <c r="O299" s="5">
        <v>1</v>
      </c>
      <c r="P299" s="5">
        <f t="shared" si="138"/>
        <v>0.96</v>
      </c>
      <c r="Q299" s="5">
        <v>150</v>
      </c>
    </row>
    <row r="300" spans="2:21" x14ac:dyDescent="0.15">
      <c r="B300" s="5">
        <v>3</v>
      </c>
      <c r="C300" s="5">
        <v>21</v>
      </c>
      <c r="D300" s="5">
        <f t="shared" si="139"/>
        <v>2.7100470700144657</v>
      </c>
      <c r="E300" s="5">
        <f t="shared" si="139"/>
        <v>64.064843750000009</v>
      </c>
      <c r="F300" s="5">
        <v>0.1</v>
      </c>
      <c r="G300" s="5">
        <f t="shared" si="140"/>
        <v>2.3000000000000003</v>
      </c>
      <c r="H300" s="5">
        <f t="shared" si="133"/>
        <v>6.23</v>
      </c>
      <c r="I300" s="5">
        <v>0.85</v>
      </c>
      <c r="J300" s="5">
        <f t="shared" si="134"/>
        <v>5.3</v>
      </c>
      <c r="K300" s="5">
        <f t="shared" si="135"/>
        <v>1.56</v>
      </c>
      <c r="L300" s="5">
        <v>0.95</v>
      </c>
      <c r="M300" s="5">
        <f t="shared" si="136"/>
        <v>1.48</v>
      </c>
      <c r="N300" s="5">
        <f t="shared" si="137"/>
        <v>1.04</v>
      </c>
      <c r="O300" s="5">
        <v>1</v>
      </c>
      <c r="P300" s="5">
        <f t="shared" si="138"/>
        <v>1.04</v>
      </c>
      <c r="Q300" s="5">
        <v>200</v>
      </c>
    </row>
    <row r="301" spans="2:21" x14ac:dyDescent="0.15">
      <c r="B301" s="5">
        <v>4</v>
      </c>
      <c r="C301" s="5">
        <v>26</v>
      </c>
      <c r="D301" s="5">
        <f t="shared" si="139"/>
        <v>2.805169176495947</v>
      </c>
      <c r="E301" s="5">
        <f t="shared" si="139"/>
        <v>77.458984375000014</v>
      </c>
      <c r="F301" s="5">
        <v>0.1</v>
      </c>
      <c r="G301" s="5">
        <f t="shared" si="140"/>
        <v>2.4000000000000004</v>
      </c>
      <c r="H301" s="5">
        <f t="shared" si="133"/>
        <v>6.73</v>
      </c>
      <c r="I301" s="5">
        <v>0.85</v>
      </c>
      <c r="J301" s="5">
        <f t="shared" si="134"/>
        <v>5.72</v>
      </c>
      <c r="K301" s="5">
        <f t="shared" si="135"/>
        <v>1.68</v>
      </c>
      <c r="L301" s="5">
        <v>0.95</v>
      </c>
      <c r="M301" s="5">
        <f t="shared" si="136"/>
        <v>1.6</v>
      </c>
      <c r="N301" s="5">
        <f t="shared" si="137"/>
        <v>1.1200000000000001</v>
      </c>
      <c r="O301" s="5">
        <v>1</v>
      </c>
      <c r="P301" s="5">
        <f t="shared" si="138"/>
        <v>1.1200000000000001</v>
      </c>
      <c r="Q301" s="5">
        <v>250</v>
      </c>
    </row>
    <row r="302" spans="2:21" x14ac:dyDescent="0.15">
      <c r="B302" s="95">
        <v>5</v>
      </c>
      <c r="C302" s="95">
        <v>31</v>
      </c>
      <c r="D302" s="95">
        <f>D290</f>
        <v>2.9002912829774288</v>
      </c>
      <c r="E302" s="95">
        <f>D291</f>
        <v>90.853125000000006</v>
      </c>
      <c r="F302" s="95">
        <v>0.1</v>
      </c>
      <c r="G302" s="95">
        <f t="shared" si="140"/>
        <v>2.5000000000000004</v>
      </c>
      <c r="H302" s="5">
        <f t="shared" si="133"/>
        <v>7.25</v>
      </c>
      <c r="I302" s="5">
        <v>0.85</v>
      </c>
      <c r="J302" s="5">
        <f t="shared" si="134"/>
        <v>6.16</v>
      </c>
      <c r="K302" s="5">
        <f t="shared" si="135"/>
        <v>1.81</v>
      </c>
      <c r="L302" s="5">
        <v>0.95</v>
      </c>
      <c r="M302" s="5">
        <f t="shared" si="136"/>
        <v>1.72</v>
      </c>
      <c r="N302" s="5">
        <f t="shared" si="137"/>
        <v>1.21</v>
      </c>
      <c r="O302" s="5">
        <v>1</v>
      </c>
      <c r="P302" s="5">
        <f t="shared" si="138"/>
        <v>1.21</v>
      </c>
      <c r="Q302" s="5">
        <v>300</v>
      </c>
    </row>
    <row r="303" spans="2:21" x14ac:dyDescent="0.15">
      <c r="B303" s="5">
        <v>6</v>
      </c>
      <c r="C303" s="5">
        <v>36</v>
      </c>
      <c r="D303" s="5">
        <f t="shared" ref="D303:E305" si="141">(D$306-D$302)/4+D302</f>
        <v>2.9999730614046118</v>
      </c>
      <c r="E303" s="5">
        <f t="shared" si="141"/>
        <v>121.15976562500001</v>
      </c>
      <c r="F303" s="5">
        <v>0.1</v>
      </c>
      <c r="G303" s="5">
        <f t="shared" si="140"/>
        <v>2.6000000000000005</v>
      </c>
      <c r="H303" s="5">
        <f t="shared" si="133"/>
        <v>7.8</v>
      </c>
      <c r="I303" s="5">
        <v>0.85</v>
      </c>
      <c r="J303" s="5">
        <f t="shared" si="134"/>
        <v>6.63</v>
      </c>
      <c r="K303" s="5">
        <f t="shared" si="135"/>
        <v>1.95</v>
      </c>
      <c r="L303" s="5">
        <v>0.95</v>
      </c>
      <c r="M303" s="5">
        <f t="shared" si="136"/>
        <v>1.85</v>
      </c>
      <c r="N303" s="5">
        <f t="shared" si="137"/>
        <v>1.3</v>
      </c>
      <c r="O303" s="5">
        <v>1</v>
      </c>
      <c r="P303" s="5">
        <f t="shared" si="138"/>
        <v>1.3</v>
      </c>
      <c r="Q303" s="5">
        <v>350</v>
      </c>
    </row>
    <row r="304" spans="2:21" x14ac:dyDescent="0.15">
      <c r="B304" s="5">
        <v>7</v>
      </c>
      <c r="C304" s="5">
        <v>41</v>
      </c>
      <c r="D304" s="5">
        <f t="shared" si="141"/>
        <v>3.0996548398317945</v>
      </c>
      <c r="E304" s="5">
        <f t="shared" si="141"/>
        <v>151.46640625000001</v>
      </c>
      <c r="F304" s="5">
        <v>0.1</v>
      </c>
      <c r="G304" s="5">
        <f t="shared" si="140"/>
        <v>2.7000000000000006</v>
      </c>
      <c r="H304" s="5">
        <f t="shared" si="133"/>
        <v>8.3699999999999992</v>
      </c>
      <c r="I304" s="5">
        <v>0.85</v>
      </c>
      <c r="J304" s="5">
        <f t="shared" si="134"/>
        <v>7.11</v>
      </c>
      <c r="K304" s="5">
        <f t="shared" si="135"/>
        <v>2.09</v>
      </c>
      <c r="L304" s="5">
        <v>0.95</v>
      </c>
      <c r="M304" s="5">
        <f t="shared" si="136"/>
        <v>1.99</v>
      </c>
      <c r="N304" s="5">
        <f t="shared" si="137"/>
        <v>1.39</v>
      </c>
      <c r="O304" s="5">
        <v>1</v>
      </c>
      <c r="P304" s="5">
        <f t="shared" si="138"/>
        <v>1.39</v>
      </c>
      <c r="Q304" s="5">
        <v>400</v>
      </c>
    </row>
    <row r="305" spans="2:17" x14ac:dyDescent="0.15">
      <c r="B305" s="5">
        <v>8</v>
      </c>
      <c r="C305" s="5">
        <v>46</v>
      </c>
      <c r="D305" s="5">
        <f t="shared" si="141"/>
        <v>3.1993366182589771</v>
      </c>
      <c r="E305" s="5">
        <f t="shared" si="141"/>
        <v>181.77304687500001</v>
      </c>
      <c r="F305" s="5">
        <v>0.1</v>
      </c>
      <c r="G305" s="5">
        <f t="shared" si="140"/>
        <v>2.8000000000000007</v>
      </c>
      <c r="H305" s="5">
        <f t="shared" si="133"/>
        <v>8.9600000000000009</v>
      </c>
      <c r="I305" s="5">
        <v>0.85</v>
      </c>
      <c r="J305" s="5">
        <f t="shared" si="134"/>
        <v>7.62</v>
      </c>
      <c r="K305" s="5">
        <f t="shared" si="135"/>
        <v>2.2400000000000002</v>
      </c>
      <c r="L305" s="5">
        <v>0.95</v>
      </c>
      <c r="M305" s="5">
        <f t="shared" si="136"/>
        <v>2.13</v>
      </c>
      <c r="N305" s="5">
        <f t="shared" si="137"/>
        <v>1.49</v>
      </c>
      <c r="O305" s="5">
        <v>1</v>
      </c>
      <c r="P305" s="5">
        <f t="shared" si="138"/>
        <v>1.49</v>
      </c>
      <c r="Q305" s="5">
        <v>450</v>
      </c>
    </row>
    <row r="306" spans="2:17" x14ac:dyDescent="0.15">
      <c r="B306" s="95">
        <v>9</v>
      </c>
      <c r="C306" s="95">
        <v>51</v>
      </c>
      <c r="D306" s="95">
        <f>E290</f>
        <v>3.2990183966861601</v>
      </c>
      <c r="E306" s="95">
        <f>E291</f>
        <v>212.07968750000001</v>
      </c>
      <c r="F306" s="95">
        <v>0.1</v>
      </c>
      <c r="G306" s="95">
        <f t="shared" si="140"/>
        <v>2.9000000000000008</v>
      </c>
      <c r="H306" s="5">
        <f t="shared" si="133"/>
        <v>9.57</v>
      </c>
      <c r="I306" s="5">
        <v>0.85</v>
      </c>
      <c r="J306" s="5">
        <f t="shared" si="134"/>
        <v>8.1300000000000008</v>
      </c>
      <c r="K306" s="5">
        <f t="shared" si="135"/>
        <v>2.39</v>
      </c>
      <c r="L306" s="5">
        <v>0.95</v>
      </c>
      <c r="M306" s="5">
        <f t="shared" si="136"/>
        <v>2.27</v>
      </c>
      <c r="N306" s="5">
        <f t="shared" si="137"/>
        <v>1.59</v>
      </c>
      <c r="O306" s="5">
        <v>1</v>
      </c>
      <c r="P306" s="5">
        <f t="shared" si="138"/>
        <v>1.59</v>
      </c>
      <c r="Q306" s="5">
        <v>500</v>
      </c>
    </row>
    <row r="307" spans="2:17" x14ac:dyDescent="0.15">
      <c r="B307" s="5">
        <v>10</v>
      </c>
      <c r="C307" s="5">
        <v>56</v>
      </c>
      <c r="D307" s="5">
        <f t="shared" ref="D307:E309" si="142">(D$310-D$306)/4+D306</f>
        <v>3.3890858806823072</v>
      </c>
      <c r="E307" s="5">
        <f t="shared" si="142"/>
        <v>259.06992187499998</v>
      </c>
      <c r="F307" s="5">
        <v>0.1</v>
      </c>
      <c r="G307" s="5">
        <f t="shared" si="140"/>
        <v>3.0000000000000009</v>
      </c>
      <c r="H307" s="5">
        <f t="shared" si="133"/>
        <v>10.17</v>
      </c>
      <c r="I307" s="5">
        <v>0.85</v>
      </c>
      <c r="J307" s="5">
        <f t="shared" si="134"/>
        <v>8.64</v>
      </c>
      <c r="K307" s="5">
        <f t="shared" si="135"/>
        <v>2.54</v>
      </c>
      <c r="L307" s="5">
        <v>0.95</v>
      </c>
      <c r="M307" s="5">
        <f t="shared" si="136"/>
        <v>2.41</v>
      </c>
      <c r="N307" s="5">
        <f t="shared" si="137"/>
        <v>1.69</v>
      </c>
      <c r="O307" s="5">
        <v>1</v>
      </c>
      <c r="P307" s="5">
        <f t="shared" si="138"/>
        <v>1.69</v>
      </c>
      <c r="Q307" s="5">
        <v>550</v>
      </c>
    </row>
    <row r="308" spans="2:17" x14ac:dyDescent="0.15">
      <c r="B308" s="5">
        <v>11</v>
      </c>
      <c r="C308" s="5">
        <v>61</v>
      </c>
      <c r="D308" s="5">
        <f t="shared" si="142"/>
        <v>3.4791533646784547</v>
      </c>
      <c r="E308" s="5">
        <f t="shared" si="142"/>
        <v>306.06015624999998</v>
      </c>
      <c r="F308" s="5">
        <v>0.1</v>
      </c>
      <c r="G308" s="5">
        <f t="shared" si="140"/>
        <v>3.100000000000001</v>
      </c>
      <c r="H308" s="5">
        <f t="shared" si="133"/>
        <v>10.79</v>
      </c>
      <c r="I308" s="5">
        <v>0.85</v>
      </c>
      <c r="J308" s="5">
        <f t="shared" si="134"/>
        <v>9.17</v>
      </c>
      <c r="K308" s="5">
        <f t="shared" si="135"/>
        <v>2.7</v>
      </c>
      <c r="L308" s="5">
        <v>0.95</v>
      </c>
      <c r="M308" s="5">
        <f t="shared" si="136"/>
        <v>2.57</v>
      </c>
      <c r="N308" s="5">
        <f t="shared" si="137"/>
        <v>1.8</v>
      </c>
      <c r="O308" s="5">
        <v>1</v>
      </c>
      <c r="P308" s="5">
        <f t="shared" si="138"/>
        <v>1.8</v>
      </c>
      <c r="Q308" s="5">
        <v>600</v>
      </c>
    </row>
    <row r="309" spans="2:17" x14ac:dyDescent="0.15">
      <c r="B309" s="5">
        <v>12</v>
      </c>
      <c r="C309" s="5">
        <v>66</v>
      </c>
      <c r="D309" s="5">
        <f t="shared" si="142"/>
        <v>3.5692208486746022</v>
      </c>
      <c r="E309" s="5">
        <f t="shared" si="142"/>
        <v>353.05039062499998</v>
      </c>
      <c r="F309" s="5">
        <v>0.1</v>
      </c>
      <c r="G309" s="5">
        <f t="shared" si="140"/>
        <v>3.2000000000000011</v>
      </c>
      <c r="H309" s="5">
        <f t="shared" si="133"/>
        <v>11.42</v>
      </c>
      <c r="I309" s="5">
        <v>0.85</v>
      </c>
      <c r="J309" s="5">
        <f t="shared" si="134"/>
        <v>9.7100000000000009</v>
      </c>
      <c r="K309" s="5">
        <f t="shared" si="135"/>
        <v>2.86</v>
      </c>
      <c r="L309" s="5">
        <v>0.95</v>
      </c>
      <c r="M309" s="5">
        <f t="shared" si="136"/>
        <v>2.72</v>
      </c>
      <c r="N309" s="5">
        <f t="shared" si="137"/>
        <v>1.9</v>
      </c>
      <c r="O309" s="5">
        <v>1</v>
      </c>
      <c r="P309" s="5">
        <f t="shared" si="138"/>
        <v>1.9</v>
      </c>
      <c r="Q309" s="5">
        <v>650</v>
      </c>
    </row>
    <row r="310" spans="2:17" x14ac:dyDescent="0.15">
      <c r="B310" s="95">
        <v>13</v>
      </c>
      <c r="C310" s="95">
        <v>71</v>
      </c>
      <c r="D310" s="95">
        <f>F290</f>
        <v>3.6592883326707493</v>
      </c>
      <c r="E310" s="95">
        <f>F291</f>
        <v>400.04062499999998</v>
      </c>
      <c r="F310" s="95">
        <v>0.1</v>
      </c>
      <c r="G310" s="95">
        <f t="shared" si="140"/>
        <v>3.3000000000000012</v>
      </c>
      <c r="H310" s="5">
        <f t="shared" si="133"/>
        <v>12.08</v>
      </c>
      <c r="I310" s="5">
        <v>0.85</v>
      </c>
      <c r="J310" s="5">
        <f t="shared" si="134"/>
        <v>10.27</v>
      </c>
      <c r="K310" s="5">
        <f t="shared" si="135"/>
        <v>3.02</v>
      </c>
      <c r="L310" s="5">
        <v>0.95</v>
      </c>
      <c r="M310" s="5">
        <f t="shared" si="136"/>
        <v>2.87</v>
      </c>
      <c r="N310" s="5">
        <f t="shared" si="137"/>
        <v>2.0099999999999998</v>
      </c>
      <c r="O310" s="5">
        <v>1</v>
      </c>
      <c r="P310" s="5">
        <f t="shared" si="138"/>
        <v>2.0099999999999998</v>
      </c>
      <c r="Q310" s="5">
        <v>700</v>
      </c>
    </row>
    <row r="311" spans="2:17" x14ac:dyDescent="0.15">
      <c r="B311" s="5">
        <v>14</v>
      </c>
      <c r="C311" s="5">
        <v>76</v>
      </c>
      <c r="D311" s="5">
        <f>D310</f>
        <v>3.6592883326707493</v>
      </c>
      <c r="E311" s="5">
        <f>E310</f>
        <v>400.04062499999998</v>
      </c>
      <c r="F311" s="5">
        <v>0.1</v>
      </c>
      <c r="G311" s="5">
        <f t="shared" si="140"/>
        <v>3.4000000000000012</v>
      </c>
      <c r="H311" s="5">
        <f t="shared" si="133"/>
        <v>12.44</v>
      </c>
      <c r="I311" s="5">
        <v>0.85</v>
      </c>
      <c r="J311" s="5">
        <f t="shared" si="134"/>
        <v>10.57</v>
      </c>
      <c r="K311" s="5">
        <f t="shared" si="135"/>
        <v>3.11</v>
      </c>
      <c r="L311" s="5">
        <v>0.95</v>
      </c>
      <c r="M311" s="5">
        <f t="shared" si="136"/>
        <v>2.95</v>
      </c>
      <c r="N311" s="5">
        <f t="shared" si="137"/>
        <v>2.0699999999999998</v>
      </c>
      <c r="O311" s="5">
        <v>1</v>
      </c>
      <c r="P311" s="5">
        <f t="shared" si="138"/>
        <v>2.0699999999999998</v>
      </c>
      <c r="Q311" s="5">
        <v>750</v>
      </c>
    </row>
    <row r="312" spans="2:17" x14ac:dyDescent="0.15">
      <c r="B312" s="5">
        <v>15</v>
      </c>
      <c r="C312" s="5">
        <v>81</v>
      </c>
      <c r="D312" s="5">
        <f t="shared" ref="D312:D315" si="143">D311</f>
        <v>3.6592883326707493</v>
      </c>
      <c r="E312" s="5">
        <f t="shared" ref="E312:E315" si="144">E311</f>
        <v>400.04062499999998</v>
      </c>
      <c r="F312" s="5">
        <v>0.1</v>
      </c>
      <c r="G312" s="5">
        <f t="shared" si="140"/>
        <v>3.5000000000000013</v>
      </c>
      <c r="H312" s="5">
        <f t="shared" si="133"/>
        <v>12.81</v>
      </c>
      <c r="I312" s="5">
        <v>0.85</v>
      </c>
      <c r="J312" s="5">
        <f t="shared" si="134"/>
        <v>10.89</v>
      </c>
      <c r="K312" s="5">
        <f t="shared" si="135"/>
        <v>3.2</v>
      </c>
      <c r="L312" s="5">
        <v>0.95</v>
      </c>
      <c r="M312" s="5">
        <f t="shared" si="136"/>
        <v>3.04</v>
      </c>
      <c r="N312" s="5">
        <f t="shared" si="137"/>
        <v>2.13</v>
      </c>
      <c r="O312" s="5">
        <v>1</v>
      </c>
      <c r="P312" s="5">
        <f t="shared" si="138"/>
        <v>2.13</v>
      </c>
      <c r="Q312" s="5">
        <v>800</v>
      </c>
    </row>
    <row r="313" spans="2:17" x14ac:dyDescent="0.15">
      <c r="B313" s="5">
        <v>16</v>
      </c>
      <c r="C313" s="5">
        <v>86</v>
      </c>
      <c r="D313" s="5">
        <f t="shared" si="143"/>
        <v>3.6592883326707493</v>
      </c>
      <c r="E313" s="5">
        <f t="shared" si="144"/>
        <v>400.04062499999998</v>
      </c>
      <c r="F313" s="5">
        <v>0.1</v>
      </c>
      <c r="G313" s="5">
        <f t="shared" si="140"/>
        <v>3.6000000000000014</v>
      </c>
      <c r="H313" s="5">
        <f t="shared" si="133"/>
        <v>13.17</v>
      </c>
      <c r="I313" s="5">
        <v>0.85</v>
      </c>
      <c r="J313" s="5">
        <f t="shared" si="134"/>
        <v>11.19</v>
      </c>
      <c r="K313" s="5">
        <f t="shared" si="135"/>
        <v>3.29</v>
      </c>
      <c r="L313" s="5">
        <v>0.95</v>
      </c>
      <c r="M313" s="5">
        <f t="shared" si="136"/>
        <v>3.13</v>
      </c>
      <c r="N313" s="5">
        <f t="shared" si="137"/>
        <v>2.2000000000000002</v>
      </c>
      <c r="O313" s="5">
        <v>1</v>
      </c>
      <c r="P313" s="5">
        <f t="shared" si="138"/>
        <v>2.2000000000000002</v>
      </c>
      <c r="Q313" s="5">
        <v>850</v>
      </c>
    </row>
    <row r="314" spans="2:17" x14ac:dyDescent="0.15">
      <c r="B314" s="5">
        <v>17</v>
      </c>
      <c r="C314" s="5">
        <v>91</v>
      </c>
      <c r="D314" s="5">
        <f t="shared" si="143"/>
        <v>3.6592883326707493</v>
      </c>
      <c r="E314" s="5">
        <f t="shared" si="144"/>
        <v>400.04062499999998</v>
      </c>
      <c r="F314" s="5">
        <v>0.1</v>
      </c>
      <c r="G314" s="5">
        <f t="shared" si="140"/>
        <v>3.7000000000000015</v>
      </c>
      <c r="H314" s="5">
        <f t="shared" si="133"/>
        <v>13.54</v>
      </c>
      <c r="I314" s="5">
        <v>0.85</v>
      </c>
      <c r="J314" s="5">
        <f t="shared" si="134"/>
        <v>11.51</v>
      </c>
      <c r="K314" s="5">
        <f t="shared" si="135"/>
        <v>3.38</v>
      </c>
      <c r="L314" s="5">
        <v>0.95</v>
      </c>
      <c r="M314" s="5">
        <f t="shared" si="136"/>
        <v>3.21</v>
      </c>
      <c r="N314" s="5">
        <f t="shared" si="137"/>
        <v>2.2599999999999998</v>
      </c>
      <c r="O314" s="5">
        <v>1</v>
      </c>
      <c r="P314" s="5">
        <f t="shared" si="138"/>
        <v>2.2599999999999998</v>
      </c>
      <c r="Q314" s="5">
        <v>900</v>
      </c>
    </row>
    <row r="315" spans="2:17" x14ac:dyDescent="0.15">
      <c r="B315" s="5">
        <v>18</v>
      </c>
      <c r="C315" s="5">
        <v>96</v>
      </c>
      <c r="D315" s="5">
        <f t="shared" si="143"/>
        <v>3.6592883326707493</v>
      </c>
      <c r="E315" s="5">
        <f t="shared" si="144"/>
        <v>400.04062499999998</v>
      </c>
      <c r="F315" s="5">
        <v>0.1</v>
      </c>
      <c r="G315" s="5">
        <f t="shared" si="140"/>
        <v>3.8000000000000016</v>
      </c>
      <c r="H315" s="5">
        <f t="shared" si="133"/>
        <v>13.91</v>
      </c>
      <c r="I315" s="5">
        <v>0.85</v>
      </c>
      <c r="J315" s="5">
        <f t="shared" si="134"/>
        <v>11.82</v>
      </c>
      <c r="K315" s="5">
        <f t="shared" si="135"/>
        <v>3.48</v>
      </c>
      <c r="L315" s="5">
        <v>0.95</v>
      </c>
      <c r="M315" s="5">
        <f t="shared" si="136"/>
        <v>3.31</v>
      </c>
      <c r="N315" s="5">
        <f t="shared" si="137"/>
        <v>2.3199999999999998</v>
      </c>
      <c r="O315" s="5">
        <v>1</v>
      </c>
      <c r="P315" s="5">
        <f t="shared" si="138"/>
        <v>2.3199999999999998</v>
      </c>
      <c r="Q315" s="5">
        <v>950</v>
      </c>
    </row>
    <row r="318" spans="2:17" x14ac:dyDescent="0.15">
      <c r="B318" s="16" t="s">
        <v>469</v>
      </c>
      <c r="C318" s="16" t="s">
        <v>472</v>
      </c>
    </row>
    <row r="319" spans="2:17" x14ac:dyDescent="0.15">
      <c r="B319" s="5" t="s">
        <v>470</v>
      </c>
      <c r="C319" s="5">
        <v>15</v>
      </c>
    </row>
    <row r="320" spans="2:17" x14ac:dyDescent="0.15">
      <c r="B320" s="5" t="s">
        <v>471</v>
      </c>
      <c r="C320" s="5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00"/>
  <sheetViews>
    <sheetView topLeftCell="A47" zoomScale="80" zoomScaleNormal="80" workbookViewId="0">
      <selection activeCell="G78" sqref="G78"/>
    </sheetView>
  </sheetViews>
  <sheetFormatPr defaultRowHeight="13.5" x14ac:dyDescent="0.15"/>
  <cols>
    <col min="1" max="2" width="9" style="1"/>
    <col min="3" max="3" width="13.875" style="1" customWidth="1"/>
    <col min="4" max="9" width="9" style="1"/>
    <col min="10" max="10" width="9.5" style="1" bestFit="1" customWidth="1"/>
    <col min="11" max="16384" width="9" style="1"/>
  </cols>
  <sheetData>
    <row r="1" spans="1:1" s="17" customFormat="1" x14ac:dyDescent="0.15">
      <c r="A1" s="17" t="s">
        <v>317</v>
      </c>
    </row>
    <row r="17" spans="2:4" x14ac:dyDescent="0.15">
      <c r="B17" s="1" t="s">
        <v>19</v>
      </c>
      <c r="C17" s="1">
        <v>20</v>
      </c>
    </row>
    <row r="18" spans="2:4" x14ac:dyDescent="0.15">
      <c r="B18" s="1" t="s">
        <v>20</v>
      </c>
      <c r="C18" s="1">
        <v>3</v>
      </c>
    </row>
    <row r="19" spans="2:4" x14ac:dyDescent="0.15">
      <c r="B19" s="1" t="s">
        <v>23</v>
      </c>
      <c r="C19" s="1">
        <f>-(C17-C18/2)</f>
        <v>-18.5</v>
      </c>
    </row>
    <row r="20" spans="2:4" x14ac:dyDescent="0.15">
      <c r="B20" s="1" t="s">
        <v>24</v>
      </c>
      <c r="C20" s="1">
        <f>(C17-C18/2)^2</f>
        <v>342.25</v>
      </c>
    </row>
    <row r="21" spans="2:4" x14ac:dyDescent="0.15">
      <c r="B21" s="1" t="s">
        <v>25</v>
      </c>
      <c r="C21" s="1">
        <f>4*C18/2</f>
        <v>6</v>
      </c>
    </row>
    <row r="22" spans="2:4" x14ac:dyDescent="0.15">
      <c r="B22" s="1" t="s">
        <v>26</v>
      </c>
      <c r="C22" s="1">
        <f>2*C18/2</f>
        <v>3</v>
      </c>
    </row>
    <row r="24" spans="2:4" x14ac:dyDescent="0.15">
      <c r="B24" s="1" t="s">
        <v>12</v>
      </c>
      <c r="C24" s="1" t="s">
        <v>21</v>
      </c>
      <c r="D24" s="1" t="s">
        <v>22</v>
      </c>
    </row>
    <row r="25" spans="2:4" x14ac:dyDescent="0.15">
      <c r="B25" s="1">
        <v>1</v>
      </c>
      <c r="C25" s="1">
        <f>C17</f>
        <v>20</v>
      </c>
      <c r="D25" s="1">
        <f>C25</f>
        <v>20</v>
      </c>
    </row>
    <row r="26" spans="2:4" x14ac:dyDescent="0.15">
      <c r="B26" s="1">
        <v>2</v>
      </c>
      <c r="C26" s="1">
        <f>C25+$C$18</f>
        <v>23</v>
      </c>
      <c r="D26" s="1">
        <f>D25+C26</f>
        <v>43</v>
      </c>
    </row>
    <row r="27" spans="2:4" x14ac:dyDescent="0.15">
      <c r="B27" s="1">
        <v>3</v>
      </c>
      <c r="C27" s="1">
        <f t="shared" ref="C27:C44" si="0">C26+$C$18</f>
        <v>26</v>
      </c>
      <c r="D27" s="1">
        <f t="shared" ref="D27:D44" si="1">D26+C27</f>
        <v>69</v>
      </c>
    </row>
    <row r="28" spans="2:4" x14ac:dyDescent="0.15">
      <c r="B28" s="1">
        <v>4</v>
      </c>
      <c r="C28" s="1">
        <f t="shared" si="0"/>
        <v>29</v>
      </c>
      <c r="D28" s="1">
        <f t="shared" si="1"/>
        <v>98</v>
      </c>
    </row>
    <row r="29" spans="2:4" x14ac:dyDescent="0.15">
      <c r="B29" s="1">
        <v>5</v>
      </c>
      <c r="C29" s="1">
        <f t="shared" si="0"/>
        <v>32</v>
      </c>
      <c r="D29" s="1">
        <f t="shared" si="1"/>
        <v>130</v>
      </c>
    </row>
    <row r="30" spans="2:4" x14ac:dyDescent="0.15">
      <c r="B30" s="1">
        <v>6</v>
      </c>
      <c r="C30" s="1">
        <f t="shared" si="0"/>
        <v>35</v>
      </c>
      <c r="D30" s="1">
        <f t="shared" si="1"/>
        <v>165</v>
      </c>
    </row>
    <row r="31" spans="2:4" x14ac:dyDescent="0.15">
      <c r="B31" s="1">
        <v>7</v>
      </c>
      <c r="C31" s="1">
        <f t="shared" si="0"/>
        <v>38</v>
      </c>
      <c r="D31" s="1">
        <f t="shared" si="1"/>
        <v>203</v>
      </c>
    </row>
    <row r="32" spans="2:4" x14ac:dyDescent="0.15">
      <c r="B32" s="1">
        <v>8</v>
      </c>
      <c r="C32" s="1">
        <f t="shared" si="0"/>
        <v>41</v>
      </c>
      <c r="D32" s="1">
        <f t="shared" si="1"/>
        <v>244</v>
      </c>
    </row>
    <row r="33" spans="1:4" x14ac:dyDescent="0.15">
      <c r="B33" s="1">
        <v>9</v>
      </c>
      <c r="C33" s="1">
        <f t="shared" si="0"/>
        <v>44</v>
      </c>
      <c r="D33" s="1">
        <f t="shared" si="1"/>
        <v>288</v>
      </c>
    </row>
    <row r="34" spans="1:4" x14ac:dyDescent="0.15">
      <c r="B34" s="1">
        <v>10</v>
      </c>
      <c r="C34" s="1">
        <f t="shared" si="0"/>
        <v>47</v>
      </c>
      <c r="D34" s="1">
        <f t="shared" si="1"/>
        <v>335</v>
      </c>
    </row>
    <row r="35" spans="1:4" x14ac:dyDescent="0.15">
      <c r="B35" s="1">
        <v>11</v>
      </c>
      <c r="C35" s="1">
        <f t="shared" si="0"/>
        <v>50</v>
      </c>
      <c r="D35" s="1">
        <f t="shared" si="1"/>
        <v>385</v>
      </c>
    </row>
    <row r="36" spans="1:4" x14ac:dyDescent="0.15">
      <c r="B36" s="1">
        <v>12</v>
      </c>
      <c r="C36" s="1">
        <f t="shared" si="0"/>
        <v>53</v>
      </c>
      <c r="D36" s="1">
        <f t="shared" si="1"/>
        <v>438</v>
      </c>
    </row>
    <row r="37" spans="1:4" x14ac:dyDescent="0.15">
      <c r="B37" s="1">
        <v>13</v>
      </c>
      <c r="C37" s="1">
        <f t="shared" si="0"/>
        <v>56</v>
      </c>
      <c r="D37" s="1">
        <f t="shared" si="1"/>
        <v>494</v>
      </c>
    </row>
    <row r="38" spans="1:4" x14ac:dyDescent="0.15">
      <c r="B38" s="1">
        <v>14</v>
      </c>
      <c r="C38" s="1">
        <f t="shared" si="0"/>
        <v>59</v>
      </c>
      <c r="D38" s="1">
        <f t="shared" si="1"/>
        <v>553</v>
      </c>
    </row>
    <row r="39" spans="1:4" x14ac:dyDescent="0.15">
      <c r="B39" s="1">
        <v>15</v>
      </c>
      <c r="C39" s="1">
        <f t="shared" si="0"/>
        <v>62</v>
      </c>
      <c r="D39" s="1">
        <f t="shared" si="1"/>
        <v>615</v>
      </c>
    </row>
    <row r="40" spans="1:4" x14ac:dyDescent="0.15">
      <c r="B40" s="1">
        <v>16</v>
      </c>
      <c r="C40" s="1">
        <f t="shared" si="0"/>
        <v>65</v>
      </c>
      <c r="D40" s="1">
        <f t="shared" si="1"/>
        <v>680</v>
      </c>
    </row>
    <row r="41" spans="1:4" x14ac:dyDescent="0.15">
      <c r="B41" s="1">
        <v>17</v>
      </c>
      <c r="C41" s="1">
        <f t="shared" si="0"/>
        <v>68</v>
      </c>
      <c r="D41" s="1">
        <f t="shared" si="1"/>
        <v>748</v>
      </c>
    </row>
    <row r="42" spans="1:4" x14ac:dyDescent="0.15">
      <c r="B42" s="1">
        <v>18</v>
      </c>
      <c r="C42" s="1">
        <f t="shared" si="0"/>
        <v>71</v>
      </c>
      <c r="D42" s="1">
        <f t="shared" si="1"/>
        <v>819</v>
      </c>
    </row>
    <row r="43" spans="1:4" x14ac:dyDescent="0.15">
      <c r="B43" s="1">
        <v>19</v>
      </c>
      <c r="C43" s="1">
        <f t="shared" si="0"/>
        <v>74</v>
      </c>
      <c r="D43" s="1">
        <f t="shared" si="1"/>
        <v>893</v>
      </c>
    </row>
    <row r="44" spans="1:4" x14ac:dyDescent="0.15">
      <c r="B44" s="1">
        <v>20</v>
      </c>
      <c r="C44" s="1">
        <f t="shared" si="0"/>
        <v>77</v>
      </c>
      <c r="D44" s="1">
        <f t="shared" si="1"/>
        <v>970</v>
      </c>
    </row>
    <row r="48" spans="1:4" s="17" customFormat="1" x14ac:dyDescent="0.15">
      <c r="A48" s="17" t="s">
        <v>318</v>
      </c>
    </row>
    <row r="50" spans="2:20" x14ac:dyDescent="0.15">
      <c r="B50" s="1" t="s">
        <v>320</v>
      </c>
      <c r="O50" s="1" t="s">
        <v>522</v>
      </c>
      <c r="P50" s="1" t="s">
        <v>523</v>
      </c>
      <c r="Q50" s="1" t="s">
        <v>524</v>
      </c>
      <c r="R50" s="1" t="s">
        <v>525</v>
      </c>
      <c r="T50" s="1" t="s">
        <v>526</v>
      </c>
    </row>
    <row r="51" spans="2:20" x14ac:dyDescent="0.15">
      <c r="B51" s="16" t="s">
        <v>319</v>
      </c>
      <c r="C51" s="16" t="s">
        <v>316</v>
      </c>
      <c r="D51" s="16" t="s">
        <v>8</v>
      </c>
      <c r="E51" s="16" t="s">
        <v>458</v>
      </c>
      <c r="F51" s="16" t="s">
        <v>457</v>
      </c>
      <c r="I51" s="1" t="s">
        <v>460</v>
      </c>
      <c r="P51" s="1" t="s">
        <v>527</v>
      </c>
      <c r="Q51" s="1" t="s">
        <v>528</v>
      </c>
      <c r="R51" s="1" t="s">
        <v>529</v>
      </c>
      <c r="T51" s="1" t="s">
        <v>530</v>
      </c>
    </row>
    <row r="52" spans="2:20" x14ac:dyDescent="0.15">
      <c r="B52" s="5">
        <v>10</v>
      </c>
      <c r="C52" s="5">
        <v>5</v>
      </c>
      <c r="D52" s="5">
        <v>50</v>
      </c>
      <c r="E52" s="5">
        <f>IF((1-D60)*B52&gt;=C52,B52-C52,MAX(D60*B52+1.5-(2.25+2*(C52-(1-D60)*B52))^0.5,0.1*B52))</f>
        <v>6</v>
      </c>
      <c r="F52" s="5">
        <f>D52/E52</f>
        <v>8.3333333333333339</v>
      </c>
      <c r="I52" s="1" t="s">
        <v>461</v>
      </c>
      <c r="O52" s="1" t="s">
        <v>531</v>
      </c>
      <c r="P52" s="1" t="s">
        <v>523</v>
      </c>
      <c r="Q52" s="1">
        <v>2.17</v>
      </c>
      <c r="R52" s="1">
        <v>33</v>
      </c>
      <c r="T52" s="1">
        <f>R52/20</f>
        <v>1.65</v>
      </c>
    </row>
    <row r="53" spans="2:20" x14ac:dyDescent="0.15">
      <c r="P53" s="1" t="s">
        <v>532</v>
      </c>
      <c r="Q53" s="1">
        <v>1</v>
      </c>
      <c r="R53" s="1">
        <v>55</v>
      </c>
      <c r="T53" s="1">
        <f>R53/20</f>
        <v>2.75</v>
      </c>
    </row>
    <row r="56" spans="2:20" x14ac:dyDescent="0.15">
      <c r="B56" s="1" t="s">
        <v>321</v>
      </c>
      <c r="C56" s="16" t="s">
        <v>319</v>
      </c>
      <c r="D56" s="16" t="s">
        <v>316</v>
      </c>
      <c r="E56" s="16" t="s">
        <v>8</v>
      </c>
      <c r="F56" s="16" t="s">
        <v>323</v>
      </c>
      <c r="G56" s="16" t="s">
        <v>325</v>
      </c>
    </row>
    <row r="57" spans="2:20" x14ac:dyDescent="0.15">
      <c r="C57" s="53">
        <v>10000</v>
      </c>
      <c r="D57" s="5">
        <f>$C$52/$B$52*C57</f>
        <v>5000</v>
      </c>
      <c r="E57" s="5">
        <f>$D$52/$B$52*C57</f>
        <v>50000</v>
      </c>
      <c r="F57" s="5">
        <f>IF((1-D60)*C65&gt;=D57,C65-D57,MAX(D60*C65+1.5-(2.25+2*(D57-(1-D60)*C65))^0.5,0.1*C65))</f>
        <v>15000</v>
      </c>
      <c r="G57" s="5">
        <f>E57/F57</f>
        <v>3.3333333333333335</v>
      </c>
      <c r="H57" s="1">
        <f>G57/0.1</f>
        <v>33.333333333333336</v>
      </c>
    </row>
    <row r="59" spans="2:20" x14ac:dyDescent="0.15">
      <c r="C59" s="16" t="s">
        <v>324</v>
      </c>
      <c r="D59" s="5">
        <v>2</v>
      </c>
    </row>
    <row r="60" spans="2:20" x14ac:dyDescent="0.15">
      <c r="C60" s="16" t="s">
        <v>326</v>
      </c>
      <c r="D60" s="5">
        <v>0.7</v>
      </c>
    </row>
    <row r="61" spans="2:20" x14ac:dyDescent="0.15">
      <c r="C61" s="16" t="s">
        <v>459</v>
      </c>
      <c r="D61" s="5">
        <f>G65/G57</f>
        <v>4.3584576305009719</v>
      </c>
    </row>
    <row r="64" spans="2:20" x14ac:dyDescent="0.15">
      <c r="B64" s="1" t="s">
        <v>322</v>
      </c>
      <c r="C64" s="16" t="s">
        <v>319</v>
      </c>
      <c r="D64" s="16" t="s">
        <v>316</v>
      </c>
      <c r="E64" s="16" t="s">
        <v>8</v>
      </c>
      <c r="F64" s="16" t="s">
        <v>323</v>
      </c>
      <c r="G64" s="16" t="s">
        <v>325</v>
      </c>
    </row>
    <row r="65" spans="2:17" x14ac:dyDescent="0.15">
      <c r="C65" s="53">
        <f>C57*D59</f>
        <v>20000</v>
      </c>
      <c r="D65" s="5">
        <f>$C$52/$B$52*C65</f>
        <v>10000</v>
      </c>
      <c r="E65" s="5">
        <f>$D$52/$B$52*C65</f>
        <v>100000</v>
      </c>
      <c r="F65" s="5">
        <f>IF((1-D60)*C57&gt;=D65,C57-D65,MAX(D60*C57+1.5-(2.25+2*(D65-(1-D60)*C57))^0.5,0.1*C57))</f>
        <v>6883.168896734629</v>
      </c>
      <c r="G65" s="5">
        <f>E65/F65</f>
        <v>14.528192101669907</v>
      </c>
    </row>
    <row r="68" spans="2:17" x14ac:dyDescent="0.15">
      <c r="B68" s="1" t="s">
        <v>327</v>
      </c>
    </row>
    <row r="69" spans="2:17" x14ac:dyDescent="0.15">
      <c r="B69" s="1" t="s">
        <v>339</v>
      </c>
      <c r="D69" s="1" t="s">
        <v>341</v>
      </c>
    </row>
    <row r="70" spans="2:17" x14ac:dyDescent="0.15">
      <c r="B70" s="1" t="s">
        <v>340</v>
      </c>
      <c r="D70" s="1" t="s">
        <v>337</v>
      </c>
    </row>
    <row r="71" spans="2:17" x14ac:dyDescent="0.15">
      <c r="P71" s="1" t="s">
        <v>6</v>
      </c>
      <c r="Q71" s="1">
        <v>10</v>
      </c>
    </row>
    <row r="72" spans="2:17" x14ac:dyDescent="0.15">
      <c r="B72" s="1" t="s">
        <v>336</v>
      </c>
      <c r="P72" s="1" t="s">
        <v>7</v>
      </c>
      <c r="Q72" s="1">
        <v>5</v>
      </c>
    </row>
    <row r="73" spans="2:17" x14ac:dyDescent="0.15">
      <c r="B73" s="1">
        <v>1</v>
      </c>
      <c r="C73" s="1" t="s">
        <v>328</v>
      </c>
      <c r="P73" s="1" t="s">
        <v>455</v>
      </c>
      <c r="Q73" s="1">
        <v>50</v>
      </c>
    </row>
    <row r="74" spans="2:17" x14ac:dyDescent="0.15">
      <c r="B74" s="1">
        <v>2</v>
      </c>
      <c r="C74" s="1" t="s">
        <v>329</v>
      </c>
      <c r="P74" s="1" t="s">
        <v>16</v>
      </c>
      <c r="Q74" s="1">
        <f>Q71-Q72</f>
        <v>5</v>
      </c>
    </row>
    <row r="75" spans="2:17" x14ac:dyDescent="0.15">
      <c r="B75" s="1">
        <v>3</v>
      </c>
      <c r="C75" s="1" t="s">
        <v>338</v>
      </c>
      <c r="P75" s="1" t="s">
        <v>456</v>
      </c>
      <c r="Q75" s="1">
        <f>Q73/Q74</f>
        <v>10</v>
      </c>
    </row>
    <row r="78" spans="2:17" x14ac:dyDescent="0.15">
      <c r="B78" s="1" t="s">
        <v>19</v>
      </c>
      <c r="C78" s="1">
        <v>2</v>
      </c>
    </row>
    <row r="79" spans="2:17" x14ac:dyDescent="0.15">
      <c r="B79" s="1" t="s">
        <v>20</v>
      </c>
      <c r="C79" s="1">
        <v>1</v>
      </c>
    </row>
    <row r="80" spans="2:17" x14ac:dyDescent="0.15">
      <c r="B80" s="1" t="s">
        <v>23</v>
      </c>
      <c r="C80" s="1">
        <f>-(C78-C79/2)</f>
        <v>-1.5</v>
      </c>
    </row>
    <row r="81" spans="2:16" x14ac:dyDescent="0.15">
      <c r="B81" s="1" t="s">
        <v>24</v>
      </c>
      <c r="C81" s="1">
        <f>(C78-C79/2)^2</f>
        <v>2.25</v>
      </c>
    </row>
    <row r="82" spans="2:16" x14ac:dyDescent="0.15">
      <c r="B82" s="1" t="s">
        <v>25</v>
      </c>
      <c r="C82" s="1">
        <f>4*C79/2</f>
        <v>2</v>
      </c>
    </row>
    <row r="83" spans="2:16" x14ac:dyDescent="0.15">
      <c r="B83" s="1" t="s">
        <v>26</v>
      </c>
      <c r="C83" s="1">
        <f>2*C79/2</f>
        <v>1</v>
      </c>
    </row>
    <row r="86" spans="2:16" x14ac:dyDescent="0.15">
      <c r="B86" s="1" t="s">
        <v>330</v>
      </c>
      <c r="C86" s="1" t="s">
        <v>331</v>
      </c>
      <c r="D86" s="1" t="s">
        <v>7</v>
      </c>
    </row>
    <row r="87" spans="2:16" x14ac:dyDescent="0.15">
      <c r="B87" s="1">
        <v>1</v>
      </c>
      <c r="C87" s="1">
        <f>$C$78</f>
        <v>2</v>
      </c>
      <c r="D87" s="1">
        <f>C87</f>
        <v>2</v>
      </c>
    </row>
    <row r="88" spans="2:16" x14ac:dyDescent="0.15">
      <c r="B88" s="1">
        <v>2</v>
      </c>
      <c r="C88" s="1">
        <f t="shared" ref="C88:C151" si="2">C87+$C$79</f>
        <v>3</v>
      </c>
      <c r="D88" s="1">
        <f>D87+C88</f>
        <v>5</v>
      </c>
      <c r="K88" s="1" t="s">
        <v>319</v>
      </c>
      <c r="L88" s="53">
        <v>1000</v>
      </c>
    </row>
    <row r="89" spans="2:16" x14ac:dyDescent="0.15">
      <c r="B89" s="1">
        <v>3</v>
      </c>
      <c r="C89" s="1">
        <f t="shared" si="2"/>
        <v>4</v>
      </c>
      <c r="D89" s="1">
        <f t="shared" ref="D89:D152" si="3">D88+C89</f>
        <v>9</v>
      </c>
    </row>
    <row r="90" spans="2:16" x14ac:dyDescent="0.15">
      <c r="B90" s="1">
        <v>4</v>
      </c>
      <c r="C90" s="1">
        <f t="shared" si="2"/>
        <v>5</v>
      </c>
      <c r="D90" s="1">
        <f t="shared" si="3"/>
        <v>14</v>
      </c>
      <c r="J90" s="1" t="s">
        <v>335</v>
      </c>
      <c r="K90" s="1" t="s">
        <v>316</v>
      </c>
      <c r="L90" s="1" t="s">
        <v>16</v>
      </c>
      <c r="N90" s="1" t="s">
        <v>332</v>
      </c>
      <c r="O90" s="1" t="s">
        <v>333</v>
      </c>
      <c r="P90" s="1" t="s">
        <v>334</v>
      </c>
    </row>
    <row r="91" spans="2:16" x14ac:dyDescent="0.15">
      <c r="B91" s="1">
        <v>5</v>
      </c>
      <c r="C91" s="1">
        <f t="shared" si="2"/>
        <v>6</v>
      </c>
      <c r="D91" s="1">
        <f t="shared" si="3"/>
        <v>20</v>
      </c>
      <c r="J91" s="76">
        <f t="shared" ref="J91:J154" si="4">K91/$L$88</f>
        <v>0.05</v>
      </c>
      <c r="K91" s="53">
        <v>50</v>
      </c>
      <c r="L91" s="1">
        <f t="shared" ref="L91:L154" si="5">IF($L$88&gt;=5/3*K91,N91,MAX(O91,P91))</f>
        <v>950</v>
      </c>
      <c r="N91" s="1">
        <f t="shared" ref="N91:N154" si="6">$L$88-K91</f>
        <v>950</v>
      </c>
      <c r="O91" s="1" t="e">
        <f t="shared" ref="O91:O154" si="7">0.4*$L$88+1.5-(2.25+2*(K91-0.6*$L$88))^0.5</f>
        <v>#NUM!</v>
      </c>
      <c r="P91" s="1">
        <f t="shared" ref="P91:P154" si="8">$L$88*0.1</f>
        <v>100</v>
      </c>
    </row>
    <row r="92" spans="2:16" x14ac:dyDescent="0.15">
      <c r="B92" s="1">
        <v>6</v>
      </c>
      <c r="C92" s="1">
        <f t="shared" si="2"/>
        <v>7</v>
      </c>
      <c r="D92" s="1">
        <f t="shared" si="3"/>
        <v>27</v>
      </c>
      <c r="J92" s="76">
        <f t="shared" si="4"/>
        <v>0.1</v>
      </c>
      <c r="K92" s="53">
        <v>100</v>
      </c>
      <c r="L92" s="1">
        <f t="shared" si="5"/>
        <v>900</v>
      </c>
      <c r="N92" s="1">
        <f t="shared" si="6"/>
        <v>900</v>
      </c>
      <c r="O92" s="1" t="e">
        <f t="shared" si="7"/>
        <v>#NUM!</v>
      </c>
      <c r="P92" s="1">
        <f t="shared" si="8"/>
        <v>100</v>
      </c>
    </row>
    <row r="93" spans="2:16" x14ac:dyDescent="0.15">
      <c r="B93" s="1">
        <v>7</v>
      </c>
      <c r="C93" s="1">
        <f t="shared" si="2"/>
        <v>8</v>
      </c>
      <c r="D93" s="1">
        <f t="shared" si="3"/>
        <v>35</v>
      </c>
      <c r="J93" s="76">
        <f t="shared" si="4"/>
        <v>0.15</v>
      </c>
      <c r="K93" s="53">
        <v>150</v>
      </c>
      <c r="L93" s="1">
        <f t="shared" si="5"/>
        <v>850</v>
      </c>
      <c r="N93" s="1">
        <f t="shared" si="6"/>
        <v>850</v>
      </c>
      <c r="O93" s="1" t="e">
        <f t="shared" si="7"/>
        <v>#NUM!</v>
      </c>
      <c r="P93" s="1">
        <f t="shared" si="8"/>
        <v>100</v>
      </c>
    </row>
    <row r="94" spans="2:16" x14ac:dyDescent="0.15">
      <c r="B94" s="1">
        <v>8</v>
      </c>
      <c r="C94" s="1">
        <f t="shared" si="2"/>
        <v>9</v>
      </c>
      <c r="D94" s="1">
        <f t="shared" si="3"/>
        <v>44</v>
      </c>
      <c r="J94" s="76">
        <f t="shared" si="4"/>
        <v>0.2</v>
      </c>
      <c r="K94" s="53">
        <v>200</v>
      </c>
      <c r="L94" s="1">
        <f t="shared" si="5"/>
        <v>800</v>
      </c>
      <c r="N94" s="1">
        <f t="shared" si="6"/>
        <v>800</v>
      </c>
      <c r="O94" s="1" t="e">
        <f t="shared" si="7"/>
        <v>#NUM!</v>
      </c>
      <c r="P94" s="1">
        <f t="shared" si="8"/>
        <v>100</v>
      </c>
    </row>
    <row r="95" spans="2:16" x14ac:dyDescent="0.15">
      <c r="B95" s="1">
        <v>9</v>
      </c>
      <c r="C95" s="1">
        <f t="shared" si="2"/>
        <v>10</v>
      </c>
      <c r="D95" s="1">
        <f t="shared" si="3"/>
        <v>54</v>
      </c>
      <c r="J95" s="76">
        <f t="shared" si="4"/>
        <v>0.25</v>
      </c>
      <c r="K95" s="53">
        <v>250</v>
      </c>
      <c r="L95" s="1">
        <f t="shared" si="5"/>
        <v>750</v>
      </c>
      <c r="N95" s="1">
        <f t="shared" si="6"/>
        <v>750</v>
      </c>
      <c r="O95" s="1" t="e">
        <f t="shared" si="7"/>
        <v>#NUM!</v>
      </c>
      <c r="P95" s="1">
        <f t="shared" si="8"/>
        <v>100</v>
      </c>
    </row>
    <row r="96" spans="2:16" x14ac:dyDescent="0.15">
      <c r="B96" s="1">
        <v>10</v>
      </c>
      <c r="C96" s="1">
        <f t="shared" si="2"/>
        <v>11</v>
      </c>
      <c r="D96" s="1">
        <f t="shared" si="3"/>
        <v>65</v>
      </c>
      <c r="J96" s="76">
        <f t="shared" si="4"/>
        <v>0.3</v>
      </c>
      <c r="K96" s="53">
        <v>300</v>
      </c>
      <c r="L96" s="1">
        <f t="shared" si="5"/>
        <v>700</v>
      </c>
      <c r="N96" s="1">
        <f t="shared" si="6"/>
        <v>700</v>
      </c>
      <c r="O96" s="1" t="e">
        <f t="shared" si="7"/>
        <v>#NUM!</v>
      </c>
      <c r="P96" s="1">
        <f t="shared" si="8"/>
        <v>100</v>
      </c>
    </row>
    <row r="97" spans="2:16" x14ac:dyDescent="0.15">
      <c r="B97" s="1">
        <v>11</v>
      </c>
      <c r="C97" s="1">
        <f t="shared" si="2"/>
        <v>12</v>
      </c>
      <c r="D97" s="1">
        <f t="shared" si="3"/>
        <v>77</v>
      </c>
      <c r="J97" s="76">
        <f t="shared" si="4"/>
        <v>0.35</v>
      </c>
      <c r="K97" s="53">
        <v>350</v>
      </c>
      <c r="L97" s="1">
        <f t="shared" si="5"/>
        <v>650</v>
      </c>
      <c r="N97" s="1">
        <f t="shared" si="6"/>
        <v>650</v>
      </c>
      <c r="O97" s="1" t="e">
        <f t="shared" si="7"/>
        <v>#NUM!</v>
      </c>
      <c r="P97" s="1">
        <f t="shared" si="8"/>
        <v>100</v>
      </c>
    </row>
    <row r="98" spans="2:16" x14ac:dyDescent="0.15">
      <c r="B98" s="1">
        <v>12</v>
      </c>
      <c r="C98" s="1">
        <f t="shared" si="2"/>
        <v>13</v>
      </c>
      <c r="D98" s="1">
        <f t="shared" si="3"/>
        <v>90</v>
      </c>
      <c r="J98" s="76">
        <f t="shared" si="4"/>
        <v>0.4</v>
      </c>
      <c r="K98" s="53">
        <v>400</v>
      </c>
      <c r="L98" s="1">
        <f t="shared" si="5"/>
        <v>600</v>
      </c>
      <c r="N98" s="1">
        <f t="shared" si="6"/>
        <v>600</v>
      </c>
      <c r="O98" s="1" t="e">
        <f t="shared" si="7"/>
        <v>#NUM!</v>
      </c>
      <c r="P98" s="1">
        <f t="shared" si="8"/>
        <v>100</v>
      </c>
    </row>
    <row r="99" spans="2:16" x14ac:dyDescent="0.15">
      <c r="B99" s="1">
        <v>13</v>
      </c>
      <c r="C99" s="1">
        <f t="shared" si="2"/>
        <v>14</v>
      </c>
      <c r="D99" s="1">
        <f t="shared" si="3"/>
        <v>104</v>
      </c>
      <c r="J99" s="76">
        <f t="shared" si="4"/>
        <v>0.45</v>
      </c>
      <c r="K99" s="53">
        <v>450</v>
      </c>
      <c r="L99" s="1">
        <f t="shared" si="5"/>
        <v>550</v>
      </c>
      <c r="N99" s="1">
        <f t="shared" si="6"/>
        <v>550</v>
      </c>
      <c r="O99" s="1" t="e">
        <f t="shared" si="7"/>
        <v>#NUM!</v>
      </c>
      <c r="P99" s="1">
        <f t="shared" si="8"/>
        <v>100</v>
      </c>
    </row>
    <row r="100" spans="2:16" x14ac:dyDescent="0.15">
      <c r="B100" s="1">
        <v>14</v>
      </c>
      <c r="C100" s="1">
        <f t="shared" si="2"/>
        <v>15</v>
      </c>
      <c r="D100" s="1">
        <f t="shared" si="3"/>
        <v>119</v>
      </c>
      <c r="J100" s="76">
        <f t="shared" si="4"/>
        <v>0.5</v>
      </c>
      <c r="K100" s="53">
        <v>500</v>
      </c>
      <c r="L100" s="1">
        <f t="shared" si="5"/>
        <v>500</v>
      </c>
      <c r="N100" s="1">
        <f t="shared" si="6"/>
        <v>500</v>
      </c>
      <c r="O100" s="1" t="e">
        <f t="shared" si="7"/>
        <v>#NUM!</v>
      </c>
      <c r="P100" s="1">
        <f t="shared" si="8"/>
        <v>100</v>
      </c>
    </row>
    <row r="101" spans="2:16" x14ac:dyDescent="0.15">
      <c r="B101" s="1">
        <v>15</v>
      </c>
      <c r="C101" s="1">
        <f t="shared" si="2"/>
        <v>16</v>
      </c>
      <c r="D101" s="1">
        <f t="shared" si="3"/>
        <v>135</v>
      </c>
      <c r="J101" s="76">
        <f t="shared" si="4"/>
        <v>0.55000000000000004</v>
      </c>
      <c r="K101" s="53">
        <v>550</v>
      </c>
      <c r="L101" s="1">
        <f t="shared" si="5"/>
        <v>450</v>
      </c>
      <c r="N101" s="1">
        <f t="shared" si="6"/>
        <v>450</v>
      </c>
      <c r="O101" s="1" t="e">
        <f t="shared" si="7"/>
        <v>#NUM!</v>
      </c>
      <c r="P101" s="1">
        <f t="shared" si="8"/>
        <v>100</v>
      </c>
    </row>
    <row r="102" spans="2:16" x14ac:dyDescent="0.15">
      <c r="B102" s="1">
        <v>16</v>
      </c>
      <c r="C102" s="1">
        <f t="shared" si="2"/>
        <v>17</v>
      </c>
      <c r="D102" s="1">
        <f t="shared" si="3"/>
        <v>152</v>
      </c>
      <c r="J102" s="76">
        <f t="shared" si="4"/>
        <v>0.6</v>
      </c>
      <c r="K102" s="53">
        <v>600</v>
      </c>
      <c r="L102" s="1">
        <f t="shared" si="5"/>
        <v>400</v>
      </c>
      <c r="N102" s="1">
        <f t="shared" si="6"/>
        <v>400</v>
      </c>
      <c r="O102" s="1">
        <f t="shared" si="7"/>
        <v>400</v>
      </c>
      <c r="P102" s="1">
        <f t="shared" si="8"/>
        <v>100</v>
      </c>
    </row>
    <row r="103" spans="2:16" x14ac:dyDescent="0.15">
      <c r="B103" s="1">
        <v>17</v>
      </c>
      <c r="C103" s="1">
        <f t="shared" si="2"/>
        <v>18</v>
      </c>
      <c r="D103" s="1">
        <f t="shared" si="3"/>
        <v>170</v>
      </c>
      <c r="J103" s="76">
        <f t="shared" si="4"/>
        <v>0.65</v>
      </c>
      <c r="K103" s="53">
        <v>650</v>
      </c>
      <c r="L103" s="1">
        <f t="shared" si="5"/>
        <v>391.38812579192165</v>
      </c>
      <c r="N103" s="1">
        <f t="shared" si="6"/>
        <v>350</v>
      </c>
      <c r="O103" s="1">
        <f t="shared" si="7"/>
        <v>391.38812579192165</v>
      </c>
      <c r="P103" s="1">
        <f t="shared" si="8"/>
        <v>100</v>
      </c>
    </row>
    <row r="104" spans="2:16" x14ac:dyDescent="0.15">
      <c r="B104" s="1">
        <v>18</v>
      </c>
      <c r="C104" s="1">
        <f t="shared" si="2"/>
        <v>19</v>
      </c>
      <c r="D104" s="1">
        <f t="shared" si="3"/>
        <v>189</v>
      </c>
      <c r="J104" s="76">
        <f t="shared" si="4"/>
        <v>0.7</v>
      </c>
      <c r="K104" s="53">
        <v>700</v>
      </c>
      <c r="L104" s="1">
        <f t="shared" si="5"/>
        <v>387.27853734667212</v>
      </c>
      <c r="N104" s="1">
        <f t="shared" si="6"/>
        <v>300</v>
      </c>
      <c r="O104" s="1">
        <f t="shared" si="7"/>
        <v>387.27853734667212</v>
      </c>
      <c r="P104" s="1">
        <f t="shared" si="8"/>
        <v>100</v>
      </c>
    </row>
    <row r="105" spans="2:16" x14ac:dyDescent="0.15">
      <c r="B105" s="1">
        <v>19</v>
      </c>
      <c r="C105" s="1">
        <f t="shared" si="2"/>
        <v>20</v>
      </c>
      <c r="D105" s="1">
        <f t="shared" si="3"/>
        <v>209</v>
      </c>
      <c r="J105" s="76">
        <f t="shared" si="4"/>
        <v>0.75</v>
      </c>
      <c r="K105" s="53">
        <v>750</v>
      </c>
      <c r="L105" s="1">
        <f t="shared" si="5"/>
        <v>384.11466134928628</v>
      </c>
      <c r="N105" s="1">
        <f t="shared" si="6"/>
        <v>250</v>
      </c>
      <c r="O105" s="1">
        <f t="shared" si="7"/>
        <v>384.11466134928628</v>
      </c>
      <c r="P105" s="1">
        <f t="shared" si="8"/>
        <v>100</v>
      </c>
    </row>
    <row r="106" spans="2:16" x14ac:dyDescent="0.15">
      <c r="B106" s="1">
        <v>20</v>
      </c>
      <c r="C106" s="1">
        <f t="shared" si="2"/>
        <v>21</v>
      </c>
      <c r="D106" s="1">
        <f t="shared" si="3"/>
        <v>230</v>
      </c>
      <c r="J106" s="76">
        <f t="shared" si="4"/>
        <v>0.8</v>
      </c>
      <c r="K106" s="53">
        <v>800</v>
      </c>
      <c r="L106" s="1">
        <f t="shared" si="5"/>
        <v>381.44382887986842</v>
      </c>
      <c r="N106" s="1">
        <f t="shared" si="6"/>
        <v>200</v>
      </c>
      <c r="O106" s="1">
        <f t="shared" si="7"/>
        <v>381.44382887986842</v>
      </c>
      <c r="P106" s="1">
        <f t="shared" si="8"/>
        <v>100</v>
      </c>
    </row>
    <row r="107" spans="2:16" x14ac:dyDescent="0.15">
      <c r="B107" s="1">
        <v>21</v>
      </c>
      <c r="C107" s="1">
        <f t="shared" si="2"/>
        <v>22</v>
      </c>
      <c r="D107" s="1">
        <f t="shared" si="3"/>
        <v>252</v>
      </c>
      <c r="J107" s="76">
        <f t="shared" si="4"/>
        <v>0.85</v>
      </c>
      <c r="K107" s="53">
        <v>850</v>
      </c>
      <c r="L107" s="1">
        <f t="shared" si="5"/>
        <v>379.08906516898503</v>
      </c>
      <c r="N107" s="1">
        <f t="shared" si="6"/>
        <v>150</v>
      </c>
      <c r="O107" s="1">
        <f t="shared" si="7"/>
        <v>379.08906516898503</v>
      </c>
      <c r="P107" s="1">
        <f t="shared" si="8"/>
        <v>100</v>
      </c>
    </row>
    <row r="108" spans="2:16" x14ac:dyDescent="0.15">
      <c r="B108" s="1">
        <v>22</v>
      </c>
      <c r="C108" s="1">
        <f t="shared" si="2"/>
        <v>23</v>
      </c>
      <c r="D108" s="1">
        <f t="shared" si="3"/>
        <v>275</v>
      </c>
      <c r="J108" s="76">
        <f t="shared" si="4"/>
        <v>0.9</v>
      </c>
      <c r="K108" s="53">
        <v>900</v>
      </c>
      <c r="L108" s="1">
        <f t="shared" si="5"/>
        <v>376.95921761638397</v>
      </c>
      <c r="N108" s="1">
        <f t="shared" si="6"/>
        <v>100</v>
      </c>
      <c r="O108" s="1">
        <f t="shared" si="7"/>
        <v>376.95921761638397</v>
      </c>
      <c r="P108" s="1">
        <f t="shared" si="8"/>
        <v>100</v>
      </c>
    </row>
    <row r="109" spans="2:16" x14ac:dyDescent="0.15">
      <c r="B109" s="1">
        <v>23</v>
      </c>
      <c r="C109" s="1">
        <f t="shared" si="2"/>
        <v>24</v>
      </c>
      <c r="D109" s="1">
        <f t="shared" si="3"/>
        <v>299</v>
      </c>
      <c r="J109" s="76">
        <f t="shared" si="4"/>
        <v>0.95</v>
      </c>
      <c r="K109" s="53">
        <v>950</v>
      </c>
      <c r="L109" s="1">
        <f t="shared" si="5"/>
        <v>375</v>
      </c>
      <c r="N109" s="1">
        <f t="shared" si="6"/>
        <v>50</v>
      </c>
      <c r="O109" s="1">
        <f t="shared" si="7"/>
        <v>375</v>
      </c>
      <c r="P109" s="1">
        <f t="shared" si="8"/>
        <v>100</v>
      </c>
    </row>
    <row r="110" spans="2:16" x14ac:dyDescent="0.15">
      <c r="B110" s="1">
        <v>24</v>
      </c>
      <c r="C110" s="1">
        <f t="shared" si="2"/>
        <v>25</v>
      </c>
      <c r="D110" s="1">
        <f t="shared" si="3"/>
        <v>324</v>
      </c>
      <c r="J110" s="76">
        <f t="shared" si="4"/>
        <v>1</v>
      </c>
      <c r="K110" s="53">
        <v>1000</v>
      </c>
      <c r="L110" s="1">
        <f t="shared" si="5"/>
        <v>373.17598192346293</v>
      </c>
      <c r="N110" s="1">
        <f t="shared" si="6"/>
        <v>0</v>
      </c>
      <c r="O110" s="1">
        <f t="shared" si="7"/>
        <v>373.17598192346293</v>
      </c>
      <c r="P110" s="1">
        <f t="shared" si="8"/>
        <v>100</v>
      </c>
    </row>
    <row r="111" spans="2:16" x14ac:dyDescent="0.15">
      <c r="B111" s="1">
        <v>25</v>
      </c>
      <c r="C111" s="1">
        <f t="shared" si="2"/>
        <v>26</v>
      </c>
      <c r="D111" s="1">
        <f t="shared" si="3"/>
        <v>350</v>
      </c>
      <c r="J111" s="76">
        <f t="shared" si="4"/>
        <v>1.05</v>
      </c>
      <c r="K111" s="53">
        <v>1050</v>
      </c>
      <c r="L111" s="1">
        <f t="shared" si="5"/>
        <v>371.46252340824884</v>
      </c>
      <c r="N111" s="1">
        <f t="shared" si="6"/>
        <v>-50</v>
      </c>
      <c r="O111" s="1">
        <f t="shared" si="7"/>
        <v>371.46252340824884</v>
      </c>
      <c r="P111" s="1">
        <f t="shared" si="8"/>
        <v>100</v>
      </c>
    </row>
    <row r="112" spans="2:16" x14ac:dyDescent="0.15">
      <c r="B112" s="1">
        <v>26</v>
      </c>
      <c r="C112" s="1">
        <f t="shared" si="2"/>
        <v>27</v>
      </c>
      <c r="D112" s="1">
        <f t="shared" si="3"/>
        <v>377</v>
      </c>
      <c r="J112" s="76">
        <f t="shared" si="4"/>
        <v>1.1000000000000001</v>
      </c>
      <c r="K112" s="53">
        <v>1100</v>
      </c>
      <c r="L112" s="1">
        <f t="shared" si="5"/>
        <v>369.84166776344654</v>
      </c>
      <c r="N112" s="1">
        <f t="shared" si="6"/>
        <v>-100</v>
      </c>
      <c r="O112" s="1">
        <f t="shared" si="7"/>
        <v>369.84166776344654</v>
      </c>
      <c r="P112" s="1">
        <f t="shared" si="8"/>
        <v>100</v>
      </c>
    </row>
    <row r="113" spans="2:16" x14ac:dyDescent="0.15">
      <c r="B113" s="1">
        <v>27</v>
      </c>
      <c r="C113" s="1">
        <f t="shared" si="2"/>
        <v>28</v>
      </c>
      <c r="D113" s="1">
        <f t="shared" si="3"/>
        <v>405</v>
      </c>
      <c r="J113" s="76">
        <f t="shared" si="4"/>
        <v>1.1499999999999999</v>
      </c>
      <c r="K113" s="53">
        <v>1150</v>
      </c>
      <c r="L113" s="1">
        <f t="shared" si="5"/>
        <v>368.29984939793195</v>
      </c>
      <c r="N113" s="1">
        <f t="shared" si="6"/>
        <v>-150</v>
      </c>
      <c r="O113" s="1">
        <f t="shared" si="7"/>
        <v>368.29984939793195</v>
      </c>
      <c r="P113" s="1">
        <f t="shared" si="8"/>
        <v>100</v>
      </c>
    </row>
    <row r="114" spans="2:16" x14ac:dyDescent="0.15">
      <c r="B114" s="1">
        <v>28</v>
      </c>
      <c r="C114" s="1">
        <f t="shared" si="2"/>
        <v>29</v>
      </c>
      <c r="D114" s="1">
        <f t="shared" si="3"/>
        <v>434</v>
      </c>
      <c r="J114" s="76">
        <f t="shared" si="4"/>
        <v>1.2</v>
      </c>
      <c r="K114" s="53">
        <v>1200</v>
      </c>
      <c r="L114" s="1">
        <f t="shared" si="5"/>
        <v>366.82652310482837</v>
      </c>
      <c r="N114" s="1">
        <f t="shared" si="6"/>
        <v>-200</v>
      </c>
      <c r="O114" s="1">
        <f t="shared" si="7"/>
        <v>366.82652310482837</v>
      </c>
      <c r="P114" s="1">
        <f t="shared" si="8"/>
        <v>100</v>
      </c>
    </row>
    <row r="115" spans="2:16" x14ac:dyDescent="0.15">
      <c r="B115" s="1">
        <v>29</v>
      </c>
      <c r="C115" s="1">
        <f t="shared" si="2"/>
        <v>30</v>
      </c>
      <c r="D115" s="1">
        <f t="shared" si="3"/>
        <v>464</v>
      </c>
      <c r="J115" s="76">
        <f t="shared" si="4"/>
        <v>1.25</v>
      </c>
      <c r="K115" s="53">
        <v>1250</v>
      </c>
      <c r="L115" s="1">
        <f t="shared" si="5"/>
        <v>365.41329884846772</v>
      </c>
      <c r="N115" s="1">
        <f t="shared" si="6"/>
        <v>-250</v>
      </c>
      <c r="O115" s="1">
        <f t="shared" si="7"/>
        <v>365.41329884846772</v>
      </c>
      <c r="P115" s="1">
        <f t="shared" si="8"/>
        <v>100</v>
      </c>
    </row>
    <row r="116" spans="2:16" x14ac:dyDescent="0.15">
      <c r="B116" s="1">
        <v>30</v>
      </c>
      <c r="C116" s="1">
        <f t="shared" si="2"/>
        <v>31</v>
      </c>
      <c r="D116" s="1">
        <f t="shared" si="3"/>
        <v>495</v>
      </c>
      <c r="J116" s="76">
        <f t="shared" si="4"/>
        <v>1.3</v>
      </c>
      <c r="K116" s="53">
        <v>1300</v>
      </c>
      <c r="L116" s="1">
        <f t="shared" si="5"/>
        <v>364.05337131329441</v>
      </c>
      <c r="N116" s="1">
        <f t="shared" si="6"/>
        <v>-300</v>
      </c>
      <c r="O116" s="1">
        <f t="shared" si="7"/>
        <v>364.05337131329441</v>
      </c>
      <c r="P116" s="1">
        <f t="shared" si="8"/>
        <v>100</v>
      </c>
    </row>
    <row r="117" spans="2:16" x14ac:dyDescent="0.15">
      <c r="B117" s="1">
        <v>31</v>
      </c>
      <c r="C117" s="1">
        <f t="shared" si="2"/>
        <v>32</v>
      </c>
      <c r="D117" s="1">
        <f t="shared" si="3"/>
        <v>527</v>
      </c>
      <c r="J117" s="76">
        <f t="shared" si="4"/>
        <v>1.35</v>
      </c>
      <c r="K117" s="53">
        <v>1350</v>
      </c>
      <c r="L117" s="1">
        <f t="shared" si="5"/>
        <v>362.74113004743299</v>
      </c>
      <c r="N117" s="1">
        <f t="shared" si="6"/>
        <v>-350</v>
      </c>
      <c r="O117" s="1">
        <f t="shared" si="7"/>
        <v>362.74113004743299</v>
      </c>
      <c r="P117" s="1">
        <f t="shared" si="8"/>
        <v>100</v>
      </c>
    </row>
    <row r="118" spans="2:16" x14ac:dyDescent="0.15">
      <c r="B118" s="1">
        <v>32</v>
      </c>
      <c r="C118" s="1">
        <f t="shared" si="2"/>
        <v>33</v>
      </c>
      <c r="D118" s="1">
        <f t="shared" si="3"/>
        <v>560</v>
      </c>
      <c r="J118" s="76">
        <f t="shared" si="4"/>
        <v>1.4</v>
      </c>
      <c r="K118" s="53">
        <v>1400</v>
      </c>
      <c r="L118" s="1">
        <f t="shared" si="5"/>
        <v>361.47188488074914</v>
      </c>
      <c r="N118" s="1">
        <f t="shared" si="6"/>
        <v>-400</v>
      </c>
      <c r="O118" s="1">
        <f t="shared" si="7"/>
        <v>361.47188488074914</v>
      </c>
      <c r="P118" s="1">
        <f t="shared" si="8"/>
        <v>100</v>
      </c>
    </row>
    <row r="119" spans="2:16" x14ac:dyDescent="0.15">
      <c r="B119" s="1">
        <v>33</v>
      </c>
      <c r="C119" s="1">
        <f t="shared" si="2"/>
        <v>34</v>
      </c>
      <c r="D119" s="1">
        <f t="shared" si="3"/>
        <v>594</v>
      </c>
      <c r="J119" s="76">
        <f t="shared" si="4"/>
        <v>1.45</v>
      </c>
      <c r="K119" s="53">
        <v>1450</v>
      </c>
      <c r="L119" s="1">
        <f t="shared" si="5"/>
        <v>360.24166750824747</v>
      </c>
      <c r="N119" s="1">
        <f t="shared" si="6"/>
        <v>-450</v>
      </c>
      <c r="O119" s="1">
        <f t="shared" si="7"/>
        <v>360.24166750824747</v>
      </c>
      <c r="P119" s="1">
        <f t="shared" si="8"/>
        <v>100</v>
      </c>
    </row>
    <row r="120" spans="2:16" x14ac:dyDescent="0.15">
      <c r="B120" s="1">
        <v>34</v>
      </c>
      <c r="C120" s="1">
        <f t="shared" si="2"/>
        <v>35</v>
      </c>
      <c r="D120" s="1">
        <f t="shared" si="3"/>
        <v>629</v>
      </c>
      <c r="J120" s="76">
        <f t="shared" si="4"/>
        <v>1.5</v>
      </c>
      <c r="K120" s="53">
        <v>1500</v>
      </c>
      <c r="L120" s="1">
        <f t="shared" si="5"/>
        <v>359.04708490574529</v>
      </c>
      <c r="N120" s="1">
        <f t="shared" si="6"/>
        <v>-500</v>
      </c>
      <c r="O120" s="1">
        <f t="shared" si="7"/>
        <v>359.04708490574529</v>
      </c>
      <c r="P120" s="1">
        <f t="shared" si="8"/>
        <v>100</v>
      </c>
    </row>
    <row r="121" spans="2:16" x14ac:dyDescent="0.15">
      <c r="B121" s="1">
        <v>35</v>
      </c>
      <c r="C121" s="1">
        <f t="shared" si="2"/>
        <v>36</v>
      </c>
      <c r="D121" s="1">
        <f t="shared" si="3"/>
        <v>665</v>
      </c>
      <c r="J121" s="76">
        <f t="shared" si="4"/>
        <v>1.55</v>
      </c>
      <c r="K121" s="53">
        <v>1550</v>
      </c>
      <c r="L121" s="1">
        <f t="shared" si="5"/>
        <v>357.88520893091425</v>
      </c>
      <c r="N121" s="1">
        <f t="shared" si="6"/>
        <v>-550</v>
      </c>
      <c r="O121" s="1">
        <f t="shared" si="7"/>
        <v>357.88520893091425</v>
      </c>
      <c r="P121" s="1">
        <f t="shared" si="8"/>
        <v>100</v>
      </c>
    </row>
    <row r="122" spans="2:16" x14ac:dyDescent="0.15">
      <c r="B122" s="1">
        <v>36</v>
      </c>
      <c r="C122" s="1">
        <f t="shared" si="2"/>
        <v>37</v>
      </c>
      <c r="D122" s="1">
        <f t="shared" si="3"/>
        <v>702</v>
      </c>
      <c r="J122" s="76">
        <f t="shared" si="4"/>
        <v>1.6</v>
      </c>
      <c r="K122" s="53">
        <v>1600</v>
      </c>
      <c r="L122" s="1">
        <f t="shared" si="5"/>
        <v>356.75349175633926</v>
      </c>
      <c r="N122" s="1">
        <f t="shared" si="6"/>
        <v>-600</v>
      </c>
      <c r="O122" s="1">
        <f t="shared" si="7"/>
        <v>356.75349175633926</v>
      </c>
      <c r="P122" s="1">
        <f t="shared" si="8"/>
        <v>100</v>
      </c>
    </row>
    <row r="123" spans="2:16" x14ac:dyDescent="0.15">
      <c r="B123" s="1">
        <v>37</v>
      </c>
      <c r="C123" s="1">
        <f t="shared" si="2"/>
        <v>38</v>
      </c>
      <c r="D123" s="1">
        <f t="shared" si="3"/>
        <v>740</v>
      </c>
      <c r="J123" s="76">
        <f t="shared" si="4"/>
        <v>1.65</v>
      </c>
      <c r="K123" s="53">
        <v>1650</v>
      </c>
      <c r="L123" s="1">
        <f t="shared" si="5"/>
        <v>355.64970011003197</v>
      </c>
      <c r="N123" s="1">
        <f t="shared" si="6"/>
        <v>-650</v>
      </c>
      <c r="O123" s="1">
        <f t="shared" si="7"/>
        <v>355.64970011003197</v>
      </c>
      <c r="P123" s="1">
        <f t="shared" si="8"/>
        <v>100</v>
      </c>
    </row>
    <row r="124" spans="2:16" x14ac:dyDescent="0.15">
      <c r="B124" s="1">
        <v>38</v>
      </c>
      <c r="C124" s="1">
        <f t="shared" si="2"/>
        <v>39</v>
      </c>
      <c r="D124" s="1">
        <f t="shared" si="3"/>
        <v>779</v>
      </c>
      <c r="J124" s="76">
        <f t="shared" si="4"/>
        <v>1.7</v>
      </c>
      <c r="K124" s="53">
        <v>1700</v>
      </c>
      <c r="L124" s="1">
        <f t="shared" si="5"/>
        <v>354.57186345059074</v>
      </c>
      <c r="N124" s="1">
        <f t="shared" si="6"/>
        <v>-700</v>
      </c>
      <c r="O124" s="1">
        <f t="shared" si="7"/>
        <v>354.57186345059074</v>
      </c>
      <c r="P124" s="1">
        <f t="shared" si="8"/>
        <v>100</v>
      </c>
    </row>
    <row r="125" spans="2:16" x14ac:dyDescent="0.15">
      <c r="B125" s="1">
        <v>39</v>
      </c>
      <c r="C125" s="1">
        <f t="shared" si="2"/>
        <v>40</v>
      </c>
      <c r="D125" s="1">
        <f t="shared" si="3"/>
        <v>819</v>
      </c>
      <c r="J125" s="76">
        <f t="shared" si="4"/>
        <v>1.75</v>
      </c>
      <c r="K125" s="53">
        <v>1750</v>
      </c>
      <c r="L125" s="1">
        <f t="shared" si="5"/>
        <v>353.51823262946641</v>
      </c>
      <c r="N125" s="1">
        <f t="shared" si="6"/>
        <v>-750</v>
      </c>
      <c r="O125" s="1">
        <f t="shared" si="7"/>
        <v>353.51823262946641</v>
      </c>
      <c r="P125" s="1">
        <f t="shared" si="8"/>
        <v>100</v>
      </c>
    </row>
    <row r="126" spans="2:16" x14ac:dyDescent="0.15">
      <c r="B126" s="1">
        <v>40</v>
      </c>
      <c r="C126" s="1">
        <f t="shared" si="2"/>
        <v>41</v>
      </c>
      <c r="D126" s="1">
        <f t="shared" si="3"/>
        <v>860</v>
      </c>
      <c r="J126" s="76">
        <f t="shared" si="4"/>
        <v>1.8</v>
      </c>
      <c r="K126" s="53">
        <v>1800</v>
      </c>
      <c r="L126" s="1">
        <f t="shared" si="5"/>
        <v>352.48724655765602</v>
      </c>
      <c r="N126" s="1">
        <f t="shared" si="6"/>
        <v>-800</v>
      </c>
      <c r="O126" s="1">
        <f t="shared" si="7"/>
        <v>352.48724655765602</v>
      </c>
      <c r="P126" s="1">
        <f t="shared" si="8"/>
        <v>100</v>
      </c>
    </row>
    <row r="127" spans="2:16" x14ac:dyDescent="0.15">
      <c r="B127" s="1">
        <v>41</v>
      </c>
      <c r="C127" s="1">
        <f t="shared" si="2"/>
        <v>42</v>
      </c>
      <c r="D127" s="1">
        <f t="shared" si="3"/>
        <v>902</v>
      </c>
      <c r="J127" s="76">
        <f t="shared" si="4"/>
        <v>1.85</v>
      </c>
      <c r="K127" s="53">
        <v>1850</v>
      </c>
      <c r="L127" s="1">
        <f t="shared" si="5"/>
        <v>351.47750506022317</v>
      </c>
      <c r="N127" s="1">
        <f t="shared" si="6"/>
        <v>-850</v>
      </c>
      <c r="O127" s="1">
        <f t="shared" si="7"/>
        <v>351.47750506022317</v>
      </c>
      <c r="P127" s="1">
        <f t="shared" si="8"/>
        <v>100</v>
      </c>
    </row>
    <row r="128" spans="2:16" x14ac:dyDescent="0.15">
      <c r="B128" s="1">
        <v>42</v>
      </c>
      <c r="C128" s="1">
        <f t="shared" si="2"/>
        <v>43</v>
      </c>
      <c r="D128" s="1">
        <f t="shared" si="3"/>
        <v>945</v>
      </c>
      <c r="J128" s="76">
        <f t="shared" si="4"/>
        <v>1.9</v>
      </c>
      <c r="K128" s="53">
        <v>1900</v>
      </c>
      <c r="L128" s="1">
        <f t="shared" si="5"/>
        <v>350.48774657006419</v>
      </c>
      <c r="N128" s="1">
        <f t="shared" si="6"/>
        <v>-900</v>
      </c>
      <c r="O128" s="1">
        <f t="shared" si="7"/>
        <v>350.48774657006419</v>
      </c>
      <c r="P128" s="1">
        <f t="shared" si="8"/>
        <v>100</v>
      </c>
    </row>
    <row r="129" spans="2:16" x14ac:dyDescent="0.15">
      <c r="B129" s="1">
        <v>43</v>
      </c>
      <c r="C129" s="1">
        <f t="shared" si="2"/>
        <v>44</v>
      </c>
      <c r="D129" s="1">
        <f t="shared" si="3"/>
        <v>989</v>
      </c>
      <c r="J129" s="76">
        <f t="shared" si="4"/>
        <v>1.95</v>
      </c>
      <c r="K129" s="53">
        <v>1950</v>
      </c>
      <c r="L129" s="1">
        <f t="shared" si="5"/>
        <v>349.51682964650962</v>
      </c>
      <c r="N129" s="1">
        <f t="shared" si="6"/>
        <v>-950</v>
      </c>
      <c r="O129" s="1">
        <f t="shared" si="7"/>
        <v>349.51682964650962</v>
      </c>
      <c r="P129" s="1">
        <f t="shared" si="8"/>
        <v>100</v>
      </c>
    </row>
    <row r="130" spans="2:16" x14ac:dyDescent="0.15">
      <c r="B130" s="1">
        <v>44</v>
      </c>
      <c r="C130" s="1">
        <f t="shared" si="2"/>
        <v>45</v>
      </c>
      <c r="D130" s="1">
        <f t="shared" si="3"/>
        <v>1034</v>
      </c>
      <c r="J130" s="76">
        <f t="shared" si="4"/>
        <v>2</v>
      </c>
      <c r="K130" s="53">
        <v>2000</v>
      </c>
      <c r="L130" s="1">
        <f t="shared" si="5"/>
        <v>348.56371754646915</v>
      </c>
      <c r="N130" s="1">
        <f t="shared" si="6"/>
        <v>-1000</v>
      </c>
      <c r="O130" s="1">
        <f t="shared" si="7"/>
        <v>348.56371754646915</v>
      </c>
      <c r="P130" s="1">
        <f t="shared" si="8"/>
        <v>100</v>
      </c>
    </row>
    <row r="131" spans="2:16" x14ac:dyDescent="0.15">
      <c r="B131" s="1">
        <v>45</v>
      </c>
      <c r="C131" s="1">
        <f t="shared" si="2"/>
        <v>46</v>
      </c>
      <c r="D131" s="1">
        <f t="shared" si="3"/>
        <v>1080</v>
      </c>
      <c r="J131" s="76">
        <f t="shared" si="4"/>
        <v>2.0499999999999998</v>
      </c>
      <c r="K131" s="53">
        <v>2050</v>
      </c>
      <c r="L131" s="1">
        <f t="shared" si="5"/>
        <v>347.62746525361928</v>
      </c>
      <c r="N131" s="1">
        <f t="shared" si="6"/>
        <v>-1050</v>
      </c>
      <c r="O131" s="1">
        <f t="shared" si="7"/>
        <v>347.62746525361928</v>
      </c>
      <c r="P131" s="1">
        <f t="shared" si="8"/>
        <v>100</v>
      </c>
    </row>
    <row r="132" spans="2:16" x14ac:dyDescent="0.15">
      <c r="B132" s="1">
        <v>46</v>
      </c>
      <c r="C132" s="1">
        <f t="shared" si="2"/>
        <v>47</v>
      </c>
      <c r="D132" s="1">
        <f t="shared" si="3"/>
        <v>1127</v>
      </c>
      <c r="J132" s="76">
        <f t="shared" si="4"/>
        <v>2.1</v>
      </c>
      <c r="K132" s="53">
        <v>2100</v>
      </c>
      <c r="L132" s="1">
        <f t="shared" si="5"/>
        <v>346.70720850330764</v>
      </c>
      <c r="N132" s="1">
        <f t="shared" si="6"/>
        <v>-1100</v>
      </c>
      <c r="O132" s="1">
        <f t="shared" si="7"/>
        <v>346.70720850330764</v>
      </c>
      <c r="P132" s="1">
        <f t="shared" si="8"/>
        <v>100</v>
      </c>
    </row>
    <row r="133" spans="2:16" x14ac:dyDescent="0.15">
      <c r="B133" s="1">
        <v>47</v>
      </c>
      <c r="C133" s="1">
        <f t="shared" si="2"/>
        <v>48</v>
      </c>
      <c r="D133" s="1">
        <f t="shared" si="3"/>
        <v>1175</v>
      </c>
      <c r="J133" s="76">
        <f t="shared" si="4"/>
        <v>2.15</v>
      </c>
      <c r="K133" s="53">
        <v>2150</v>
      </c>
      <c r="L133" s="1">
        <f t="shared" si="5"/>
        <v>345.80215444022991</v>
      </c>
      <c r="N133" s="1">
        <f t="shared" si="6"/>
        <v>-1150</v>
      </c>
      <c r="O133" s="1">
        <f t="shared" si="7"/>
        <v>345.80215444022991</v>
      </c>
      <c r="P133" s="1">
        <f t="shared" si="8"/>
        <v>100</v>
      </c>
    </row>
    <row r="134" spans="2:16" x14ac:dyDescent="0.15">
      <c r="B134" s="1">
        <v>48</v>
      </c>
      <c r="C134" s="1">
        <f t="shared" si="2"/>
        <v>49</v>
      </c>
      <c r="D134" s="1">
        <f t="shared" si="3"/>
        <v>1224</v>
      </c>
      <c r="J134" s="76">
        <f t="shared" si="4"/>
        <v>2.2000000000000002</v>
      </c>
      <c r="K134" s="53">
        <v>2200</v>
      </c>
      <c r="L134" s="1">
        <f t="shared" si="5"/>
        <v>344.91157362145509</v>
      </c>
      <c r="N134" s="1">
        <f t="shared" si="6"/>
        <v>-1200</v>
      </c>
      <c r="O134" s="1">
        <f t="shared" si="7"/>
        <v>344.91157362145509</v>
      </c>
      <c r="P134" s="1">
        <f t="shared" si="8"/>
        <v>100</v>
      </c>
    </row>
    <row r="135" spans="2:16" x14ac:dyDescent="0.15">
      <c r="B135" s="1">
        <v>49</v>
      </c>
      <c r="C135" s="1">
        <f t="shared" si="2"/>
        <v>50</v>
      </c>
      <c r="D135" s="1">
        <f t="shared" si="3"/>
        <v>1274</v>
      </c>
      <c r="J135" s="76">
        <f t="shared" si="4"/>
        <v>2.25</v>
      </c>
      <c r="K135" s="53">
        <v>2250</v>
      </c>
      <c r="L135" s="1">
        <f t="shared" si="5"/>
        <v>344.03479313532404</v>
      </c>
      <c r="N135" s="1">
        <f t="shared" si="6"/>
        <v>-1250</v>
      </c>
      <c r="O135" s="1">
        <f t="shared" si="7"/>
        <v>344.03479313532404</v>
      </c>
      <c r="P135" s="1">
        <f t="shared" si="8"/>
        <v>100</v>
      </c>
    </row>
    <row r="136" spans="2:16" x14ac:dyDescent="0.15">
      <c r="B136" s="1">
        <v>50</v>
      </c>
      <c r="C136" s="1">
        <f t="shared" si="2"/>
        <v>51</v>
      </c>
      <c r="D136" s="1">
        <f t="shared" si="3"/>
        <v>1325</v>
      </c>
      <c r="J136" s="76">
        <f t="shared" si="4"/>
        <v>2.2999999999999998</v>
      </c>
      <c r="K136" s="53">
        <v>2300</v>
      </c>
      <c r="L136" s="1">
        <f t="shared" si="5"/>
        <v>343.17119065161711</v>
      </c>
      <c r="N136" s="1">
        <f t="shared" si="6"/>
        <v>-1300</v>
      </c>
      <c r="O136" s="1">
        <f t="shared" si="7"/>
        <v>343.17119065161711</v>
      </c>
      <c r="P136" s="1">
        <f t="shared" si="8"/>
        <v>100</v>
      </c>
    </row>
    <row r="137" spans="2:16" x14ac:dyDescent="0.15">
      <c r="B137" s="1">
        <v>51</v>
      </c>
      <c r="C137" s="1">
        <f t="shared" si="2"/>
        <v>52</v>
      </c>
      <c r="D137" s="1">
        <f t="shared" si="3"/>
        <v>1377</v>
      </c>
      <c r="J137" s="76">
        <f t="shared" si="4"/>
        <v>2.35</v>
      </c>
      <c r="K137" s="53">
        <v>2350</v>
      </c>
      <c r="L137" s="1">
        <f t="shared" si="5"/>
        <v>342.32018925342868</v>
      </c>
      <c r="N137" s="1">
        <f t="shared" si="6"/>
        <v>-1350</v>
      </c>
      <c r="O137" s="1">
        <f t="shared" si="7"/>
        <v>342.32018925342868</v>
      </c>
      <c r="P137" s="1">
        <f t="shared" si="8"/>
        <v>100</v>
      </c>
    </row>
    <row r="138" spans="2:16" x14ac:dyDescent="0.15">
      <c r="B138" s="1">
        <v>52</v>
      </c>
      <c r="C138" s="1">
        <f t="shared" si="2"/>
        <v>53</v>
      </c>
      <c r="D138" s="1">
        <f t="shared" si="3"/>
        <v>1430</v>
      </c>
      <c r="J138" s="76">
        <f t="shared" si="4"/>
        <v>2.4</v>
      </c>
      <c r="K138" s="53">
        <v>2400</v>
      </c>
      <c r="L138" s="1">
        <f t="shared" si="5"/>
        <v>341.48125292877234</v>
      </c>
      <c r="N138" s="1">
        <f t="shared" si="6"/>
        <v>-1400</v>
      </c>
      <c r="O138" s="1">
        <f t="shared" si="7"/>
        <v>341.48125292877234</v>
      </c>
      <c r="P138" s="1">
        <f t="shared" si="8"/>
        <v>100</v>
      </c>
    </row>
    <row r="139" spans="2:16" x14ac:dyDescent="0.15">
      <c r="B139" s="1">
        <v>53</v>
      </c>
      <c r="C139" s="1">
        <f t="shared" si="2"/>
        <v>54</v>
      </c>
      <c r="D139" s="1">
        <f t="shared" si="3"/>
        <v>1484</v>
      </c>
      <c r="J139" s="76">
        <f t="shared" si="4"/>
        <v>2.4500000000000002</v>
      </c>
      <c r="K139" s="53">
        <v>2450</v>
      </c>
      <c r="L139" s="1">
        <f t="shared" si="5"/>
        <v>340.65388262181392</v>
      </c>
      <c r="N139" s="1">
        <f t="shared" si="6"/>
        <v>-1450</v>
      </c>
      <c r="O139" s="1">
        <f t="shared" si="7"/>
        <v>340.65388262181392</v>
      </c>
      <c r="P139" s="1">
        <f t="shared" si="8"/>
        <v>100</v>
      </c>
    </row>
    <row r="140" spans="2:16" x14ac:dyDescent="0.15">
      <c r="B140" s="1">
        <v>54</v>
      </c>
      <c r="C140" s="1">
        <f t="shared" si="2"/>
        <v>55</v>
      </c>
      <c r="D140" s="1">
        <f t="shared" si="3"/>
        <v>1539</v>
      </c>
      <c r="J140" s="76">
        <f t="shared" si="4"/>
        <v>2.5</v>
      </c>
      <c r="K140" s="53">
        <v>2500</v>
      </c>
      <c r="L140" s="1">
        <f t="shared" si="5"/>
        <v>339.83761276110044</v>
      </c>
      <c r="N140" s="1">
        <f t="shared" si="6"/>
        <v>-1500</v>
      </c>
      <c r="O140" s="1">
        <f t="shared" si="7"/>
        <v>339.83761276110044</v>
      </c>
      <c r="P140" s="1">
        <f t="shared" si="8"/>
        <v>100</v>
      </c>
    </row>
    <row r="141" spans="2:16" x14ac:dyDescent="0.15">
      <c r="B141" s="1">
        <v>55</v>
      </c>
      <c r="C141" s="1">
        <f t="shared" si="2"/>
        <v>56</v>
      </c>
      <c r="D141" s="1">
        <f t="shared" si="3"/>
        <v>1595</v>
      </c>
      <c r="J141" s="76">
        <f t="shared" si="4"/>
        <v>2.5499999999999998</v>
      </c>
      <c r="K141" s="53">
        <v>2550</v>
      </c>
      <c r="L141" s="1">
        <f t="shared" si="5"/>
        <v>339.03200819619701</v>
      </c>
      <c r="N141" s="1">
        <f t="shared" si="6"/>
        <v>-1550</v>
      </c>
      <c r="O141" s="1">
        <f t="shared" si="7"/>
        <v>339.03200819619701</v>
      </c>
      <c r="P141" s="1">
        <f t="shared" si="8"/>
        <v>100</v>
      </c>
    </row>
    <row r="142" spans="2:16" x14ac:dyDescent="0.15">
      <c r="B142" s="1">
        <v>56</v>
      </c>
      <c r="C142" s="1">
        <f t="shared" si="2"/>
        <v>57</v>
      </c>
      <c r="D142" s="1">
        <f t="shared" si="3"/>
        <v>1652</v>
      </c>
      <c r="J142" s="76">
        <f t="shared" si="4"/>
        <v>2.6</v>
      </c>
      <c r="K142" s="53">
        <v>2600</v>
      </c>
      <c r="L142" s="1">
        <f t="shared" si="5"/>
        <v>338.23666148550171</v>
      </c>
      <c r="N142" s="1">
        <f t="shared" si="6"/>
        <v>-1600</v>
      </c>
      <c r="O142" s="1">
        <f t="shared" si="7"/>
        <v>338.23666148550171</v>
      </c>
      <c r="P142" s="1">
        <f t="shared" si="8"/>
        <v>100</v>
      </c>
    </row>
    <row r="143" spans="2:16" x14ac:dyDescent="0.15">
      <c r="B143" s="1">
        <v>57</v>
      </c>
      <c r="C143" s="1">
        <f t="shared" si="2"/>
        <v>58</v>
      </c>
      <c r="D143" s="1">
        <f t="shared" si="3"/>
        <v>1710</v>
      </c>
      <c r="J143" s="76">
        <f t="shared" si="4"/>
        <v>2.65</v>
      </c>
      <c r="K143" s="53">
        <v>2650</v>
      </c>
      <c r="L143" s="1">
        <f t="shared" si="5"/>
        <v>337.45119048725417</v>
      </c>
      <c r="N143" s="1">
        <f t="shared" si="6"/>
        <v>-1650</v>
      </c>
      <c r="O143" s="1">
        <f t="shared" si="7"/>
        <v>337.45119048725417</v>
      </c>
      <c r="P143" s="1">
        <f t="shared" si="8"/>
        <v>100</v>
      </c>
    </row>
    <row r="144" spans="2:16" x14ac:dyDescent="0.15">
      <c r="B144" s="1">
        <v>58</v>
      </c>
      <c r="C144" s="1">
        <f t="shared" si="2"/>
        <v>59</v>
      </c>
      <c r="D144" s="1">
        <f t="shared" si="3"/>
        <v>1769</v>
      </c>
      <c r="J144" s="76">
        <f t="shared" si="4"/>
        <v>2.7</v>
      </c>
      <c r="K144" s="53">
        <v>2700</v>
      </c>
      <c r="L144" s="1">
        <f t="shared" si="5"/>
        <v>336.67523621331122</v>
      </c>
      <c r="N144" s="1">
        <f t="shared" si="6"/>
        <v>-1700</v>
      </c>
      <c r="O144" s="1">
        <f t="shared" si="7"/>
        <v>336.67523621331122</v>
      </c>
      <c r="P144" s="1">
        <f t="shared" si="8"/>
        <v>100</v>
      </c>
    </row>
    <row r="145" spans="2:16" x14ac:dyDescent="0.15">
      <c r="B145" s="1">
        <v>59</v>
      </c>
      <c r="C145" s="1">
        <f t="shared" si="2"/>
        <v>60</v>
      </c>
      <c r="D145" s="1">
        <f t="shared" si="3"/>
        <v>1829</v>
      </c>
      <c r="J145" s="76">
        <f t="shared" si="4"/>
        <v>2.75</v>
      </c>
      <c r="K145" s="53">
        <v>2750</v>
      </c>
      <c r="L145" s="1">
        <f t="shared" si="5"/>
        <v>335.90846091148649</v>
      </c>
      <c r="N145" s="1">
        <f t="shared" si="6"/>
        <v>-1750</v>
      </c>
      <c r="O145" s="1">
        <f t="shared" si="7"/>
        <v>335.90846091148649</v>
      </c>
      <c r="P145" s="1">
        <f t="shared" si="8"/>
        <v>100</v>
      </c>
    </row>
    <row r="146" spans="2:16" x14ac:dyDescent="0.15">
      <c r="B146" s="1">
        <v>60</v>
      </c>
      <c r="C146" s="1">
        <f t="shared" si="2"/>
        <v>61</v>
      </c>
      <c r="D146" s="1">
        <f t="shared" si="3"/>
        <v>1890</v>
      </c>
      <c r="J146" s="76">
        <f t="shared" si="4"/>
        <v>2.8</v>
      </c>
      <c r="K146" s="53">
        <v>2800</v>
      </c>
      <c r="L146" s="1">
        <f t="shared" si="5"/>
        <v>335.1505463473888</v>
      </c>
      <c r="N146" s="1">
        <f t="shared" si="6"/>
        <v>-1800</v>
      </c>
      <c r="O146" s="1">
        <f t="shared" si="7"/>
        <v>335.1505463473888</v>
      </c>
      <c r="P146" s="1">
        <f t="shared" si="8"/>
        <v>100</v>
      </c>
    </row>
    <row r="147" spans="2:16" x14ac:dyDescent="0.15">
      <c r="B147" s="1">
        <v>61</v>
      </c>
      <c r="C147" s="1">
        <f t="shared" si="2"/>
        <v>62</v>
      </c>
      <c r="D147" s="1">
        <f t="shared" si="3"/>
        <v>1952</v>
      </c>
      <c r="J147" s="76">
        <f t="shared" si="4"/>
        <v>2.85</v>
      </c>
      <c r="K147" s="53">
        <v>2850</v>
      </c>
      <c r="L147" s="1">
        <f t="shared" si="5"/>
        <v>334.40119226096488</v>
      </c>
      <c r="N147" s="1">
        <f t="shared" si="6"/>
        <v>-1850</v>
      </c>
      <c r="O147" s="1">
        <f t="shared" si="7"/>
        <v>334.40119226096488</v>
      </c>
      <c r="P147" s="1">
        <f t="shared" si="8"/>
        <v>100</v>
      </c>
    </row>
    <row r="148" spans="2:16" x14ac:dyDescent="0.15">
      <c r="B148" s="1">
        <v>62</v>
      </c>
      <c r="C148" s="1">
        <f t="shared" si="2"/>
        <v>63</v>
      </c>
      <c r="D148" s="1">
        <f t="shared" si="3"/>
        <v>2015</v>
      </c>
      <c r="J148" s="76">
        <f t="shared" si="4"/>
        <v>2.9</v>
      </c>
      <c r="K148" s="53">
        <v>2900</v>
      </c>
      <c r="L148" s="1">
        <f t="shared" si="5"/>
        <v>333.66011497651255</v>
      </c>
      <c r="N148" s="1">
        <f t="shared" si="6"/>
        <v>-1900</v>
      </c>
      <c r="O148" s="1">
        <f t="shared" si="7"/>
        <v>333.66011497651255</v>
      </c>
      <c r="P148" s="1">
        <f t="shared" si="8"/>
        <v>100</v>
      </c>
    </row>
    <row r="149" spans="2:16" x14ac:dyDescent="0.15">
      <c r="B149" s="1">
        <v>63</v>
      </c>
      <c r="C149" s="1">
        <f t="shared" si="2"/>
        <v>64</v>
      </c>
      <c r="D149" s="1">
        <f t="shared" si="3"/>
        <v>2079</v>
      </c>
      <c r="J149" s="76">
        <f t="shared" si="4"/>
        <v>2.95</v>
      </c>
      <c r="K149" s="53">
        <v>2950</v>
      </c>
      <c r="L149" s="1">
        <f t="shared" si="5"/>
        <v>332.92704614791631</v>
      </c>
      <c r="N149" s="1">
        <f t="shared" si="6"/>
        <v>-1950</v>
      </c>
      <c r="O149" s="1">
        <f t="shared" si="7"/>
        <v>332.92704614791631</v>
      </c>
      <c r="P149" s="1">
        <f t="shared" si="8"/>
        <v>100</v>
      </c>
    </row>
    <row r="150" spans="2:16" x14ac:dyDescent="0.15">
      <c r="B150" s="1">
        <v>64</v>
      </c>
      <c r="C150" s="1">
        <f t="shared" si="2"/>
        <v>65</v>
      </c>
      <c r="D150" s="1">
        <f t="shared" si="3"/>
        <v>2144</v>
      </c>
      <c r="J150" s="76">
        <f t="shared" si="4"/>
        <v>3</v>
      </c>
      <c r="K150" s="53">
        <v>3000</v>
      </c>
      <c r="L150" s="1">
        <f t="shared" si="5"/>
        <v>332.20173162336596</v>
      </c>
      <c r="N150" s="1">
        <f t="shared" si="6"/>
        <v>-2000</v>
      </c>
      <c r="O150" s="1">
        <f t="shared" si="7"/>
        <v>332.20173162336596</v>
      </c>
      <c r="P150" s="1">
        <f t="shared" si="8"/>
        <v>100</v>
      </c>
    </row>
    <row r="151" spans="2:16" x14ac:dyDescent="0.15">
      <c r="B151" s="1">
        <v>65</v>
      </c>
      <c r="C151" s="1">
        <f t="shared" si="2"/>
        <v>66</v>
      </c>
      <c r="D151" s="1">
        <f t="shared" si="3"/>
        <v>2210</v>
      </c>
      <c r="J151" s="76">
        <f t="shared" si="4"/>
        <v>3.05</v>
      </c>
      <c r="K151" s="53">
        <v>3050</v>
      </c>
      <c r="L151" s="1">
        <f t="shared" si="5"/>
        <v>331.48393041593954</v>
      </c>
      <c r="N151" s="1">
        <f t="shared" si="6"/>
        <v>-2050</v>
      </c>
      <c r="O151" s="1">
        <f t="shared" si="7"/>
        <v>331.48393041593954</v>
      </c>
      <c r="P151" s="1">
        <f t="shared" si="8"/>
        <v>100</v>
      </c>
    </row>
    <row r="152" spans="2:16" x14ac:dyDescent="0.15">
      <c r="B152" s="1">
        <v>66</v>
      </c>
      <c r="C152" s="1">
        <f t="shared" ref="C152:C186" si="9">C151+$C$79</f>
        <v>67</v>
      </c>
      <c r="D152" s="1">
        <f t="shared" si="3"/>
        <v>2277</v>
      </c>
      <c r="J152" s="76">
        <f t="shared" si="4"/>
        <v>3.1</v>
      </c>
      <c r="K152" s="53">
        <v>3100</v>
      </c>
      <c r="L152" s="1">
        <f t="shared" si="5"/>
        <v>330.77341376823</v>
      </c>
      <c r="N152" s="1">
        <f t="shared" si="6"/>
        <v>-2100</v>
      </c>
      <c r="O152" s="1">
        <f t="shared" si="7"/>
        <v>330.77341376823</v>
      </c>
      <c r="P152" s="1">
        <f t="shared" si="8"/>
        <v>100</v>
      </c>
    </row>
    <row r="153" spans="2:16" x14ac:dyDescent="0.15">
      <c r="B153" s="1">
        <v>67</v>
      </c>
      <c r="C153" s="1">
        <f t="shared" si="9"/>
        <v>68</v>
      </c>
      <c r="D153" s="1">
        <f t="shared" ref="D153:D186" si="10">D152+C153</f>
        <v>2345</v>
      </c>
      <c r="J153" s="76">
        <f t="shared" si="4"/>
        <v>3.15</v>
      </c>
      <c r="K153" s="53">
        <v>3150</v>
      </c>
      <c r="L153" s="1">
        <f t="shared" si="5"/>
        <v>330.06996430072292</v>
      </c>
      <c r="N153" s="1">
        <f t="shared" si="6"/>
        <v>-2150</v>
      </c>
      <c r="O153" s="1">
        <f t="shared" si="7"/>
        <v>330.06996430072292</v>
      </c>
      <c r="P153" s="1">
        <f t="shared" si="8"/>
        <v>100</v>
      </c>
    </row>
    <row r="154" spans="2:16" x14ac:dyDescent="0.15">
      <c r="B154" s="1">
        <v>68</v>
      </c>
      <c r="C154" s="1">
        <f t="shared" si="9"/>
        <v>69</v>
      </c>
      <c r="D154" s="1">
        <f t="shared" si="10"/>
        <v>2414</v>
      </c>
      <c r="J154" s="76">
        <f t="shared" si="4"/>
        <v>3.2</v>
      </c>
      <c r="K154" s="53">
        <v>3200</v>
      </c>
      <c r="L154" s="1">
        <f t="shared" si="5"/>
        <v>329.37337523493841</v>
      </c>
      <c r="N154" s="1">
        <f t="shared" si="6"/>
        <v>-2200</v>
      </c>
      <c r="O154" s="1">
        <f t="shared" si="7"/>
        <v>329.37337523493841</v>
      </c>
      <c r="P154" s="1">
        <f t="shared" si="8"/>
        <v>100</v>
      </c>
    </row>
    <row r="155" spans="2:16" x14ac:dyDescent="0.15">
      <c r="B155" s="1">
        <v>69</v>
      </c>
      <c r="C155" s="1">
        <f t="shared" si="9"/>
        <v>70</v>
      </c>
      <c r="D155" s="1">
        <f t="shared" si="10"/>
        <v>2484</v>
      </c>
      <c r="J155" s="76">
        <f t="shared" ref="J155:J200" si="11">K155/$L$88</f>
        <v>3.25</v>
      </c>
      <c r="K155" s="53">
        <v>3250</v>
      </c>
      <c r="L155" s="1">
        <f t="shared" ref="L155:L200" si="12">IF($L$88&gt;=5/3*K155,N155,MAX(O155,P155))</f>
        <v>328.68344968346827</v>
      </c>
      <c r="N155" s="1">
        <f t="shared" ref="N155:N200" si="13">$L$88-K155</f>
        <v>-2250</v>
      </c>
      <c r="O155" s="1">
        <f t="shared" ref="O155:O200" si="14">0.4*$L$88+1.5-(2.25+2*(K155-0.6*$L$88))^0.5</f>
        <v>328.68344968346827</v>
      </c>
      <c r="P155" s="1">
        <f t="shared" ref="P155:P200" si="15">$L$88*0.1</f>
        <v>100</v>
      </c>
    </row>
    <row r="156" spans="2:16" x14ac:dyDescent="0.15">
      <c r="B156" s="1">
        <v>70</v>
      </c>
      <c r="C156" s="1">
        <f t="shared" si="9"/>
        <v>71</v>
      </c>
      <c r="D156" s="1">
        <f t="shared" si="10"/>
        <v>2555</v>
      </c>
      <c r="J156" s="76">
        <f t="shared" si="11"/>
        <v>3.3</v>
      </c>
      <c r="K156" s="53">
        <v>3300</v>
      </c>
      <c r="L156" s="1">
        <f t="shared" si="12"/>
        <v>328</v>
      </c>
      <c r="N156" s="1">
        <f t="shared" si="13"/>
        <v>-2300</v>
      </c>
      <c r="O156" s="1">
        <f t="shared" si="14"/>
        <v>328</v>
      </c>
      <c r="P156" s="1">
        <f t="shared" si="15"/>
        <v>100</v>
      </c>
    </row>
    <row r="157" spans="2:16" x14ac:dyDescent="0.15">
      <c r="B157" s="1">
        <v>71</v>
      </c>
      <c r="C157" s="1">
        <f t="shared" si="9"/>
        <v>72</v>
      </c>
      <c r="D157" s="1">
        <f t="shared" si="10"/>
        <v>2627</v>
      </c>
      <c r="J157" s="76">
        <f t="shared" si="11"/>
        <v>3.35</v>
      </c>
      <c r="K157" s="53">
        <v>3350</v>
      </c>
      <c r="L157" s="1">
        <f t="shared" si="12"/>
        <v>327.32284718324649</v>
      </c>
      <c r="N157" s="1">
        <f t="shared" si="13"/>
        <v>-2350</v>
      </c>
      <c r="O157" s="1">
        <f t="shared" si="14"/>
        <v>327.32284718324649</v>
      </c>
      <c r="P157" s="1">
        <f t="shared" si="15"/>
        <v>100</v>
      </c>
    </row>
    <row r="158" spans="2:16" x14ac:dyDescent="0.15">
      <c r="B158" s="1">
        <v>72</v>
      </c>
      <c r="C158" s="1">
        <f t="shared" si="9"/>
        <v>73</v>
      </c>
      <c r="D158" s="1">
        <f t="shared" si="10"/>
        <v>2700</v>
      </c>
      <c r="J158" s="76">
        <f t="shared" si="11"/>
        <v>3.4</v>
      </c>
      <c r="K158" s="53">
        <v>3400</v>
      </c>
      <c r="L158" s="1">
        <f t="shared" si="12"/>
        <v>326.65182032941618</v>
      </c>
      <c r="N158" s="1">
        <f t="shared" si="13"/>
        <v>-2400</v>
      </c>
      <c r="O158" s="1">
        <f t="shared" si="14"/>
        <v>326.65182032941618</v>
      </c>
      <c r="P158" s="1">
        <f t="shared" si="15"/>
        <v>100</v>
      </c>
    </row>
    <row r="159" spans="2:16" x14ac:dyDescent="0.15">
      <c r="B159" s="1">
        <v>73</v>
      </c>
      <c r="C159" s="1">
        <f t="shared" si="9"/>
        <v>74</v>
      </c>
      <c r="D159" s="1">
        <f t="shared" si="10"/>
        <v>2774</v>
      </c>
      <c r="J159" s="76">
        <f t="shared" si="11"/>
        <v>3.45</v>
      </c>
      <c r="K159" s="53">
        <v>3450</v>
      </c>
      <c r="L159" s="1">
        <f t="shared" si="12"/>
        <v>325.98675612847774</v>
      </c>
      <c r="N159" s="1">
        <f t="shared" si="13"/>
        <v>-2450</v>
      </c>
      <c r="O159" s="1">
        <f t="shared" si="14"/>
        <v>325.98675612847774</v>
      </c>
      <c r="P159" s="1">
        <f t="shared" si="15"/>
        <v>100</v>
      </c>
    </row>
    <row r="160" spans="2:16" x14ac:dyDescent="0.15">
      <c r="B160" s="1">
        <v>74</v>
      </c>
      <c r="C160" s="1">
        <f t="shared" si="9"/>
        <v>75</v>
      </c>
      <c r="D160" s="1">
        <f t="shared" si="10"/>
        <v>2849</v>
      </c>
      <c r="J160" s="76">
        <f t="shared" si="11"/>
        <v>3.5</v>
      </c>
      <c r="K160" s="53">
        <v>3500</v>
      </c>
      <c r="L160" s="1">
        <f t="shared" si="12"/>
        <v>325.32749840001316</v>
      </c>
      <c r="N160" s="1">
        <f t="shared" si="13"/>
        <v>-2500</v>
      </c>
      <c r="O160" s="1">
        <f t="shared" si="14"/>
        <v>325.32749840001316</v>
      </c>
      <c r="P160" s="1">
        <f t="shared" si="15"/>
        <v>100</v>
      </c>
    </row>
    <row r="161" spans="2:16" x14ac:dyDescent="0.15">
      <c r="B161" s="1">
        <v>75</v>
      </c>
      <c r="C161" s="1">
        <f t="shared" si="9"/>
        <v>76</v>
      </c>
      <c r="D161" s="1">
        <f t="shared" si="10"/>
        <v>2925</v>
      </c>
      <c r="J161" s="76">
        <f t="shared" si="11"/>
        <v>3.55</v>
      </c>
      <c r="K161" s="53">
        <v>3550</v>
      </c>
      <c r="L161" s="1">
        <f t="shared" si="12"/>
        <v>324.67389766492118</v>
      </c>
      <c r="N161" s="1">
        <f t="shared" si="13"/>
        <v>-2550</v>
      </c>
      <c r="O161" s="1">
        <f t="shared" si="14"/>
        <v>324.67389766492118</v>
      </c>
      <c r="P161" s="1">
        <f t="shared" si="15"/>
        <v>100</v>
      </c>
    </row>
    <row r="162" spans="2:16" x14ac:dyDescent="0.15">
      <c r="B162" s="1">
        <v>76</v>
      </c>
      <c r="C162" s="1">
        <f t="shared" si="9"/>
        <v>77</v>
      </c>
      <c r="D162" s="1">
        <f t="shared" si="10"/>
        <v>3002</v>
      </c>
      <c r="J162" s="76">
        <f t="shared" si="11"/>
        <v>3.6</v>
      </c>
      <c r="K162" s="53">
        <v>3600</v>
      </c>
      <c r="L162" s="1">
        <f t="shared" si="12"/>
        <v>324.02581074964382</v>
      </c>
      <c r="N162" s="1">
        <f t="shared" si="13"/>
        <v>-2600</v>
      </c>
      <c r="O162" s="1">
        <f t="shared" si="14"/>
        <v>324.02581074964382</v>
      </c>
      <c r="P162" s="1">
        <f t="shared" si="15"/>
        <v>100</v>
      </c>
    </row>
    <row r="163" spans="2:16" x14ac:dyDescent="0.15">
      <c r="B163" s="1">
        <v>77</v>
      </c>
      <c r="C163" s="1">
        <f t="shared" si="9"/>
        <v>78</v>
      </c>
      <c r="D163" s="1">
        <f t="shared" si="10"/>
        <v>3080</v>
      </c>
      <c r="J163" s="76">
        <f t="shared" si="11"/>
        <v>3.65</v>
      </c>
      <c r="K163" s="53">
        <v>3650</v>
      </c>
      <c r="L163" s="1">
        <f t="shared" si="12"/>
        <v>323.38310041994754</v>
      </c>
      <c r="N163" s="1">
        <f t="shared" si="13"/>
        <v>-2650</v>
      </c>
      <c r="O163" s="1">
        <f t="shared" si="14"/>
        <v>323.38310041994754</v>
      </c>
      <c r="P163" s="1">
        <f t="shared" si="15"/>
        <v>100</v>
      </c>
    </row>
    <row r="164" spans="2:16" x14ac:dyDescent="0.15">
      <c r="B164" s="1">
        <v>78</v>
      </c>
      <c r="C164" s="1">
        <f t="shared" si="9"/>
        <v>79</v>
      </c>
      <c r="D164" s="1">
        <f t="shared" si="10"/>
        <v>3159</v>
      </c>
      <c r="J164" s="76">
        <f t="shared" si="11"/>
        <v>3.7</v>
      </c>
      <c r="K164" s="53">
        <v>3700</v>
      </c>
      <c r="L164" s="1">
        <f t="shared" si="12"/>
        <v>322.74563504160545</v>
      </c>
      <c r="N164" s="1">
        <f t="shared" si="13"/>
        <v>-2700</v>
      </c>
      <c r="O164" s="1">
        <f t="shared" si="14"/>
        <v>322.74563504160545</v>
      </c>
      <c r="P164" s="1">
        <f t="shared" si="15"/>
        <v>100</v>
      </c>
    </row>
    <row r="165" spans="2:16" x14ac:dyDescent="0.15">
      <c r="B165" s="1">
        <v>79</v>
      </c>
      <c r="C165" s="1">
        <f t="shared" si="9"/>
        <v>80</v>
      </c>
      <c r="D165" s="1">
        <f t="shared" si="10"/>
        <v>3239</v>
      </c>
      <c r="J165" s="76">
        <f t="shared" si="11"/>
        <v>3.75</v>
      </c>
      <c r="K165" s="53">
        <v>3750</v>
      </c>
      <c r="L165" s="1">
        <f t="shared" si="12"/>
        <v>322.11328826560452</v>
      </c>
      <c r="N165" s="1">
        <f t="shared" si="13"/>
        <v>-2750</v>
      </c>
      <c r="O165" s="1">
        <f t="shared" si="14"/>
        <v>322.11328826560452</v>
      </c>
      <c r="P165" s="1">
        <f t="shared" si="15"/>
        <v>100</v>
      </c>
    </row>
    <row r="166" spans="2:16" x14ac:dyDescent="0.15">
      <c r="B166" s="1">
        <v>80</v>
      </c>
      <c r="C166" s="1">
        <f t="shared" si="9"/>
        <v>81</v>
      </c>
      <c r="D166" s="1">
        <f t="shared" si="10"/>
        <v>3320</v>
      </c>
      <c r="J166" s="76">
        <f t="shared" si="11"/>
        <v>3.8</v>
      </c>
      <c r="K166" s="53">
        <v>3800</v>
      </c>
      <c r="L166" s="1">
        <f t="shared" si="12"/>
        <v>321.4859387357447</v>
      </c>
      <c r="N166" s="1">
        <f t="shared" si="13"/>
        <v>-2800</v>
      </c>
      <c r="O166" s="1">
        <f t="shared" si="14"/>
        <v>321.4859387357447</v>
      </c>
      <c r="P166" s="1">
        <f t="shared" si="15"/>
        <v>100</v>
      </c>
    </row>
    <row r="167" spans="2:16" x14ac:dyDescent="0.15">
      <c r="B167" s="1">
        <v>81</v>
      </c>
      <c r="C167" s="1">
        <f t="shared" si="9"/>
        <v>82</v>
      </c>
      <c r="D167" s="1">
        <f t="shared" si="10"/>
        <v>3402</v>
      </c>
      <c r="J167" s="76">
        <f t="shared" si="11"/>
        <v>3.85</v>
      </c>
      <c r="K167" s="53">
        <v>3850</v>
      </c>
      <c r="L167" s="1">
        <f t="shared" si="12"/>
        <v>320.86346981671397</v>
      </c>
      <c r="N167" s="1">
        <f t="shared" si="13"/>
        <v>-2850</v>
      </c>
      <c r="O167" s="1">
        <f t="shared" si="14"/>
        <v>320.86346981671397</v>
      </c>
      <c r="P167" s="1">
        <f t="shared" si="15"/>
        <v>100</v>
      </c>
    </row>
    <row r="168" spans="2:16" x14ac:dyDescent="0.15">
      <c r="B168" s="1">
        <v>82</v>
      </c>
      <c r="C168" s="1">
        <f t="shared" si="9"/>
        <v>83</v>
      </c>
      <c r="D168" s="1">
        <f t="shared" si="10"/>
        <v>3485</v>
      </c>
      <c r="J168" s="76">
        <f t="shared" si="11"/>
        <v>3.9</v>
      </c>
      <c r="K168" s="53">
        <v>3900</v>
      </c>
      <c r="L168" s="1">
        <f t="shared" si="12"/>
        <v>320.24576934091368</v>
      </c>
      <c r="N168" s="1">
        <f t="shared" si="13"/>
        <v>-2900</v>
      </c>
      <c r="O168" s="1">
        <f t="shared" si="14"/>
        <v>320.24576934091368</v>
      </c>
      <c r="P168" s="1">
        <f t="shared" si="15"/>
        <v>100</v>
      </c>
    </row>
    <row r="169" spans="2:16" x14ac:dyDescent="0.15">
      <c r="B169" s="1">
        <v>83</v>
      </c>
      <c r="C169" s="1">
        <f t="shared" si="9"/>
        <v>84</v>
      </c>
      <c r="D169" s="1">
        <f t="shared" si="10"/>
        <v>3569</v>
      </c>
      <c r="J169" s="76">
        <f t="shared" si="11"/>
        <v>3.95</v>
      </c>
      <c r="K169" s="53">
        <v>3950</v>
      </c>
      <c r="L169" s="1">
        <f t="shared" si="12"/>
        <v>319.63272937247757</v>
      </c>
      <c r="N169" s="1">
        <f t="shared" si="13"/>
        <v>-2950</v>
      </c>
      <c r="O169" s="1">
        <f t="shared" si="14"/>
        <v>319.63272937247757</v>
      </c>
      <c r="P169" s="1">
        <f t="shared" si="15"/>
        <v>100</v>
      </c>
    </row>
    <row r="170" spans="2:16" x14ac:dyDescent="0.15">
      <c r="B170" s="1">
        <v>84</v>
      </c>
      <c r="C170" s="1">
        <f t="shared" si="9"/>
        <v>85</v>
      </c>
      <c r="D170" s="1">
        <f t="shared" si="10"/>
        <v>3654</v>
      </c>
      <c r="J170" s="76">
        <f t="shared" si="11"/>
        <v>4</v>
      </c>
      <c r="K170" s="53">
        <v>4000</v>
      </c>
      <c r="L170" s="1">
        <f t="shared" si="12"/>
        <v>319.02424598707813</v>
      </c>
      <c r="N170" s="1">
        <f t="shared" si="13"/>
        <v>-3000</v>
      </c>
      <c r="O170" s="1">
        <f t="shared" si="14"/>
        <v>319.02424598707813</v>
      </c>
      <c r="P170" s="1">
        <f t="shared" si="15"/>
        <v>100</v>
      </c>
    </row>
    <row r="171" spans="2:16" x14ac:dyDescent="0.15">
      <c r="B171" s="1">
        <v>85</v>
      </c>
      <c r="C171" s="1">
        <f t="shared" si="9"/>
        <v>86</v>
      </c>
      <c r="D171" s="1">
        <f t="shared" si="10"/>
        <v>3740</v>
      </c>
      <c r="J171" s="76">
        <f t="shared" si="11"/>
        <v>4.05</v>
      </c>
      <c r="K171" s="53">
        <v>4050</v>
      </c>
      <c r="L171" s="1">
        <f t="shared" si="12"/>
        <v>318.42021906624933</v>
      </c>
      <c r="N171" s="1">
        <f t="shared" si="13"/>
        <v>-3050</v>
      </c>
      <c r="O171" s="1">
        <f t="shared" si="14"/>
        <v>318.42021906624933</v>
      </c>
      <c r="P171" s="1">
        <f t="shared" si="15"/>
        <v>100</v>
      </c>
    </row>
    <row r="172" spans="2:16" x14ac:dyDescent="0.15">
      <c r="B172" s="1">
        <v>86</v>
      </c>
      <c r="C172" s="1">
        <f t="shared" si="9"/>
        <v>87</v>
      </c>
      <c r="D172" s="1">
        <f t="shared" si="10"/>
        <v>3827</v>
      </c>
      <c r="J172" s="76">
        <f t="shared" si="11"/>
        <v>4.0999999999999996</v>
      </c>
      <c r="K172" s="53">
        <v>4100</v>
      </c>
      <c r="L172" s="1">
        <f t="shared" si="12"/>
        <v>317.82055210507184</v>
      </c>
      <c r="N172" s="1">
        <f t="shared" si="13"/>
        <v>-3100</v>
      </c>
      <c r="O172" s="1">
        <f t="shared" si="14"/>
        <v>317.82055210507184</v>
      </c>
      <c r="P172" s="1">
        <f t="shared" si="15"/>
        <v>100</v>
      </c>
    </row>
    <row r="173" spans="2:16" x14ac:dyDescent="0.15">
      <c r="B173" s="1">
        <v>87</v>
      </c>
      <c r="C173" s="1">
        <f t="shared" si="9"/>
        <v>88</v>
      </c>
      <c r="D173" s="1">
        <f t="shared" si="10"/>
        <v>3915</v>
      </c>
      <c r="J173" s="76">
        <f t="shared" si="11"/>
        <v>4.1500000000000004</v>
      </c>
      <c r="K173" s="53">
        <v>4150</v>
      </c>
      <c r="L173" s="1">
        <f t="shared" si="12"/>
        <v>317.22515203217512</v>
      </c>
      <c r="N173" s="1">
        <f t="shared" si="13"/>
        <v>-3150</v>
      </c>
      <c r="O173" s="1">
        <f t="shared" si="14"/>
        <v>317.22515203217512</v>
      </c>
      <c r="P173" s="1">
        <f t="shared" si="15"/>
        <v>100</v>
      </c>
    </row>
    <row r="174" spans="2:16" x14ac:dyDescent="0.15">
      <c r="B174" s="1">
        <v>88</v>
      </c>
      <c r="C174" s="1">
        <f t="shared" si="9"/>
        <v>89</v>
      </c>
      <c r="D174" s="1">
        <f t="shared" si="10"/>
        <v>4004</v>
      </c>
      <c r="J174" s="76">
        <f t="shared" si="11"/>
        <v>4.2</v>
      </c>
      <c r="K174" s="53">
        <v>4200</v>
      </c>
      <c r="L174" s="1">
        <f t="shared" si="12"/>
        <v>316.63392904110617</v>
      </c>
      <c r="N174" s="1">
        <f t="shared" si="13"/>
        <v>-3200</v>
      </c>
      <c r="O174" s="1">
        <f t="shared" si="14"/>
        <v>316.63392904110617</v>
      </c>
      <c r="P174" s="1">
        <f t="shared" si="15"/>
        <v>100</v>
      </c>
    </row>
    <row r="175" spans="2:16" x14ac:dyDescent="0.15">
      <c r="B175" s="1">
        <v>89</v>
      </c>
      <c r="C175" s="1">
        <f t="shared" si="9"/>
        <v>90</v>
      </c>
      <c r="D175" s="1">
        <f t="shared" si="10"/>
        <v>4094</v>
      </c>
      <c r="J175" s="76">
        <f t="shared" si="11"/>
        <v>4.25</v>
      </c>
      <c r="K175" s="53">
        <v>4250</v>
      </c>
      <c r="L175" s="1">
        <f t="shared" si="12"/>
        <v>316.04679643219924</v>
      </c>
      <c r="N175" s="1">
        <f t="shared" si="13"/>
        <v>-3250</v>
      </c>
      <c r="O175" s="1">
        <f t="shared" si="14"/>
        <v>316.04679643219924</v>
      </c>
      <c r="P175" s="1">
        <f t="shared" si="15"/>
        <v>100</v>
      </c>
    </row>
    <row r="176" spans="2:16" x14ac:dyDescent="0.15">
      <c r="B176" s="1">
        <v>90</v>
      </c>
      <c r="C176" s="1">
        <f t="shared" si="9"/>
        <v>91</v>
      </c>
      <c r="D176" s="1">
        <f t="shared" si="10"/>
        <v>4185</v>
      </c>
      <c r="J176" s="76">
        <f t="shared" si="11"/>
        <v>4.3</v>
      </c>
      <c r="K176" s="53">
        <v>4300</v>
      </c>
      <c r="L176" s="1">
        <f t="shared" si="12"/>
        <v>315.46367046415799</v>
      </c>
      <c r="N176" s="1">
        <f t="shared" si="13"/>
        <v>-3300</v>
      </c>
      <c r="O176" s="1">
        <f t="shared" si="14"/>
        <v>315.46367046415799</v>
      </c>
      <c r="P176" s="1">
        <f t="shared" si="15"/>
        <v>100</v>
      </c>
    </row>
    <row r="177" spans="2:16" x14ac:dyDescent="0.15">
      <c r="B177" s="1">
        <v>91</v>
      </c>
      <c r="C177" s="1">
        <f t="shared" si="9"/>
        <v>92</v>
      </c>
      <c r="D177" s="1">
        <f t="shared" si="10"/>
        <v>4277</v>
      </c>
      <c r="J177" s="76">
        <f t="shared" si="11"/>
        <v>4.3499999999999996</v>
      </c>
      <c r="K177" s="53">
        <v>4350</v>
      </c>
      <c r="L177" s="1">
        <f t="shared" si="12"/>
        <v>314.88447021463185</v>
      </c>
      <c r="N177" s="1">
        <f t="shared" si="13"/>
        <v>-3350</v>
      </c>
      <c r="O177" s="1">
        <f t="shared" si="14"/>
        <v>314.88447021463185</v>
      </c>
      <c r="P177" s="1">
        <f t="shared" si="15"/>
        <v>100</v>
      </c>
    </row>
    <row r="178" spans="2:16" x14ac:dyDescent="0.15">
      <c r="B178" s="1">
        <v>92</v>
      </c>
      <c r="C178" s="1">
        <f t="shared" si="9"/>
        <v>93</v>
      </c>
      <c r="D178" s="1">
        <f t="shared" si="10"/>
        <v>4370</v>
      </c>
      <c r="J178" s="76">
        <f t="shared" si="11"/>
        <v>4.4000000000000004</v>
      </c>
      <c r="K178" s="53">
        <v>4400</v>
      </c>
      <c r="L178" s="1">
        <f t="shared" si="12"/>
        <v>314.30911744912771</v>
      </c>
      <c r="N178" s="1">
        <f t="shared" si="13"/>
        <v>-3400</v>
      </c>
      <c r="O178" s="1">
        <f t="shared" si="14"/>
        <v>314.30911744912771</v>
      </c>
      <c r="P178" s="1">
        <f t="shared" si="15"/>
        <v>100</v>
      </c>
    </row>
    <row r="179" spans="2:16" x14ac:dyDescent="0.15">
      <c r="B179" s="1">
        <v>93</v>
      </c>
      <c r="C179" s="1">
        <f t="shared" si="9"/>
        <v>94</v>
      </c>
      <c r="D179" s="1">
        <f t="shared" si="10"/>
        <v>4464</v>
      </c>
      <c r="J179" s="76">
        <f t="shared" si="11"/>
        <v>4.45</v>
      </c>
      <c r="K179" s="53">
        <v>4450</v>
      </c>
      <c r="L179" s="1">
        <f t="shared" si="12"/>
        <v>313.73753649765752</v>
      </c>
      <c r="N179" s="1">
        <f t="shared" si="13"/>
        <v>-3450</v>
      </c>
      <c r="O179" s="1">
        <f t="shared" si="14"/>
        <v>313.73753649765752</v>
      </c>
      <c r="P179" s="1">
        <f t="shared" si="15"/>
        <v>100</v>
      </c>
    </row>
    <row r="180" spans="2:16" x14ac:dyDescent="0.15">
      <c r="B180" s="1">
        <v>94</v>
      </c>
      <c r="C180" s="1">
        <f t="shared" si="9"/>
        <v>95</v>
      </c>
      <c r="D180" s="1">
        <f t="shared" si="10"/>
        <v>4559</v>
      </c>
      <c r="J180" s="76">
        <f t="shared" si="11"/>
        <v>4.5</v>
      </c>
      <c r="K180" s="53">
        <v>4500</v>
      </c>
      <c r="L180" s="1">
        <f t="shared" si="12"/>
        <v>313.16965413856911</v>
      </c>
      <c r="N180" s="1">
        <f t="shared" si="13"/>
        <v>-3500</v>
      </c>
      <c r="O180" s="1">
        <f t="shared" si="14"/>
        <v>313.16965413856911</v>
      </c>
      <c r="P180" s="1">
        <f t="shared" si="15"/>
        <v>100</v>
      </c>
    </row>
    <row r="181" spans="2:16" x14ac:dyDescent="0.15">
      <c r="B181" s="1">
        <v>95</v>
      </c>
      <c r="C181" s="1">
        <f t="shared" si="9"/>
        <v>96</v>
      </c>
      <c r="D181" s="1">
        <f t="shared" si="10"/>
        <v>4655</v>
      </c>
      <c r="J181" s="76">
        <f t="shared" si="11"/>
        <v>4.55</v>
      </c>
      <c r="K181" s="53">
        <v>4550</v>
      </c>
      <c r="L181" s="1">
        <f t="shared" si="12"/>
        <v>312.60539948905785</v>
      </c>
      <c r="N181" s="1">
        <f t="shared" si="13"/>
        <v>-3550</v>
      </c>
      <c r="O181" s="1">
        <f t="shared" si="14"/>
        <v>312.60539948905785</v>
      </c>
      <c r="P181" s="1">
        <f t="shared" si="15"/>
        <v>100</v>
      </c>
    </row>
    <row r="182" spans="2:16" x14ac:dyDescent="0.15">
      <c r="B182" s="1">
        <v>96</v>
      </c>
      <c r="C182" s="1">
        <f t="shared" si="9"/>
        <v>97</v>
      </c>
      <c r="D182" s="1">
        <f t="shared" si="10"/>
        <v>4752</v>
      </c>
      <c r="J182" s="76">
        <f t="shared" si="11"/>
        <v>4.5999999999999996</v>
      </c>
      <c r="K182" s="53">
        <v>4600</v>
      </c>
      <c r="L182" s="1">
        <f t="shared" si="12"/>
        <v>312.044703901893</v>
      </c>
      <c r="N182" s="1">
        <f t="shared" si="13"/>
        <v>-3600</v>
      </c>
      <c r="O182" s="1">
        <f t="shared" si="14"/>
        <v>312.044703901893</v>
      </c>
      <c r="P182" s="1">
        <f t="shared" si="15"/>
        <v>100</v>
      </c>
    </row>
    <row r="183" spans="2:16" x14ac:dyDescent="0.15">
      <c r="B183" s="1">
        <v>97</v>
      </c>
      <c r="C183" s="1">
        <f t="shared" si="9"/>
        <v>98</v>
      </c>
      <c r="D183" s="1">
        <f t="shared" si="10"/>
        <v>4850</v>
      </c>
      <c r="J183" s="76">
        <f t="shared" si="11"/>
        <v>4.6500000000000004</v>
      </c>
      <c r="K183" s="53">
        <v>4650</v>
      </c>
      <c r="L183" s="1">
        <f t="shared" si="12"/>
        <v>311.48750086793501</v>
      </c>
      <c r="N183" s="1">
        <f t="shared" si="13"/>
        <v>-3650</v>
      </c>
      <c r="O183" s="1">
        <f t="shared" si="14"/>
        <v>311.48750086793501</v>
      </c>
      <c r="P183" s="1">
        <f t="shared" si="15"/>
        <v>100</v>
      </c>
    </row>
    <row r="184" spans="2:16" x14ac:dyDescent="0.15">
      <c r="B184" s="1">
        <v>98</v>
      </c>
      <c r="C184" s="1">
        <f t="shared" si="9"/>
        <v>99</v>
      </c>
      <c r="D184" s="1">
        <f t="shared" si="10"/>
        <v>4949</v>
      </c>
      <c r="J184" s="76">
        <f t="shared" si="11"/>
        <v>4.7</v>
      </c>
      <c r="K184" s="53">
        <v>4700</v>
      </c>
      <c r="L184" s="1">
        <f t="shared" si="12"/>
        <v>310.93372592405052</v>
      </c>
      <c r="N184" s="1">
        <f t="shared" si="13"/>
        <v>-3700</v>
      </c>
      <c r="O184" s="1">
        <f t="shared" si="14"/>
        <v>310.93372592405052</v>
      </c>
      <c r="P184" s="1">
        <f t="shared" si="15"/>
        <v>100</v>
      </c>
    </row>
    <row r="185" spans="2:16" x14ac:dyDescent="0.15">
      <c r="B185" s="1">
        <v>99</v>
      </c>
      <c r="C185" s="1">
        <f t="shared" si="9"/>
        <v>100</v>
      </c>
      <c r="D185" s="1">
        <f t="shared" si="10"/>
        <v>5049</v>
      </c>
      <c r="J185" s="76">
        <f t="shared" si="11"/>
        <v>4.75</v>
      </c>
      <c r="K185" s="53">
        <v>4750</v>
      </c>
      <c r="L185" s="1">
        <f t="shared" si="12"/>
        <v>310.38331656606459</v>
      </c>
      <c r="N185" s="1">
        <f t="shared" si="13"/>
        <v>-3750</v>
      </c>
      <c r="O185" s="1">
        <f t="shared" si="14"/>
        <v>310.38331656606459</v>
      </c>
      <c r="P185" s="1">
        <f t="shared" si="15"/>
        <v>100</v>
      </c>
    </row>
    <row r="186" spans="2:16" x14ac:dyDescent="0.15">
      <c r="B186" s="1">
        <v>100</v>
      </c>
      <c r="C186" s="1">
        <f t="shared" si="9"/>
        <v>101</v>
      </c>
      <c r="D186" s="1">
        <f t="shared" si="10"/>
        <v>5150</v>
      </c>
      <c r="J186" s="76">
        <f t="shared" si="11"/>
        <v>4.8</v>
      </c>
      <c r="K186" s="53">
        <v>4800</v>
      </c>
      <c r="L186" s="1">
        <f t="shared" si="12"/>
        <v>309.83621216641768</v>
      </c>
      <c r="N186" s="1">
        <f t="shared" si="13"/>
        <v>-3800</v>
      </c>
      <c r="O186" s="1">
        <f t="shared" si="14"/>
        <v>309.83621216641768</v>
      </c>
      <c r="P186" s="1">
        <f t="shared" si="15"/>
        <v>100</v>
      </c>
    </row>
    <row r="187" spans="2:16" x14ac:dyDescent="0.15">
      <c r="J187" s="76">
        <f t="shared" si="11"/>
        <v>4.8499999999999996</v>
      </c>
      <c r="K187" s="53">
        <v>4850</v>
      </c>
      <c r="L187" s="1">
        <f t="shared" si="12"/>
        <v>309.29235389621965</v>
      </c>
      <c r="N187" s="1">
        <f t="shared" si="13"/>
        <v>-3850</v>
      </c>
      <c r="O187" s="1">
        <f t="shared" si="14"/>
        <v>309.29235389621965</v>
      </c>
      <c r="P187" s="1">
        <f t="shared" si="15"/>
        <v>100</v>
      </c>
    </row>
    <row r="188" spans="2:16" x14ac:dyDescent="0.15">
      <c r="J188" s="76">
        <f t="shared" si="11"/>
        <v>4.9000000000000004</v>
      </c>
      <c r="K188" s="53">
        <v>4900</v>
      </c>
      <c r="L188" s="1">
        <f t="shared" si="12"/>
        <v>308.75168465141803</v>
      </c>
      <c r="N188" s="1">
        <f t="shared" si="13"/>
        <v>-3900</v>
      </c>
      <c r="O188" s="1">
        <f t="shared" si="14"/>
        <v>308.75168465141803</v>
      </c>
      <c r="P188" s="1">
        <f t="shared" si="15"/>
        <v>100</v>
      </c>
    </row>
    <row r="189" spans="2:16" x14ac:dyDescent="0.15">
      <c r="J189" s="76">
        <f t="shared" si="11"/>
        <v>4.95</v>
      </c>
      <c r="K189" s="53">
        <v>4950</v>
      </c>
      <c r="L189" s="1">
        <f t="shared" si="12"/>
        <v>308.21414898281733</v>
      </c>
      <c r="N189" s="1">
        <f t="shared" si="13"/>
        <v>-3950</v>
      </c>
      <c r="O189" s="1">
        <f t="shared" si="14"/>
        <v>308.21414898281733</v>
      </c>
      <c r="P189" s="1">
        <f t="shared" si="15"/>
        <v>100</v>
      </c>
    </row>
    <row r="190" spans="2:16" x14ac:dyDescent="0.15">
      <c r="J190" s="76">
        <f t="shared" si="11"/>
        <v>5</v>
      </c>
      <c r="K190" s="53">
        <v>5000</v>
      </c>
      <c r="L190" s="1">
        <f t="shared" si="12"/>
        <v>307.67969302970704</v>
      </c>
      <c r="N190" s="1">
        <f t="shared" si="13"/>
        <v>-4000</v>
      </c>
      <c r="O190" s="1">
        <f t="shared" si="14"/>
        <v>307.67969302970704</v>
      </c>
      <c r="P190" s="1">
        <f t="shared" si="15"/>
        <v>100</v>
      </c>
    </row>
    <row r="191" spans="2:16" x14ac:dyDescent="0.15">
      <c r="J191" s="76">
        <f t="shared" si="11"/>
        <v>5.05</v>
      </c>
      <c r="K191" s="53">
        <v>5050</v>
      </c>
      <c r="L191" s="1">
        <f t="shared" si="12"/>
        <v>307.1482644568739</v>
      </c>
      <c r="N191" s="1">
        <f t="shared" si="13"/>
        <v>-4050</v>
      </c>
      <c r="O191" s="1">
        <f t="shared" si="14"/>
        <v>307.1482644568739</v>
      </c>
      <c r="P191" s="1">
        <f t="shared" si="15"/>
        <v>100</v>
      </c>
    </row>
    <row r="192" spans="2:16" x14ac:dyDescent="0.15">
      <c r="J192" s="76">
        <f t="shared" si="11"/>
        <v>5.0999999999999996</v>
      </c>
      <c r="K192" s="53">
        <v>5100</v>
      </c>
      <c r="L192" s="1">
        <f t="shared" si="12"/>
        <v>306.61981239478916</v>
      </c>
      <c r="N192" s="1">
        <f t="shared" si="13"/>
        <v>-4100</v>
      </c>
      <c r="O192" s="1">
        <f t="shared" si="14"/>
        <v>306.61981239478916</v>
      </c>
      <c r="P192" s="1">
        <f t="shared" si="15"/>
        <v>100</v>
      </c>
    </row>
    <row r="193" spans="10:16" x14ac:dyDescent="0.15">
      <c r="J193" s="76">
        <f t="shared" si="11"/>
        <v>5.15</v>
      </c>
      <c r="K193" s="53">
        <v>5150</v>
      </c>
      <c r="L193" s="1">
        <f t="shared" si="12"/>
        <v>306.09428738277774</v>
      </c>
      <c r="N193" s="1">
        <f t="shared" si="13"/>
        <v>-4150</v>
      </c>
      <c r="O193" s="1">
        <f t="shared" si="14"/>
        <v>306.09428738277774</v>
      </c>
      <c r="P193" s="1">
        <f t="shared" si="15"/>
        <v>100</v>
      </c>
    </row>
    <row r="194" spans="10:16" x14ac:dyDescent="0.15">
      <c r="J194" s="76">
        <f t="shared" si="11"/>
        <v>5.2</v>
      </c>
      <c r="K194" s="53">
        <v>5200</v>
      </c>
      <c r="L194" s="1">
        <f t="shared" si="12"/>
        <v>305.57164131498962</v>
      </c>
      <c r="N194" s="1">
        <f t="shared" si="13"/>
        <v>-4200</v>
      </c>
      <c r="O194" s="1">
        <f t="shared" si="14"/>
        <v>305.57164131498962</v>
      </c>
      <c r="P194" s="1">
        <f t="shared" si="15"/>
        <v>100</v>
      </c>
    </row>
    <row r="195" spans="10:16" x14ac:dyDescent="0.15">
      <c r="J195" s="76">
        <f t="shared" si="11"/>
        <v>5.25</v>
      </c>
      <c r="K195" s="53">
        <v>5250</v>
      </c>
      <c r="L195" s="1">
        <f t="shared" si="12"/>
        <v>305.05182738900646</v>
      </c>
      <c r="N195" s="1">
        <f t="shared" si="13"/>
        <v>-4250</v>
      </c>
      <c r="O195" s="1">
        <f t="shared" si="14"/>
        <v>305.05182738900646</v>
      </c>
      <c r="P195" s="1">
        <f t="shared" si="15"/>
        <v>100</v>
      </c>
    </row>
    <row r="196" spans="10:16" x14ac:dyDescent="0.15">
      <c r="J196" s="76">
        <f t="shared" si="11"/>
        <v>5.3</v>
      </c>
      <c r="K196" s="53">
        <v>5300</v>
      </c>
      <c r="L196" s="1">
        <f t="shared" si="12"/>
        <v>304.53480005692762</v>
      </c>
      <c r="N196" s="1">
        <f t="shared" si="13"/>
        <v>-4300</v>
      </c>
      <c r="O196" s="1">
        <f t="shared" si="14"/>
        <v>304.53480005692762</v>
      </c>
      <c r="P196" s="1">
        <f t="shared" si="15"/>
        <v>100</v>
      </c>
    </row>
    <row r="197" spans="10:16" x14ac:dyDescent="0.15">
      <c r="J197" s="76">
        <f t="shared" si="11"/>
        <v>5.35</v>
      </c>
      <c r="K197" s="53">
        <v>5350</v>
      </c>
      <c r="L197" s="1">
        <f t="shared" si="12"/>
        <v>304.02051497879154</v>
      </c>
      <c r="N197" s="1">
        <f t="shared" si="13"/>
        <v>-4350</v>
      </c>
      <c r="O197" s="1">
        <f t="shared" si="14"/>
        <v>304.02051497879154</v>
      </c>
      <c r="P197" s="1">
        <f t="shared" si="15"/>
        <v>100</v>
      </c>
    </row>
    <row r="198" spans="10:16" x14ac:dyDescent="0.15">
      <c r="J198" s="76">
        <f t="shared" si="11"/>
        <v>5.4</v>
      </c>
      <c r="K198" s="53">
        <v>5400</v>
      </c>
      <c r="L198" s="1">
        <f t="shared" si="12"/>
        <v>303.50892897819722</v>
      </c>
      <c r="N198" s="1">
        <f t="shared" si="13"/>
        <v>-4400</v>
      </c>
      <c r="O198" s="1">
        <f t="shared" si="14"/>
        <v>303.50892897819722</v>
      </c>
      <c r="P198" s="1">
        <f t="shared" si="15"/>
        <v>100</v>
      </c>
    </row>
    <row r="199" spans="10:16" x14ac:dyDescent="0.15">
      <c r="J199" s="76">
        <f t="shared" si="11"/>
        <v>5.45</v>
      </c>
      <c r="K199" s="53">
        <v>5450</v>
      </c>
      <c r="L199" s="1">
        <f t="shared" si="12"/>
        <v>303</v>
      </c>
      <c r="N199" s="1">
        <f t="shared" si="13"/>
        <v>-4450</v>
      </c>
      <c r="O199" s="1">
        <f t="shared" si="14"/>
        <v>303</v>
      </c>
      <c r="P199" s="1">
        <f t="shared" si="15"/>
        <v>100</v>
      </c>
    </row>
    <row r="200" spans="10:16" x14ac:dyDescent="0.15">
      <c r="J200" s="76">
        <f t="shared" si="11"/>
        <v>5.5</v>
      </c>
      <c r="K200" s="53">
        <v>5500</v>
      </c>
      <c r="L200" s="1">
        <f t="shared" si="12"/>
        <v>302.49368706996506</v>
      </c>
      <c r="N200" s="1">
        <f t="shared" si="13"/>
        <v>-4500</v>
      </c>
      <c r="O200" s="1">
        <f t="shared" si="14"/>
        <v>302.49368706996506</v>
      </c>
      <c r="P200" s="1">
        <f t="shared" si="15"/>
        <v>100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DSMT4" shapeId="25601" r:id="rId4">
          <objectPr defaultSize="0" r:id="rId5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5</xdr:col>
                <xdr:colOff>123825</xdr:colOff>
                <xdr:row>15</xdr:row>
                <xdr:rowOff>66675</xdr:rowOff>
              </to>
            </anchor>
          </objectPr>
        </oleObject>
      </mc:Choice>
      <mc:Fallback>
        <oleObject progId="Equation.DSMT4" shapeId="25601" r:id="rId4"/>
      </mc:Fallback>
    </mc:AlternateContent>
    <mc:AlternateContent xmlns:mc="http://schemas.openxmlformats.org/markup-compatibility/2006">
      <mc:Choice Requires="x14">
        <oleObject progId="Equation.DSMT4" shapeId="25602" r:id="rId6">
          <objectPr defaultSize="0" r:id="rId5">
            <anchor moveWithCells="1">
              <from>
                <xdr:col>8</xdr:col>
                <xdr:colOff>47625</xdr:colOff>
                <xdr:row>70</xdr:row>
                <xdr:rowOff>47625</xdr:rowOff>
              </from>
              <to>
                <xdr:col>12</xdr:col>
                <xdr:colOff>504825</xdr:colOff>
                <xdr:row>82</xdr:row>
                <xdr:rowOff>114300</xdr:rowOff>
              </to>
            </anchor>
          </objectPr>
        </oleObject>
      </mc:Choice>
      <mc:Fallback>
        <oleObject progId="Equation.DSMT4" shapeId="25602" r:id="rId6"/>
      </mc:Fallback>
    </mc:AlternateContent>
    <mc:AlternateContent xmlns:mc="http://schemas.openxmlformats.org/markup-compatibility/2006">
      <mc:Choice Requires="x14">
        <oleObject progId="Equation.DSMT4" shapeId="25603" r:id="rId7">
          <objectPr defaultSize="0" r:id="rId8">
            <anchor moveWithCells="1">
              <from>
                <xdr:col>8</xdr:col>
                <xdr:colOff>361950</xdr:colOff>
                <xdr:row>61</xdr:row>
                <xdr:rowOff>133350</xdr:rowOff>
              </from>
              <to>
                <xdr:col>21</xdr:col>
                <xdr:colOff>104775</xdr:colOff>
                <xdr:row>67</xdr:row>
                <xdr:rowOff>114300</xdr:rowOff>
              </to>
            </anchor>
          </objectPr>
        </oleObject>
      </mc:Choice>
      <mc:Fallback>
        <oleObject progId="Equation.DSMT4" shapeId="25603" r:id="rId7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M103"/>
  <sheetViews>
    <sheetView zoomScale="80" zoomScaleNormal="80" workbookViewId="0">
      <selection activeCell="L18" sqref="L18"/>
    </sheetView>
  </sheetViews>
  <sheetFormatPr defaultRowHeight="13.5" x14ac:dyDescent="0.15"/>
  <cols>
    <col min="1" max="16384" width="9" style="1"/>
  </cols>
  <sheetData>
    <row r="3" spans="2:13" x14ac:dyDescent="0.15">
      <c r="B3" s="1" t="s">
        <v>516</v>
      </c>
      <c r="C3" s="1" t="s">
        <v>513</v>
      </c>
      <c r="D3" s="1" t="s">
        <v>514</v>
      </c>
      <c r="E3" s="1" t="s">
        <v>515</v>
      </c>
      <c r="K3" s="16"/>
      <c r="L3" s="16" t="s">
        <v>517</v>
      </c>
      <c r="M3" s="16" t="s">
        <v>24</v>
      </c>
    </row>
    <row r="4" spans="2:13" x14ac:dyDescent="0.15">
      <c r="B4" s="1">
        <v>1</v>
      </c>
      <c r="C4" s="1">
        <v>2586</v>
      </c>
      <c r="D4" s="1">
        <v>370</v>
      </c>
      <c r="E4" s="1">
        <v>259</v>
      </c>
      <c r="G4" s="1">
        <f>IF(D4&gt;=(5/3*E4),0.16*(D4-E4),0.16*MAX(0.4*D4+1.5-(2.25+2*(E4-D4*0.6))^0.5,0.1*D4))</f>
        <v>22.522860064274166</v>
      </c>
      <c r="H4" s="1">
        <f>C4/G4</f>
        <v>114.81667925921724</v>
      </c>
      <c r="K4" s="5" t="s">
        <v>518</v>
      </c>
      <c r="L4" s="5">
        <v>0.3</v>
      </c>
      <c r="M4" s="5">
        <v>0</v>
      </c>
    </row>
    <row r="5" spans="2:13" x14ac:dyDescent="0.15">
      <c r="B5" s="1">
        <v>2</v>
      </c>
      <c r="C5" s="1">
        <v>2599</v>
      </c>
      <c r="D5" s="1">
        <v>373</v>
      </c>
      <c r="E5" s="1">
        <v>260</v>
      </c>
      <c r="G5" s="1">
        <f t="shared" ref="G5:G68" si="0">IF(D5&gt;=(5/3*E5),0.16*(D5-E5),0.16*MAX(0.4*D5+1.5-(2.25+2*(E5-D5*0.6))^0.5,0.1*D5))</f>
        <v>22.72959629630126</v>
      </c>
      <c r="H5" s="1">
        <f t="shared" ref="H5:H68" si="1">C5/G5</f>
        <v>114.34430977654142</v>
      </c>
      <c r="K5" s="5" t="s">
        <v>519</v>
      </c>
      <c r="L5" s="5">
        <v>2</v>
      </c>
      <c r="M5" s="5">
        <v>2</v>
      </c>
    </row>
    <row r="6" spans="2:13" x14ac:dyDescent="0.15">
      <c r="B6" s="1">
        <v>3</v>
      </c>
      <c r="C6" s="1">
        <v>2827</v>
      </c>
      <c r="D6" s="1">
        <v>412</v>
      </c>
      <c r="E6" s="1">
        <v>281</v>
      </c>
      <c r="G6" s="1">
        <f t="shared" si="0"/>
        <v>25.27077900106228</v>
      </c>
      <c r="H6" s="1">
        <f t="shared" si="1"/>
        <v>111.86833614749924</v>
      </c>
      <c r="K6" s="5" t="s">
        <v>219</v>
      </c>
      <c r="L6" s="5">
        <v>1</v>
      </c>
      <c r="M6" s="5">
        <v>0.9</v>
      </c>
    </row>
    <row r="7" spans="2:13" x14ac:dyDescent="0.15">
      <c r="B7" s="1">
        <v>4</v>
      </c>
      <c r="C7" s="1">
        <v>2839</v>
      </c>
      <c r="D7" s="1">
        <v>415</v>
      </c>
      <c r="E7" s="1">
        <v>282</v>
      </c>
      <c r="G7" s="1">
        <f t="shared" si="0"/>
        <v>25.478183068651337</v>
      </c>
      <c r="H7" s="1">
        <f t="shared" si="1"/>
        <v>111.4286679058029</v>
      </c>
      <c r="K7" s="5" t="s">
        <v>221</v>
      </c>
      <c r="L7" s="5">
        <v>0.3</v>
      </c>
      <c r="M7" s="5">
        <v>0</v>
      </c>
    </row>
    <row r="8" spans="2:13" x14ac:dyDescent="0.15">
      <c r="B8" s="1">
        <v>5</v>
      </c>
      <c r="C8" s="1">
        <v>2852</v>
      </c>
      <c r="D8" s="1">
        <v>417</v>
      </c>
      <c r="E8" s="1">
        <v>283</v>
      </c>
      <c r="G8" s="1">
        <f t="shared" si="0"/>
        <v>25.610062216946488</v>
      </c>
      <c r="H8" s="1">
        <f t="shared" si="1"/>
        <v>111.36247838214142</v>
      </c>
      <c r="K8" s="5" t="s">
        <v>520</v>
      </c>
      <c r="L8" s="5">
        <f>(1-L4+L4*L5)/1</f>
        <v>1.2999999999999998</v>
      </c>
      <c r="M8" s="5">
        <f>(1-M4+M4*M5)/1</f>
        <v>1</v>
      </c>
    </row>
    <row r="9" spans="2:13" x14ac:dyDescent="0.15">
      <c r="B9" s="1">
        <v>6</v>
      </c>
      <c r="C9" s="1">
        <v>2865</v>
      </c>
      <c r="D9" s="1">
        <v>420</v>
      </c>
      <c r="E9" s="1">
        <v>284</v>
      </c>
      <c r="G9" s="1">
        <f t="shared" si="0"/>
        <v>25.817694352312024</v>
      </c>
      <c r="H9" s="1">
        <f t="shared" si="1"/>
        <v>110.97040506033544</v>
      </c>
      <c r="K9" s="5" t="s">
        <v>521</v>
      </c>
      <c r="L9" s="5">
        <f>L8*L6*(1-M7+M7*0.6)</f>
        <v>1.2999999999999998</v>
      </c>
      <c r="M9" s="5">
        <f>M8*M6*(1-L7+L7*0.6)</f>
        <v>0.79199999999999993</v>
      </c>
    </row>
    <row r="10" spans="2:13" x14ac:dyDescent="0.15">
      <c r="B10" s="1">
        <v>7</v>
      </c>
      <c r="C10" s="1">
        <v>2878</v>
      </c>
      <c r="D10" s="1">
        <v>422</v>
      </c>
      <c r="E10" s="1">
        <v>286</v>
      </c>
      <c r="G10" s="1">
        <f t="shared" si="0"/>
        <v>25.930062216946489</v>
      </c>
      <c r="H10" s="1">
        <f t="shared" si="1"/>
        <v>110.99086365165351</v>
      </c>
      <c r="K10" s="5" t="s">
        <v>466</v>
      </c>
      <c r="L10" s="5">
        <f>L9/M9</f>
        <v>1.6414141414141414</v>
      </c>
      <c r="M10" s="5"/>
    </row>
    <row r="11" spans="2:13" x14ac:dyDescent="0.15">
      <c r="B11" s="1">
        <v>8</v>
      </c>
      <c r="C11" s="1">
        <v>2891</v>
      </c>
      <c r="D11" s="1">
        <v>425</v>
      </c>
      <c r="E11" s="1">
        <v>287</v>
      </c>
      <c r="G11" s="1">
        <f t="shared" si="0"/>
        <v>26.137694352312025</v>
      </c>
      <c r="H11" s="1">
        <f t="shared" si="1"/>
        <v>110.60654245290289</v>
      </c>
    </row>
    <row r="12" spans="2:13" x14ac:dyDescent="0.15">
      <c r="B12" s="1">
        <v>9</v>
      </c>
      <c r="C12" s="1">
        <v>2904</v>
      </c>
      <c r="D12" s="1">
        <v>428</v>
      </c>
      <c r="E12" s="1">
        <v>288</v>
      </c>
      <c r="G12" s="1">
        <f t="shared" si="0"/>
        <v>26.345516420625589</v>
      </c>
      <c r="H12" s="1">
        <f t="shared" si="1"/>
        <v>110.2274843899622</v>
      </c>
    </row>
    <row r="13" spans="2:13" x14ac:dyDescent="0.15">
      <c r="B13" s="1">
        <v>10</v>
      </c>
      <c r="C13" s="1">
        <v>3440</v>
      </c>
      <c r="D13" s="1">
        <v>501</v>
      </c>
      <c r="E13" s="1">
        <v>342</v>
      </c>
      <c r="G13" s="1">
        <f t="shared" si="0"/>
        <v>30.828439089701821</v>
      </c>
      <c r="H13" s="1">
        <f t="shared" si="1"/>
        <v>111.58527974739809</v>
      </c>
    </row>
    <row r="14" spans="2:13" x14ac:dyDescent="0.15">
      <c r="B14" s="1">
        <v>11</v>
      </c>
      <c r="C14" s="1">
        <v>3589</v>
      </c>
      <c r="D14" s="1">
        <v>534</v>
      </c>
      <c r="E14" s="1">
        <v>355</v>
      </c>
      <c r="G14" s="1">
        <f t="shared" si="0"/>
        <v>33.063550370623737</v>
      </c>
      <c r="H14" s="1">
        <f t="shared" si="1"/>
        <v>108.54853637220855</v>
      </c>
    </row>
    <row r="15" spans="2:13" x14ac:dyDescent="0.15">
      <c r="B15" s="1">
        <v>12</v>
      </c>
      <c r="C15" s="1">
        <v>3742</v>
      </c>
      <c r="D15" s="1">
        <v>561</v>
      </c>
      <c r="E15" s="1">
        <v>374</v>
      </c>
      <c r="G15" s="1">
        <f t="shared" si="0"/>
        <v>34.739549929687783</v>
      </c>
      <c r="H15" s="1">
        <f t="shared" si="1"/>
        <v>107.71584570248434</v>
      </c>
    </row>
    <row r="16" spans="2:13" x14ac:dyDescent="0.15">
      <c r="B16" s="1">
        <v>13</v>
      </c>
      <c r="C16" s="1">
        <v>3897</v>
      </c>
      <c r="D16" s="1">
        <v>594</v>
      </c>
      <c r="E16" s="1">
        <v>387</v>
      </c>
      <c r="G16" s="1">
        <f t="shared" si="0"/>
        <v>36.98151186745423</v>
      </c>
      <c r="H16" s="1">
        <f t="shared" si="1"/>
        <v>105.37697901500817</v>
      </c>
    </row>
    <row r="17" spans="2:12" x14ac:dyDescent="0.15">
      <c r="B17" s="1">
        <v>14</v>
      </c>
      <c r="C17" s="1">
        <v>4060</v>
      </c>
      <c r="D17" s="1">
        <v>626</v>
      </c>
      <c r="E17" s="1">
        <v>407</v>
      </c>
      <c r="G17" s="1">
        <f t="shared" si="0"/>
        <v>39.013542716708528</v>
      </c>
      <c r="H17" s="1">
        <f t="shared" si="1"/>
        <v>104.06642712457905</v>
      </c>
    </row>
    <row r="18" spans="2:12" x14ac:dyDescent="0.15">
      <c r="B18" s="1">
        <v>15</v>
      </c>
      <c r="C18" s="1">
        <v>4222</v>
      </c>
      <c r="D18" s="1">
        <v>659</v>
      </c>
      <c r="E18" s="1">
        <v>420</v>
      </c>
      <c r="G18" s="1">
        <f t="shared" si="0"/>
        <v>41.268341514212523</v>
      </c>
      <c r="H18" s="1">
        <f t="shared" si="1"/>
        <v>102.30602551706551</v>
      </c>
      <c r="L18" s="1">
        <f>3*1.6</f>
        <v>4.8000000000000007</v>
      </c>
    </row>
    <row r="19" spans="2:12" x14ac:dyDescent="0.15">
      <c r="B19" s="1">
        <v>16</v>
      </c>
      <c r="C19" s="1">
        <v>4397</v>
      </c>
      <c r="D19" s="1">
        <v>691</v>
      </c>
      <c r="E19" s="1">
        <v>439</v>
      </c>
      <c r="G19" s="1">
        <f t="shared" si="0"/>
        <v>43.320811476614644</v>
      </c>
      <c r="H19" s="1">
        <f t="shared" si="1"/>
        <v>101.49856039454801</v>
      </c>
    </row>
    <row r="20" spans="2:12" x14ac:dyDescent="0.15">
      <c r="B20" s="1">
        <v>17</v>
      </c>
      <c r="C20" s="1">
        <v>4570</v>
      </c>
      <c r="D20" s="1">
        <v>729</v>
      </c>
      <c r="E20" s="1">
        <v>457</v>
      </c>
      <c r="G20" s="1">
        <f t="shared" si="0"/>
        <v>45.865893209419532</v>
      </c>
      <c r="H20" s="1">
        <f t="shared" si="1"/>
        <v>99.638308124378881</v>
      </c>
    </row>
    <row r="21" spans="2:12" x14ac:dyDescent="0.15">
      <c r="B21" s="1">
        <v>18</v>
      </c>
      <c r="C21" s="1">
        <v>4747</v>
      </c>
      <c r="D21" s="1">
        <v>767</v>
      </c>
      <c r="E21" s="1">
        <v>472</v>
      </c>
      <c r="G21" s="1">
        <f t="shared" si="0"/>
        <v>48.514513675591289</v>
      </c>
      <c r="H21" s="1">
        <f t="shared" si="1"/>
        <v>97.847007840631392</v>
      </c>
    </row>
    <row r="22" spans="2:12" x14ac:dyDescent="0.15">
      <c r="B22" s="1">
        <v>19</v>
      </c>
      <c r="C22" s="1">
        <v>4934</v>
      </c>
      <c r="D22" s="1">
        <v>799</v>
      </c>
      <c r="E22" s="1">
        <v>491</v>
      </c>
      <c r="G22" s="1">
        <f t="shared" si="0"/>
        <v>50.568832111639722</v>
      </c>
      <c r="H22" s="1">
        <f t="shared" si="1"/>
        <v>97.569981230875854</v>
      </c>
    </row>
    <row r="23" spans="2:12" x14ac:dyDescent="0.15">
      <c r="B23" s="1">
        <v>20</v>
      </c>
      <c r="C23" s="1">
        <v>7227</v>
      </c>
      <c r="D23" s="1">
        <v>1076</v>
      </c>
      <c r="E23" s="1">
        <v>720</v>
      </c>
      <c r="G23" s="1">
        <f t="shared" si="0"/>
        <v>67.137561595167554</v>
      </c>
      <c r="H23" s="1">
        <f t="shared" si="1"/>
        <v>107.64466013195491</v>
      </c>
    </row>
    <row r="24" spans="2:12" x14ac:dyDescent="0.15">
      <c r="B24" s="1">
        <v>21</v>
      </c>
      <c r="C24" s="1">
        <v>8499</v>
      </c>
      <c r="D24" s="1">
        <v>1330</v>
      </c>
      <c r="E24" s="1">
        <v>848</v>
      </c>
      <c r="G24" s="1">
        <f t="shared" si="0"/>
        <v>83.74210012670747</v>
      </c>
      <c r="H24" s="1">
        <f t="shared" si="1"/>
        <v>101.49017026251357</v>
      </c>
    </row>
    <row r="25" spans="2:12" x14ac:dyDescent="0.15">
      <c r="B25" s="1">
        <v>22</v>
      </c>
      <c r="C25" s="1">
        <v>8512</v>
      </c>
      <c r="D25" s="1">
        <v>1333</v>
      </c>
      <c r="E25" s="1">
        <v>849</v>
      </c>
      <c r="G25" s="1">
        <f t="shared" si="0"/>
        <v>83.946808422648573</v>
      </c>
      <c r="H25" s="1">
        <f t="shared" si="1"/>
        <v>101.39754160925897</v>
      </c>
    </row>
    <row r="26" spans="2:12" x14ac:dyDescent="0.15">
      <c r="B26" s="1">
        <v>23</v>
      </c>
      <c r="C26" s="1">
        <v>8542</v>
      </c>
      <c r="D26" s="1">
        <v>1338</v>
      </c>
      <c r="E26" s="1">
        <v>851</v>
      </c>
      <c r="G26" s="1">
        <f t="shared" si="0"/>
        <v>84.282836698133266</v>
      </c>
      <c r="H26" s="1">
        <f t="shared" si="1"/>
        <v>101.34922286246676</v>
      </c>
    </row>
    <row r="27" spans="2:12" x14ac:dyDescent="0.15">
      <c r="B27" s="1">
        <v>24</v>
      </c>
      <c r="C27" s="1">
        <v>8590</v>
      </c>
      <c r="D27" s="1">
        <v>1348</v>
      </c>
      <c r="E27" s="1">
        <v>855</v>
      </c>
      <c r="G27" s="1">
        <f t="shared" si="0"/>
        <v>84.95538829504595</v>
      </c>
      <c r="H27" s="1">
        <f t="shared" si="1"/>
        <v>101.11189145728281</v>
      </c>
    </row>
    <row r="28" spans="2:12" x14ac:dyDescent="0.15">
      <c r="B28" s="1">
        <v>25</v>
      </c>
      <c r="C28" s="1">
        <v>8622</v>
      </c>
      <c r="D28" s="1">
        <v>1354</v>
      </c>
      <c r="E28" s="1">
        <v>859</v>
      </c>
      <c r="G28" s="1">
        <f t="shared" si="0"/>
        <v>85.3328237463421</v>
      </c>
      <c r="H28" s="1">
        <f t="shared" si="1"/>
        <v>101.03966588085154</v>
      </c>
    </row>
    <row r="29" spans="2:12" x14ac:dyDescent="0.15">
      <c r="B29" s="1">
        <v>26</v>
      </c>
      <c r="C29" s="1">
        <v>8665</v>
      </c>
      <c r="D29" s="1">
        <v>1361</v>
      </c>
      <c r="E29" s="1">
        <v>862</v>
      </c>
      <c r="G29" s="1">
        <f t="shared" si="0"/>
        <v>85.800601153298345</v>
      </c>
      <c r="H29" s="1">
        <f t="shared" si="1"/>
        <v>100.98996840964325</v>
      </c>
    </row>
    <row r="30" spans="2:12" x14ac:dyDescent="0.15">
      <c r="B30" s="1">
        <v>27</v>
      </c>
      <c r="C30" s="1">
        <v>8697</v>
      </c>
      <c r="D30" s="1">
        <v>1368</v>
      </c>
      <c r="E30" s="1">
        <v>865</v>
      </c>
      <c r="G30" s="1">
        <f t="shared" si="0"/>
        <v>86.26863530302164</v>
      </c>
      <c r="H30" s="1">
        <f t="shared" si="1"/>
        <v>100.81300080210472</v>
      </c>
    </row>
    <row r="31" spans="2:12" x14ac:dyDescent="0.15">
      <c r="B31" s="1">
        <v>28</v>
      </c>
      <c r="C31" s="1">
        <v>8732</v>
      </c>
      <c r="D31" s="1">
        <v>1373</v>
      </c>
      <c r="E31" s="1">
        <v>869</v>
      </c>
      <c r="G31" s="1">
        <f t="shared" si="0"/>
        <v>86.571922079893355</v>
      </c>
      <c r="H31" s="1">
        <f t="shared" si="1"/>
        <v>100.86411148341638</v>
      </c>
    </row>
    <row r="32" spans="2:12" x14ac:dyDescent="0.15">
      <c r="B32" s="1">
        <v>29</v>
      </c>
      <c r="C32" s="1">
        <v>8767</v>
      </c>
      <c r="D32" s="1">
        <v>1380</v>
      </c>
      <c r="E32" s="1">
        <v>872</v>
      </c>
      <c r="G32" s="1">
        <f t="shared" si="0"/>
        <v>87.04</v>
      </c>
      <c r="H32" s="1">
        <f t="shared" si="1"/>
        <v>100.72380514705881</v>
      </c>
    </row>
    <row r="33" spans="2:8" x14ac:dyDescent="0.15">
      <c r="B33" s="1">
        <v>30</v>
      </c>
      <c r="C33" s="1">
        <v>10024</v>
      </c>
      <c r="D33" s="1">
        <v>1693</v>
      </c>
      <c r="E33" s="1">
        <v>997</v>
      </c>
      <c r="G33" s="1">
        <f t="shared" si="0"/>
        <v>111.36</v>
      </c>
      <c r="H33" s="1">
        <f t="shared" si="1"/>
        <v>90.014367816091948</v>
      </c>
    </row>
    <row r="34" spans="2:8" x14ac:dyDescent="0.15">
      <c r="B34" s="1">
        <v>31</v>
      </c>
      <c r="C34" s="1">
        <v>10591</v>
      </c>
      <c r="D34" s="1">
        <v>1953.5</v>
      </c>
      <c r="E34" s="1">
        <v>1053</v>
      </c>
      <c r="G34" s="1">
        <f t="shared" si="0"/>
        <v>144.08000000000001</v>
      </c>
      <c r="H34" s="1">
        <f t="shared" si="1"/>
        <v>73.507773459189337</v>
      </c>
    </row>
    <row r="35" spans="2:8" x14ac:dyDescent="0.15">
      <c r="B35" s="1">
        <v>32</v>
      </c>
      <c r="C35" s="1">
        <v>11608</v>
      </c>
      <c r="D35" s="1">
        <v>2305</v>
      </c>
      <c r="E35" s="1">
        <v>1154</v>
      </c>
      <c r="G35" s="1">
        <f t="shared" si="0"/>
        <v>184.16</v>
      </c>
      <c r="H35" s="1">
        <f t="shared" si="1"/>
        <v>63.032145960034754</v>
      </c>
    </row>
    <row r="36" spans="2:8" x14ac:dyDescent="0.15">
      <c r="B36" s="1">
        <v>33</v>
      </c>
      <c r="C36" s="1">
        <v>13357</v>
      </c>
      <c r="D36" s="1">
        <v>2443.5</v>
      </c>
      <c r="E36" s="1">
        <v>1332</v>
      </c>
      <c r="G36" s="1">
        <f t="shared" si="0"/>
        <v>177.84</v>
      </c>
      <c r="H36" s="1">
        <f t="shared" si="1"/>
        <v>75.106837606837601</v>
      </c>
    </row>
    <row r="37" spans="2:8" x14ac:dyDescent="0.15">
      <c r="B37" s="1">
        <v>34</v>
      </c>
      <c r="C37" s="1">
        <v>15236</v>
      </c>
      <c r="D37" s="1">
        <v>2859</v>
      </c>
      <c r="E37" s="1">
        <v>1518</v>
      </c>
      <c r="G37" s="1">
        <f t="shared" si="0"/>
        <v>214.56</v>
      </c>
      <c r="H37" s="1">
        <f t="shared" si="1"/>
        <v>71.010439970171518</v>
      </c>
    </row>
    <row r="38" spans="2:8" x14ac:dyDescent="0.15">
      <c r="B38" s="1">
        <v>35</v>
      </c>
      <c r="C38" s="1">
        <v>17983</v>
      </c>
      <c r="D38" s="1">
        <v>3607.5</v>
      </c>
      <c r="E38" s="1">
        <v>1797</v>
      </c>
      <c r="G38" s="1">
        <f t="shared" si="0"/>
        <v>289.68</v>
      </c>
      <c r="H38" s="1">
        <f t="shared" si="1"/>
        <v>62.078845622756141</v>
      </c>
    </row>
    <row r="39" spans="2:8" x14ac:dyDescent="0.15">
      <c r="B39" s="1">
        <v>36</v>
      </c>
      <c r="C39" s="1">
        <v>20129</v>
      </c>
      <c r="D39" s="1">
        <v>4047</v>
      </c>
      <c r="E39" s="1">
        <v>2010</v>
      </c>
      <c r="G39" s="1">
        <f t="shared" si="0"/>
        <v>325.92</v>
      </c>
      <c r="H39" s="1">
        <f t="shared" si="1"/>
        <v>61.760554737358859</v>
      </c>
    </row>
    <row r="40" spans="2:8" x14ac:dyDescent="0.15">
      <c r="B40" s="1">
        <v>37</v>
      </c>
      <c r="C40" s="1">
        <v>21261</v>
      </c>
      <c r="D40" s="1">
        <v>4197.5</v>
      </c>
      <c r="E40" s="1">
        <v>2125</v>
      </c>
      <c r="G40" s="1">
        <f t="shared" si="0"/>
        <v>331.6</v>
      </c>
      <c r="H40" s="1">
        <f t="shared" si="1"/>
        <v>64.116405307599507</v>
      </c>
    </row>
    <row r="41" spans="2:8" x14ac:dyDescent="0.15">
      <c r="B41" s="1">
        <v>38</v>
      </c>
      <c r="C41" s="1">
        <v>23124</v>
      </c>
      <c r="D41" s="1">
        <v>4489</v>
      </c>
      <c r="E41" s="1">
        <v>2310</v>
      </c>
      <c r="G41" s="1">
        <f t="shared" si="0"/>
        <v>348.64</v>
      </c>
      <c r="H41" s="1">
        <f t="shared" si="1"/>
        <v>66.326296466268928</v>
      </c>
    </row>
    <row r="42" spans="2:8" x14ac:dyDescent="0.15">
      <c r="B42" s="1">
        <v>39</v>
      </c>
      <c r="C42" s="1">
        <v>24437</v>
      </c>
      <c r="D42" s="1">
        <v>4762.5</v>
      </c>
      <c r="E42" s="1">
        <v>2440</v>
      </c>
      <c r="G42" s="1">
        <f t="shared" si="0"/>
        <v>371.6</v>
      </c>
      <c r="H42" s="1">
        <f t="shared" si="1"/>
        <v>65.761571582346605</v>
      </c>
    </row>
    <row r="43" spans="2:8" x14ac:dyDescent="0.15">
      <c r="B43" s="1">
        <v>40</v>
      </c>
      <c r="C43" s="1">
        <v>26961</v>
      </c>
      <c r="D43" s="1">
        <v>5505</v>
      </c>
      <c r="E43" s="1">
        <v>2704</v>
      </c>
      <c r="G43" s="1">
        <f t="shared" si="0"/>
        <v>448.16</v>
      </c>
      <c r="H43" s="1">
        <f t="shared" si="1"/>
        <v>60.159318100678327</v>
      </c>
    </row>
    <row r="44" spans="2:8" x14ac:dyDescent="0.15">
      <c r="B44" s="1">
        <v>41</v>
      </c>
      <c r="C44" s="1">
        <v>27867</v>
      </c>
      <c r="D44" s="1">
        <v>5592</v>
      </c>
      <c r="E44" s="1">
        <v>2795</v>
      </c>
      <c r="G44" s="1">
        <f t="shared" si="0"/>
        <v>447.52</v>
      </c>
      <c r="H44" s="1">
        <f t="shared" si="1"/>
        <v>62.269842688594927</v>
      </c>
    </row>
    <row r="45" spans="2:8" x14ac:dyDescent="0.15">
      <c r="B45" s="1">
        <v>42</v>
      </c>
      <c r="C45" s="1">
        <v>30052</v>
      </c>
      <c r="D45" s="1">
        <v>5940</v>
      </c>
      <c r="E45" s="1">
        <v>3013</v>
      </c>
      <c r="G45" s="1">
        <f t="shared" si="0"/>
        <v>468.32</v>
      </c>
      <c r="H45" s="1">
        <f t="shared" si="1"/>
        <v>64.169798428425011</v>
      </c>
    </row>
    <row r="46" spans="2:8" x14ac:dyDescent="0.15">
      <c r="B46" s="1">
        <v>43</v>
      </c>
      <c r="C46" s="1">
        <v>31732</v>
      </c>
      <c r="D46" s="1">
        <v>6181</v>
      </c>
      <c r="E46" s="1">
        <v>3178</v>
      </c>
      <c r="G46" s="1">
        <f t="shared" si="0"/>
        <v>480.48</v>
      </c>
      <c r="H46" s="1">
        <f t="shared" si="1"/>
        <v>66.042291042291041</v>
      </c>
    </row>
    <row r="47" spans="2:8" x14ac:dyDescent="0.15">
      <c r="B47" s="1">
        <v>44</v>
      </c>
      <c r="C47" s="1">
        <v>33484</v>
      </c>
      <c r="D47" s="1">
        <v>6548</v>
      </c>
      <c r="E47" s="1">
        <v>3352</v>
      </c>
      <c r="G47" s="1">
        <f t="shared" si="0"/>
        <v>511.36</v>
      </c>
      <c r="H47" s="1">
        <f t="shared" si="1"/>
        <v>65.480287859824784</v>
      </c>
    </row>
    <row r="48" spans="2:8" x14ac:dyDescent="0.15">
      <c r="B48" s="1">
        <v>45</v>
      </c>
      <c r="C48" s="1">
        <v>35358</v>
      </c>
      <c r="D48" s="1">
        <v>7215</v>
      </c>
      <c r="E48" s="1">
        <v>3546</v>
      </c>
      <c r="G48" s="1">
        <f t="shared" si="0"/>
        <v>587.04</v>
      </c>
      <c r="H48" s="1">
        <f t="shared" si="1"/>
        <v>60.230989370400657</v>
      </c>
    </row>
    <row r="49" spans="2:8" x14ac:dyDescent="0.15">
      <c r="B49" s="1">
        <v>46</v>
      </c>
      <c r="C49" s="1">
        <v>37410</v>
      </c>
      <c r="D49" s="1">
        <v>7509</v>
      </c>
      <c r="E49" s="1">
        <v>3746</v>
      </c>
      <c r="G49" s="1">
        <f t="shared" si="0"/>
        <v>602.08000000000004</v>
      </c>
      <c r="H49" s="1">
        <f t="shared" si="1"/>
        <v>62.134600053149079</v>
      </c>
    </row>
    <row r="50" spans="2:8" x14ac:dyDescent="0.15">
      <c r="B50" s="1">
        <v>47</v>
      </c>
      <c r="C50" s="1">
        <v>38487</v>
      </c>
      <c r="D50" s="1">
        <v>7618</v>
      </c>
      <c r="E50" s="1">
        <v>3857</v>
      </c>
      <c r="G50" s="1">
        <f t="shared" si="0"/>
        <v>601.76</v>
      </c>
      <c r="H50" s="1">
        <f t="shared" si="1"/>
        <v>63.957391651156605</v>
      </c>
    </row>
    <row r="51" spans="2:8" x14ac:dyDescent="0.15">
      <c r="B51" s="1">
        <v>48</v>
      </c>
      <c r="C51" s="1">
        <v>40608</v>
      </c>
      <c r="D51" s="1">
        <v>7926</v>
      </c>
      <c r="E51" s="1">
        <v>4066</v>
      </c>
      <c r="G51" s="1">
        <f t="shared" si="0"/>
        <v>617.6</v>
      </c>
      <c r="H51" s="1">
        <f t="shared" si="1"/>
        <v>65.751295336787564</v>
      </c>
    </row>
    <row r="52" spans="2:8" x14ac:dyDescent="0.15">
      <c r="B52" s="1">
        <v>49</v>
      </c>
      <c r="C52" s="1">
        <v>42199</v>
      </c>
      <c r="D52" s="1">
        <v>8266</v>
      </c>
      <c r="E52" s="1">
        <v>4225</v>
      </c>
      <c r="G52" s="1">
        <f t="shared" si="0"/>
        <v>646.56000000000006</v>
      </c>
      <c r="H52" s="1">
        <f t="shared" si="1"/>
        <v>65.266951249690663</v>
      </c>
    </row>
    <row r="53" spans="2:8" x14ac:dyDescent="0.15">
      <c r="B53" s="1">
        <v>50</v>
      </c>
      <c r="C53" s="1">
        <v>45858</v>
      </c>
      <c r="D53" s="1">
        <v>9342</v>
      </c>
      <c r="E53" s="1">
        <v>4593</v>
      </c>
      <c r="G53" s="1">
        <f t="shared" si="0"/>
        <v>759.84</v>
      </c>
      <c r="H53" s="1">
        <f t="shared" si="1"/>
        <v>60.352179406190771</v>
      </c>
    </row>
    <row r="54" spans="2:8" x14ac:dyDescent="0.15">
      <c r="B54" s="1">
        <v>51</v>
      </c>
      <c r="C54" s="1">
        <v>47056</v>
      </c>
      <c r="D54" s="1">
        <v>9447.5</v>
      </c>
      <c r="E54" s="1">
        <v>4711</v>
      </c>
      <c r="G54" s="1">
        <f t="shared" si="0"/>
        <v>757.84</v>
      </c>
      <c r="H54" s="1">
        <f t="shared" si="1"/>
        <v>62.092262218938032</v>
      </c>
    </row>
    <row r="55" spans="2:8" x14ac:dyDescent="0.15">
      <c r="B55" s="1">
        <v>52</v>
      </c>
      <c r="C55" s="1">
        <v>49852</v>
      </c>
      <c r="D55" s="1">
        <v>9870</v>
      </c>
      <c r="E55" s="1">
        <v>4984</v>
      </c>
      <c r="G55" s="1">
        <f t="shared" si="0"/>
        <v>781.76</v>
      </c>
      <c r="H55" s="1">
        <f t="shared" si="1"/>
        <v>63.76893164142448</v>
      </c>
    </row>
    <row r="56" spans="2:8" x14ac:dyDescent="0.15">
      <c r="B56" s="1">
        <v>53</v>
      </c>
      <c r="C56" s="1">
        <v>51557</v>
      </c>
      <c r="D56" s="1">
        <v>10078.5</v>
      </c>
      <c r="E56" s="1">
        <v>5153</v>
      </c>
      <c r="G56" s="1">
        <f t="shared" si="0"/>
        <v>788.08</v>
      </c>
      <c r="H56" s="1">
        <f t="shared" si="1"/>
        <v>65.421023246370922</v>
      </c>
    </row>
    <row r="57" spans="2:8" x14ac:dyDescent="0.15">
      <c r="B57" s="1">
        <v>54</v>
      </c>
      <c r="C57" s="1">
        <v>54469</v>
      </c>
      <c r="D57" s="1">
        <v>10689</v>
      </c>
      <c r="E57" s="1">
        <v>5447</v>
      </c>
      <c r="G57" s="1">
        <f t="shared" si="0"/>
        <v>838.72</v>
      </c>
      <c r="H57" s="1">
        <f t="shared" si="1"/>
        <v>64.943008393742844</v>
      </c>
    </row>
    <row r="58" spans="2:8" x14ac:dyDescent="0.15">
      <c r="B58" s="1">
        <v>55</v>
      </c>
      <c r="C58" s="1">
        <v>56255</v>
      </c>
      <c r="D58" s="1">
        <v>11469.5</v>
      </c>
      <c r="E58" s="1">
        <v>5625</v>
      </c>
      <c r="G58" s="1">
        <f t="shared" si="0"/>
        <v>935.12</v>
      </c>
      <c r="H58" s="1">
        <f t="shared" si="1"/>
        <v>60.158054581230218</v>
      </c>
    </row>
    <row r="59" spans="2:8" x14ac:dyDescent="0.15">
      <c r="B59" s="1">
        <v>56</v>
      </c>
      <c r="C59" s="1">
        <v>58643</v>
      </c>
      <c r="D59" s="1">
        <v>11782</v>
      </c>
      <c r="E59" s="1">
        <v>5856</v>
      </c>
      <c r="G59" s="1">
        <f t="shared" si="0"/>
        <v>948.16</v>
      </c>
      <c r="H59" s="1">
        <f t="shared" si="1"/>
        <v>61.849265946675672</v>
      </c>
    </row>
    <row r="60" spans="2:8" x14ac:dyDescent="0.15">
      <c r="B60" s="1">
        <v>57</v>
      </c>
      <c r="C60" s="1">
        <v>60522</v>
      </c>
      <c r="D60" s="1">
        <v>11997.5</v>
      </c>
      <c r="E60" s="1">
        <v>6043</v>
      </c>
      <c r="G60" s="1">
        <f t="shared" si="0"/>
        <v>952.72</v>
      </c>
      <c r="H60" s="1">
        <f t="shared" si="1"/>
        <v>63.525484927365859</v>
      </c>
    </row>
    <row r="61" spans="2:8" x14ac:dyDescent="0.15">
      <c r="B61" s="1">
        <v>58</v>
      </c>
      <c r="C61" s="1">
        <v>63515</v>
      </c>
      <c r="D61" s="1">
        <v>12439</v>
      </c>
      <c r="E61" s="1">
        <v>6338</v>
      </c>
      <c r="G61" s="1">
        <f t="shared" si="0"/>
        <v>976.16</v>
      </c>
      <c r="H61" s="1">
        <f t="shared" si="1"/>
        <v>65.066177675790854</v>
      </c>
    </row>
    <row r="62" spans="2:8" x14ac:dyDescent="0.15">
      <c r="B62" s="1">
        <v>59</v>
      </c>
      <c r="C62" s="1">
        <v>65478</v>
      </c>
      <c r="D62" s="1">
        <v>12863.5</v>
      </c>
      <c r="E62" s="1">
        <v>6533</v>
      </c>
      <c r="G62" s="1">
        <f t="shared" si="0"/>
        <v>1012.88</v>
      </c>
      <c r="H62" s="1">
        <f t="shared" si="1"/>
        <v>64.645367664481483</v>
      </c>
    </row>
    <row r="63" spans="2:8" x14ac:dyDescent="0.15">
      <c r="B63" s="1">
        <v>60</v>
      </c>
      <c r="C63" s="1">
        <v>70663</v>
      </c>
      <c r="D63" s="1">
        <v>14276</v>
      </c>
      <c r="E63" s="1">
        <v>7046</v>
      </c>
      <c r="G63" s="1">
        <f t="shared" si="0"/>
        <v>1156.8</v>
      </c>
      <c r="H63" s="1">
        <f t="shared" si="1"/>
        <v>61.084889349930847</v>
      </c>
    </row>
    <row r="64" spans="2:8" x14ac:dyDescent="0.15">
      <c r="B64" s="1">
        <v>61</v>
      </c>
      <c r="C64" s="1">
        <v>72364</v>
      </c>
      <c r="D64" s="1">
        <v>14420</v>
      </c>
      <c r="E64" s="1">
        <v>7217</v>
      </c>
      <c r="G64" s="1">
        <f t="shared" si="0"/>
        <v>1152.48</v>
      </c>
      <c r="H64" s="1">
        <f t="shared" si="1"/>
        <v>62.789809801471606</v>
      </c>
    </row>
    <row r="65" spans="2:8" x14ac:dyDescent="0.15">
      <c r="B65" s="1">
        <v>62</v>
      </c>
      <c r="C65" s="1">
        <v>75090</v>
      </c>
      <c r="D65" s="1">
        <v>14776</v>
      </c>
      <c r="E65" s="1">
        <v>7489</v>
      </c>
      <c r="G65" s="1">
        <f t="shared" si="0"/>
        <v>1165.92</v>
      </c>
      <c r="H65" s="1">
        <f t="shared" si="1"/>
        <v>64.404075751337999</v>
      </c>
    </row>
    <row r="66" spans="2:8" x14ac:dyDescent="0.15">
      <c r="B66" s="1">
        <v>63</v>
      </c>
      <c r="C66" s="1">
        <v>78125</v>
      </c>
      <c r="D66" s="1">
        <v>15190</v>
      </c>
      <c r="E66" s="1">
        <v>7794</v>
      </c>
      <c r="G66" s="1">
        <f t="shared" si="0"/>
        <v>1183.3600000000001</v>
      </c>
      <c r="H66" s="1">
        <f t="shared" si="1"/>
        <v>66.019638994050837</v>
      </c>
    </row>
    <row r="67" spans="2:8" x14ac:dyDescent="0.15">
      <c r="B67" s="1">
        <v>64</v>
      </c>
      <c r="C67" s="1">
        <v>80161</v>
      </c>
      <c r="D67" s="1">
        <v>15630</v>
      </c>
      <c r="E67" s="1">
        <v>7998</v>
      </c>
      <c r="G67" s="1">
        <f t="shared" si="0"/>
        <v>1221.1200000000001</v>
      </c>
      <c r="H67" s="1">
        <f t="shared" si="1"/>
        <v>65.645473008385736</v>
      </c>
    </row>
    <row r="68" spans="2:8" x14ac:dyDescent="0.15">
      <c r="B68" s="1">
        <v>65</v>
      </c>
      <c r="C68" s="1">
        <v>83472</v>
      </c>
      <c r="D68" s="1">
        <v>16904</v>
      </c>
      <c r="E68" s="1">
        <v>8331</v>
      </c>
      <c r="G68" s="1">
        <f t="shared" si="0"/>
        <v>1371.68</v>
      </c>
      <c r="H68" s="1">
        <f t="shared" si="1"/>
        <v>60.853843462031961</v>
      </c>
    </row>
    <row r="69" spans="2:8" x14ac:dyDescent="0.15">
      <c r="B69" s="1">
        <v>66</v>
      </c>
      <c r="C69" s="1">
        <v>86650</v>
      </c>
      <c r="D69" s="1">
        <v>17301</v>
      </c>
      <c r="E69" s="1">
        <v>8654</v>
      </c>
      <c r="G69" s="1">
        <f t="shared" ref="G69:G102" si="2">IF(D69&gt;=(5/3*E69),0.16*(D69-E69),0.16*MAX(0.4*D69+1.5-(2.25+2*(E69-D69*0.6))^0.5,0.1*D69))</f>
        <v>1383.52</v>
      </c>
      <c r="H69" s="1">
        <f t="shared" ref="H69:H103" si="3">C69/G69</f>
        <v>62.630102925870247</v>
      </c>
    </row>
    <row r="70" spans="2:8" x14ac:dyDescent="0.15">
      <c r="B70" s="1">
        <v>67</v>
      </c>
      <c r="C70" s="1">
        <v>88480</v>
      </c>
      <c r="D70" s="1">
        <v>17436</v>
      </c>
      <c r="E70" s="1">
        <v>8838</v>
      </c>
      <c r="G70" s="1">
        <f t="shared" si="2"/>
        <v>1375.68</v>
      </c>
      <c r="H70" s="1">
        <f t="shared" si="3"/>
        <v>64.317283089090481</v>
      </c>
    </row>
    <row r="71" spans="2:8" x14ac:dyDescent="0.15">
      <c r="B71" s="1">
        <v>68</v>
      </c>
      <c r="C71" s="1">
        <v>92495</v>
      </c>
      <c r="D71" s="1">
        <v>18008</v>
      </c>
      <c r="E71" s="1">
        <v>9244</v>
      </c>
      <c r="G71" s="1">
        <f t="shared" si="2"/>
        <v>1402.24</v>
      </c>
      <c r="H71" s="1">
        <f t="shared" si="3"/>
        <v>65.962317434961207</v>
      </c>
    </row>
    <row r="72" spans="2:8" x14ac:dyDescent="0.15">
      <c r="B72" s="1">
        <v>69</v>
      </c>
      <c r="C72" s="1">
        <v>95157</v>
      </c>
      <c r="D72" s="1">
        <v>18584</v>
      </c>
      <c r="E72" s="1">
        <v>9511</v>
      </c>
      <c r="G72" s="1">
        <f t="shared" si="2"/>
        <v>1451.68</v>
      </c>
      <c r="H72" s="1">
        <f t="shared" si="3"/>
        <v>65.549570153201799</v>
      </c>
    </row>
    <row r="73" spans="2:8" x14ac:dyDescent="0.15">
      <c r="B73" s="1">
        <v>70</v>
      </c>
      <c r="C73" s="1">
        <v>101302</v>
      </c>
      <c r="D73" s="1">
        <v>20553</v>
      </c>
      <c r="E73" s="1">
        <v>10126</v>
      </c>
      <c r="G73" s="1">
        <f t="shared" si="2"/>
        <v>1668.32</v>
      </c>
      <c r="H73" s="1">
        <f t="shared" si="3"/>
        <v>60.72096480291551</v>
      </c>
    </row>
    <row r="74" spans="2:8" x14ac:dyDescent="0.15">
      <c r="B74" s="1">
        <v>71</v>
      </c>
      <c r="C74" s="1">
        <v>103895</v>
      </c>
      <c r="D74" s="1">
        <v>20789</v>
      </c>
      <c r="E74" s="1">
        <v>10385</v>
      </c>
      <c r="G74" s="1">
        <f t="shared" si="2"/>
        <v>1664.64</v>
      </c>
      <c r="H74" s="1">
        <f t="shared" si="3"/>
        <v>62.412894079200306</v>
      </c>
    </row>
    <row r="75" spans="2:8" x14ac:dyDescent="0.15">
      <c r="B75" s="1">
        <v>72</v>
      </c>
      <c r="C75" s="1">
        <v>108608</v>
      </c>
      <c r="D75" s="1">
        <v>21446</v>
      </c>
      <c r="E75" s="1">
        <v>10853</v>
      </c>
      <c r="G75" s="1">
        <f t="shared" si="2"/>
        <v>1694.88</v>
      </c>
      <c r="H75" s="1">
        <f t="shared" si="3"/>
        <v>64.080052865099589</v>
      </c>
    </row>
    <row r="76" spans="2:8" x14ac:dyDescent="0.15">
      <c r="B76" s="1">
        <v>73</v>
      </c>
      <c r="C76" s="1">
        <v>111952</v>
      </c>
      <c r="D76" s="1">
        <v>21833</v>
      </c>
      <c r="E76" s="1">
        <v>11183</v>
      </c>
      <c r="G76" s="1">
        <f t="shared" si="2"/>
        <v>1704</v>
      </c>
      <c r="H76" s="1">
        <f t="shared" si="3"/>
        <v>65.699530516431921</v>
      </c>
    </row>
    <row r="77" spans="2:8" x14ac:dyDescent="0.15">
      <c r="B77" s="1">
        <v>74</v>
      </c>
      <c r="C77" s="1">
        <v>115908</v>
      </c>
      <c r="D77" s="1">
        <v>22678</v>
      </c>
      <c r="E77" s="1">
        <v>11580</v>
      </c>
      <c r="G77" s="1">
        <f t="shared" si="2"/>
        <v>1775.68</v>
      </c>
      <c r="H77" s="1">
        <f t="shared" si="3"/>
        <v>65.275274824292666</v>
      </c>
    </row>
    <row r="78" spans="2:8" x14ac:dyDescent="0.15">
      <c r="B78" s="1">
        <v>75</v>
      </c>
      <c r="C78" s="1">
        <v>119379</v>
      </c>
      <c r="D78" s="1">
        <v>24258</v>
      </c>
      <c r="E78" s="1">
        <v>11924</v>
      </c>
      <c r="G78" s="1">
        <f t="shared" si="2"/>
        <v>1973.44</v>
      </c>
      <c r="H78" s="1">
        <f t="shared" si="3"/>
        <v>60.492844981352356</v>
      </c>
    </row>
    <row r="79" spans="2:8" x14ac:dyDescent="0.15">
      <c r="B79" s="1">
        <v>76</v>
      </c>
      <c r="C79" s="1">
        <v>124809</v>
      </c>
      <c r="D79" s="1">
        <v>25002</v>
      </c>
      <c r="E79" s="1">
        <v>12462</v>
      </c>
      <c r="G79" s="1">
        <f t="shared" si="2"/>
        <v>2006.4</v>
      </c>
      <c r="H79" s="1">
        <f t="shared" si="3"/>
        <v>62.205442583732058</v>
      </c>
    </row>
    <row r="80" spans="2:8" x14ac:dyDescent="0.15">
      <c r="B80" s="1">
        <v>77</v>
      </c>
      <c r="C80" s="1">
        <v>127588</v>
      </c>
      <c r="D80" s="1">
        <v>25220</v>
      </c>
      <c r="E80" s="1">
        <v>12736</v>
      </c>
      <c r="G80" s="1">
        <f t="shared" si="2"/>
        <v>1997.44</v>
      </c>
      <c r="H80" s="1">
        <f t="shared" si="3"/>
        <v>63.875760974046777</v>
      </c>
    </row>
    <row r="81" spans="2:8" x14ac:dyDescent="0.15">
      <c r="B81" s="1">
        <v>78</v>
      </c>
      <c r="C81" s="1">
        <v>132934</v>
      </c>
      <c r="D81" s="1">
        <v>25951</v>
      </c>
      <c r="E81" s="1">
        <v>13267</v>
      </c>
      <c r="G81" s="1">
        <f t="shared" si="2"/>
        <v>2029.44</v>
      </c>
      <c r="H81" s="1">
        <f t="shared" si="3"/>
        <v>65.502798801639855</v>
      </c>
    </row>
    <row r="82" spans="2:8" x14ac:dyDescent="0.15">
      <c r="B82" s="1">
        <v>79</v>
      </c>
      <c r="C82" s="1">
        <v>136620</v>
      </c>
      <c r="D82" s="1">
        <v>26748</v>
      </c>
      <c r="E82" s="1">
        <v>13631</v>
      </c>
      <c r="G82" s="1">
        <f t="shared" si="2"/>
        <v>2098.7200000000003</v>
      </c>
      <c r="H82" s="1">
        <f t="shared" si="3"/>
        <v>65.096820919417539</v>
      </c>
    </row>
    <row r="83" spans="2:8" x14ac:dyDescent="0.15">
      <c r="B83" s="1">
        <v>80</v>
      </c>
      <c r="C83" s="1">
        <v>143397</v>
      </c>
      <c r="D83" s="1">
        <v>29170</v>
      </c>
      <c r="E83" s="1">
        <v>14305</v>
      </c>
      <c r="G83" s="1">
        <f t="shared" si="2"/>
        <v>2378.4</v>
      </c>
      <c r="H83" s="1">
        <f t="shared" si="3"/>
        <v>60.29137235116044</v>
      </c>
    </row>
    <row r="84" spans="2:8" x14ac:dyDescent="0.15">
      <c r="B84" s="1">
        <v>81</v>
      </c>
      <c r="C84" s="1">
        <v>146536</v>
      </c>
      <c r="D84" s="1">
        <v>29389.5</v>
      </c>
      <c r="E84" s="1">
        <v>14625</v>
      </c>
      <c r="G84" s="1">
        <f t="shared" si="2"/>
        <v>2362.3200000000002</v>
      </c>
      <c r="H84" s="1">
        <f t="shared" si="3"/>
        <v>62.030546242676685</v>
      </c>
    </row>
    <row r="85" spans="2:8" x14ac:dyDescent="0.15">
      <c r="B85" s="1">
        <v>82</v>
      </c>
      <c r="C85" s="1">
        <v>152742</v>
      </c>
      <c r="D85" s="1">
        <v>30212</v>
      </c>
      <c r="E85" s="1">
        <v>15243</v>
      </c>
      <c r="G85" s="1">
        <f t="shared" si="2"/>
        <v>2395.04</v>
      </c>
      <c r="H85" s="1">
        <f t="shared" si="3"/>
        <v>63.774300220455608</v>
      </c>
    </row>
    <row r="86" spans="2:8" x14ac:dyDescent="0.15">
      <c r="B86" s="1">
        <v>83</v>
      </c>
      <c r="C86" s="1">
        <v>155725</v>
      </c>
      <c r="D86" s="1">
        <v>30400.5</v>
      </c>
      <c r="E86" s="1">
        <v>15545</v>
      </c>
      <c r="G86" s="1">
        <f t="shared" si="2"/>
        <v>2376.88</v>
      </c>
      <c r="H86" s="1">
        <f t="shared" si="3"/>
        <v>65.51655952340883</v>
      </c>
    </row>
    <row r="87" spans="2:8" x14ac:dyDescent="0.15">
      <c r="B87" s="1">
        <v>84</v>
      </c>
      <c r="C87" s="1">
        <v>161814</v>
      </c>
      <c r="D87" s="1">
        <v>31687</v>
      </c>
      <c r="E87" s="1">
        <v>16156</v>
      </c>
      <c r="G87" s="1">
        <f t="shared" si="2"/>
        <v>2484.96</v>
      </c>
      <c r="H87" s="1">
        <f t="shared" si="3"/>
        <v>65.117345953254784</v>
      </c>
    </row>
    <row r="88" spans="2:8" x14ac:dyDescent="0.15">
      <c r="B88" s="1">
        <v>85</v>
      </c>
      <c r="C88" s="1">
        <v>166228</v>
      </c>
      <c r="D88" s="1">
        <v>33856.5</v>
      </c>
      <c r="E88" s="1">
        <v>16603</v>
      </c>
      <c r="G88" s="1">
        <f t="shared" si="2"/>
        <v>2760.56</v>
      </c>
      <c r="H88" s="1">
        <f t="shared" si="3"/>
        <v>60.215318631002404</v>
      </c>
    </row>
    <row r="89" spans="2:8" x14ac:dyDescent="0.15">
      <c r="B89" s="1">
        <v>86</v>
      </c>
      <c r="C89" s="1">
        <v>172143</v>
      </c>
      <c r="D89" s="1">
        <v>34545</v>
      </c>
      <c r="E89" s="1">
        <v>17194</v>
      </c>
      <c r="G89" s="1">
        <f t="shared" si="2"/>
        <v>2776.16</v>
      </c>
      <c r="H89" s="1">
        <f t="shared" si="3"/>
        <v>62.00759322229267</v>
      </c>
    </row>
    <row r="90" spans="2:8" x14ac:dyDescent="0.15">
      <c r="B90" s="1">
        <v>87</v>
      </c>
      <c r="C90" s="1">
        <v>176644</v>
      </c>
      <c r="D90" s="1">
        <v>34954.5</v>
      </c>
      <c r="E90" s="1">
        <v>17650</v>
      </c>
      <c r="G90" s="1">
        <f t="shared" si="2"/>
        <v>2768.7200000000003</v>
      </c>
      <c r="H90" s="1">
        <f t="shared" si="3"/>
        <v>63.799878644283275</v>
      </c>
    </row>
    <row r="91" spans="2:8" x14ac:dyDescent="0.15">
      <c r="B91" s="1">
        <v>88</v>
      </c>
      <c r="C91" s="1">
        <v>182483</v>
      </c>
      <c r="D91" s="1">
        <v>35624</v>
      </c>
      <c r="E91" s="1">
        <v>18234</v>
      </c>
      <c r="G91" s="1">
        <f t="shared" si="2"/>
        <v>2782.4</v>
      </c>
      <c r="H91" s="1">
        <f t="shared" si="3"/>
        <v>65.584746981023571</v>
      </c>
    </row>
    <row r="92" spans="2:8" x14ac:dyDescent="0.15">
      <c r="B92" s="1">
        <v>89</v>
      </c>
      <c r="C92" s="1">
        <v>187059</v>
      </c>
      <c r="D92" s="1">
        <v>36628.5</v>
      </c>
      <c r="E92" s="1">
        <v>18697</v>
      </c>
      <c r="G92" s="1">
        <f t="shared" si="2"/>
        <v>2869.04</v>
      </c>
      <c r="H92" s="1">
        <f t="shared" si="3"/>
        <v>65.199160694866578</v>
      </c>
    </row>
    <row r="93" spans="2:8" x14ac:dyDescent="0.15">
      <c r="B93" s="1">
        <v>90</v>
      </c>
      <c r="C93" s="1">
        <v>206378</v>
      </c>
      <c r="D93" s="1">
        <v>40403</v>
      </c>
      <c r="E93" s="1">
        <v>20630</v>
      </c>
      <c r="G93" s="1">
        <f t="shared" si="2"/>
        <v>3163.6800000000003</v>
      </c>
      <c r="H93" s="1">
        <f t="shared" si="3"/>
        <v>65.233525514590596</v>
      </c>
    </row>
    <row r="94" spans="2:8" x14ac:dyDescent="0.15">
      <c r="B94" s="1">
        <v>91</v>
      </c>
      <c r="C94" s="1">
        <v>209431</v>
      </c>
      <c r="D94" s="1">
        <v>41019</v>
      </c>
      <c r="E94" s="1">
        <v>20939</v>
      </c>
      <c r="G94" s="1">
        <f t="shared" si="2"/>
        <v>3212.8</v>
      </c>
      <c r="H94" s="1">
        <f t="shared" si="3"/>
        <v>65.186441733067724</v>
      </c>
    </row>
    <row r="95" spans="2:8" x14ac:dyDescent="0.15">
      <c r="B95" s="1">
        <v>92</v>
      </c>
      <c r="C95" s="1">
        <v>215047</v>
      </c>
      <c r="D95" s="1">
        <v>42137</v>
      </c>
      <c r="E95" s="1">
        <v>21500</v>
      </c>
      <c r="G95" s="1">
        <f t="shared" si="2"/>
        <v>3301.92</v>
      </c>
      <c r="H95" s="1">
        <f t="shared" si="3"/>
        <v>65.127864999757719</v>
      </c>
    </row>
    <row r="96" spans="2:8" x14ac:dyDescent="0.15">
      <c r="B96" s="1">
        <v>93</v>
      </c>
      <c r="C96" s="1">
        <v>217959</v>
      </c>
      <c r="D96" s="1">
        <v>42723</v>
      </c>
      <c r="E96" s="1">
        <v>21795</v>
      </c>
      <c r="G96" s="1">
        <f t="shared" si="2"/>
        <v>3348.48</v>
      </c>
      <c r="H96" s="1">
        <f t="shared" si="3"/>
        <v>65.09192230504587</v>
      </c>
    </row>
    <row r="97" spans="2:8" x14ac:dyDescent="0.15">
      <c r="B97" s="1">
        <v>94</v>
      </c>
      <c r="C97" s="1">
        <v>223707</v>
      </c>
      <c r="D97" s="1">
        <v>43869</v>
      </c>
      <c r="E97" s="1">
        <v>22366</v>
      </c>
      <c r="G97" s="1">
        <f t="shared" si="2"/>
        <v>3440.48</v>
      </c>
      <c r="H97" s="1">
        <f t="shared" si="3"/>
        <v>65.022031809514957</v>
      </c>
    </row>
    <row r="98" spans="2:8" x14ac:dyDescent="0.15">
      <c r="B98" s="1">
        <v>95</v>
      </c>
      <c r="C98" s="1">
        <v>230329</v>
      </c>
      <c r="D98" s="1">
        <v>47076</v>
      </c>
      <c r="E98" s="1">
        <v>23030</v>
      </c>
      <c r="G98" s="1">
        <f t="shared" si="2"/>
        <v>3847.36</v>
      </c>
      <c r="H98" s="1">
        <f t="shared" si="3"/>
        <v>59.866765782250681</v>
      </c>
    </row>
    <row r="99" spans="2:8" x14ac:dyDescent="0.15">
      <c r="B99" s="1">
        <v>96</v>
      </c>
      <c r="C99" s="1">
        <v>240231</v>
      </c>
      <c r="D99" s="1">
        <v>48353</v>
      </c>
      <c r="E99" s="1">
        <v>24023</v>
      </c>
      <c r="G99" s="1">
        <f t="shared" si="2"/>
        <v>3892.8</v>
      </c>
      <c r="H99" s="1">
        <f t="shared" si="3"/>
        <v>61.711621454993832</v>
      </c>
    </row>
    <row r="100" spans="2:8" x14ac:dyDescent="0.15">
      <c r="B100" s="1">
        <v>97</v>
      </c>
      <c r="C100" s="1">
        <v>246958</v>
      </c>
      <c r="D100" s="1">
        <v>49003</v>
      </c>
      <c r="E100" s="1">
        <v>24699</v>
      </c>
      <c r="G100" s="1">
        <f t="shared" si="2"/>
        <v>3888.64</v>
      </c>
      <c r="H100" s="1">
        <f t="shared" si="3"/>
        <v>63.507550197498354</v>
      </c>
    </row>
    <row r="101" spans="2:8" x14ac:dyDescent="0.15">
      <c r="B101" s="1">
        <v>98</v>
      </c>
      <c r="C101" s="1">
        <v>256847</v>
      </c>
      <c r="D101" s="1">
        <v>50274</v>
      </c>
      <c r="E101" s="1">
        <v>25685</v>
      </c>
      <c r="G101" s="1">
        <f t="shared" si="2"/>
        <v>3934.2400000000002</v>
      </c>
      <c r="H101" s="1">
        <f t="shared" si="3"/>
        <v>65.285035991703609</v>
      </c>
    </row>
    <row r="102" spans="2:8" x14ac:dyDescent="0.15">
      <c r="B102" s="1">
        <v>99</v>
      </c>
      <c r="C102" s="1">
        <v>263742</v>
      </c>
      <c r="D102" s="1">
        <v>51796</v>
      </c>
      <c r="E102" s="1">
        <v>26380</v>
      </c>
      <c r="G102" s="1">
        <f t="shared" si="2"/>
        <v>4066.56</v>
      </c>
      <c r="H102" s="1">
        <f t="shared" si="3"/>
        <v>64.856291312559023</v>
      </c>
    </row>
    <row r="103" spans="2:8" x14ac:dyDescent="0.15">
      <c r="B103" s="1">
        <v>100</v>
      </c>
      <c r="C103" s="1">
        <v>293142</v>
      </c>
      <c r="D103" s="1">
        <v>57744</v>
      </c>
      <c r="E103" s="1">
        <v>29539</v>
      </c>
      <c r="G103" s="1">
        <f>IF(D103&gt;=(5/3*E103),0.16*(D103-E103),0.16*MAX(0.4*D103+1.5-(2.25+2*(E103-D103*0.6))^0.5,0.1*D103))</f>
        <v>4512.8</v>
      </c>
      <c r="H103" s="1">
        <f t="shared" si="3"/>
        <v>64.957897535897885</v>
      </c>
    </row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29698" r:id="rId3">
          <objectPr defaultSize="0" autoPict="0" r:id="rId4">
            <anchor moveWithCells="1">
              <from>
                <xdr:col>13</xdr:col>
                <xdr:colOff>590550</xdr:colOff>
                <xdr:row>13</xdr:row>
                <xdr:rowOff>152400</xdr:rowOff>
              </from>
              <to>
                <xdr:col>30</xdr:col>
                <xdr:colOff>523875</xdr:colOff>
                <xdr:row>26</xdr:row>
                <xdr:rowOff>28575</xdr:rowOff>
              </to>
            </anchor>
          </objectPr>
        </oleObject>
      </mc:Choice>
      <mc:Fallback>
        <oleObject progId="Equation.DSMT4" shapeId="29698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属性结构</vt:lpstr>
      <vt:lpstr>战斗力计算</vt:lpstr>
      <vt:lpstr>女神、神兵、翅膀技能</vt:lpstr>
      <vt:lpstr>其他设定</vt:lpstr>
      <vt:lpstr>伤害测试</vt:lpstr>
      <vt:lpstr>技能量化</vt:lpstr>
      <vt:lpstr>公式优化 (调试)</vt:lpstr>
      <vt:lpstr>PVP验证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2021-12-18T08:25:43Z</dcterms:modified>
</cp:coreProperties>
</file>